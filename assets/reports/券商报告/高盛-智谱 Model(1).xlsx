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rmwide.corp.gs.com\irroot\projects\hk\Entertainment\Zhipu\"/>
    </mc:Choice>
  </mc:AlternateContent>
  <xr:revisionPtr revIDLastSave="0" documentId="13_ncr:1_{B5D29146-11D4-4540-A3EA-876C1DAE6580}" xr6:coauthVersionLast="47" xr6:coauthVersionMax="47" xr10:uidLastSave="{00000000-0000-0000-0000-000000000000}"/>
  <bookViews>
    <workbookView xWindow="-120" yWindow="-120" windowWidth="57840" windowHeight="23640" xr2:uid="{13B33E58-97EA-45E0-9AE7-8BC04FCF2B90}"/>
  </bookViews>
  <sheets>
    <sheet name="Cover page" sheetId="1" r:id="rId1"/>
    <sheet name="Model" sheetId="2" r:id="rId2"/>
    <sheet name="Revenue" sheetId="3" r:id="rId3"/>
    <sheet name="Y&amp;Q" sheetId="6" r:id="rId4"/>
    <sheet name="DCF+base-bull-bear" sheetId="4" r:id="rId5"/>
    <sheet name="Bull bear" sheetId="5" r:id="rId6"/>
  </sheets>
  <definedNames>
    <definedName name="\0" localSheetId="0">#REF!</definedName>
    <definedName name="\0">#REF!</definedName>
    <definedName name="\a" localSheetId="0">#REF!</definedName>
    <definedName name="\a">#REF!</definedName>
    <definedName name="\b" localSheetId="0">#REF!</definedName>
    <definedName name="\b">#REF!</definedName>
    <definedName name="\c" localSheetId="0">#REF!</definedName>
    <definedName name="\c">#N/A</definedName>
    <definedName name="\d" localSheetId="0">#REF!</definedName>
    <definedName name="\d">#N/A</definedName>
    <definedName name="\e" localSheetId="0">#REF!</definedName>
    <definedName name="\e">#REF!</definedName>
    <definedName name="\f" localSheetId="0">#REF!</definedName>
    <definedName name="\f">#REF!</definedName>
    <definedName name="\g" localSheetId="0">#REF!</definedName>
    <definedName name="\g">#REF!</definedName>
    <definedName name="\h" localSheetId="0">#REF!</definedName>
    <definedName name="\h">#REF!</definedName>
    <definedName name="\i" localSheetId="0">#REF!</definedName>
    <definedName name="\i">#N/A</definedName>
    <definedName name="\j" localSheetId="0">#REF!</definedName>
    <definedName name="\j">#N/A</definedName>
    <definedName name="\k" localSheetId="0">#REF!</definedName>
    <definedName name="\k">#REF!</definedName>
    <definedName name="\l" localSheetId="0">#REF!</definedName>
    <definedName name="\l">#REF!</definedName>
    <definedName name="\m" localSheetId="0">#REF!</definedName>
    <definedName name="\m">#N/A</definedName>
    <definedName name="\P" localSheetId="0">#REF!</definedName>
    <definedName name="\P">#REF!</definedName>
    <definedName name="\q" localSheetId="0">#REF!</definedName>
    <definedName name="\q">#REF!</definedName>
    <definedName name="\s" localSheetId="0">#REF!</definedName>
    <definedName name="\s">#REF!</definedName>
    <definedName name="\u" localSheetId="0">#REF!</definedName>
    <definedName name="\u">#REF!</definedName>
    <definedName name="\v">#N/A</definedName>
    <definedName name="\x" localSheetId="0">#REF!</definedName>
    <definedName name="\x">#REF!</definedName>
    <definedName name="\z" localSheetId="0">#REF!</definedName>
    <definedName name="\z">#N/A</definedName>
    <definedName name="_" localSheetId="0" hidden="1">#REF!</definedName>
    <definedName name="_" hidden="1">#REF!</definedName>
    <definedName name="___________DIV01" localSheetId="0">#REF!</definedName>
    <definedName name="___________DIV01">#REF!</definedName>
    <definedName name="___________DIV86" localSheetId="0">#REF!</definedName>
    <definedName name="___________DIV86">#REF!</definedName>
    <definedName name="___________DIV87" localSheetId="0">#REF!</definedName>
    <definedName name="___________DIV87">#REF!</definedName>
    <definedName name="___________DIV88" localSheetId="0">#REF!</definedName>
    <definedName name="___________DIV88">#REF!</definedName>
    <definedName name="___________DIV89" localSheetId="0">#REF!</definedName>
    <definedName name="___________DIV89">#REF!</definedName>
    <definedName name="___________DIV90" localSheetId="0">#REF!</definedName>
    <definedName name="___________DIV90">#REF!</definedName>
    <definedName name="___________DIV91" localSheetId="0">#REF!</definedName>
    <definedName name="___________DIV91">#REF!</definedName>
    <definedName name="___________DIV92" localSheetId="0">#REF!</definedName>
    <definedName name="___________DIV92">#REF!</definedName>
    <definedName name="___________DIV93" localSheetId="0">#REF!</definedName>
    <definedName name="___________DIV93">#REF!</definedName>
    <definedName name="___________DIV94" localSheetId="0">#REF!</definedName>
    <definedName name="___________DIV94">#REF!</definedName>
    <definedName name="___________DIV95" localSheetId="0">#REF!</definedName>
    <definedName name="___________DIV95">#REF!</definedName>
    <definedName name="___________dps01" localSheetId="0">#REF!</definedName>
    <definedName name="___________dps01">#REF!</definedName>
    <definedName name="___________dps98" localSheetId="0">#REF!</definedName>
    <definedName name="___________dps98">#REF!</definedName>
    <definedName name="___________dps99" localSheetId="0">#REF!</definedName>
    <definedName name="___________dps99">#REF!</definedName>
    <definedName name="___________EPS01" localSheetId="0">#REF!</definedName>
    <definedName name="___________EPS01">#REF!</definedName>
    <definedName name="___________EPS86" localSheetId="0">#REF!</definedName>
    <definedName name="___________EPS86">#REF!</definedName>
    <definedName name="___________EPS87" localSheetId="0">#REF!</definedName>
    <definedName name="___________EPS87">#REF!</definedName>
    <definedName name="___________EPS88" localSheetId="0">#REF!</definedName>
    <definedName name="___________EPS88">#REF!</definedName>
    <definedName name="___________EPS89" localSheetId="0">#REF!</definedName>
    <definedName name="___________EPS89">#REF!</definedName>
    <definedName name="___________EPS90" localSheetId="0">#REF!</definedName>
    <definedName name="___________EPS90">#REF!</definedName>
    <definedName name="___________EPS91" localSheetId="0">#REF!</definedName>
    <definedName name="___________EPS91">#REF!</definedName>
    <definedName name="___________EPS92" localSheetId="0">#REF!</definedName>
    <definedName name="___________EPS92">#REF!</definedName>
    <definedName name="___________EPS93" localSheetId="0">#REF!</definedName>
    <definedName name="___________EPS93">#REF!</definedName>
    <definedName name="___________EPS94" localSheetId="0">#REF!</definedName>
    <definedName name="___________EPS94">#REF!</definedName>
    <definedName name="___________EPS95" localSheetId="0">#REF!</definedName>
    <definedName name="___________EPS95">#REF!</definedName>
    <definedName name="___________EPS96" localSheetId="0">#REF!</definedName>
    <definedName name="___________EPS96">#REF!</definedName>
    <definedName name="___________EPS97" localSheetId="0">#REF!</definedName>
    <definedName name="___________EPS97">#REF!</definedName>
    <definedName name="___________EPS98" localSheetId="0">#REF!</definedName>
    <definedName name="___________EPS98">#REF!</definedName>
    <definedName name="___________gop01" localSheetId="0">#REF!</definedName>
    <definedName name="___________gop01">#REF!</definedName>
    <definedName name="___________gop99" localSheetId="0">#REF!</definedName>
    <definedName name="___________gop99">#REF!</definedName>
    <definedName name="___________mi01" localSheetId="0">#REF!</definedName>
    <definedName name="___________mi01">#REF!</definedName>
    <definedName name="___________mi99" localSheetId="0">#REF!</definedName>
    <definedName name="___________mi99">#REF!</definedName>
    <definedName name="___________NP01" localSheetId="0">#REF!</definedName>
    <definedName name="___________NP01">#REF!</definedName>
    <definedName name="___________NP86" localSheetId="0">#REF!</definedName>
    <definedName name="___________NP86">#REF!</definedName>
    <definedName name="___________NP87" localSheetId="0">#REF!</definedName>
    <definedName name="___________NP87">#REF!</definedName>
    <definedName name="___________NP88" localSheetId="0">#REF!</definedName>
    <definedName name="___________NP88">#REF!</definedName>
    <definedName name="___________NP89" localSheetId="0">#REF!</definedName>
    <definedName name="___________NP89">#REF!</definedName>
    <definedName name="___________NP90" localSheetId="0">#REF!</definedName>
    <definedName name="___________NP90">#REF!</definedName>
    <definedName name="___________NP91" localSheetId="0">#REF!</definedName>
    <definedName name="___________NP91">#REF!</definedName>
    <definedName name="___________NP92" localSheetId="0">#REF!</definedName>
    <definedName name="___________NP92">#REF!</definedName>
    <definedName name="___________NP93" localSheetId="0">#REF!</definedName>
    <definedName name="___________NP93">#REF!</definedName>
    <definedName name="___________NP94" localSheetId="0">#REF!</definedName>
    <definedName name="___________NP94">#REF!</definedName>
    <definedName name="___________NP95" localSheetId="0">#REF!</definedName>
    <definedName name="___________NP95">#REF!</definedName>
    <definedName name="___________NS01" localSheetId="0">#REF!</definedName>
    <definedName name="___________NS01">#REF!</definedName>
    <definedName name="___________NS86" localSheetId="0">#REF!</definedName>
    <definedName name="___________NS86">#REF!</definedName>
    <definedName name="___________NS87" localSheetId="0">#REF!</definedName>
    <definedName name="___________NS87">#REF!</definedName>
    <definedName name="___________NS88" localSheetId="0">#REF!</definedName>
    <definedName name="___________NS88">#REF!</definedName>
    <definedName name="___________NS89" localSheetId="0">#REF!</definedName>
    <definedName name="___________NS89">#REF!</definedName>
    <definedName name="___________NS90" localSheetId="0">#REF!</definedName>
    <definedName name="___________NS90">#REF!</definedName>
    <definedName name="___________NS91" localSheetId="0">#REF!</definedName>
    <definedName name="___________NS91">#REF!</definedName>
    <definedName name="___________NS92" localSheetId="0">#REF!</definedName>
    <definedName name="___________NS92">#REF!</definedName>
    <definedName name="___________NS93" localSheetId="0">#REF!</definedName>
    <definedName name="___________NS93">#REF!</definedName>
    <definedName name="___________NS94" localSheetId="0">#REF!</definedName>
    <definedName name="___________NS94">#REF!</definedName>
    <definedName name="___________NS95" localSheetId="0">#REF!</definedName>
    <definedName name="___________NS95">#REF!</definedName>
    <definedName name="___________PL1" localSheetId="0">#REF!</definedName>
    <definedName name="___________PL1">#REF!</definedName>
    <definedName name="___________pri93" localSheetId="0">#REF!</definedName>
    <definedName name="___________pri93">#REF!</definedName>
    <definedName name="___________pri94" localSheetId="0">#REF!</definedName>
    <definedName name="___________pri94">#REF!</definedName>
    <definedName name="___________pri95" localSheetId="0">#REF!</definedName>
    <definedName name="___________pri95">#REF!</definedName>
    <definedName name="___________pri96" localSheetId="0">#REF!</definedName>
    <definedName name="___________pri96">#REF!</definedName>
    <definedName name="___________pri97" localSheetId="0">#REF!</definedName>
    <definedName name="___________pri97">#REF!</definedName>
    <definedName name="___________REV89" localSheetId="0">#REF!</definedName>
    <definedName name="___________REV89">#REF!</definedName>
    <definedName name="___________REV90" localSheetId="0">#REF!</definedName>
    <definedName name="___________REV90">#REF!</definedName>
    <definedName name="___________REV91" localSheetId="0">#REF!</definedName>
    <definedName name="___________REV91">#REF!</definedName>
    <definedName name="___________REV92" localSheetId="0">#REF!</definedName>
    <definedName name="___________REV92">#REF!</definedName>
    <definedName name="___________REV93" localSheetId="0">#REF!</definedName>
    <definedName name="___________REV93">#REF!</definedName>
    <definedName name="___________REV94" localSheetId="0">#REF!</definedName>
    <definedName name="___________REV94">#REF!</definedName>
    <definedName name="___________REV95" localSheetId="0">#REF!</definedName>
    <definedName name="___________REV95">#REF!</definedName>
    <definedName name="___________REV96" localSheetId="0">#REF!</definedName>
    <definedName name="___________REV96">#REF!</definedName>
    <definedName name="___________REV97" localSheetId="0">#REF!</definedName>
    <definedName name="___________REV97">#REF!</definedName>
    <definedName name="___________REV98" localSheetId="0">#REF!</definedName>
    <definedName name="___________REV98">#REF!</definedName>
    <definedName name="___________tab4" localSheetId="0">#REF!</definedName>
    <definedName name="___________tab4">#REF!</definedName>
    <definedName name="___________tax01" localSheetId="0">#REF!</definedName>
    <definedName name="___________tax01">#REF!</definedName>
    <definedName name="___________tax99" localSheetId="0">#REF!</definedName>
    <definedName name="___________tax99">#REF!</definedName>
    <definedName name="___________vol93" localSheetId="0">#REF!</definedName>
    <definedName name="___________vol93">#REF!</definedName>
    <definedName name="___________vol94" localSheetId="0">#REF!</definedName>
    <definedName name="___________vol94">#REF!</definedName>
    <definedName name="___________vol95" localSheetId="0">#REF!</definedName>
    <definedName name="___________vol95">#REF!</definedName>
    <definedName name="___________vol96" localSheetId="0">#REF!</definedName>
    <definedName name="___________vol96">#REF!</definedName>
    <definedName name="___________vol97" localSheetId="0">#REF!</definedName>
    <definedName name="___________vol97">#REF!</definedName>
    <definedName name="___________WGT1" localSheetId="0">#REF!</definedName>
    <definedName name="___________WGT1">#REF!</definedName>
    <definedName name="___________WGT2" localSheetId="0">#REF!</definedName>
    <definedName name="___________WGT2">#REF!</definedName>
    <definedName name="___________WGT3" localSheetId="0">#REF!</definedName>
    <definedName name="___________WGT3">#REF!</definedName>
    <definedName name="___________WGT4" localSheetId="0">#REF!</definedName>
    <definedName name="___________WGT4">#REF!</definedName>
    <definedName name="___________WGT5" localSheetId="0">#REF!</definedName>
    <definedName name="___________WGT5">#REF!</definedName>
    <definedName name="___________WGT6" localSheetId="0">#REF!</definedName>
    <definedName name="___________WGT6">#REF!</definedName>
    <definedName name="__________DIV01" localSheetId="0">#REF!</definedName>
    <definedName name="__________DIV01">#REF!</definedName>
    <definedName name="__________DIV86" localSheetId="0">#REF!</definedName>
    <definedName name="__________DIV86">#REF!</definedName>
    <definedName name="__________DIV87" localSheetId="0">#REF!</definedName>
    <definedName name="__________DIV87">#REF!</definedName>
    <definedName name="__________DIV88" localSheetId="0">#REF!</definedName>
    <definedName name="__________DIV88">#REF!</definedName>
    <definedName name="__________DIV89" localSheetId="0">#REF!</definedName>
    <definedName name="__________DIV89">#REF!</definedName>
    <definedName name="__________DIV90" localSheetId="0">#REF!</definedName>
    <definedName name="__________DIV90">#REF!</definedName>
    <definedName name="__________DIV91" localSheetId="0">#REF!</definedName>
    <definedName name="__________DIV91">#REF!</definedName>
    <definedName name="__________DIV92" localSheetId="0">#REF!</definedName>
    <definedName name="__________DIV92">#REF!</definedName>
    <definedName name="__________DIV93" localSheetId="0">#REF!</definedName>
    <definedName name="__________DIV93">#REF!</definedName>
    <definedName name="__________DIV94" localSheetId="0">#REF!</definedName>
    <definedName name="__________DIV94">#REF!</definedName>
    <definedName name="__________DIV95" localSheetId="0">#REF!</definedName>
    <definedName name="__________DIV95">#REF!</definedName>
    <definedName name="__________dps01" localSheetId="0">#REF!</definedName>
    <definedName name="__________dps01">#REF!</definedName>
    <definedName name="__________dps98" localSheetId="0">#REF!</definedName>
    <definedName name="__________dps98">#REF!</definedName>
    <definedName name="__________dps99" localSheetId="0">#REF!</definedName>
    <definedName name="__________dps99">#REF!</definedName>
    <definedName name="__________EPS01" localSheetId="0">#REF!</definedName>
    <definedName name="__________EPS01">#REF!</definedName>
    <definedName name="__________EPS86" localSheetId="0">#REF!</definedName>
    <definedName name="__________EPS86">#REF!</definedName>
    <definedName name="__________EPS87" localSheetId="0">#REF!</definedName>
    <definedName name="__________EPS87">#REF!</definedName>
    <definedName name="__________EPS88" localSheetId="0">#REF!</definedName>
    <definedName name="__________EPS88">#REF!</definedName>
    <definedName name="__________EPS89" localSheetId="0">#REF!</definedName>
    <definedName name="__________EPS89">#REF!</definedName>
    <definedName name="__________EPS90" localSheetId="0">#REF!</definedName>
    <definedName name="__________EPS90">#REF!</definedName>
    <definedName name="__________EPS91" localSheetId="0">#REF!</definedName>
    <definedName name="__________EPS91">#REF!</definedName>
    <definedName name="__________EPS92" localSheetId="0">#REF!</definedName>
    <definedName name="__________EPS92">#REF!</definedName>
    <definedName name="__________EPS93" localSheetId="0">#REF!</definedName>
    <definedName name="__________EPS93">#REF!</definedName>
    <definedName name="__________EPS94" localSheetId="0">#REF!</definedName>
    <definedName name="__________EPS94">#REF!</definedName>
    <definedName name="__________EPS95" localSheetId="0">#REF!</definedName>
    <definedName name="__________EPS95">#REF!</definedName>
    <definedName name="__________EPS96" localSheetId="0">#REF!</definedName>
    <definedName name="__________EPS96">#REF!</definedName>
    <definedName name="__________EPS97" localSheetId="0">#REF!</definedName>
    <definedName name="__________EPS97">#REF!</definedName>
    <definedName name="__________EPS98" localSheetId="0">#REF!</definedName>
    <definedName name="__________EPS98">#REF!</definedName>
    <definedName name="__________gop01" localSheetId="0">#REF!</definedName>
    <definedName name="__________gop01">#REF!</definedName>
    <definedName name="__________gop99" localSheetId="0">#REF!</definedName>
    <definedName name="__________gop99">#REF!</definedName>
    <definedName name="__________mi01" localSheetId="0">#REF!</definedName>
    <definedName name="__________mi01">#REF!</definedName>
    <definedName name="__________mi99" localSheetId="0">#REF!</definedName>
    <definedName name="__________mi99">#REF!</definedName>
    <definedName name="__________NP01" localSheetId="0">#REF!</definedName>
    <definedName name="__________NP01">#REF!</definedName>
    <definedName name="__________NP86" localSheetId="0">#REF!</definedName>
    <definedName name="__________NP86">#REF!</definedName>
    <definedName name="__________NP87" localSheetId="0">#REF!</definedName>
    <definedName name="__________NP87">#REF!</definedName>
    <definedName name="__________NP88" localSheetId="0">#REF!</definedName>
    <definedName name="__________NP88">#REF!</definedName>
    <definedName name="__________NP89" localSheetId="0">#REF!</definedName>
    <definedName name="__________NP89">#REF!</definedName>
    <definedName name="__________NP90" localSheetId="0">#REF!</definedName>
    <definedName name="__________NP90">#REF!</definedName>
    <definedName name="__________NP91" localSheetId="0">#REF!</definedName>
    <definedName name="__________NP91">#REF!</definedName>
    <definedName name="__________NP92" localSheetId="0">#REF!</definedName>
    <definedName name="__________NP92">#REF!</definedName>
    <definedName name="__________NP93" localSheetId="0">#REF!</definedName>
    <definedName name="__________NP93">#REF!</definedName>
    <definedName name="__________NP94" localSheetId="0">#REF!</definedName>
    <definedName name="__________NP94">#REF!</definedName>
    <definedName name="__________NP95" localSheetId="0">#REF!</definedName>
    <definedName name="__________NP95">#REF!</definedName>
    <definedName name="__________NS01" localSheetId="0">#REF!</definedName>
    <definedName name="__________NS01">#REF!</definedName>
    <definedName name="__________NS86" localSheetId="0">#REF!</definedName>
    <definedName name="__________NS86">#REF!</definedName>
    <definedName name="__________NS87" localSheetId="0">#REF!</definedName>
    <definedName name="__________NS87">#REF!</definedName>
    <definedName name="__________NS88" localSheetId="0">#REF!</definedName>
    <definedName name="__________NS88">#REF!</definedName>
    <definedName name="__________NS89" localSheetId="0">#REF!</definedName>
    <definedName name="__________NS89">#REF!</definedName>
    <definedName name="__________NS90" localSheetId="0">#REF!</definedName>
    <definedName name="__________NS90">#REF!</definedName>
    <definedName name="__________NS91" localSheetId="0">#REF!</definedName>
    <definedName name="__________NS91">#REF!</definedName>
    <definedName name="__________NS92" localSheetId="0">#REF!</definedName>
    <definedName name="__________NS92">#REF!</definedName>
    <definedName name="__________NS93" localSheetId="0">#REF!</definedName>
    <definedName name="__________NS93">#REF!</definedName>
    <definedName name="__________NS94" localSheetId="0">#REF!</definedName>
    <definedName name="__________NS94">#REF!</definedName>
    <definedName name="__________NS95" localSheetId="0">#REF!</definedName>
    <definedName name="__________NS95">#REF!</definedName>
    <definedName name="__________PL1" localSheetId="0">#REF!</definedName>
    <definedName name="__________PL1">#REF!</definedName>
    <definedName name="__________pri93" localSheetId="0">#REF!</definedName>
    <definedName name="__________pri93">#REF!</definedName>
    <definedName name="__________pri94" localSheetId="0">#REF!</definedName>
    <definedName name="__________pri94">#REF!</definedName>
    <definedName name="__________pri95" localSheetId="0">#REF!</definedName>
    <definedName name="__________pri95">#REF!</definedName>
    <definedName name="__________pri96" localSheetId="0">#REF!</definedName>
    <definedName name="__________pri96">#REF!</definedName>
    <definedName name="__________pri97" localSheetId="0">#REF!</definedName>
    <definedName name="__________pri97">#REF!</definedName>
    <definedName name="__________REV89" localSheetId="0">#REF!</definedName>
    <definedName name="__________REV89">#REF!</definedName>
    <definedName name="__________REV90" localSheetId="0">#REF!</definedName>
    <definedName name="__________REV90">#REF!</definedName>
    <definedName name="__________REV91" localSheetId="0">#REF!</definedName>
    <definedName name="__________REV91">#REF!</definedName>
    <definedName name="__________REV92" localSheetId="0">#REF!</definedName>
    <definedName name="__________REV92">#REF!</definedName>
    <definedName name="__________REV93" localSheetId="0">#REF!</definedName>
    <definedName name="__________REV93">#REF!</definedName>
    <definedName name="__________REV94" localSheetId="0">#REF!</definedName>
    <definedName name="__________REV94">#REF!</definedName>
    <definedName name="__________REV95" localSheetId="0">#REF!</definedName>
    <definedName name="__________REV95">#REF!</definedName>
    <definedName name="__________REV96" localSheetId="0">#REF!</definedName>
    <definedName name="__________REV96">#REF!</definedName>
    <definedName name="__________REV97" localSheetId="0">#REF!</definedName>
    <definedName name="__________REV97">#REF!</definedName>
    <definedName name="__________REV98" localSheetId="0">#REF!</definedName>
    <definedName name="__________REV98">#REF!</definedName>
    <definedName name="__________tab4" localSheetId="0">#REF!</definedName>
    <definedName name="__________tab4">#REF!</definedName>
    <definedName name="__________tax01" localSheetId="0">#REF!</definedName>
    <definedName name="__________tax01">#REF!</definedName>
    <definedName name="__________tax99" localSheetId="0">#REF!</definedName>
    <definedName name="__________tax99">#REF!</definedName>
    <definedName name="__________vol93" localSheetId="0">#REF!</definedName>
    <definedName name="__________vol93">#REF!</definedName>
    <definedName name="__________vol94" localSheetId="0">#REF!</definedName>
    <definedName name="__________vol94">#REF!</definedName>
    <definedName name="__________vol95" localSheetId="0">#REF!</definedName>
    <definedName name="__________vol95">#REF!</definedName>
    <definedName name="__________vol96" localSheetId="0">#REF!</definedName>
    <definedName name="__________vol96">#REF!</definedName>
    <definedName name="__________vol97" localSheetId="0">#REF!</definedName>
    <definedName name="__________vol97">#REF!</definedName>
    <definedName name="__________WGT1" localSheetId="0">#REF!</definedName>
    <definedName name="__________WGT1">#REF!</definedName>
    <definedName name="__________WGT2" localSheetId="0">#REF!</definedName>
    <definedName name="__________WGT2">#REF!</definedName>
    <definedName name="__________WGT3" localSheetId="0">#REF!</definedName>
    <definedName name="__________WGT3">#REF!</definedName>
    <definedName name="__________WGT4" localSheetId="0">#REF!</definedName>
    <definedName name="__________WGT4">#REF!</definedName>
    <definedName name="__________WGT5" localSheetId="0">#REF!</definedName>
    <definedName name="__________WGT5">#REF!</definedName>
    <definedName name="__________WGT6" localSheetId="0">#REF!</definedName>
    <definedName name="__________WGT6">#REF!</definedName>
    <definedName name="_________DIV01" localSheetId="0">#REF!</definedName>
    <definedName name="_________DIV01">#REF!</definedName>
    <definedName name="_________DIV86" localSheetId="0">#REF!</definedName>
    <definedName name="_________DIV86">#REF!</definedName>
    <definedName name="_________DIV87" localSheetId="0">#REF!</definedName>
    <definedName name="_________DIV87">#REF!</definedName>
    <definedName name="_________DIV88" localSheetId="0">#REF!</definedName>
    <definedName name="_________DIV88">#REF!</definedName>
    <definedName name="_________DIV89" localSheetId="0">#REF!</definedName>
    <definedName name="_________DIV89">#REF!</definedName>
    <definedName name="_________DIV90" localSheetId="0">#REF!</definedName>
    <definedName name="_________DIV90">#REF!</definedName>
    <definedName name="_________DIV91" localSheetId="0">#REF!</definedName>
    <definedName name="_________DIV91">#REF!</definedName>
    <definedName name="_________DIV92" localSheetId="0">#REF!</definedName>
    <definedName name="_________DIV92">#REF!</definedName>
    <definedName name="_________DIV93" localSheetId="0">#REF!</definedName>
    <definedName name="_________DIV93">#REF!</definedName>
    <definedName name="_________DIV94" localSheetId="0">#REF!</definedName>
    <definedName name="_________DIV94">#REF!</definedName>
    <definedName name="_________DIV95" localSheetId="0">#REF!</definedName>
    <definedName name="_________DIV95">#REF!</definedName>
    <definedName name="_________dps01" localSheetId="0">#REF!</definedName>
    <definedName name="_________dps01">#REF!</definedName>
    <definedName name="_________dps98" localSheetId="0">#REF!</definedName>
    <definedName name="_________dps98">#REF!</definedName>
    <definedName name="_________dps99" localSheetId="0">#REF!</definedName>
    <definedName name="_________dps99">#REF!</definedName>
    <definedName name="_________EPS01" localSheetId="0">#REF!</definedName>
    <definedName name="_________EPS01">#REF!</definedName>
    <definedName name="_________EPS86" localSheetId="0">#REF!</definedName>
    <definedName name="_________EPS86">#REF!</definedName>
    <definedName name="_________EPS87" localSheetId="0">#REF!</definedName>
    <definedName name="_________EPS87">#REF!</definedName>
    <definedName name="_________EPS88" localSheetId="0">#REF!</definedName>
    <definedName name="_________EPS88">#REF!</definedName>
    <definedName name="_________EPS89" localSheetId="0">#REF!</definedName>
    <definedName name="_________EPS89">#REF!</definedName>
    <definedName name="_________EPS90" localSheetId="0">#REF!</definedName>
    <definedName name="_________EPS90">#REF!</definedName>
    <definedName name="_________EPS91" localSheetId="0">#REF!</definedName>
    <definedName name="_________EPS91">#REF!</definedName>
    <definedName name="_________EPS92" localSheetId="0">#REF!</definedName>
    <definedName name="_________EPS92">#REF!</definedName>
    <definedName name="_________EPS93" localSheetId="0">#REF!</definedName>
    <definedName name="_________EPS93">#REF!</definedName>
    <definedName name="_________EPS94" localSheetId="0">#REF!</definedName>
    <definedName name="_________EPS94">#REF!</definedName>
    <definedName name="_________EPS95" localSheetId="0">#REF!</definedName>
    <definedName name="_________EPS95">#REF!</definedName>
    <definedName name="_________EPS96" localSheetId="0">#REF!</definedName>
    <definedName name="_________EPS96">#REF!</definedName>
    <definedName name="_________EPS97" localSheetId="0">#REF!</definedName>
    <definedName name="_________EPS97">#REF!</definedName>
    <definedName name="_________EPS98" localSheetId="0">#REF!</definedName>
    <definedName name="_________EPS98">#REF!</definedName>
    <definedName name="_________gop01" localSheetId="0">#REF!</definedName>
    <definedName name="_________gop01">#REF!</definedName>
    <definedName name="_________gop99" localSheetId="0">#REF!</definedName>
    <definedName name="_________gop99">#REF!</definedName>
    <definedName name="_________mi01" localSheetId="0">#REF!</definedName>
    <definedName name="_________mi01">#REF!</definedName>
    <definedName name="_________mi99" localSheetId="0">#REF!</definedName>
    <definedName name="_________mi99">#REF!</definedName>
    <definedName name="_________NP01" localSheetId="0">#REF!</definedName>
    <definedName name="_________NP01">#REF!</definedName>
    <definedName name="_________NP86" localSheetId="0">#REF!</definedName>
    <definedName name="_________NP86">#REF!</definedName>
    <definedName name="_________NP87" localSheetId="0">#REF!</definedName>
    <definedName name="_________NP87">#REF!</definedName>
    <definedName name="_________NP88" localSheetId="0">#REF!</definedName>
    <definedName name="_________NP88">#REF!</definedName>
    <definedName name="_________NP89" localSheetId="0">#REF!</definedName>
    <definedName name="_________NP89">#REF!</definedName>
    <definedName name="_________NP90" localSheetId="0">#REF!</definedName>
    <definedName name="_________NP90">#REF!</definedName>
    <definedName name="_________NP91" localSheetId="0">#REF!</definedName>
    <definedName name="_________NP91">#REF!</definedName>
    <definedName name="_________NP92" localSheetId="0">#REF!</definedName>
    <definedName name="_________NP92">#REF!</definedName>
    <definedName name="_________NP93" localSheetId="0">#REF!</definedName>
    <definedName name="_________NP93">#REF!</definedName>
    <definedName name="_________NP94" localSheetId="0">#REF!</definedName>
    <definedName name="_________NP94">#REF!</definedName>
    <definedName name="_________NP95" localSheetId="0">#REF!</definedName>
    <definedName name="_________NP95">#REF!</definedName>
    <definedName name="_________NS01" localSheetId="0">#REF!</definedName>
    <definedName name="_________NS01">#REF!</definedName>
    <definedName name="_________NS86" localSheetId="0">#REF!</definedName>
    <definedName name="_________NS86">#REF!</definedName>
    <definedName name="_________NS87" localSheetId="0">#REF!</definedName>
    <definedName name="_________NS87">#REF!</definedName>
    <definedName name="_________NS88" localSheetId="0">#REF!</definedName>
    <definedName name="_________NS88">#REF!</definedName>
    <definedName name="_________NS89" localSheetId="0">#REF!</definedName>
    <definedName name="_________NS89">#REF!</definedName>
    <definedName name="_________NS90" localSheetId="0">#REF!</definedName>
    <definedName name="_________NS90">#REF!</definedName>
    <definedName name="_________NS91" localSheetId="0">#REF!</definedName>
    <definedName name="_________NS91">#REF!</definedName>
    <definedName name="_________NS92" localSheetId="0">#REF!</definedName>
    <definedName name="_________NS92">#REF!</definedName>
    <definedName name="_________NS93" localSheetId="0">#REF!</definedName>
    <definedName name="_________NS93">#REF!</definedName>
    <definedName name="_________NS94" localSheetId="0">#REF!</definedName>
    <definedName name="_________NS94">#REF!</definedName>
    <definedName name="_________NS95" localSheetId="0">#REF!</definedName>
    <definedName name="_________NS95">#REF!</definedName>
    <definedName name="_________PL1" localSheetId="0">#REF!</definedName>
    <definedName name="_________PL1">#REF!</definedName>
    <definedName name="_________pri93" localSheetId="0">#REF!</definedName>
    <definedName name="_________pri93">#REF!</definedName>
    <definedName name="_________pri94" localSheetId="0">#REF!</definedName>
    <definedName name="_________pri94">#REF!</definedName>
    <definedName name="_________pri95" localSheetId="0">#REF!</definedName>
    <definedName name="_________pri95">#REF!</definedName>
    <definedName name="_________pri96" localSheetId="0">#REF!</definedName>
    <definedName name="_________pri96">#REF!</definedName>
    <definedName name="_________pri97" localSheetId="0">#REF!</definedName>
    <definedName name="_________pri97">#REF!</definedName>
    <definedName name="_________REV89" localSheetId="0">#REF!</definedName>
    <definedName name="_________REV89">#REF!</definedName>
    <definedName name="_________REV90" localSheetId="0">#REF!</definedName>
    <definedName name="_________REV90">#REF!</definedName>
    <definedName name="_________REV91" localSheetId="0">#REF!</definedName>
    <definedName name="_________REV91">#REF!</definedName>
    <definedName name="_________REV92" localSheetId="0">#REF!</definedName>
    <definedName name="_________REV92">#REF!</definedName>
    <definedName name="_________REV93" localSheetId="0">#REF!</definedName>
    <definedName name="_________REV93">#REF!</definedName>
    <definedName name="_________REV94" localSheetId="0">#REF!</definedName>
    <definedName name="_________REV94">#REF!</definedName>
    <definedName name="_________REV95" localSheetId="0">#REF!</definedName>
    <definedName name="_________REV95">#REF!</definedName>
    <definedName name="_________REV96" localSheetId="0">#REF!</definedName>
    <definedName name="_________REV96">#REF!</definedName>
    <definedName name="_________REV97" localSheetId="0">#REF!</definedName>
    <definedName name="_________REV97">#REF!</definedName>
    <definedName name="_________REV98" localSheetId="0">#REF!</definedName>
    <definedName name="_________REV98">#REF!</definedName>
    <definedName name="_________tab4" localSheetId="0">#REF!</definedName>
    <definedName name="_________tab4">#REF!</definedName>
    <definedName name="_________tax01" localSheetId="0">#REF!</definedName>
    <definedName name="_________tax01">#REF!</definedName>
    <definedName name="_________tax99" localSheetId="0">#REF!</definedName>
    <definedName name="_________tax99">#REF!</definedName>
    <definedName name="_________vol93" localSheetId="0">#REF!</definedName>
    <definedName name="_________vol93">#REF!</definedName>
    <definedName name="_________vol94" localSheetId="0">#REF!</definedName>
    <definedName name="_________vol94">#REF!</definedName>
    <definedName name="_________vol95" localSheetId="0">#REF!</definedName>
    <definedName name="_________vol95">#REF!</definedName>
    <definedName name="_________vol96" localSheetId="0">#REF!</definedName>
    <definedName name="_________vol96">#REF!</definedName>
    <definedName name="_________vol97" localSheetId="0">#REF!</definedName>
    <definedName name="_________vol97">#REF!</definedName>
    <definedName name="_________WGT1" localSheetId="0">#REF!</definedName>
    <definedName name="_________WGT1">#REF!</definedName>
    <definedName name="_________WGT2" localSheetId="0">#REF!</definedName>
    <definedName name="_________WGT2">#REF!</definedName>
    <definedName name="_________WGT3" localSheetId="0">#REF!</definedName>
    <definedName name="_________WGT3">#REF!</definedName>
    <definedName name="_________WGT4" localSheetId="0">#REF!</definedName>
    <definedName name="_________WGT4">#REF!</definedName>
    <definedName name="_________WGT5" localSheetId="0">#REF!</definedName>
    <definedName name="_________WGT5">#REF!</definedName>
    <definedName name="_________WGT6" localSheetId="0">#REF!</definedName>
    <definedName name="_________WGT6">#REF!</definedName>
    <definedName name="________DIV01" localSheetId="0">#REF!</definedName>
    <definedName name="________DIV01">#REF!</definedName>
    <definedName name="________DIV86" localSheetId="0">#REF!</definedName>
    <definedName name="________DIV86">#REF!</definedName>
    <definedName name="________DIV87" localSheetId="0">#REF!</definedName>
    <definedName name="________DIV87">#REF!</definedName>
    <definedName name="________DIV88" localSheetId="0">#REF!</definedName>
    <definedName name="________DIV88">#REF!</definedName>
    <definedName name="________DIV89" localSheetId="0">#REF!</definedName>
    <definedName name="________DIV89">#REF!</definedName>
    <definedName name="________DIV90" localSheetId="0">#REF!</definedName>
    <definedName name="________DIV90">#REF!</definedName>
    <definedName name="________DIV91" localSheetId="0">#REF!</definedName>
    <definedName name="________DIV91">#REF!</definedName>
    <definedName name="________DIV92" localSheetId="0">#REF!</definedName>
    <definedName name="________DIV92">#REF!</definedName>
    <definedName name="________DIV93" localSheetId="0">#REF!</definedName>
    <definedName name="________DIV93">#REF!</definedName>
    <definedName name="________DIV94" localSheetId="0">#REF!</definedName>
    <definedName name="________DIV94">#REF!</definedName>
    <definedName name="________DIV95" localSheetId="0">#REF!</definedName>
    <definedName name="________DIV95">#REF!</definedName>
    <definedName name="________dps01" localSheetId="0">#REF!</definedName>
    <definedName name="________dps01">#REF!</definedName>
    <definedName name="________dps98" localSheetId="0">#REF!</definedName>
    <definedName name="________dps98">#REF!</definedName>
    <definedName name="________dps99" localSheetId="0">#REF!</definedName>
    <definedName name="________dps99">#REF!</definedName>
    <definedName name="________EPS01" localSheetId="0">#REF!</definedName>
    <definedName name="________EPS01">#REF!</definedName>
    <definedName name="________EPS86" localSheetId="0">#REF!</definedName>
    <definedName name="________EPS86">#REF!</definedName>
    <definedName name="________EPS87" localSheetId="0">#REF!</definedName>
    <definedName name="________EPS87">#REF!</definedName>
    <definedName name="________EPS88" localSheetId="0">#REF!</definedName>
    <definedName name="________EPS88">#REF!</definedName>
    <definedName name="________EPS89" localSheetId="0">#REF!</definedName>
    <definedName name="________EPS89">#REF!</definedName>
    <definedName name="________EPS90" localSheetId="0">#REF!</definedName>
    <definedName name="________EPS90">#REF!</definedName>
    <definedName name="________EPS91" localSheetId="0">#REF!</definedName>
    <definedName name="________EPS91">#REF!</definedName>
    <definedName name="________EPS92" localSheetId="0">#REF!</definedName>
    <definedName name="________EPS92">#REF!</definedName>
    <definedName name="________EPS93" localSheetId="0">#REF!</definedName>
    <definedName name="________EPS93">#REF!</definedName>
    <definedName name="________EPS94" localSheetId="0">#REF!</definedName>
    <definedName name="________EPS94">#REF!</definedName>
    <definedName name="________EPS95" localSheetId="0">#REF!</definedName>
    <definedName name="________EPS95">#REF!</definedName>
    <definedName name="________EPS96" localSheetId="0">#REF!</definedName>
    <definedName name="________EPS96">#REF!</definedName>
    <definedName name="________EPS97" localSheetId="0">#REF!</definedName>
    <definedName name="________EPS97">#REF!</definedName>
    <definedName name="________EPS98" localSheetId="0">#REF!</definedName>
    <definedName name="________EPS98">#REF!</definedName>
    <definedName name="________gop01" localSheetId="0">#REF!</definedName>
    <definedName name="________gop01">#REF!</definedName>
    <definedName name="________gop99" localSheetId="0">#REF!</definedName>
    <definedName name="________gop99">#REF!</definedName>
    <definedName name="________mi01" localSheetId="0">#REF!</definedName>
    <definedName name="________mi01">#REF!</definedName>
    <definedName name="________mi99" localSheetId="0">#REF!</definedName>
    <definedName name="________mi99">#REF!</definedName>
    <definedName name="________NP01" localSheetId="0">#REF!</definedName>
    <definedName name="________NP01">#REF!</definedName>
    <definedName name="________NP86" localSheetId="0">#REF!</definedName>
    <definedName name="________NP86">#REF!</definedName>
    <definedName name="________NP87" localSheetId="0">#REF!</definedName>
    <definedName name="________NP87">#REF!</definedName>
    <definedName name="________NP88" localSheetId="0">#REF!</definedName>
    <definedName name="________NP88">#REF!</definedName>
    <definedName name="________NP89" localSheetId="0">#REF!</definedName>
    <definedName name="________NP89">#REF!</definedName>
    <definedName name="________NP90" localSheetId="0">#REF!</definedName>
    <definedName name="________NP90">#REF!</definedName>
    <definedName name="________NP91" localSheetId="0">#REF!</definedName>
    <definedName name="________NP91">#REF!</definedName>
    <definedName name="________NP92" localSheetId="0">#REF!</definedName>
    <definedName name="________NP92">#REF!</definedName>
    <definedName name="________NP93" localSheetId="0">#REF!</definedName>
    <definedName name="________NP93">#REF!</definedName>
    <definedName name="________NP94" localSheetId="0">#REF!</definedName>
    <definedName name="________NP94">#REF!</definedName>
    <definedName name="________NP95" localSheetId="0">#REF!</definedName>
    <definedName name="________NP95">#REF!</definedName>
    <definedName name="________NS01" localSheetId="0">#REF!</definedName>
    <definedName name="________NS01">#REF!</definedName>
    <definedName name="________NS86" localSheetId="0">#REF!</definedName>
    <definedName name="________NS86">#REF!</definedName>
    <definedName name="________NS87" localSheetId="0">#REF!</definedName>
    <definedName name="________NS87">#REF!</definedName>
    <definedName name="________NS88" localSheetId="0">#REF!</definedName>
    <definedName name="________NS88">#REF!</definedName>
    <definedName name="________NS89" localSheetId="0">#REF!</definedName>
    <definedName name="________NS89">#REF!</definedName>
    <definedName name="________NS90" localSheetId="0">#REF!</definedName>
    <definedName name="________NS90">#REF!</definedName>
    <definedName name="________NS91" localSheetId="0">#REF!</definedName>
    <definedName name="________NS91">#REF!</definedName>
    <definedName name="________NS92" localSheetId="0">#REF!</definedName>
    <definedName name="________NS92">#REF!</definedName>
    <definedName name="________NS93" localSheetId="0">#REF!</definedName>
    <definedName name="________NS93">#REF!</definedName>
    <definedName name="________NS94" localSheetId="0">#REF!</definedName>
    <definedName name="________NS94">#REF!</definedName>
    <definedName name="________NS95" localSheetId="0">#REF!</definedName>
    <definedName name="________NS95">#REF!</definedName>
    <definedName name="________PL1" localSheetId="0">#REF!</definedName>
    <definedName name="________PL1">#REF!</definedName>
    <definedName name="________pri93" localSheetId="0">#REF!</definedName>
    <definedName name="________pri93">#REF!</definedName>
    <definedName name="________pri94" localSheetId="0">#REF!</definedName>
    <definedName name="________pri94">#REF!</definedName>
    <definedName name="________pri95" localSheetId="0">#REF!</definedName>
    <definedName name="________pri95">#REF!</definedName>
    <definedName name="________pri96" localSheetId="0">#REF!</definedName>
    <definedName name="________pri96">#REF!</definedName>
    <definedName name="________pri97" localSheetId="0">#REF!</definedName>
    <definedName name="________pri97">#REF!</definedName>
    <definedName name="________REV89" localSheetId="0">#REF!</definedName>
    <definedName name="________REV89">#REF!</definedName>
    <definedName name="________REV90" localSheetId="0">#REF!</definedName>
    <definedName name="________REV90">#REF!</definedName>
    <definedName name="________REV91" localSheetId="0">#REF!</definedName>
    <definedName name="________REV91">#REF!</definedName>
    <definedName name="________REV92" localSheetId="0">#REF!</definedName>
    <definedName name="________REV92">#REF!</definedName>
    <definedName name="________REV93" localSheetId="0">#REF!</definedName>
    <definedName name="________REV93">#REF!</definedName>
    <definedName name="________REV94" localSheetId="0">#REF!</definedName>
    <definedName name="________REV94">#REF!</definedName>
    <definedName name="________REV95" localSheetId="0">#REF!</definedName>
    <definedName name="________REV95">#REF!</definedName>
    <definedName name="________REV96" localSheetId="0">#REF!</definedName>
    <definedName name="________REV96">#REF!</definedName>
    <definedName name="________REV97" localSheetId="0">#REF!</definedName>
    <definedName name="________REV97">#REF!</definedName>
    <definedName name="________REV98" localSheetId="0">#REF!</definedName>
    <definedName name="________REV98">#REF!</definedName>
    <definedName name="________tab4" localSheetId="0">#REF!</definedName>
    <definedName name="________tab4">#REF!</definedName>
    <definedName name="________tax01" localSheetId="0">#REF!</definedName>
    <definedName name="________tax01">#REF!</definedName>
    <definedName name="________tax99" localSheetId="0">#REF!</definedName>
    <definedName name="________tax99">#REF!</definedName>
    <definedName name="________vol93" localSheetId="0">#REF!</definedName>
    <definedName name="________vol93">#REF!</definedName>
    <definedName name="________vol94" localSheetId="0">#REF!</definedName>
    <definedName name="________vol94">#REF!</definedName>
    <definedName name="________vol95" localSheetId="0">#REF!</definedName>
    <definedName name="________vol95">#REF!</definedName>
    <definedName name="________vol96" localSheetId="0">#REF!</definedName>
    <definedName name="________vol96">#REF!</definedName>
    <definedName name="________vol97" localSheetId="0">#REF!</definedName>
    <definedName name="________vol97">#REF!</definedName>
    <definedName name="________WGT1" localSheetId="0">#REF!</definedName>
    <definedName name="________WGT1">#REF!</definedName>
    <definedName name="________WGT2" localSheetId="0">#REF!</definedName>
    <definedName name="________WGT2">#REF!</definedName>
    <definedName name="________WGT3" localSheetId="0">#REF!</definedName>
    <definedName name="________WGT3">#REF!</definedName>
    <definedName name="________WGT4" localSheetId="0">#REF!</definedName>
    <definedName name="________WGT4">#REF!</definedName>
    <definedName name="________WGT5" localSheetId="0">#REF!</definedName>
    <definedName name="________WGT5">#REF!</definedName>
    <definedName name="________WGT6" localSheetId="0">#REF!</definedName>
    <definedName name="________WGT6">#REF!</definedName>
    <definedName name="_______DIV01" localSheetId="0">#REF!</definedName>
    <definedName name="_______DIV01">#REF!</definedName>
    <definedName name="_______DIV86" localSheetId="0">#REF!</definedName>
    <definedName name="_______DIV86">#REF!</definedName>
    <definedName name="_______DIV87" localSheetId="0">#REF!</definedName>
    <definedName name="_______DIV87">#REF!</definedName>
    <definedName name="_______DIV88" localSheetId="0">#REF!</definedName>
    <definedName name="_______DIV88">#REF!</definedName>
    <definedName name="_______DIV89" localSheetId="0">#REF!</definedName>
    <definedName name="_______DIV89">#REF!</definedName>
    <definedName name="_______DIV90" localSheetId="0">#REF!</definedName>
    <definedName name="_______DIV90">#REF!</definedName>
    <definedName name="_______DIV91" localSheetId="0">#REF!</definedName>
    <definedName name="_______DIV91">#REF!</definedName>
    <definedName name="_______DIV92" localSheetId="0">#REF!</definedName>
    <definedName name="_______DIV92">#REF!</definedName>
    <definedName name="_______DIV93" localSheetId="0">#REF!</definedName>
    <definedName name="_______DIV93">#REF!</definedName>
    <definedName name="_______DIV94" localSheetId="0">#REF!</definedName>
    <definedName name="_______DIV94">#REF!</definedName>
    <definedName name="_______DIV95" localSheetId="0">#REF!</definedName>
    <definedName name="_______DIV95">#REF!</definedName>
    <definedName name="_______dps01" localSheetId="0">#REF!</definedName>
    <definedName name="_______dps01">#REF!</definedName>
    <definedName name="_______dps98" localSheetId="0">#REF!</definedName>
    <definedName name="_______dps98">#REF!</definedName>
    <definedName name="_______dps99" localSheetId="0">#REF!</definedName>
    <definedName name="_______dps99">#REF!</definedName>
    <definedName name="_______EPS01" localSheetId="0">#REF!</definedName>
    <definedName name="_______EPS01">#REF!</definedName>
    <definedName name="_______EPS86" localSheetId="0">#REF!</definedName>
    <definedName name="_______EPS86">#REF!</definedName>
    <definedName name="_______EPS87" localSheetId="0">#REF!</definedName>
    <definedName name="_______EPS87">#REF!</definedName>
    <definedName name="_______EPS88" localSheetId="0">#REF!</definedName>
    <definedName name="_______EPS88">#REF!</definedName>
    <definedName name="_______EPS89" localSheetId="0">#REF!</definedName>
    <definedName name="_______EPS89">#REF!</definedName>
    <definedName name="_______EPS90" localSheetId="0">#REF!</definedName>
    <definedName name="_______EPS90">#REF!</definedName>
    <definedName name="_______EPS91" localSheetId="0">#REF!</definedName>
    <definedName name="_______EPS91">#REF!</definedName>
    <definedName name="_______EPS92" localSheetId="0">#REF!</definedName>
    <definedName name="_______EPS92">#REF!</definedName>
    <definedName name="_______EPS93" localSheetId="0">#REF!</definedName>
    <definedName name="_______EPS93">#REF!</definedName>
    <definedName name="_______EPS94" localSheetId="0">#REF!</definedName>
    <definedName name="_______EPS94">#REF!</definedName>
    <definedName name="_______EPS95" localSheetId="0">#REF!</definedName>
    <definedName name="_______EPS95">#REF!</definedName>
    <definedName name="_______EPS96" localSheetId="0">#REF!</definedName>
    <definedName name="_______EPS96">#REF!</definedName>
    <definedName name="_______EPS97" localSheetId="0">#REF!</definedName>
    <definedName name="_______EPS97">#REF!</definedName>
    <definedName name="_______EPS98" localSheetId="0">#REF!</definedName>
    <definedName name="_______EPS98">#REF!</definedName>
    <definedName name="_______gop01" localSheetId="0">#REF!</definedName>
    <definedName name="_______gop01">#REF!</definedName>
    <definedName name="_______gop99" localSheetId="0">#REF!</definedName>
    <definedName name="_______gop99">#REF!</definedName>
    <definedName name="_______mi01" localSheetId="0">#REF!</definedName>
    <definedName name="_______mi01">#REF!</definedName>
    <definedName name="_______mi99" localSheetId="0">#REF!</definedName>
    <definedName name="_______mi99">#REF!</definedName>
    <definedName name="_______NP01" localSheetId="0">#REF!</definedName>
    <definedName name="_______NP01">#REF!</definedName>
    <definedName name="_______NP86" localSheetId="0">#REF!</definedName>
    <definedName name="_______NP86">#REF!</definedName>
    <definedName name="_______NP87" localSheetId="0">#REF!</definedName>
    <definedName name="_______NP87">#REF!</definedName>
    <definedName name="_______NP88" localSheetId="0">#REF!</definedName>
    <definedName name="_______NP88">#REF!</definedName>
    <definedName name="_______NP89" localSheetId="0">#REF!</definedName>
    <definedName name="_______NP89">#REF!</definedName>
    <definedName name="_______NP90" localSheetId="0">#REF!</definedName>
    <definedName name="_______NP90">#REF!</definedName>
    <definedName name="_______NP91" localSheetId="0">#REF!</definedName>
    <definedName name="_______NP91">#REF!</definedName>
    <definedName name="_______NP92" localSheetId="0">#REF!</definedName>
    <definedName name="_______NP92">#REF!</definedName>
    <definedName name="_______NP93" localSheetId="0">#REF!</definedName>
    <definedName name="_______NP93">#REF!</definedName>
    <definedName name="_______NP94" localSheetId="0">#REF!</definedName>
    <definedName name="_______NP94">#REF!</definedName>
    <definedName name="_______NP95" localSheetId="0">#REF!</definedName>
    <definedName name="_______NP95">#REF!</definedName>
    <definedName name="_______NS01" localSheetId="0">#REF!</definedName>
    <definedName name="_______NS01">#REF!</definedName>
    <definedName name="_______NS86" localSheetId="0">#REF!</definedName>
    <definedName name="_______NS86">#REF!</definedName>
    <definedName name="_______NS87" localSheetId="0">#REF!</definedName>
    <definedName name="_______NS87">#REF!</definedName>
    <definedName name="_______NS88" localSheetId="0">#REF!</definedName>
    <definedName name="_______NS88">#REF!</definedName>
    <definedName name="_______NS89" localSheetId="0">#REF!</definedName>
    <definedName name="_______NS89">#REF!</definedName>
    <definedName name="_______NS90" localSheetId="0">#REF!</definedName>
    <definedName name="_______NS90">#REF!</definedName>
    <definedName name="_______NS91" localSheetId="0">#REF!</definedName>
    <definedName name="_______NS91">#REF!</definedName>
    <definedName name="_______NS92" localSheetId="0">#REF!</definedName>
    <definedName name="_______NS92">#REF!</definedName>
    <definedName name="_______NS93" localSheetId="0">#REF!</definedName>
    <definedName name="_______NS93">#REF!</definedName>
    <definedName name="_______NS94" localSheetId="0">#REF!</definedName>
    <definedName name="_______NS94">#REF!</definedName>
    <definedName name="_______NS95" localSheetId="0">#REF!</definedName>
    <definedName name="_______NS95">#REF!</definedName>
    <definedName name="_______PL1" localSheetId="0">#REF!</definedName>
    <definedName name="_______PL1">#REF!</definedName>
    <definedName name="_______pri93" localSheetId="0">#REF!</definedName>
    <definedName name="_______pri93">#REF!</definedName>
    <definedName name="_______pri94" localSheetId="0">#REF!</definedName>
    <definedName name="_______pri94">#REF!</definedName>
    <definedName name="_______pri95" localSheetId="0">#REF!</definedName>
    <definedName name="_______pri95">#REF!</definedName>
    <definedName name="_______pri96" localSheetId="0">#REF!</definedName>
    <definedName name="_______pri96">#REF!</definedName>
    <definedName name="_______pri97" localSheetId="0">#REF!</definedName>
    <definedName name="_______pri97">#REF!</definedName>
    <definedName name="_______REV89" localSheetId="0">#REF!</definedName>
    <definedName name="_______REV89">#REF!</definedName>
    <definedName name="_______REV90" localSheetId="0">#REF!</definedName>
    <definedName name="_______REV90">#REF!</definedName>
    <definedName name="_______REV91" localSheetId="0">#REF!</definedName>
    <definedName name="_______REV91">#REF!</definedName>
    <definedName name="_______REV92" localSheetId="0">#REF!</definedName>
    <definedName name="_______REV92">#REF!</definedName>
    <definedName name="_______REV93" localSheetId="0">#REF!</definedName>
    <definedName name="_______REV93">#REF!</definedName>
    <definedName name="_______REV94" localSheetId="0">#REF!</definedName>
    <definedName name="_______REV94">#REF!</definedName>
    <definedName name="_______REV95" localSheetId="0">#REF!</definedName>
    <definedName name="_______REV95">#REF!</definedName>
    <definedName name="_______REV96" localSheetId="0">#REF!</definedName>
    <definedName name="_______REV96">#REF!</definedName>
    <definedName name="_______REV97" localSheetId="0">#REF!</definedName>
    <definedName name="_______REV97">#REF!</definedName>
    <definedName name="_______REV98" localSheetId="0">#REF!</definedName>
    <definedName name="_______REV98">#REF!</definedName>
    <definedName name="_______tab4" localSheetId="0">#REF!</definedName>
    <definedName name="_______tab4">#REF!</definedName>
    <definedName name="_______tax01" localSheetId="0">#REF!</definedName>
    <definedName name="_______tax01">#REF!</definedName>
    <definedName name="_______tax99" localSheetId="0">#REF!</definedName>
    <definedName name="_______tax99">#REF!</definedName>
    <definedName name="_______vol93" localSheetId="0">#REF!</definedName>
    <definedName name="_______vol93">#REF!</definedName>
    <definedName name="_______vol94" localSheetId="0">#REF!</definedName>
    <definedName name="_______vol94">#REF!</definedName>
    <definedName name="_______vol95" localSheetId="0">#REF!</definedName>
    <definedName name="_______vol95">#REF!</definedName>
    <definedName name="_______vol96" localSheetId="0">#REF!</definedName>
    <definedName name="_______vol96">#REF!</definedName>
    <definedName name="_______vol97" localSheetId="0">#REF!</definedName>
    <definedName name="_______vol97">#REF!</definedName>
    <definedName name="_______WGT1" localSheetId="0">#REF!</definedName>
    <definedName name="_______WGT1">#REF!</definedName>
    <definedName name="_______WGT2" localSheetId="0">#REF!</definedName>
    <definedName name="_______WGT2">#REF!</definedName>
    <definedName name="_______WGT3" localSheetId="0">#REF!</definedName>
    <definedName name="_______WGT3">#REF!</definedName>
    <definedName name="_______WGT4" localSheetId="0">#REF!</definedName>
    <definedName name="_______WGT4">#REF!</definedName>
    <definedName name="_______WGT5" localSheetId="0">#REF!</definedName>
    <definedName name="_______WGT5">#REF!</definedName>
    <definedName name="_______WGT6" localSheetId="0">#REF!</definedName>
    <definedName name="_______WGT6">#REF!</definedName>
    <definedName name="______DIV01" localSheetId="0">#REF!</definedName>
    <definedName name="______DIV01">#REF!</definedName>
    <definedName name="______DIV86" localSheetId="0">#REF!</definedName>
    <definedName name="______DIV86">#REF!</definedName>
    <definedName name="______DIV87" localSheetId="0">#REF!</definedName>
    <definedName name="______DIV87">#REF!</definedName>
    <definedName name="______DIV88" localSheetId="0">#REF!</definedName>
    <definedName name="______DIV88">#REF!</definedName>
    <definedName name="______DIV89" localSheetId="0">#REF!</definedName>
    <definedName name="______DIV89">#REF!</definedName>
    <definedName name="______DIV90" localSheetId="0">#REF!</definedName>
    <definedName name="______DIV90">#REF!</definedName>
    <definedName name="______DIV91" localSheetId="0">#REF!</definedName>
    <definedName name="______DIV91">#REF!</definedName>
    <definedName name="______DIV92" localSheetId="0">#REF!</definedName>
    <definedName name="______DIV92">#REF!</definedName>
    <definedName name="______DIV93" localSheetId="0">#REF!</definedName>
    <definedName name="______DIV93">#REF!</definedName>
    <definedName name="______DIV94" localSheetId="0">#REF!</definedName>
    <definedName name="______DIV94">#REF!</definedName>
    <definedName name="______DIV95" localSheetId="0">#REF!</definedName>
    <definedName name="______DIV95">#REF!</definedName>
    <definedName name="______dps01" localSheetId="0">#REF!</definedName>
    <definedName name="______dps01">#REF!</definedName>
    <definedName name="______dps98" localSheetId="0">#REF!</definedName>
    <definedName name="______dps98">#REF!</definedName>
    <definedName name="______dps99" localSheetId="0">#REF!</definedName>
    <definedName name="______dps99">#REF!</definedName>
    <definedName name="______EPS01" localSheetId="0">#REF!</definedName>
    <definedName name="______EPS01">#REF!</definedName>
    <definedName name="______EPS86" localSheetId="0">#REF!</definedName>
    <definedName name="______EPS86">#REF!</definedName>
    <definedName name="______EPS87" localSheetId="0">#REF!</definedName>
    <definedName name="______EPS87">#REF!</definedName>
    <definedName name="______EPS88" localSheetId="0">#REF!</definedName>
    <definedName name="______EPS88">#REF!</definedName>
    <definedName name="______EPS89" localSheetId="0">#REF!</definedName>
    <definedName name="______EPS89">#REF!</definedName>
    <definedName name="______EPS90" localSheetId="0">#REF!</definedName>
    <definedName name="______EPS90">#REF!</definedName>
    <definedName name="______EPS91" localSheetId="0">#REF!</definedName>
    <definedName name="______EPS91">#REF!</definedName>
    <definedName name="______EPS92" localSheetId="0">#REF!</definedName>
    <definedName name="______EPS92">#REF!</definedName>
    <definedName name="______EPS93" localSheetId="0">#REF!</definedName>
    <definedName name="______EPS93">#REF!</definedName>
    <definedName name="______EPS94" localSheetId="0">#REF!</definedName>
    <definedName name="______EPS94">#REF!</definedName>
    <definedName name="______EPS95" localSheetId="0">#REF!</definedName>
    <definedName name="______EPS95">#REF!</definedName>
    <definedName name="______EPS96" localSheetId="0">#REF!</definedName>
    <definedName name="______EPS96">#REF!</definedName>
    <definedName name="______EPS97" localSheetId="0">#REF!</definedName>
    <definedName name="______EPS97">#REF!</definedName>
    <definedName name="______EPS98" localSheetId="0">#REF!</definedName>
    <definedName name="______EPS98">#REF!</definedName>
    <definedName name="______gop01" localSheetId="0">#REF!</definedName>
    <definedName name="______gop01">#REF!</definedName>
    <definedName name="______gop99" localSheetId="0">#REF!</definedName>
    <definedName name="______gop99">#REF!</definedName>
    <definedName name="______mi01" localSheetId="0">#REF!</definedName>
    <definedName name="______mi01">#REF!</definedName>
    <definedName name="______mi99" localSheetId="0">#REF!</definedName>
    <definedName name="______mi99">#REF!</definedName>
    <definedName name="______NP01" localSheetId="0">#REF!</definedName>
    <definedName name="______NP01">#REF!</definedName>
    <definedName name="______NP86" localSheetId="0">#REF!</definedName>
    <definedName name="______NP86">#REF!</definedName>
    <definedName name="______NP87" localSheetId="0">#REF!</definedName>
    <definedName name="______NP87">#REF!</definedName>
    <definedName name="______NP88" localSheetId="0">#REF!</definedName>
    <definedName name="______NP88">#REF!</definedName>
    <definedName name="______NP89" localSheetId="0">#REF!</definedName>
    <definedName name="______NP89">#REF!</definedName>
    <definedName name="______NP90" localSheetId="0">#REF!</definedName>
    <definedName name="______NP90">#REF!</definedName>
    <definedName name="______NP91" localSheetId="0">#REF!</definedName>
    <definedName name="______NP91">#REF!</definedName>
    <definedName name="______NP92" localSheetId="0">#REF!</definedName>
    <definedName name="______NP92">#REF!</definedName>
    <definedName name="______NP93" localSheetId="0">#REF!</definedName>
    <definedName name="______NP93">#REF!</definedName>
    <definedName name="______NP94" localSheetId="0">#REF!</definedName>
    <definedName name="______NP94">#REF!</definedName>
    <definedName name="______NP95" localSheetId="0">#REF!</definedName>
    <definedName name="______NP95">#REF!</definedName>
    <definedName name="______NS01" localSheetId="0">#REF!</definedName>
    <definedName name="______NS01">#REF!</definedName>
    <definedName name="______NS86" localSheetId="0">#REF!</definedName>
    <definedName name="______NS86">#REF!</definedName>
    <definedName name="______NS87" localSheetId="0">#REF!</definedName>
    <definedName name="______NS87">#REF!</definedName>
    <definedName name="______NS88" localSheetId="0">#REF!</definedName>
    <definedName name="______NS88">#REF!</definedName>
    <definedName name="______NS89" localSheetId="0">#REF!</definedName>
    <definedName name="______NS89">#REF!</definedName>
    <definedName name="______NS90" localSheetId="0">#REF!</definedName>
    <definedName name="______NS90">#REF!</definedName>
    <definedName name="______NS91" localSheetId="0">#REF!</definedName>
    <definedName name="______NS91">#REF!</definedName>
    <definedName name="______NS92" localSheetId="0">#REF!</definedName>
    <definedName name="______NS92">#REF!</definedName>
    <definedName name="______NS93" localSheetId="0">#REF!</definedName>
    <definedName name="______NS93">#REF!</definedName>
    <definedName name="______NS94" localSheetId="0">#REF!</definedName>
    <definedName name="______NS94">#REF!</definedName>
    <definedName name="______NS95" localSheetId="0">#REF!</definedName>
    <definedName name="______NS95">#REF!</definedName>
    <definedName name="______PL1" localSheetId="0">#REF!</definedName>
    <definedName name="______PL1">#REF!</definedName>
    <definedName name="______pri93" localSheetId="0">#REF!</definedName>
    <definedName name="______pri93">#REF!</definedName>
    <definedName name="______pri94" localSheetId="0">#REF!</definedName>
    <definedName name="______pri94">#REF!</definedName>
    <definedName name="______pri95" localSheetId="0">#REF!</definedName>
    <definedName name="______pri95">#REF!</definedName>
    <definedName name="______pri96" localSheetId="0">#REF!</definedName>
    <definedName name="______pri96">#REF!</definedName>
    <definedName name="______pri97" localSheetId="0">#REF!</definedName>
    <definedName name="______pri97">#REF!</definedName>
    <definedName name="______REV89" localSheetId="0">#REF!</definedName>
    <definedName name="______REV89">#REF!</definedName>
    <definedName name="______REV90" localSheetId="0">#REF!</definedName>
    <definedName name="______REV90">#REF!</definedName>
    <definedName name="______REV91" localSheetId="0">#REF!</definedName>
    <definedName name="______REV91">#REF!</definedName>
    <definedName name="______REV92" localSheetId="0">#REF!</definedName>
    <definedName name="______REV92">#REF!</definedName>
    <definedName name="______REV93" localSheetId="0">#REF!</definedName>
    <definedName name="______REV93">#REF!</definedName>
    <definedName name="______REV94" localSheetId="0">#REF!</definedName>
    <definedName name="______REV94">#REF!</definedName>
    <definedName name="______REV95" localSheetId="0">#REF!</definedName>
    <definedName name="______REV95">#REF!</definedName>
    <definedName name="______REV96" localSheetId="0">#REF!</definedName>
    <definedName name="______REV96">#REF!</definedName>
    <definedName name="______REV97" localSheetId="0">#REF!</definedName>
    <definedName name="______REV97">#REF!</definedName>
    <definedName name="______REV98" localSheetId="0">#REF!</definedName>
    <definedName name="______REV98">#REF!</definedName>
    <definedName name="______tab4" localSheetId="0">#REF!</definedName>
    <definedName name="______tab4">#REF!</definedName>
    <definedName name="______tax01" localSheetId="0">#REF!</definedName>
    <definedName name="______tax01">#REF!</definedName>
    <definedName name="______tax99" localSheetId="0">#REF!</definedName>
    <definedName name="______tax99">#REF!</definedName>
    <definedName name="______vol93" localSheetId="0">#REF!</definedName>
    <definedName name="______vol93">#REF!</definedName>
    <definedName name="______vol94" localSheetId="0">#REF!</definedName>
    <definedName name="______vol94">#REF!</definedName>
    <definedName name="______vol95" localSheetId="0">#REF!</definedName>
    <definedName name="______vol95">#REF!</definedName>
    <definedName name="______vol96" localSheetId="0">#REF!</definedName>
    <definedName name="______vol96">#REF!</definedName>
    <definedName name="______vol97" localSheetId="0">#REF!</definedName>
    <definedName name="______vol97">#REF!</definedName>
    <definedName name="______WGT1" localSheetId="0">#REF!</definedName>
    <definedName name="______WGT1">#REF!</definedName>
    <definedName name="______WGT2" localSheetId="0">#REF!</definedName>
    <definedName name="______WGT2">#REF!</definedName>
    <definedName name="______WGT3" localSheetId="0">#REF!</definedName>
    <definedName name="______WGT3">#REF!</definedName>
    <definedName name="______WGT4" localSheetId="0">#REF!</definedName>
    <definedName name="______WGT4">#REF!</definedName>
    <definedName name="______WGT5" localSheetId="0">#REF!</definedName>
    <definedName name="______WGT5">#REF!</definedName>
    <definedName name="______WGT6" localSheetId="0">#REF!</definedName>
    <definedName name="______WGT6">#REF!</definedName>
    <definedName name="_____DIV01" localSheetId="0">#REF!</definedName>
    <definedName name="_____DIV01">#REF!</definedName>
    <definedName name="_____DIV86" localSheetId="0">#REF!</definedName>
    <definedName name="_____DIV86">#REF!</definedName>
    <definedName name="_____DIV87" localSheetId="0">#REF!</definedName>
    <definedName name="_____DIV87">#REF!</definedName>
    <definedName name="_____DIV88" localSheetId="0">#REF!</definedName>
    <definedName name="_____DIV88">#REF!</definedName>
    <definedName name="_____DIV89" localSheetId="0">#REF!</definedName>
    <definedName name="_____DIV89">#REF!</definedName>
    <definedName name="_____DIV90" localSheetId="0">#REF!</definedName>
    <definedName name="_____DIV90">#REF!</definedName>
    <definedName name="_____DIV91" localSheetId="0">#REF!</definedName>
    <definedName name="_____DIV91">#REF!</definedName>
    <definedName name="_____DIV92" localSheetId="0">#REF!</definedName>
    <definedName name="_____DIV92">#REF!</definedName>
    <definedName name="_____DIV93" localSheetId="0">#REF!</definedName>
    <definedName name="_____DIV93">#REF!</definedName>
    <definedName name="_____DIV94" localSheetId="0">#REF!</definedName>
    <definedName name="_____DIV94">#REF!</definedName>
    <definedName name="_____DIV95" localSheetId="0">#REF!</definedName>
    <definedName name="_____DIV95">#REF!</definedName>
    <definedName name="_____dps01" localSheetId="0">#REF!</definedName>
    <definedName name="_____dps01">#REF!</definedName>
    <definedName name="_____dps98" localSheetId="0">#REF!</definedName>
    <definedName name="_____dps98">#REF!</definedName>
    <definedName name="_____dps99" localSheetId="0">#REF!</definedName>
    <definedName name="_____dps99">#REF!</definedName>
    <definedName name="_____EPS01" localSheetId="0">#REF!</definedName>
    <definedName name="_____EPS01">#REF!</definedName>
    <definedName name="_____EPS86" localSheetId="0">#REF!</definedName>
    <definedName name="_____EPS86">#REF!</definedName>
    <definedName name="_____EPS87" localSheetId="0">#REF!</definedName>
    <definedName name="_____EPS87">#REF!</definedName>
    <definedName name="_____EPS88" localSheetId="0">#REF!</definedName>
    <definedName name="_____EPS88">#REF!</definedName>
    <definedName name="_____EPS89" localSheetId="0">#REF!</definedName>
    <definedName name="_____EPS89">#REF!</definedName>
    <definedName name="_____EPS90" localSheetId="0">#REF!</definedName>
    <definedName name="_____EPS90">#REF!</definedName>
    <definedName name="_____EPS91" localSheetId="0">#REF!</definedName>
    <definedName name="_____EPS91">#REF!</definedName>
    <definedName name="_____EPS92" localSheetId="0">#REF!</definedName>
    <definedName name="_____EPS92">#REF!</definedName>
    <definedName name="_____EPS93" localSheetId="0">#REF!</definedName>
    <definedName name="_____EPS93">#REF!</definedName>
    <definedName name="_____EPS94" localSheetId="0">#REF!</definedName>
    <definedName name="_____EPS94">#REF!</definedName>
    <definedName name="_____EPS95" localSheetId="0">#REF!</definedName>
    <definedName name="_____EPS95">#REF!</definedName>
    <definedName name="_____EPS96" localSheetId="0">#REF!</definedName>
    <definedName name="_____EPS96">#REF!</definedName>
    <definedName name="_____EPS97" localSheetId="0">#REF!</definedName>
    <definedName name="_____EPS97">#REF!</definedName>
    <definedName name="_____EPS98" localSheetId="0">#REF!</definedName>
    <definedName name="_____EPS98">#REF!</definedName>
    <definedName name="_____gop01" localSheetId="0">#REF!</definedName>
    <definedName name="_____gop01">#REF!</definedName>
    <definedName name="_____gop99" localSheetId="0">#REF!</definedName>
    <definedName name="_____gop99">#REF!</definedName>
    <definedName name="_____mi01" localSheetId="0">#REF!</definedName>
    <definedName name="_____mi01">#REF!</definedName>
    <definedName name="_____mi99" localSheetId="0">#REF!</definedName>
    <definedName name="_____mi99">#REF!</definedName>
    <definedName name="_____NP01" localSheetId="0">#REF!</definedName>
    <definedName name="_____NP01">#REF!</definedName>
    <definedName name="_____NP86" localSheetId="0">#REF!</definedName>
    <definedName name="_____NP86">#REF!</definedName>
    <definedName name="_____NP87" localSheetId="0">#REF!</definedName>
    <definedName name="_____NP87">#REF!</definedName>
    <definedName name="_____NP88" localSheetId="0">#REF!</definedName>
    <definedName name="_____NP88">#REF!</definedName>
    <definedName name="_____NP89" localSheetId="0">#REF!</definedName>
    <definedName name="_____NP89">#REF!</definedName>
    <definedName name="_____NP90" localSheetId="0">#REF!</definedName>
    <definedName name="_____NP90">#REF!</definedName>
    <definedName name="_____NP91" localSheetId="0">#REF!</definedName>
    <definedName name="_____NP91">#REF!</definedName>
    <definedName name="_____NP92" localSheetId="0">#REF!</definedName>
    <definedName name="_____NP92">#REF!</definedName>
    <definedName name="_____NP93" localSheetId="0">#REF!</definedName>
    <definedName name="_____NP93">#REF!</definedName>
    <definedName name="_____NP94" localSheetId="0">#REF!</definedName>
    <definedName name="_____NP94">#REF!</definedName>
    <definedName name="_____NP95" localSheetId="0">#REF!</definedName>
    <definedName name="_____NP95">#REF!</definedName>
    <definedName name="_____NS01" localSheetId="0">#REF!</definedName>
    <definedName name="_____NS01">#REF!</definedName>
    <definedName name="_____NS86" localSheetId="0">#REF!</definedName>
    <definedName name="_____NS86">#REF!</definedName>
    <definedName name="_____NS87" localSheetId="0">#REF!</definedName>
    <definedName name="_____NS87">#REF!</definedName>
    <definedName name="_____NS88" localSheetId="0">#REF!</definedName>
    <definedName name="_____NS88">#REF!</definedName>
    <definedName name="_____NS89" localSheetId="0">#REF!</definedName>
    <definedName name="_____NS89">#REF!</definedName>
    <definedName name="_____NS90" localSheetId="0">#REF!</definedName>
    <definedName name="_____NS90">#REF!</definedName>
    <definedName name="_____NS91" localSheetId="0">#REF!</definedName>
    <definedName name="_____NS91">#REF!</definedName>
    <definedName name="_____NS92" localSheetId="0">#REF!</definedName>
    <definedName name="_____NS92">#REF!</definedName>
    <definedName name="_____NS93" localSheetId="0">#REF!</definedName>
    <definedName name="_____NS93">#REF!</definedName>
    <definedName name="_____NS94" localSheetId="0">#REF!</definedName>
    <definedName name="_____NS94">#REF!</definedName>
    <definedName name="_____NS95" localSheetId="0">#REF!</definedName>
    <definedName name="_____NS95">#REF!</definedName>
    <definedName name="_____PL1" localSheetId="0">#REF!</definedName>
    <definedName name="_____PL1">#REF!</definedName>
    <definedName name="_____pri93" localSheetId="0">#REF!</definedName>
    <definedName name="_____pri93">#REF!</definedName>
    <definedName name="_____pri94" localSheetId="0">#REF!</definedName>
    <definedName name="_____pri94">#REF!</definedName>
    <definedName name="_____pri95" localSheetId="0">#REF!</definedName>
    <definedName name="_____pri95">#REF!</definedName>
    <definedName name="_____pri96" localSheetId="0">#REF!</definedName>
    <definedName name="_____pri96">#REF!</definedName>
    <definedName name="_____pri97" localSheetId="0">#REF!</definedName>
    <definedName name="_____pri97">#REF!</definedName>
    <definedName name="_____REV89" localSheetId="0">#REF!</definedName>
    <definedName name="_____REV89">#REF!</definedName>
    <definedName name="_____REV90" localSheetId="0">#REF!</definedName>
    <definedName name="_____REV90">#REF!</definedName>
    <definedName name="_____REV91" localSheetId="0">#REF!</definedName>
    <definedName name="_____REV91">#REF!</definedName>
    <definedName name="_____REV92" localSheetId="0">#REF!</definedName>
    <definedName name="_____REV92">#REF!</definedName>
    <definedName name="_____REV93" localSheetId="0">#REF!</definedName>
    <definedName name="_____REV93">#REF!</definedName>
    <definedName name="_____REV94" localSheetId="0">#REF!</definedName>
    <definedName name="_____REV94">#REF!</definedName>
    <definedName name="_____REV95" localSheetId="0">#REF!</definedName>
    <definedName name="_____REV95">#REF!</definedName>
    <definedName name="_____REV96" localSheetId="0">#REF!</definedName>
    <definedName name="_____REV96">#REF!</definedName>
    <definedName name="_____REV97" localSheetId="0">#REF!</definedName>
    <definedName name="_____REV97">#REF!</definedName>
    <definedName name="_____REV98" localSheetId="0">#REF!</definedName>
    <definedName name="_____REV98">#REF!</definedName>
    <definedName name="_____tab4" localSheetId="0">#REF!</definedName>
    <definedName name="_____tab4">#REF!</definedName>
    <definedName name="_____tax01" localSheetId="0">#REF!</definedName>
    <definedName name="_____tax01">#REF!</definedName>
    <definedName name="_____tax99" localSheetId="0">#REF!</definedName>
    <definedName name="_____tax99">#REF!</definedName>
    <definedName name="_____vol93" localSheetId="0">#REF!</definedName>
    <definedName name="_____vol93">#REF!</definedName>
    <definedName name="_____vol94" localSheetId="0">#REF!</definedName>
    <definedName name="_____vol94">#REF!</definedName>
    <definedName name="_____vol95" localSheetId="0">#REF!</definedName>
    <definedName name="_____vol95">#REF!</definedName>
    <definedName name="_____vol96" localSheetId="0">#REF!</definedName>
    <definedName name="_____vol96">#REF!</definedName>
    <definedName name="_____vol97" localSheetId="0">#REF!</definedName>
    <definedName name="_____vol97">#REF!</definedName>
    <definedName name="_____WGT1" localSheetId="0">#REF!</definedName>
    <definedName name="_____WGT1">#REF!</definedName>
    <definedName name="_____WGT2" localSheetId="0">#REF!</definedName>
    <definedName name="_____WGT2">#REF!</definedName>
    <definedName name="_____WGT3" localSheetId="0">#REF!</definedName>
    <definedName name="_____WGT3">#REF!</definedName>
    <definedName name="_____WGT4" localSheetId="0">#REF!</definedName>
    <definedName name="_____WGT4">#REF!</definedName>
    <definedName name="_____WGT5" localSheetId="0">#REF!</definedName>
    <definedName name="_____WGT5">#REF!</definedName>
    <definedName name="_____WGT6" localSheetId="0">#REF!</definedName>
    <definedName name="_____WGT6">#REF!</definedName>
    <definedName name="____DIV01" localSheetId="0">#REF!</definedName>
    <definedName name="____DIV01">#REF!</definedName>
    <definedName name="____DIV86" localSheetId="0">#REF!</definedName>
    <definedName name="____DIV86">#REF!</definedName>
    <definedName name="____DIV87" localSheetId="0">#REF!</definedName>
    <definedName name="____DIV87">#REF!</definedName>
    <definedName name="____DIV88" localSheetId="0">#REF!</definedName>
    <definedName name="____DIV88">#REF!</definedName>
    <definedName name="____DIV89" localSheetId="0">#REF!</definedName>
    <definedName name="____DIV89">#REF!</definedName>
    <definedName name="____DIV90" localSheetId="0">#REF!</definedName>
    <definedName name="____DIV90">#REF!</definedName>
    <definedName name="____DIV91" localSheetId="0">#REF!</definedName>
    <definedName name="____DIV91">#REF!</definedName>
    <definedName name="____DIV92" localSheetId="0">#REF!</definedName>
    <definedName name="____DIV92">#REF!</definedName>
    <definedName name="____DIV93" localSheetId="0">#REF!</definedName>
    <definedName name="____DIV93">#REF!</definedName>
    <definedName name="____DIV94" localSheetId="0">#REF!</definedName>
    <definedName name="____DIV94">#REF!</definedName>
    <definedName name="____DIV95" localSheetId="0">#REF!</definedName>
    <definedName name="____DIV95">#REF!</definedName>
    <definedName name="____dps01" localSheetId="0">#REF!</definedName>
    <definedName name="____dps01">#REF!</definedName>
    <definedName name="____dps98" localSheetId="0">#REF!</definedName>
    <definedName name="____dps98">#REF!</definedName>
    <definedName name="____dps99" localSheetId="0">#REF!</definedName>
    <definedName name="____dps99">#REF!</definedName>
    <definedName name="____EPS01" localSheetId="0">#REF!</definedName>
    <definedName name="____EPS01">#REF!</definedName>
    <definedName name="____EPS86" localSheetId="0">#REF!</definedName>
    <definedName name="____EPS86">#REF!</definedName>
    <definedName name="____EPS87" localSheetId="0">#REF!</definedName>
    <definedName name="____EPS87">#REF!</definedName>
    <definedName name="____EPS88" localSheetId="0">#REF!</definedName>
    <definedName name="____EPS88">#REF!</definedName>
    <definedName name="____EPS89" localSheetId="0">#REF!</definedName>
    <definedName name="____EPS89">#REF!</definedName>
    <definedName name="____EPS90" localSheetId="0">#REF!</definedName>
    <definedName name="____EPS90">#REF!</definedName>
    <definedName name="____EPS91" localSheetId="0">#REF!</definedName>
    <definedName name="____EPS91">#REF!</definedName>
    <definedName name="____EPS92" localSheetId="0">#REF!</definedName>
    <definedName name="____EPS92">#REF!</definedName>
    <definedName name="____EPS93" localSheetId="0">#REF!</definedName>
    <definedName name="____EPS93">#REF!</definedName>
    <definedName name="____EPS94" localSheetId="0">#REF!</definedName>
    <definedName name="____EPS94">#REF!</definedName>
    <definedName name="____EPS95" localSheetId="0">#REF!</definedName>
    <definedName name="____EPS95">#REF!</definedName>
    <definedName name="____EPS96" localSheetId="0">#REF!</definedName>
    <definedName name="____EPS96">#REF!</definedName>
    <definedName name="____EPS97" localSheetId="0">#REF!</definedName>
    <definedName name="____EPS97">#REF!</definedName>
    <definedName name="____EPS98" localSheetId="0">#REF!</definedName>
    <definedName name="____EPS98">#REF!</definedName>
    <definedName name="____gop01" localSheetId="0">#REF!</definedName>
    <definedName name="____gop01">#REF!</definedName>
    <definedName name="____gop99" localSheetId="0">#REF!</definedName>
    <definedName name="____gop99">#REF!</definedName>
    <definedName name="____mi01" localSheetId="0">#REF!</definedName>
    <definedName name="____mi01">#REF!</definedName>
    <definedName name="____mi99" localSheetId="0">#REF!</definedName>
    <definedName name="____mi99">#REF!</definedName>
    <definedName name="____NP01" localSheetId="0">#REF!</definedName>
    <definedName name="____NP01">#REF!</definedName>
    <definedName name="____NP86" localSheetId="0">#REF!</definedName>
    <definedName name="____NP86">#REF!</definedName>
    <definedName name="____NP87" localSheetId="0">#REF!</definedName>
    <definedName name="____NP87">#REF!</definedName>
    <definedName name="____NP88" localSheetId="0">#REF!</definedName>
    <definedName name="____NP88">#REF!</definedName>
    <definedName name="____NP89" localSheetId="0">#REF!</definedName>
    <definedName name="____NP89">#REF!</definedName>
    <definedName name="____NP90" localSheetId="0">#REF!</definedName>
    <definedName name="____NP90">#REF!</definedName>
    <definedName name="____NP91" localSheetId="0">#REF!</definedName>
    <definedName name="____NP91">#REF!</definedName>
    <definedName name="____NP92" localSheetId="0">#REF!</definedName>
    <definedName name="____NP92">#REF!</definedName>
    <definedName name="____NP93" localSheetId="0">#REF!</definedName>
    <definedName name="____NP93">#REF!</definedName>
    <definedName name="____NP94" localSheetId="0">#REF!</definedName>
    <definedName name="____NP94">#REF!</definedName>
    <definedName name="____NP95" localSheetId="0">#REF!</definedName>
    <definedName name="____NP95">#REF!</definedName>
    <definedName name="____NS01" localSheetId="0">#REF!</definedName>
    <definedName name="____NS01">#REF!</definedName>
    <definedName name="____NS86" localSheetId="0">#REF!</definedName>
    <definedName name="____NS86">#REF!</definedName>
    <definedName name="____NS87" localSheetId="0">#REF!</definedName>
    <definedName name="____NS87">#REF!</definedName>
    <definedName name="____NS88" localSheetId="0">#REF!</definedName>
    <definedName name="____NS88">#REF!</definedName>
    <definedName name="____NS89" localSheetId="0">#REF!</definedName>
    <definedName name="____NS89">#REF!</definedName>
    <definedName name="____NS90" localSheetId="0">#REF!</definedName>
    <definedName name="____NS90">#REF!</definedName>
    <definedName name="____NS91" localSheetId="0">#REF!</definedName>
    <definedName name="____NS91">#REF!</definedName>
    <definedName name="____NS92" localSheetId="0">#REF!</definedName>
    <definedName name="____NS92">#REF!</definedName>
    <definedName name="____NS93" localSheetId="0">#REF!</definedName>
    <definedName name="____NS93">#REF!</definedName>
    <definedName name="____NS94" localSheetId="0">#REF!</definedName>
    <definedName name="____NS94">#REF!</definedName>
    <definedName name="____NS95" localSheetId="0">#REF!</definedName>
    <definedName name="____NS95">#REF!</definedName>
    <definedName name="____PL1" localSheetId="0">#REF!</definedName>
    <definedName name="____PL1">#REF!</definedName>
    <definedName name="____pri93" localSheetId="0">#REF!</definedName>
    <definedName name="____pri93">#REF!</definedName>
    <definedName name="____pri94" localSheetId="0">#REF!</definedName>
    <definedName name="____pri94">#REF!</definedName>
    <definedName name="____pri95" localSheetId="0">#REF!</definedName>
    <definedName name="____pri95">#REF!</definedName>
    <definedName name="____pri96" localSheetId="0">#REF!</definedName>
    <definedName name="____pri96">#REF!</definedName>
    <definedName name="____pri97" localSheetId="0">#REF!</definedName>
    <definedName name="____pri97">#REF!</definedName>
    <definedName name="____REV89" localSheetId="0">#REF!</definedName>
    <definedName name="____REV89">#REF!</definedName>
    <definedName name="____REV90" localSheetId="0">#REF!</definedName>
    <definedName name="____REV90">#REF!</definedName>
    <definedName name="____REV91" localSheetId="0">#REF!</definedName>
    <definedName name="____REV91">#REF!</definedName>
    <definedName name="____REV92" localSheetId="0">#REF!</definedName>
    <definedName name="____REV92">#REF!</definedName>
    <definedName name="____REV93" localSheetId="0">#REF!</definedName>
    <definedName name="____REV93">#REF!</definedName>
    <definedName name="____REV94" localSheetId="0">#REF!</definedName>
    <definedName name="____REV94">#REF!</definedName>
    <definedName name="____REV95" localSheetId="0">#REF!</definedName>
    <definedName name="____REV95">#REF!</definedName>
    <definedName name="____REV96" localSheetId="0">#REF!</definedName>
    <definedName name="____REV96">#REF!</definedName>
    <definedName name="____REV97" localSheetId="0">#REF!</definedName>
    <definedName name="____REV97">#REF!</definedName>
    <definedName name="____REV98" localSheetId="0">#REF!</definedName>
    <definedName name="____REV98">#REF!</definedName>
    <definedName name="____tab4" localSheetId="0">#REF!</definedName>
    <definedName name="____tab4">#REF!</definedName>
    <definedName name="____tax01" localSheetId="0">#REF!</definedName>
    <definedName name="____tax01">#REF!</definedName>
    <definedName name="____tax99" localSheetId="0">#REF!</definedName>
    <definedName name="____tax99">#REF!</definedName>
    <definedName name="____vol93" localSheetId="0">#REF!</definedName>
    <definedName name="____vol93">#REF!</definedName>
    <definedName name="____vol94" localSheetId="0">#REF!</definedName>
    <definedName name="____vol94">#REF!</definedName>
    <definedName name="____vol95" localSheetId="0">#REF!</definedName>
    <definedName name="____vol95">#REF!</definedName>
    <definedName name="____vol96" localSheetId="0">#REF!</definedName>
    <definedName name="____vol96">#REF!</definedName>
    <definedName name="____vol97" localSheetId="0">#REF!</definedName>
    <definedName name="____vol97">#REF!</definedName>
    <definedName name="____WGT1" localSheetId="0">#REF!</definedName>
    <definedName name="____WGT1">#REF!</definedName>
    <definedName name="____WGT2" localSheetId="0">#REF!</definedName>
    <definedName name="____WGT2">#REF!</definedName>
    <definedName name="____WGT3" localSheetId="0">#REF!</definedName>
    <definedName name="____WGT3">#REF!</definedName>
    <definedName name="____WGT4" localSheetId="0">#REF!</definedName>
    <definedName name="____WGT4">#REF!</definedName>
    <definedName name="____WGT5" localSheetId="0">#REF!</definedName>
    <definedName name="____WGT5">#REF!</definedName>
    <definedName name="____WGT6" localSheetId="0">#REF!</definedName>
    <definedName name="____WGT6">#REF!</definedName>
    <definedName name="___DIV01" localSheetId="0">#REF!</definedName>
    <definedName name="___DIV01">#REF!</definedName>
    <definedName name="___DIV86" localSheetId="0">#REF!</definedName>
    <definedName name="___DIV86">#REF!</definedName>
    <definedName name="___DIV87" localSheetId="0">#REF!</definedName>
    <definedName name="___DIV87">#REF!</definedName>
    <definedName name="___DIV88" localSheetId="0">#REF!</definedName>
    <definedName name="___DIV88">#REF!</definedName>
    <definedName name="___DIV89" localSheetId="0">#REF!</definedName>
    <definedName name="___DIV89">#REF!</definedName>
    <definedName name="___DIV90" localSheetId="0">#REF!</definedName>
    <definedName name="___DIV90">#REF!</definedName>
    <definedName name="___DIV91" localSheetId="0">#REF!</definedName>
    <definedName name="___DIV91">#REF!</definedName>
    <definedName name="___DIV92" localSheetId="0">#REF!</definedName>
    <definedName name="___DIV92">#REF!</definedName>
    <definedName name="___DIV93" localSheetId="0">#REF!</definedName>
    <definedName name="___DIV93">#REF!</definedName>
    <definedName name="___DIV94" localSheetId="0">#REF!</definedName>
    <definedName name="___DIV94">#REF!</definedName>
    <definedName name="___DIV95" localSheetId="0">#REF!</definedName>
    <definedName name="___DIV95">#REF!</definedName>
    <definedName name="___dps01" localSheetId="0">#REF!</definedName>
    <definedName name="___dps01">#REF!</definedName>
    <definedName name="___dps98" localSheetId="0">#REF!</definedName>
    <definedName name="___dps98">#REF!</definedName>
    <definedName name="___dps99" localSheetId="0">#REF!</definedName>
    <definedName name="___dps99">#REF!</definedName>
    <definedName name="___EPS01" localSheetId="0">#REF!</definedName>
    <definedName name="___EPS01">#REF!</definedName>
    <definedName name="___EPS2" localSheetId="0">#REF!</definedName>
    <definedName name="___EPS2">#REF!</definedName>
    <definedName name="___EPS3" localSheetId="0">#REF!</definedName>
    <definedName name="___EPS3">#REF!</definedName>
    <definedName name="___EPS86" localSheetId="0">#REF!</definedName>
    <definedName name="___EPS86">#REF!</definedName>
    <definedName name="___EPS87" localSheetId="0">#REF!</definedName>
    <definedName name="___EPS87">#REF!</definedName>
    <definedName name="___EPS88" localSheetId="0">#REF!</definedName>
    <definedName name="___EPS88">#REF!</definedName>
    <definedName name="___EPS89" localSheetId="0">#REF!</definedName>
    <definedName name="___EPS89">#REF!</definedName>
    <definedName name="___EPS90" localSheetId="0">#REF!</definedName>
    <definedName name="___EPS90">#REF!</definedName>
    <definedName name="___EPS91" localSheetId="0">#REF!</definedName>
    <definedName name="___EPS91">#REF!</definedName>
    <definedName name="___EPS92" localSheetId="0">#REF!</definedName>
    <definedName name="___EPS92">#REF!</definedName>
    <definedName name="___EPS93" localSheetId="0">#REF!</definedName>
    <definedName name="___EPS93">#REF!</definedName>
    <definedName name="___EPS94" localSheetId="0">#REF!</definedName>
    <definedName name="___EPS94">#REF!</definedName>
    <definedName name="___EPS95" localSheetId="0">#REF!</definedName>
    <definedName name="___EPS95">#REF!</definedName>
    <definedName name="___EPS96" localSheetId="0">#REF!</definedName>
    <definedName name="___EPS96">#REF!</definedName>
    <definedName name="___EPS97" localSheetId="0">#REF!</definedName>
    <definedName name="___EPS97">#REF!</definedName>
    <definedName name="___EPS98" localSheetId="0">#REF!</definedName>
    <definedName name="___EPS98">#REF!</definedName>
    <definedName name="___gop01" localSheetId="0">#REF!</definedName>
    <definedName name="___gop01">#REF!</definedName>
    <definedName name="___gop99" localSheetId="0">#REF!</definedName>
    <definedName name="___gop99">#REF!</definedName>
    <definedName name="___mi01" localSheetId="0">#REF!</definedName>
    <definedName name="___mi01">#REF!</definedName>
    <definedName name="___mi99" localSheetId="0">#REF!</definedName>
    <definedName name="___mi99">#REF!</definedName>
    <definedName name="___NP01" localSheetId="0">#REF!</definedName>
    <definedName name="___NP01">#REF!</definedName>
    <definedName name="___NP86" localSheetId="0">#REF!</definedName>
    <definedName name="___NP86">#REF!</definedName>
    <definedName name="___NP87" localSheetId="0">#REF!</definedName>
    <definedName name="___NP87">#REF!</definedName>
    <definedName name="___NP88" localSheetId="0">#REF!</definedName>
    <definedName name="___NP88">#REF!</definedName>
    <definedName name="___NP89" localSheetId="0">#REF!</definedName>
    <definedName name="___NP89">#REF!</definedName>
    <definedName name="___NP90" localSheetId="0">#REF!</definedName>
    <definedName name="___NP90">#REF!</definedName>
    <definedName name="___NP91" localSheetId="0">#REF!</definedName>
    <definedName name="___NP91">#REF!</definedName>
    <definedName name="___NP92" localSheetId="0">#REF!</definedName>
    <definedName name="___NP92">#REF!</definedName>
    <definedName name="___NP93" localSheetId="0">#REF!</definedName>
    <definedName name="___NP93">#REF!</definedName>
    <definedName name="___NP94" localSheetId="0">#REF!</definedName>
    <definedName name="___NP94">#REF!</definedName>
    <definedName name="___NP95" localSheetId="0">#REF!</definedName>
    <definedName name="___NP95">#REF!</definedName>
    <definedName name="___NS01" localSheetId="0">#REF!</definedName>
    <definedName name="___NS01">#REF!</definedName>
    <definedName name="___NS86" localSheetId="0">#REF!</definedName>
    <definedName name="___NS86">#REF!</definedName>
    <definedName name="___NS87" localSheetId="0">#REF!</definedName>
    <definedName name="___NS87">#REF!</definedName>
    <definedName name="___NS88" localSheetId="0">#REF!</definedName>
    <definedName name="___NS88">#REF!</definedName>
    <definedName name="___NS89" localSheetId="0">#REF!</definedName>
    <definedName name="___NS89">#REF!</definedName>
    <definedName name="___NS90" localSheetId="0">#REF!</definedName>
    <definedName name="___NS90">#REF!</definedName>
    <definedName name="___NS91" localSheetId="0">#REF!</definedName>
    <definedName name="___NS91">#REF!</definedName>
    <definedName name="___NS92" localSheetId="0">#REF!</definedName>
    <definedName name="___NS92">#REF!</definedName>
    <definedName name="___NS93" localSheetId="0">#REF!</definedName>
    <definedName name="___NS93">#REF!</definedName>
    <definedName name="___NS94" localSheetId="0">#REF!</definedName>
    <definedName name="___NS94">#REF!</definedName>
    <definedName name="___NS95" localSheetId="0">#REF!</definedName>
    <definedName name="___NS95">#REF!</definedName>
    <definedName name="___PL1" localSheetId="0">#REF!</definedName>
    <definedName name="___PL1">#REF!</definedName>
    <definedName name="___pri93" localSheetId="0">#REF!</definedName>
    <definedName name="___pri93">#REF!</definedName>
    <definedName name="___pri94" localSheetId="0">#REF!</definedName>
    <definedName name="___pri94">#REF!</definedName>
    <definedName name="___pri95" localSheetId="0">#REF!</definedName>
    <definedName name="___pri95">#REF!</definedName>
    <definedName name="___pri96" localSheetId="0">#REF!</definedName>
    <definedName name="___pri96">#REF!</definedName>
    <definedName name="___pri97" localSheetId="0">#REF!</definedName>
    <definedName name="___pri97">#REF!</definedName>
    <definedName name="___REV89" localSheetId="0">#REF!</definedName>
    <definedName name="___REV89">#REF!</definedName>
    <definedName name="___REV90" localSheetId="0">#REF!</definedName>
    <definedName name="___REV90">#REF!</definedName>
    <definedName name="___REV91" localSheetId="0">#REF!</definedName>
    <definedName name="___REV91">#REF!</definedName>
    <definedName name="___REV92" localSheetId="0">#REF!</definedName>
    <definedName name="___REV92">#REF!</definedName>
    <definedName name="___REV93" localSheetId="0">#REF!</definedName>
    <definedName name="___REV93">#REF!</definedName>
    <definedName name="___REV94" localSheetId="0">#REF!</definedName>
    <definedName name="___REV94">#REF!</definedName>
    <definedName name="___REV95" localSheetId="0">#REF!</definedName>
    <definedName name="___REV95">#REF!</definedName>
    <definedName name="___REV96" localSheetId="0">#REF!</definedName>
    <definedName name="___REV96">#REF!</definedName>
    <definedName name="___REV97" localSheetId="0">#REF!</definedName>
    <definedName name="___REV97">#REF!</definedName>
    <definedName name="___REV98" localSheetId="0">#REF!</definedName>
    <definedName name="___REV98">#REF!</definedName>
    <definedName name="___tab4" localSheetId="0">#REF!</definedName>
    <definedName name="___tab4">#REF!</definedName>
    <definedName name="___tax01" localSheetId="0">#REF!</definedName>
    <definedName name="___tax01">#REF!</definedName>
    <definedName name="___tax99" localSheetId="0">#REF!</definedName>
    <definedName name="___tax99">#REF!</definedName>
    <definedName name="___vol93" localSheetId="0">#REF!</definedName>
    <definedName name="___vol93">#REF!</definedName>
    <definedName name="___vol94" localSheetId="0">#REF!</definedName>
    <definedName name="___vol94">#REF!</definedName>
    <definedName name="___vol95" localSheetId="0">#REF!</definedName>
    <definedName name="___vol95">#REF!</definedName>
    <definedName name="___vol96" localSheetId="0">#REF!</definedName>
    <definedName name="___vol96">#REF!</definedName>
    <definedName name="___vol97" localSheetId="0">#REF!</definedName>
    <definedName name="___vol97">#REF!</definedName>
    <definedName name="___WGT1" localSheetId="0">#REF!</definedName>
    <definedName name="___WGT1">#REF!</definedName>
    <definedName name="___WGT2" localSheetId="0">#REF!</definedName>
    <definedName name="___WGT2">#REF!</definedName>
    <definedName name="___WGT3" localSheetId="0">#REF!</definedName>
    <definedName name="___WGT3">#REF!</definedName>
    <definedName name="___WGT4" localSheetId="0">#REF!</definedName>
    <definedName name="___WGT4">#REF!</definedName>
    <definedName name="___WGT5" localSheetId="0">#REF!</definedName>
    <definedName name="___WGT5">#REF!</definedName>
    <definedName name="___WGT6" localSheetId="0">#REF!</definedName>
    <definedName name="___WGT6">#REF!</definedName>
    <definedName name="__123Graph_A" localSheetId="0" hidden="1">#REF!</definedName>
    <definedName name="__123Graph_A" hidden="1">#REF!</definedName>
    <definedName name="__123Graph_ACHART7" localSheetId="0" hidden="1">#REF!</definedName>
    <definedName name="__123Graph_ACHART7" hidden="1">#REF!</definedName>
    <definedName name="__123Graph_ACURRENT" localSheetId="0" hidden="1">#REF!</definedName>
    <definedName name="__123Graph_ACURRENT" hidden="1">#REF!</definedName>
    <definedName name="__123Graph_AGRPH_EXPIRE" localSheetId="0" hidden="1">#REF!</definedName>
    <definedName name="__123Graph_AGRPH_EXPIRE" hidden="1">#REF!</definedName>
    <definedName name="__123Graph_APRINCIPAL" localSheetId="0" hidden="1">#REF!</definedName>
    <definedName name="__123Graph_APRINCIPAL" hidden="1">#REF!</definedName>
    <definedName name="__123Graph_APROFIT" localSheetId="0" hidden="1">#REF!</definedName>
    <definedName name="__123Graph_APROFIT" hidden="1">#REF!</definedName>
    <definedName name="__123Graph_B" localSheetId="0" hidden="1">#REF!</definedName>
    <definedName name="__123Graph_B" hidden="1">#REF!</definedName>
    <definedName name="__123Graph_BCurrent" localSheetId="0" hidden="1">#REF!</definedName>
    <definedName name="__123Graph_BCurrent" hidden="1">#REF!</definedName>
    <definedName name="__123Graph_BPROFIT" localSheetId="0" hidden="1">#REF!</definedName>
    <definedName name="__123Graph_BPROFIT" hidden="1">#REF!</definedName>
    <definedName name="__123Graph_BTURNOVER" localSheetId="0" hidden="1">#REF!</definedName>
    <definedName name="__123Graph_BTURNOVER" hidden="1">#REF!</definedName>
    <definedName name="__123Graph_C" localSheetId="0" hidden="1">#REF!</definedName>
    <definedName name="__123Graph_C" hidden="1">#REF!</definedName>
    <definedName name="__123Graph_CCurrent" localSheetId="0" hidden="1">#REF!</definedName>
    <definedName name="__123Graph_CCurrent" hidden="1">#REF!</definedName>
    <definedName name="__123Graph_CPROFIT" localSheetId="0" hidden="1">#REF!</definedName>
    <definedName name="__123Graph_CPROFIT" hidden="1">#REF!</definedName>
    <definedName name="__123Graph_CTURNOVER" localSheetId="0" hidden="1">#REF!</definedName>
    <definedName name="__123Graph_CTURNOVER" hidden="1">#REF!</definedName>
    <definedName name="__123Graph_D" localSheetId="0" hidden="1">#REF!</definedName>
    <definedName name="__123Graph_D" hidden="1">#REF!</definedName>
    <definedName name="__123Graph_DCurrent" localSheetId="0" hidden="1">#REF!</definedName>
    <definedName name="__123Graph_DCurrent" hidden="1">#REF!</definedName>
    <definedName name="__123Graph_DPROFIT" localSheetId="0" hidden="1">#REF!</definedName>
    <definedName name="__123Graph_DPROFIT" hidden="1">#REF!</definedName>
    <definedName name="__123Graph_DTURNOVER" localSheetId="0" hidden="1">#REF!</definedName>
    <definedName name="__123Graph_DTURNOVER" hidden="1">#REF!</definedName>
    <definedName name="__123Graph_E" localSheetId="0" hidden="1">#REF!</definedName>
    <definedName name="__123Graph_E" hidden="1">#REF!</definedName>
    <definedName name="__123Graph_ECurrent" localSheetId="0" hidden="1">#REF!</definedName>
    <definedName name="__123Graph_ECurrent" hidden="1">#REF!</definedName>
    <definedName name="__123Graph_F" localSheetId="0" hidden="1">#REF!</definedName>
    <definedName name="__123Graph_F" hidden="1">#REF!</definedName>
    <definedName name="__123Graph_LBL_APRINCIPAL" localSheetId="0" hidden="1">#REF!</definedName>
    <definedName name="__123Graph_LBL_APRINCIPAL" hidden="1">#REF!</definedName>
    <definedName name="__123Graph_X" localSheetId="0" hidden="1">#REF!</definedName>
    <definedName name="__123Graph_X" hidden="1">#REF!</definedName>
    <definedName name="__123Graph_XGRPH_EXPIRE" localSheetId="0" hidden="1">#REF!</definedName>
    <definedName name="__123Graph_XGRPH_EXPIRE" hidden="1">#REF!</definedName>
    <definedName name="__APW_RESTORE_DATA0__" localSheetId="0" hidden="1">#REF!,#REF!,#REF!,#REF!,#REF!,#REF!,#REF!,#REF!,#REF!,#REF!,#REF!,#REF!,#REF!,#REF!,#REF!,#REF!,#REF!</definedName>
    <definedName name="__APW_RESTORE_DATA0__" hidden="1">#REF!,#REF!,#REF!,#REF!,#REF!,#REF!,#REF!,#REF!,#REF!,#REF!,#REF!,#REF!,#REF!,#REF!,#REF!,#REF!,#REF!</definedName>
    <definedName name="__APW_RESTORE_DATA1__" localSheetId="0" hidden="1">#REF!,#REF!,#REF!,#REF!,#REF!,#REF!,#REF!,#REF!,#REF!,#REF!,#REF!,#REF!,#REF!,#REF!,#REF!,#REF!</definedName>
    <definedName name="__APW_RESTORE_DATA1__" hidden="1">#REF!,#REF!,#REF!,#REF!,#REF!,#REF!,#REF!,#REF!,#REF!,#REF!,#REF!,#REF!,#REF!,#REF!,#REF!,#REF!</definedName>
    <definedName name="__APW_RESTORE_DATA10__" localSheetId="0" hidden="1">#REF!,#REF!,#REF!,#REF!,#REF!,#REF!,#REF!,#REF!,#REF!,#REF!,#REF!,#REF!,#REF!,#REF!,#REF!</definedName>
    <definedName name="__APW_RESTORE_DATA10__" hidden="1">#REF!,#REF!,#REF!,#REF!,#REF!,#REF!,#REF!,#REF!,#REF!,#REF!,#REF!,#REF!,#REF!,#REF!,#REF!</definedName>
    <definedName name="__APW_RESTORE_DATA100__" localSheetId="0" hidden="1">#REF!,#REF!,#REF!,#REF!,#REF!,#REF!,#REF!,#REF!,#REF!,#REF!,#REF!,#REF!,#REF!,#REF!,#REF!,#REF!</definedName>
    <definedName name="__APW_RESTORE_DATA100__" hidden="1">#REF!,#REF!,#REF!,#REF!,#REF!,#REF!,#REF!,#REF!,#REF!,#REF!,#REF!,#REF!,#REF!,#REF!,#REF!,#REF!</definedName>
    <definedName name="__APW_RESTORE_DATA101__" localSheetId="0" hidden="1">#REF!,#REF!,#REF!,#REF!,#REF!,#REF!,#REF!,#REF!,#REF!,#REF!,#REF!,#REF!,#REF!,#REF!,#REF!,#REF!</definedName>
    <definedName name="__APW_RESTORE_DATA101__" hidden="1">#REF!,#REF!,#REF!,#REF!,#REF!,#REF!,#REF!,#REF!,#REF!,#REF!,#REF!,#REF!,#REF!,#REF!,#REF!,#REF!</definedName>
    <definedName name="__APW_RESTORE_DATA102__" localSheetId="0" hidden="1">#REF!,#REF!,#REF!,#REF!,#REF!,#REF!,#REF!,#REF!,#REF!,#REF!,#REF!,#REF!,#REF!,#REF!,#REF!</definedName>
    <definedName name="__APW_RESTORE_DATA102__" hidden="1">#REF!,#REF!,#REF!,#REF!,#REF!,#REF!,#REF!,#REF!,#REF!,#REF!,#REF!,#REF!,#REF!,#REF!,#REF!</definedName>
    <definedName name="__APW_RESTORE_DATA103__" localSheetId="0" hidden="1">#REF!,#REF!,#REF!,#REF!,#REF!,#REF!,#REF!,#REF!,#REF!,#REF!,#REF!,#REF!,#REF!,#REF!,#REF!</definedName>
    <definedName name="__APW_RESTORE_DATA103__" hidden="1">#REF!,#REF!,#REF!,#REF!,#REF!,#REF!,#REF!,#REF!,#REF!,#REF!,#REF!,#REF!,#REF!,#REF!,#REF!</definedName>
    <definedName name="__APW_RESTORE_DATA104__" localSheetId="0" hidden="1">#REF!,#REF!,#REF!,#REF!,#REF!,#REF!,#REF!,#REF!,#REF!,#REF!,#REF!,#REF!,#REF!,#REF!,#REF!</definedName>
    <definedName name="__APW_RESTORE_DATA104__" hidden="1">#REF!,#REF!,#REF!,#REF!,#REF!,#REF!,#REF!,#REF!,#REF!,#REF!,#REF!,#REF!,#REF!,#REF!,#REF!</definedName>
    <definedName name="__APW_RESTORE_DATA105__" localSheetId="0" hidden="1">#REF!,#REF!,#REF!,#REF!,#REF!,#REF!,#REF!,#REF!,#REF!,#REF!,#REF!,#REF!,#REF!,#REF!,#REF!</definedName>
    <definedName name="__APW_RESTORE_DATA105__" hidden="1">#REF!,#REF!,#REF!,#REF!,#REF!,#REF!,#REF!,#REF!,#REF!,#REF!,#REF!,#REF!,#REF!,#REF!,#REF!</definedName>
    <definedName name="__APW_RESTORE_DATA106__" localSheetId="0" hidden="1">#REF!,#REF!,#REF!,#REF!,#REF!,#REF!,#REF!,#REF!,#REF!,#REF!,#REF!,#REF!,#REF!,#REF!,#REF!</definedName>
    <definedName name="__APW_RESTORE_DATA106__" hidden="1">#REF!,#REF!,#REF!,#REF!,#REF!,#REF!,#REF!,#REF!,#REF!,#REF!,#REF!,#REF!,#REF!,#REF!,#REF!</definedName>
    <definedName name="__APW_RESTORE_DATA107__" localSheetId="0" hidden="1">#REF!,#REF!,#REF!,#REF!,#REF!,#REF!</definedName>
    <definedName name="__APW_RESTORE_DATA107__" hidden="1">#REF!,#REF!,#REF!,#REF!,#REF!,#REF!</definedName>
    <definedName name="__APW_RESTORE_DATA108__" localSheetId="0" hidden="1">#REF!,#REF!,#REF!,#REF!,#REF!,#REF!,#REF!,#REF!,#REF!,#REF!,#REF!,#REF!,#REF!,#REF!,#REF!,#REF!,#REF!</definedName>
    <definedName name="__APW_RESTORE_DATA108__" hidden="1">#REF!,#REF!,#REF!,#REF!,#REF!,#REF!,#REF!,#REF!,#REF!,#REF!,#REF!,#REF!,#REF!,#REF!,#REF!,#REF!,#REF!</definedName>
    <definedName name="__APW_RESTORE_DATA109__" localSheetId="0" hidden="1">#REF!,#REF!,#REF!,#REF!,#REF!,#REF!,#REF!,#REF!,#REF!,#REF!,#REF!,#REF!,#REF!,#REF!,#REF!,#REF!</definedName>
    <definedName name="__APW_RESTORE_DATA109__" hidden="1">#REF!,#REF!,#REF!,#REF!,#REF!,#REF!,#REF!,#REF!,#REF!,#REF!,#REF!,#REF!,#REF!,#REF!,#REF!,#REF!</definedName>
    <definedName name="__APW_RESTORE_DATA11__" localSheetId="0" hidden="1">#REF!,#REF!,#REF!,#REF!,#REF!,#REF!</definedName>
    <definedName name="__APW_RESTORE_DATA11__" hidden="1">#REF!,#REF!,#REF!,#REF!,#REF!,#REF!</definedName>
    <definedName name="__APW_RESTORE_DATA110__" localSheetId="0" hidden="1">#REF!,#REF!,#REF!,#REF!,#REF!,#REF!,#REF!,#REF!,#REF!,#REF!,#REF!,#REF!,#REF!,#REF!,#REF!,#REF!</definedName>
    <definedName name="__APW_RESTORE_DATA110__" hidden="1">#REF!,#REF!,#REF!,#REF!,#REF!,#REF!,#REF!,#REF!,#REF!,#REF!,#REF!,#REF!,#REF!,#REF!,#REF!,#REF!</definedName>
    <definedName name="__APW_RESTORE_DATA111__" localSheetId="0" hidden="1">#REF!,#REF!,#REF!,#REF!,#REF!,#REF!,#REF!,#REF!,#REF!,#REF!,#REF!,#REF!,#REF!,#REF!,#REF!,#REF!</definedName>
    <definedName name="__APW_RESTORE_DATA111__" hidden="1">#REF!,#REF!,#REF!,#REF!,#REF!,#REF!,#REF!,#REF!,#REF!,#REF!,#REF!,#REF!,#REF!,#REF!,#REF!,#REF!</definedName>
    <definedName name="__APW_RESTORE_DATA112__" localSheetId="0" hidden="1">#REF!,#REF!,#REF!,#REF!,#REF!,#REF!,#REF!,#REF!,#REF!,#REF!,#REF!,#REF!,#REF!,#REF!,#REF!,#REF!</definedName>
    <definedName name="__APW_RESTORE_DATA112__" hidden="1">#REF!,#REF!,#REF!,#REF!,#REF!,#REF!,#REF!,#REF!,#REF!,#REF!,#REF!,#REF!,#REF!,#REF!,#REF!,#REF!</definedName>
    <definedName name="__APW_RESTORE_DATA113__" localSheetId="0" hidden="1">#REF!,#REF!,#REF!,#REF!,#REF!,#REF!,#REF!,#REF!,#REF!,#REF!,#REF!,#REF!,#REF!,#REF!,#REF!,#REF!</definedName>
    <definedName name="__APW_RESTORE_DATA113__" hidden="1">#REF!,#REF!,#REF!,#REF!,#REF!,#REF!,#REF!,#REF!,#REF!,#REF!,#REF!,#REF!,#REF!,#REF!,#REF!,#REF!</definedName>
    <definedName name="__APW_RESTORE_DATA114__" localSheetId="0" hidden="1">#REF!,#REF!,#REF!,#REF!,#REF!,#REF!,#REF!,#REF!,#REF!,#REF!,#REF!,#REF!,#REF!,#REF!,#REF!</definedName>
    <definedName name="__APW_RESTORE_DATA114__" hidden="1">#REF!,#REF!,#REF!,#REF!,#REF!,#REF!,#REF!,#REF!,#REF!,#REF!,#REF!,#REF!,#REF!,#REF!,#REF!</definedName>
    <definedName name="__APW_RESTORE_DATA115__" localSheetId="0" hidden="1">#REF!,#REF!,#REF!,#REF!,#REF!,#REF!,#REF!,#REF!,#REF!,#REF!,#REF!,#REF!,#REF!,#REF!,#REF!</definedName>
    <definedName name="__APW_RESTORE_DATA115__" hidden="1">#REF!,#REF!,#REF!,#REF!,#REF!,#REF!,#REF!,#REF!,#REF!,#REF!,#REF!,#REF!,#REF!,#REF!,#REF!</definedName>
    <definedName name="__APW_RESTORE_DATA116__" localSheetId="0" hidden="1">#REF!,#REF!,#REF!,#REF!,#REF!,#REF!,#REF!,#REF!,#REF!,#REF!,#REF!,#REF!,#REF!,#REF!,#REF!</definedName>
    <definedName name="__APW_RESTORE_DATA116__" hidden="1">#REF!,#REF!,#REF!,#REF!,#REF!,#REF!,#REF!,#REF!,#REF!,#REF!,#REF!,#REF!,#REF!,#REF!,#REF!</definedName>
    <definedName name="__APW_RESTORE_DATA117__" localSheetId="0" hidden="1">#REF!,#REF!,#REF!,#REF!,#REF!,#REF!,#REF!,#REF!,#REF!,#REF!,#REF!,#REF!,#REF!,#REF!,#REF!</definedName>
    <definedName name="__APW_RESTORE_DATA117__" hidden="1">#REF!,#REF!,#REF!,#REF!,#REF!,#REF!,#REF!,#REF!,#REF!,#REF!,#REF!,#REF!,#REF!,#REF!,#REF!</definedName>
    <definedName name="__APW_RESTORE_DATA118__" localSheetId="0" hidden="1">#REF!,#REF!,#REF!,#REF!,#REF!,#REF!,#REF!,#REF!,#REF!,#REF!,#REF!,#REF!,#REF!,#REF!,#REF!</definedName>
    <definedName name="__APW_RESTORE_DATA118__" hidden="1">#REF!,#REF!,#REF!,#REF!,#REF!,#REF!,#REF!,#REF!,#REF!,#REF!,#REF!,#REF!,#REF!,#REF!,#REF!</definedName>
    <definedName name="__APW_RESTORE_DATA119__" localSheetId="0" hidden="1">#REF!,#REF!,#REF!,#REF!,#REF!,#REF!</definedName>
    <definedName name="__APW_RESTORE_DATA119__" hidden="1">#REF!,#REF!,#REF!,#REF!,#REF!,#REF!</definedName>
    <definedName name="__APW_RESTORE_DATA12__" localSheetId="0" hidden="1">#REF!,#REF!,#REF!,#REF!,#REF!,#REF!,#REF!,#REF!,#REF!,#REF!,#REF!,#REF!,#REF!,#REF!,#REF!,#REF!,#REF!</definedName>
    <definedName name="__APW_RESTORE_DATA12__" hidden="1">#REF!,#REF!,#REF!,#REF!,#REF!,#REF!,#REF!,#REF!,#REF!,#REF!,#REF!,#REF!,#REF!,#REF!,#REF!,#REF!,#REF!</definedName>
    <definedName name="__APW_RESTORE_DATA120__" localSheetId="0" hidden="1">#REF!,#REF!,#REF!,#REF!,#REF!,#REF!,#REF!,#REF!,#REF!,#REF!,#REF!,#REF!,#REF!,#REF!,#REF!,#REF!,#REF!</definedName>
    <definedName name="__APW_RESTORE_DATA120__" hidden="1">#REF!,#REF!,#REF!,#REF!,#REF!,#REF!,#REF!,#REF!,#REF!,#REF!,#REF!,#REF!,#REF!,#REF!,#REF!,#REF!,#REF!</definedName>
    <definedName name="__APW_RESTORE_DATA121__" localSheetId="0" hidden="1">#REF!,#REF!,#REF!,#REF!,#REF!,#REF!,#REF!,#REF!,#REF!,#REF!,#REF!,#REF!,#REF!,#REF!,#REF!,#REF!</definedName>
    <definedName name="__APW_RESTORE_DATA121__" hidden="1">#REF!,#REF!,#REF!,#REF!,#REF!,#REF!,#REF!,#REF!,#REF!,#REF!,#REF!,#REF!,#REF!,#REF!,#REF!,#REF!</definedName>
    <definedName name="__APW_RESTORE_DATA122__" localSheetId="0" hidden="1">#REF!,#REF!,#REF!,#REF!,#REF!,#REF!,#REF!,#REF!,#REF!,#REF!,#REF!,#REF!,#REF!,#REF!,#REF!,#REF!</definedName>
    <definedName name="__APW_RESTORE_DATA122__" hidden="1">#REF!,#REF!,#REF!,#REF!,#REF!,#REF!,#REF!,#REF!,#REF!,#REF!,#REF!,#REF!,#REF!,#REF!,#REF!,#REF!</definedName>
    <definedName name="__APW_RESTORE_DATA123__" localSheetId="0" hidden="1">#REF!,#REF!,#REF!,#REF!,#REF!,#REF!,#REF!,#REF!,#REF!,#REF!,#REF!,#REF!,#REF!,#REF!,#REF!,#REF!</definedName>
    <definedName name="__APW_RESTORE_DATA123__" hidden="1">#REF!,#REF!,#REF!,#REF!,#REF!,#REF!,#REF!,#REF!,#REF!,#REF!,#REF!,#REF!,#REF!,#REF!,#REF!,#REF!</definedName>
    <definedName name="__APW_RESTORE_DATA124__" localSheetId="0" hidden="1">#REF!,#REF!,#REF!,#REF!,#REF!,#REF!,#REF!,#REF!,#REF!,#REF!,#REF!,#REF!,#REF!,#REF!,#REF!,#REF!</definedName>
    <definedName name="__APW_RESTORE_DATA124__" hidden="1">#REF!,#REF!,#REF!,#REF!,#REF!,#REF!,#REF!,#REF!,#REF!,#REF!,#REF!,#REF!,#REF!,#REF!,#REF!,#REF!</definedName>
    <definedName name="__APW_RESTORE_DATA125__" localSheetId="0" hidden="1">#REF!,#REF!,#REF!,#REF!,#REF!,#REF!,#REF!,#REF!,#REF!,#REF!,#REF!,#REF!,#REF!,#REF!,#REF!,#REF!</definedName>
    <definedName name="__APW_RESTORE_DATA125__" hidden="1">#REF!,#REF!,#REF!,#REF!,#REF!,#REF!,#REF!,#REF!,#REF!,#REF!,#REF!,#REF!,#REF!,#REF!,#REF!,#REF!</definedName>
    <definedName name="__APW_RESTORE_DATA126__" localSheetId="0" hidden="1">#REF!,#REF!,#REF!,#REF!,#REF!,#REF!,#REF!,#REF!,#REF!,#REF!,#REF!,#REF!,#REF!,#REF!,#REF!</definedName>
    <definedName name="__APW_RESTORE_DATA126__" hidden="1">#REF!,#REF!,#REF!,#REF!,#REF!,#REF!,#REF!,#REF!,#REF!,#REF!,#REF!,#REF!,#REF!,#REF!,#REF!</definedName>
    <definedName name="__APW_RESTORE_DATA127__" localSheetId="0" hidden="1">#REF!,#REF!,#REF!,#REF!,#REF!,#REF!,#REF!,#REF!,#REF!,#REF!,#REF!,#REF!,#REF!,#REF!,#REF!</definedName>
    <definedName name="__APW_RESTORE_DATA127__" hidden="1">#REF!,#REF!,#REF!,#REF!,#REF!,#REF!,#REF!,#REF!,#REF!,#REF!,#REF!,#REF!,#REF!,#REF!,#REF!</definedName>
    <definedName name="__APW_RESTORE_DATA128__" localSheetId="0" hidden="1">#REF!,#REF!,#REF!,#REF!,#REF!,#REF!,#REF!,#REF!,#REF!,#REF!,#REF!,#REF!,#REF!,#REF!,#REF!</definedName>
    <definedName name="__APW_RESTORE_DATA128__" hidden="1">#REF!,#REF!,#REF!,#REF!,#REF!,#REF!,#REF!,#REF!,#REF!,#REF!,#REF!,#REF!,#REF!,#REF!,#REF!</definedName>
    <definedName name="__APW_RESTORE_DATA129__" localSheetId="0" hidden="1">#REF!,#REF!,#REF!,#REF!,#REF!,#REF!,#REF!,#REF!,#REF!,#REF!,#REF!,#REF!,#REF!,#REF!,#REF!</definedName>
    <definedName name="__APW_RESTORE_DATA129__" hidden="1">#REF!,#REF!,#REF!,#REF!,#REF!,#REF!,#REF!,#REF!,#REF!,#REF!,#REF!,#REF!,#REF!,#REF!,#REF!</definedName>
    <definedName name="__APW_RESTORE_DATA13__" localSheetId="0" hidden="1">#REF!,#REF!,#REF!,#REF!,#REF!,#REF!,#REF!,#REF!,#REF!,#REF!,#REF!,#REF!,#REF!,#REF!,#REF!,#REF!</definedName>
    <definedName name="__APW_RESTORE_DATA13__" hidden="1">#REF!,#REF!,#REF!,#REF!,#REF!,#REF!,#REF!,#REF!,#REF!,#REF!,#REF!,#REF!,#REF!,#REF!,#REF!,#REF!</definedName>
    <definedName name="__APW_RESTORE_DATA130__" localSheetId="0" hidden="1">#REF!,#REF!,#REF!,#REF!,#REF!,#REF!,#REF!,#REF!,#REF!,#REF!,#REF!,#REF!,#REF!,#REF!,#REF!</definedName>
    <definedName name="__APW_RESTORE_DATA130__" hidden="1">#REF!,#REF!,#REF!,#REF!,#REF!,#REF!,#REF!,#REF!,#REF!,#REF!,#REF!,#REF!,#REF!,#REF!,#REF!</definedName>
    <definedName name="__APW_RESTORE_DATA131__" localSheetId="0" hidden="1">#REF!,#REF!,#REF!,#REF!,#REF!,#REF!</definedName>
    <definedName name="__APW_RESTORE_DATA131__" hidden="1">#REF!,#REF!,#REF!,#REF!,#REF!,#REF!</definedName>
    <definedName name="__APW_RESTORE_DATA132__" localSheetId="0" hidden="1">#REF!,#REF!,#REF!,#REF!,#REF!,#REF!,#REF!,#REF!,#REF!,#REF!,#REF!,#REF!,#REF!,#REF!,#REF!,#REF!,#REF!</definedName>
    <definedName name="__APW_RESTORE_DATA132__" hidden="1">#REF!,#REF!,#REF!,#REF!,#REF!,#REF!,#REF!,#REF!,#REF!,#REF!,#REF!,#REF!,#REF!,#REF!,#REF!,#REF!,#REF!</definedName>
    <definedName name="__APW_RESTORE_DATA133__" localSheetId="0" hidden="1">#REF!,#REF!,#REF!,#REF!,#REF!,#REF!,#REF!,#REF!,#REF!,#REF!,#REF!,#REF!,#REF!,#REF!,#REF!,#REF!</definedName>
    <definedName name="__APW_RESTORE_DATA133__" hidden="1">#REF!,#REF!,#REF!,#REF!,#REF!,#REF!,#REF!,#REF!,#REF!,#REF!,#REF!,#REF!,#REF!,#REF!,#REF!,#REF!</definedName>
    <definedName name="__APW_RESTORE_DATA134__" localSheetId="0" hidden="1">#REF!,#REF!,#REF!,#REF!,#REF!,#REF!,#REF!,#REF!,#REF!,#REF!,#REF!,#REF!,#REF!,#REF!,#REF!,#REF!</definedName>
    <definedName name="__APW_RESTORE_DATA134__" hidden="1">#REF!,#REF!,#REF!,#REF!,#REF!,#REF!,#REF!,#REF!,#REF!,#REF!,#REF!,#REF!,#REF!,#REF!,#REF!,#REF!</definedName>
    <definedName name="__APW_RESTORE_DATA135__" localSheetId="0" hidden="1">#REF!,#REF!,#REF!,#REF!,#REF!,#REF!,#REF!,#REF!,#REF!,#REF!,#REF!,#REF!,#REF!,#REF!,#REF!,#REF!</definedName>
    <definedName name="__APW_RESTORE_DATA135__" hidden="1">#REF!,#REF!,#REF!,#REF!,#REF!,#REF!,#REF!,#REF!,#REF!,#REF!,#REF!,#REF!,#REF!,#REF!,#REF!,#REF!</definedName>
    <definedName name="__APW_RESTORE_DATA136__" localSheetId="0" hidden="1">#REF!,#REF!,#REF!,#REF!,#REF!,#REF!,#REF!,#REF!,#REF!,#REF!,#REF!,#REF!,#REF!,#REF!,#REF!,#REF!</definedName>
    <definedName name="__APW_RESTORE_DATA136__" hidden="1">#REF!,#REF!,#REF!,#REF!,#REF!,#REF!,#REF!,#REF!,#REF!,#REF!,#REF!,#REF!,#REF!,#REF!,#REF!,#REF!</definedName>
    <definedName name="__APW_RESTORE_DATA137__" localSheetId="0" hidden="1">#REF!,#REF!,#REF!,#REF!,#REF!,#REF!,#REF!,#REF!,#REF!,#REF!,#REF!,#REF!,#REF!,#REF!,#REF!,#REF!</definedName>
    <definedName name="__APW_RESTORE_DATA137__" hidden="1">#REF!,#REF!,#REF!,#REF!,#REF!,#REF!,#REF!,#REF!,#REF!,#REF!,#REF!,#REF!,#REF!,#REF!,#REF!,#REF!</definedName>
    <definedName name="__APW_RESTORE_DATA138__" localSheetId="0" hidden="1">#REF!,#REF!,#REF!,#REF!,#REF!,#REF!,#REF!,#REF!,#REF!,#REF!,#REF!,#REF!,#REF!,#REF!,#REF!</definedName>
    <definedName name="__APW_RESTORE_DATA138__" hidden="1">#REF!,#REF!,#REF!,#REF!,#REF!,#REF!,#REF!,#REF!,#REF!,#REF!,#REF!,#REF!,#REF!,#REF!,#REF!</definedName>
    <definedName name="__APW_RESTORE_DATA139__" localSheetId="0" hidden="1">#REF!,#REF!,#REF!,#REF!,#REF!,#REF!,#REF!,#REF!,#REF!,#REF!,#REF!,#REF!,#REF!,#REF!,#REF!</definedName>
    <definedName name="__APW_RESTORE_DATA139__" hidden="1">#REF!,#REF!,#REF!,#REF!,#REF!,#REF!,#REF!,#REF!,#REF!,#REF!,#REF!,#REF!,#REF!,#REF!,#REF!</definedName>
    <definedName name="__APW_RESTORE_DATA14__" localSheetId="0" hidden="1">#REF!,#REF!,#REF!,#REF!,#REF!,#REF!,#REF!,#REF!,#REF!,#REF!,#REF!,#REF!,#REF!,#REF!,#REF!,#REF!</definedName>
    <definedName name="__APW_RESTORE_DATA14__" hidden="1">#REF!,#REF!,#REF!,#REF!,#REF!,#REF!,#REF!,#REF!,#REF!,#REF!,#REF!,#REF!,#REF!,#REF!,#REF!,#REF!</definedName>
    <definedName name="__APW_RESTORE_DATA140__" localSheetId="0" hidden="1">#REF!,#REF!,#REF!,#REF!,#REF!,#REF!,#REF!,#REF!,#REF!,#REF!,#REF!,#REF!,#REF!,#REF!,#REF!</definedName>
    <definedName name="__APW_RESTORE_DATA140__" hidden="1">#REF!,#REF!,#REF!,#REF!,#REF!,#REF!,#REF!,#REF!,#REF!,#REF!,#REF!,#REF!,#REF!,#REF!,#REF!</definedName>
    <definedName name="__APW_RESTORE_DATA141__" localSheetId="0" hidden="1">#REF!,#REF!,#REF!,#REF!,#REF!,#REF!,#REF!,#REF!,#REF!,#REF!,#REF!,#REF!,#REF!,#REF!,#REF!</definedName>
    <definedName name="__APW_RESTORE_DATA141__" hidden="1">#REF!,#REF!,#REF!,#REF!,#REF!,#REF!,#REF!,#REF!,#REF!,#REF!,#REF!,#REF!,#REF!,#REF!,#REF!</definedName>
    <definedName name="__APW_RESTORE_DATA142__" localSheetId="0" hidden="1">#REF!,#REF!,#REF!,#REF!,#REF!,#REF!,#REF!,#REF!,#REF!,#REF!,#REF!,#REF!,#REF!,#REF!,#REF!</definedName>
    <definedName name="__APW_RESTORE_DATA142__" hidden="1">#REF!,#REF!,#REF!,#REF!,#REF!,#REF!,#REF!,#REF!,#REF!,#REF!,#REF!,#REF!,#REF!,#REF!,#REF!</definedName>
    <definedName name="__APW_RESTORE_DATA143__" localSheetId="0" hidden="1">#REF!,#REF!,#REF!,#REF!,#REF!,#REF!</definedName>
    <definedName name="__APW_RESTORE_DATA143__" hidden="1">#REF!,#REF!,#REF!,#REF!,#REF!,#REF!</definedName>
    <definedName name="__APW_RESTORE_DATA144__" localSheetId="0" hidden="1">#REF!,#REF!,#REF!,#REF!,#REF!,#REF!,#REF!,#REF!,#REF!,#REF!,#REF!,#REF!,#REF!,#REF!,#REF!,#REF!,#REF!</definedName>
    <definedName name="__APW_RESTORE_DATA144__" hidden="1">#REF!,#REF!,#REF!,#REF!,#REF!,#REF!,#REF!,#REF!,#REF!,#REF!,#REF!,#REF!,#REF!,#REF!,#REF!,#REF!,#REF!</definedName>
    <definedName name="__APW_RESTORE_DATA145__" localSheetId="0" hidden="1">#REF!,#REF!,#REF!,#REF!,#REF!,#REF!,#REF!,#REF!,#REF!,#REF!,#REF!,#REF!,#REF!,#REF!,#REF!,#REF!</definedName>
    <definedName name="__APW_RESTORE_DATA145__" hidden="1">#REF!,#REF!,#REF!,#REF!,#REF!,#REF!,#REF!,#REF!,#REF!,#REF!,#REF!,#REF!,#REF!,#REF!,#REF!,#REF!</definedName>
    <definedName name="__APW_RESTORE_DATA146__" localSheetId="0" hidden="1">#REF!,#REF!,#REF!,#REF!,#REF!,#REF!,#REF!,#REF!,#REF!,#REF!,#REF!,#REF!,#REF!,#REF!,#REF!,#REF!</definedName>
    <definedName name="__APW_RESTORE_DATA146__" hidden="1">#REF!,#REF!,#REF!,#REF!,#REF!,#REF!,#REF!,#REF!,#REF!,#REF!,#REF!,#REF!,#REF!,#REF!,#REF!,#REF!</definedName>
    <definedName name="__APW_RESTORE_DATA147__" localSheetId="0" hidden="1">#REF!,#REF!,#REF!,#REF!,#REF!,#REF!,#REF!,#REF!,#REF!,#REF!,#REF!,#REF!,#REF!,#REF!,#REF!,#REF!</definedName>
    <definedName name="__APW_RESTORE_DATA147__" hidden="1">#REF!,#REF!,#REF!,#REF!,#REF!,#REF!,#REF!,#REF!,#REF!,#REF!,#REF!,#REF!,#REF!,#REF!,#REF!,#REF!</definedName>
    <definedName name="__APW_RESTORE_DATA148__" localSheetId="0" hidden="1">#REF!,#REF!,#REF!,#REF!,#REF!,#REF!,#REF!,#REF!,#REF!,#REF!,#REF!,#REF!,#REF!,#REF!,#REF!,#REF!</definedName>
    <definedName name="__APW_RESTORE_DATA148__" hidden="1">#REF!,#REF!,#REF!,#REF!,#REF!,#REF!,#REF!,#REF!,#REF!,#REF!,#REF!,#REF!,#REF!,#REF!,#REF!,#REF!</definedName>
    <definedName name="__APW_RESTORE_DATA149__" localSheetId="0" hidden="1">#REF!,#REF!,#REF!,#REF!,#REF!,#REF!,#REF!,#REF!,#REF!,#REF!,#REF!,#REF!,#REF!,#REF!,#REF!,#REF!</definedName>
    <definedName name="__APW_RESTORE_DATA149__" hidden="1">#REF!,#REF!,#REF!,#REF!,#REF!,#REF!,#REF!,#REF!,#REF!,#REF!,#REF!,#REF!,#REF!,#REF!,#REF!,#REF!</definedName>
    <definedName name="__APW_RESTORE_DATA15__" localSheetId="0" hidden="1">#REF!,#REF!,#REF!,#REF!,#REF!,#REF!,#REF!,#REF!,#REF!,#REF!,#REF!,#REF!,#REF!,#REF!,#REF!,#REF!</definedName>
    <definedName name="__APW_RESTORE_DATA15__" hidden="1">#REF!,#REF!,#REF!,#REF!,#REF!,#REF!,#REF!,#REF!,#REF!,#REF!,#REF!,#REF!,#REF!,#REF!,#REF!,#REF!</definedName>
    <definedName name="__APW_RESTORE_DATA150__" localSheetId="0" hidden="1">#REF!,#REF!,#REF!,#REF!,#REF!,#REF!,#REF!,#REF!,#REF!,#REF!,#REF!,#REF!,#REF!,#REF!,#REF!</definedName>
    <definedName name="__APW_RESTORE_DATA150__" hidden="1">#REF!,#REF!,#REF!,#REF!,#REF!,#REF!,#REF!,#REF!,#REF!,#REF!,#REF!,#REF!,#REF!,#REF!,#REF!</definedName>
    <definedName name="__APW_RESTORE_DATA151__" localSheetId="0" hidden="1">#REF!,#REF!,#REF!,#REF!,#REF!,#REF!,#REF!,#REF!,#REF!,#REF!,#REF!,#REF!,#REF!,#REF!,#REF!</definedName>
    <definedName name="__APW_RESTORE_DATA151__" hidden="1">#REF!,#REF!,#REF!,#REF!,#REF!,#REF!,#REF!,#REF!,#REF!,#REF!,#REF!,#REF!,#REF!,#REF!,#REF!</definedName>
    <definedName name="__APW_RESTORE_DATA152__" localSheetId="0" hidden="1">#REF!,#REF!,#REF!,#REF!,#REF!,#REF!,#REF!,#REF!,#REF!,#REF!,#REF!,#REF!,#REF!,#REF!,#REF!</definedName>
    <definedName name="__APW_RESTORE_DATA152__" hidden="1">#REF!,#REF!,#REF!,#REF!,#REF!,#REF!,#REF!,#REF!,#REF!,#REF!,#REF!,#REF!,#REF!,#REF!,#REF!</definedName>
    <definedName name="__APW_RESTORE_DATA153__" localSheetId="0" hidden="1">#REF!,#REF!,#REF!,#REF!,#REF!,#REF!,#REF!,#REF!,#REF!,#REF!,#REF!,#REF!,#REF!,#REF!,#REF!</definedName>
    <definedName name="__APW_RESTORE_DATA153__" hidden="1">#REF!,#REF!,#REF!,#REF!,#REF!,#REF!,#REF!,#REF!,#REF!,#REF!,#REF!,#REF!,#REF!,#REF!,#REF!</definedName>
    <definedName name="__APW_RESTORE_DATA154__" localSheetId="0" hidden="1">#REF!,#REF!,#REF!,#REF!,#REF!,#REF!,#REF!,#REF!,#REF!,#REF!,#REF!,#REF!,#REF!,#REF!,#REF!</definedName>
    <definedName name="__APW_RESTORE_DATA154__" hidden="1">#REF!,#REF!,#REF!,#REF!,#REF!,#REF!,#REF!,#REF!,#REF!,#REF!,#REF!,#REF!,#REF!,#REF!,#REF!</definedName>
    <definedName name="__APW_RESTORE_DATA155__" localSheetId="0" hidden="1">#REF!,#REF!,#REF!,#REF!,#REF!,#REF!</definedName>
    <definedName name="__APW_RESTORE_DATA155__" hidden="1">#REF!,#REF!,#REF!,#REF!,#REF!,#REF!</definedName>
    <definedName name="__APW_RESTORE_DATA156__" localSheetId="0" hidden="1">#REF!,#REF!,#REF!,#REF!,#REF!,#REF!,#REF!,#REF!,#REF!,#REF!,#REF!,#REF!,#REF!,#REF!,#REF!,#REF!,#REF!</definedName>
    <definedName name="__APW_RESTORE_DATA156__" hidden="1">#REF!,#REF!,#REF!,#REF!,#REF!,#REF!,#REF!,#REF!,#REF!,#REF!,#REF!,#REF!,#REF!,#REF!,#REF!,#REF!,#REF!</definedName>
    <definedName name="__APW_RESTORE_DATA157__" localSheetId="0" hidden="1">#REF!,#REF!,#REF!,#REF!,#REF!,#REF!,#REF!,#REF!,#REF!,#REF!,#REF!,#REF!,#REF!,#REF!,#REF!,#REF!</definedName>
    <definedName name="__APW_RESTORE_DATA157__" hidden="1">#REF!,#REF!,#REF!,#REF!,#REF!,#REF!,#REF!,#REF!,#REF!,#REF!,#REF!,#REF!,#REF!,#REF!,#REF!,#REF!</definedName>
    <definedName name="__APW_RESTORE_DATA158__" localSheetId="0" hidden="1">#REF!,#REF!,#REF!,#REF!,#REF!,#REF!,#REF!,#REF!,#REF!,#REF!,#REF!,#REF!,#REF!,#REF!,#REF!,#REF!</definedName>
    <definedName name="__APW_RESTORE_DATA158__" hidden="1">#REF!,#REF!,#REF!,#REF!,#REF!,#REF!,#REF!,#REF!,#REF!,#REF!,#REF!,#REF!,#REF!,#REF!,#REF!,#REF!</definedName>
    <definedName name="__APW_RESTORE_DATA159__" localSheetId="0" hidden="1">#REF!,#REF!,#REF!,#REF!,#REF!,#REF!,#REF!,#REF!,#REF!,#REF!,#REF!,#REF!,#REF!,#REF!,#REF!,#REF!</definedName>
    <definedName name="__APW_RESTORE_DATA159__" hidden="1">#REF!,#REF!,#REF!,#REF!,#REF!,#REF!,#REF!,#REF!,#REF!,#REF!,#REF!,#REF!,#REF!,#REF!,#REF!,#REF!</definedName>
    <definedName name="__APW_RESTORE_DATA16__" localSheetId="0" hidden="1">#REF!,#REF!,#REF!,#REF!,#REF!,#REF!,#REF!,#REF!,#REF!,#REF!,#REF!,#REF!,#REF!,#REF!,#REF!,#REF!</definedName>
    <definedName name="__APW_RESTORE_DATA16__" hidden="1">#REF!,#REF!,#REF!,#REF!,#REF!,#REF!,#REF!,#REF!,#REF!,#REF!,#REF!,#REF!,#REF!,#REF!,#REF!,#REF!</definedName>
    <definedName name="__APW_RESTORE_DATA160__" localSheetId="0" hidden="1">#REF!,#REF!,#REF!,#REF!,#REF!,#REF!,#REF!,#REF!,#REF!,#REF!,#REF!,#REF!,#REF!,#REF!,#REF!,#REF!</definedName>
    <definedName name="__APW_RESTORE_DATA160__" hidden="1">#REF!,#REF!,#REF!,#REF!,#REF!,#REF!,#REF!,#REF!,#REF!,#REF!,#REF!,#REF!,#REF!,#REF!,#REF!,#REF!</definedName>
    <definedName name="__APW_RESTORE_DATA161__" localSheetId="0" hidden="1">#REF!,#REF!,#REF!,#REF!,#REF!,#REF!,#REF!,#REF!,#REF!,#REF!,#REF!,#REF!,#REF!,#REF!,#REF!,#REF!</definedName>
    <definedName name="__APW_RESTORE_DATA161__" hidden="1">#REF!,#REF!,#REF!,#REF!,#REF!,#REF!,#REF!,#REF!,#REF!,#REF!,#REF!,#REF!,#REF!,#REF!,#REF!,#REF!</definedName>
    <definedName name="__APW_RESTORE_DATA162__" localSheetId="0" hidden="1">#REF!,#REF!,#REF!,#REF!,#REF!,#REF!,#REF!,#REF!,#REF!,#REF!,#REF!,#REF!,#REF!,#REF!,#REF!</definedName>
    <definedName name="__APW_RESTORE_DATA162__" hidden="1">#REF!,#REF!,#REF!,#REF!,#REF!,#REF!,#REF!,#REF!,#REF!,#REF!,#REF!,#REF!,#REF!,#REF!,#REF!</definedName>
    <definedName name="__APW_RESTORE_DATA163__" localSheetId="0" hidden="1">#REF!,#REF!,#REF!,#REF!,#REF!,#REF!,#REF!,#REF!,#REF!,#REF!,#REF!,#REF!,#REF!,#REF!,#REF!</definedName>
    <definedName name="__APW_RESTORE_DATA163__" hidden="1">#REF!,#REF!,#REF!,#REF!,#REF!,#REF!,#REF!,#REF!,#REF!,#REF!,#REF!,#REF!,#REF!,#REF!,#REF!</definedName>
    <definedName name="__APW_RESTORE_DATA164__" localSheetId="0" hidden="1">#REF!,#REF!,#REF!,#REF!,#REF!,#REF!,#REF!,#REF!,#REF!,#REF!,#REF!,#REF!,#REF!,#REF!,#REF!</definedName>
    <definedName name="__APW_RESTORE_DATA164__" hidden="1">#REF!,#REF!,#REF!,#REF!,#REF!,#REF!,#REF!,#REF!,#REF!,#REF!,#REF!,#REF!,#REF!,#REF!,#REF!</definedName>
    <definedName name="__APW_RESTORE_DATA165__" localSheetId="0" hidden="1">#REF!,#REF!,#REF!,#REF!,#REF!,#REF!,#REF!,#REF!,#REF!,#REF!,#REF!,#REF!,#REF!,#REF!,#REF!</definedName>
    <definedName name="__APW_RESTORE_DATA165__" hidden="1">#REF!,#REF!,#REF!,#REF!,#REF!,#REF!,#REF!,#REF!,#REF!,#REF!,#REF!,#REF!,#REF!,#REF!,#REF!</definedName>
    <definedName name="__APW_RESTORE_DATA166__" localSheetId="0" hidden="1">#REF!,#REF!,#REF!,#REF!,#REF!,#REF!,#REF!,#REF!,#REF!,#REF!,#REF!,#REF!,#REF!,#REF!,#REF!</definedName>
    <definedName name="__APW_RESTORE_DATA166__" hidden="1">#REF!,#REF!,#REF!,#REF!,#REF!,#REF!,#REF!,#REF!,#REF!,#REF!,#REF!,#REF!,#REF!,#REF!,#REF!</definedName>
    <definedName name="__APW_RESTORE_DATA167__" localSheetId="0" hidden="1">#REF!,#REF!,#REF!,#REF!,#REF!,#REF!</definedName>
    <definedName name="__APW_RESTORE_DATA167__" hidden="1">#REF!,#REF!,#REF!,#REF!,#REF!,#REF!</definedName>
    <definedName name="__APW_RESTORE_DATA168__" localSheetId="0" hidden="1">#REF!,#REF!,#REF!,#REF!,#REF!,#REF!,#REF!,#REF!,#REF!,#REF!,#REF!,#REF!,#REF!,#REF!,#REF!,#REF!,#REF!</definedName>
    <definedName name="__APW_RESTORE_DATA168__" hidden="1">#REF!,#REF!,#REF!,#REF!,#REF!,#REF!,#REF!,#REF!,#REF!,#REF!,#REF!,#REF!,#REF!,#REF!,#REF!,#REF!,#REF!</definedName>
    <definedName name="__APW_RESTORE_DATA169__" localSheetId="0" hidden="1">#REF!,#REF!,#REF!,#REF!,#REF!,#REF!,#REF!,#REF!,#REF!,#REF!,#REF!,#REF!,#REF!,#REF!,#REF!,#REF!</definedName>
    <definedName name="__APW_RESTORE_DATA169__" hidden="1">#REF!,#REF!,#REF!,#REF!,#REF!,#REF!,#REF!,#REF!,#REF!,#REF!,#REF!,#REF!,#REF!,#REF!,#REF!,#REF!</definedName>
    <definedName name="__APW_RESTORE_DATA17__" localSheetId="0" hidden="1">#REF!,#REF!,#REF!,#REF!,#REF!,#REF!,#REF!,#REF!,#REF!,#REF!,#REF!,#REF!,#REF!,#REF!,#REF!,#REF!</definedName>
    <definedName name="__APW_RESTORE_DATA17__" hidden="1">#REF!,#REF!,#REF!,#REF!,#REF!,#REF!,#REF!,#REF!,#REF!,#REF!,#REF!,#REF!,#REF!,#REF!,#REF!,#REF!</definedName>
    <definedName name="__APW_RESTORE_DATA170__" localSheetId="0" hidden="1">#REF!,#REF!,#REF!,#REF!,#REF!,#REF!,#REF!,#REF!,#REF!,#REF!,#REF!,#REF!,#REF!,#REF!,#REF!,#REF!</definedName>
    <definedName name="__APW_RESTORE_DATA170__" hidden="1">#REF!,#REF!,#REF!,#REF!,#REF!,#REF!,#REF!,#REF!,#REF!,#REF!,#REF!,#REF!,#REF!,#REF!,#REF!,#REF!</definedName>
    <definedName name="__APW_RESTORE_DATA171__" localSheetId="0" hidden="1">#REF!,#REF!,#REF!,#REF!,#REF!,#REF!,#REF!,#REF!,#REF!,#REF!,#REF!,#REF!,#REF!,#REF!,#REF!,#REF!</definedName>
    <definedName name="__APW_RESTORE_DATA171__" hidden="1">#REF!,#REF!,#REF!,#REF!,#REF!,#REF!,#REF!,#REF!,#REF!,#REF!,#REF!,#REF!,#REF!,#REF!,#REF!,#REF!</definedName>
    <definedName name="__APW_RESTORE_DATA172__" localSheetId="0" hidden="1">#REF!,#REF!,#REF!,#REF!,#REF!,#REF!,#REF!,#REF!,#REF!,#REF!,#REF!,#REF!,#REF!,#REF!,#REF!,#REF!</definedName>
    <definedName name="__APW_RESTORE_DATA172__" hidden="1">#REF!,#REF!,#REF!,#REF!,#REF!,#REF!,#REF!,#REF!,#REF!,#REF!,#REF!,#REF!,#REF!,#REF!,#REF!,#REF!</definedName>
    <definedName name="__APW_RESTORE_DATA173__" localSheetId="0" hidden="1">#REF!,#REF!,#REF!,#REF!,#REF!,#REF!,#REF!,#REF!,#REF!,#REF!,#REF!,#REF!,#REF!,#REF!,#REF!,#REF!</definedName>
    <definedName name="__APW_RESTORE_DATA173__" hidden="1">#REF!,#REF!,#REF!,#REF!,#REF!,#REF!,#REF!,#REF!,#REF!,#REF!,#REF!,#REF!,#REF!,#REF!,#REF!,#REF!</definedName>
    <definedName name="__APW_RESTORE_DATA174__" localSheetId="0" hidden="1">#REF!,#REF!,#REF!,#REF!,#REF!,#REF!,#REF!,#REF!,#REF!,#REF!,#REF!,#REF!,#REF!,#REF!,#REF!</definedName>
    <definedName name="__APW_RESTORE_DATA174__" hidden="1">#REF!,#REF!,#REF!,#REF!,#REF!,#REF!,#REF!,#REF!,#REF!,#REF!,#REF!,#REF!,#REF!,#REF!,#REF!</definedName>
    <definedName name="__APW_RESTORE_DATA175__" localSheetId="0" hidden="1">#REF!,#REF!,#REF!,#REF!,#REF!,#REF!,#REF!,#REF!,#REF!,#REF!,#REF!,#REF!,#REF!,#REF!,#REF!</definedName>
    <definedName name="__APW_RESTORE_DATA175__" hidden="1">#REF!,#REF!,#REF!,#REF!,#REF!,#REF!,#REF!,#REF!,#REF!,#REF!,#REF!,#REF!,#REF!,#REF!,#REF!</definedName>
    <definedName name="__APW_RESTORE_DATA176__" localSheetId="0" hidden="1">#REF!,#REF!,#REF!,#REF!,#REF!,#REF!,#REF!,#REF!,#REF!,#REF!,#REF!,#REF!,#REF!,#REF!,#REF!</definedName>
    <definedName name="__APW_RESTORE_DATA176__" hidden="1">#REF!,#REF!,#REF!,#REF!,#REF!,#REF!,#REF!,#REF!,#REF!,#REF!,#REF!,#REF!,#REF!,#REF!,#REF!</definedName>
    <definedName name="__APW_RESTORE_DATA177__" localSheetId="0" hidden="1">#REF!,#REF!,#REF!,#REF!,#REF!,#REF!,#REF!,#REF!,#REF!,#REF!,#REF!,#REF!,#REF!,#REF!,#REF!</definedName>
    <definedName name="__APW_RESTORE_DATA177__" hidden="1">#REF!,#REF!,#REF!,#REF!,#REF!,#REF!,#REF!,#REF!,#REF!,#REF!,#REF!,#REF!,#REF!,#REF!,#REF!</definedName>
    <definedName name="__APW_RESTORE_DATA178__" localSheetId="0" hidden="1">#REF!,#REF!,#REF!,#REF!,#REF!,#REF!,#REF!,#REF!,#REF!,#REF!,#REF!,#REF!,#REF!,#REF!,#REF!</definedName>
    <definedName name="__APW_RESTORE_DATA178__" hidden="1">#REF!,#REF!,#REF!,#REF!,#REF!,#REF!,#REF!,#REF!,#REF!,#REF!,#REF!,#REF!,#REF!,#REF!,#REF!</definedName>
    <definedName name="__APW_RESTORE_DATA179__" localSheetId="0" hidden="1">#REF!,#REF!,#REF!,#REF!,#REF!,#REF!</definedName>
    <definedName name="__APW_RESTORE_DATA179__" hidden="1">#REF!,#REF!,#REF!,#REF!,#REF!,#REF!</definedName>
    <definedName name="__APW_RESTORE_DATA18__" localSheetId="0" hidden="1">#REF!,#REF!,#REF!,#REF!,#REF!,#REF!,#REF!,#REF!,#REF!,#REF!,#REF!,#REF!,#REF!,#REF!,#REF!</definedName>
    <definedName name="__APW_RESTORE_DATA18__" hidden="1">#REF!,#REF!,#REF!,#REF!,#REF!,#REF!,#REF!,#REF!,#REF!,#REF!,#REF!,#REF!,#REF!,#REF!,#REF!</definedName>
    <definedName name="__APW_RESTORE_DATA180__" localSheetId="0" hidden="1">#REF!,#REF!,#REF!,#REF!,#REF!,#REF!,#REF!,#REF!,#REF!,#REF!,#REF!,#REF!,#REF!,#REF!,#REF!,#REF!,#REF!</definedName>
    <definedName name="__APW_RESTORE_DATA180__" hidden="1">#REF!,#REF!,#REF!,#REF!,#REF!,#REF!,#REF!,#REF!,#REF!,#REF!,#REF!,#REF!,#REF!,#REF!,#REF!,#REF!,#REF!</definedName>
    <definedName name="__APW_RESTORE_DATA181__" localSheetId="0" hidden="1">#REF!,#REF!,#REF!,#REF!,#REF!,#REF!,#REF!,#REF!,#REF!,#REF!,#REF!,#REF!,#REF!,#REF!,#REF!,#REF!</definedName>
    <definedName name="__APW_RESTORE_DATA181__" hidden="1">#REF!,#REF!,#REF!,#REF!,#REF!,#REF!,#REF!,#REF!,#REF!,#REF!,#REF!,#REF!,#REF!,#REF!,#REF!,#REF!</definedName>
    <definedName name="__APW_RESTORE_DATA182__" localSheetId="0" hidden="1">#REF!,#REF!,#REF!,#REF!,#REF!,#REF!,#REF!,#REF!,#REF!,#REF!,#REF!,#REF!,#REF!,#REF!,#REF!,#REF!</definedName>
    <definedName name="__APW_RESTORE_DATA182__" hidden="1">#REF!,#REF!,#REF!,#REF!,#REF!,#REF!,#REF!,#REF!,#REF!,#REF!,#REF!,#REF!,#REF!,#REF!,#REF!,#REF!</definedName>
    <definedName name="__APW_RESTORE_DATA183__" localSheetId="0" hidden="1">#REF!,#REF!,#REF!,#REF!,#REF!,#REF!,#REF!,#REF!,#REF!,#REF!,#REF!,#REF!,#REF!,#REF!,#REF!,#REF!</definedName>
    <definedName name="__APW_RESTORE_DATA183__" hidden="1">#REF!,#REF!,#REF!,#REF!,#REF!,#REF!,#REF!,#REF!,#REF!,#REF!,#REF!,#REF!,#REF!,#REF!,#REF!,#REF!</definedName>
    <definedName name="__APW_RESTORE_DATA184__" localSheetId="0" hidden="1">#REF!,#REF!,#REF!,#REF!,#REF!,#REF!,#REF!,#REF!,#REF!,#REF!,#REF!,#REF!,#REF!,#REF!,#REF!,#REF!</definedName>
    <definedName name="__APW_RESTORE_DATA184__" hidden="1">#REF!,#REF!,#REF!,#REF!,#REF!,#REF!,#REF!,#REF!,#REF!,#REF!,#REF!,#REF!,#REF!,#REF!,#REF!,#REF!</definedName>
    <definedName name="__APW_RESTORE_DATA185__" localSheetId="0" hidden="1">#REF!,#REF!,#REF!,#REF!,#REF!,#REF!,#REF!,#REF!,#REF!,#REF!,#REF!,#REF!,#REF!,#REF!,#REF!,#REF!</definedName>
    <definedName name="__APW_RESTORE_DATA185__" hidden="1">#REF!,#REF!,#REF!,#REF!,#REF!,#REF!,#REF!,#REF!,#REF!,#REF!,#REF!,#REF!,#REF!,#REF!,#REF!,#REF!</definedName>
    <definedName name="__APW_RESTORE_DATA186__" localSheetId="0" hidden="1">#REF!,#REF!,#REF!,#REF!,#REF!,#REF!,#REF!,#REF!,#REF!,#REF!,#REF!,#REF!,#REF!,#REF!,#REF!</definedName>
    <definedName name="__APW_RESTORE_DATA186__" hidden="1">#REF!,#REF!,#REF!,#REF!,#REF!,#REF!,#REF!,#REF!,#REF!,#REF!,#REF!,#REF!,#REF!,#REF!,#REF!</definedName>
    <definedName name="__APW_RESTORE_DATA187__" localSheetId="0" hidden="1">#REF!,#REF!,#REF!,#REF!,#REF!,#REF!,#REF!,#REF!,#REF!,#REF!,#REF!,#REF!,#REF!,#REF!,#REF!</definedName>
    <definedName name="__APW_RESTORE_DATA187__" hidden="1">#REF!,#REF!,#REF!,#REF!,#REF!,#REF!,#REF!,#REF!,#REF!,#REF!,#REF!,#REF!,#REF!,#REF!,#REF!</definedName>
    <definedName name="__APW_RESTORE_DATA188__" localSheetId="0" hidden="1">#REF!,#REF!,#REF!,#REF!,#REF!,#REF!,#REF!,#REF!,#REF!,#REF!,#REF!,#REF!,#REF!,#REF!,#REF!</definedName>
    <definedName name="__APW_RESTORE_DATA188__" hidden="1">#REF!,#REF!,#REF!,#REF!,#REF!,#REF!,#REF!,#REF!,#REF!,#REF!,#REF!,#REF!,#REF!,#REF!,#REF!</definedName>
    <definedName name="__APW_RESTORE_DATA189__" localSheetId="0" hidden="1">#REF!,#REF!,#REF!,#REF!,#REF!,#REF!,#REF!,#REF!,#REF!,#REF!,#REF!,#REF!,#REF!,#REF!,#REF!</definedName>
    <definedName name="__APW_RESTORE_DATA189__" hidden="1">#REF!,#REF!,#REF!,#REF!,#REF!,#REF!,#REF!,#REF!,#REF!,#REF!,#REF!,#REF!,#REF!,#REF!,#REF!</definedName>
    <definedName name="__APW_RESTORE_DATA19__" localSheetId="0" hidden="1">#REF!,#REF!,#REF!,#REF!,#REF!,#REF!,#REF!,#REF!,#REF!,#REF!,#REF!,#REF!,#REF!,#REF!,#REF!</definedName>
    <definedName name="__APW_RESTORE_DATA19__" hidden="1">#REF!,#REF!,#REF!,#REF!,#REF!,#REF!,#REF!,#REF!,#REF!,#REF!,#REF!,#REF!,#REF!,#REF!,#REF!</definedName>
    <definedName name="__APW_RESTORE_DATA190__" localSheetId="0" hidden="1">#REF!,#REF!,#REF!,#REF!,#REF!,#REF!,#REF!,#REF!,#REF!,#REF!,#REF!,#REF!,#REF!,#REF!,#REF!</definedName>
    <definedName name="__APW_RESTORE_DATA190__" hidden="1">#REF!,#REF!,#REF!,#REF!,#REF!,#REF!,#REF!,#REF!,#REF!,#REF!,#REF!,#REF!,#REF!,#REF!,#REF!</definedName>
    <definedName name="__APW_RESTORE_DATA191__" localSheetId="0" hidden="1">#REF!,#REF!,#REF!,#REF!,#REF!,#REF!</definedName>
    <definedName name="__APW_RESTORE_DATA191__" hidden="1">#REF!,#REF!,#REF!,#REF!,#REF!,#REF!</definedName>
    <definedName name="__APW_RESTORE_DATA192__" localSheetId="0" hidden="1">#REF!,#REF!,#REF!,#REF!,#REF!,#REF!,#REF!,#REF!,#REF!,#REF!,#REF!,#REF!,#REF!,#REF!,#REF!,#REF!,#REF!</definedName>
    <definedName name="__APW_RESTORE_DATA192__" hidden="1">#REF!,#REF!,#REF!,#REF!,#REF!,#REF!,#REF!,#REF!,#REF!,#REF!,#REF!,#REF!,#REF!,#REF!,#REF!,#REF!,#REF!</definedName>
    <definedName name="__APW_RESTORE_DATA193__" localSheetId="0" hidden="1">#REF!,#REF!,#REF!,#REF!,#REF!,#REF!,#REF!,#REF!,#REF!,#REF!,#REF!,#REF!,#REF!,#REF!,#REF!,#REF!</definedName>
    <definedName name="__APW_RESTORE_DATA193__" hidden="1">#REF!,#REF!,#REF!,#REF!,#REF!,#REF!,#REF!,#REF!,#REF!,#REF!,#REF!,#REF!,#REF!,#REF!,#REF!,#REF!</definedName>
    <definedName name="__APW_RESTORE_DATA194__" localSheetId="0" hidden="1">#REF!,#REF!,#REF!,#REF!,#REF!,#REF!,#REF!,#REF!,#REF!,#REF!,#REF!,#REF!,#REF!,#REF!,#REF!,#REF!</definedName>
    <definedName name="__APW_RESTORE_DATA194__" hidden="1">#REF!,#REF!,#REF!,#REF!,#REF!,#REF!,#REF!,#REF!,#REF!,#REF!,#REF!,#REF!,#REF!,#REF!,#REF!,#REF!</definedName>
    <definedName name="__APW_RESTORE_DATA195__" localSheetId="0" hidden="1">#REF!,#REF!,#REF!,#REF!,#REF!,#REF!,#REF!,#REF!,#REF!,#REF!,#REF!,#REF!,#REF!,#REF!,#REF!,#REF!</definedName>
    <definedName name="__APW_RESTORE_DATA195__" hidden="1">#REF!,#REF!,#REF!,#REF!,#REF!,#REF!,#REF!,#REF!,#REF!,#REF!,#REF!,#REF!,#REF!,#REF!,#REF!,#REF!</definedName>
    <definedName name="__APW_RESTORE_DATA196__" localSheetId="0" hidden="1">#REF!,#REF!,#REF!,#REF!,#REF!,#REF!,#REF!,#REF!,#REF!,#REF!,#REF!,#REF!,#REF!,#REF!,#REF!,#REF!</definedName>
    <definedName name="__APW_RESTORE_DATA196__" hidden="1">#REF!,#REF!,#REF!,#REF!,#REF!,#REF!,#REF!,#REF!,#REF!,#REF!,#REF!,#REF!,#REF!,#REF!,#REF!,#REF!</definedName>
    <definedName name="__APW_RESTORE_DATA197__" localSheetId="0" hidden="1">#REF!,#REF!,#REF!,#REF!,#REF!,#REF!,#REF!,#REF!,#REF!,#REF!,#REF!,#REF!,#REF!,#REF!,#REF!,#REF!</definedName>
    <definedName name="__APW_RESTORE_DATA197__" hidden="1">#REF!,#REF!,#REF!,#REF!,#REF!,#REF!,#REF!,#REF!,#REF!,#REF!,#REF!,#REF!,#REF!,#REF!,#REF!,#REF!</definedName>
    <definedName name="__APW_RESTORE_DATA198__" localSheetId="0" hidden="1">#REF!,#REF!,#REF!,#REF!,#REF!,#REF!,#REF!,#REF!,#REF!,#REF!,#REF!,#REF!,#REF!,#REF!,#REF!</definedName>
    <definedName name="__APW_RESTORE_DATA198__" hidden="1">#REF!,#REF!,#REF!,#REF!,#REF!,#REF!,#REF!,#REF!,#REF!,#REF!,#REF!,#REF!,#REF!,#REF!,#REF!</definedName>
    <definedName name="__APW_RESTORE_DATA199__" localSheetId="0" hidden="1">#REF!,#REF!,#REF!,#REF!,#REF!,#REF!,#REF!,#REF!,#REF!,#REF!,#REF!,#REF!,#REF!,#REF!,#REF!,#REF!,#REF!</definedName>
    <definedName name="__APW_RESTORE_DATA199__" hidden="1">#REF!,#REF!,#REF!,#REF!,#REF!,#REF!,#REF!,#REF!,#REF!,#REF!,#REF!,#REF!,#REF!,#REF!,#REF!,#REF!,#REF!</definedName>
    <definedName name="__APW_RESTORE_DATA2__" localSheetId="0" hidden="1">#REF!,#REF!,#REF!,#REF!,#REF!,#REF!,#REF!,#REF!,#REF!,#REF!,#REF!,#REF!,#REF!,#REF!,#REF!,#REF!</definedName>
    <definedName name="__APW_RESTORE_DATA2__" hidden="1">#REF!,#REF!,#REF!,#REF!,#REF!,#REF!,#REF!,#REF!,#REF!,#REF!,#REF!,#REF!,#REF!,#REF!,#REF!,#REF!</definedName>
    <definedName name="__APW_RESTORE_DATA20__" localSheetId="0" hidden="1">#REF!,#REF!,#REF!,#REF!,#REF!,#REF!,#REF!,#REF!,#REF!,#REF!,#REF!,#REF!,#REF!,#REF!,#REF!</definedName>
    <definedName name="__APW_RESTORE_DATA20__" hidden="1">#REF!,#REF!,#REF!,#REF!,#REF!,#REF!,#REF!,#REF!,#REF!,#REF!,#REF!,#REF!,#REF!,#REF!,#REF!</definedName>
    <definedName name="__APW_RESTORE_DATA200__" localSheetId="0" hidden="1">#REF!,#REF!,#REF!,#REF!,#REF!,#REF!,#REF!,#REF!,#REF!,#REF!,#REF!,#REF!,#REF!,#REF!,#REF!,#REF!</definedName>
    <definedName name="__APW_RESTORE_DATA200__" hidden="1">#REF!,#REF!,#REF!,#REF!,#REF!,#REF!,#REF!,#REF!,#REF!,#REF!,#REF!,#REF!,#REF!,#REF!,#REF!,#REF!</definedName>
    <definedName name="__APW_RESTORE_DATA201__" localSheetId="0" hidden="1">#REF!,#REF!,#REF!,#REF!,#REF!,#REF!,#REF!,#REF!,#REF!,#REF!,#REF!,#REF!,#REF!,#REF!,#REF!,#REF!</definedName>
    <definedName name="__APW_RESTORE_DATA201__" hidden="1">#REF!,#REF!,#REF!,#REF!,#REF!,#REF!,#REF!,#REF!,#REF!,#REF!,#REF!,#REF!,#REF!,#REF!,#REF!,#REF!</definedName>
    <definedName name="__APW_RESTORE_DATA202__" localSheetId="0" hidden="1">#REF!,#REF!,#REF!,#REF!,#REF!,#REF!,#REF!,#REF!,#REF!,#REF!,#REF!,#REF!,#REF!,#REF!,#REF!,#REF!</definedName>
    <definedName name="__APW_RESTORE_DATA202__" hidden="1">#REF!,#REF!,#REF!,#REF!,#REF!,#REF!,#REF!,#REF!,#REF!,#REF!,#REF!,#REF!,#REF!,#REF!,#REF!,#REF!</definedName>
    <definedName name="__APW_RESTORE_DATA203__" localSheetId="0" hidden="1">#REF!,#REF!,#REF!,#REF!,#REF!,#REF!,#REF!,#REF!,#REF!,#REF!,#REF!,#REF!,#REF!,#REF!,#REF!,#REF!</definedName>
    <definedName name="__APW_RESTORE_DATA203__" hidden="1">#REF!,#REF!,#REF!,#REF!,#REF!,#REF!,#REF!,#REF!,#REF!,#REF!,#REF!,#REF!,#REF!,#REF!,#REF!,#REF!</definedName>
    <definedName name="__APW_RESTORE_DATA204__" localSheetId="0" hidden="1">#REF!,#REF!,#REF!,#REF!,#REF!,#REF!,#REF!,#REF!,#REF!,#REF!,#REF!,#REF!,#REF!,#REF!,#REF!,#REF!</definedName>
    <definedName name="__APW_RESTORE_DATA204__" hidden="1">#REF!,#REF!,#REF!,#REF!,#REF!,#REF!,#REF!,#REF!,#REF!,#REF!,#REF!,#REF!,#REF!,#REF!,#REF!,#REF!</definedName>
    <definedName name="__APW_RESTORE_DATA205__" localSheetId="0" hidden="1">#REF!,#REF!,#REF!,#REF!,#REF!,#REF!,#REF!,#REF!,#REF!,#REF!,#REF!,#REF!,#REF!,#REF!,#REF!</definedName>
    <definedName name="__APW_RESTORE_DATA205__" hidden="1">#REF!,#REF!,#REF!,#REF!,#REF!,#REF!,#REF!,#REF!,#REF!,#REF!,#REF!,#REF!,#REF!,#REF!,#REF!</definedName>
    <definedName name="__APW_RESTORE_DATA206__" localSheetId="0" hidden="1">#REF!,#REF!,#REF!,#REF!,#REF!,#REF!,#REF!,#REF!,#REF!,#REF!,#REF!,#REF!,#REF!,#REF!,#REF!</definedName>
    <definedName name="__APW_RESTORE_DATA206__" hidden="1">#REF!,#REF!,#REF!,#REF!,#REF!,#REF!,#REF!,#REF!,#REF!,#REF!,#REF!,#REF!,#REF!,#REF!,#REF!</definedName>
    <definedName name="__APW_RESTORE_DATA207__" localSheetId="0" hidden="1">#REF!,#REF!,#REF!,#REF!,#REF!,#REF!,#REF!,#REF!,#REF!,#REF!,#REF!,#REF!,#REF!,#REF!,#REF!</definedName>
    <definedName name="__APW_RESTORE_DATA207__" hidden="1">#REF!,#REF!,#REF!,#REF!,#REF!,#REF!,#REF!,#REF!,#REF!,#REF!,#REF!,#REF!,#REF!,#REF!,#REF!</definedName>
    <definedName name="__APW_RESTORE_DATA208__" localSheetId="0" hidden="1">#REF!,#REF!,#REF!,#REF!,#REF!,#REF!,#REF!,#REF!,#REF!,#REF!,#REF!,#REF!,#REF!,#REF!,#REF!</definedName>
    <definedName name="__APW_RESTORE_DATA208__" hidden="1">#REF!,#REF!,#REF!,#REF!,#REF!,#REF!,#REF!,#REF!,#REF!,#REF!,#REF!,#REF!,#REF!,#REF!,#REF!</definedName>
    <definedName name="__APW_RESTORE_DATA209__" localSheetId="0" hidden="1">#REF!,#REF!,#REF!,#REF!,#REF!,#REF!,#REF!,#REF!,#REF!,#REF!,#REF!,#REF!,#REF!,#REF!</definedName>
    <definedName name="__APW_RESTORE_DATA209__" hidden="1">#REF!,#REF!,#REF!,#REF!,#REF!,#REF!,#REF!,#REF!,#REF!,#REF!,#REF!,#REF!,#REF!,#REF!</definedName>
    <definedName name="__APW_RESTORE_DATA21__" localSheetId="0" hidden="1">#REF!,#REF!,#REF!,#REF!,#REF!,#REF!,#REF!,#REF!,#REF!,#REF!,#REF!,#REF!,#REF!,#REF!,#REF!</definedName>
    <definedName name="__APW_RESTORE_DATA21__" hidden="1">#REF!,#REF!,#REF!,#REF!,#REF!,#REF!,#REF!,#REF!,#REF!,#REF!,#REF!,#REF!,#REF!,#REF!,#REF!</definedName>
    <definedName name="__APW_RESTORE_DATA210__" localSheetId="0" hidden="1">#REF!,#REF!,#REF!,#REF!,#REF!,#REF!,#REF!,#REF!,#REF!,#REF!,#REF!,#REF!,#REF!,#REF!,#REF!,#REF!,#REF!</definedName>
    <definedName name="__APW_RESTORE_DATA210__" hidden="1">#REF!,#REF!,#REF!,#REF!,#REF!,#REF!,#REF!,#REF!,#REF!,#REF!,#REF!,#REF!,#REF!,#REF!,#REF!,#REF!,#REF!</definedName>
    <definedName name="__APW_RESTORE_DATA211__" localSheetId="0" hidden="1">#REF!,#REF!,#REF!,#REF!,#REF!,#REF!,#REF!,#REF!,#REF!,#REF!,#REF!,#REF!,#REF!,#REF!,#REF!,#REF!</definedName>
    <definedName name="__APW_RESTORE_DATA211__" hidden="1">#REF!,#REF!,#REF!,#REF!,#REF!,#REF!,#REF!,#REF!,#REF!,#REF!,#REF!,#REF!,#REF!,#REF!,#REF!,#REF!</definedName>
    <definedName name="__APW_RESTORE_DATA212__" localSheetId="0" hidden="1">#REF!,#REF!,#REF!,#REF!,#REF!,#REF!,#REF!,#REF!,#REF!,#REF!,#REF!,#REF!,#REF!,#REF!,#REF!,#REF!</definedName>
    <definedName name="__APW_RESTORE_DATA212__" hidden="1">#REF!,#REF!,#REF!,#REF!,#REF!,#REF!,#REF!,#REF!,#REF!,#REF!,#REF!,#REF!,#REF!,#REF!,#REF!,#REF!</definedName>
    <definedName name="__APW_RESTORE_DATA213__" localSheetId="0" hidden="1">#REF!,#REF!,#REF!,#REF!,#REF!,#REF!,#REF!,#REF!,#REF!,#REF!,#REF!,#REF!,#REF!,#REF!,#REF!,#REF!</definedName>
    <definedName name="__APW_RESTORE_DATA213__" hidden="1">#REF!,#REF!,#REF!,#REF!,#REF!,#REF!,#REF!,#REF!,#REF!,#REF!,#REF!,#REF!,#REF!,#REF!,#REF!,#REF!</definedName>
    <definedName name="__APW_RESTORE_DATA214__" localSheetId="0" hidden="1">#REF!,#REF!,#REF!,#REF!,#REF!,#REF!,#REF!,#REF!,#REF!,#REF!,#REF!,#REF!,#REF!,#REF!,#REF!,#REF!</definedName>
    <definedName name="__APW_RESTORE_DATA214__" hidden="1">#REF!,#REF!,#REF!,#REF!,#REF!,#REF!,#REF!,#REF!,#REF!,#REF!,#REF!,#REF!,#REF!,#REF!,#REF!,#REF!</definedName>
    <definedName name="__APW_RESTORE_DATA215__" localSheetId="0" hidden="1">#REF!,#REF!,#REF!,#REF!,#REF!,#REF!,#REF!,#REF!,#REF!,#REF!,#REF!,#REF!,#REF!,#REF!,#REF!,#REF!</definedName>
    <definedName name="__APW_RESTORE_DATA215__" hidden="1">#REF!,#REF!,#REF!,#REF!,#REF!,#REF!,#REF!,#REF!,#REF!,#REF!,#REF!,#REF!,#REF!,#REF!,#REF!,#REF!</definedName>
    <definedName name="__APW_RESTORE_DATA216__" localSheetId="0" hidden="1">#REF!,#REF!,#REF!,#REF!,#REF!,#REF!,#REF!,#REF!,#REF!,#REF!,#REF!,#REF!,#REF!,#REF!,#REF!</definedName>
    <definedName name="__APW_RESTORE_DATA216__" hidden="1">#REF!,#REF!,#REF!,#REF!,#REF!,#REF!,#REF!,#REF!,#REF!,#REF!,#REF!,#REF!,#REF!,#REF!,#REF!</definedName>
    <definedName name="__APW_RESTORE_DATA217__" localSheetId="0" hidden="1">#REF!,#REF!,#REF!,#REF!,#REF!,#REF!,#REF!,#REF!,#REF!,#REF!,#REF!,#REF!,#REF!,#REF!,#REF!</definedName>
    <definedName name="__APW_RESTORE_DATA217__" hidden="1">#REF!,#REF!,#REF!,#REF!,#REF!,#REF!,#REF!,#REF!,#REF!,#REF!,#REF!,#REF!,#REF!,#REF!,#REF!</definedName>
    <definedName name="__APW_RESTORE_DATA218__" localSheetId="0" hidden="1">#REF!,#REF!,#REF!,#REF!,#REF!,#REF!,#REF!,#REF!,#REF!,#REF!,#REF!,#REF!,#REF!,#REF!,#REF!</definedName>
    <definedName name="__APW_RESTORE_DATA218__" hidden="1">#REF!,#REF!,#REF!,#REF!,#REF!,#REF!,#REF!,#REF!,#REF!,#REF!,#REF!,#REF!,#REF!,#REF!,#REF!</definedName>
    <definedName name="__APW_RESTORE_DATA219__" localSheetId="0" hidden="1">#REF!,#REF!,#REF!,#REF!,#REF!,#REF!,#REF!,#REF!,#REF!,#REF!,#REF!,#REF!,#REF!,#REF!,#REF!</definedName>
    <definedName name="__APW_RESTORE_DATA219__" hidden="1">#REF!,#REF!,#REF!,#REF!,#REF!,#REF!,#REF!,#REF!,#REF!,#REF!,#REF!,#REF!,#REF!,#REF!,#REF!</definedName>
    <definedName name="__APW_RESTORE_DATA22__" localSheetId="0" hidden="1">#REF!,#REF!,#REF!,#REF!,#REF!,#REF!,#REF!,#REF!,#REF!,#REF!,#REF!,#REF!,#REF!,#REF!,#REF!</definedName>
    <definedName name="__APW_RESTORE_DATA22__" hidden="1">#REF!,#REF!,#REF!,#REF!,#REF!,#REF!,#REF!,#REF!,#REF!,#REF!,#REF!,#REF!,#REF!,#REF!,#REF!</definedName>
    <definedName name="__APW_RESTORE_DATA220__" localSheetId="0" hidden="1">#REF!,#REF!,#REF!,#REF!,#REF!,#REF!,#REF!,#REF!,#REF!,#REF!,#REF!,#REF!,#REF!,#REF!</definedName>
    <definedName name="__APW_RESTORE_DATA220__" hidden="1">#REF!,#REF!,#REF!,#REF!,#REF!,#REF!,#REF!,#REF!,#REF!,#REF!,#REF!,#REF!,#REF!,#REF!</definedName>
    <definedName name="__APW_RESTORE_DATA221__" localSheetId="0" hidden="1">#REF!,#REF!,#REF!,#REF!,#REF!,#REF!,#REF!,#REF!,#REF!,#REF!,#REF!,#REF!,#REF!,#REF!,#REF!,#REF!,#REF!</definedName>
    <definedName name="__APW_RESTORE_DATA221__" hidden="1">#REF!,#REF!,#REF!,#REF!,#REF!,#REF!,#REF!,#REF!,#REF!,#REF!,#REF!,#REF!,#REF!,#REF!,#REF!,#REF!,#REF!</definedName>
    <definedName name="__APW_RESTORE_DATA222__" localSheetId="0" hidden="1">#REF!,#REF!,#REF!,#REF!,#REF!,#REF!,#REF!,#REF!,#REF!,#REF!,#REF!,#REF!,#REF!,#REF!,#REF!,#REF!</definedName>
    <definedName name="__APW_RESTORE_DATA222__" hidden="1">#REF!,#REF!,#REF!,#REF!,#REF!,#REF!,#REF!,#REF!,#REF!,#REF!,#REF!,#REF!,#REF!,#REF!,#REF!,#REF!</definedName>
    <definedName name="__APW_RESTORE_DATA223__" localSheetId="0" hidden="1">#REF!,#REF!,#REF!,#REF!,#REF!,#REF!,#REF!,#REF!,#REF!,#REF!,#REF!,#REF!,#REF!,#REF!,#REF!,#REF!</definedName>
    <definedName name="__APW_RESTORE_DATA223__" hidden="1">#REF!,#REF!,#REF!,#REF!,#REF!,#REF!,#REF!,#REF!,#REF!,#REF!,#REF!,#REF!,#REF!,#REF!,#REF!,#REF!</definedName>
    <definedName name="__APW_RESTORE_DATA224__" localSheetId="0" hidden="1">#REF!,#REF!,#REF!,#REF!,#REF!,#REF!,#REF!,#REF!,#REF!,#REF!,#REF!,#REF!,#REF!,#REF!,#REF!,#REF!</definedName>
    <definedName name="__APW_RESTORE_DATA224__" hidden="1">#REF!,#REF!,#REF!,#REF!,#REF!,#REF!,#REF!,#REF!,#REF!,#REF!,#REF!,#REF!,#REF!,#REF!,#REF!,#REF!</definedName>
    <definedName name="__APW_RESTORE_DATA225__" localSheetId="0" hidden="1">#REF!,#REF!,#REF!,#REF!,#REF!,#REF!,#REF!,#REF!,#REF!,#REF!,#REF!,#REF!,#REF!,#REF!,#REF!,#REF!</definedName>
    <definedName name="__APW_RESTORE_DATA225__" hidden="1">#REF!,#REF!,#REF!,#REF!,#REF!,#REF!,#REF!,#REF!,#REF!,#REF!,#REF!,#REF!,#REF!,#REF!,#REF!,#REF!</definedName>
    <definedName name="__APW_RESTORE_DATA226__" localSheetId="0" hidden="1">#REF!,#REF!,#REF!,#REF!,#REF!,#REF!,#REF!,#REF!,#REF!,#REF!,#REF!,#REF!,#REF!,#REF!,#REF!,#REF!</definedName>
    <definedName name="__APW_RESTORE_DATA226__" hidden="1">#REF!,#REF!,#REF!,#REF!,#REF!,#REF!,#REF!,#REF!,#REF!,#REF!,#REF!,#REF!,#REF!,#REF!,#REF!,#REF!</definedName>
    <definedName name="__APW_RESTORE_DATA227__" localSheetId="0" hidden="1">#REF!,#REF!,#REF!,#REF!,#REF!,#REF!,#REF!,#REF!,#REF!,#REF!,#REF!,#REF!,#REF!,#REF!,#REF!</definedName>
    <definedName name="__APW_RESTORE_DATA227__" hidden="1">#REF!,#REF!,#REF!,#REF!,#REF!,#REF!,#REF!,#REF!,#REF!,#REF!,#REF!,#REF!,#REF!,#REF!,#REF!</definedName>
    <definedName name="__APW_RESTORE_DATA228__" localSheetId="0" hidden="1">#REF!,#REF!,#REF!,#REF!,#REF!,#REF!,#REF!,#REF!,#REF!,#REF!,#REF!,#REF!,#REF!,#REF!,#REF!</definedName>
    <definedName name="__APW_RESTORE_DATA228__" hidden="1">#REF!,#REF!,#REF!,#REF!,#REF!,#REF!,#REF!,#REF!,#REF!,#REF!,#REF!,#REF!,#REF!,#REF!,#REF!</definedName>
    <definedName name="__APW_RESTORE_DATA229__" localSheetId="0" hidden="1">#REF!,#REF!,#REF!,#REF!,#REF!,#REF!,#REF!,#REF!,#REF!,#REF!,#REF!,#REF!,#REF!,#REF!,#REF!</definedName>
    <definedName name="__APW_RESTORE_DATA229__" hidden="1">#REF!,#REF!,#REF!,#REF!,#REF!,#REF!,#REF!,#REF!,#REF!,#REF!,#REF!,#REF!,#REF!,#REF!,#REF!</definedName>
    <definedName name="__APW_RESTORE_DATA23__" localSheetId="0" hidden="1">#REF!,#REF!,#REF!,#REF!,#REF!,#REF!</definedName>
    <definedName name="__APW_RESTORE_DATA23__" hidden="1">#REF!,#REF!,#REF!,#REF!,#REF!,#REF!</definedName>
    <definedName name="__APW_RESTORE_DATA230__" localSheetId="0" hidden="1">#REF!,#REF!,#REF!,#REF!,#REF!,#REF!,#REF!,#REF!,#REF!,#REF!,#REF!,#REF!,#REF!,#REF!,#REF!</definedName>
    <definedName name="__APW_RESTORE_DATA230__" hidden="1">#REF!,#REF!,#REF!,#REF!,#REF!,#REF!,#REF!,#REF!,#REF!,#REF!,#REF!,#REF!,#REF!,#REF!,#REF!</definedName>
    <definedName name="__APW_RESTORE_DATA231__" localSheetId="0" hidden="1">#REF!,#REF!,#REF!,#REF!,#REF!,#REF!,#REF!,#REF!,#REF!,#REF!,#REF!,#REF!,#REF!,#REF!</definedName>
    <definedName name="__APW_RESTORE_DATA231__" hidden="1">#REF!,#REF!,#REF!,#REF!,#REF!,#REF!,#REF!,#REF!,#REF!,#REF!,#REF!,#REF!,#REF!,#REF!</definedName>
    <definedName name="__APW_RESTORE_DATA232__" localSheetId="0" hidden="1">#REF!,#REF!,#REF!,#REF!,#REF!,#REF!,#REF!,#REF!,#REF!,#REF!,#REF!,#REF!,#REF!,#REF!,#REF!,#REF!,#REF!</definedName>
    <definedName name="__APW_RESTORE_DATA232__" hidden="1">#REF!,#REF!,#REF!,#REF!,#REF!,#REF!,#REF!,#REF!,#REF!,#REF!,#REF!,#REF!,#REF!,#REF!,#REF!,#REF!,#REF!</definedName>
    <definedName name="__APW_RESTORE_DATA233__" localSheetId="0" hidden="1">#REF!,#REF!,#REF!,#REF!,#REF!,#REF!,#REF!,#REF!,#REF!,#REF!,#REF!,#REF!,#REF!,#REF!,#REF!,#REF!</definedName>
    <definedName name="__APW_RESTORE_DATA233__" hidden="1">#REF!,#REF!,#REF!,#REF!,#REF!,#REF!,#REF!,#REF!,#REF!,#REF!,#REF!,#REF!,#REF!,#REF!,#REF!,#REF!</definedName>
    <definedName name="__APW_RESTORE_DATA234__" localSheetId="0" hidden="1">#REF!,#REF!,#REF!,#REF!,#REF!,#REF!,#REF!,#REF!,#REF!,#REF!,#REF!,#REF!,#REF!,#REF!,#REF!,#REF!</definedName>
    <definedName name="__APW_RESTORE_DATA234__" hidden="1">#REF!,#REF!,#REF!,#REF!,#REF!,#REF!,#REF!,#REF!,#REF!,#REF!,#REF!,#REF!,#REF!,#REF!,#REF!,#REF!</definedName>
    <definedName name="__APW_RESTORE_DATA235__" localSheetId="0" hidden="1">#REF!,#REF!,#REF!,#REF!,#REF!,#REF!,#REF!,#REF!,#REF!,#REF!,#REF!,#REF!,#REF!,#REF!,#REF!,#REF!</definedName>
    <definedName name="__APW_RESTORE_DATA235__" hidden="1">#REF!,#REF!,#REF!,#REF!,#REF!,#REF!,#REF!,#REF!,#REF!,#REF!,#REF!,#REF!,#REF!,#REF!,#REF!,#REF!</definedName>
    <definedName name="__APW_RESTORE_DATA236__" localSheetId="0" hidden="1">#REF!,#REF!,#REF!,#REF!,#REF!,#REF!,#REF!,#REF!,#REF!,#REF!,#REF!,#REF!,#REF!,#REF!,#REF!,#REF!</definedName>
    <definedName name="__APW_RESTORE_DATA236__" hidden="1">#REF!,#REF!,#REF!,#REF!,#REF!,#REF!,#REF!,#REF!,#REF!,#REF!,#REF!,#REF!,#REF!,#REF!,#REF!,#REF!</definedName>
    <definedName name="__APW_RESTORE_DATA237__" localSheetId="0" hidden="1">#REF!,#REF!,#REF!,#REF!,#REF!,#REF!,#REF!,#REF!,#REF!,#REF!,#REF!,#REF!,#REF!,#REF!,#REF!,#REF!</definedName>
    <definedName name="__APW_RESTORE_DATA237__" hidden="1">#REF!,#REF!,#REF!,#REF!,#REF!,#REF!,#REF!,#REF!,#REF!,#REF!,#REF!,#REF!,#REF!,#REF!,#REF!,#REF!</definedName>
    <definedName name="__APW_RESTORE_DATA238__" localSheetId="0" hidden="1">#REF!,#REF!,#REF!,#REF!,#REF!,#REF!,#REF!,#REF!,#REF!,#REF!,#REF!,#REF!,#REF!,#REF!,#REF!</definedName>
    <definedName name="__APW_RESTORE_DATA238__" hidden="1">#REF!,#REF!,#REF!,#REF!,#REF!,#REF!,#REF!,#REF!,#REF!,#REF!,#REF!,#REF!,#REF!,#REF!,#REF!</definedName>
    <definedName name="__APW_RESTORE_DATA239__" localSheetId="0" hidden="1">#REF!,#REF!,#REF!,#REF!,#REF!,#REF!,#REF!,#REF!,#REF!,#REF!,#REF!,#REF!,#REF!,#REF!,#REF!</definedName>
    <definedName name="__APW_RESTORE_DATA239__" hidden="1">#REF!,#REF!,#REF!,#REF!,#REF!,#REF!,#REF!,#REF!,#REF!,#REF!,#REF!,#REF!,#REF!,#REF!,#REF!</definedName>
    <definedName name="__APW_RESTORE_DATA24__" localSheetId="0" hidden="1">#REF!,#REF!,#REF!,#REF!,#REF!,#REF!,#REF!,#REF!,#REF!,#REF!,#REF!,#REF!,#REF!,#REF!,#REF!,#REF!,#REF!</definedName>
    <definedName name="__APW_RESTORE_DATA24__" hidden="1">#REF!,#REF!,#REF!,#REF!,#REF!,#REF!,#REF!,#REF!,#REF!,#REF!,#REF!,#REF!,#REF!,#REF!,#REF!,#REF!,#REF!</definedName>
    <definedName name="__APW_RESTORE_DATA240__" localSheetId="0" hidden="1">#REF!,#REF!,#REF!,#REF!,#REF!,#REF!,#REF!,#REF!,#REF!,#REF!,#REF!,#REF!,#REF!,#REF!,#REF!</definedName>
    <definedName name="__APW_RESTORE_DATA240__" hidden="1">#REF!,#REF!,#REF!,#REF!,#REF!,#REF!,#REF!,#REF!,#REF!,#REF!,#REF!,#REF!,#REF!,#REF!,#REF!</definedName>
    <definedName name="__APW_RESTORE_DATA241__" localSheetId="0" hidden="1">#REF!,#REF!,#REF!,#REF!,#REF!,#REF!,#REF!,#REF!,#REF!,#REF!,#REF!,#REF!,#REF!,#REF!,#REF!</definedName>
    <definedName name="__APW_RESTORE_DATA241__" hidden="1">#REF!,#REF!,#REF!,#REF!,#REF!,#REF!,#REF!,#REF!,#REF!,#REF!,#REF!,#REF!,#REF!,#REF!,#REF!</definedName>
    <definedName name="__APW_RESTORE_DATA242__" localSheetId="0" hidden="1">#REF!,#REF!,#REF!,#REF!,#REF!,#REF!,#REF!,#REF!,#REF!,#REF!,#REF!,#REF!,#REF!,#REF!</definedName>
    <definedName name="__APW_RESTORE_DATA242__" hidden="1">#REF!,#REF!,#REF!,#REF!,#REF!,#REF!,#REF!,#REF!,#REF!,#REF!,#REF!,#REF!,#REF!,#REF!</definedName>
    <definedName name="__APW_RESTORE_DATA243__" localSheetId="0" hidden="1">#REF!,#REF!,#REF!,#REF!,#REF!,#REF!,#REF!,#REF!,#REF!,#REF!,#REF!,#REF!,#REF!,#REF!,#REF!,#REF!,#REF!</definedName>
    <definedName name="__APW_RESTORE_DATA243__" hidden="1">#REF!,#REF!,#REF!,#REF!,#REF!,#REF!,#REF!,#REF!,#REF!,#REF!,#REF!,#REF!,#REF!,#REF!,#REF!,#REF!,#REF!</definedName>
    <definedName name="__APW_RESTORE_DATA244__" localSheetId="0" hidden="1">#REF!,#REF!,#REF!,#REF!,#REF!,#REF!,#REF!,#REF!,#REF!,#REF!,#REF!,#REF!,#REF!,#REF!,#REF!,#REF!</definedName>
    <definedName name="__APW_RESTORE_DATA244__" hidden="1">#REF!,#REF!,#REF!,#REF!,#REF!,#REF!,#REF!,#REF!,#REF!,#REF!,#REF!,#REF!,#REF!,#REF!,#REF!,#REF!</definedName>
    <definedName name="__APW_RESTORE_DATA245__" localSheetId="0" hidden="1">#REF!,#REF!,#REF!,#REF!,#REF!,#REF!,#REF!,#REF!,#REF!,#REF!,#REF!,#REF!,#REF!,#REF!,#REF!,#REF!</definedName>
    <definedName name="__APW_RESTORE_DATA245__" hidden="1">#REF!,#REF!,#REF!,#REF!,#REF!,#REF!,#REF!,#REF!,#REF!,#REF!,#REF!,#REF!,#REF!,#REF!,#REF!,#REF!</definedName>
    <definedName name="__APW_RESTORE_DATA246__" localSheetId="0" hidden="1">#REF!,#REF!,#REF!,#REF!,#REF!,#REF!,#REF!,#REF!,#REF!,#REF!,#REF!,#REF!,#REF!,#REF!,#REF!,#REF!</definedName>
    <definedName name="__APW_RESTORE_DATA246__" hidden="1">#REF!,#REF!,#REF!,#REF!,#REF!,#REF!,#REF!,#REF!,#REF!,#REF!,#REF!,#REF!,#REF!,#REF!,#REF!,#REF!</definedName>
    <definedName name="__APW_RESTORE_DATA247__" localSheetId="0" hidden="1">#REF!,#REF!,#REF!,#REF!,#REF!,#REF!,#REF!,#REF!,#REF!,#REF!,#REF!,#REF!,#REF!,#REF!,#REF!,#REF!</definedName>
    <definedName name="__APW_RESTORE_DATA247__" hidden="1">#REF!,#REF!,#REF!,#REF!,#REF!,#REF!,#REF!,#REF!,#REF!,#REF!,#REF!,#REF!,#REF!,#REF!,#REF!,#REF!</definedName>
    <definedName name="__APW_RESTORE_DATA248__" localSheetId="0" hidden="1">#REF!,#REF!,#REF!,#REF!,#REF!,#REF!,#REF!,#REF!,#REF!,#REF!,#REF!,#REF!,#REF!,#REF!,#REF!,#REF!</definedName>
    <definedName name="__APW_RESTORE_DATA248__" hidden="1">#REF!,#REF!,#REF!,#REF!,#REF!,#REF!,#REF!,#REF!,#REF!,#REF!,#REF!,#REF!,#REF!,#REF!,#REF!,#REF!</definedName>
    <definedName name="__APW_RESTORE_DATA249__" localSheetId="0" hidden="1">#REF!,#REF!,#REF!,#REF!,#REF!,#REF!,#REF!,#REF!,#REF!,#REF!,#REF!,#REF!,#REF!,#REF!,#REF!</definedName>
    <definedName name="__APW_RESTORE_DATA249__" hidden="1">#REF!,#REF!,#REF!,#REF!,#REF!,#REF!,#REF!,#REF!,#REF!,#REF!,#REF!,#REF!,#REF!,#REF!,#REF!</definedName>
    <definedName name="__APW_RESTORE_DATA25__" localSheetId="0" hidden="1">#REF!,#REF!,#REF!,#REF!,#REF!,#REF!,#REF!,#REF!,#REF!,#REF!,#REF!,#REF!,#REF!,#REF!,#REF!,#REF!</definedName>
    <definedName name="__APW_RESTORE_DATA25__" hidden="1">#REF!,#REF!,#REF!,#REF!,#REF!,#REF!,#REF!,#REF!,#REF!,#REF!,#REF!,#REF!,#REF!,#REF!,#REF!,#REF!</definedName>
    <definedName name="__APW_RESTORE_DATA250__" localSheetId="0" hidden="1">#REF!,#REF!,#REF!,#REF!,#REF!,#REF!,#REF!,#REF!,#REF!,#REF!,#REF!,#REF!,#REF!,#REF!,#REF!</definedName>
    <definedName name="__APW_RESTORE_DATA250__" hidden="1">#REF!,#REF!,#REF!,#REF!,#REF!,#REF!,#REF!,#REF!,#REF!,#REF!,#REF!,#REF!,#REF!,#REF!,#REF!</definedName>
    <definedName name="__APW_RESTORE_DATA251__" localSheetId="0" hidden="1">#REF!,#REF!,#REF!,#REF!,#REF!,#REF!,#REF!,#REF!,#REF!,#REF!,#REF!,#REF!,#REF!,#REF!,#REF!</definedName>
    <definedName name="__APW_RESTORE_DATA251__" hidden="1">#REF!,#REF!,#REF!,#REF!,#REF!,#REF!,#REF!,#REF!,#REF!,#REF!,#REF!,#REF!,#REF!,#REF!,#REF!</definedName>
    <definedName name="__APW_RESTORE_DATA252__" localSheetId="0" hidden="1">#REF!,#REF!,#REF!,#REF!,#REF!,#REF!,#REF!,#REF!,#REF!,#REF!,#REF!,#REF!,#REF!,#REF!,#REF!</definedName>
    <definedName name="__APW_RESTORE_DATA252__" hidden="1">#REF!,#REF!,#REF!,#REF!,#REF!,#REF!,#REF!,#REF!,#REF!,#REF!,#REF!,#REF!,#REF!,#REF!,#REF!</definedName>
    <definedName name="__APW_RESTORE_DATA253__" localSheetId="0" hidden="1">#REF!,#REF!,#REF!,#REF!,#REF!,#REF!,#REF!,#REF!,#REF!,#REF!,#REF!,#REF!,#REF!,#REF!</definedName>
    <definedName name="__APW_RESTORE_DATA253__" hidden="1">#REF!,#REF!,#REF!,#REF!,#REF!,#REF!,#REF!,#REF!,#REF!,#REF!,#REF!,#REF!,#REF!,#REF!</definedName>
    <definedName name="__APW_RESTORE_DATA254__" localSheetId="0" hidden="1">#REF!,#REF!,#REF!,#REF!,#REF!,#REF!,#REF!,#REF!,#REF!,#REF!,#REF!,#REF!,#REF!,#REF!,#REF!,#REF!,#REF!</definedName>
    <definedName name="__APW_RESTORE_DATA254__" hidden="1">#REF!,#REF!,#REF!,#REF!,#REF!,#REF!,#REF!,#REF!,#REF!,#REF!,#REF!,#REF!,#REF!,#REF!,#REF!,#REF!,#REF!</definedName>
    <definedName name="__APW_RESTORE_DATA255__" localSheetId="0" hidden="1">#REF!,#REF!,#REF!,#REF!,#REF!,#REF!,#REF!,#REF!,#REF!,#REF!,#REF!,#REF!,#REF!,#REF!,#REF!,#REF!</definedName>
    <definedName name="__APW_RESTORE_DATA255__" hidden="1">#REF!,#REF!,#REF!,#REF!,#REF!,#REF!,#REF!,#REF!,#REF!,#REF!,#REF!,#REF!,#REF!,#REF!,#REF!,#REF!</definedName>
    <definedName name="__APW_RESTORE_DATA256__" localSheetId="0" hidden="1">#REF!,#REF!,#REF!,#REF!,#REF!,#REF!,#REF!,#REF!,#REF!,#REF!,#REF!,#REF!,#REF!,#REF!,#REF!,#REF!</definedName>
    <definedName name="__APW_RESTORE_DATA256__" hidden="1">#REF!,#REF!,#REF!,#REF!,#REF!,#REF!,#REF!,#REF!,#REF!,#REF!,#REF!,#REF!,#REF!,#REF!,#REF!,#REF!</definedName>
    <definedName name="__APW_RESTORE_DATA257__" localSheetId="0" hidden="1">#REF!,#REF!,#REF!,#REF!,#REF!,#REF!,#REF!,#REF!,#REF!,#REF!,#REF!,#REF!,#REF!,#REF!,#REF!,#REF!</definedName>
    <definedName name="__APW_RESTORE_DATA257__" hidden="1">#REF!,#REF!,#REF!,#REF!,#REF!,#REF!,#REF!,#REF!,#REF!,#REF!,#REF!,#REF!,#REF!,#REF!,#REF!,#REF!</definedName>
    <definedName name="__APW_RESTORE_DATA258__" localSheetId="0" hidden="1">#REF!,#REF!,#REF!,#REF!,#REF!,#REF!,#REF!,#REF!,#REF!,#REF!,#REF!,#REF!,#REF!,#REF!,#REF!,#REF!</definedName>
    <definedName name="__APW_RESTORE_DATA258__" hidden="1">#REF!,#REF!,#REF!,#REF!,#REF!,#REF!,#REF!,#REF!,#REF!,#REF!,#REF!,#REF!,#REF!,#REF!,#REF!,#REF!</definedName>
    <definedName name="__APW_RESTORE_DATA259__" localSheetId="0" hidden="1">#REF!,#REF!,#REF!,#REF!,#REF!,#REF!,#REF!,#REF!,#REF!,#REF!,#REF!,#REF!,#REF!,#REF!,#REF!,#REF!</definedName>
    <definedName name="__APW_RESTORE_DATA259__" hidden="1">#REF!,#REF!,#REF!,#REF!,#REF!,#REF!,#REF!,#REF!,#REF!,#REF!,#REF!,#REF!,#REF!,#REF!,#REF!,#REF!</definedName>
    <definedName name="__APW_RESTORE_DATA26__" localSheetId="0" hidden="1">#REF!,#REF!,#REF!,#REF!,#REF!,#REF!,#REF!,#REF!,#REF!,#REF!,#REF!,#REF!,#REF!,#REF!,#REF!,#REF!</definedName>
    <definedName name="__APW_RESTORE_DATA26__" hidden="1">#REF!,#REF!,#REF!,#REF!,#REF!,#REF!,#REF!,#REF!,#REF!,#REF!,#REF!,#REF!,#REF!,#REF!,#REF!,#REF!</definedName>
    <definedName name="__APW_RESTORE_DATA260__" localSheetId="0" hidden="1">#REF!,#REF!,#REF!,#REF!,#REF!,#REF!,#REF!,#REF!,#REF!,#REF!,#REF!,#REF!,#REF!,#REF!,#REF!</definedName>
    <definedName name="__APW_RESTORE_DATA260__" hidden="1">#REF!,#REF!,#REF!,#REF!,#REF!,#REF!,#REF!,#REF!,#REF!,#REF!,#REF!,#REF!,#REF!,#REF!,#REF!</definedName>
    <definedName name="__APW_RESTORE_DATA261__" localSheetId="0" hidden="1">#REF!,#REF!,#REF!,#REF!,#REF!,#REF!,#REF!,#REF!,#REF!,#REF!,#REF!,#REF!,#REF!,#REF!,#REF!</definedName>
    <definedName name="__APW_RESTORE_DATA261__" hidden="1">#REF!,#REF!,#REF!,#REF!,#REF!,#REF!,#REF!,#REF!,#REF!,#REF!,#REF!,#REF!,#REF!,#REF!,#REF!</definedName>
    <definedName name="__APW_RESTORE_DATA262__" localSheetId="0" hidden="1">#REF!,#REF!,#REF!,#REF!,#REF!,#REF!,#REF!,#REF!,#REF!,#REF!,#REF!,#REF!,#REF!,#REF!,#REF!</definedName>
    <definedName name="__APW_RESTORE_DATA262__" hidden="1">#REF!,#REF!,#REF!,#REF!,#REF!,#REF!,#REF!,#REF!,#REF!,#REF!,#REF!,#REF!,#REF!,#REF!,#REF!</definedName>
    <definedName name="__APW_RESTORE_DATA263__" localSheetId="0" hidden="1">#REF!,#REF!,#REF!,#REF!,#REF!,#REF!,#REF!,#REF!,#REF!,#REF!,#REF!,#REF!,#REF!,#REF!,#REF!</definedName>
    <definedName name="__APW_RESTORE_DATA263__" hidden="1">#REF!,#REF!,#REF!,#REF!,#REF!,#REF!,#REF!,#REF!,#REF!,#REF!,#REF!,#REF!,#REF!,#REF!,#REF!</definedName>
    <definedName name="__APW_RESTORE_DATA264__" localSheetId="0" hidden="1">#REF!,#REF!,#REF!,#REF!,#REF!,#REF!,#REF!,#REF!,#REF!,#REF!,#REF!,#REF!,#REF!,#REF!</definedName>
    <definedName name="__APW_RESTORE_DATA264__" hidden="1">#REF!,#REF!,#REF!,#REF!,#REF!,#REF!,#REF!,#REF!,#REF!,#REF!,#REF!,#REF!,#REF!,#REF!</definedName>
    <definedName name="__APW_RESTORE_DATA265__" localSheetId="0" hidden="1">#REF!,#REF!,#REF!,#REF!,#REF!,#REF!,#REF!,#REF!,#REF!,#REF!,#REF!,#REF!,#REF!,#REF!,#REF!,#REF!,#REF!</definedName>
    <definedName name="__APW_RESTORE_DATA265__" hidden="1">#REF!,#REF!,#REF!,#REF!,#REF!,#REF!,#REF!,#REF!,#REF!,#REF!,#REF!,#REF!,#REF!,#REF!,#REF!,#REF!,#REF!</definedName>
    <definedName name="__APW_RESTORE_DATA266__" localSheetId="0" hidden="1">#REF!,#REF!,#REF!,#REF!,#REF!,#REF!,#REF!,#REF!,#REF!,#REF!,#REF!,#REF!,#REF!,#REF!,#REF!,#REF!</definedName>
    <definedName name="__APW_RESTORE_DATA266__" hidden="1">#REF!,#REF!,#REF!,#REF!,#REF!,#REF!,#REF!,#REF!,#REF!,#REF!,#REF!,#REF!,#REF!,#REF!,#REF!,#REF!</definedName>
    <definedName name="__APW_RESTORE_DATA267__" localSheetId="0" hidden="1">#REF!,#REF!,#REF!,#REF!,#REF!,#REF!,#REF!,#REF!,#REF!,#REF!,#REF!,#REF!,#REF!,#REF!,#REF!,#REF!</definedName>
    <definedName name="__APW_RESTORE_DATA267__" hidden="1">#REF!,#REF!,#REF!,#REF!,#REF!,#REF!,#REF!,#REF!,#REF!,#REF!,#REF!,#REF!,#REF!,#REF!,#REF!,#REF!</definedName>
    <definedName name="__APW_RESTORE_DATA268__" localSheetId="0" hidden="1">#REF!,#REF!,#REF!,#REF!,#REF!,#REF!,#REF!,#REF!,#REF!,#REF!,#REF!,#REF!,#REF!,#REF!,#REF!,#REF!</definedName>
    <definedName name="__APW_RESTORE_DATA268__" hidden="1">#REF!,#REF!,#REF!,#REF!,#REF!,#REF!,#REF!,#REF!,#REF!,#REF!,#REF!,#REF!,#REF!,#REF!,#REF!,#REF!</definedName>
    <definedName name="__APW_RESTORE_DATA269__" localSheetId="0" hidden="1">#REF!,#REF!,#REF!,#REF!,#REF!,#REF!,#REF!,#REF!,#REF!,#REF!,#REF!,#REF!,#REF!,#REF!,#REF!,#REF!</definedName>
    <definedName name="__APW_RESTORE_DATA269__" hidden="1">#REF!,#REF!,#REF!,#REF!,#REF!,#REF!,#REF!,#REF!,#REF!,#REF!,#REF!,#REF!,#REF!,#REF!,#REF!,#REF!</definedName>
    <definedName name="__APW_RESTORE_DATA27__" localSheetId="0" hidden="1">#REF!,#REF!,#REF!,#REF!,#REF!,#REF!,#REF!,#REF!,#REF!,#REF!,#REF!,#REF!,#REF!,#REF!,#REF!,#REF!</definedName>
    <definedName name="__APW_RESTORE_DATA27__" hidden="1">#REF!,#REF!,#REF!,#REF!,#REF!,#REF!,#REF!,#REF!,#REF!,#REF!,#REF!,#REF!,#REF!,#REF!,#REF!,#REF!</definedName>
    <definedName name="__APW_RESTORE_DATA270__" localSheetId="0" hidden="1">#REF!,#REF!,#REF!,#REF!,#REF!,#REF!,#REF!,#REF!,#REF!,#REF!,#REF!,#REF!,#REF!,#REF!,#REF!,#REF!</definedName>
    <definedName name="__APW_RESTORE_DATA270__" hidden="1">#REF!,#REF!,#REF!,#REF!,#REF!,#REF!,#REF!,#REF!,#REF!,#REF!,#REF!,#REF!,#REF!,#REF!,#REF!,#REF!</definedName>
    <definedName name="__APW_RESTORE_DATA271__" localSheetId="0" hidden="1">#REF!,#REF!,#REF!,#REF!,#REF!,#REF!,#REF!,#REF!,#REF!,#REF!,#REF!,#REF!,#REF!,#REF!,#REF!</definedName>
    <definedName name="__APW_RESTORE_DATA271__" hidden="1">#REF!,#REF!,#REF!,#REF!,#REF!,#REF!,#REF!,#REF!,#REF!,#REF!,#REF!,#REF!,#REF!,#REF!,#REF!</definedName>
    <definedName name="__APW_RESTORE_DATA272__" localSheetId="0" hidden="1">#REF!,#REF!,#REF!,#REF!,#REF!,#REF!,#REF!,#REF!,#REF!,#REF!,#REF!,#REF!,#REF!,#REF!,#REF!</definedName>
    <definedName name="__APW_RESTORE_DATA272__" hidden="1">#REF!,#REF!,#REF!,#REF!,#REF!,#REF!,#REF!,#REF!,#REF!,#REF!,#REF!,#REF!,#REF!,#REF!,#REF!</definedName>
    <definedName name="__APW_RESTORE_DATA273__" localSheetId="0" hidden="1">#REF!,#REF!,#REF!,#REF!,#REF!,#REF!,#REF!,#REF!,#REF!,#REF!,#REF!,#REF!,#REF!,#REF!,#REF!</definedName>
    <definedName name="__APW_RESTORE_DATA273__" hidden="1">#REF!,#REF!,#REF!,#REF!,#REF!,#REF!,#REF!,#REF!,#REF!,#REF!,#REF!,#REF!,#REF!,#REF!,#REF!</definedName>
    <definedName name="__APW_RESTORE_DATA274__" localSheetId="0" hidden="1">#REF!,#REF!,#REF!,#REF!,#REF!,#REF!,#REF!,#REF!,#REF!,#REF!,#REF!,#REF!,#REF!,#REF!,#REF!</definedName>
    <definedName name="__APW_RESTORE_DATA274__" hidden="1">#REF!,#REF!,#REF!,#REF!,#REF!,#REF!,#REF!,#REF!,#REF!,#REF!,#REF!,#REF!,#REF!,#REF!,#REF!</definedName>
    <definedName name="__APW_RESTORE_DATA275__" localSheetId="0" hidden="1">#REF!,#REF!,#REF!,#REF!,#REF!,#REF!,#REF!,#REF!,#REF!,#REF!,#REF!,#REF!,#REF!,#REF!</definedName>
    <definedName name="__APW_RESTORE_DATA275__" hidden="1">#REF!,#REF!,#REF!,#REF!,#REF!,#REF!,#REF!,#REF!,#REF!,#REF!,#REF!,#REF!,#REF!,#REF!</definedName>
    <definedName name="__APW_RESTORE_DATA276__" localSheetId="0" hidden="1">#REF!,#REF!,#REF!,#REF!,#REF!,#REF!,#REF!,#REF!,#REF!,#REF!,#REF!,#REF!,#REF!,#REF!,#REF!,#REF!,#REF!</definedName>
    <definedName name="__APW_RESTORE_DATA276__" hidden="1">#REF!,#REF!,#REF!,#REF!,#REF!,#REF!,#REF!,#REF!,#REF!,#REF!,#REF!,#REF!,#REF!,#REF!,#REF!,#REF!,#REF!</definedName>
    <definedName name="__APW_RESTORE_DATA277__" localSheetId="0" hidden="1">#REF!,#REF!,#REF!,#REF!,#REF!,#REF!,#REF!,#REF!,#REF!,#REF!,#REF!,#REF!,#REF!,#REF!,#REF!,#REF!</definedName>
    <definedName name="__APW_RESTORE_DATA277__" hidden="1">#REF!,#REF!,#REF!,#REF!,#REF!,#REF!,#REF!,#REF!,#REF!,#REF!,#REF!,#REF!,#REF!,#REF!,#REF!,#REF!</definedName>
    <definedName name="__APW_RESTORE_DATA278__" localSheetId="0" hidden="1">#REF!,#REF!,#REF!,#REF!,#REF!,#REF!,#REF!,#REF!,#REF!,#REF!,#REF!,#REF!,#REF!,#REF!,#REF!,#REF!</definedName>
    <definedName name="__APW_RESTORE_DATA278__" hidden="1">#REF!,#REF!,#REF!,#REF!,#REF!,#REF!,#REF!,#REF!,#REF!,#REF!,#REF!,#REF!,#REF!,#REF!,#REF!,#REF!</definedName>
    <definedName name="__APW_RESTORE_DATA279__" localSheetId="0" hidden="1">#REF!,#REF!,#REF!,#REF!,#REF!,#REF!,#REF!,#REF!,#REF!,#REF!,#REF!,#REF!,#REF!,#REF!,#REF!,#REF!</definedName>
    <definedName name="__APW_RESTORE_DATA279__" hidden="1">#REF!,#REF!,#REF!,#REF!,#REF!,#REF!,#REF!,#REF!,#REF!,#REF!,#REF!,#REF!,#REF!,#REF!,#REF!,#REF!</definedName>
    <definedName name="__APW_RESTORE_DATA28__" localSheetId="0" hidden="1">#REF!,#REF!,#REF!,#REF!,#REF!,#REF!,#REF!,#REF!,#REF!,#REF!,#REF!,#REF!,#REF!,#REF!,#REF!,#REF!</definedName>
    <definedName name="__APW_RESTORE_DATA28__" hidden="1">#REF!,#REF!,#REF!,#REF!,#REF!,#REF!,#REF!,#REF!,#REF!,#REF!,#REF!,#REF!,#REF!,#REF!,#REF!,#REF!</definedName>
    <definedName name="__APW_RESTORE_DATA280__" localSheetId="0" hidden="1">#REF!,#REF!,#REF!,#REF!,#REF!,#REF!,#REF!,#REF!,#REF!,#REF!,#REF!,#REF!,#REF!,#REF!,#REF!,#REF!</definedName>
    <definedName name="__APW_RESTORE_DATA280__" hidden="1">#REF!,#REF!,#REF!,#REF!,#REF!,#REF!,#REF!,#REF!,#REF!,#REF!,#REF!,#REF!,#REF!,#REF!,#REF!,#REF!</definedName>
    <definedName name="__APW_RESTORE_DATA281__" localSheetId="0" hidden="1">#REF!,#REF!,#REF!,#REF!,#REF!,#REF!,#REF!,#REF!,#REF!,#REF!,#REF!,#REF!,#REF!,#REF!,#REF!,#REF!</definedName>
    <definedName name="__APW_RESTORE_DATA281__" hidden="1">#REF!,#REF!,#REF!,#REF!,#REF!,#REF!,#REF!,#REF!,#REF!,#REF!,#REF!,#REF!,#REF!,#REF!,#REF!,#REF!</definedName>
    <definedName name="__APW_RESTORE_DATA282__" localSheetId="0" hidden="1">#REF!,#REF!,#REF!,#REF!,#REF!,#REF!,#REF!,#REF!,#REF!,#REF!,#REF!,#REF!,#REF!,#REF!,#REF!</definedName>
    <definedName name="__APW_RESTORE_DATA282__" hidden="1">#REF!,#REF!,#REF!,#REF!,#REF!,#REF!,#REF!,#REF!,#REF!,#REF!,#REF!,#REF!,#REF!,#REF!,#REF!</definedName>
    <definedName name="__APW_RESTORE_DATA283__" localSheetId="0" hidden="1">#REF!,#REF!,#REF!,#REF!,#REF!,#REF!,#REF!,#REF!,#REF!,#REF!,#REF!,#REF!,#REF!,#REF!,#REF!</definedName>
    <definedName name="__APW_RESTORE_DATA283__" hidden="1">#REF!,#REF!,#REF!,#REF!,#REF!,#REF!,#REF!,#REF!,#REF!,#REF!,#REF!,#REF!,#REF!,#REF!,#REF!</definedName>
    <definedName name="__APW_RESTORE_DATA284__" localSheetId="0" hidden="1">#REF!,#REF!,#REF!,#REF!,#REF!,#REF!,#REF!,#REF!,#REF!,#REF!,#REF!,#REF!,#REF!,#REF!,#REF!</definedName>
    <definedName name="__APW_RESTORE_DATA284__" hidden="1">#REF!,#REF!,#REF!,#REF!,#REF!,#REF!,#REF!,#REF!,#REF!,#REF!,#REF!,#REF!,#REF!,#REF!,#REF!</definedName>
    <definedName name="__APW_RESTORE_DATA285__" localSheetId="0" hidden="1">#REF!,#REF!,#REF!,#REF!,#REF!,#REF!,#REF!,#REF!,#REF!,#REF!,#REF!,#REF!,#REF!,#REF!,#REF!</definedName>
    <definedName name="__APW_RESTORE_DATA285__" hidden="1">#REF!,#REF!,#REF!,#REF!,#REF!,#REF!,#REF!,#REF!,#REF!,#REF!,#REF!,#REF!,#REF!,#REF!,#REF!</definedName>
    <definedName name="__APW_RESTORE_DATA286__" localSheetId="0" hidden="1">#REF!,#REF!,#REF!,#REF!,#REF!,#REF!,#REF!,#REF!,#REF!,#REF!,#REF!,#REF!,#REF!,#REF!</definedName>
    <definedName name="__APW_RESTORE_DATA286__" hidden="1">#REF!,#REF!,#REF!,#REF!,#REF!,#REF!,#REF!,#REF!,#REF!,#REF!,#REF!,#REF!,#REF!,#REF!</definedName>
    <definedName name="__APW_RESTORE_DATA287__" localSheetId="0" hidden="1">#REF!,#REF!,#REF!,#REF!,#REF!,#REF!,#REF!,#REF!,#REF!,#REF!,#REF!,#REF!,#REF!,#REF!,#REF!,#REF!,#REF!</definedName>
    <definedName name="__APW_RESTORE_DATA287__" hidden="1">#REF!,#REF!,#REF!,#REF!,#REF!,#REF!,#REF!,#REF!,#REF!,#REF!,#REF!,#REF!,#REF!,#REF!,#REF!,#REF!,#REF!</definedName>
    <definedName name="__APW_RESTORE_DATA288__" localSheetId="0" hidden="1">#REF!,#REF!,#REF!,#REF!,#REF!,#REF!,#REF!,#REF!,#REF!,#REF!,#REF!,#REF!,#REF!,#REF!,#REF!,#REF!</definedName>
    <definedName name="__APW_RESTORE_DATA288__" hidden="1">#REF!,#REF!,#REF!,#REF!,#REF!,#REF!,#REF!,#REF!,#REF!,#REF!,#REF!,#REF!,#REF!,#REF!,#REF!,#REF!</definedName>
    <definedName name="__APW_RESTORE_DATA289__" localSheetId="0" hidden="1">#REF!,#REF!,#REF!,#REF!,#REF!,#REF!,#REF!,#REF!,#REF!,#REF!,#REF!,#REF!,#REF!,#REF!,#REF!,#REF!</definedName>
    <definedName name="__APW_RESTORE_DATA289__" hidden="1">#REF!,#REF!,#REF!,#REF!,#REF!,#REF!,#REF!,#REF!,#REF!,#REF!,#REF!,#REF!,#REF!,#REF!,#REF!,#REF!</definedName>
    <definedName name="__APW_RESTORE_DATA29__" localSheetId="0" hidden="1">#REF!,#REF!,#REF!,#REF!,#REF!,#REF!,#REF!,#REF!,#REF!,#REF!,#REF!,#REF!,#REF!,#REF!,#REF!,#REF!</definedName>
    <definedName name="__APW_RESTORE_DATA29__" hidden="1">#REF!,#REF!,#REF!,#REF!,#REF!,#REF!,#REF!,#REF!,#REF!,#REF!,#REF!,#REF!,#REF!,#REF!,#REF!,#REF!</definedName>
    <definedName name="__APW_RESTORE_DATA290__" localSheetId="0" hidden="1">#REF!,#REF!,#REF!,#REF!,#REF!,#REF!,#REF!,#REF!,#REF!,#REF!,#REF!,#REF!,#REF!,#REF!,#REF!,#REF!</definedName>
    <definedName name="__APW_RESTORE_DATA290__" hidden="1">#REF!,#REF!,#REF!,#REF!,#REF!,#REF!,#REF!,#REF!,#REF!,#REF!,#REF!,#REF!,#REF!,#REF!,#REF!,#REF!</definedName>
    <definedName name="__APW_RESTORE_DATA291__" localSheetId="0" hidden="1">#REF!,#REF!,#REF!,#REF!,#REF!,#REF!,#REF!,#REF!,#REF!,#REF!,#REF!,#REF!,#REF!,#REF!,#REF!,#REF!</definedName>
    <definedName name="__APW_RESTORE_DATA291__" hidden="1">#REF!,#REF!,#REF!,#REF!,#REF!,#REF!,#REF!,#REF!,#REF!,#REF!,#REF!,#REF!,#REF!,#REF!,#REF!,#REF!</definedName>
    <definedName name="__APW_RESTORE_DATA292__" localSheetId="0" hidden="1">#REF!,#REF!,#REF!,#REF!,#REF!,#REF!,#REF!,#REF!,#REF!,#REF!,#REF!,#REF!,#REF!,#REF!,#REF!,#REF!</definedName>
    <definedName name="__APW_RESTORE_DATA292__" hidden="1">#REF!,#REF!,#REF!,#REF!,#REF!,#REF!,#REF!,#REF!,#REF!,#REF!,#REF!,#REF!,#REF!,#REF!,#REF!,#REF!</definedName>
    <definedName name="__APW_RESTORE_DATA293__" localSheetId="0" hidden="1">#REF!,#REF!,#REF!,#REF!,#REF!,#REF!,#REF!,#REF!,#REF!,#REF!,#REF!,#REF!,#REF!,#REF!,#REF!</definedName>
    <definedName name="__APW_RESTORE_DATA293__" hidden="1">#REF!,#REF!,#REF!,#REF!,#REF!,#REF!,#REF!,#REF!,#REF!,#REF!,#REF!,#REF!,#REF!,#REF!,#REF!</definedName>
    <definedName name="__APW_RESTORE_DATA294__" localSheetId="0" hidden="1">#REF!,#REF!,#REF!,#REF!,#REF!,#REF!,#REF!,#REF!,#REF!,#REF!,#REF!,#REF!,#REF!,#REF!,#REF!</definedName>
    <definedName name="__APW_RESTORE_DATA294__" hidden="1">#REF!,#REF!,#REF!,#REF!,#REF!,#REF!,#REF!,#REF!,#REF!,#REF!,#REF!,#REF!,#REF!,#REF!,#REF!</definedName>
    <definedName name="__APW_RESTORE_DATA295__" localSheetId="0" hidden="1">#REF!,#REF!,#REF!,#REF!,#REF!,#REF!,#REF!,#REF!,#REF!,#REF!,#REF!,#REF!,#REF!,#REF!,#REF!</definedName>
    <definedName name="__APW_RESTORE_DATA295__" hidden="1">#REF!,#REF!,#REF!,#REF!,#REF!,#REF!,#REF!,#REF!,#REF!,#REF!,#REF!,#REF!,#REF!,#REF!,#REF!</definedName>
    <definedName name="__APW_RESTORE_DATA296__" localSheetId="0" hidden="1">#REF!,#REF!,#REF!,#REF!,#REF!,#REF!,#REF!,#REF!,#REF!,#REF!,#REF!,#REF!,#REF!,#REF!,#REF!</definedName>
    <definedName name="__APW_RESTORE_DATA296__" hidden="1">#REF!,#REF!,#REF!,#REF!,#REF!,#REF!,#REF!,#REF!,#REF!,#REF!,#REF!,#REF!,#REF!,#REF!,#REF!</definedName>
    <definedName name="__APW_RESTORE_DATA297__" localSheetId="0" hidden="1">#REF!,#REF!,#REF!,#REF!,#REF!,#REF!,#REF!,#REF!,#REF!,#REF!,#REF!,#REF!,#REF!,#REF!</definedName>
    <definedName name="__APW_RESTORE_DATA297__" hidden="1">#REF!,#REF!,#REF!,#REF!,#REF!,#REF!,#REF!,#REF!,#REF!,#REF!,#REF!,#REF!,#REF!,#REF!</definedName>
    <definedName name="__APW_RESTORE_DATA298__" localSheetId="0" hidden="1">#REF!,#REF!,#REF!,#REF!,#REF!,#REF!,#REF!,#REF!,#REF!,#REF!,#REF!,#REF!,#REF!,#REF!,#REF!,#REF!,#REF!</definedName>
    <definedName name="__APW_RESTORE_DATA298__" hidden="1">#REF!,#REF!,#REF!,#REF!,#REF!,#REF!,#REF!,#REF!,#REF!,#REF!,#REF!,#REF!,#REF!,#REF!,#REF!,#REF!,#REF!</definedName>
    <definedName name="__APW_RESTORE_DATA299__" localSheetId="0" hidden="1">#REF!,#REF!,#REF!,#REF!,#REF!,#REF!,#REF!,#REF!,#REF!,#REF!,#REF!,#REF!,#REF!,#REF!,#REF!,#REF!</definedName>
    <definedName name="__APW_RESTORE_DATA299__" hidden="1">#REF!,#REF!,#REF!,#REF!,#REF!,#REF!,#REF!,#REF!,#REF!,#REF!,#REF!,#REF!,#REF!,#REF!,#REF!,#REF!</definedName>
    <definedName name="__APW_RESTORE_DATA3__" localSheetId="0" hidden="1">#REF!,#REF!,#REF!,#REF!,#REF!,#REF!,#REF!,#REF!,#REF!,#REF!,#REF!,#REF!,#REF!,#REF!,#REF!,#REF!</definedName>
    <definedName name="__APW_RESTORE_DATA3__" hidden="1">#REF!,#REF!,#REF!,#REF!,#REF!,#REF!,#REF!,#REF!,#REF!,#REF!,#REF!,#REF!,#REF!,#REF!,#REF!,#REF!</definedName>
    <definedName name="__APW_RESTORE_DATA30__" localSheetId="0" hidden="1">#REF!,#REF!,#REF!,#REF!,#REF!,#REF!,#REF!,#REF!,#REF!,#REF!,#REF!,#REF!,#REF!,#REF!,#REF!</definedName>
    <definedName name="__APW_RESTORE_DATA30__" hidden="1">#REF!,#REF!,#REF!,#REF!,#REF!,#REF!,#REF!,#REF!,#REF!,#REF!,#REF!,#REF!,#REF!,#REF!,#REF!</definedName>
    <definedName name="__APW_RESTORE_DATA300__" localSheetId="0" hidden="1">#REF!,#REF!,#REF!,#REF!,#REF!,#REF!,#REF!,#REF!,#REF!,#REF!,#REF!,#REF!,#REF!,#REF!,#REF!,#REF!</definedName>
    <definedName name="__APW_RESTORE_DATA300__" hidden="1">#REF!,#REF!,#REF!,#REF!,#REF!,#REF!,#REF!,#REF!,#REF!,#REF!,#REF!,#REF!,#REF!,#REF!,#REF!,#REF!</definedName>
    <definedName name="__APW_RESTORE_DATA301__" localSheetId="0" hidden="1">#REF!,#REF!,#REF!,#REF!,#REF!,#REF!,#REF!,#REF!,#REF!,#REF!,#REF!,#REF!,#REF!,#REF!,#REF!,#REF!</definedName>
    <definedName name="__APW_RESTORE_DATA301__" hidden="1">#REF!,#REF!,#REF!,#REF!,#REF!,#REF!,#REF!,#REF!,#REF!,#REF!,#REF!,#REF!,#REF!,#REF!,#REF!,#REF!</definedName>
    <definedName name="__APW_RESTORE_DATA302__" localSheetId="0" hidden="1">#REF!,#REF!,#REF!,#REF!,#REF!,#REF!,#REF!,#REF!,#REF!,#REF!,#REF!,#REF!,#REF!,#REF!,#REF!,#REF!</definedName>
    <definedName name="__APW_RESTORE_DATA302__" hidden="1">#REF!,#REF!,#REF!,#REF!,#REF!,#REF!,#REF!,#REF!,#REF!,#REF!,#REF!,#REF!,#REF!,#REF!,#REF!,#REF!</definedName>
    <definedName name="__APW_RESTORE_DATA303__" localSheetId="0" hidden="1">#REF!,#REF!,#REF!,#REF!,#REF!,#REF!,#REF!,#REF!,#REF!,#REF!,#REF!,#REF!,#REF!,#REF!,#REF!,#REF!</definedName>
    <definedName name="__APW_RESTORE_DATA303__" hidden="1">#REF!,#REF!,#REF!,#REF!,#REF!,#REF!,#REF!,#REF!,#REF!,#REF!,#REF!,#REF!,#REF!,#REF!,#REF!,#REF!</definedName>
    <definedName name="__APW_RESTORE_DATA304__" localSheetId="0" hidden="1">#REF!,#REF!,#REF!,#REF!,#REF!,#REF!,#REF!,#REF!,#REF!,#REF!,#REF!,#REF!,#REF!,#REF!,#REF!</definedName>
    <definedName name="__APW_RESTORE_DATA304__" hidden="1">#REF!,#REF!,#REF!,#REF!,#REF!,#REF!,#REF!,#REF!,#REF!,#REF!,#REF!,#REF!,#REF!,#REF!,#REF!</definedName>
    <definedName name="__APW_RESTORE_DATA305__" localSheetId="0" hidden="1">#REF!,#REF!,#REF!,#REF!,#REF!,#REF!,#REF!,#REF!,#REF!,#REF!,#REF!,#REF!,#REF!,#REF!,#REF!</definedName>
    <definedName name="__APW_RESTORE_DATA305__" hidden="1">#REF!,#REF!,#REF!,#REF!,#REF!,#REF!,#REF!,#REF!,#REF!,#REF!,#REF!,#REF!,#REF!,#REF!,#REF!</definedName>
    <definedName name="__APW_RESTORE_DATA306__" localSheetId="0" hidden="1">#REF!,#REF!,#REF!,#REF!,#REF!,#REF!,#REF!,#REF!,#REF!,#REF!,#REF!,#REF!,#REF!,#REF!,#REF!</definedName>
    <definedName name="__APW_RESTORE_DATA306__" hidden="1">#REF!,#REF!,#REF!,#REF!,#REF!,#REF!,#REF!,#REF!,#REF!,#REF!,#REF!,#REF!,#REF!,#REF!,#REF!</definedName>
    <definedName name="__APW_RESTORE_DATA307__" localSheetId="0" hidden="1">#REF!,#REF!,#REF!,#REF!,#REF!,#REF!,#REF!,#REF!,#REF!,#REF!,#REF!,#REF!,#REF!,#REF!,#REF!</definedName>
    <definedName name="__APW_RESTORE_DATA307__" hidden="1">#REF!,#REF!,#REF!,#REF!,#REF!,#REF!,#REF!,#REF!,#REF!,#REF!,#REF!,#REF!,#REF!,#REF!,#REF!</definedName>
    <definedName name="__APW_RESTORE_DATA308__" localSheetId="0" hidden="1">#REF!,#REF!,#REF!,#REF!,#REF!,#REF!,#REF!,#REF!,#REF!,#REF!,#REF!,#REF!,#REF!,#REF!</definedName>
    <definedName name="__APW_RESTORE_DATA308__" hidden="1">#REF!,#REF!,#REF!,#REF!,#REF!,#REF!,#REF!,#REF!,#REF!,#REF!,#REF!,#REF!,#REF!,#REF!</definedName>
    <definedName name="__APW_RESTORE_DATA309__" localSheetId="0" hidden="1">#REF!,#REF!,#REF!,#REF!,#REF!,#REF!,#REF!,#REF!,#REF!,#REF!,#REF!,#REF!,#REF!,#REF!,#REF!,#REF!,#REF!</definedName>
    <definedName name="__APW_RESTORE_DATA309__" hidden="1">#REF!,#REF!,#REF!,#REF!,#REF!,#REF!,#REF!,#REF!,#REF!,#REF!,#REF!,#REF!,#REF!,#REF!,#REF!,#REF!,#REF!</definedName>
    <definedName name="__APW_RESTORE_DATA31__" localSheetId="0" hidden="1">#REF!,#REF!,#REF!,#REF!,#REF!,#REF!,#REF!,#REF!,#REF!,#REF!,#REF!,#REF!,#REF!,#REF!,#REF!</definedName>
    <definedName name="__APW_RESTORE_DATA31__" hidden="1">#REF!,#REF!,#REF!,#REF!,#REF!,#REF!,#REF!,#REF!,#REF!,#REF!,#REF!,#REF!,#REF!,#REF!,#REF!</definedName>
    <definedName name="__APW_RESTORE_DATA310__" localSheetId="0" hidden="1">#REF!,#REF!,#REF!,#REF!,#REF!,#REF!,#REF!,#REF!,#REF!,#REF!,#REF!,#REF!,#REF!,#REF!,#REF!,#REF!</definedName>
    <definedName name="__APW_RESTORE_DATA310__" hidden="1">#REF!,#REF!,#REF!,#REF!,#REF!,#REF!,#REF!,#REF!,#REF!,#REF!,#REF!,#REF!,#REF!,#REF!,#REF!,#REF!</definedName>
    <definedName name="__APW_RESTORE_DATA311__" localSheetId="0" hidden="1">#REF!,#REF!,#REF!,#REF!,#REF!,#REF!,#REF!,#REF!,#REF!,#REF!,#REF!,#REF!,#REF!,#REF!,#REF!,#REF!</definedName>
    <definedName name="__APW_RESTORE_DATA311__" hidden="1">#REF!,#REF!,#REF!,#REF!,#REF!,#REF!,#REF!,#REF!,#REF!,#REF!,#REF!,#REF!,#REF!,#REF!,#REF!,#REF!</definedName>
    <definedName name="__APW_RESTORE_DATA312__" localSheetId="0" hidden="1">#REF!,#REF!,#REF!,#REF!,#REF!,#REF!,#REF!,#REF!,#REF!,#REF!,#REF!,#REF!,#REF!,#REF!,#REF!,#REF!</definedName>
    <definedName name="__APW_RESTORE_DATA312__" hidden="1">#REF!,#REF!,#REF!,#REF!,#REF!,#REF!,#REF!,#REF!,#REF!,#REF!,#REF!,#REF!,#REF!,#REF!,#REF!,#REF!</definedName>
    <definedName name="__APW_RESTORE_DATA313__" localSheetId="0" hidden="1">#REF!,#REF!,#REF!,#REF!,#REF!,#REF!,#REF!,#REF!,#REF!,#REF!,#REF!,#REF!,#REF!,#REF!,#REF!,#REF!</definedName>
    <definedName name="__APW_RESTORE_DATA313__" hidden="1">#REF!,#REF!,#REF!,#REF!,#REF!,#REF!,#REF!,#REF!,#REF!,#REF!,#REF!,#REF!,#REF!,#REF!,#REF!,#REF!</definedName>
    <definedName name="__APW_RESTORE_DATA314__" localSheetId="0" hidden="1">#REF!,#REF!,#REF!,#REF!,#REF!,#REF!,#REF!,#REF!,#REF!,#REF!,#REF!,#REF!,#REF!,#REF!,#REF!,#REF!</definedName>
    <definedName name="__APW_RESTORE_DATA314__" hidden="1">#REF!,#REF!,#REF!,#REF!,#REF!,#REF!,#REF!,#REF!,#REF!,#REF!,#REF!,#REF!,#REF!,#REF!,#REF!,#REF!</definedName>
    <definedName name="__APW_RESTORE_DATA315__" localSheetId="0" hidden="1">#REF!,#REF!,#REF!,#REF!,#REF!,#REF!,#REF!,#REF!,#REF!,#REF!,#REF!,#REF!,#REF!,#REF!,#REF!</definedName>
    <definedName name="__APW_RESTORE_DATA315__" hidden="1">#REF!,#REF!,#REF!,#REF!,#REF!,#REF!,#REF!,#REF!,#REF!,#REF!,#REF!,#REF!,#REF!,#REF!,#REF!</definedName>
    <definedName name="__APW_RESTORE_DATA316__" localSheetId="0" hidden="1">#REF!,#REF!,#REF!,#REF!,#REF!,#REF!,#REF!,#REF!,#REF!,#REF!,#REF!,#REF!,#REF!,#REF!,#REF!</definedName>
    <definedName name="__APW_RESTORE_DATA316__" hidden="1">#REF!,#REF!,#REF!,#REF!,#REF!,#REF!,#REF!,#REF!,#REF!,#REF!,#REF!,#REF!,#REF!,#REF!,#REF!</definedName>
    <definedName name="__APW_RESTORE_DATA317__" localSheetId="0" hidden="1">#REF!,#REF!,#REF!,#REF!,#REF!,#REF!,#REF!,#REF!,#REF!,#REF!,#REF!,#REF!,#REF!,#REF!,#REF!</definedName>
    <definedName name="__APW_RESTORE_DATA317__" hidden="1">#REF!,#REF!,#REF!,#REF!,#REF!,#REF!,#REF!,#REF!,#REF!,#REF!,#REF!,#REF!,#REF!,#REF!,#REF!</definedName>
    <definedName name="__APW_RESTORE_DATA318__" localSheetId="0" hidden="1">#REF!,#REF!,#REF!,#REF!,#REF!,#REF!,#REF!,#REF!,#REF!,#REF!,#REF!,#REF!,#REF!,#REF!,#REF!</definedName>
    <definedName name="__APW_RESTORE_DATA318__" hidden="1">#REF!,#REF!,#REF!,#REF!,#REF!,#REF!,#REF!,#REF!,#REF!,#REF!,#REF!,#REF!,#REF!,#REF!,#REF!</definedName>
    <definedName name="__APW_RESTORE_DATA319__" localSheetId="0" hidden="1">#REF!,#REF!,#REF!,#REF!,#REF!,#REF!,#REF!,#REF!,#REF!,#REF!,#REF!,#REF!,#REF!,#REF!</definedName>
    <definedName name="__APW_RESTORE_DATA319__" hidden="1">#REF!,#REF!,#REF!,#REF!,#REF!,#REF!,#REF!,#REF!,#REF!,#REF!,#REF!,#REF!,#REF!,#REF!</definedName>
    <definedName name="__APW_RESTORE_DATA32__" localSheetId="0" hidden="1">#REF!,#REF!,#REF!,#REF!,#REF!,#REF!,#REF!,#REF!,#REF!,#REF!,#REF!,#REF!,#REF!,#REF!,#REF!</definedName>
    <definedName name="__APW_RESTORE_DATA32__" hidden="1">#REF!,#REF!,#REF!,#REF!,#REF!,#REF!,#REF!,#REF!,#REF!,#REF!,#REF!,#REF!,#REF!,#REF!,#REF!</definedName>
    <definedName name="__APW_RESTORE_DATA320__" localSheetId="0" hidden="1">#REF!,#REF!,#REF!,#REF!,#REF!,#REF!,#REF!,#REF!,#REF!,#REF!,#REF!,#REF!,#REF!,#REF!,#REF!,#REF!,#REF!</definedName>
    <definedName name="__APW_RESTORE_DATA320__" hidden="1">#REF!,#REF!,#REF!,#REF!,#REF!,#REF!,#REF!,#REF!,#REF!,#REF!,#REF!,#REF!,#REF!,#REF!,#REF!,#REF!,#REF!</definedName>
    <definedName name="__APW_RESTORE_DATA321__" localSheetId="0" hidden="1">#REF!,#REF!,#REF!,#REF!,#REF!,#REF!,#REF!,#REF!,#REF!,#REF!,#REF!,#REF!,#REF!,#REF!,#REF!,#REF!</definedName>
    <definedName name="__APW_RESTORE_DATA321__" hidden="1">#REF!,#REF!,#REF!,#REF!,#REF!,#REF!,#REF!,#REF!,#REF!,#REF!,#REF!,#REF!,#REF!,#REF!,#REF!,#REF!</definedName>
    <definedName name="__APW_RESTORE_DATA322__" localSheetId="0" hidden="1">#REF!,#REF!,#REF!,#REF!,#REF!,#REF!,#REF!,#REF!,#REF!,#REF!,#REF!,#REF!,#REF!,#REF!,#REF!,#REF!</definedName>
    <definedName name="__APW_RESTORE_DATA322__" hidden="1">#REF!,#REF!,#REF!,#REF!,#REF!,#REF!,#REF!,#REF!,#REF!,#REF!,#REF!,#REF!,#REF!,#REF!,#REF!,#REF!</definedName>
    <definedName name="__APW_RESTORE_DATA323__" localSheetId="0" hidden="1">#REF!,#REF!,#REF!,#REF!,#REF!,#REF!,#REF!,#REF!,#REF!,#REF!,#REF!,#REF!,#REF!,#REF!,#REF!,#REF!</definedName>
    <definedName name="__APW_RESTORE_DATA323__" hidden="1">#REF!,#REF!,#REF!,#REF!,#REF!,#REF!,#REF!,#REF!,#REF!,#REF!,#REF!,#REF!,#REF!,#REF!,#REF!,#REF!</definedName>
    <definedName name="__APW_RESTORE_DATA324__" localSheetId="0" hidden="1">#REF!,#REF!,#REF!,#REF!,#REF!,#REF!,#REF!,#REF!,#REF!,#REF!,#REF!,#REF!,#REF!,#REF!,#REF!,#REF!</definedName>
    <definedName name="__APW_RESTORE_DATA324__" hidden="1">#REF!,#REF!,#REF!,#REF!,#REF!,#REF!,#REF!,#REF!,#REF!,#REF!,#REF!,#REF!,#REF!,#REF!,#REF!,#REF!</definedName>
    <definedName name="__APW_RESTORE_DATA325__" localSheetId="0" hidden="1">#REF!,#REF!,#REF!,#REF!,#REF!,#REF!,#REF!,#REF!,#REF!,#REF!,#REF!,#REF!,#REF!,#REF!,#REF!,#REF!</definedName>
    <definedName name="__APW_RESTORE_DATA325__" hidden="1">#REF!,#REF!,#REF!,#REF!,#REF!,#REF!,#REF!,#REF!,#REF!,#REF!,#REF!,#REF!,#REF!,#REF!,#REF!,#REF!</definedName>
    <definedName name="__APW_RESTORE_DATA326__" localSheetId="0" hidden="1">#REF!,#REF!,#REF!,#REF!,#REF!,#REF!,#REF!,#REF!,#REF!,#REF!,#REF!,#REF!,#REF!,#REF!,#REF!</definedName>
    <definedName name="__APW_RESTORE_DATA326__" hidden="1">#REF!,#REF!,#REF!,#REF!,#REF!,#REF!,#REF!,#REF!,#REF!,#REF!,#REF!,#REF!,#REF!,#REF!,#REF!</definedName>
    <definedName name="__APW_RESTORE_DATA327__" localSheetId="0" hidden="1">#REF!,#REF!,#REF!,#REF!,#REF!,#REF!,#REF!,#REF!,#REF!,#REF!,#REF!,#REF!,#REF!,#REF!,#REF!</definedName>
    <definedName name="__APW_RESTORE_DATA327__" hidden="1">#REF!,#REF!,#REF!,#REF!,#REF!,#REF!,#REF!,#REF!,#REF!,#REF!,#REF!,#REF!,#REF!,#REF!,#REF!</definedName>
    <definedName name="__APW_RESTORE_DATA328__" localSheetId="0" hidden="1">#REF!,#REF!,#REF!,#REF!,#REF!,#REF!,#REF!,#REF!,#REF!,#REF!,#REF!,#REF!,#REF!,#REF!,#REF!</definedName>
    <definedName name="__APW_RESTORE_DATA328__" hidden="1">#REF!,#REF!,#REF!,#REF!,#REF!,#REF!,#REF!,#REF!,#REF!,#REF!,#REF!,#REF!,#REF!,#REF!,#REF!</definedName>
    <definedName name="__APW_RESTORE_DATA329__" localSheetId="0" hidden="1">#REF!,#REF!,#REF!,#REF!,#REF!,#REF!,#REF!,#REF!,#REF!,#REF!,#REF!,#REF!,#REF!,#REF!,#REF!</definedName>
    <definedName name="__APW_RESTORE_DATA329__" hidden="1">#REF!,#REF!,#REF!,#REF!,#REF!,#REF!,#REF!,#REF!,#REF!,#REF!,#REF!,#REF!,#REF!,#REF!,#REF!</definedName>
    <definedName name="__APW_RESTORE_DATA33__" localSheetId="0" hidden="1">#REF!,#REF!,#REF!,#REF!,#REF!,#REF!,#REF!,#REF!,#REF!,#REF!,#REF!,#REF!,#REF!,#REF!,#REF!</definedName>
    <definedName name="__APW_RESTORE_DATA33__" hidden="1">#REF!,#REF!,#REF!,#REF!,#REF!,#REF!,#REF!,#REF!,#REF!,#REF!,#REF!,#REF!,#REF!,#REF!,#REF!</definedName>
    <definedName name="__APW_RESTORE_DATA330__" localSheetId="0" hidden="1">#REF!,#REF!,#REF!,#REF!,#REF!,#REF!,#REF!,#REF!,#REF!,#REF!,#REF!,#REF!,#REF!,#REF!</definedName>
    <definedName name="__APW_RESTORE_DATA330__" hidden="1">#REF!,#REF!,#REF!,#REF!,#REF!,#REF!,#REF!,#REF!,#REF!,#REF!,#REF!,#REF!,#REF!,#REF!</definedName>
    <definedName name="__APW_RESTORE_DATA331__" localSheetId="0" hidden="1">#REF!,#REF!,#REF!,#REF!,#REF!,#REF!,#REF!,#REF!,#REF!,#REF!,#REF!,#REF!,#REF!,#REF!,#REF!,#REF!,#REF!</definedName>
    <definedName name="__APW_RESTORE_DATA331__" hidden="1">#REF!,#REF!,#REF!,#REF!,#REF!,#REF!,#REF!,#REF!,#REF!,#REF!,#REF!,#REF!,#REF!,#REF!,#REF!,#REF!,#REF!</definedName>
    <definedName name="__APW_RESTORE_DATA332__" localSheetId="0" hidden="1">#REF!,#REF!,#REF!,#REF!,#REF!,#REF!,#REF!,#REF!,#REF!,#REF!,#REF!,#REF!,#REF!,#REF!,#REF!,#REF!</definedName>
    <definedName name="__APW_RESTORE_DATA332__" hidden="1">#REF!,#REF!,#REF!,#REF!,#REF!,#REF!,#REF!,#REF!,#REF!,#REF!,#REF!,#REF!,#REF!,#REF!,#REF!,#REF!</definedName>
    <definedName name="__APW_RESTORE_DATA333__" localSheetId="0" hidden="1">#REF!,#REF!,#REF!,#REF!,#REF!,#REF!,#REF!,#REF!,#REF!,#REF!,#REF!,#REF!,#REF!,#REF!,#REF!,#REF!</definedName>
    <definedName name="__APW_RESTORE_DATA333__" hidden="1">#REF!,#REF!,#REF!,#REF!,#REF!,#REF!,#REF!,#REF!,#REF!,#REF!,#REF!,#REF!,#REF!,#REF!,#REF!,#REF!</definedName>
    <definedName name="__APW_RESTORE_DATA334__" localSheetId="0" hidden="1">#REF!,#REF!,#REF!,#REF!,#REF!,#REF!,#REF!,#REF!,#REF!,#REF!,#REF!,#REF!,#REF!,#REF!,#REF!,#REF!</definedName>
    <definedName name="__APW_RESTORE_DATA334__" hidden="1">#REF!,#REF!,#REF!,#REF!,#REF!,#REF!,#REF!,#REF!,#REF!,#REF!,#REF!,#REF!,#REF!,#REF!,#REF!,#REF!</definedName>
    <definedName name="__APW_RESTORE_DATA335__" localSheetId="0" hidden="1">#REF!,#REF!,#REF!,#REF!,#REF!,#REF!,#REF!,#REF!,#REF!,#REF!,#REF!,#REF!,#REF!,#REF!,#REF!,#REF!</definedName>
    <definedName name="__APW_RESTORE_DATA335__" hidden="1">#REF!,#REF!,#REF!,#REF!,#REF!,#REF!,#REF!,#REF!,#REF!,#REF!,#REF!,#REF!,#REF!,#REF!,#REF!,#REF!</definedName>
    <definedName name="__APW_RESTORE_DATA336__" localSheetId="0" hidden="1">#REF!,#REF!,#REF!,#REF!,#REF!,#REF!,#REF!,#REF!,#REF!,#REF!,#REF!,#REF!,#REF!,#REF!,#REF!,#REF!</definedName>
    <definedName name="__APW_RESTORE_DATA336__" hidden="1">#REF!,#REF!,#REF!,#REF!,#REF!,#REF!,#REF!,#REF!,#REF!,#REF!,#REF!,#REF!,#REF!,#REF!,#REF!,#REF!</definedName>
    <definedName name="__APW_RESTORE_DATA337__" localSheetId="0" hidden="1">#REF!,#REF!,#REF!,#REF!,#REF!,#REF!,#REF!,#REF!,#REF!,#REF!,#REF!,#REF!,#REF!,#REF!,#REF!</definedName>
    <definedName name="__APW_RESTORE_DATA337__" hidden="1">#REF!,#REF!,#REF!,#REF!,#REF!,#REF!,#REF!,#REF!,#REF!,#REF!,#REF!,#REF!,#REF!,#REF!,#REF!</definedName>
    <definedName name="__APW_RESTORE_DATA338__" localSheetId="0" hidden="1">#REF!,#REF!,#REF!,#REF!,#REF!,#REF!,#REF!,#REF!,#REF!,#REF!,#REF!,#REF!,#REF!,#REF!,#REF!</definedName>
    <definedName name="__APW_RESTORE_DATA338__" hidden="1">#REF!,#REF!,#REF!,#REF!,#REF!,#REF!,#REF!,#REF!,#REF!,#REF!,#REF!,#REF!,#REF!,#REF!,#REF!</definedName>
    <definedName name="__APW_RESTORE_DATA339__" localSheetId="0" hidden="1">#REF!,#REF!,#REF!,#REF!,#REF!,#REF!,#REF!,#REF!,#REF!,#REF!,#REF!,#REF!,#REF!,#REF!,#REF!</definedName>
    <definedName name="__APW_RESTORE_DATA339__" hidden="1">#REF!,#REF!,#REF!,#REF!,#REF!,#REF!,#REF!,#REF!,#REF!,#REF!,#REF!,#REF!,#REF!,#REF!,#REF!</definedName>
    <definedName name="__APW_RESTORE_DATA34__" localSheetId="0" hidden="1">#REF!,#REF!,#REF!,#REF!,#REF!,#REF!,#REF!,#REF!,#REF!,#REF!,#REF!,#REF!,#REF!,#REF!,#REF!</definedName>
    <definedName name="__APW_RESTORE_DATA34__" hidden="1">#REF!,#REF!,#REF!,#REF!,#REF!,#REF!,#REF!,#REF!,#REF!,#REF!,#REF!,#REF!,#REF!,#REF!,#REF!</definedName>
    <definedName name="__APW_RESTORE_DATA340__" localSheetId="0" hidden="1">#REF!,#REF!,#REF!,#REF!,#REF!,#REF!,#REF!,#REF!,#REF!,#REF!,#REF!,#REF!,#REF!,#REF!,#REF!</definedName>
    <definedName name="__APW_RESTORE_DATA340__" hidden="1">#REF!,#REF!,#REF!,#REF!,#REF!,#REF!,#REF!,#REF!,#REF!,#REF!,#REF!,#REF!,#REF!,#REF!,#REF!</definedName>
    <definedName name="__APW_RESTORE_DATA341__" localSheetId="0" hidden="1">#REF!,#REF!,#REF!,#REF!,#REF!,#REF!,#REF!,#REF!,#REF!,#REF!,#REF!,#REF!,#REF!,#REF!</definedName>
    <definedName name="__APW_RESTORE_DATA341__" hidden="1">#REF!,#REF!,#REF!,#REF!,#REF!,#REF!,#REF!,#REF!,#REF!,#REF!,#REF!,#REF!,#REF!,#REF!</definedName>
    <definedName name="__APW_RESTORE_DATA342__" localSheetId="0" hidden="1">#REF!,#REF!,#REF!,#REF!,#REF!,#REF!,#REF!,#REF!,#REF!,#REF!,#REF!,#REF!,#REF!,#REF!,#REF!,#REF!,#REF!</definedName>
    <definedName name="__APW_RESTORE_DATA342__" hidden="1">#REF!,#REF!,#REF!,#REF!,#REF!,#REF!,#REF!,#REF!,#REF!,#REF!,#REF!,#REF!,#REF!,#REF!,#REF!,#REF!,#REF!</definedName>
    <definedName name="__APW_RESTORE_DATA343__" localSheetId="0" hidden="1">#REF!,#REF!,#REF!,#REF!,#REF!,#REF!,#REF!,#REF!,#REF!,#REF!,#REF!,#REF!,#REF!,#REF!,#REF!,#REF!</definedName>
    <definedName name="__APW_RESTORE_DATA343__" hidden="1">#REF!,#REF!,#REF!,#REF!,#REF!,#REF!,#REF!,#REF!,#REF!,#REF!,#REF!,#REF!,#REF!,#REF!,#REF!,#REF!</definedName>
    <definedName name="__APW_RESTORE_DATA344__" localSheetId="0" hidden="1">#REF!,#REF!,#REF!,#REF!,#REF!,#REF!,#REF!,#REF!,#REF!,#REF!,#REF!,#REF!,#REF!,#REF!,#REF!,#REF!</definedName>
    <definedName name="__APW_RESTORE_DATA344__" hidden="1">#REF!,#REF!,#REF!,#REF!,#REF!,#REF!,#REF!,#REF!,#REF!,#REF!,#REF!,#REF!,#REF!,#REF!,#REF!,#REF!</definedName>
    <definedName name="__APW_RESTORE_DATA345__" localSheetId="0" hidden="1">#REF!,#REF!,#REF!,#REF!,#REF!,#REF!,#REF!,#REF!,#REF!,#REF!,#REF!,#REF!,#REF!,#REF!,#REF!,#REF!</definedName>
    <definedName name="__APW_RESTORE_DATA345__" hidden="1">#REF!,#REF!,#REF!,#REF!,#REF!,#REF!,#REF!,#REF!,#REF!,#REF!,#REF!,#REF!,#REF!,#REF!,#REF!,#REF!</definedName>
    <definedName name="__APW_RESTORE_DATA346__" localSheetId="0" hidden="1">#REF!,#REF!,#REF!,#REF!,#REF!,#REF!,#REF!,#REF!,#REF!,#REF!,#REF!,#REF!,#REF!,#REF!,#REF!,#REF!</definedName>
    <definedName name="__APW_RESTORE_DATA346__" hidden="1">#REF!,#REF!,#REF!,#REF!,#REF!,#REF!,#REF!,#REF!,#REF!,#REF!,#REF!,#REF!,#REF!,#REF!,#REF!,#REF!</definedName>
    <definedName name="__APW_RESTORE_DATA347__" localSheetId="0" hidden="1">#REF!,#REF!,#REF!,#REF!,#REF!,#REF!,#REF!,#REF!,#REF!,#REF!,#REF!,#REF!,#REF!,#REF!,#REF!,#REF!</definedName>
    <definedName name="__APW_RESTORE_DATA347__" hidden="1">#REF!,#REF!,#REF!,#REF!,#REF!,#REF!,#REF!,#REF!,#REF!,#REF!,#REF!,#REF!,#REF!,#REF!,#REF!,#REF!</definedName>
    <definedName name="__APW_RESTORE_DATA348__" localSheetId="0" hidden="1">#REF!,#REF!,#REF!,#REF!,#REF!,#REF!,#REF!,#REF!,#REF!,#REF!,#REF!,#REF!,#REF!,#REF!,#REF!</definedName>
    <definedName name="__APW_RESTORE_DATA348__" hidden="1">#REF!,#REF!,#REF!,#REF!,#REF!,#REF!,#REF!,#REF!,#REF!,#REF!,#REF!,#REF!,#REF!,#REF!,#REF!</definedName>
    <definedName name="__APW_RESTORE_DATA349__" localSheetId="0" hidden="1">#REF!,#REF!,#REF!,#REF!,#REF!,#REF!,#REF!,#REF!,#REF!,#REF!,#REF!,#REF!,#REF!,#REF!,#REF!</definedName>
    <definedName name="__APW_RESTORE_DATA349__" hidden="1">#REF!,#REF!,#REF!,#REF!,#REF!,#REF!,#REF!,#REF!,#REF!,#REF!,#REF!,#REF!,#REF!,#REF!,#REF!</definedName>
    <definedName name="__APW_RESTORE_DATA35__" localSheetId="0" hidden="1">#REF!,#REF!,#REF!,#REF!,#REF!,#REF!</definedName>
    <definedName name="__APW_RESTORE_DATA35__" hidden="1">#REF!,#REF!,#REF!,#REF!,#REF!,#REF!</definedName>
    <definedName name="__APW_RESTORE_DATA350__" localSheetId="0" hidden="1">#REF!,#REF!,#REF!,#REF!,#REF!,#REF!,#REF!,#REF!,#REF!,#REF!,#REF!,#REF!,#REF!,#REF!,#REF!</definedName>
    <definedName name="__APW_RESTORE_DATA350__" hidden="1">#REF!,#REF!,#REF!,#REF!,#REF!,#REF!,#REF!,#REF!,#REF!,#REF!,#REF!,#REF!,#REF!,#REF!,#REF!</definedName>
    <definedName name="__APW_RESTORE_DATA351__" localSheetId="0" hidden="1">#REF!,#REF!,#REF!,#REF!,#REF!,#REF!,#REF!,#REF!,#REF!,#REF!,#REF!,#REF!,#REF!,#REF!,#REF!</definedName>
    <definedName name="__APW_RESTORE_DATA351__" hidden="1">#REF!,#REF!,#REF!,#REF!,#REF!,#REF!,#REF!,#REF!,#REF!,#REF!,#REF!,#REF!,#REF!,#REF!,#REF!</definedName>
    <definedName name="__APW_RESTORE_DATA352__" localSheetId="0" hidden="1">#REF!,#REF!,#REF!,#REF!,#REF!,#REF!,#REF!,#REF!,#REF!,#REF!,#REF!,#REF!,#REF!,#REF!</definedName>
    <definedName name="__APW_RESTORE_DATA352__" hidden="1">#REF!,#REF!,#REF!,#REF!,#REF!,#REF!,#REF!,#REF!,#REF!,#REF!,#REF!,#REF!,#REF!,#REF!</definedName>
    <definedName name="__APW_RESTORE_DATA353__" localSheetId="0" hidden="1">#REF!,#REF!,#REF!,#REF!,#REF!,#REF!,#REF!,#REF!,#REF!,#REF!,#REF!,#REF!,#REF!,#REF!,#REF!,#REF!,#REF!</definedName>
    <definedName name="__APW_RESTORE_DATA353__" hidden="1">#REF!,#REF!,#REF!,#REF!,#REF!,#REF!,#REF!,#REF!,#REF!,#REF!,#REF!,#REF!,#REF!,#REF!,#REF!,#REF!,#REF!</definedName>
    <definedName name="__APW_RESTORE_DATA354__" localSheetId="0" hidden="1">#REF!,#REF!,#REF!,#REF!,#REF!,#REF!,#REF!,#REF!,#REF!,#REF!,#REF!,#REF!,#REF!,#REF!,#REF!,#REF!</definedName>
    <definedName name="__APW_RESTORE_DATA354__" hidden="1">#REF!,#REF!,#REF!,#REF!,#REF!,#REF!,#REF!,#REF!,#REF!,#REF!,#REF!,#REF!,#REF!,#REF!,#REF!,#REF!</definedName>
    <definedName name="__APW_RESTORE_DATA355__" localSheetId="0" hidden="1">#REF!,#REF!,#REF!,#REF!,#REF!,#REF!,#REF!,#REF!,#REF!,#REF!,#REF!,#REF!,#REF!,#REF!,#REF!,#REF!</definedName>
    <definedName name="__APW_RESTORE_DATA355__" hidden="1">#REF!,#REF!,#REF!,#REF!,#REF!,#REF!,#REF!,#REF!,#REF!,#REF!,#REF!,#REF!,#REF!,#REF!,#REF!,#REF!</definedName>
    <definedName name="__APW_RESTORE_DATA356__" localSheetId="0" hidden="1">#REF!,#REF!,#REF!,#REF!,#REF!,#REF!,#REF!,#REF!,#REF!,#REF!,#REF!,#REF!,#REF!,#REF!,#REF!,#REF!</definedName>
    <definedName name="__APW_RESTORE_DATA356__" hidden="1">#REF!,#REF!,#REF!,#REF!,#REF!,#REF!,#REF!,#REF!,#REF!,#REF!,#REF!,#REF!,#REF!,#REF!,#REF!,#REF!</definedName>
    <definedName name="__APW_RESTORE_DATA357__" localSheetId="0" hidden="1">#REF!,#REF!,#REF!,#REF!,#REF!,#REF!,#REF!,#REF!,#REF!,#REF!,#REF!,#REF!,#REF!,#REF!,#REF!,#REF!</definedName>
    <definedName name="__APW_RESTORE_DATA357__" hidden="1">#REF!,#REF!,#REF!,#REF!,#REF!,#REF!,#REF!,#REF!,#REF!,#REF!,#REF!,#REF!,#REF!,#REF!,#REF!,#REF!</definedName>
    <definedName name="__APW_RESTORE_DATA358__" localSheetId="0" hidden="1">#REF!,#REF!,#REF!,#REF!,#REF!,#REF!,#REF!,#REF!,#REF!,#REF!,#REF!,#REF!,#REF!,#REF!,#REF!,#REF!</definedName>
    <definedName name="__APW_RESTORE_DATA358__" hidden="1">#REF!,#REF!,#REF!,#REF!,#REF!,#REF!,#REF!,#REF!,#REF!,#REF!,#REF!,#REF!,#REF!,#REF!,#REF!,#REF!</definedName>
    <definedName name="__APW_RESTORE_DATA359__" localSheetId="0" hidden="1">#REF!,#REF!,#REF!,#REF!,#REF!,#REF!,#REF!,#REF!,#REF!,#REF!,#REF!,#REF!,#REF!,#REF!,#REF!</definedName>
    <definedName name="__APW_RESTORE_DATA359__" hidden="1">#REF!,#REF!,#REF!,#REF!,#REF!,#REF!,#REF!,#REF!,#REF!,#REF!,#REF!,#REF!,#REF!,#REF!,#REF!</definedName>
    <definedName name="__APW_RESTORE_DATA36__" localSheetId="0" hidden="1">#REF!,#REF!,#REF!,#REF!,#REF!,#REF!,#REF!,#REF!,#REF!,#REF!,#REF!,#REF!,#REF!,#REF!,#REF!,#REF!,#REF!</definedName>
    <definedName name="__APW_RESTORE_DATA36__" hidden="1">#REF!,#REF!,#REF!,#REF!,#REF!,#REF!,#REF!,#REF!,#REF!,#REF!,#REF!,#REF!,#REF!,#REF!,#REF!,#REF!,#REF!</definedName>
    <definedName name="__APW_RESTORE_DATA360__" localSheetId="0" hidden="1">#REF!,#REF!,#REF!,#REF!,#REF!,#REF!,#REF!,#REF!,#REF!,#REF!,#REF!,#REF!,#REF!,#REF!,#REF!</definedName>
    <definedName name="__APW_RESTORE_DATA360__" hidden="1">#REF!,#REF!,#REF!,#REF!,#REF!,#REF!,#REF!,#REF!,#REF!,#REF!,#REF!,#REF!,#REF!,#REF!,#REF!</definedName>
    <definedName name="__APW_RESTORE_DATA361__" localSheetId="0" hidden="1">#REF!,#REF!,#REF!,#REF!,#REF!,#REF!,#REF!,#REF!,#REF!,#REF!,#REF!,#REF!,#REF!,#REF!,#REF!</definedName>
    <definedName name="__APW_RESTORE_DATA361__" hidden="1">#REF!,#REF!,#REF!,#REF!,#REF!,#REF!,#REF!,#REF!,#REF!,#REF!,#REF!,#REF!,#REF!,#REF!,#REF!</definedName>
    <definedName name="__APW_RESTORE_DATA362__" localSheetId="0" hidden="1">#REF!,#REF!,#REF!,#REF!,#REF!,#REF!,#REF!,#REF!,#REF!,#REF!,#REF!,#REF!,#REF!,#REF!,#REF!</definedName>
    <definedName name="__APW_RESTORE_DATA362__" hidden="1">#REF!,#REF!,#REF!,#REF!,#REF!,#REF!,#REF!,#REF!,#REF!,#REF!,#REF!,#REF!,#REF!,#REF!,#REF!</definedName>
    <definedName name="__APW_RESTORE_DATA363__" localSheetId="0" hidden="1">#REF!,#REF!,#REF!,#REF!,#REF!,#REF!,#REF!,#REF!,#REF!,#REF!,#REF!,#REF!,#REF!,#REF!</definedName>
    <definedName name="__APW_RESTORE_DATA363__" hidden="1">#REF!,#REF!,#REF!,#REF!,#REF!,#REF!,#REF!,#REF!,#REF!,#REF!,#REF!,#REF!,#REF!,#REF!</definedName>
    <definedName name="__APW_RESTORE_DATA364__" localSheetId="0" hidden="1">#REF!,#REF!,#REF!,#REF!,#REF!,#REF!,#REF!,#REF!,#REF!,#REF!,#REF!,#REF!,#REF!,#REF!,#REF!,#REF!,#REF!</definedName>
    <definedName name="__APW_RESTORE_DATA364__" hidden="1">#REF!,#REF!,#REF!,#REF!,#REF!,#REF!,#REF!,#REF!,#REF!,#REF!,#REF!,#REF!,#REF!,#REF!,#REF!,#REF!,#REF!</definedName>
    <definedName name="__APW_RESTORE_DATA365__" localSheetId="0" hidden="1">#REF!,#REF!,#REF!,#REF!,#REF!,#REF!,#REF!,#REF!,#REF!,#REF!,#REF!,#REF!,#REF!,#REF!,#REF!,#REF!</definedName>
    <definedName name="__APW_RESTORE_DATA365__" hidden="1">#REF!,#REF!,#REF!,#REF!,#REF!,#REF!,#REF!,#REF!,#REF!,#REF!,#REF!,#REF!,#REF!,#REF!,#REF!,#REF!</definedName>
    <definedName name="__APW_RESTORE_DATA366__" localSheetId="0" hidden="1">#REF!,#REF!,#REF!,#REF!,#REF!,#REF!,#REF!,#REF!,#REF!,#REF!,#REF!,#REF!,#REF!,#REF!,#REF!,#REF!</definedName>
    <definedName name="__APW_RESTORE_DATA366__" hidden="1">#REF!,#REF!,#REF!,#REF!,#REF!,#REF!,#REF!,#REF!,#REF!,#REF!,#REF!,#REF!,#REF!,#REF!,#REF!,#REF!</definedName>
    <definedName name="__APW_RESTORE_DATA367__" localSheetId="0" hidden="1">#REF!,#REF!,#REF!,#REF!,#REF!,#REF!,#REF!,#REF!,#REF!,#REF!,#REF!,#REF!,#REF!,#REF!,#REF!,#REF!</definedName>
    <definedName name="__APW_RESTORE_DATA367__" hidden="1">#REF!,#REF!,#REF!,#REF!,#REF!,#REF!,#REF!,#REF!,#REF!,#REF!,#REF!,#REF!,#REF!,#REF!,#REF!,#REF!</definedName>
    <definedName name="__APW_RESTORE_DATA368__" localSheetId="0" hidden="1">#REF!,#REF!,#REF!,#REF!,#REF!,#REF!,#REF!,#REF!,#REF!,#REF!,#REF!,#REF!,#REF!,#REF!,#REF!,#REF!</definedName>
    <definedName name="__APW_RESTORE_DATA368__" hidden="1">#REF!,#REF!,#REF!,#REF!,#REF!,#REF!,#REF!,#REF!,#REF!,#REF!,#REF!,#REF!,#REF!,#REF!,#REF!,#REF!</definedName>
    <definedName name="__APW_RESTORE_DATA369__" localSheetId="0" hidden="1">#REF!,#REF!,#REF!,#REF!,#REF!,#REF!,#REF!,#REF!,#REF!,#REF!,#REF!,#REF!,#REF!,#REF!,#REF!,#REF!</definedName>
    <definedName name="__APW_RESTORE_DATA369__" hidden="1">#REF!,#REF!,#REF!,#REF!,#REF!,#REF!,#REF!,#REF!,#REF!,#REF!,#REF!,#REF!,#REF!,#REF!,#REF!,#REF!</definedName>
    <definedName name="__APW_RESTORE_DATA37__" localSheetId="0" hidden="1">#REF!,#REF!,#REF!,#REF!,#REF!,#REF!,#REF!,#REF!,#REF!,#REF!,#REF!,#REF!,#REF!,#REF!,#REF!,#REF!</definedName>
    <definedName name="__APW_RESTORE_DATA37__" hidden="1">#REF!,#REF!,#REF!,#REF!,#REF!,#REF!,#REF!,#REF!,#REF!,#REF!,#REF!,#REF!,#REF!,#REF!,#REF!,#REF!</definedName>
    <definedName name="__APW_RESTORE_DATA370__" localSheetId="0" hidden="1">#REF!,#REF!,#REF!,#REF!,#REF!,#REF!,#REF!,#REF!,#REF!,#REF!,#REF!,#REF!,#REF!,#REF!,#REF!</definedName>
    <definedName name="__APW_RESTORE_DATA370__" hidden="1">#REF!,#REF!,#REF!,#REF!,#REF!,#REF!,#REF!,#REF!,#REF!,#REF!,#REF!,#REF!,#REF!,#REF!,#REF!</definedName>
    <definedName name="__APW_RESTORE_DATA371__" localSheetId="0" hidden="1">#REF!,#REF!,#REF!,#REF!,#REF!,#REF!,#REF!,#REF!,#REF!,#REF!,#REF!,#REF!,#REF!,#REF!,#REF!</definedName>
    <definedName name="__APW_RESTORE_DATA371__" hidden="1">#REF!,#REF!,#REF!,#REF!,#REF!,#REF!,#REF!,#REF!,#REF!,#REF!,#REF!,#REF!,#REF!,#REF!,#REF!</definedName>
    <definedName name="__APW_RESTORE_DATA372__" localSheetId="0" hidden="1">#REF!,#REF!,#REF!,#REF!,#REF!,#REF!,#REF!,#REF!,#REF!,#REF!,#REF!,#REF!,#REF!,#REF!,#REF!</definedName>
    <definedName name="__APW_RESTORE_DATA372__" hidden="1">#REF!,#REF!,#REF!,#REF!,#REF!,#REF!,#REF!,#REF!,#REF!,#REF!,#REF!,#REF!,#REF!,#REF!,#REF!</definedName>
    <definedName name="__APW_RESTORE_DATA373__" localSheetId="0" hidden="1">#REF!,#REF!,#REF!,#REF!,#REF!,#REF!,#REF!,#REF!,#REF!,#REF!,#REF!,#REF!,#REF!,#REF!,#REF!</definedName>
    <definedName name="__APW_RESTORE_DATA373__" hidden="1">#REF!,#REF!,#REF!,#REF!,#REF!,#REF!,#REF!,#REF!,#REF!,#REF!,#REF!,#REF!,#REF!,#REF!,#REF!</definedName>
    <definedName name="__APW_RESTORE_DATA374__" localSheetId="0" hidden="1">#REF!,#REF!,#REF!,#REF!,#REF!,#REF!,#REF!,#REF!,#REF!,#REF!,#REF!,#REF!,#REF!,#REF!</definedName>
    <definedName name="__APW_RESTORE_DATA374__" hidden="1">#REF!,#REF!,#REF!,#REF!,#REF!,#REF!,#REF!,#REF!,#REF!,#REF!,#REF!,#REF!,#REF!,#REF!</definedName>
    <definedName name="__APW_RESTORE_DATA375__" localSheetId="0" hidden="1">#REF!,#REF!,#REF!,#REF!,#REF!,#REF!,#REF!,#REF!,#REF!,#REF!,#REF!,#REF!,#REF!,#REF!,#REF!,#REF!,#REF!</definedName>
    <definedName name="__APW_RESTORE_DATA375__" hidden="1">#REF!,#REF!,#REF!,#REF!,#REF!,#REF!,#REF!,#REF!,#REF!,#REF!,#REF!,#REF!,#REF!,#REF!,#REF!,#REF!,#REF!</definedName>
    <definedName name="__APW_RESTORE_DATA376__" localSheetId="0" hidden="1">#REF!,#REF!,#REF!,#REF!,#REF!,#REF!,#REF!,#REF!,#REF!,#REF!,#REF!,#REF!,#REF!,#REF!,#REF!,#REF!</definedName>
    <definedName name="__APW_RESTORE_DATA376__" hidden="1">#REF!,#REF!,#REF!,#REF!,#REF!,#REF!,#REF!,#REF!,#REF!,#REF!,#REF!,#REF!,#REF!,#REF!,#REF!,#REF!</definedName>
    <definedName name="__APW_RESTORE_DATA377__" localSheetId="0" hidden="1">#REF!,#REF!,#REF!,#REF!,#REF!,#REF!,#REF!,#REF!,#REF!,#REF!,#REF!,#REF!,#REF!,#REF!,#REF!,#REF!</definedName>
    <definedName name="__APW_RESTORE_DATA377__" hidden="1">#REF!,#REF!,#REF!,#REF!,#REF!,#REF!,#REF!,#REF!,#REF!,#REF!,#REF!,#REF!,#REF!,#REF!,#REF!,#REF!</definedName>
    <definedName name="__APW_RESTORE_DATA378__" localSheetId="0" hidden="1">#REF!,#REF!,#REF!,#REF!,#REF!,#REF!,#REF!,#REF!,#REF!,#REF!,#REF!,#REF!,#REF!,#REF!,#REF!,#REF!</definedName>
    <definedName name="__APW_RESTORE_DATA378__" hidden="1">#REF!,#REF!,#REF!,#REF!,#REF!,#REF!,#REF!,#REF!,#REF!,#REF!,#REF!,#REF!,#REF!,#REF!,#REF!,#REF!</definedName>
    <definedName name="__APW_RESTORE_DATA379__" localSheetId="0" hidden="1">#REF!,#REF!,#REF!,#REF!,#REF!,#REF!,#REF!,#REF!,#REF!,#REF!,#REF!,#REF!,#REF!,#REF!,#REF!,#REF!</definedName>
    <definedName name="__APW_RESTORE_DATA379__" hidden="1">#REF!,#REF!,#REF!,#REF!,#REF!,#REF!,#REF!,#REF!,#REF!,#REF!,#REF!,#REF!,#REF!,#REF!,#REF!,#REF!</definedName>
    <definedName name="__APW_RESTORE_DATA38__" localSheetId="0" hidden="1">#REF!,#REF!,#REF!,#REF!,#REF!,#REF!,#REF!,#REF!,#REF!,#REF!,#REF!,#REF!,#REF!,#REF!,#REF!,#REF!</definedName>
    <definedName name="__APW_RESTORE_DATA38__" hidden="1">#REF!,#REF!,#REF!,#REF!,#REF!,#REF!,#REF!,#REF!,#REF!,#REF!,#REF!,#REF!,#REF!,#REF!,#REF!,#REF!</definedName>
    <definedName name="__APW_RESTORE_DATA380__" localSheetId="0" hidden="1">#REF!,#REF!,#REF!,#REF!,#REF!,#REF!,#REF!,#REF!,#REF!,#REF!,#REF!,#REF!,#REF!,#REF!,#REF!,#REF!</definedName>
    <definedName name="__APW_RESTORE_DATA380__" hidden="1">#REF!,#REF!,#REF!,#REF!,#REF!,#REF!,#REF!,#REF!,#REF!,#REF!,#REF!,#REF!,#REF!,#REF!,#REF!,#REF!</definedName>
    <definedName name="__APW_RESTORE_DATA381__" localSheetId="0" hidden="1">#REF!,#REF!,#REF!,#REF!,#REF!,#REF!,#REF!,#REF!,#REF!,#REF!,#REF!,#REF!,#REF!,#REF!,#REF!</definedName>
    <definedName name="__APW_RESTORE_DATA381__" hidden="1">#REF!,#REF!,#REF!,#REF!,#REF!,#REF!,#REF!,#REF!,#REF!,#REF!,#REF!,#REF!,#REF!,#REF!,#REF!</definedName>
    <definedName name="__APW_RESTORE_DATA382__" localSheetId="0" hidden="1">#REF!,#REF!,#REF!,#REF!,#REF!,#REF!,#REF!,#REF!,#REF!,#REF!,#REF!,#REF!,#REF!,#REF!,#REF!</definedName>
    <definedName name="__APW_RESTORE_DATA382__" hidden="1">#REF!,#REF!,#REF!,#REF!,#REF!,#REF!,#REF!,#REF!,#REF!,#REF!,#REF!,#REF!,#REF!,#REF!,#REF!</definedName>
    <definedName name="__APW_RESTORE_DATA383__" localSheetId="0" hidden="1">#REF!,#REF!,#REF!,#REF!,#REF!,#REF!,#REF!,#REF!,#REF!,#REF!,#REF!,#REF!,#REF!,#REF!,#REF!</definedName>
    <definedName name="__APW_RESTORE_DATA383__" hidden="1">#REF!,#REF!,#REF!,#REF!,#REF!,#REF!,#REF!,#REF!,#REF!,#REF!,#REF!,#REF!,#REF!,#REF!,#REF!</definedName>
    <definedName name="__APW_RESTORE_DATA384__" localSheetId="0" hidden="1">#REF!,#REF!,#REF!,#REF!,#REF!,#REF!,#REF!,#REF!,#REF!,#REF!,#REF!,#REF!,#REF!,#REF!,#REF!</definedName>
    <definedName name="__APW_RESTORE_DATA384__" hidden="1">#REF!,#REF!,#REF!,#REF!,#REF!,#REF!,#REF!,#REF!,#REF!,#REF!,#REF!,#REF!,#REF!,#REF!,#REF!</definedName>
    <definedName name="__APW_RESTORE_DATA385__" localSheetId="0" hidden="1">#REF!,#REF!,#REF!,#REF!,#REF!,#REF!,#REF!,#REF!,#REF!,#REF!,#REF!,#REF!,#REF!,#REF!</definedName>
    <definedName name="__APW_RESTORE_DATA385__" hidden="1">#REF!,#REF!,#REF!,#REF!,#REF!,#REF!,#REF!,#REF!,#REF!,#REF!,#REF!,#REF!,#REF!,#REF!</definedName>
    <definedName name="__APW_RESTORE_DATA386__" localSheetId="0" hidden="1">#REF!,#REF!,#REF!,#REF!,#REF!,#REF!,#REF!,#REF!,#REF!,#REF!,#REF!,#REF!,#REF!,#REF!,#REF!,#REF!</definedName>
    <definedName name="__APW_RESTORE_DATA386__" hidden="1">#REF!,#REF!,#REF!,#REF!,#REF!,#REF!,#REF!,#REF!,#REF!,#REF!,#REF!,#REF!,#REF!,#REF!,#REF!,#REF!</definedName>
    <definedName name="__APW_RESTORE_DATA387__" localSheetId="0" hidden="1">#REF!,#REF!,#REF!,#REF!,#REF!,#REF!,#REF!,#REF!,#REF!,#REF!,#REF!,#REF!,#REF!,#REF!,#REF!</definedName>
    <definedName name="__APW_RESTORE_DATA387__" hidden="1">#REF!,#REF!,#REF!,#REF!,#REF!,#REF!,#REF!,#REF!,#REF!,#REF!,#REF!,#REF!,#REF!,#REF!,#REF!</definedName>
    <definedName name="__APW_RESTORE_DATA388__" localSheetId="0" hidden="1">#REF!,#REF!,#REF!,#REF!,#REF!,#REF!,#REF!,#REF!,#REF!,#REF!,#REF!,#REF!,#REF!,#REF!,#REF!</definedName>
    <definedName name="__APW_RESTORE_DATA388__" hidden="1">#REF!,#REF!,#REF!,#REF!,#REF!,#REF!,#REF!,#REF!,#REF!,#REF!,#REF!,#REF!,#REF!,#REF!,#REF!</definedName>
    <definedName name="__APW_RESTORE_DATA389__" localSheetId="0" hidden="1">#REF!,#REF!,#REF!,#REF!,#REF!,#REF!,#REF!,#REF!,#REF!,#REF!,#REF!,#REF!,#REF!,#REF!,#REF!</definedName>
    <definedName name="__APW_RESTORE_DATA389__" hidden="1">#REF!,#REF!,#REF!,#REF!,#REF!,#REF!,#REF!,#REF!,#REF!,#REF!,#REF!,#REF!,#REF!,#REF!,#REF!</definedName>
    <definedName name="__APW_RESTORE_DATA39__" localSheetId="0" hidden="1">#REF!,#REF!,#REF!,#REF!,#REF!,#REF!,#REF!,#REF!,#REF!,#REF!,#REF!,#REF!,#REF!,#REF!,#REF!,#REF!</definedName>
    <definedName name="__APW_RESTORE_DATA39__" hidden="1">#REF!,#REF!,#REF!,#REF!,#REF!,#REF!,#REF!,#REF!,#REF!,#REF!,#REF!,#REF!,#REF!,#REF!,#REF!,#REF!</definedName>
    <definedName name="__APW_RESTORE_DATA390__" localSheetId="0" hidden="1">#REF!,#REF!,#REF!,#REF!,#REF!,#REF!,#REF!,#REF!,#REF!,#REF!,#REF!,#REF!,#REF!,#REF!,#REF!</definedName>
    <definedName name="__APW_RESTORE_DATA390__" hidden="1">#REF!,#REF!,#REF!,#REF!,#REF!,#REF!,#REF!,#REF!,#REF!,#REF!,#REF!,#REF!,#REF!,#REF!,#REF!</definedName>
    <definedName name="__APW_RESTORE_DATA391__" localSheetId="0" hidden="1">#REF!,#REF!,#REF!,#REF!,#REF!,#REF!,#REF!,#REF!,#REF!,#REF!,#REF!,#REF!,#REF!,#REF!,#REF!</definedName>
    <definedName name="__APW_RESTORE_DATA391__" hidden="1">#REF!,#REF!,#REF!,#REF!,#REF!,#REF!,#REF!,#REF!,#REF!,#REF!,#REF!,#REF!,#REF!,#REF!,#REF!</definedName>
    <definedName name="__APW_RESTORE_DATA392__" localSheetId="0" hidden="1">#REF!,#REF!,#REF!,#REF!,#REF!,#REF!,#REF!,#REF!,#REF!,#REF!,#REF!,#REF!,#REF!,#REF!,#REF!</definedName>
    <definedName name="__APW_RESTORE_DATA392__" hidden="1">#REF!,#REF!,#REF!,#REF!,#REF!,#REF!,#REF!,#REF!,#REF!,#REF!,#REF!,#REF!,#REF!,#REF!,#REF!</definedName>
    <definedName name="__APW_RESTORE_DATA393__" localSheetId="0" hidden="1">#REF!,#REF!,#REF!,#REF!,#REF!,#REF!,#REF!,#REF!,#REF!,#REF!,#REF!,#REF!,#REF!,#REF!</definedName>
    <definedName name="__APW_RESTORE_DATA393__" hidden="1">#REF!,#REF!,#REF!,#REF!,#REF!,#REF!,#REF!,#REF!,#REF!,#REF!,#REF!,#REF!,#REF!,#REF!</definedName>
    <definedName name="__APW_RESTORE_DATA394__" localSheetId="0" hidden="1">#REF!,#REF!,#REF!,#REF!,#REF!,#REF!,#REF!,#REF!,#REF!,#REF!,#REF!,#REF!,#REF!,#REF!</definedName>
    <definedName name="__APW_RESTORE_DATA394__" hidden="1">#REF!,#REF!,#REF!,#REF!,#REF!,#REF!,#REF!,#REF!,#REF!,#REF!,#REF!,#REF!,#REF!,#REF!</definedName>
    <definedName name="__APW_RESTORE_DATA395__" localSheetId="0" hidden="1">#REF!,#REF!,#REF!,#REF!,#REF!,#REF!,#REF!,#REF!,#REF!,#REF!,#REF!,#REF!,#REF!,#REF!</definedName>
    <definedName name="__APW_RESTORE_DATA395__" hidden="1">#REF!,#REF!,#REF!,#REF!,#REF!,#REF!,#REF!,#REF!,#REF!,#REF!,#REF!,#REF!,#REF!,#REF!</definedName>
    <definedName name="__APW_RESTORE_DATA396__" localSheetId="0" hidden="1">#REF!,#REF!,#REF!,#REF!,#REF!,#REF!,#REF!,#REF!,#REF!,#REF!,#REF!,#REF!,#REF!,#REF!</definedName>
    <definedName name="__APW_RESTORE_DATA396__" hidden="1">#REF!,#REF!,#REF!,#REF!,#REF!,#REF!,#REF!,#REF!,#REF!,#REF!,#REF!,#REF!,#REF!,#REF!</definedName>
    <definedName name="__APW_RESTORE_DATA397__" localSheetId="0" hidden="1">#REF!,#REF!,#REF!,#REF!,#REF!,#REF!,#REF!,#REF!,#REF!</definedName>
    <definedName name="__APW_RESTORE_DATA397__" hidden="1">#REF!,#REF!,#REF!,#REF!,#REF!,#REF!,#REF!,#REF!,#REF!</definedName>
    <definedName name="__APW_RESTORE_DATA398__" localSheetId="0" hidden="1">#REF!,#REF!,#REF!,#REF!,#REF!,#REF!,#REF!,#REF!,#REF!,#REF!,#REF!,#REF!,#REF!,#REF!,#REF!,#REF!</definedName>
    <definedName name="__APW_RESTORE_DATA398__" hidden="1">#REF!,#REF!,#REF!,#REF!,#REF!,#REF!,#REF!,#REF!,#REF!,#REF!,#REF!,#REF!,#REF!,#REF!,#REF!,#REF!</definedName>
    <definedName name="__APW_RESTORE_DATA399__" localSheetId="0" hidden="1">#REF!,#REF!,#REF!,#REF!,#REF!,#REF!,#REF!,#REF!,#REF!,#REF!,#REF!,#REF!,#REF!,#REF!,#REF!,#REF!</definedName>
    <definedName name="__APW_RESTORE_DATA399__" hidden="1">#REF!,#REF!,#REF!,#REF!,#REF!,#REF!,#REF!,#REF!,#REF!,#REF!,#REF!,#REF!,#REF!,#REF!,#REF!,#REF!</definedName>
    <definedName name="__APW_RESTORE_DATA4__" localSheetId="0" hidden="1">#REF!,#REF!,#REF!,#REF!,#REF!,#REF!,#REF!,#REF!,#REF!,#REF!,#REF!,#REF!,#REF!,#REF!,#REF!,#REF!</definedName>
    <definedName name="__APW_RESTORE_DATA4__" hidden="1">#REF!,#REF!,#REF!,#REF!,#REF!,#REF!,#REF!,#REF!,#REF!,#REF!,#REF!,#REF!,#REF!,#REF!,#REF!,#REF!</definedName>
    <definedName name="__APW_RESTORE_DATA40__" localSheetId="0" hidden="1">#REF!,#REF!,#REF!,#REF!,#REF!,#REF!,#REF!,#REF!,#REF!,#REF!,#REF!,#REF!,#REF!,#REF!,#REF!,#REF!</definedName>
    <definedName name="__APW_RESTORE_DATA40__" hidden="1">#REF!,#REF!,#REF!,#REF!,#REF!,#REF!,#REF!,#REF!,#REF!,#REF!,#REF!,#REF!,#REF!,#REF!,#REF!,#REF!</definedName>
    <definedName name="__APW_RESTORE_DATA400__" localSheetId="0" hidden="1">#REF!,#REF!,#REF!,#REF!,#REF!,#REF!,#REF!,#REF!,#REF!,#REF!,#REF!,#REF!,#REF!,#REF!,#REF!,#REF!</definedName>
    <definedName name="__APW_RESTORE_DATA400__" hidden="1">#REF!,#REF!,#REF!,#REF!,#REF!,#REF!,#REF!,#REF!,#REF!,#REF!,#REF!,#REF!,#REF!,#REF!,#REF!,#REF!</definedName>
    <definedName name="__APW_RESTORE_DATA401__" localSheetId="0" hidden="1">#REF!,#REF!,#REF!,#REF!,#REF!,#REF!,#REF!,#REF!,#REF!,#REF!,#REF!,#REF!,#REF!,#REF!,#REF!,#REF!</definedName>
    <definedName name="__APW_RESTORE_DATA401__" hidden="1">#REF!,#REF!,#REF!,#REF!,#REF!,#REF!,#REF!,#REF!,#REF!,#REF!,#REF!,#REF!,#REF!,#REF!,#REF!,#REF!</definedName>
    <definedName name="__APW_RESTORE_DATA402__" localSheetId="0" hidden="1">#REF!,#REF!,#REF!,#REF!,#REF!,#REF!,#REF!,#REF!,#REF!,#REF!,#REF!,#REF!,#REF!,#REF!,#REF!,#REF!</definedName>
    <definedName name="__APW_RESTORE_DATA402__" hidden="1">#REF!,#REF!,#REF!,#REF!,#REF!,#REF!,#REF!,#REF!,#REF!,#REF!,#REF!,#REF!,#REF!,#REF!,#REF!,#REF!</definedName>
    <definedName name="__APW_RESTORE_DATA403__" localSheetId="0" hidden="1">#REF!,#REF!,#REF!,#REF!,#REF!,#REF!,#REF!,#REF!,#REF!,#REF!,#REF!,#REF!,#REF!,#REF!,#REF!</definedName>
    <definedName name="__APW_RESTORE_DATA403__" hidden="1">#REF!,#REF!,#REF!,#REF!,#REF!,#REF!,#REF!,#REF!,#REF!,#REF!,#REF!,#REF!,#REF!,#REF!,#REF!</definedName>
    <definedName name="__APW_RESTORE_DATA404__" localSheetId="0" hidden="1">#REF!,#REF!,#REF!,#REF!,#REF!,#REF!,#REF!,#REF!,#REF!,#REF!,#REF!,#REF!,#REF!,#REF!,#REF!</definedName>
    <definedName name="__APW_RESTORE_DATA404__" hidden="1">#REF!,#REF!,#REF!,#REF!,#REF!,#REF!,#REF!,#REF!,#REF!,#REF!,#REF!,#REF!,#REF!,#REF!,#REF!</definedName>
    <definedName name="__APW_RESTORE_DATA405__" localSheetId="0" hidden="1">#REF!,#REF!,#REF!,#REF!,#REF!,#REF!,#REF!,#REF!,#REF!,#REF!,#REF!,#REF!,#REF!,#REF!,#REF!</definedName>
    <definedName name="__APW_RESTORE_DATA405__" hidden="1">#REF!,#REF!,#REF!,#REF!,#REF!,#REF!,#REF!,#REF!,#REF!,#REF!,#REF!,#REF!,#REF!,#REF!,#REF!</definedName>
    <definedName name="__APW_RESTORE_DATA406__" localSheetId="0" hidden="1">#REF!,#REF!,#REF!,#REF!,#REF!,#REF!,#REF!,#REF!,#REF!,#REF!,#REF!,#REF!,#REF!,#REF!,#REF!</definedName>
    <definedName name="__APW_RESTORE_DATA406__" hidden="1">#REF!,#REF!,#REF!,#REF!,#REF!,#REF!,#REF!,#REF!,#REF!,#REF!,#REF!,#REF!,#REF!,#REF!,#REF!</definedName>
    <definedName name="__APW_RESTORE_DATA407__" localSheetId="0" hidden="1">#REF!,#REF!,#REF!,#REF!,#REF!,#REF!,#REF!,#REF!,#REF!,#REF!,#REF!,#REF!,#REF!,#REF!,#REF!</definedName>
    <definedName name="__APW_RESTORE_DATA407__" hidden="1">#REF!,#REF!,#REF!,#REF!,#REF!,#REF!,#REF!,#REF!,#REF!,#REF!,#REF!,#REF!,#REF!,#REF!,#REF!</definedName>
    <definedName name="__APW_RESTORE_DATA408__" localSheetId="0" hidden="1">#REF!,#REF!,#REF!,#REF!,#REF!,#REF!,#REF!,#REF!,#REF!,#REF!,#REF!</definedName>
    <definedName name="__APW_RESTORE_DATA408__" hidden="1">#REF!,#REF!,#REF!,#REF!,#REF!,#REF!,#REF!,#REF!,#REF!,#REF!,#REF!</definedName>
    <definedName name="__APW_RESTORE_DATA409__" localSheetId="0" hidden="1">#REF!,#REF!,#REF!,#REF!,#REF!,#REF!,#REF!,#REF!,#REF!,#REF!,#REF!,#REF!,#REF!,#REF!,#REF!,#REF!,#REF!</definedName>
    <definedName name="__APW_RESTORE_DATA409__" hidden="1">#REF!,#REF!,#REF!,#REF!,#REF!,#REF!,#REF!,#REF!,#REF!,#REF!,#REF!,#REF!,#REF!,#REF!,#REF!,#REF!,#REF!</definedName>
    <definedName name="__APW_RESTORE_DATA41__" localSheetId="0" hidden="1">#REF!,#REF!,#REF!,#REF!,#REF!,#REF!,#REF!,#REF!,#REF!,#REF!,#REF!,#REF!,#REF!,#REF!,#REF!,#REF!</definedName>
    <definedName name="__APW_RESTORE_DATA41__" hidden="1">#REF!,#REF!,#REF!,#REF!,#REF!,#REF!,#REF!,#REF!,#REF!,#REF!,#REF!,#REF!,#REF!,#REF!,#REF!,#REF!</definedName>
    <definedName name="__APW_RESTORE_DATA410__" localSheetId="0" hidden="1">#REF!,#REF!,#REF!,#REF!,#REF!,#REF!,#REF!,#REF!,#REF!,#REF!,#REF!,#REF!,#REF!,#REF!,#REF!,#REF!</definedName>
    <definedName name="__APW_RESTORE_DATA410__" hidden="1">#REF!,#REF!,#REF!,#REF!,#REF!,#REF!,#REF!,#REF!,#REF!,#REF!,#REF!,#REF!,#REF!,#REF!,#REF!,#REF!</definedName>
    <definedName name="__APW_RESTORE_DATA411__" localSheetId="0" hidden="1">#REF!,#REF!,#REF!,#REF!,#REF!,#REF!,#REF!,#REF!,#REF!,#REF!,#REF!,#REF!,#REF!,#REF!,#REF!,#REF!</definedName>
    <definedName name="__APW_RESTORE_DATA411__" hidden="1">#REF!,#REF!,#REF!,#REF!,#REF!,#REF!,#REF!,#REF!,#REF!,#REF!,#REF!,#REF!,#REF!,#REF!,#REF!,#REF!</definedName>
    <definedName name="__APW_RESTORE_DATA412__" localSheetId="0" hidden="1">#REF!,#REF!,#REF!,#REF!,#REF!,#REF!,#REF!,#REF!,#REF!,#REF!,#REF!,#REF!,#REF!,#REF!,#REF!,#REF!</definedName>
    <definedName name="__APW_RESTORE_DATA412__" hidden="1">#REF!,#REF!,#REF!,#REF!,#REF!,#REF!,#REF!,#REF!,#REF!,#REF!,#REF!,#REF!,#REF!,#REF!,#REF!,#REF!</definedName>
    <definedName name="__APW_RESTORE_DATA413__" localSheetId="0" hidden="1">#REF!,#REF!,#REF!,#REF!,#REF!,#REF!,#REF!,#REF!,#REF!,#REF!,#REF!,#REF!,#REF!,#REF!,#REF!,#REF!</definedName>
    <definedName name="__APW_RESTORE_DATA413__" hidden="1">#REF!,#REF!,#REF!,#REF!,#REF!,#REF!,#REF!,#REF!,#REF!,#REF!,#REF!,#REF!,#REF!,#REF!,#REF!,#REF!</definedName>
    <definedName name="__APW_RESTORE_DATA414__" localSheetId="0" hidden="1">#REF!,#REF!,#REF!,#REF!,#REF!,#REF!,#REF!,#REF!,#REF!,#REF!,#REF!,#REF!,#REF!,#REF!,#REF!,#REF!</definedName>
    <definedName name="__APW_RESTORE_DATA414__" hidden="1">#REF!,#REF!,#REF!,#REF!,#REF!,#REF!,#REF!,#REF!,#REF!,#REF!,#REF!,#REF!,#REF!,#REF!,#REF!,#REF!</definedName>
    <definedName name="__APW_RESTORE_DATA415__" localSheetId="0" hidden="1">#REF!,#REF!,#REF!,#REF!,#REF!,#REF!,#REF!,#REF!,#REF!,#REF!,#REF!,#REF!,#REF!,#REF!,#REF!</definedName>
    <definedName name="__APW_RESTORE_DATA415__" hidden="1">#REF!,#REF!,#REF!,#REF!,#REF!,#REF!,#REF!,#REF!,#REF!,#REF!,#REF!,#REF!,#REF!,#REF!,#REF!</definedName>
    <definedName name="__APW_RESTORE_DATA416__" localSheetId="0" hidden="1">#REF!,#REF!,#REF!,#REF!,#REF!,#REF!,#REF!,#REF!,#REF!,#REF!,#REF!,#REF!,#REF!,#REF!,#REF!</definedName>
    <definedName name="__APW_RESTORE_DATA416__" hidden="1">#REF!,#REF!,#REF!,#REF!,#REF!,#REF!,#REF!,#REF!,#REF!,#REF!,#REF!,#REF!,#REF!,#REF!,#REF!</definedName>
    <definedName name="__APW_RESTORE_DATA417__" localSheetId="0" hidden="1">#REF!,#REF!,#REF!,#REF!,#REF!,#REF!,#REF!,#REF!,#REF!,#REF!,#REF!,#REF!,#REF!,#REF!,#REF!</definedName>
    <definedName name="__APW_RESTORE_DATA417__" hidden="1">#REF!,#REF!,#REF!,#REF!,#REF!,#REF!,#REF!,#REF!,#REF!,#REF!,#REF!,#REF!,#REF!,#REF!,#REF!</definedName>
    <definedName name="__APW_RESTORE_DATA418__" localSheetId="0" hidden="1">#REF!,#REF!,#REF!,#REF!,#REF!,#REF!,#REF!,#REF!,#REF!,#REF!,#REF!,#REF!,#REF!,#REF!,#REF!</definedName>
    <definedName name="__APW_RESTORE_DATA418__" hidden="1">#REF!,#REF!,#REF!,#REF!,#REF!,#REF!,#REF!,#REF!,#REF!,#REF!,#REF!,#REF!,#REF!,#REF!,#REF!</definedName>
    <definedName name="__APW_RESTORE_DATA419__" localSheetId="0" hidden="1">#REF!,#REF!,#REF!,#REF!,#REF!,#REF!,#REF!,#REF!,#REF!,#REF!,#REF!,#REF!,#REF!,#REF!,#REF!</definedName>
    <definedName name="__APW_RESTORE_DATA419__" hidden="1">#REF!,#REF!,#REF!,#REF!,#REF!,#REF!,#REF!,#REF!,#REF!,#REF!,#REF!,#REF!,#REF!,#REF!,#REF!</definedName>
    <definedName name="__APW_RESTORE_DATA42__" localSheetId="0" hidden="1">#REF!,#REF!,#REF!,#REF!,#REF!,#REF!,#REF!,#REF!,#REF!,#REF!,#REF!,#REF!,#REF!,#REF!,#REF!</definedName>
    <definedName name="__APW_RESTORE_DATA42__" hidden="1">#REF!,#REF!,#REF!,#REF!,#REF!,#REF!,#REF!,#REF!,#REF!,#REF!,#REF!,#REF!,#REF!,#REF!,#REF!</definedName>
    <definedName name="__APW_RESTORE_DATA420__" localSheetId="0" hidden="1">#REF!,#REF!,#REF!,#REF!,#REF!,#REF!,#REF!,#REF!,#REF!,#REF!,#REF!</definedName>
    <definedName name="__APW_RESTORE_DATA420__" hidden="1">#REF!,#REF!,#REF!,#REF!,#REF!,#REF!,#REF!,#REF!,#REF!,#REF!,#REF!</definedName>
    <definedName name="__APW_RESTORE_DATA421__" localSheetId="0" hidden="1">#REF!,#REF!,#REF!,#REF!,#REF!,#REF!,#REF!,#REF!,#REF!,#REF!,#REF!,#REF!,#REF!,#REF!,#REF!,#REF!</definedName>
    <definedName name="__APW_RESTORE_DATA421__" hidden="1">#REF!,#REF!,#REF!,#REF!,#REF!,#REF!,#REF!,#REF!,#REF!,#REF!,#REF!,#REF!,#REF!,#REF!,#REF!,#REF!</definedName>
    <definedName name="__APW_RESTORE_DATA422__" localSheetId="0" hidden="1">#REF!,#REF!,#REF!,#REF!,#REF!,#REF!,#REF!,#REF!,#REF!,#REF!,#REF!,#REF!,#REF!,#REF!,#REF!</definedName>
    <definedName name="__APW_RESTORE_DATA422__" hidden="1">#REF!,#REF!,#REF!,#REF!,#REF!,#REF!,#REF!,#REF!,#REF!,#REF!,#REF!,#REF!,#REF!,#REF!,#REF!</definedName>
    <definedName name="__APW_RESTORE_DATA423__" localSheetId="0" hidden="1">#REF!,#REF!,#REF!,#REF!,#REF!,#REF!,#REF!,#REF!,#REF!,#REF!,#REF!,#REF!,#REF!,#REF!,#REF!</definedName>
    <definedName name="__APW_RESTORE_DATA423__" hidden="1">#REF!,#REF!,#REF!,#REF!,#REF!,#REF!,#REF!,#REF!,#REF!,#REF!,#REF!,#REF!,#REF!,#REF!,#REF!</definedName>
    <definedName name="__APW_RESTORE_DATA424__" localSheetId="0" hidden="1">#REF!,#REF!,#REF!,#REF!,#REF!,#REF!,#REF!,#REF!,#REF!,#REF!,#REF!,#REF!,#REF!,#REF!,#REF!</definedName>
    <definedName name="__APW_RESTORE_DATA424__" hidden="1">#REF!,#REF!,#REF!,#REF!,#REF!,#REF!,#REF!,#REF!,#REF!,#REF!,#REF!,#REF!,#REF!,#REF!,#REF!</definedName>
    <definedName name="__APW_RESTORE_DATA425__" localSheetId="0" hidden="1">#REF!,#REF!,#REF!,#REF!,#REF!,#REF!,#REF!,#REF!,#REF!,#REF!,#REF!,#REF!,#REF!,#REF!,#REF!</definedName>
    <definedName name="__APW_RESTORE_DATA425__" hidden="1">#REF!,#REF!,#REF!,#REF!,#REF!,#REF!,#REF!,#REF!,#REF!,#REF!,#REF!,#REF!,#REF!,#REF!,#REF!</definedName>
    <definedName name="__APW_RESTORE_DATA426__" localSheetId="0" hidden="1">#REF!,#REF!,#REF!,#REF!,#REF!,#REF!,#REF!,#REF!,#REF!,#REF!,#REF!,#REF!,#REF!,#REF!,#REF!</definedName>
    <definedName name="__APW_RESTORE_DATA426__" hidden="1">#REF!,#REF!,#REF!,#REF!,#REF!,#REF!,#REF!,#REF!,#REF!,#REF!,#REF!,#REF!,#REF!,#REF!,#REF!</definedName>
    <definedName name="__APW_RESTORE_DATA427__" localSheetId="0" hidden="1">#REF!,#REF!,#REF!,#REF!,#REF!,#REF!,#REF!,#REF!,#REF!,#REF!,#REF!,#REF!,#REF!,#REF!,#REF!</definedName>
    <definedName name="__APW_RESTORE_DATA427__" hidden="1">#REF!,#REF!,#REF!,#REF!,#REF!,#REF!,#REF!,#REF!,#REF!,#REF!,#REF!,#REF!,#REF!,#REF!,#REF!</definedName>
    <definedName name="__APW_RESTORE_DATA428__" localSheetId="0" hidden="1">#REF!,#REF!,#REF!,#REF!,#REF!,#REF!,#REF!,#REF!,#REF!,#REF!,#REF!,#REF!,#REF!,#REF!</definedName>
    <definedName name="__APW_RESTORE_DATA428__" hidden="1">#REF!,#REF!,#REF!,#REF!,#REF!,#REF!,#REF!,#REF!,#REF!,#REF!,#REF!,#REF!,#REF!,#REF!</definedName>
    <definedName name="__APW_RESTORE_DATA429__" localSheetId="0" hidden="1">#REF!,#REF!,#REF!,#REF!,#REF!,#REF!,#REF!,#REF!,#REF!,#REF!,#REF!,#REF!,#REF!,#REF!</definedName>
    <definedName name="__APW_RESTORE_DATA429__" hidden="1">#REF!,#REF!,#REF!,#REF!,#REF!,#REF!,#REF!,#REF!,#REF!,#REF!,#REF!,#REF!,#REF!,#REF!</definedName>
    <definedName name="__APW_RESTORE_DATA43__" localSheetId="0" hidden="1">#REF!,#REF!,#REF!,#REF!,#REF!,#REF!,#REF!,#REF!,#REF!,#REF!,#REF!,#REF!,#REF!,#REF!,#REF!</definedName>
    <definedName name="__APW_RESTORE_DATA43__" hidden="1">#REF!,#REF!,#REF!,#REF!,#REF!,#REF!,#REF!,#REF!,#REF!,#REF!,#REF!,#REF!,#REF!,#REF!,#REF!</definedName>
    <definedName name="__APW_RESTORE_DATA430__" localSheetId="0" hidden="1">#REF!,#REF!,#REF!,#REF!,#REF!,#REF!,#REF!,#REF!,#REF!,#REF!,#REF!,#REF!,#REF!,#REF!</definedName>
    <definedName name="__APW_RESTORE_DATA430__" hidden="1">#REF!,#REF!,#REF!,#REF!,#REF!,#REF!,#REF!,#REF!,#REF!,#REF!,#REF!,#REF!,#REF!,#REF!</definedName>
    <definedName name="__APW_RESTORE_DATA431__" localSheetId="0" hidden="1">#REF!,#REF!,#REF!,#REF!,#REF!,#REF!,#REF!,#REF!,#REF!,#REF!,#REF!,#REF!,#REF!,#REF!</definedName>
    <definedName name="__APW_RESTORE_DATA431__" hidden="1">#REF!,#REF!,#REF!,#REF!,#REF!,#REF!,#REF!,#REF!,#REF!,#REF!,#REF!,#REF!,#REF!,#REF!</definedName>
    <definedName name="__APW_RESTORE_DATA432__" localSheetId="0" hidden="1">#REF!,#REF!,#REF!,#REF!,#REF!,#REF!,#REF!,#REF!,#REF!,#REF!,#REF!,#REF!,#REF!,#REF!</definedName>
    <definedName name="__APW_RESTORE_DATA432__" hidden="1">#REF!,#REF!,#REF!,#REF!,#REF!,#REF!,#REF!,#REF!,#REF!,#REF!,#REF!,#REF!,#REF!,#REF!</definedName>
    <definedName name="__APW_RESTORE_DATA433__" localSheetId="0" hidden="1">#REF!,#REF!,#REF!,#REF!,#REF!,#REF!,#REF!</definedName>
    <definedName name="__APW_RESTORE_DATA433__" hidden="1">#REF!,#REF!,#REF!,#REF!,#REF!,#REF!,#REF!</definedName>
    <definedName name="__APW_RESTORE_DATA44__" localSheetId="0" hidden="1">#REF!,#REF!,#REF!,#REF!,#REF!,#REF!,#REF!,#REF!,#REF!,#REF!,#REF!,#REF!,#REF!,#REF!,#REF!</definedName>
    <definedName name="__APW_RESTORE_DATA44__" hidden="1">#REF!,#REF!,#REF!,#REF!,#REF!,#REF!,#REF!,#REF!,#REF!,#REF!,#REF!,#REF!,#REF!,#REF!,#REF!</definedName>
    <definedName name="__APW_RESTORE_DATA45__" localSheetId="0" hidden="1">#REF!,#REF!,#REF!,#REF!,#REF!,#REF!,#REF!,#REF!,#REF!,#REF!,#REF!,#REF!,#REF!,#REF!,#REF!</definedName>
    <definedName name="__APW_RESTORE_DATA45__" hidden="1">#REF!,#REF!,#REF!,#REF!,#REF!,#REF!,#REF!,#REF!,#REF!,#REF!,#REF!,#REF!,#REF!,#REF!,#REF!</definedName>
    <definedName name="__APW_RESTORE_DATA46__" localSheetId="0" hidden="1">#REF!,#REF!,#REF!,#REF!,#REF!,#REF!,#REF!,#REF!,#REF!,#REF!,#REF!,#REF!,#REF!,#REF!,#REF!</definedName>
    <definedName name="__APW_RESTORE_DATA46__" hidden="1">#REF!,#REF!,#REF!,#REF!,#REF!,#REF!,#REF!,#REF!,#REF!,#REF!,#REF!,#REF!,#REF!,#REF!,#REF!</definedName>
    <definedName name="__APW_RESTORE_DATA47__" localSheetId="0" hidden="1">#REF!,#REF!,#REF!,#REF!,#REF!,#REF!</definedName>
    <definedName name="__APW_RESTORE_DATA47__" hidden="1">#REF!,#REF!,#REF!,#REF!,#REF!,#REF!</definedName>
    <definedName name="__APW_RESTORE_DATA48__" localSheetId="0" hidden="1">#REF!,#REF!,#REF!,#REF!,#REF!,#REF!,#REF!,#REF!,#REF!,#REF!,#REF!,#REF!,#REF!,#REF!,#REF!,#REF!,#REF!</definedName>
    <definedName name="__APW_RESTORE_DATA48__" hidden="1">#REF!,#REF!,#REF!,#REF!,#REF!,#REF!,#REF!,#REF!,#REF!,#REF!,#REF!,#REF!,#REF!,#REF!,#REF!,#REF!,#REF!</definedName>
    <definedName name="__APW_RESTORE_DATA49__" localSheetId="0" hidden="1">#REF!,#REF!,#REF!,#REF!,#REF!,#REF!,#REF!,#REF!,#REF!,#REF!,#REF!,#REF!,#REF!,#REF!,#REF!,#REF!</definedName>
    <definedName name="__APW_RESTORE_DATA49__" hidden="1">#REF!,#REF!,#REF!,#REF!,#REF!,#REF!,#REF!,#REF!,#REF!,#REF!,#REF!,#REF!,#REF!,#REF!,#REF!,#REF!</definedName>
    <definedName name="__APW_RESTORE_DATA5__" localSheetId="0" hidden="1">#REF!,#REF!,#REF!,#REF!,#REF!,#REF!,#REF!,#REF!,#REF!,#REF!,#REF!,#REF!,#REF!,#REF!,#REF!,#REF!</definedName>
    <definedName name="__APW_RESTORE_DATA5__" hidden="1">#REF!,#REF!,#REF!,#REF!,#REF!,#REF!,#REF!,#REF!,#REF!,#REF!,#REF!,#REF!,#REF!,#REF!,#REF!,#REF!</definedName>
    <definedName name="__APW_RESTORE_DATA50__" localSheetId="0" hidden="1">#REF!,#REF!,#REF!,#REF!,#REF!,#REF!,#REF!,#REF!,#REF!,#REF!,#REF!,#REF!,#REF!,#REF!,#REF!,#REF!</definedName>
    <definedName name="__APW_RESTORE_DATA50__" hidden="1">#REF!,#REF!,#REF!,#REF!,#REF!,#REF!,#REF!,#REF!,#REF!,#REF!,#REF!,#REF!,#REF!,#REF!,#REF!,#REF!</definedName>
    <definedName name="__APW_RESTORE_DATA51__" localSheetId="0" hidden="1">#REF!,#REF!,#REF!,#REF!,#REF!,#REF!,#REF!,#REF!,#REF!,#REF!,#REF!,#REF!,#REF!,#REF!,#REF!,#REF!</definedName>
    <definedName name="__APW_RESTORE_DATA51__" hidden="1">#REF!,#REF!,#REF!,#REF!,#REF!,#REF!,#REF!,#REF!,#REF!,#REF!,#REF!,#REF!,#REF!,#REF!,#REF!,#REF!</definedName>
    <definedName name="__APW_RESTORE_DATA52__" localSheetId="0" hidden="1">#REF!,#REF!,#REF!,#REF!,#REF!,#REF!,#REF!,#REF!,#REF!,#REF!,#REF!,#REF!,#REF!,#REF!,#REF!,#REF!</definedName>
    <definedName name="__APW_RESTORE_DATA52__" hidden="1">#REF!,#REF!,#REF!,#REF!,#REF!,#REF!,#REF!,#REF!,#REF!,#REF!,#REF!,#REF!,#REF!,#REF!,#REF!,#REF!</definedName>
    <definedName name="__APW_RESTORE_DATA53__" localSheetId="0" hidden="1">#REF!,#REF!,#REF!,#REF!,#REF!,#REF!,#REF!,#REF!,#REF!,#REF!,#REF!,#REF!,#REF!,#REF!,#REF!,#REF!</definedName>
    <definedName name="__APW_RESTORE_DATA53__" hidden="1">#REF!,#REF!,#REF!,#REF!,#REF!,#REF!,#REF!,#REF!,#REF!,#REF!,#REF!,#REF!,#REF!,#REF!,#REF!,#REF!</definedName>
    <definedName name="__APW_RESTORE_DATA54__" localSheetId="0" hidden="1">#REF!,#REF!,#REF!,#REF!,#REF!,#REF!,#REF!,#REF!,#REF!,#REF!,#REF!,#REF!,#REF!,#REF!,#REF!</definedName>
    <definedName name="__APW_RESTORE_DATA54__" hidden="1">#REF!,#REF!,#REF!,#REF!,#REF!,#REF!,#REF!,#REF!,#REF!,#REF!,#REF!,#REF!,#REF!,#REF!,#REF!</definedName>
    <definedName name="__APW_RESTORE_DATA55__" localSheetId="0" hidden="1">#REF!,#REF!,#REF!,#REF!,#REF!,#REF!,#REF!,#REF!,#REF!,#REF!,#REF!,#REF!,#REF!,#REF!,#REF!</definedName>
    <definedName name="__APW_RESTORE_DATA55__" hidden="1">#REF!,#REF!,#REF!,#REF!,#REF!,#REF!,#REF!,#REF!,#REF!,#REF!,#REF!,#REF!,#REF!,#REF!,#REF!</definedName>
    <definedName name="__APW_RESTORE_DATA56__" localSheetId="0" hidden="1">#REF!,#REF!,#REF!,#REF!,#REF!,#REF!,#REF!,#REF!,#REF!,#REF!,#REF!,#REF!,#REF!,#REF!,#REF!</definedName>
    <definedName name="__APW_RESTORE_DATA56__" hidden="1">#REF!,#REF!,#REF!,#REF!,#REF!,#REF!,#REF!,#REF!,#REF!,#REF!,#REF!,#REF!,#REF!,#REF!,#REF!</definedName>
    <definedName name="__APW_RESTORE_DATA57__" localSheetId="0" hidden="1">#REF!,#REF!,#REF!,#REF!,#REF!,#REF!,#REF!,#REF!,#REF!,#REF!,#REF!,#REF!,#REF!,#REF!,#REF!</definedName>
    <definedName name="__APW_RESTORE_DATA57__" hidden="1">#REF!,#REF!,#REF!,#REF!,#REF!,#REF!,#REF!,#REF!,#REF!,#REF!,#REF!,#REF!,#REF!,#REF!,#REF!</definedName>
    <definedName name="__APW_RESTORE_DATA58__" localSheetId="0" hidden="1">#REF!,#REF!,#REF!,#REF!,#REF!,#REF!,#REF!,#REF!,#REF!,#REF!,#REF!,#REF!,#REF!,#REF!,#REF!</definedName>
    <definedName name="__APW_RESTORE_DATA58__" hidden="1">#REF!,#REF!,#REF!,#REF!,#REF!,#REF!,#REF!,#REF!,#REF!,#REF!,#REF!,#REF!,#REF!,#REF!,#REF!</definedName>
    <definedName name="__APW_RESTORE_DATA59__" localSheetId="0" hidden="1">#REF!,#REF!,#REF!,#REF!,#REF!,#REF!</definedName>
    <definedName name="__APW_RESTORE_DATA59__" hidden="1">#REF!,#REF!,#REF!,#REF!,#REF!,#REF!</definedName>
    <definedName name="__APW_RESTORE_DATA6__" localSheetId="0" hidden="1">#REF!,#REF!,#REF!,#REF!,#REF!,#REF!,#REF!,#REF!,#REF!,#REF!,#REF!,#REF!,#REF!,#REF!,#REF!</definedName>
    <definedName name="__APW_RESTORE_DATA6__" hidden="1">#REF!,#REF!,#REF!,#REF!,#REF!,#REF!,#REF!,#REF!,#REF!,#REF!,#REF!,#REF!,#REF!,#REF!,#REF!</definedName>
    <definedName name="__APW_RESTORE_DATA60__" localSheetId="0" hidden="1">#REF!,#REF!,#REF!,#REF!,#REF!,#REF!,#REF!,#REF!,#REF!,#REF!,#REF!,#REF!,#REF!,#REF!,#REF!,#REF!,#REF!</definedName>
    <definedName name="__APW_RESTORE_DATA60__" hidden="1">#REF!,#REF!,#REF!,#REF!,#REF!,#REF!,#REF!,#REF!,#REF!,#REF!,#REF!,#REF!,#REF!,#REF!,#REF!,#REF!,#REF!</definedName>
    <definedName name="__APW_RESTORE_DATA61__" localSheetId="0" hidden="1">#REF!,#REF!,#REF!,#REF!,#REF!,#REF!,#REF!,#REF!,#REF!,#REF!,#REF!,#REF!,#REF!,#REF!,#REF!,#REF!</definedName>
    <definedName name="__APW_RESTORE_DATA61__" hidden="1">#REF!,#REF!,#REF!,#REF!,#REF!,#REF!,#REF!,#REF!,#REF!,#REF!,#REF!,#REF!,#REF!,#REF!,#REF!,#REF!</definedName>
    <definedName name="__APW_RESTORE_DATA62__" localSheetId="0" hidden="1">#REF!,#REF!,#REF!,#REF!,#REF!,#REF!,#REF!,#REF!,#REF!,#REF!,#REF!,#REF!,#REF!,#REF!,#REF!,#REF!</definedName>
    <definedName name="__APW_RESTORE_DATA62__" hidden="1">#REF!,#REF!,#REF!,#REF!,#REF!,#REF!,#REF!,#REF!,#REF!,#REF!,#REF!,#REF!,#REF!,#REF!,#REF!,#REF!</definedName>
    <definedName name="__APW_RESTORE_DATA63__" localSheetId="0" hidden="1">#REF!,#REF!,#REF!,#REF!,#REF!,#REF!,#REF!,#REF!,#REF!,#REF!,#REF!,#REF!,#REF!,#REF!,#REF!,#REF!</definedName>
    <definedName name="__APW_RESTORE_DATA63__" hidden="1">#REF!,#REF!,#REF!,#REF!,#REF!,#REF!,#REF!,#REF!,#REF!,#REF!,#REF!,#REF!,#REF!,#REF!,#REF!,#REF!</definedName>
    <definedName name="__APW_RESTORE_DATA64__" localSheetId="0" hidden="1">#REF!,#REF!,#REF!,#REF!,#REF!,#REF!,#REF!,#REF!,#REF!,#REF!,#REF!,#REF!,#REF!,#REF!,#REF!,#REF!</definedName>
    <definedName name="__APW_RESTORE_DATA64__" hidden="1">#REF!,#REF!,#REF!,#REF!,#REF!,#REF!,#REF!,#REF!,#REF!,#REF!,#REF!,#REF!,#REF!,#REF!,#REF!,#REF!</definedName>
    <definedName name="__APW_RESTORE_DATA65__" localSheetId="0" hidden="1">#REF!,#REF!,#REF!,#REF!,#REF!,#REF!,#REF!,#REF!,#REF!,#REF!,#REF!,#REF!,#REF!,#REF!,#REF!,#REF!</definedName>
    <definedName name="__APW_RESTORE_DATA65__" hidden="1">#REF!,#REF!,#REF!,#REF!,#REF!,#REF!,#REF!,#REF!,#REF!,#REF!,#REF!,#REF!,#REF!,#REF!,#REF!,#REF!</definedName>
    <definedName name="__APW_RESTORE_DATA66__" localSheetId="0" hidden="1">#REF!,#REF!,#REF!,#REF!,#REF!,#REF!,#REF!,#REF!,#REF!,#REF!,#REF!,#REF!,#REF!,#REF!,#REF!</definedName>
    <definedName name="__APW_RESTORE_DATA66__" hidden="1">#REF!,#REF!,#REF!,#REF!,#REF!,#REF!,#REF!,#REF!,#REF!,#REF!,#REF!,#REF!,#REF!,#REF!,#REF!</definedName>
    <definedName name="__APW_RESTORE_DATA67__" localSheetId="0" hidden="1">#REF!,#REF!,#REF!,#REF!,#REF!,#REF!,#REF!,#REF!,#REF!,#REF!,#REF!,#REF!,#REF!,#REF!,#REF!</definedName>
    <definedName name="__APW_RESTORE_DATA67__" hidden="1">#REF!,#REF!,#REF!,#REF!,#REF!,#REF!,#REF!,#REF!,#REF!,#REF!,#REF!,#REF!,#REF!,#REF!,#REF!</definedName>
    <definedName name="__APW_RESTORE_DATA68__" localSheetId="0" hidden="1">#REF!,#REF!,#REF!,#REF!,#REF!,#REF!,#REF!,#REF!,#REF!,#REF!,#REF!,#REF!,#REF!,#REF!,#REF!</definedName>
    <definedName name="__APW_RESTORE_DATA68__" hidden="1">#REF!,#REF!,#REF!,#REF!,#REF!,#REF!,#REF!,#REF!,#REF!,#REF!,#REF!,#REF!,#REF!,#REF!,#REF!</definedName>
    <definedName name="__APW_RESTORE_DATA69__" localSheetId="0" hidden="1">#REF!,#REF!,#REF!,#REF!,#REF!,#REF!,#REF!,#REF!,#REF!,#REF!,#REF!,#REF!,#REF!,#REF!,#REF!</definedName>
    <definedName name="__APW_RESTORE_DATA69__" hidden="1">#REF!,#REF!,#REF!,#REF!,#REF!,#REF!,#REF!,#REF!,#REF!,#REF!,#REF!,#REF!,#REF!,#REF!,#REF!</definedName>
    <definedName name="__APW_RESTORE_DATA7__" localSheetId="0" hidden="1">#REF!,#REF!,#REF!,#REF!,#REF!,#REF!,#REF!,#REF!,#REF!,#REF!,#REF!,#REF!,#REF!,#REF!,#REF!</definedName>
    <definedName name="__APW_RESTORE_DATA7__" hidden="1">#REF!,#REF!,#REF!,#REF!,#REF!,#REF!,#REF!,#REF!,#REF!,#REF!,#REF!,#REF!,#REF!,#REF!,#REF!</definedName>
    <definedName name="__APW_RESTORE_DATA70__" localSheetId="0" hidden="1">#REF!,#REF!,#REF!,#REF!,#REF!,#REF!,#REF!,#REF!,#REF!,#REF!,#REF!,#REF!,#REF!,#REF!,#REF!</definedName>
    <definedName name="__APW_RESTORE_DATA70__" hidden="1">#REF!,#REF!,#REF!,#REF!,#REF!,#REF!,#REF!,#REF!,#REF!,#REF!,#REF!,#REF!,#REF!,#REF!,#REF!</definedName>
    <definedName name="__APW_RESTORE_DATA705__" localSheetId="0" hidden="1">#REF!,#REF!,#REF!,#REF!,#REF!,#REF!,#REF!,#REF!,#REF!,#REF!,#REF!,#REF!,#REF!,#REF!,#REF!,#REF!,#REF!</definedName>
    <definedName name="__APW_RESTORE_DATA705__" hidden="1">#REF!,#REF!,#REF!,#REF!,#REF!,#REF!,#REF!,#REF!,#REF!,#REF!,#REF!,#REF!,#REF!,#REF!,#REF!,#REF!,#REF!</definedName>
    <definedName name="__APW_RESTORE_DATA706__" localSheetId="0" hidden="1">#REF!,#REF!,#REF!,#REF!,#REF!,#REF!,#REF!,#REF!,#REF!,#REF!,#REF!,#REF!,#REF!,#REF!,#REF!,#REF!</definedName>
    <definedName name="__APW_RESTORE_DATA706__" hidden="1">#REF!,#REF!,#REF!,#REF!,#REF!,#REF!,#REF!,#REF!,#REF!,#REF!,#REF!,#REF!,#REF!,#REF!,#REF!,#REF!</definedName>
    <definedName name="__APW_RESTORE_DATA707__" localSheetId="0" hidden="1">#REF!,#REF!,#REF!,#REF!,#REF!,#REF!,#REF!,#REF!,#REF!,#REF!,#REF!,#REF!,#REF!,#REF!,#REF!,#REF!</definedName>
    <definedName name="__APW_RESTORE_DATA707__" hidden="1">#REF!,#REF!,#REF!,#REF!,#REF!,#REF!,#REF!,#REF!,#REF!,#REF!,#REF!,#REF!,#REF!,#REF!,#REF!,#REF!</definedName>
    <definedName name="__APW_RESTORE_DATA708__" localSheetId="0" hidden="1">#REF!,#REF!,#REF!,#REF!,#REF!,#REF!,#REF!,#REF!,#REF!,#REF!,#REF!,#REF!,#REF!,#REF!,#REF!,#REF!</definedName>
    <definedName name="__APW_RESTORE_DATA708__" hidden="1">#REF!,#REF!,#REF!,#REF!,#REF!,#REF!,#REF!,#REF!,#REF!,#REF!,#REF!,#REF!,#REF!,#REF!,#REF!,#REF!</definedName>
    <definedName name="__APW_RESTORE_DATA709__" localSheetId="0" hidden="1">#REF!,#REF!,#REF!,#REF!,#REF!,#REF!,#REF!,#REF!,#REF!,#REF!,#REF!,#REF!,#REF!,#REF!,#REF!,#REF!</definedName>
    <definedName name="__APW_RESTORE_DATA709__" hidden="1">#REF!,#REF!,#REF!,#REF!,#REF!,#REF!,#REF!,#REF!,#REF!,#REF!,#REF!,#REF!,#REF!,#REF!,#REF!,#REF!</definedName>
    <definedName name="__APW_RESTORE_DATA71__" localSheetId="0" hidden="1">#REF!,#REF!,#REF!,#REF!,#REF!,#REF!</definedName>
    <definedName name="__APW_RESTORE_DATA71__" hidden="1">#REF!,#REF!,#REF!,#REF!,#REF!,#REF!</definedName>
    <definedName name="__APW_RESTORE_DATA710__" localSheetId="0" hidden="1">#REF!,#REF!,#REF!,#REF!,#REF!,#REF!,#REF!,#REF!,#REF!,#REF!,#REF!,#REF!,#REF!,#REF!,#REF!,#REF!</definedName>
    <definedName name="__APW_RESTORE_DATA710__" hidden="1">#REF!,#REF!,#REF!,#REF!,#REF!,#REF!,#REF!,#REF!,#REF!,#REF!,#REF!,#REF!,#REF!,#REF!,#REF!,#REF!</definedName>
    <definedName name="__APW_RESTORE_DATA711__" localSheetId="0" hidden="1">#REF!,#REF!,#REF!,#REF!,#REF!,#REF!,#REF!,#REF!,#REF!,#REF!,#REF!,#REF!,#REF!,#REF!,#REF!</definedName>
    <definedName name="__APW_RESTORE_DATA711__" hidden="1">#REF!,#REF!,#REF!,#REF!,#REF!,#REF!,#REF!,#REF!,#REF!,#REF!,#REF!,#REF!,#REF!,#REF!,#REF!</definedName>
    <definedName name="__APW_RESTORE_DATA712__" localSheetId="0" hidden="1">#REF!,#REF!,#REF!,#REF!,#REF!,#REF!,#REF!,#REF!,#REF!,#REF!,#REF!,#REF!,#REF!,#REF!,#REF!</definedName>
    <definedName name="__APW_RESTORE_DATA712__" hidden="1">#REF!,#REF!,#REF!,#REF!,#REF!,#REF!,#REF!,#REF!,#REF!,#REF!,#REF!,#REF!,#REF!,#REF!,#REF!</definedName>
    <definedName name="__APW_RESTORE_DATA713__" localSheetId="0" hidden="1">#REF!,#REF!,#REF!,#REF!,#REF!,#REF!,#REF!,#REF!,#REF!,#REF!,#REF!,#REF!,#REF!,#REF!,#REF!</definedName>
    <definedName name="__APW_RESTORE_DATA713__" hidden="1">#REF!,#REF!,#REF!,#REF!,#REF!,#REF!,#REF!,#REF!,#REF!,#REF!,#REF!,#REF!,#REF!,#REF!,#REF!</definedName>
    <definedName name="__APW_RESTORE_DATA714__" localSheetId="0" hidden="1">#REF!,#REF!,#REF!,#REF!,#REF!,#REF!,#REF!,#REF!,#REF!,#REF!,#REF!,#REF!,#REF!,#REF!,#REF!</definedName>
    <definedName name="__APW_RESTORE_DATA714__" hidden="1">#REF!,#REF!,#REF!,#REF!,#REF!,#REF!,#REF!,#REF!,#REF!,#REF!,#REF!,#REF!,#REF!,#REF!,#REF!</definedName>
    <definedName name="__APW_RESTORE_DATA715__" localSheetId="0" hidden="1">#REF!,#REF!,#REF!,#REF!,#REF!,#REF!,#REF!,#REF!,#REF!,#REF!,#REF!,#REF!,#REF!,#REF!,#REF!</definedName>
    <definedName name="__APW_RESTORE_DATA715__" hidden="1">#REF!,#REF!,#REF!,#REF!,#REF!,#REF!,#REF!,#REF!,#REF!,#REF!,#REF!,#REF!,#REF!,#REF!,#REF!</definedName>
    <definedName name="__APW_RESTORE_DATA716__" localSheetId="0" hidden="1">#REF!,#REF!,#REF!,#REF!,#REF!,#REF!,#REF!,#REF!,#REF!,#REF!,#REF!,#REF!,#REF!,#REF!,#REF!</definedName>
    <definedName name="__APW_RESTORE_DATA716__" hidden="1">#REF!,#REF!,#REF!,#REF!,#REF!,#REF!,#REF!,#REF!,#REF!,#REF!,#REF!,#REF!,#REF!,#REF!,#REF!</definedName>
    <definedName name="__APW_RESTORE_DATA717__" localSheetId="0" hidden="1">#REF!,#REF!,#REF!,#REF!,#REF!,#REF!,#REF!,#REF!,#REF!,#REF!,#REF!,#REF!,#REF!,#REF!,#REF!</definedName>
    <definedName name="__APW_RESTORE_DATA717__" hidden="1">#REF!,#REF!,#REF!,#REF!,#REF!,#REF!,#REF!,#REF!,#REF!,#REF!,#REF!,#REF!,#REF!,#REF!,#REF!</definedName>
    <definedName name="__APW_RESTORE_DATA718__" localSheetId="0" hidden="1">#REF!,#REF!,#REF!,#REF!,#REF!,#REF!,#REF!,#REF!,#REF!,#REF!,#REF!,#REF!,#REF!,#REF!,#REF!</definedName>
    <definedName name="__APW_RESTORE_DATA718__" hidden="1">#REF!,#REF!,#REF!,#REF!,#REF!,#REF!,#REF!,#REF!,#REF!,#REF!,#REF!,#REF!,#REF!,#REF!,#REF!</definedName>
    <definedName name="__APW_RESTORE_DATA719__" localSheetId="0" hidden="1">#REF!,#REF!,#REF!,#REF!,#REF!,#REF!,#REF!,#REF!,#REF!</definedName>
    <definedName name="__APW_RESTORE_DATA719__" hidden="1">#REF!,#REF!,#REF!,#REF!,#REF!,#REF!,#REF!,#REF!,#REF!</definedName>
    <definedName name="__APW_RESTORE_DATA72__" localSheetId="0" hidden="1">#REF!,#REF!,#REF!,#REF!,#REF!,#REF!,#REF!,#REF!,#REF!,#REF!,#REF!,#REF!,#REF!,#REF!,#REF!,#REF!,#REF!</definedName>
    <definedName name="__APW_RESTORE_DATA72__" hidden="1">#REF!,#REF!,#REF!,#REF!,#REF!,#REF!,#REF!,#REF!,#REF!,#REF!,#REF!,#REF!,#REF!,#REF!,#REF!,#REF!,#REF!</definedName>
    <definedName name="__APW_RESTORE_DATA720__" localSheetId="0" hidden="1">#REF!,#REF!,#REF!,#REF!,#REF!,#REF!,#REF!,#REF!,#REF!,#REF!,#REF!,#REF!,#REF!,#REF!,#REF!,#REF!,#REF!</definedName>
    <definedName name="__APW_RESTORE_DATA720__" hidden="1">#REF!,#REF!,#REF!,#REF!,#REF!,#REF!,#REF!,#REF!,#REF!,#REF!,#REF!,#REF!,#REF!,#REF!,#REF!,#REF!,#REF!</definedName>
    <definedName name="__APW_RESTORE_DATA721__" localSheetId="0" hidden="1">#REF!,#REF!,#REF!,#REF!,#REF!,#REF!,#REF!,#REF!,#REF!,#REF!,#REF!,#REF!,#REF!,#REF!,#REF!,#REF!</definedName>
    <definedName name="__APW_RESTORE_DATA721__" hidden="1">#REF!,#REF!,#REF!,#REF!,#REF!,#REF!,#REF!,#REF!,#REF!,#REF!,#REF!,#REF!,#REF!,#REF!,#REF!,#REF!</definedName>
    <definedName name="__APW_RESTORE_DATA722__" localSheetId="0" hidden="1">#REF!,#REF!,#REF!,#REF!,#REF!,#REF!,#REF!,#REF!,#REF!,#REF!,#REF!,#REF!,#REF!,#REF!,#REF!,#REF!</definedName>
    <definedName name="__APW_RESTORE_DATA722__" hidden="1">#REF!,#REF!,#REF!,#REF!,#REF!,#REF!,#REF!,#REF!,#REF!,#REF!,#REF!,#REF!,#REF!,#REF!,#REF!,#REF!</definedName>
    <definedName name="__APW_RESTORE_DATA723__" localSheetId="0" hidden="1">#REF!,#REF!,#REF!,#REF!,#REF!,#REF!,#REF!,#REF!,#REF!,#REF!,#REF!,#REF!,#REF!,#REF!,#REF!,#REF!</definedName>
    <definedName name="__APW_RESTORE_DATA723__" hidden="1">#REF!,#REF!,#REF!,#REF!,#REF!,#REF!,#REF!,#REF!,#REF!,#REF!,#REF!,#REF!,#REF!,#REF!,#REF!,#REF!</definedName>
    <definedName name="__APW_RESTORE_DATA724__" localSheetId="0" hidden="1">#REF!,#REF!,#REF!,#REF!,#REF!,#REF!,#REF!,#REF!,#REF!,#REF!,#REF!,#REF!,#REF!,#REF!,#REF!,#REF!</definedName>
    <definedName name="__APW_RESTORE_DATA724__" hidden="1">#REF!,#REF!,#REF!,#REF!,#REF!,#REF!,#REF!,#REF!,#REF!,#REF!,#REF!,#REF!,#REF!,#REF!,#REF!,#REF!</definedName>
    <definedName name="__APW_RESTORE_DATA725__" localSheetId="0" hidden="1">#REF!,#REF!,#REF!,#REF!,#REF!,#REF!,#REF!,#REF!,#REF!,#REF!,#REF!,#REF!,#REF!,#REF!,#REF!,#REF!</definedName>
    <definedName name="__APW_RESTORE_DATA725__" hidden="1">#REF!,#REF!,#REF!,#REF!,#REF!,#REF!,#REF!,#REF!,#REF!,#REF!,#REF!,#REF!,#REF!,#REF!,#REF!,#REF!</definedName>
    <definedName name="__APW_RESTORE_DATA726__" localSheetId="0" hidden="1">#REF!,#REF!,#REF!,#REF!,#REF!,#REF!,#REF!,#REF!,#REF!,#REF!,#REF!,#REF!,#REF!,#REF!,#REF!</definedName>
    <definedName name="__APW_RESTORE_DATA726__" hidden="1">#REF!,#REF!,#REF!,#REF!,#REF!,#REF!,#REF!,#REF!,#REF!,#REF!,#REF!,#REF!,#REF!,#REF!,#REF!</definedName>
    <definedName name="__APW_RESTORE_DATA727__" localSheetId="0" hidden="1">#REF!,#REF!,#REF!,#REF!,#REF!,#REF!,#REF!,#REF!,#REF!,#REF!,#REF!,#REF!,#REF!,#REF!,#REF!</definedName>
    <definedName name="__APW_RESTORE_DATA727__" hidden="1">#REF!,#REF!,#REF!,#REF!,#REF!,#REF!,#REF!,#REF!,#REF!,#REF!,#REF!,#REF!,#REF!,#REF!,#REF!</definedName>
    <definedName name="__APW_RESTORE_DATA728__" localSheetId="0" hidden="1">#REF!,#REF!,#REF!,#REF!,#REF!,#REF!,#REF!,#REF!,#REF!,#REF!,#REF!,#REF!,#REF!,#REF!,#REF!</definedName>
    <definedName name="__APW_RESTORE_DATA728__" hidden="1">#REF!,#REF!,#REF!,#REF!,#REF!,#REF!,#REF!,#REF!,#REF!,#REF!,#REF!,#REF!,#REF!,#REF!,#REF!</definedName>
    <definedName name="__APW_RESTORE_DATA729__" localSheetId="0" hidden="1">#REF!,#REF!,#REF!,#REF!,#REF!,#REF!,#REF!,#REF!,#REF!,#REF!,#REF!,#REF!,#REF!,#REF!,#REF!</definedName>
    <definedName name="__APW_RESTORE_DATA729__" hidden="1">#REF!,#REF!,#REF!,#REF!,#REF!,#REF!,#REF!,#REF!,#REF!,#REF!,#REF!,#REF!,#REF!,#REF!,#REF!</definedName>
    <definedName name="__APW_RESTORE_DATA73__" localSheetId="0" hidden="1">#REF!,#REF!,#REF!,#REF!,#REF!,#REF!,#REF!,#REF!,#REF!,#REF!,#REF!,#REF!,#REF!,#REF!,#REF!,#REF!</definedName>
    <definedName name="__APW_RESTORE_DATA73__" hidden="1">#REF!,#REF!,#REF!,#REF!,#REF!,#REF!,#REF!,#REF!,#REF!,#REF!,#REF!,#REF!,#REF!,#REF!,#REF!,#REF!</definedName>
    <definedName name="__APW_RESTORE_DATA730__" localSheetId="0" hidden="1">#REF!,#REF!,#REF!,#REF!,#REF!,#REF!,#REF!,#REF!,#REF!,#REF!,#REF!,#REF!,#REF!,#REF!,#REF!</definedName>
    <definedName name="__APW_RESTORE_DATA730__" hidden="1">#REF!,#REF!,#REF!,#REF!,#REF!,#REF!,#REF!,#REF!,#REF!,#REF!,#REF!,#REF!,#REF!,#REF!,#REF!</definedName>
    <definedName name="__APW_RESTORE_DATA731__" localSheetId="0" hidden="1">#REF!,#REF!,#REF!,#REF!,#REF!,#REF!,#REF!,#REF!,#REF!,#REF!,#REF!,#REF!,#REF!,#REF!,#REF!</definedName>
    <definedName name="__APW_RESTORE_DATA731__" hidden="1">#REF!,#REF!,#REF!,#REF!,#REF!,#REF!,#REF!,#REF!,#REF!,#REF!,#REF!,#REF!,#REF!,#REF!,#REF!</definedName>
    <definedName name="__APW_RESTORE_DATA732__" localSheetId="0" hidden="1">#REF!,#REF!,#REF!,#REF!,#REF!,#REF!,#REF!,#REF!,#REF!,#REF!,#REF!,#REF!,#REF!,#REF!,#REF!</definedName>
    <definedName name="__APW_RESTORE_DATA732__" hidden="1">#REF!,#REF!,#REF!,#REF!,#REF!,#REF!,#REF!,#REF!,#REF!,#REF!,#REF!,#REF!,#REF!,#REF!,#REF!</definedName>
    <definedName name="__APW_RESTORE_DATA733__" localSheetId="0" hidden="1">#REF!,#REF!,#REF!,#REF!,#REF!,#REF!,#REF!,#REF!,#REF!,#REF!,#REF!,#REF!,#REF!,#REF!,#REF!</definedName>
    <definedName name="__APW_RESTORE_DATA733__" hidden="1">#REF!,#REF!,#REF!,#REF!,#REF!,#REF!,#REF!,#REF!,#REF!,#REF!,#REF!,#REF!,#REF!,#REF!,#REF!</definedName>
    <definedName name="__APW_RESTORE_DATA734__" localSheetId="0" hidden="1">#REF!,#REF!,#REF!,#REF!,#REF!,#REF!,#REF!,#REF!,#REF!</definedName>
    <definedName name="__APW_RESTORE_DATA734__" hidden="1">#REF!,#REF!,#REF!,#REF!,#REF!,#REF!,#REF!,#REF!,#REF!</definedName>
    <definedName name="__APW_RESTORE_DATA735__" localSheetId="0" hidden="1">#REF!,#REF!,#REF!,#REF!,#REF!,#REF!,#REF!,#REF!,#REF!,#REF!,#REF!,#REF!,#REF!,#REF!,#REF!,#REF!,#REF!</definedName>
    <definedName name="__APW_RESTORE_DATA735__" hidden="1">#REF!,#REF!,#REF!,#REF!,#REF!,#REF!,#REF!,#REF!,#REF!,#REF!,#REF!,#REF!,#REF!,#REF!,#REF!,#REF!,#REF!</definedName>
    <definedName name="__APW_RESTORE_DATA736__" localSheetId="0" hidden="1">#REF!,#REF!,#REF!,#REF!,#REF!,#REF!,#REF!,#REF!,#REF!,#REF!,#REF!,#REF!,#REF!,#REF!,#REF!,#REF!</definedName>
    <definedName name="__APW_RESTORE_DATA736__" hidden="1">#REF!,#REF!,#REF!,#REF!,#REF!,#REF!,#REF!,#REF!,#REF!,#REF!,#REF!,#REF!,#REF!,#REF!,#REF!,#REF!</definedName>
    <definedName name="__APW_RESTORE_DATA737__" localSheetId="0" hidden="1">#REF!,#REF!,#REF!,#REF!,#REF!,#REF!,#REF!,#REF!,#REF!,#REF!,#REF!,#REF!,#REF!,#REF!,#REF!,#REF!</definedName>
    <definedName name="__APW_RESTORE_DATA737__" hidden="1">#REF!,#REF!,#REF!,#REF!,#REF!,#REF!,#REF!,#REF!,#REF!,#REF!,#REF!,#REF!,#REF!,#REF!,#REF!,#REF!</definedName>
    <definedName name="__APW_RESTORE_DATA738__" localSheetId="0" hidden="1">#REF!,#REF!,#REF!,#REF!,#REF!,#REF!,#REF!,#REF!,#REF!,#REF!,#REF!,#REF!,#REF!,#REF!,#REF!,#REF!</definedName>
    <definedName name="__APW_RESTORE_DATA738__" hidden="1">#REF!,#REF!,#REF!,#REF!,#REF!,#REF!,#REF!,#REF!,#REF!,#REF!,#REF!,#REF!,#REF!,#REF!,#REF!,#REF!</definedName>
    <definedName name="__APW_RESTORE_DATA739__" localSheetId="0" hidden="1">#REF!,#REF!,#REF!,#REF!,#REF!,#REF!,#REF!,#REF!,#REF!,#REF!,#REF!,#REF!,#REF!,#REF!,#REF!,#REF!</definedName>
    <definedName name="__APW_RESTORE_DATA739__" hidden="1">#REF!,#REF!,#REF!,#REF!,#REF!,#REF!,#REF!,#REF!,#REF!,#REF!,#REF!,#REF!,#REF!,#REF!,#REF!,#REF!</definedName>
    <definedName name="__APW_RESTORE_DATA74__" localSheetId="0" hidden="1">#REF!,#REF!,#REF!,#REF!,#REF!,#REF!,#REF!,#REF!,#REF!,#REF!,#REF!,#REF!,#REF!,#REF!,#REF!,#REF!</definedName>
    <definedName name="__APW_RESTORE_DATA74__" hidden="1">#REF!,#REF!,#REF!,#REF!,#REF!,#REF!,#REF!,#REF!,#REF!,#REF!,#REF!,#REF!,#REF!,#REF!,#REF!,#REF!</definedName>
    <definedName name="__APW_RESTORE_DATA740__" localSheetId="0" hidden="1">#REF!,#REF!,#REF!,#REF!,#REF!,#REF!,#REF!,#REF!,#REF!,#REF!,#REF!,#REF!,#REF!,#REF!,#REF!,#REF!</definedName>
    <definedName name="__APW_RESTORE_DATA740__" hidden="1">#REF!,#REF!,#REF!,#REF!,#REF!,#REF!,#REF!,#REF!,#REF!,#REF!,#REF!,#REF!,#REF!,#REF!,#REF!,#REF!</definedName>
    <definedName name="__APW_RESTORE_DATA741__" localSheetId="0" hidden="1">#REF!,#REF!,#REF!,#REF!,#REF!,#REF!,#REF!,#REF!,#REF!,#REF!,#REF!,#REF!,#REF!,#REF!,#REF!</definedName>
    <definedName name="__APW_RESTORE_DATA741__" hidden="1">#REF!,#REF!,#REF!,#REF!,#REF!,#REF!,#REF!,#REF!,#REF!,#REF!,#REF!,#REF!,#REF!,#REF!,#REF!</definedName>
    <definedName name="__APW_RESTORE_DATA742__" localSheetId="0" hidden="1">#REF!,#REF!,#REF!,#REF!,#REF!,#REF!,#REF!,#REF!,#REF!,#REF!,#REF!,#REF!,#REF!,#REF!,#REF!</definedName>
    <definedName name="__APW_RESTORE_DATA742__" hidden="1">#REF!,#REF!,#REF!,#REF!,#REF!,#REF!,#REF!,#REF!,#REF!,#REF!,#REF!,#REF!,#REF!,#REF!,#REF!</definedName>
    <definedName name="__APW_RESTORE_DATA743__" localSheetId="0" hidden="1">#REF!,#REF!,#REF!,#REF!,#REF!,#REF!,#REF!,#REF!,#REF!,#REF!,#REF!,#REF!,#REF!,#REF!,#REF!</definedName>
    <definedName name="__APW_RESTORE_DATA743__" hidden="1">#REF!,#REF!,#REF!,#REF!,#REF!,#REF!,#REF!,#REF!,#REF!,#REF!,#REF!,#REF!,#REF!,#REF!,#REF!</definedName>
    <definedName name="__APW_RESTORE_DATA744__" localSheetId="0" hidden="1">#REF!,#REF!,#REF!,#REF!,#REF!,#REF!,#REF!,#REF!,#REF!,#REF!,#REF!,#REF!,#REF!,#REF!,#REF!</definedName>
    <definedName name="__APW_RESTORE_DATA744__" hidden="1">#REF!,#REF!,#REF!,#REF!,#REF!,#REF!,#REF!,#REF!,#REF!,#REF!,#REF!,#REF!,#REF!,#REF!,#REF!</definedName>
    <definedName name="__APW_RESTORE_DATA745__" localSheetId="0" hidden="1">#REF!,#REF!,#REF!,#REF!,#REF!,#REF!,#REF!,#REF!,#REF!,#REF!,#REF!,#REF!,#REF!,#REF!,#REF!</definedName>
    <definedName name="__APW_RESTORE_DATA745__" hidden="1">#REF!,#REF!,#REF!,#REF!,#REF!,#REF!,#REF!,#REF!,#REF!,#REF!,#REF!,#REF!,#REF!,#REF!,#REF!</definedName>
    <definedName name="__APW_RESTORE_DATA746__" localSheetId="0" hidden="1">#REF!,#REF!,#REF!,#REF!,#REF!,#REF!,#REF!,#REF!,#REF!,#REF!,#REF!,#REF!,#REF!,#REF!,#REF!</definedName>
    <definedName name="__APW_RESTORE_DATA746__" hidden="1">#REF!,#REF!,#REF!,#REF!,#REF!,#REF!,#REF!,#REF!,#REF!,#REF!,#REF!,#REF!,#REF!,#REF!,#REF!</definedName>
    <definedName name="__APW_RESTORE_DATA747__" localSheetId="0" hidden="1">#REF!,#REF!,#REF!,#REF!,#REF!,#REF!,#REF!,#REF!,#REF!,#REF!,#REF!,#REF!,#REF!,#REF!,#REF!</definedName>
    <definedName name="__APW_RESTORE_DATA747__" hidden="1">#REF!,#REF!,#REF!,#REF!,#REF!,#REF!,#REF!,#REF!,#REF!,#REF!,#REF!,#REF!,#REF!,#REF!,#REF!</definedName>
    <definedName name="__APW_RESTORE_DATA748__" localSheetId="0" hidden="1">#REF!,#REF!,#REF!,#REF!,#REF!,#REF!,#REF!,#REF!,#REF!,#REF!,#REF!,#REF!,#REF!,#REF!,#REF!</definedName>
    <definedName name="__APW_RESTORE_DATA748__" hidden="1">#REF!,#REF!,#REF!,#REF!,#REF!,#REF!,#REF!,#REF!,#REF!,#REF!,#REF!,#REF!,#REF!,#REF!,#REF!</definedName>
    <definedName name="__APW_RESTORE_DATA749__" localSheetId="0" hidden="1">#REF!,#REF!,#REF!,#REF!,#REF!,#REF!,#REF!,#REF!,#REF!</definedName>
    <definedName name="__APW_RESTORE_DATA749__" hidden="1">#REF!,#REF!,#REF!,#REF!,#REF!,#REF!,#REF!,#REF!,#REF!</definedName>
    <definedName name="__APW_RESTORE_DATA75__" localSheetId="0" hidden="1">#REF!,#REF!,#REF!,#REF!,#REF!,#REF!,#REF!,#REF!,#REF!,#REF!,#REF!,#REF!,#REF!,#REF!,#REF!,#REF!</definedName>
    <definedName name="__APW_RESTORE_DATA75__" hidden="1">#REF!,#REF!,#REF!,#REF!,#REF!,#REF!,#REF!,#REF!,#REF!,#REF!,#REF!,#REF!,#REF!,#REF!,#REF!,#REF!</definedName>
    <definedName name="__APW_RESTORE_DATA750__" localSheetId="0" hidden="1">#REF!,#REF!,#REF!,#REF!,#REF!,#REF!,#REF!,#REF!,#REF!,#REF!,#REF!,#REF!,#REF!,#REF!,#REF!,#REF!,#REF!</definedName>
    <definedName name="__APW_RESTORE_DATA750__" hidden="1">#REF!,#REF!,#REF!,#REF!,#REF!,#REF!,#REF!,#REF!,#REF!,#REF!,#REF!,#REF!,#REF!,#REF!,#REF!,#REF!,#REF!</definedName>
    <definedName name="__APW_RESTORE_DATA751__" localSheetId="0" hidden="1">#REF!,#REF!,#REF!,#REF!,#REF!,#REF!,#REF!,#REF!,#REF!,#REF!,#REF!,#REF!,#REF!,#REF!,#REF!,#REF!</definedName>
    <definedName name="__APW_RESTORE_DATA751__" hidden="1">#REF!,#REF!,#REF!,#REF!,#REF!,#REF!,#REF!,#REF!,#REF!,#REF!,#REF!,#REF!,#REF!,#REF!,#REF!,#REF!</definedName>
    <definedName name="__APW_RESTORE_DATA752__" localSheetId="0" hidden="1">#REF!,#REF!,#REF!,#REF!,#REF!,#REF!,#REF!,#REF!,#REF!,#REF!,#REF!,#REF!,#REF!,#REF!,#REF!,#REF!</definedName>
    <definedName name="__APW_RESTORE_DATA752__" hidden="1">#REF!,#REF!,#REF!,#REF!,#REF!,#REF!,#REF!,#REF!,#REF!,#REF!,#REF!,#REF!,#REF!,#REF!,#REF!,#REF!</definedName>
    <definedName name="__APW_RESTORE_DATA753__" localSheetId="0" hidden="1">#REF!,#REF!,#REF!,#REF!,#REF!,#REF!,#REF!,#REF!,#REF!,#REF!,#REF!,#REF!,#REF!,#REF!,#REF!,#REF!</definedName>
    <definedName name="__APW_RESTORE_DATA753__" hidden="1">#REF!,#REF!,#REF!,#REF!,#REF!,#REF!,#REF!,#REF!,#REF!,#REF!,#REF!,#REF!,#REF!,#REF!,#REF!,#REF!</definedName>
    <definedName name="__APW_RESTORE_DATA754__" localSheetId="0" hidden="1">#REF!,#REF!,#REF!,#REF!,#REF!,#REF!,#REF!,#REF!,#REF!,#REF!,#REF!,#REF!,#REF!,#REF!,#REF!,#REF!</definedName>
    <definedName name="__APW_RESTORE_DATA754__" hidden="1">#REF!,#REF!,#REF!,#REF!,#REF!,#REF!,#REF!,#REF!,#REF!,#REF!,#REF!,#REF!,#REF!,#REF!,#REF!,#REF!</definedName>
    <definedName name="__APW_RESTORE_DATA755__" localSheetId="0" hidden="1">#REF!,#REF!,#REF!,#REF!,#REF!,#REF!,#REF!,#REF!,#REF!,#REF!,#REF!,#REF!,#REF!,#REF!,#REF!,#REF!</definedName>
    <definedName name="__APW_RESTORE_DATA755__" hidden="1">#REF!,#REF!,#REF!,#REF!,#REF!,#REF!,#REF!,#REF!,#REF!,#REF!,#REF!,#REF!,#REF!,#REF!,#REF!,#REF!</definedName>
    <definedName name="__APW_RESTORE_DATA756__" localSheetId="0" hidden="1">#REF!,#REF!,#REF!,#REF!,#REF!,#REF!,#REF!,#REF!,#REF!,#REF!,#REF!,#REF!,#REF!,#REF!,#REF!</definedName>
    <definedName name="__APW_RESTORE_DATA756__" hidden="1">#REF!,#REF!,#REF!,#REF!,#REF!,#REF!,#REF!,#REF!,#REF!,#REF!,#REF!,#REF!,#REF!,#REF!,#REF!</definedName>
    <definedName name="__APW_RESTORE_DATA757__" localSheetId="0" hidden="1">#REF!,#REF!,#REF!,#REF!,#REF!,#REF!,#REF!,#REF!,#REF!,#REF!,#REF!,#REF!,#REF!,#REF!,#REF!</definedName>
    <definedName name="__APW_RESTORE_DATA757__" hidden="1">#REF!,#REF!,#REF!,#REF!,#REF!,#REF!,#REF!,#REF!,#REF!,#REF!,#REF!,#REF!,#REF!,#REF!,#REF!</definedName>
    <definedName name="__APW_RESTORE_DATA758__" localSheetId="0" hidden="1">#REF!,#REF!,#REF!,#REF!,#REF!,#REF!,#REF!,#REF!,#REF!,#REF!,#REF!,#REF!,#REF!,#REF!,#REF!</definedName>
    <definedName name="__APW_RESTORE_DATA758__" hidden="1">#REF!,#REF!,#REF!,#REF!,#REF!,#REF!,#REF!,#REF!,#REF!,#REF!,#REF!,#REF!,#REF!,#REF!,#REF!</definedName>
    <definedName name="__APW_RESTORE_DATA759__" localSheetId="0" hidden="1">#REF!,#REF!,#REF!,#REF!,#REF!,#REF!,#REF!,#REF!,#REF!,#REF!,#REF!,#REF!,#REF!,#REF!,#REF!</definedName>
    <definedName name="__APW_RESTORE_DATA759__" hidden="1">#REF!,#REF!,#REF!,#REF!,#REF!,#REF!,#REF!,#REF!,#REF!,#REF!,#REF!,#REF!,#REF!,#REF!,#REF!</definedName>
    <definedName name="__APW_RESTORE_DATA76__" localSheetId="0" hidden="1">#REF!,#REF!,#REF!,#REF!,#REF!,#REF!,#REF!,#REF!,#REF!,#REF!,#REF!,#REF!,#REF!,#REF!,#REF!,#REF!</definedName>
    <definedName name="__APW_RESTORE_DATA76__" hidden="1">#REF!,#REF!,#REF!,#REF!,#REF!,#REF!,#REF!,#REF!,#REF!,#REF!,#REF!,#REF!,#REF!,#REF!,#REF!,#REF!</definedName>
    <definedName name="__APW_RESTORE_DATA760__" localSheetId="0" hidden="1">#REF!,#REF!,#REF!,#REF!,#REF!,#REF!,#REF!,#REF!,#REF!,#REF!,#REF!,#REF!,#REF!,#REF!,#REF!</definedName>
    <definedName name="__APW_RESTORE_DATA760__" hidden="1">#REF!,#REF!,#REF!,#REF!,#REF!,#REF!,#REF!,#REF!,#REF!,#REF!,#REF!,#REF!,#REF!,#REF!,#REF!</definedName>
    <definedName name="__APW_RESTORE_DATA761__" localSheetId="0" hidden="1">#REF!,#REF!,#REF!,#REF!,#REF!,#REF!,#REF!,#REF!,#REF!,#REF!,#REF!,#REF!,#REF!,#REF!,#REF!</definedName>
    <definedName name="__APW_RESTORE_DATA761__" hidden="1">#REF!,#REF!,#REF!,#REF!,#REF!,#REF!,#REF!,#REF!,#REF!,#REF!,#REF!,#REF!,#REF!,#REF!,#REF!</definedName>
    <definedName name="__APW_RESTORE_DATA762__" localSheetId="0" hidden="1">#REF!,#REF!,#REF!,#REF!,#REF!,#REF!,#REF!,#REF!,#REF!,#REF!,#REF!,#REF!,#REF!,#REF!,#REF!</definedName>
    <definedName name="__APW_RESTORE_DATA762__" hidden="1">#REF!,#REF!,#REF!,#REF!,#REF!,#REF!,#REF!,#REF!,#REF!,#REF!,#REF!,#REF!,#REF!,#REF!,#REF!</definedName>
    <definedName name="__APW_RESTORE_DATA763__" localSheetId="0" hidden="1">#REF!,#REF!,#REF!,#REF!,#REF!,#REF!,#REF!,#REF!,#REF!,#REF!,#REF!,#REF!,#REF!,#REF!,#REF!</definedName>
    <definedName name="__APW_RESTORE_DATA763__" hidden="1">#REF!,#REF!,#REF!,#REF!,#REF!,#REF!,#REF!,#REF!,#REF!,#REF!,#REF!,#REF!,#REF!,#REF!,#REF!</definedName>
    <definedName name="__APW_RESTORE_DATA764__" localSheetId="0" hidden="1">#REF!,#REF!,#REF!,#REF!,#REF!,#REF!,#REF!,#REF!,#REF!</definedName>
    <definedName name="__APW_RESTORE_DATA764__" hidden="1">#REF!,#REF!,#REF!,#REF!,#REF!,#REF!,#REF!,#REF!,#REF!</definedName>
    <definedName name="__APW_RESTORE_DATA765__" localSheetId="0" hidden="1">#REF!,#REF!,#REF!,#REF!,#REF!,#REF!,#REF!,#REF!,#REF!,#REF!,#REF!,#REF!,#REF!,#REF!,#REF!,#REF!,#REF!</definedName>
    <definedName name="__APW_RESTORE_DATA765__" hidden="1">#REF!,#REF!,#REF!,#REF!,#REF!,#REF!,#REF!,#REF!,#REF!,#REF!,#REF!,#REF!,#REF!,#REF!,#REF!,#REF!,#REF!</definedName>
    <definedName name="__APW_RESTORE_DATA766__" localSheetId="0" hidden="1">#REF!,#REF!,#REF!,#REF!,#REF!,#REF!,#REF!,#REF!,#REF!,#REF!,#REF!,#REF!,#REF!,#REF!,#REF!,#REF!</definedName>
    <definedName name="__APW_RESTORE_DATA766__" hidden="1">#REF!,#REF!,#REF!,#REF!,#REF!,#REF!,#REF!,#REF!,#REF!,#REF!,#REF!,#REF!,#REF!,#REF!,#REF!,#REF!</definedName>
    <definedName name="__APW_RESTORE_DATA767__" localSheetId="0" hidden="1">#REF!,#REF!,#REF!,#REF!,#REF!,#REF!,#REF!,#REF!,#REF!,#REF!,#REF!,#REF!,#REF!,#REF!,#REF!,#REF!</definedName>
    <definedName name="__APW_RESTORE_DATA767__" hidden="1">#REF!,#REF!,#REF!,#REF!,#REF!,#REF!,#REF!,#REF!,#REF!,#REF!,#REF!,#REF!,#REF!,#REF!,#REF!,#REF!</definedName>
    <definedName name="__APW_RESTORE_DATA768__" localSheetId="0" hidden="1">#REF!,#REF!,#REF!,#REF!,#REF!,#REF!,#REF!,#REF!,#REF!,#REF!,#REF!,#REF!,#REF!,#REF!,#REF!,#REF!</definedName>
    <definedName name="__APW_RESTORE_DATA768__" hidden="1">#REF!,#REF!,#REF!,#REF!,#REF!,#REF!,#REF!,#REF!,#REF!,#REF!,#REF!,#REF!,#REF!,#REF!,#REF!,#REF!</definedName>
    <definedName name="__APW_RESTORE_DATA769__" localSheetId="0" hidden="1">#REF!,#REF!,#REF!,#REF!,#REF!,#REF!,#REF!,#REF!,#REF!,#REF!,#REF!,#REF!,#REF!,#REF!,#REF!,#REF!</definedName>
    <definedName name="__APW_RESTORE_DATA769__" hidden="1">#REF!,#REF!,#REF!,#REF!,#REF!,#REF!,#REF!,#REF!,#REF!,#REF!,#REF!,#REF!,#REF!,#REF!,#REF!,#REF!</definedName>
    <definedName name="__APW_RESTORE_DATA77__" localSheetId="0" hidden="1">#REF!,#REF!,#REF!,#REF!,#REF!,#REF!,#REF!,#REF!,#REF!,#REF!,#REF!,#REF!,#REF!,#REF!,#REF!,#REF!</definedName>
    <definedName name="__APW_RESTORE_DATA77__" hidden="1">#REF!,#REF!,#REF!,#REF!,#REF!,#REF!,#REF!,#REF!,#REF!,#REF!,#REF!,#REF!,#REF!,#REF!,#REF!,#REF!</definedName>
    <definedName name="__APW_RESTORE_DATA770__" localSheetId="0" hidden="1">#REF!,#REF!,#REF!,#REF!,#REF!,#REF!,#REF!,#REF!,#REF!,#REF!,#REF!,#REF!,#REF!,#REF!,#REF!,#REF!</definedName>
    <definedName name="__APW_RESTORE_DATA770__" hidden="1">#REF!,#REF!,#REF!,#REF!,#REF!,#REF!,#REF!,#REF!,#REF!,#REF!,#REF!,#REF!,#REF!,#REF!,#REF!,#REF!</definedName>
    <definedName name="__APW_RESTORE_DATA771__" localSheetId="0" hidden="1">#REF!,#REF!,#REF!,#REF!,#REF!,#REF!,#REF!,#REF!,#REF!,#REF!,#REF!,#REF!,#REF!,#REF!,#REF!</definedName>
    <definedName name="__APW_RESTORE_DATA771__" hidden="1">#REF!,#REF!,#REF!,#REF!,#REF!,#REF!,#REF!,#REF!,#REF!,#REF!,#REF!,#REF!,#REF!,#REF!,#REF!</definedName>
    <definedName name="__APW_RESTORE_DATA772__" localSheetId="0" hidden="1">#REF!,#REF!,#REF!,#REF!,#REF!,#REF!,#REF!,#REF!,#REF!,#REF!,#REF!,#REF!,#REF!,#REF!,#REF!</definedName>
    <definedName name="__APW_RESTORE_DATA772__" hidden="1">#REF!,#REF!,#REF!,#REF!,#REF!,#REF!,#REF!,#REF!,#REF!,#REF!,#REF!,#REF!,#REF!,#REF!,#REF!</definedName>
    <definedName name="__APW_RESTORE_DATA773__" localSheetId="0" hidden="1">#REF!,#REF!,#REF!,#REF!,#REF!,#REF!,#REF!,#REF!,#REF!,#REF!,#REF!,#REF!,#REF!,#REF!,#REF!</definedName>
    <definedName name="__APW_RESTORE_DATA773__" hidden="1">#REF!,#REF!,#REF!,#REF!,#REF!,#REF!,#REF!,#REF!,#REF!,#REF!,#REF!,#REF!,#REF!,#REF!,#REF!</definedName>
    <definedName name="__APW_RESTORE_DATA774__" localSheetId="0" hidden="1">#REF!,#REF!,#REF!,#REF!,#REF!,#REF!,#REF!,#REF!,#REF!,#REF!,#REF!,#REF!,#REF!,#REF!,#REF!</definedName>
    <definedName name="__APW_RESTORE_DATA774__" hidden="1">#REF!,#REF!,#REF!,#REF!,#REF!,#REF!,#REF!,#REF!,#REF!,#REF!,#REF!,#REF!,#REF!,#REF!,#REF!</definedName>
    <definedName name="__APW_RESTORE_DATA775__" localSheetId="0" hidden="1">#REF!,#REF!,#REF!,#REF!,#REF!,#REF!,#REF!,#REF!,#REF!,#REF!,#REF!,#REF!,#REF!,#REF!,#REF!</definedName>
    <definedName name="__APW_RESTORE_DATA775__" hidden="1">#REF!,#REF!,#REF!,#REF!,#REF!,#REF!,#REF!,#REF!,#REF!,#REF!,#REF!,#REF!,#REF!,#REF!,#REF!</definedName>
    <definedName name="__APW_RESTORE_DATA776__" localSheetId="0" hidden="1">#REF!,#REF!,#REF!,#REF!,#REF!,#REF!,#REF!,#REF!,#REF!,#REF!,#REF!,#REF!,#REF!,#REF!,#REF!</definedName>
    <definedName name="__APW_RESTORE_DATA776__" hidden="1">#REF!,#REF!,#REF!,#REF!,#REF!,#REF!,#REF!,#REF!,#REF!,#REF!,#REF!,#REF!,#REF!,#REF!,#REF!</definedName>
    <definedName name="__APW_RESTORE_DATA777__" localSheetId="0" hidden="1">#REF!,#REF!,#REF!,#REF!,#REF!,#REF!,#REF!,#REF!,#REF!,#REF!,#REF!,#REF!,#REF!,#REF!,#REF!</definedName>
    <definedName name="__APW_RESTORE_DATA777__" hidden="1">#REF!,#REF!,#REF!,#REF!,#REF!,#REF!,#REF!,#REF!,#REF!,#REF!,#REF!,#REF!,#REF!,#REF!,#REF!</definedName>
    <definedName name="__APW_RESTORE_DATA778__" localSheetId="0" hidden="1">#REF!,#REF!,#REF!,#REF!,#REF!,#REF!,#REF!,#REF!,#REF!,#REF!,#REF!,#REF!,#REF!,#REF!,#REF!</definedName>
    <definedName name="__APW_RESTORE_DATA778__" hidden="1">#REF!,#REF!,#REF!,#REF!,#REF!,#REF!,#REF!,#REF!,#REF!,#REF!,#REF!,#REF!,#REF!,#REF!,#REF!</definedName>
    <definedName name="__APW_RESTORE_DATA779__" localSheetId="0" hidden="1">#REF!,#REF!,#REF!,#REF!,#REF!,#REF!,#REF!,#REF!,#REF!</definedName>
    <definedName name="__APW_RESTORE_DATA779__" hidden="1">#REF!,#REF!,#REF!,#REF!,#REF!,#REF!,#REF!,#REF!,#REF!</definedName>
    <definedName name="__APW_RESTORE_DATA78__" localSheetId="0" hidden="1">#REF!,#REF!,#REF!,#REF!,#REF!,#REF!,#REF!,#REF!,#REF!,#REF!,#REF!,#REF!,#REF!,#REF!,#REF!</definedName>
    <definedName name="__APW_RESTORE_DATA78__" hidden="1">#REF!,#REF!,#REF!,#REF!,#REF!,#REF!,#REF!,#REF!,#REF!,#REF!,#REF!,#REF!,#REF!,#REF!,#REF!</definedName>
    <definedName name="__APW_RESTORE_DATA780__" localSheetId="0" hidden="1">#REF!,#REF!,#REF!,#REF!,#REF!,#REF!,#REF!,#REF!,#REF!,#REF!,#REF!,#REF!,#REF!,#REF!,#REF!,#REF!,#REF!</definedName>
    <definedName name="__APW_RESTORE_DATA780__" hidden="1">#REF!,#REF!,#REF!,#REF!,#REF!,#REF!,#REF!,#REF!,#REF!,#REF!,#REF!,#REF!,#REF!,#REF!,#REF!,#REF!,#REF!</definedName>
    <definedName name="__APW_RESTORE_DATA781__" localSheetId="0" hidden="1">#REF!,#REF!,#REF!,#REF!,#REF!,#REF!,#REF!,#REF!,#REF!,#REF!,#REF!,#REF!,#REF!,#REF!,#REF!,#REF!</definedName>
    <definedName name="__APW_RESTORE_DATA781__" hidden="1">#REF!,#REF!,#REF!,#REF!,#REF!,#REF!,#REF!,#REF!,#REF!,#REF!,#REF!,#REF!,#REF!,#REF!,#REF!,#REF!</definedName>
    <definedName name="__APW_RESTORE_DATA782__" localSheetId="0" hidden="1">#REF!,#REF!,#REF!,#REF!,#REF!,#REF!,#REF!,#REF!,#REF!,#REF!,#REF!,#REF!,#REF!,#REF!,#REF!,#REF!</definedName>
    <definedName name="__APW_RESTORE_DATA782__" hidden="1">#REF!,#REF!,#REF!,#REF!,#REF!,#REF!,#REF!,#REF!,#REF!,#REF!,#REF!,#REF!,#REF!,#REF!,#REF!,#REF!</definedName>
    <definedName name="__APW_RESTORE_DATA783__" localSheetId="0" hidden="1">#REF!,#REF!,#REF!,#REF!,#REF!,#REF!,#REF!,#REF!,#REF!,#REF!,#REF!,#REF!,#REF!,#REF!,#REF!,#REF!</definedName>
    <definedName name="__APW_RESTORE_DATA783__" hidden="1">#REF!,#REF!,#REF!,#REF!,#REF!,#REF!,#REF!,#REF!,#REF!,#REF!,#REF!,#REF!,#REF!,#REF!,#REF!,#REF!</definedName>
    <definedName name="__APW_RESTORE_DATA784__" localSheetId="0" hidden="1">#REF!,#REF!,#REF!,#REF!,#REF!,#REF!,#REF!,#REF!,#REF!,#REF!,#REF!,#REF!,#REF!,#REF!,#REF!,#REF!</definedName>
    <definedName name="__APW_RESTORE_DATA784__" hidden="1">#REF!,#REF!,#REF!,#REF!,#REF!,#REF!,#REF!,#REF!,#REF!,#REF!,#REF!,#REF!,#REF!,#REF!,#REF!,#REF!</definedName>
    <definedName name="__APW_RESTORE_DATA785__" localSheetId="0" hidden="1">#REF!,#REF!,#REF!,#REF!,#REF!,#REF!,#REF!,#REF!,#REF!,#REF!,#REF!,#REF!,#REF!,#REF!,#REF!,#REF!</definedName>
    <definedName name="__APW_RESTORE_DATA785__" hidden="1">#REF!,#REF!,#REF!,#REF!,#REF!,#REF!,#REF!,#REF!,#REF!,#REF!,#REF!,#REF!,#REF!,#REF!,#REF!,#REF!</definedName>
    <definedName name="__APW_RESTORE_DATA786__" localSheetId="0" hidden="1">#REF!,#REF!,#REF!,#REF!,#REF!,#REF!,#REF!,#REF!,#REF!,#REF!,#REF!,#REF!,#REF!,#REF!,#REF!</definedName>
    <definedName name="__APW_RESTORE_DATA786__" hidden="1">#REF!,#REF!,#REF!,#REF!,#REF!,#REF!,#REF!,#REF!,#REF!,#REF!,#REF!,#REF!,#REF!,#REF!,#REF!</definedName>
    <definedName name="__APW_RESTORE_DATA787__" localSheetId="0" hidden="1">#REF!,#REF!,#REF!,#REF!,#REF!,#REF!,#REF!,#REF!,#REF!,#REF!,#REF!,#REF!,#REF!,#REF!,#REF!</definedName>
    <definedName name="__APW_RESTORE_DATA787__" hidden="1">#REF!,#REF!,#REF!,#REF!,#REF!,#REF!,#REF!,#REF!,#REF!,#REF!,#REF!,#REF!,#REF!,#REF!,#REF!</definedName>
    <definedName name="__APW_RESTORE_DATA788__" localSheetId="0" hidden="1">#REF!,#REF!,#REF!,#REF!,#REF!,#REF!,#REF!,#REF!,#REF!,#REF!,#REF!,#REF!,#REF!,#REF!,#REF!</definedName>
    <definedName name="__APW_RESTORE_DATA788__" hidden="1">#REF!,#REF!,#REF!,#REF!,#REF!,#REF!,#REF!,#REF!,#REF!,#REF!,#REF!,#REF!,#REF!,#REF!,#REF!</definedName>
    <definedName name="__APW_RESTORE_DATA789__" localSheetId="0" hidden="1">#REF!,#REF!,#REF!,#REF!,#REF!,#REF!,#REF!,#REF!,#REF!,#REF!,#REF!,#REF!,#REF!,#REF!,#REF!</definedName>
    <definedName name="__APW_RESTORE_DATA789__" hidden="1">#REF!,#REF!,#REF!,#REF!,#REF!,#REF!,#REF!,#REF!,#REF!,#REF!,#REF!,#REF!,#REF!,#REF!,#REF!</definedName>
    <definedName name="__APW_RESTORE_DATA79__" localSheetId="0" hidden="1">#REF!,#REF!,#REF!,#REF!,#REF!,#REF!,#REF!,#REF!,#REF!,#REF!,#REF!,#REF!,#REF!,#REF!,#REF!</definedName>
    <definedName name="__APW_RESTORE_DATA79__" hidden="1">#REF!,#REF!,#REF!,#REF!,#REF!,#REF!,#REF!,#REF!,#REF!,#REF!,#REF!,#REF!,#REF!,#REF!,#REF!</definedName>
    <definedName name="__APW_RESTORE_DATA790__" localSheetId="0" hidden="1">#REF!,#REF!,#REF!,#REF!,#REF!,#REF!,#REF!,#REF!,#REF!,#REF!,#REF!,#REF!,#REF!,#REF!,#REF!</definedName>
    <definedName name="__APW_RESTORE_DATA790__" hidden="1">#REF!,#REF!,#REF!,#REF!,#REF!,#REF!,#REF!,#REF!,#REF!,#REF!,#REF!,#REF!,#REF!,#REF!,#REF!</definedName>
    <definedName name="__APW_RESTORE_DATA791__" localSheetId="0" hidden="1">#REF!,#REF!,#REF!,#REF!,#REF!,#REF!,#REF!,#REF!,#REF!,#REF!,#REF!,#REF!,#REF!,#REF!,#REF!</definedName>
    <definedName name="__APW_RESTORE_DATA791__" hidden="1">#REF!,#REF!,#REF!,#REF!,#REF!,#REF!,#REF!,#REF!,#REF!,#REF!,#REF!,#REF!,#REF!,#REF!,#REF!</definedName>
    <definedName name="__APW_RESTORE_DATA792__" localSheetId="0" hidden="1">#REF!,#REF!,#REF!,#REF!,#REF!,#REF!,#REF!,#REF!,#REF!,#REF!,#REF!,#REF!,#REF!,#REF!,#REF!</definedName>
    <definedName name="__APW_RESTORE_DATA792__" hidden="1">#REF!,#REF!,#REF!,#REF!,#REF!,#REF!,#REF!,#REF!,#REF!,#REF!,#REF!,#REF!,#REF!,#REF!,#REF!</definedName>
    <definedName name="__APW_RESTORE_DATA793__" localSheetId="0" hidden="1">#REF!,#REF!,#REF!,#REF!,#REF!,#REF!,#REF!,#REF!,#REF!,#REF!,#REF!,#REF!,#REF!,#REF!,#REF!</definedName>
    <definedName name="__APW_RESTORE_DATA793__" hidden="1">#REF!,#REF!,#REF!,#REF!,#REF!,#REF!,#REF!,#REF!,#REF!,#REF!,#REF!,#REF!,#REF!,#REF!,#REF!</definedName>
    <definedName name="__APW_RESTORE_DATA794__" localSheetId="0" hidden="1">#REF!,#REF!,#REF!,#REF!,#REF!,#REF!,#REF!,#REF!,#REF!</definedName>
    <definedName name="__APW_RESTORE_DATA794__" hidden="1">#REF!,#REF!,#REF!,#REF!,#REF!,#REF!,#REF!,#REF!,#REF!</definedName>
    <definedName name="__APW_RESTORE_DATA795__" localSheetId="0" hidden="1">#REF!,#REF!,#REF!,#REF!,#REF!,#REF!,#REF!,#REF!,#REF!,#REF!,#REF!,#REF!,#REF!,#REF!,#REF!,#REF!,#REF!</definedName>
    <definedName name="__APW_RESTORE_DATA795__" hidden="1">#REF!,#REF!,#REF!,#REF!,#REF!,#REF!,#REF!,#REF!,#REF!,#REF!,#REF!,#REF!,#REF!,#REF!,#REF!,#REF!,#REF!</definedName>
    <definedName name="__APW_RESTORE_DATA796__" localSheetId="0" hidden="1">#REF!,#REF!,#REF!,#REF!,#REF!,#REF!,#REF!,#REF!,#REF!,#REF!,#REF!,#REF!,#REF!,#REF!,#REF!,#REF!</definedName>
    <definedName name="__APW_RESTORE_DATA796__" hidden="1">#REF!,#REF!,#REF!,#REF!,#REF!,#REF!,#REF!,#REF!,#REF!,#REF!,#REF!,#REF!,#REF!,#REF!,#REF!,#REF!</definedName>
    <definedName name="__APW_RESTORE_DATA797__" localSheetId="0" hidden="1">#REF!,#REF!,#REF!,#REF!,#REF!,#REF!,#REF!,#REF!,#REF!,#REF!,#REF!,#REF!,#REF!,#REF!,#REF!,#REF!</definedName>
    <definedName name="__APW_RESTORE_DATA797__" hidden="1">#REF!,#REF!,#REF!,#REF!,#REF!,#REF!,#REF!,#REF!,#REF!,#REF!,#REF!,#REF!,#REF!,#REF!,#REF!,#REF!</definedName>
    <definedName name="__APW_RESTORE_DATA798__" localSheetId="0" hidden="1">#REF!,#REF!,#REF!,#REF!,#REF!,#REF!,#REF!,#REF!,#REF!,#REF!,#REF!,#REF!,#REF!,#REF!,#REF!,#REF!</definedName>
    <definedName name="__APW_RESTORE_DATA798__" hidden="1">#REF!,#REF!,#REF!,#REF!,#REF!,#REF!,#REF!,#REF!,#REF!,#REF!,#REF!,#REF!,#REF!,#REF!,#REF!,#REF!</definedName>
    <definedName name="__APW_RESTORE_DATA799__" localSheetId="0" hidden="1">#REF!,#REF!,#REF!,#REF!,#REF!,#REF!,#REF!,#REF!,#REF!,#REF!,#REF!,#REF!,#REF!,#REF!,#REF!,#REF!</definedName>
    <definedName name="__APW_RESTORE_DATA799__" hidden="1">#REF!,#REF!,#REF!,#REF!,#REF!,#REF!,#REF!,#REF!,#REF!,#REF!,#REF!,#REF!,#REF!,#REF!,#REF!,#REF!</definedName>
    <definedName name="__APW_RESTORE_DATA8__" localSheetId="0" hidden="1">#REF!,#REF!,#REF!,#REF!,#REF!,#REF!,#REF!,#REF!,#REF!,#REF!,#REF!,#REF!,#REF!,#REF!,#REF!</definedName>
    <definedName name="__APW_RESTORE_DATA8__" hidden="1">#REF!,#REF!,#REF!,#REF!,#REF!,#REF!,#REF!,#REF!,#REF!,#REF!,#REF!,#REF!,#REF!,#REF!,#REF!</definedName>
    <definedName name="__APW_RESTORE_DATA80__" localSheetId="0" hidden="1">#REF!,#REF!,#REF!,#REF!,#REF!,#REF!,#REF!,#REF!,#REF!,#REF!,#REF!,#REF!,#REF!,#REF!,#REF!</definedName>
    <definedName name="__APW_RESTORE_DATA80__" hidden="1">#REF!,#REF!,#REF!,#REF!,#REF!,#REF!,#REF!,#REF!,#REF!,#REF!,#REF!,#REF!,#REF!,#REF!,#REF!</definedName>
    <definedName name="__APW_RESTORE_DATA800__" localSheetId="0" hidden="1">#REF!,#REF!,#REF!,#REF!,#REF!,#REF!,#REF!,#REF!,#REF!,#REF!,#REF!,#REF!,#REF!,#REF!,#REF!,#REF!</definedName>
    <definedName name="__APW_RESTORE_DATA800__" hidden="1">#REF!,#REF!,#REF!,#REF!,#REF!,#REF!,#REF!,#REF!,#REF!,#REF!,#REF!,#REF!,#REF!,#REF!,#REF!,#REF!</definedName>
    <definedName name="__APW_RESTORE_DATA801__" localSheetId="0" hidden="1">#REF!,#REF!,#REF!,#REF!,#REF!,#REF!,#REF!,#REF!,#REF!,#REF!,#REF!,#REF!,#REF!,#REF!,#REF!</definedName>
    <definedName name="__APW_RESTORE_DATA801__" hidden="1">#REF!,#REF!,#REF!,#REF!,#REF!,#REF!,#REF!,#REF!,#REF!,#REF!,#REF!,#REF!,#REF!,#REF!,#REF!</definedName>
    <definedName name="__APW_RESTORE_DATA802__" localSheetId="0" hidden="1">#REF!,#REF!,#REF!,#REF!,#REF!,#REF!,#REF!,#REF!,#REF!,#REF!,#REF!,#REF!,#REF!,#REF!,#REF!</definedName>
    <definedName name="__APW_RESTORE_DATA802__" hidden="1">#REF!,#REF!,#REF!,#REF!,#REF!,#REF!,#REF!,#REF!,#REF!,#REF!,#REF!,#REF!,#REF!,#REF!,#REF!</definedName>
    <definedName name="__APW_RESTORE_DATA803__" localSheetId="0" hidden="1">#REF!,#REF!,#REF!,#REF!,#REF!,#REF!,#REF!,#REF!,#REF!,#REF!,#REF!,#REF!,#REF!,#REF!,#REF!</definedName>
    <definedName name="__APW_RESTORE_DATA803__" hidden="1">#REF!,#REF!,#REF!,#REF!,#REF!,#REF!,#REF!,#REF!,#REF!,#REF!,#REF!,#REF!,#REF!,#REF!,#REF!</definedName>
    <definedName name="__APW_RESTORE_DATA804__" localSheetId="0" hidden="1">#REF!,#REF!,#REF!,#REF!,#REF!,#REF!,#REF!,#REF!,#REF!,#REF!,#REF!,#REF!,#REF!,#REF!,#REF!</definedName>
    <definedName name="__APW_RESTORE_DATA804__" hidden="1">#REF!,#REF!,#REF!,#REF!,#REF!,#REF!,#REF!,#REF!,#REF!,#REF!,#REF!,#REF!,#REF!,#REF!,#REF!</definedName>
    <definedName name="__APW_RESTORE_DATA805__" localSheetId="0" hidden="1">#REF!,#REF!,#REF!,#REF!,#REF!,#REF!,#REF!,#REF!,#REF!,#REF!,#REF!,#REF!,#REF!,#REF!,#REF!</definedName>
    <definedName name="__APW_RESTORE_DATA805__" hidden="1">#REF!,#REF!,#REF!,#REF!,#REF!,#REF!,#REF!,#REF!,#REF!,#REF!,#REF!,#REF!,#REF!,#REF!,#REF!</definedName>
    <definedName name="__APW_RESTORE_DATA806__" localSheetId="0" hidden="1">#REF!,#REF!,#REF!,#REF!,#REF!,#REF!,#REF!,#REF!,#REF!,#REF!,#REF!,#REF!,#REF!,#REF!,#REF!</definedName>
    <definedName name="__APW_RESTORE_DATA806__" hidden="1">#REF!,#REF!,#REF!,#REF!,#REF!,#REF!,#REF!,#REF!,#REF!,#REF!,#REF!,#REF!,#REF!,#REF!,#REF!</definedName>
    <definedName name="__APW_RESTORE_DATA807__" localSheetId="0" hidden="1">#REF!,#REF!,#REF!,#REF!,#REF!,#REF!,#REF!,#REF!,#REF!,#REF!,#REF!,#REF!,#REF!,#REF!,#REF!</definedName>
    <definedName name="__APW_RESTORE_DATA807__" hidden="1">#REF!,#REF!,#REF!,#REF!,#REF!,#REF!,#REF!,#REF!,#REF!,#REF!,#REF!,#REF!,#REF!,#REF!,#REF!</definedName>
    <definedName name="__APW_RESTORE_DATA808__" localSheetId="0" hidden="1">#REF!,#REF!,#REF!,#REF!,#REF!,#REF!,#REF!,#REF!,#REF!,#REF!,#REF!,#REF!,#REF!,#REF!,#REF!</definedName>
    <definedName name="__APW_RESTORE_DATA808__" hidden="1">#REF!,#REF!,#REF!,#REF!,#REF!,#REF!,#REF!,#REF!,#REF!,#REF!,#REF!,#REF!,#REF!,#REF!,#REF!</definedName>
    <definedName name="__APW_RESTORE_DATA809__" localSheetId="0" hidden="1">#REF!,#REF!,#REF!,#REF!,#REF!,#REF!,#REF!,#REF!,#REF!</definedName>
    <definedName name="__APW_RESTORE_DATA809__" hidden="1">#REF!,#REF!,#REF!,#REF!,#REF!,#REF!,#REF!,#REF!,#REF!</definedName>
    <definedName name="__APW_RESTORE_DATA81__" localSheetId="0" hidden="1">#REF!,#REF!,#REF!,#REF!,#REF!,#REF!,#REF!,#REF!,#REF!,#REF!,#REF!,#REF!,#REF!,#REF!,#REF!</definedName>
    <definedName name="__APW_RESTORE_DATA81__" hidden="1">#REF!,#REF!,#REF!,#REF!,#REF!,#REF!,#REF!,#REF!,#REF!,#REF!,#REF!,#REF!,#REF!,#REF!,#REF!</definedName>
    <definedName name="__APW_RESTORE_DATA810__" localSheetId="0" hidden="1">#REF!,#REF!,#REF!,#REF!,#REF!,#REF!,#REF!,#REF!,#REF!,#REF!,#REF!,#REF!,#REF!,#REF!,#REF!,#REF!,#REF!</definedName>
    <definedName name="__APW_RESTORE_DATA810__" hidden="1">#REF!,#REF!,#REF!,#REF!,#REF!,#REF!,#REF!,#REF!,#REF!,#REF!,#REF!,#REF!,#REF!,#REF!,#REF!,#REF!,#REF!</definedName>
    <definedName name="__APW_RESTORE_DATA811__" localSheetId="0" hidden="1">#REF!,#REF!,#REF!,#REF!,#REF!,#REF!,#REF!,#REF!,#REF!,#REF!,#REF!,#REF!,#REF!,#REF!,#REF!,#REF!</definedName>
    <definedName name="__APW_RESTORE_DATA811__" hidden="1">#REF!,#REF!,#REF!,#REF!,#REF!,#REF!,#REF!,#REF!,#REF!,#REF!,#REF!,#REF!,#REF!,#REF!,#REF!,#REF!</definedName>
    <definedName name="__APW_RESTORE_DATA812__" localSheetId="0" hidden="1">#REF!,#REF!,#REF!,#REF!,#REF!,#REF!,#REF!,#REF!,#REF!,#REF!,#REF!,#REF!,#REF!,#REF!,#REF!,#REF!</definedName>
    <definedName name="__APW_RESTORE_DATA812__" hidden="1">#REF!,#REF!,#REF!,#REF!,#REF!,#REF!,#REF!,#REF!,#REF!,#REF!,#REF!,#REF!,#REF!,#REF!,#REF!,#REF!</definedName>
    <definedName name="__APW_RESTORE_DATA813__" localSheetId="0" hidden="1">#REF!,#REF!,#REF!,#REF!,#REF!,#REF!,#REF!,#REF!,#REF!,#REF!,#REF!,#REF!,#REF!,#REF!,#REF!,#REF!</definedName>
    <definedName name="__APW_RESTORE_DATA813__" hidden="1">#REF!,#REF!,#REF!,#REF!,#REF!,#REF!,#REF!,#REF!,#REF!,#REF!,#REF!,#REF!,#REF!,#REF!,#REF!,#REF!</definedName>
    <definedName name="__APW_RESTORE_DATA814__" localSheetId="0" hidden="1">#REF!,#REF!,#REF!,#REF!,#REF!,#REF!,#REF!,#REF!,#REF!,#REF!,#REF!,#REF!,#REF!,#REF!,#REF!,#REF!</definedName>
    <definedName name="__APW_RESTORE_DATA814__" hidden="1">#REF!,#REF!,#REF!,#REF!,#REF!,#REF!,#REF!,#REF!,#REF!,#REF!,#REF!,#REF!,#REF!,#REF!,#REF!,#REF!</definedName>
    <definedName name="__APW_RESTORE_DATA815__" localSheetId="0" hidden="1">#REF!,#REF!,#REF!,#REF!,#REF!,#REF!,#REF!,#REF!,#REF!,#REF!,#REF!,#REF!,#REF!,#REF!,#REF!,#REF!</definedName>
    <definedName name="__APW_RESTORE_DATA815__" hidden="1">#REF!,#REF!,#REF!,#REF!,#REF!,#REF!,#REF!,#REF!,#REF!,#REF!,#REF!,#REF!,#REF!,#REF!,#REF!,#REF!</definedName>
    <definedName name="__APW_RESTORE_DATA816__" localSheetId="0" hidden="1">#REF!,#REF!,#REF!,#REF!,#REF!,#REF!,#REF!,#REF!,#REF!,#REF!,#REF!,#REF!,#REF!,#REF!,#REF!</definedName>
    <definedName name="__APW_RESTORE_DATA816__" hidden="1">#REF!,#REF!,#REF!,#REF!,#REF!,#REF!,#REF!,#REF!,#REF!,#REF!,#REF!,#REF!,#REF!,#REF!,#REF!</definedName>
    <definedName name="__APW_RESTORE_DATA817__" localSheetId="0" hidden="1">#REF!,#REF!,#REF!,#REF!,#REF!,#REF!,#REF!,#REF!,#REF!,#REF!,#REF!,#REF!,#REF!,#REF!,#REF!</definedName>
    <definedName name="__APW_RESTORE_DATA817__" hidden="1">#REF!,#REF!,#REF!,#REF!,#REF!,#REF!,#REF!,#REF!,#REF!,#REF!,#REF!,#REF!,#REF!,#REF!,#REF!</definedName>
    <definedName name="__APW_RESTORE_DATA818__" localSheetId="0" hidden="1">#REF!,#REF!,#REF!,#REF!,#REF!,#REF!,#REF!,#REF!,#REF!,#REF!,#REF!,#REF!,#REF!,#REF!,#REF!</definedName>
    <definedName name="__APW_RESTORE_DATA818__" hidden="1">#REF!,#REF!,#REF!,#REF!,#REF!,#REF!,#REF!,#REF!,#REF!,#REF!,#REF!,#REF!,#REF!,#REF!,#REF!</definedName>
    <definedName name="__APW_RESTORE_DATA819__" localSheetId="0" hidden="1">#REF!,#REF!,#REF!,#REF!,#REF!,#REF!,#REF!,#REF!,#REF!,#REF!,#REF!,#REF!,#REF!,#REF!,#REF!</definedName>
    <definedName name="__APW_RESTORE_DATA819__" hidden="1">#REF!,#REF!,#REF!,#REF!,#REF!,#REF!,#REF!,#REF!,#REF!,#REF!,#REF!,#REF!,#REF!,#REF!,#REF!</definedName>
    <definedName name="__APW_RESTORE_DATA82__" localSheetId="0" hidden="1">#REF!,#REF!,#REF!,#REF!,#REF!,#REF!,#REF!,#REF!,#REF!,#REF!,#REF!,#REF!,#REF!,#REF!,#REF!</definedName>
    <definedName name="__APW_RESTORE_DATA82__" hidden="1">#REF!,#REF!,#REF!,#REF!,#REF!,#REF!,#REF!,#REF!,#REF!,#REF!,#REF!,#REF!,#REF!,#REF!,#REF!</definedName>
    <definedName name="__APW_RESTORE_DATA820__" localSheetId="0" hidden="1">#REF!,#REF!,#REF!,#REF!,#REF!,#REF!,#REF!,#REF!,#REF!,#REF!,#REF!,#REF!,#REF!,#REF!,#REF!</definedName>
    <definedName name="__APW_RESTORE_DATA820__" hidden="1">#REF!,#REF!,#REF!,#REF!,#REF!,#REF!,#REF!,#REF!,#REF!,#REF!,#REF!,#REF!,#REF!,#REF!,#REF!</definedName>
    <definedName name="__APW_RESTORE_DATA821__" localSheetId="0" hidden="1">#REF!,#REF!,#REF!,#REF!,#REF!,#REF!,#REF!,#REF!,#REF!,#REF!,#REF!,#REF!,#REF!,#REF!,#REF!</definedName>
    <definedName name="__APW_RESTORE_DATA821__" hidden="1">#REF!,#REF!,#REF!,#REF!,#REF!,#REF!,#REF!,#REF!,#REF!,#REF!,#REF!,#REF!,#REF!,#REF!,#REF!</definedName>
    <definedName name="__APW_RESTORE_DATA822__" localSheetId="0" hidden="1">#REF!,#REF!,#REF!,#REF!,#REF!,#REF!,#REF!,#REF!,#REF!,#REF!,#REF!,#REF!,#REF!,#REF!,#REF!</definedName>
    <definedName name="__APW_RESTORE_DATA822__" hidden="1">#REF!,#REF!,#REF!,#REF!,#REF!,#REF!,#REF!,#REF!,#REF!,#REF!,#REF!,#REF!,#REF!,#REF!,#REF!</definedName>
    <definedName name="__APW_RESTORE_DATA823__" localSheetId="0" hidden="1">#REF!,#REF!,#REF!,#REF!,#REF!,#REF!,#REF!,#REF!,#REF!,#REF!,#REF!,#REF!,#REF!,#REF!,#REF!</definedName>
    <definedName name="__APW_RESTORE_DATA823__" hidden="1">#REF!,#REF!,#REF!,#REF!,#REF!,#REF!,#REF!,#REF!,#REF!,#REF!,#REF!,#REF!,#REF!,#REF!,#REF!</definedName>
    <definedName name="__APW_RESTORE_DATA824__" localSheetId="0" hidden="1">#REF!,#REF!,#REF!,#REF!,#REF!,#REF!,#REF!,#REF!,#REF!</definedName>
    <definedName name="__APW_RESTORE_DATA824__" hidden="1">#REF!,#REF!,#REF!,#REF!,#REF!,#REF!,#REF!,#REF!,#REF!</definedName>
    <definedName name="__APW_RESTORE_DATA825__" localSheetId="0" hidden="1">#REF!,#REF!,#REF!,#REF!,#REF!,#REF!,#REF!,#REF!,#REF!,#REF!,#REF!,#REF!,#REF!,#REF!,#REF!,#REF!,#REF!</definedName>
    <definedName name="__APW_RESTORE_DATA825__" hidden="1">#REF!,#REF!,#REF!,#REF!,#REF!,#REF!,#REF!,#REF!,#REF!,#REF!,#REF!,#REF!,#REF!,#REF!,#REF!,#REF!,#REF!</definedName>
    <definedName name="__APW_RESTORE_DATA826__" localSheetId="0" hidden="1">#REF!,#REF!,#REF!,#REF!,#REF!,#REF!,#REF!,#REF!,#REF!,#REF!,#REF!,#REF!,#REF!,#REF!,#REF!,#REF!</definedName>
    <definedName name="__APW_RESTORE_DATA826__" hidden="1">#REF!,#REF!,#REF!,#REF!,#REF!,#REF!,#REF!,#REF!,#REF!,#REF!,#REF!,#REF!,#REF!,#REF!,#REF!,#REF!</definedName>
    <definedName name="__APW_RESTORE_DATA827__" localSheetId="0" hidden="1">#REF!,#REF!,#REF!,#REF!,#REF!,#REF!,#REF!,#REF!,#REF!,#REF!,#REF!,#REF!,#REF!,#REF!,#REF!,#REF!</definedName>
    <definedName name="__APW_RESTORE_DATA827__" hidden="1">#REF!,#REF!,#REF!,#REF!,#REF!,#REF!,#REF!,#REF!,#REF!,#REF!,#REF!,#REF!,#REF!,#REF!,#REF!,#REF!</definedName>
    <definedName name="__APW_RESTORE_DATA828__" localSheetId="0" hidden="1">#REF!,#REF!,#REF!,#REF!,#REF!,#REF!,#REF!,#REF!,#REF!,#REF!,#REF!,#REF!,#REF!,#REF!,#REF!,#REF!</definedName>
    <definedName name="__APW_RESTORE_DATA828__" hidden="1">#REF!,#REF!,#REF!,#REF!,#REF!,#REF!,#REF!,#REF!,#REF!,#REF!,#REF!,#REF!,#REF!,#REF!,#REF!,#REF!</definedName>
    <definedName name="__APW_RESTORE_DATA829__" localSheetId="0" hidden="1">#REF!,#REF!,#REF!,#REF!,#REF!,#REF!,#REF!,#REF!,#REF!,#REF!,#REF!,#REF!,#REF!,#REF!,#REF!,#REF!</definedName>
    <definedName name="__APW_RESTORE_DATA829__" hidden="1">#REF!,#REF!,#REF!,#REF!,#REF!,#REF!,#REF!,#REF!,#REF!,#REF!,#REF!,#REF!,#REF!,#REF!,#REF!,#REF!</definedName>
    <definedName name="__APW_RESTORE_DATA83__" localSheetId="0" hidden="1">#REF!,#REF!,#REF!,#REF!,#REF!,#REF!</definedName>
    <definedName name="__APW_RESTORE_DATA83__" hidden="1">#REF!,#REF!,#REF!,#REF!,#REF!,#REF!</definedName>
    <definedName name="__APW_RESTORE_DATA830__" localSheetId="0" hidden="1">#REF!,#REF!,#REF!,#REF!,#REF!,#REF!,#REF!,#REF!,#REF!,#REF!,#REF!,#REF!,#REF!,#REF!,#REF!,#REF!</definedName>
    <definedName name="__APW_RESTORE_DATA830__" hidden="1">#REF!,#REF!,#REF!,#REF!,#REF!,#REF!,#REF!,#REF!,#REF!,#REF!,#REF!,#REF!,#REF!,#REF!,#REF!,#REF!</definedName>
    <definedName name="__APW_RESTORE_DATA831__" localSheetId="0" hidden="1">#REF!,#REF!,#REF!,#REF!,#REF!,#REF!,#REF!,#REF!,#REF!,#REF!,#REF!,#REF!,#REF!,#REF!,#REF!</definedName>
    <definedName name="__APW_RESTORE_DATA831__" hidden="1">#REF!,#REF!,#REF!,#REF!,#REF!,#REF!,#REF!,#REF!,#REF!,#REF!,#REF!,#REF!,#REF!,#REF!,#REF!</definedName>
    <definedName name="__APW_RESTORE_DATA832__" localSheetId="0" hidden="1">#REF!,#REF!,#REF!,#REF!,#REF!,#REF!,#REF!,#REF!,#REF!,#REF!,#REF!,#REF!,#REF!,#REF!,#REF!</definedName>
    <definedName name="__APW_RESTORE_DATA832__" hidden="1">#REF!,#REF!,#REF!,#REF!,#REF!,#REF!,#REF!,#REF!,#REF!,#REF!,#REF!,#REF!,#REF!,#REF!,#REF!</definedName>
    <definedName name="__APW_RESTORE_DATA833__" localSheetId="0" hidden="1">#REF!,#REF!,#REF!,#REF!,#REF!,#REF!,#REF!,#REF!,#REF!,#REF!,#REF!,#REF!,#REF!,#REF!,#REF!</definedName>
    <definedName name="__APW_RESTORE_DATA833__" hidden="1">#REF!,#REF!,#REF!,#REF!,#REF!,#REF!,#REF!,#REF!,#REF!,#REF!,#REF!,#REF!,#REF!,#REF!,#REF!</definedName>
    <definedName name="__APW_RESTORE_DATA834__" localSheetId="0" hidden="1">#REF!,#REF!,#REF!,#REF!,#REF!,#REF!,#REF!,#REF!,#REF!,#REF!,#REF!,#REF!,#REF!,#REF!,#REF!</definedName>
    <definedName name="__APW_RESTORE_DATA834__" hidden="1">#REF!,#REF!,#REF!,#REF!,#REF!,#REF!,#REF!,#REF!,#REF!,#REF!,#REF!,#REF!,#REF!,#REF!,#REF!</definedName>
    <definedName name="__APW_RESTORE_DATA835__" localSheetId="0" hidden="1">#REF!,#REF!,#REF!,#REF!,#REF!,#REF!,#REF!,#REF!,#REF!,#REF!,#REF!,#REF!,#REF!,#REF!,#REF!</definedName>
    <definedName name="__APW_RESTORE_DATA835__" hidden="1">#REF!,#REF!,#REF!,#REF!,#REF!,#REF!,#REF!,#REF!,#REF!,#REF!,#REF!,#REF!,#REF!,#REF!,#REF!</definedName>
    <definedName name="__APW_RESTORE_DATA836__" localSheetId="0" hidden="1">#REF!,#REF!,#REF!,#REF!,#REF!,#REF!,#REF!,#REF!,#REF!,#REF!,#REF!,#REF!,#REF!,#REF!,#REF!</definedName>
    <definedName name="__APW_RESTORE_DATA836__" hidden="1">#REF!,#REF!,#REF!,#REF!,#REF!,#REF!,#REF!,#REF!,#REF!,#REF!,#REF!,#REF!,#REF!,#REF!,#REF!</definedName>
    <definedName name="__APW_RESTORE_DATA837__" localSheetId="0" hidden="1">#REF!,#REF!,#REF!,#REF!,#REF!,#REF!,#REF!,#REF!,#REF!,#REF!,#REF!,#REF!,#REF!,#REF!,#REF!</definedName>
    <definedName name="__APW_RESTORE_DATA837__" hidden="1">#REF!,#REF!,#REF!,#REF!,#REF!,#REF!,#REF!,#REF!,#REF!,#REF!,#REF!,#REF!,#REF!,#REF!,#REF!</definedName>
    <definedName name="__APW_RESTORE_DATA838__" localSheetId="0" hidden="1">#REF!,#REF!,#REF!,#REF!,#REF!,#REF!,#REF!,#REF!,#REF!,#REF!,#REF!,#REF!,#REF!,#REF!,#REF!</definedName>
    <definedName name="__APW_RESTORE_DATA838__" hidden="1">#REF!,#REF!,#REF!,#REF!,#REF!,#REF!,#REF!,#REF!,#REF!,#REF!,#REF!,#REF!,#REF!,#REF!,#REF!</definedName>
    <definedName name="__APW_RESTORE_DATA839__" localSheetId="0" hidden="1">#REF!,#REF!,#REF!,#REF!,#REF!,#REF!,#REF!,#REF!,#REF!</definedName>
    <definedName name="__APW_RESTORE_DATA839__" hidden="1">#REF!,#REF!,#REF!,#REF!,#REF!,#REF!,#REF!,#REF!,#REF!</definedName>
    <definedName name="__APW_RESTORE_DATA84__" localSheetId="0" hidden="1">#REF!,#REF!,#REF!,#REF!,#REF!,#REF!,#REF!,#REF!,#REF!,#REF!,#REF!,#REF!,#REF!,#REF!,#REF!,#REF!,#REF!</definedName>
    <definedName name="__APW_RESTORE_DATA84__" hidden="1">#REF!,#REF!,#REF!,#REF!,#REF!,#REF!,#REF!,#REF!,#REF!,#REF!,#REF!,#REF!,#REF!,#REF!,#REF!,#REF!,#REF!</definedName>
    <definedName name="__APW_RESTORE_DATA840__" localSheetId="0" hidden="1">#REF!,#REF!,#REF!,#REF!,#REF!,#REF!,#REF!,#REF!,#REF!,#REF!,#REF!,#REF!,#REF!,#REF!,#REF!,#REF!,#REF!</definedName>
    <definedName name="__APW_RESTORE_DATA840__" hidden="1">#REF!,#REF!,#REF!,#REF!,#REF!,#REF!,#REF!,#REF!,#REF!,#REF!,#REF!,#REF!,#REF!,#REF!,#REF!,#REF!,#REF!</definedName>
    <definedName name="__APW_RESTORE_DATA841__" localSheetId="0" hidden="1">#REF!,#REF!,#REF!,#REF!,#REF!,#REF!,#REF!,#REF!,#REF!,#REF!,#REF!,#REF!,#REF!,#REF!,#REF!,#REF!</definedName>
    <definedName name="__APW_RESTORE_DATA841__" hidden="1">#REF!,#REF!,#REF!,#REF!,#REF!,#REF!,#REF!,#REF!,#REF!,#REF!,#REF!,#REF!,#REF!,#REF!,#REF!,#REF!</definedName>
    <definedName name="__APW_RESTORE_DATA842__" localSheetId="0" hidden="1">#REF!,#REF!,#REF!,#REF!,#REF!,#REF!,#REF!,#REF!,#REF!,#REF!,#REF!,#REF!,#REF!,#REF!,#REF!,#REF!</definedName>
    <definedName name="__APW_RESTORE_DATA842__" hidden="1">#REF!,#REF!,#REF!,#REF!,#REF!,#REF!,#REF!,#REF!,#REF!,#REF!,#REF!,#REF!,#REF!,#REF!,#REF!,#REF!</definedName>
    <definedName name="__APW_RESTORE_DATA843__" localSheetId="0" hidden="1">#REF!,#REF!,#REF!,#REF!,#REF!,#REF!,#REF!,#REF!,#REF!,#REF!,#REF!,#REF!,#REF!,#REF!,#REF!,#REF!</definedName>
    <definedName name="__APW_RESTORE_DATA843__" hidden="1">#REF!,#REF!,#REF!,#REF!,#REF!,#REF!,#REF!,#REF!,#REF!,#REF!,#REF!,#REF!,#REF!,#REF!,#REF!,#REF!</definedName>
    <definedName name="__APW_RESTORE_DATA844__" localSheetId="0" hidden="1">#REF!,#REF!,#REF!,#REF!,#REF!,#REF!,#REF!,#REF!,#REF!,#REF!,#REF!,#REF!,#REF!,#REF!,#REF!,#REF!</definedName>
    <definedName name="__APW_RESTORE_DATA844__" hidden="1">#REF!,#REF!,#REF!,#REF!,#REF!,#REF!,#REF!,#REF!,#REF!,#REF!,#REF!,#REF!,#REF!,#REF!,#REF!,#REF!</definedName>
    <definedName name="__APW_RESTORE_DATA845__" localSheetId="0" hidden="1">#REF!,#REF!,#REF!,#REF!,#REF!,#REF!,#REF!,#REF!,#REF!,#REF!,#REF!,#REF!,#REF!,#REF!,#REF!,#REF!</definedName>
    <definedName name="__APW_RESTORE_DATA845__" hidden="1">#REF!,#REF!,#REF!,#REF!,#REF!,#REF!,#REF!,#REF!,#REF!,#REF!,#REF!,#REF!,#REF!,#REF!,#REF!,#REF!</definedName>
    <definedName name="__APW_RESTORE_DATA846__" localSheetId="0" hidden="1">#REF!,#REF!,#REF!,#REF!,#REF!,#REF!,#REF!,#REF!,#REF!,#REF!,#REF!,#REF!,#REF!,#REF!,#REF!</definedName>
    <definedName name="__APW_RESTORE_DATA846__" hidden="1">#REF!,#REF!,#REF!,#REF!,#REF!,#REF!,#REF!,#REF!,#REF!,#REF!,#REF!,#REF!,#REF!,#REF!,#REF!</definedName>
    <definedName name="__APW_RESTORE_DATA847__" localSheetId="0" hidden="1">#REF!,#REF!,#REF!,#REF!,#REF!,#REF!,#REF!,#REF!,#REF!,#REF!,#REF!,#REF!,#REF!,#REF!,#REF!</definedName>
    <definedName name="__APW_RESTORE_DATA847__" hidden="1">#REF!,#REF!,#REF!,#REF!,#REF!,#REF!,#REF!,#REF!,#REF!,#REF!,#REF!,#REF!,#REF!,#REF!,#REF!</definedName>
    <definedName name="__APW_RESTORE_DATA848__" localSheetId="0" hidden="1">#REF!,#REF!,#REF!,#REF!,#REF!,#REF!,#REF!,#REF!,#REF!,#REF!,#REF!,#REF!,#REF!,#REF!,#REF!</definedName>
    <definedName name="__APW_RESTORE_DATA848__" hidden="1">#REF!,#REF!,#REF!,#REF!,#REF!,#REF!,#REF!,#REF!,#REF!,#REF!,#REF!,#REF!,#REF!,#REF!,#REF!</definedName>
    <definedName name="__APW_RESTORE_DATA849__" localSheetId="0" hidden="1">#REF!,#REF!,#REF!,#REF!,#REF!,#REF!,#REF!,#REF!,#REF!,#REF!,#REF!,#REF!,#REF!,#REF!,#REF!</definedName>
    <definedName name="__APW_RESTORE_DATA849__" hidden="1">#REF!,#REF!,#REF!,#REF!,#REF!,#REF!,#REF!,#REF!,#REF!,#REF!,#REF!,#REF!,#REF!,#REF!,#REF!</definedName>
    <definedName name="__APW_RESTORE_DATA85__" localSheetId="0" hidden="1">#REF!,#REF!,#REF!,#REF!,#REF!,#REF!,#REF!,#REF!,#REF!,#REF!,#REF!,#REF!,#REF!,#REF!,#REF!,#REF!</definedName>
    <definedName name="__APW_RESTORE_DATA85__" hidden="1">#REF!,#REF!,#REF!,#REF!,#REF!,#REF!,#REF!,#REF!,#REF!,#REF!,#REF!,#REF!,#REF!,#REF!,#REF!,#REF!</definedName>
    <definedName name="__APW_RESTORE_DATA850__" localSheetId="0" hidden="1">#REF!,#REF!,#REF!,#REF!,#REF!,#REF!,#REF!,#REF!,#REF!,#REF!,#REF!,#REF!,#REF!,#REF!,#REF!</definedName>
    <definedName name="__APW_RESTORE_DATA850__" hidden="1">#REF!,#REF!,#REF!,#REF!,#REF!,#REF!,#REF!,#REF!,#REF!,#REF!,#REF!,#REF!,#REF!,#REF!,#REF!</definedName>
    <definedName name="__APW_RESTORE_DATA851__" localSheetId="0" hidden="1">#REF!,#REF!,#REF!,#REF!,#REF!,#REF!,#REF!,#REF!,#REF!,#REF!,#REF!,#REF!,#REF!,#REF!,#REF!</definedName>
    <definedName name="__APW_RESTORE_DATA851__" hidden="1">#REF!,#REF!,#REF!,#REF!,#REF!,#REF!,#REF!,#REF!,#REF!,#REF!,#REF!,#REF!,#REF!,#REF!,#REF!</definedName>
    <definedName name="__APW_RESTORE_DATA852__" localSheetId="0" hidden="1">#REF!,#REF!,#REF!,#REF!,#REF!,#REF!,#REF!,#REF!,#REF!,#REF!,#REF!,#REF!,#REF!,#REF!,#REF!</definedName>
    <definedName name="__APW_RESTORE_DATA852__" hidden="1">#REF!,#REF!,#REF!,#REF!,#REF!,#REF!,#REF!,#REF!,#REF!,#REF!,#REF!,#REF!,#REF!,#REF!,#REF!</definedName>
    <definedName name="__APW_RESTORE_DATA853__" localSheetId="0" hidden="1">#REF!,#REF!,#REF!,#REF!,#REF!,#REF!,#REF!,#REF!,#REF!,#REF!,#REF!,#REF!,#REF!,#REF!,#REF!</definedName>
    <definedName name="__APW_RESTORE_DATA853__" hidden="1">#REF!,#REF!,#REF!,#REF!,#REF!,#REF!,#REF!,#REF!,#REF!,#REF!,#REF!,#REF!,#REF!,#REF!,#REF!</definedName>
    <definedName name="__APW_RESTORE_DATA854__" localSheetId="0" hidden="1">#REF!,#REF!,#REF!,#REF!,#REF!,#REF!,#REF!,#REF!,#REF!</definedName>
    <definedName name="__APW_RESTORE_DATA854__" hidden="1">#REF!,#REF!,#REF!,#REF!,#REF!,#REF!,#REF!,#REF!,#REF!</definedName>
    <definedName name="__APW_RESTORE_DATA855__" localSheetId="0" hidden="1">#REF!,#REF!,#REF!,#REF!,#REF!,#REF!,#REF!,#REF!,#REF!,#REF!,#REF!,#REF!,#REF!,#REF!,#REF!,#REF!,#REF!</definedName>
    <definedName name="__APW_RESTORE_DATA855__" hidden="1">#REF!,#REF!,#REF!,#REF!,#REF!,#REF!,#REF!,#REF!,#REF!,#REF!,#REF!,#REF!,#REF!,#REF!,#REF!,#REF!,#REF!</definedName>
    <definedName name="__APW_RESTORE_DATA856__" localSheetId="0" hidden="1">#REF!,#REF!,#REF!,#REF!,#REF!,#REF!,#REF!,#REF!,#REF!,#REF!,#REF!,#REF!,#REF!,#REF!,#REF!,#REF!</definedName>
    <definedName name="__APW_RESTORE_DATA856__" hidden="1">#REF!,#REF!,#REF!,#REF!,#REF!,#REF!,#REF!,#REF!,#REF!,#REF!,#REF!,#REF!,#REF!,#REF!,#REF!,#REF!</definedName>
    <definedName name="__APW_RESTORE_DATA857__" localSheetId="0" hidden="1">#REF!,#REF!,#REF!,#REF!,#REF!,#REF!,#REF!,#REF!,#REF!,#REF!,#REF!,#REF!,#REF!,#REF!,#REF!,#REF!</definedName>
    <definedName name="__APW_RESTORE_DATA857__" hidden="1">#REF!,#REF!,#REF!,#REF!,#REF!,#REF!,#REF!,#REF!,#REF!,#REF!,#REF!,#REF!,#REF!,#REF!,#REF!,#REF!</definedName>
    <definedName name="__APW_RESTORE_DATA858__" localSheetId="0" hidden="1">#REF!,#REF!,#REF!,#REF!,#REF!,#REF!,#REF!,#REF!,#REF!,#REF!,#REF!,#REF!,#REF!,#REF!,#REF!,#REF!</definedName>
    <definedName name="__APW_RESTORE_DATA858__" hidden="1">#REF!,#REF!,#REF!,#REF!,#REF!,#REF!,#REF!,#REF!,#REF!,#REF!,#REF!,#REF!,#REF!,#REF!,#REF!,#REF!</definedName>
    <definedName name="__APW_RESTORE_DATA859__" localSheetId="0" hidden="1">#REF!,#REF!,#REF!,#REF!,#REF!,#REF!,#REF!,#REF!,#REF!,#REF!,#REF!,#REF!,#REF!,#REF!,#REF!,#REF!</definedName>
    <definedName name="__APW_RESTORE_DATA859__" hidden="1">#REF!,#REF!,#REF!,#REF!,#REF!,#REF!,#REF!,#REF!,#REF!,#REF!,#REF!,#REF!,#REF!,#REF!,#REF!,#REF!</definedName>
    <definedName name="__APW_RESTORE_DATA86__" localSheetId="0" hidden="1">#REF!,#REF!,#REF!,#REF!,#REF!,#REF!,#REF!,#REF!,#REF!,#REF!,#REF!,#REF!,#REF!,#REF!,#REF!,#REF!</definedName>
    <definedName name="__APW_RESTORE_DATA86__" hidden="1">#REF!,#REF!,#REF!,#REF!,#REF!,#REF!,#REF!,#REF!,#REF!,#REF!,#REF!,#REF!,#REF!,#REF!,#REF!,#REF!</definedName>
    <definedName name="__APW_RESTORE_DATA860__" localSheetId="0" hidden="1">#REF!,#REF!,#REF!,#REF!,#REF!,#REF!,#REF!,#REF!,#REF!,#REF!,#REF!,#REF!,#REF!,#REF!,#REF!,#REF!</definedName>
    <definedName name="__APW_RESTORE_DATA860__" hidden="1">#REF!,#REF!,#REF!,#REF!,#REF!,#REF!,#REF!,#REF!,#REF!,#REF!,#REF!,#REF!,#REF!,#REF!,#REF!,#REF!</definedName>
    <definedName name="__APW_RESTORE_DATA861__" localSheetId="0" hidden="1">#REF!,#REF!,#REF!,#REF!,#REF!,#REF!,#REF!,#REF!,#REF!,#REF!,#REF!,#REF!,#REF!,#REF!,#REF!</definedName>
    <definedName name="__APW_RESTORE_DATA861__" hidden="1">#REF!,#REF!,#REF!,#REF!,#REF!,#REF!,#REF!,#REF!,#REF!,#REF!,#REF!,#REF!,#REF!,#REF!,#REF!</definedName>
    <definedName name="__APW_RESTORE_DATA862__" localSheetId="0" hidden="1">#REF!,#REF!,#REF!,#REF!,#REF!,#REF!,#REF!,#REF!,#REF!,#REF!,#REF!,#REF!,#REF!,#REF!,#REF!</definedName>
    <definedName name="__APW_RESTORE_DATA862__" hidden="1">#REF!,#REF!,#REF!,#REF!,#REF!,#REF!,#REF!,#REF!,#REF!,#REF!,#REF!,#REF!,#REF!,#REF!,#REF!</definedName>
    <definedName name="__APW_RESTORE_DATA863__" localSheetId="0" hidden="1">#REF!,#REF!,#REF!,#REF!,#REF!,#REF!,#REF!,#REF!,#REF!,#REF!,#REF!,#REF!,#REF!,#REF!,#REF!</definedName>
    <definedName name="__APW_RESTORE_DATA863__" hidden="1">#REF!,#REF!,#REF!,#REF!,#REF!,#REF!,#REF!,#REF!,#REF!,#REF!,#REF!,#REF!,#REF!,#REF!,#REF!</definedName>
    <definedName name="__APW_RESTORE_DATA864__" localSheetId="0" hidden="1">#REF!,#REF!,#REF!,#REF!,#REF!,#REF!,#REF!,#REF!,#REF!,#REF!,#REF!,#REF!,#REF!,#REF!,#REF!</definedName>
    <definedName name="__APW_RESTORE_DATA864__" hidden="1">#REF!,#REF!,#REF!,#REF!,#REF!,#REF!,#REF!,#REF!,#REF!,#REF!,#REF!,#REF!,#REF!,#REF!,#REF!</definedName>
    <definedName name="__APW_RESTORE_DATA865__" localSheetId="0" hidden="1">#REF!,#REF!,#REF!,#REF!,#REF!,#REF!,#REF!,#REF!,#REF!,#REF!,#REF!,#REF!,#REF!,#REF!,#REF!</definedName>
    <definedName name="__APW_RESTORE_DATA865__" hidden="1">#REF!,#REF!,#REF!,#REF!,#REF!,#REF!,#REF!,#REF!,#REF!,#REF!,#REF!,#REF!,#REF!,#REF!,#REF!</definedName>
    <definedName name="__APW_RESTORE_DATA866__" localSheetId="0" hidden="1">#REF!,#REF!,#REF!,#REF!,#REF!,#REF!,#REF!,#REF!,#REF!,#REF!,#REF!,#REF!,#REF!,#REF!,#REF!</definedName>
    <definedName name="__APW_RESTORE_DATA866__" hidden="1">#REF!,#REF!,#REF!,#REF!,#REF!,#REF!,#REF!,#REF!,#REF!,#REF!,#REF!,#REF!,#REF!,#REF!,#REF!</definedName>
    <definedName name="__APW_RESTORE_DATA867__" localSheetId="0" hidden="1">#REF!,#REF!,#REF!,#REF!,#REF!,#REF!,#REF!,#REF!,#REF!,#REF!,#REF!,#REF!,#REF!,#REF!,#REF!</definedName>
    <definedName name="__APW_RESTORE_DATA867__" hidden="1">#REF!,#REF!,#REF!,#REF!,#REF!,#REF!,#REF!,#REF!,#REF!,#REF!,#REF!,#REF!,#REF!,#REF!,#REF!</definedName>
    <definedName name="__APW_RESTORE_DATA868__" localSheetId="0" hidden="1">#REF!,#REF!,#REF!,#REF!,#REF!,#REF!,#REF!,#REF!,#REF!,#REF!,#REF!,#REF!,#REF!,#REF!,#REF!</definedName>
    <definedName name="__APW_RESTORE_DATA868__" hidden="1">#REF!,#REF!,#REF!,#REF!,#REF!,#REF!,#REF!,#REF!,#REF!,#REF!,#REF!,#REF!,#REF!,#REF!,#REF!</definedName>
    <definedName name="__APW_RESTORE_DATA869__" localSheetId="0" hidden="1">#REF!,#REF!,#REF!,#REF!,#REF!,#REF!,#REF!,#REF!,#REF!</definedName>
    <definedName name="__APW_RESTORE_DATA869__" hidden="1">#REF!,#REF!,#REF!,#REF!,#REF!,#REF!,#REF!,#REF!,#REF!</definedName>
    <definedName name="__APW_RESTORE_DATA87__" localSheetId="0" hidden="1">#REF!,#REF!,#REF!,#REF!,#REF!,#REF!,#REF!,#REF!,#REF!,#REF!,#REF!,#REF!,#REF!,#REF!,#REF!,#REF!</definedName>
    <definedName name="__APW_RESTORE_DATA87__" hidden="1">#REF!,#REF!,#REF!,#REF!,#REF!,#REF!,#REF!,#REF!,#REF!,#REF!,#REF!,#REF!,#REF!,#REF!,#REF!,#REF!</definedName>
    <definedName name="__APW_RESTORE_DATA870__" localSheetId="0" hidden="1">#REF!,#REF!,#REF!,#REF!,#REF!,#REF!,#REF!,#REF!,#REF!,#REF!,#REF!,#REF!,#REF!,#REF!,#REF!,#REF!,#REF!</definedName>
    <definedName name="__APW_RESTORE_DATA870__" hidden="1">#REF!,#REF!,#REF!,#REF!,#REF!,#REF!,#REF!,#REF!,#REF!,#REF!,#REF!,#REF!,#REF!,#REF!,#REF!,#REF!,#REF!</definedName>
    <definedName name="__APW_RESTORE_DATA871__" localSheetId="0" hidden="1">#REF!,#REF!,#REF!,#REF!,#REF!,#REF!,#REF!,#REF!,#REF!,#REF!,#REF!,#REF!,#REF!,#REF!,#REF!,#REF!</definedName>
    <definedName name="__APW_RESTORE_DATA871__" hidden="1">#REF!,#REF!,#REF!,#REF!,#REF!,#REF!,#REF!,#REF!,#REF!,#REF!,#REF!,#REF!,#REF!,#REF!,#REF!,#REF!</definedName>
    <definedName name="__APW_RESTORE_DATA872__" localSheetId="0" hidden="1">#REF!,#REF!,#REF!,#REF!,#REF!,#REF!,#REF!,#REF!,#REF!,#REF!,#REF!,#REF!,#REF!,#REF!,#REF!,#REF!</definedName>
    <definedName name="__APW_RESTORE_DATA872__" hidden="1">#REF!,#REF!,#REF!,#REF!,#REF!,#REF!,#REF!,#REF!,#REF!,#REF!,#REF!,#REF!,#REF!,#REF!,#REF!,#REF!</definedName>
    <definedName name="__APW_RESTORE_DATA873__" localSheetId="0" hidden="1">#REF!,#REF!,#REF!,#REF!,#REF!,#REF!,#REF!,#REF!,#REF!,#REF!,#REF!,#REF!,#REF!,#REF!,#REF!,#REF!</definedName>
    <definedName name="__APW_RESTORE_DATA873__" hidden="1">#REF!,#REF!,#REF!,#REF!,#REF!,#REF!,#REF!,#REF!,#REF!,#REF!,#REF!,#REF!,#REF!,#REF!,#REF!,#REF!</definedName>
    <definedName name="__APW_RESTORE_DATA874__" localSheetId="0" hidden="1">#REF!,#REF!,#REF!,#REF!,#REF!,#REF!,#REF!,#REF!,#REF!,#REF!,#REF!,#REF!,#REF!,#REF!,#REF!,#REF!</definedName>
    <definedName name="__APW_RESTORE_DATA874__" hidden="1">#REF!,#REF!,#REF!,#REF!,#REF!,#REF!,#REF!,#REF!,#REF!,#REF!,#REF!,#REF!,#REF!,#REF!,#REF!,#REF!</definedName>
    <definedName name="__APW_RESTORE_DATA875__" localSheetId="0" hidden="1">#REF!,#REF!,#REF!,#REF!,#REF!,#REF!,#REF!,#REF!,#REF!,#REF!,#REF!,#REF!,#REF!,#REF!,#REF!,#REF!</definedName>
    <definedName name="__APW_RESTORE_DATA875__" hidden="1">#REF!,#REF!,#REF!,#REF!,#REF!,#REF!,#REF!,#REF!,#REF!,#REF!,#REF!,#REF!,#REF!,#REF!,#REF!,#REF!</definedName>
    <definedName name="__APW_RESTORE_DATA876__" localSheetId="0" hidden="1">#REF!,#REF!,#REF!,#REF!,#REF!,#REF!,#REF!,#REF!,#REF!,#REF!,#REF!,#REF!,#REF!,#REF!,#REF!</definedName>
    <definedName name="__APW_RESTORE_DATA876__" hidden="1">#REF!,#REF!,#REF!,#REF!,#REF!,#REF!,#REF!,#REF!,#REF!,#REF!,#REF!,#REF!,#REF!,#REF!,#REF!</definedName>
    <definedName name="__APW_RESTORE_DATA877__" localSheetId="0" hidden="1">#REF!,#REF!,#REF!,#REF!,#REF!,#REF!,#REF!,#REF!,#REF!,#REF!,#REF!,#REF!,#REF!,#REF!,#REF!</definedName>
    <definedName name="__APW_RESTORE_DATA877__" hidden="1">#REF!,#REF!,#REF!,#REF!,#REF!,#REF!,#REF!,#REF!,#REF!,#REF!,#REF!,#REF!,#REF!,#REF!,#REF!</definedName>
    <definedName name="__APW_RESTORE_DATA878__" localSheetId="0" hidden="1">#REF!,#REF!,#REF!,#REF!,#REF!,#REF!,#REF!,#REF!,#REF!,#REF!,#REF!,#REF!,#REF!,#REF!,#REF!</definedName>
    <definedName name="__APW_RESTORE_DATA878__" hidden="1">#REF!,#REF!,#REF!,#REF!,#REF!,#REF!,#REF!,#REF!,#REF!,#REF!,#REF!,#REF!,#REF!,#REF!,#REF!</definedName>
    <definedName name="__APW_RESTORE_DATA879__" localSheetId="0" hidden="1">#REF!,#REF!,#REF!,#REF!,#REF!,#REF!,#REF!,#REF!,#REF!,#REF!,#REF!,#REF!,#REF!,#REF!,#REF!</definedName>
    <definedName name="__APW_RESTORE_DATA879__" hidden="1">#REF!,#REF!,#REF!,#REF!,#REF!,#REF!,#REF!,#REF!,#REF!,#REF!,#REF!,#REF!,#REF!,#REF!,#REF!</definedName>
    <definedName name="__APW_RESTORE_DATA88__" localSheetId="0" hidden="1">#REF!,#REF!,#REF!,#REF!,#REF!,#REF!,#REF!,#REF!,#REF!,#REF!,#REF!,#REF!,#REF!,#REF!,#REF!,#REF!</definedName>
    <definedName name="__APW_RESTORE_DATA88__" hidden="1">#REF!,#REF!,#REF!,#REF!,#REF!,#REF!,#REF!,#REF!,#REF!,#REF!,#REF!,#REF!,#REF!,#REF!,#REF!,#REF!</definedName>
    <definedName name="__APW_RESTORE_DATA880__" localSheetId="0" hidden="1">#REF!,#REF!,#REF!,#REF!,#REF!,#REF!,#REF!,#REF!,#REF!,#REF!,#REF!,#REF!,#REF!,#REF!,#REF!</definedName>
    <definedName name="__APW_RESTORE_DATA880__" hidden="1">#REF!,#REF!,#REF!,#REF!,#REF!,#REF!,#REF!,#REF!,#REF!,#REF!,#REF!,#REF!,#REF!,#REF!,#REF!</definedName>
    <definedName name="__APW_RESTORE_DATA881__" localSheetId="0" hidden="1">#REF!,#REF!,#REF!,#REF!,#REF!,#REF!,#REF!,#REF!,#REF!,#REF!,#REF!,#REF!,#REF!,#REF!,#REF!</definedName>
    <definedName name="__APW_RESTORE_DATA881__" hidden="1">#REF!,#REF!,#REF!,#REF!,#REF!,#REF!,#REF!,#REF!,#REF!,#REF!,#REF!,#REF!,#REF!,#REF!,#REF!</definedName>
    <definedName name="__APW_RESTORE_DATA882__" localSheetId="0" hidden="1">#REF!,#REF!,#REF!,#REF!,#REF!,#REF!,#REF!,#REF!,#REF!,#REF!,#REF!,#REF!,#REF!,#REF!,#REF!</definedName>
    <definedName name="__APW_RESTORE_DATA882__" hidden="1">#REF!,#REF!,#REF!,#REF!,#REF!,#REF!,#REF!,#REF!,#REF!,#REF!,#REF!,#REF!,#REF!,#REF!,#REF!</definedName>
    <definedName name="__APW_RESTORE_DATA883__" localSheetId="0" hidden="1">#REF!,#REF!,#REF!,#REF!,#REF!,#REF!,#REF!,#REF!,#REF!,#REF!,#REF!,#REF!,#REF!,#REF!,#REF!</definedName>
    <definedName name="__APW_RESTORE_DATA883__" hidden="1">#REF!,#REF!,#REF!,#REF!,#REF!,#REF!,#REF!,#REF!,#REF!,#REF!,#REF!,#REF!,#REF!,#REF!,#REF!</definedName>
    <definedName name="__APW_RESTORE_DATA884__" localSheetId="0" hidden="1">#REF!,#REF!,#REF!,#REF!,#REF!,#REF!,#REF!,#REF!,#REF!</definedName>
    <definedName name="__APW_RESTORE_DATA884__" hidden="1">#REF!,#REF!,#REF!,#REF!,#REF!,#REF!,#REF!,#REF!,#REF!</definedName>
    <definedName name="__APW_RESTORE_DATA885__" localSheetId="0" hidden="1">#REF!,#REF!,#REF!,#REF!,#REF!,#REF!,#REF!,#REF!,#REF!,#REF!,#REF!,#REF!,#REF!,#REF!,#REF!,#REF!,#REF!</definedName>
    <definedName name="__APW_RESTORE_DATA885__" hidden="1">#REF!,#REF!,#REF!,#REF!,#REF!,#REF!,#REF!,#REF!,#REF!,#REF!,#REF!,#REF!,#REF!,#REF!,#REF!,#REF!,#REF!</definedName>
    <definedName name="__APW_RESTORE_DATA886__" localSheetId="0" hidden="1">#REF!,#REF!,#REF!,#REF!,#REF!,#REF!,#REF!,#REF!,#REF!,#REF!,#REF!,#REF!,#REF!,#REF!,#REF!,#REF!</definedName>
    <definedName name="__APW_RESTORE_DATA886__" hidden="1">#REF!,#REF!,#REF!,#REF!,#REF!,#REF!,#REF!,#REF!,#REF!,#REF!,#REF!,#REF!,#REF!,#REF!,#REF!,#REF!</definedName>
    <definedName name="__APW_RESTORE_DATA887__" localSheetId="0" hidden="1">#REF!,#REF!,#REF!,#REF!,#REF!,#REF!,#REF!,#REF!,#REF!,#REF!,#REF!,#REF!,#REF!,#REF!,#REF!,#REF!</definedName>
    <definedName name="__APW_RESTORE_DATA887__" hidden="1">#REF!,#REF!,#REF!,#REF!,#REF!,#REF!,#REF!,#REF!,#REF!,#REF!,#REF!,#REF!,#REF!,#REF!,#REF!,#REF!</definedName>
    <definedName name="__APW_RESTORE_DATA888__" localSheetId="0" hidden="1">#REF!,#REF!,#REF!,#REF!,#REF!,#REF!,#REF!,#REF!,#REF!,#REF!,#REF!,#REF!,#REF!,#REF!,#REF!,#REF!</definedName>
    <definedName name="__APW_RESTORE_DATA888__" hidden="1">#REF!,#REF!,#REF!,#REF!,#REF!,#REF!,#REF!,#REF!,#REF!,#REF!,#REF!,#REF!,#REF!,#REF!,#REF!,#REF!</definedName>
    <definedName name="__APW_RESTORE_DATA889__" localSheetId="0" hidden="1">#REF!,#REF!,#REF!,#REF!,#REF!,#REF!,#REF!,#REF!,#REF!,#REF!,#REF!,#REF!,#REF!,#REF!,#REF!,#REF!</definedName>
    <definedName name="__APW_RESTORE_DATA889__" hidden="1">#REF!,#REF!,#REF!,#REF!,#REF!,#REF!,#REF!,#REF!,#REF!,#REF!,#REF!,#REF!,#REF!,#REF!,#REF!,#REF!</definedName>
    <definedName name="__APW_RESTORE_DATA89__" localSheetId="0" hidden="1">#REF!,#REF!,#REF!,#REF!,#REF!,#REF!,#REF!,#REF!,#REF!,#REF!,#REF!,#REF!,#REF!,#REF!,#REF!,#REF!</definedName>
    <definedName name="__APW_RESTORE_DATA89__" hidden="1">#REF!,#REF!,#REF!,#REF!,#REF!,#REF!,#REF!,#REF!,#REF!,#REF!,#REF!,#REF!,#REF!,#REF!,#REF!,#REF!</definedName>
    <definedName name="__APW_RESTORE_DATA890__" localSheetId="0" hidden="1">#REF!,#REF!,#REF!,#REF!,#REF!,#REF!,#REF!,#REF!,#REF!,#REF!,#REF!,#REF!,#REF!,#REF!,#REF!,#REF!</definedName>
    <definedName name="__APW_RESTORE_DATA890__" hidden="1">#REF!,#REF!,#REF!,#REF!,#REF!,#REF!,#REF!,#REF!,#REF!,#REF!,#REF!,#REF!,#REF!,#REF!,#REF!,#REF!</definedName>
    <definedName name="__APW_RESTORE_DATA891__" localSheetId="0" hidden="1">#REF!,#REF!,#REF!,#REF!,#REF!,#REF!,#REF!,#REF!,#REF!,#REF!,#REF!,#REF!,#REF!,#REF!,#REF!</definedName>
    <definedName name="__APW_RESTORE_DATA891__" hidden="1">#REF!,#REF!,#REF!,#REF!,#REF!,#REF!,#REF!,#REF!,#REF!,#REF!,#REF!,#REF!,#REF!,#REF!,#REF!</definedName>
    <definedName name="__APW_RESTORE_DATA892__" localSheetId="0" hidden="1">#REF!,#REF!,#REF!,#REF!,#REF!,#REF!,#REF!,#REF!,#REF!,#REF!,#REF!,#REF!,#REF!,#REF!,#REF!</definedName>
    <definedName name="__APW_RESTORE_DATA892__" hidden="1">#REF!,#REF!,#REF!,#REF!,#REF!,#REF!,#REF!,#REF!,#REF!,#REF!,#REF!,#REF!,#REF!,#REF!,#REF!</definedName>
    <definedName name="__APW_RESTORE_DATA893__" localSheetId="0" hidden="1">#REF!,#REF!,#REF!,#REF!,#REF!,#REF!,#REF!,#REF!,#REF!,#REF!,#REF!,#REF!,#REF!,#REF!,#REF!</definedName>
    <definedName name="__APW_RESTORE_DATA893__" hidden="1">#REF!,#REF!,#REF!,#REF!,#REF!,#REF!,#REF!,#REF!,#REF!,#REF!,#REF!,#REF!,#REF!,#REF!,#REF!</definedName>
    <definedName name="__APW_RESTORE_DATA894__" localSheetId="0" hidden="1">#REF!,#REF!,#REF!,#REF!,#REF!,#REF!,#REF!,#REF!,#REF!,#REF!,#REF!,#REF!,#REF!,#REF!,#REF!</definedName>
    <definedName name="__APW_RESTORE_DATA894__" hidden="1">#REF!,#REF!,#REF!,#REF!,#REF!,#REF!,#REF!,#REF!,#REF!,#REF!,#REF!,#REF!,#REF!,#REF!,#REF!</definedName>
    <definedName name="__APW_RESTORE_DATA895__" localSheetId="0" hidden="1">#REF!,#REF!,#REF!,#REF!,#REF!,#REF!,#REF!,#REF!,#REF!,#REF!,#REF!,#REF!,#REF!,#REF!,#REF!</definedName>
    <definedName name="__APW_RESTORE_DATA895__" hidden="1">#REF!,#REF!,#REF!,#REF!,#REF!,#REF!,#REF!,#REF!,#REF!,#REF!,#REF!,#REF!,#REF!,#REF!,#REF!</definedName>
    <definedName name="__APW_RESTORE_DATA896__" localSheetId="0" hidden="1">#REF!,#REF!,#REF!,#REF!,#REF!,#REF!,#REF!,#REF!,#REF!,#REF!,#REF!,#REF!,#REF!,#REF!,#REF!</definedName>
    <definedName name="__APW_RESTORE_DATA896__" hidden="1">#REF!,#REF!,#REF!,#REF!,#REF!,#REF!,#REF!,#REF!,#REF!,#REF!,#REF!,#REF!,#REF!,#REF!,#REF!</definedName>
    <definedName name="__APW_RESTORE_DATA897__" localSheetId="0" hidden="1">#REF!,#REF!,#REF!,#REF!,#REF!,#REF!,#REF!,#REF!,#REF!,#REF!,#REF!,#REF!,#REF!,#REF!,#REF!</definedName>
    <definedName name="__APW_RESTORE_DATA897__" hidden="1">#REF!,#REF!,#REF!,#REF!,#REF!,#REF!,#REF!,#REF!,#REF!,#REF!,#REF!,#REF!,#REF!,#REF!,#REF!</definedName>
    <definedName name="__APW_RESTORE_DATA898__" localSheetId="0" hidden="1">#REF!,#REF!,#REF!,#REF!,#REF!,#REF!,#REF!,#REF!,#REF!,#REF!,#REF!,#REF!,#REF!,#REF!,#REF!</definedName>
    <definedName name="__APW_RESTORE_DATA898__" hidden="1">#REF!,#REF!,#REF!,#REF!,#REF!,#REF!,#REF!,#REF!,#REF!,#REF!,#REF!,#REF!,#REF!,#REF!,#REF!</definedName>
    <definedName name="__APW_RESTORE_DATA899__" localSheetId="0" hidden="1">#REF!,#REF!,#REF!,#REF!,#REF!,#REF!,#REF!,#REF!,#REF!</definedName>
    <definedName name="__APW_RESTORE_DATA899__" hidden="1">#REF!,#REF!,#REF!,#REF!,#REF!,#REF!,#REF!,#REF!,#REF!</definedName>
    <definedName name="__APW_RESTORE_DATA9__" localSheetId="0" hidden="1">#REF!,#REF!,#REF!,#REF!,#REF!,#REF!,#REF!,#REF!,#REF!,#REF!,#REF!,#REF!,#REF!,#REF!,#REF!</definedName>
    <definedName name="__APW_RESTORE_DATA9__" hidden="1">#REF!,#REF!,#REF!,#REF!,#REF!,#REF!,#REF!,#REF!,#REF!,#REF!,#REF!,#REF!,#REF!,#REF!,#REF!</definedName>
    <definedName name="__APW_RESTORE_DATA90__" localSheetId="0" hidden="1">#REF!,#REF!,#REF!,#REF!,#REF!,#REF!,#REF!,#REF!,#REF!,#REF!,#REF!,#REF!,#REF!,#REF!,#REF!</definedName>
    <definedName name="__APW_RESTORE_DATA90__" hidden="1">#REF!,#REF!,#REF!,#REF!,#REF!,#REF!,#REF!,#REF!,#REF!,#REF!,#REF!,#REF!,#REF!,#REF!,#REF!</definedName>
    <definedName name="__APW_RESTORE_DATA900__" localSheetId="0" hidden="1">#REF!,#REF!,#REF!,#REF!,#REF!,#REF!,#REF!,#REF!,#REF!,#REF!,#REF!,#REF!,#REF!,#REF!,#REF!,#REF!,#REF!</definedName>
    <definedName name="__APW_RESTORE_DATA900__" hidden="1">#REF!,#REF!,#REF!,#REF!,#REF!,#REF!,#REF!,#REF!,#REF!,#REF!,#REF!,#REF!,#REF!,#REF!,#REF!,#REF!,#REF!</definedName>
    <definedName name="__APW_RESTORE_DATA901__" localSheetId="0" hidden="1">#REF!,#REF!,#REF!,#REF!,#REF!,#REF!,#REF!,#REF!,#REF!,#REF!,#REF!,#REF!,#REF!,#REF!,#REF!,#REF!</definedName>
    <definedName name="__APW_RESTORE_DATA901__" hidden="1">#REF!,#REF!,#REF!,#REF!,#REF!,#REF!,#REF!,#REF!,#REF!,#REF!,#REF!,#REF!,#REF!,#REF!,#REF!,#REF!</definedName>
    <definedName name="__APW_RESTORE_DATA902__" localSheetId="0" hidden="1">#REF!,#REF!,#REF!,#REF!,#REF!,#REF!,#REF!,#REF!,#REF!,#REF!,#REF!,#REF!,#REF!,#REF!,#REF!,#REF!</definedName>
    <definedName name="__APW_RESTORE_DATA902__" hidden="1">#REF!,#REF!,#REF!,#REF!,#REF!,#REF!,#REF!,#REF!,#REF!,#REF!,#REF!,#REF!,#REF!,#REF!,#REF!,#REF!</definedName>
    <definedName name="__APW_RESTORE_DATA903__" localSheetId="0" hidden="1">#REF!,#REF!,#REF!,#REF!,#REF!,#REF!,#REF!,#REF!,#REF!,#REF!,#REF!,#REF!,#REF!,#REF!,#REF!,#REF!</definedName>
    <definedName name="__APW_RESTORE_DATA903__" hidden="1">#REF!,#REF!,#REF!,#REF!,#REF!,#REF!,#REF!,#REF!,#REF!,#REF!,#REF!,#REF!,#REF!,#REF!,#REF!,#REF!</definedName>
    <definedName name="__APW_RESTORE_DATA904__" localSheetId="0" hidden="1">#REF!,#REF!,#REF!,#REF!,#REF!,#REF!,#REF!,#REF!,#REF!,#REF!,#REF!,#REF!,#REF!,#REF!,#REF!,#REF!</definedName>
    <definedName name="__APW_RESTORE_DATA904__" hidden="1">#REF!,#REF!,#REF!,#REF!,#REF!,#REF!,#REF!,#REF!,#REF!,#REF!,#REF!,#REF!,#REF!,#REF!,#REF!,#REF!</definedName>
    <definedName name="__APW_RESTORE_DATA905__" localSheetId="0" hidden="1">#REF!,#REF!,#REF!,#REF!,#REF!,#REF!,#REF!,#REF!,#REF!,#REF!,#REF!,#REF!,#REF!,#REF!,#REF!,#REF!</definedName>
    <definedName name="__APW_RESTORE_DATA905__" hidden="1">#REF!,#REF!,#REF!,#REF!,#REF!,#REF!,#REF!,#REF!,#REF!,#REF!,#REF!,#REF!,#REF!,#REF!,#REF!,#REF!</definedName>
    <definedName name="__APW_RESTORE_DATA906__" localSheetId="0" hidden="1">#REF!,#REF!,#REF!,#REF!,#REF!,#REF!,#REF!,#REF!,#REF!,#REF!,#REF!,#REF!,#REF!,#REF!,#REF!</definedName>
    <definedName name="__APW_RESTORE_DATA906__" hidden="1">#REF!,#REF!,#REF!,#REF!,#REF!,#REF!,#REF!,#REF!,#REF!,#REF!,#REF!,#REF!,#REF!,#REF!,#REF!</definedName>
    <definedName name="__APW_RESTORE_DATA907__" localSheetId="0" hidden="1">#REF!,#REF!,#REF!,#REF!,#REF!,#REF!,#REF!,#REF!,#REF!,#REF!,#REF!,#REF!,#REF!,#REF!,#REF!</definedName>
    <definedName name="__APW_RESTORE_DATA907__" hidden="1">#REF!,#REF!,#REF!,#REF!,#REF!,#REF!,#REF!,#REF!,#REF!,#REF!,#REF!,#REF!,#REF!,#REF!,#REF!</definedName>
    <definedName name="__APW_RESTORE_DATA908__" localSheetId="0" hidden="1">#REF!,#REF!,#REF!,#REF!,#REF!,#REF!,#REF!,#REF!,#REF!,#REF!,#REF!,#REF!,#REF!,#REF!,#REF!</definedName>
    <definedName name="__APW_RESTORE_DATA908__" hidden="1">#REF!,#REF!,#REF!,#REF!,#REF!,#REF!,#REF!,#REF!,#REF!,#REF!,#REF!,#REF!,#REF!,#REF!,#REF!</definedName>
    <definedName name="__APW_RESTORE_DATA909__" localSheetId="0" hidden="1">#REF!,#REF!,#REF!,#REF!,#REF!,#REF!,#REF!,#REF!,#REF!,#REF!,#REF!,#REF!,#REF!,#REF!,#REF!</definedName>
    <definedName name="__APW_RESTORE_DATA909__" hidden="1">#REF!,#REF!,#REF!,#REF!,#REF!,#REF!,#REF!,#REF!,#REF!,#REF!,#REF!,#REF!,#REF!,#REF!,#REF!</definedName>
    <definedName name="__APW_RESTORE_DATA91__" localSheetId="0" hidden="1">#REF!,#REF!,#REF!,#REF!,#REF!,#REF!,#REF!,#REF!,#REF!,#REF!,#REF!,#REF!,#REF!,#REF!,#REF!</definedName>
    <definedName name="__APW_RESTORE_DATA91__" hidden="1">#REF!,#REF!,#REF!,#REF!,#REF!,#REF!,#REF!,#REF!,#REF!,#REF!,#REF!,#REF!,#REF!,#REF!,#REF!</definedName>
    <definedName name="__APW_RESTORE_DATA910__" localSheetId="0" hidden="1">#REF!,#REF!,#REF!,#REF!,#REF!,#REF!,#REF!,#REF!,#REF!,#REF!,#REF!,#REF!,#REF!,#REF!,#REF!</definedName>
    <definedName name="__APW_RESTORE_DATA910__" hidden="1">#REF!,#REF!,#REF!,#REF!,#REF!,#REF!,#REF!,#REF!,#REF!,#REF!,#REF!,#REF!,#REF!,#REF!,#REF!</definedName>
    <definedName name="__APW_RESTORE_DATA911__" localSheetId="0" hidden="1">#REF!,#REF!,#REF!,#REF!,#REF!,#REF!,#REF!,#REF!,#REF!,#REF!,#REF!,#REF!,#REF!,#REF!,#REF!</definedName>
    <definedName name="__APW_RESTORE_DATA911__" hidden="1">#REF!,#REF!,#REF!,#REF!,#REF!,#REF!,#REF!,#REF!,#REF!,#REF!,#REF!,#REF!,#REF!,#REF!,#REF!</definedName>
    <definedName name="__APW_RESTORE_DATA912__" localSheetId="0" hidden="1">#REF!,#REF!,#REF!,#REF!,#REF!,#REF!,#REF!,#REF!,#REF!,#REF!,#REF!,#REF!,#REF!,#REF!,#REF!</definedName>
    <definedName name="__APW_RESTORE_DATA912__" hidden="1">#REF!,#REF!,#REF!,#REF!,#REF!,#REF!,#REF!,#REF!,#REF!,#REF!,#REF!,#REF!,#REF!,#REF!,#REF!</definedName>
    <definedName name="__APW_RESTORE_DATA913__" localSheetId="0" hidden="1">#REF!,#REF!,#REF!,#REF!,#REF!,#REF!,#REF!,#REF!,#REF!,#REF!,#REF!,#REF!,#REF!,#REF!,#REF!</definedName>
    <definedName name="__APW_RESTORE_DATA913__" hidden="1">#REF!,#REF!,#REF!,#REF!,#REF!,#REF!,#REF!,#REF!,#REF!,#REF!,#REF!,#REF!,#REF!,#REF!,#REF!</definedName>
    <definedName name="__APW_RESTORE_DATA914__" localSheetId="0" hidden="1">#REF!,#REF!,#REF!,#REF!,#REF!,#REF!,#REF!,#REF!,#REF!</definedName>
    <definedName name="__APW_RESTORE_DATA914__" hidden="1">#REF!,#REF!,#REF!,#REF!,#REF!,#REF!,#REF!,#REF!,#REF!</definedName>
    <definedName name="__APW_RESTORE_DATA915__" localSheetId="0" hidden="1">#REF!,#REF!,#REF!,#REF!,#REF!,#REF!,#REF!,#REF!,#REF!,#REF!,#REF!,#REF!,#REF!,#REF!,#REF!,#REF!,#REF!</definedName>
    <definedName name="__APW_RESTORE_DATA915__" hidden="1">#REF!,#REF!,#REF!,#REF!,#REF!,#REF!,#REF!,#REF!,#REF!,#REF!,#REF!,#REF!,#REF!,#REF!,#REF!,#REF!,#REF!</definedName>
    <definedName name="__APW_RESTORE_DATA916__" localSheetId="0" hidden="1">#REF!,#REF!,#REF!,#REF!,#REF!,#REF!,#REF!,#REF!,#REF!,#REF!,#REF!,#REF!,#REF!,#REF!,#REF!,#REF!</definedName>
    <definedName name="__APW_RESTORE_DATA916__" hidden="1">#REF!,#REF!,#REF!,#REF!,#REF!,#REF!,#REF!,#REF!,#REF!,#REF!,#REF!,#REF!,#REF!,#REF!,#REF!,#REF!</definedName>
    <definedName name="__APW_RESTORE_DATA917__" localSheetId="0" hidden="1">#REF!,#REF!,#REF!,#REF!,#REF!,#REF!,#REF!,#REF!,#REF!,#REF!,#REF!,#REF!,#REF!,#REF!,#REF!,#REF!</definedName>
    <definedName name="__APW_RESTORE_DATA917__" hidden="1">#REF!,#REF!,#REF!,#REF!,#REF!,#REF!,#REF!,#REF!,#REF!,#REF!,#REF!,#REF!,#REF!,#REF!,#REF!,#REF!</definedName>
    <definedName name="__APW_RESTORE_DATA918__" localSheetId="0" hidden="1">#REF!,#REF!,#REF!,#REF!,#REF!,#REF!,#REF!,#REF!,#REF!,#REF!,#REF!,#REF!,#REF!,#REF!,#REF!,#REF!</definedName>
    <definedName name="__APW_RESTORE_DATA918__" hidden="1">#REF!,#REF!,#REF!,#REF!,#REF!,#REF!,#REF!,#REF!,#REF!,#REF!,#REF!,#REF!,#REF!,#REF!,#REF!,#REF!</definedName>
    <definedName name="__APW_RESTORE_DATA919__" localSheetId="0" hidden="1">#REF!,#REF!,#REF!,#REF!,#REF!,#REF!,#REF!,#REF!,#REF!,#REF!,#REF!,#REF!,#REF!,#REF!,#REF!,#REF!</definedName>
    <definedName name="__APW_RESTORE_DATA919__" hidden="1">#REF!,#REF!,#REF!,#REF!,#REF!,#REF!,#REF!,#REF!,#REF!,#REF!,#REF!,#REF!,#REF!,#REF!,#REF!,#REF!</definedName>
    <definedName name="__APW_RESTORE_DATA92__" localSheetId="0" hidden="1">#REF!,#REF!,#REF!,#REF!,#REF!,#REF!,#REF!,#REF!,#REF!,#REF!,#REF!,#REF!,#REF!,#REF!,#REF!</definedName>
    <definedName name="__APW_RESTORE_DATA92__" hidden="1">#REF!,#REF!,#REF!,#REF!,#REF!,#REF!,#REF!,#REF!,#REF!,#REF!,#REF!,#REF!,#REF!,#REF!,#REF!</definedName>
    <definedName name="__APW_RESTORE_DATA920__" localSheetId="0" hidden="1">#REF!,#REF!,#REF!,#REF!,#REF!,#REF!,#REF!,#REF!,#REF!,#REF!,#REF!,#REF!,#REF!,#REF!,#REF!,#REF!</definedName>
    <definedName name="__APW_RESTORE_DATA920__" hidden="1">#REF!,#REF!,#REF!,#REF!,#REF!,#REF!,#REF!,#REF!,#REF!,#REF!,#REF!,#REF!,#REF!,#REF!,#REF!,#REF!</definedName>
    <definedName name="__APW_RESTORE_DATA921__" localSheetId="0" hidden="1">#REF!,#REF!,#REF!,#REF!,#REF!,#REF!,#REF!,#REF!,#REF!,#REF!,#REF!,#REF!,#REF!,#REF!,#REF!</definedName>
    <definedName name="__APW_RESTORE_DATA921__" hidden="1">#REF!,#REF!,#REF!,#REF!,#REF!,#REF!,#REF!,#REF!,#REF!,#REF!,#REF!,#REF!,#REF!,#REF!,#REF!</definedName>
    <definedName name="__APW_RESTORE_DATA922__" localSheetId="0" hidden="1">#REF!,#REF!,#REF!,#REF!,#REF!,#REF!,#REF!,#REF!,#REF!,#REF!,#REF!,#REF!,#REF!,#REF!,#REF!</definedName>
    <definedName name="__APW_RESTORE_DATA922__" hidden="1">#REF!,#REF!,#REF!,#REF!,#REF!,#REF!,#REF!,#REF!,#REF!,#REF!,#REF!,#REF!,#REF!,#REF!,#REF!</definedName>
    <definedName name="__APW_RESTORE_DATA923__" localSheetId="0" hidden="1">#REF!,#REF!,#REF!,#REF!,#REF!,#REF!,#REF!,#REF!,#REF!,#REF!,#REF!,#REF!,#REF!,#REF!,#REF!</definedName>
    <definedName name="__APW_RESTORE_DATA923__" hidden="1">#REF!,#REF!,#REF!,#REF!,#REF!,#REF!,#REF!,#REF!,#REF!,#REF!,#REF!,#REF!,#REF!,#REF!,#REF!</definedName>
    <definedName name="__APW_RESTORE_DATA924__" localSheetId="0" hidden="1">#REF!,#REF!,#REF!,#REF!,#REF!,#REF!,#REF!,#REF!,#REF!,#REF!,#REF!,#REF!,#REF!,#REF!,#REF!</definedName>
    <definedName name="__APW_RESTORE_DATA924__" hidden="1">#REF!,#REF!,#REF!,#REF!,#REF!,#REF!,#REF!,#REF!,#REF!,#REF!,#REF!,#REF!,#REF!,#REF!,#REF!</definedName>
    <definedName name="__APW_RESTORE_DATA925__" localSheetId="0" hidden="1">#REF!,#REF!,#REF!,#REF!,#REF!,#REF!,#REF!,#REF!,#REF!,#REF!,#REF!,#REF!,#REF!,#REF!,#REF!</definedName>
    <definedName name="__APW_RESTORE_DATA925__" hidden="1">#REF!,#REF!,#REF!,#REF!,#REF!,#REF!,#REF!,#REF!,#REF!,#REF!,#REF!,#REF!,#REF!,#REF!,#REF!</definedName>
    <definedName name="__APW_RESTORE_DATA926__" localSheetId="0" hidden="1">#REF!,#REF!,#REF!,#REF!,#REF!,#REF!,#REF!,#REF!,#REF!,#REF!,#REF!,#REF!,#REF!,#REF!,#REF!</definedName>
    <definedName name="__APW_RESTORE_DATA926__" hidden="1">#REF!,#REF!,#REF!,#REF!,#REF!,#REF!,#REF!,#REF!,#REF!,#REF!,#REF!,#REF!,#REF!,#REF!,#REF!</definedName>
    <definedName name="__APW_RESTORE_DATA927__" localSheetId="0" hidden="1">#REF!,#REF!,#REF!,#REF!,#REF!,#REF!,#REF!,#REF!,#REF!,#REF!,#REF!,#REF!,#REF!,#REF!,#REF!</definedName>
    <definedName name="__APW_RESTORE_DATA927__" hidden="1">#REF!,#REF!,#REF!,#REF!,#REF!,#REF!,#REF!,#REF!,#REF!,#REF!,#REF!,#REF!,#REF!,#REF!,#REF!</definedName>
    <definedName name="__APW_RESTORE_DATA928__" localSheetId="0" hidden="1">#REF!,#REF!,#REF!,#REF!,#REF!,#REF!,#REF!,#REF!,#REF!,#REF!,#REF!,#REF!,#REF!,#REF!,#REF!</definedName>
    <definedName name="__APW_RESTORE_DATA928__" hidden="1">#REF!,#REF!,#REF!,#REF!,#REF!,#REF!,#REF!,#REF!,#REF!,#REF!,#REF!,#REF!,#REF!,#REF!,#REF!</definedName>
    <definedName name="__APW_RESTORE_DATA929__" localSheetId="0" hidden="1">#REF!,#REF!,#REF!,#REF!,#REF!,#REF!,#REF!,#REF!,#REF!</definedName>
    <definedName name="__APW_RESTORE_DATA929__" hidden="1">#REF!,#REF!,#REF!,#REF!,#REF!,#REF!,#REF!,#REF!,#REF!</definedName>
    <definedName name="__APW_RESTORE_DATA93__" localSheetId="0" hidden="1">#REF!,#REF!,#REF!,#REF!,#REF!,#REF!,#REF!,#REF!,#REF!,#REF!,#REF!,#REF!,#REF!,#REF!,#REF!</definedName>
    <definedName name="__APW_RESTORE_DATA93__" hidden="1">#REF!,#REF!,#REF!,#REF!,#REF!,#REF!,#REF!,#REF!,#REF!,#REF!,#REF!,#REF!,#REF!,#REF!,#REF!</definedName>
    <definedName name="__APW_RESTORE_DATA930__" localSheetId="0" hidden="1">#REF!,#REF!,#REF!,#REF!,#REF!,#REF!,#REF!,#REF!,#REF!,#REF!,#REF!,#REF!,#REF!,#REF!,#REF!,#REF!,#REF!</definedName>
    <definedName name="__APW_RESTORE_DATA930__" hidden="1">#REF!,#REF!,#REF!,#REF!,#REF!,#REF!,#REF!,#REF!,#REF!,#REF!,#REF!,#REF!,#REF!,#REF!,#REF!,#REF!,#REF!</definedName>
    <definedName name="__APW_RESTORE_DATA931__" localSheetId="0" hidden="1">#REF!,#REF!,#REF!,#REF!,#REF!,#REF!,#REF!,#REF!,#REF!,#REF!,#REF!,#REF!,#REF!,#REF!,#REF!,#REF!</definedName>
    <definedName name="__APW_RESTORE_DATA931__" hidden="1">#REF!,#REF!,#REF!,#REF!,#REF!,#REF!,#REF!,#REF!,#REF!,#REF!,#REF!,#REF!,#REF!,#REF!,#REF!,#REF!</definedName>
    <definedName name="__APW_RESTORE_DATA932__" localSheetId="0" hidden="1">#REF!,#REF!,#REF!,#REF!,#REF!,#REF!,#REF!,#REF!,#REF!,#REF!,#REF!,#REF!,#REF!,#REF!,#REF!,#REF!</definedName>
    <definedName name="__APW_RESTORE_DATA932__" hidden="1">#REF!,#REF!,#REF!,#REF!,#REF!,#REF!,#REF!,#REF!,#REF!,#REF!,#REF!,#REF!,#REF!,#REF!,#REF!,#REF!</definedName>
    <definedName name="__APW_RESTORE_DATA933__" localSheetId="0" hidden="1">#REF!,#REF!,#REF!,#REF!,#REF!,#REF!,#REF!,#REF!,#REF!,#REF!,#REF!,#REF!,#REF!,#REF!,#REF!,#REF!</definedName>
    <definedName name="__APW_RESTORE_DATA933__" hidden="1">#REF!,#REF!,#REF!,#REF!,#REF!,#REF!,#REF!,#REF!,#REF!,#REF!,#REF!,#REF!,#REF!,#REF!,#REF!,#REF!</definedName>
    <definedName name="__APW_RESTORE_DATA934__" localSheetId="0" hidden="1">#REF!,#REF!,#REF!,#REF!,#REF!,#REF!,#REF!,#REF!,#REF!,#REF!,#REF!,#REF!,#REF!,#REF!,#REF!,#REF!</definedName>
    <definedName name="__APW_RESTORE_DATA934__" hidden="1">#REF!,#REF!,#REF!,#REF!,#REF!,#REF!,#REF!,#REF!,#REF!,#REF!,#REF!,#REF!,#REF!,#REF!,#REF!,#REF!</definedName>
    <definedName name="__APW_RESTORE_DATA935__" localSheetId="0" hidden="1">#REF!,#REF!,#REF!,#REF!,#REF!,#REF!,#REF!,#REF!,#REF!,#REF!,#REF!,#REF!,#REF!,#REF!,#REF!,#REF!</definedName>
    <definedName name="__APW_RESTORE_DATA935__" hidden="1">#REF!,#REF!,#REF!,#REF!,#REF!,#REF!,#REF!,#REF!,#REF!,#REF!,#REF!,#REF!,#REF!,#REF!,#REF!,#REF!</definedName>
    <definedName name="__APW_RESTORE_DATA936__" localSheetId="0" hidden="1">#REF!,#REF!,#REF!,#REF!,#REF!,#REF!,#REF!,#REF!,#REF!,#REF!,#REF!,#REF!,#REF!,#REF!,#REF!</definedName>
    <definedName name="__APW_RESTORE_DATA936__" hidden="1">#REF!,#REF!,#REF!,#REF!,#REF!,#REF!,#REF!,#REF!,#REF!,#REF!,#REF!,#REF!,#REF!,#REF!,#REF!</definedName>
    <definedName name="__APW_RESTORE_DATA937__" localSheetId="0" hidden="1">#REF!,#REF!,#REF!,#REF!,#REF!,#REF!,#REF!,#REF!,#REF!,#REF!,#REF!,#REF!,#REF!,#REF!,#REF!</definedName>
    <definedName name="__APW_RESTORE_DATA937__" hidden="1">#REF!,#REF!,#REF!,#REF!,#REF!,#REF!,#REF!,#REF!,#REF!,#REF!,#REF!,#REF!,#REF!,#REF!,#REF!</definedName>
    <definedName name="__APW_RESTORE_DATA938__" localSheetId="0" hidden="1">#REF!,#REF!,#REF!,#REF!,#REF!,#REF!,#REF!,#REF!,#REF!,#REF!,#REF!,#REF!,#REF!,#REF!,#REF!</definedName>
    <definedName name="__APW_RESTORE_DATA938__" hidden="1">#REF!,#REF!,#REF!,#REF!,#REF!,#REF!,#REF!,#REF!,#REF!,#REF!,#REF!,#REF!,#REF!,#REF!,#REF!</definedName>
    <definedName name="__APW_RESTORE_DATA939__" localSheetId="0" hidden="1">#REF!,#REF!,#REF!,#REF!,#REF!,#REF!,#REF!,#REF!,#REF!,#REF!,#REF!,#REF!,#REF!,#REF!,#REF!</definedName>
    <definedName name="__APW_RESTORE_DATA939__" hidden="1">#REF!,#REF!,#REF!,#REF!,#REF!,#REF!,#REF!,#REF!,#REF!,#REF!,#REF!,#REF!,#REF!,#REF!,#REF!</definedName>
    <definedName name="__APW_RESTORE_DATA94__" localSheetId="0" hidden="1">#REF!,#REF!,#REF!,#REF!,#REF!,#REF!,#REF!,#REF!,#REF!,#REF!,#REF!,#REF!,#REF!,#REF!,#REF!</definedName>
    <definedName name="__APW_RESTORE_DATA94__" hidden="1">#REF!,#REF!,#REF!,#REF!,#REF!,#REF!,#REF!,#REF!,#REF!,#REF!,#REF!,#REF!,#REF!,#REF!,#REF!</definedName>
    <definedName name="__APW_RESTORE_DATA940__" localSheetId="0" hidden="1">#REF!,#REF!,#REF!,#REF!,#REF!,#REF!,#REF!,#REF!,#REF!,#REF!,#REF!,#REF!,#REF!,#REF!,#REF!</definedName>
    <definedName name="__APW_RESTORE_DATA940__" hidden="1">#REF!,#REF!,#REF!,#REF!,#REF!,#REF!,#REF!,#REF!,#REF!,#REF!,#REF!,#REF!,#REF!,#REF!,#REF!</definedName>
    <definedName name="__APW_RESTORE_DATA941__" localSheetId="0" hidden="1">#REF!,#REF!,#REF!,#REF!,#REF!,#REF!,#REF!,#REF!,#REF!,#REF!,#REF!,#REF!,#REF!,#REF!,#REF!</definedName>
    <definedName name="__APW_RESTORE_DATA941__" hidden="1">#REF!,#REF!,#REF!,#REF!,#REF!,#REF!,#REF!,#REF!,#REF!,#REF!,#REF!,#REF!,#REF!,#REF!,#REF!</definedName>
    <definedName name="__APW_RESTORE_DATA942__" localSheetId="0" hidden="1">#REF!,#REF!,#REF!,#REF!,#REF!,#REF!,#REF!,#REF!,#REF!,#REF!,#REF!,#REF!,#REF!,#REF!,#REF!</definedName>
    <definedName name="__APW_RESTORE_DATA942__" hidden="1">#REF!,#REF!,#REF!,#REF!,#REF!,#REF!,#REF!,#REF!,#REF!,#REF!,#REF!,#REF!,#REF!,#REF!,#REF!</definedName>
    <definedName name="__APW_RESTORE_DATA943__" localSheetId="0" hidden="1">#REF!,#REF!,#REF!,#REF!,#REF!,#REF!,#REF!,#REF!,#REF!,#REF!,#REF!,#REF!,#REF!,#REF!,#REF!</definedName>
    <definedName name="__APW_RESTORE_DATA943__" hidden="1">#REF!,#REF!,#REF!,#REF!,#REF!,#REF!,#REF!,#REF!,#REF!,#REF!,#REF!,#REF!,#REF!,#REF!,#REF!</definedName>
    <definedName name="__APW_RESTORE_DATA944__" localSheetId="0" hidden="1">#REF!,#REF!,#REF!,#REF!,#REF!,#REF!,#REF!,#REF!,#REF!</definedName>
    <definedName name="__APW_RESTORE_DATA944__" hidden="1">#REF!,#REF!,#REF!,#REF!,#REF!,#REF!,#REF!,#REF!,#REF!</definedName>
    <definedName name="__APW_RESTORE_DATA945__" localSheetId="0" hidden="1">#REF!,#REF!,#REF!,#REF!,#REF!,#REF!,#REF!,#REF!,#REF!,#REF!,#REF!,#REF!,#REF!,#REF!,#REF!,#REF!,#REF!</definedName>
    <definedName name="__APW_RESTORE_DATA945__" hidden="1">#REF!,#REF!,#REF!,#REF!,#REF!,#REF!,#REF!,#REF!,#REF!,#REF!,#REF!,#REF!,#REF!,#REF!,#REF!,#REF!,#REF!</definedName>
    <definedName name="__APW_RESTORE_DATA946__" localSheetId="0" hidden="1">#REF!,#REF!,#REF!,#REF!,#REF!,#REF!,#REF!,#REF!,#REF!,#REF!,#REF!,#REF!,#REF!,#REF!,#REF!,#REF!</definedName>
    <definedName name="__APW_RESTORE_DATA946__" hidden="1">#REF!,#REF!,#REF!,#REF!,#REF!,#REF!,#REF!,#REF!,#REF!,#REF!,#REF!,#REF!,#REF!,#REF!,#REF!,#REF!</definedName>
    <definedName name="__APW_RESTORE_DATA947__" localSheetId="0" hidden="1">#REF!,#REF!,#REF!,#REF!,#REF!,#REF!,#REF!,#REF!,#REF!,#REF!,#REF!,#REF!,#REF!,#REF!,#REF!,#REF!</definedName>
    <definedName name="__APW_RESTORE_DATA947__" hidden="1">#REF!,#REF!,#REF!,#REF!,#REF!,#REF!,#REF!,#REF!,#REF!,#REF!,#REF!,#REF!,#REF!,#REF!,#REF!,#REF!</definedName>
    <definedName name="__APW_RESTORE_DATA948__" localSheetId="0" hidden="1">#REF!,#REF!,#REF!,#REF!,#REF!,#REF!,#REF!,#REF!,#REF!,#REF!,#REF!,#REF!,#REF!,#REF!,#REF!,#REF!</definedName>
    <definedName name="__APW_RESTORE_DATA948__" hidden="1">#REF!,#REF!,#REF!,#REF!,#REF!,#REF!,#REF!,#REF!,#REF!,#REF!,#REF!,#REF!,#REF!,#REF!,#REF!,#REF!</definedName>
    <definedName name="__APW_RESTORE_DATA949__" localSheetId="0" hidden="1">#REF!,#REF!,#REF!,#REF!,#REF!,#REF!,#REF!,#REF!,#REF!,#REF!,#REF!,#REF!,#REF!,#REF!,#REF!,#REF!</definedName>
    <definedName name="__APW_RESTORE_DATA949__" hidden="1">#REF!,#REF!,#REF!,#REF!,#REF!,#REF!,#REF!,#REF!,#REF!,#REF!,#REF!,#REF!,#REF!,#REF!,#REF!,#REF!</definedName>
    <definedName name="__APW_RESTORE_DATA95__" localSheetId="0" hidden="1">#REF!,#REF!,#REF!,#REF!,#REF!,#REF!</definedName>
    <definedName name="__APW_RESTORE_DATA95__" hidden="1">#REF!,#REF!,#REF!,#REF!,#REF!,#REF!</definedName>
    <definedName name="__APW_RESTORE_DATA950__" localSheetId="0" hidden="1">#REF!,#REF!,#REF!,#REF!,#REF!,#REF!,#REF!,#REF!,#REF!,#REF!,#REF!,#REF!,#REF!,#REF!,#REF!,#REF!</definedName>
    <definedName name="__APW_RESTORE_DATA950__" hidden="1">#REF!,#REF!,#REF!,#REF!,#REF!,#REF!,#REF!,#REF!,#REF!,#REF!,#REF!,#REF!,#REF!,#REF!,#REF!,#REF!</definedName>
    <definedName name="__APW_RESTORE_DATA951__" localSheetId="0" hidden="1">#REF!,#REF!,#REF!,#REF!,#REF!,#REF!,#REF!,#REF!,#REF!,#REF!,#REF!,#REF!,#REF!,#REF!,#REF!</definedName>
    <definedName name="__APW_RESTORE_DATA951__" hidden="1">#REF!,#REF!,#REF!,#REF!,#REF!,#REF!,#REF!,#REF!,#REF!,#REF!,#REF!,#REF!,#REF!,#REF!,#REF!</definedName>
    <definedName name="__APW_RESTORE_DATA952__" localSheetId="0" hidden="1">#REF!,#REF!,#REF!,#REF!,#REF!,#REF!,#REF!,#REF!,#REF!,#REF!,#REF!,#REF!,#REF!,#REF!,#REF!</definedName>
    <definedName name="__APW_RESTORE_DATA952__" hidden="1">#REF!,#REF!,#REF!,#REF!,#REF!,#REF!,#REF!,#REF!,#REF!,#REF!,#REF!,#REF!,#REF!,#REF!,#REF!</definedName>
    <definedName name="__APW_RESTORE_DATA953__" localSheetId="0" hidden="1">#REF!,#REF!,#REF!,#REF!,#REF!,#REF!,#REF!,#REF!,#REF!,#REF!,#REF!,#REF!,#REF!,#REF!,#REF!</definedName>
    <definedName name="__APW_RESTORE_DATA953__" hidden="1">#REF!,#REF!,#REF!,#REF!,#REF!,#REF!,#REF!,#REF!,#REF!,#REF!,#REF!,#REF!,#REF!,#REF!,#REF!</definedName>
    <definedName name="__APW_RESTORE_DATA954__" localSheetId="0" hidden="1">#REF!,#REF!,#REF!,#REF!,#REF!,#REF!,#REF!,#REF!,#REF!,#REF!,#REF!,#REF!,#REF!,#REF!,#REF!</definedName>
    <definedName name="__APW_RESTORE_DATA954__" hidden="1">#REF!,#REF!,#REF!,#REF!,#REF!,#REF!,#REF!,#REF!,#REF!,#REF!,#REF!,#REF!,#REF!,#REF!,#REF!</definedName>
    <definedName name="__APW_RESTORE_DATA955__" localSheetId="0" hidden="1">#REF!,#REF!,#REF!,#REF!,#REF!,#REF!,#REF!,#REF!,#REF!,#REF!,#REF!,#REF!,#REF!,#REF!,#REF!</definedName>
    <definedName name="__APW_RESTORE_DATA955__" hidden="1">#REF!,#REF!,#REF!,#REF!,#REF!,#REF!,#REF!,#REF!,#REF!,#REF!,#REF!,#REF!,#REF!,#REF!,#REF!</definedName>
    <definedName name="__APW_RESTORE_DATA956__" localSheetId="0" hidden="1">#REF!,#REF!,#REF!,#REF!,#REF!,#REF!,#REF!,#REF!,#REF!,#REF!,#REF!,#REF!,#REF!,#REF!,#REF!</definedName>
    <definedName name="__APW_RESTORE_DATA956__" hidden="1">#REF!,#REF!,#REF!,#REF!,#REF!,#REF!,#REF!,#REF!,#REF!,#REF!,#REF!,#REF!,#REF!,#REF!,#REF!</definedName>
    <definedName name="__APW_RESTORE_DATA957__" localSheetId="0" hidden="1">#REF!,#REF!,#REF!,#REF!,#REF!,#REF!,#REF!,#REF!,#REF!,#REF!,#REF!,#REF!,#REF!,#REF!,#REF!</definedName>
    <definedName name="__APW_RESTORE_DATA957__" hidden="1">#REF!,#REF!,#REF!,#REF!,#REF!,#REF!,#REF!,#REF!,#REF!,#REF!,#REF!,#REF!,#REF!,#REF!,#REF!</definedName>
    <definedName name="__APW_RESTORE_DATA958__" localSheetId="0" hidden="1">#REF!,#REF!,#REF!,#REF!,#REF!,#REF!,#REF!,#REF!,#REF!,#REF!,#REF!,#REF!,#REF!,#REF!,#REF!</definedName>
    <definedName name="__APW_RESTORE_DATA958__" hidden="1">#REF!,#REF!,#REF!,#REF!,#REF!,#REF!,#REF!,#REF!,#REF!,#REF!,#REF!,#REF!,#REF!,#REF!,#REF!</definedName>
    <definedName name="__APW_RESTORE_DATA959__" localSheetId="0" hidden="1">#REF!,#REF!,#REF!,#REF!,#REF!,#REF!,#REF!,#REF!,#REF!</definedName>
    <definedName name="__APW_RESTORE_DATA959__" hidden="1">#REF!,#REF!,#REF!,#REF!,#REF!,#REF!,#REF!,#REF!,#REF!</definedName>
    <definedName name="__APW_RESTORE_DATA96__" localSheetId="0" hidden="1">#REF!,#REF!,#REF!,#REF!,#REF!,#REF!,#REF!,#REF!,#REF!,#REF!,#REF!,#REF!,#REF!,#REF!,#REF!,#REF!,#REF!</definedName>
    <definedName name="__APW_RESTORE_DATA96__" hidden="1">#REF!,#REF!,#REF!,#REF!,#REF!,#REF!,#REF!,#REF!,#REF!,#REF!,#REF!,#REF!,#REF!,#REF!,#REF!,#REF!,#REF!</definedName>
    <definedName name="__APW_RESTORE_DATA960__" localSheetId="0" hidden="1">#REF!,#REF!,#REF!,#REF!,#REF!,#REF!,#REF!,#REF!,#REF!,#REF!,#REF!,#REF!,#REF!,#REF!,#REF!,#REF!</definedName>
    <definedName name="__APW_RESTORE_DATA960__" hidden="1">#REF!,#REF!,#REF!,#REF!,#REF!,#REF!,#REF!,#REF!,#REF!,#REF!,#REF!,#REF!,#REF!,#REF!,#REF!,#REF!</definedName>
    <definedName name="__APW_RESTORE_DATA961__" localSheetId="0" hidden="1">#REF!,#REF!,#REF!,#REF!,#REF!,#REF!,#REF!,#REF!,#REF!,#REF!,#REF!,#REF!,#REF!,#REF!,#REF!</definedName>
    <definedName name="__APW_RESTORE_DATA961__" hidden="1">#REF!,#REF!,#REF!,#REF!,#REF!,#REF!,#REF!,#REF!,#REF!,#REF!,#REF!,#REF!,#REF!,#REF!,#REF!</definedName>
    <definedName name="__APW_RESTORE_DATA962__" localSheetId="0" hidden="1">#REF!,#REF!,#REF!,#REF!,#REF!,#REF!,#REF!,#REF!,#REF!,#REF!,#REF!,#REF!,#REF!,#REF!,#REF!</definedName>
    <definedName name="__APW_RESTORE_DATA962__" hidden="1">#REF!,#REF!,#REF!,#REF!,#REF!,#REF!,#REF!,#REF!,#REF!,#REF!,#REF!,#REF!,#REF!,#REF!,#REF!</definedName>
    <definedName name="__APW_RESTORE_DATA963__" localSheetId="0" hidden="1">#REF!,#REF!,#REF!,#REF!,#REF!,#REF!,#REF!,#REF!,#REF!,#REF!,#REF!,#REF!,#REF!,#REF!,#REF!</definedName>
    <definedName name="__APW_RESTORE_DATA963__" hidden="1">#REF!,#REF!,#REF!,#REF!,#REF!,#REF!,#REF!,#REF!,#REF!,#REF!,#REF!,#REF!,#REF!,#REF!,#REF!</definedName>
    <definedName name="__APW_RESTORE_DATA964__" localSheetId="0" hidden="1">#REF!,#REF!,#REF!,#REF!,#REF!,#REF!,#REF!,#REF!,#REF!,#REF!,#REF!,#REF!,#REF!,#REF!,#REF!</definedName>
    <definedName name="__APW_RESTORE_DATA964__" hidden="1">#REF!,#REF!,#REF!,#REF!,#REF!,#REF!,#REF!,#REF!,#REF!,#REF!,#REF!,#REF!,#REF!,#REF!,#REF!</definedName>
    <definedName name="__APW_RESTORE_DATA965__" localSheetId="0" hidden="1">#REF!,#REF!,#REF!,#REF!,#REF!,#REF!,#REF!,#REF!,#REF!,#REF!,#REF!,#REF!,#REF!,#REF!,#REF!</definedName>
    <definedName name="__APW_RESTORE_DATA965__" hidden="1">#REF!,#REF!,#REF!,#REF!,#REF!,#REF!,#REF!,#REF!,#REF!,#REF!,#REF!,#REF!,#REF!,#REF!,#REF!</definedName>
    <definedName name="__APW_RESTORE_DATA966__" localSheetId="0" hidden="1">#REF!,#REF!,#REF!,#REF!,#REF!,#REF!,#REF!,#REF!,#REF!,#REF!,#REF!,#REF!,#REF!,#REF!,#REF!</definedName>
    <definedName name="__APW_RESTORE_DATA966__" hidden="1">#REF!,#REF!,#REF!,#REF!,#REF!,#REF!,#REF!,#REF!,#REF!,#REF!,#REF!,#REF!,#REF!,#REF!,#REF!</definedName>
    <definedName name="__APW_RESTORE_DATA967__" localSheetId="0" hidden="1">#REF!,#REF!,#REF!,#REF!,#REF!,#REF!,#REF!,#REF!,#REF!,#REF!,#REF!,#REF!,#REF!,#REF!</definedName>
    <definedName name="__APW_RESTORE_DATA967__" hidden="1">#REF!,#REF!,#REF!,#REF!,#REF!,#REF!,#REF!,#REF!,#REF!,#REF!,#REF!,#REF!,#REF!,#REF!</definedName>
    <definedName name="__APW_RESTORE_DATA968__" localSheetId="0" hidden="1">#REF!,#REF!,#REF!,#REF!,#REF!,#REF!,#REF!,#REF!,#REF!,#REF!,#REF!,#REF!,#REF!,#REF!</definedName>
    <definedName name="__APW_RESTORE_DATA968__" hidden="1">#REF!,#REF!,#REF!,#REF!,#REF!,#REF!,#REF!,#REF!,#REF!,#REF!,#REF!,#REF!,#REF!,#REF!</definedName>
    <definedName name="__APW_RESTORE_DATA969__" localSheetId="0" hidden="1">#REF!,#REF!,#REF!,#REF!,#REF!,#REF!,#REF!,#REF!,#REF!,#REF!,#REF!,#REF!,#REF!,#REF!</definedName>
    <definedName name="__APW_RESTORE_DATA969__" hidden="1">#REF!,#REF!,#REF!,#REF!,#REF!,#REF!,#REF!,#REF!,#REF!,#REF!,#REF!,#REF!,#REF!,#REF!</definedName>
    <definedName name="__APW_RESTORE_DATA97__" localSheetId="0" hidden="1">#REF!,#REF!,#REF!,#REF!,#REF!,#REF!,#REF!,#REF!,#REF!,#REF!,#REF!,#REF!,#REF!,#REF!,#REF!,#REF!</definedName>
    <definedName name="__APW_RESTORE_DATA97__" hidden="1">#REF!,#REF!,#REF!,#REF!,#REF!,#REF!,#REF!,#REF!,#REF!,#REF!,#REF!,#REF!,#REF!,#REF!,#REF!,#REF!</definedName>
    <definedName name="__APW_RESTORE_DATA970__" localSheetId="0" hidden="1">#REF!,#REF!,#REF!,#REF!,#REF!,#REF!,#REF!,#REF!,#REF!,#REF!,#REF!,#REF!,#REF!,#REF!</definedName>
    <definedName name="__APW_RESTORE_DATA970__" hidden="1">#REF!,#REF!,#REF!,#REF!,#REF!,#REF!,#REF!,#REF!,#REF!,#REF!,#REF!,#REF!,#REF!,#REF!</definedName>
    <definedName name="__APW_RESTORE_DATA971__" localSheetId="0" hidden="1">#REF!,#REF!,#REF!,#REF!,#REF!,#REF!,#REF!,#REF!,#REF!,#REF!,#REF!,#REF!,#REF!,#REF!</definedName>
    <definedName name="__APW_RESTORE_DATA971__" hidden="1">#REF!,#REF!,#REF!,#REF!,#REF!,#REF!,#REF!,#REF!,#REF!,#REF!,#REF!,#REF!,#REF!,#REF!</definedName>
    <definedName name="__APW_RESTORE_DATA972__" localSheetId="0" hidden="1">#REF!,#REF!,#REF!,#REF!,#REF!,#REF!,#REF!,#REF!,#REF!,#REF!,#REF!,#REF!,#REF!,#REF!</definedName>
    <definedName name="__APW_RESTORE_DATA972__" hidden="1">#REF!,#REF!,#REF!,#REF!,#REF!,#REF!,#REF!,#REF!,#REF!,#REF!,#REF!,#REF!,#REF!,#REF!</definedName>
    <definedName name="__APW_RESTORE_DATA973__" localSheetId="0" hidden="1">#REF!,#REF!,#REF!,#REF!,#REF!,#REF!,#REF!,#REF!,#REF!,#REF!,#REF!,#REF!,#REF!,#REF!</definedName>
    <definedName name="__APW_RESTORE_DATA973__" hidden="1">#REF!,#REF!,#REF!,#REF!,#REF!,#REF!,#REF!,#REF!,#REF!,#REF!,#REF!,#REF!,#REF!,#REF!</definedName>
    <definedName name="__APW_RESTORE_DATA974__" localSheetId="0" hidden="1">#REF!,#REF!,#REF!,#REF!,#REF!,#REF!,#REF!,#REF!,#REF!,#REF!,#REF!,#REF!,#REF!,#REF!</definedName>
    <definedName name="__APW_RESTORE_DATA974__" hidden="1">#REF!,#REF!,#REF!,#REF!,#REF!,#REF!,#REF!,#REF!,#REF!,#REF!,#REF!,#REF!,#REF!,#REF!</definedName>
    <definedName name="__APW_RESTORE_DATA975__" localSheetId="0" hidden="1">#REF!,#REF!,#REF!,#REF!,#REF!,#REF!,#REF!,#REF!</definedName>
    <definedName name="__APW_RESTORE_DATA975__" hidden="1">#REF!,#REF!,#REF!,#REF!,#REF!,#REF!,#REF!,#REF!</definedName>
    <definedName name="__APW_RESTORE_DATA98__" localSheetId="0" hidden="1">#REF!,#REF!,#REF!,#REF!,#REF!,#REF!,#REF!,#REF!,#REF!,#REF!,#REF!,#REF!,#REF!,#REF!,#REF!,#REF!</definedName>
    <definedName name="__APW_RESTORE_DATA98__" hidden="1">#REF!,#REF!,#REF!,#REF!,#REF!,#REF!,#REF!,#REF!,#REF!,#REF!,#REF!,#REF!,#REF!,#REF!,#REF!,#REF!</definedName>
    <definedName name="__APW_RESTORE_DATA99__" localSheetId="0" hidden="1">#REF!,#REF!,#REF!,#REF!,#REF!,#REF!,#REF!,#REF!,#REF!,#REF!,#REF!,#REF!,#REF!,#REF!,#REF!,#REF!</definedName>
    <definedName name="__APW_RESTORE_DATA99__" hidden="1">#REF!,#REF!,#REF!,#REF!,#REF!,#REF!,#REF!,#REF!,#REF!,#REF!,#REF!,#REF!,#REF!,#REF!,#REF!,#REF!</definedName>
    <definedName name="__DIV01" localSheetId="0">#REF!</definedName>
    <definedName name="__DIV01">#REF!</definedName>
    <definedName name="__DIV86" localSheetId="0">#REF!</definedName>
    <definedName name="__DIV86">#REF!</definedName>
    <definedName name="__DIV87" localSheetId="0">#REF!</definedName>
    <definedName name="__DIV87">#REF!</definedName>
    <definedName name="__DIV88" localSheetId="0">#REF!</definedName>
    <definedName name="__DIV88">#REF!</definedName>
    <definedName name="__DIV89" localSheetId="0">#REF!</definedName>
    <definedName name="__DIV89">#REF!</definedName>
    <definedName name="__DIV90" localSheetId="0">#REF!</definedName>
    <definedName name="__DIV90">#REF!</definedName>
    <definedName name="__DIV91" localSheetId="0">#REF!</definedName>
    <definedName name="__DIV91">#REF!</definedName>
    <definedName name="__DIV92" localSheetId="0">#REF!</definedName>
    <definedName name="__DIV92">#REF!</definedName>
    <definedName name="__DIV93" localSheetId="0">#REF!</definedName>
    <definedName name="__DIV93">#REF!</definedName>
    <definedName name="__DIV94" localSheetId="0">#REF!</definedName>
    <definedName name="__DIV94">#REF!</definedName>
    <definedName name="__DIV95" localSheetId="0">#REF!</definedName>
    <definedName name="__DIV95">#REF!</definedName>
    <definedName name="__dps01" localSheetId="0">#REF!</definedName>
    <definedName name="__dps01">#REF!</definedName>
    <definedName name="__dps98" localSheetId="0">#REF!</definedName>
    <definedName name="__dps98">#REF!</definedName>
    <definedName name="__dps99" localSheetId="0">#REF!</definedName>
    <definedName name="__dps99">#REF!</definedName>
    <definedName name="__EPS01" localSheetId="0">#REF!</definedName>
    <definedName name="__EPS01">#REF!</definedName>
    <definedName name="__EPS1" localSheetId="0">#REF!</definedName>
    <definedName name="__EPS1">#REF!</definedName>
    <definedName name="__EPS2" localSheetId="0">#REF!</definedName>
    <definedName name="__EPS2">#REF!</definedName>
    <definedName name="__EPS3" localSheetId="0">#REF!</definedName>
    <definedName name="__EPS3">#REF!</definedName>
    <definedName name="__EPS4" localSheetId="0">#REF!</definedName>
    <definedName name="__EPS4">#REF!</definedName>
    <definedName name="__EPS86" localSheetId="0">#REF!</definedName>
    <definedName name="__EPS86">#REF!</definedName>
    <definedName name="__EPS87" localSheetId="0">#REF!</definedName>
    <definedName name="__EPS87">#REF!</definedName>
    <definedName name="__EPS88" localSheetId="0">#REF!</definedName>
    <definedName name="__EPS88">#REF!</definedName>
    <definedName name="__EPS89" localSheetId="0">#REF!</definedName>
    <definedName name="__EPS89">#REF!</definedName>
    <definedName name="__EPS90" localSheetId="0">#REF!</definedName>
    <definedName name="__EPS90">#REF!</definedName>
    <definedName name="__EPS91" localSheetId="0">#REF!</definedName>
    <definedName name="__EPS91">#REF!</definedName>
    <definedName name="__EPS92" localSheetId="0">#REF!</definedName>
    <definedName name="__EPS92">#REF!</definedName>
    <definedName name="__EPS93" localSheetId="0">#REF!</definedName>
    <definedName name="__EPS93">#REF!</definedName>
    <definedName name="__EPS94" localSheetId="0">#REF!</definedName>
    <definedName name="__EPS94">#REF!</definedName>
    <definedName name="__EPS95" localSheetId="0">#REF!</definedName>
    <definedName name="__EPS95">#REF!</definedName>
    <definedName name="__EPS96" localSheetId="0">#REF!</definedName>
    <definedName name="__EPS96">#REF!</definedName>
    <definedName name="__EPS97" localSheetId="0">#REF!</definedName>
    <definedName name="__EPS97">#REF!</definedName>
    <definedName name="__EPS98" localSheetId="0">#REF!</definedName>
    <definedName name="__EPS98">#REF!</definedName>
    <definedName name="__FDS_HYPERLINK_TOGGLE_STATE__" hidden="1">"ON"</definedName>
    <definedName name="__FDS_UNIQUE_RANGE_ID_GENERATOR_COUNTER">996</definedName>
    <definedName name="__gop01" localSheetId="0">#REF!</definedName>
    <definedName name="__gop01">#REF!</definedName>
    <definedName name="__gop99" localSheetId="0">#REF!</definedName>
    <definedName name="__gop99">#REF!</definedName>
    <definedName name="__mi01" localSheetId="0">#REF!</definedName>
    <definedName name="__mi01">#REF!</definedName>
    <definedName name="__mi99" localSheetId="0">#REF!</definedName>
    <definedName name="__mi99">#REF!</definedName>
    <definedName name="__NP01" localSheetId="0">#REF!</definedName>
    <definedName name="__NP01">#REF!</definedName>
    <definedName name="__NP86" localSheetId="0">#REF!</definedName>
    <definedName name="__NP86">#REF!</definedName>
    <definedName name="__NP87" localSheetId="0">#REF!</definedName>
    <definedName name="__NP87">#REF!</definedName>
    <definedName name="__NP88" localSheetId="0">#REF!</definedName>
    <definedName name="__NP88">#REF!</definedName>
    <definedName name="__NP89" localSheetId="0">#REF!</definedName>
    <definedName name="__NP89">#REF!</definedName>
    <definedName name="__NP90" localSheetId="0">#REF!</definedName>
    <definedName name="__NP90">#REF!</definedName>
    <definedName name="__NP91" localSheetId="0">#REF!</definedName>
    <definedName name="__NP91">#REF!</definedName>
    <definedName name="__NP92" localSheetId="0">#REF!</definedName>
    <definedName name="__NP92">#REF!</definedName>
    <definedName name="__NP93" localSheetId="0">#REF!</definedName>
    <definedName name="__NP93">#REF!</definedName>
    <definedName name="__NP94" localSheetId="0">#REF!</definedName>
    <definedName name="__NP94">#REF!</definedName>
    <definedName name="__NP95" localSheetId="0">#REF!</definedName>
    <definedName name="__NP95">#REF!</definedName>
    <definedName name="__NS01" localSheetId="0">#REF!</definedName>
    <definedName name="__NS01">#REF!</definedName>
    <definedName name="__NS86" localSheetId="0">#REF!</definedName>
    <definedName name="__NS86">#REF!</definedName>
    <definedName name="__NS87" localSheetId="0">#REF!</definedName>
    <definedName name="__NS87">#REF!</definedName>
    <definedName name="__NS88" localSheetId="0">#REF!</definedName>
    <definedName name="__NS88">#REF!</definedName>
    <definedName name="__NS89" localSheetId="0">#REF!</definedName>
    <definedName name="__NS89">#REF!</definedName>
    <definedName name="__NS90" localSheetId="0">#REF!</definedName>
    <definedName name="__NS90">#REF!</definedName>
    <definedName name="__NS91" localSheetId="0">#REF!</definedName>
    <definedName name="__NS91">#REF!</definedName>
    <definedName name="__NS92" localSheetId="0">#REF!</definedName>
    <definedName name="__NS92">#REF!</definedName>
    <definedName name="__NS93" localSheetId="0">#REF!</definedName>
    <definedName name="__NS93">#REF!</definedName>
    <definedName name="__NS94" localSheetId="0">#REF!</definedName>
    <definedName name="__NS94">#REF!</definedName>
    <definedName name="__NS95" localSheetId="0">#REF!</definedName>
    <definedName name="__NS95">#REF!</definedName>
    <definedName name="__PL1" localSheetId="0">#REF!</definedName>
    <definedName name="__PL1">#REF!</definedName>
    <definedName name="__pri93" localSheetId="0">#REF!</definedName>
    <definedName name="__pri93">#REF!</definedName>
    <definedName name="__pri94" localSheetId="0">#REF!</definedName>
    <definedName name="__pri94">#REF!</definedName>
    <definedName name="__pri95" localSheetId="0">#REF!</definedName>
    <definedName name="__pri95">#REF!</definedName>
    <definedName name="__pri96" localSheetId="0">#REF!</definedName>
    <definedName name="__pri96">#REF!</definedName>
    <definedName name="__pri97" localSheetId="0">#REF!</definedName>
    <definedName name="__pri97">#REF!</definedName>
    <definedName name="__REV89" localSheetId="0">#REF!</definedName>
    <definedName name="__REV89">#REF!</definedName>
    <definedName name="__REV90" localSheetId="0">#REF!</definedName>
    <definedName name="__REV90">#REF!</definedName>
    <definedName name="__REV91" localSheetId="0">#REF!</definedName>
    <definedName name="__REV91">#REF!</definedName>
    <definedName name="__REV92" localSheetId="0">#REF!</definedName>
    <definedName name="__REV92">#REF!</definedName>
    <definedName name="__REV93" localSheetId="0">#REF!</definedName>
    <definedName name="__REV93">#REF!</definedName>
    <definedName name="__REV94" localSheetId="0">#REF!</definedName>
    <definedName name="__REV94">#REF!</definedName>
    <definedName name="__REV95" localSheetId="0">#REF!</definedName>
    <definedName name="__REV95">#REF!</definedName>
    <definedName name="__REV96" localSheetId="0">#REF!</definedName>
    <definedName name="__REV96">#REF!</definedName>
    <definedName name="__REV97" localSheetId="0">#REF!</definedName>
    <definedName name="__REV97">#REF!</definedName>
    <definedName name="__REV98" localSheetId="0">#REF!</definedName>
    <definedName name="__REV98">#REF!</definedName>
    <definedName name="__tab4" localSheetId="0">#REF!</definedName>
    <definedName name="__tab4">#REF!</definedName>
    <definedName name="__tax01" localSheetId="0">#REF!</definedName>
    <definedName name="__tax01">#REF!</definedName>
    <definedName name="__tax99" localSheetId="0">#REF!</definedName>
    <definedName name="__tax99">#REF!</definedName>
    <definedName name="__vol93" localSheetId="0">#REF!</definedName>
    <definedName name="__vol93">#REF!</definedName>
    <definedName name="__vol94" localSheetId="0">#REF!</definedName>
    <definedName name="__vol94">#REF!</definedName>
    <definedName name="__vol95" localSheetId="0">#REF!</definedName>
    <definedName name="__vol95">#REF!</definedName>
    <definedName name="__vol96" localSheetId="0">#REF!</definedName>
    <definedName name="__vol96">#REF!</definedName>
    <definedName name="__vol97" localSheetId="0">#REF!</definedName>
    <definedName name="__vol97">#REF!</definedName>
    <definedName name="__WGT1" localSheetId="0">#REF!</definedName>
    <definedName name="__WGT1">#REF!</definedName>
    <definedName name="__WGT2" localSheetId="0">#REF!</definedName>
    <definedName name="__WGT2">#REF!</definedName>
    <definedName name="__WGT3" localSheetId="0">#REF!</definedName>
    <definedName name="__WGT3">#REF!</definedName>
    <definedName name="__WGT4" localSheetId="0">#REF!</definedName>
    <definedName name="__WGT4">#REF!</definedName>
    <definedName name="__WGT5" localSheetId="0">#REF!</definedName>
    <definedName name="__WGT5">#REF!</definedName>
    <definedName name="__WGT6" localSheetId="0">#REF!</definedName>
    <definedName name="__WGT6">#REF!</definedName>
    <definedName name="_07_02_94" localSheetId="0">#REF!</definedName>
    <definedName name="_07_02_94">#REF!</definedName>
    <definedName name="_1__FDSAUDITLINK__" localSheetId="5" hidden="1">{"fdsup://IBCentral/FAT Viewer?action=UPDATE&amp;creator=factset&amp;DOC_NAME=fat:reuters_ltm_source_window.fat&amp;display_string=Audit&amp;DYN_ARGS=TRUE&amp;VAR:ID1=UPS&amp;VAR:RCODE=FIBCEBITDA&amp;VAR:SDATE=20090399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__FDSAUDITLINK__" localSheetId="0" hidden="1">{"fdsup://IBCentral/FAT Viewer?action=UPDATE&amp;creator=factset&amp;DOC_NAME=fat:reuters_ltm_source_window.fat&amp;display_string=Audit&amp;DYN_ARGS=TRUE&amp;VAR:ID1=UPS&amp;VAR:RCODE=FIBCEBITDA&amp;VAR:SDATE=20090399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__FDSAUDITLINK__" localSheetId="4" hidden="1">{"fdsup://IBCentral/FAT Viewer?action=UPDATE&amp;creator=factset&amp;DOC_NAME=fat:reuters_ltm_source_window.fat&amp;display_string=Audit&amp;DYN_ARGS=TRUE&amp;VAR:ID1=UPS&amp;VAR:RCODE=FIBCEBITDA&amp;VAR:SDATE=20090399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__FDSAUDITLINK__" hidden="1">{"fdsup://IBCentral/FAT Viewer?action=UPDATE&amp;creator=factset&amp;DOC_NAME=fat:reuters_ltm_source_window.fat&amp;display_string=Audit&amp;DYN_ARGS=TRUE&amp;VAR:ID1=UPS&amp;VAR:RCODE=FIBCEBITDA&amp;VAR:SDATE=20090399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_0A" localSheetId="0">#REF!</definedName>
    <definedName name="_1_0A">#REF!</definedName>
    <definedName name="_1_0EBITDA_Sh" localSheetId="0">#REF!</definedName>
    <definedName name="_1_0EBITDA_Sh">#REF!</definedName>
    <definedName name="_10_._0Restructuring_char" localSheetId="0">#REF!</definedName>
    <definedName name="_10_._0Restructuring_char">#REF!</definedName>
    <definedName name="_10__FDSAUDITLINK__" localSheetId="5" hidden="1">{"fdsup://IBCentral/FAT Viewer?action=UPDATE&amp;creator=factset&amp;DOC_NAME=fat:reuters_ltm_source_window.fat&amp;display_string=Audit&amp;DYN_ARGS=TRUE&amp;VAR:ID1=MOG.A&amp;VAR:RCODE=FIBCEBITDA&amp;VAR:SDATE=20090399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0__FDSAUDITLINK__" localSheetId="0" hidden="1">{"fdsup://IBCentral/FAT Viewer?action=UPDATE&amp;creator=factset&amp;DOC_NAME=fat:reuters_ltm_source_window.fat&amp;display_string=Audit&amp;DYN_ARGS=TRUE&amp;VAR:ID1=MOG.A&amp;VAR:RCODE=FIBCEBITDA&amp;VAR:SDATE=20090399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0__FDSAUDITLINK__" localSheetId="4" hidden="1">{"fdsup://IBCentral/FAT Viewer?action=UPDATE&amp;creator=factset&amp;DOC_NAME=fat:reuters_ltm_source_window.fat&amp;display_string=Audit&amp;DYN_ARGS=TRUE&amp;VAR:ID1=MOG.A&amp;VAR:RCODE=FIBCEBITDA&amp;VAR:SDATE=20090399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0__FDSAUDITLINK__" hidden="1">{"fdsup://IBCentral/FAT Viewer?action=UPDATE&amp;creator=factset&amp;DOC_NAME=fat:reuters_ltm_source_window.fat&amp;display_string=Audit&amp;DYN_ARGS=TRUE&amp;VAR:ID1=MOG.A&amp;VAR:RCODE=FIBCEBITDA&amp;VAR:SDATE=20090399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0_0FAMERangeGCI_BAL" localSheetId="0">#REF!</definedName>
    <definedName name="_10_0FAMERangeGCI_BAL">#REF!</definedName>
    <definedName name="_100__FDSAUDITLINK__" localSheetId="5" hidden="1">{"fdsup://IBCentral/FAT Viewer?action=UPDATE&amp;creator=factset&amp;DOC_NAME=fat:reuters_ltm_source_window.fat&amp;display_string=Audit&amp;DYN_ARGS=TRUE&amp;VAR:ID1=ITT&amp;VAR:RCODE=FIBCEBITDA&amp;VAR:SDATE=20090399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0__FDSAUDITLINK__" localSheetId="0" hidden="1">{"fdsup://IBCentral/FAT Viewer?action=UPDATE&amp;creator=factset&amp;DOC_NAME=fat:reuters_ltm_source_window.fat&amp;display_string=Audit&amp;DYN_ARGS=TRUE&amp;VAR:ID1=ITT&amp;VAR:RCODE=FIBCEBITDA&amp;VAR:SDATE=20090399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0__FDSAUDITLINK__" localSheetId="4" hidden="1">{"fdsup://IBCentral/FAT Viewer?action=UPDATE&amp;creator=factset&amp;DOC_NAME=fat:reuters_ltm_source_window.fat&amp;display_string=Audit&amp;DYN_ARGS=TRUE&amp;VAR:ID1=ITT&amp;VAR:RCODE=FIBCEBITDA&amp;VAR:SDATE=20090399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0__FDSAUDITLINK__" hidden="1">{"fdsup://IBCentral/FAT Viewer?action=UPDATE&amp;creator=factset&amp;DOC_NAME=fat:reuters_ltm_source_window.fat&amp;display_string=Audit&amp;DYN_ARGS=TRUE&amp;VAR:ID1=ITT&amp;VAR:RCODE=FIBCEBITDA&amp;VAR:SDATE=20090399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1__123Graph_AChart_2AC" localSheetId="0" hidden="1">#REF!</definedName>
    <definedName name="_101__123Graph_AChart_2AC" hidden="1">#REF!</definedName>
    <definedName name="_101__FDSAUDITLINK__" localSheetId="5" hidden="1">{"fdsup://IBCentral/FAT Viewer?action=UPDATE&amp;creator=factset&amp;DOC_NAME=fat:reuters_ltm_source_window.fat&amp;display_string=Audit&amp;DYN_ARGS=TRUE&amp;VAR:ID1=LLL&amp;VAR:RCODE=FIBCEBITDA&amp;VAR:SDATE=20090399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1__FDSAUDITLINK__" localSheetId="0" hidden="1">{"fdsup://IBCentral/FAT Viewer?action=UPDATE&amp;creator=factset&amp;DOC_NAME=fat:reuters_ltm_source_window.fat&amp;display_string=Audit&amp;DYN_ARGS=TRUE&amp;VAR:ID1=LLL&amp;VAR:RCODE=FIBCEBITDA&amp;VAR:SDATE=20090399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1__FDSAUDITLINK__" localSheetId="4" hidden="1">{"fdsup://IBCentral/FAT Viewer?action=UPDATE&amp;creator=factset&amp;DOC_NAME=fat:reuters_ltm_source_window.fat&amp;display_string=Audit&amp;DYN_ARGS=TRUE&amp;VAR:ID1=LLL&amp;VAR:RCODE=FIBCEBITDA&amp;VAR:SDATE=20090399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1__FDSAUDITLINK__" hidden="1">{"fdsup://IBCentral/FAT Viewer?action=UPDATE&amp;creator=factset&amp;DOC_NAME=fat:reuters_ltm_source_window.fat&amp;display_string=Audit&amp;DYN_ARGS=TRUE&amp;VAR:ID1=LLL&amp;VAR:RCODE=FIBCEBITDA&amp;VAR:SDATE=20090399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2__FDSAUDITLINK__" localSheetId="5" hidden="1">{"fdsup://IBCentral/FAT Viewer?action=UPDATE&amp;creator=factset&amp;DOC_NAME=fat:reuters_ltm_source_window.fat&amp;display_string=Audit&amp;DYN_ARGS=TRUE&amp;VAR:ID1=CHRW&amp;VAR:RCODE=FIBCEBITDA&amp;VAR:SDATE=20090399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02__FDSAUDITLINK__" localSheetId="0" hidden="1">{"fdsup://IBCentral/FAT Viewer?action=UPDATE&amp;creator=factset&amp;DOC_NAME=fat:reuters_ltm_source_window.fat&amp;display_string=Audit&amp;DYN_ARGS=TRUE&amp;VAR:ID1=CHRW&amp;VAR:RCODE=FIBCEBITDA&amp;VAR:SDATE=20090399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02__FDSAUDITLINK__" localSheetId="4" hidden="1">{"fdsup://IBCentral/FAT Viewer?action=UPDATE&amp;creator=factset&amp;DOC_NAME=fat:reuters_ltm_source_window.fat&amp;display_string=Audit&amp;DYN_ARGS=TRUE&amp;VAR:ID1=CHRW&amp;VAR:RCODE=FIBCEBITDA&amp;VAR:SDATE=20090399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02__FDSAUDITLINK__" hidden="1">{"fdsup://IBCentral/FAT Viewer?action=UPDATE&amp;creator=factset&amp;DOC_NAME=fat:reuters_ltm_source_window.fat&amp;display_string=Audit&amp;DYN_ARGS=TRUE&amp;VAR:ID1=CHRW&amp;VAR:RCODE=FIBCEBITDA&amp;VAR:SDATE=20090399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03__123Graph_AChart_2AE" localSheetId="0" hidden="1">#REF!</definedName>
    <definedName name="_103__123Graph_AChart_2AE" hidden="1">#REF!</definedName>
    <definedName name="_103__FDSAUDITLINK__" localSheetId="5" hidden="1">{"fdsup://IBCentral/FAT Viewer?action=UPDATE&amp;creator=factset&amp;DOC_NAME=fat:reuters_annual_source_window.fat&amp;display_string=Audit&amp;DYN_ARGS=TRUE&amp;VAR:ID1=74018910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03__FDSAUDITLINK__" localSheetId="0" hidden="1">{"fdsup://IBCentral/FAT Viewer?action=UPDATE&amp;creator=factset&amp;DOC_NAME=fat:reuters_annual_source_window.fat&amp;display_string=Audit&amp;DYN_ARGS=TRUE&amp;VAR:ID1=74018910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03__FDSAUDITLINK__" localSheetId="4" hidden="1">{"fdsup://IBCentral/FAT Viewer?action=UPDATE&amp;creator=factset&amp;DOC_NAME=fat:reuters_annual_source_window.fat&amp;display_string=Audit&amp;DYN_ARGS=TRUE&amp;VAR:ID1=74018910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03__FDSAUDITLINK__" hidden="1">{"fdsup://IBCentral/FAT Viewer?action=UPDATE&amp;creator=factset&amp;DOC_NAME=fat:reuters_annual_source_window.fat&amp;display_string=Audit&amp;DYN_ARGS=TRUE&amp;VAR:ID1=74018910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04__FDSAUDITLINK__" localSheetId="5" hidden="1">{"fdsup://IBCentral/FAT Viewer?action=UPDATE&amp;creator=factset&amp;DOC_NAME=fat:reuters_ltm_source_window.fat&amp;display_string=Audit&amp;DYN_ARGS=TRUE&amp;VAR:ID1=PCAR&amp;VAR:RCODE=FIBCEBITDA&amp;VAR:SDATE=20090399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04__FDSAUDITLINK__" localSheetId="0" hidden="1">{"fdsup://IBCentral/FAT Viewer?action=UPDATE&amp;creator=factset&amp;DOC_NAME=fat:reuters_ltm_source_window.fat&amp;display_string=Audit&amp;DYN_ARGS=TRUE&amp;VAR:ID1=PCAR&amp;VAR:RCODE=FIBCEBITDA&amp;VAR:SDATE=20090399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04__FDSAUDITLINK__" localSheetId="4" hidden="1">{"fdsup://IBCentral/FAT Viewer?action=UPDATE&amp;creator=factset&amp;DOC_NAME=fat:reuters_ltm_source_window.fat&amp;display_string=Audit&amp;DYN_ARGS=TRUE&amp;VAR:ID1=PCAR&amp;VAR:RCODE=FIBCEBITDA&amp;VAR:SDATE=20090399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04__FDSAUDITLINK__" hidden="1">{"fdsup://IBCentral/FAT Viewer?action=UPDATE&amp;creator=factset&amp;DOC_NAME=fat:reuters_ltm_source_window.fat&amp;display_string=Audit&amp;DYN_ARGS=TRUE&amp;VAR:ID1=PCAR&amp;VAR:RCODE=FIBCEBITDA&amp;VAR:SDATE=20090399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05__123Graph_AChart_2CC" localSheetId="0" hidden="1">#REF!</definedName>
    <definedName name="_105__123Graph_AChart_2CC" hidden="1">#REF!</definedName>
    <definedName name="_105__FDSAUDITLINK__" localSheetId="5" hidden="1">{"fdsup://IBCentral/FAT Viewer?action=UPDATE&amp;creator=factset&amp;DOC_NAME=fat:reuters_ltm_source_window.fat&amp;display_string=Audit&amp;DYN_ARGS=TRUE&amp;VAR:ID1=CSX&amp;VAR:RCODE=FIBCEBITDA&amp;VAR:SDATE=20090399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5__FDSAUDITLINK__" localSheetId="0" hidden="1">{"fdsup://IBCentral/FAT Viewer?action=UPDATE&amp;creator=factset&amp;DOC_NAME=fat:reuters_ltm_source_window.fat&amp;display_string=Audit&amp;DYN_ARGS=TRUE&amp;VAR:ID1=CSX&amp;VAR:RCODE=FIBCEBITDA&amp;VAR:SDATE=20090399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5__FDSAUDITLINK__" localSheetId="4" hidden="1">{"fdsup://IBCentral/FAT Viewer?action=UPDATE&amp;creator=factset&amp;DOC_NAME=fat:reuters_ltm_source_window.fat&amp;display_string=Audit&amp;DYN_ARGS=TRUE&amp;VAR:ID1=CSX&amp;VAR:RCODE=FIBCEBITDA&amp;VAR:SDATE=20090399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5__FDSAUDITLINK__" hidden="1">{"fdsup://IBCentral/FAT Viewer?action=UPDATE&amp;creator=factset&amp;DOC_NAME=fat:reuters_ltm_source_window.fat&amp;display_string=Audit&amp;DYN_ARGS=TRUE&amp;VAR:ID1=CSX&amp;VAR:RCODE=FIBCEBITDA&amp;VAR:SDATE=20090399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6__FDSAUDITLINK__" localSheetId="5" hidden="1">{"fdsup://IBCentral/FAT Viewer?action=UPDATE&amp;creator=factset&amp;DOC_NAME=fat:reuters_ltm_source_window.fat&amp;display_string=Audit&amp;DYN_ARGS=TRUE&amp;VAR:ID1=NSC&amp;VAR:RCODE=FIBCEBITDA&amp;VAR:SDATE=20090399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6__FDSAUDITLINK__" localSheetId="0" hidden="1">{"fdsup://IBCentral/FAT Viewer?action=UPDATE&amp;creator=factset&amp;DOC_NAME=fat:reuters_ltm_source_window.fat&amp;display_string=Audit&amp;DYN_ARGS=TRUE&amp;VAR:ID1=NSC&amp;VAR:RCODE=FIBCEBITDA&amp;VAR:SDATE=20090399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6__FDSAUDITLINK__" localSheetId="4" hidden="1">{"fdsup://IBCentral/FAT Viewer?action=UPDATE&amp;creator=factset&amp;DOC_NAME=fat:reuters_ltm_source_window.fat&amp;display_string=Audit&amp;DYN_ARGS=TRUE&amp;VAR:ID1=NSC&amp;VAR:RCODE=FIBCEBITDA&amp;VAR:SDATE=20090399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6__FDSAUDITLINK__" hidden="1">{"fdsup://IBCentral/FAT Viewer?action=UPDATE&amp;creator=factset&amp;DOC_NAME=fat:reuters_ltm_source_window.fat&amp;display_string=Audit&amp;DYN_ARGS=TRUE&amp;VAR:ID1=NSC&amp;VAR:RCODE=FIBCEBITDA&amp;VAR:SDATE=20090399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7__123Graph_AChart_2D" localSheetId="0" hidden="1">#REF!</definedName>
    <definedName name="_107__123Graph_AChart_2D" hidden="1">#REF!</definedName>
    <definedName name="_107__FDSAUDITLINK__" localSheetId="5" hidden="1">{"fdsup://IBCentral/FAT Viewer?action=UPDATE&amp;creator=factset&amp;DOC_NAME=fat:reuters_ltm_source_window.fat&amp;display_string=Audit&amp;DYN_ARGS=TRUE&amp;VAR:ID1=WMI&amp;VAR:RCODE=FIBCEBITDA&amp;VAR:SDATE=20090399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7__FDSAUDITLINK__" localSheetId="0" hidden="1">{"fdsup://IBCentral/FAT Viewer?action=UPDATE&amp;creator=factset&amp;DOC_NAME=fat:reuters_ltm_source_window.fat&amp;display_string=Audit&amp;DYN_ARGS=TRUE&amp;VAR:ID1=WMI&amp;VAR:RCODE=FIBCEBITDA&amp;VAR:SDATE=20090399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7__FDSAUDITLINK__" localSheetId="4" hidden="1">{"fdsup://IBCentral/FAT Viewer?action=UPDATE&amp;creator=factset&amp;DOC_NAME=fat:reuters_ltm_source_window.fat&amp;display_string=Audit&amp;DYN_ARGS=TRUE&amp;VAR:ID1=WMI&amp;VAR:RCODE=FIBCEBITDA&amp;VAR:SDATE=20090399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7__FDSAUDITLINK__" hidden="1">{"fdsup://IBCentral/FAT Viewer?action=UPDATE&amp;creator=factset&amp;DOC_NAME=fat:reuters_ltm_source_window.fat&amp;display_string=Audit&amp;DYN_ARGS=TRUE&amp;VAR:ID1=WMI&amp;VAR:RCODE=FIBCEBITDA&amp;VAR:SDATE=20090399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8__FDSAUDITLINK__" localSheetId="5" hidden="1">{"fdsup://IBCentral/FAT Viewer?action=UPDATE&amp;creator=factset&amp;DOC_NAME=fat:reuters_ltm_source_window.fat&amp;display_string=Audit&amp;DYN_ARGS=TRUE&amp;VAR:ID1=NOC&amp;VAR:RCODE=FIBCEBITDA&amp;VAR:SDATE=20090399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8__FDSAUDITLINK__" localSheetId="0" hidden="1">{"fdsup://IBCentral/FAT Viewer?action=UPDATE&amp;creator=factset&amp;DOC_NAME=fat:reuters_ltm_source_window.fat&amp;display_string=Audit&amp;DYN_ARGS=TRUE&amp;VAR:ID1=NOC&amp;VAR:RCODE=FIBCEBITDA&amp;VAR:SDATE=20090399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8__FDSAUDITLINK__" localSheetId="4" hidden="1">{"fdsup://IBCentral/FAT Viewer?action=UPDATE&amp;creator=factset&amp;DOC_NAME=fat:reuters_ltm_source_window.fat&amp;display_string=Audit&amp;DYN_ARGS=TRUE&amp;VAR:ID1=NOC&amp;VAR:RCODE=FIBCEBITDA&amp;VAR:SDATE=20090399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8__FDSAUDITLINK__" hidden="1">{"fdsup://IBCentral/FAT Viewer?action=UPDATE&amp;creator=factset&amp;DOC_NAME=fat:reuters_ltm_source_window.fat&amp;display_string=Audit&amp;DYN_ARGS=TRUE&amp;VAR:ID1=NOC&amp;VAR:RCODE=FIBCEBITDA&amp;VAR:SDATE=20090399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9__123Graph_AChart_2E" localSheetId="0" hidden="1">#REF!</definedName>
    <definedName name="_109__123Graph_AChart_2E" hidden="1">#REF!</definedName>
    <definedName name="_109__FDSAUDITLINK__" localSheetId="5" hidden="1">{"fdsup://IBCentral/FAT Viewer?action=UPDATE&amp;creator=factset&amp;DOC_NAME=fat:reuters_ltm_source_window.fat&amp;display_string=Audit&amp;DYN_ARGS=TRUE&amp;VAR:ID1=FDX&amp;VAR:RCODE=FIBCEBITDA&amp;VAR:SDATE=20090299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9__FDSAUDITLINK__" localSheetId="0" hidden="1">{"fdsup://IBCentral/FAT Viewer?action=UPDATE&amp;creator=factset&amp;DOC_NAME=fat:reuters_ltm_source_window.fat&amp;display_string=Audit&amp;DYN_ARGS=TRUE&amp;VAR:ID1=FDX&amp;VAR:RCODE=FIBCEBITDA&amp;VAR:SDATE=20090299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9__FDSAUDITLINK__" localSheetId="4" hidden="1">{"fdsup://IBCentral/FAT Viewer?action=UPDATE&amp;creator=factset&amp;DOC_NAME=fat:reuters_ltm_source_window.fat&amp;display_string=Audit&amp;DYN_ARGS=TRUE&amp;VAR:ID1=FDX&amp;VAR:RCODE=FIBCEBITDA&amp;VAR:SDATE=20090299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9__FDSAUDITLINK__" hidden="1">{"fdsup://IBCentral/FAT Viewer?action=UPDATE&amp;creator=factset&amp;DOC_NAME=fat:reuters_ltm_source_window.fat&amp;display_string=Audit&amp;DYN_ARGS=TRUE&amp;VAR:ID1=FDX&amp;VAR:RCODE=FIBCEBITDA&amp;VAR:SDATE=20090299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0FAMERangeDJ_BALA" localSheetId="0">#REF!</definedName>
    <definedName name="_10FAMERangeDJ_BALA">#REF!</definedName>
    <definedName name="_11_._0SGA_gro" localSheetId="0">#REF!</definedName>
    <definedName name="_11_._0SGA_gro">#REF!</definedName>
    <definedName name="_11__123Graph_AChart_1AA" localSheetId="0" hidden="1">#REF!</definedName>
    <definedName name="_11__123Graph_AChart_1AA" hidden="1">#REF!</definedName>
    <definedName name="_11__FDSAUDITLINK__" localSheetId="5" hidden="1">{"fdsup://IBCentral/FAT Viewer?action=UPDATE&amp;creator=factset&amp;DOC_NAME=fat:reuters_ltm_source_window.fat&amp;display_string=Audit&amp;DYN_ARGS=TRUE&amp;VAR:ID1=KDN&amp;VAR:RCODE=FIBCEBITDA&amp;VAR:SDATE=20090399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__FDSAUDITLINK__" localSheetId="0" hidden="1">{"fdsup://IBCentral/FAT Viewer?action=UPDATE&amp;creator=factset&amp;DOC_NAME=fat:reuters_ltm_source_window.fat&amp;display_string=Audit&amp;DYN_ARGS=TRUE&amp;VAR:ID1=KDN&amp;VAR:RCODE=FIBCEBITDA&amp;VAR:SDATE=20090399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__FDSAUDITLINK__" localSheetId="4" hidden="1">{"fdsup://IBCentral/FAT Viewer?action=UPDATE&amp;creator=factset&amp;DOC_NAME=fat:reuters_ltm_source_window.fat&amp;display_string=Audit&amp;DYN_ARGS=TRUE&amp;VAR:ID1=KDN&amp;VAR:RCODE=FIBCEBITDA&amp;VAR:SDATE=20090399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__FDSAUDITLINK__" hidden="1">{"fdsup://IBCentral/FAT Viewer?action=UPDATE&amp;creator=factset&amp;DOC_NAME=fat:reuters_ltm_source_window.fat&amp;display_string=Audit&amp;DYN_ARGS=TRUE&amp;VAR:ID1=KDN&amp;VAR:RCODE=FIBCEBITDA&amp;VAR:SDATE=20090399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_0Revenu" localSheetId="0">#REF!</definedName>
    <definedName name="_11_0Revenu">#REF!</definedName>
    <definedName name="_110__FDSAUDITLINK__" localSheetId="5" hidden="1">{"fdsup://IBCentral/FAT Viewer?action=UPDATE&amp;creator=factset&amp;DOC_NAME=fat:reuters_ltm_source_window.fat&amp;display_string=Audit&amp;DYN_ARGS=TRUE&amp;VAR:ID1=DE&amp;VAR:RCODE=FIBCEBITDA&amp;VAR:SDATE=20090499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10__FDSAUDITLINK__" localSheetId="0" hidden="1">{"fdsup://IBCentral/FAT Viewer?action=UPDATE&amp;creator=factset&amp;DOC_NAME=fat:reuters_ltm_source_window.fat&amp;display_string=Audit&amp;DYN_ARGS=TRUE&amp;VAR:ID1=DE&amp;VAR:RCODE=FIBCEBITDA&amp;VAR:SDATE=20090499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10__FDSAUDITLINK__" localSheetId="4" hidden="1">{"fdsup://IBCentral/FAT Viewer?action=UPDATE&amp;creator=factset&amp;DOC_NAME=fat:reuters_ltm_source_window.fat&amp;display_string=Audit&amp;DYN_ARGS=TRUE&amp;VAR:ID1=DE&amp;VAR:RCODE=FIBCEBITDA&amp;VAR:SDATE=20090499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10__FDSAUDITLINK__" hidden="1">{"fdsup://IBCentral/FAT Viewer?action=UPDATE&amp;creator=factset&amp;DOC_NAME=fat:reuters_ltm_source_window.fat&amp;display_string=Audit&amp;DYN_ARGS=TRUE&amp;VAR:ID1=DE&amp;VAR:RCODE=FIBCEBITDA&amp;VAR:SDATE=20090499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11__123Graph_AChart_2J" localSheetId="0" hidden="1">#REF!</definedName>
    <definedName name="_111__123Graph_AChart_2J" hidden="1">#REF!</definedName>
    <definedName name="_111__FDSAUDITLINK__" localSheetId="5" hidden="1">{"fdsup://IBCentral/FAT Viewer?action=UPDATE&amp;creator=factset&amp;DOC_NAME=fat:reuters_ltm_source_window.fat&amp;display_string=Audit&amp;DYN_ARGS=TRUE&amp;VAR:ID1=RTN&amp;VAR:RCODE=FIBCEBITDA&amp;VAR:SDATE=20090399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1__FDSAUDITLINK__" localSheetId="0" hidden="1">{"fdsup://IBCentral/FAT Viewer?action=UPDATE&amp;creator=factset&amp;DOC_NAME=fat:reuters_ltm_source_window.fat&amp;display_string=Audit&amp;DYN_ARGS=TRUE&amp;VAR:ID1=RTN&amp;VAR:RCODE=FIBCEBITDA&amp;VAR:SDATE=20090399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1__FDSAUDITLINK__" localSheetId="4" hidden="1">{"fdsup://IBCentral/FAT Viewer?action=UPDATE&amp;creator=factset&amp;DOC_NAME=fat:reuters_ltm_source_window.fat&amp;display_string=Audit&amp;DYN_ARGS=TRUE&amp;VAR:ID1=RTN&amp;VAR:RCODE=FIBCEBITDA&amp;VAR:SDATE=20090399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1__FDSAUDITLINK__" hidden="1">{"fdsup://IBCentral/FAT Viewer?action=UPDATE&amp;creator=factset&amp;DOC_NAME=fat:reuters_ltm_source_window.fat&amp;display_string=Audit&amp;DYN_ARGS=TRUE&amp;VAR:ID1=RTN&amp;VAR:RCODE=FIBCEBITDA&amp;VAR:SDATE=20090399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2__FDSAUDITLINK__" localSheetId="5" hidden="1">{"fdsup://IBCentral/FAT Viewer?action=UPDATE&amp;creator=factset&amp;DOC_NAME=fat:reuters_ltm_source_window.fat&amp;display_string=Audit&amp;DYN_ARGS=TRUE&amp;VAR:ID1=ITW&amp;VAR:RCODE=FIBCEBITDA&amp;VAR:SDATE=20090399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2__FDSAUDITLINK__" localSheetId="0" hidden="1">{"fdsup://IBCentral/FAT Viewer?action=UPDATE&amp;creator=factset&amp;DOC_NAME=fat:reuters_ltm_source_window.fat&amp;display_string=Audit&amp;DYN_ARGS=TRUE&amp;VAR:ID1=ITW&amp;VAR:RCODE=FIBCEBITDA&amp;VAR:SDATE=20090399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2__FDSAUDITLINK__" localSheetId="4" hidden="1">{"fdsup://IBCentral/FAT Viewer?action=UPDATE&amp;creator=factset&amp;DOC_NAME=fat:reuters_ltm_source_window.fat&amp;display_string=Audit&amp;DYN_ARGS=TRUE&amp;VAR:ID1=ITW&amp;VAR:RCODE=FIBCEBITDA&amp;VAR:SDATE=20090399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2__FDSAUDITLINK__" hidden="1">{"fdsup://IBCentral/FAT Viewer?action=UPDATE&amp;creator=factset&amp;DOC_NAME=fat:reuters_ltm_source_window.fat&amp;display_string=Audit&amp;DYN_ARGS=TRUE&amp;VAR:ID1=ITW&amp;VAR:RCODE=FIBCEBITDA&amp;VAR:SDATE=20090399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3__123Graph_AChart_2P" localSheetId="0" hidden="1">#REF!</definedName>
    <definedName name="_113__123Graph_AChart_2P" hidden="1">#REF!</definedName>
    <definedName name="_113__FDSAUDITLINK__" localSheetId="5" hidden="1">{"fdsup://IBCentral/FAT Viewer?action=UPDATE&amp;creator=factset&amp;DOC_NAME=fat:reuters_ltm_source_window.fat&amp;display_string=Audit&amp;DYN_ARGS=TRUE&amp;VAR:ID1=GD&amp;VAR:RCODE=FIBCEBITDA&amp;VAR:SDATE=20090399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13__FDSAUDITLINK__" localSheetId="0" hidden="1">{"fdsup://IBCentral/FAT Viewer?action=UPDATE&amp;creator=factset&amp;DOC_NAME=fat:reuters_ltm_source_window.fat&amp;display_string=Audit&amp;DYN_ARGS=TRUE&amp;VAR:ID1=GD&amp;VAR:RCODE=FIBCEBITDA&amp;VAR:SDATE=20090399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13__FDSAUDITLINK__" localSheetId="4" hidden="1">{"fdsup://IBCentral/FAT Viewer?action=UPDATE&amp;creator=factset&amp;DOC_NAME=fat:reuters_ltm_source_window.fat&amp;display_string=Audit&amp;DYN_ARGS=TRUE&amp;VAR:ID1=GD&amp;VAR:RCODE=FIBCEBITDA&amp;VAR:SDATE=20090399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13__FDSAUDITLINK__" hidden="1">{"fdsup://IBCentral/FAT Viewer?action=UPDATE&amp;creator=factset&amp;DOC_NAME=fat:reuters_ltm_source_window.fat&amp;display_string=Audit&amp;DYN_ARGS=TRUE&amp;VAR:ID1=GD&amp;VAR:RCODE=FIBCEBITDA&amp;VAR:SDATE=20090399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14__FDSAUDITLINK__" localSheetId="5" hidden="1">{"fdsup://IBCentral/FAT Viewer?action=UPDATE&amp;creator=factset&amp;DOC_NAME=fat:reuters_ltm_source_window.fat&amp;display_string=Audit&amp;DYN_ARGS=TRUE&amp;VAR:ID1=CAT&amp;VAR:RCODE=FIBCEBITDA&amp;VAR:SDATE=20090399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4__FDSAUDITLINK__" localSheetId="0" hidden="1">{"fdsup://IBCentral/FAT Viewer?action=UPDATE&amp;creator=factset&amp;DOC_NAME=fat:reuters_ltm_source_window.fat&amp;display_string=Audit&amp;DYN_ARGS=TRUE&amp;VAR:ID1=CAT&amp;VAR:RCODE=FIBCEBITDA&amp;VAR:SDATE=20090399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4__FDSAUDITLINK__" localSheetId="4" hidden="1">{"fdsup://IBCentral/FAT Viewer?action=UPDATE&amp;creator=factset&amp;DOC_NAME=fat:reuters_ltm_source_window.fat&amp;display_string=Audit&amp;DYN_ARGS=TRUE&amp;VAR:ID1=CAT&amp;VAR:RCODE=FIBCEBITDA&amp;VAR:SDATE=20090399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4__FDSAUDITLINK__" hidden="1">{"fdsup://IBCentral/FAT Viewer?action=UPDATE&amp;creator=factset&amp;DOC_NAME=fat:reuters_ltm_source_window.fat&amp;display_string=Audit&amp;DYN_ARGS=TRUE&amp;VAR:ID1=CAT&amp;VAR:RCODE=FIBCEBITDA&amp;VAR:SDATE=20090399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5__123Graph_AChart_2T" localSheetId="0" hidden="1">#REF!</definedName>
    <definedName name="_115__123Graph_AChart_2T" hidden="1">#REF!</definedName>
    <definedName name="_115__FDSAUDITLINK__" localSheetId="5" hidden="1">{"fdsup://IBCentral/FAT Viewer?action=UPDATE&amp;creator=factset&amp;DOC_NAME=fat:reuters_ltm_source_window.fat&amp;display_string=Audit&amp;DYN_ARGS=TRUE&amp;VAR:ID1=DHR&amp;VAR:RCODE=FIBCEBITDA&amp;VAR:SDATE=20090399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5__FDSAUDITLINK__" localSheetId="0" hidden="1">{"fdsup://IBCentral/FAT Viewer?action=UPDATE&amp;creator=factset&amp;DOC_NAME=fat:reuters_ltm_source_window.fat&amp;display_string=Audit&amp;DYN_ARGS=TRUE&amp;VAR:ID1=DHR&amp;VAR:RCODE=FIBCEBITDA&amp;VAR:SDATE=20090399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5__FDSAUDITLINK__" localSheetId="4" hidden="1">{"fdsup://IBCentral/FAT Viewer?action=UPDATE&amp;creator=factset&amp;DOC_NAME=fat:reuters_ltm_source_window.fat&amp;display_string=Audit&amp;DYN_ARGS=TRUE&amp;VAR:ID1=DHR&amp;VAR:RCODE=FIBCEBITDA&amp;VAR:SDATE=20090399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5__FDSAUDITLINK__" hidden="1">{"fdsup://IBCentral/FAT Viewer?action=UPDATE&amp;creator=factset&amp;DOC_NAME=fat:reuters_ltm_source_window.fat&amp;display_string=Audit&amp;DYN_ARGS=TRUE&amp;VAR:ID1=DHR&amp;VAR:RCODE=FIBCEBITDA&amp;VAR:SDATE=20090399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6__FDSAUDITLINK__" localSheetId="5" hidden="1">{"fdsup://IBCentral/FAT Viewer?action=UPDATE&amp;creator=factset&amp;DOC_NAME=fat:reuters_ltm_source_window.fat&amp;display_string=Audit&amp;DYN_ARGS=TRUE&amp;VAR:ID1=BNI&amp;VAR:RCODE=FIBCEBITDA&amp;VAR:SDATE=20090399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6__FDSAUDITLINK__" localSheetId="0" hidden="1">{"fdsup://IBCentral/FAT Viewer?action=UPDATE&amp;creator=factset&amp;DOC_NAME=fat:reuters_ltm_source_window.fat&amp;display_string=Audit&amp;DYN_ARGS=TRUE&amp;VAR:ID1=BNI&amp;VAR:RCODE=FIBCEBITDA&amp;VAR:SDATE=20090399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6__FDSAUDITLINK__" localSheetId="4" hidden="1">{"fdsup://IBCentral/FAT Viewer?action=UPDATE&amp;creator=factset&amp;DOC_NAME=fat:reuters_ltm_source_window.fat&amp;display_string=Audit&amp;DYN_ARGS=TRUE&amp;VAR:ID1=BNI&amp;VAR:RCODE=FIBCEBITDA&amp;VAR:SDATE=20090399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6__FDSAUDITLINK__" hidden="1">{"fdsup://IBCentral/FAT Viewer?action=UPDATE&amp;creator=factset&amp;DOC_NAME=fat:reuters_ltm_source_window.fat&amp;display_string=Audit&amp;DYN_ARGS=TRUE&amp;VAR:ID1=BNI&amp;VAR:RCODE=FIBCEBITDA&amp;VAR:SDATE=20090399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7__123Graph_AChart_2U" localSheetId="0" hidden="1">#REF!</definedName>
    <definedName name="_117__123Graph_AChart_2U" hidden="1">#REF!</definedName>
    <definedName name="_117__FDSAUDITLINK__" localSheetId="5" hidden="1">{"fdsup://IBCentral/FAT Viewer?action=UPDATE&amp;creator=factset&amp;DOC_NAME=fat:reuters_ltm_source_window.fat&amp;display_string=Audit&amp;DYN_ARGS=TRUE&amp;VAR:ID1=UNP&amp;VAR:RCODE=FIBCEBITDA&amp;VAR:SDATE=20090399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7__FDSAUDITLINK__" localSheetId="0" hidden="1">{"fdsup://IBCentral/FAT Viewer?action=UPDATE&amp;creator=factset&amp;DOC_NAME=fat:reuters_ltm_source_window.fat&amp;display_string=Audit&amp;DYN_ARGS=TRUE&amp;VAR:ID1=UNP&amp;VAR:RCODE=FIBCEBITDA&amp;VAR:SDATE=20090399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7__FDSAUDITLINK__" localSheetId="4" hidden="1">{"fdsup://IBCentral/FAT Viewer?action=UPDATE&amp;creator=factset&amp;DOC_NAME=fat:reuters_ltm_source_window.fat&amp;display_string=Audit&amp;DYN_ARGS=TRUE&amp;VAR:ID1=UNP&amp;VAR:RCODE=FIBCEBITDA&amp;VAR:SDATE=20090399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7__FDSAUDITLINK__" hidden="1">{"fdsup://IBCentral/FAT Viewer?action=UPDATE&amp;creator=factset&amp;DOC_NAME=fat:reuters_ltm_source_window.fat&amp;display_string=Audit&amp;DYN_ARGS=TRUE&amp;VAR:ID1=UNP&amp;VAR:RCODE=FIBCEBITDA&amp;VAR:SDATE=20090399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8__FDSAUDITLINK__" localSheetId="5" hidden="1">{"fdsup://IBCentral/FAT Viewer?action=UPDATE&amp;creator=factset&amp;DOC_NAME=fat:reuters_ltm_source_window.fat&amp;display_string=Audit&amp;DYN_ARGS=TRUE&amp;VAR:ID1=HON&amp;VAR:RCODE=FIBCEBITDA&amp;VAR:SDATE=20090399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8__FDSAUDITLINK__" localSheetId="0" hidden="1">{"fdsup://IBCentral/FAT Viewer?action=UPDATE&amp;creator=factset&amp;DOC_NAME=fat:reuters_ltm_source_window.fat&amp;display_string=Audit&amp;DYN_ARGS=TRUE&amp;VAR:ID1=HON&amp;VAR:RCODE=FIBCEBITDA&amp;VAR:SDATE=20090399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8__FDSAUDITLINK__" localSheetId="4" hidden="1">{"fdsup://IBCentral/FAT Viewer?action=UPDATE&amp;creator=factset&amp;DOC_NAME=fat:reuters_ltm_source_window.fat&amp;display_string=Audit&amp;DYN_ARGS=TRUE&amp;VAR:ID1=HON&amp;VAR:RCODE=FIBCEBITDA&amp;VAR:SDATE=20090399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8__FDSAUDITLINK__" hidden="1">{"fdsup://IBCentral/FAT Viewer?action=UPDATE&amp;creator=factset&amp;DOC_NAME=fat:reuters_ltm_source_window.fat&amp;display_string=Audit&amp;DYN_ARGS=TRUE&amp;VAR:ID1=HON&amp;VAR:RCODE=FIBCEBITDA&amp;VAR:SDATE=20090399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9__123Graph_AChart_3B" localSheetId="0" hidden="1">#REF!</definedName>
    <definedName name="_119__123Graph_AChart_3B" hidden="1">#REF!</definedName>
    <definedName name="_119__FDSAUDITLINK__" localSheetId="5" hidden="1">{"fdsup://IBCentral/FAT Viewer?action=UPDATE&amp;creator=factset&amp;DOC_NAME=fat:reuters_ltm_source_window.fat&amp;display_string=Audit&amp;DYN_ARGS=TRUE&amp;VAR:ID1=EMR&amp;VAR:RCODE=FIBCEBITDA&amp;VAR:SDATE=20090399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9__FDSAUDITLINK__" localSheetId="0" hidden="1">{"fdsup://IBCentral/FAT Viewer?action=UPDATE&amp;creator=factset&amp;DOC_NAME=fat:reuters_ltm_source_window.fat&amp;display_string=Audit&amp;DYN_ARGS=TRUE&amp;VAR:ID1=EMR&amp;VAR:RCODE=FIBCEBITDA&amp;VAR:SDATE=20090399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9__FDSAUDITLINK__" localSheetId="4" hidden="1">{"fdsup://IBCentral/FAT Viewer?action=UPDATE&amp;creator=factset&amp;DOC_NAME=fat:reuters_ltm_source_window.fat&amp;display_string=Audit&amp;DYN_ARGS=TRUE&amp;VAR:ID1=EMR&amp;VAR:RCODE=FIBCEBITDA&amp;VAR:SDATE=20090399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9__FDSAUDITLINK__" hidden="1">{"fdsup://IBCentral/FAT Viewer?action=UPDATE&amp;creator=factset&amp;DOC_NAME=fat:reuters_ltm_source_window.fat&amp;display_string=Audit&amp;DYN_ARGS=TRUE&amp;VAR:ID1=EMR&amp;VAR:RCODE=FIBCEBITDA&amp;VAR:SDATE=20090399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1FAMERangeDJ_BALA" localSheetId="0">#REF!</definedName>
    <definedName name="_11FAMERangeDJ_BALA">#REF!</definedName>
    <definedName name="_12_._0Shares_repurchase_liabil" localSheetId="0">#REF!</definedName>
    <definedName name="_12_._0Shares_repurchase_liabil">#REF!</definedName>
    <definedName name="_12__FDSAUDITLINK__" localSheetId="5" hidden="1">{"fdsup://IBCentral/FAT Viewer?action=UPDATE&amp;creator=factset&amp;DOC_NAME=fat:reuters_ltm_source_window.fat&amp;display_string=Audit&amp;DYN_ARGS=TRUE&amp;VAR:ID1=ESE&amp;VAR:RCODE=FIBCEBITDA&amp;VAR:SDATE=20090399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__FDSAUDITLINK__" localSheetId="0" hidden="1">{"fdsup://IBCentral/FAT Viewer?action=UPDATE&amp;creator=factset&amp;DOC_NAME=fat:reuters_ltm_source_window.fat&amp;display_string=Audit&amp;DYN_ARGS=TRUE&amp;VAR:ID1=ESE&amp;VAR:RCODE=FIBCEBITDA&amp;VAR:SDATE=20090399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__FDSAUDITLINK__" localSheetId="4" hidden="1">{"fdsup://IBCentral/FAT Viewer?action=UPDATE&amp;creator=factset&amp;DOC_NAME=fat:reuters_ltm_source_window.fat&amp;display_string=Audit&amp;DYN_ARGS=TRUE&amp;VAR:ID1=ESE&amp;VAR:RCODE=FIBCEBITDA&amp;VAR:SDATE=20090399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__FDSAUDITLINK__" hidden="1">{"fdsup://IBCentral/FAT Viewer?action=UPDATE&amp;creator=factset&amp;DOC_NAME=fat:reuters_ltm_source_window.fat&amp;display_string=Audit&amp;DYN_ARGS=TRUE&amp;VAR:ID1=ESE&amp;VAR:RCODE=FIBCEBITDA&amp;VAR:SDATE=20090399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_0UniqueRang" localSheetId="0">#REF!</definedName>
    <definedName name="_12_0UniqueRang">#REF!</definedName>
    <definedName name="_120__FDSAUDITLINK__" localSheetId="5" hidden="1">{"fdsup://IBCentral/FAT Viewer?action=UPDATE&amp;creator=factset&amp;DOC_NAME=fat:reuters_ltm_source_window.fat&amp;display_string=Audit&amp;DYN_ARGS=TRUE&amp;VAR:ID1=BA&amp;VAR:RCODE=FIBCEBITDA&amp;VAR:SDATE=20090399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20__FDSAUDITLINK__" localSheetId="0" hidden="1">{"fdsup://IBCentral/FAT Viewer?action=UPDATE&amp;creator=factset&amp;DOC_NAME=fat:reuters_ltm_source_window.fat&amp;display_string=Audit&amp;DYN_ARGS=TRUE&amp;VAR:ID1=BA&amp;VAR:RCODE=FIBCEBITDA&amp;VAR:SDATE=20090399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20__FDSAUDITLINK__" localSheetId="4" hidden="1">{"fdsup://IBCentral/FAT Viewer?action=UPDATE&amp;creator=factset&amp;DOC_NAME=fat:reuters_ltm_source_window.fat&amp;display_string=Audit&amp;DYN_ARGS=TRUE&amp;VAR:ID1=BA&amp;VAR:RCODE=FIBCEBITDA&amp;VAR:SDATE=20090399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20__FDSAUDITLINK__" hidden="1">{"fdsup://IBCentral/FAT Viewer?action=UPDATE&amp;creator=factset&amp;DOC_NAME=fat:reuters_ltm_source_window.fat&amp;display_string=Audit&amp;DYN_ARGS=TRUE&amp;VAR:ID1=BA&amp;VAR:RCODE=FIBCEBITDA&amp;VAR:SDATE=20090399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21__123Graph_AChart_3D" localSheetId="0" hidden="1">#REF!</definedName>
    <definedName name="_121__123Graph_AChart_3D" hidden="1">#REF!</definedName>
    <definedName name="_121__FDSAUDITLINK__" localSheetId="5" hidden="1">{"fdsup://IBCentral/FAT Viewer?action=UPDATE&amp;creator=factset&amp;DOC_NAME=fat:reuters_ltm_source_window.fat&amp;display_string=Audit&amp;DYN_ARGS=TRUE&amp;VAR:ID1=LMT&amp;VAR:RCODE=FIBCEBITDA&amp;VAR:SDATE=20090399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1__FDSAUDITLINK__" localSheetId="0" hidden="1">{"fdsup://IBCentral/FAT Viewer?action=UPDATE&amp;creator=factset&amp;DOC_NAME=fat:reuters_ltm_source_window.fat&amp;display_string=Audit&amp;DYN_ARGS=TRUE&amp;VAR:ID1=LMT&amp;VAR:RCODE=FIBCEBITDA&amp;VAR:SDATE=20090399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1__FDSAUDITLINK__" localSheetId="4" hidden="1">{"fdsup://IBCentral/FAT Viewer?action=UPDATE&amp;creator=factset&amp;DOC_NAME=fat:reuters_ltm_source_window.fat&amp;display_string=Audit&amp;DYN_ARGS=TRUE&amp;VAR:ID1=LMT&amp;VAR:RCODE=FIBCEBITDA&amp;VAR:SDATE=20090399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1__FDSAUDITLINK__" hidden="1">{"fdsup://IBCentral/FAT Viewer?action=UPDATE&amp;creator=factset&amp;DOC_NAME=fat:reuters_ltm_source_window.fat&amp;display_string=Audit&amp;DYN_ARGS=TRUE&amp;VAR:ID1=LMT&amp;VAR:RCODE=FIBCEBITDA&amp;VAR:SDATE=20090399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2__FDSAUDITLINK__" localSheetId="5" hidden="1">{"fdsup://IBCentral/FAT Viewer?action=UPDATE&amp;creator=factset&amp;DOC_NAME=fat:reuters_ltm_source_window.fat&amp;display_string=Audit&amp;DYN_ARGS=TRUE&amp;VAR:ID1=MMM&amp;VAR:RCODE=FIBCEBITDA&amp;VAR:SDATE=20090399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2__FDSAUDITLINK__" localSheetId="0" hidden="1">{"fdsup://IBCentral/FAT Viewer?action=UPDATE&amp;creator=factset&amp;DOC_NAME=fat:reuters_ltm_source_window.fat&amp;display_string=Audit&amp;DYN_ARGS=TRUE&amp;VAR:ID1=MMM&amp;VAR:RCODE=FIBCEBITDA&amp;VAR:SDATE=20090399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2__FDSAUDITLINK__" localSheetId="4" hidden="1">{"fdsup://IBCentral/FAT Viewer?action=UPDATE&amp;creator=factset&amp;DOC_NAME=fat:reuters_ltm_source_window.fat&amp;display_string=Audit&amp;DYN_ARGS=TRUE&amp;VAR:ID1=MMM&amp;VAR:RCODE=FIBCEBITDA&amp;VAR:SDATE=20090399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2__FDSAUDITLINK__" hidden="1">{"fdsup://IBCentral/FAT Viewer?action=UPDATE&amp;creator=factset&amp;DOC_NAME=fat:reuters_ltm_source_window.fat&amp;display_string=Audit&amp;DYN_ARGS=TRUE&amp;VAR:ID1=MMM&amp;VAR:RCODE=FIBCEBITDA&amp;VAR:SDATE=20090399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3" localSheetId="0" hidden="1">#REF!</definedName>
    <definedName name="_123" hidden="1">#REF!</definedName>
    <definedName name="_123__123Graph_AChart_3L" localSheetId="0" hidden="1">#REF!</definedName>
    <definedName name="_123__123Graph_AChart_3L" hidden="1">#REF!</definedName>
    <definedName name="_123__FDSAUDITLINK__" localSheetId="5" hidden="1">{"fdsup://IBCentral/FAT Viewer?action=UPDATE&amp;creator=factset&amp;DOC_NAME=fat:reuters_ltm_source_window.fat&amp;display_string=Audit&amp;DYN_ARGS=TRUE&amp;VAR:ID1=UTX&amp;VAR:RCODE=FIBCEBITDA&amp;VAR:SDATE=20090399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3__FDSAUDITLINK__" localSheetId="0" hidden="1">{"fdsup://IBCentral/FAT Viewer?action=UPDATE&amp;creator=factset&amp;DOC_NAME=fat:reuters_ltm_source_window.fat&amp;display_string=Audit&amp;DYN_ARGS=TRUE&amp;VAR:ID1=UTX&amp;VAR:RCODE=FIBCEBITDA&amp;VAR:SDATE=20090399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3__FDSAUDITLINK__" localSheetId="4" hidden="1">{"fdsup://IBCentral/FAT Viewer?action=UPDATE&amp;creator=factset&amp;DOC_NAME=fat:reuters_ltm_source_window.fat&amp;display_string=Audit&amp;DYN_ARGS=TRUE&amp;VAR:ID1=UTX&amp;VAR:RCODE=FIBCEBITDA&amp;VAR:SDATE=20090399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3__FDSAUDITLINK__" hidden="1">{"fdsup://IBCentral/FAT Viewer?action=UPDATE&amp;creator=factset&amp;DOC_NAME=fat:reuters_ltm_source_window.fat&amp;display_string=Audit&amp;DYN_ARGS=TRUE&amp;VAR:ID1=UTX&amp;VAR:RCODE=FIBCEBITDA&amp;VAR:SDATE=20090399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3Graph_A" localSheetId="0" hidden="1">#REF!</definedName>
    <definedName name="_123Graph_A" hidden="1">#REF!</definedName>
    <definedName name="_124__FDSAUDITLINK__" localSheetId="5" hidden="1">{"fdsup://IBCentral/FAT Viewer?action=UPDATE&amp;creator=factset&amp;DOC_NAME=fat:reuters_ltm_source_window.fat&amp;display_string=Audit&amp;DYN_ARGS=TRUE&amp;VAR:ID1=WNC&amp;VAR:RCODE=FIBCEBITDA&amp;VAR:SDATE=20090399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4__FDSAUDITLINK__" localSheetId="0" hidden="1">{"fdsup://IBCentral/FAT Viewer?action=UPDATE&amp;creator=factset&amp;DOC_NAME=fat:reuters_ltm_source_window.fat&amp;display_string=Audit&amp;DYN_ARGS=TRUE&amp;VAR:ID1=WNC&amp;VAR:RCODE=FIBCEBITDA&amp;VAR:SDATE=20090399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4__FDSAUDITLINK__" localSheetId="4" hidden="1">{"fdsup://IBCentral/FAT Viewer?action=UPDATE&amp;creator=factset&amp;DOC_NAME=fat:reuters_ltm_source_window.fat&amp;display_string=Audit&amp;DYN_ARGS=TRUE&amp;VAR:ID1=WNC&amp;VAR:RCODE=FIBCEBITDA&amp;VAR:SDATE=20090399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4__FDSAUDITLINK__" hidden="1">{"fdsup://IBCentral/FAT Viewer?action=UPDATE&amp;creator=factset&amp;DOC_NAME=fat:reuters_ltm_source_window.fat&amp;display_string=Audit&amp;DYN_ARGS=TRUE&amp;VAR:ID1=WNC&amp;VAR:RCODE=FIBCEBITDA&amp;VAR:SDATE=20090399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5__123Graph_AChart_3X" localSheetId="0" hidden="1">#REF!</definedName>
    <definedName name="_125__123Graph_AChart_3X" hidden="1">#REF!</definedName>
    <definedName name="_125__FDSAUDITLINK__" localSheetId="5" hidden="1">{"fdsup://IBCentral/FAT Viewer?action=UPDATE&amp;creator=factset&amp;DOC_NAME=fat:reuters_annual_source_window.fat&amp;display_string=Audit&amp;DYN_ARGS=TRUE&amp;VAR:ID1=12466110&amp;VAR:RCODE=FIBCEBITDA&amp;VAR:SDATE=20090199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25__FDSAUDITLINK__" localSheetId="0" hidden="1">{"fdsup://IBCentral/FAT Viewer?action=UPDATE&amp;creator=factset&amp;DOC_NAME=fat:reuters_annual_source_window.fat&amp;display_string=Audit&amp;DYN_ARGS=TRUE&amp;VAR:ID1=12466110&amp;VAR:RCODE=FIBCEBITDA&amp;VAR:SDATE=20090199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25__FDSAUDITLINK__" localSheetId="4" hidden="1">{"fdsup://IBCentral/FAT Viewer?action=UPDATE&amp;creator=factset&amp;DOC_NAME=fat:reuters_annual_source_window.fat&amp;display_string=Audit&amp;DYN_ARGS=TRUE&amp;VAR:ID1=12466110&amp;VAR:RCODE=FIBCEBITDA&amp;VAR:SDATE=20090199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25__FDSAUDITLINK__" hidden="1">{"fdsup://IBCentral/FAT Viewer?action=UPDATE&amp;creator=factset&amp;DOC_NAME=fat:reuters_annual_source_window.fat&amp;display_string=Audit&amp;DYN_ARGS=TRUE&amp;VAR:ID1=12466110&amp;VAR:RCODE=FIBCEBITDA&amp;VAR:SDATE=20090199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26__FDSAUDITLINK__" localSheetId="5" hidden="1">{"fdsup://IBCentral/FAT Viewer?action=UPDATE&amp;creator=factset&amp;DOC_NAME=fat:reuters_ltm_source_window.fat&amp;display_string=Audit&amp;DYN_ARGS=TRUE&amp;VAR:ID1=LDL&amp;VAR:RCODE=FIBCEBITDA&amp;VAR:SDATE=20090399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6__FDSAUDITLINK__" localSheetId="0" hidden="1">{"fdsup://IBCentral/FAT Viewer?action=UPDATE&amp;creator=factset&amp;DOC_NAME=fat:reuters_ltm_source_window.fat&amp;display_string=Audit&amp;DYN_ARGS=TRUE&amp;VAR:ID1=LDL&amp;VAR:RCODE=FIBCEBITDA&amp;VAR:SDATE=20090399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6__FDSAUDITLINK__" localSheetId="4" hidden="1">{"fdsup://IBCentral/FAT Viewer?action=UPDATE&amp;creator=factset&amp;DOC_NAME=fat:reuters_ltm_source_window.fat&amp;display_string=Audit&amp;DYN_ARGS=TRUE&amp;VAR:ID1=LDL&amp;VAR:RCODE=FIBCEBITDA&amp;VAR:SDATE=20090399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6__FDSAUDITLINK__" hidden="1">{"fdsup://IBCentral/FAT Viewer?action=UPDATE&amp;creator=factset&amp;DOC_NAME=fat:reuters_ltm_source_window.fat&amp;display_string=Audit&amp;DYN_ARGS=TRUE&amp;VAR:ID1=LDL&amp;VAR:RCODE=FIBCEBITDA&amp;VAR:SDATE=20090399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7__123Graph_AChart_9C" localSheetId="0" hidden="1">#REF!</definedName>
    <definedName name="_127__123Graph_AChart_9C" hidden="1">#REF!</definedName>
    <definedName name="_127__FDSAUDITLINK__" localSheetId="5" hidden="1">{"fdsup://IBCentral/FAT Viewer?action=UPDATE&amp;creator=factset&amp;DOC_NAME=fat:reuters_ltm_source_window.fat&amp;display_string=Audit&amp;DYN_ARGS=TRUE&amp;VAR:ID1=NCS&amp;VAR:RCODE=FIBCEBITDA&amp;VAR:SDATE=20090199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7__FDSAUDITLINK__" localSheetId="0" hidden="1">{"fdsup://IBCentral/FAT Viewer?action=UPDATE&amp;creator=factset&amp;DOC_NAME=fat:reuters_ltm_source_window.fat&amp;display_string=Audit&amp;DYN_ARGS=TRUE&amp;VAR:ID1=NCS&amp;VAR:RCODE=FIBCEBITDA&amp;VAR:SDATE=20090199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7__FDSAUDITLINK__" localSheetId="4" hidden="1">{"fdsup://IBCentral/FAT Viewer?action=UPDATE&amp;creator=factset&amp;DOC_NAME=fat:reuters_ltm_source_window.fat&amp;display_string=Audit&amp;DYN_ARGS=TRUE&amp;VAR:ID1=NCS&amp;VAR:RCODE=FIBCEBITDA&amp;VAR:SDATE=20090199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7__FDSAUDITLINK__" hidden="1">{"fdsup://IBCentral/FAT Viewer?action=UPDATE&amp;creator=factset&amp;DOC_NAME=fat:reuters_ltm_source_window.fat&amp;display_string=Audit&amp;DYN_ARGS=TRUE&amp;VAR:ID1=NCS&amp;VAR:RCODE=FIBCEBITDA&amp;VAR:SDATE=20090199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8__FDSAUDITLINK__" localSheetId="5" hidden="1">{"fdsup://IBCentral/FAT Viewer?action=UPDATE&amp;creator=factset&amp;DOC_NAME=fat:reuters_ltm_source_window.fat&amp;display_string=Audit&amp;DYN_ARGS=TRUE&amp;VAR:ID1=MAG&amp;VAR:RCODE=FIBCEBITDA&amp;VAR:SDATE=20081299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8__FDSAUDITLINK__" localSheetId="0" hidden="1">{"fdsup://IBCentral/FAT Viewer?action=UPDATE&amp;creator=factset&amp;DOC_NAME=fat:reuters_ltm_source_window.fat&amp;display_string=Audit&amp;DYN_ARGS=TRUE&amp;VAR:ID1=MAG&amp;VAR:RCODE=FIBCEBITDA&amp;VAR:SDATE=20081299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8__FDSAUDITLINK__" localSheetId="4" hidden="1">{"fdsup://IBCentral/FAT Viewer?action=UPDATE&amp;creator=factset&amp;DOC_NAME=fat:reuters_ltm_source_window.fat&amp;display_string=Audit&amp;DYN_ARGS=TRUE&amp;VAR:ID1=MAG&amp;VAR:RCODE=FIBCEBITDA&amp;VAR:SDATE=20081299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8__FDSAUDITLINK__" hidden="1">{"fdsup://IBCentral/FAT Viewer?action=UPDATE&amp;creator=factset&amp;DOC_NAME=fat:reuters_ltm_source_window.fat&amp;display_string=Audit&amp;DYN_ARGS=TRUE&amp;VAR:ID1=MAG&amp;VAR:RCODE=FIBCEBITDA&amp;VAR:SDATE=20081299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9__123Graph_BChart_1A" localSheetId="0" hidden="1">#REF!</definedName>
    <definedName name="_129__123Graph_BChart_1A" hidden="1">#REF!</definedName>
    <definedName name="_129__FDSAUDITLINK__" localSheetId="5" hidden="1">{"fdsup://IBCentral/FAT Viewer?action=UPDATE&amp;creator=factset&amp;DOC_NAME=fat:reuters_ltm_source_window.fat&amp;display_string=Audit&amp;DYN_ARGS=TRUE&amp;VAR:ID1=BNE&amp;VAR:RCODE=FIBCEBITDA&amp;VAR:SDATE=20090399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9__FDSAUDITLINK__" localSheetId="0" hidden="1">{"fdsup://IBCentral/FAT Viewer?action=UPDATE&amp;creator=factset&amp;DOC_NAME=fat:reuters_ltm_source_window.fat&amp;display_string=Audit&amp;DYN_ARGS=TRUE&amp;VAR:ID1=BNE&amp;VAR:RCODE=FIBCEBITDA&amp;VAR:SDATE=20090399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9__FDSAUDITLINK__" localSheetId="4" hidden="1">{"fdsup://IBCentral/FAT Viewer?action=UPDATE&amp;creator=factset&amp;DOC_NAME=fat:reuters_ltm_source_window.fat&amp;display_string=Audit&amp;DYN_ARGS=TRUE&amp;VAR:ID1=BNE&amp;VAR:RCODE=FIBCEBITDA&amp;VAR:SDATE=20090399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9__FDSAUDITLINK__" hidden="1">{"fdsup://IBCentral/FAT Viewer?action=UPDATE&amp;creator=factset&amp;DOC_NAME=fat:reuters_ltm_source_window.fat&amp;display_string=Audit&amp;DYN_ARGS=TRUE&amp;VAR:ID1=BNE&amp;VAR:RCODE=FIBCEBITDA&amp;VAR:SDATE=20090399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2FAMERangeDJ_BALA" localSheetId="0">#REF!</definedName>
    <definedName name="_12FAMERangeDJ_BALA">#REF!</definedName>
    <definedName name="_13__123Graph_ACHART_1" localSheetId="0" hidden="1">#REF!</definedName>
    <definedName name="_13__123Graph_ACHART_1" hidden="1">#REF!</definedName>
    <definedName name="_13__123Graph_AChart_1AB" localSheetId="0" hidden="1">#REF!</definedName>
    <definedName name="_13__123Graph_AChart_1AB" hidden="1">#REF!</definedName>
    <definedName name="_13__FDSAUDITLINK__" localSheetId="5" hidden="1">{"fdsup://IBCentral/FAT Viewer?action=UPDATE&amp;creator=factset&amp;DOC_NAME=fat:reuters_ltm_source_window.fat&amp;display_string=Audit&amp;DYN_ARGS=TRUE&amp;VAR:ID1=AYI&amp;VAR:RCODE=FIBCEBITDA&amp;VAR:SDATE=20090299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__FDSAUDITLINK__" localSheetId="0" hidden="1">{"fdsup://IBCentral/FAT Viewer?action=UPDATE&amp;creator=factset&amp;DOC_NAME=fat:reuters_ltm_source_window.fat&amp;display_string=Audit&amp;DYN_ARGS=TRUE&amp;VAR:ID1=AYI&amp;VAR:RCODE=FIBCEBITDA&amp;VAR:SDATE=20090299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__FDSAUDITLINK__" localSheetId="4" hidden="1">{"fdsup://IBCentral/FAT Viewer?action=UPDATE&amp;creator=factset&amp;DOC_NAME=fat:reuters_ltm_source_window.fat&amp;display_string=Audit&amp;DYN_ARGS=TRUE&amp;VAR:ID1=AYI&amp;VAR:RCODE=FIBCEBITDA&amp;VAR:SDATE=20090299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__FDSAUDITLINK__" hidden="1">{"fdsup://IBCentral/FAT Viewer?action=UPDATE&amp;creator=factset&amp;DOC_NAME=fat:reuters_ltm_source_window.fat&amp;display_string=Audit&amp;DYN_ARGS=TRUE&amp;VAR:ID1=AYI&amp;VAR:RCODE=FIBCEBITDA&amp;VAR:SDATE=20090299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_3_0Income_before_ta" localSheetId="0">#REF!</definedName>
    <definedName name="_13_3_0Income_before_ta">#REF!</definedName>
    <definedName name="_130__FDSAUDITLINK__" localSheetId="5" hidden="1">{"fdsup://IBCentral/FAT Viewer?action=UPDATE&amp;creator=factset&amp;DOC_NAME=fat:reuters_ltm_source_window.fat&amp;display_string=Audit&amp;DYN_ARGS=TRUE&amp;VAR:ID1=ASGN&amp;VAR:RCODE=FIBCEBITDA&amp;VAR:SDATE=20090399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0__FDSAUDITLINK__" localSheetId="0" hidden="1">{"fdsup://IBCentral/FAT Viewer?action=UPDATE&amp;creator=factset&amp;DOC_NAME=fat:reuters_ltm_source_window.fat&amp;display_string=Audit&amp;DYN_ARGS=TRUE&amp;VAR:ID1=ASGN&amp;VAR:RCODE=FIBCEBITDA&amp;VAR:SDATE=20090399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0__FDSAUDITLINK__" localSheetId="4" hidden="1">{"fdsup://IBCentral/FAT Viewer?action=UPDATE&amp;creator=factset&amp;DOC_NAME=fat:reuters_ltm_source_window.fat&amp;display_string=Audit&amp;DYN_ARGS=TRUE&amp;VAR:ID1=ASGN&amp;VAR:RCODE=FIBCEBITDA&amp;VAR:SDATE=20090399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0__FDSAUDITLINK__" hidden="1">{"fdsup://IBCentral/FAT Viewer?action=UPDATE&amp;creator=factset&amp;DOC_NAME=fat:reuters_ltm_source_window.fat&amp;display_string=Audit&amp;DYN_ARGS=TRUE&amp;VAR:ID1=ASGN&amp;VAR:RCODE=FIBCEBITDA&amp;VAR:SDATE=20090399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1__123Graph_BChart_1AA" localSheetId="0" hidden="1">#REF!</definedName>
    <definedName name="_131__123Graph_BChart_1AA" hidden="1">#REF!</definedName>
    <definedName name="_131__FDSAUDITLINK__" localSheetId="5" hidden="1">{"fdsup://IBCentral/FAT Viewer?action=UPDATE&amp;creator=factset&amp;DOC_NAME=fat:reuters_ltm_source_window.fat&amp;display_string=Audit&amp;DYN_ARGS=TRUE&amp;VAR:ID1=LAWS&amp;VAR:RCODE=FIBCEBITDA&amp;VAR:SDATE=20090399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1__FDSAUDITLINK__" localSheetId="0" hidden="1">{"fdsup://IBCentral/FAT Viewer?action=UPDATE&amp;creator=factset&amp;DOC_NAME=fat:reuters_ltm_source_window.fat&amp;display_string=Audit&amp;DYN_ARGS=TRUE&amp;VAR:ID1=LAWS&amp;VAR:RCODE=FIBCEBITDA&amp;VAR:SDATE=20090399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1__FDSAUDITLINK__" localSheetId="4" hidden="1">{"fdsup://IBCentral/FAT Viewer?action=UPDATE&amp;creator=factset&amp;DOC_NAME=fat:reuters_ltm_source_window.fat&amp;display_string=Audit&amp;DYN_ARGS=TRUE&amp;VAR:ID1=LAWS&amp;VAR:RCODE=FIBCEBITDA&amp;VAR:SDATE=20090399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1__FDSAUDITLINK__" hidden="1">{"fdsup://IBCentral/FAT Viewer?action=UPDATE&amp;creator=factset&amp;DOC_NAME=fat:reuters_ltm_source_window.fat&amp;display_string=Audit&amp;DYN_ARGS=TRUE&amp;VAR:ID1=LAWS&amp;VAR:RCODE=FIBCEBITDA&amp;VAR:SDATE=20090399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2__FDSAUDITLINK__" localSheetId="5" hidden="1">{"fdsup://IBCentral/FAT Viewer?action=UPDATE&amp;creator=factset&amp;DOC_NAME=fat:reuters_ltm_source_window.fat&amp;display_string=Audit&amp;DYN_ARGS=TRUE&amp;VAR:ID1=SXI&amp;VAR:RCODE=FIBCEBITDA&amp;VAR:SDATE=20090399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2__FDSAUDITLINK__" localSheetId="0" hidden="1">{"fdsup://IBCentral/FAT Viewer?action=UPDATE&amp;creator=factset&amp;DOC_NAME=fat:reuters_ltm_source_window.fat&amp;display_string=Audit&amp;DYN_ARGS=TRUE&amp;VAR:ID1=SXI&amp;VAR:RCODE=FIBCEBITDA&amp;VAR:SDATE=20090399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2__FDSAUDITLINK__" localSheetId="4" hidden="1">{"fdsup://IBCentral/FAT Viewer?action=UPDATE&amp;creator=factset&amp;DOC_NAME=fat:reuters_ltm_source_window.fat&amp;display_string=Audit&amp;DYN_ARGS=TRUE&amp;VAR:ID1=SXI&amp;VAR:RCODE=FIBCEBITDA&amp;VAR:SDATE=20090399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2__FDSAUDITLINK__" hidden="1">{"fdsup://IBCentral/FAT Viewer?action=UPDATE&amp;creator=factset&amp;DOC_NAME=fat:reuters_ltm_source_window.fat&amp;display_string=Audit&amp;DYN_ARGS=TRUE&amp;VAR:ID1=SXI&amp;VAR:RCODE=FIBCEBITDA&amp;VAR:SDATE=20090399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3__123Graph_BChart_1AB" localSheetId="0" hidden="1">#REF!</definedName>
    <definedName name="_133__123Graph_BChart_1AB" hidden="1">#REF!</definedName>
    <definedName name="_133__FDSAUDITLINK__" localSheetId="5" hidden="1">{"fdsup://IBCentral/FAT Viewer?action=UPDATE&amp;creator=factset&amp;DOC_NAME=fat:reuters_annual_source_window.fat&amp;display_string=Audit&amp;DYN_ARGS=TRUE&amp;VAR:ID1=20934110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33__FDSAUDITLINK__" localSheetId="0" hidden="1">{"fdsup://IBCentral/FAT Viewer?action=UPDATE&amp;creator=factset&amp;DOC_NAME=fat:reuters_annual_source_window.fat&amp;display_string=Audit&amp;DYN_ARGS=TRUE&amp;VAR:ID1=20934110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33__FDSAUDITLINK__" localSheetId="4" hidden="1">{"fdsup://IBCentral/FAT Viewer?action=UPDATE&amp;creator=factset&amp;DOC_NAME=fat:reuters_annual_source_window.fat&amp;display_string=Audit&amp;DYN_ARGS=TRUE&amp;VAR:ID1=20934110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33__FDSAUDITLINK__" hidden="1">{"fdsup://IBCentral/FAT Viewer?action=UPDATE&amp;creator=factset&amp;DOC_NAME=fat:reuters_annual_source_window.fat&amp;display_string=Audit&amp;DYN_ARGS=TRUE&amp;VAR:ID1=20934110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34__FDSAUDITLINK__" localSheetId="5" hidden="1">{"fdsup://IBCentral/FAT Viewer?action=UPDATE&amp;creator=factset&amp;DOC_NAME=fat:reuters_ltm_source_window.fat&amp;display_string=Audit&amp;DYN_ARGS=TRUE&amp;VAR:ID1=ROCK&amp;VAR:RCODE=FIBCEBITDA&amp;VAR:SDATE=20090399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4__FDSAUDITLINK__" localSheetId="0" hidden="1">{"fdsup://IBCentral/FAT Viewer?action=UPDATE&amp;creator=factset&amp;DOC_NAME=fat:reuters_ltm_source_window.fat&amp;display_string=Audit&amp;DYN_ARGS=TRUE&amp;VAR:ID1=ROCK&amp;VAR:RCODE=FIBCEBITDA&amp;VAR:SDATE=20090399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4__FDSAUDITLINK__" localSheetId="4" hidden="1">{"fdsup://IBCentral/FAT Viewer?action=UPDATE&amp;creator=factset&amp;DOC_NAME=fat:reuters_ltm_source_window.fat&amp;display_string=Audit&amp;DYN_ARGS=TRUE&amp;VAR:ID1=ROCK&amp;VAR:RCODE=FIBCEBITDA&amp;VAR:SDATE=20090399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4__FDSAUDITLINK__" hidden="1">{"fdsup://IBCentral/FAT Viewer?action=UPDATE&amp;creator=factset&amp;DOC_NAME=fat:reuters_ltm_source_window.fat&amp;display_string=Audit&amp;DYN_ARGS=TRUE&amp;VAR:ID1=ROCK&amp;VAR:RCODE=FIBCEBITDA&amp;VAR:SDATE=20090399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35__123Graph_BChart_1AC" localSheetId="0" hidden="1">#REF!</definedName>
    <definedName name="_135__123Graph_BChart_1AC" hidden="1">#REF!</definedName>
    <definedName name="_135__FDSAUDITLINK__" localSheetId="5" hidden="1">{"fdsup://IBCentral/FAT Viewer?action=UPDATE&amp;creator=factset&amp;DOC_NAME=fat:reuters_ltm_source_window.fat&amp;display_string=Audit&amp;DYN_ARGS=TRUE&amp;VAR:ID1=GY&amp;VAR:RCODE=FIBCEBITDA&amp;VAR:SDATE=20090299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35__FDSAUDITLINK__" localSheetId="0" hidden="1">{"fdsup://IBCentral/FAT Viewer?action=UPDATE&amp;creator=factset&amp;DOC_NAME=fat:reuters_ltm_source_window.fat&amp;display_string=Audit&amp;DYN_ARGS=TRUE&amp;VAR:ID1=GY&amp;VAR:RCODE=FIBCEBITDA&amp;VAR:SDATE=20090299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35__FDSAUDITLINK__" localSheetId="4" hidden="1">{"fdsup://IBCentral/FAT Viewer?action=UPDATE&amp;creator=factset&amp;DOC_NAME=fat:reuters_ltm_source_window.fat&amp;display_string=Audit&amp;DYN_ARGS=TRUE&amp;VAR:ID1=GY&amp;VAR:RCODE=FIBCEBITDA&amp;VAR:SDATE=20090299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35__FDSAUDITLINK__" hidden="1">{"fdsup://IBCentral/FAT Viewer?action=UPDATE&amp;creator=factset&amp;DOC_NAME=fat:reuters_ltm_source_window.fat&amp;display_string=Audit&amp;DYN_ARGS=TRUE&amp;VAR:ID1=GY&amp;VAR:RCODE=FIBCEBITDA&amp;VAR:SDATE=20090299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36__FDSAUDITLINK__" localSheetId="5" hidden="1">{"fdsup://IBCentral/FAT Viewer?action=UPDATE&amp;creator=factset&amp;DOC_NAME=fat:reuters_ltm_source_window.fat&amp;display_string=Audit&amp;DYN_ARGS=TRUE&amp;VAR:ID1=SFN&amp;VAR:RCODE=FIBCEBITDA&amp;VAR:SDATE=20090399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6__FDSAUDITLINK__" localSheetId="0" hidden="1">{"fdsup://IBCentral/FAT Viewer?action=UPDATE&amp;creator=factset&amp;DOC_NAME=fat:reuters_ltm_source_window.fat&amp;display_string=Audit&amp;DYN_ARGS=TRUE&amp;VAR:ID1=SFN&amp;VAR:RCODE=FIBCEBITDA&amp;VAR:SDATE=20090399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6__FDSAUDITLINK__" localSheetId="4" hidden="1">{"fdsup://IBCentral/FAT Viewer?action=UPDATE&amp;creator=factset&amp;DOC_NAME=fat:reuters_ltm_source_window.fat&amp;display_string=Audit&amp;DYN_ARGS=TRUE&amp;VAR:ID1=SFN&amp;VAR:RCODE=FIBCEBITDA&amp;VAR:SDATE=20090399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6__FDSAUDITLINK__" hidden="1">{"fdsup://IBCentral/FAT Viewer?action=UPDATE&amp;creator=factset&amp;DOC_NAME=fat:reuters_ltm_source_window.fat&amp;display_string=Audit&amp;DYN_ARGS=TRUE&amp;VAR:ID1=SFN&amp;VAR:RCODE=FIBCEBITDA&amp;VAR:SDATE=20090399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7__123Graph_BChart_1AD" localSheetId="0" hidden="1">#REF!</definedName>
    <definedName name="_137__123Graph_BChart_1AD" hidden="1">#REF!</definedName>
    <definedName name="_137__FDSAUDITLINK__" localSheetId="5" hidden="1">{"fdsup://IBCentral/FAT Viewer?action=UPDATE&amp;creator=factset&amp;DOC_NAME=fat:reuters_ltm_source_window.fat&amp;display_string=Audit&amp;DYN_ARGS=TRUE&amp;VAR:ID1=SR&amp;VAR:RCODE=FIBCEBITDA&amp;VAR:SDATE=20090399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37__FDSAUDITLINK__" localSheetId="0" hidden="1">{"fdsup://IBCentral/FAT Viewer?action=UPDATE&amp;creator=factset&amp;DOC_NAME=fat:reuters_ltm_source_window.fat&amp;display_string=Audit&amp;DYN_ARGS=TRUE&amp;VAR:ID1=SR&amp;VAR:RCODE=FIBCEBITDA&amp;VAR:SDATE=20090399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37__FDSAUDITLINK__" localSheetId="4" hidden="1">{"fdsup://IBCentral/FAT Viewer?action=UPDATE&amp;creator=factset&amp;DOC_NAME=fat:reuters_ltm_source_window.fat&amp;display_string=Audit&amp;DYN_ARGS=TRUE&amp;VAR:ID1=SR&amp;VAR:RCODE=FIBCEBITDA&amp;VAR:SDATE=20090399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37__FDSAUDITLINK__" hidden="1">{"fdsup://IBCentral/FAT Viewer?action=UPDATE&amp;creator=factset&amp;DOC_NAME=fat:reuters_ltm_source_window.fat&amp;display_string=Audit&amp;DYN_ARGS=TRUE&amp;VAR:ID1=SR&amp;VAR:RCODE=FIBCEBITDA&amp;VAR:SDATE=20090399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38__FDSAUDITLINK__" localSheetId="5" hidden="1">{"fdsup://IBCentral/FAT Viewer?action=UPDATE&amp;creator=factset&amp;DOC_NAME=fat:reuters_ltm_source_window.fat&amp;display_string=Audit&amp;DYN_ARGS=TRUE&amp;VAR:ID1=IFSIA&amp;VAR:RCODE=FIBCEBITDA&amp;VAR:SDATE=20090399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38__FDSAUDITLINK__" localSheetId="0" hidden="1">{"fdsup://IBCentral/FAT Viewer?action=UPDATE&amp;creator=factset&amp;DOC_NAME=fat:reuters_ltm_source_window.fat&amp;display_string=Audit&amp;DYN_ARGS=TRUE&amp;VAR:ID1=IFSIA&amp;VAR:RCODE=FIBCEBITDA&amp;VAR:SDATE=20090399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38__FDSAUDITLINK__" localSheetId="4" hidden="1">{"fdsup://IBCentral/FAT Viewer?action=UPDATE&amp;creator=factset&amp;DOC_NAME=fat:reuters_ltm_source_window.fat&amp;display_string=Audit&amp;DYN_ARGS=TRUE&amp;VAR:ID1=IFSIA&amp;VAR:RCODE=FIBCEBITDA&amp;VAR:SDATE=20090399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38__FDSAUDITLINK__" hidden="1">{"fdsup://IBCentral/FAT Viewer?action=UPDATE&amp;creator=factset&amp;DOC_NAME=fat:reuters_ltm_source_window.fat&amp;display_string=Audit&amp;DYN_ARGS=TRUE&amp;VAR:ID1=IFSIA&amp;VAR:RCODE=FIBCEBITDA&amp;VAR:SDATE=20090399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39__123Graph_BChart_1AE" localSheetId="0" hidden="1">#REF!</definedName>
    <definedName name="_139__123Graph_BChart_1AE" hidden="1">#REF!</definedName>
    <definedName name="_139__FDSAUDITLINK__" localSheetId="5" hidden="1">{"fdsup://IBCentral/FAT Viewer?action=UPDATE&amp;creator=factset&amp;DOC_NAME=fat:reuters_ltm_source_window.fat&amp;display_string=Audit&amp;DYN_ARGS=TRUE&amp;VAR:ID1=VOL&amp;VAR:RCODE=FIBCEBITDA&amp;VAR:SDATE=20090199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9__FDSAUDITLINK__" localSheetId="0" hidden="1">{"fdsup://IBCentral/FAT Viewer?action=UPDATE&amp;creator=factset&amp;DOC_NAME=fat:reuters_ltm_source_window.fat&amp;display_string=Audit&amp;DYN_ARGS=TRUE&amp;VAR:ID1=VOL&amp;VAR:RCODE=FIBCEBITDA&amp;VAR:SDATE=20090199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9__FDSAUDITLINK__" localSheetId="4" hidden="1">{"fdsup://IBCentral/FAT Viewer?action=UPDATE&amp;creator=factset&amp;DOC_NAME=fat:reuters_ltm_source_window.fat&amp;display_string=Audit&amp;DYN_ARGS=TRUE&amp;VAR:ID1=VOL&amp;VAR:RCODE=FIBCEBITDA&amp;VAR:SDATE=20090199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9__FDSAUDITLINK__" hidden="1">{"fdsup://IBCentral/FAT Viewer?action=UPDATE&amp;creator=factset&amp;DOC_NAME=fat:reuters_ltm_source_window.fat&amp;display_string=Audit&amp;DYN_ARGS=TRUE&amp;VAR:ID1=VOL&amp;VAR:RCODE=FIBCEBITDA&amp;VAR:SDATE=20090199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3FAMERangeGCI_BAL" localSheetId="0">#REF!</definedName>
    <definedName name="_13FAMERangeGCI_BAL">#REF!</definedName>
    <definedName name="_14__123Graph_ACHART_10" localSheetId="0" hidden="1">#REF!</definedName>
    <definedName name="_14__123Graph_ACHART_10" hidden="1">#REF!</definedName>
    <definedName name="_14__FDSAUDITLINK__" localSheetId="5" hidden="1">{"fdsup://IBCentral/FAT Viewer?action=UPDATE&amp;creator=factset&amp;DOC_NAME=fat:reuters_ltm_source_window.fat&amp;display_string=Audit&amp;DYN_ARGS=TRUE&amp;VAR:ID1=TEX&amp;VAR:RCODE=FIBCEBITDA&amp;VAR:SDATE=20090399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__FDSAUDITLINK__" localSheetId="0" hidden="1">{"fdsup://IBCentral/FAT Viewer?action=UPDATE&amp;creator=factset&amp;DOC_NAME=fat:reuters_ltm_source_window.fat&amp;display_string=Audit&amp;DYN_ARGS=TRUE&amp;VAR:ID1=TEX&amp;VAR:RCODE=FIBCEBITDA&amp;VAR:SDATE=20090399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__FDSAUDITLINK__" localSheetId="4" hidden="1">{"fdsup://IBCentral/FAT Viewer?action=UPDATE&amp;creator=factset&amp;DOC_NAME=fat:reuters_ltm_source_window.fat&amp;display_string=Audit&amp;DYN_ARGS=TRUE&amp;VAR:ID1=TEX&amp;VAR:RCODE=FIBCEBITDA&amp;VAR:SDATE=20090399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__FDSAUDITLINK__" hidden="1">{"fdsup://IBCentral/FAT Viewer?action=UPDATE&amp;creator=factset&amp;DOC_NAME=fat:reuters_ltm_source_window.fat&amp;display_string=Audit&amp;DYN_ARGS=TRUE&amp;VAR:ID1=TEX&amp;VAR:RCODE=FIBCEBITDA&amp;VAR:SDATE=20090399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_3_0Increase_in_other_liabilit" localSheetId="0">#REF!</definedName>
    <definedName name="_14_3_0Increase_in_other_liabilit">#REF!</definedName>
    <definedName name="_140__FDSAUDITLINK__" localSheetId="5" hidden="1">{"fdsup://IBCentral/FAT Viewer?action=UPDATE&amp;creator=factset&amp;DOC_NAME=fat:reuters_ltm_source_window.fat&amp;display_string=Audit&amp;DYN_ARGS=TRUE&amp;VAR:ID1=CDI&amp;VAR:RCODE=FIBCEBITDA&amp;VAR:SDATE=20090399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0__FDSAUDITLINK__" localSheetId="0" hidden="1">{"fdsup://IBCentral/FAT Viewer?action=UPDATE&amp;creator=factset&amp;DOC_NAME=fat:reuters_ltm_source_window.fat&amp;display_string=Audit&amp;DYN_ARGS=TRUE&amp;VAR:ID1=CDI&amp;VAR:RCODE=FIBCEBITDA&amp;VAR:SDATE=20090399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0__FDSAUDITLINK__" localSheetId="4" hidden="1">{"fdsup://IBCentral/FAT Viewer?action=UPDATE&amp;creator=factset&amp;DOC_NAME=fat:reuters_ltm_source_window.fat&amp;display_string=Audit&amp;DYN_ARGS=TRUE&amp;VAR:ID1=CDI&amp;VAR:RCODE=FIBCEBITDA&amp;VAR:SDATE=20090399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0__FDSAUDITLINK__" hidden="1">{"fdsup://IBCentral/FAT Viewer?action=UPDATE&amp;creator=factset&amp;DOC_NAME=fat:reuters_ltm_source_window.fat&amp;display_string=Audit&amp;DYN_ARGS=TRUE&amp;VAR:ID1=CDI&amp;VAR:RCODE=FIBCEBITDA&amp;VAR:SDATE=20090399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1__123Graph_BChart_1AF" localSheetId="0" hidden="1">#REF!</definedName>
    <definedName name="_141__123Graph_BChart_1AF" hidden="1">#REF!</definedName>
    <definedName name="_141__FDSAUDITLINK__" localSheetId="5" hidden="1">{"fdsup://IBCentral/FAT Viewer?action=UPDATE&amp;creator=factset&amp;DOC_NAME=fat:reuters_ltm_source_window.fat&amp;display_string=Audit&amp;DYN_ARGS=TRUE&amp;VAR:ID1=DY&amp;VAR:RCODE=FIBCEBITDA&amp;VAR:SDATE=20090499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41__FDSAUDITLINK__" localSheetId="0" hidden="1">{"fdsup://IBCentral/FAT Viewer?action=UPDATE&amp;creator=factset&amp;DOC_NAME=fat:reuters_ltm_source_window.fat&amp;display_string=Audit&amp;DYN_ARGS=TRUE&amp;VAR:ID1=DY&amp;VAR:RCODE=FIBCEBITDA&amp;VAR:SDATE=20090499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41__FDSAUDITLINK__" localSheetId="4" hidden="1">{"fdsup://IBCentral/FAT Viewer?action=UPDATE&amp;creator=factset&amp;DOC_NAME=fat:reuters_ltm_source_window.fat&amp;display_string=Audit&amp;DYN_ARGS=TRUE&amp;VAR:ID1=DY&amp;VAR:RCODE=FIBCEBITDA&amp;VAR:SDATE=20090499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41__FDSAUDITLINK__" hidden="1">{"fdsup://IBCentral/FAT Viewer?action=UPDATE&amp;creator=factset&amp;DOC_NAME=fat:reuters_ltm_source_window.fat&amp;display_string=Audit&amp;DYN_ARGS=TRUE&amp;VAR:ID1=DY&amp;VAR:RCODE=FIBCEBITDA&amp;VAR:SDATE=20090499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42__FDSAUDITLINK__" localSheetId="5" hidden="1">{"fdsup://IBCentral/FAT Viewer?action=UPDATE&amp;creator=factset&amp;DOC_NAME=fat:reuters_ltm_source_window.fat&amp;display_string=Audit&amp;DYN_ARGS=TRUE&amp;VAR:ID1=VICR&amp;VAR:RCODE=FIBCEBITDA&amp;VAR:SDATE=20090399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2__FDSAUDITLINK__" localSheetId="0" hidden="1">{"fdsup://IBCentral/FAT Viewer?action=UPDATE&amp;creator=factset&amp;DOC_NAME=fat:reuters_ltm_source_window.fat&amp;display_string=Audit&amp;DYN_ARGS=TRUE&amp;VAR:ID1=VICR&amp;VAR:RCODE=FIBCEBITDA&amp;VAR:SDATE=20090399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2__FDSAUDITLINK__" localSheetId="4" hidden="1">{"fdsup://IBCentral/FAT Viewer?action=UPDATE&amp;creator=factset&amp;DOC_NAME=fat:reuters_ltm_source_window.fat&amp;display_string=Audit&amp;DYN_ARGS=TRUE&amp;VAR:ID1=VICR&amp;VAR:RCODE=FIBCEBITDA&amp;VAR:SDATE=20090399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2__FDSAUDITLINK__" hidden="1">{"fdsup://IBCentral/FAT Viewer?action=UPDATE&amp;creator=factset&amp;DOC_NAME=fat:reuters_ltm_source_window.fat&amp;display_string=Audit&amp;DYN_ARGS=TRUE&amp;VAR:ID1=VICR&amp;VAR:RCODE=FIBCEBITDA&amp;VAR:SDATE=20090399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3__123Graph_BChart_1AG" localSheetId="0" hidden="1">#REF!</definedName>
    <definedName name="_143__123Graph_BChart_1AG" hidden="1">#REF!</definedName>
    <definedName name="_143__FDSAUDITLINK__" localSheetId="5" hidden="1">{"fdsup://IBCentral/FAT Viewer?action=UPDATE&amp;creator=factset&amp;DOC_NAME=fat:reuters_ltm_source_window.fat&amp;display_string=Audit&amp;DYN_ARGS=TRUE&amp;VAR:ID1=YRCW&amp;VAR:RCODE=FIBCEBITDA&amp;VAR:SDATE=20090399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3__FDSAUDITLINK__" localSheetId="0" hidden="1">{"fdsup://IBCentral/FAT Viewer?action=UPDATE&amp;creator=factset&amp;DOC_NAME=fat:reuters_ltm_source_window.fat&amp;display_string=Audit&amp;DYN_ARGS=TRUE&amp;VAR:ID1=YRCW&amp;VAR:RCODE=FIBCEBITDA&amp;VAR:SDATE=20090399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3__FDSAUDITLINK__" localSheetId="4" hidden="1">{"fdsup://IBCentral/FAT Viewer?action=UPDATE&amp;creator=factset&amp;DOC_NAME=fat:reuters_ltm_source_window.fat&amp;display_string=Audit&amp;DYN_ARGS=TRUE&amp;VAR:ID1=YRCW&amp;VAR:RCODE=FIBCEBITDA&amp;VAR:SDATE=20090399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3__FDSAUDITLINK__" hidden="1">{"fdsup://IBCentral/FAT Viewer?action=UPDATE&amp;creator=factset&amp;DOC_NAME=fat:reuters_ltm_source_window.fat&amp;display_string=Audit&amp;DYN_ARGS=TRUE&amp;VAR:ID1=YRCW&amp;VAR:RCODE=FIBCEBITDA&amp;VAR:SDATE=20090399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4__FDSAUDITLINK__" localSheetId="5" hidden="1">{"fdsup://IBCentral/FAT Viewer?action=UPDATE&amp;creator=factset&amp;DOC_NAME=fat:reuters_ltm_source_window.fat&amp;display_string=Audit&amp;DYN_ARGS=TRUE&amp;VAR:ID1=ATAC&amp;VAR:RCODE=FIBCEBITDA&amp;VAR:SDATE=20090399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4__FDSAUDITLINK__" localSheetId="0" hidden="1">{"fdsup://IBCentral/FAT Viewer?action=UPDATE&amp;creator=factset&amp;DOC_NAME=fat:reuters_ltm_source_window.fat&amp;display_string=Audit&amp;DYN_ARGS=TRUE&amp;VAR:ID1=ATAC&amp;VAR:RCODE=FIBCEBITDA&amp;VAR:SDATE=20090399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4__FDSAUDITLINK__" localSheetId="4" hidden="1">{"fdsup://IBCentral/FAT Viewer?action=UPDATE&amp;creator=factset&amp;DOC_NAME=fat:reuters_ltm_source_window.fat&amp;display_string=Audit&amp;DYN_ARGS=TRUE&amp;VAR:ID1=ATAC&amp;VAR:RCODE=FIBCEBITDA&amp;VAR:SDATE=20090399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4__FDSAUDITLINK__" hidden="1">{"fdsup://IBCentral/FAT Viewer?action=UPDATE&amp;creator=factset&amp;DOC_NAME=fat:reuters_ltm_source_window.fat&amp;display_string=Audit&amp;DYN_ARGS=TRUE&amp;VAR:ID1=ATAC&amp;VAR:RCODE=FIBCEBITDA&amp;VAR:SDATE=20090399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5__123Graph_BChart_1AM" localSheetId="0" hidden="1">#REF!</definedName>
    <definedName name="_145__123Graph_BChart_1AM" hidden="1">#REF!</definedName>
    <definedName name="_145__FDSAUDITLINK__" localSheetId="5" hidden="1">{"fdsup://IBCentral/FAT Viewer?action=UPDATE&amp;creator=factset&amp;DOC_NAME=fat:reuters_annual_source_window.fat&amp;display_string=Audit&amp;DYN_ARGS=TRUE&amp;VAR:ID1=14719510&amp;VAR:RCODE=FIBCEBITDA&amp;VAR:SDATE=20090199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45__FDSAUDITLINK__" localSheetId="0" hidden="1">{"fdsup://IBCentral/FAT Viewer?action=UPDATE&amp;creator=factset&amp;DOC_NAME=fat:reuters_annual_source_window.fat&amp;display_string=Audit&amp;DYN_ARGS=TRUE&amp;VAR:ID1=14719510&amp;VAR:RCODE=FIBCEBITDA&amp;VAR:SDATE=20090199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45__FDSAUDITLINK__" localSheetId="4" hidden="1">{"fdsup://IBCentral/FAT Viewer?action=UPDATE&amp;creator=factset&amp;DOC_NAME=fat:reuters_annual_source_window.fat&amp;display_string=Audit&amp;DYN_ARGS=TRUE&amp;VAR:ID1=14719510&amp;VAR:RCODE=FIBCEBITDA&amp;VAR:SDATE=20090199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45__FDSAUDITLINK__" hidden="1">{"fdsup://IBCentral/FAT Viewer?action=UPDATE&amp;creator=factset&amp;DOC_NAME=fat:reuters_annual_source_window.fat&amp;display_string=Audit&amp;DYN_ARGS=TRUE&amp;VAR:ID1=14719510&amp;VAR:RCODE=FIBCEBITDA&amp;VAR:SDATE=20090199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46__FDSAUDITLINK__" localSheetId="5" hidden="1">{"fdsup://IBCentral/FAT Viewer?action=UPDATE&amp;creator=factset&amp;DOC_NAME=fat:reuters_ltm_source_window.fat&amp;display_string=Audit&amp;DYN_ARGS=TRUE&amp;VAR:ID1=AIN&amp;VAR:RCODE=FIBCEBITDA&amp;VAR:SDATE=20090399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6__FDSAUDITLINK__" localSheetId="0" hidden="1">{"fdsup://IBCentral/FAT Viewer?action=UPDATE&amp;creator=factset&amp;DOC_NAME=fat:reuters_ltm_source_window.fat&amp;display_string=Audit&amp;DYN_ARGS=TRUE&amp;VAR:ID1=AIN&amp;VAR:RCODE=FIBCEBITDA&amp;VAR:SDATE=20090399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6__FDSAUDITLINK__" localSheetId="4" hidden="1">{"fdsup://IBCentral/FAT Viewer?action=UPDATE&amp;creator=factset&amp;DOC_NAME=fat:reuters_ltm_source_window.fat&amp;display_string=Audit&amp;DYN_ARGS=TRUE&amp;VAR:ID1=AIN&amp;VAR:RCODE=FIBCEBITDA&amp;VAR:SDATE=20090399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6__FDSAUDITLINK__" hidden="1">{"fdsup://IBCentral/FAT Viewer?action=UPDATE&amp;creator=factset&amp;DOC_NAME=fat:reuters_ltm_source_window.fat&amp;display_string=Audit&amp;DYN_ARGS=TRUE&amp;VAR:ID1=AIN&amp;VAR:RCODE=FIBCEBITDA&amp;VAR:SDATE=20090399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7__123Graph_BChart_1AO" localSheetId="0" hidden="1">#REF!</definedName>
    <definedName name="_147__123Graph_BChart_1AO" hidden="1">#REF!</definedName>
    <definedName name="_147__FDSAUDITLINK__" localSheetId="5" hidden="1">{"fdsup://IBCentral/FAT Viewer?action=UPDATE&amp;creator=factset&amp;DOC_NAME=fat:reuters_ltm_source_window.fat&amp;display_string=Audit&amp;DYN_ARGS=TRUE&amp;VAR:ID1=URI&amp;VAR:RCODE=FIBCEBITDA&amp;VAR:SDATE=20090399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7__FDSAUDITLINK__" localSheetId="0" hidden="1">{"fdsup://IBCentral/FAT Viewer?action=UPDATE&amp;creator=factset&amp;DOC_NAME=fat:reuters_ltm_source_window.fat&amp;display_string=Audit&amp;DYN_ARGS=TRUE&amp;VAR:ID1=URI&amp;VAR:RCODE=FIBCEBITDA&amp;VAR:SDATE=20090399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7__FDSAUDITLINK__" localSheetId="4" hidden="1">{"fdsup://IBCentral/FAT Viewer?action=UPDATE&amp;creator=factset&amp;DOC_NAME=fat:reuters_ltm_source_window.fat&amp;display_string=Audit&amp;DYN_ARGS=TRUE&amp;VAR:ID1=URI&amp;VAR:RCODE=FIBCEBITDA&amp;VAR:SDATE=20090399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7__FDSAUDITLINK__" hidden="1">{"fdsup://IBCentral/FAT Viewer?action=UPDATE&amp;creator=factset&amp;DOC_NAME=fat:reuters_ltm_source_window.fat&amp;display_string=Audit&amp;DYN_ARGS=TRUE&amp;VAR:ID1=URI&amp;VAR:RCODE=FIBCEBITDA&amp;VAR:SDATE=20090399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8__FDSAUDITLINK__" localSheetId="5" hidden="1">{"fdsup://IBCentral/FAT Viewer?action=UPDATE&amp;creator=factset&amp;DOC_NAME=fat:reuters_ltm_source_window.fat&amp;display_string=Audit&amp;DYN_ARGS=TRUE&amp;VAR:ID1=HSII&amp;VAR:RCODE=FIBCEBITDA&amp;VAR:SDATE=20090399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8__FDSAUDITLINK__" localSheetId="0" hidden="1">{"fdsup://IBCentral/FAT Viewer?action=UPDATE&amp;creator=factset&amp;DOC_NAME=fat:reuters_ltm_source_window.fat&amp;display_string=Audit&amp;DYN_ARGS=TRUE&amp;VAR:ID1=HSII&amp;VAR:RCODE=FIBCEBITDA&amp;VAR:SDATE=20090399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8__FDSAUDITLINK__" localSheetId="4" hidden="1">{"fdsup://IBCentral/FAT Viewer?action=UPDATE&amp;creator=factset&amp;DOC_NAME=fat:reuters_ltm_source_window.fat&amp;display_string=Audit&amp;DYN_ARGS=TRUE&amp;VAR:ID1=HSII&amp;VAR:RCODE=FIBCEBITDA&amp;VAR:SDATE=20090399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8__FDSAUDITLINK__" hidden="1">{"fdsup://IBCentral/FAT Viewer?action=UPDATE&amp;creator=factset&amp;DOC_NAME=fat:reuters_ltm_source_window.fat&amp;display_string=Audit&amp;DYN_ARGS=TRUE&amp;VAR:ID1=HSII&amp;VAR:RCODE=FIBCEBITDA&amp;VAR:SDATE=20090399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49__123Graph_BChart_1AX" localSheetId="0" hidden="1">#REF!</definedName>
    <definedName name="_149__123Graph_BChart_1AX" hidden="1">#REF!</definedName>
    <definedName name="_149__FDSAUDITLINK__" localSheetId="5" hidden="1">{"fdsup://IBCentral/FAT Viewer?action=UPDATE&amp;creator=factset&amp;DOC_NAME=fat:reuters_ltm_source_window.fat&amp;display_string=Audit&amp;DYN_ARGS=TRUE&amp;VAR:ID1=FSS&amp;VAR:RCODE=FIBCEBITDA&amp;VAR:SDATE=20090399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9__FDSAUDITLINK__" localSheetId="0" hidden="1">{"fdsup://IBCentral/FAT Viewer?action=UPDATE&amp;creator=factset&amp;DOC_NAME=fat:reuters_ltm_source_window.fat&amp;display_string=Audit&amp;DYN_ARGS=TRUE&amp;VAR:ID1=FSS&amp;VAR:RCODE=FIBCEBITDA&amp;VAR:SDATE=20090399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9__FDSAUDITLINK__" localSheetId="4" hidden="1">{"fdsup://IBCentral/FAT Viewer?action=UPDATE&amp;creator=factset&amp;DOC_NAME=fat:reuters_ltm_source_window.fat&amp;display_string=Audit&amp;DYN_ARGS=TRUE&amp;VAR:ID1=FSS&amp;VAR:RCODE=FIBCEBITDA&amp;VAR:SDATE=20090399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9__FDSAUDITLINK__" hidden="1">{"fdsup://IBCentral/FAT Viewer?action=UPDATE&amp;creator=factset&amp;DOC_NAME=fat:reuters_ltm_source_window.fat&amp;display_string=Audit&amp;DYN_ARGS=TRUE&amp;VAR:ID1=FSS&amp;VAR:RCODE=FIBCEBITDA&amp;VAR:SDATE=20090399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4Revenu" localSheetId="0">#REF!</definedName>
    <definedName name="_14Revenu">#REF!</definedName>
    <definedName name="_15__123Graph_ACHART_11" localSheetId="0" hidden="1">#REF!</definedName>
    <definedName name="_15__123Graph_ACHART_11" hidden="1">#REF!</definedName>
    <definedName name="_15__123Graph_AChart_1AC" localSheetId="0" hidden="1">#REF!</definedName>
    <definedName name="_15__123Graph_AChart_1AC" hidden="1">#REF!</definedName>
    <definedName name="_15__FDSAUDITLINK__" localSheetId="5" hidden="1">{"fdsup://IBCentral/FAT Viewer?action=UPDATE&amp;creator=factset&amp;DOC_NAME=fat:reuters_ltm_source_window.fat&amp;display_string=Audit&amp;DYN_ARGS=TRUE&amp;VAR:ID1=TTC&amp;VAR:RCODE=FIBCEBITDA&amp;VAR:SDATE=20090499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__FDSAUDITLINK__" localSheetId="0" hidden="1">{"fdsup://IBCentral/FAT Viewer?action=UPDATE&amp;creator=factset&amp;DOC_NAME=fat:reuters_ltm_source_window.fat&amp;display_string=Audit&amp;DYN_ARGS=TRUE&amp;VAR:ID1=TTC&amp;VAR:RCODE=FIBCEBITDA&amp;VAR:SDATE=20090499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__FDSAUDITLINK__" localSheetId="4" hidden="1">{"fdsup://IBCentral/FAT Viewer?action=UPDATE&amp;creator=factset&amp;DOC_NAME=fat:reuters_ltm_source_window.fat&amp;display_string=Audit&amp;DYN_ARGS=TRUE&amp;VAR:ID1=TTC&amp;VAR:RCODE=FIBCEBITDA&amp;VAR:SDATE=20090499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__FDSAUDITLINK__" hidden="1">{"fdsup://IBCentral/FAT Viewer?action=UPDATE&amp;creator=factset&amp;DOC_NAME=fat:reuters_ltm_source_window.fat&amp;display_string=Audit&amp;DYN_ARGS=TRUE&amp;VAR:ID1=TTC&amp;VAR:RCODE=FIBCEBITDA&amp;VAR:SDATE=20090499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_3_0Other_Segment_Reven" localSheetId="0">#REF!</definedName>
    <definedName name="_15_3_0Other_Segment_Reven">#REF!</definedName>
    <definedName name="_150__FDSAUDITLINK__" localSheetId="5" hidden="1">{"fdsup://IBCentral/FAT Viewer?action=UPDATE&amp;creator=factset&amp;DOC_NAME=fat:reuters_ltm_source_window.fat&amp;display_string=Audit&amp;DYN_ARGS=TRUE&amp;VAR:ID1=APSG&amp;VAR:RCODE=FIBCEBITDA&amp;VAR:SDATE=20090199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0__FDSAUDITLINK__" localSheetId="0" hidden="1">{"fdsup://IBCentral/FAT Viewer?action=UPDATE&amp;creator=factset&amp;DOC_NAME=fat:reuters_ltm_source_window.fat&amp;display_string=Audit&amp;DYN_ARGS=TRUE&amp;VAR:ID1=APSG&amp;VAR:RCODE=FIBCEBITDA&amp;VAR:SDATE=20090199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0__FDSAUDITLINK__" localSheetId="4" hidden="1">{"fdsup://IBCentral/FAT Viewer?action=UPDATE&amp;creator=factset&amp;DOC_NAME=fat:reuters_ltm_source_window.fat&amp;display_string=Audit&amp;DYN_ARGS=TRUE&amp;VAR:ID1=APSG&amp;VAR:RCODE=FIBCEBITDA&amp;VAR:SDATE=20090199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0__FDSAUDITLINK__" hidden="1">{"fdsup://IBCentral/FAT Viewer?action=UPDATE&amp;creator=factset&amp;DOC_NAME=fat:reuters_ltm_source_window.fat&amp;display_string=Audit&amp;DYN_ARGS=TRUE&amp;VAR:ID1=APSG&amp;VAR:RCODE=FIBCEBITDA&amp;VAR:SDATE=20090199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1__123Graph_BChart_1B" localSheetId="0" hidden="1">#REF!</definedName>
    <definedName name="_151__123Graph_BChart_1B" hidden="1">#REF!</definedName>
    <definedName name="_151__FDSAUDITLINK__" localSheetId="5" hidden="1">{"fdsup://IBCentral/FAT Viewer?action=UPDATE&amp;creator=factset&amp;DOC_NAME=fat:reuters_ltm_source_window.fat&amp;display_string=Audit&amp;DYN_ARGS=TRUE&amp;VAR:ID1=VVI&amp;VAR:RCODE=FIBCEBITDA&amp;VAR:SDATE=20090399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1__FDSAUDITLINK__" localSheetId="0" hidden="1">{"fdsup://IBCentral/FAT Viewer?action=UPDATE&amp;creator=factset&amp;DOC_NAME=fat:reuters_ltm_source_window.fat&amp;display_string=Audit&amp;DYN_ARGS=TRUE&amp;VAR:ID1=VVI&amp;VAR:RCODE=FIBCEBITDA&amp;VAR:SDATE=20090399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1__FDSAUDITLINK__" localSheetId="4" hidden="1">{"fdsup://IBCentral/FAT Viewer?action=UPDATE&amp;creator=factset&amp;DOC_NAME=fat:reuters_ltm_source_window.fat&amp;display_string=Audit&amp;DYN_ARGS=TRUE&amp;VAR:ID1=VVI&amp;VAR:RCODE=FIBCEBITDA&amp;VAR:SDATE=20090399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1__FDSAUDITLINK__" hidden="1">{"fdsup://IBCentral/FAT Viewer?action=UPDATE&amp;creator=factset&amp;DOC_NAME=fat:reuters_ltm_source_window.fat&amp;display_string=Audit&amp;DYN_ARGS=TRUE&amp;VAR:ID1=VVI&amp;VAR:RCODE=FIBCEBITDA&amp;VAR:SDATE=20090399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2__FDSAUDITLINK__" localSheetId="5" hidden="1">{"fdsup://IBCentral/FAT Viewer?action=UPDATE&amp;creator=factset&amp;DOC_NAME=fat:reuters_ltm_source_window.fat&amp;display_string=Audit&amp;DYN_ARGS=TRUE&amp;VAR:ID1=JBT&amp;VAR:RCODE=FIBCEBITDA&amp;VAR:SDATE=20090399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2__FDSAUDITLINK__" localSheetId="0" hidden="1">{"fdsup://IBCentral/FAT Viewer?action=UPDATE&amp;creator=factset&amp;DOC_NAME=fat:reuters_ltm_source_window.fat&amp;display_string=Audit&amp;DYN_ARGS=TRUE&amp;VAR:ID1=JBT&amp;VAR:RCODE=FIBCEBITDA&amp;VAR:SDATE=20090399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2__FDSAUDITLINK__" localSheetId="4" hidden="1">{"fdsup://IBCentral/FAT Viewer?action=UPDATE&amp;creator=factset&amp;DOC_NAME=fat:reuters_ltm_source_window.fat&amp;display_string=Audit&amp;DYN_ARGS=TRUE&amp;VAR:ID1=JBT&amp;VAR:RCODE=FIBCEBITDA&amp;VAR:SDATE=20090399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2__FDSAUDITLINK__" hidden="1">{"fdsup://IBCentral/FAT Viewer?action=UPDATE&amp;creator=factset&amp;DOC_NAME=fat:reuters_ltm_source_window.fat&amp;display_string=Audit&amp;DYN_ARGS=TRUE&amp;VAR:ID1=JBT&amp;VAR:RCODE=FIBCEBITDA&amp;VAR:SDATE=20090399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3__123Graph_BChart_1C" localSheetId="0" hidden="1">#REF!</definedName>
    <definedName name="_153__123Graph_BChart_1C" hidden="1">#REF!</definedName>
    <definedName name="_153__FDSAUDITLINK__" localSheetId="5" hidden="1">{"fdsup://IBCentral/FAT Viewer?action=UPDATE&amp;creator=factset&amp;DOC_NAME=fat:reuters_ltm_source_window.fat&amp;display_string=Audit&amp;DYN_ARGS=TRUE&amp;VAR:ID1=KAMN&amp;VAR:RCODE=FIBCEBITDA&amp;VAR:SDATE=20090399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3__FDSAUDITLINK__" localSheetId="0" hidden="1">{"fdsup://IBCentral/FAT Viewer?action=UPDATE&amp;creator=factset&amp;DOC_NAME=fat:reuters_ltm_source_window.fat&amp;display_string=Audit&amp;DYN_ARGS=TRUE&amp;VAR:ID1=KAMN&amp;VAR:RCODE=FIBCEBITDA&amp;VAR:SDATE=20090399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3__FDSAUDITLINK__" localSheetId="4" hidden="1">{"fdsup://IBCentral/FAT Viewer?action=UPDATE&amp;creator=factset&amp;DOC_NAME=fat:reuters_ltm_source_window.fat&amp;display_string=Audit&amp;DYN_ARGS=TRUE&amp;VAR:ID1=KAMN&amp;VAR:RCODE=FIBCEBITDA&amp;VAR:SDATE=20090399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3__FDSAUDITLINK__" hidden="1">{"fdsup://IBCentral/FAT Viewer?action=UPDATE&amp;creator=factset&amp;DOC_NAME=fat:reuters_ltm_source_window.fat&amp;display_string=Audit&amp;DYN_ARGS=TRUE&amp;VAR:ID1=KAMN&amp;VAR:RCODE=FIBCEBITDA&amp;VAR:SDATE=20090399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4__FDSAUDITLINK__" localSheetId="5" hidden="1">{"fdsup://IBCentral/FAT Viewer?action=UPDATE&amp;creator=factset&amp;DOC_NAME=fat:reuters_annual_source_window.fat&amp;display_string=Audit&amp;DYN_ARGS=TRUE&amp;VAR:ID1=03759810&amp;VAR:RCODE=FIBCEBITDA&amp;VAR:SDATE=20090299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54__FDSAUDITLINK__" localSheetId="0" hidden="1">{"fdsup://IBCentral/FAT Viewer?action=UPDATE&amp;creator=factset&amp;DOC_NAME=fat:reuters_annual_source_window.fat&amp;display_string=Audit&amp;DYN_ARGS=TRUE&amp;VAR:ID1=03759810&amp;VAR:RCODE=FIBCEBITDA&amp;VAR:SDATE=20090299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54__FDSAUDITLINK__" localSheetId="4" hidden="1">{"fdsup://IBCentral/FAT Viewer?action=UPDATE&amp;creator=factset&amp;DOC_NAME=fat:reuters_annual_source_window.fat&amp;display_string=Audit&amp;DYN_ARGS=TRUE&amp;VAR:ID1=03759810&amp;VAR:RCODE=FIBCEBITDA&amp;VAR:SDATE=20090299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54__FDSAUDITLINK__" hidden="1">{"fdsup://IBCentral/FAT Viewer?action=UPDATE&amp;creator=factset&amp;DOC_NAME=fat:reuters_annual_source_window.fat&amp;display_string=Audit&amp;DYN_ARGS=TRUE&amp;VAR:ID1=03759810&amp;VAR:RCODE=FIBCEBITDA&amp;VAR:SDATE=20090299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55__123Graph_BChart_1CA" localSheetId="0" hidden="1">#REF!</definedName>
    <definedName name="_155__123Graph_BChart_1CA" hidden="1">#REF!</definedName>
    <definedName name="_155__FDSAUDITLINK__" localSheetId="5" hidden="1">{"fdsup://IBCentral/FAT Viewer?action=UPDATE&amp;creator=factset&amp;DOC_NAME=fat:reuters_ltm_source_window.fat&amp;display_string=Audit&amp;DYN_ARGS=TRUE&amp;VAR:ID1=KELYA&amp;VAR:RCODE=FIBCEBITDA&amp;VAR:SDATE=20090399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55__FDSAUDITLINK__" localSheetId="0" hidden="1">{"fdsup://IBCentral/FAT Viewer?action=UPDATE&amp;creator=factset&amp;DOC_NAME=fat:reuters_ltm_source_window.fat&amp;display_string=Audit&amp;DYN_ARGS=TRUE&amp;VAR:ID1=KELYA&amp;VAR:RCODE=FIBCEBITDA&amp;VAR:SDATE=20090399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55__FDSAUDITLINK__" localSheetId="4" hidden="1">{"fdsup://IBCentral/FAT Viewer?action=UPDATE&amp;creator=factset&amp;DOC_NAME=fat:reuters_ltm_source_window.fat&amp;display_string=Audit&amp;DYN_ARGS=TRUE&amp;VAR:ID1=KELYA&amp;VAR:RCODE=FIBCEBITDA&amp;VAR:SDATE=20090399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55__FDSAUDITLINK__" hidden="1">{"fdsup://IBCentral/FAT Viewer?action=UPDATE&amp;creator=factset&amp;DOC_NAME=fat:reuters_ltm_source_window.fat&amp;display_string=Audit&amp;DYN_ARGS=TRUE&amp;VAR:ID1=KELYA&amp;VAR:RCODE=FIBCEBITDA&amp;VAR:SDATE=20090399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56__FDSAUDITLINK__" localSheetId="5" hidden="1">{"fdsup://IBCentral/FAT Viewer?action=UPDATE&amp;creator=factset&amp;DOC_NAME=fat:reuters_ltm_source_window.fat&amp;display_string=Audit&amp;DYN_ARGS=TRUE&amp;VAR:ID1=SCHS&amp;VAR:RCODE=FIBCEBITDA&amp;VAR:SDATE=20090199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6__FDSAUDITLINK__" localSheetId="0" hidden="1">{"fdsup://IBCentral/FAT Viewer?action=UPDATE&amp;creator=factset&amp;DOC_NAME=fat:reuters_ltm_source_window.fat&amp;display_string=Audit&amp;DYN_ARGS=TRUE&amp;VAR:ID1=SCHS&amp;VAR:RCODE=FIBCEBITDA&amp;VAR:SDATE=20090199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6__FDSAUDITLINK__" localSheetId="4" hidden="1">{"fdsup://IBCentral/FAT Viewer?action=UPDATE&amp;creator=factset&amp;DOC_NAME=fat:reuters_ltm_source_window.fat&amp;display_string=Audit&amp;DYN_ARGS=TRUE&amp;VAR:ID1=SCHS&amp;VAR:RCODE=FIBCEBITDA&amp;VAR:SDATE=20090199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6__FDSAUDITLINK__" hidden="1">{"fdsup://IBCentral/FAT Viewer?action=UPDATE&amp;creator=factset&amp;DOC_NAME=fat:reuters_ltm_source_window.fat&amp;display_string=Audit&amp;DYN_ARGS=TRUE&amp;VAR:ID1=SCHS&amp;VAR:RCODE=FIBCEBITDA&amp;VAR:SDATE=20090199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57__123Graph_BChart_1CD" localSheetId="0" hidden="1">#REF!</definedName>
    <definedName name="_157__123Graph_BChart_1CD" hidden="1">#REF!</definedName>
    <definedName name="_157__FDSAUDITLINK__" localSheetId="5" hidden="1">{"fdsup://IBCentral/FAT Viewer?action=UPDATE&amp;creator=factset&amp;DOC_NAME=fat:reuters_ltm_source_window.fat&amp;display_string=Audit&amp;DYN_ARGS=TRUE&amp;VAR:ID1=LNN&amp;VAR:RCODE=FIBCEBITDA&amp;VAR:SDATE=20090299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7__FDSAUDITLINK__" localSheetId="0" hidden="1">{"fdsup://IBCentral/FAT Viewer?action=UPDATE&amp;creator=factset&amp;DOC_NAME=fat:reuters_ltm_source_window.fat&amp;display_string=Audit&amp;DYN_ARGS=TRUE&amp;VAR:ID1=LNN&amp;VAR:RCODE=FIBCEBITDA&amp;VAR:SDATE=20090299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7__FDSAUDITLINK__" localSheetId="4" hidden="1">{"fdsup://IBCentral/FAT Viewer?action=UPDATE&amp;creator=factset&amp;DOC_NAME=fat:reuters_ltm_source_window.fat&amp;display_string=Audit&amp;DYN_ARGS=TRUE&amp;VAR:ID1=LNN&amp;VAR:RCODE=FIBCEBITDA&amp;VAR:SDATE=20090299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7__FDSAUDITLINK__" hidden="1">{"fdsup://IBCentral/FAT Viewer?action=UPDATE&amp;creator=factset&amp;DOC_NAME=fat:reuters_ltm_source_window.fat&amp;display_string=Audit&amp;DYN_ARGS=TRUE&amp;VAR:ID1=LNN&amp;VAR:RCODE=FIBCEBITDA&amp;VAR:SDATE=20090299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8__FDSAUDITLINK__" localSheetId="5" hidden="1">{"fdsup://IBCentral/FAT Viewer?action=UPDATE&amp;creator=factset&amp;DOC_NAME=fat:reuters_ltm_source_window.fat&amp;display_string=Audit&amp;DYN_ARGS=TRUE&amp;VAR:ID1=NPO&amp;VAR:RCODE=FIBCEBITDA&amp;VAR:SDATE=20090399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8__FDSAUDITLINK__" localSheetId="0" hidden="1">{"fdsup://IBCentral/FAT Viewer?action=UPDATE&amp;creator=factset&amp;DOC_NAME=fat:reuters_ltm_source_window.fat&amp;display_string=Audit&amp;DYN_ARGS=TRUE&amp;VAR:ID1=NPO&amp;VAR:RCODE=FIBCEBITDA&amp;VAR:SDATE=20090399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8__FDSAUDITLINK__" localSheetId="4" hidden="1">{"fdsup://IBCentral/FAT Viewer?action=UPDATE&amp;creator=factset&amp;DOC_NAME=fat:reuters_ltm_source_window.fat&amp;display_string=Audit&amp;DYN_ARGS=TRUE&amp;VAR:ID1=NPO&amp;VAR:RCODE=FIBCEBITDA&amp;VAR:SDATE=20090399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8__FDSAUDITLINK__" hidden="1">{"fdsup://IBCentral/FAT Viewer?action=UPDATE&amp;creator=factset&amp;DOC_NAME=fat:reuters_ltm_source_window.fat&amp;display_string=Audit&amp;DYN_ARGS=TRUE&amp;VAR:ID1=NPO&amp;VAR:RCODE=FIBCEBITDA&amp;VAR:SDATE=20090399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59__123Graph_BChart_1CE" localSheetId="0" hidden="1">#REF!</definedName>
    <definedName name="_159__123Graph_BChart_1CE" hidden="1">#REF!</definedName>
    <definedName name="_159__FDSAUDITLINK__" localSheetId="5" hidden="1">{"fdsup://IBCentral/FAT Viewer?action=UPDATE&amp;creator=factset&amp;DOC_NAME=fat:reuters_annual_source_window.fat&amp;display_string=Audit&amp;DYN_ARGS=TRUE&amp;VAR:ID1=00247410&amp;VAR:RCODE=FIBCEBITDA&amp;VAR:SDATE=20090299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59__FDSAUDITLINK__" localSheetId="0" hidden="1">{"fdsup://IBCentral/FAT Viewer?action=UPDATE&amp;creator=factset&amp;DOC_NAME=fat:reuters_annual_source_window.fat&amp;display_string=Audit&amp;DYN_ARGS=TRUE&amp;VAR:ID1=00247410&amp;VAR:RCODE=FIBCEBITDA&amp;VAR:SDATE=20090299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59__FDSAUDITLINK__" localSheetId="4" hidden="1">{"fdsup://IBCentral/FAT Viewer?action=UPDATE&amp;creator=factset&amp;DOC_NAME=fat:reuters_annual_source_window.fat&amp;display_string=Audit&amp;DYN_ARGS=TRUE&amp;VAR:ID1=00247410&amp;VAR:RCODE=FIBCEBITDA&amp;VAR:SDATE=20090299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59__FDSAUDITLINK__" hidden="1">{"fdsup://IBCentral/FAT Viewer?action=UPDATE&amp;creator=factset&amp;DOC_NAME=fat:reuters_annual_source_window.fat&amp;display_string=Audit&amp;DYN_ARGS=TRUE&amp;VAR:ID1=00247410&amp;VAR:RCODE=FIBCEBITDA&amp;VAR:SDATE=20090299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5UniqueRang" localSheetId="0">#REF!</definedName>
    <definedName name="_15UniqueRang">#REF!</definedName>
    <definedName name="_16__123Graph_ACHART_8" localSheetId="0" hidden="1">#REF!</definedName>
    <definedName name="_16__123Graph_ACHART_8" hidden="1">#REF!</definedName>
    <definedName name="_16__FDSAUDITLINK__" localSheetId="5" hidden="1">{"fdsup://IBCentral/FAT Viewer?action=UPDATE&amp;creator=factset&amp;DOC_NAME=fat:reuters_ltm_source_window.fat&amp;display_string=Audit&amp;DYN_ARGS=TRUE&amp;VAR:ID1=RBC&amp;VAR:RCODE=FIBCEBITDA&amp;VAR:SDATE=20090399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__FDSAUDITLINK__" localSheetId="0" hidden="1">{"fdsup://IBCentral/FAT Viewer?action=UPDATE&amp;creator=factset&amp;DOC_NAME=fat:reuters_ltm_source_window.fat&amp;display_string=Audit&amp;DYN_ARGS=TRUE&amp;VAR:ID1=RBC&amp;VAR:RCODE=FIBCEBITDA&amp;VAR:SDATE=20090399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__FDSAUDITLINK__" localSheetId="4" hidden="1">{"fdsup://IBCentral/FAT Viewer?action=UPDATE&amp;creator=factset&amp;DOC_NAME=fat:reuters_ltm_source_window.fat&amp;display_string=Audit&amp;DYN_ARGS=TRUE&amp;VAR:ID1=RBC&amp;VAR:RCODE=FIBCEBITDA&amp;VAR:SDATE=20090399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__FDSAUDITLINK__" hidden="1">{"fdsup://IBCentral/FAT Viewer?action=UPDATE&amp;creator=factset&amp;DOC_NAME=fat:reuters_ltm_source_window.fat&amp;display_string=Audit&amp;DYN_ARGS=TRUE&amp;VAR:ID1=RBC&amp;VAR:RCODE=FIBCEBITDA&amp;VAR:SDATE=20090399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0__FDSAUDITLINK__" localSheetId="5" hidden="1">{"fdsup://IBCentral/FAT Viewer?action=UPDATE&amp;creator=factset&amp;DOC_NAME=fat:reuters_ltm_source_window.fat&amp;display_string=Audit&amp;DYN_ARGS=TRUE&amp;VAR:ID1=TBI&amp;VAR:RCODE=FIBCEBITDA&amp;VAR:SDATE=20090399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0__FDSAUDITLINK__" localSheetId="0" hidden="1">{"fdsup://IBCentral/FAT Viewer?action=UPDATE&amp;creator=factset&amp;DOC_NAME=fat:reuters_ltm_source_window.fat&amp;display_string=Audit&amp;DYN_ARGS=TRUE&amp;VAR:ID1=TBI&amp;VAR:RCODE=FIBCEBITDA&amp;VAR:SDATE=20090399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0__FDSAUDITLINK__" localSheetId="4" hidden="1">{"fdsup://IBCentral/FAT Viewer?action=UPDATE&amp;creator=factset&amp;DOC_NAME=fat:reuters_ltm_source_window.fat&amp;display_string=Audit&amp;DYN_ARGS=TRUE&amp;VAR:ID1=TBI&amp;VAR:RCODE=FIBCEBITDA&amp;VAR:SDATE=20090399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0__FDSAUDITLINK__" hidden="1">{"fdsup://IBCentral/FAT Viewer?action=UPDATE&amp;creator=factset&amp;DOC_NAME=fat:reuters_ltm_source_window.fat&amp;display_string=Audit&amp;DYN_ARGS=TRUE&amp;VAR:ID1=TBI&amp;VAR:RCODE=FIBCEBITDA&amp;VAR:SDATE=20090399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1__123Graph_BChart_1D" localSheetId="0" hidden="1">#REF!</definedName>
    <definedName name="_161__123Graph_BChart_1D" hidden="1">#REF!</definedName>
    <definedName name="_161__FDSAUDITLINK__" localSheetId="5" hidden="1">{"fdsup://IBCentral/FAT Viewer?action=UPDATE&amp;creator=factset&amp;DOC_NAME=fat:reuters_ltm_source_window.fat&amp;display_string=Audit&amp;DYN_ARGS=TRUE&amp;VAR:ID1=NX&amp;VAR:RCODE=FIBCEBITDA&amp;VAR:SDATE=20090199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61__FDSAUDITLINK__" localSheetId="0" hidden="1">{"fdsup://IBCentral/FAT Viewer?action=UPDATE&amp;creator=factset&amp;DOC_NAME=fat:reuters_ltm_source_window.fat&amp;display_string=Audit&amp;DYN_ARGS=TRUE&amp;VAR:ID1=NX&amp;VAR:RCODE=FIBCEBITDA&amp;VAR:SDATE=20090199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61__FDSAUDITLINK__" localSheetId="4" hidden="1">{"fdsup://IBCentral/FAT Viewer?action=UPDATE&amp;creator=factset&amp;DOC_NAME=fat:reuters_ltm_source_window.fat&amp;display_string=Audit&amp;DYN_ARGS=TRUE&amp;VAR:ID1=NX&amp;VAR:RCODE=FIBCEBITDA&amp;VAR:SDATE=20090199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61__FDSAUDITLINK__" hidden="1">{"fdsup://IBCentral/FAT Viewer?action=UPDATE&amp;creator=factset&amp;DOC_NAME=fat:reuters_ltm_source_window.fat&amp;display_string=Audit&amp;DYN_ARGS=TRUE&amp;VAR:ID1=NX&amp;VAR:RCODE=FIBCEBITDA&amp;VAR:SDATE=20090199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62__FDSAUDITLINK__" localSheetId="5" hidden="1">{"fdsup://IBCentral/FAT Viewer?action=UPDATE&amp;creator=factset&amp;DOC_NAME=fat:reuters_ltm_source_window.fat&amp;display_string=Audit&amp;DYN_ARGS=TRUE&amp;VAR:ID1=GKSR&amp;VAR:RCODE=FIBCEBITDA&amp;VAR:SDATE=20090399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2__FDSAUDITLINK__" localSheetId="0" hidden="1">{"fdsup://IBCentral/FAT Viewer?action=UPDATE&amp;creator=factset&amp;DOC_NAME=fat:reuters_ltm_source_window.fat&amp;display_string=Audit&amp;DYN_ARGS=TRUE&amp;VAR:ID1=GKSR&amp;VAR:RCODE=FIBCEBITDA&amp;VAR:SDATE=20090399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2__FDSAUDITLINK__" localSheetId="4" hidden="1">{"fdsup://IBCentral/FAT Viewer?action=UPDATE&amp;creator=factset&amp;DOC_NAME=fat:reuters_ltm_source_window.fat&amp;display_string=Audit&amp;DYN_ARGS=TRUE&amp;VAR:ID1=GKSR&amp;VAR:RCODE=FIBCEBITDA&amp;VAR:SDATE=20090399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2__FDSAUDITLINK__" hidden="1">{"fdsup://IBCentral/FAT Viewer?action=UPDATE&amp;creator=factset&amp;DOC_NAME=fat:reuters_ltm_source_window.fat&amp;display_string=Audit&amp;DYN_ARGS=TRUE&amp;VAR:ID1=GKSR&amp;VAR:RCODE=FIBCEBITDA&amp;VAR:SDATE=20090399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3__123Graph_BChart_1E" localSheetId="0" hidden="1">#REF!</definedName>
    <definedName name="_163__123Graph_BChart_1E" hidden="1">#REF!</definedName>
    <definedName name="_163__FDSAUDITLINK__" localSheetId="5" hidden="1">{"fdsup://IBCentral/FAT Viewer?action=UPDATE&amp;creator=factset&amp;DOC_NAME=fat:reuters_ltm_source_window.fat&amp;display_string=Audit&amp;DYN_ARGS=TRUE&amp;VAR:ID1=CIR&amp;VAR:RCODE=FIBCEBITDA&amp;VAR:SDATE=20090399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3__FDSAUDITLINK__" localSheetId="0" hidden="1">{"fdsup://IBCentral/FAT Viewer?action=UPDATE&amp;creator=factset&amp;DOC_NAME=fat:reuters_ltm_source_window.fat&amp;display_string=Audit&amp;DYN_ARGS=TRUE&amp;VAR:ID1=CIR&amp;VAR:RCODE=FIBCEBITDA&amp;VAR:SDATE=20090399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3__FDSAUDITLINK__" localSheetId="4" hidden="1">{"fdsup://IBCentral/FAT Viewer?action=UPDATE&amp;creator=factset&amp;DOC_NAME=fat:reuters_ltm_source_window.fat&amp;display_string=Audit&amp;DYN_ARGS=TRUE&amp;VAR:ID1=CIR&amp;VAR:RCODE=FIBCEBITDA&amp;VAR:SDATE=20090399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3__FDSAUDITLINK__" hidden="1">{"fdsup://IBCentral/FAT Viewer?action=UPDATE&amp;creator=factset&amp;DOC_NAME=fat:reuters_ltm_source_window.fat&amp;display_string=Audit&amp;DYN_ARGS=TRUE&amp;VAR:ID1=CIR&amp;VAR:RCODE=FIBCEBITDA&amp;VAR:SDATE=20090399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4__FDSAUDITLINK__" localSheetId="5" hidden="1">{"fdsup://IBCentral/FAT Viewer?action=UPDATE&amp;creator=factset&amp;DOC_NAME=fat:reuters_ltm_source_window.fat&amp;display_string=Audit&amp;DYN_ARGS=TRUE&amp;VAR:ID1=KFY&amp;VAR:RCODE=FIBCEBITDA&amp;VAR:SDATE=20090199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4__FDSAUDITLINK__" localSheetId="0" hidden="1">{"fdsup://IBCentral/FAT Viewer?action=UPDATE&amp;creator=factset&amp;DOC_NAME=fat:reuters_ltm_source_window.fat&amp;display_string=Audit&amp;DYN_ARGS=TRUE&amp;VAR:ID1=KFY&amp;VAR:RCODE=FIBCEBITDA&amp;VAR:SDATE=20090199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4__FDSAUDITLINK__" localSheetId="4" hidden="1">{"fdsup://IBCentral/FAT Viewer?action=UPDATE&amp;creator=factset&amp;DOC_NAME=fat:reuters_ltm_source_window.fat&amp;display_string=Audit&amp;DYN_ARGS=TRUE&amp;VAR:ID1=KFY&amp;VAR:RCODE=FIBCEBITDA&amp;VAR:SDATE=20090199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4__FDSAUDITLINK__" hidden="1">{"fdsup://IBCentral/FAT Viewer?action=UPDATE&amp;creator=factset&amp;DOC_NAME=fat:reuters_ltm_source_window.fat&amp;display_string=Audit&amp;DYN_ARGS=TRUE&amp;VAR:ID1=KFY&amp;VAR:RCODE=FIBCEBITDA&amp;VAR:SDATE=20090199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5__123Graph_BChart_1F" localSheetId="0" hidden="1">#REF!</definedName>
    <definedName name="_165__123Graph_BChart_1F" hidden="1">#REF!</definedName>
    <definedName name="_165__FDSAUDITLINK__" localSheetId="5" hidden="1">{"fdsup://IBCentral/FAT Viewer?action=UPDATE&amp;creator=factset&amp;DOC_NAME=fat:reuters_ltm_source_window.fat&amp;display_string=Audit&amp;DYN_ARGS=TRUE&amp;VAR:ID1=MINI&amp;VAR:RCODE=FIBCEBITDA&amp;VAR:SDATE=20090399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5__FDSAUDITLINK__" localSheetId="0" hidden="1">{"fdsup://IBCentral/FAT Viewer?action=UPDATE&amp;creator=factset&amp;DOC_NAME=fat:reuters_ltm_source_window.fat&amp;display_string=Audit&amp;DYN_ARGS=TRUE&amp;VAR:ID1=MINI&amp;VAR:RCODE=FIBCEBITDA&amp;VAR:SDATE=20090399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5__FDSAUDITLINK__" localSheetId="4" hidden="1">{"fdsup://IBCentral/FAT Viewer?action=UPDATE&amp;creator=factset&amp;DOC_NAME=fat:reuters_ltm_source_window.fat&amp;display_string=Audit&amp;DYN_ARGS=TRUE&amp;VAR:ID1=MINI&amp;VAR:RCODE=FIBCEBITDA&amp;VAR:SDATE=20090399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5__FDSAUDITLINK__" hidden="1">{"fdsup://IBCentral/FAT Viewer?action=UPDATE&amp;creator=factset&amp;DOC_NAME=fat:reuters_ltm_source_window.fat&amp;display_string=Audit&amp;DYN_ARGS=TRUE&amp;VAR:ID1=MINI&amp;VAR:RCODE=FIBCEBITDA&amp;VAR:SDATE=20090399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6__FDSAUDITLINK__" localSheetId="5" hidden="1">{"fdsup://IBCentral/FAT Viewer?action=UPDATE&amp;creator=factset&amp;DOC_NAME=fat:reuters_ltm_source_window.fat&amp;display_string=Audit&amp;DYN_ARGS=TRUE&amp;VAR:ID1=AVAV&amp;VAR:RCODE=FIBCEBITDA&amp;VAR:SDATE=20090199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6__FDSAUDITLINK__" localSheetId="0" hidden="1">{"fdsup://IBCentral/FAT Viewer?action=UPDATE&amp;creator=factset&amp;DOC_NAME=fat:reuters_ltm_source_window.fat&amp;display_string=Audit&amp;DYN_ARGS=TRUE&amp;VAR:ID1=AVAV&amp;VAR:RCODE=FIBCEBITDA&amp;VAR:SDATE=20090199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6__FDSAUDITLINK__" localSheetId="4" hidden="1">{"fdsup://IBCentral/FAT Viewer?action=UPDATE&amp;creator=factset&amp;DOC_NAME=fat:reuters_ltm_source_window.fat&amp;display_string=Audit&amp;DYN_ARGS=TRUE&amp;VAR:ID1=AVAV&amp;VAR:RCODE=FIBCEBITDA&amp;VAR:SDATE=20090199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6__FDSAUDITLINK__" hidden="1">{"fdsup://IBCentral/FAT Viewer?action=UPDATE&amp;creator=factset&amp;DOC_NAME=fat:reuters_ltm_source_window.fat&amp;display_string=Audit&amp;DYN_ARGS=TRUE&amp;VAR:ID1=AVAV&amp;VAR:RCODE=FIBCEBITDA&amp;VAR:SDATE=20090199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7__123Graph_BChart_1G" localSheetId="0" hidden="1">#REF!</definedName>
    <definedName name="_167__123Graph_BChart_1G" hidden="1">#REF!</definedName>
    <definedName name="_167__FDSAUDITLINK__" localSheetId="5" hidden="1">{"fdsup://IBCentral/FAT Viewer?action=UPDATE&amp;creator=factset&amp;DOC_NAME=fat:reuters_ltm_source_window.fat&amp;display_string=Audit&amp;DYN_ARGS=TRUE&amp;VAR:ID1=INSU&amp;VAR:RCODE=FIBCEBITDA&amp;VAR:SDATE=20090399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7__FDSAUDITLINK__" localSheetId="0" hidden="1">{"fdsup://IBCentral/FAT Viewer?action=UPDATE&amp;creator=factset&amp;DOC_NAME=fat:reuters_ltm_source_window.fat&amp;display_string=Audit&amp;DYN_ARGS=TRUE&amp;VAR:ID1=INSU&amp;VAR:RCODE=FIBCEBITDA&amp;VAR:SDATE=20090399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7__FDSAUDITLINK__" localSheetId="4" hidden="1">{"fdsup://IBCentral/FAT Viewer?action=UPDATE&amp;creator=factset&amp;DOC_NAME=fat:reuters_ltm_source_window.fat&amp;display_string=Audit&amp;DYN_ARGS=TRUE&amp;VAR:ID1=INSU&amp;VAR:RCODE=FIBCEBITDA&amp;VAR:SDATE=20090399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7__FDSAUDITLINK__" hidden="1">{"fdsup://IBCentral/FAT Viewer?action=UPDATE&amp;creator=factset&amp;DOC_NAME=fat:reuters_ltm_source_window.fat&amp;display_string=Audit&amp;DYN_ARGS=TRUE&amp;VAR:ID1=INSU&amp;VAR:RCODE=FIBCEBITDA&amp;VAR:SDATE=20090399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8__FDSAUDITLINK__" localSheetId="5" hidden="1">{"fdsup://IBCentral/FAT Viewer?action=UPDATE&amp;creator=factset&amp;DOC_NAME=fat:reuters_ltm_source_window.fat&amp;display_string=Audit&amp;DYN_ARGS=TRUE&amp;VAR:ID1=GFF&amp;VAR:RCODE=FIBCEBITDA&amp;VAR:SDATE=20090399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8__FDSAUDITLINK__" localSheetId="0" hidden="1">{"fdsup://IBCentral/FAT Viewer?action=UPDATE&amp;creator=factset&amp;DOC_NAME=fat:reuters_ltm_source_window.fat&amp;display_string=Audit&amp;DYN_ARGS=TRUE&amp;VAR:ID1=GFF&amp;VAR:RCODE=FIBCEBITDA&amp;VAR:SDATE=20090399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8__FDSAUDITLINK__" localSheetId="4" hidden="1">{"fdsup://IBCentral/FAT Viewer?action=UPDATE&amp;creator=factset&amp;DOC_NAME=fat:reuters_ltm_source_window.fat&amp;display_string=Audit&amp;DYN_ARGS=TRUE&amp;VAR:ID1=GFF&amp;VAR:RCODE=FIBCEBITDA&amp;VAR:SDATE=20090399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8__FDSAUDITLINK__" hidden="1">{"fdsup://IBCentral/FAT Viewer?action=UPDATE&amp;creator=factset&amp;DOC_NAME=fat:reuters_ltm_source_window.fat&amp;display_string=Audit&amp;DYN_ARGS=TRUE&amp;VAR:ID1=GFF&amp;VAR:RCODE=FIBCEBITDA&amp;VAR:SDATE=20090399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69__123Graph_BChart_1H" localSheetId="0" hidden="1">#REF!</definedName>
    <definedName name="_169__123Graph_BChart_1H" hidden="1">#REF!</definedName>
    <definedName name="_169__FDSAUDITLINK__" localSheetId="5" hidden="1">{"fdsup://IBCentral/FAT Viewer?action=UPDATE&amp;creator=factset&amp;DOC_NAME=fat:reuters_ltm_source_window.fat&amp;display_string=Audit&amp;DYN_ARGS=TRUE&amp;VAR:ID1=AXYS&amp;VAR:RCODE=FIBCEBITDA&amp;VAR:SDATE=20090399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9__FDSAUDITLINK__" localSheetId="0" hidden="1">{"fdsup://IBCentral/FAT Viewer?action=UPDATE&amp;creator=factset&amp;DOC_NAME=fat:reuters_ltm_source_window.fat&amp;display_string=Audit&amp;DYN_ARGS=TRUE&amp;VAR:ID1=AXYS&amp;VAR:RCODE=FIBCEBITDA&amp;VAR:SDATE=20090399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9__FDSAUDITLINK__" localSheetId="4" hidden="1">{"fdsup://IBCentral/FAT Viewer?action=UPDATE&amp;creator=factset&amp;DOC_NAME=fat:reuters_ltm_source_window.fat&amp;display_string=Audit&amp;DYN_ARGS=TRUE&amp;VAR:ID1=AXYS&amp;VAR:RCODE=FIBCEBITDA&amp;VAR:SDATE=20090399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69__FDSAUDITLINK__" hidden="1">{"fdsup://IBCentral/FAT Viewer?action=UPDATE&amp;creator=factset&amp;DOC_NAME=fat:reuters_ltm_source_window.fat&amp;display_string=Audit&amp;DYN_ARGS=TRUE&amp;VAR:ID1=AXYS&amp;VAR:RCODE=FIBCEBITDA&amp;VAR:SDATE=20090399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__123Graph_AChart_1AD" localSheetId="0" hidden="1">#REF!</definedName>
    <definedName name="_17__123Graph_AChart_1AD" hidden="1">#REF!</definedName>
    <definedName name="_17__123Graph_ACHART_9" localSheetId="0" hidden="1">#REF!</definedName>
    <definedName name="_17__123Graph_ACHART_9" hidden="1">#REF!</definedName>
    <definedName name="_17__FDSAUDITLINK__" localSheetId="5" hidden="1">{"fdsup://IBCentral/FAT Viewer?action=UPDATE&amp;creator=factset&amp;DOC_NAME=fat:reuters_ltm_source_window.fat&amp;display_string=Audit&amp;DYN_ARGS=TRUE&amp;VAR:ID1=MWW&amp;VAR:RCODE=FIBCEBITDA&amp;VAR:SDATE=20090399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__FDSAUDITLINK__" localSheetId="0" hidden="1">{"fdsup://IBCentral/FAT Viewer?action=UPDATE&amp;creator=factset&amp;DOC_NAME=fat:reuters_ltm_source_window.fat&amp;display_string=Audit&amp;DYN_ARGS=TRUE&amp;VAR:ID1=MWW&amp;VAR:RCODE=FIBCEBITDA&amp;VAR:SDATE=20090399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__FDSAUDITLINK__" localSheetId="4" hidden="1">{"fdsup://IBCentral/FAT Viewer?action=UPDATE&amp;creator=factset&amp;DOC_NAME=fat:reuters_ltm_source_window.fat&amp;display_string=Audit&amp;DYN_ARGS=TRUE&amp;VAR:ID1=MWW&amp;VAR:RCODE=FIBCEBITDA&amp;VAR:SDATE=20090399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__FDSAUDITLINK__" hidden="1">{"fdsup://IBCentral/FAT Viewer?action=UPDATE&amp;creator=factset&amp;DOC_NAME=fat:reuters_ltm_source_window.fat&amp;display_string=Audit&amp;DYN_ARGS=TRUE&amp;VAR:ID1=MWW&amp;VAR:RCODE=FIBCEBITDA&amp;VAR:SDATE=20090399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0__FDSAUDITLINK__" localSheetId="5" hidden="1">{"fdsup://IBCentral/FAT Viewer?action=UPDATE&amp;creator=factset&amp;DOC_NAME=fat:reuters_annual_source_window.fat&amp;display_string=Audit&amp;DYN_ARGS=TRUE&amp;VAR:ID1=02942910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70__FDSAUDITLINK__" localSheetId="0" hidden="1">{"fdsup://IBCentral/FAT Viewer?action=UPDATE&amp;creator=factset&amp;DOC_NAME=fat:reuters_annual_source_window.fat&amp;display_string=Audit&amp;DYN_ARGS=TRUE&amp;VAR:ID1=02942910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70__FDSAUDITLINK__" localSheetId="4" hidden="1">{"fdsup://IBCentral/FAT Viewer?action=UPDATE&amp;creator=factset&amp;DOC_NAME=fat:reuters_annual_source_window.fat&amp;display_string=Audit&amp;DYN_ARGS=TRUE&amp;VAR:ID1=02942910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70__FDSAUDITLINK__" hidden="1">{"fdsup://IBCentral/FAT Viewer?action=UPDATE&amp;creator=factset&amp;DOC_NAME=fat:reuters_annual_source_window.fat&amp;display_string=Audit&amp;DYN_ARGS=TRUE&amp;VAR:ID1=02942910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71__123Graph_BChart_1I" localSheetId="0" hidden="1">#REF!</definedName>
    <definedName name="_171__123Graph_BChart_1I" hidden="1">#REF!</definedName>
    <definedName name="_171__FDSAUDITLINK__" localSheetId="5" hidden="1">{"fdsup://IBCentral/FAT Viewer?action=UPDATE&amp;creator=factset&amp;DOC_NAME=fat:reuters_ltm_source_window.fat&amp;display_string=Audit&amp;DYN_ARGS=TRUE&amp;VAR:ID1=FWRD&amp;VAR:RCODE=FIBCEBITDA&amp;VAR:SDATE=20090399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1__FDSAUDITLINK__" localSheetId="0" hidden="1">{"fdsup://IBCentral/FAT Viewer?action=UPDATE&amp;creator=factset&amp;DOC_NAME=fat:reuters_ltm_source_window.fat&amp;display_string=Audit&amp;DYN_ARGS=TRUE&amp;VAR:ID1=FWRD&amp;VAR:RCODE=FIBCEBITDA&amp;VAR:SDATE=20090399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1__FDSAUDITLINK__" localSheetId="4" hidden="1">{"fdsup://IBCentral/FAT Viewer?action=UPDATE&amp;creator=factset&amp;DOC_NAME=fat:reuters_ltm_source_window.fat&amp;display_string=Audit&amp;DYN_ARGS=TRUE&amp;VAR:ID1=FWRD&amp;VAR:RCODE=FIBCEBITDA&amp;VAR:SDATE=20090399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1__FDSAUDITLINK__" hidden="1">{"fdsup://IBCentral/FAT Viewer?action=UPDATE&amp;creator=factset&amp;DOC_NAME=fat:reuters_ltm_source_window.fat&amp;display_string=Audit&amp;DYN_ARGS=TRUE&amp;VAR:ID1=FWRD&amp;VAR:RCODE=FIBCEBITDA&amp;VAR:SDATE=20090399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2__FDSAUDITLINK__" localSheetId="5" hidden="1">{"fdsup://IBCentral/FAT Viewer?action=UPDATE&amp;creator=factset&amp;DOC_NAME=fat:reuters_ltm_source_window.fat&amp;display_string=Audit&amp;DYN_ARGS=TRUE&amp;VAR:ID1=HNI&amp;VAR:RCODE=FIBCEBITDA&amp;VAR:SDATE=20090399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2__FDSAUDITLINK__" localSheetId="0" hidden="1">{"fdsup://IBCentral/FAT Viewer?action=UPDATE&amp;creator=factset&amp;DOC_NAME=fat:reuters_ltm_source_window.fat&amp;display_string=Audit&amp;DYN_ARGS=TRUE&amp;VAR:ID1=HNI&amp;VAR:RCODE=FIBCEBITDA&amp;VAR:SDATE=20090399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2__FDSAUDITLINK__" localSheetId="4" hidden="1">{"fdsup://IBCentral/FAT Viewer?action=UPDATE&amp;creator=factset&amp;DOC_NAME=fat:reuters_ltm_source_window.fat&amp;display_string=Audit&amp;DYN_ARGS=TRUE&amp;VAR:ID1=HNI&amp;VAR:RCODE=FIBCEBITDA&amp;VAR:SDATE=20090399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2__FDSAUDITLINK__" hidden="1">{"fdsup://IBCentral/FAT Viewer?action=UPDATE&amp;creator=factset&amp;DOC_NAME=fat:reuters_ltm_source_window.fat&amp;display_string=Audit&amp;DYN_ARGS=TRUE&amp;VAR:ID1=HNI&amp;VAR:RCODE=FIBCEBITDA&amp;VAR:SDATE=20090399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3__123Graph_BChart_1J" localSheetId="0" hidden="1">#REF!</definedName>
    <definedName name="_173__123Graph_BChart_1J" hidden="1">#REF!</definedName>
    <definedName name="_173__FDSAUDITLINK__" localSheetId="5" hidden="1">{"fdsup://IBCentral/FAT Viewer?action=UPDATE&amp;creator=factset&amp;DOC_NAME=fat:reuters_ltm_source_window.fat&amp;display_string=Audit&amp;DYN_ARGS=TRUE&amp;VAR:ID1=AAI&amp;VAR:RCODE=FIBCEBITDA&amp;VAR:SDATE=20090399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3__FDSAUDITLINK__" localSheetId="0" hidden="1">{"fdsup://IBCentral/FAT Viewer?action=UPDATE&amp;creator=factset&amp;DOC_NAME=fat:reuters_ltm_source_window.fat&amp;display_string=Audit&amp;DYN_ARGS=TRUE&amp;VAR:ID1=AAI&amp;VAR:RCODE=FIBCEBITDA&amp;VAR:SDATE=20090399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3__FDSAUDITLINK__" localSheetId="4" hidden="1">{"fdsup://IBCentral/FAT Viewer?action=UPDATE&amp;creator=factset&amp;DOC_NAME=fat:reuters_ltm_source_window.fat&amp;display_string=Audit&amp;DYN_ARGS=TRUE&amp;VAR:ID1=AAI&amp;VAR:RCODE=FIBCEBITDA&amp;VAR:SDATE=20090399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3__FDSAUDITLINK__" hidden="1">{"fdsup://IBCentral/FAT Viewer?action=UPDATE&amp;creator=factset&amp;DOC_NAME=fat:reuters_ltm_source_window.fat&amp;display_string=Audit&amp;DYN_ARGS=TRUE&amp;VAR:ID1=AAI&amp;VAR:RCODE=FIBCEBITDA&amp;VAR:SDATE=20090399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4__FDSAUDITLINK__" localSheetId="5" hidden="1">{"fdsup://IBCentral/FAT Viewer?action=UPDATE&amp;creator=factset&amp;DOC_NAME=fat:reuters_ltm_source_window.fat&amp;display_string=Audit&amp;DYN_ARGS=TRUE&amp;VAR:ID1=ATU&amp;VAR:RCODE=FIBCEBITDA&amp;VAR:SDATE=20090299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4__FDSAUDITLINK__" localSheetId="0" hidden="1">{"fdsup://IBCentral/FAT Viewer?action=UPDATE&amp;creator=factset&amp;DOC_NAME=fat:reuters_ltm_source_window.fat&amp;display_string=Audit&amp;DYN_ARGS=TRUE&amp;VAR:ID1=ATU&amp;VAR:RCODE=FIBCEBITDA&amp;VAR:SDATE=20090299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4__FDSAUDITLINK__" localSheetId="4" hidden="1">{"fdsup://IBCentral/FAT Viewer?action=UPDATE&amp;creator=factset&amp;DOC_NAME=fat:reuters_ltm_source_window.fat&amp;display_string=Audit&amp;DYN_ARGS=TRUE&amp;VAR:ID1=ATU&amp;VAR:RCODE=FIBCEBITDA&amp;VAR:SDATE=20090299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4__FDSAUDITLINK__" hidden="1">{"fdsup://IBCentral/FAT Viewer?action=UPDATE&amp;creator=factset&amp;DOC_NAME=fat:reuters_ltm_source_window.fat&amp;display_string=Audit&amp;DYN_ARGS=TRUE&amp;VAR:ID1=ATU&amp;VAR:RCODE=FIBCEBITDA&amp;VAR:SDATE=20090299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5__123Graph_BChart_1K" localSheetId="0" hidden="1">#REF!</definedName>
    <definedName name="_175__123Graph_BChart_1K" hidden="1">#REF!</definedName>
    <definedName name="_175__FDSAUDITLINK__" localSheetId="5" hidden="1">{"fdsup://IBCentral/FAT Viewer?action=UPDATE&amp;creator=factset&amp;DOC_NAME=fat:reuters_ltm_source_window.fat&amp;display_string=Audit&amp;DYN_ARGS=TRUE&amp;VAR:ID1=EXBD&amp;VAR:RCODE=FIBCEBITDA&amp;VAR:SDATE=20090399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5__FDSAUDITLINK__" localSheetId="0" hidden="1">{"fdsup://IBCentral/FAT Viewer?action=UPDATE&amp;creator=factset&amp;DOC_NAME=fat:reuters_ltm_source_window.fat&amp;display_string=Audit&amp;DYN_ARGS=TRUE&amp;VAR:ID1=EXBD&amp;VAR:RCODE=FIBCEBITDA&amp;VAR:SDATE=20090399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5__FDSAUDITLINK__" localSheetId="4" hidden="1">{"fdsup://IBCentral/FAT Viewer?action=UPDATE&amp;creator=factset&amp;DOC_NAME=fat:reuters_ltm_source_window.fat&amp;display_string=Audit&amp;DYN_ARGS=TRUE&amp;VAR:ID1=EXBD&amp;VAR:RCODE=FIBCEBITDA&amp;VAR:SDATE=20090399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5__FDSAUDITLINK__" hidden="1">{"fdsup://IBCentral/FAT Viewer?action=UPDATE&amp;creator=factset&amp;DOC_NAME=fat:reuters_ltm_source_window.fat&amp;display_string=Audit&amp;DYN_ARGS=TRUE&amp;VAR:ID1=EXBD&amp;VAR:RCODE=FIBCEBITDA&amp;VAR:SDATE=20090399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6__FDSAUDITLINK__" localSheetId="5" hidden="1">{"fdsup://IBCentral/FAT Viewer?action=UPDATE&amp;creator=factset&amp;DOC_NAME=fat:reuters_ltm_source_window.fat&amp;display_string=Audit&amp;DYN_ARGS=TRUE&amp;VAR:ID1=AIR&amp;VAR:RCODE=FIBCEBITDA&amp;VAR:SDATE=20090299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6__FDSAUDITLINK__" localSheetId="0" hidden="1">{"fdsup://IBCentral/FAT Viewer?action=UPDATE&amp;creator=factset&amp;DOC_NAME=fat:reuters_ltm_source_window.fat&amp;display_string=Audit&amp;DYN_ARGS=TRUE&amp;VAR:ID1=AIR&amp;VAR:RCODE=FIBCEBITDA&amp;VAR:SDATE=20090299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6__FDSAUDITLINK__" localSheetId="4" hidden="1">{"fdsup://IBCentral/FAT Viewer?action=UPDATE&amp;creator=factset&amp;DOC_NAME=fat:reuters_ltm_source_window.fat&amp;display_string=Audit&amp;DYN_ARGS=TRUE&amp;VAR:ID1=AIR&amp;VAR:RCODE=FIBCEBITDA&amp;VAR:SDATE=20090299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6__FDSAUDITLINK__" hidden="1">{"fdsup://IBCentral/FAT Viewer?action=UPDATE&amp;creator=factset&amp;DOC_NAME=fat:reuters_ltm_source_window.fat&amp;display_string=Audit&amp;DYN_ARGS=TRUE&amp;VAR:ID1=AIR&amp;VAR:RCODE=FIBCEBITDA&amp;VAR:SDATE=20090299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77__123Graph_BChart_1L" localSheetId="0" hidden="1">#REF!</definedName>
    <definedName name="_177__123Graph_BChart_1L" hidden="1">#REF!</definedName>
    <definedName name="_177__FDSAUDITLINK__" localSheetId="5" hidden="1">{"fdsup://IBCentral/FAT Viewer?action=UPDATE&amp;creator=factset&amp;DOC_NAME=fat:reuters_ltm_source_window.fat&amp;display_string=Audit&amp;DYN_ARGS=TRUE&amp;VAR:ID1=IIVI&amp;VAR:RCODE=FIBCEBITDA&amp;VAR:SDATE=20090399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7__FDSAUDITLINK__" localSheetId="0" hidden="1">{"fdsup://IBCentral/FAT Viewer?action=UPDATE&amp;creator=factset&amp;DOC_NAME=fat:reuters_ltm_source_window.fat&amp;display_string=Audit&amp;DYN_ARGS=TRUE&amp;VAR:ID1=IIVI&amp;VAR:RCODE=FIBCEBITDA&amp;VAR:SDATE=20090399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7__FDSAUDITLINK__" localSheetId="4" hidden="1">{"fdsup://IBCentral/FAT Viewer?action=UPDATE&amp;creator=factset&amp;DOC_NAME=fat:reuters_ltm_source_window.fat&amp;display_string=Audit&amp;DYN_ARGS=TRUE&amp;VAR:ID1=IIVI&amp;VAR:RCODE=FIBCEBITDA&amp;VAR:SDATE=20090399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7__FDSAUDITLINK__" hidden="1">{"fdsup://IBCentral/FAT Viewer?action=UPDATE&amp;creator=factset&amp;DOC_NAME=fat:reuters_ltm_source_window.fat&amp;display_string=Audit&amp;DYN_ARGS=TRUE&amp;VAR:ID1=IIVI&amp;VAR:RCODE=FIBCEBITDA&amp;VAR:SDATE=20090399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8__FDSAUDITLINK__" localSheetId="5" hidden="1">{"fdsup://IBCentral/FAT Viewer?action=UPDATE&amp;creator=factset&amp;DOC_NAME=fat:reuters_ltm_source_window.fat&amp;display_string=Audit&amp;DYN_ARGS=TRUE&amp;VAR:ID1=CRDN&amp;VAR:RCODE=FIBCEBITDA&amp;VAR:SDATE=20090399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8__FDSAUDITLINK__" localSheetId="0" hidden="1">{"fdsup://IBCentral/FAT Viewer?action=UPDATE&amp;creator=factset&amp;DOC_NAME=fat:reuters_ltm_source_window.fat&amp;display_string=Audit&amp;DYN_ARGS=TRUE&amp;VAR:ID1=CRDN&amp;VAR:RCODE=FIBCEBITDA&amp;VAR:SDATE=20090399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8__FDSAUDITLINK__" localSheetId="4" hidden="1">{"fdsup://IBCentral/FAT Viewer?action=UPDATE&amp;creator=factset&amp;DOC_NAME=fat:reuters_ltm_source_window.fat&amp;display_string=Audit&amp;DYN_ARGS=TRUE&amp;VAR:ID1=CRDN&amp;VAR:RCODE=FIBCEBITDA&amp;VAR:SDATE=20090399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8__FDSAUDITLINK__" hidden="1">{"fdsup://IBCentral/FAT Viewer?action=UPDATE&amp;creator=factset&amp;DOC_NAME=fat:reuters_ltm_source_window.fat&amp;display_string=Audit&amp;DYN_ARGS=TRUE&amp;VAR:ID1=CRDN&amp;VAR:RCODE=FIBCEBITDA&amp;VAR:SDATE=20090399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9__123Graph_BChart_1M" localSheetId="0" hidden="1">#REF!</definedName>
    <definedName name="_179__123Graph_BChart_1M" hidden="1">#REF!</definedName>
    <definedName name="_179__FDSAUDITLINK__" localSheetId="5" hidden="1">{"fdsup://IBCentral/FAT Viewer?action=UPDATE&amp;creator=factset&amp;DOC_NAME=fat:reuters_ltm_source_window.fat&amp;display_string=Audit&amp;DYN_ARGS=TRUE&amp;VAR:ID1=UFPI&amp;VAR:RCODE=FIBCEBITDA&amp;VAR:SDATE=20090399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9__FDSAUDITLINK__" localSheetId="0" hidden="1">{"fdsup://IBCentral/FAT Viewer?action=UPDATE&amp;creator=factset&amp;DOC_NAME=fat:reuters_ltm_source_window.fat&amp;display_string=Audit&amp;DYN_ARGS=TRUE&amp;VAR:ID1=UFPI&amp;VAR:RCODE=FIBCEBITDA&amp;VAR:SDATE=20090399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9__FDSAUDITLINK__" localSheetId="4" hidden="1">{"fdsup://IBCentral/FAT Viewer?action=UPDATE&amp;creator=factset&amp;DOC_NAME=fat:reuters_ltm_source_window.fat&amp;display_string=Audit&amp;DYN_ARGS=TRUE&amp;VAR:ID1=UFPI&amp;VAR:RCODE=FIBCEBITDA&amp;VAR:SDATE=20090399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79__FDSAUDITLINK__" hidden="1">{"fdsup://IBCentral/FAT Viewer?action=UPDATE&amp;creator=factset&amp;DOC_NAME=fat:reuters_ltm_source_window.fat&amp;display_string=Audit&amp;DYN_ARGS=TRUE&amp;VAR:ID1=UFPI&amp;VAR:RCODE=FIBCEBITDA&amp;VAR:SDATE=20090399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__123Graph_BCHART_1" localSheetId="0" hidden="1">#REF!</definedName>
    <definedName name="_18__123Graph_BCHART_1" hidden="1">#REF!</definedName>
    <definedName name="_18__FDSAUDITLINK__" localSheetId="5" hidden="1">{"fdsup://IBCentral/FAT Viewer?action=UPDATE&amp;creator=factset&amp;DOC_NAME=fat:reuters_ltm_source_window.fat&amp;display_string=Audit&amp;DYN_ARGS=TRUE&amp;VAR:ID1=GGG&amp;VAR:RCODE=FIBCEBITDA&amp;VAR:SDATE=20090399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__FDSAUDITLINK__" localSheetId="0" hidden="1">{"fdsup://IBCentral/FAT Viewer?action=UPDATE&amp;creator=factset&amp;DOC_NAME=fat:reuters_ltm_source_window.fat&amp;display_string=Audit&amp;DYN_ARGS=TRUE&amp;VAR:ID1=GGG&amp;VAR:RCODE=FIBCEBITDA&amp;VAR:SDATE=20090399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__FDSAUDITLINK__" localSheetId="4" hidden="1">{"fdsup://IBCentral/FAT Viewer?action=UPDATE&amp;creator=factset&amp;DOC_NAME=fat:reuters_ltm_source_window.fat&amp;display_string=Audit&amp;DYN_ARGS=TRUE&amp;VAR:ID1=GGG&amp;VAR:RCODE=FIBCEBITDA&amp;VAR:SDATE=20090399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__FDSAUDITLINK__" hidden="1">{"fdsup://IBCentral/FAT Viewer?action=UPDATE&amp;creator=factset&amp;DOC_NAME=fat:reuters_ltm_source_window.fat&amp;display_string=Audit&amp;DYN_ARGS=TRUE&amp;VAR:ID1=GGG&amp;VAR:RCODE=FIBCEBITDA&amp;VAR:SDATE=20090399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0__FDSAUDITLINK__" localSheetId="5" hidden="1">{"fdsup://IBCentral/FAT Viewer?action=UPDATE&amp;creator=factset&amp;DOC_NAME=fat:reuters_ltm_source_window.fat&amp;display_string=Audit&amp;DYN_ARGS=TRUE&amp;VAR:ID1=ASF&amp;VAR:RCODE=FIBCEBITDA&amp;VAR:SDATE=20090399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0__FDSAUDITLINK__" localSheetId="0" hidden="1">{"fdsup://IBCentral/FAT Viewer?action=UPDATE&amp;creator=factset&amp;DOC_NAME=fat:reuters_ltm_source_window.fat&amp;display_string=Audit&amp;DYN_ARGS=TRUE&amp;VAR:ID1=ASF&amp;VAR:RCODE=FIBCEBITDA&amp;VAR:SDATE=20090399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0__FDSAUDITLINK__" localSheetId="4" hidden="1">{"fdsup://IBCentral/FAT Viewer?action=UPDATE&amp;creator=factset&amp;DOC_NAME=fat:reuters_ltm_source_window.fat&amp;display_string=Audit&amp;DYN_ARGS=TRUE&amp;VAR:ID1=ASF&amp;VAR:RCODE=FIBCEBITDA&amp;VAR:SDATE=20090399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0__FDSAUDITLINK__" hidden="1">{"fdsup://IBCentral/FAT Viewer?action=UPDATE&amp;creator=factset&amp;DOC_NAME=fat:reuters_ltm_source_window.fat&amp;display_string=Audit&amp;DYN_ARGS=TRUE&amp;VAR:ID1=ASF&amp;VAR:RCODE=FIBCEBITDA&amp;VAR:SDATE=20090399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1__123Graph_BChart_1N" localSheetId="0" hidden="1">#REF!</definedName>
    <definedName name="_181__123Graph_BChart_1N" hidden="1">#REF!</definedName>
    <definedName name="_181__FDSAUDITLINK__" localSheetId="5" hidden="1">{"fdsup://IBCentral/FAT Viewer?action=UPDATE&amp;creator=factset&amp;DOC_NAME=fat:reuters_ltm_source_window.fat&amp;display_string=Audit&amp;DYN_ARGS=TRUE&amp;VAR:ID1=ABFS&amp;VAR:RCODE=FIBCEBITDA&amp;VAR:SDATE=20090399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1__FDSAUDITLINK__" localSheetId="0" hidden="1">{"fdsup://IBCentral/FAT Viewer?action=UPDATE&amp;creator=factset&amp;DOC_NAME=fat:reuters_ltm_source_window.fat&amp;display_string=Audit&amp;DYN_ARGS=TRUE&amp;VAR:ID1=ABFS&amp;VAR:RCODE=FIBCEBITDA&amp;VAR:SDATE=20090399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1__FDSAUDITLINK__" localSheetId="4" hidden="1">{"fdsup://IBCentral/FAT Viewer?action=UPDATE&amp;creator=factset&amp;DOC_NAME=fat:reuters_ltm_source_window.fat&amp;display_string=Audit&amp;DYN_ARGS=TRUE&amp;VAR:ID1=ABFS&amp;VAR:RCODE=FIBCEBITDA&amp;VAR:SDATE=20090399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1__FDSAUDITLINK__" hidden="1">{"fdsup://IBCentral/FAT Viewer?action=UPDATE&amp;creator=factset&amp;DOC_NAME=fat:reuters_ltm_source_window.fat&amp;display_string=Audit&amp;DYN_ARGS=TRUE&amp;VAR:ID1=ABFS&amp;VAR:RCODE=FIBCEBITDA&amp;VAR:SDATE=20090399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2__FDSAUDITLINK__" localSheetId="5" hidden="1">{"fdsup://IBCentral/FAT Viewer?action=UPDATE&amp;creator=factset&amp;DOC_NAME=fat:reuters_ltm_source_window.fat&amp;display_string=Audit&amp;DYN_ARGS=TRUE&amp;VAR:ID1=DLX&amp;VAR:RCODE=FIBCEBITDA&amp;VAR:SDATE=20090399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2__FDSAUDITLINK__" localSheetId="0" hidden="1">{"fdsup://IBCentral/FAT Viewer?action=UPDATE&amp;creator=factset&amp;DOC_NAME=fat:reuters_ltm_source_window.fat&amp;display_string=Audit&amp;DYN_ARGS=TRUE&amp;VAR:ID1=DLX&amp;VAR:RCODE=FIBCEBITDA&amp;VAR:SDATE=20090399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2__FDSAUDITLINK__" localSheetId="4" hidden="1">{"fdsup://IBCentral/FAT Viewer?action=UPDATE&amp;creator=factset&amp;DOC_NAME=fat:reuters_ltm_source_window.fat&amp;display_string=Audit&amp;DYN_ARGS=TRUE&amp;VAR:ID1=DLX&amp;VAR:RCODE=FIBCEBITDA&amp;VAR:SDATE=20090399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2__FDSAUDITLINK__" hidden="1">{"fdsup://IBCentral/FAT Viewer?action=UPDATE&amp;creator=factset&amp;DOC_NAME=fat:reuters_ltm_source_window.fat&amp;display_string=Audit&amp;DYN_ARGS=TRUE&amp;VAR:ID1=DLX&amp;VAR:RCODE=FIBCEBITDA&amp;VAR:SDATE=20090399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3__123Graph_BChart_1O" localSheetId="0" hidden="1">#REF!</definedName>
    <definedName name="_183__123Graph_BChart_1O" hidden="1">#REF!</definedName>
    <definedName name="_183__FDSAUDITLINK__" localSheetId="5" hidden="1">{"fdsup://IBCentral/FAT Viewer?action=UPDATE&amp;creator=factset&amp;DOC_NAME=fat:reuters_ltm_source_window.fat&amp;display_string=Audit&amp;DYN_ARGS=TRUE&amp;VAR:ID1=OSK&amp;VAR:RCODE=FIBCEBITDA&amp;VAR:SDATE=20090399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3__FDSAUDITLINK__" localSheetId="0" hidden="1">{"fdsup://IBCentral/FAT Viewer?action=UPDATE&amp;creator=factset&amp;DOC_NAME=fat:reuters_ltm_source_window.fat&amp;display_string=Audit&amp;DYN_ARGS=TRUE&amp;VAR:ID1=OSK&amp;VAR:RCODE=FIBCEBITDA&amp;VAR:SDATE=20090399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3__FDSAUDITLINK__" localSheetId="4" hidden="1">{"fdsup://IBCentral/FAT Viewer?action=UPDATE&amp;creator=factset&amp;DOC_NAME=fat:reuters_ltm_source_window.fat&amp;display_string=Audit&amp;DYN_ARGS=TRUE&amp;VAR:ID1=OSK&amp;VAR:RCODE=FIBCEBITDA&amp;VAR:SDATE=20090399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3__FDSAUDITLINK__" hidden="1">{"fdsup://IBCentral/FAT Viewer?action=UPDATE&amp;creator=factset&amp;DOC_NAME=fat:reuters_ltm_source_window.fat&amp;display_string=Audit&amp;DYN_ARGS=TRUE&amp;VAR:ID1=OSK&amp;VAR:RCODE=FIBCEBITDA&amp;VAR:SDATE=20090399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4__FDSAUDITLINK__" localSheetId="5" hidden="1">{"fdsup://IBCentral/FAT Viewer?action=UPDATE&amp;creator=factset&amp;DOC_NAME=fat:reuters_ltm_source_window.fat&amp;display_string=Audit&amp;DYN_ARGS=TRUE&amp;VAR:ID1=MPS&amp;VAR:RCODE=FIBCEBITDA&amp;VAR:SDATE=20090399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4__FDSAUDITLINK__" localSheetId="0" hidden="1">{"fdsup://IBCentral/FAT Viewer?action=UPDATE&amp;creator=factset&amp;DOC_NAME=fat:reuters_ltm_source_window.fat&amp;display_string=Audit&amp;DYN_ARGS=TRUE&amp;VAR:ID1=MPS&amp;VAR:RCODE=FIBCEBITDA&amp;VAR:SDATE=20090399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4__FDSAUDITLINK__" localSheetId="4" hidden="1">{"fdsup://IBCentral/FAT Viewer?action=UPDATE&amp;creator=factset&amp;DOC_NAME=fat:reuters_ltm_source_window.fat&amp;display_string=Audit&amp;DYN_ARGS=TRUE&amp;VAR:ID1=MPS&amp;VAR:RCODE=FIBCEBITDA&amp;VAR:SDATE=20090399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4__FDSAUDITLINK__" hidden="1">{"fdsup://IBCentral/FAT Viewer?action=UPDATE&amp;creator=factset&amp;DOC_NAME=fat:reuters_ltm_source_window.fat&amp;display_string=Audit&amp;DYN_ARGS=TRUE&amp;VAR:ID1=MPS&amp;VAR:RCODE=FIBCEBITDA&amp;VAR:SDATE=20090399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5__123Graph_BChart_1P" localSheetId="0" hidden="1">#REF!</definedName>
    <definedName name="_185__123Graph_BChart_1P" hidden="1">#REF!</definedName>
    <definedName name="_185__FDSAUDITLINK__" localSheetId="5" hidden="1">{"fdsup://IBCentral/FAT Viewer?action=UPDATE&amp;creator=factset&amp;DOC_NAME=fat:reuters_ltm_source_window.fat&amp;display_string=Audit&amp;DYN_ARGS=TRUE&amp;VAR:ID1=RBN&amp;VAR:RCODE=FIBCEBITDA&amp;VAR:SDATE=20090299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5__FDSAUDITLINK__" localSheetId="0" hidden="1">{"fdsup://IBCentral/FAT Viewer?action=UPDATE&amp;creator=factset&amp;DOC_NAME=fat:reuters_ltm_source_window.fat&amp;display_string=Audit&amp;DYN_ARGS=TRUE&amp;VAR:ID1=RBN&amp;VAR:RCODE=FIBCEBITDA&amp;VAR:SDATE=20090299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5__FDSAUDITLINK__" localSheetId="4" hidden="1">{"fdsup://IBCentral/FAT Viewer?action=UPDATE&amp;creator=factset&amp;DOC_NAME=fat:reuters_ltm_source_window.fat&amp;display_string=Audit&amp;DYN_ARGS=TRUE&amp;VAR:ID1=RBN&amp;VAR:RCODE=FIBCEBITDA&amp;VAR:SDATE=20090299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Viewer?action=UPDATE&amp;creator=factset&amp;DOC_NAME=fat:reuters_ltm_source_window.fat&amp;display_string=Audit&amp;DYN_ARGS=TRUE&amp;VAR:ID1=RBN&amp;VAR:RCODE=FIBCEBITDA&amp;VAR:SDATE=20090299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86__FDSAUDITLINK__" localSheetId="5" hidden="1">{"fdsup://IBCentral/FAT Viewer?action=UPDATE&amp;creator=factset&amp;DOC_NAME=fat:reuters_ltm_source_window.fat&amp;display_string=Audit&amp;DYN_ARGS=TRUE&amp;VAR:ID1=MLHR&amp;VAR:RCODE=FIBCEBITDA&amp;VAR:SDATE=20090299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6__FDSAUDITLINK__" localSheetId="0" hidden="1">{"fdsup://IBCentral/FAT Viewer?action=UPDATE&amp;creator=factset&amp;DOC_NAME=fat:reuters_ltm_source_window.fat&amp;display_string=Audit&amp;DYN_ARGS=TRUE&amp;VAR:ID1=MLHR&amp;VAR:RCODE=FIBCEBITDA&amp;VAR:SDATE=20090299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6__FDSAUDITLINK__" localSheetId="4" hidden="1">{"fdsup://IBCentral/FAT Viewer?action=UPDATE&amp;creator=factset&amp;DOC_NAME=fat:reuters_ltm_source_window.fat&amp;display_string=Audit&amp;DYN_ARGS=TRUE&amp;VAR:ID1=MLHR&amp;VAR:RCODE=FIBCEBITDA&amp;VAR:SDATE=20090299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6__FDSAUDITLINK__" hidden="1">{"fdsup://IBCentral/FAT Viewer?action=UPDATE&amp;creator=factset&amp;DOC_NAME=fat:reuters_ltm_source_window.fat&amp;display_string=Audit&amp;DYN_ARGS=TRUE&amp;VAR:ID1=MLHR&amp;VAR:RCODE=FIBCEBITDA&amp;VAR:SDATE=20090299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7__123Graph_BChart_1Q" localSheetId="0" hidden="1">#REF!</definedName>
    <definedName name="_187__123Graph_BChart_1Q" hidden="1">#REF!</definedName>
    <definedName name="_187__FDSAUDITLINK__" localSheetId="5" hidden="1">{"fdsup://IBCentral/FAT Viewer?action=UPDATE&amp;creator=factset&amp;DOC_NAME=fat:reuters_annual_source_window.fat&amp;display_string=Audit&amp;DYN_ARGS=TRUE&amp;VAR:ID1=85453210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87__FDSAUDITLINK__" localSheetId="0" hidden="1">{"fdsup://IBCentral/FAT Viewer?action=UPDATE&amp;creator=factset&amp;DOC_NAME=fat:reuters_annual_source_window.fat&amp;display_string=Audit&amp;DYN_ARGS=TRUE&amp;VAR:ID1=85453210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87__FDSAUDITLINK__" localSheetId="4" hidden="1">{"fdsup://IBCentral/FAT Viewer?action=UPDATE&amp;creator=factset&amp;DOC_NAME=fat:reuters_annual_source_window.fat&amp;display_string=Audit&amp;DYN_ARGS=TRUE&amp;VAR:ID1=85453210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85453210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88__FDSAUDITLINK__" localSheetId="5" hidden="1">{"fdsup://IBCentral/FAT Viewer?action=UPDATE&amp;creator=factset&amp;DOC_NAME=fat:reuters_ltm_source_window.fat&amp;display_string=Audit&amp;DYN_ARGS=TRUE&amp;VAR:ID1=TG&amp;VAR:RCODE=FIBCEBITDA&amp;VAR:SDATE=20090399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88__FDSAUDITLINK__" localSheetId="0" hidden="1">{"fdsup://IBCentral/FAT Viewer?action=UPDATE&amp;creator=factset&amp;DOC_NAME=fat:reuters_ltm_source_window.fat&amp;display_string=Audit&amp;DYN_ARGS=TRUE&amp;VAR:ID1=TG&amp;VAR:RCODE=FIBCEBITDA&amp;VAR:SDATE=20090399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88__FDSAUDITLINK__" localSheetId="4" hidden="1">{"fdsup://IBCentral/FAT Viewer?action=UPDATE&amp;creator=factset&amp;DOC_NAME=fat:reuters_ltm_source_window.fat&amp;display_string=Audit&amp;DYN_ARGS=TRUE&amp;VAR:ID1=TG&amp;VAR:RCODE=FIBCEBITDA&amp;VAR:SDATE=20090399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88__FDSAUDITLINK__" hidden="1">{"fdsup://IBCentral/FAT Viewer?action=UPDATE&amp;creator=factset&amp;DOC_NAME=fat:reuters_ltm_source_window.fat&amp;display_string=Audit&amp;DYN_ARGS=TRUE&amp;VAR:ID1=TG&amp;VAR:RCODE=FIBCEBITDA&amp;VAR:SDATE=20090399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189__123Graph_BChart_1R" localSheetId="0" hidden="1">#REF!</definedName>
    <definedName name="_189__123Graph_BChart_1R" hidden="1">#REF!</definedName>
    <definedName name="_189__FDSAUDITLINK__" localSheetId="5" hidden="1">{"fdsup://IBCentral/FAT Viewer?action=UPDATE&amp;creator=factset&amp;DOC_NAME=fat:reuters_ltm_source_window.fat&amp;display_string=Audit&amp;DYN_ARGS=TRUE&amp;VAR:ID1=ASTE&amp;VAR:RCODE=FIBCEBITDA&amp;VAR:SDATE=20090399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9__FDSAUDITLINK__" localSheetId="0" hidden="1">{"fdsup://IBCentral/FAT Viewer?action=UPDATE&amp;creator=factset&amp;DOC_NAME=fat:reuters_ltm_source_window.fat&amp;display_string=Audit&amp;DYN_ARGS=TRUE&amp;VAR:ID1=ASTE&amp;VAR:RCODE=FIBCEBITDA&amp;VAR:SDATE=20090399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9__FDSAUDITLINK__" localSheetId="4" hidden="1">{"fdsup://IBCentral/FAT Viewer?action=UPDATE&amp;creator=factset&amp;DOC_NAME=fat:reuters_ltm_source_window.fat&amp;display_string=Audit&amp;DYN_ARGS=TRUE&amp;VAR:ID1=ASTE&amp;VAR:RCODE=FIBCEBITDA&amp;VAR:SDATE=20090399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89__FDSAUDITLINK__" hidden="1">{"fdsup://IBCentral/FAT Viewer?action=UPDATE&amp;creator=factset&amp;DOC_NAME=fat:reuters_ltm_source_window.fat&amp;display_string=Audit&amp;DYN_ARGS=TRUE&amp;VAR:ID1=ASTE&amp;VAR:RCODE=FIBCEBITDA&amp;VAR:SDATE=20090399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__123Graph_AChart_1AE" localSheetId="0" hidden="1">#REF!</definedName>
    <definedName name="_19__123Graph_AChart_1AE" hidden="1">#REF!</definedName>
    <definedName name="_19__123Graph_BCHART_10" localSheetId="0" hidden="1">#REF!</definedName>
    <definedName name="_19__123Graph_BCHART_10" hidden="1">#REF!</definedName>
    <definedName name="_19__FDSAUDITLINK__" localSheetId="5" hidden="1">{"fdsup://IBCentral/FAT Viewer?action=UPDATE&amp;creator=factset&amp;DOC_NAME=fat:reuters_ltm_source_window.fat&amp;display_string=Audit&amp;DYN_ARGS=TRUE&amp;VAR:ID1=WSO&amp;VAR:RCODE=FIBCEBITDA&amp;VAR:SDATE=20090399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__FDSAUDITLINK__" localSheetId="0" hidden="1">{"fdsup://IBCentral/FAT Viewer?action=UPDATE&amp;creator=factset&amp;DOC_NAME=fat:reuters_ltm_source_window.fat&amp;display_string=Audit&amp;DYN_ARGS=TRUE&amp;VAR:ID1=WSO&amp;VAR:RCODE=FIBCEBITDA&amp;VAR:SDATE=20090399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__FDSAUDITLINK__" localSheetId="4" hidden="1">{"fdsup://IBCentral/FAT Viewer?action=UPDATE&amp;creator=factset&amp;DOC_NAME=fat:reuters_ltm_source_window.fat&amp;display_string=Audit&amp;DYN_ARGS=TRUE&amp;VAR:ID1=WSO&amp;VAR:RCODE=FIBCEBITDA&amp;VAR:SDATE=20090399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__FDSAUDITLINK__" hidden="1">{"fdsup://IBCentral/FAT Viewer?action=UPDATE&amp;creator=factset&amp;DOC_NAME=fat:reuters_ltm_source_window.fat&amp;display_string=Audit&amp;DYN_ARGS=TRUE&amp;VAR:ID1=WSO&amp;VAR:RCODE=FIBCEBITDA&amp;VAR:SDATE=20090399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0__FDSAUDITLINK__" localSheetId="5" hidden="1">{"fdsup://IBCentral/FAT Viewer?action=UPDATE&amp;creator=factset&amp;DOC_NAME=fat:reuters_ltm_source_window.fat&amp;display_string=Audit&amp;DYN_ARGS=TRUE&amp;VAR:ID1=MTW&amp;VAR:RCODE=FIBCEBITDA&amp;VAR:SDATE=20090399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0__FDSAUDITLINK__" localSheetId="0" hidden="1">{"fdsup://IBCentral/FAT Viewer?action=UPDATE&amp;creator=factset&amp;DOC_NAME=fat:reuters_ltm_source_window.fat&amp;display_string=Audit&amp;DYN_ARGS=TRUE&amp;VAR:ID1=MTW&amp;VAR:RCODE=FIBCEBITDA&amp;VAR:SDATE=20090399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0__FDSAUDITLINK__" localSheetId="4" hidden="1">{"fdsup://IBCentral/FAT Viewer?action=UPDATE&amp;creator=factset&amp;DOC_NAME=fat:reuters_ltm_source_window.fat&amp;display_string=Audit&amp;DYN_ARGS=TRUE&amp;VAR:ID1=MTW&amp;VAR:RCODE=FIBCEBITDA&amp;VAR:SDATE=20090399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0__FDSAUDITLINK__" hidden="1">{"fdsup://IBCentral/FAT Viewer?action=UPDATE&amp;creator=factset&amp;DOC_NAME=fat:reuters_ltm_source_window.fat&amp;display_string=Audit&amp;DYN_ARGS=TRUE&amp;VAR:ID1=MTW&amp;VAR:RCODE=FIBCEBITDA&amp;VAR:SDATE=20090399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1__123Graph_BChart_1T" localSheetId="0" hidden="1">#REF!</definedName>
    <definedName name="_191__123Graph_BChart_1T" hidden="1">#REF!</definedName>
    <definedName name="_191__FDSAUDITLINK__" localSheetId="5" hidden="1">{"fdsup://IBCentral/FAT Viewer?action=UPDATE&amp;creator=factset&amp;DOC_NAME=fat:reuters_ltm_source_window.fat&amp;display_string=Audit&amp;DYN_ARGS=TRUE&amp;VAR:ID1=B&amp;VAR:RCODE=FIBCEBITDA&amp;VAR:SDATE=20090399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1__FDSAUDITLINK__" localSheetId="0" hidden="1">{"fdsup://IBCentral/FAT Viewer?action=UPDATE&amp;creator=factset&amp;DOC_NAME=fat:reuters_ltm_source_window.fat&amp;display_string=Audit&amp;DYN_ARGS=TRUE&amp;VAR:ID1=B&amp;VAR:RCODE=FIBCEBITDA&amp;VAR:SDATE=20090399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1__FDSAUDITLINK__" localSheetId="4" hidden="1">{"fdsup://IBCentral/FAT Viewer?action=UPDATE&amp;creator=factset&amp;DOC_NAME=fat:reuters_ltm_source_window.fat&amp;display_string=Audit&amp;DYN_ARGS=TRUE&amp;VAR:ID1=B&amp;VAR:RCODE=FIBCEBITDA&amp;VAR:SDATE=20090399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1__FDSAUDITLINK__" hidden="1">{"fdsup://IBCentral/FAT Viewer?action=UPDATE&amp;creator=factset&amp;DOC_NAME=fat:reuters_ltm_source_window.fat&amp;display_string=Audit&amp;DYN_ARGS=TRUE&amp;VAR:ID1=B&amp;VAR:RCODE=FIBCEBITDA&amp;VAR:SDATE=20090399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192__FDSAUDITLINK__" localSheetId="5" hidden="1">{"fdsup://IBCentral/FAT Viewer?action=UPDATE&amp;creator=factset&amp;DOC_NAME=fat:reuters_ltm_source_window.fat&amp;display_string=Audit&amp;DYN_ARGS=TRUE&amp;VAR:ID1=BDC&amp;VAR:RCODE=FIBCEBITDA&amp;VAR:SDATE=20090399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2__FDSAUDITLINK__" localSheetId="0" hidden="1">{"fdsup://IBCentral/FAT Viewer?action=UPDATE&amp;creator=factset&amp;DOC_NAME=fat:reuters_ltm_source_window.fat&amp;display_string=Audit&amp;DYN_ARGS=TRUE&amp;VAR:ID1=BDC&amp;VAR:RCODE=FIBCEBITDA&amp;VAR:SDATE=20090399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2__FDSAUDITLINK__" localSheetId="4" hidden="1">{"fdsup://IBCentral/FAT Viewer?action=UPDATE&amp;creator=factset&amp;DOC_NAME=fat:reuters_ltm_source_window.fat&amp;display_string=Audit&amp;DYN_ARGS=TRUE&amp;VAR:ID1=BDC&amp;VAR:RCODE=FIBCEBITDA&amp;VAR:SDATE=20090399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2__FDSAUDITLINK__" hidden="1">{"fdsup://IBCentral/FAT Viewer?action=UPDATE&amp;creator=factset&amp;DOC_NAME=fat:reuters_ltm_source_window.fat&amp;display_string=Audit&amp;DYN_ARGS=TRUE&amp;VAR:ID1=BDC&amp;VAR:RCODE=FIBCEBITDA&amp;VAR:SDATE=20090399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3__123Graph_BChart_1U" localSheetId="0" hidden="1">#REF!</definedName>
    <definedName name="_193__123Graph_BChart_1U" hidden="1">#REF!</definedName>
    <definedName name="_193__FDSAUDITLINK__" localSheetId="5" hidden="1">{"fdsup://IBCentral/FAT Viewer?action=UPDATE&amp;creator=factset&amp;DOC_NAME=fat:reuters_annual_source_window.fat&amp;display_string=Audit&amp;DYN_ARGS=TRUE&amp;VAR:ID1=89681810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93__FDSAUDITLINK__" localSheetId="0" hidden="1">{"fdsup://IBCentral/FAT Viewer?action=UPDATE&amp;creator=factset&amp;DOC_NAME=fat:reuters_annual_source_window.fat&amp;display_string=Audit&amp;DYN_ARGS=TRUE&amp;VAR:ID1=89681810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93__FDSAUDITLINK__" localSheetId="4" hidden="1">{"fdsup://IBCentral/FAT Viewer?action=UPDATE&amp;creator=factset&amp;DOC_NAME=fat:reuters_annual_source_window.fat&amp;display_string=Audit&amp;DYN_ARGS=TRUE&amp;VAR:ID1=89681810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93__FDSAUDITLINK__" hidden="1">{"fdsup://IBCentral/FAT Viewer?action=UPDATE&amp;creator=factset&amp;DOC_NAME=fat:reuters_annual_source_window.fat&amp;display_string=Audit&amp;DYN_ARGS=TRUE&amp;VAR:ID1=89681810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194__FDSAUDITLINK__" localSheetId="5" hidden="1">{"fdsup://IBCentral/FAT Viewer?action=UPDATE&amp;creator=factset&amp;DOC_NAME=fat:reuters_ltm_source_window.fat&amp;display_string=Audit&amp;DYN_ARGS=TRUE&amp;VAR:ID1=ESL&amp;VAR:RCODE=FIBCEBITDA&amp;VAR:SDATE=20090199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4__FDSAUDITLINK__" localSheetId="0" hidden="1">{"fdsup://IBCentral/FAT Viewer?action=UPDATE&amp;creator=factset&amp;DOC_NAME=fat:reuters_ltm_source_window.fat&amp;display_string=Audit&amp;DYN_ARGS=TRUE&amp;VAR:ID1=ESL&amp;VAR:RCODE=FIBCEBITDA&amp;VAR:SDATE=20090199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4__FDSAUDITLINK__" localSheetId="4" hidden="1">{"fdsup://IBCentral/FAT Viewer?action=UPDATE&amp;creator=factset&amp;DOC_NAME=fat:reuters_ltm_source_window.fat&amp;display_string=Audit&amp;DYN_ARGS=TRUE&amp;VAR:ID1=ESL&amp;VAR:RCODE=FIBCEBITDA&amp;VAR:SDATE=20090199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4__FDSAUDITLINK__" hidden="1">{"fdsup://IBCentral/FAT Viewer?action=UPDATE&amp;creator=factset&amp;DOC_NAME=fat:reuters_ltm_source_window.fat&amp;display_string=Audit&amp;DYN_ARGS=TRUE&amp;VAR:ID1=ESL&amp;VAR:RCODE=FIBCEBITDA&amp;VAR:SDATE=20090199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5__123Graph_BChart_1W" localSheetId="0" hidden="1">#REF!</definedName>
    <definedName name="_195__123Graph_BChart_1W" hidden="1">#REF!</definedName>
    <definedName name="_195__FDSAUDITLINK__" localSheetId="5" hidden="1">{"fdsup://IBCentral/FAT Viewer?action=UPDATE&amp;creator=factset&amp;DOC_NAME=fat:reuters_ltm_source_window.fat&amp;display_string=Audit&amp;DYN_ARGS=TRUE&amp;VAR:ID1=ALK&amp;VAR:RCODE=FIBCEBITDA&amp;VAR:SDATE=20090399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5__FDSAUDITLINK__" localSheetId="0" hidden="1">{"fdsup://IBCentral/FAT Viewer?action=UPDATE&amp;creator=factset&amp;DOC_NAME=fat:reuters_ltm_source_window.fat&amp;display_string=Audit&amp;DYN_ARGS=TRUE&amp;VAR:ID1=ALK&amp;VAR:RCODE=FIBCEBITDA&amp;VAR:SDATE=20090399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5__FDSAUDITLINK__" localSheetId="4" hidden="1">{"fdsup://IBCentral/FAT Viewer?action=UPDATE&amp;creator=factset&amp;DOC_NAME=fat:reuters_ltm_source_window.fat&amp;display_string=Audit&amp;DYN_ARGS=TRUE&amp;VAR:ID1=ALK&amp;VAR:RCODE=FIBCEBITDA&amp;VAR:SDATE=20090399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5__FDSAUDITLINK__" hidden="1">{"fdsup://IBCentral/FAT Viewer?action=UPDATE&amp;creator=factset&amp;DOC_NAME=fat:reuters_ltm_source_window.fat&amp;display_string=Audit&amp;DYN_ARGS=TRUE&amp;VAR:ID1=ALK&amp;VAR:RCODE=FIBCEBITDA&amp;VAR:SDATE=20090399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6__FDSAUDITLINK__" localSheetId="5" hidden="1">{"fdsup://IBCentral/FAT Viewer?action=UPDATE&amp;creator=factset&amp;DOC_NAME=fat:reuters_ltm_source_window.fat&amp;display_string=Audit&amp;DYN_ARGS=TRUE&amp;VAR:ID1=NCI&amp;VAR:RCODE=FIBCEBITDA&amp;VAR:SDATE=20090399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6__FDSAUDITLINK__" localSheetId="0" hidden="1">{"fdsup://IBCentral/FAT Viewer?action=UPDATE&amp;creator=factset&amp;DOC_NAME=fat:reuters_ltm_source_window.fat&amp;display_string=Audit&amp;DYN_ARGS=TRUE&amp;VAR:ID1=NCI&amp;VAR:RCODE=FIBCEBITDA&amp;VAR:SDATE=20090399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6__FDSAUDITLINK__" localSheetId="4" hidden="1">{"fdsup://IBCentral/FAT Viewer?action=UPDATE&amp;creator=factset&amp;DOC_NAME=fat:reuters_ltm_source_window.fat&amp;display_string=Audit&amp;DYN_ARGS=TRUE&amp;VAR:ID1=NCI&amp;VAR:RCODE=FIBCEBITDA&amp;VAR:SDATE=20090399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6__FDSAUDITLINK__" hidden="1">{"fdsup://IBCentral/FAT Viewer?action=UPDATE&amp;creator=factset&amp;DOC_NAME=fat:reuters_ltm_source_window.fat&amp;display_string=Audit&amp;DYN_ARGS=TRUE&amp;VAR:ID1=NCI&amp;VAR:RCODE=FIBCEBITDA&amp;VAR:SDATE=20090399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197__123Graph_BChart_1X" localSheetId="0" hidden="1">#REF!</definedName>
    <definedName name="_197__123Graph_BChart_1X" hidden="1">#REF!</definedName>
    <definedName name="_197__FDSAUDITLINK__" localSheetId="5" hidden="1">{"fdsup://IBCentral/FAT Viewer?action=UPDATE&amp;creator=factset&amp;DOC_NAME=fat:reuters_ltm_source_window.fat&amp;display_string=Audit&amp;DYN_ARGS=TRUE&amp;VAR:ID1=USTR&amp;VAR:RCODE=FIBCEBITDA&amp;VAR:SDATE=20090399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7__FDSAUDITLINK__" localSheetId="0" hidden="1">{"fdsup://IBCentral/FAT Viewer?action=UPDATE&amp;creator=factset&amp;DOC_NAME=fat:reuters_ltm_source_window.fat&amp;display_string=Audit&amp;DYN_ARGS=TRUE&amp;VAR:ID1=USTR&amp;VAR:RCODE=FIBCEBITDA&amp;VAR:SDATE=20090399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7__FDSAUDITLINK__" localSheetId="4" hidden="1">{"fdsup://IBCentral/FAT Viewer?action=UPDATE&amp;creator=factset&amp;DOC_NAME=fat:reuters_ltm_source_window.fat&amp;display_string=Audit&amp;DYN_ARGS=TRUE&amp;VAR:ID1=USTR&amp;VAR:RCODE=FIBCEBITDA&amp;VAR:SDATE=20090399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7__FDSAUDITLINK__" hidden="1">{"fdsup://IBCentral/FAT Viewer?action=UPDATE&amp;creator=factset&amp;DOC_NAME=fat:reuters_ltm_source_window.fat&amp;display_string=Audit&amp;DYN_ARGS=TRUE&amp;VAR:ID1=USTR&amp;VAR:RCODE=FIBCEBITDA&amp;VAR:SDATE=20090399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8__FDSAUDITLINK__" localSheetId="5" hidden="1">{"fdsup://IBCentral/FAT Viewer?action=UPDATE&amp;creator=factset&amp;DOC_NAME=fat:reuters_ltm_source_window.fat&amp;display_string=Audit&amp;DYN_ARGS=TRUE&amp;VAR:ID1=SYKE&amp;VAR:RCODE=FIBCEBITDA&amp;VAR:SDATE=20090399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8__FDSAUDITLINK__" localSheetId="0" hidden="1">{"fdsup://IBCentral/FAT Viewer?action=UPDATE&amp;creator=factset&amp;DOC_NAME=fat:reuters_ltm_source_window.fat&amp;display_string=Audit&amp;DYN_ARGS=TRUE&amp;VAR:ID1=SYKE&amp;VAR:RCODE=FIBCEBITDA&amp;VAR:SDATE=20090399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8__FDSAUDITLINK__" localSheetId="4" hidden="1">{"fdsup://IBCentral/FAT Viewer?action=UPDATE&amp;creator=factset&amp;DOC_NAME=fat:reuters_ltm_source_window.fat&amp;display_string=Audit&amp;DYN_ARGS=TRUE&amp;VAR:ID1=SYKE&amp;VAR:RCODE=FIBCEBITDA&amp;VAR:SDATE=20090399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8__FDSAUDITLINK__" hidden="1">{"fdsup://IBCentral/FAT Viewer?action=UPDATE&amp;creator=factset&amp;DOC_NAME=fat:reuters_ltm_source_window.fat&amp;display_string=Audit&amp;DYN_ARGS=TRUE&amp;VAR:ID1=SYKE&amp;VAR:RCODE=FIBCEBITDA&amp;VAR:SDATE=20090399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9__123Graph_BChart_1Y" localSheetId="0" hidden="1">#REF!</definedName>
    <definedName name="_199__123Graph_BChart_1Y" hidden="1">#REF!</definedName>
    <definedName name="_199__FDSAUDITLINK__" localSheetId="5" hidden="1">{"fdsup://IBCentral/FAT Viewer?action=UPDATE&amp;creator=factset&amp;DOC_NAME=fat:reuters_ltm_source_window.fat&amp;display_string=Audit&amp;DYN_ARGS=TRUE&amp;VAR:ID1=WGOV&amp;VAR:RCODE=FIBCEBITDA&amp;VAR:SDATE=20090399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9__FDSAUDITLINK__" localSheetId="0" hidden="1">{"fdsup://IBCentral/FAT Viewer?action=UPDATE&amp;creator=factset&amp;DOC_NAME=fat:reuters_ltm_source_window.fat&amp;display_string=Audit&amp;DYN_ARGS=TRUE&amp;VAR:ID1=WGOV&amp;VAR:RCODE=FIBCEBITDA&amp;VAR:SDATE=20090399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9__FDSAUDITLINK__" localSheetId="4" hidden="1">{"fdsup://IBCentral/FAT Viewer?action=UPDATE&amp;creator=factset&amp;DOC_NAME=fat:reuters_ltm_source_window.fat&amp;display_string=Audit&amp;DYN_ARGS=TRUE&amp;VAR:ID1=WGOV&amp;VAR:RCODE=FIBCEBITDA&amp;VAR:SDATE=20090399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99__FDSAUDITLINK__" hidden="1">{"fdsup://IBCentral/FAT Viewer?action=UPDATE&amp;creator=factset&amp;DOC_NAME=fat:reuters_ltm_source_window.fat&amp;display_string=Audit&amp;DYN_ARGS=TRUE&amp;VAR:ID1=WGOV&amp;VAR:RCODE=FIBCEBITDA&amp;VAR:SDATE=20090399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1dataLink_ver1__Sheet1_L" localSheetId="0">#REF!</definedName>
    <definedName name="_1dataLink_ver1__Sheet1_L">#REF!</definedName>
    <definedName name="_1EBITDA_Sh" localSheetId="0">#REF!</definedName>
    <definedName name="_1EBITDA_Sh">#REF!</definedName>
    <definedName name="_1ÿ_0I" localSheetId="0">#REF!</definedName>
    <definedName name="_1ÿ_0I">#REF!</definedName>
    <definedName name="_2__FDSAUDITLINK__" localSheetId="5" hidden="1">{"fdsup://IBCentral/FAT Viewer?action=UPDATE&amp;creator=factset&amp;DOC_NAME=fat:reuters_ltm_source_window.fat&amp;display_string=Audit&amp;DYN_ARGS=TRUE&amp;VAR:ID1=GE&amp;VAR:RCODE=FIBCEBITDA&amp;VAR:SDATE=20090399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__FDSAUDITLINK__" localSheetId="0" hidden="1">{"fdsup://IBCentral/FAT Viewer?action=UPDATE&amp;creator=factset&amp;DOC_NAME=fat:reuters_ltm_source_window.fat&amp;display_string=Audit&amp;DYN_ARGS=TRUE&amp;VAR:ID1=GE&amp;VAR:RCODE=FIBCEBITDA&amp;VAR:SDATE=20090399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__FDSAUDITLINK__" localSheetId="4" hidden="1">{"fdsup://IBCentral/FAT Viewer?action=UPDATE&amp;creator=factset&amp;DOC_NAME=fat:reuters_ltm_source_window.fat&amp;display_string=Audit&amp;DYN_ARGS=TRUE&amp;VAR:ID1=GE&amp;VAR:RCODE=FIBCEBITDA&amp;VAR:SDATE=20090399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__FDSAUDITLINK__" hidden="1">{"fdsup://IBCentral/FAT Viewer?action=UPDATE&amp;creator=factset&amp;DOC_NAME=fat:reuters_ltm_source_window.fat&amp;display_string=Audit&amp;DYN_ARGS=TRUE&amp;VAR:ID1=GE&amp;VAR:RCODE=FIBCEBITDA&amp;VAR:SDATE=20090399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_0AvgS" localSheetId="0">#REF!</definedName>
    <definedName name="_2_0AvgS">#REF!</definedName>
    <definedName name="_2_0NOPAT_Sh" localSheetId="0">#REF!</definedName>
    <definedName name="_2_0NOPAT_Sh">#REF!</definedName>
    <definedName name="_20__123Graph_BCHART_11" localSheetId="0" hidden="1">#REF!</definedName>
    <definedName name="_20__123Graph_BCHART_11" hidden="1">#REF!</definedName>
    <definedName name="_20__FDSAUDITLINK__" localSheetId="5" hidden="1">{"fdsup://IBCentral/FAT Viewer?action=UPDATE&amp;creator=factset&amp;DOC_NAME=fat:reuters_ltm_source_window.fat&amp;display_string=Audit&amp;DYN_ARGS=TRUE&amp;VAR:ID1=CR&amp;VAR:RCODE=FIBCEBITDA&amp;VAR:SDATE=20090399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0__FDSAUDITLINK__" localSheetId="0" hidden="1">{"fdsup://IBCentral/FAT Viewer?action=UPDATE&amp;creator=factset&amp;DOC_NAME=fat:reuters_ltm_source_window.fat&amp;display_string=Audit&amp;DYN_ARGS=TRUE&amp;VAR:ID1=CR&amp;VAR:RCODE=FIBCEBITDA&amp;VAR:SDATE=20090399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0__FDSAUDITLINK__" localSheetId="4" hidden="1">{"fdsup://IBCentral/FAT Viewer?action=UPDATE&amp;creator=factset&amp;DOC_NAME=fat:reuters_ltm_source_window.fat&amp;display_string=Audit&amp;DYN_ARGS=TRUE&amp;VAR:ID1=CR&amp;VAR:RCODE=FIBCEBITDA&amp;VAR:SDATE=20090399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0__FDSAUDITLINK__" hidden="1">{"fdsup://IBCentral/FAT Viewer?action=UPDATE&amp;creator=factset&amp;DOC_NAME=fat:reuters_ltm_source_window.fat&amp;display_string=Audit&amp;DYN_ARGS=TRUE&amp;VAR:ID1=CR&amp;VAR:RCODE=FIBCEBITDA&amp;VAR:SDATE=20090399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0_Jul_94" localSheetId="0">#REF!</definedName>
    <definedName name="_20_Jul_94">#REF!</definedName>
    <definedName name="_200__FDSAUDITLINK__" localSheetId="5" hidden="1">{"fdsup://IBCentral/FAT Viewer?action=UPDATE&amp;creator=factset&amp;DOC_NAME=fat:reuters_ltm_source_window.fat&amp;display_string=Audit&amp;DYN_ARGS=TRUE&amp;VAR:ID1=HUBG&amp;VAR:RCODE=FIBCEBITDA&amp;VAR:SDATE=20090399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0__FDSAUDITLINK__" localSheetId="0" hidden="1">{"fdsup://IBCentral/FAT Viewer?action=UPDATE&amp;creator=factset&amp;DOC_NAME=fat:reuters_ltm_source_window.fat&amp;display_string=Audit&amp;DYN_ARGS=TRUE&amp;VAR:ID1=HUBG&amp;VAR:RCODE=FIBCEBITDA&amp;VAR:SDATE=20090399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0__FDSAUDITLINK__" localSheetId="4" hidden="1">{"fdsup://IBCentral/FAT Viewer?action=UPDATE&amp;creator=factset&amp;DOC_NAME=fat:reuters_ltm_source_window.fat&amp;display_string=Audit&amp;DYN_ARGS=TRUE&amp;VAR:ID1=HUBG&amp;VAR:RCODE=FIBCEBITDA&amp;VAR:SDATE=20090399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0__FDSAUDITLINK__" hidden="1">{"fdsup://IBCentral/FAT Viewer?action=UPDATE&amp;creator=factset&amp;DOC_NAME=fat:reuters_ltm_source_window.fat&amp;display_string=Audit&amp;DYN_ARGS=TRUE&amp;VAR:ID1=HUBG&amp;VAR:RCODE=FIBCEBITDA&amp;VAR:SDATE=20090399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00E" localSheetId="0">#REF!</definedName>
    <definedName name="_2000E">#REF!</definedName>
    <definedName name="_201__123Graph_BChart_1Z" localSheetId="0" hidden="1">#REF!</definedName>
    <definedName name="_201__123Graph_BChart_1Z" hidden="1">#REF!</definedName>
    <definedName name="_201__FDSAUDITLINK__" localSheetId="5" hidden="1">{"fdsup://IBCentral/FAT Viewer?action=UPDATE&amp;creator=factset&amp;DOC_NAME=fat:reuters_ltm_source_window.fat&amp;display_string=Audit&amp;DYN_ARGS=TRUE&amp;VAR:ID1=HCSG&amp;VAR:RCODE=FIBCEBITDA&amp;VAR:SDATE=20090399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1__FDSAUDITLINK__" localSheetId="0" hidden="1">{"fdsup://IBCentral/FAT Viewer?action=UPDATE&amp;creator=factset&amp;DOC_NAME=fat:reuters_ltm_source_window.fat&amp;display_string=Audit&amp;DYN_ARGS=TRUE&amp;VAR:ID1=HCSG&amp;VAR:RCODE=FIBCEBITDA&amp;VAR:SDATE=20090399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1__FDSAUDITLINK__" localSheetId="4" hidden="1">{"fdsup://IBCentral/FAT Viewer?action=UPDATE&amp;creator=factset&amp;DOC_NAME=fat:reuters_ltm_source_window.fat&amp;display_string=Audit&amp;DYN_ARGS=TRUE&amp;VAR:ID1=HCSG&amp;VAR:RCODE=FIBCEBITDA&amp;VAR:SDATE=20090399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1__FDSAUDITLINK__" hidden="1">{"fdsup://IBCentral/FAT Viewer?action=UPDATE&amp;creator=factset&amp;DOC_NAME=fat:reuters_ltm_source_window.fat&amp;display_string=Audit&amp;DYN_ARGS=TRUE&amp;VAR:ID1=HCSG&amp;VAR:RCODE=FIBCEBITDA&amp;VAR:SDATE=20090399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2__FDSAUDITLINK__" localSheetId="5" hidden="1">{"fdsup://IBCentral/FAT Viewer?action=UPDATE&amp;creator=factset&amp;DOC_NAME=fat:reuters_ltm_source_window.fat&amp;display_string=Audit&amp;DYN_ARGS=TRUE&amp;VAR:ID1=SKYW&amp;VAR:RCODE=FIBCEBITDA&amp;VAR:SDATE=20090399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2__FDSAUDITLINK__" localSheetId="0" hidden="1">{"fdsup://IBCentral/FAT Viewer?action=UPDATE&amp;creator=factset&amp;DOC_NAME=fat:reuters_ltm_source_window.fat&amp;display_string=Audit&amp;DYN_ARGS=TRUE&amp;VAR:ID1=SKYW&amp;VAR:RCODE=FIBCEBITDA&amp;VAR:SDATE=20090399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2__FDSAUDITLINK__" localSheetId="4" hidden="1">{"fdsup://IBCentral/FAT Viewer?action=UPDATE&amp;creator=factset&amp;DOC_NAME=fat:reuters_ltm_source_window.fat&amp;display_string=Audit&amp;DYN_ARGS=TRUE&amp;VAR:ID1=SKYW&amp;VAR:RCODE=FIBCEBITDA&amp;VAR:SDATE=20090399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2__FDSAUDITLINK__" hidden="1">{"fdsup://IBCentral/FAT Viewer?action=UPDATE&amp;creator=factset&amp;DOC_NAME=fat:reuters_ltm_source_window.fat&amp;display_string=Audit&amp;DYN_ARGS=TRUE&amp;VAR:ID1=SKYW&amp;VAR:RCODE=FIBCEBITDA&amp;VAR:SDATE=20090399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03__123Graph_BChart_2A" localSheetId="0" hidden="1">#REF!</definedName>
    <definedName name="_203__123Graph_BChart_2A" hidden="1">#REF!</definedName>
    <definedName name="_203__FDSAUDITLINK__" localSheetId="5" hidden="1">{"fdsup://IBCentral/FAT Viewer?action=UPDATE&amp;creator=factset&amp;DOC_NAME=fat:reuters_ltm_source_window.fat&amp;display_string=Audit&amp;DYN_ARGS=TRUE&amp;VAR:ID1=WTS&amp;VAR:RCODE=FIBCEBITDA&amp;VAR:SDATE=20090399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3__FDSAUDITLINK__" localSheetId="0" hidden="1">{"fdsup://IBCentral/FAT Viewer?action=UPDATE&amp;creator=factset&amp;DOC_NAME=fat:reuters_ltm_source_window.fat&amp;display_string=Audit&amp;DYN_ARGS=TRUE&amp;VAR:ID1=WTS&amp;VAR:RCODE=FIBCEBITDA&amp;VAR:SDATE=20090399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3__FDSAUDITLINK__" localSheetId="4" hidden="1">{"fdsup://IBCentral/FAT Viewer?action=UPDATE&amp;creator=factset&amp;DOC_NAME=fat:reuters_ltm_source_window.fat&amp;display_string=Audit&amp;DYN_ARGS=TRUE&amp;VAR:ID1=WTS&amp;VAR:RCODE=FIBCEBITDA&amp;VAR:SDATE=20090399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3__FDSAUDITLINK__" hidden="1">{"fdsup://IBCentral/FAT Viewer?action=UPDATE&amp;creator=factset&amp;DOC_NAME=fat:reuters_ltm_source_window.fat&amp;display_string=Audit&amp;DYN_ARGS=TRUE&amp;VAR:ID1=WTS&amp;VAR:RCODE=FIBCEBITDA&amp;VAR:SDATE=20090399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4__FDSAUDITLINK__" localSheetId="5" hidden="1">{"fdsup://IBCentral/FAT Viewer?action=UPDATE&amp;creator=factset&amp;DOC_NAME=fat:reuters_ltm_source_window.fat&amp;display_string=Audit&amp;DYN_ARGS=TRUE&amp;VAR:ID1=BEZ&amp;VAR:RCODE=FIBCEBITDA&amp;VAR:SDATE=20090399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4__FDSAUDITLINK__" localSheetId="0" hidden="1">{"fdsup://IBCentral/FAT Viewer?action=UPDATE&amp;creator=factset&amp;DOC_NAME=fat:reuters_ltm_source_window.fat&amp;display_string=Audit&amp;DYN_ARGS=TRUE&amp;VAR:ID1=BEZ&amp;VAR:RCODE=FIBCEBITDA&amp;VAR:SDATE=20090399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4__FDSAUDITLINK__" localSheetId="4" hidden="1">{"fdsup://IBCentral/FAT Viewer?action=UPDATE&amp;creator=factset&amp;DOC_NAME=fat:reuters_ltm_source_window.fat&amp;display_string=Audit&amp;DYN_ARGS=TRUE&amp;VAR:ID1=BEZ&amp;VAR:RCODE=FIBCEBITDA&amp;VAR:SDATE=20090399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4__FDSAUDITLINK__" hidden="1">{"fdsup://IBCentral/FAT Viewer?action=UPDATE&amp;creator=factset&amp;DOC_NAME=fat:reuters_ltm_source_window.fat&amp;display_string=Audit&amp;DYN_ARGS=TRUE&amp;VAR:ID1=BEZ&amp;VAR:RCODE=FIBCEBITDA&amp;VAR:SDATE=20090399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5__123Graph_BChart_2AC" localSheetId="0" hidden="1">#REF!</definedName>
    <definedName name="_205__123Graph_BChart_2AC" hidden="1">#REF!</definedName>
    <definedName name="_205__FDSAUDITLINK__" localSheetId="5" hidden="1">{"fdsup://IBCentral/FAT Viewer?action=UPDATE&amp;creator=factset&amp;DOC_NAME=fat:reuters_ltm_source_window.fat&amp;display_string=Audit&amp;DYN_ARGS=TRUE&amp;VAR:ID1=ORB&amp;VAR:RCODE=FIBCEBITDA&amp;VAR:SDATE=20090399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5__FDSAUDITLINK__" localSheetId="0" hidden="1">{"fdsup://IBCentral/FAT Viewer?action=UPDATE&amp;creator=factset&amp;DOC_NAME=fat:reuters_ltm_source_window.fat&amp;display_string=Audit&amp;DYN_ARGS=TRUE&amp;VAR:ID1=ORB&amp;VAR:RCODE=FIBCEBITDA&amp;VAR:SDATE=20090399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5__FDSAUDITLINK__" localSheetId="4" hidden="1">{"fdsup://IBCentral/FAT Viewer?action=UPDATE&amp;creator=factset&amp;DOC_NAME=fat:reuters_ltm_source_window.fat&amp;display_string=Audit&amp;DYN_ARGS=TRUE&amp;VAR:ID1=ORB&amp;VAR:RCODE=FIBCEBITDA&amp;VAR:SDATE=20090399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5__FDSAUDITLINK__" hidden="1">{"fdsup://IBCentral/FAT Viewer?action=UPDATE&amp;creator=factset&amp;DOC_NAME=fat:reuters_ltm_source_window.fat&amp;display_string=Audit&amp;DYN_ARGS=TRUE&amp;VAR:ID1=ORB&amp;VAR:RCODE=FIBCEBITDA&amp;VAR:SDATE=20090399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6__FDSAUDITLINK__" localSheetId="5" hidden="1">{"fdsup://IBCentral/FAT Viewer?action=UPDATE&amp;creator=factset&amp;DOC_NAME=fat:reuters_ltm_source_window.fat&amp;display_string=Audit&amp;DYN_ARGS=TRUE&amp;VAR:ID1=MSA&amp;VAR:RCODE=FIBCEBITDA&amp;VAR:SDATE=20090399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6__FDSAUDITLINK__" localSheetId="0" hidden="1">{"fdsup://IBCentral/FAT Viewer?action=UPDATE&amp;creator=factset&amp;DOC_NAME=fat:reuters_ltm_source_window.fat&amp;display_string=Audit&amp;DYN_ARGS=TRUE&amp;VAR:ID1=MSA&amp;VAR:RCODE=FIBCEBITDA&amp;VAR:SDATE=20090399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6__FDSAUDITLINK__" localSheetId="4" hidden="1">{"fdsup://IBCentral/FAT Viewer?action=UPDATE&amp;creator=factset&amp;DOC_NAME=fat:reuters_ltm_source_window.fat&amp;display_string=Audit&amp;DYN_ARGS=TRUE&amp;VAR:ID1=MSA&amp;VAR:RCODE=FIBCEBITDA&amp;VAR:SDATE=20090399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6__FDSAUDITLINK__" hidden="1">{"fdsup://IBCentral/FAT Viewer?action=UPDATE&amp;creator=factset&amp;DOC_NAME=fat:reuters_ltm_source_window.fat&amp;display_string=Audit&amp;DYN_ARGS=TRUE&amp;VAR:ID1=MSA&amp;VAR:RCODE=FIBCEBITDA&amp;VAR:SDATE=20090399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7__123Graph_BChart_2AE" localSheetId="0" hidden="1">#REF!</definedName>
    <definedName name="_207__123Graph_BChart_2AE" hidden="1">#REF!</definedName>
    <definedName name="_207__FDSAUDITLINK__" localSheetId="5" hidden="1">{"fdsup://IBCentral/FAT Viewer?action=UPDATE&amp;creator=factset&amp;DOC_NAME=fat:reuters_ltm_source_window.fat&amp;display_string=Audit&amp;DYN_ARGS=TRUE&amp;VAR:ID1=CUB&amp;VAR:RCODE=FIBCEBITDA&amp;VAR:SDATE=20090399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7__FDSAUDITLINK__" localSheetId="0" hidden="1">{"fdsup://IBCentral/FAT Viewer?action=UPDATE&amp;creator=factset&amp;DOC_NAME=fat:reuters_ltm_source_window.fat&amp;display_string=Audit&amp;DYN_ARGS=TRUE&amp;VAR:ID1=CUB&amp;VAR:RCODE=FIBCEBITDA&amp;VAR:SDATE=20090399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7__FDSAUDITLINK__" localSheetId="4" hidden="1">{"fdsup://IBCentral/FAT Viewer?action=UPDATE&amp;creator=factset&amp;DOC_NAME=fat:reuters_ltm_source_window.fat&amp;display_string=Audit&amp;DYN_ARGS=TRUE&amp;VAR:ID1=CUB&amp;VAR:RCODE=FIBCEBITDA&amp;VAR:SDATE=20090399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7__FDSAUDITLINK__" hidden="1">{"fdsup://IBCentral/FAT Viewer?action=UPDATE&amp;creator=factset&amp;DOC_NAME=fat:reuters_ltm_source_window.fat&amp;display_string=Audit&amp;DYN_ARGS=TRUE&amp;VAR:ID1=CUB&amp;VAR:RCODE=FIBCEBITDA&amp;VAR:SDATE=20090399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8__FDSAUDITLINK__" localSheetId="5" hidden="1">{"fdsup://IBCentral/FAT Viewer?action=UPDATE&amp;creator=factset&amp;DOC_NAME=fat:reuters_ltm_source_window.fat&amp;display_string=Audit&amp;DYN_ARGS=TRUE&amp;VAR:ID1=AIT&amp;VAR:RCODE=FIBCEBITDA&amp;VAR:SDATE=20090399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8__FDSAUDITLINK__" localSheetId="0" hidden="1">{"fdsup://IBCentral/FAT Viewer?action=UPDATE&amp;creator=factset&amp;DOC_NAME=fat:reuters_ltm_source_window.fat&amp;display_string=Audit&amp;DYN_ARGS=TRUE&amp;VAR:ID1=AIT&amp;VAR:RCODE=FIBCEBITDA&amp;VAR:SDATE=20090399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8__FDSAUDITLINK__" localSheetId="4" hidden="1">{"fdsup://IBCentral/FAT Viewer?action=UPDATE&amp;creator=factset&amp;DOC_NAME=fat:reuters_ltm_source_window.fat&amp;display_string=Audit&amp;DYN_ARGS=TRUE&amp;VAR:ID1=AIT&amp;VAR:RCODE=FIBCEBITDA&amp;VAR:SDATE=20090399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8__FDSAUDITLINK__" hidden="1">{"fdsup://IBCentral/FAT Viewer?action=UPDATE&amp;creator=factset&amp;DOC_NAME=fat:reuters_ltm_source_window.fat&amp;display_string=Audit&amp;DYN_ARGS=TRUE&amp;VAR:ID1=AIT&amp;VAR:RCODE=FIBCEBITDA&amp;VAR:SDATE=20090399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9__123Graph_BChart_2CC" localSheetId="0" hidden="1">#REF!</definedName>
    <definedName name="_209__123Graph_BChart_2CC" hidden="1">#REF!</definedName>
    <definedName name="_209__FDSAUDITLINK__" localSheetId="5" hidden="1">{"fdsup://IBCentral/FAT Viewer?action=UPDATE&amp;creator=factset&amp;DOC_NAME=fat:reuters_ltm_source_window.fat&amp;display_string=Audit&amp;DYN_ARGS=TRUE&amp;VAR:ID1=AOS&amp;VAR:RCODE=FIBCEBITDA&amp;VAR:SDATE=20090399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9__FDSAUDITLINK__" localSheetId="0" hidden="1">{"fdsup://IBCentral/FAT Viewer?action=UPDATE&amp;creator=factset&amp;DOC_NAME=fat:reuters_ltm_source_window.fat&amp;display_string=Audit&amp;DYN_ARGS=TRUE&amp;VAR:ID1=AOS&amp;VAR:RCODE=FIBCEBITDA&amp;VAR:SDATE=20090399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9__FDSAUDITLINK__" localSheetId="4" hidden="1">{"fdsup://IBCentral/FAT Viewer?action=UPDATE&amp;creator=factset&amp;DOC_NAME=fat:reuters_ltm_source_window.fat&amp;display_string=Audit&amp;DYN_ARGS=TRUE&amp;VAR:ID1=AOS&amp;VAR:RCODE=FIBCEBITDA&amp;VAR:SDATE=20090399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09__FDSAUDITLINK__" hidden="1">{"fdsup://IBCentral/FAT Viewer?action=UPDATE&amp;creator=factset&amp;DOC_NAME=fat:reuters_ltm_source_window.fat&amp;display_string=Audit&amp;DYN_ARGS=TRUE&amp;VAR:ID1=AOS&amp;VAR:RCODE=FIBCEBITDA&amp;VAR:SDATE=20090399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__123Graph_AChart_1AF" localSheetId="0" hidden="1">#REF!</definedName>
    <definedName name="_21__123Graph_AChart_1AF" hidden="1">#REF!</definedName>
    <definedName name="_21__123Graph_BCHART_8" localSheetId="0" hidden="1">#REF!</definedName>
    <definedName name="_21__123Graph_BCHART_8" hidden="1">#REF!</definedName>
    <definedName name="_21__FDSAUDITLINK__" localSheetId="5" hidden="1">{"fdsup://IBCentral/FAT Viewer?action=UPDATE&amp;creator=factset&amp;DOC_NAME=fat:reuters_ltm_source_window.fat&amp;display_string=Audit&amp;DYN_ARGS=TRUE&amp;VAR:ID1=WERN&amp;VAR:RCODE=FIBCEBITDA&amp;VAR:SDATE=20090399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1__FDSAUDITLINK__" localSheetId="0" hidden="1">{"fdsup://IBCentral/FAT Viewer?action=UPDATE&amp;creator=factset&amp;DOC_NAME=fat:reuters_ltm_source_window.fat&amp;display_string=Audit&amp;DYN_ARGS=TRUE&amp;VAR:ID1=WERN&amp;VAR:RCODE=FIBCEBITDA&amp;VAR:SDATE=20090399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1__FDSAUDITLINK__" localSheetId="4" hidden="1">{"fdsup://IBCentral/FAT Viewer?action=UPDATE&amp;creator=factset&amp;DOC_NAME=fat:reuters_ltm_source_window.fat&amp;display_string=Audit&amp;DYN_ARGS=TRUE&amp;VAR:ID1=WERN&amp;VAR:RCODE=FIBCEBITDA&amp;VAR:SDATE=20090399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1__FDSAUDITLINK__" hidden="1">{"fdsup://IBCentral/FAT Viewer?action=UPDATE&amp;creator=factset&amp;DOC_NAME=fat:reuters_ltm_source_window.fat&amp;display_string=Audit&amp;DYN_ARGS=TRUE&amp;VAR:ID1=WERN&amp;VAR:RCODE=FIBCEBITDA&amp;VAR:SDATE=20090399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10__FDSAUDITLINK__" localSheetId="5" hidden="1">{"fdsup://IBCentral/FAT Viewer?action=UPDATE&amp;creator=factset&amp;DOC_NAME=fat:reuters_ltm_source_window.fat&amp;display_string=Audit&amp;DYN_ARGS=TRUE&amp;VAR:ID1=AXB&amp;VAR:RCODE=FIBCEBITDA&amp;VAR:SDATE=20090399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0__FDSAUDITLINK__" localSheetId="0" hidden="1">{"fdsup://IBCentral/FAT Viewer?action=UPDATE&amp;creator=factset&amp;DOC_NAME=fat:reuters_ltm_source_window.fat&amp;display_string=Audit&amp;DYN_ARGS=TRUE&amp;VAR:ID1=AXB&amp;VAR:RCODE=FIBCEBITDA&amp;VAR:SDATE=20090399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0__FDSAUDITLINK__" localSheetId="4" hidden="1">{"fdsup://IBCentral/FAT Viewer?action=UPDATE&amp;creator=factset&amp;DOC_NAME=fat:reuters_ltm_source_window.fat&amp;display_string=Audit&amp;DYN_ARGS=TRUE&amp;VAR:ID1=AXB&amp;VAR:RCODE=FIBCEBITDA&amp;VAR:SDATE=20090399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0__FDSAUDITLINK__" hidden="1">{"fdsup://IBCentral/FAT Viewer?action=UPDATE&amp;creator=factset&amp;DOC_NAME=fat:reuters_ltm_source_window.fat&amp;display_string=Audit&amp;DYN_ARGS=TRUE&amp;VAR:ID1=AXB&amp;VAR:RCODE=FIBCEBITDA&amp;VAR:SDATE=20090399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1__123Graph_BChart_2D" localSheetId="0" hidden="1">#REF!</definedName>
    <definedName name="_211__123Graph_BChart_2D" hidden="1">#REF!</definedName>
    <definedName name="_211__FDSAUDITLINK__" localSheetId="5" hidden="1">{"fdsup://IBCentral/FAT Viewer?action=UPDATE&amp;creator=factset&amp;DOC_NAME=fat:reuters_ltm_source_window.fat&amp;display_string=Audit&amp;DYN_ARGS=TRUE&amp;VAR:ID1=TRN&amp;VAR:RCODE=FIBCEBITDA&amp;VAR:SDATE=20090399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1__FDSAUDITLINK__" localSheetId="0" hidden="1">{"fdsup://IBCentral/FAT Viewer?action=UPDATE&amp;creator=factset&amp;DOC_NAME=fat:reuters_ltm_source_window.fat&amp;display_string=Audit&amp;DYN_ARGS=TRUE&amp;VAR:ID1=TRN&amp;VAR:RCODE=FIBCEBITDA&amp;VAR:SDATE=20090399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1__FDSAUDITLINK__" localSheetId="4" hidden="1">{"fdsup://IBCentral/FAT Viewer?action=UPDATE&amp;creator=factset&amp;DOC_NAME=fat:reuters_ltm_source_window.fat&amp;display_string=Audit&amp;DYN_ARGS=TRUE&amp;VAR:ID1=TRN&amp;VAR:RCODE=FIBCEBITDA&amp;VAR:SDATE=20090399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1__FDSAUDITLINK__" hidden="1">{"fdsup://IBCentral/FAT Viewer?action=UPDATE&amp;creator=factset&amp;DOC_NAME=fat:reuters_ltm_source_window.fat&amp;display_string=Audit&amp;DYN_ARGS=TRUE&amp;VAR:ID1=TRN&amp;VAR:RCODE=FIBCEBITDA&amp;VAR:SDATE=20090399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2__FDSAUDITLINK__" localSheetId="5" hidden="1">{"fdsup://IBCentral/FAT Viewer?action=UPDATE&amp;creator=factset&amp;DOC_NAME=fat:reuters_ltm_source_window.fat&amp;display_string=Audit&amp;DYN_ARGS=TRUE&amp;VAR:ID1=GEO&amp;VAR:RCODE=FIBCEBITDA&amp;VAR:SDATE=20090399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2__FDSAUDITLINK__" localSheetId="0" hidden="1">{"fdsup://IBCentral/FAT Viewer?action=UPDATE&amp;creator=factset&amp;DOC_NAME=fat:reuters_ltm_source_window.fat&amp;display_string=Audit&amp;DYN_ARGS=TRUE&amp;VAR:ID1=GEO&amp;VAR:RCODE=FIBCEBITDA&amp;VAR:SDATE=20090399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2__FDSAUDITLINK__" localSheetId="4" hidden="1">{"fdsup://IBCentral/FAT Viewer?action=UPDATE&amp;creator=factset&amp;DOC_NAME=fat:reuters_ltm_source_window.fat&amp;display_string=Audit&amp;DYN_ARGS=TRUE&amp;VAR:ID1=GEO&amp;VAR:RCODE=FIBCEBITDA&amp;VAR:SDATE=20090399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2__FDSAUDITLINK__" hidden="1">{"fdsup://IBCentral/FAT Viewer?action=UPDATE&amp;creator=factset&amp;DOC_NAME=fat:reuters_ltm_source_window.fat&amp;display_string=Audit&amp;DYN_ARGS=TRUE&amp;VAR:ID1=GEO&amp;VAR:RCODE=FIBCEBITDA&amp;VAR:SDATE=20090399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3__123Graph_BChart_3B" localSheetId="0" hidden="1">#REF!</definedName>
    <definedName name="_213__123Graph_BChart_3B" hidden="1">#REF!</definedName>
    <definedName name="_213__FDSAUDITLINK__" localSheetId="5" hidden="1">{"fdsup://IBCentral/FAT Viewer?action=UPDATE&amp;creator=factset&amp;DOC_NAME=fat:reuters_ltm_source_window.fat&amp;display_string=Audit&amp;DYN_ARGS=TRUE&amp;VAR:ID1=BGG&amp;VAR:RCODE=FIBCEBITDA&amp;VAR:SDATE=20090399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3__FDSAUDITLINK__" localSheetId="0" hidden="1">{"fdsup://IBCentral/FAT Viewer?action=UPDATE&amp;creator=factset&amp;DOC_NAME=fat:reuters_ltm_source_window.fat&amp;display_string=Audit&amp;DYN_ARGS=TRUE&amp;VAR:ID1=BGG&amp;VAR:RCODE=FIBCEBITDA&amp;VAR:SDATE=20090399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3__FDSAUDITLINK__" localSheetId="4" hidden="1">{"fdsup://IBCentral/FAT Viewer?action=UPDATE&amp;creator=factset&amp;DOC_NAME=fat:reuters_ltm_source_window.fat&amp;display_string=Audit&amp;DYN_ARGS=TRUE&amp;VAR:ID1=BGG&amp;VAR:RCODE=FIBCEBITDA&amp;VAR:SDATE=20090399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3__FDSAUDITLINK__" hidden="1">{"fdsup://IBCentral/FAT Viewer?action=UPDATE&amp;creator=factset&amp;DOC_NAME=fat:reuters_ltm_source_window.fat&amp;display_string=Audit&amp;DYN_ARGS=TRUE&amp;VAR:ID1=BGG&amp;VAR:RCODE=FIBCEBITDA&amp;VAR:SDATE=20090399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4__FDSAUDITLINK__" localSheetId="5" hidden="1">{"fdsup://IBCentral/FAT Viewer?action=UPDATE&amp;creator=factset&amp;DOC_NAME=fat:reuters_ltm_source_window.fat&amp;display_string=Audit&amp;DYN_ARGS=TRUE&amp;VAR:ID1=MLI&amp;VAR:RCODE=FIBCEBITDA&amp;VAR:SDATE=20090399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4__FDSAUDITLINK__" localSheetId="0" hidden="1">{"fdsup://IBCentral/FAT Viewer?action=UPDATE&amp;creator=factset&amp;DOC_NAME=fat:reuters_ltm_source_window.fat&amp;display_string=Audit&amp;DYN_ARGS=TRUE&amp;VAR:ID1=MLI&amp;VAR:RCODE=FIBCEBITDA&amp;VAR:SDATE=20090399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4__FDSAUDITLINK__" localSheetId="4" hidden="1">{"fdsup://IBCentral/FAT Viewer?action=UPDATE&amp;creator=factset&amp;DOC_NAME=fat:reuters_ltm_source_window.fat&amp;display_string=Audit&amp;DYN_ARGS=TRUE&amp;VAR:ID1=MLI&amp;VAR:RCODE=FIBCEBITDA&amp;VAR:SDATE=20090399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4__FDSAUDITLINK__" hidden="1">{"fdsup://IBCentral/FAT Viewer?action=UPDATE&amp;creator=factset&amp;DOC_NAME=fat:reuters_ltm_source_window.fat&amp;display_string=Audit&amp;DYN_ARGS=TRUE&amp;VAR:ID1=MLI&amp;VAR:RCODE=FIBCEBITDA&amp;VAR:SDATE=20090399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5__123Graph_BChart_3L" localSheetId="0" hidden="1">#REF!</definedName>
    <definedName name="_215__123Graph_BChart_3L" hidden="1">#REF!</definedName>
    <definedName name="_215__FDSAUDITLINK__" localSheetId="5" hidden="1">{"fdsup://IBCentral/FAT Viewer?action=UPDATE&amp;creator=factset&amp;DOC_NAME=fat:reuters_ltm_source_window.fat&amp;display_string=Audit&amp;DYN_ARGS=TRUE&amp;VAR:ID1=BEAV&amp;VAR:RCODE=FIBCEBITDA&amp;VAR:SDATE=20090399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15__FDSAUDITLINK__" localSheetId="0" hidden="1">{"fdsup://IBCentral/FAT Viewer?action=UPDATE&amp;creator=factset&amp;DOC_NAME=fat:reuters_ltm_source_window.fat&amp;display_string=Audit&amp;DYN_ARGS=TRUE&amp;VAR:ID1=BEAV&amp;VAR:RCODE=FIBCEBITDA&amp;VAR:SDATE=20090399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15__FDSAUDITLINK__" localSheetId="4" hidden="1">{"fdsup://IBCentral/FAT Viewer?action=UPDATE&amp;creator=factset&amp;DOC_NAME=fat:reuters_ltm_source_window.fat&amp;display_string=Audit&amp;DYN_ARGS=TRUE&amp;VAR:ID1=BEAV&amp;VAR:RCODE=FIBCEBITDA&amp;VAR:SDATE=20090399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15__FDSAUDITLINK__" hidden="1">{"fdsup://IBCentral/FAT Viewer?action=UPDATE&amp;creator=factset&amp;DOC_NAME=fat:reuters_ltm_source_window.fat&amp;display_string=Audit&amp;DYN_ARGS=TRUE&amp;VAR:ID1=BEAV&amp;VAR:RCODE=FIBCEBITDA&amp;VAR:SDATE=20090399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16__FDSAUDITLINK__" localSheetId="5" hidden="1">{"fdsup://IBCentral/FAT Viewer?action=UPDATE&amp;creator=factset&amp;DOC_NAME=fat:reuters_ltm_source_window.fat&amp;display_string=Audit&amp;DYN_ARGS=TRUE&amp;VAR:ID1=CNW&amp;VAR:RCODE=FIBCEBITDA&amp;VAR:SDATE=20090399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6__FDSAUDITLINK__" localSheetId="0" hidden="1">{"fdsup://IBCentral/FAT Viewer?action=UPDATE&amp;creator=factset&amp;DOC_NAME=fat:reuters_ltm_source_window.fat&amp;display_string=Audit&amp;DYN_ARGS=TRUE&amp;VAR:ID1=CNW&amp;VAR:RCODE=FIBCEBITDA&amp;VAR:SDATE=20090399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6__FDSAUDITLINK__" localSheetId="4" hidden="1">{"fdsup://IBCentral/FAT Viewer?action=UPDATE&amp;creator=factset&amp;DOC_NAME=fat:reuters_ltm_source_window.fat&amp;display_string=Audit&amp;DYN_ARGS=TRUE&amp;VAR:ID1=CNW&amp;VAR:RCODE=FIBCEBITDA&amp;VAR:SDATE=20090399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6__FDSAUDITLINK__" hidden="1">{"fdsup://IBCentral/FAT Viewer?action=UPDATE&amp;creator=factset&amp;DOC_NAME=fat:reuters_ltm_source_window.fat&amp;display_string=Audit&amp;DYN_ARGS=TRUE&amp;VAR:ID1=CNW&amp;VAR:RCODE=FIBCEBITDA&amp;VAR:SDATE=20090399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7__123Graph_BChart_9C" localSheetId="0" hidden="1">#REF!</definedName>
    <definedName name="_217__123Graph_BChart_9C" hidden="1">#REF!</definedName>
    <definedName name="_217__FDSAUDITLINK__" localSheetId="5" hidden="1">{"fdsup://IBCentral/FAT Viewer?action=UPDATE&amp;creator=factset&amp;DOC_NAME=fat:reuters_ltm_source_window.fat&amp;display_string=Audit&amp;DYN_ARGS=TRUE&amp;VAR:ID1=ABM&amp;VAR:RCODE=FIBCEBITDA&amp;VAR:SDATE=20090199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7__FDSAUDITLINK__" localSheetId="0" hidden="1">{"fdsup://IBCentral/FAT Viewer?action=UPDATE&amp;creator=factset&amp;DOC_NAME=fat:reuters_ltm_source_window.fat&amp;display_string=Audit&amp;DYN_ARGS=TRUE&amp;VAR:ID1=ABM&amp;VAR:RCODE=FIBCEBITDA&amp;VAR:SDATE=20090199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7__FDSAUDITLINK__" localSheetId="4" hidden="1">{"fdsup://IBCentral/FAT Viewer?action=UPDATE&amp;creator=factset&amp;DOC_NAME=fat:reuters_ltm_source_window.fat&amp;display_string=Audit&amp;DYN_ARGS=TRUE&amp;VAR:ID1=ABM&amp;VAR:RCODE=FIBCEBITDA&amp;VAR:SDATE=20090199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Viewer?action=UPDATE&amp;creator=factset&amp;DOC_NAME=fat:reuters_ltm_source_window.fat&amp;display_string=Audit&amp;DYN_ARGS=TRUE&amp;VAR:ID1=ABM&amp;VAR:RCODE=FIBCEBITDA&amp;VAR:SDATE=20090199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18__FDSAUDITLINK__" localSheetId="5" hidden="1">{"fdsup://IBCentral/FAT Viewer?action=UPDATE&amp;creator=factset&amp;DOC_NAME=fat:reuters_ltm_source_window.fat&amp;display_string=Audit&amp;DYN_ARGS=TRUE&amp;VAR:ID1=GE&amp;VAR:RCODE=FIBCEBITDA&amp;VAR:SDATE=20090399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18__FDSAUDITLINK__" localSheetId="0" hidden="1">{"fdsup://IBCentral/FAT Viewer?action=UPDATE&amp;creator=factset&amp;DOC_NAME=fat:reuters_ltm_source_window.fat&amp;display_string=Audit&amp;DYN_ARGS=TRUE&amp;VAR:ID1=GE&amp;VAR:RCODE=FIBCEBITDA&amp;VAR:SDATE=20090399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18__FDSAUDITLINK__" localSheetId="4" hidden="1">{"fdsup://IBCentral/FAT Viewer?action=UPDATE&amp;creator=factset&amp;DOC_NAME=fat:reuters_ltm_source_window.fat&amp;display_string=Audit&amp;DYN_ARGS=TRUE&amp;VAR:ID1=GE&amp;VAR:RCODE=FIBCEBITDA&amp;VAR:SDATE=20090399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18__FDSAUDITLINK__" hidden="1">{"fdsup://IBCentral/FAT Viewer?action=UPDATE&amp;creator=factset&amp;DOC_NAME=fat:reuters_ltm_source_window.fat&amp;display_string=Audit&amp;DYN_ARGS=TRUE&amp;VAR:ID1=GE&amp;VAR:RCODE=FIBCEBITDA&amp;VAR:SDATE=20090399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219__123Graph_CChart_1A" localSheetId="0" hidden="1">#REF!</definedName>
    <definedName name="_219__123Graph_CChart_1A" hidden="1">#REF!</definedName>
    <definedName name="_219__FDSAUDITLINK__" localSheetId="5" hidden="1">{"fdsup://IBCentral/FAT Viewer?action=UPDATE&amp;creator=factset&amp;DOC_NAME=fat:reuters_ltm_source_window.fat&amp;display_string=Audit&amp;DYN_ARGS=TRUE&amp;VAR:ID1=WNC&amp;VAR:RCODE=FDSREVSTOTAL&amp;VAR:SDATE=20090399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19__FDSAUDITLINK__" localSheetId="0" hidden="1">{"fdsup://IBCentral/FAT Viewer?action=UPDATE&amp;creator=factset&amp;DOC_NAME=fat:reuters_ltm_source_window.fat&amp;display_string=Audit&amp;DYN_ARGS=TRUE&amp;VAR:ID1=WNC&amp;VAR:RCODE=FDSREVSTOTAL&amp;VAR:SDATE=20090399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19__FDSAUDITLINK__" localSheetId="4" hidden="1">{"fdsup://IBCentral/FAT Viewer?action=UPDATE&amp;creator=factset&amp;DOC_NAME=fat:reuters_ltm_source_window.fat&amp;display_string=Audit&amp;DYN_ARGS=TRUE&amp;VAR:ID1=WNC&amp;VAR:RCODE=FDSREVSTOTAL&amp;VAR:SDATE=20090399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19__FDSAUDITLINK__" hidden="1">{"fdsup://IBCentral/FAT Viewer?action=UPDATE&amp;creator=factset&amp;DOC_NAME=fat:reuters_ltm_source_window.fat&amp;display_string=Audit&amp;DYN_ARGS=TRUE&amp;VAR:ID1=WNC&amp;VAR:RCODE=FDSREVSTOTAL&amp;VAR:SDATE=20090399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__123Graph_BCHART_9" localSheetId="0" hidden="1">#REF!</definedName>
    <definedName name="_22__123Graph_BCHART_9" hidden="1">#REF!</definedName>
    <definedName name="_22__FDSAUDITLINK__" localSheetId="5" hidden="1">{"fdsup://IBCentral/FAT Viewer?action=UPDATE&amp;creator=factset&amp;DOC_NAME=fat:reuters_ltm_source_window.fat&amp;display_string=Audit&amp;DYN_ARGS=TRUE&amp;VAR:ID1=EME&amp;VAR:RCODE=FIBCEBITDA&amp;VAR:SDATE=20090399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2__FDSAUDITLINK__" localSheetId="0" hidden="1">{"fdsup://IBCentral/FAT Viewer?action=UPDATE&amp;creator=factset&amp;DOC_NAME=fat:reuters_ltm_source_window.fat&amp;display_string=Audit&amp;DYN_ARGS=TRUE&amp;VAR:ID1=EME&amp;VAR:RCODE=FIBCEBITDA&amp;VAR:SDATE=20090399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2__FDSAUDITLINK__" localSheetId="4" hidden="1">{"fdsup://IBCentral/FAT Viewer?action=UPDATE&amp;creator=factset&amp;DOC_NAME=fat:reuters_ltm_source_window.fat&amp;display_string=Audit&amp;DYN_ARGS=TRUE&amp;VAR:ID1=EME&amp;VAR:RCODE=FIBCEBITDA&amp;VAR:SDATE=20090399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2__FDSAUDITLINK__" hidden="1">{"fdsup://IBCentral/FAT Viewer?action=UPDATE&amp;creator=factset&amp;DOC_NAME=fat:reuters_ltm_source_window.fat&amp;display_string=Audit&amp;DYN_ARGS=TRUE&amp;VAR:ID1=EME&amp;VAR:RCODE=FIBCEBITDA&amp;VAR:SDATE=20090399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20__FDSAUDITLINK__" localSheetId="5" hidden="1">{"fdsup://IBCentral/FAT Viewer?action=UPDATE&amp;creator=factset&amp;DOC_NAME=fat:reuters_annual_source_window.fat&amp;display_string=Audit&amp;DYN_ARGS=TRUE&amp;VAR:ID1=12466110&amp;VAR:RCODE=FDSREVSTOTAL&amp;VAR:SDATE=20090199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20__FDSAUDITLINK__" localSheetId="0" hidden="1">{"fdsup://IBCentral/FAT Viewer?action=UPDATE&amp;creator=factset&amp;DOC_NAME=fat:reuters_annual_source_window.fat&amp;display_string=Audit&amp;DYN_ARGS=TRUE&amp;VAR:ID1=12466110&amp;VAR:RCODE=FDSREVSTOTAL&amp;VAR:SDATE=20090199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20__FDSAUDITLINK__" localSheetId="4" hidden="1">{"fdsup://IBCentral/FAT Viewer?action=UPDATE&amp;creator=factset&amp;DOC_NAME=fat:reuters_annual_source_window.fat&amp;display_string=Audit&amp;DYN_ARGS=TRUE&amp;VAR:ID1=12466110&amp;VAR:RCODE=FDSREVSTOTAL&amp;VAR:SDATE=20090199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20__FDSAUDITLINK__" hidden="1">{"fdsup://IBCentral/FAT Viewer?action=UPDATE&amp;creator=factset&amp;DOC_NAME=fat:reuters_annual_source_window.fat&amp;display_string=Audit&amp;DYN_ARGS=TRUE&amp;VAR:ID1=12466110&amp;VAR:RCODE=FDSREVSTOTAL&amp;VAR:SDATE=20090199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21__123Graph_CChart_1AA" localSheetId="0" hidden="1">#REF!</definedName>
    <definedName name="_221__123Graph_CChart_1AA" hidden="1">#REF!</definedName>
    <definedName name="_221__FDSAUDITLINK__" localSheetId="5" hidden="1">{"fdsup://IBCentral/FAT Viewer?action=UPDATE&amp;creator=factset&amp;DOC_NAME=fat:reuters_ltm_source_window.fat&amp;display_string=Audit&amp;DYN_ARGS=TRUE&amp;VAR:ID1=LDL&amp;VAR:RCODE=FDSREVSTOTAL&amp;VAR:SDATE=20090399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1__FDSAUDITLINK__" localSheetId="0" hidden="1">{"fdsup://IBCentral/FAT Viewer?action=UPDATE&amp;creator=factset&amp;DOC_NAME=fat:reuters_ltm_source_window.fat&amp;display_string=Audit&amp;DYN_ARGS=TRUE&amp;VAR:ID1=LDL&amp;VAR:RCODE=FDSREVSTOTAL&amp;VAR:SDATE=20090399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1__FDSAUDITLINK__" localSheetId="4" hidden="1">{"fdsup://IBCentral/FAT Viewer?action=UPDATE&amp;creator=factset&amp;DOC_NAME=fat:reuters_ltm_source_window.fat&amp;display_string=Audit&amp;DYN_ARGS=TRUE&amp;VAR:ID1=LDL&amp;VAR:RCODE=FDSREVSTOTAL&amp;VAR:SDATE=20090399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1__FDSAUDITLINK__" hidden="1">{"fdsup://IBCentral/FAT Viewer?action=UPDATE&amp;creator=factset&amp;DOC_NAME=fat:reuters_ltm_source_window.fat&amp;display_string=Audit&amp;DYN_ARGS=TRUE&amp;VAR:ID1=LDL&amp;VAR:RCODE=FDSREVSTOTAL&amp;VAR:SDATE=20090399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2__FDSAUDITLINK__" localSheetId="5" hidden="1">{"fdsup://IBCentral/FAT Viewer?action=UPDATE&amp;creator=factset&amp;DOC_NAME=fat:reuters_ltm_source_window.fat&amp;display_string=Audit&amp;DYN_ARGS=TRUE&amp;VAR:ID1=NCS&amp;VAR:RCODE=FDSREVSTOTAL&amp;VAR:SDATE=20090199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2__FDSAUDITLINK__" localSheetId="0" hidden="1">{"fdsup://IBCentral/FAT Viewer?action=UPDATE&amp;creator=factset&amp;DOC_NAME=fat:reuters_ltm_source_window.fat&amp;display_string=Audit&amp;DYN_ARGS=TRUE&amp;VAR:ID1=NCS&amp;VAR:RCODE=FDSREVSTOTAL&amp;VAR:SDATE=20090199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2__FDSAUDITLINK__" localSheetId="4" hidden="1">{"fdsup://IBCentral/FAT Viewer?action=UPDATE&amp;creator=factset&amp;DOC_NAME=fat:reuters_ltm_source_window.fat&amp;display_string=Audit&amp;DYN_ARGS=TRUE&amp;VAR:ID1=NCS&amp;VAR:RCODE=FDSREVSTOTAL&amp;VAR:SDATE=20090199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2__FDSAUDITLINK__" hidden="1">{"fdsup://IBCentral/FAT Viewer?action=UPDATE&amp;creator=factset&amp;DOC_NAME=fat:reuters_ltm_source_window.fat&amp;display_string=Audit&amp;DYN_ARGS=TRUE&amp;VAR:ID1=NCS&amp;VAR:RCODE=FDSREVSTOTAL&amp;VAR:SDATE=20090199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3__123Graph_CChart_1AB" localSheetId="0" hidden="1">#REF!</definedName>
    <definedName name="_223__123Graph_CChart_1AB" hidden="1">#REF!</definedName>
    <definedName name="_223__FDSAUDITLINK__" localSheetId="5" hidden="1">{"fdsup://IBCentral/FAT Viewer?action=UPDATE&amp;creator=factset&amp;DOC_NAME=fat:reuters_ltm_source_window.fat&amp;display_string=Audit&amp;DYN_ARGS=TRUE&amp;VAR:ID1=MAG&amp;VAR:RCODE=FDSREVSTOTAL&amp;VAR:SDATE=20081299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3__FDSAUDITLINK__" localSheetId="0" hidden="1">{"fdsup://IBCentral/FAT Viewer?action=UPDATE&amp;creator=factset&amp;DOC_NAME=fat:reuters_ltm_source_window.fat&amp;display_string=Audit&amp;DYN_ARGS=TRUE&amp;VAR:ID1=MAG&amp;VAR:RCODE=FDSREVSTOTAL&amp;VAR:SDATE=20081299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3__FDSAUDITLINK__" localSheetId="4" hidden="1">{"fdsup://IBCentral/FAT Viewer?action=UPDATE&amp;creator=factset&amp;DOC_NAME=fat:reuters_ltm_source_window.fat&amp;display_string=Audit&amp;DYN_ARGS=TRUE&amp;VAR:ID1=MAG&amp;VAR:RCODE=FDSREVSTOTAL&amp;VAR:SDATE=20081299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3__FDSAUDITLINK__" hidden="1">{"fdsup://IBCentral/FAT Viewer?action=UPDATE&amp;creator=factset&amp;DOC_NAME=fat:reuters_ltm_source_window.fat&amp;display_string=Audit&amp;DYN_ARGS=TRUE&amp;VAR:ID1=MAG&amp;VAR:RCODE=FDSREVSTOTAL&amp;VAR:SDATE=20081299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4__FDSAUDITLINK__" localSheetId="5" hidden="1">{"fdsup://IBCentral/FAT Viewer?action=UPDATE&amp;creator=factset&amp;DOC_NAME=fat:reuters_ltm_source_window.fat&amp;display_string=Audit&amp;DYN_ARGS=TRUE&amp;VAR:ID1=BNE&amp;VAR:RCODE=FDSREVSTOTAL&amp;VAR:SDATE=20090399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4__FDSAUDITLINK__" localSheetId="0" hidden="1">{"fdsup://IBCentral/FAT Viewer?action=UPDATE&amp;creator=factset&amp;DOC_NAME=fat:reuters_ltm_source_window.fat&amp;display_string=Audit&amp;DYN_ARGS=TRUE&amp;VAR:ID1=BNE&amp;VAR:RCODE=FDSREVSTOTAL&amp;VAR:SDATE=20090399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4__FDSAUDITLINK__" localSheetId="4" hidden="1">{"fdsup://IBCentral/FAT Viewer?action=UPDATE&amp;creator=factset&amp;DOC_NAME=fat:reuters_ltm_source_window.fat&amp;display_string=Audit&amp;DYN_ARGS=TRUE&amp;VAR:ID1=BNE&amp;VAR:RCODE=FDSREVSTOTAL&amp;VAR:SDATE=20090399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4__FDSAUDITLINK__" hidden="1">{"fdsup://IBCentral/FAT Viewer?action=UPDATE&amp;creator=factset&amp;DOC_NAME=fat:reuters_ltm_source_window.fat&amp;display_string=Audit&amp;DYN_ARGS=TRUE&amp;VAR:ID1=BNE&amp;VAR:RCODE=FDSREVSTOTAL&amp;VAR:SDATE=20090399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5__123Graph_CChart_1AE" localSheetId="0" hidden="1">#REF!</definedName>
    <definedName name="_225__123Graph_CChart_1AE" hidden="1">#REF!</definedName>
    <definedName name="_225__FDSAUDITLINK__" localSheetId="5" hidden="1">{"fdsup://IBCentral/FAT Viewer?action=UPDATE&amp;creator=factset&amp;DOC_NAME=fat:reuters_ltm_source_window.fat&amp;display_string=Audit&amp;DYN_ARGS=TRUE&amp;VAR:ID1=ASGN&amp;VAR:RCODE=FDSREVSTOTAL&amp;VAR:SDATE=20090399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5__FDSAUDITLINK__" localSheetId="0" hidden="1">{"fdsup://IBCentral/FAT Viewer?action=UPDATE&amp;creator=factset&amp;DOC_NAME=fat:reuters_ltm_source_window.fat&amp;display_string=Audit&amp;DYN_ARGS=TRUE&amp;VAR:ID1=ASGN&amp;VAR:RCODE=FDSREVSTOTAL&amp;VAR:SDATE=20090399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5__FDSAUDITLINK__" localSheetId="4" hidden="1">{"fdsup://IBCentral/FAT Viewer?action=UPDATE&amp;creator=factset&amp;DOC_NAME=fat:reuters_ltm_source_window.fat&amp;display_string=Audit&amp;DYN_ARGS=TRUE&amp;VAR:ID1=ASGN&amp;VAR:RCODE=FDSREVSTOTAL&amp;VAR:SDATE=20090399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5__FDSAUDITLINK__" hidden="1">{"fdsup://IBCentral/FAT Viewer?action=UPDATE&amp;creator=factset&amp;DOC_NAME=fat:reuters_ltm_source_window.fat&amp;display_string=Audit&amp;DYN_ARGS=TRUE&amp;VAR:ID1=ASGN&amp;VAR:RCODE=FDSREVSTOTAL&amp;VAR:SDATE=20090399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6__FDSAUDITLINK__" localSheetId="5" hidden="1">{"fdsup://IBCentral/FAT Viewer?action=UPDATE&amp;creator=factset&amp;DOC_NAME=fat:reuters_ltm_source_window.fat&amp;display_string=Audit&amp;DYN_ARGS=TRUE&amp;VAR:ID1=LAWS&amp;VAR:RCODE=FDSREVSTOTAL&amp;VAR:SDATE=20090399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6__FDSAUDITLINK__" localSheetId="0" hidden="1">{"fdsup://IBCentral/FAT Viewer?action=UPDATE&amp;creator=factset&amp;DOC_NAME=fat:reuters_ltm_source_window.fat&amp;display_string=Audit&amp;DYN_ARGS=TRUE&amp;VAR:ID1=LAWS&amp;VAR:RCODE=FDSREVSTOTAL&amp;VAR:SDATE=20090399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6__FDSAUDITLINK__" localSheetId="4" hidden="1">{"fdsup://IBCentral/FAT Viewer?action=UPDATE&amp;creator=factset&amp;DOC_NAME=fat:reuters_ltm_source_window.fat&amp;display_string=Audit&amp;DYN_ARGS=TRUE&amp;VAR:ID1=LAWS&amp;VAR:RCODE=FDSREVSTOTAL&amp;VAR:SDATE=20090399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6__FDSAUDITLINK__" hidden="1">{"fdsup://IBCentral/FAT Viewer?action=UPDATE&amp;creator=factset&amp;DOC_NAME=fat:reuters_ltm_source_window.fat&amp;display_string=Audit&amp;DYN_ARGS=TRUE&amp;VAR:ID1=LAWS&amp;VAR:RCODE=FDSREVSTOTAL&amp;VAR:SDATE=20090399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7__123Graph_CChart_1AF" localSheetId="0" hidden="1">#REF!</definedName>
    <definedName name="_227__123Graph_CChart_1AF" hidden="1">#REF!</definedName>
    <definedName name="_227__FDSAUDITLINK__" localSheetId="5" hidden="1">{"fdsup://IBCentral/FAT Viewer?action=UPDATE&amp;creator=factset&amp;DOC_NAME=fat:reuters_ltm_source_window.fat&amp;display_string=Audit&amp;DYN_ARGS=TRUE&amp;VAR:ID1=SXI&amp;VAR:RCODE=FDSREVSTOTAL&amp;VAR:SDATE=20090399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7__FDSAUDITLINK__" localSheetId="0" hidden="1">{"fdsup://IBCentral/FAT Viewer?action=UPDATE&amp;creator=factset&amp;DOC_NAME=fat:reuters_ltm_source_window.fat&amp;display_string=Audit&amp;DYN_ARGS=TRUE&amp;VAR:ID1=SXI&amp;VAR:RCODE=FDSREVSTOTAL&amp;VAR:SDATE=20090399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7__FDSAUDITLINK__" localSheetId="4" hidden="1">{"fdsup://IBCentral/FAT Viewer?action=UPDATE&amp;creator=factset&amp;DOC_NAME=fat:reuters_ltm_source_window.fat&amp;display_string=Audit&amp;DYN_ARGS=TRUE&amp;VAR:ID1=SXI&amp;VAR:RCODE=FDSREVSTOTAL&amp;VAR:SDATE=20090399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7__FDSAUDITLINK__" hidden="1">{"fdsup://IBCentral/FAT Viewer?action=UPDATE&amp;creator=factset&amp;DOC_NAME=fat:reuters_ltm_source_window.fat&amp;display_string=Audit&amp;DYN_ARGS=TRUE&amp;VAR:ID1=SXI&amp;VAR:RCODE=FDSREVSTOTAL&amp;VAR:SDATE=20090399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28__FDSAUDITLINK__" localSheetId="5" hidden="1">{"fdsup://IBCentral/FAT Viewer?action=UPDATE&amp;creator=factset&amp;DOC_NAME=fat:reuters_annual_source_window.fat&amp;display_string=Audit&amp;DYN_ARGS=TRUE&amp;VAR:ID1=20934110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28__FDSAUDITLINK__" localSheetId="0" hidden="1">{"fdsup://IBCentral/FAT Viewer?action=UPDATE&amp;creator=factset&amp;DOC_NAME=fat:reuters_annual_source_window.fat&amp;display_string=Audit&amp;DYN_ARGS=TRUE&amp;VAR:ID1=20934110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28__FDSAUDITLINK__" localSheetId="4" hidden="1">{"fdsup://IBCentral/FAT Viewer?action=UPDATE&amp;creator=factset&amp;DOC_NAME=fat:reuters_annual_source_window.fat&amp;display_string=Audit&amp;DYN_ARGS=TRUE&amp;VAR:ID1=20934110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28__FDSAUDITLINK__" hidden="1">{"fdsup://IBCentral/FAT Viewer?action=UPDATE&amp;creator=factset&amp;DOC_NAME=fat:reuters_annual_source_window.fat&amp;display_string=Audit&amp;DYN_ARGS=TRUE&amp;VAR:ID1=20934110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29__123Graph_CChart_1AM" localSheetId="0" hidden="1">#REF!</definedName>
    <definedName name="_229__123Graph_CChart_1AM" hidden="1">#REF!</definedName>
    <definedName name="_229__FDSAUDITLINK__" localSheetId="5" hidden="1">{"fdsup://IBCentral/FAT Viewer?action=UPDATE&amp;creator=factset&amp;DOC_NAME=fat:reuters_ltm_source_window.fat&amp;display_string=Audit&amp;DYN_ARGS=TRUE&amp;VAR:ID1=ROCK&amp;VAR:RCODE=FDSREVSTOTAL&amp;VAR:SDATE=20090399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9__FDSAUDITLINK__" localSheetId="0" hidden="1">{"fdsup://IBCentral/FAT Viewer?action=UPDATE&amp;creator=factset&amp;DOC_NAME=fat:reuters_ltm_source_window.fat&amp;display_string=Audit&amp;DYN_ARGS=TRUE&amp;VAR:ID1=ROCK&amp;VAR:RCODE=FDSREVSTOTAL&amp;VAR:SDATE=20090399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9__FDSAUDITLINK__" localSheetId="4" hidden="1">{"fdsup://IBCentral/FAT Viewer?action=UPDATE&amp;creator=factset&amp;DOC_NAME=fat:reuters_ltm_source_window.fat&amp;display_string=Audit&amp;DYN_ARGS=TRUE&amp;VAR:ID1=ROCK&amp;VAR:RCODE=FDSREVSTOTAL&amp;VAR:SDATE=20090399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29__FDSAUDITLINK__" hidden="1">{"fdsup://IBCentral/FAT Viewer?action=UPDATE&amp;creator=factset&amp;DOC_NAME=fat:reuters_ltm_source_window.fat&amp;display_string=Audit&amp;DYN_ARGS=TRUE&amp;VAR:ID1=ROCK&amp;VAR:RCODE=FDSREVSTOTAL&amp;VAR:SDATE=20090399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__123Graph_AChart_1AG" localSheetId="0" hidden="1">#REF!</definedName>
    <definedName name="_23__123Graph_AChart_1AG" hidden="1">#REF!</definedName>
    <definedName name="_23__123Graph_XCHART_1" localSheetId="0" hidden="1">#REF!</definedName>
    <definedName name="_23__123Graph_XCHART_1" hidden="1">#REF!</definedName>
    <definedName name="_23__FDSAUDITLINK__" localSheetId="5" hidden="1">{"fdsup://IBCentral/FAT Viewer?action=UPDATE&amp;creator=factset&amp;DOC_NAME=fat:reuters_ltm_source_window.fat&amp;display_string=Audit&amp;DYN_ARGS=TRUE&amp;VAR:ID1=JBLU&amp;VAR:RCODE=FIBCEBITDA&amp;VAR:SDATE=20090399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__FDSAUDITLINK__" localSheetId="0" hidden="1">{"fdsup://IBCentral/FAT Viewer?action=UPDATE&amp;creator=factset&amp;DOC_NAME=fat:reuters_ltm_source_window.fat&amp;display_string=Audit&amp;DYN_ARGS=TRUE&amp;VAR:ID1=JBLU&amp;VAR:RCODE=FIBCEBITDA&amp;VAR:SDATE=20090399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__FDSAUDITLINK__" localSheetId="4" hidden="1">{"fdsup://IBCentral/FAT Viewer?action=UPDATE&amp;creator=factset&amp;DOC_NAME=fat:reuters_ltm_source_window.fat&amp;display_string=Audit&amp;DYN_ARGS=TRUE&amp;VAR:ID1=JBLU&amp;VAR:RCODE=FIBCEBITDA&amp;VAR:SDATE=20090399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__FDSAUDITLINK__" hidden="1">{"fdsup://IBCentral/FAT Viewer?action=UPDATE&amp;creator=factset&amp;DOC_NAME=fat:reuters_ltm_source_window.fat&amp;display_string=Audit&amp;DYN_ARGS=TRUE&amp;VAR:ID1=JBLU&amp;VAR:RCODE=FIBCEBITDA&amp;VAR:SDATE=20090399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0__FDSAUDITLINK__" localSheetId="5" hidden="1">{"fdsup://IBCentral/FAT Viewer?action=UPDATE&amp;creator=factset&amp;DOC_NAME=fat:reuters_ltm_source_window.fat&amp;display_string=Audit&amp;DYN_ARGS=TRUE&amp;VAR:ID1=GY&amp;VAR:RCODE=FDSREVSTOTAL&amp;VAR:SDATE=20090299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0__FDSAUDITLINK__" localSheetId="0" hidden="1">{"fdsup://IBCentral/FAT Viewer?action=UPDATE&amp;creator=factset&amp;DOC_NAME=fat:reuters_ltm_source_window.fat&amp;display_string=Audit&amp;DYN_ARGS=TRUE&amp;VAR:ID1=GY&amp;VAR:RCODE=FDSREVSTOTAL&amp;VAR:SDATE=20090299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0__FDSAUDITLINK__" localSheetId="4" hidden="1">{"fdsup://IBCentral/FAT Viewer?action=UPDATE&amp;creator=factset&amp;DOC_NAME=fat:reuters_ltm_source_window.fat&amp;display_string=Audit&amp;DYN_ARGS=TRUE&amp;VAR:ID1=GY&amp;VAR:RCODE=FDSREVSTOTAL&amp;VAR:SDATE=20090299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0__FDSAUDITLINK__" hidden="1">{"fdsup://IBCentral/FAT Viewer?action=UPDATE&amp;creator=factset&amp;DOC_NAME=fat:reuters_ltm_source_window.fat&amp;display_string=Audit&amp;DYN_ARGS=TRUE&amp;VAR:ID1=GY&amp;VAR:RCODE=FDSREVSTOTAL&amp;VAR:SDATE=20090299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1__123Graph_CChart_1B" localSheetId="0" hidden="1">#REF!</definedName>
    <definedName name="_231__123Graph_CChart_1B" hidden="1">#REF!</definedName>
    <definedName name="_231__FDSAUDITLINK__" localSheetId="5" hidden="1">{"fdsup://IBCentral/FAT Viewer?action=UPDATE&amp;creator=factset&amp;DOC_NAME=fat:reuters_ltm_source_window.fat&amp;display_string=Audit&amp;DYN_ARGS=TRUE&amp;VAR:ID1=SFN&amp;VAR:RCODE=FDSREVSTOTAL&amp;VAR:SDATE=20090399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1__FDSAUDITLINK__" localSheetId="0" hidden="1">{"fdsup://IBCentral/FAT Viewer?action=UPDATE&amp;creator=factset&amp;DOC_NAME=fat:reuters_ltm_source_window.fat&amp;display_string=Audit&amp;DYN_ARGS=TRUE&amp;VAR:ID1=SFN&amp;VAR:RCODE=FDSREVSTOTAL&amp;VAR:SDATE=20090399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1__FDSAUDITLINK__" localSheetId="4" hidden="1">{"fdsup://IBCentral/FAT Viewer?action=UPDATE&amp;creator=factset&amp;DOC_NAME=fat:reuters_ltm_source_window.fat&amp;display_string=Audit&amp;DYN_ARGS=TRUE&amp;VAR:ID1=SFN&amp;VAR:RCODE=FDSREVSTOTAL&amp;VAR:SDATE=20090399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1__FDSAUDITLINK__" hidden="1">{"fdsup://IBCentral/FAT Viewer?action=UPDATE&amp;creator=factset&amp;DOC_NAME=fat:reuters_ltm_source_window.fat&amp;display_string=Audit&amp;DYN_ARGS=TRUE&amp;VAR:ID1=SFN&amp;VAR:RCODE=FDSREVSTOTAL&amp;VAR:SDATE=20090399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2__FDSAUDITLINK__" localSheetId="5" hidden="1">{"fdsup://IBCentral/FAT Viewer?action=UPDATE&amp;creator=factset&amp;DOC_NAME=fat:reuters_ltm_source_window.fat&amp;display_string=Audit&amp;DYN_ARGS=TRUE&amp;VAR:ID1=SR&amp;VAR:RCODE=FDSREVSTOTAL&amp;VAR:SDATE=20090399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2__FDSAUDITLINK__" localSheetId="0" hidden="1">{"fdsup://IBCentral/FAT Viewer?action=UPDATE&amp;creator=factset&amp;DOC_NAME=fat:reuters_ltm_source_window.fat&amp;display_string=Audit&amp;DYN_ARGS=TRUE&amp;VAR:ID1=SR&amp;VAR:RCODE=FDSREVSTOTAL&amp;VAR:SDATE=20090399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2__FDSAUDITLINK__" localSheetId="4" hidden="1">{"fdsup://IBCentral/FAT Viewer?action=UPDATE&amp;creator=factset&amp;DOC_NAME=fat:reuters_ltm_source_window.fat&amp;display_string=Audit&amp;DYN_ARGS=TRUE&amp;VAR:ID1=SR&amp;VAR:RCODE=FDSREVSTOTAL&amp;VAR:SDATE=20090399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2__FDSAUDITLINK__" hidden="1">{"fdsup://IBCentral/FAT Viewer?action=UPDATE&amp;creator=factset&amp;DOC_NAME=fat:reuters_ltm_source_window.fat&amp;display_string=Audit&amp;DYN_ARGS=TRUE&amp;VAR:ID1=SR&amp;VAR:RCODE=FDSREVSTOTAL&amp;VAR:SDATE=20090399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3__123Graph_CChart_1C" localSheetId="0" hidden="1">#REF!</definedName>
    <definedName name="_233__123Graph_CChart_1C" hidden="1">#REF!</definedName>
    <definedName name="_233__FDSAUDITLINK__" localSheetId="5" hidden="1">{"fdsup://IBCentral/FAT Viewer?action=UPDATE&amp;creator=factset&amp;DOC_NAME=fat:reuters_ltm_source_window.fat&amp;display_string=Audit&amp;DYN_ARGS=TRUE&amp;VAR:ID1=IFSIA&amp;VAR:RCODE=FDSREVSTOTAL&amp;VAR:SDATE=20090399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233__FDSAUDITLINK__" localSheetId="0" hidden="1">{"fdsup://IBCentral/FAT Viewer?action=UPDATE&amp;creator=factset&amp;DOC_NAME=fat:reuters_ltm_source_window.fat&amp;display_string=Audit&amp;DYN_ARGS=TRUE&amp;VAR:ID1=IFSIA&amp;VAR:RCODE=FDSREVSTOTAL&amp;VAR:SDATE=20090399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233__FDSAUDITLINK__" localSheetId="4" hidden="1">{"fdsup://IBCentral/FAT Viewer?action=UPDATE&amp;creator=factset&amp;DOC_NAME=fat:reuters_ltm_source_window.fat&amp;display_string=Audit&amp;DYN_ARGS=TRUE&amp;VAR:ID1=IFSIA&amp;VAR:RCODE=FDSREVSTOTAL&amp;VAR:SDATE=20090399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233__FDSAUDITLINK__" hidden="1">{"fdsup://IBCentral/FAT Viewer?action=UPDATE&amp;creator=factset&amp;DOC_NAME=fat:reuters_ltm_source_window.fat&amp;display_string=Audit&amp;DYN_ARGS=TRUE&amp;VAR:ID1=IFSIA&amp;VAR:RCODE=FDSREVSTOTAL&amp;VAR:SDATE=20090399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234__FDSAUDITLINK__" localSheetId="5" hidden="1">{"fdsup://IBCentral/FAT Viewer?action=UPDATE&amp;creator=factset&amp;DOC_NAME=fat:reuters_ltm_source_window.fat&amp;display_string=Audit&amp;DYN_ARGS=TRUE&amp;VAR:ID1=VOL&amp;VAR:RCODE=FDSREVSTOTAL&amp;VAR:SDATE=20090199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4__FDSAUDITLINK__" localSheetId="0" hidden="1">{"fdsup://IBCentral/FAT Viewer?action=UPDATE&amp;creator=factset&amp;DOC_NAME=fat:reuters_ltm_source_window.fat&amp;display_string=Audit&amp;DYN_ARGS=TRUE&amp;VAR:ID1=VOL&amp;VAR:RCODE=FDSREVSTOTAL&amp;VAR:SDATE=20090199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4__FDSAUDITLINK__" localSheetId="4" hidden="1">{"fdsup://IBCentral/FAT Viewer?action=UPDATE&amp;creator=factset&amp;DOC_NAME=fat:reuters_ltm_source_window.fat&amp;display_string=Audit&amp;DYN_ARGS=TRUE&amp;VAR:ID1=VOL&amp;VAR:RCODE=FDSREVSTOTAL&amp;VAR:SDATE=20090199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Viewer?action=UPDATE&amp;creator=factset&amp;DOC_NAME=fat:reuters_ltm_source_window.fat&amp;display_string=Audit&amp;DYN_ARGS=TRUE&amp;VAR:ID1=VOL&amp;VAR:RCODE=FDSREVSTOTAL&amp;VAR:SDATE=20090199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5__123Graph_CChart_1CA" localSheetId="0" hidden="1">#REF!</definedName>
    <definedName name="_235__123Graph_CChart_1CA" hidden="1">#REF!</definedName>
    <definedName name="_235__FDSAUDITLINK__" localSheetId="5" hidden="1">{"fdsup://IBCentral/FAT Viewer?action=UPDATE&amp;creator=factset&amp;DOC_NAME=fat:reuters_ltm_source_window.fat&amp;display_string=Audit&amp;DYN_ARGS=TRUE&amp;VAR:ID1=CDI&amp;VAR:RCODE=FDSREVSTOTAL&amp;VAR:SDATE=20090399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5__FDSAUDITLINK__" localSheetId="0" hidden="1">{"fdsup://IBCentral/FAT Viewer?action=UPDATE&amp;creator=factset&amp;DOC_NAME=fat:reuters_ltm_source_window.fat&amp;display_string=Audit&amp;DYN_ARGS=TRUE&amp;VAR:ID1=CDI&amp;VAR:RCODE=FDSREVSTOTAL&amp;VAR:SDATE=20090399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5__FDSAUDITLINK__" localSheetId="4" hidden="1">{"fdsup://IBCentral/FAT Viewer?action=UPDATE&amp;creator=factset&amp;DOC_NAME=fat:reuters_ltm_source_window.fat&amp;display_string=Audit&amp;DYN_ARGS=TRUE&amp;VAR:ID1=CDI&amp;VAR:RCODE=FDSREVSTOTAL&amp;VAR:SDATE=20090399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5__FDSAUDITLINK__" hidden="1">{"fdsup://IBCentral/FAT Viewer?action=UPDATE&amp;creator=factset&amp;DOC_NAME=fat:reuters_ltm_source_window.fat&amp;display_string=Audit&amp;DYN_ARGS=TRUE&amp;VAR:ID1=CDI&amp;VAR:RCODE=FDSREVSTOTAL&amp;VAR:SDATE=20090399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36__FDSAUDITLINK__" localSheetId="5" hidden="1">{"fdsup://IBCentral/FAT Viewer?action=UPDATE&amp;creator=factset&amp;DOC_NAME=fat:reuters_ltm_source_window.fat&amp;display_string=Audit&amp;DYN_ARGS=TRUE&amp;VAR:ID1=DY&amp;VAR:RCODE=FDSREVSTOTAL&amp;VAR:SDATE=20090499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6__FDSAUDITLINK__" localSheetId="0" hidden="1">{"fdsup://IBCentral/FAT Viewer?action=UPDATE&amp;creator=factset&amp;DOC_NAME=fat:reuters_ltm_source_window.fat&amp;display_string=Audit&amp;DYN_ARGS=TRUE&amp;VAR:ID1=DY&amp;VAR:RCODE=FDSREVSTOTAL&amp;VAR:SDATE=20090499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6__FDSAUDITLINK__" localSheetId="4" hidden="1">{"fdsup://IBCentral/FAT Viewer?action=UPDATE&amp;creator=factset&amp;DOC_NAME=fat:reuters_ltm_source_window.fat&amp;display_string=Audit&amp;DYN_ARGS=TRUE&amp;VAR:ID1=DY&amp;VAR:RCODE=FDSREVSTOTAL&amp;VAR:SDATE=20090499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6__FDSAUDITLINK__" hidden="1">{"fdsup://IBCentral/FAT Viewer?action=UPDATE&amp;creator=factset&amp;DOC_NAME=fat:reuters_ltm_source_window.fat&amp;display_string=Audit&amp;DYN_ARGS=TRUE&amp;VAR:ID1=DY&amp;VAR:RCODE=FDSREVSTOTAL&amp;VAR:SDATE=20090499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37__123Graph_CChart_1CD" localSheetId="0" hidden="1">#REF!</definedName>
    <definedName name="_237__123Graph_CChart_1CD" hidden="1">#REF!</definedName>
    <definedName name="_237__FDSAUDITLINK__" localSheetId="5" hidden="1">{"fdsup://IBCentral/FAT Viewer?action=UPDATE&amp;creator=factset&amp;DOC_NAME=fat:reuters_ltm_source_window.fat&amp;display_string=Audit&amp;DYN_ARGS=TRUE&amp;VAR:ID1=VICR&amp;VAR:RCODE=FDSREVSTOTAL&amp;VAR:SDATE=20090399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7__FDSAUDITLINK__" localSheetId="0" hidden="1">{"fdsup://IBCentral/FAT Viewer?action=UPDATE&amp;creator=factset&amp;DOC_NAME=fat:reuters_ltm_source_window.fat&amp;display_string=Audit&amp;DYN_ARGS=TRUE&amp;VAR:ID1=VICR&amp;VAR:RCODE=FDSREVSTOTAL&amp;VAR:SDATE=20090399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7__FDSAUDITLINK__" localSheetId="4" hidden="1">{"fdsup://IBCentral/FAT Viewer?action=UPDATE&amp;creator=factset&amp;DOC_NAME=fat:reuters_ltm_source_window.fat&amp;display_string=Audit&amp;DYN_ARGS=TRUE&amp;VAR:ID1=VICR&amp;VAR:RCODE=FDSREVSTOTAL&amp;VAR:SDATE=20090399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7__FDSAUDITLINK__" hidden="1">{"fdsup://IBCentral/FAT Viewer?action=UPDATE&amp;creator=factset&amp;DOC_NAME=fat:reuters_ltm_source_window.fat&amp;display_string=Audit&amp;DYN_ARGS=TRUE&amp;VAR:ID1=VICR&amp;VAR:RCODE=FDSREVSTOTAL&amp;VAR:SDATE=20090399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8__FDSAUDITLINK__" localSheetId="5" hidden="1">{"fdsup://IBCentral/FAT Viewer?action=UPDATE&amp;creator=factset&amp;DOC_NAME=fat:reuters_ltm_source_window.fat&amp;display_string=Audit&amp;DYN_ARGS=TRUE&amp;VAR:ID1=YRCW&amp;VAR:RCODE=FDSREVSTOTAL&amp;VAR:SDATE=20090399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8__FDSAUDITLINK__" localSheetId="0" hidden="1">{"fdsup://IBCentral/FAT Viewer?action=UPDATE&amp;creator=factset&amp;DOC_NAME=fat:reuters_ltm_source_window.fat&amp;display_string=Audit&amp;DYN_ARGS=TRUE&amp;VAR:ID1=YRCW&amp;VAR:RCODE=FDSREVSTOTAL&amp;VAR:SDATE=20090399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8__FDSAUDITLINK__" localSheetId="4" hidden="1">{"fdsup://IBCentral/FAT Viewer?action=UPDATE&amp;creator=factset&amp;DOC_NAME=fat:reuters_ltm_source_window.fat&amp;display_string=Audit&amp;DYN_ARGS=TRUE&amp;VAR:ID1=YRCW&amp;VAR:RCODE=FDSREVSTOTAL&amp;VAR:SDATE=20090399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8__FDSAUDITLINK__" hidden="1">{"fdsup://IBCentral/FAT Viewer?action=UPDATE&amp;creator=factset&amp;DOC_NAME=fat:reuters_ltm_source_window.fat&amp;display_string=Audit&amp;DYN_ARGS=TRUE&amp;VAR:ID1=YRCW&amp;VAR:RCODE=FDSREVSTOTAL&amp;VAR:SDATE=20090399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9__123Graph_CChart_1CE" localSheetId="0" hidden="1">#REF!</definedName>
    <definedName name="_239__123Graph_CChart_1CE" hidden="1">#REF!</definedName>
    <definedName name="_239__FDSAUDITLINK__" localSheetId="5" hidden="1">{"fdsup://IBCentral/FAT Viewer?action=UPDATE&amp;creator=factset&amp;DOC_NAME=fat:reuters_ltm_source_window.fat&amp;display_string=Audit&amp;DYN_ARGS=TRUE&amp;VAR:ID1=ATAC&amp;VAR:RCODE=FDSREVSTOTAL&amp;VAR:SDATE=20090399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9__FDSAUDITLINK__" localSheetId="0" hidden="1">{"fdsup://IBCentral/FAT Viewer?action=UPDATE&amp;creator=factset&amp;DOC_NAME=fat:reuters_ltm_source_window.fat&amp;display_string=Audit&amp;DYN_ARGS=TRUE&amp;VAR:ID1=ATAC&amp;VAR:RCODE=FDSREVSTOTAL&amp;VAR:SDATE=20090399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9__FDSAUDITLINK__" localSheetId="4" hidden="1">{"fdsup://IBCentral/FAT Viewer?action=UPDATE&amp;creator=factset&amp;DOC_NAME=fat:reuters_ltm_source_window.fat&amp;display_string=Audit&amp;DYN_ARGS=TRUE&amp;VAR:ID1=ATAC&amp;VAR:RCODE=FDSREVSTOTAL&amp;VAR:SDATE=20090399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39__FDSAUDITLINK__" hidden="1">{"fdsup://IBCentral/FAT Viewer?action=UPDATE&amp;creator=factset&amp;DOC_NAME=fat:reuters_ltm_source_window.fat&amp;display_string=Audit&amp;DYN_ARGS=TRUE&amp;VAR:ID1=ATAC&amp;VAR:RCODE=FDSREVSTOTAL&amp;VAR:SDATE=20090399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__123Graph_XCHART_10" localSheetId="0" hidden="1">#REF!</definedName>
    <definedName name="_24__123Graph_XCHART_10" hidden="1">#REF!</definedName>
    <definedName name="_24__FDSAUDITLINK__" localSheetId="5" hidden="1">{"fdsup://IBCentral/FAT Viewer?action=UPDATE&amp;creator=factset&amp;DOC_NAME=fat:reuters_ltm_source_window.fat&amp;display_string=Audit&amp;DYN_ARGS=TRUE&amp;VAR:ID1=GDI&amp;VAR:RCODE=FIBCEBITDA&amp;VAR:SDATE=20090399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4__FDSAUDITLINK__" localSheetId="0" hidden="1">{"fdsup://IBCentral/FAT Viewer?action=UPDATE&amp;creator=factset&amp;DOC_NAME=fat:reuters_ltm_source_window.fat&amp;display_string=Audit&amp;DYN_ARGS=TRUE&amp;VAR:ID1=GDI&amp;VAR:RCODE=FIBCEBITDA&amp;VAR:SDATE=20090399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4__FDSAUDITLINK__" localSheetId="4" hidden="1">{"fdsup://IBCentral/FAT Viewer?action=UPDATE&amp;creator=factset&amp;DOC_NAME=fat:reuters_ltm_source_window.fat&amp;display_string=Audit&amp;DYN_ARGS=TRUE&amp;VAR:ID1=GDI&amp;VAR:RCODE=FIBCEBITDA&amp;VAR:SDATE=20090399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4__FDSAUDITLINK__" hidden="1">{"fdsup://IBCentral/FAT Viewer?action=UPDATE&amp;creator=factset&amp;DOC_NAME=fat:reuters_ltm_source_window.fat&amp;display_string=Audit&amp;DYN_ARGS=TRUE&amp;VAR:ID1=GDI&amp;VAR:RCODE=FIBCEBITDA&amp;VAR:SDATE=20090399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40__FDSAUDITLINK__" localSheetId="5" hidden="1">{"fdsup://IBCentral/FAT Viewer?action=UPDATE&amp;creator=factset&amp;DOC_NAME=fat:reuters_annual_source_window.fat&amp;display_string=Audit&amp;DYN_ARGS=TRUE&amp;VAR:ID1=14719510&amp;VAR:RCODE=FDSREVSTOTAL&amp;VAR:SDATE=20090199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40__FDSAUDITLINK__" localSheetId="0" hidden="1">{"fdsup://IBCentral/FAT Viewer?action=UPDATE&amp;creator=factset&amp;DOC_NAME=fat:reuters_annual_source_window.fat&amp;display_string=Audit&amp;DYN_ARGS=TRUE&amp;VAR:ID1=14719510&amp;VAR:RCODE=FDSREVSTOTAL&amp;VAR:SDATE=20090199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40__FDSAUDITLINK__" localSheetId="4" hidden="1">{"fdsup://IBCentral/FAT Viewer?action=UPDATE&amp;creator=factset&amp;DOC_NAME=fat:reuters_annual_source_window.fat&amp;display_string=Audit&amp;DYN_ARGS=TRUE&amp;VAR:ID1=14719510&amp;VAR:RCODE=FDSREVSTOTAL&amp;VAR:SDATE=20090199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40__FDSAUDITLINK__" hidden="1">{"fdsup://IBCentral/FAT Viewer?action=UPDATE&amp;creator=factset&amp;DOC_NAME=fat:reuters_annual_source_window.fat&amp;display_string=Audit&amp;DYN_ARGS=TRUE&amp;VAR:ID1=14719510&amp;VAR:RCODE=FDSREVSTOTAL&amp;VAR:SDATE=20090199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41__123Graph_CChart_1D" localSheetId="0" hidden="1">#REF!</definedName>
    <definedName name="_241__123Graph_CChart_1D" hidden="1">#REF!</definedName>
    <definedName name="_241__FDSAUDITLINK__" localSheetId="5" hidden="1">{"fdsup://IBCentral/FAT Viewer?action=UPDATE&amp;creator=factset&amp;DOC_NAME=fat:reuters_ltm_source_window.fat&amp;display_string=Audit&amp;DYN_ARGS=TRUE&amp;VAR:ID1=AIN&amp;VAR:RCODE=FDSREVSTOTAL&amp;VAR:SDATE=20090399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1__FDSAUDITLINK__" localSheetId="0" hidden="1">{"fdsup://IBCentral/FAT Viewer?action=UPDATE&amp;creator=factset&amp;DOC_NAME=fat:reuters_ltm_source_window.fat&amp;display_string=Audit&amp;DYN_ARGS=TRUE&amp;VAR:ID1=AIN&amp;VAR:RCODE=FDSREVSTOTAL&amp;VAR:SDATE=20090399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1__FDSAUDITLINK__" localSheetId="4" hidden="1">{"fdsup://IBCentral/FAT Viewer?action=UPDATE&amp;creator=factset&amp;DOC_NAME=fat:reuters_ltm_source_window.fat&amp;display_string=Audit&amp;DYN_ARGS=TRUE&amp;VAR:ID1=AIN&amp;VAR:RCODE=FDSREVSTOTAL&amp;VAR:SDATE=20090399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1__FDSAUDITLINK__" hidden="1">{"fdsup://IBCentral/FAT Viewer?action=UPDATE&amp;creator=factset&amp;DOC_NAME=fat:reuters_ltm_source_window.fat&amp;display_string=Audit&amp;DYN_ARGS=TRUE&amp;VAR:ID1=AIN&amp;VAR:RCODE=FDSREVSTOTAL&amp;VAR:SDATE=20090399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2__FDSAUDITLINK__" localSheetId="5" hidden="1">{"fdsup://IBCentral/FAT Viewer?action=UPDATE&amp;creator=factset&amp;DOC_NAME=fat:reuters_ltm_source_window.fat&amp;display_string=Audit&amp;DYN_ARGS=TRUE&amp;VAR:ID1=URI&amp;VAR:RCODE=FDSREVSTOTAL&amp;VAR:SDATE=20090399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2__FDSAUDITLINK__" localSheetId="0" hidden="1">{"fdsup://IBCentral/FAT Viewer?action=UPDATE&amp;creator=factset&amp;DOC_NAME=fat:reuters_ltm_source_window.fat&amp;display_string=Audit&amp;DYN_ARGS=TRUE&amp;VAR:ID1=URI&amp;VAR:RCODE=FDSREVSTOTAL&amp;VAR:SDATE=20090399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2__FDSAUDITLINK__" localSheetId="4" hidden="1">{"fdsup://IBCentral/FAT Viewer?action=UPDATE&amp;creator=factset&amp;DOC_NAME=fat:reuters_ltm_source_window.fat&amp;display_string=Audit&amp;DYN_ARGS=TRUE&amp;VAR:ID1=URI&amp;VAR:RCODE=FDSREVSTOTAL&amp;VAR:SDATE=20090399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2__FDSAUDITLINK__" hidden="1">{"fdsup://IBCentral/FAT Viewer?action=UPDATE&amp;creator=factset&amp;DOC_NAME=fat:reuters_ltm_source_window.fat&amp;display_string=Audit&amp;DYN_ARGS=TRUE&amp;VAR:ID1=URI&amp;VAR:RCODE=FDSREVSTOTAL&amp;VAR:SDATE=20090399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3__123Graph_CChart_1E" localSheetId="0" hidden="1">#REF!</definedName>
    <definedName name="_243__123Graph_CChart_1E" hidden="1">#REF!</definedName>
    <definedName name="_243__FDSAUDITLINK__" localSheetId="5" hidden="1">{"fdsup://IBCentral/FAT Viewer?action=UPDATE&amp;creator=factset&amp;DOC_NAME=fat:reuters_ltm_source_window.fat&amp;display_string=Audit&amp;DYN_ARGS=TRUE&amp;VAR:ID1=HSII&amp;VAR:RCODE=FDSREVSTOTAL&amp;VAR:SDATE=20090399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3__FDSAUDITLINK__" localSheetId="0" hidden="1">{"fdsup://IBCentral/FAT Viewer?action=UPDATE&amp;creator=factset&amp;DOC_NAME=fat:reuters_ltm_source_window.fat&amp;display_string=Audit&amp;DYN_ARGS=TRUE&amp;VAR:ID1=HSII&amp;VAR:RCODE=FDSREVSTOTAL&amp;VAR:SDATE=20090399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3__FDSAUDITLINK__" localSheetId="4" hidden="1">{"fdsup://IBCentral/FAT Viewer?action=UPDATE&amp;creator=factset&amp;DOC_NAME=fat:reuters_ltm_source_window.fat&amp;display_string=Audit&amp;DYN_ARGS=TRUE&amp;VAR:ID1=HSII&amp;VAR:RCODE=FDSREVSTOTAL&amp;VAR:SDATE=20090399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3__FDSAUDITLINK__" hidden="1">{"fdsup://IBCentral/FAT Viewer?action=UPDATE&amp;creator=factset&amp;DOC_NAME=fat:reuters_ltm_source_window.fat&amp;display_string=Audit&amp;DYN_ARGS=TRUE&amp;VAR:ID1=HSII&amp;VAR:RCODE=FDSREVSTOTAL&amp;VAR:SDATE=20090399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4__FDSAUDITLINK__" localSheetId="5" hidden="1">{"fdsup://IBCentral/FAT Viewer?action=UPDATE&amp;creator=factset&amp;DOC_NAME=fat:reuters_ltm_source_window.fat&amp;display_string=Audit&amp;DYN_ARGS=TRUE&amp;VAR:ID1=FSS&amp;VAR:RCODE=FDSREVSTOTAL&amp;VAR:SDATE=20090399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4__FDSAUDITLINK__" localSheetId="0" hidden="1">{"fdsup://IBCentral/FAT Viewer?action=UPDATE&amp;creator=factset&amp;DOC_NAME=fat:reuters_ltm_source_window.fat&amp;display_string=Audit&amp;DYN_ARGS=TRUE&amp;VAR:ID1=FSS&amp;VAR:RCODE=FDSREVSTOTAL&amp;VAR:SDATE=20090399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4__FDSAUDITLINK__" localSheetId="4" hidden="1">{"fdsup://IBCentral/FAT Viewer?action=UPDATE&amp;creator=factset&amp;DOC_NAME=fat:reuters_ltm_source_window.fat&amp;display_string=Audit&amp;DYN_ARGS=TRUE&amp;VAR:ID1=FSS&amp;VAR:RCODE=FDSREVSTOTAL&amp;VAR:SDATE=20090399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4__FDSAUDITLINK__" hidden="1">{"fdsup://IBCentral/FAT Viewer?action=UPDATE&amp;creator=factset&amp;DOC_NAME=fat:reuters_ltm_source_window.fat&amp;display_string=Audit&amp;DYN_ARGS=TRUE&amp;VAR:ID1=FSS&amp;VAR:RCODE=FDSREVSTOTAL&amp;VAR:SDATE=20090399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5__123Graph_CChart_1F" localSheetId="0" hidden="1">#REF!</definedName>
    <definedName name="_245__123Graph_CChart_1F" hidden="1">#REF!</definedName>
    <definedName name="_245__FDSAUDITLINK__" localSheetId="5" hidden="1">{"fdsup://IBCentral/FAT Viewer?action=UPDATE&amp;creator=factset&amp;DOC_NAME=fat:reuters_ltm_source_window.fat&amp;display_string=Audit&amp;DYN_ARGS=TRUE&amp;VAR:ID1=APSG&amp;VAR:RCODE=FDSREVSTOTAL&amp;VAR:SDATE=20090199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5__FDSAUDITLINK__" localSheetId="0" hidden="1">{"fdsup://IBCentral/FAT Viewer?action=UPDATE&amp;creator=factset&amp;DOC_NAME=fat:reuters_ltm_source_window.fat&amp;display_string=Audit&amp;DYN_ARGS=TRUE&amp;VAR:ID1=APSG&amp;VAR:RCODE=FDSREVSTOTAL&amp;VAR:SDATE=20090199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5__FDSAUDITLINK__" localSheetId="4" hidden="1">{"fdsup://IBCentral/FAT Viewer?action=UPDATE&amp;creator=factset&amp;DOC_NAME=fat:reuters_ltm_source_window.fat&amp;display_string=Audit&amp;DYN_ARGS=TRUE&amp;VAR:ID1=APSG&amp;VAR:RCODE=FDSREVSTOTAL&amp;VAR:SDATE=20090199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5__FDSAUDITLINK__" hidden="1">{"fdsup://IBCentral/FAT Viewer?action=UPDATE&amp;creator=factset&amp;DOC_NAME=fat:reuters_ltm_source_window.fat&amp;display_string=Audit&amp;DYN_ARGS=TRUE&amp;VAR:ID1=APSG&amp;VAR:RCODE=FDSREVSTOTAL&amp;VAR:SDATE=20090199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6__FDSAUDITLINK__" localSheetId="5" hidden="1">{"fdsup://IBCentral/FAT Viewer?action=UPDATE&amp;creator=factset&amp;DOC_NAME=fat:reuters_ltm_source_window.fat&amp;display_string=Audit&amp;DYN_ARGS=TRUE&amp;VAR:ID1=VVI&amp;VAR:RCODE=FDSREVSTOTAL&amp;VAR:SDATE=20090399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6__FDSAUDITLINK__" localSheetId="0" hidden="1">{"fdsup://IBCentral/FAT Viewer?action=UPDATE&amp;creator=factset&amp;DOC_NAME=fat:reuters_ltm_source_window.fat&amp;display_string=Audit&amp;DYN_ARGS=TRUE&amp;VAR:ID1=VVI&amp;VAR:RCODE=FDSREVSTOTAL&amp;VAR:SDATE=20090399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6__FDSAUDITLINK__" localSheetId="4" hidden="1">{"fdsup://IBCentral/FAT Viewer?action=UPDATE&amp;creator=factset&amp;DOC_NAME=fat:reuters_ltm_source_window.fat&amp;display_string=Audit&amp;DYN_ARGS=TRUE&amp;VAR:ID1=VVI&amp;VAR:RCODE=FDSREVSTOTAL&amp;VAR:SDATE=20090399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6__FDSAUDITLINK__" hidden="1">{"fdsup://IBCentral/FAT Viewer?action=UPDATE&amp;creator=factset&amp;DOC_NAME=fat:reuters_ltm_source_window.fat&amp;display_string=Audit&amp;DYN_ARGS=TRUE&amp;VAR:ID1=VVI&amp;VAR:RCODE=FDSREVSTOTAL&amp;VAR:SDATE=20090399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7__123Graph_CChart_1G" localSheetId="0" hidden="1">#REF!</definedName>
    <definedName name="_247__123Graph_CChart_1G" hidden="1">#REF!</definedName>
    <definedName name="_247__FDSAUDITLINK__" localSheetId="5" hidden="1">{"fdsup://IBCentral/FAT Viewer?action=UPDATE&amp;creator=factset&amp;DOC_NAME=fat:reuters_ltm_source_window.fat&amp;display_string=Audit&amp;DYN_ARGS=TRUE&amp;VAR:ID1=JBT&amp;VAR:RCODE=FDSREVSTOTAL&amp;VAR:SDATE=20090399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7__FDSAUDITLINK__" localSheetId="0" hidden="1">{"fdsup://IBCentral/FAT Viewer?action=UPDATE&amp;creator=factset&amp;DOC_NAME=fat:reuters_ltm_source_window.fat&amp;display_string=Audit&amp;DYN_ARGS=TRUE&amp;VAR:ID1=JBT&amp;VAR:RCODE=FDSREVSTOTAL&amp;VAR:SDATE=20090399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7__FDSAUDITLINK__" localSheetId="4" hidden="1">{"fdsup://IBCentral/FAT Viewer?action=UPDATE&amp;creator=factset&amp;DOC_NAME=fat:reuters_ltm_source_window.fat&amp;display_string=Audit&amp;DYN_ARGS=TRUE&amp;VAR:ID1=JBT&amp;VAR:RCODE=FDSREVSTOTAL&amp;VAR:SDATE=20090399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7__FDSAUDITLINK__" hidden="1">{"fdsup://IBCentral/FAT Viewer?action=UPDATE&amp;creator=factset&amp;DOC_NAME=fat:reuters_ltm_source_window.fat&amp;display_string=Audit&amp;DYN_ARGS=TRUE&amp;VAR:ID1=JBT&amp;VAR:RCODE=FDSREVSTOTAL&amp;VAR:SDATE=20090399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48__FDSAUDITLINK__" localSheetId="5" hidden="1">{"fdsup://IBCentral/FAT Viewer?action=UPDATE&amp;creator=factset&amp;DOC_NAME=fat:reuters_ltm_source_window.fat&amp;display_string=Audit&amp;DYN_ARGS=TRUE&amp;VAR:ID1=KAMN&amp;VAR:RCODE=FDSREVSTOTAL&amp;VAR:SDATE=20090399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8__FDSAUDITLINK__" localSheetId="0" hidden="1">{"fdsup://IBCentral/FAT Viewer?action=UPDATE&amp;creator=factset&amp;DOC_NAME=fat:reuters_ltm_source_window.fat&amp;display_string=Audit&amp;DYN_ARGS=TRUE&amp;VAR:ID1=KAMN&amp;VAR:RCODE=FDSREVSTOTAL&amp;VAR:SDATE=20090399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8__FDSAUDITLINK__" localSheetId="4" hidden="1">{"fdsup://IBCentral/FAT Viewer?action=UPDATE&amp;creator=factset&amp;DOC_NAME=fat:reuters_ltm_source_window.fat&amp;display_string=Audit&amp;DYN_ARGS=TRUE&amp;VAR:ID1=KAMN&amp;VAR:RCODE=FDSREVSTOTAL&amp;VAR:SDATE=20090399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8__FDSAUDITLINK__" hidden="1">{"fdsup://IBCentral/FAT Viewer?action=UPDATE&amp;creator=factset&amp;DOC_NAME=fat:reuters_ltm_source_window.fat&amp;display_string=Audit&amp;DYN_ARGS=TRUE&amp;VAR:ID1=KAMN&amp;VAR:RCODE=FDSREVSTOTAL&amp;VAR:SDATE=20090399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49__123Graph_CChart_1H" localSheetId="0" hidden="1">#REF!</definedName>
    <definedName name="_249__123Graph_CChart_1H" hidden="1">#REF!</definedName>
    <definedName name="_249__FDSAUDITLINK__" localSheetId="5" hidden="1">{"fdsup://IBCentral/FAT Viewer?action=UPDATE&amp;creator=factset&amp;DOC_NAME=fat:reuters_annual_source_window.fat&amp;display_string=Audit&amp;DYN_ARGS=TRUE&amp;VAR:ID1=03759810&amp;VAR:RCODE=FDSREVSTOTAL&amp;VAR:SDATE=20090299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49__FDSAUDITLINK__" localSheetId="0" hidden="1">{"fdsup://IBCentral/FAT Viewer?action=UPDATE&amp;creator=factset&amp;DOC_NAME=fat:reuters_annual_source_window.fat&amp;display_string=Audit&amp;DYN_ARGS=TRUE&amp;VAR:ID1=03759810&amp;VAR:RCODE=FDSREVSTOTAL&amp;VAR:SDATE=20090299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49__FDSAUDITLINK__" localSheetId="4" hidden="1">{"fdsup://IBCentral/FAT Viewer?action=UPDATE&amp;creator=factset&amp;DOC_NAME=fat:reuters_annual_source_window.fat&amp;display_string=Audit&amp;DYN_ARGS=TRUE&amp;VAR:ID1=03759810&amp;VAR:RCODE=FDSREVSTOTAL&amp;VAR:SDATE=20090299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49__FDSAUDITLINK__" hidden="1">{"fdsup://IBCentral/FAT Viewer?action=UPDATE&amp;creator=factset&amp;DOC_NAME=fat:reuters_annual_source_window.fat&amp;display_string=Audit&amp;DYN_ARGS=TRUE&amp;VAR:ID1=03759810&amp;VAR:RCODE=FDSREVSTOTAL&amp;VAR:SDATE=20090299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5__123Graph_AChart_1AI" localSheetId="0" hidden="1">#REF!</definedName>
    <definedName name="_25__123Graph_AChart_1AI" hidden="1">#REF!</definedName>
    <definedName name="_25__123Graph_XCHART_11" localSheetId="0" hidden="1">#REF!</definedName>
    <definedName name="_25__123Graph_XCHART_11" hidden="1">#REF!</definedName>
    <definedName name="_25__FDSAUDITLINK__" localSheetId="5" hidden="1">{"fdsup://IBCentral/FAT Viewer?action=UPDATE&amp;creator=factset&amp;DOC_NAME=fat:reuters_ltm_source_window.fat&amp;display_string=Audit&amp;DYN_ARGS=TRUE&amp;VAR:ID1=CLH&amp;VAR:RCODE=FIBCEBITDA&amp;VAR:SDATE=20090399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5__FDSAUDITLINK__" localSheetId="0" hidden="1">{"fdsup://IBCentral/FAT Viewer?action=UPDATE&amp;creator=factset&amp;DOC_NAME=fat:reuters_ltm_source_window.fat&amp;display_string=Audit&amp;DYN_ARGS=TRUE&amp;VAR:ID1=CLH&amp;VAR:RCODE=FIBCEBITDA&amp;VAR:SDATE=20090399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5__FDSAUDITLINK__" localSheetId="4" hidden="1">{"fdsup://IBCentral/FAT Viewer?action=UPDATE&amp;creator=factset&amp;DOC_NAME=fat:reuters_ltm_source_window.fat&amp;display_string=Audit&amp;DYN_ARGS=TRUE&amp;VAR:ID1=CLH&amp;VAR:RCODE=FIBCEBITDA&amp;VAR:SDATE=20090399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5__FDSAUDITLINK__" hidden="1">{"fdsup://IBCentral/FAT Viewer?action=UPDATE&amp;creator=factset&amp;DOC_NAME=fat:reuters_ltm_source_window.fat&amp;display_string=Audit&amp;DYN_ARGS=TRUE&amp;VAR:ID1=CLH&amp;VAR:RCODE=FIBCEBITDA&amp;VAR:SDATE=20090399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50__FDSAUDITLINK__" localSheetId="5" hidden="1">{"fdsup://IBCentral/FAT Viewer?action=UPDATE&amp;creator=factset&amp;DOC_NAME=fat:reuters_ltm_source_window.fat&amp;display_string=Audit&amp;DYN_ARGS=TRUE&amp;VAR:ID1=KELYA&amp;VAR:RCODE=FDSREVSTOTAL&amp;VAR:SDATE=20090399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250__FDSAUDITLINK__" localSheetId="0" hidden="1">{"fdsup://IBCentral/FAT Viewer?action=UPDATE&amp;creator=factset&amp;DOC_NAME=fat:reuters_ltm_source_window.fat&amp;display_string=Audit&amp;DYN_ARGS=TRUE&amp;VAR:ID1=KELYA&amp;VAR:RCODE=FDSREVSTOTAL&amp;VAR:SDATE=20090399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250__FDSAUDITLINK__" localSheetId="4" hidden="1">{"fdsup://IBCentral/FAT Viewer?action=UPDATE&amp;creator=factset&amp;DOC_NAME=fat:reuters_ltm_source_window.fat&amp;display_string=Audit&amp;DYN_ARGS=TRUE&amp;VAR:ID1=KELYA&amp;VAR:RCODE=FDSREVSTOTAL&amp;VAR:SDATE=20090399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250__FDSAUDITLINK__" hidden="1">{"fdsup://IBCentral/FAT Viewer?action=UPDATE&amp;creator=factset&amp;DOC_NAME=fat:reuters_ltm_source_window.fat&amp;display_string=Audit&amp;DYN_ARGS=TRUE&amp;VAR:ID1=KELYA&amp;VAR:RCODE=FDSREVSTOTAL&amp;VAR:SDATE=20090399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251__123Graph_CChart_1I" localSheetId="0" hidden="1">#REF!</definedName>
    <definedName name="_251__123Graph_CChart_1I" hidden="1">#REF!</definedName>
    <definedName name="_251__FDSAUDITLINK__" localSheetId="5" hidden="1">{"fdsup://IBCentral/FAT Viewer?action=UPDATE&amp;creator=factset&amp;DOC_NAME=fat:reuters_ltm_source_window.fat&amp;display_string=Audit&amp;DYN_ARGS=TRUE&amp;VAR:ID1=SCHS&amp;VAR:RCODE=FDSREVSTOTAL&amp;VAR:SDATE=20090199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51__FDSAUDITLINK__" localSheetId="0" hidden="1">{"fdsup://IBCentral/FAT Viewer?action=UPDATE&amp;creator=factset&amp;DOC_NAME=fat:reuters_ltm_source_window.fat&amp;display_string=Audit&amp;DYN_ARGS=TRUE&amp;VAR:ID1=SCHS&amp;VAR:RCODE=FDSREVSTOTAL&amp;VAR:SDATE=20090199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51__FDSAUDITLINK__" localSheetId="4" hidden="1">{"fdsup://IBCentral/FAT Viewer?action=UPDATE&amp;creator=factset&amp;DOC_NAME=fat:reuters_ltm_source_window.fat&amp;display_string=Audit&amp;DYN_ARGS=TRUE&amp;VAR:ID1=SCHS&amp;VAR:RCODE=FDSREVSTOTAL&amp;VAR:SDATE=20090199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Viewer?action=UPDATE&amp;creator=factset&amp;DOC_NAME=fat:reuters_ltm_source_window.fat&amp;display_string=Audit&amp;DYN_ARGS=TRUE&amp;VAR:ID1=SCHS&amp;VAR:RCODE=FDSREVSTOTAL&amp;VAR:SDATE=20090199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52__FDSAUDITLINK__" localSheetId="5" hidden="1">{"fdsup://IBCentral/FAT Viewer?action=UPDATE&amp;creator=factset&amp;DOC_NAME=fat:reuters_ltm_source_window.fat&amp;display_string=Audit&amp;DYN_ARGS=TRUE&amp;VAR:ID1=LNN&amp;VAR:RCODE=FDSREVSTOTAL&amp;VAR:SDATE=20090299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2__FDSAUDITLINK__" localSheetId="0" hidden="1">{"fdsup://IBCentral/FAT Viewer?action=UPDATE&amp;creator=factset&amp;DOC_NAME=fat:reuters_ltm_source_window.fat&amp;display_string=Audit&amp;DYN_ARGS=TRUE&amp;VAR:ID1=LNN&amp;VAR:RCODE=FDSREVSTOTAL&amp;VAR:SDATE=20090299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2__FDSAUDITLINK__" localSheetId="4" hidden="1">{"fdsup://IBCentral/FAT Viewer?action=UPDATE&amp;creator=factset&amp;DOC_NAME=fat:reuters_ltm_source_window.fat&amp;display_string=Audit&amp;DYN_ARGS=TRUE&amp;VAR:ID1=LNN&amp;VAR:RCODE=FDSREVSTOTAL&amp;VAR:SDATE=20090299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2__FDSAUDITLINK__" hidden="1">{"fdsup://IBCentral/FAT Viewer?action=UPDATE&amp;creator=factset&amp;DOC_NAME=fat:reuters_ltm_source_window.fat&amp;display_string=Audit&amp;DYN_ARGS=TRUE&amp;VAR:ID1=LNN&amp;VAR:RCODE=FDSREVSTOTAL&amp;VAR:SDATE=20090299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3__123Graph_CChart_1J" localSheetId="0" hidden="1">#REF!</definedName>
    <definedName name="_253__123Graph_CChart_1J" hidden="1">#REF!</definedName>
    <definedName name="_253__FDSAUDITLINK__" localSheetId="5" hidden="1">{"fdsup://IBCentral/FAT Viewer?action=UPDATE&amp;creator=factset&amp;DOC_NAME=fat:reuters_ltm_source_window.fat&amp;display_string=Audit&amp;DYN_ARGS=TRUE&amp;VAR:ID1=NPO&amp;VAR:RCODE=FDSREVSTOTAL&amp;VAR:SDATE=20090399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3__FDSAUDITLINK__" localSheetId="0" hidden="1">{"fdsup://IBCentral/FAT Viewer?action=UPDATE&amp;creator=factset&amp;DOC_NAME=fat:reuters_ltm_source_window.fat&amp;display_string=Audit&amp;DYN_ARGS=TRUE&amp;VAR:ID1=NPO&amp;VAR:RCODE=FDSREVSTOTAL&amp;VAR:SDATE=20090399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3__FDSAUDITLINK__" localSheetId="4" hidden="1">{"fdsup://IBCentral/FAT Viewer?action=UPDATE&amp;creator=factset&amp;DOC_NAME=fat:reuters_ltm_source_window.fat&amp;display_string=Audit&amp;DYN_ARGS=TRUE&amp;VAR:ID1=NPO&amp;VAR:RCODE=FDSREVSTOTAL&amp;VAR:SDATE=20090399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3__FDSAUDITLINK__" hidden="1">{"fdsup://IBCentral/FAT Viewer?action=UPDATE&amp;creator=factset&amp;DOC_NAME=fat:reuters_ltm_source_window.fat&amp;display_string=Audit&amp;DYN_ARGS=TRUE&amp;VAR:ID1=NPO&amp;VAR:RCODE=FDSREVSTOTAL&amp;VAR:SDATE=20090399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4__FDSAUDITLINK__" localSheetId="5" hidden="1">{"fdsup://IBCentral/FAT Viewer?action=UPDATE&amp;creator=factset&amp;DOC_NAME=fat:reuters_annual_source_window.fat&amp;display_string=Audit&amp;DYN_ARGS=TRUE&amp;VAR:ID1=00247410&amp;VAR:RCODE=FDSREVSTOTAL&amp;VAR:SDATE=20090299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54__FDSAUDITLINK__" localSheetId="0" hidden="1">{"fdsup://IBCentral/FAT Viewer?action=UPDATE&amp;creator=factset&amp;DOC_NAME=fat:reuters_annual_source_window.fat&amp;display_string=Audit&amp;DYN_ARGS=TRUE&amp;VAR:ID1=00247410&amp;VAR:RCODE=FDSREVSTOTAL&amp;VAR:SDATE=20090299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54__FDSAUDITLINK__" localSheetId="4" hidden="1">{"fdsup://IBCentral/FAT Viewer?action=UPDATE&amp;creator=factset&amp;DOC_NAME=fat:reuters_annual_source_window.fat&amp;display_string=Audit&amp;DYN_ARGS=TRUE&amp;VAR:ID1=00247410&amp;VAR:RCODE=FDSREVSTOTAL&amp;VAR:SDATE=20090299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00247410&amp;VAR:RCODE=FDSREVSTOTAL&amp;VAR:SDATE=20090299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55__123Graph_CChart_1K" localSheetId="0" hidden="1">#REF!</definedName>
    <definedName name="_255__123Graph_CChart_1K" hidden="1">#REF!</definedName>
    <definedName name="_255__FDSAUDITLINK__" localSheetId="5" hidden="1">{"fdsup://IBCentral/FAT Viewer?action=UPDATE&amp;creator=factset&amp;DOC_NAME=fat:reuters_ltm_source_window.fat&amp;display_string=Audit&amp;DYN_ARGS=TRUE&amp;VAR:ID1=TBI&amp;VAR:RCODE=FDSREVSTOTAL&amp;VAR:SDATE=20090399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5__FDSAUDITLINK__" localSheetId="0" hidden="1">{"fdsup://IBCentral/FAT Viewer?action=UPDATE&amp;creator=factset&amp;DOC_NAME=fat:reuters_ltm_source_window.fat&amp;display_string=Audit&amp;DYN_ARGS=TRUE&amp;VAR:ID1=TBI&amp;VAR:RCODE=FDSREVSTOTAL&amp;VAR:SDATE=20090399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5__FDSAUDITLINK__" localSheetId="4" hidden="1">{"fdsup://IBCentral/FAT Viewer?action=UPDATE&amp;creator=factset&amp;DOC_NAME=fat:reuters_ltm_source_window.fat&amp;display_string=Audit&amp;DYN_ARGS=TRUE&amp;VAR:ID1=TBI&amp;VAR:RCODE=FDSREVSTOTAL&amp;VAR:SDATE=20090399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5__FDSAUDITLINK__" hidden="1">{"fdsup://IBCentral/FAT Viewer?action=UPDATE&amp;creator=factset&amp;DOC_NAME=fat:reuters_ltm_source_window.fat&amp;display_string=Audit&amp;DYN_ARGS=TRUE&amp;VAR:ID1=TBI&amp;VAR:RCODE=FDSREVSTOTAL&amp;VAR:SDATE=20090399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6__FDSAUDITLINK__" localSheetId="5" hidden="1">{"fdsup://IBCentral/FAT Viewer?action=UPDATE&amp;creator=factset&amp;DOC_NAME=fat:reuters_ltm_source_window.fat&amp;display_string=Audit&amp;DYN_ARGS=TRUE&amp;VAR:ID1=NX&amp;VAR:RCODE=FDSREVSTOTAL&amp;VAR:SDATE=20090199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56__FDSAUDITLINK__" localSheetId="0" hidden="1">{"fdsup://IBCentral/FAT Viewer?action=UPDATE&amp;creator=factset&amp;DOC_NAME=fat:reuters_ltm_source_window.fat&amp;display_string=Audit&amp;DYN_ARGS=TRUE&amp;VAR:ID1=NX&amp;VAR:RCODE=FDSREVSTOTAL&amp;VAR:SDATE=20090199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56__FDSAUDITLINK__" localSheetId="4" hidden="1">{"fdsup://IBCentral/FAT Viewer?action=UPDATE&amp;creator=factset&amp;DOC_NAME=fat:reuters_ltm_source_window.fat&amp;display_string=Audit&amp;DYN_ARGS=TRUE&amp;VAR:ID1=NX&amp;VAR:RCODE=FDSREVSTOTAL&amp;VAR:SDATE=20090199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56__FDSAUDITLINK__" hidden="1">{"fdsup://IBCentral/FAT Viewer?action=UPDATE&amp;creator=factset&amp;DOC_NAME=fat:reuters_ltm_source_window.fat&amp;display_string=Audit&amp;DYN_ARGS=TRUE&amp;VAR:ID1=NX&amp;VAR:RCODE=FDSREVSTOTAL&amp;VAR:SDATE=20090199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57__123Graph_CChart_1L" localSheetId="0" hidden="1">#REF!</definedName>
    <definedName name="_257__123Graph_CChart_1L" hidden="1">#REF!</definedName>
    <definedName name="_257__FDSAUDITLINK__" localSheetId="5" hidden="1">{"fdsup://IBCentral/FAT Viewer?action=UPDATE&amp;creator=factset&amp;DOC_NAME=fat:reuters_ltm_source_window.fat&amp;display_string=Audit&amp;DYN_ARGS=TRUE&amp;VAR:ID1=GKSR&amp;VAR:RCODE=FDSREVSTOTAL&amp;VAR:SDATE=20090399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57__FDSAUDITLINK__" localSheetId="0" hidden="1">{"fdsup://IBCentral/FAT Viewer?action=UPDATE&amp;creator=factset&amp;DOC_NAME=fat:reuters_ltm_source_window.fat&amp;display_string=Audit&amp;DYN_ARGS=TRUE&amp;VAR:ID1=GKSR&amp;VAR:RCODE=FDSREVSTOTAL&amp;VAR:SDATE=20090399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57__FDSAUDITLINK__" localSheetId="4" hidden="1">{"fdsup://IBCentral/FAT Viewer?action=UPDATE&amp;creator=factset&amp;DOC_NAME=fat:reuters_ltm_source_window.fat&amp;display_string=Audit&amp;DYN_ARGS=TRUE&amp;VAR:ID1=GKSR&amp;VAR:RCODE=FDSREVSTOTAL&amp;VAR:SDATE=20090399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57__FDSAUDITLINK__" hidden="1">{"fdsup://IBCentral/FAT Viewer?action=UPDATE&amp;creator=factset&amp;DOC_NAME=fat:reuters_ltm_source_window.fat&amp;display_string=Audit&amp;DYN_ARGS=TRUE&amp;VAR:ID1=GKSR&amp;VAR:RCODE=FDSREVSTOTAL&amp;VAR:SDATE=20090399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58__FDSAUDITLINK__" localSheetId="5" hidden="1">{"fdsup://IBCentral/FAT Viewer?action=UPDATE&amp;creator=factset&amp;DOC_NAME=fat:reuters_ltm_source_window.fat&amp;display_string=Audit&amp;DYN_ARGS=TRUE&amp;VAR:ID1=CIR&amp;VAR:RCODE=FDSREVSTOTAL&amp;VAR:SDATE=20090399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8__FDSAUDITLINK__" localSheetId="0" hidden="1">{"fdsup://IBCentral/FAT Viewer?action=UPDATE&amp;creator=factset&amp;DOC_NAME=fat:reuters_ltm_source_window.fat&amp;display_string=Audit&amp;DYN_ARGS=TRUE&amp;VAR:ID1=CIR&amp;VAR:RCODE=FDSREVSTOTAL&amp;VAR:SDATE=20090399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8__FDSAUDITLINK__" localSheetId="4" hidden="1">{"fdsup://IBCentral/FAT Viewer?action=UPDATE&amp;creator=factset&amp;DOC_NAME=fat:reuters_ltm_source_window.fat&amp;display_string=Audit&amp;DYN_ARGS=TRUE&amp;VAR:ID1=CIR&amp;VAR:RCODE=FDSREVSTOTAL&amp;VAR:SDATE=20090399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8__FDSAUDITLINK__" hidden="1">{"fdsup://IBCentral/FAT Viewer?action=UPDATE&amp;creator=factset&amp;DOC_NAME=fat:reuters_ltm_source_window.fat&amp;display_string=Audit&amp;DYN_ARGS=TRUE&amp;VAR:ID1=CIR&amp;VAR:RCODE=FDSREVSTOTAL&amp;VAR:SDATE=20090399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9__123Graph_CChart_1N" localSheetId="0" hidden="1">#REF!</definedName>
    <definedName name="_259__123Graph_CChart_1N" hidden="1">#REF!</definedName>
    <definedName name="_259__FDSAUDITLINK__" localSheetId="5" hidden="1">{"fdsup://IBCentral/FAT Viewer?action=UPDATE&amp;creator=factset&amp;DOC_NAME=fat:reuters_ltm_source_window.fat&amp;display_string=Audit&amp;DYN_ARGS=TRUE&amp;VAR:ID1=KFY&amp;VAR:RCODE=FDSREVSTOTAL&amp;VAR:SDATE=20090199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9__FDSAUDITLINK__" localSheetId="0" hidden="1">{"fdsup://IBCentral/FAT Viewer?action=UPDATE&amp;creator=factset&amp;DOC_NAME=fat:reuters_ltm_source_window.fat&amp;display_string=Audit&amp;DYN_ARGS=TRUE&amp;VAR:ID1=KFY&amp;VAR:RCODE=FDSREVSTOTAL&amp;VAR:SDATE=20090199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9__FDSAUDITLINK__" localSheetId="4" hidden="1">{"fdsup://IBCentral/FAT Viewer?action=UPDATE&amp;creator=factset&amp;DOC_NAME=fat:reuters_ltm_source_window.fat&amp;display_string=Audit&amp;DYN_ARGS=TRUE&amp;VAR:ID1=KFY&amp;VAR:RCODE=FDSREVSTOTAL&amp;VAR:SDATE=20090199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59__FDSAUDITLINK__" hidden="1">{"fdsup://IBCentral/FAT Viewer?action=UPDATE&amp;creator=factset&amp;DOC_NAME=fat:reuters_ltm_source_window.fat&amp;display_string=Audit&amp;DYN_ARGS=TRUE&amp;VAR:ID1=KFY&amp;VAR:RCODE=FDSREVSTOTAL&amp;VAR:SDATE=20090199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__123Graph_XCHART_8" localSheetId="0" hidden="1">#REF!</definedName>
    <definedName name="_26__123Graph_XCHART_8" hidden="1">#REF!</definedName>
    <definedName name="_26__FDSAUDITLINK__" localSheetId="5" hidden="1">{"fdsup://IBCentral/FAT Viewer?action=UPDATE&amp;creator=factset&amp;DOC_NAME=fat:reuters_ltm_source_window.fat&amp;display_string=Audit&amp;DYN_ARGS=TRUE&amp;VAR:ID1=BUCY&amp;VAR:RCODE=FIBCEBITDA&amp;VAR:SDATE=20090399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6__FDSAUDITLINK__" localSheetId="0" hidden="1">{"fdsup://IBCentral/FAT Viewer?action=UPDATE&amp;creator=factset&amp;DOC_NAME=fat:reuters_ltm_source_window.fat&amp;display_string=Audit&amp;DYN_ARGS=TRUE&amp;VAR:ID1=BUCY&amp;VAR:RCODE=FIBCEBITDA&amp;VAR:SDATE=20090399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6__FDSAUDITLINK__" localSheetId="4" hidden="1">{"fdsup://IBCentral/FAT Viewer?action=UPDATE&amp;creator=factset&amp;DOC_NAME=fat:reuters_ltm_source_window.fat&amp;display_string=Audit&amp;DYN_ARGS=TRUE&amp;VAR:ID1=BUCY&amp;VAR:RCODE=FIBCEBITDA&amp;VAR:SDATE=20090399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6__FDSAUDITLINK__" hidden="1">{"fdsup://IBCentral/FAT Viewer?action=UPDATE&amp;creator=factset&amp;DOC_NAME=fat:reuters_ltm_source_window.fat&amp;display_string=Audit&amp;DYN_ARGS=TRUE&amp;VAR:ID1=BUCY&amp;VAR:RCODE=FIBCEBITDA&amp;VAR:SDATE=20090399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60__FDSAUDITLINK__" localSheetId="5" hidden="1">{"fdsup://IBCentral/FAT Viewer?action=UPDATE&amp;creator=factset&amp;DOC_NAME=fat:reuters_ltm_source_window.fat&amp;display_string=Audit&amp;DYN_ARGS=TRUE&amp;VAR:ID1=MINI&amp;VAR:RCODE=FDSREVSTOTAL&amp;VAR:SDATE=20090399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0__FDSAUDITLINK__" localSheetId="0" hidden="1">{"fdsup://IBCentral/FAT Viewer?action=UPDATE&amp;creator=factset&amp;DOC_NAME=fat:reuters_ltm_source_window.fat&amp;display_string=Audit&amp;DYN_ARGS=TRUE&amp;VAR:ID1=MINI&amp;VAR:RCODE=FDSREVSTOTAL&amp;VAR:SDATE=20090399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0__FDSAUDITLINK__" localSheetId="4" hidden="1">{"fdsup://IBCentral/FAT Viewer?action=UPDATE&amp;creator=factset&amp;DOC_NAME=fat:reuters_ltm_source_window.fat&amp;display_string=Audit&amp;DYN_ARGS=TRUE&amp;VAR:ID1=MINI&amp;VAR:RCODE=FDSREVSTOTAL&amp;VAR:SDATE=20090399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0__FDSAUDITLINK__" hidden="1">{"fdsup://IBCentral/FAT Viewer?action=UPDATE&amp;creator=factset&amp;DOC_NAME=fat:reuters_ltm_source_window.fat&amp;display_string=Audit&amp;DYN_ARGS=TRUE&amp;VAR:ID1=MINI&amp;VAR:RCODE=FDSREVSTOTAL&amp;VAR:SDATE=20090399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1__123Graph_CChart_1O" localSheetId="0" hidden="1">#REF!</definedName>
    <definedName name="_261__123Graph_CChart_1O" hidden="1">#REF!</definedName>
    <definedName name="_261__FDSAUDITLINK__" localSheetId="5" hidden="1">{"fdsup://IBCentral/FAT Viewer?action=UPDATE&amp;creator=factset&amp;DOC_NAME=fat:reuters_ltm_source_window.fat&amp;display_string=Audit&amp;DYN_ARGS=TRUE&amp;VAR:ID1=AVAV&amp;VAR:RCODE=FDSREVSTOTAL&amp;VAR:SDATE=20090199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1__FDSAUDITLINK__" localSheetId="0" hidden="1">{"fdsup://IBCentral/FAT Viewer?action=UPDATE&amp;creator=factset&amp;DOC_NAME=fat:reuters_ltm_source_window.fat&amp;display_string=Audit&amp;DYN_ARGS=TRUE&amp;VAR:ID1=AVAV&amp;VAR:RCODE=FDSREVSTOTAL&amp;VAR:SDATE=20090199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1__FDSAUDITLINK__" localSheetId="4" hidden="1">{"fdsup://IBCentral/FAT Viewer?action=UPDATE&amp;creator=factset&amp;DOC_NAME=fat:reuters_ltm_source_window.fat&amp;display_string=Audit&amp;DYN_ARGS=TRUE&amp;VAR:ID1=AVAV&amp;VAR:RCODE=FDSREVSTOTAL&amp;VAR:SDATE=20090199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1__FDSAUDITLINK__" hidden="1">{"fdsup://IBCentral/FAT Viewer?action=UPDATE&amp;creator=factset&amp;DOC_NAME=fat:reuters_ltm_source_window.fat&amp;display_string=Audit&amp;DYN_ARGS=TRUE&amp;VAR:ID1=AVAV&amp;VAR:RCODE=FDSREVSTOTAL&amp;VAR:SDATE=20090199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2__FDSAUDITLINK__" localSheetId="5" hidden="1">{"fdsup://IBCentral/FAT Viewer?action=UPDATE&amp;creator=factset&amp;DOC_NAME=fat:reuters_ltm_source_window.fat&amp;display_string=Audit&amp;DYN_ARGS=TRUE&amp;VAR:ID1=INSU&amp;VAR:RCODE=FDSREVSTOTAL&amp;VAR:SDATE=20090399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2__FDSAUDITLINK__" localSheetId="0" hidden="1">{"fdsup://IBCentral/FAT Viewer?action=UPDATE&amp;creator=factset&amp;DOC_NAME=fat:reuters_ltm_source_window.fat&amp;display_string=Audit&amp;DYN_ARGS=TRUE&amp;VAR:ID1=INSU&amp;VAR:RCODE=FDSREVSTOTAL&amp;VAR:SDATE=20090399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2__FDSAUDITLINK__" localSheetId="4" hidden="1">{"fdsup://IBCentral/FAT Viewer?action=UPDATE&amp;creator=factset&amp;DOC_NAME=fat:reuters_ltm_source_window.fat&amp;display_string=Audit&amp;DYN_ARGS=TRUE&amp;VAR:ID1=INSU&amp;VAR:RCODE=FDSREVSTOTAL&amp;VAR:SDATE=20090399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2__FDSAUDITLINK__" hidden="1">{"fdsup://IBCentral/FAT Viewer?action=UPDATE&amp;creator=factset&amp;DOC_NAME=fat:reuters_ltm_source_window.fat&amp;display_string=Audit&amp;DYN_ARGS=TRUE&amp;VAR:ID1=INSU&amp;VAR:RCODE=FDSREVSTOTAL&amp;VAR:SDATE=20090399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3__123Graph_CChart_1P" localSheetId="0" hidden="1">#REF!</definedName>
    <definedName name="_263__123Graph_CChart_1P" hidden="1">#REF!</definedName>
    <definedName name="_263__FDSAUDITLINK__" localSheetId="5" hidden="1">{"fdsup://IBCentral/FAT Viewer?action=UPDATE&amp;creator=factset&amp;DOC_NAME=fat:reuters_ltm_source_window.fat&amp;display_string=Audit&amp;DYN_ARGS=TRUE&amp;VAR:ID1=GFF&amp;VAR:RCODE=FDSREVSTOTAL&amp;VAR:SDATE=20090399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3__FDSAUDITLINK__" localSheetId="0" hidden="1">{"fdsup://IBCentral/FAT Viewer?action=UPDATE&amp;creator=factset&amp;DOC_NAME=fat:reuters_ltm_source_window.fat&amp;display_string=Audit&amp;DYN_ARGS=TRUE&amp;VAR:ID1=GFF&amp;VAR:RCODE=FDSREVSTOTAL&amp;VAR:SDATE=20090399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3__FDSAUDITLINK__" localSheetId="4" hidden="1">{"fdsup://IBCentral/FAT Viewer?action=UPDATE&amp;creator=factset&amp;DOC_NAME=fat:reuters_ltm_source_window.fat&amp;display_string=Audit&amp;DYN_ARGS=TRUE&amp;VAR:ID1=GFF&amp;VAR:RCODE=FDSREVSTOTAL&amp;VAR:SDATE=20090399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3__FDSAUDITLINK__" hidden="1">{"fdsup://IBCentral/FAT Viewer?action=UPDATE&amp;creator=factset&amp;DOC_NAME=fat:reuters_ltm_source_window.fat&amp;display_string=Audit&amp;DYN_ARGS=TRUE&amp;VAR:ID1=GFF&amp;VAR:RCODE=FDSREVSTOTAL&amp;VAR:SDATE=20090399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4__FDSAUDITLINK__" localSheetId="5" hidden="1">{"fdsup://IBCentral/FAT Viewer?action=UPDATE&amp;creator=factset&amp;DOC_NAME=fat:reuters_ltm_source_window.fat&amp;display_string=Audit&amp;DYN_ARGS=TRUE&amp;VAR:ID1=AXYS&amp;VAR:RCODE=FDSREVSTOTAL&amp;VAR:SDATE=20090399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4__FDSAUDITLINK__" localSheetId="0" hidden="1">{"fdsup://IBCentral/FAT Viewer?action=UPDATE&amp;creator=factset&amp;DOC_NAME=fat:reuters_ltm_source_window.fat&amp;display_string=Audit&amp;DYN_ARGS=TRUE&amp;VAR:ID1=AXYS&amp;VAR:RCODE=FDSREVSTOTAL&amp;VAR:SDATE=20090399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4__FDSAUDITLINK__" localSheetId="4" hidden="1">{"fdsup://IBCentral/FAT Viewer?action=UPDATE&amp;creator=factset&amp;DOC_NAME=fat:reuters_ltm_source_window.fat&amp;display_string=Audit&amp;DYN_ARGS=TRUE&amp;VAR:ID1=AXYS&amp;VAR:RCODE=FDSREVSTOTAL&amp;VAR:SDATE=20090399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4__FDSAUDITLINK__" hidden="1">{"fdsup://IBCentral/FAT Viewer?action=UPDATE&amp;creator=factset&amp;DOC_NAME=fat:reuters_ltm_source_window.fat&amp;display_string=Audit&amp;DYN_ARGS=TRUE&amp;VAR:ID1=AXYS&amp;VAR:RCODE=FDSREVSTOTAL&amp;VAR:SDATE=20090399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5__123Graph_CChart_1T" localSheetId="0" hidden="1">#REF!</definedName>
    <definedName name="_265__123Graph_CChart_1T" hidden="1">#REF!</definedName>
    <definedName name="_265__FDSAUDITLINK__" localSheetId="5" hidden="1">{"fdsup://IBCentral/FAT Viewer?action=UPDATE&amp;creator=factset&amp;DOC_NAME=fat:reuters_annual_source_window.fat&amp;display_string=Audit&amp;DYN_ARGS=TRUE&amp;VAR:ID1=02942910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65__FDSAUDITLINK__" localSheetId="0" hidden="1">{"fdsup://IBCentral/FAT Viewer?action=UPDATE&amp;creator=factset&amp;DOC_NAME=fat:reuters_annual_source_window.fat&amp;display_string=Audit&amp;DYN_ARGS=TRUE&amp;VAR:ID1=02942910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65__FDSAUDITLINK__" localSheetId="4" hidden="1">{"fdsup://IBCentral/FAT Viewer?action=UPDATE&amp;creator=factset&amp;DOC_NAME=fat:reuters_annual_source_window.fat&amp;display_string=Audit&amp;DYN_ARGS=TRUE&amp;VAR:ID1=02942910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65__FDSAUDITLINK__" hidden="1">{"fdsup://IBCentral/FAT Viewer?action=UPDATE&amp;creator=factset&amp;DOC_NAME=fat:reuters_annual_source_window.fat&amp;display_string=Audit&amp;DYN_ARGS=TRUE&amp;VAR:ID1=02942910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66__FDSAUDITLINK__" localSheetId="5" hidden="1">{"fdsup://IBCentral/FAT Viewer?action=UPDATE&amp;creator=factset&amp;DOC_NAME=fat:reuters_ltm_source_window.fat&amp;display_string=Audit&amp;DYN_ARGS=TRUE&amp;VAR:ID1=FWRD&amp;VAR:RCODE=FDSREVSTOTAL&amp;VAR:SDATE=20090399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6__FDSAUDITLINK__" localSheetId="0" hidden="1">{"fdsup://IBCentral/FAT Viewer?action=UPDATE&amp;creator=factset&amp;DOC_NAME=fat:reuters_ltm_source_window.fat&amp;display_string=Audit&amp;DYN_ARGS=TRUE&amp;VAR:ID1=FWRD&amp;VAR:RCODE=FDSREVSTOTAL&amp;VAR:SDATE=20090399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6__FDSAUDITLINK__" localSheetId="4" hidden="1">{"fdsup://IBCentral/FAT Viewer?action=UPDATE&amp;creator=factset&amp;DOC_NAME=fat:reuters_ltm_source_window.fat&amp;display_string=Audit&amp;DYN_ARGS=TRUE&amp;VAR:ID1=FWRD&amp;VAR:RCODE=FDSREVSTOTAL&amp;VAR:SDATE=20090399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6__FDSAUDITLINK__" hidden="1">{"fdsup://IBCentral/FAT Viewer?action=UPDATE&amp;creator=factset&amp;DOC_NAME=fat:reuters_ltm_source_window.fat&amp;display_string=Audit&amp;DYN_ARGS=TRUE&amp;VAR:ID1=FWRD&amp;VAR:RCODE=FDSREVSTOTAL&amp;VAR:SDATE=20090399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67__123Graph_CChart_1U" localSheetId="0" hidden="1">#REF!</definedName>
    <definedName name="_267__123Graph_CChart_1U" hidden="1">#REF!</definedName>
    <definedName name="_267__FDSAUDITLINK__" localSheetId="5" hidden="1">{"fdsup://IBCentral/FAT Viewer?action=UPDATE&amp;creator=factset&amp;DOC_NAME=fat:reuters_ltm_source_window.fat&amp;display_string=Audit&amp;DYN_ARGS=TRUE&amp;VAR:ID1=HNI&amp;VAR:RCODE=FDSREVSTOTAL&amp;VAR:SDATE=20090399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7__FDSAUDITLINK__" localSheetId="0" hidden="1">{"fdsup://IBCentral/FAT Viewer?action=UPDATE&amp;creator=factset&amp;DOC_NAME=fat:reuters_ltm_source_window.fat&amp;display_string=Audit&amp;DYN_ARGS=TRUE&amp;VAR:ID1=HNI&amp;VAR:RCODE=FDSREVSTOTAL&amp;VAR:SDATE=20090399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7__FDSAUDITLINK__" localSheetId="4" hidden="1">{"fdsup://IBCentral/FAT Viewer?action=UPDATE&amp;creator=factset&amp;DOC_NAME=fat:reuters_ltm_source_window.fat&amp;display_string=Audit&amp;DYN_ARGS=TRUE&amp;VAR:ID1=HNI&amp;VAR:RCODE=FDSREVSTOTAL&amp;VAR:SDATE=20090399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7__FDSAUDITLINK__" hidden="1">{"fdsup://IBCentral/FAT Viewer?action=UPDATE&amp;creator=factset&amp;DOC_NAME=fat:reuters_ltm_source_window.fat&amp;display_string=Audit&amp;DYN_ARGS=TRUE&amp;VAR:ID1=HNI&amp;VAR:RCODE=FDSREVSTOTAL&amp;VAR:SDATE=20090399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8__FDSAUDITLINK__" localSheetId="5" hidden="1">{"fdsup://IBCentral/FAT Viewer?action=UPDATE&amp;creator=factset&amp;DOC_NAME=fat:reuters_ltm_source_window.fat&amp;display_string=Audit&amp;DYN_ARGS=TRUE&amp;VAR:ID1=AAI&amp;VAR:RCODE=FDSREVSTOTAL&amp;VAR:SDATE=20090399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8__FDSAUDITLINK__" localSheetId="0" hidden="1">{"fdsup://IBCentral/FAT Viewer?action=UPDATE&amp;creator=factset&amp;DOC_NAME=fat:reuters_ltm_source_window.fat&amp;display_string=Audit&amp;DYN_ARGS=TRUE&amp;VAR:ID1=AAI&amp;VAR:RCODE=FDSREVSTOTAL&amp;VAR:SDATE=20090399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8__FDSAUDITLINK__" localSheetId="4" hidden="1">{"fdsup://IBCentral/FAT Viewer?action=UPDATE&amp;creator=factset&amp;DOC_NAME=fat:reuters_ltm_source_window.fat&amp;display_string=Audit&amp;DYN_ARGS=TRUE&amp;VAR:ID1=AAI&amp;VAR:RCODE=FDSREVSTOTAL&amp;VAR:SDATE=20090399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8__FDSAUDITLINK__" hidden="1">{"fdsup://IBCentral/FAT Viewer?action=UPDATE&amp;creator=factset&amp;DOC_NAME=fat:reuters_ltm_source_window.fat&amp;display_string=Audit&amp;DYN_ARGS=TRUE&amp;VAR:ID1=AAI&amp;VAR:RCODE=FDSREVSTOTAL&amp;VAR:SDATE=20090399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9__123Graph_CChart_1W" localSheetId="0" hidden="1">#REF!</definedName>
    <definedName name="_269__123Graph_CChart_1W" hidden="1">#REF!</definedName>
    <definedName name="_269__FDSAUDITLINK__" localSheetId="5" hidden="1">{"fdsup://IBCentral/FAT Viewer?action=UPDATE&amp;creator=factset&amp;DOC_NAME=fat:reuters_ltm_source_window.fat&amp;display_string=Audit&amp;DYN_ARGS=TRUE&amp;VAR:ID1=ATU&amp;VAR:RCODE=FDSREVSTOTAL&amp;VAR:SDATE=20090299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9__FDSAUDITLINK__" localSheetId="0" hidden="1">{"fdsup://IBCentral/FAT Viewer?action=UPDATE&amp;creator=factset&amp;DOC_NAME=fat:reuters_ltm_source_window.fat&amp;display_string=Audit&amp;DYN_ARGS=TRUE&amp;VAR:ID1=ATU&amp;VAR:RCODE=FDSREVSTOTAL&amp;VAR:SDATE=20090299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9__FDSAUDITLINK__" localSheetId="4" hidden="1">{"fdsup://IBCentral/FAT Viewer?action=UPDATE&amp;creator=factset&amp;DOC_NAME=fat:reuters_ltm_source_window.fat&amp;display_string=Audit&amp;DYN_ARGS=TRUE&amp;VAR:ID1=ATU&amp;VAR:RCODE=FDSREVSTOTAL&amp;VAR:SDATE=20090299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69__FDSAUDITLINK__" hidden="1">{"fdsup://IBCentral/FAT Viewer?action=UPDATE&amp;creator=factset&amp;DOC_NAME=fat:reuters_ltm_source_window.fat&amp;display_string=Audit&amp;DYN_ARGS=TRUE&amp;VAR:ID1=ATU&amp;VAR:RCODE=FDSREVSTOTAL&amp;VAR:SDATE=20090299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__123Graph_AChart_1AJ" localSheetId="0" hidden="1">#REF!</definedName>
    <definedName name="_27__123Graph_AChart_1AJ" hidden="1">#REF!</definedName>
    <definedName name="_27__123Graph_XCHART_9" localSheetId="0" hidden="1">#REF!</definedName>
    <definedName name="_27__123Graph_XCHART_9" hidden="1">#REF!</definedName>
    <definedName name="_27__FDSAUDITLINK__" localSheetId="5" hidden="1">{"fdsup://IBCentral/FAT Viewer?action=UPDATE&amp;creator=factset&amp;DOC_NAME=fat:reuters_ltm_source_window.fat&amp;display_string=Audit&amp;DYN_ARGS=TRUE&amp;VAR:ID1=BCO&amp;VAR:RCODE=FIBCEBITDA&amp;VAR:SDATE=20090399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7__FDSAUDITLINK__" localSheetId="0" hidden="1">{"fdsup://IBCentral/FAT Viewer?action=UPDATE&amp;creator=factset&amp;DOC_NAME=fat:reuters_ltm_source_window.fat&amp;display_string=Audit&amp;DYN_ARGS=TRUE&amp;VAR:ID1=BCO&amp;VAR:RCODE=FIBCEBITDA&amp;VAR:SDATE=20090399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7__FDSAUDITLINK__" localSheetId="4" hidden="1">{"fdsup://IBCentral/FAT Viewer?action=UPDATE&amp;creator=factset&amp;DOC_NAME=fat:reuters_ltm_source_window.fat&amp;display_string=Audit&amp;DYN_ARGS=TRUE&amp;VAR:ID1=BCO&amp;VAR:RCODE=FIBCEBITDA&amp;VAR:SDATE=20090399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7__FDSAUDITLINK__" hidden="1">{"fdsup://IBCentral/FAT Viewer?action=UPDATE&amp;creator=factset&amp;DOC_NAME=fat:reuters_ltm_source_window.fat&amp;display_string=Audit&amp;DYN_ARGS=TRUE&amp;VAR:ID1=BCO&amp;VAR:RCODE=FIBCEBITDA&amp;VAR:SDATE=20090399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70__FDSAUDITLINK__" localSheetId="5" hidden="1">{"fdsup://IBCentral/FAT Viewer?action=UPDATE&amp;creator=factset&amp;DOC_NAME=fat:reuters_ltm_source_window.fat&amp;display_string=Audit&amp;DYN_ARGS=TRUE&amp;VAR:ID1=EXBD&amp;VAR:RCODE=FDSREVSTOTAL&amp;VAR:SDATE=20090399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0__FDSAUDITLINK__" localSheetId="0" hidden="1">{"fdsup://IBCentral/FAT Viewer?action=UPDATE&amp;creator=factset&amp;DOC_NAME=fat:reuters_ltm_source_window.fat&amp;display_string=Audit&amp;DYN_ARGS=TRUE&amp;VAR:ID1=EXBD&amp;VAR:RCODE=FDSREVSTOTAL&amp;VAR:SDATE=20090399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0__FDSAUDITLINK__" localSheetId="4" hidden="1">{"fdsup://IBCentral/FAT Viewer?action=UPDATE&amp;creator=factset&amp;DOC_NAME=fat:reuters_ltm_source_window.fat&amp;display_string=Audit&amp;DYN_ARGS=TRUE&amp;VAR:ID1=EXBD&amp;VAR:RCODE=FDSREVSTOTAL&amp;VAR:SDATE=20090399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0__FDSAUDITLINK__" hidden="1">{"fdsup://IBCentral/FAT Viewer?action=UPDATE&amp;creator=factset&amp;DOC_NAME=fat:reuters_ltm_source_window.fat&amp;display_string=Audit&amp;DYN_ARGS=TRUE&amp;VAR:ID1=EXBD&amp;VAR:RCODE=FDSREVSTOTAL&amp;VAR:SDATE=20090399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1__123Graph_CChart_1Y" localSheetId="0" hidden="1">#REF!</definedName>
    <definedName name="_271__123Graph_CChart_1Y" hidden="1">#REF!</definedName>
    <definedName name="_271__FDSAUDITLINK__" localSheetId="5" hidden="1">{"fdsup://IBCentral/FAT Viewer?action=UPDATE&amp;creator=factset&amp;DOC_NAME=fat:reuters_ltm_source_window.fat&amp;display_string=Audit&amp;DYN_ARGS=TRUE&amp;VAR:ID1=AIR&amp;VAR:RCODE=FDSREVSTOTAL&amp;VAR:SDATE=20090299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1__FDSAUDITLINK__" localSheetId="0" hidden="1">{"fdsup://IBCentral/FAT Viewer?action=UPDATE&amp;creator=factset&amp;DOC_NAME=fat:reuters_ltm_source_window.fat&amp;display_string=Audit&amp;DYN_ARGS=TRUE&amp;VAR:ID1=AIR&amp;VAR:RCODE=FDSREVSTOTAL&amp;VAR:SDATE=20090299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1__FDSAUDITLINK__" localSheetId="4" hidden="1">{"fdsup://IBCentral/FAT Viewer?action=UPDATE&amp;creator=factset&amp;DOC_NAME=fat:reuters_ltm_source_window.fat&amp;display_string=Audit&amp;DYN_ARGS=TRUE&amp;VAR:ID1=AIR&amp;VAR:RCODE=FDSREVSTOTAL&amp;VAR:SDATE=20090299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1__FDSAUDITLINK__" hidden="1">{"fdsup://IBCentral/FAT Viewer?action=UPDATE&amp;creator=factset&amp;DOC_NAME=fat:reuters_ltm_source_window.fat&amp;display_string=Audit&amp;DYN_ARGS=TRUE&amp;VAR:ID1=AIR&amp;VAR:RCODE=FDSREVSTOTAL&amp;VAR:SDATE=20090299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2__FDSAUDITLINK__" localSheetId="5" hidden="1">{"fdsup://IBCentral/FAT Viewer?action=UPDATE&amp;creator=factset&amp;DOC_NAME=fat:reuters_ltm_source_window.fat&amp;display_string=Audit&amp;DYN_ARGS=TRUE&amp;VAR:ID1=IIVI&amp;VAR:RCODE=FDSREVSTOTAL&amp;VAR:SDATE=20090399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2__FDSAUDITLINK__" localSheetId="0" hidden="1">{"fdsup://IBCentral/FAT Viewer?action=UPDATE&amp;creator=factset&amp;DOC_NAME=fat:reuters_ltm_source_window.fat&amp;display_string=Audit&amp;DYN_ARGS=TRUE&amp;VAR:ID1=IIVI&amp;VAR:RCODE=FDSREVSTOTAL&amp;VAR:SDATE=20090399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2__FDSAUDITLINK__" localSheetId="4" hidden="1">{"fdsup://IBCentral/FAT Viewer?action=UPDATE&amp;creator=factset&amp;DOC_NAME=fat:reuters_ltm_source_window.fat&amp;display_string=Audit&amp;DYN_ARGS=TRUE&amp;VAR:ID1=IIVI&amp;VAR:RCODE=FDSREVSTOTAL&amp;VAR:SDATE=20090399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2__FDSAUDITLINK__" hidden="1">{"fdsup://IBCentral/FAT Viewer?action=UPDATE&amp;creator=factset&amp;DOC_NAME=fat:reuters_ltm_source_window.fat&amp;display_string=Audit&amp;DYN_ARGS=TRUE&amp;VAR:ID1=IIVI&amp;VAR:RCODE=FDSREVSTOTAL&amp;VAR:SDATE=20090399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3__123Graph_CChart_2A" localSheetId="0" hidden="1">#REF!</definedName>
    <definedName name="_273__123Graph_CChart_2A" hidden="1">#REF!</definedName>
    <definedName name="_273__FDSAUDITLINK__" localSheetId="5" hidden="1">{"fdsup://IBCentral/FAT Viewer?action=UPDATE&amp;creator=factset&amp;DOC_NAME=fat:reuters_ltm_source_window.fat&amp;display_string=Audit&amp;DYN_ARGS=TRUE&amp;VAR:ID1=CRDN&amp;VAR:RCODE=FDSREVSTOTAL&amp;VAR:SDATE=20090399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3__FDSAUDITLINK__" localSheetId="0" hidden="1">{"fdsup://IBCentral/FAT Viewer?action=UPDATE&amp;creator=factset&amp;DOC_NAME=fat:reuters_ltm_source_window.fat&amp;display_string=Audit&amp;DYN_ARGS=TRUE&amp;VAR:ID1=CRDN&amp;VAR:RCODE=FDSREVSTOTAL&amp;VAR:SDATE=20090399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3__FDSAUDITLINK__" localSheetId="4" hidden="1">{"fdsup://IBCentral/FAT Viewer?action=UPDATE&amp;creator=factset&amp;DOC_NAME=fat:reuters_ltm_source_window.fat&amp;display_string=Audit&amp;DYN_ARGS=TRUE&amp;VAR:ID1=CRDN&amp;VAR:RCODE=FDSREVSTOTAL&amp;VAR:SDATE=20090399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3__FDSAUDITLINK__" hidden="1">{"fdsup://IBCentral/FAT Viewer?action=UPDATE&amp;creator=factset&amp;DOC_NAME=fat:reuters_ltm_source_window.fat&amp;display_string=Audit&amp;DYN_ARGS=TRUE&amp;VAR:ID1=CRDN&amp;VAR:RCODE=FDSREVSTOTAL&amp;VAR:SDATE=20090399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4__FDSAUDITLINK__" localSheetId="5" hidden="1">{"fdsup://IBCentral/FAT Viewer?action=UPDATE&amp;creator=factset&amp;DOC_NAME=fat:reuters_ltm_source_window.fat&amp;display_string=Audit&amp;DYN_ARGS=TRUE&amp;VAR:ID1=UFPI&amp;VAR:RCODE=FDSREVSTOTAL&amp;VAR:SDATE=20090399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4__FDSAUDITLINK__" localSheetId="0" hidden="1">{"fdsup://IBCentral/FAT Viewer?action=UPDATE&amp;creator=factset&amp;DOC_NAME=fat:reuters_ltm_source_window.fat&amp;display_string=Audit&amp;DYN_ARGS=TRUE&amp;VAR:ID1=UFPI&amp;VAR:RCODE=FDSREVSTOTAL&amp;VAR:SDATE=20090399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4__FDSAUDITLINK__" localSheetId="4" hidden="1">{"fdsup://IBCentral/FAT Viewer?action=UPDATE&amp;creator=factset&amp;DOC_NAME=fat:reuters_ltm_source_window.fat&amp;display_string=Audit&amp;DYN_ARGS=TRUE&amp;VAR:ID1=UFPI&amp;VAR:RCODE=FDSREVSTOTAL&amp;VAR:SDATE=20090399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4__FDSAUDITLINK__" hidden="1">{"fdsup://IBCentral/FAT Viewer?action=UPDATE&amp;creator=factset&amp;DOC_NAME=fat:reuters_ltm_source_window.fat&amp;display_string=Audit&amp;DYN_ARGS=TRUE&amp;VAR:ID1=UFPI&amp;VAR:RCODE=FDSREVSTOTAL&amp;VAR:SDATE=20090399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5__123Graph_CChart_2AE" localSheetId="0" hidden="1">#REF!</definedName>
    <definedName name="_275__123Graph_CChart_2AE" hidden="1">#REF!</definedName>
    <definedName name="_275__FDSAUDITLINK__" localSheetId="5" hidden="1">{"fdsup://IBCentral/FAT Viewer?action=UPDATE&amp;creator=factset&amp;DOC_NAME=fat:reuters_ltm_source_window.fat&amp;display_string=Audit&amp;DYN_ARGS=TRUE&amp;VAR:ID1=ASF&amp;VAR:RCODE=FDSREVSTOTAL&amp;VAR:SDATE=20090399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5__FDSAUDITLINK__" localSheetId="0" hidden="1">{"fdsup://IBCentral/FAT Viewer?action=UPDATE&amp;creator=factset&amp;DOC_NAME=fat:reuters_ltm_source_window.fat&amp;display_string=Audit&amp;DYN_ARGS=TRUE&amp;VAR:ID1=ASF&amp;VAR:RCODE=FDSREVSTOTAL&amp;VAR:SDATE=20090399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5__FDSAUDITLINK__" localSheetId="4" hidden="1">{"fdsup://IBCentral/FAT Viewer?action=UPDATE&amp;creator=factset&amp;DOC_NAME=fat:reuters_ltm_source_window.fat&amp;display_string=Audit&amp;DYN_ARGS=TRUE&amp;VAR:ID1=ASF&amp;VAR:RCODE=FDSREVSTOTAL&amp;VAR:SDATE=20090399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5__FDSAUDITLINK__" hidden="1">{"fdsup://IBCentral/FAT Viewer?action=UPDATE&amp;creator=factset&amp;DOC_NAME=fat:reuters_ltm_source_window.fat&amp;display_string=Audit&amp;DYN_ARGS=TRUE&amp;VAR:ID1=ASF&amp;VAR:RCODE=FDSREVSTOTAL&amp;VAR:SDATE=20090399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6__FDSAUDITLINK__" localSheetId="5" hidden="1">{"fdsup://IBCentral/FAT Viewer?action=UPDATE&amp;creator=factset&amp;DOC_NAME=fat:reuters_ltm_source_window.fat&amp;display_string=Audit&amp;DYN_ARGS=TRUE&amp;VAR:ID1=ABFS&amp;VAR:RCODE=FDSREVSTOTAL&amp;VAR:SDATE=20090399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6__FDSAUDITLINK__" localSheetId="0" hidden="1">{"fdsup://IBCentral/FAT Viewer?action=UPDATE&amp;creator=factset&amp;DOC_NAME=fat:reuters_ltm_source_window.fat&amp;display_string=Audit&amp;DYN_ARGS=TRUE&amp;VAR:ID1=ABFS&amp;VAR:RCODE=FDSREVSTOTAL&amp;VAR:SDATE=20090399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6__FDSAUDITLINK__" localSheetId="4" hidden="1">{"fdsup://IBCentral/FAT Viewer?action=UPDATE&amp;creator=factset&amp;DOC_NAME=fat:reuters_ltm_source_window.fat&amp;display_string=Audit&amp;DYN_ARGS=TRUE&amp;VAR:ID1=ABFS&amp;VAR:RCODE=FDSREVSTOTAL&amp;VAR:SDATE=20090399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6__FDSAUDITLINK__" hidden="1">{"fdsup://IBCentral/FAT Viewer?action=UPDATE&amp;creator=factset&amp;DOC_NAME=fat:reuters_ltm_source_window.fat&amp;display_string=Audit&amp;DYN_ARGS=TRUE&amp;VAR:ID1=ABFS&amp;VAR:RCODE=FDSREVSTOTAL&amp;VAR:SDATE=20090399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77__123Graph_CChart_3B" localSheetId="0" hidden="1">#REF!</definedName>
    <definedName name="_277__123Graph_CChart_3B" hidden="1">#REF!</definedName>
    <definedName name="_277__FDSAUDITLINK__" localSheetId="5" hidden="1">{"fdsup://IBCentral/FAT Viewer?action=UPDATE&amp;creator=factset&amp;DOC_NAME=fat:reuters_ltm_source_window.fat&amp;display_string=Audit&amp;DYN_ARGS=TRUE&amp;VAR:ID1=DLX&amp;VAR:RCODE=FDSREVSTOTAL&amp;VAR:SDATE=20090399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7__FDSAUDITLINK__" localSheetId="0" hidden="1">{"fdsup://IBCentral/FAT Viewer?action=UPDATE&amp;creator=factset&amp;DOC_NAME=fat:reuters_ltm_source_window.fat&amp;display_string=Audit&amp;DYN_ARGS=TRUE&amp;VAR:ID1=DLX&amp;VAR:RCODE=FDSREVSTOTAL&amp;VAR:SDATE=20090399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7__FDSAUDITLINK__" localSheetId="4" hidden="1">{"fdsup://IBCentral/FAT Viewer?action=UPDATE&amp;creator=factset&amp;DOC_NAME=fat:reuters_ltm_source_window.fat&amp;display_string=Audit&amp;DYN_ARGS=TRUE&amp;VAR:ID1=DLX&amp;VAR:RCODE=FDSREVSTOTAL&amp;VAR:SDATE=20090399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7__FDSAUDITLINK__" hidden="1">{"fdsup://IBCentral/FAT Viewer?action=UPDATE&amp;creator=factset&amp;DOC_NAME=fat:reuters_ltm_source_window.fat&amp;display_string=Audit&amp;DYN_ARGS=TRUE&amp;VAR:ID1=DLX&amp;VAR:RCODE=FDSREVSTOTAL&amp;VAR:SDATE=20090399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8__FDSAUDITLINK__" localSheetId="5" hidden="1">{"fdsup://IBCentral/FAT Viewer?action=UPDATE&amp;creator=factset&amp;DOC_NAME=fat:reuters_ltm_source_window.fat&amp;display_string=Audit&amp;DYN_ARGS=TRUE&amp;VAR:ID1=OSK&amp;VAR:RCODE=FDSREVSTOTAL&amp;VAR:SDATE=20090399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8__FDSAUDITLINK__" localSheetId="0" hidden="1">{"fdsup://IBCentral/FAT Viewer?action=UPDATE&amp;creator=factset&amp;DOC_NAME=fat:reuters_ltm_source_window.fat&amp;display_string=Audit&amp;DYN_ARGS=TRUE&amp;VAR:ID1=OSK&amp;VAR:RCODE=FDSREVSTOTAL&amp;VAR:SDATE=20090399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8__FDSAUDITLINK__" localSheetId="4" hidden="1">{"fdsup://IBCentral/FAT Viewer?action=UPDATE&amp;creator=factset&amp;DOC_NAME=fat:reuters_ltm_source_window.fat&amp;display_string=Audit&amp;DYN_ARGS=TRUE&amp;VAR:ID1=OSK&amp;VAR:RCODE=FDSREVSTOTAL&amp;VAR:SDATE=20090399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8__FDSAUDITLINK__" hidden="1">{"fdsup://IBCentral/FAT Viewer?action=UPDATE&amp;creator=factset&amp;DOC_NAME=fat:reuters_ltm_source_window.fat&amp;display_string=Audit&amp;DYN_ARGS=TRUE&amp;VAR:ID1=OSK&amp;VAR:RCODE=FDSREVSTOTAL&amp;VAR:SDATE=20090399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9__123Graph_CChart_9C" localSheetId="0" hidden="1">#REF!</definedName>
    <definedName name="_279__123Graph_CChart_9C" hidden="1">#REF!</definedName>
    <definedName name="_279__FDSAUDITLINK__" localSheetId="5" hidden="1">{"fdsup://IBCentral/FAT Viewer?action=UPDATE&amp;creator=factset&amp;DOC_NAME=fat:reuters_ltm_source_window.fat&amp;display_string=Audit&amp;DYN_ARGS=TRUE&amp;VAR:ID1=MPS&amp;VAR:RCODE=FDSREVSTOTAL&amp;VAR:SDATE=20090399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9__FDSAUDITLINK__" localSheetId="0" hidden="1">{"fdsup://IBCentral/FAT Viewer?action=UPDATE&amp;creator=factset&amp;DOC_NAME=fat:reuters_ltm_source_window.fat&amp;display_string=Audit&amp;DYN_ARGS=TRUE&amp;VAR:ID1=MPS&amp;VAR:RCODE=FDSREVSTOTAL&amp;VAR:SDATE=20090399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9__FDSAUDITLINK__" localSheetId="4" hidden="1">{"fdsup://IBCentral/FAT Viewer?action=UPDATE&amp;creator=factset&amp;DOC_NAME=fat:reuters_ltm_source_window.fat&amp;display_string=Audit&amp;DYN_ARGS=TRUE&amp;VAR:ID1=MPS&amp;VAR:RCODE=FDSREVSTOTAL&amp;VAR:SDATE=20090399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79__FDSAUDITLINK__" hidden="1">{"fdsup://IBCentral/FAT Viewer?action=UPDATE&amp;creator=factset&amp;DOC_NAME=fat:reuters_ltm_source_window.fat&amp;display_string=Audit&amp;DYN_ARGS=TRUE&amp;VAR:ID1=MPS&amp;VAR:RCODE=FDSREVSTOTAL&amp;VAR:SDATE=20090399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__FDSAUDITLINK__" localSheetId="5" hidden="1">{"fdsup://IBCentral/FAT Viewer?action=UPDATE&amp;creator=factset&amp;DOC_NAME=fat:reuters_ltm_source_window.fat&amp;display_string=Audit&amp;DYN_ARGS=TRUE&amp;VAR:ID1=KMT&amp;VAR:RCODE=FIBCEBITDA&amp;VAR:SDATE=20090399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8__FDSAUDITLINK__" localSheetId="0" hidden="1">{"fdsup://IBCentral/FAT Viewer?action=UPDATE&amp;creator=factset&amp;DOC_NAME=fat:reuters_ltm_source_window.fat&amp;display_string=Audit&amp;DYN_ARGS=TRUE&amp;VAR:ID1=KMT&amp;VAR:RCODE=FIBCEBITDA&amp;VAR:SDATE=20090399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8__FDSAUDITLINK__" localSheetId="4" hidden="1">{"fdsup://IBCentral/FAT Viewer?action=UPDATE&amp;creator=factset&amp;DOC_NAME=fat:reuters_ltm_source_window.fat&amp;display_string=Audit&amp;DYN_ARGS=TRUE&amp;VAR:ID1=KMT&amp;VAR:RCODE=FIBCEBITDA&amp;VAR:SDATE=20090399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8__FDSAUDITLINK__" hidden="1">{"fdsup://IBCentral/FAT Viewer?action=UPDATE&amp;creator=factset&amp;DOC_NAME=fat:reuters_ltm_source_window.fat&amp;display_string=Audit&amp;DYN_ARGS=TRUE&amp;VAR:ID1=KMT&amp;VAR:RCODE=FIBCEBITDA&amp;VAR:SDATE=20090399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8_0FAMERangeDJ_BALA" localSheetId="0">#REF!</definedName>
    <definedName name="_28_0FAMERangeDJ_BALA">#REF!</definedName>
    <definedName name="_280__FDSAUDITLINK__" localSheetId="5" hidden="1">{"fdsup://IBCentral/FAT Viewer?action=UPDATE&amp;creator=factset&amp;DOC_NAME=fat:reuters_ltm_source_window.fat&amp;display_string=Audit&amp;DYN_ARGS=TRUE&amp;VAR:ID1=RBN&amp;VAR:RCODE=FDSREVSTOTAL&amp;VAR:SDATE=20090299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0__FDSAUDITLINK__" localSheetId="0" hidden="1">{"fdsup://IBCentral/FAT Viewer?action=UPDATE&amp;creator=factset&amp;DOC_NAME=fat:reuters_ltm_source_window.fat&amp;display_string=Audit&amp;DYN_ARGS=TRUE&amp;VAR:ID1=RBN&amp;VAR:RCODE=FDSREVSTOTAL&amp;VAR:SDATE=20090299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0__FDSAUDITLINK__" localSheetId="4" hidden="1">{"fdsup://IBCentral/FAT Viewer?action=UPDATE&amp;creator=factset&amp;DOC_NAME=fat:reuters_ltm_source_window.fat&amp;display_string=Audit&amp;DYN_ARGS=TRUE&amp;VAR:ID1=RBN&amp;VAR:RCODE=FDSREVSTOTAL&amp;VAR:SDATE=20090299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0__FDSAUDITLINK__" hidden="1">{"fdsup://IBCentral/FAT Viewer?action=UPDATE&amp;creator=factset&amp;DOC_NAME=fat:reuters_ltm_source_window.fat&amp;display_string=Audit&amp;DYN_ARGS=TRUE&amp;VAR:ID1=RBN&amp;VAR:RCODE=FDSREVSTOTAL&amp;VAR:SDATE=20090299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1__123Graph_DChart_1AB" localSheetId="0" hidden="1">#REF!</definedName>
    <definedName name="_281__123Graph_DChart_1AB" hidden="1">#REF!</definedName>
    <definedName name="_281__FDSAUDITLINK__" localSheetId="5" hidden="1">{"fdsup://IBCentral/FAT Viewer?action=UPDATE&amp;creator=factset&amp;DOC_NAME=fat:reuters_ltm_source_window.fat&amp;display_string=Audit&amp;DYN_ARGS=TRUE&amp;VAR:ID1=MLHR&amp;VAR:RCODE=FDSREVSTOTAL&amp;VAR:SDATE=20090299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81__FDSAUDITLINK__" localSheetId="0" hidden="1">{"fdsup://IBCentral/FAT Viewer?action=UPDATE&amp;creator=factset&amp;DOC_NAME=fat:reuters_ltm_source_window.fat&amp;display_string=Audit&amp;DYN_ARGS=TRUE&amp;VAR:ID1=MLHR&amp;VAR:RCODE=FDSREVSTOTAL&amp;VAR:SDATE=20090299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81__FDSAUDITLINK__" localSheetId="4" hidden="1">{"fdsup://IBCentral/FAT Viewer?action=UPDATE&amp;creator=factset&amp;DOC_NAME=fat:reuters_ltm_source_window.fat&amp;display_string=Audit&amp;DYN_ARGS=TRUE&amp;VAR:ID1=MLHR&amp;VAR:RCODE=FDSREVSTOTAL&amp;VAR:SDATE=20090299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81__FDSAUDITLINK__" hidden="1">{"fdsup://IBCentral/FAT Viewer?action=UPDATE&amp;creator=factset&amp;DOC_NAME=fat:reuters_ltm_source_window.fat&amp;display_string=Audit&amp;DYN_ARGS=TRUE&amp;VAR:ID1=MLHR&amp;VAR:RCODE=FDSREVSTOTAL&amp;VAR:SDATE=20090299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82__FDSAUDITLINK__" localSheetId="5" hidden="1">{"fdsup://IBCentral/FAT Viewer?action=UPDATE&amp;creator=factset&amp;DOC_NAME=fat:reuters_annual_source_window.fat&amp;display_string=Audit&amp;DYN_ARGS=TRUE&amp;VAR:ID1=85453210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82__FDSAUDITLINK__" localSheetId="0" hidden="1">{"fdsup://IBCentral/FAT Viewer?action=UPDATE&amp;creator=factset&amp;DOC_NAME=fat:reuters_annual_source_window.fat&amp;display_string=Audit&amp;DYN_ARGS=TRUE&amp;VAR:ID1=85453210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82__FDSAUDITLINK__" localSheetId="4" hidden="1">{"fdsup://IBCentral/FAT Viewer?action=UPDATE&amp;creator=factset&amp;DOC_NAME=fat:reuters_annual_source_window.fat&amp;display_string=Audit&amp;DYN_ARGS=TRUE&amp;VAR:ID1=85453210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annual_source_window.fat&amp;display_string=Audit&amp;DYN_ARGS=TRUE&amp;VAR:ID1=85453210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83__123Graph_DChart_1AM" localSheetId="0" hidden="1">#REF!</definedName>
    <definedName name="_283__123Graph_DChart_1AM" hidden="1">#REF!</definedName>
    <definedName name="_283__FDSAUDITLINK__" localSheetId="5" hidden="1">{"fdsup://IBCentral/FAT Viewer?action=UPDATE&amp;creator=factset&amp;DOC_NAME=fat:reuters_ltm_source_window.fat&amp;display_string=Audit&amp;DYN_ARGS=TRUE&amp;VAR:ID1=TG&amp;VAR:RCODE=FDSREVSTOTAL&amp;VAR:SDATE=20090399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83__FDSAUDITLINK__" localSheetId="0" hidden="1">{"fdsup://IBCentral/FAT Viewer?action=UPDATE&amp;creator=factset&amp;DOC_NAME=fat:reuters_ltm_source_window.fat&amp;display_string=Audit&amp;DYN_ARGS=TRUE&amp;VAR:ID1=TG&amp;VAR:RCODE=FDSREVSTOTAL&amp;VAR:SDATE=20090399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83__FDSAUDITLINK__" localSheetId="4" hidden="1">{"fdsup://IBCentral/FAT Viewer?action=UPDATE&amp;creator=factset&amp;DOC_NAME=fat:reuters_ltm_source_window.fat&amp;display_string=Audit&amp;DYN_ARGS=TRUE&amp;VAR:ID1=TG&amp;VAR:RCODE=FDSREVSTOTAL&amp;VAR:SDATE=20090399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83__FDSAUDITLINK__" hidden="1">{"fdsup://IBCentral/FAT Viewer?action=UPDATE&amp;creator=factset&amp;DOC_NAME=fat:reuters_ltm_source_window.fat&amp;display_string=Audit&amp;DYN_ARGS=TRUE&amp;VAR:ID1=TG&amp;VAR:RCODE=FDSREVSTOTAL&amp;VAR:SDATE=20090399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284__FDSAUDITLINK__" localSheetId="5" hidden="1">{"fdsup://IBCentral/FAT Viewer?action=UPDATE&amp;creator=factset&amp;DOC_NAME=fat:reuters_ltm_source_window.fat&amp;display_string=Audit&amp;DYN_ARGS=TRUE&amp;VAR:ID1=ASTE&amp;VAR:RCODE=FDSREVSTOTAL&amp;VAR:SDATE=20090399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84__FDSAUDITLINK__" localSheetId="0" hidden="1">{"fdsup://IBCentral/FAT Viewer?action=UPDATE&amp;creator=factset&amp;DOC_NAME=fat:reuters_ltm_source_window.fat&amp;display_string=Audit&amp;DYN_ARGS=TRUE&amp;VAR:ID1=ASTE&amp;VAR:RCODE=FDSREVSTOTAL&amp;VAR:SDATE=20090399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84__FDSAUDITLINK__" localSheetId="4" hidden="1">{"fdsup://IBCentral/FAT Viewer?action=UPDATE&amp;creator=factset&amp;DOC_NAME=fat:reuters_ltm_source_window.fat&amp;display_string=Audit&amp;DYN_ARGS=TRUE&amp;VAR:ID1=ASTE&amp;VAR:RCODE=FDSREVSTOTAL&amp;VAR:SDATE=20090399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84__FDSAUDITLINK__" hidden="1">{"fdsup://IBCentral/FAT Viewer?action=UPDATE&amp;creator=factset&amp;DOC_NAME=fat:reuters_ltm_source_window.fat&amp;display_string=Audit&amp;DYN_ARGS=TRUE&amp;VAR:ID1=ASTE&amp;VAR:RCODE=FDSREVSTOTAL&amp;VAR:SDATE=20090399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85__123Graph_DChart_1B" localSheetId="0" hidden="1">#REF!</definedName>
    <definedName name="_285__123Graph_DChart_1B" hidden="1">#REF!</definedName>
    <definedName name="_285__FDSAUDITLINK__" localSheetId="5" hidden="1">{"fdsup://IBCentral/FAT Viewer?action=UPDATE&amp;creator=factset&amp;DOC_NAME=fat:reuters_ltm_source_window.fat&amp;display_string=Audit&amp;DYN_ARGS=TRUE&amp;VAR:ID1=MTW&amp;VAR:RCODE=FDSREVSTOTAL&amp;VAR:SDATE=20090399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5__FDSAUDITLINK__" localSheetId="0" hidden="1">{"fdsup://IBCentral/FAT Viewer?action=UPDATE&amp;creator=factset&amp;DOC_NAME=fat:reuters_ltm_source_window.fat&amp;display_string=Audit&amp;DYN_ARGS=TRUE&amp;VAR:ID1=MTW&amp;VAR:RCODE=FDSREVSTOTAL&amp;VAR:SDATE=20090399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5__FDSAUDITLINK__" localSheetId="4" hidden="1">{"fdsup://IBCentral/FAT Viewer?action=UPDATE&amp;creator=factset&amp;DOC_NAME=fat:reuters_ltm_source_window.fat&amp;display_string=Audit&amp;DYN_ARGS=TRUE&amp;VAR:ID1=MTW&amp;VAR:RCODE=FDSREVSTOTAL&amp;VAR:SDATE=20090399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5__FDSAUDITLINK__" hidden="1">{"fdsup://IBCentral/FAT Viewer?action=UPDATE&amp;creator=factset&amp;DOC_NAME=fat:reuters_ltm_source_window.fat&amp;display_string=Audit&amp;DYN_ARGS=TRUE&amp;VAR:ID1=MTW&amp;VAR:RCODE=FDSREVSTOTAL&amp;VAR:SDATE=20090399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6__FDSAUDITLINK__" localSheetId="5" hidden="1">{"fdsup://IBCentral/FAT Viewer?action=UPDATE&amp;creator=factset&amp;DOC_NAME=fat:reuters_ltm_source_window.fat&amp;display_string=Audit&amp;DYN_ARGS=TRUE&amp;VAR:ID1=B&amp;VAR:RCODE=FDSREVSTOTAL&amp;VAR:SDATE=20090399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86__FDSAUDITLINK__" localSheetId="0" hidden="1">{"fdsup://IBCentral/FAT Viewer?action=UPDATE&amp;creator=factset&amp;DOC_NAME=fat:reuters_ltm_source_window.fat&amp;display_string=Audit&amp;DYN_ARGS=TRUE&amp;VAR:ID1=B&amp;VAR:RCODE=FDSREVSTOTAL&amp;VAR:SDATE=20090399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86__FDSAUDITLINK__" localSheetId="4" hidden="1">{"fdsup://IBCentral/FAT Viewer?action=UPDATE&amp;creator=factset&amp;DOC_NAME=fat:reuters_ltm_source_window.fat&amp;display_string=Audit&amp;DYN_ARGS=TRUE&amp;VAR:ID1=B&amp;VAR:RCODE=FDSREVSTOTAL&amp;VAR:SDATE=20090399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86__FDSAUDITLINK__" hidden="1">{"fdsup://IBCentral/FAT Viewer?action=UPDATE&amp;creator=factset&amp;DOC_NAME=fat:reuters_ltm_source_window.fat&amp;display_string=Audit&amp;DYN_ARGS=TRUE&amp;VAR:ID1=B&amp;VAR:RCODE=FDSREVSTOTAL&amp;VAR:SDATE=20090399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87__123Graph_DChart_1C" localSheetId="0" hidden="1">#REF!</definedName>
    <definedName name="_287__123Graph_DChart_1C" hidden="1">#REF!</definedName>
    <definedName name="_287__FDSAUDITLINK__" localSheetId="5" hidden="1">{"fdsup://IBCentral/FAT Viewer?action=UPDATE&amp;creator=factset&amp;DOC_NAME=fat:reuters_ltm_source_window.fat&amp;display_string=Audit&amp;DYN_ARGS=TRUE&amp;VAR:ID1=BDC&amp;VAR:RCODE=FDSREVSTOTAL&amp;VAR:SDATE=20090399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7__FDSAUDITLINK__" localSheetId="0" hidden="1">{"fdsup://IBCentral/FAT Viewer?action=UPDATE&amp;creator=factset&amp;DOC_NAME=fat:reuters_ltm_source_window.fat&amp;display_string=Audit&amp;DYN_ARGS=TRUE&amp;VAR:ID1=BDC&amp;VAR:RCODE=FDSREVSTOTAL&amp;VAR:SDATE=20090399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7__FDSAUDITLINK__" localSheetId="4" hidden="1">{"fdsup://IBCentral/FAT Viewer?action=UPDATE&amp;creator=factset&amp;DOC_NAME=fat:reuters_ltm_source_window.fat&amp;display_string=Audit&amp;DYN_ARGS=TRUE&amp;VAR:ID1=BDC&amp;VAR:RCODE=FDSREVSTOTAL&amp;VAR:SDATE=20090399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7__FDSAUDITLINK__" hidden="1">{"fdsup://IBCentral/FAT Viewer?action=UPDATE&amp;creator=factset&amp;DOC_NAME=fat:reuters_ltm_source_window.fat&amp;display_string=Audit&amp;DYN_ARGS=TRUE&amp;VAR:ID1=BDC&amp;VAR:RCODE=FDSREVSTOTAL&amp;VAR:SDATE=20090399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8__FDSAUDITLINK__" localSheetId="5" hidden="1">{"fdsup://IBCentral/FAT Viewer?action=UPDATE&amp;creator=factset&amp;DOC_NAME=fat:reuters_annual_source_window.fat&amp;display_string=Audit&amp;DYN_ARGS=TRUE&amp;VAR:ID1=89681810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88__FDSAUDITLINK__" localSheetId="0" hidden="1">{"fdsup://IBCentral/FAT Viewer?action=UPDATE&amp;creator=factset&amp;DOC_NAME=fat:reuters_annual_source_window.fat&amp;display_string=Audit&amp;DYN_ARGS=TRUE&amp;VAR:ID1=89681810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88__FDSAUDITLINK__" localSheetId="4" hidden="1">{"fdsup://IBCentral/FAT Viewer?action=UPDATE&amp;creator=factset&amp;DOC_NAME=fat:reuters_annual_source_window.fat&amp;display_string=Audit&amp;DYN_ARGS=TRUE&amp;VAR:ID1=89681810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annual_source_window.fat&amp;display_string=Audit&amp;DYN_ARGS=TRUE&amp;VAR:ID1=89681810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289__123Graph_DChart_1CE" localSheetId="0" hidden="1">#REF!</definedName>
    <definedName name="_289__123Graph_DChart_1CE" hidden="1">#REF!</definedName>
    <definedName name="_289__FDSAUDITLINK__" localSheetId="5" hidden="1">{"fdsup://IBCentral/FAT Viewer?action=UPDATE&amp;creator=factset&amp;DOC_NAME=fat:reuters_ltm_source_window.fat&amp;display_string=Audit&amp;DYN_ARGS=TRUE&amp;VAR:ID1=ESL&amp;VAR:RCODE=FDSREVSTOTAL&amp;VAR:SDATE=20090199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9__FDSAUDITLINK__" localSheetId="0" hidden="1">{"fdsup://IBCentral/FAT Viewer?action=UPDATE&amp;creator=factset&amp;DOC_NAME=fat:reuters_ltm_source_window.fat&amp;display_string=Audit&amp;DYN_ARGS=TRUE&amp;VAR:ID1=ESL&amp;VAR:RCODE=FDSREVSTOTAL&amp;VAR:SDATE=20090199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9__FDSAUDITLINK__" localSheetId="4" hidden="1">{"fdsup://IBCentral/FAT Viewer?action=UPDATE&amp;creator=factset&amp;DOC_NAME=fat:reuters_ltm_source_window.fat&amp;display_string=Audit&amp;DYN_ARGS=TRUE&amp;VAR:ID1=ESL&amp;VAR:RCODE=FDSREVSTOTAL&amp;VAR:SDATE=20090199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89__FDSAUDITLINK__" hidden="1">{"fdsup://IBCentral/FAT Viewer?action=UPDATE&amp;creator=factset&amp;DOC_NAME=fat:reuters_ltm_source_window.fat&amp;display_string=Audit&amp;DYN_ARGS=TRUE&amp;VAR:ID1=ESL&amp;VAR:RCODE=FDSREVSTOTAL&amp;VAR:SDATE=20090199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__123Graph_AChart_1AK" localSheetId="0" hidden="1">#REF!</definedName>
    <definedName name="_29__123Graph_AChart_1AK" hidden="1">#REF!</definedName>
    <definedName name="_29__FDSAUDITLINK__" localSheetId="5" hidden="1">{"fdsup://IBCentral/FAT Viewer?action=UPDATE&amp;creator=factset&amp;DOC_NAME=fat:reuters_ltm_source_window.fat&amp;display_string=Audit&amp;DYN_ARGS=TRUE&amp;VAR:ID1=KNX&amp;VAR:RCODE=FIBCEBITDA&amp;VAR:SDATE=20090399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9__FDSAUDITLINK__" localSheetId="0" hidden="1">{"fdsup://IBCentral/FAT Viewer?action=UPDATE&amp;creator=factset&amp;DOC_NAME=fat:reuters_ltm_source_window.fat&amp;display_string=Audit&amp;DYN_ARGS=TRUE&amp;VAR:ID1=KNX&amp;VAR:RCODE=FIBCEBITDA&amp;VAR:SDATE=20090399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9__FDSAUDITLINK__" localSheetId="4" hidden="1">{"fdsup://IBCentral/FAT Viewer?action=UPDATE&amp;creator=factset&amp;DOC_NAME=fat:reuters_ltm_source_window.fat&amp;display_string=Audit&amp;DYN_ARGS=TRUE&amp;VAR:ID1=KNX&amp;VAR:RCODE=FIBCEBITDA&amp;VAR:SDATE=20090399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9__FDSAUDITLINK__" hidden="1">{"fdsup://IBCentral/FAT Viewer?action=UPDATE&amp;creator=factset&amp;DOC_NAME=fat:reuters_ltm_source_window.fat&amp;display_string=Audit&amp;DYN_ARGS=TRUE&amp;VAR:ID1=KNX&amp;VAR:RCODE=FIBCEBITDA&amp;VAR:SDATE=20090399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29_0FAMERangeDJ_BALA" localSheetId="0">#REF!</definedName>
    <definedName name="_29_0FAMERangeDJ_BALA">#REF!</definedName>
    <definedName name="_290__FDSAUDITLINK__" localSheetId="5" hidden="1">{"fdsup://IBCentral/FAT Viewer?action=UPDATE&amp;creator=factset&amp;DOC_NAME=fat:reuters_ltm_source_window.fat&amp;display_string=Audit&amp;DYN_ARGS=TRUE&amp;VAR:ID1=ALK&amp;VAR:RCODE=FDSREVSTOTAL&amp;VAR:SDATE=20090399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0__FDSAUDITLINK__" localSheetId="0" hidden="1">{"fdsup://IBCentral/FAT Viewer?action=UPDATE&amp;creator=factset&amp;DOC_NAME=fat:reuters_ltm_source_window.fat&amp;display_string=Audit&amp;DYN_ARGS=TRUE&amp;VAR:ID1=ALK&amp;VAR:RCODE=FDSREVSTOTAL&amp;VAR:SDATE=20090399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0__FDSAUDITLINK__" localSheetId="4" hidden="1">{"fdsup://IBCentral/FAT Viewer?action=UPDATE&amp;creator=factset&amp;DOC_NAME=fat:reuters_ltm_source_window.fat&amp;display_string=Audit&amp;DYN_ARGS=TRUE&amp;VAR:ID1=ALK&amp;VAR:RCODE=FDSREVSTOTAL&amp;VAR:SDATE=20090399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0__FDSAUDITLINK__" hidden="1">{"fdsup://IBCentral/FAT Viewer?action=UPDATE&amp;creator=factset&amp;DOC_NAME=fat:reuters_ltm_source_window.fat&amp;display_string=Audit&amp;DYN_ARGS=TRUE&amp;VAR:ID1=ALK&amp;VAR:RCODE=FDSREVSTOTAL&amp;VAR:SDATE=20090399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1__123Graph_DChart_1D" localSheetId="0" hidden="1">#REF!</definedName>
    <definedName name="_291__123Graph_DChart_1D" hidden="1">#REF!</definedName>
    <definedName name="_291__FDSAUDITLINK__" localSheetId="5" hidden="1">{"fdsup://IBCentral/FAT Viewer?action=UPDATE&amp;creator=factset&amp;DOC_NAME=fat:reuters_ltm_source_window.fat&amp;display_string=Audit&amp;DYN_ARGS=TRUE&amp;VAR:ID1=NCI&amp;VAR:RCODE=FDSREVSTOTAL&amp;VAR:SDATE=20090399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1__FDSAUDITLINK__" localSheetId="0" hidden="1">{"fdsup://IBCentral/FAT Viewer?action=UPDATE&amp;creator=factset&amp;DOC_NAME=fat:reuters_ltm_source_window.fat&amp;display_string=Audit&amp;DYN_ARGS=TRUE&amp;VAR:ID1=NCI&amp;VAR:RCODE=FDSREVSTOTAL&amp;VAR:SDATE=20090399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1__FDSAUDITLINK__" localSheetId="4" hidden="1">{"fdsup://IBCentral/FAT Viewer?action=UPDATE&amp;creator=factset&amp;DOC_NAME=fat:reuters_ltm_source_window.fat&amp;display_string=Audit&amp;DYN_ARGS=TRUE&amp;VAR:ID1=NCI&amp;VAR:RCODE=FDSREVSTOTAL&amp;VAR:SDATE=20090399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1__FDSAUDITLINK__" hidden="1">{"fdsup://IBCentral/FAT Viewer?action=UPDATE&amp;creator=factset&amp;DOC_NAME=fat:reuters_ltm_source_window.fat&amp;display_string=Audit&amp;DYN_ARGS=TRUE&amp;VAR:ID1=NCI&amp;VAR:RCODE=FDSREVSTOTAL&amp;VAR:SDATE=20090399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2__FDSAUDITLINK__" localSheetId="5" hidden="1">{"fdsup://IBCentral/FAT Viewer?action=UPDATE&amp;creator=factset&amp;DOC_NAME=fat:reuters_ltm_source_window.fat&amp;display_string=Audit&amp;DYN_ARGS=TRUE&amp;VAR:ID1=USTR&amp;VAR:RCODE=FDSREVSTOTAL&amp;VAR:SDATE=20090399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2__FDSAUDITLINK__" localSheetId="0" hidden="1">{"fdsup://IBCentral/FAT Viewer?action=UPDATE&amp;creator=factset&amp;DOC_NAME=fat:reuters_ltm_source_window.fat&amp;display_string=Audit&amp;DYN_ARGS=TRUE&amp;VAR:ID1=USTR&amp;VAR:RCODE=FDSREVSTOTAL&amp;VAR:SDATE=20090399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2__FDSAUDITLINK__" localSheetId="4" hidden="1">{"fdsup://IBCentral/FAT Viewer?action=UPDATE&amp;creator=factset&amp;DOC_NAME=fat:reuters_ltm_source_window.fat&amp;display_string=Audit&amp;DYN_ARGS=TRUE&amp;VAR:ID1=USTR&amp;VAR:RCODE=FDSREVSTOTAL&amp;VAR:SDATE=20090399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Viewer?action=UPDATE&amp;creator=factset&amp;DOC_NAME=fat:reuters_ltm_source_window.fat&amp;display_string=Audit&amp;DYN_ARGS=TRUE&amp;VAR:ID1=USTR&amp;VAR:RCODE=FDSREVSTOTAL&amp;VAR:SDATE=20090399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3__123Graph_DChart_1E" localSheetId="0" hidden="1">#REF!</definedName>
    <definedName name="_293__123Graph_DChart_1E" hidden="1">#REF!</definedName>
    <definedName name="_293__FDSAUDITLINK__" localSheetId="5" hidden="1">{"fdsup://IBCentral/FAT Viewer?action=UPDATE&amp;creator=factset&amp;DOC_NAME=fat:reuters_ltm_source_window.fat&amp;display_string=Audit&amp;DYN_ARGS=TRUE&amp;VAR:ID1=SYKE&amp;VAR:RCODE=FDSREVSTOTAL&amp;VAR:SDATE=20090399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3__FDSAUDITLINK__" localSheetId="0" hidden="1">{"fdsup://IBCentral/FAT Viewer?action=UPDATE&amp;creator=factset&amp;DOC_NAME=fat:reuters_ltm_source_window.fat&amp;display_string=Audit&amp;DYN_ARGS=TRUE&amp;VAR:ID1=SYKE&amp;VAR:RCODE=FDSREVSTOTAL&amp;VAR:SDATE=20090399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3__FDSAUDITLINK__" localSheetId="4" hidden="1">{"fdsup://IBCentral/FAT Viewer?action=UPDATE&amp;creator=factset&amp;DOC_NAME=fat:reuters_ltm_source_window.fat&amp;display_string=Audit&amp;DYN_ARGS=TRUE&amp;VAR:ID1=SYKE&amp;VAR:RCODE=FDSREVSTOTAL&amp;VAR:SDATE=20090399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3__FDSAUDITLINK__" hidden="1">{"fdsup://IBCentral/FAT Viewer?action=UPDATE&amp;creator=factset&amp;DOC_NAME=fat:reuters_ltm_source_window.fat&amp;display_string=Audit&amp;DYN_ARGS=TRUE&amp;VAR:ID1=SYKE&amp;VAR:RCODE=FDSREVSTOTAL&amp;VAR:SDATE=20090399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4__FDSAUDITLINK__" localSheetId="5" hidden="1">{"fdsup://IBCentral/FAT Viewer?action=UPDATE&amp;creator=factset&amp;DOC_NAME=fat:reuters_ltm_source_window.fat&amp;display_string=Audit&amp;DYN_ARGS=TRUE&amp;VAR:ID1=WGOV&amp;VAR:RCODE=FDSREVSTOTAL&amp;VAR:SDATE=20090399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4__FDSAUDITLINK__" localSheetId="0" hidden="1">{"fdsup://IBCentral/FAT Viewer?action=UPDATE&amp;creator=factset&amp;DOC_NAME=fat:reuters_ltm_source_window.fat&amp;display_string=Audit&amp;DYN_ARGS=TRUE&amp;VAR:ID1=WGOV&amp;VAR:RCODE=FDSREVSTOTAL&amp;VAR:SDATE=20090399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4__FDSAUDITLINK__" localSheetId="4" hidden="1">{"fdsup://IBCentral/FAT Viewer?action=UPDATE&amp;creator=factset&amp;DOC_NAME=fat:reuters_ltm_source_window.fat&amp;display_string=Audit&amp;DYN_ARGS=TRUE&amp;VAR:ID1=WGOV&amp;VAR:RCODE=FDSREVSTOTAL&amp;VAR:SDATE=20090399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4__FDSAUDITLINK__" hidden="1">{"fdsup://IBCentral/FAT Viewer?action=UPDATE&amp;creator=factset&amp;DOC_NAME=fat:reuters_ltm_source_window.fat&amp;display_string=Audit&amp;DYN_ARGS=TRUE&amp;VAR:ID1=WGOV&amp;VAR:RCODE=FDSREVSTOTAL&amp;VAR:SDATE=20090399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5__123Graph_DChart_1H" localSheetId="0" hidden="1">#REF!</definedName>
    <definedName name="_295__123Graph_DChart_1H" hidden="1">#REF!</definedName>
    <definedName name="_295__FDSAUDITLINK__" localSheetId="5" hidden="1">{"fdsup://IBCentral/FAT Viewer?action=UPDATE&amp;creator=factset&amp;DOC_NAME=fat:reuters_ltm_source_window.fat&amp;display_string=Audit&amp;DYN_ARGS=TRUE&amp;VAR:ID1=HUBG&amp;VAR:RCODE=FDSREVSTOTAL&amp;VAR:SDATE=20090399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5__FDSAUDITLINK__" localSheetId="0" hidden="1">{"fdsup://IBCentral/FAT Viewer?action=UPDATE&amp;creator=factset&amp;DOC_NAME=fat:reuters_ltm_source_window.fat&amp;display_string=Audit&amp;DYN_ARGS=TRUE&amp;VAR:ID1=HUBG&amp;VAR:RCODE=FDSREVSTOTAL&amp;VAR:SDATE=20090399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5__FDSAUDITLINK__" localSheetId="4" hidden="1">{"fdsup://IBCentral/FAT Viewer?action=UPDATE&amp;creator=factset&amp;DOC_NAME=fat:reuters_ltm_source_window.fat&amp;display_string=Audit&amp;DYN_ARGS=TRUE&amp;VAR:ID1=HUBG&amp;VAR:RCODE=FDSREVSTOTAL&amp;VAR:SDATE=20090399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5__FDSAUDITLINK__" hidden="1">{"fdsup://IBCentral/FAT Viewer?action=UPDATE&amp;creator=factset&amp;DOC_NAME=fat:reuters_ltm_source_window.fat&amp;display_string=Audit&amp;DYN_ARGS=TRUE&amp;VAR:ID1=HUBG&amp;VAR:RCODE=FDSREVSTOTAL&amp;VAR:SDATE=20090399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6__FDSAUDITLINK__" localSheetId="5" hidden="1">{"fdsup://IBCentral/FAT Viewer?action=UPDATE&amp;creator=factset&amp;DOC_NAME=fat:reuters_ltm_source_window.fat&amp;display_string=Audit&amp;DYN_ARGS=TRUE&amp;VAR:ID1=HCSG&amp;VAR:RCODE=FDSREVSTOTAL&amp;VAR:SDATE=20090399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6__FDSAUDITLINK__" localSheetId="0" hidden="1">{"fdsup://IBCentral/FAT Viewer?action=UPDATE&amp;creator=factset&amp;DOC_NAME=fat:reuters_ltm_source_window.fat&amp;display_string=Audit&amp;DYN_ARGS=TRUE&amp;VAR:ID1=HCSG&amp;VAR:RCODE=FDSREVSTOTAL&amp;VAR:SDATE=20090399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6__FDSAUDITLINK__" localSheetId="4" hidden="1">{"fdsup://IBCentral/FAT Viewer?action=UPDATE&amp;creator=factset&amp;DOC_NAME=fat:reuters_ltm_source_window.fat&amp;display_string=Audit&amp;DYN_ARGS=TRUE&amp;VAR:ID1=HCSG&amp;VAR:RCODE=FDSREVSTOTAL&amp;VAR:SDATE=20090399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6__FDSAUDITLINK__" hidden="1">{"fdsup://IBCentral/FAT Viewer?action=UPDATE&amp;creator=factset&amp;DOC_NAME=fat:reuters_ltm_source_window.fat&amp;display_string=Audit&amp;DYN_ARGS=TRUE&amp;VAR:ID1=HCSG&amp;VAR:RCODE=FDSREVSTOTAL&amp;VAR:SDATE=20090399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7__123Graph_DChart_1I" localSheetId="0" hidden="1">#REF!</definedName>
    <definedName name="_297__123Graph_DChart_1I" hidden="1">#REF!</definedName>
    <definedName name="_297__FDSAUDITLINK__" localSheetId="5" hidden="1">{"fdsup://IBCentral/FAT Viewer?action=UPDATE&amp;creator=factset&amp;DOC_NAME=fat:reuters_ltm_source_window.fat&amp;display_string=Audit&amp;DYN_ARGS=TRUE&amp;VAR:ID1=SKYW&amp;VAR:RCODE=FDSREVSTOTAL&amp;VAR:SDATE=20090399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7__FDSAUDITLINK__" localSheetId="0" hidden="1">{"fdsup://IBCentral/FAT Viewer?action=UPDATE&amp;creator=factset&amp;DOC_NAME=fat:reuters_ltm_source_window.fat&amp;display_string=Audit&amp;DYN_ARGS=TRUE&amp;VAR:ID1=SKYW&amp;VAR:RCODE=FDSREVSTOTAL&amp;VAR:SDATE=20090399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7__FDSAUDITLINK__" localSheetId="4" hidden="1">{"fdsup://IBCentral/FAT Viewer?action=UPDATE&amp;creator=factset&amp;DOC_NAME=fat:reuters_ltm_source_window.fat&amp;display_string=Audit&amp;DYN_ARGS=TRUE&amp;VAR:ID1=SKYW&amp;VAR:RCODE=FDSREVSTOTAL&amp;VAR:SDATE=20090399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7__FDSAUDITLINK__" hidden="1">{"fdsup://IBCentral/FAT Viewer?action=UPDATE&amp;creator=factset&amp;DOC_NAME=fat:reuters_ltm_source_window.fat&amp;display_string=Audit&amp;DYN_ARGS=TRUE&amp;VAR:ID1=SKYW&amp;VAR:RCODE=FDSREVSTOTAL&amp;VAR:SDATE=20090399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298__FDSAUDITLINK__" localSheetId="5" hidden="1">{"fdsup://IBCentral/FAT Viewer?action=UPDATE&amp;creator=factset&amp;DOC_NAME=fat:reuters_ltm_source_window.fat&amp;display_string=Audit&amp;DYN_ARGS=TRUE&amp;VAR:ID1=WTS&amp;VAR:RCODE=FDSREVSTOTAL&amp;VAR:SDATE=20090399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8__FDSAUDITLINK__" localSheetId="0" hidden="1">{"fdsup://IBCentral/FAT Viewer?action=UPDATE&amp;creator=factset&amp;DOC_NAME=fat:reuters_ltm_source_window.fat&amp;display_string=Audit&amp;DYN_ARGS=TRUE&amp;VAR:ID1=WTS&amp;VAR:RCODE=FDSREVSTOTAL&amp;VAR:SDATE=20090399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8__FDSAUDITLINK__" localSheetId="4" hidden="1">{"fdsup://IBCentral/FAT Viewer?action=UPDATE&amp;creator=factset&amp;DOC_NAME=fat:reuters_ltm_source_window.fat&amp;display_string=Audit&amp;DYN_ARGS=TRUE&amp;VAR:ID1=WTS&amp;VAR:RCODE=FDSREVSTOTAL&amp;VAR:SDATE=20090399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8__FDSAUDITLINK__" hidden="1">{"fdsup://IBCentral/FAT Viewer?action=UPDATE&amp;creator=factset&amp;DOC_NAME=fat:reuters_ltm_source_window.fat&amp;display_string=Audit&amp;DYN_ARGS=TRUE&amp;VAR:ID1=WTS&amp;VAR:RCODE=FDSREVSTOTAL&amp;VAR:SDATE=20090399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9__123Graph_DChart_1J" localSheetId="0" hidden="1">#REF!</definedName>
    <definedName name="_299__123Graph_DChart_1J" hidden="1">#REF!</definedName>
    <definedName name="_299__FDSAUDITLINK__" localSheetId="5" hidden="1">{"fdsup://IBCentral/FAT Viewer?action=UPDATE&amp;creator=factset&amp;DOC_NAME=fat:reuters_ltm_source_window.fat&amp;display_string=Audit&amp;DYN_ARGS=TRUE&amp;VAR:ID1=BEZ&amp;VAR:RCODE=FDSREVSTOTAL&amp;VAR:SDATE=20090399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9__FDSAUDITLINK__" localSheetId="0" hidden="1">{"fdsup://IBCentral/FAT Viewer?action=UPDATE&amp;creator=factset&amp;DOC_NAME=fat:reuters_ltm_source_window.fat&amp;display_string=Audit&amp;DYN_ARGS=TRUE&amp;VAR:ID1=BEZ&amp;VAR:RCODE=FDSREVSTOTAL&amp;VAR:SDATE=20090399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9__FDSAUDITLINK__" localSheetId="4" hidden="1">{"fdsup://IBCentral/FAT Viewer?action=UPDATE&amp;creator=factset&amp;DOC_NAME=fat:reuters_ltm_source_window.fat&amp;display_string=Audit&amp;DYN_ARGS=TRUE&amp;VAR:ID1=BEZ&amp;VAR:RCODE=FDSREVSTOTAL&amp;VAR:SDATE=20090399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99__FDSAUDITLINK__" hidden="1">{"fdsup://IBCentral/FAT Viewer?action=UPDATE&amp;creator=factset&amp;DOC_NAME=fat:reuters_ltm_source_window.fat&amp;display_string=Audit&amp;DYN_ARGS=TRUE&amp;VAR:ID1=BEZ&amp;VAR:RCODE=FDSREVSTOTAL&amp;VAR:SDATE=20090399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2NOPAT_Sh" localSheetId="0">#REF!</definedName>
    <definedName name="_2NOPAT_Sh">#REF!</definedName>
    <definedName name="_2ÿ_0I" localSheetId="0">#REF!</definedName>
    <definedName name="_2ÿ_0I">#REF!</definedName>
    <definedName name="_2ÿ_0M" localSheetId="0">#REF!</definedName>
    <definedName name="_2ÿ_0M">#REF!</definedName>
    <definedName name="_3_.__Gross_inc_gro" localSheetId="0">#REF!</definedName>
    <definedName name="_3_.__Gross_inc_gro">#REF!</definedName>
    <definedName name="_3_._0Gross_inc_gro" localSheetId="0">#REF!</definedName>
    <definedName name="_3_._0Gross_inc_gro">#REF!</definedName>
    <definedName name="_3__FDSAUDITLINK__" localSheetId="5" hidden="1">{"fdsup://IBCentral/FAT Viewer?action=UPDATE&amp;creator=factset&amp;DOC_NAME=fat:reuters_ltm_source_window.fat&amp;display_string=Audit&amp;DYN_ARGS=TRUE&amp;VAR:ID1=UPS&amp;VAR:RCODE=FIBCEBITDA&amp;VAR:SDATE=20090399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__FDSAUDITLINK__" localSheetId="0" hidden="1">{"fdsup://IBCentral/FAT Viewer?action=UPDATE&amp;creator=factset&amp;DOC_NAME=fat:reuters_ltm_source_window.fat&amp;display_string=Audit&amp;DYN_ARGS=TRUE&amp;VAR:ID1=UPS&amp;VAR:RCODE=FIBCEBITDA&amp;VAR:SDATE=20090399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__FDSAUDITLINK__" localSheetId="4" hidden="1">{"fdsup://IBCentral/FAT Viewer?action=UPDATE&amp;creator=factset&amp;DOC_NAME=fat:reuters_ltm_source_window.fat&amp;display_string=Audit&amp;DYN_ARGS=TRUE&amp;VAR:ID1=UPS&amp;VAR:RCODE=FIBCEBITDA&amp;VAR:SDATE=20090399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__FDSAUDITLINK__" hidden="1">{"fdsup://IBCentral/FAT Viewer?action=UPDATE&amp;creator=factset&amp;DOC_NAME=fat:reuters_ltm_source_window.fat&amp;display_string=Audit&amp;DYN_ARGS=TRUE&amp;VAR:ID1=UPS&amp;VAR:RCODE=FIBCEBITDA&amp;VAR:SDATE=20090399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_0CumI" localSheetId="0">#REF!</definedName>
    <definedName name="_3_0CumI">#REF!</definedName>
    <definedName name="_30__FDSAUDITLINK__" localSheetId="5" hidden="1">{"fdsup://IBCentral/FAT Viewer?action=UPDATE&amp;creator=factset&amp;DOC_NAME=fat:reuters_ltm_source_window.fat&amp;display_string=Audit&amp;DYN_ARGS=TRUE&amp;VAR:ID1=CW&amp;VAR:RCODE=FIBCEBITDA&amp;VAR:SDATE=20090399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30__FDSAUDITLINK__" localSheetId="0" hidden="1">{"fdsup://IBCentral/FAT Viewer?action=UPDATE&amp;creator=factset&amp;DOC_NAME=fat:reuters_ltm_source_window.fat&amp;display_string=Audit&amp;DYN_ARGS=TRUE&amp;VAR:ID1=CW&amp;VAR:RCODE=FIBCEBITDA&amp;VAR:SDATE=20090399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30__FDSAUDITLINK__" localSheetId="4" hidden="1">{"fdsup://IBCentral/FAT Viewer?action=UPDATE&amp;creator=factset&amp;DOC_NAME=fat:reuters_ltm_source_window.fat&amp;display_string=Audit&amp;DYN_ARGS=TRUE&amp;VAR:ID1=CW&amp;VAR:RCODE=FIBCEBITDA&amp;VAR:SDATE=20090399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30__FDSAUDITLINK__" hidden="1">{"fdsup://IBCentral/FAT Viewer?action=UPDATE&amp;creator=factset&amp;DOC_NAME=fat:reuters_ltm_source_window.fat&amp;display_string=Audit&amp;DYN_ARGS=TRUE&amp;VAR:ID1=CW&amp;VAR:RCODE=FIBCEBITDA&amp;VAR:SDATE=20090399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30_0FAMERangeDJ_BALA" localSheetId="0">#REF!</definedName>
    <definedName name="_30_0FAMERangeDJ_BALA">#REF!</definedName>
    <definedName name="_300__FDSAUDITLINK__" localSheetId="5" hidden="1">{"fdsup://IBCentral/FAT Viewer?action=UPDATE&amp;creator=factset&amp;DOC_NAME=fat:reuters_ltm_source_window.fat&amp;display_string=Audit&amp;DYN_ARGS=TRUE&amp;VAR:ID1=ORB&amp;VAR:RCODE=FDSREVSTOTAL&amp;VAR:SDATE=20090399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0__FDSAUDITLINK__" localSheetId="0" hidden="1">{"fdsup://IBCentral/FAT Viewer?action=UPDATE&amp;creator=factset&amp;DOC_NAME=fat:reuters_ltm_source_window.fat&amp;display_string=Audit&amp;DYN_ARGS=TRUE&amp;VAR:ID1=ORB&amp;VAR:RCODE=FDSREVSTOTAL&amp;VAR:SDATE=20090399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0__FDSAUDITLINK__" localSheetId="4" hidden="1">{"fdsup://IBCentral/FAT Viewer?action=UPDATE&amp;creator=factset&amp;DOC_NAME=fat:reuters_ltm_source_window.fat&amp;display_string=Audit&amp;DYN_ARGS=TRUE&amp;VAR:ID1=ORB&amp;VAR:RCODE=FDSREVSTOTAL&amp;VAR:SDATE=20090399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0__FDSAUDITLINK__" hidden="1">{"fdsup://IBCentral/FAT Viewer?action=UPDATE&amp;creator=factset&amp;DOC_NAME=fat:reuters_ltm_source_window.fat&amp;display_string=Audit&amp;DYN_ARGS=TRUE&amp;VAR:ID1=ORB&amp;VAR:RCODE=FDSREVSTOTAL&amp;VAR:SDATE=20090399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1__123Graph_DChart_1K" localSheetId="0" hidden="1">#REF!</definedName>
    <definedName name="_301__123Graph_DChart_1K" hidden="1">#REF!</definedName>
    <definedName name="_301__FDSAUDITLINK__" localSheetId="5" hidden="1">{"fdsup://IBCentral/FAT Viewer?action=UPDATE&amp;creator=factset&amp;DOC_NAME=fat:reuters_ltm_source_window.fat&amp;display_string=Audit&amp;DYN_ARGS=TRUE&amp;VAR:ID1=MSA&amp;VAR:RCODE=FDSREVSTOTAL&amp;VAR:SDATE=20090399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1__FDSAUDITLINK__" localSheetId="0" hidden="1">{"fdsup://IBCentral/FAT Viewer?action=UPDATE&amp;creator=factset&amp;DOC_NAME=fat:reuters_ltm_source_window.fat&amp;display_string=Audit&amp;DYN_ARGS=TRUE&amp;VAR:ID1=MSA&amp;VAR:RCODE=FDSREVSTOTAL&amp;VAR:SDATE=20090399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1__FDSAUDITLINK__" localSheetId="4" hidden="1">{"fdsup://IBCentral/FAT Viewer?action=UPDATE&amp;creator=factset&amp;DOC_NAME=fat:reuters_ltm_source_window.fat&amp;display_string=Audit&amp;DYN_ARGS=TRUE&amp;VAR:ID1=MSA&amp;VAR:RCODE=FDSREVSTOTAL&amp;VAR:SDATE=20090399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1__FDSAUDITLINK__" hidden="1">{"fdsup://IBCentral/FAT Viewer?action=UPDATE&amp;creator=factset&amp;DOC_NAME=fat:reuters_ltm_source_window.fat&amp;display_string=Audit&amp;DYN_ARGS=TRUE&amp;VAR:ID1=MSA&amp;VAR:RCODE=FDSREVSTOTAL&amp;VAR:SDATE=20090399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2__FDSAUDITLINK__" localSheetId="5" hidden="1">{"fdsup://IBCentral/FAT Viewer?action=UPDATE&amp;creator=factset&amp;DOC_NAME=fat:reuters_ltm_source_window.fat&amp;display_string=Audit&amp;DYN_ARGS=TRUE&amp;VAR:ID1=CUB&amp;VAR:RCODE=FDSREVSTOTAL&amp;VAR:SDATE=20090399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2__FDSAUDITLINK__" localSheetId="0" hidden="1">{"fdsup://IBCentral/FAT Viewer?action=UPDATE&amp;creator=factset&amp;DOC_NAME=fat:reuters_ltm_source_window.fat&amp;display_string=Audit&amp;DYN_ARGS=TRUE&amp;VAR:ID1=CUB&amp;VAR:RCODE=FDSREVSTOTAL&amp;VAR:SDATE=20090399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2__FDSAUDITLINK__" localSheetId="4" hidden="1">{"fdsup://IBCentral/FAT Viewer?action=UPDATE&amp;creator=factset&amp;DOC_NAME=fat:reuters_ltm_source_window.fat&amp;display_string=Audit&amp;DYN_ARGS=TRUE&amp;VAR:ID1=CUB&amp;VAR:RCODE=FDSREVSTOTAL&amp;VAR:SDATE=20090399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2__FDSAUDITLINK__" hidden="1">{"fdsup://IBCentral/FAT Viewer?action=UPDATE&amp;creator=factset&amp;DOC_NAME=fat:reuters_ltm_source_window.fat&amp;display_string=Audit&amp;DYN_ARGS=TRUE&amp;VAR:ID1=CUB&amp;VAR:RCODE=FDSREVSTOTAL&amp;VAR:SDATE=20090399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3__123Graph_DChart_1L" localSheetId="0" hidden="1">#REF!</definedName>
    <definedName name="_303__123Graph_DChart_1L" hidden="1">#REF!</definedName>
    <definedName name="_303__FDSAUDITLINK__" localSheetId="5" hidden="1">{"fdsup://IBCentral/FAT Viewer?action=UPDATE&amp;creator=factset&amp;DOC_NAME=fat:reuters_ltm_source_window.fat&amp;display_string=Audit&amp;DYN_ARGS=TRUE&amp;VAR:ID1=AIT&amp;VAR:RCODE=FDSREVSTOTAL&amp;VAR:SDATE=20090399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3__FDSAUDITLINK__" localSheetId="0" hidden="1">{"fdsup://IBCentral/FAT Viewer?action=UPDATE&amp;creator=factset&amp;DOC_NAME=fat:reuters_ltm_source_window.fat&amp;display_string=Audit&amp;DYN_ARGS=TRUE&amp;VAR:ID1=AIT&amp;VAR:RCODE=FDSREVSTOTAL&amp;VAR:SDATE=20090399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3__FDSAUDITLINK__" localSheetId="4" hidden="1">{"fdsup://IBCentral/FAT Viewer?action=UPDATE&amp;creator=factset&amp;DOC_NAME=fat:reuters_ltm_source_window.fat&amp;display_string=Audit&amp;DYN_ARGS=TRUE&amp;VAR:ID1=AIT&amp;VAR:RCODE=FDSREVSTOTAL&amp;VAR:SDATE=20090399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3__FDSAUDITLINK__" hidden="1">{"fdsup://IBCentral/FAT Viewer?action=UPDATE&amp;creator=factset&amp;DOC_NAME=fat:reuters_ltm_source_window.fat&amp;display_string=Audit&amp;DYN_ARGS=TRUE&amp;VAR:ID1=AIT&amp;VAR:RCODE=FDSREVSTOTAL&amp;VAR:SDATE=20090399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4__FDSAUDITLINK__" localSheetId="5" hidden="1">{"fdsup://IBCentral/FAT Viewer?action=UPDATE&amp;creator=factset&amp;DOC_NAME=fat:reuters_ltm_source_window.fat&amp;display_string=Audit&amp;DYN_ARGS=TRUE&amp;VAR:ID1=AOS&amp;VAR:RCODE=FDSREVSTOTAL&amp;VAR:SDATE=20090399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4__FDSAUDITLINK__" localSheetId="0" hidden="1">{"fdsup://IBCentral/FAT Viewer?action=UPDATE&amp;creator=factset&amp;DOC_NAME=fat:reuters_ltm_source_window.fat&amp;display_string=Audit&amp;DYN_ARGS=TRUE&amp;VAR:ID1=AOS&amp;VAR:RCODE=FDSREVSTOTAL&amp;VAR:SDATE=20090399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4__FDSAUDITLINK__" localSheetId="4" hidden="1">{"fdsup://IBCentral/FAT Viewer?action=UPDATE&amp;creator=factset&amp;DOC_NAME=fat:reuters_ltm_source_window.fat&amp;display_string=Audit&amp;DYN_ARGS=TRUE&amp;VAR:ID1=AOS&amp;VAR:RCODE=FDSREVSTOTAL&amp;VAR:SDATE=20090399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4__FDSAUDITLINK__" hidden="1">{"fdsup://IBCentral/FAT Viewer?action=UPDATE&amp;creator=factset&amp;DOC_NAME=fat:reuters_ltm_source_window.fat&amp;display_string=Audit&amp;DYN_ARGS=TRUE&amp;VAR:ID1=AOS&amp;VAR:RCODE=FDSREVSTOTAL&amp;VAR:SDATE=20090399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5__123Graph_DChart_1O" localSheetId="0" hidden="1">#REF!</definedName>
    <definedName name="_305__123Graph_DChart_1O" hidden="1">#REF!</definedName>
    <definedName name="_305__FDSAUDITLINK__" localSheetId="5" hidden="1">{"fdsup://IBCentral/FAT Viewer?action=UPDATE&amp;creator=factset&amp;DOC_NAME=fat:reuters_ltm_source_window.fat&amp;display_string=Audit&amp;DYN_ARGS=TRUE&amp;VAR:ID1=AXB&amp;VAR:RCODE=FDSREVSTOTAL&amp;VAR:SDATE=20090399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5__FDSAUDITLINK__" localSheetId="0" hidden="1">{"fdsup://IBCentral/FAT Viewer?action=UPDATE&amp;creator=factset&amp;DOC_NAME=fat:reuters_ltm_source_window.fat&amp;display_string=Audit&amp;DYN_ARGS=TRUE&amp;VAR:ID1=AXB&amp;VAR:RCODE=FDSREVSTOTAL&amp;VAR:SDATE=20090399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5__FDSAUDITLINK__" localSheetId="4" hidden="1">{"fdsup://IBCentral/FAT Viewer?action=UPDATE&amp;creator=factset&amp;DOC_NAME=fat:reuters_ltm_source_window.fat&amp;display_string=Audit&amp;DYN_ARGS=TRUE&amp;VAR:ID1=AXB&amp;VAR:RCODE=FDSREVSTOTAL&amp;VAR:SDATE=20090399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5__FDSAUDITLINK__" hidden="1">{"fdsup://IBCentral/FAT Viewer?action=UPDATE&amp;creator=factset&amp;DOC_NAME=fat:reuters_ltm_source_window.fat&amp;display_string=Audit&amp;DYN_ARGS=TRUE&amp;VAR:ID1=AXB&amp;VAR:RCODE=FDSREVSTOTAL&amp;VAR:SDATE=20090399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6__FDSAUDITLINK__" localSheetId="5" hidden="1">{"fdsup://IBCentral/FAT Viewer?action=UPDATE&amp;creator=factset&amp;DOC_NAME=fat:reuters_ltm_source_window.fat&amp;display_string=Audit&amp;DYN_ARGS=TRUE&amp;VAR:ID1=TRN&amp;VAR:RCODE=FDSREVSTOTAL&amp;VAR:SDATE=20090399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6__FDSAUDITLINK__" localSheetId="0" hidden="1">{"fdsup://IBCentral/FAT Viewer?action=UPDATE&amp;creator=factset&amp;DOC_NAME=fat:reuters_ltm_source_window.fat&amp;display_string=Audit&amp;DYN_ARGS=TRUE&amp;VAR:ID1=TRN&amp;VAR:RCODE=FDSREVSTOTAL&amp;VAR:SDATE=20090399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6__FDSAUDITLINK__" localSheetId="4" hidden="1">{"fdsup://IBCentral/FAT Viewer?action=UPDATE&amp;creator=factset&amp;DOC_NAME=fat:reuters_ltm_source_window.fat&amp;display_string=Audit&amp;DYN_ARGS=TRUE&amp;VAR:ID1=TRN&amp;VAR:RCODE=FDSREVSTOTAL&amp;VAR:SDATE=20090399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6__FDSAUDITLINK__" hidden="1">{"fdsup://IBCentral/FAT Viewer?action=UPDATE&amp;creator=factset&amp;DOC_NAME=fat:reuters_ltm_source_window.fat&amp;display_string=Audit&amp;DYN_ARGS=TRUE&amp;VAR:ID1=TRN&amp;VAR:RCODE=FDSREVSTOTAL&amp;VAR:SDATE=20090399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7__123Graph_DChart_1P" localSheetId="0" hidden="1">#REF!</definedName>
    <definedName name="_307__123Graph_DChart_1P" hidden="1">#REF!</definedName>
    <definedName name="_307__FDSAUDITLINK__" localSheetId="5" hidden="1">{"fdsup://IBCentral/FAT Viewer?action=UPDATE&amp;creator=factset&amp;DOC_NAME=fat:reuters_ltm_source_window.fat&amp;display_string=Audit&amp;DYN_ARGS=TRUE&amp;VAR:ID1=GEO&amp;VAR:RCODE=FDSREVSTOTAL&amp;VAR:SDATE=20090399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7__FDSAUDITLINK__" localSheetId="0" hidden="1">{"fdsup://IBCentral/FAT Viewer?action=UPDATE&amp;creator=factset&amp;DOC_NAME=fat:reuters_ltm_source_window.fat&amp;display_string=Audit&amp;DYN_ARGS=TRUE&amp;VAR:ID1=GEO&amp;VAR:RCODE=FDSREVSTOTAL&amp;VAR:SDATE=20090399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7__FDSAUDITLINK__" localSheetId="4" hidden="1">{"fdsup://IBCentral/FAT Viewer?action=UPDATE&amp;creator=factset&amp;DOC_NAME=fat:reuters_ltm_source_window.fat&amp;display_string=Audit&amp;DYN_ARGS=TRUE&amp;VAR:ID1=GEO&amp;VAR:RCODE=FDSREVSTOTAL&amp;VAR:SDATE=20090399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7__FDSAUDITLINK__" hidden="1">{"fdsup://IBCentral/FAT Viewer?action=UPDATE&amp;creator=factset&amp;DOC_NAME=fat:reuters_ltm_source_window.fat&amp;display_string=Audit&amp;DYN_ARGS=TRUE&amp;VAR:ID1=GEO&amp;VAR:RCODE=FDSREVSTOTAL&amp;VAR:SDATE=20090399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8__FDSAUDITLINK__" localSheetId="5" hidden="1">{"fdsup://IBCentral/FAT Viewer?action=UPDATE&amp;creator=factset&amp;DOC_NAME=fat:reuters_ltm_source_window.fat&amp;display_string=Audit&amp;DYN_ARGS=TRUE&amp;VAR:ID1=BGG&amp;VAR:RCODE=FDSREVSTOTAL&amp;VAR:SDATE=20090399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8__FDSAUDITLINK__" localSheetId="0" hidden="1">{"fdsup://IBCentral/FAT Viewer?action=UPDATE&amp;creator=factset&amp;DOC_NAME=fat:reuters_ltm_source_window.fat&amp;display_string=Audit&amp;DYN_ARGS=TRUE&amp;VAR:ID1=BGG&amp;VAR:RCODE=FDSREVSTOTAL&amp;VAR:SDATE=20090399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8__FDSAUDITLINK__" localSheetId="4" hidden="1">{"fdsup://IBCentral/FAT Viewer?action=UPDATE&amp;creator=factset&amp;DOC_NAME=fat:reuters_ltm_source_window.fat&amp;display_string=Audit&amp;DYN_ARGS=TRUE&amp;VAR:ID1=BGG&amp;VAR:RCODE=FDSREVSTOTAL&amp;VAR:SDATE=20090399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8__FDSAUDITLINK__" hidden="1">{"fdsup://IBCentral/FAT Viewer?action=UPDATE&amp;creator=factset&amp;DOC_NAME=fat:reuters_ltm_source_window.fat&amp;display_string=Audit&amp;DYN_ARGS=TRUE&amp;VAR:ID1=BGG&amp;VAR:RCODE=FDSREVSTOTAL&amp;VAR:SDATE=20090399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9__123Graph_DChart_3B" localSheetId="0" hidden="1">#REF!</definedName>
    <definedName name="_309__123Graph_DChart_3B" hidden="1">#REF!</definedName>
    <definedName name="_309__FDSAUDITLINK__" localSheetId="5" hidden="1">{"fdsup://IBCentral/FAT Viewer?action=UPDATE&amp;creator=factset&amp;DOC_NAME=fat:reuters_ltm_source_window.fat&amp;display_string=Audit&amp;DYN_ARGS=TRUE&amp;VAR:ID1=MLI&amp;VAR:RCODE=FDSREVSTOTAL&amp;VAR:SDATE=20090399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9__FDSAUDITLINK__" localSheetId="0" hidden="1">{"fdsup://IBCentral/FAT Viewer?action=UPDATE&amp;creator=factset&amp;DOC_NAME=fat:reuters_ltm_source_window.fat&amp;display_string=Audit&amp;DYN_ARGS=TRUE&amp;VAR:ID1=MLI&amp;VAR:RCODE=FDSREVSTOTAL&amp;VAR:SDATE=20090399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9__FDSAUDITLINK__" localSheetId="4" hidden="1">{"fdsup://IBCentral/FAT Viewer?action=UPDATE&amp;creator=factset&amp;DOC_NAME=fat:reuters_ltm_source_window.fat&amp;display_string=Audit&amp;DYN_ARGS=TRUE&amp;VAR:ID1=MLI&amp;VAR:RCODE=FDSREVSTOTAL&amp;VAR:SDATE=20090399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09__FDSAUDITLINK__" hidden="1">{"fdsup://IBCentral/FAT Viewer?action=UPDATE&amp;creator=factset&amp;DOC_NAME=fat:reuters_ltm_source_window.fat&amp;display_string=Audit&amp;DYN_ARGS=TRUE&amp;VAR:ID1=MLI&amp;VAR:RCODE=FDSREVSTOTAL&amp;VAR:SDATE=20090399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__123Graph_AChart_1AL" localSheetId="0" hidden="1">#REF!</definedName>
    <definedName name="_31__123Graph_AChart_1AL" hidden="1">#REF!</definedName>
    <definedName name="_31__FDSAUDITLINK__" localSheetId="5" hidden="1">{"fdsup://IBCentral/FAT Viewer?action=UPDATE&amp;creator=factset&amp;DOC_NAME=fat:reuters_ltm_source_window.fat&amp;display_string=Audit&amp;DYN_ARGS=TRUE&amp;VAR:ID1=CLC&amp;VAR:RCODE=FIBCEBITDA&amp;VAR:SDATE=20090299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1__FDSAUDITLINK__" localSheetId="0" hidden="1">{"fdsup://IBCentral/FAT Viewer?action=UPDATE&amp;creator=factset&amp;DOC_NAME=fat:reuters_ltm_source_window.fat&amp;display_string=Audit&amp;DYN_ARGS=TRUE&amp;VAR:ID1=CLC&amp;VAR:RCODE=FIBCEBITDA&amp;VAR:SDATE=20090299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1__FDSAUDITLINK__" localSheetId="4" hidden="1">{"fdsup://IBCentral/FAT Viewer?action=UPDATE&amp;creator=factset&amp;DOC_NAME=fat:reuters_ltm_source_window.fat&amp;display_string=Audit&amp;DYN_ARGS=TRUE&amp;VAR:ID1=CLC&amp;VAR:RCODE=FIBCEBITDA&amp;VAR:SDATE=20090299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1__FDSAUDITLINK__" hidden="1">{"fdsup://IBCentral/FAT Viewer?action=UPDATE&amp;creator=factset&amp;DOC_NAME=fat:reuters_ltm_source_window.fat&amp;display_string=Audit&amp;DYN_ARGS=TRUE&amp;VAR:ID1=CLC&amp;VAR:RCODE=FIBCEBITDA&amp;VAR:SDATE=20090299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1_0FAMERangeGCI_BAL" localSheetId="0">#REF!</definedName>
    <definedName name="_31_0FAMERangeGCI_BAL">#REF!</definedName>
    <definedName name="_310__FDSAUDITLINK__" localSheetId="5" hidden="1">{"fdsup://IBCentral/FAT Viewer?action=UPDATE&amp;creator=factset&amp;DOC_NAME=fat:reuters_ltm_source_window.fat&amp;display_string=Audit&amp;DYN_ARGS=TRUE&amp;VAR:ID1=BEAV&amp;VAR:RCODE=FDSREVSTOTAL&amp;VAR:SDATE=20090399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0__FDSAUDITLINK__" localSheetId="0" hidden="1">{"fdsup://IBCentral/FAT Viewer?action=UPDATE&amp;creator=factset&amp;DOC_NAME=fat:reuters_ltm_source_window.fat&amp;display_string=Audit&amp;DYN_ARGS=TRUE&amp;VAR:ID1=BEAV&amp;VAR:RCODE=FDSREVSTOTAL&amp;VAR:SDATE=20090399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0__FDSAUDITLINK__" localSheetId="4" hidden="1">{"fdsup://IBCentral/FAT Viewer?action=UPDATE&amp;creator=factset&amp;DOC_NAME=fat:reuters_ltm_source_window.fat&amp;display_string=Audit&amp;DYN_ARGS=TRUE&amp;VAR:ID1=BEAV&amp;VAR:RCODE=FDSREVSTOTAL&amp;VAR:SDATE=20090399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0__FDSAUDITLINK__" hidden="1">{"fdsup://IBCentral/FAT Viewer?action=UPDATE&amp;creator=factset&amp;DOC_NAME=fat:reuters_ltm_source_window.fat&amp;display_string=Audit&amp;DYN_ARGS=TRUE&amp;VAR:ID1=BEAV&amp;VAR:RCODE=FDSREVSTOTAL&amp;VAR:SDATE=20090399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1__123Graph_EChart_1AB" localSheetId="0" hidden="1">#REF!</definedName>
    <definedName name="_311__123Graph_EChart_1AB" hidden="1">#REF!</definedName>
    <definedName name="_311__FDSAUDITLINK__" localSheetId="5" hidden="1">{"fdsup://IBCentral/FAT Viewer?action=UPDATE&amp;creator=factset&amp;DOC_NAME=fat:reuters_ltm_source_window.fat&amp;display_string=Audit&amp;DYN_ARGS=TRUE&amp;VAR:ID1=CNW&amp;VAR:RCODE=FDSREVSTOTAL&amp;VAR:SDATE=20090399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1__FDSAUDITLINK__" localSheetId="0" hidden="1">{"fdsup://IBCentral/FAT Viewer?action=UPDATE&amp;creator=factset&amp;DOC_NAME=fat:reuters_ltm_source_window.fat&amp;display_string=Audit&amp;DYN_ARGS=TRUE&amp;VAR:ID1=CNW&amp;VAR:RCODE=FDSREVSTOTAL&amp;VAR:SDATE=20090399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1__FDSAUDITLINK__" localSheetId="4" hidden="1">{"fdsup://IBCentral/FAT Viewer?action=UPDATE&amp;creator=factset&amp;DOC_NAME=fat:reuters_ltm_source_window.fat&amp;display_string=Audit&amp;DYN_ARGS=TRUE&amp;VAR:ID1=CNW&amp;VAR:RCODE=FDSREVSTOTAL&amp;VAR:SDATE=20090399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1__FDSAUDITLINK__" hidden="1">{"fdsup://IBCentral/FAT Viewer?action=UPDATE&amp;creator=factset&amp;DOC_NAME=fat:reuters_ltm_source_window.fat&amp;display_string=Audit&amp;DYN_ARGS=TRUE&amp;VAR:ID1=CNW&amp;VAR:RCODE=FDSREVSTOTAL&amp;VAR:SDATE=20090399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2__FDSAUDITLINK__" localSheetId="5" hidden="1">{"fdsup://IBCentral/FAT Viewer?action=UPDATE&amp;creator=factset&amp;DOC_NAME=fat:reuters_ltm_source_window.fat&amp;display_string=Audit&amp;DYN_ARGS=TRUE&amp;VAR:ID1=ABM&amp;VAR:RCODE=FDSREVSTOTAL&amp;VAR:SDATE=20090199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2__FDSAUDITLINK__" localSheetId="0" hidden="1">{"fdsup://IBCentral/FAT Viewer?action=UPDATE&amp;creator=factset&amp;DOC_NAME=fat:reuters_ltm_source_window.fat&amp;display_string=Audit&amp;DYN_ARGS=TRUE&amp;VAR:ID1=ABM&amp;VAR:RCODE=FDSREVSTOTAL&amp;VAR:SDATE=20090199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2__FDSAUDITLINK__" localSheetId="4" hidden="1">{"fdsup://IBCentral/FAT Viewer?action=UPDATE&amp;creator=factset&amp;DOC_NAME=fat:reuters_ltm_source_window.fat&amp;display_string=Audit&amp;DYN_ARGS=TRUE&amp;VAR:ID1=ABM&amp;VAR:RCODE=FDSREVSTOTAL&amp;VAR:SDATE=20090199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2__FDSAUDITLINK__" hidden="1">{"fdsup://IBCentral/FAT Viewer?action=UPDATE&amp;creator=factset&amp;DOC_NAME=fat:reuters_ltm_source_window.fat&amp;display_string=Audit&amp;DYN_ARGS=TRUE&amp;VAR:ID1=ABM&amp;VAR:RCODE=FDSREVSTOTAL&amp;VAR:SDATE=20090199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3__123Graph_EChart_1B" localSheetId="0" hidden="1">#REF!</definedName>
    <definedName name="_313__123Graph_EChart_1B" hidden="1">#REF!</definedName>
    <definedName name="_313__FDSAUDITLINK__" localSheetId="5" hidden="1">{"fdsup://IBCentral/FAT Viewer?action=UPDATE&amp;creator=factset&amp;DOC_NAME=fat:reuters_ltm_source_window.fat&amp;display_string=Audit&amp;DYN_ARGS=TRUE&amp;VAR:ID1=ODFL&amp;VAR:RCODE=FDSREVSTOTAL&amp;VAR:SDATE=20090399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3__FDSAUDITLINK__" localSheetId="0" hidden="1">{"fdsup://IBCentral/FAT Viewer?action=UPDATE&amp;creator=factset&amp;DOC_NAME=fat:reuters_ltm_source_window.fat&amp;display_string=Audit&amp;DYN_ARGS=TRUE&amp;VAR:ID1=ODFL&amp;VAR:RCODE=FDSREVSTOTAL&amp;VAR:SDATE=20090399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3__FDSAUDITLINK__" localSheetId="4" hidden="1">{"fdsup://IBCentral/FAT Viewer?action=UPDATE&amp;creator=factset&amp;DOC_NAME=fat:reuters_ltm_source_window.fat&amp;display_string=Audit&amp;DYN_ARGS=TRUE&amp;VAR:ID1=ODFL&amp;VAR:RCODE=FDSREVSTOTAL&amp;VAR:SDATE=20090399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3__FDSAUDITLINK__" hidden="1">{"fdsup://IBCentral/FAT Viewer?action=UPDATE&amp;creator=factset&amp;DOC_NAME=fat:reuters_ltm_source_window.fat&amp;display_string=Audit&amp;DYN_ARGS=TRUE&amp;VAR:ID1=ODFL&amp;VAR:RCODE=FDSREVSTOTAL&amp;VAR:SDATE=20090399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4__FDSAUDITLINK__" localSheetId="5" hidden="1">{"fdsup://IBCentral/FAT Viewer?action=UPDATE&amp;creator=factset&amp;DOC_NAME=fat:reuters_ltm_source_window.fat&amp;display_string=Audit&amp;DYN_ARGS=TRUE&amp;VAR:ID1=NDSN&amp;VAR:RCODE=FDSREVSTOTAL&amp;VAR:SDATE=20090499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4__FDSAUDITLINK__" localSheetId="0" hidden="1">{"fdsup://IBCentral/FAT Viewer?action=UPDATE&amp;creator=factset&amp;DOC_NAME=fat:reuters_ltm_source_window.fat&amp;display_string=Audit&amp;DYN_ARGS=TRUE&amp;VAR:ID1=NDSN&amp;VAR:RCODE=FDSREVSTOTAL&amp;VAR:SDATE=20090499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4__FDSAUDITLINK__" localSheetId="4" hidden="1">{"fdsup://IBCentral/FAT Viewer?action=UPDATE&amp;creator=factset&amp;DOC_NAME=fat:reuters_ltm_source_window.fat&amp;display_string=Audit&amp;DYN_ARGS=TRUE&amp;VAR:ID1=NDSN&amp;VAR:RCODE=FDSREVSTOTAL&amp;VAR:SDATE=20090499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4__FDSAUDITLINK__" hidden="1">{"fdsup://IBCentral/FAT Viewer?action=UPDATE&amp;creator=factset&amp;DOC_NAME=fat:reuters_ltm_source_window.fat&amp;display_string=Audit&amp;DYN_ARGS=TRUE&amp;VAR:ID1=NDSN&amp;VAR:RCODE=FDSREVSTOTAL&amp;VAR:SDATE=20090499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15__123Graph_EChart_1CE" localSheetId="0" hidden="1">#REF!</definedName>
    <definedName name="_315__123Graph_EChart_1CE" hidden="1">#REF!</definedName>
    <definedName name="_315__FDSAUDITLINK__" localSheetId="5" hidden="1">{"fdsup://IBCentral/FAT Viewer?action=UPDATE&amp;creator=factset&amp;DOC_NAME=fat:reuters_ltm_source_window.fat&amp;display_string=Audit&amp;DYN_ARGS=TRUE&amp;VAR:ID1=BRC&amp;VAR:RCODE=FDSREVSTOTAL&amp;VAR:SDATE=20090499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5__FDSAUDITLINK__" localSheetId="0" hidden="1">{"fdsup://IBCentral/FAT Viewer?action=UPDATE&amp;creator=factset&amp;DOC_NAME=fat:reuters_ltm_source_window.fat&amp;display_string=Audit&amp;DYN_ARGS=TRUE&amp;VAR:ID1=BRC&amp;VAR:RCODE=FDSREVSTOTAL&amp;VAR:SDATE=20090499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5__FDSAUDITLINK__" localSheetId="4" hidden="1">{"fdsup://IBCentral/FAT Viewer?action=UPDATE&amp;creator=factset&amp;DOC_NAME=fat:reuters_ltm_source_window.fat&amp;display_string=Audit&amp;DYN_ARGS=TRUE&amp;VAR:ID1=BRC&amp;VAR:RCODE=FDSREVSTOTAL&amp;VAR:SDATE=20090499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5__FDSAUDITLINK__" hidden="1">{"fdsup://IBCentral/FAT Viewer?action=UPDATE&amp;creator=factset&amp;DOC_NAME=fat:reuters_ltm_source_window.fat&amp;display_string=Audit&amp;DYN_ARGS=TRUE&amp;VAR:ID1=BRC&amp;VAR:RCODE=FDSREVSTOTAL&amp;VAR:SDATE=20090499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6__FDSAUDITLINK__" localSheetId="5" hidden="1">{"fdsup://IBCentral/FAT Viewer?action=UPDATE&amp;creator=factset&amp;DOC_NAME=fat:reuters_ltm_source_window.fat&amp;display_string=Audit&amp;DYN_ARGS=TRUE&amp;VAR:ID1=GMT&amp;VAR:RCODE=FDSREVSTOTAL&amp;VAR:SDATE=20090399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6__FDSAUDITLINK__" localSheetId="0" hidden="1">{"fdsup://IBCentral/FAT Viewer?action=UPDATE&amp;creator=factset&amp;DOC_NAME=fat:reuters_ltm_source_window.fat&amp;display_string=Audit&amp;DYN_ARGS=TRUE&amp;VAR:ID1=GMT&amp;VAR:RCODE=FDSREVSTOTAL&amp;VAR:SDATE=20090399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6__FDSAUDITLINK__" localSheetId="4" hidden="1">{"fdsup://IBCentral/FAT Viewer?action=UPDATE&amp;creator=factset&amp;DOC_NAME=fat:reuters_ltm_source_window.fat&amp;display_string=Audit&amp;DYN_ARGS=TRUE&amp;VAR:ID1=GMT&amp;VAR:RCODE=FDSREVSTOTAL&amp;VAR:SDATE=20090399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6__FDSAUDITLINK__" hidden="1">{"fdsup://IBCentral/FAT Viewer?action=UPDATE&amp;creator=factset&amp;DOC_NAME=fat:reuters_ltm_source_window.fat&amp;display_string=Audit&amp;DYN_ARGS=TRUE&amp;VAR:ID1=GMT&amp;VAR:RCODE=FDSREVSTOTAL&amp;VAR:SDATE=20090399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7__123Graph_EChart_1D" localSheetId="0" hidden="1">#REF!</definedName>
    <definedName name="_317__123Graph_EChart_1D" hidden="1">#REF!</definedName>
    <definedName name="_317__FDSAUDITLINK__" localSheetId="5" hidden="1">{"fdsup://IBCentral/FAT Viewer?action=UPDATE&amp;creator=factset&amp;DOC_NAME=fat:reuters_ltm_source_window.fat&amp;display_string=Audit&amp;DYN_ARGS=TRUE&amp;VAR:ID1=SSD&amp;VAR:RCODE=FDSREVSTOTAL&amp;VAR:SDATE=20090399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7__FDSAUDITLINK__" localSheetId="0" hidden="1">{"fdsup://IBCentral/FAT Viewer?action=UPDATE&amp;creator=factset&amp;DOC_NAME=fat:reuters_ltm_source_window.fat&amp;display_string=Audit&amp;DYN_ARGS=TRUE&amp;VAR:ID1=SSD&amp;VAR:RCODE=FDSREVSTOTAL&amp;VAR:SDATE=20090399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7__FDSAUDITLINK__" localSheetId="4" hidden="1">{"fdsup://IBCentral/FAT Viewer?action=UPDATE&amp;creator=factset&amp;DOC_NAME=fat:reuters_ltm_source_window.fat&amp;display_string=Audit&amp;DYN_ARGS=TRUE&amp;VAR:ID1=SSD&amp;VAR:RCODE=FDSREVSTOTAL&amp;VAR:SDATE=20090399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7__FDSAUDITLINK__" hidden="1">{"fdsup://IBCentral/FAT Viewer?action=UPDATE&amp;creator=factset&amp;DOC_NAME=fat:reuters_ltm_source_window.fat&amp;display_string=Audit&amp;DYN_ARGS=TRUE&amp;VAR:ID1=SSD&amp;VAR:RCODE=FDSREVSTOTAL&amp;VAR:SDATE=20090399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8__FDSAUDITLINK__" localSheetId="5" hidden="1">{"fdsup://IBCentral/FAT Viewer?action=UPDATE&amp;creator=factset&amp;DOC_NAME=fat:reuters_ltm_source_window.fat&amp;display_string=Audit&amp;DYN_ARGS=TRUE&amp;VAR:ID1=TDY&amp;VAR:RCODE=FDSREVSTOTAL&amp;VAR:SDATE=20090399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8__FDSAUDITLINK__" localSheetId="0" hidden="1">{"fdsup://IBCentral/FAT Viewer?action=UPDATE&amp;creator=factset&amp;DOC_NAME=fat:reuters_ltm_source_window.fat&amp;display_string=Audit&amp;DYN_ARGS=TRUE&amp;VAR:ID1=TDY&amp;VAR:RCODE=FDSREVSTOTAL&amp;VAR:SDATE=20090399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8__FDSAUDITLINK__" localSheetId="4" hidden="1">{"fdsup://IBCentral/FAT Viewer?action=UPDATE&amp;creator=factset&amp;DOC_NAME=fat:reuters_ltm_source_window.fat&amp;display_string=Audit&amp;DYN_ARGS=TRUE&amp;VAR:ID1=TDY&amp;VAR:RCODE=FDSREVSTOTAL&amp;VAR:SDATE=20090399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8__FDSAUDITLINK__" hidden="1">{"fdsup://IBCentral/FAT Viewer?action=UPDATE&amp;creator=factset&amp;DOC_NAME=fat:reuters_ltm_source_window.fat&amp;display_string=Audit&amp;DYN_ARGS=TRUE&amp;VAR:ID1=TDY&amp;VAR:RCODE=FDSREVSTOTAL&amp;VAR:SDATE=20090399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19__123Graph_EChart_1E" localSheetId="0" hidden="1">#REF!</definedName>
    <definedName name="_319__123Graph_EChart_1E" hidden="1">#REF!</definedName>
    <definedName name="_319__FDSAUDITLINK__" localSheetId="5" hidden="1">{"fdsup://IBCentral/FAT Viewer?action=UPDATE&amp;creator=factset&amp;DOC_NAME=fat:reuters_ltm_source_window.fat&amp;display_string=Audit&amp;DYN_ARGS=TRUE&amp;VAR:ID1=MOG.A&amp;VAR:RCODE=FDSREVSTOTAL&amp;VAR:SDATE=20090399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319__FDSAUDITLINK__" localSheetId="0" hidden="1">{"fdsup://IBCentral/FAT Viewer?action=UPDATE&amp;creator=factset&amp;DOC_NAME=fat:reuters_ltm_source_window.fat&amp;display_string=Audit&amp;DYN_ARGS=TRUE&amp;VAR:ID1=MOG.A&amp;VAR:RCODE=FDSREVSTOTAL&amp;VAR:SDATE=20090399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319__FDSAUDITLINK__" localSheetId="4" hidden="1">{"fdsup://IBCentral/FAT Viewer?action=UPDATE&amp;creator=factset&amp;DOC_NAME=fat:reuters_ltm_source_window.fat&amp;display_string=Audit&amp;DYN_ARGS=TRUE&amp;VAR:ID1=MOG.A&amp;VAR:RCODE=FDSREVSTOTAL&amp;VAR:SDATE=20090399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319__FDSAUDITLINK__" hidden="1">{"fdsup://IBCentral/FAT Viewer?action=UPDATE&amp;creator=factset&amp;DOC_NAME=fat:reuters_ltm_source_window.fat&amp;display_string=Audit&amp;DYN_ARGS=TRUE&amp;VAR:ID1=MOG.A&amp;VAR:RCODE=FDSREVSTOTAL&amp;VAR:SDATE=20090399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32__FDSAUDITLINK__" localSheetId="5" hidden="1">{"fdsup://IBCentral/FAT Viewer?action=UPDATE&amp;creator=factset&amp;DOC_NAME=fat:reuters_ltm_source_window.fat&amp;display_string=Audit&amp;DYN_ARGS=TRUE&amp;VAR:ID1=TNB&amp;VAR:RCODE=FIBCEBITDA&amp;VAR:SDATE=20090399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2__FDSAUDITLINK__" localSheetId="0" hidden="1">{"fdsup://IBCentral/FAT Viewer?action=UPDATE&amp;creator=factset&amp;DOC_NAME=fat:reuters_ltm_source_window.fat&amp;display_string=Audit&amp;DYN_ARGS=TRUE&amp;VAR:ID1=TNB&amp;VAR:RCODE=FIBCEBITDA&amp;VAR:SDATE=20090399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2__FDSAUDITLINK__" localSheetId="4" hidden="1">{"fdsup://IBCentral/FAT Viewer?action=UPDATE&amp;creator=factset&amp;DOC_NAME=fat:reuters_ltm_source_window.fat&amp;display_string=Audit&amp;DYN_ARGS=TRUE&amp;VAR:ID1=TNB&amp;VAR:RCODE=FIBCEBITDA&amp;VAR:SDATE=20090399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2__FDSAUDITLINK__" hidden="1">{"fdsup://IBCentral/FAT Viewer?action=UPDATE&amp;creator=factset&amp;DOC_NAME=fat:reuters_ltm_source_window.fat&amp;display_string=Audit&amp;DYN_ARGS=TRUE&amp;VAR:ID1=TNB&amp;VAR:RCODE=FIBCEBITDA&amp;VAR:SDATE=20090399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2_0Revenu" localSheetId="0">#REF!</definedName>
    <definedName name="_32_0Revenu">#REF!</definedName>
    <definedName name="_320__FDSAUDITLINK__" localSheetId="5" hidden="1">{"fdsup://IBCentral/FAT Viewer?action=UPDATE&amp;creator=factset&amp;DOC_NAME=fat:reuters_ltm_source_window.fat&amp;display_string=Audit&amp;DYN_ARGS=TRUE&amp;VAR:ID1=KDN&amp;VAR:RCODE=FDSREVSTOTAL&amp;VAR:SDATE=20090399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0__FDSAUDITLINK__" localSheetId="0" hidden="1">{"fdsup://IBCentral/FAT Viewer?action=UPDATE&amp;creator=factset&amp;DOC_NAME=fat:reuters_ltm_source_window.fat&amp;display_string=Audit&amp;DYN_ARGS=TRUE&amp;VAR:ID1=KDN&amp;VAR:RCODE=FDSREVSTOTAL&amp;VAR:SDATE=20090399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0__FDSAUDITLINK__" localSheetId="4" hidden="1">{"fdsup://IBCentral/FAT Viewer?action=UPDATE&amp;creator=factset&amp;DOC_NAME=fat:reuters_ltm_source_window.fat&amp;display_string=Audit&amp;DYN_ARGS=TRUE&amp;VAR:ID1=KDN&amp;VAR:RCODE=FDSREVSTOTAL&amp;VAR:SDATE=20090399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0__FDSAUDITLINK__" hidden="1">{"fdsup://IBCentral/FAT Viewer?action=UPDATE&amp;creator=factset&amp;DOC_NAME=fat:reuters_ltm_source_window.fat&amp;display_string=Audit&amp;DYN_ARGS=TRUE&amp;VAR:ID1=KDN&amp;VAR:RCODE=FDSREVSTOTAL&amp;VAR:SDATE=20090399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1__123Graph_EChart_1H" localSheetId="0" hidden="1">#REF!</definedName>
    <definedName name="_321__123Graph_EChart_1H" hidden="1">#REF!</definedName>
    <definedName name="_321__FDSAUDITLINK__" localSheetId="5" hidden="1">{"fdsup://IBCentral/FAT Viewer?action=UPDATE&amp;creator=factset&amp;DOC_NAME=fat:reuters_ltm_source_window.fat&amp;display_string=Audit&amp;DYN_ARGS=TRUE&amp;VAR:ID1=ESE&amp;VAR:RCODE=FDSREVSTOTAL&amp;VAR:SDATE=20090399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1__FDSAUDITLINK__" localSheetId="0" hidden="1">{"fdsup://IBCentral/FAT Viewer?action=UPDATE&amp;creator=factset&amp;DOC_NAME=fat:reuters_ltm_source_window.fat&amp;display_string=Audit&amp;DYN_ARGS=TRUE&amp;VAR:ID1=ESE&amp;VAR:RCODE=FDSREVSTOTAL&amp;VAR:SDATE=20090399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1__FDSAUDITLINK__" localSheetId="4" hidden="1">{"fdsup://IBCentral/FAT Viewer?action=UPDATE&amp;creator=factset&amp;DOC_NAME=fat:reuters_ltm_source_window.fat&amp;display_string=Audit&amp;DYN_ARGS=TRUE&amp;VAR:ID1=ESE&amp;VAR:RCODE=FDSREVSTOTAL&amp;VAR:SDATE=20090399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1__FDSAUDITLINK__" hidden="1">{"fdsup://IBCentral/FAT Viewer?action=UPDATE&amp;creator=factset&amp;DOC_NAME=fat:reuters_ltm_source_window.fat&amp;display_string=Audit&amp;DYN_ARGS=TRUE&amp;VAR:ID1=ESE&amp;VAR:RCODE=FDSREVSTOTAL&amp;VAR:SDATE=20090399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2__FDSAUDITLINK__" localSheetId="5" hidden="1">{"fdsup://IBCentral/FAT Viewer?action=UPDATE&amp;creator=factset&amp;DOC_NAME=fat:reuters_ltm_source_window.fat&amp;display_string=Audit&amp;DYN_ARGS=TRUE&amp;VAR:ID1=AYI&amp;VAR:RCODE=FDSREVSTOTAL&amp;VAR:SDATE=20090299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2__FDSAUDITLINK__" localSheetId="0" hidden="1">{"fdsup://IBCentral/FAT Viewer?action=UPDATE&amp;creator=factset&amp;DOC_NAME=fat:reuters_ltm_source_window.fat&amp;display_string=Audit&amp;DYN_ARGS=TRUE&amp;VAR:ID1=AYI&amp;VAR:RCODE=FDSREVSTOTAL&amp;VAR:SDATE=20090299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2__FDSAUDITLINK__" localSheetId="4" hidden="1">{"fdsup://IBCentral/FAT Viewer?action=UPDATE&amp;creator=factset&amp;DOC_NAME=fat:reuters_ltm_source_window.fat&amp;display_string=Audit&amp;DYN_ARGS=TRUE&amp;VAR:ID1=AYI&amp;VAR:RCODE=FDSREVSTOTAL&amp;VAR:SDATE=20090299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2__FDSAUDITLINK__" hidden="1">{"fdsup://IBCentral/FAT Viewer?action=UPDATE&amp;creator=factset&amp;DOC_NAME=fat:reuters_ltm_source_window.fat&amp;display_string=Audit&amp;DYN_ARGS=TRUE&amp;VAR:ID1=AYI&amp;VAR:RCODE=FDSREVSTOTAL&amp;VAR:SDATE=20090299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3__123Graph_EChart_1P" localSheetId="0" hidden="1">#REF!</definedName>
    <definedName name="_323__123Graph_EChart_1P" hidden="1">#REF!</definedName>
    <definedName name="_323__FDSAUDITLINK__" localSheetId="5" hidden="1">{"fdsup://IBCentral/FAT Viewer?action=UPDATE&amp;creator=factset&amp;DOC_NAME=fat:reuters_ltm_source_window.fat&amp;display_string=Audit&amp;DYN_ARGS=TRUE&amp;VAR:ID1=TEX&amp;VAR:RCODE=FDSREVSTOTAL&amp;VAR:SDATE=20090399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3__FDSAUDITLINK__" localSheetId="0" hidden="1">{"fdsup://IBCentral/FAT Viewer?action=UPDATE&amp;creator=factset&amp;DOC_NAME=fat:reuters_ltm_source_window.fat&amp;display_string=Audit&amp;DYN_ARGS=TRUE&amp;VAR:ID1=TEX&amp;VAR:RCODE=FDSREVSTOTAL&amp;VAR:SDATE=20090399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3__FDSAUDITLINK__" localSheetId="4" hidden="1">{"fdsup://IBCentral/FAT Viewer?action=UPDATE&amp;creator=factset&amp;DOC_NAME=fat:reuters_ltm_source_window.fat&amp;display_string=Audit&amp;DYN_ARGS=TRUE&amp;VAR:ID1=TEX&amp;VAR:RCODE=FDSREVSTOTAL&amp;VAR:SDATE=20090399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3__FDSAUDITLINK__" hidden="1">{"fdsup://IBCentral/FAT Viewer?action=UPDATE&amp;creator=factset&amp;DOC_NAME=fat:reuters_ltm_source_window.fat&amp;display_string=Audit&amp;DYN_ARGS=TRUE&amp;VAR:ID1=TEX&amp;VAR:RCODE=FDSREVSTOTAL&amp;VAR:SDATE=20090399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4__FDSAUDITLINK__" localSheetId="5" hidden="1">{"fdsup://IBCentral/FAT Viewer?action=UPDATE&amp;creator=factset&amp;DOC_NAME=fat:reuters_ltm_source_window.fat&amp;display_string=Audit&amp;DYN_ARGS=TRUE&amp;VAR:ID1=TTC&amp;VAR:RCODE=FDSREVSTOTAL&amp;VAR:SDATE=20090499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4__FDSAUDITLINK__" localSheetId="0" hidden="1">{"fdsup://IBCentral/FAT Viewer?action=UPDATE&amp;creator=factset&amp;DOC_NAME=fat:reuters_ltm_source_window.fat&amp;display_string=Audit&amp;DYN_ARGS=TRUE&amp;VAR:ID1=TTC&amp;VAR:RCODE=FDSREVSTOTAL&amp;VAR:SDATE=20090499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4__FDSAUDITLINK__" localSheetId="4" hidden="1">{"fdsup://IBCentral/FAT Viewer?action=UPDATE&amp;creator=factset&amp;DOC_NAME=fat:reuters_ltm_source_window.fat&amp;display_string=Audit&amp;DYN_ARGS=TRUE&amp;VAR:ID1=TTC&amp;VAR:RCODE=FDSREVSTOTAL&amp;VAR:SDATE=20090499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4__FDSAUDITLINK__" hidden="1">{"fdsup://IBCentral/FAT Viewer?action=UPDATE&amp;creator=factset&amp;DOC_NAME=fat:reuters_ltm_source_window.fat&amp;display_string=Audit&amp;DYN_ARGS=TRUE&amp;VAR:ID1=TTC&amp;VAR:RCODE=FDSREVSTOTAL&amp;VAR:SDATE=20090499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5__123Graph_EChart_3B" localSheetId="0" hidden="1">#REF!</definedName>
    <definedName name="_325__123Graph_EChart_3B" hidden="1">#REF!</definedName>
    <definedName name="_325__FDSAUDITLINK__" localSheetId="5" hidden="1">{"fdsup://IBCentral/FAT Viewer?action=UPDATE&amp;creator=factset&amp;DOC_NAME=fat:reuters_ltm_source_window.fat&amp;display_string=Audit&amp;DYN_ARGS=TRUE&amp;VAR:ID1=RBC&amp;VAR:RCODE=FDSREVSTOTAL&amp;VAR:SDATE=20090399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5__FDSAUDITLINK__" localSheetId="0" hidden="1">{"fdsup://IBCentral/FAT Viewer?action=UPDATE&amp;creator=factset&amp;DOC_NAME=fat:reuters_ltm_source_window.fat&amp;display_string=Audit&amp;DYN_ARGS=TRUE&amp;VAR:ID1=RBC&amp;VAR:RCODE=FDSREVSTOTAL&amp;VAR:SDATE=20090399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5__FDSAUDITLINK__" localSheetId="4" hidden="1">{"fdsup://IBCentral/FAT Viewer?action=UPDATE&amp;creator=factset&amp;DOC_NAME=fat:reuters_ltm_source_window.fat&amp;display_string=Audit&amp;DYN_ARGS=TRUE&amp;VAR:ID1=RBC&amp;VAR:RCODE=FDSREVSTOTAL&amp;VAR:SDATE=20090399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5__FDSAUDITLINK__" hidden="1">{"fdsup://IBCentral/FAT Viewer?action=UPDATE&amp;creator=factset&amp;DOC_NAME=fat:reuters_ltm_source_window.fat&amp;display_string=Audit&amp;DYN_ARGS=TRUE&amp;VAR:ID1=RBC&amp;VAR:RCODE=FDSREVSTOTAL&amp;VAR:SDATE=20090399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6__FDSAUDITLINK__" localSheetId="5" hidden="1">{"fdsup://IBCentral/FAT Viewer?action=UPDATE&amp;creator=factset&amp;DOC_NAME=fat:reuters_ltm_source_window.fat&amp;display_string=Audit&amp;DYN_ARGS=TRUE&amp;VAR:ID1=MWW&amp;VAR:RCODE=FDSREVSTOTAL&amp;VAR:SDATE=20090399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6__FDSAUDITLINK__" localSheetId="0" hidden="1">{"fdsup://IBCentral/FAT Viewer?action=UPDATE&amp;creator=factset&amp;DOC_NAME=fat:reuters_ltm_source_window.fat&amp;display_string=Audit&amp;DYN_ARGS=TRUE&amp;VAR:ID1=MWW&amp;VAR:RCODE=FDSREVSTOTAL&amp;VAR:SDATE=20090399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6__FDSAUDITLINK__" localSheetId="4" hidden="1">{"fdsup://IBCentral/FAT Viewer?action=UPDATE&amp;creator=factset&amp;DOC_NAME=fat:reuters_ltm_source_window.fat&amp;display_string=Audit&amp;DYN_ARGS=TRUE&amp;VAR:ID1=MWW&amp;VAR:RCODE=FDSREVSTOTAL&amp;VAR:SDATE=20090399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6__FDSAUDITLINK__" hidden="1">{"fdsup://IBCentral/FAT Viewer?action=UPDATE&amp;creator=factset&amp;DOC_NAME=fat:reuters_ltm_source_window.fat&amp;display_string=Audit&amp;DYN_ARGS=TRUE&amp;VAR:ID1=MWW&amp;VAR:RCODE=FDSREVSTOTAL&amp;VAR:SDATE=20090399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7__123Graph_FChart_1B" localSheetId="0" hidden="1">#REF!</definedName>
    <definedName name="_327__123Graph_FChart_1B" hidden="1">#REF!</definedName>
    <definedName name="_327__FDSAUDITLINK__" localSheetId="5" hidden="1">{"fdsup://IBCentral/FAT Viewer?action=UPDATE&amp;creator=factset&amp;DOC_NAME=fat:reuters_ltm_source_window.fat&amp;display_string=Audit&amp;DYN_ARGS=TRUE&amp;VAR:ID1=GGG&amp;VAR:RCODE=FDSREVSTOTAL&amp;VAR:SDATE=20090399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7__FDSAUDITLINK__" localSheetId="0" hidden="1">{"fdsup://IBCentral/FAT Viewer?action=UPDATE&amp;creator=factset&amp;DOC_NAME=fat:reuters_ltm_source_window.fat&amp;display_string=Audit&amp;DYN_ARGS=TRUE&amp;VAR:ID1=GGG&amp;VAR:RCODE=FDSREVSTOTAL&amp;VAR:SDATE=20090399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7__FDSAUDITLINK__" localSheetId="4" hidden="1">{"fdsup://IBCentral/FAT Viewer?action=UPDATE&amp;creator=factset&amp;DOC_NAME=fat:reuters_ltm_source_window.fat&amp;display_string=Audit&amp;DYN_ARGS=TRUE&amp;VAR:ID1=GGG&amp;VAR:RCODE=FDSREVSTOTAL&amp;VAR:SDATE=20090399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7__FDSAUDITLINK__" hidden="1">{"fdsup://IBCentral/FAT Viewer?action=UPDATE&amp;creator=factset&amp;DOC_NAME=fat:reuters_ltm_source_window.fat&amp;display_string=Audit&amp;DYN_ARGS=TRUE&amp;VAR:ID1=GGG&amp;VAR:RCODE=FDSREVSTOTAL&amp;VAR:SDATE=20090399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8__FDSAUDITLINK__" localSheetId="5" hidden="1">{"fdsup://IBCentral/FAT Viewer?action=UPDATE&amp;creator=factset&amp;DOC_NAME=fat:reuters_ltm_source_window.fat&amp;display_string=Audit&amp;DYN_ARGS=TRUE&amp;VAR:ID1=WSO&amp;VAR:RCODE=FDSREVSTOTAL&amp;VAR:SDATE=20090399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8__FDSAUDITLINK__" localSheetId="0" hidden="1">{"fdsup://IBCentral/FAT Viewer?action=UPDATE&amp;creator=factset&amp;DOC_NAME=fat:reuters_ltm_source_window.fat&amp;display_string=Audit&amp;DYN_ARGS=TRUE&amp;VAR:ID1=WSO&amp;VAR:RCODE=FDSREVSTOTAL&amp;VAR:SDATE=20090399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8__FDSAUDITLINK__" localSheetId="4" hidden="1">{"fdsup://IBCentral/FAT Viewer?action=UPDATE&amp;creator=factset&amp;DOC_NAME=fat:reuters_ltm_source_window.fat&amp;display_string=Audit&amp;DYN_ARGS=TRUE&amp;VAR:ID1=WSO&amp;VAR:RCODE=FDSREVSTOTAL&amp;VAR:SDATE=20090399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8__FDSAUDITLINK__" hidden="1">{"fdsup://IBCentral/FAT Viewer?action=UPDATE&amp;creator=factset&amp;DOC_NAME=fat:reuters_ltm_source_window.fat&amp;display_string=Audit&amp;DYN_ARGS=TRUE&amp;VAR:ID1=WSO&amp;VAR:RCODE=FDSREVSTOTAL&amp;VAR:SDATE=20090399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29__123Graph_FChart_1E" localSheetId="0" hidden="1">#REF!</definedName>
    <definedName name="_329__123Graph_FChart_1E" hidden="1">#REF!</definedName>
    <definedName name="_329__FDSAUDITLINK__" localSheetId="5" hidden="1">{"fdsup://IBCentral/FAT Viewer?action=UPDATE&amp;creator=factset&amp;DOC_NAME=fat:reuters_ltm_source_window.fat&amp;display_string=Audit&amp;DYN_ARGS=TRUE&amp;VAR:ID1=CR&amp;VAR:RCODE=FDSREVSTOTAL&amp;VAR:SDATE=20090399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29__FDSAUDITLINK__" localSheetId="0" hidden="1">{"fdsup://IBCentral/FAT Viewer?action=UPDATE&amp;creator=factset&amp;DOC_NAME=fat:reuters_ltm_source_window.fat&amp;display_string=Audit&amp;DYN_ARGS=TRUE&amp;VAR:ID1=CR&amp;VAR:RCODE=FDSREVSTOTAL&amp;VAR:SDATE=20090399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29__FDSAUDITLINK__" localSheetId="4" hidden="1">{"fdsup://IBCentral/FAT Viewer?action=UPDATE&amp;creator=factset&amp;DOC_NAME=fat:reuters_ltm_source_window.fat&amp;display_string=Audit&amp;DYN_ARGS=TRUE&amp;VAR:ID1=CR&amp;VAR:RCODE=FDSREVSTOTAL&amp;VAR:SDATE=20090399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29__FDSAUDITLINK__" hidden="1">{"fdsup://IBCentral/FAT Viewer?action=UPDATE&amp;creator=factset&amp;DOC_NAME=fat:reuters_ltm_source_window.fat&amp;display_string=Audit&amp;DYN_ARGS=TRUE&amp;VAR:ID1=CR&amp;VAR:RCODE=FDSREVSTOTAL&amp;VAR:SDATE=20090399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3__123Graph_AChart_1AM" localSheetId="0" hidden="1">#REF!</definedName>
    <definedName name="_33__123Graph_AChart_1AM" hidden="1">#REF!</definedName>
    <definedName name="_33__FDSAUDITLINK__" localSheetId="5" hidden="1">{"fdsup://IBCentral/FAT Viewer?action=UPDATE&amp;creator=factset&amp;DOC_NAME=fat:reuters_ltm_source_window.fat&amp;display_string=Audit&amp;DYN_ARGS=TRUE&amp;VAR:ID1=MSM&amp;VAR:RCODE=FIBCEBITDA&amp;VAR:SDATE=20090299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3__FDSAUDITLINK__" localSheetId="0" hidden="1">{"fdsup://IBCentral/FAT Viewer?action=UPDATE&amp;creator=factset&amp;DOC_NAME=fat:reuters_ltm_source_window.fat&amp;display_string=Audit&amp;DYN_ARGS=TRUE&amp;VAR:ID1=MSM&amp;VAR:RCODE=FIBCEBITDA&amp;VAR:SDATE=20090299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3__FDSAUDITLINK__" localSheetId="4" hidden="1">{"fdsup://IBCentral/FAT Viewer?action=UPDATE&amp;creator=factset&amp;DOC_NAME=fat:reuters_ltm_source_window.fat&amp;display_string=Audit&amp;DYN_ARGS=TRUE&amp;VAR:ID1=MSM&amp;VAR:RCODE=FIBCEBITDA&amp;VAR:SDATE=20090299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3__FDSAUDITLINK__" hidden="1">{"fdsup://IBCentral/FAT Viewer?action=UPDATE&amp;creator=factset&amp;DOC_NAME=fat:reuters_ltm_source_window.fat&amp;display_string=Audit&amp;DYN_ARGS=TRUE&amp;VAR:ID1=MSM&amp;VAR:RCODE=FIBCEBITDA&amp;VAR:SDATE=20090299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3_0UniqueRang" localSheetId="0">#REF!</definedName>
    <definedName name="_33_0UniqueRang">#REF!</definedName>
    <definedName name="_330__FDSAUDITLINK__" localSheetId="5" hidden="1">{"fdsup://IBCentral/FAT Viewer?action=UPDATE&amp;creator=factset&amp;DOC_NAME=fat:reuters_ltm_source_window.fat&amp;display_string=Audit&amp;DYN_ARGS=TRUE&amp;VAR:ID1=WERN&amp;VAR:RCODE=FDSREVSTOTAL&amp;VAR:SDATE=20090399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0__FDSAUDITLINK__" localSheetId="0" hidden="1">{"fdsup://IBCentral/FAT Viewer?action=UPDATE&amp;creator=factset&amp;DOC_NAME=fat:reuters_ltm_source_window.fat&amp;display_string=Audit&amp;DYN_ARGS=TRUE&amp;VAR:ID1=WERN&amp;VAR:RCODE=FDSREVSTOTAL&amp;VAR:SDATE=20090399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0__FDSAUDITLINK__" localSheetId="4" hidden="1">{"fdsup://IBCentral/FAT Viewer?action=UPDATE&amp;creator=factset&amp;DOC_NAME=fat:reuters_ltm_source_window.fat&amp;display_string=Audit&amp;DYN_ARGS=TRUE&amp;VAR:ID1=WERN&amp;VAR:RCODE=FDSREVSTOTAL&amp;VAR:SDATE=20090399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0__FDSAUDITLINK__" hidden="1">{"fdsup://IBCentral/FAT Viewer?action=UPDATE&amp;creator=factset&amp;DOC_NAME=fat:reuters_ltm_source_window.fat&amp;display_string=Audit&amp;DYN_ARGS=TRUE&amp;VAR:ID1=WERN&amp;VAR:RCODE=FDSREVSTOTAL&amp;VAR:SDATE=20090399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1__123Graph_FChart_1P" localSheetId="0" hidden="1">#REF!</definedName>
    <definedName name="_331__123Graph_FChart_1P" hidden="1">#REF!</definedName>
    <definedName name="_331__FDSAUDITLINK__" localSheetId="5" hidden="1">{"fdsup://IBCentral/FAT Viewer?action=UPDATE&amp;creator=factset&amp;DOC_NAME=fat:reuters_ltm_source_window.fat&amp;display_string=Audit&amp;DYN_ARGS=TRUE&amp;VAR:ID1=EME&amp;VAR:RCODE=FDSREVSTOTAL&amp;VAR:SDATE=20090399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1__FDSAUDITLINK__" localSheetId="0" hidden="1">{"fdsup://IBCentral/FAT Viewer?action=UPDATE&amp;creator=factset&amp;DOC_NAME=fat:reuters_ltm_source_window.fat&amp;display_string=Audit&amp;DYN_ARGS=TRUE&amp;VAR:ID1=EME&amp;VAR:RCODE=FDSREVSTOTAL&amp;VAR:SDATE=20090399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1__FDSAUDITLINK__" localSheetId="4" hidden="1">{"fdsup://IBCentral/FAT Viewer?action=UPDATE&amp;creator=factset&amp;DOC_NAME=fat:reuters_ltm_source_window.fat&amp;display_string=Audit&amp;DYN_ARGS=TRUE&amp;VAR:ID1=EME&amp;VAR:RCODE=FDSREVSTOTAL&amp;VAR:SDATE=20090399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1__FDSAUDITLINK__" hidden="1">{"fdsup://IBCentral/FAT Viewer?action=UPDATE&amp;creator=factset&amp;DOC_NAME=fat:reuters_ltm_source_window.fat&amp;display_string=Audit&amp;DYN_ARGS=TRUE&amp;VAR:ID1=EME&amp;VAR:RCODE=FDSREVSTOTAL&amp;VAR:SDATE=20090399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2__FDSAUDITLINK__" localSheetId="5" hidden="1">{"fdsup://IBCentral/FAT Viewer?action=UPDATE&amp;creator=factset&amp;DOC_NAME=fat:reuters_ltm_source_window.fat&amp;display_string=Audit&amp;DYN_ARGS=TRUE&amp;VAR:ID1=JBLU&amp;VAR:RCODE=FDSREVSTOTAL&amp;VAR:SDATE=20090399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2__FDSAUDITLINK__" localSheetId="0" hidden="1">{"fdsup://IBCentral/FAT Viewer?action=UPDATE&amp;creator=factset&amp;DOC_NAME=fat:reuters_ltm_source_window.fat&amp;display_string=Audit&amp;DYN_ARGS=TRUE&amp;VAR:ID1=JBLU&amp;VAR:RCODE=FDSREVSTOTAL&amp;VAR:SDATE=20090399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2__FDSAUDITLINK__" localSheetId="4" hidden="1">{"fdsup://IBCentral/FAT Viewer?action=UPDATE&amp;creator=factset&amp;DOC_NAME=fat:reuters_ltm_source_window.fat&amp;display_string=Audit&amp;DYN_ARGS=TRUE&amp;VAR:ID1=JBLU&amp;VAR:RCODE=FDSREVSTOTAL&amp;VAR:SDATE=20090399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2__FDSAUDITLINK__" hidden="1">{"fdsup://IBCentral/FAT Viewer?action=UPDATE&amp;creator=factset&amp;DOC_NAME=fat:reuters_ltm_source_window.fat&amp;display_string=Audit&amp;DYN_ARGS=TRUE&amp;VAR:ID1=JBLU&amp;VAR:RCODE=FDSREVSTOTAL&amp;VAR:SDATE=20090399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3__123Graph_FChart_3B" localSheetId="0" hidden="1">#REF!</definedName>
    <definedName name="_333__123Graph_FChart_3B" hidden="1">#REF!</definedName>
    <definedName name="_333__FDSAUDITLINK__" localSheetId="5" hidden="1">{"fdsup://IBCentral/FAT Viewer?action=UPDATE&amp;creator=factset&amp;DOC_NAME=fat:reuters_ltm_source_window.fat&amp;display_string=Audit&amp;DYN_ARGS=TRUE&amp;VAR:ID1=GDI&amp;VAR:RCODE=FDSREVSTOTAL&amp;VAR:SDATE=20090399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3__FDSAUDITLINK__" localSheetId="0" hidden="1">{"fdsup://IBCentral/FAT Viewer?action=UPDATE&amp;creator=factset&amp;DOC_NAME=fat:reuters_ltm_source_window.fat&amp;display_string=Audit&amp;DYN_ARGS=TRUE&amp;VAR:ID1=GDI&amp;VAR:RCODE=FDSREVSTOTAL&amp;VAR:SDATE=20090399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3__FDSAUDITLINK__" localSheetId="4" hidden="1">{"fdsup://IBCentral/FAT Viewer?action=UPDATE&amp;creator=factset&amp;DOC_NAME=fat:reuters_ltm_source_window.fat&amp;display_string=Audit&amp;DYN_ARGS=TRUE&amp;VAR:ID1=GDI&amp;VAR:RCODE=FDSREVSTOTAL&amp;VAR:SDATE=20090399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3__FDSAUDITLINK__" hidden="1">{"fdsup://IBCentral/FAT Viewer?action=UPDATE&amp;creator=factset&amp;DOC_NAME=fat:reuters_ltm_source_window.fat&amp;display_string=Audit&amp;DYN_ARGS=TRUE&amp;VAR:ID1=GDI&amp;VAR:RCODE=FDSREVSTOTAL&amp;VAR:SDATE=20090399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4__FDSAUDITLINK__" localSheetId="5" hidden="1">{"fdsup://IBCentral/FAT Viewer?action=UPDATE&amp;creator=factset&amp;DOC_NAME=fat:reuters_ltm_source_window.fat&amp;display_string=Audit&amp;DYN_ARGS=TRUE&amp;VAR:ID1=CLH&amp;VAR:RCODE=FDSREVSTOTAL&amp;VAR:SDATE=20090399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4__FDSAUDITLINK__" localSheetId="0" hidden="1">{"fdsup://IBCentral/FAT Viewer?action=UPDATE&amp;creator=factset&amp;DOC_NAME=fat:reuters_ltm_source_window.fat&amp;display_string=Audit&amp;DYN_ARGS=TRUE&amp;VAR:ID1=CLH&amp;VAR:RCODE=FDSREVSTOTAL&amp;VAR:SDATE=20090399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4__FDSAUDITLINK__" localSheetId="4" hidden="1">{"fdsup://IBCentral/FAT Viewer?action=UPDATE&amp;creator=factset&amp;DOC_NAME=fat:reuters_ltm_source_window.fat&amp;display_string=Audit&amp;DYN_ARGS=TRUE&amp;VAR:ID1=CLH&amp;VAR:RCODE=FDSREVSTOTAL&amp;VAR:SDATE=20090399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4__FDSAUDITLINK__" hidden="1">{"fdsup://IBCentral/FAT Viewer?action=UPDATE&amp;creator=factset&amp;DOC_NAME=fat:reuters_ltm_source_window.fat&amp;display_string=Audit&amp;DYN_ARGS=TRUE&amp;VAR:ID1=CLH&amp;VAR:RCODE=FDSREVSTOTAL&amp;VAR:SDATE=20090399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5__123Graph_XChart_1A" localSheetId="0" hidden="1">#REF!</definedName>
    <definedName name="_335__123Graph_XChart_1A" hidden="1">#REF!</definedName>
    <definedName name="_335__FDSAUDITLINK__" localSheetId="5" hidden="1">{"fdsup://IBCentral/FAT Viewer?action=UPDATE&amp;creator=factset&amp;DOC_NAME=fat:reuters_ltm_source_window.fat&amp;display_string=Audit&amp;DYN_ARGS=TRUE&amp;VAR:ID1=BUCY&amp;VAR:RCODE=FDSREVSTOTAL&amp;VAR:SDATE=20090399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5__FDSAUDITLINK__" localSheetId="0" hidden="1">{"fdsup://IBCentral/FAT Viewer?action=UPDATE&amp;creator=factset&amp;DOC_NAME=fat:reuters_ltm_source_window.fat&amp;display_string=Audit&amp;DYN_ARGS=TRUE&amp;VAR:ID1=BUCY&amp;VAR:RCODE=FDSREVSTOTAL&amp;VAR:SDATE=20090399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5__FDSAUDITLINK__" localSheetId="4" hidden="1">{"fdsup://IBCentral/FAT Viewer?action=UPDATE&amp;creator=factset&amp;DOC_NAME=fat:reuters_ltm_source_window.fat&amp;display_string=Audit&amp;DYN_ARGS=TRUE&amp;VAR:ID1=BUCY&amp;VAR:RCODE=FDSREVSTOTAL&amp;VAR:SDATE=20090399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5__FDSAUDITLINK__" hidden="1">{"fdsup://IBCentral/FAT Viewer?action=UPDATE&amp;creator=factset&amp;DOC_NAME=fat:reuters_ltm_source_window.fat&amp;display_string=Audit&amp;DYN_ARGS=TRUE&amp;VAR:ID1=BUCY&amp;VAR:RCODE=FDSREVSTOTAL&amp;VAR:SDATE=20090399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36__FDSAUDITLINK__" localSheetId="5" hidden="1">{"fdsup://IBCentral/FAT Viewer?action=UPDATE&amp;creator=factset&amp;DOC_NAME=fat:reuters_ltm_source_window.fat&amp;display_string=Audit&amp;DYN_ARGS=TRUE&amp;VAR:ID1=BCO&amp;VAR:RCODE=FDSREVSTOTAL&amp;VAR:SDATE=20090399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6__FDSAUDITLINK__" localSheetId="0" hidden="1">{"fdsup://IBCentral/FAT Viewer?action=UPDATE&amp;creator=factset&amp;DOC_NAME=fat:reuters_ltm_source_window.fat&amp;display_string=Audit&amp;DYN_ARGS=TRUE&amp;VAR:ID1=BCO&amp;VAR:RCODE=FDSREVSTOTAL&amp;VAR:SDATE=20090399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6__FDSAUDITLINK__" localSheetId="4" hidden="1">{"fdsup://IBCentral/FAT Viewer?action=UPDATE&amp;creator=factset&amp;DOC_NAME=fat:reuters_ltm_source_window.fat&amp;display_string=Audit&amp;DYN_ARGS=TRUE&amp;VAR:ID1=BCO&amp;VAR:RCODE=FDSREVSTOTAL&amp;VAR:SDATE=20090399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6__FDSAUDITLINK__" hidden="1">{"fdsup://IBCentral/FAT Viewer?action=UPDATE&amp;creator=factset&amp;DOC_NAME=fat:reuters_ltm_source_window.fat&amp;display_string=Audit&amp;DYN_ARGS=TRUE&amp;VAR:ID1=BCO&amp;VAR:RCODE=FDSREVSTOTAL&amp;VAR:SDATE=20090399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7__123Graph_XChart_2AC" localSheetId="0" hidden="1">#REF!</definedName>
    <definedName name="_337__123Graph_XChart_2AC" hidden="1">#REF!</definedName>
    <definedName name="_337__FDSAUDITLINK__" localSheetId="5" hidden="1">{"fdsup://IBCentral/FAT Viewer?action=UPDATE&amp;creator=factset&amp;DOC_NAME=fat:reuters_ltm_source_window.fat&amp;display_string=Audit&amp;DYN_ARGS=TRUE&amp;VAR:ID1=KMT&amp;VAR:RCODE=FDSREVSTOTAL&amp;VAR:SDATE=20090399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7__FDSAUDITLINK__" localSheetId="0" hidden="1">{"fdsup://IBCentral/FAT Viewer?action=UPDATE&amp;creator=factset&amp;DOC_NAME=fat:reuters_ltm_source_window.fat&amp;display_string=Audit&amp;DYN_ARGS=TRUE&amp;VAR:ID1=KMT&amp;VAR:RCODE=FDSREVSTOTAL&amp;VAR:SDATE=20090399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7__FDSAUDITLINK__" localSheetId="4" hidden="1">{"fdsup://IBCentral/FAT Viewer?action=UPDATE&amp;creator=factset&amp;DOC_NAME=fat:reuters_ltm_source_window.fat&amp;display_string=Audit&amp;DYN_ARGS=TRUE&amp;VAR:ID1=KMT&amp;VAR:RCODE=FDSREVSTOTAL&amp;VAR:SDATE=20090399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7__FDSAUDITLINK__" hidden="1">{"fdsup://IBCentral/FAT Viewer?action=UPDATE&amp;creator=factset&amp;DOC_NAME=fat:reuters_ltm_source_window.fat&amp;display_string=Audit&amp;DYN_ARGS=TRUE&amp;VAR:ID1=KMT&amp;VAR:RCODE=FDSREVSTOTAL&amp;VAR:SDATE=20090399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8__FDSAUDITLINK__" localSheetId="5" hidden="1">{"fdsup://IBCentral/FAT Viewer?action=UPDATE&amp;creator=factset&amp;DOC_NAME=fat:reuters_ltm_source_window.fat&amp;display_string=Audit&amp;DYN_ARGS=TRUE&amp;VAR:ID1=KNX&amp;VAR:RCODE=FDSREVSTOTAL&amp;VAR:SDATE=20090399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8__FDSAUDITLINK__" localSheetId="0" hidden="1">{"fdsup://IBCentral/FAT Viewer?action=UPDATE&amp;creator=factset&amp;DOC_NAME=fat:reuters_ltm_source_window.fat&amp;display_string=Audit&amp;DYN_ARGS=TRUE&amp;VAR:ID1=KNX&amp;VAR:RCODE=FDSREVSTOTAL&amp;VAR:SDATE=20090399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8__FDSAUDITLINK__" localSheetId="4" hidden="1">{"fdsup://IBCentral/FAT Viewer?action=UPDATE&amp;creator=factset&amp;DOC_NAME=fat:reuters_ltm_source_window.fat&amp;display_string=Audit&amp;DYN_ARGS=TRUE&amp;VAR:ID1=KNX&amp;VAR:RCODE=FDSREVSTOTAL&amp;VAR:SDATE=20090399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8__FDSAUDITLINK__" hidden="1">{"fdsup://IBCentral/FAT Viewer?action=UPDATE&amp;creator=factset&amp;DOC_NAME=fat:reuters_ltm_source_window.fat&amp;display_string=Audit&amp;DYN_ARGS=TRUE&amp;VAR:ID1=KNX&amp;VAR:RCODE=FDSREVSTOTAL&amp;VAR:SDATE=20090399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39__123Graph_XChart_2U" localSheetId="0" hidden="1">#REF!</definedName>
    <definedName name="_339__123Graph_XChart_2U" hidden="1">#REF!</definedName>
    <definedName name="_339__FDSAUDITLINK__" localSheetId="5" hidden="1">{"fdsup://IBCentral/FAT Viewer?action=UPDATE&amp;creator=factset&amp;DOC_NAME=fat:reuters_ltm_source_window.fat&amp;display_string=Audit&amp;DYN_ARGS=TRUE&amp;VAR:ID1=CW&amp;VAR:RCODE=FDSREVSTOTAL&amp;VAR:SDATE=20090399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39__FDSAUDITLINK__" localSheetId="0" hidden="1">{"fdsup://IBCentral/FAT Viewer?action=UPDATE&amp;creator=factset&amp;DOC_NAME=fat:reuters_ltm_source_window.fat&amp;display_string=Audit&amp;DYN_ARGS=TRUE&amp;VAR:ID1=CW&amp;VAR:RCODE=FDSREVSTOTAL&amp;VAR:SDATE=20090399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39__FDSAUDITLINK__" localSheetId="4" hidden="1">{"fdsup://IBCentral/FAT Viewer?action=UPDATE&amp;creator=factset&amp;DOC_NAME=fat:reuters_ltm_source_window.fat&amp;display_string=Audit&amp;DYN_ARGS=TRUE&amp;VAR:ID1=CW&amp;VAR:RCODE=FDSREVSTOTAL&amp;VAR:SDATE=20090399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39__FDSAUDITLINK__" hidden="1">{"fdsup://IBCentral/FAT Viewer?action=UPDATE&amp;creator=factset&amp;DOC_NAME=fat:reuters_ltm_source_window.fat&amp;display_string=Audit&amp;DYN_ARGS=TRUE&amp;VAR:ID1=CW&amp;VAR:RCODE=FDSREVSTOTAL&amp;VAR:SDATE=20090399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4__FDSAUDITLINK__" localSheetId="5" hidden="1">{"fdsup://IBCentral/FAT Viewer?action=UPDATE&amp;creator=factset&amp;DOC_NAME=fat:reuters_ltm_source_window.fat&amp;display_string=Audit&amp;DYN_ARGS=TRUE&amp;VAR:ID1=CSL&amp;VAR:RCODE=FIBCEBITDA&amp;VAR:SDATE=20090399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4__FDSAUDITLINK__" localSheetId="0" hidden="1">{"fdsup://IBCentral/FAT Viewer?action=UPDATE&amp;creator=factset&amp;DOC_NAME=fat:reuters_ltm_source_window.fat&amp;display_string=Audit&amp;DYN_ARGS=TRUE&amp;VAR:ID1=CSL&amp;VAR:RCODE=FIBCEBITDA&amp;VAR:SDATE=20090399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4__FDSAUDITLINK__" localSheetId="4" hidden="1">{"fdsup://IBCentral/FAT Viewer?action=UPDATE&amp;creator=factset&amp;DOC_NAME=fat:reuters_ltm_source_window.fat&amp;display_string=Audit&amp;DYN_ARGS=TRUE&amp;VAR:ID1=CSL&amp;VAR:RCODE=FIBCEBITDA&amp;VAR:SDATE=20090399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4__FDSAUDITLINK__" hidden="1">{"fdsup://IBCentral/FAT Viewer?action=UPDATE&amp;creator=factset&amp;DOC_NAME=fat:reuters_ltm_source_window.fat&amp;display_string=Audit&amp;DYN_ARGS=TRUE&amp;VAR:ID1=CSL&amp;VAR:RCODE=FIBCEBITDA&amp;VAR:SDATE=20090399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4_3_0Income_before_ta" localSheetId="0">#REF!</definedName>
    <definedName name="_34_3_0Income_before_ta">#REF!</definedName>
    <definedName name="_340__FDSAUDITLINK__" localSheetId="5" hidden="1">{"fdsup://IBCentral/FAT Viewer?action=UPDATE&amp;creator=factset&amp;DOC_NAME=fat:reuters_ltm_source_window.fat&amp;display_string=Audit&amp;DYN_ARGS=TRUE&amp;VAR:ID1=CLC&amp;VAR:RCODE=FDSREVSTOTAL&amp;VAR:SDATE=20090299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0__FDSAUDITLINK__" localSheetId="0" hidden="1">{"fdsup://IBCentral/FAT Viewer?action=UPDATE&amp;creator=factset&amp;DOC_NAME=fat:reuters_ltm_source_window.fat&amp;display_string=Audit&amp;DYN_ARGS=TRUE&amp;VAR:ID1=CLC&amp;VAR:RCODE=FDSREVSTOTAL&amp;VAR:SDATE=20090299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0__FDSAUDITLINK__" localSheetId="4" hidden="1">{"fdsup://IBCentral/FAT Viewer?action=UPDATE&amp;creator=factset&amp;DOC_NAME=fat:reuters_ltm_source_window.fat&amp;display_string=Audit&amp;DYN_ARGS=TRUE&amp;VAR:ID1=CLC&amp;VAR:RCODE=FDSREVSTOTAL&amp;VAR:SDATE=20090299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0__FDSAUDITLINK__" hidden="1">{"fdsup://IBCentral/FAT Viewer?action=UPDATE&amp;creator=factset&amp;DOC_NAME=fat:reuters_ltm_source_window.fat&amp;display_string=Audit&amp;DYN_ARGS=TRUE&amp;VAR:ID1=CLC&amp;VAR:RCODE=FDSREVSTOTAL&amp;VAR:SDATE=20090299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1__FDSAUDITLINK__" localSheetId="5" hidden="1">{"fdsup://IBCentral/FAT Viewer?action=UPDATE&amp;creator=factset&amp;DOC_NAME=fat:reuters_ltm_source_window.fat&amp;display_string=Audit&amp;DYN_ARGS=TRUE&amp;VAR:ID1=TNB&amp;VAR:RCODE=FDSREVSTOTAL&amp;VAR:SDATE=20090399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1__FDSAUDITLINK__" localSheetId="0" hidden="1">{"fdsup://IBCentral/FAT Viewer?action=UPDATE&amp;creator=factset&amp;DOC_NAME=fat:reuters_ltm_source_window.fat&amp;display_string=Audit&amp;DYN_ARGS=TRUE&amp;VAR:ID1=TNB&amp;VAR:RCODE=FDSREVSTOTAL&amp;VAR:SDATE=20090399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1__FDSAUDITLINK__" localSheetId="4" hidden="1">{"fdsup://IBCentral/FAT Viewer?action=UPDATE&amp;creator=factset&amp;DOC_NAME=fat:reuters_ltm_source_window.fat&amp;display_string=Audit&amp;DYN_ARGS=TRUE&amp;VAR:ID1=TNB&amp;VAR:RCODE=FDSREVSTOTAL&amp;VAR:SDATE=20090399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Viewer?action=UPDATE&amp;creator=factset&amp;DOC_NAME=fat:reuters_ltm_source_window.fat&amp;display_string=Audit&amp;DYN_ARGS=TRUE&amp;VAR:ID1=TNB&amp;VAR:RCODE=FDSREVSTOTAL&amp;VAR:SDATE=20090399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2__FDSAUDITLINK__" localSheetId="5" hidden="1">{"fdsup://IBCentral/FAT Viewer?action=UPDATE&amp;creator=factset&amp;DOC_NAME=fat:reuters_ltm_source_window.fat&amp;display_string=Audit&amp;DYN_ARGS=TRUE&amp;VAR:ID1=MSM&amp;VAR:RCODE=FDSREVSTOTAL&amp;VAR:SDATE=20090299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2__FDSAUDITLINK__" localSheetId="0" hidden="1">{"fdsup://IBCentral/FAT Viewer?action=UPDATE&amp;creator=factset&amp;DOC_NAME=fat:reuters_ltm_source_window.fat&amp;display_string=Audit&amp;DYN_ARGS=TRUE&amp;VAR:ID1=MSM&amp;VAR:RCODE=FDSREVSTOTAL&amp;VAR:SDATE=20090299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2__FDSAUDITLINK__" localSheetId="4" hidden="1">{"fdsup://IBCentral/FAT Viewer?action=UPDATE&amp;creator=factset&amp;DOC_NAME=fat:reuters_ltm_source_window.fat&amp;display_string=Audit&amp;DYN_ARGS=TRUE&amp;VAR:ID1=MSM&amp;VAR:RCODE=FDSREVSTOTAL&amp;VAR:SDATE=20090299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2__FDSAUDITLINK__" hidden="1">{"fdsup://IBCentral/FAT Viewer?action=UPDATE&amp;creator=factset&amp;DOC_NAME=fat:reuters_ltm_source_window.fat&amp;display_string=Audit&amp;DYN_ARGS=TRUE&amp;VAR:ID1=MSM&amp;VAR:RCODE=FDSREVSTOTAL&amp;VAR:SDATE=20090299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3__FDSAUDITLINK__" localSheetId="5" hidden="1">{"fdsup://IBCentral/FAT Viewer?action=UPDATE&amp;creator=factset&amp;DOC_NAME=fat:reuters_ltm_source_window.fat&amp;display_string=Audit&amp;DYN_ARGS=TRUE&amp;VAR:ID1=CSL&amp;VAR:RCODE=FDSREVSTOTAL&amp;VAR:SDATE=20090399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3__FDSAUDITLINK__" localSheetId="0" hidden="1">{"fdsup://IBCentral/FAT Viewer?action=UPDATE&amp;creator=factset&amp;DOC_NAME=fat:reuters_ltm_source_window.fat&amp;display_string=Audit&amp;DYN_ARGS=TRUE&amp;VAR:ID1=CSL&amp;VAR:RCODE=FDSREVSTOTAL&amp;VAR:SDATE=20090399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3__FDSAUDITLINK__" localSheetId="4" hidden="1">{"fdsup://IBCentral/FAT Viewer?action=UPDATE&amp;creator=factset&amp;DOC_NAME=fat:reuters_ltm_source_window.fat&amp;display_string=Audit&amp;DYN_ARGS=TRUE&amp;VAR:ID1=CSL&amp;VAR:RCODE=FDSREVSTOTAL&amp;VAR:SDATE=20090399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3__FDSAUDITLINK__" hidden="1">{"fdsup://IBCentral/FAT Viewer?action=UPDATE&amp;creator=factset&amp;DOC_NAME=fat:reuters_ltm_source_window.fat&amp;display_string=Audit&amp;DYN_ARGS=TRUE&amp;VAR:ID1=CSL&amp;VAR:RCODE=FDSREVSTOTAL&amp;VAR:SDATE=20090399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4__FDSAUDITLINK__" localSheetId="5" hidden="1">{"fdsup://IBCentral/FAT Viewer?action=UPDATE&amp;creator=factset&amp;DOC_NAME=fat:reuters_ltm_source_window.fat&amp;display_string=Audit&amp;DYN_ARGS=TRUE&amp;VAR:ID1=HTLD&amp;VAR:RCODE=FDSREVSTOTAL&amp;VAR:SDATE=20090399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44__FDSAUDITLINK__" localSheetId="0" hidden="1">{"fdsup://IBCentral/FAT Viewer?action=UPDATE&amp;creator=factset&amp;DOC_NAME=fat:reuters_ltm_source_window.fat&amp;display_string=Audit&amp;DYN_ARGS=TRUE&amp;VAR:ID1=HTLD&amp;VAR:RCODE=FDSREVSTOTAL&amp;VAR:SDATE=20090399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44__FDSAUDITLINK__" localSheetId="4" hidden="1">{"fdsup://IBCentral/FAT Viewer?action=UPDATE&amp;creator=factset&amp;DOC_NAME=fat:reuters_ltm_source_window.fat&amp;display_string=Audit&amp;DYN_ARGS=TRUE&amp;VAR:ID1=HTLD&amp;VAR:RCODE=FDSREVSTOTAL&amp;VAR:SDATE=20090399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44__FDSAUDITLINK__" hidden="1">{"fdsup://IBCentral/FAT Viewer?action=UPDATE&amp;creator=factset&amp;DOC_NAME=fat:reuters_ltm_source_window.fat&amp;display_string=Audit&amp;DYN_ARGS=TRUE&amp;VAR:ID1=HTLD&amp;VAR:RCODE=FDSREVSTOTAL&amp;VAR:SDATE=20090399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45__FDSAUDITLINK__" localSheetId="5" hidden="1">{"fdsup://IBCentral/FAT Viewer?action=UPDATE&amp;creator=factset&amp;DOC_NAME=fat:reuters_ltm_source_window.fat&amp;display_string=Audit&amp;DYN_ARGS=TRUE&amp;VAR:ID1=TTEK&amp;VAR:RCODE=FDSREVSTOTAL&amp;VAR:SDATE=20090399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45__FDSAUDITLINK__" localSheetId="0" hidden="1">{"fdsup://IBCentral/FAT Viewer?action=UPDATE&amp;creator=factset&amp;DOC_NAME=fat:reuters_ltm_source_window.fat&amp;display_string=Audit&amp;DYN_ARGS=TRUE&amp;VAR:ID1=TTEK&amp;VAR:RCODE=FDSREVSTOTAL&amp;VAR:SDATE=20090399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45__FDSAUDITLINK__" localSheetId="4" hidden="1">{"fdsup://IBCentral/FAT Viewer?action=UPDATE&amp;creator=factset&amp;DOC_NAME=fat:reuters_ltm_source_window.fat&amp;display_string=Audit&amp;DYN_ARGS=TRUE&amp;VAR:ID1=TTEK&amp;VAR:RCODE=FDSREVSTOTAL&amp;VAR:SDATE=20090399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45__FDSAUDITLINK__" hidden="1">{"fdsup://IBCentral/FAT Viewer?action=UPDATE&amp;creator=factset&amp;DOC_NAME=fat:reuters_ltm_source_window.fat&amp;display_string=Audit&amp;DYN_ARGS=TRUE&amp;VAR:ID1=TTEK&amp;VAR:RCODE=FDSREVSTOTAL&amp;VAR:SDATE=20090399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46__FDSAUDITLINK__" localSheetId="5" hidden="1">{"fdsup://IBCentral/FAT Viewer?action=UPDATE&amp;creator=factset&amp;DOC_NAME=fat:reuters_ltm_source_window.fat&amp;display_string=Audit&amp;DYN_ARGS=TRUE&amp;VAR:ID1=WAB&amp;VAR:RCODE=FDSREVSTOTAL&amp;VAR:SDATE=20090399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6__FDSAUDITLINK__" localSheetId="0" hidden="1">{"fdsup://IBCentral/FAT Viewer?action=UPDATE&amp;creator=factset&amp;DOC_NAME=fat:reuters_ltm_source_window.fat&amp;display_string=Audit&amp;DYN_ARGS=TRUE&amp;VAR:ID1=WAB&amp;VAR:RCODE=FDSREVSTOTAL&amp;VAR:SDATE=20090399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6__FDSAUDITLINK__" localSheetId="4" hidden="1">{"fdsup://IBCentral/FAT Viewer?action=UPDATE&amp;creator=factset&amp;DOC_NAME=fat:reuters_ltm_source_window.fat&amp;display_string=Audit&amp;DYN_ARGS=TRUE&amp;VAR:ID1=WAB&amp;VAR:RCODE=FDSREVSTOTAL&amp;VAR:SDATE=20090399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6__FDSAUDITLINK__" hidden="1">{"fdsup://IBCentral/FAT Viewer?action=UPDATE&amp;creator=factset&amp;DOC_NAME=fat:reuters_ltm_source_window.fat&amp;display_string=Audit&amp;DYN_ARGS=TRUE&amp;VAR:ID1=WAB&amp;VAR:RCODE=FDSREVSTOTAL&amp;VAR:SDATE=20090399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7__FDSAUDITLINK__" localSheetId="5" hidden="1">{"fdsup://IBCentral/FAT Viewer?action=UPDATE&amp;creator=factset&amp;DOC_NAME=fat:reuters_ltm_source_window.fat&amp;display_string=Audit&amp;DYN_ARGS=TRUE&amp;VAR:ID1=KSU&amp;VAR:RCODE=FDSREVSTOTAL&amp;VAR:SDATE=20090399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7__FDSAUDITLINK__" localSheetId="0" hidden="1">{"fdsup://IBCentral/FAT Viewer?action=UPDATE&amp;creator=factset&amp;DOC_NAME=fat:reuters_ltm_source_window.fat&amp;display_string=Audit&amp;DYN_ARGS=TRUE&amp;VAR:ID1=KSU&amp;VAR:RCODE=FDSREVSTOTAL&amp;VAR:SDATE=20090399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7__FDSAUDITLINK__" localSheetId="4" hidden="1">{"fdsup://IBCentral/FAT Viewer?action=UPDATE&amp;creator=factset&amp;DOC_NAME=fat:reuters_ltm_source_window.fat&amp;display_string=Audit&amp;DYN_ARGS=TRUE&amp;VAR:ID1=KSU&amp;VAR:RCODE=FDSREVSTOTAL&amp;VAR:SDATE=20090399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7__FDSAUDITLINK__" hidden="1">{"fdsup://IBCentral/FAT Viewer?action=UPDATE&amp;creator=factset&amp;DOC_NAME=fat:reuters_ltm_source_window.fat&amp;display_string=Audit&amp;DYN_ARGS=TRUE&amp;VAR:ID1=KSU&amp;VAR:RCODE=FDSREVSTOTAL&amp;VAR:SDATE=20090399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8__FDSAUDITLINK__" localSheetId="5" hidden="1">{"fdsup://IBCentral/FAT Viewer?action=UPDATE&amp;creator=factset&amp;DOC_NAME=fat:reuters_ltm_source_window.fat&amp;display_string=Audit&amp;DYN_ARGS=TRUE&amp;VAR:ID1=VMI&amp;VAR:RCODE=FDSREVSTOTAL&amp;VAR:SDATE=20090399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8__FDSAUDITLINK__" localSheetId="0" hidden="1">{"fdsup://IBCentral/FAT Viewer?action=UPDATE&amp;creator=factset&amp;DOC_NAME=fat:reuters_ltm_source_window.fat&amp;display_string=Audit&amp;DYN_ARGS=TRUE&amp;VAR:ID1=VMI&amp;VAR:RCODE=FDSREVSTOTAL&amp;VAR:SDATE=20090399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8__FDSAUDITLINK__" localSheetId="4" hidden="1">{"fdsup://IBCentral/FAT Viewer?action=UPDATE&amp;creator=factset&amp;DOC_NAME=fat:reuters_ltm_source_window.fat&amp;display_string=Audit&amp;DYN_ARGS=TRUE&amp;VAR:ID1=VMI&amp;VAR:RCODE=FDSREVSTOTAL&amp;VAR:SDATE=20090399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8__FDSAUDITLINK__" hidden="1">{"fdsup://IBCentral/FAT Viewer?action=UPDATE&amp;creator=factset&amp;DOC_NAME=fat:reuters_ltm_source_window.fat&amp;display_string=Audit&amp;DYN_ARGS=TRUE&amp;VAR:ID1=VMI&amp;VAR:RCODE=FDSREVSTOTAL&amp;VAR:SDATE=20090399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9__FDSAUDITLINK__" localSheetId="5" hidden="1">{"fdsup://IBCentral/FAT Viewer?action=UPDATE&amp;creator=factset&amp;DOC_NAME=fat:reuters_ltm_source_window.fat&amp;display_string=Audit&amp;DYN_ARGS=TRUE&amp;VAR:ID1=KEX&amp;VAR:RCODE=FDSREVSTOTAL&amp;VAR:SDATE=20090399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9__FDSAUDITLINK__" localSheetId="0" hidden="1">{"fdsup://IBCentral/FAT Viewer?action=UPDATE&amp;creator=factset&amp;DOC_NAME=fat:reuters_ltm_source_window.fat&amp;display_string=Audit&amp;DYN_ARGS=TRUE&amp;VAR:ID1=KEX&amp;VAR:RCODE=FDSREVSTOTAL&amp;VAR:SDATE=20090399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9__FDSAUDITLINK__" localSheetId="4" hidden="1">{"fdsup://IBCentral/FAT Viewer?action=UPDATE&amp;creator=factset&amp;DOC_NAME=fat:reuters_ltm_source_window.fat&amp;display_string=Audit&amp;DYN_ARGS=TRUE&amp;VAR:ID1=KEX&amp;VAR:RCODE=FDSREVSTOTAL&amp;VAR:SDATE=20090399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49__FDSAUDITLINK__" hidden="1">{"fdsup://IBCentral/FAT Viewer?action=UPDATE&amp;creator=factset&amp;DOC_NAME=fat:reuters_ltm_source_window.fat&amp;display_string=Audit&amp;DYN_ARGS=TRUE&amp;VAR:ID1=KEX&amp;VAR:RCODE=FDSREVSTOTAL&amp;VAR:SDATE=20090399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__123Graph_AChart_1AN" localSheetId="0" hidden="1">#REF!</definedName>
    <definedName name="_35__123Graph_AChart_1AN" hidden="1">#REF!</definedName>
    <definedName name="_35__FDSAUDITLINK__" localSheetId="5" hidden="1">{"fdsup://IBCentral/FAT Viewer?action=UPDATE&amp;creator=factset&amp;DOC_NAME=fat:reuters_ltm_source_window.fat&amp;display_string=Audit&amp;DYN_ARGS=TRUE&amp;VAR:ID1=HTLD&amp;VAR:RCODE=FIBCEBITDA&amp;VAR:SDATE=20090399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5__FDSAUDITLINK__" localSheetId="0" hidden="1">{"fdsup://IBCentral/FAT Viewer?action=UPDATE&amp;creator=factset&amp;DOC_NAME=fat:reuters_ltm_source_window.fat&amp;display_string=Audit&amp;DYN_ARGS=TRUE&amp;VAR:ID1=HTLD&amp;VAR:RCODE=FIBCEBITDA&amp;VAR:SDATE=20090399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5__FDSAUDITLINK__" localSheetId="4" hidden="1">{"fdsup://IBCentral/FAT Viewer?action=UPDATE&amp;creator=factset&amp;DOC_NAME=fat:reuters_ltm_source_window.fat&amp;display_string=Audit&amp;DYN_ARGS=TRUE&amp;VAR:ID1=HTLD&amp;VAR:RCODE=FIBCEBITDA&amp;VAR:SDATE=20090399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5__FDSAUDITLINK__" hidden="1">{"fdsup://IBCentral/FAT Viewer?action=UPDATE&amp;creator=factset&amp;DOC_NAME=fat:reuters_ltm_source_window.fat&amp;display_string=Audit&amp;DYN_ARGS=TRUE&amp;VAR:ID1=HTLD&amp;VAR:RCODE=FIBCEBITDA&amp;VAR:SDATE=20090399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5_3_0Increase_in_other_liabilit" localSheetId="0">#REF!</definedName>
    <definedName name="_35_3_0Increase_in_other_liabilit">#REF!</definedName>
    <definedName name="_350__FDSAUDITLINK__" localSheetId="5" hidden="1">{"fdsup://IBCentral/FAT Viewer?action=UPDATE&amp;creator=factset&amp;DOC_NAME=fat:reuters_ltm_source_window.fat&amp;display_string=Audit&amp;DYN_ARGS=TRUE&amp;VAR:ID1=TKR&amp;VAR:RCODE=FDSREVSTOTAL&amp;VAR:SDATE=20090399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0__FDSAUDITLINK__" localSheetId="0" hidden="1">{"fdsup://IBCentral/FAT Viewer?action=UPDATE&amp;creator=factset&amp;DOC_NAME=fat:reuters_ltm_source_window.fat&amp;display_string=Audit&amp;DYN_ARGS=TRUE&amp;VAR:ID1=TKR&amp;VAR:RCODE=FDSREVSTOTAL&amp;VAR:SDATE=20090399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0__FDSAUDITLINK__" localSheetId="4" hidden="1">{"fdsup://IBCentral/FAT Viewer?action=UPDATE&amp;creator=factset&amp;DOC_NAME=fat:reuters_ltm_source_window.fat&amp;display_string=Audit&amp;DYN_ARGS=TRUE&amp;VAR:ID1=TKR&amp;VAR:RCODE=FDSREVSTOTAL&amp;VAR:SDATE=20090399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0__FDSAUDITLINK__" hidden="1">{"fdsup://IBCentral/FAT Viewer?action=UPDATE&amp;creator=factset&amp;DOC_NAME=fat:reuters_ltm_source_window.fat&amp;display_string=Audit&amp;DYN_ARGS=TRUE&amp;VAR:ID1=TKR&amp;VAR:RCODE=FDSREVSTOTAL&amp;VAR:SDATE=20090399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1__FDSAUDITLINK__" localSheetId="5" hidden="1">{"fdsup://IBCentral/FAT Viewer?action=UPDATE&amp;creator=factset&amp;DOC_NAME=fat:reuters_ltm_source_window.fat&amp;display_string=Audit&amp;DYN_ARGS=TRUE&amp;VAR:ID1=LECO&amp;VAR:RCODE=FDSREVSTOTAL&amp;VAR:SDATE=20090399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51__FDSAUDITLINK__" localSheetId="0" hidden="1">{"fdsup://IBCentral/FAT Viewer?action=UPDATE&amp;creator=factset&amp;DOC_NAME=fat:reuters_ltm_source_window.fat&amp;display_string=Audit&amp;DYN_ARGS=TRUE&amp;VAR:ID1=LECO&amp;VAR:RCODE=FDSREVSTOTAL&amp;VAR:SDATE=20090399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51__FDSAUDITLINK__" localSheetId="4" hidden="1">{"fdsup://IBCentral/FAT Viewer?action=UPDATE&amp;creator=factset&amp;DOC_NAME=fat:reuters_ltm_source_window.fat&amp;display_string=Audit&amp;DYN_ARGS=TRUE&amp;VAR:ID1=LECO&amp;VAR:RCODE=FDSREVSTOTAL&amp;VAR:SDATE=20090399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51__FDSAUDITLINK__" hidden="1">{"fdsup://IBCentral/FAT Viewer?action=UPDATE&amp;creator=factset&amp;DOC_NAME=fat:reuters_ltm_source_window.fat&amp;display_string=Audit&amp;DYN_ARGS=TRUE&amp;VAR:ID1=LECO&amp;VAR:RCODE=FDSREVSTOTAL&amp;VAR:SDATE=20090399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52__FDSAUDITLINK__" localSheetId="5" hidden="1">{"fdsup://IBCentral/FAT Viewer?action=UPDATE&amp;creator=factset&amp;DOC_NAME=fat:reuters_ltm_source_window.fat&amp;display_string=Audit&amp;DYN_ARGS=TRUE&amp;VAR:ID1=HUB.B&amp;VAR:RCODE=FDSREVSTOTAL&amp;VAR:SDATE=20090399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352__FDSAUDITLINK__" localSheetId="0" hidden="1">{"fdsup://IBCentral/FAT Viewer?action=UPDATE&amp;creator=factset&amp;DOC_NAME=fat:reuters_ltm_source_window.fat&amp;display_string=Audit&amp;DYN_ARGS=TRUE&amp;VAR:ID1=HUB.B&amp;VAR:RCODE=FDSREVSTOTAL&amp;VAR:SDATE=20090399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352__FDSAUDITLINK__" localSheetId="4" hidden="1">{"fdsup://IBCentral/FAT Viewer?action=UPDATE&amp;creator=factset&amp;DOC_NAME=fat:reuters_ltm_source_window.fat&amp;display_string=Audit&amp;DYN_ARGS=TRUE&amp;VAR:ID1=HUB.B&amp;VAR:RCODE=FDSREVSTOTAL&amp;VAR:SDATE=20090399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352__FDSAUDITLINK__" hidden="1">{"fdsup://IBCentral/FAT Viewer?action=UPDATE&amp;creator=factset&amp;DOC_NAME=fat:reuters_ltm_source_window.fat&amp;display_string=Audit&amp;DYN_ARGS=TRUE&amp;VAR:ID1=HUB.B&amp;VAR:RCODE=FDSREVSTOTAL&amp;VAR:SDATE=20090399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353__FDSAUDITLINK__" localSheetId="5" hidden="1">{"fdsup://IBCentral/FAT Viewer?action=UPDATE&amp;creator=factset&amp;DOC_NAME=fat:reuters_ltm_source_window.fat&amp;display_string=Audit&amp;DYN_ARGS=TRUE&amp;VAR:ID1=LII&amp;VAR:RCODE=FDSREVSTOTAL&amp;VAR:SDATE=20090399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3__FDSAUDITLINK__" localSheetId="0" hidden="1">{"fdsup://IBCentral/FAT Viewer?action=UPDATE&amp;creator=factset&amp;DOC_NAME=fat:reuters_ltm_source_window.fat&amp;display_string=Audit&amp;DYN_ARGS=TRUE&amp;VAR:ID1=LII&amp;VAR:RCODE=FDSREVSTOTAL&amp;VAR:SDATE=20090399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3__FDSAUDITLINK__" localSheetId="4" hidden="1">{"fdsup://IBCentral/FAT Viewer?action=UPDATE&amp;creator=factset&amp;DOC_NAME=fat:reuters_ltm_source_window.fat&amp;display_string=Audit&amp;DYN_ARGS=TRUE&amp;VAR:ID1=LII&amp;VAR:RCODE=FDSREVSTOTAL&amp;VAR:SDATE=20090399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3__FDSAUDITLINK__" hidden="1">{"fdsup://IBCentral/FAT Viewer?action=UPDATE&amp;creator=factset&amp;DOC_NAME=fat:reuters_ltm_source_window.fat&amp;display_string=Audit&amp;DYN_ARGS=TRUE&amp;VAR:ID1=LII&amp;VAR:RCODE=FDSREVSTOTAL&amp;VAR:SDATE=20090399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4__FDSAUDITLINK__" localSheetId="5" hidden="1">{"fdsup://IBCentral/FAT Viewer?action=UPDATE&amp;creator=factset&amp;DOC_NAME=fat:reuters_ltm_source_window.fat&amp;display_string=Audit&amp;DYN_ARGS=TRUE&amp;VAR:ID1=GVA&amp;VAR:RCODE=FDSREVSTOTAL&amp;VAR:SDATE=20090399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4__FDSAUDITLINK__" localSheetId="0" hidden="1">{"fdsup://IBCentral/FAT Viewer?action=UPDATE&amp;creator=factset&amp;DOC_NAME=fat:reuters_ltm_source_window.fat&amp;display_string=Audit&amp;DYN_ARGS=TRUE&amp;VAR:ID1=GVA&amp;VAR:RCODE=FDSREVSTOTAL&amp;VAR:SDATE=20090399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4__FDSAUDITLINK__" localSheetId="4" hidden="1">{"fdsup://IBCentral/FAT Viewer?action=UPDATE&amp;creator=factset&amp;DOC_NAME=fat:reuters_ltm_source_window.fat&amp;display_string=Audit&amp;DYN_ARGS=TRUE&amp;VAR:ID1=GVA&amp;VAR:RCODE=FDSREVSTOTAL&amp;VAR:SDATE=20090399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4__FDSAUDITLINK__" hidden="1">{"fdsup://IBCentral/FAT Viewer?action=UPDATE&amp;creator=factset&amp;DOC_NAME=fat:reuters_ltm_source_window.fat&amp;display_string=Audit&amp;DYN_ARGS=TRUE&amp;VAR:ID1=GVA&amp;VAR:RCODE=FDSREVSTOTAL&amp;VAR:SDATE=20090399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5__FDSAUDITLINK__" localSheetId="5" hidden="1">{"fdsup://IBCentral/FAT Viewer?action=UPDATE&amp;creator=factset&amp;DOC_NAME=fat:reuters_ltm_source_window.fat&amp;display_string=Audit&amp;DYN_ARGS=TRUE&amp;VAR:ID1=R&amp;VAR:RCODE=FDSREVSTOTAL&amp;VAR:SDATE=20090399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55__FDSAUDITLINK__" localSheetId="0" hidden="1">{"fdsup://IBCentral/FAT Viewer?action=UPDATE&amp;creator=factset&amp;DOC_NAME=fat:reuters_ltm_source_window.fat&amp;display_string=Audit&amp;DYN_ARGS=TRUE&amp;VAR:ID1=R&amp;VAR:RCODE=FDSREVSTOTAL&amp;VAR:SDATE=20090399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55__FDSAUDITLINK__" localSheetId="4" hidden="1">{"fdsup://IBCentral/FAT Viewer?action=UPDATE&amp;creator=factset&amp;DOC_NAME=fat:reuters_ltm_source_window.fat&amp;display_string=Audit&amp;DYN_ARGS=TRUE&amp;VAR:ID1=R&amp;VAR:RCODE=FDSREVSTOTAL&amp;VAR:SDATE=20090399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55__FDSAUDITLINK__" hidden="1">{"fdsup://IBCentral/FAT Viewer?action=UPDATE&amp;creator=factset&amp;DOC_NAME=fat:reuters_ltm_source_window.fat&amp;display_string=Audit&amp;DYN_ARGS=TRUE&amp;VAR:ID1=R&amp;VAR:RCODE=FDSREVSTOTAL&amp;VAR:SDATE=20090399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56__FDSAUDITLINK__" localSheetId="5" hidden="1">{"fdsup://IBCentral/FAT Viewer?action=UPDATE&amp;creator=factset&amp;DOC_NAME=fat:reuters_ltm_source_window.fat&amp;display_string=Audit&amp;DYN_ARGS=TRUE&amp;VAR:ID1=RRD&amp;VAR:RCODE=FDSREVSTOTAL&amp;VAR:SDATE=20090399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6__FDSAUDITLINK__" localSheetId="0" hidden="1">{"fdsup://IBCentral/FAT Viewer?action=UPDATE&amp;creator=factset&amp;DOC_NAME=fat:reuters_ltm_source_window.fat&amp;display_string=Audit&amp;DYN_ARGS=TRUE&amp;VAR:ID1=RRD&amp;VAR:RCODE=FDSREVSTOTAL&amp;VAR:SDATE=20090399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6__FDSAUDITLINK__" localSheetId="4" hidden="1">{"fdsup://IBCentral/FAT Viewer?action=UPDATE&amp;creator=factset&amp;DOC_NAME=fat:reuters_ltm_source_window.fat&amp;display_string=Audit&amp;DYN_ARGS=TRUE&amp;VAR:ID1=RRD&amp;VAR:RCODE=FDSREVSTOTAL&amp;VAR:SDATE=20090399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6__FDSAUDITLINK__" hidden="1">{"fdsup://IBCentral/FAT Viewer?action=UPDATE&amp;creator=factset&amp;DOC_NAME=fat:reuters_ltm_source_window.fat&amp;display_string=Audit&amp;DYN_ARGS=TRUE&amp;VAR:ID1=RRD&amp;VAR:RCODE=FDSREVSTOTAL&amp;VAR:SDATE=20090399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7__FDSAUDITLINK__" localSheetId="5" hidden="1">{"fdsup://IBCentral/FAT Viewer?action=UPDATE&amp;creator=factset&amp;DOC_NAME=fat:reuters_ltm_source_window.fat&amp;display_string=Audit&amp;DYN_ARGS=TRUE&amp;VAR:ID1=TXT&amp;VAR:RCODE=FDSREVSTOTAL&amp;VAR:SDATE=20090399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7__FDSAUDITLINK__" localSheetId="0" hidden="1">{"fdsup://IBCentral/FAT Viewer?action=UPDATE&amp;creator=factset&amp;DOC_NAME=fat:reuters_ltm_source_window.fat&amp;display_string=Audit&amp;DYN_ARGS=TRUE&amp;VAR:ID1=TXT&amp;VAR:RCODE=FDSREVSTOTAL&amp;VAR:SDATE=20090399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7__FDSAUDITLINK__" localSheetId="4" hidden="1">{"fdsup://IBCentral/FAT Viewer?action=UPDATE&amp;creator=factset&amp;DOC_NAME=fat:reuters_ltm_source_window.fat&amp;display_string=Audit&amp;DYN_ARGS=TRUE&amp;VAR:ID1=TXT&amp;VAR:RCODE=FDSREVSTOTAL&amp;VAR:SDATE=20090399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7__FDSAUDITLINK__" hidden="1">{"fdsup://IBCentral/FAT Viewer?action=UPDATE&amp;creator=factset&amp;DOC_NAME=fat:reuters_ltm_source_window.fat&amp;display_string=Audit&amp;DYN_ARGS=TRUE&amp;VAR:ID1=TXT&amp;VAR:RCODE=FDSREVSTOTAL&amp;VAR:SDATE=20090399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8__FDSAUDITLINK__" localSheetId="5" hidden="1">{"fdsup://IBCentral/FAT Viewer?action=UPDATE&amp;creator=factset&amp;DOC_NAME=fat:reuters_ltm_source_window.fat&amp;display_string=Audit&amp;DYN_ARGS=TRUE&amp;VAR:ID1=ROL&amp;VAR:RCODE=FDSREVSTOTAL&amp;VAR:SDATE=20090399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8__FDSAUDITLINK__" localSheetId="0" hidden="1">{"fdsup://IBCentral/FAT Viewer?action=UPDATE&amp;creator=factset&amp;DOC_NAME=fat:reuters_ltm_source_window.fat&amp;display_string=Audit&amp;DYN_ARGS=TRUE&amp;VAR:ID1=ROL&amp;VAR:RCODE=FDSREVSTOTAL&amp;VAR:SDATE=20090399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8__FDSAUDITLINK__" localSheetId="4" hidden="1">{"fdsup://IBCentral/FAT Viewer?action=UPDATE&amp;creator=factset&amp;DOC_NAME=fat:reuters_ltm_source_window.fat&amp;display_string=Audit&amp;DYN_ARGS=TRUE&amp;VAR:ID1=ROL&amp;VAR:RCODE=FDSREVSTOTAL&amp;VAR:SDATE=20090399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Viewer?action=UPDATE&amp;creator=factset&amp;DOC_NAME=fat:reuters_ltm_source_window.fat&amp;display_string=Audit&amp;DYN_ARGS=TRUE&amp;VAR:ID1=ROL&amp;VAR:RCODE=FDSREVSTOTAL&amp;VAR:SDATE=20090399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59__FDSAUDITLINK__" localSheetId="5" hidden="1">{"fdsup://IBCentral/FAT Viewer?action=UPDATE&amp;creator=factset&amp;DOC_NAME=fat:reuters_ltm_source_window.fat&amp;display_string=Audit&amp;DYN_ARGS=TRUE&amp;VAR:ID1=LSTR&amp;VAR:RCODE=FDSREVSTOTAL&amp;VAR:SDATE=20090399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59__FDSAUDITLINK__" localSheetId="0" hidden="1">{"fdsup://IBCentral/FAT Viewer?action=UPDATE&amp;creator=factset&amp;DOC_NAME=fat:reuters_ltm_source_window.fat&amp;display_string=Audit&amp;DYN_ARGS=TRUE&amp;VAR:ID1=LSTR&amp;VAR:RCODE=FDSREVSTOTAL&amp;VAR:SDATE=20090399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59__FDSAUDITLINK__" localSheetId="4" hidden="1">{"fdsup://IBCentral/FAT Viewer?action=UPDATE&amp;creator=factset&amp;DOC_NAME=fat:reuters_ltm_source_window.fat&amp;display_string=Audit&amp;DYN_ARGS=TRUE&amp;VAR:ID1=LSTR&amp;VAR:RCODE=FDSREVSTOTAL&amp;VAR:SDATE=20090399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59__FDSAUDITLINK__" hidden="1">{"fdsup://IBCentral/FAT Viewer?action=UPDATE&amp;creator=factset&amp;DOC_NAME=fat:reuters_ltm_source_window.fat&amp;display_string=Audit&amp;DYN_ARGS=TRUE&amp;VAR:ID1=LSTR&amp;VAR:RCODE=FDSREVSTOTAL&amp;VAR:SDATE=20090399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6__FDSAUDITLINK__" localSheetId="5" hidden="1">{"fdsup://IBCentral/FAT Viewer?action=UPDATE&amp;creator=factset&amp;DOC_NAME=fat:reuters_ltm_source_window.fat&amp;display_string=Audit&amp;DYN_ARGS=TRUE&amp;VAR:ID1=TTEK&amp;VAR:RCODE=FIBCEBITDA&amp;VAR:SDATE=20090399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__FDSAUDITLINK__" localSheetId="0" hidden="1">{"fdsup://IBCentral/FAT Viewer?action=UPDATE&amp;creator=factset&amp;DOC_NAME=fat:reuters_ltm_source_window.fat&amp;display_string=Audit&amp;DYN_ARGS=TRUE&amp;VAR:ID1=TTEK&amp;VAR:RCODE=FIBCEBITDA&amp;VAR:SDATE=20090399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__FDSAUDITLINK__" localSheetId="4" hidden="1">{"fdsup://IBCentral/FAT Viewer?action=UPDATE&amp;creator=factset&amp;DOC_NAME=fat:reuters_ltm_source_window.fat&amp;display_string=Audit&amp;DYN_ARGS=TRUE&amp;VAR:ID1=TTEK&amp;VAR:RCODE=FIBCEBITDA&amp;VAR:SDATE=20090399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__FDSAUDITLINK__" hidden="1">{"fdsup://IBCentral/FAT Viewer?action=UPDATE&amp;creator=factset&amp;DOC_NAME=fat:reuters_ltm_source_window.fat&amp;display_string=Audit&amp;DYN_ARGS=TRUE&amp;VAR:ID1=TTEK&amp;VAR:RCODE=FIBCEBITDA&amp;VAR:SDATE=20090399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_3_0Other_Segment_Reven" localSheetId="0">#REF!</definedName>
    <definedName name="_36_3_0Other_Segment_Reven">#REF!</definedName>
    <definedName name="_360__FDSAUDITLINK__" localSheetId="5" hidden="1">{"fdsup://IBCentral/FAT Viewer?action=UPDATE&amp;creator=factset&amp;DOC_NAME=fat:reuters_ltm_source_window.fat&amp;display_string=Audit&amp;DYN_ARGS=TRUE&amp;VAR:ID1=CXW&amp;VAR:RCODE=FDSREVSTOTAL&amp;VAR:SDATE=20090399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0__FDSAUDITLINK__" localSheetId="0" hidden="1">{"fdsup://IBCentral/FAT Viewer?action=UPDATE&amp;creator=factset&amp;DOC_NAME=fat:reuters_ltm_source_window.fat&amp;display_string=Audit&amp;DYN_ARGS=TRUE&amp;VAR:ID1=CXW&amp;VAR:RCODE=FDSREVSTOTAL&amp;VAR:SDATE=20090399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0__FDSAUDITLINK__" localSheetId="4" hidden="1">{"fdsup://IBCentral/FAT Viewer?action=UPDATE&amp;creator=factset&amp;DOC_NAME=fat:reuters_ltm_source_window.fat&amp;display_string=Audit&amp;DYN_ARGS=TRUE&amp;VAR:ID1=CXW&amp;VAR:RCODE=FDSREVSTOTAL&amp;VAR:SDATE=20090399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0__FDSAUDITLINK__" hidden="1">{"fdsup://IBCentral/FAT Viewer?action=UPDATE&amp;creator=factset&amp;DOC_NAME=fat:reuters_ltm_source_window.fat&amp;display_string=Audit&amp;DYN_ARGS=TRUE&amp;VAR:ID1=CXW&amp;VAR:RCODE=FDSREVSTOTAL&amp;VAR:SDATE=20090399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1__FDSAUDITLINK__" localSheetId="5" hidden="1">{"fdsup://IBCentral/FAT Viewer?action=UPDATE&amp;creator=factset&amp;DOC_NAME=fat:reuters_ltm_source_window.fat&amp;display_string=Audit&amp;DYN_ARGS=TRUE&amp;VAR:ID1=IEX&amp;VAR:RCODE=FDSREVSTOTAL&amp;VAR:SDATE=20090399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1__FDSAUDITLINK__" localSheetId="0" hidden="1">{"fdsup://IBCentral/FAT Viewer?action=UPDATE&amp;creator=factset&amp;DOC_NAME=fat:reuters_ltm_source_window.fat&amp;display_string=Audit&amp;DYN_ARGS=TRUE&amp;VAR:ID1=IEX&amp;VAR:RCODE=FDSREVSTOTAL&amp;VAR:SDATE=20090399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1__FDSAUDITLINK__" localSheetId="4" hidden="1">{"fdsup://IBCentral/FAT Viewer?action=UPDATE&amp;creator=factset&amp;DOC_NAME=fat:reuters_ltm_source_window.fat&amp;display_string=Audit&amp;DYN_ARGS=TRUE&amp;VAR:ID1=IEX&amp;VAR:RCODE=FDSREVSTOTAL&amp;VAR:SDATE=20090399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1__FDSAUDITLINK__" hidden="1">{"fdsup://IBCentral/FAT Viewer?action=UPDATE&amp;creator=factset&amp;DOC_NAME=fat:reuters_ltm_source_window.fat&amp;display_string=Audit&amp;DYN_ARGS=TRUE&amp;VAR:ID1=IEX&amp;VAR:RCODE=FDSREVSTOTAL&amp;VAR:SDATE=20090399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2__FDSAUDITLINK__" localSheetId="5" hidden="1">{"fdsup://IBCentral/FAT Viewer?action=UPDATE&amp;creator=factset&amp;DOC_NAME=fat:reuters_ltm_source_window.fat&amp;display_string=Audit&amp;DYN_ARGS=TRUE&amp;VAR:ID1=AG&amp;VAR:RCODE=FDSREVSTOTAL&amp;VAR:SDATE=20090399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2__FDSAUDITLINK__" localSheetId="0" hidden="1">{"fdsup://IBCentral/FAT Viewer?action=UPDATE&amp;creator=factset&amp;DOC_NAME=fat:reuters_ltm_source_window.fat&amp;display_string=Audit&amp;DYN_ARGS=TRUE&amp;VAR:ID1=AG&amp;VAR:RCODE=FDSREVSTOTAL&amp;VAR:SDATE=20090399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2__FDSAUDITLINK__" localSheetId="4" hidden="1">{"fdsup://IBCentral/FAT Viewer?action=UPDATE&amp;creator=factset&amp;DOC_NAME=fat:reuters_ltm_source_window.fat&amp;display_string=Audit&amp;DYN_ARGS=TRUE&amp;VAR:ID1=AG&amp;VAR:RCODE=FDSREVSTOTAL&amp;VAR:SDATE=20090399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2__FDSAUDITLINK__" hidden="1">{"fdsup://IBCentral/FAT Viewer?action=UPDATE&amp;creator=factset&amp;DOC_NAME=fat:reuters_ltm_source_window.fat&amp;display_string=Audit&amp;DYN_ARGS=TRUE&amp;VAR:ID1=AG&amp;VAR:RCODE=FDSREVSTOTAL&amp;VAR:SDATE=20090399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3__FDSAUDITLINK__" localSheetId="5" hidden="1">{"fdsup://IBCentral/FAT Viewer?action=UPDATE&amp;creator=factset&amp;DOC_NAME=fat:reuters_ltm_source_window.fat&amp;display_string=Audit&amp;DYN_ARGS=TRUE&amp;VAR:ID1=HSC&amp;VAR:RCODE=FDSREVSTOTAL&amp;VAR:SDATE=20090399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3__FDSAUDITLINK__" localSheetId="0" hidden="1">{"fdsup://IBCentral/FAT Viewer?action=UPDATE&amp;creator=factset&amp;DOC_NAME=fat:reuters_ltm_source_window.fat&amp;display_string=Audit&amp;DYN_ARGS=TRUE&amp;VAR:ID1=HSC&amp;VAR:RCODE=FDSREVSTOTAL&amp;VAR:SDATE=20090399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3__FDSAUDITLINK__" localSheetId="4" hidden="1">{"fdsup://IBCentral/FAT Viewer?action=UPDATE&amp;creator=factset&amp;DOC_NAME=fat:reuters_ltm_source_window.fat&amp;display_string=Audit&amp;DYN_ARGS=TRUE&amp;VAR:ID1=HSC&amp;VAR:RCODE=FDSREVSTOTAL&amp;VAR:SDATE=20090399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3__FDSAUDITLINK__" hidden="1">{"fdsup://IBCentral/FAT Viewer?action=UPDATE&amp;creator=factset&amp;DOC_NAME=fat:reuters_ltm_source_window.fat&amp;display_string=Audit&amp;DYN_ARGS=TRUE&amp;VAR:ID1=HSC&amp;VAR:RCODE=FDSREVSTOTAL&amp;VAR:SDATE=20090399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4__FDSAUDITLINK__" localSheetId="5" hidden="1">{"fdsup://IBCentral/FAT Viewer?action=UPDATE&amp;creator=factset&amp;DOC_NAME=fat:reuters_ltm_source_window.fat&amp;display_string=Audit&amp;DYN_ARGS=TRUE&amp;VAR:ID1=WCN&amp;VAR:RCODE=FDSREVSTOTAL&amp;VAR:SDATE=20090399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4__FDSAUDITLINK__" localSheetId="0" hidden="1">{"fdsup://IBCentral/FAT Viewer?action=UPDATE&amp;creator=factset&amp;DOC_NAME=fat:reuters_ltm_source_window.fat&amp;display_string=Audit&amp;DYN_ARGS=TRUE&amp;VAR:ID1=WCN&amp;VAR:RCODE=FDSREVSTOTAL&amp;VAR:SDATE=20090399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4__FDSAUDITLINK__" localSheetId="4" hidden="1">{"fdsup://IBCentral/FAT Viewer?action=UPDATE&amp;creator=factset&amp;DOC_NAME=fat:reuters_ltm_source_window.fat&amp;display_string=Audit&amp;DYN_ARGS=TRUE&amp;VAR:ID1=WCN&amp;VAR:RCODE=FDSREVSTOTAL&amp;VAR:SDATE=20090399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4__FDSAUDITLINK__" hidden="1">{"fdsup://IBCentral/FAT Viewer?action=UPDATE&amp;creator=factset&amp;DOC_NAME=fat:reuters_ltm_source_window.fat&amp;display_string=Audit&amp;DYN_ARGS=TRUE&amp;VAR:ID1=WCN&amp;VAR:RCODE=FDSREVSTOTAL&amp;VAR:SDATE=20090399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5__FDSAUDITLINK__" localSheetId="5" hidden="1">{"fdsup://IBCentral/FAT Viewer?action=UPDATE&amp;creator=factset&amp;DOC_NAME=fat:reuters_ltm_source_window.fat&amp;display_string=Audit&amp;DYN_ARGS=TRUE&amp;VAR:ID1=DCI&amp;VAR:RCODE=FDSREVSTOTAL&amp;VAR:SDATE=20090499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5__FDSAUDITLINK__" localSheetId="0" hidden="1">{"fdsup://IBCentral/FAT Viewer?action=UPDATE&amp;creator=factset&amp;DOC_NAME=fat:reuters_ltm_source_window.fat&amp;display_string=Audit&amp;DYN_ARGS=TRUE&amp;VAR:ID1=DCI&amp;VAR:RCODE=FDSREVSTOTAL&amp;VAR:SDATE=20090499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5__FDSAUDITLINK__" localSheetId="4" hidden="1">{"fdsup://IBCentral/FAT Viewer?action=UPDATE&amp;creator=factset&amp;DOC_NAME=fat:reuters_ltm_source_window.fat&amp;display_string=Audit&amp;DYN_ARGS=TRUE&amp;VAR:ID1=DCI&amp;VAR:RCODE=FDSREVSTOTAL&amp;VAR:SDATE=20090499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5__FDSAUDITLINK__" hidden="1">{"fdsup://IBCentral/FAT Viewer?action=UPDATE&amp;creator=factset&amp;DOC_NAME=fat:reuters_ltm_source_window.fat&amp;display_string=Audit&amp;DYN_ARGS=TRUE&amp;VAR:ID1=DCI&amp;VAR:RCODE=FDSREVSTOTAL&amp;VAR:SDATE=20090499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6__FDSAUDITLINK__" localSheetId="5" hidden="1">{"fdsup://IBCentral/FAT Viewer?action=UPDATE&amp;creator=factset&amp;DOC_NAME=fat:reuters_annual_source_window.fat&amp;display_string=Audit&amp;DYN_ARGS=TRUE&amp;VAR:ID1=01880410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366__FDSAUDITLINK__" localSheetId="0" hidden="1">{"fdsup://IBCentral/FAT Viewer?action=UPDATE&amp;creator=factset&amp;DOC_NAME=fat:reuters_annual_source_window.fat&amp;display_string=Audit&amp;DYN_ARGS=TRUE&amp;VAR:ID1=01880410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366__FDSAUDITLINK__" localSheetId="4" hidden="1">{"fdsup://IBCentral/FAT Viewer?action=UPDATE&amp;creator=factset&amp;DOC_NAME=fat:reuters_annual_source_window.fat&amp;display_string=Audit&amp;DYN_ARGS=TRUE&amp;VAR:ID1=01880410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366__FDSAUDITLINK__" hidden="1">{"fdsup://IBCentral/FAT Viewer?action=UPDATE&amp;creator=factset&amp;DOC_NAME=fat:reuters_annual_source_window.fat&amp;display_string=Audit&amp;DYN_ARGS=TRUE&amp;VAR:ID1=01880410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367__FDSAUDITLINK__" localSheetId="5" hidden="1">{"fdsup://IBCentral/FAT Viewer?action=UPDATE&amp;creator=factset&amp;DOC_NAME=fat:reuters_ltm_source_window.fat&amp;display_string=Audit&amp;DYN_ARGS=TRUE&amp;VAR:ID1=WW&amp;VAR:RCODE=FDSREVSTOTAL&amp;VAR:SDATE=20090399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7__FDSAUDITLINK__" localSheetId="0" hidden="1">{"fdsup://IBCentral/FAT Viewer?action=UPDATE&amp;creator=factset&amp;DOC_NAME=fat:reuters_ltm_source_window.fat&amp;display_string=Audit&amp;DYN_ARGS=TRUE&amp;VAR:ID1=WW&amp;VAR:RCODE=FDSREVSTOTAL&amp;VAR:SDATE=20090399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7__FDSAUDITLINK__" localSheetId="4" hidden="1">{"fdsup://IBCentral/FAT Viewer?action=UPDATE&amp;creator=factset&amp;DOC_NAME=fat:reuters_ltm_source_window.fat&amp;display_string=Audit&amp;DYN_ARGS=TRUE&amp;VAR:ID1=WW&amp;VAR:RCODE=FDSREVSTOTAL&amp;VAR:SDATE=20090399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7__FDSAUDITLINK__" hidden="1">{"fdsup://IBCentral/FAT Viewer?action=UPDATE&amp;creator=factset&amp;DOC_NAME=fat:reuters_ltm_source_window.fat&amp;display_string=Audit&amp;DYN_ARGS=TRUE&amp;VAR:ID1=WW&amp;VAR:RCODE=FDSREVSTOTAL&amp;VAR:SDATE=20090399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68__FDSAUDITLINK__" localSheetId="5" hidden="1">{"fdsup://IBCentral/FAT Viewer?action=UPDATE&amp;creator=factset&amp;DOC_NAME=fat:reuters_ltm_source_window.fat&amp;display_string=Audit&amp;DYN_ARGS=TRUE&amp;VAR:ID1=PNR&amp;VAR:RCODE=FDSREVSTOTAL&amp;VAR:SDATE=20090399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8__FDSAUDITLINK__" localSheetId="0" hidden="1">{"fdsup://IBCentral/FAT Viewer?action=UPDATE&amp;creator=factset&amp;DOC_NAME=fat:reuters_ltm_source_window.fat&amp;display_string=Audit&amp;DYN_ARGS=TRUE&amp;VAR:ID1=PNR&amp;VAR:RCODE=FDSREVSTOTAL&amp;VAR:SDATE=20090399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8__FDSAUDITLINK__" localSheetId="4" hidden="1">{"fdsup://IBCentral/FAT Viewer?action=UPDATE&amp;creator=factset&amp;DOC_NAME=fat:reuters_ltm_source_window.fat&amp;display_string=Audit&amp;DYN_ARGS=TRUE&amp;VAR:ID1=PNR&amp;VAR:RCODE=FDSREVSTOTAL&amp;VAR:SDATE=20090399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8__FDSAUDITLINK__" hidden="1">{"fdsup://IBCentral/FAT Viewer?action=UPDATE&amp;creator=factset&amp;DOC_NAME=fat:reuters_ltm_source_window.fat&amp;display_string=Audit&amp;DYN_ARGS=TRUE&amp;VAR:ID1=PNR&amp;VAR:RCODE=FDSREVSTOTAL&amp;VAR:SDATE=20090399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9__FDSAUDITLINK__" localSheetId="5" hidden="1">{"fdsup://IBCentral/FAT Viewer?action=UPDATE&amp;creator=factset&amp;DOC_NAME=fat:reuters_ltm_source_window.fat&amp;display_string=Audit&amp;DYN_ARGS=TRUE&amp;VAR:ID1=KBR&amp;VAR:RCODE=FDSREVSTOTAL&amp;VAR:SDATE=20090399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9__FDSAUDITLINK__" localSheetId="0" hidden="1">{"fdsup://IBCentral/FAT Viewer?action=UPDATE&amp;creator=factset&amp;DOC_NAME=fat:reuters_ltm_source_window.fat&amp;display_string=Audit&amp;DYN_ARGS=TRUE&amp;VAR:ID1=KBR&amp;VAR:RCODE=FDSREVSTOTAL&amp;VAR:SDATE=20090399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9__FDSAUDITLINK__" localSheetId="4" hidden="1">{"fdsup://IBCentral/FAT Viewer?action=UPDATE&amp;creator=factset&amp;DOC_NAME=fat:reuters_ltm_source_window.fat&amp;display_string=Audit&amp;DYN_ARGS=TRUE&amp;VAR:ID1=KBR&amp;VAR:RCODE=FDSREVSTOTAL&amp;VAR:SDATE=20090399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69__FDSAUDITLINK__" hidden="1">{"fdsup://IBCentral/FAT Viewer?action=UPDATE&amp;creator=factset&amp;DOC_NAME=fat:reuters_ltm_source_window.fat&amp;display_string=Audit&amp;DYN_ARGS=TRUE&amp;VAR:ID1=KBR&amp;VAR:RCODE=FDSREVSTOTAL&amp;VAR:SDATE=20090399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__123Graph_AChart_1AO" localSheetId="0" hidden="1">#REF!</definedName>
    <definedName name="_37__123Graph_AChart_1AO" hidden="1">#REF!</definedName>
    <definedName name="_37__FDSAUDITLINK__" localSheetId="5" hidden="1">{"fdsup://IBCentral/FAT Viewer?action=UPDATE&amp;creator=factset&amp;DOC_NAME=fat:reuters_ltm_source_window.fat&amp;display_string=Audit&amp;DYN_ARGS=TRUE&amp;VAR:ID1=WAB&amp;VAR:RCODE=FIBCEBITDA&amp;VAR:SDATE=20090399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7__FDSAUDITLINK__" localSheetId="0" hidden="1">{"fdsup://IBCentral/FAT Viewer?action=UPDATE&amp;creator=factset&amp;DOC_NAME=fat:reuters_ltm_source_window.fat&amp;display_string=Audit&amp;DYN_ARGS=TRUE&amp;VAR:ID1=WAB&amp;VAR:RCODE=FIBCEBITDA&amp;VAR:SDATE=20090399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7__FDSAUDITLINK__" localSheetId="4" hidden="1">{"fdsup://IBCentral/FAT Viewer?action=UPDATE&amp;creator=factset&amp;DOC_NAME=fat:reuters_ltm_source_window.fat&amp;display_string=Audit&amp;DYN_ARGS=TRUE&amp;VAR:ID1=WAB&amp;VAR:RCODE=FIBCEBITDA&amp;VAR:SDATE=20090399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7__FDSAUDITLINK__" hidden="1">{"fdsup://IBCentral/FAT Viewer?action=UPDATE&amp;creator=factset&amp;DOC_NAME=fat:reuters_ltm_source_window.fat&amp;display_string=Audit&amp;DYN_ARGS=TRUE&amp;VAR:ID1=WAB&amp;VAR:RCODE=FIBCEBITDA&amp;VAR:SDATE=20090399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70__FDSAUDITLINK__" localSheetId="5" hidden="1">{"fdsup://IBCentral/FAT Viewer?action=UPDATE&amp;creator=factset&amp;DOC_NAME=fat:reuters_ltm_source_window.fat&amp;display_string=Audit&amp;DYN_ARGS=TRUE&amp;VAR:ID1=MAN&amp;VAR:RCODE=FDSREVSTOTAL&amp;VAR:SDATE=20090399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0__FDSAUDITLINK__" localSheetId="0" hidden="1">{"fdsup://IBCentral/FAT Viewer?action=UPDATE&amp;creator=factset&amp;DOC_NAME=fat:reuters_ltm_source_window.fat&amp;display_string=Audit&amp;DYN_ARGS=TRUE&amp;VAR:ID1=MAN&amp;VAR:RCODE=FDSREVSTOTAL&amp;VAR:SDATE=20090399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0__FDSAUDITLINK__" localSheetId="4" hidden="1">{"fdsup://IBCentral/FAT Viewer?action=UPDATE&amp;creator=factset&amp;DOC_NAME=fat:reuters_ltm_source_window.fat&amp;display_string=Audit&amp;DYN_ARGS=TRUE&amp;VAR:ID1=MAN&amp;VAR:RCODE=FDSREVSTOTAL&amp;VAR:SDATE=20090399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0__FDSAUDITLINK__" hidden="1">{"fdsup://IBCentral/FAT Viewer?action=UPDATE&amp;creator=factset&amp;DOC_NAME=fat:reuters_ltm_source_window.fat&amp;display_string=Audit&amp;DYN_ARGS=TRUE&amp;VAR:ID1=MAN&amp;VAR:RCODE=FDSREVSTOTAL&amp;VAR:SDATE=20090399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1__FDSAUDITLINK__" localSheetId="5" hidden="1">{"fdsup://IBCentral/FAT Viewer?action=UPDATE&amp;creator=factset&amp;DOC_NAME=fat:reuters_ltm_source_window.fat&amp;display_string=Audit&amp;DYN_ARGS=TRUE&amp;VAR:ID1=FCN&amp;VAR:RCODE=FDSREVSTOTAL&amp;VAR:SDATE=20090399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1__FDSAUDITLINK__" localSheetId="0" hidden="1">{"fdsup://IBCentral/FAT Viewer?action=UPDATE&amp;creator=factset&amp;DOC_NAME=fat:reuters_ltm_source_window.fat&amp;display_string=Audit&amp;DYN_ARGS=TRUE&amp;VAR:ID1=FCN&amp;VAR:RCODE=FDSREVSTOTAL&amp;VAR:SDATE=20090399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1__FDSAUDITLINK__" localSheetId="4" hidden="1">{"fdsup://IBCentral/FAT Viewer?action=UPDATE&amp;creator=factset&amp;DOC_NAME=fat:reuters_ltm_source_window.fat&amp;display_string=Audit&amp;DYN_ARGS=TRUE&amp;VAR:ID1=FCN&amp;VAR:RCODE=FDSREVSTOTAL&amp;VAR:SDATE=20090399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1__FDSAUDITLINK__" hidden="1">{"fdsup://IBCentral/FAT Viewer?action=UPDATE&amp;creator=factset&amp;DOC_NAME=fat:reuters_ltm_source_window.fat&amp;display_string=Audit&amp;DYN_ARGS=TRUE&amp;VAR:ID1=FCN&amp;VAR:RCODE=FDSREVSTOTAL&amp;VAR:SDATE=20090399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2__FDSAUDITLINK__" localSheetId="5" hidden="1">{"fdsup://IBCentral/FAT Viewer?action=UPDATE&amp;creator=factset&amp;DOC_NAME=fat:reuters_ltm_source_window.fat&amp;display_string=Audit&amp;DYN_ARGS=TRUE&amp;VAR:ID1=AVY&amp;VAR:RCODE=FDSREVSTOTAL&amp;VAR:SDATE=20090399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2__FDSAUDITLINK__" localSheetId="0" hidden="1">{"fdsup://IBCentral/FAT Viewer?action=UPDATE&amp;creator=factset&amp;DOC_NAME=fat:reuters_ltm_source_window.fat&amp;display_string=Audit&amp;DYN_ARGS=TRUE&amp;VAR:ID1=AVY&amp;VAR:RCODE=FDSREVSTOTAL&amp;VAR:SDATE=20090399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2__FDSAUDITLINK__" localSheetId="4" hidden="1">{"fdsup://IBCentral/FAT Viewer?action=UPDATE&amp;creator=factset&amp;DOC_NAME=fat:reuters_ltm_source_window.fat&amp;display_string=Audit&amp;DYN_ARGS=TRUE&amp;VAR:ID1=AVY&amp;VAR:RCODE=FDSREVSTOTAL&amp;VAR:SDATE=20090399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2__FDSAUDITLINK__" hidden="1">{"fdsup://IBCentral/FAT Viewer?action=UPDATE&amp;creator=factset&amp;DOC_NAME=fat:reuters_ltm_source_window.fat&amp;display_string=Audit&amp;DYN_ARGS=TRUE&amp;VAR:ID1=AVY&amp;VAR:RCODE=FDSREVSTOTAL&amp;VAR:SDATE=20090399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3__FDSAUDITLINK__" localSheetId="5" hidden="1">{"fdsup://IBCentral/FAT Viewer?action=UPDATE&amp;creator=factset&amp;DOC_NAME=fat:reuters_ltm_source_window.fat&amp;display_string=Audit&amp;DYN_ARGS=TRUE&amp;VAR:ID1=SGR&amp;VAR:RCODE=FDSREVSTOTAL&amp;VAR:SDATE=20090299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3__FDSAUDITLINK__" localSheetId="0" hidden="1">{"fdsup://IBCentral/FAT Viewer?action=UPDATE&amp;creator=factset&amp;DOC_NAME=fat:reuters_ltm_source_window.fat&amp;display_string=Audit&amp;DYN_ARGS=TRUE&amp;VAR:ID1=SGR&amp;VAR:RCODE=FDSREVSTOTAL&amp;VAR:SDATE=20090299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3__FDSAUDITLINK__" localSheetId="4" hidden="1">{"fdsup://IBCentral/FAT Viewer?action=UPDATE&amp;creator=factset&amp;DOC_NAME=fat:reuters_ltm_source_window.fat&amp;display_string=Audit&amp;DYN_ARGS=TRUE&amp;VAR:ID1=SGR&amp;VAR:RCODE=FDSREVSTOTAL&amp;VAR:SDATE=20090299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3__FDSAUDITLINK__" hidden="1">{"fdsup://IBCentral/FAT Viewer?action=UPDATE&amp;creator=factset&amp;DOC_NAME=fat:reuters_ltm_source_window.fat&amp;display_string=Audit&amp;DYN_ARGS=TRUE&amp;VAR:ID1=SGR&amp;VAR:RCODE=FDSREVSTOTAL&amp;VAR:SDATE=20090299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4__FDSAUDITLINK__" localSheetId="5" hidden="1">{"fdsup://IBCentral/FAT Viewer?action=UPDATE&amp;creator=factset&amp;DOC_NAME=fat:reuters_ltm_source_window.fat&amp;display_string=Audit&amp;DYN_ARGS=TRUE&amp;VAR:ID1=PLL&amp;VAR:RCODE=FDSREVSTOTAL&amp;VAR:SDATE=20090199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4__FDSAUDITLINK__" localSheetId="0" hidden="1">{"fdsup://IBCentral/FAT Viewer?action=UPDATE&amp;creator=factset&amp;DOC_NAME=fat:reuters_ltm_source_window.fat&amp;display_string=Audit&amp;DYN_ARGS=TRUE&amp;VAR:ID1=PLL&amp;VAR:RCODE=FDSREVSTOTAL&amp;VAR:SDATE=20090199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4__FDSAUDITLINK__" localSheetId="4" hidden="1">{"fdsup://IBCentral/FAT Viewer?action=UPDATE&amp;creator=factset&amp;DOC_NAME=fat:reuters_ltm_source_window.fat&amp;display_string=Audit&amp;DYN_ARGS=TRUE&amp;VAR:ID1=PLL&amp;VAR:RCODE=FDSREVSTOTAL&amp;VAR:SDATE=20090199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4__FDSAUDITLINK__" hidden="1">{"fdsup://IBCentral/FAT Viewer?action=UPDATE&amp;creator=factset&amp;DOC_NAME=fat:reuters_ltm_source_window.fat&amp;display_string=Audit&amp;DYN_ARGS=TRUE&amp;VAR:ID1=PLL&amp;VAR:RCODE=FDSREVSTOTAL&amp;VAR:SDATE=20090199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5__FDSAUDITLINK__" localSheetId="5" hidden="1">{"fdsup://IBCentral/FAT Viewer?action=UPDATE&amp;creator=factset&amp;DOC_NAME=fat:reuters_ltm_source_window.fat&amp;display_string=Audit&amp;DYN_ARGS=TRUE&amp;VAR:ID1=JOYG&amp;VAR:RCODE=FDSREVSTOTAL&amp;VAR:SDATE=20090199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75__FDSAUDITLINK__" localSheetId="0" hidden="1">{"fdsup://IBCentral/FAT Viewer?action=UPDATE&amp;creator=factset&amp;DOC_NAME=fat:reuters_ltm_source_window.fat&amp;display_string=Audit&amp;DYN_ARGS=TRUE&amp;VAR:ID1=JOYG&amp;VAR:RCODE=FDSREVSTOTAL&amp;VAR:SDATE=20090199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75__FDSAUDITLINK__" localSheetId="4" hidden="1">{"fdsup://IBCentral/FAT Viewer?action=UPDATE&amp;creator=factset&amp;DOC_NAME=fat:reuters_ltm_source_window.fat&amp;display_string=Audit&amp;DYN_ARGS=TRUE&amp;VAR:ID1=JOYG&amp;VAR:RCODE=FDSREVSTOTAL&amp;VAR:SDATE=20090199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Viewer?action=UPDATE&amp;creator=factset&amp;DOC_NAME=fat:reuters_ltm_source_window.fat&amp;display_string=Audit&amp;DYN_ARGS=TRUE&amp;VAR:ID1=JOYG&amp;VAR:RCODE=FDSREVSTOTAL&amp;VAR:SDATE=20090199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76__FDSAUDITLINK__" localSheetId="5" hidden="1">{"fdsup://IBCentral/FAT Viewer?action=UPDATE&amp;creator=factset&amp;DOC_NAME=fat:reuters_ltm_source_window.fat&amp;display_string=Audit&amp;DYN_ARGS=TRUE&amp;VAR:ID1=CPRT&amp;VAR:RCODE=FDSREVSTOTAL&amp;VAR:SDATE=20090199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76__FDSAUDITLINK__" localSheetId="0" hidden="1">{"fdsup://IBCentral/FAT Viewer?action=UPDATE&amp;creator=factset&amp;DOC_NAME=fat:reuters_ltm_source_window.fat&amp;display_string=Audit&amp;DYN_ARGS=TRUE&amp;VAR:ID1=CPRT&amp;VAR:RCODE=FDSREVSTOTAL&amp;VAR:SDATE=20090199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76__FDSAUDITLINK__" localSheetId="4" hidden="1">{"fdsup://IBCentral/FAT Viewer?action=UPDATE&amp;creator=factset&amp;DOC_NAME=fat:reuters_ltm_source_window.fat&amp;display_string=Audit&amp;DYN_ARGS=TRUE&amp;VAR:ID1=CPRT&amp;VAR:RCODE=FDSREVSTOTAL&amp;VAR:SDATE=20090199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76__FDSAUDITLINK__" hidden="1">{"fdsup://IBCentral/FAT Viewer?action=UPDATE&amp;creator=factset&amp;DOC_NAME=fat:reuters_ltm_source_window.fat&amp;display_string=Audit&amp;DYN_ARGS=TRUE&amp;VAR:ID1=CPRT&amp;VAR:RCODE=FDSREVSTOTAL&amp;VAR:SDATE=20090199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77__FDSAUDITLINK__" localSheetId="5" hidden="1">{"fdsup://IBCentral/FAT Viewer?action=UPDATE&amp;creator=factset&amp;DOC_NAME=fat:reuters_ltm_source_window.fat&amp;display_string=Audit&amp;DYN_ARGS=TRUE&amp;VAR:ID1=MAS&amp;VAR:RCODE=FDSREVSTOTAL&amp;VAR:SDATE=20090399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7__FDSAUDITLINK__" localSheetId="0" hidden="1">{"fdsup://IBCentral/FAT Viewer?action=UPDATE&amp;creator=factset&amp;DOC_NAME=fat:reuters_ltm_source_window.fat&amp;display_string=Audit&amp;DYN_ARGS=TRUE&amp;VAR:ID1=MAS&amp;VAR:RCODE=FDSREVSTOTAL&amp;VAR:SDATE=20090399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7__FDSAUDITLINK__" localSheetId="4" hidden="1">{"fdsup://IBCentral/FAT Viewer?action=UPDATE&amp;creator=factset&amp;DOC_NAME=fat:reuters_ltm_source_window.fat&amp;display_string=Audit&amp;DYN_ARGS=TRUE&amp;VAR:ID1=MAS&amp;VAR:RCODE=FDSREVSTOTAL&amp;VAR:SDATE=20090399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7__FDSAUDITLINK__" hidden="1">{"fdsup://IBCentral/FAT Viewer?action=UPDATE&amp;creator=factset&amp;DOC_NAME=fat:reuters_ltm_source_window.fat&amp;display_string=Audit&amp;DYN_ARGS=TRUE&amp;VAR:ID1=MAS&amp;VAR:RCODE=FDSREVSTOTAL&amp;VAR:SDATE=20090399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8__FDSAUDITLINK__" localSheetId="5" hidden="1">{"fdsup://IBCentral/FAT Viewer?action=UPDATE&amp;creator=factset&amp;DOC_NAME=fat:reuters_ltm_source_window.fat&amp;display_string=Audit&amp;DYN_ARGS=TRUE&amp;VAR:ID1=SPW&amp;VAR:RCODE=FDSREVSTOTAL&amp;VAR:SDATE=20090399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8__FDSAUDITLINK__" localSheetId="0" hidden="1">{"fdsup://IBCentral/FAT Viewer?action=UPDATE&amp;creator=factset&amp;DOC_NAME=fat:reuters_ltm_source_window.fat&amp;display_string=Audit&amp;DYN_ARGS=TRUE&amp;VAR:ID1=SPW&amp;VAR:RCODE=FDSREVSTOTAL&amp;VAR:SDATE=20090399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8__FDSAUDITLINK__" localSheetId="4" hidden="1">{"fdsup://IBCentral/FAT Viewer?action=UPDATE&amp;creator=factset&amp;DOC_NAME=fat:reuters_ltm_source_window.fat&amp;display_string=Audit&amp;DYN_ARGS=TRUE&amp;VAR:ID1=SPW&amp;VAR:RCODE=FDSREVSTOTAL&amp;VAR:SDATE=20090399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8__FDSAUDITLINK__" hidden="1">{"fdsup://IBCentral/FAT Viewer?action=UPDATE&amp;creator=factset&amp;DOC_NAME=fat:reuters_ltm_source_window.fat&amp;display_string=Audit&amp;DYN_ARGS=TRUE&amp;VAR:ID1=SPW&amp;VAR:RCODE=FDSREVSTOTAL&amp;VAR:SDATE=20090399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9__FDSAUDITLINK__" localSheetId="5" hidden="1">{"fdsup://IBCentral/FAT Viewer?action=UPDATE&amp;creator=factset&amp;DOC_NAME=fat:reuters_ltm_source_window.fat&amp;display_string=Audit&amp;DYN_ARGS=TRUE&amp;VAR:ID1=ACM&amp;VAR:RCODE=FDSREVSTOTAL&amp;VAR:SDATE=20090399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9__FDSAUDITLINK__" localSheetId="0" hidden="1">{"fdsup://IBCentral/FAT Viewer?action=UPDATE&amp;creator=factset&amp;DOC_NAME=fat:reuters_ltm_source_window.fat&amp;display_string=Audit&amp;DYN_ARGS=TRUE&amp;VAR:ID1=ACM&amp;VAR:RCODE=FDSREVSTOTAL&amp;VAR:SDATE=20090399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9__FDSAUDITLINK__" localSheetId="4" hidden="1">{"fdsup://IBCentral/FAT Viewer?action=UPDATE&amp;creator=factset&amp;DOC_NAME=fat:reuters_ltm_source_window.fat&amp;display_string=Audit&amp;DYN_ARGS=TRUE&amp;VAR:ID1=ACM&amp;VAR:RCODE=FDSREVSTOTAL&amp;VAR:SDATE=20090399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79__FDSAUDITLINK__" hidden="1">{"fdsup://IBCentral/FAT Viewer?action=UPDATE&amp;creator=factset&amp;DOC_NAME=fat:reuters_ltm_source_window.fat&amp;display_string=Audit&amp;DYN_ARGS=TRUE&amp;VAR:ID1=ACM&amp;VAR:RCODE=FDSREVSTOTAL&amp;VAR:SDATE=20090399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__FDSAUDITLINK__" localSheetId="5" hidden="1">{"fdsup://IBCentral/FAT Viewer?action=UPDATE&amp;creator=factset&amp;DOC_NAME=fat:reuters_ltm_source_window.fat&amp;display_string=Audit&amp;DYN_ARGS=TRUE&amp;VAR:ID1=KSU&amp;VAR:RCODE=FIBCEBITDA&amp;VAR:SDATE=20090399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8__FDSAUDITLINK__" localSheetId="0" hidden="1">{"fdsup://IBCentral/FAT Viewer?action=UPDATE&amp;creator=factset&amp;DOC_NAME=fat:reuters_ltm_source_window.fat&amp;display_string=Audit&amp;DYN_ARGS=TRUE&amp;VAR:ID1=KSU&amp;VAR:RCODE=FIBCEBITDA&amp;VAR:SDATE=20090399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8__FDSAUDITLINK__" localSheetId="4" hidden="1">{"fdsup://IBCentral/FAT Viewer?action=UPDATE&amp;creator=factset&amp;DOC_NAME=fat:reuters_ltm_source_window.fat&amp;display_string=Audit&amp;DYN_ARGS=TRUE&amp;VAR:ID1=KSU&amp;VAR:RCODE=FIBCEBITDA&amp;VAR:SDATE=20090399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8__FDSAUDITLINK__" hidden="1">{"fdsup://IBCentral/FAT Viewer?action=UPDATE&amp;creator=factset&amp;DOC_NAME=fat:reuters_ltm_source_window.fat&amp;display_string=Audit&amp;DYN_ARGS=TRUE&amp;VAR:ID1=KSU&amp;VAR:RCODE=FIBCEBITDA&amp;VAR:SDATE=20090399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80__FDSAUDITLINK__" localSheetId="5" hidden="1">{"fdsup://IBCentral/FAT Viewer?action=UPDATE&amp;creator=factset&amp;DOC_NAME=fat:reuters_ltm_source_window.fat&amp;display_string=Audit&amp;DYN_ARGS=TRUE&amp;VAR:ID1=RHI&amp;VAR:RCODE=FDSREVSTOTAL&amp;VAR:SDATE=20090399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0__FDSAUDITLINK__" localSheetId="0" hidden="1">{"fdsup://IBCentral/FAT Viewer?action=UPDATE&amp;creator=factset&amp;DOC_NAME=fat:reuters_ltm_source_window.fat&amp;display_string=Audit&amp;DYN_ARGS=TRUE&amp;VAR:ID1=RHI&amp;VAR:RCODE=FDSREVSTOTAL&amp;VAR:SDATE=20090399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0__FDSAUDITLINK__" localSheetId="4" hidden="1">{"fdsup://IBCentral/FAT Viewer?action=UPDATE&amp;creator=factset&amp;DOC_NAME=fat:reuters_ltm_source_window.fat&amp;display_string=Audit&amp;DYN_ARGS=TRUE&amp;VAR:ID1=RHI&amp;VAR:RCODE=FDSREVSTOTAL&amp;VAR:SDATE=20090399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0__FDSAUDITLINK__" hidden="1">{"fdsup://IBCentral/FAT Viewer?action=UPDATE&amp;creator=factset&amp;DOC_NAME=fat:reuters_ltm_source_window.fat&amp;display_string=Audit&amp;DYN_ARGS=TRUE&amp;VAR:ID1=RHI&amp;VAR:RCODE=FDSREVSTOTAL&amp;VAR:SDATE=20090399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1__FDSAUDITLINK__" localSheetId="5" hidden="1">{"fdsup://IBCentral/FAT Viewer?action=UPDATE&amp;creator=factset&amp;DOC_NAME=fat:reuters_ltm_source_window.fat&amp;display_string=Audit&amp;DYN_ARGS=TRUE&amp;VAR:ID1=JBHT&amp;VAR:RCODE=FDSREVSTOTAL&amp;VAR:SDATE=20090399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1__FDSAUDITLINK__" localSheetId="0" hidden="1">{"fdsup://IBCentral/FAT Viewer?action=UPDATE&amp;creator=factset&amp;DOC_NAME=fat:reuters_ltm_source_window.fat&amp;display_string=Audit&amp;DYN_ARGS=TRUE&amp;VAR:ID1=JBHT&amp;VAR:RCODE=FDSREVSTOTAL&amp;VAR:SDATE=20090399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1__FDSAUDITLINK__" localSheetId="4" hidden="1">{"fdsup://IBCentral/FAT Viewer?action=UPDATE&amp;creator=factset&amp;DOC_NAME=fat:reuters_ltm_source_window.fat&amp;display_string=Audit&amp;DYN_ARGS=TRUE&amp;VAR:ID1=JBHT&amp;VAR:RCODE=FDSREVSTOTAL&amp;VAR:SDATE=20090399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1__FDSAUDITLINK__" hidden="1">{"fdsup://IBCentral/FAT Viewer?action=UPDATE&amp;creator=factset&amp;DOC_NAME=fat:reuters_ltm_source_window.fat&amp;display_string=Audit&amp;DYN_ARGS=TRUE&amp;VAR:ID1=JBHT&amp;VAR:RCODE=FDSREVSTOTAL&amp;VAR:SDATE=20090399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2__FDSAUDITLINK__" localSheetId="5" hidden="1">{"fdsup://IBCentral/FAT Viewer?action=UPDATE&amp;creator=factset&amp;DOC_NAME=fat:reuters_ltm_source_window.fat&amp;display_string=Audit&amp;DYN_ARGS=TRUE&amp;VAR:ID1=EFX&amp;VAR:RCODE=FDSREVSTOTAL&amp;VAR:SDATE=20090399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2__FDSAUDITLINK__" localSheetId="0" hidden="1">{"fdsup://IBCentral/FAT Viewer?action=UPDATE&amp;creator=factset&amp;DOC_NAME=fat:reuters_ltm_source_window.fat&amp;display_string=Audit&amp;DYN_ARGS=TRUE&amp;VAR:ID1=EFX&amp;VAR:RCODE=FDSREVSTOTAL&amp;VAR:SDATE=20090399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2__FDSAUDITLINK__" localSheetId="4" hidden="1">{"fdsup://IBCentral/FAT Viewer?action=UPDATE&amp;creator=factset&amp;DOC_NAME=fat:reuters_ltm_source_window.fat&amp;display_string=Audit&amp;DYN_ARGS=TRUE&amp;VAR:ID1=EFX&amp;VAR:RCODE=FDSREVSTOTAL&amp;VAR:SDATE=20090399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2__FDSAUDITLINK__" hidden="1">{"fdsup://IBCentral/FAT Viewer?action=UPDATE&amp;creator=factset&amp;DOC_NAME=fat:reuters_ltm_source_window.fat&amp;display_string=Audit&amp;DYN_ARGS=TRUE&amp;VAR:ID1=EFX&amp;VAR:RCODE=FDSREVSTOTAL&amp;VAR:SDATE=20090399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3__FDSAUDITLINK__" localSheetId="5" hidden="1">{"fdsup://IBCentral/FAT Viewer?action=UPDATE&amp;creator=factset&amp;DOC_NAME=fat:reuters_ltm_source_window.fat&amp;display_string=Audit&amp;DYN_ARGS=TRUE&amp;VAR:ID1=FLS&amp;VAR:RCODE=FDSREVSTOTAL&amp;VAR:SDATE=20090399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3__FDSAUDITLINK__" localSheetId="0" hidden="1">{"fdsup://IBCentral/FAT Viewer?action=UPDATE&amp;creator=factset&amp;DOC_NAME=fat:reuters_ltm_source_window.fat&amp;display_string=Audit&amp;DYN_ARGS=TRUE&amp;VAR:ID1=FLS&amp;VAR:RCODE=FDSREVSTOTAL&amp;VAR:SDATE=20090399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3__FDSAUDITLINK__" localSheetId="4" hidden="1">{"fdsup://IBCentral/FAT Viewer?action=UPDATE&amp;creator=factset&amp;DOC_NAME=fat:reuters_ltm_source_window.fat&amp;display_string=Audit&amp;DYN_ARGS=TRUE&amp;VAR:ID1=FLS&amp;VAR:RCODE=FDSREVSTOTAL&amp;VAR:SDATE=20090399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3__FDSAUDITLINK__" hidden="1">{"fdsup://IBCentral/FAT Viewer?action=UPDATE&amp;creator=factset&amp;DOC_NAME=fat:reuters_ltm_source_window.fat&amp;display_string=Audit&amp;DYN_ARGS=TRUE&amp;VAR:ID1=FLS&amp;VAR:RCODE=FDSREVSTOTAL&amp;VAR:SDATE=20090399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4__FDSAUDITLINK__" localSheetId="5" hidden="1">{"fdsup://IBCentral/FAT Viewer?action=UPDATE&amp;creator=factset&amp;DOC_NAME=fat:reuters_ltm_source_window.fat&amp;display_string=Audit&amp;DYN_ARGS=TRUE&amp;VAR:ID1=AME&amp;VAR:RCODE=FDSREVSTOTAL&amp;VAR:SDATE=20090399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4__FDSAUDITLINK__" localSheetId="0" hidden="1">{"fdsup://IBCentral/FAT Viewer?action=UPDATE&amp;creator=factset&amp;DOC_NAME=fat:reuters_ltm_source_window.fat&amp;display_string=Audit&amp;DYN_ARGS=TRUE&amp;VAR:ID1=AME&amp;VAR:RCODE=FDSREVSTOTAL&amp;VAR:SDATE=20090399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4__FDSAUDITLINK__" localSheetId="4" hidden="1">{"fdsup://IBCentral/FAT Viewer?action=UPDATE&amp;creator=factset&amp;DOC_NAME=fat:reuters_ltm_source_window.fat&amp;display_string=Audit&amp;DYN_ARGS=TRUE&amp;VAR:ID1=AME&amp;VAR:RCODE=FDSREVSTOTAL&amp;VAR:SDATE=20090399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4__FDSAUDITLINK__" hidden="1">{"fdsup://IBCentral/FAT Viewer?action=UPDATE&amp;creator=factset&amp;DOC_NAME=fat:reuters_ltm_source_window.fat&amp;display_string=Audit&amp;DYN_ARGS=TRUE&amp;VAR:ID1=AME&amp;VAR:RCODE=FDSREVSTOTAL&amp;VAR:SDATE=20090399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5__FDSAUDITLINK__" localSheetId="5" hidden="1">{"fdsup://IBCentral/FAT Viewer?action=UPDATE&amp;creator=factset&amp;DOC_NAME=fat:reuters_ltm_source_window.fat&amp;display_string=Audit&amp;DYN_ARGS=TRUE&amp;VAR:ID1=URS&amp;VAR:RCODE=FDSREVSTOTAL&amp;VAR:SDATE=20090399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5__FDSAUDITLINK__" localSheetId="0" hidden="1">{"fdsup://IBCentral/FAT Viewer?action=UPDATE&amp;creator=factset&amp;DOC_NAME=fat:reuters_ltm_source_window.fat&amp;display_string=Audit&amp;DYN_ARGS=TRUE&amp;VAR:ID1=URS&amp;VAR:RCODE=FDSREVSTOTAL&amp;VAR:SDATE=20090399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5__FDSAUDITLINK__" localSheetId="4" hidden="1">{"fdsup://IBCentral/FAT Viewer?action=UPDATE&amp;creator=factset&amp;DOC_NAME=fat:reuters_ltm_source_window.fat&amp;display_string=Audit&amp;DYN_ARGS=TRUE&amp;VAR:ID1=URS&amp;VAR:RCODE=FDSREVSTOTAL&amp;VAR:SDATE=20090399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5__FDSAUDITLINK__" hidden="1">{"fdsup://IBCentral/FAT Viewer?action=UPDATE&amp;creator=factset&amp;DOC_NAME=fat:reuters_ltm_source_window.fat&amp;display_string=Audit&amp;DYN_ARGS=TRUE&amp;VAR:ID1=URS&amp;VAR:RCODE=FDSREVSTOTAL&amp;VAR:SDATE=20090399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6__FDSAUDITLINK__" localSheetId="5" hidden="1">{"fdsup://IBCentral/FAT Viewer?action=UPDATE&amp;creator=factset&amp;DOC_NAME=fat:reuters_ltm_source_window.fat&amp;display_string=Audit&amp;DYN_ARGS=TRUE&amp;VAR:ID1=ROK&amp;VAR:RCODE=FDSREVSTOTAL&amp;VAR:SDATE=20090399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6__FDSAUDITLINK__" localSheetId="0" hidden="1">{"fdsup://IBCentral/FAT Viewer?action=UPDATE&amp;creator=factset&amp;DOC_NAME=fat:reuters_ltm_source_window.fat&amp;display_string=Audit&amp;DYN_ARGS=TRUE&amp;VAR:ID1=ROK&amp;VAR:RCODE=FDSREVSTOTAL&amp;VAR:SDATE=20090399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6__FDSAUDITLINK__" localSheetId="4" hidden="1">{"fdsup://IBCentral/FAT Viewer?action=UPDATE&amp;creator=factset&amp;DOC_NAME=fat:reuters_ltm_source_window.fat&amp;display_string=Audit&amp;DYN_ARGS=TRUE&amp;VAR:ID1=ROK&amp;VAR:RCODE=FDSREVSTOTAL&amp;VAR:SDATE=20090399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6__FDSAUDITLINK__" hidden="1">{"fdsup://IBCentral/FAT Viewer?action=UPDATE&amp;creator=factset&amp;DOC_NAME=fat:reuters_ltm_source_window.fat&amp;display_string=Audit&amp;DYN_ARGS=TRUE&amp;VAR:ID1=ROK&amp;VAR:RCODE=FDSREVSTOTAL&amp;VAR:SDATE=20090399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7__FDSAUDITLINK__" localSheetId="5" hidden="1">{"fdsup://IBCentral/FAT Viewer?action=UPDATE&amp;creator=factset&amp;DOC_NAME=fat:reuters_ltm_source_window.fat&amp;display_string=Audit&amp;DYN_ARGS=TRUE&amp;VAR:ID1=CTAS&amp;VAR:RCODE=FDSREVSTOTAL&amp;VAR:SDATE=20090299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7__FDSAUDITLINK__" localSheetId="0" hidden="1">{"fdsup://IBCentral/FAT Viewer?action=UPDATE&amp;creator=factset&amp;DOC_NAME=fat:reuters_ltm_source_window.fat&amp;display_string=Audit&amp;DYN_ARGS=TRUE&amp;VAR:ID1=CTAS&amp;VAR:RCODE=FDSREVSTOTAL&amp;VAR:SDATE=20090299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7__FDSAUDITLINK__" localSheetId="4" hidden="1">{"fdsup://IBCentral/FAT Viewer?action=UPDATE&amp;creator=factset&amp;DOC_NAME=fat:reuters_ltm_source_window.fat&amp;display_string=Audit&amp;DYN_ARGS=TRUE&amp;VAR:ID1=CTAS&amp;VAR:RCODE=FDSREVSTOTAL&amp;VAR:SDATE=20090299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7__FDSAUDITLINK__" hidden="1">{"fdsup://IBCentral/FAT Viewer?action=UPDATE&amp;creator=factset&amp;DOC_NAME=fat:reuters_ltm_source_window.fat&amp;display_string=Audit&amp;DYN_ARGS=TRUE&amp;VAR:ID1=CTAS&amp;VAR:RCODE=FDSREVSTOTAL&amp;VAR:SDATE=20090299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8__FDSAUDITLINK__" localSheetId="5" hidden="1">{"fdsup://IBCentral/FAT Viewer?action=UPDATE&amp;creator=factset&amp;DOC_NAME=fat:reuters_ltm_source_window.fat&amp;display_string=Audit&amp;DYN_ARGS=TRUE&amp;VAR:ID1=ROP&amp;VAR:RCODE=FDSREVSTOTAL&amp;VAR:SDATE=20090399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8__FDSAUDITLINK__" localSheetId="0" hidden="1">{"fdsup://IBCentral/FAT Viewer?action=UPDATE&amp;creator=factset&amp;DOC_NAME=fat:reuters_ltm_source_window.fat&amp;display_string=Audit&amp;DYN_ARGS=TRUE&amp;VAR:ID1=ROP&amp;VAR:RCODE=FDSREVSTOTAL&amp;VAR:SDATE=20090399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8__FDSAUDITLINK__" localSheetId="4" hidden="1">{"fdsup://IBCentral/FAT Viewer?action=UPDATE&amp;creator=factset&amp;DOC_NAME=fat:reuters_ltm_source_window.fat&amp;display_string=Audit&amp;DYN_ARGS=TRUE&amp;VAR:ID1=ROP&amp;VAR:RCODE=FDSREVSTOTAL&amp;VAR:SDATE=20090399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8__FDSAUDITLINK__" hidden="1">{"fdsup://IBCentral/FAT Viewer?action=UPDATE&amp;creator=factset&amp;DOC_NAME=fat:reuters_ltm_source_window.fat&amp;display_string=Audit&amp;DYN_ARGS=TRUE&amp;VAR:ID1=ROP&amp;VAR:RCODE=FDSREVSTOTAL&amp;VAR:SDATE=20090399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89__FDSAUDITLINK__" localSheetId="5" hidden="1">{"fdsup://IBCentral/FAT Viewer?action=UPDATE&amp;creator=factset&amp;DOC_NAME=fat:reuters_ltm_source_window.fat&amp;display_string=Audit&amp;DYN_ARGS=TRUE&amp;VAR:ID1=SRCL&amp;VAR:RCODE=FDSREVSTOTAL&amp;VAR:SDATE=20090399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9__FDSAUDITLINK__" localSheetId="0" hidden="1">{"fdsup://IBCentral/FAT Viewer?action=UPDATE&amp;creator=factset&amp;DOC_NAME=fat:reuters_ltm_source_window.fat&amp;display_string=Audit&amp;DYN_ARGS=TRUE&amp;VAR:ID1=SRCL&amp;VAR:RCODE=FDSREVSTOTAL&amp;VAR:SDATE=20090399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9__FDSAUDITLINK__" localSheetId="4" hidden="1">{"fdsup://IBCentral/FAT Viewer?action=UPDATE&amp;creator=factset&amp;DOC_NAME=fat:reuters_ltm_source_window.fat&amp;display_string=Audit&amp;DYN_ARGS=TRUE&amp;VAR:ID1=SRCL&amp;VAR:RCODE=FDSREVSTOTAL&amp;VAR:SDATE=20090399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89__FDSAUDITLINK__" hidden="1">{"fdsup://IBCentral/FAT Viewer?action=UPDATE&amp;creator=factset&amp;DOC_NAME=fat:reuters_ltm_source_window.fat&amp;display_string=Audit&amp;DYN_ARGS=TRUE&amp;VAR:ID1=SRCL&amp;VAR:RCODE=FDSREVSTOTAL&amp;VAR:SDATE=20090399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9__123Graph_AChart_1AP" localSheetId="0" hidden="1">#REF!</definedName>
    <definedName name="_39__123Graph_AChart_1AP" hidden="1">#REF!</definedName>
    <definedName name="_39__FDSAUDITLINK__" localSheetId="5" hidden="1">{"fdsup://IBCentral/FAT Viewer?action=UPDATE&amp;creator=factset&amp;DOC_NAME=fat:reuters_ltm_source_window.fat&amp;display_string=Audit&amp;DYN_ARGS=TRUE&amp;VAR:ID1=VMI&amp;VAR:RCODE=FIBCEBITDA&amp;VAR:SDATE=20090399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9__FDSAUDITLINK__" localSheetId="0" hidden="1">{"fdsup://IBCentral/FAT Viewer?action=UPDATE&amp;creator=factset&amp;DOC_NAME=fat:reuters_ltm_source_window.fat&amp;display_string=Audit&amp;DYN_ARGS=TRUE&amp;VAR:ID1=VMI&amp;VAR:RCODE=FIBCEBITDA&amp;VAR:SDATE=20090399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9__FDSAUDITLINK__" localSheetId="4" hidden="1">{"fdsup://IBCentral/FAT Viewer?action=UPDATE&amp;creator=factset&amp;DOC_NAME=fat:reuters_ltm_source_window.fat&amp;display_string=Audit&amp;DYN_ARGS=TRUE&amp;VAR:ID1=VMI&amp;VAR:RCODE=FIBCEBITDA&amp;VAR:SDATE=20090399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9__FDSAUDITLINK__" hidden="1">{"fdsup://IBCentral/FAT Viewer?action=UPDATE&amp;creator=factset&amp;DOC_NAME=fat:reuters_ltm_source_window.fat&amp;display_string=Audit&amp;DYN_ARGS=TRUE&amp;VAR:ID1=VMI&amp;VAR:RCODE=FIBCEBITDA&amp;VAR:SDATE=20090399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390__FDSAUDITLINK__" localSheetId="5" hidden="1">{"fdsup://IBCentral/FAT Viewer?action=UPDATE&amp;creator=factset&amp;DOC_NAME=fat:reuters_ltm_source_window.fat&amp;display_string=Audit&amp;DYN_ARGS=TRUE&amp;VAR:ID1=DNB&amp;VAR:RCODE=FDSREVSTOTAL&amp;VAR:SDATE=20090399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0__FDSAUDITLINK__" localSheetId="0" hidden="1">{"fdsup://IBCentral/FAT Viewer?action=UPDATE&amp;creator=factset&amp;DOC_NAME=fat:reuters_ltm_source_window.fat&amp;display_string=Audit&amp;DYN_ARGS=TRUE&amp;VAR:ID1=DNB&amp;VAR:RCODE=FDSREVSTOTAL&amp;VAR:SDATE=20090399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0__FDSAUDITLINK__" localSheetId="4" hidden="1">{"fdsup://IBCentral/FAT Viewer?action=UPDATE&amp;creator=factset&amp;DOC_NAME=fat:reuters_ltm_source_window.fat&amp;display_string=Audit&amp;DYN_ARGS=TRUE&amp;VAR:ID1=DNB&amp;VAR:RCODE=FDSREVSTOTAL&amp;VAR:SDATE=20090399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0__FDSAUDITLINK__" hidden="1">{"fdsup://IBCentral/FAT Viewer?action=UPDATE&amp;creator=factset&amp;DOC_NAME=fat:reuters_ltm_source_window.fat&amp;display_string=Audit&amp;DYN_ARGS=TRUE&amp;VAR:ID1=DNB&amp;VAR:RCODE=FDSREVSTOTAL&amp;VAR:SDATE=20090399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1__FDSAUDITLINK__" localSheetId="5" hidden="1">{"fdsup://IBCentral/FAT Viewer?action=UPDATE&amp;creator=factset&amp;DOC_NAME=fat:reuters_ltm_source_window.fat&amp;display_string=Audit&amp;DYN_ARGS=TRUE&amp;VAR:ID1=CBE&amp;VAR:RCODE=FDSREVSTOTAL&amp;VAR:SDATE=20090399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1__FDSAUDITLINK__" localSheetId="0" hidden="1">{"fdsup://IBCentral/FAT Viewer?action=UPDATE&amp;creator=factset&amp;DOC_NAME=fat:reuters_ltm_source_window.fat&amp;display_string=Audit&amp;DYN_ARGS=TRUE&amp;VAR:ID1=CBE&amp;VAR:RCODE=FDSREVSTOTAL&amp;VAR:SDATE=20090399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1__FDSAUDITLINK__" localSheetId="4" hidden="1">{"fdsup://IBCentral/FAT Viewer?action=UPDATE&amp;creator=factset&amp;DOC_NAME=fat:reuters_ltm_source_window.fat&amp;display_string=Audit&amp;DYN_ARGS=TRUE&amp;VAR:ID1=CBE&amp;VAR:RCODE=FDSREVSTOTAL&amp;VAR:SDATE=20090399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1__FDSAUDITLINK__" hidden="1">{"fdsup://IBCentral/FAT Viewer?action=UPDATE&amp;creator=factset&amp;DOC_NAME=fat:reuters_ltm_source_window.fat&amp;display_string=Audit&amp;DYN_ARGS=TRUE&amp;VAR:ID1=CBE&amp;VAR:RCODE=FDSREVSTOTAL&amp;VAR:SDATE=20090399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2__FDSAUDITLINK__" localSheetId="5" hidden="1">{"fdsup://IBCentral/FAT Viewer?action=UPDATE&amp;creator=factset&amp;DOC_NAME=fat:reuters_ltm_source_window.fat&amp;display_string=Audit&amp;DYN_ARGS=TRUE&amp;VAR:ID1=PWR&amp;VAR:RCODE=FDSREVSTOTAL&amp;VAR:SDATE=20090399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2__FDSAUDITLINK__" localSheetId="0" hidden="1">{"fdsup://IBCentral/FAT Viewer?action=UPDATE&amp;creator=factset&amp;DOC_NAME=fat:reuters_ltm_source_window.fat&amp;display_string=Audit&amp;DYN_ARGS=TRUE&amp;VAR:ID1=PWR&amp;VAR:RCODE=FDSREVSTOTAL&amp;VAR:SDATE=20090399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2__FDSAUDITLINK__" localSheetId="4" hidden="1">{"fdsup://IBCentral/FAT Viewer?action=UPDATE&amp;creator=factset&amp;DOC_NAME=fat:reuters_ltm_source_window.fat&amp;display_string=Audit&amp;DYN_ARGS=TRUE&amp;VAR:ID1=PWR&amp;VAR:RCODE=FDSREVSTOTAL&amp;VAR:SDATE=20090399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Viewer?action=UPDATE&amp;creator=factset&amp;DOC_NAME=fat:reuters_ltm_source_window.fat&amp;display_string=Audit&amp;DYN_ARGS=TRUE&amp;VAR:ID1=PWR&amp;VAR:RCODE=FDSREVSTOTAL&amp;VAR:SDATE=20090399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3__FDSAUDITLINK__" localSheetId="5" hidden="1">{"fdsup://IBCentral/FAT Viewer?action=UPDATE&amp;creator=factset&amp;DOC_NAME=fat:reuters_ltm_source_window.fat&amp;display_string=Audit&amp;DYN_ARGS=TRUE&amp;VAR:ID1=LUV&amp;VAR:RCODE=FDSREVSTOTAL&amp;VAR:SDATE=20090399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3__FDSAUDITLINK__" localSheetId="0" hidden="1">{"fdsup://IBCentral/FAT Viewer?action=UPDATE&amp;creator=factset&amp;DOC_NAME=fat:reuters_ltm_source_window.fat&amp;display_string=Audit&amp;DYN_ARGS=TRUE&amp;VAR:ID1=LUV&amp;VAR:RCODE=FDSREVSTOTAL&amp;VAR:SDATE=20090399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3__FDSAUDITLINK__" localSheetId="4" hidden="1">{"fdsup://IBCentral/FAT Viewer?action=UPDATE&amp;creator=factset&amp;DOC_NAME=fat:reuters_ltm_source_window.fat&amp;display_string=Audit&amp;DYN_ARGS=TRUE&amp;VAR:ID1=LUV&amp;VAR:RCODE=FDSREVSTOTAL&amp;VAR:SDATE=20090399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3__FDSAUDITLINK__" hidden="1">{"fdsup://IBCentral/FAT Viewer?action=UPDATE&amp;creator=factset&amp;DOC_NAME=fat:reuters_ltm_source_window.fat&amp;display_string=Audit&amp;DYN_ARGS=TRUE&amp;VAR:ID1=LUV&amp;VAR:RCODE=FDSREVSTOTAL&amp;VAR:SDATE=20090399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4__FDSAUDITLINK__" localSheetId="5" hidden="1">{"fdsup://IBCentral/FAT Viewer?action=UPDATE&amp;creator=factset&amp;DOC_NAME=fat:reuters_ltm_source_window.fat&amp;display_string=Audit&amp;DYN_ARGS=TRUE&amp;VAR:ID1=IRM&amp;VAR:RCODE=FDSREVSTOTAL&amp;VAR:SDATE=20090399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4__FDSAUDITLINK__" localSheetId="0" hidden="1">{"fdsup://IBCentral/FAT Viewer?action=UPDATE&amp;creator=factset&amp;DOC_NAME=fat:reuters_ltm_source_window.fat&amp;display_string=Audit&amp;DYN_ARGS=TRUE&amp;VAR:ID1=IRM&amp;VAR:RCODE=FDSREVSTOTAL&amp;VAR:SDATE=20090399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4__FDSAUDITLINK__" localSheetId="4" hidden="1">{"fdsup://IBCentral/FAT Viewer?action=UPDATE&amp;creator=factset&amp;DOC_NAME=fat:reuters_ltm_source_window.fat&amp;display_string=Audit&amp;DYN_ARGS=TRUE&amp;VAR:ID1=IRM&amp;VAR:RCODE=FDSREVSTOTAL&amp;VAR:SDATE=20090399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4__FDSAUDITLINK__" hidden="1">{"fdsup://IBCentral/FAT Viewer?action=UPDATE&amp;creator=factset&amp;DOC_NAME=fat:reuters_ltm_source_window.fat&amp;display_string=Audit&amp;DYN_ARGS=TRUE&amp;VAR:ID1=IRM&amp;VAR:RCODE=FDSREVSTOTAL&amp;VAR:SDATE=20090399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5__FDSAUDITLINK__" localSheetId="5" hidden="1">{"fdsup://IBCentral/FAT Viewer?action=UPDATE&amp;creator=factset&amp;DOC_NAME=fat:reuters_ltm_source_window.fat&amp;display_string=Audit&amp;DYN_ARGS=TRUE&amp;VAR:ID1=FAST&amp;VAR:RCODE=FDSREVSTOTAL&amp;VAR:SDATE=20090399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95__FDSAUDITLINK__" localSheetId="0" hidden="1">{"fdsup://IBCentral/FAT Viewer?action=UPDATE&amp;creator=factset&amp;DOC_NAME=fat:reuters_ltm_source_window.fat&amp;display_string=Audit&amp;DYN_ARGS=TRUE&amp;VAR:ID1=FAST&amp;VAR:RCODE=FDSREVSTOTAL&amp;VAR:SDATE=20090399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95__FDSAUDITLINK__" localSheetId="4" hidden="1">{"fdsup://IBCentral/FAT Viewer?action=UPDATE&amp;creator=factset&amp;DOC_NAME=fat:reuters_ltm_source_window.fat&amp;display_string=Audit&amp;DYN_ARGS=TRUE&amp;VAR:ID1=FAST&amp;VAR:RCODE=FDSREVSTOTAL&amp;VAR:SDATE=20090399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95__FDSAUDITLINK__" hidden="1">{"fdsup://IBCentral/FAT Viewer?action=UPDATE&amp;creator=factset&amp;DOC_NAME=fat:reuters_ltm_source_window.fat&amp;display_string=Audit&amp;DYN_ARGS=TRUE&amp;VAR:ID1=FAST&amp;VAR:RCODE=FDSREVSTOTAL&amp;VAR:SDATE=20090399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396__FDSAUDITLINK__" localSheetId="5" hidden="1">{"fdsup://IBCentral/FAT Viewer?action=UPDATE&amp;creator=factset&amp;DOC_NAME=fat:reuters_ltm_source_window.fat&amp;display_string=Audit&amp;DYN_ARGS=TRUE&amp;VAR:ID1=PBI&amp;VAR:RCODE=FDSREVSTOTAL&amp;VAR:SDATE=20090399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6__FDSAUDITLINK__" localSheetId="0" hidden="1">{"fdsup://IBCentral/FAT Viewer?action=UPDATE&amp;creator=factset&amp;DOC_NAME=fat:reuters_ltm_source_window.fat&amp;display_string=Audit&amp;DYN_ARGS=TRUE&amp;VAR:ID1=PBI&amp;VAR:RCODE=FDSREVSTOTAL&amp;VAR:SDATE=20090399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6__FDSAUDITLINK__" localSheetId="4" hidden="1">{"fdsup://IBCentral/FAT Viewer?action=UPDATE&amp;creator=factset&amp;DOC_NAME=fat:reuters_ltm_source_window.fat&amp;display_string=Audit&amp;DYN_ARGS=TRUE&amp;VAR:ID1=PBI&amp;VAR:RCODE=FDSREVSTOTAL&amp;VAR:SDATE=20090399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6__FDSAUDITLINK__" hidden="1">{"fdsup://IBCentral/FAT Viewer?action=UPDATE&amp;creator=factset&amp;DOC_NAME=fat:reuters_ltm_source_window.fat&amp;display_string=Audit&amp;DYN_ARGS=TRUE&amp;VAR:ID1=PBI&amp;VAR:RCODE=FDSREVSTOTAL&amp;VAR:SDATE=20090399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7__FDSAUDITLINK__" localSheetId="5" hidden="1">{"fdsup://IBCentral/FAT Viewer?action=UPDATE&amp;creator=factset&amp;DOC_NAME=fat:reuters_ltm_source_window.fat&amp;display_string=Audit&amp;DYN_ARGS=TRUE&amp;VAR:ID1=IR&amp;VAR:RCODE=FDSREVSTOTAL&amp;VAR:SDATE=20090399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97__FDSAUDITLINK__" localSheetId="0" hidden="1">{"fdsup://IBCentral/FAT Viewer?action=UPDATE&amp;creator=factset&amp;DOC_NAME=fat:reuters_ltm_source_window.fat&amp;display_string=Audit&amp;DYN_ARGS=TRUE&amp;VAR:ID1=IR&amp;VAR:RCODE=FDSREVSTOTAL&amp;VAR:SDATE=20090399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97__FDSAUDITLINK__" localSheetId="4" hidden="1">{"fdsup://IBCentral/FAT Viewer?action=UPDATE&amp;creator=factset&amp;DOC_NAME=fat:reuters_ltm_source_window.fat&amp;display_string=Audit&amp;DYN_ARGS=TRUE&amp;VAR:ID1=IR&amp;VAR:RCODE=FDSREVSTOTAL&amp;VAR:SDATE=20090399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97__FDSAUDITLINK__" hidden="1">{"fdsup://IBCentral/FAT Viewer?action=UPDATE&amp;creator=factset&amp;DOC_NAME=fat:reuters_ltm_source_window.fat&amp;display_string=Audit&amp;DYN_ARGS=TRUE&amp;VAR:ID1=IR&amp;VAR:RCODE=FDSREVSTOTAL&amp;VAR:SDATE=20090399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98__FDSAUDITLINK__" localSheetId="5" hidden="1">{"fdsup://IBCentral/FAT Viewer?action=UPDATE&amp;creator=factset&amp;DOC_NAME=fat:reuters_ltm_source_window.fat&amp;display_string=Audit&amp;DYN_ARGS=TRUE&amp;VAR:ID1=GR&amp;VAR:RCODE=FDSREVSTOTAL&amp;VAR:SDATE=20090399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98__FDSAUDITLINK__" localSheetId="0" hidden="1">{"fdsup://IBCentral/FAT Viewer?action=UPDATE&amp;creator=factset&amp;DOC_NAME=fat:reuters_ltm_source_window.fat&amp;display_string=Audit&amp;DYN_ARGS=TRUE&amp;VAR:ID1=GR&amp;VAR:RCODE=FDSREVSTOTAL&amp;VAR:SDATE=20090399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98__FDSAUDITLINK__" localSheetId="4" hidden="1">{"fdsup://IBCentral/FAT Viewer?action=UPDATE&amp;creator=factset&amp;DOC_NAME=fat:reuters_ltm_source_window.fat&amp;display_string=Audit&amp;DYN_ARGS=TRUE&amp;VAR:ID1=GR&amp;VAR:RCODE=FDSREVSTOTAL&amp;VAR:SDATE=20090399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98__FDSAUDITLINK__" hidden="1">{"fdsup://IBCentral/FAT Viewer?action=UPDATE&amp;creator=factset&amp;DOC_NAME=fat:reuters_ltm_source_window.fat&amp;display_string=Audit&amp;DYN_ARGS=TRUE&amp;VAR:ID1=GR&amp;VAR:RCODE=FDSREVSTOTAL&amp;VAR:SDATE=20090399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399__FDSAUDITLINK__" localSheetId="5" hidden="1">{"fdsup://IBCentral/FAT Viewer?action=UPDATE&amp;creator=factset&amp;DOC_NAME=fat:reuters_ltm_source_window.fat&amp;display_string=Audit&amp;DYN_ARGS=TRUE&amp;VAR:ID1=JEC&amp;VAR:RCODE=FDSREVSTOTAL&amp;VAR:SDATE=20090399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9__FDSAUDITLINK__" localSheetId="0" hidden="1">{"fdsup://IBCentral/FAT Viewer?action=UPDATE&amp;creator=factset&amp;DOC_NAME=fat:reuters_ltm_source_window.fat&amp;display_string=Audit&amp;DYN_ARGS=TRUE&amp;VAR:ID1=JEC&amp;VAR:RCODE=FDSREVSTOTAL&amp;VAR:SDATE=20090399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9__FDSAUDITLINK__" localSheetId="4" hidden="1">{"fdsup://IBCentral/FAT Viewer?action=UPDATE&amp;creator=factset&amp;DOC_NAME=fat:reuters_ltm_source_window.fat&amp;display_string=Audit&amp;DYN_ARGS=TRUE&amp;VAR:ID1=JEC&amp;VAR:RCODE=FDSREVSTOTAL&amp;VAR:SDATE=20090399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99__FDSAUDITLINK__" hidden="1">{"fdsup://IBCentral/FAT Viewer?action=UPDATE&amp;creator=factset&amp;DOC_NAME=fat:reuters_ltm_source_window.fat&amp;display_string=Audit&amp;DYN_ARGS=TRUE&amp;VAR:ID1=JEC&amp;VAR:RCODE=FDSREVSTOTAL&amp;VAR:SDATE=20090399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3ÿ_0M" localSheetId="0">#REF!</definedName>
    <definedName name="_3ÿ_0M">#REF!</definedName>
    <definedName name="_3ÿ_0Q" localSheetId="0">#REF!</definedName>
    <definedName name="_3ÿ_0Q">#REF!</definedName>
    <definedName name="_4_.__Restructuring_char" localSheetId="0">#REF!</definedName>
    <definedName name="_4_.__Restructuring_char">#REF!</definedName>
    <definedName name="_4_._0Restructuring_char" localSheetId="0">#REF!</definedName>
    <definedName name="_4_._0Restructuring_char">#REF!</definedName>
    <definedName name="_4__FDSAUDITLINK__" localSheetId="5" hidden="1">{"fdsup://IBCentral/FAT Viewer?action=UPDATE&amp;creator=factset&amp;DOC_NAME=fat:reuters_ltm_source_window.fat&amp;display_string=Audit&amp;DYN_ARGS=TRUE&amp;VAR:ID1=ODFL&amp;VAR:RCODE=FIBCEBITDA&amp;VAR:SDATE=20090399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__FDSAUDITLINK__" localSheetId="0" hidden="1">{"fdsup://IBCentral/FAT Viewer?action=UPDATE&amp;creator=factset&amp;DOC_NAME=fat:reuters_ltm_source_window.fat&amp;display_string=Audit&amp;DYN_ARGS=TRUE&amp;VAR:ID1=ODFL&amp;VAR:RCODE=FIBCEBITDA&amp;VAR:SDATE=20090399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__FDSAUDITLINK__" localSheetId="4" hidden="1">{"fdsup://IBCentral/FAT Viewer?action=UPDATE&amp;creator=factset&amp;DOC_NAME=fat:reuters_ltm_source_window.fat&amp;display_string=Audit&amp;DYN_ARGS=TRUE&amp;VAR:ID1=ODFL&amp;VAR:RCODE=FIBCEBITDA&amp;VAR:SDATE=20090399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__FDSAUDITLINK__" hidden="1">{"fdsup://IBCentral/FAT Viewer?action=UPDATE&amp;creator=factset&amp;DOC_NAME=fat:reuters_ltm_source_window.fat&amp;display_string=Audit&amp;DYN_ARGS=TRUE&amp;VAR:ID1=ODFL&amp;VAR:RCODE=FIBCEBITDA&amp;VAR:SDATE=20090399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_0I" localSheetId="0">#REF!</definedName>
    <definedName name="_4_0I">#REF!</definedName>
    <definedName name="_40__FDSAUDITLINK__" localSheetId="5" hidden="1">{"fdsup://IBCentral/FAT Viewer?action=UPDATE&amp;creator=factset&amp;DOC_NAME=fat:reuters_ltm_source_window.fat&amp;display_string=Audit&amp;DYN_ARGS=TRUE&amp;VAR:ID1=KEX&amp;VAR:RCODE=FIBCEBITDA&amp;VAR:SDATE=20090399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0__FDSAUDITLINK__" localSheetId="0" hidden="1">{"fdsup://IBCentral/FAT Viewer?action=UPDATE&amp;creator=factset&amp;DOC_NAME=fat:reuters_ltm_source_window.fat&amp;display_string=Audit&amp;DYN_ARGS=TRUE&amp;VAR:ID1=KEX&amp;VAR:RCODE=FIBCEBITDA&amp;VAR:SDATE=20090399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0__FDSAUDITLINK__" localSheetId="4" hidden="1">{"fdsup://IBCentral/FAT Viewer?action=UPDATE&amp;creator=factset&amp;DOC_NAME=fat:reuters_ltm_source_window.fat&amp;display_string=Audit&amp;DYN_ARGS=TRUE&amp;VAR:ID1=KEX&amp;VAR:RCODE=FIBCEBITDA&amp;VAR:SDATE=20090399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0__FDSAUDITLINK__" hidden="1">{"fdsup://IBCentral/FAT Viewer?action=UPDATE&amp;creator=factset&amp;DOC_NAME=fat:reuters_ltm_source_window.fat&amp;display_string=Audit&amp;DYN_ARGS=TRUE&amp;VAR:ID1=KEX&amp;VAR:RCODE=FIBCEBITDA&amp;VAR:SDATE=20090399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00__FDSAUDITLINK__" localSheetId="5" hidden="1">{"fdsup://IBCentral/FAT Viewer?action=UPDATE&amp;creator=factset&amp;DOC_NAME=fat:reuters_ltm_source_window.fat&amp;display_string=Audit&amp;DYN_ARGS=TRUE&amp;VAR:ID1=DOV&amp;VAR:RCODE=FDSREVSTOTAL&amp;VAR:SDATE=20090399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0__FDSAUDITLINK__" localSheetId="0" hidden="1">{"fdsup://IBCentral/FAT Viewer?action=UPDATE&amp;creator=factset&amp;DOC_NAME=fat:reuters_ltm_source_window.fat&amp;display_string=Audit&amp;DYN_ARGS=TRUE&amp;VAR:ID1=DOV&amp;VAR:RCODE=FDSREVSTOTAL&amp;VAR:SDATE=20090399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0__FDSAUDITLINK__" localSheetId="4" hidden="1">{"fdsup://IBCentral/FAT Viewer?action=UPDATE&amp;creator=factset&amp;DOC_NAME=fat:reuters_ltm_source_window.fat&amp;display_string=Audit&amp;DYN_ARGS=TRUE&amp;VAR:ID1=DOV&amp;VAR:RCODE=FDSREVSTOTAL&amp;VAR:SDATE=20090399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0__FDSAUDITLINK__" hidden="1">{"fdsup://IBCentral/FAT Viewer?action=UPDATE&amp;creator=factset&amp;DOC_NAME=fat:reuters_ltm_source_window.fat&amp;display_string=Audit&amp;DYN_ARGS=TRUE&amp;VAR:ID1=DOV&amp;VAR:RCODE=FDSREVSTOTAL&amp;VAR:SDATE=20090399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1__FDSAUDITLINK__" localSheetId="5" hidden="1">{"fdsup://IBCentral/FAT Viewer?action=UPDATE&amp;creator=factset&amp;DOC_NAME=fat:reuters_ltm_source_window.fat&amp;display_string=Audit&amp;DYN_ARGS=TRUE&amp;VAR:ID1=COL&amp;VAR:RCODE=FDSREVSTOTAL&amp;VAR:SDATE=20090399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1__FDSAUDITLINK__" localSheetId="0" hidden="1">{"fdsup://IBCentral/FAT Viewer?action=UPDATE&amp;creator=factset&amp;DOC_NAME=fat:reuters_ltm_source_window.fat&amp;display_string=Audit&amp;DYN_ARGS=TRUE&amp;VAR:ID1=COL&amp;VAR:RCODE=FDSREVSTOTAL&amp;VAR:SDATE=20090399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1__FDSAUDITLINK__" localSheetId="4" hidden="1">{"fdsup://IBCentral/FAT Viewer?action=UPDATE&amp;creator=factset&amp;DOC_NAME=fat:reuters_ltm_source_window.fat&amp;display_string=Audit&amp;DYN_ARGS=TRUE&amp;VAR:ID1=COL&amp;VAR:RCODE=FDSREVSTOTAL&amp;VAR:SDATE=20090399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1__FDSAUDITLINK__" hidden="1">{"fdsup://IBCentral/FAT Viewer?action=UPDATE&amp;creator=factset&amp;DOC_NAME=fat:reuters_ltm_source_window.fat&amp;display_string=Audit&amp;DYN_ARGS=TRUE&amp;VAR:ID1=COL&amp;VAR:RCODE=FDSREVSTOTAL&amp;VAR:SDATE=20090399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2__FDSAUDITLINK__" localSheetId="5" hidden="1">{"fdsup://IBCentral/FAT Viewer?action=UPDATE&amp;creator=factset&amp;DOC_NAME=fat:reuters_ltm_source_window.fat&amp;display_string=Audit&amp;DYN_ARGS=TRUE&amp;VAR:ID1=GWW&amp;VAR:RCODE=FDSREVSTOTAL&amp;VAR:SDATE=20090399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2__FDSAUDITLINK__" localSheetId="0" hidden="1">{"fdsup://IBCentral/FAT Viewer?action=UPDATE&amp;creator=factset&amp;DOC_NAME=fat:reuters_ltm_source_window.fat&amp;display_string=Audit&amp;DYN_ARGS=TRUE&amp;VAR:ID1=GWW&amp;VAR:RCODE=FDSREVSTOTAL&amp;VAR:SDATE=20090399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2__FDSAUDITLINK__" localSheetId="4" hidden="1">{"fdsup://IBCentral/FAT Viewer?action=UPDATE&amp;creator=factset&amp;DOC_NAME=fat:reuters_ltm_source_window.fat&amp;display_string=Audit&amp;DYN_ARGS=TRUE&amp;VAR:ID1=GWW&amp;VAR:RCODE=FDSREVSTOTAL&amp;VAR:SDATE=20090399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2__FDSAUDITLINK__" hidden="1">{"fdsup://IBCentral/FAT Viewer?action=UPDATE&amp;creator=factset&amp;DOC_NAME=fat:reuters_ltm_source_window.fat&amp;display_string=Audit&amp;DYN_ARGS=TRUE&amp;VAR:ID1=GWW&amp;VAR:RCODE=FDSREVSTOTAL&amp;VAR:SDATE=20090399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3__FDSAUDITLINK__" localSheetId="5" hidden="1">{"fdsup://IBCentral/FAT Viewer?action=UPDATE&amp;creator=factset&amp;DOC_NAME=fat:reuters_ltm_source_window.fat&amp;display_string=Audit&amp;DYN_ARGS=TRUE&amp;VAR:ID1=PH&amp;VAR:RCODE=FDSREVSTOTAL&amp;VAR:SDATE=20090399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03__FDSAUDITLINK__" localSheetId="0" hidden="1">{"fdsup://IBCentral/FAT Viewer?action=UPDATE&amp;creator=factset&amp;DOC_NAME=fat:reuters_ltm_source_window.fat&amp;display_string=Audit&amp;DYN_ARGS=TRUE&amp;VAR:ID1=PH&amp;VAR:RCODE=FDSREVSTOTAL&amp;VAR:SDATE=20090399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03__FDSAUDITLINK__" localSheetId="4" hidden="1">{"fdsup://IBCentral/FAT Viewer?action=UPDATE&amp;creator=factset&amp;DOC_NAME=fat:reuters_ltm_source_window.fat&amp;display_string=Audit&amp;DYN_ARGS=TRUE&amp;VAR:ID1=PH&amp;VAR:RCODE=FDSREVSTOTAL&amp;VAR:SDATE=20090399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03__FDSAUDITLINK__" hidden="1">{"fdsup://IBCentral/FAT Viewer?action=UPDATE&amp;creator=factset&amp;DOC_NAME=fat:reuters_ltm_source_window.fat&amp;display_string=Audit&amp;DYN_ARGS=TRUE&amp;VAR:ID1=PH&amp;VAR:RCODE=FDSREVSTOTAL&amp;VAR:SDATE=20090399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04__FDSAUDITLINK__" localSheetId="5" hidden="1">{"fdsup://IBCentral/FAT Viewer?action=UPDATE&amp;creator=factset&amp;DOC_NAME=fat:reuters_ltm_source_window.fat&amp;display_string=Audit&amp;DYN_ARGS=TRUE&amp;VAR:ID1=CMI&amp;VAR:RCODE=FDSREVSTOTAL&amp;VAR:SDATE=20090399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4__FDSAUDITLINK__" localSheetId="0" hidden="1">{"fdsup://IBCentral/FAT Viewer?action=UPDATE&amp;creator=factset&amp;DOC_NAME=fat:reuters_ltm_source_window.fat&amp;display_string=Audit&amp;DYN_ARGS=TRUE&amp;VAR:ID1=CMI&amp;VAR:RCODE=FDSREVSTOTAL&amp;VAR:SDATE=20090399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4__FDSAUDITLINK__" localSheetId="4" hidden="1">{"fdsup://IBCentral/FAT Viewer?action=UPDATE&amp;creator=factset&amp;DOC_NAME=fat:reuters_ltm_source_window.fat&amp;display_string=Audit&amp;DYN_ARGS=TRUE&amp;VAR:ID1=CMI&amp;VAR:RCODE=FDSREVSTOTAL&amp;VAR:SDATE=20090399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4__FDSAUDITLINK__" hidden="1">{"fdsup://IBCentral/FAT Viewer?action=UPDATE&amp;creator=factset&amp;DOC_NAME=fat:reuters_ltm_source_window.fat&amp;display_string=Audit&amp;DYN_ARGS=TRUE&amp;VAR:ID1=CMI&amp;VAR:RCODE=FDSREVSTOTAL&amp;VAR:SDATE=20090399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5__FDSAUDITLINK__" localSheetId="5" hidden="1">{"fdsup://IBCentral/FAT Viewer?action=UPDATE&amp;creator=factset&amp;DOC_NAME=fat:reuters_ltm_source_window.fat&amp;display_string=Audit&amp;DYN_ARGS=TRUE&amp;VAR:ID1=ETN&amp;VAR:RCODE=FDSREVSTOTAL&amp;VAR:SDATE=20090399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5__FDSAUDITLINK__" localSheetId="0" hidden="1">{"fdsup://IBCentral/FAT Viewer?action=UPDATE&amp;creator=factset&amp;DOC_NAME=fat:reuters_ltm_source_window.fat&amp;display_string=Audit&amp;DYN_ARGS=TRUE&amp;VAR:ID1=ETN&amp;VAR:RCODE=FDSREVSTOTAL&amp;VAR:SDATE=20090399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5__FDSAUDITLINK__" localSheetId="4" hidden="1">{"fdsup://IBCentral/FAT Viewer?action=UPDATE&amp;creator=factset&amp;DOC_NAME=fat:reuters_ltm_source_window.fat&amp;display_string=Audit&amp;DYN_ARGS=TRUE&amp;VAR:ID1=ETN&amp;VAR:RCODE=FDSREVSTOTAL&amp;VAR:SDATE=20090399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5__FDSAUDITLINK__" hidden="1">{"fdsup://IBCentral/FAT Viewer?action=UPDATE&amp;creator=factset&amp;DOC_NAME=fat:reuters_ltm_source_window.fat&amp;display_string=Audit&amp;DYN_ARGS=TRUE&amp;VAR:ID1=ETN&amp;VAR:RCODE=FDSREVSTOTAL&amp;VAR:SDATE=20090399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6__FDSAUDITLINK__" localSheetId="5" hidden="1">{"fdsup://IBCentral/FAT Viewer?action=UPDATE&amp;creator=factset&amp;DOC_NAME=fat:reuters_ltm_source_window.fat&amp;display_string=Audit&amp;DYN_ARGS=TRUE&amp;VAR:ID1=EXPD&amp;VAR:RCODE=FDSREVSTOTAL&amp;VAR:SDATE=20090399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06__FDSAUDITLINK__" localSheetId="0" hidden="1">{"fdsup://IBCentral/FAT Viewer?action=UPDATE&amp;creator=factset&amp;DOC_NAME=fat:reuters_ltm_source_window.fat&amp;display_string=Audit&amp;DYN_ARGS=TRUE&amp;VAR:ID1=EXPD&amp;VAR:RCODE=FDSREVSTOTAL&amp;VAR:SDATE=20090399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06__FDSAUDITLINK__" localSheetId="4" hidden="1">{"fdsup://IBCentral/FAT Viewer?action=UPDATE&amp;creator=factset&amp;DOC_NAME=fat:reuters_ltm_source_window.fat&amp;display_string=Audit&amp;DYN_ARGS=TRUE&amp;VAR:ID1=EXPD&amp;VAR:RCODE=FDSREVSTOTAL&amp;VAR:SDATE=20090399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06__FDSAUDITLINK__" hidden="1">{"fdsup://IBCentral/FAT Viewer?action=UPDATE&amp;creator=factset&amp;DOC_NAME=fat:reuters_ltm_source_window.fat&amp;display_string=Audit&amp;DYN_ARGS=TRUE&amp;VAR:ID1=EXPD&amp;VAR:RCODE=FDSREVSTOTAL&amp;VAR:SDATE=20090399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07__FDSAUDITLINK__" localSheetId="5" hidden="1">{"fdsup://IBCentral/FAT Viewer?action=UPDATE&amp;creator=factset&amp;DOC_NAME=fat:reuters_ltm_source_window.fat&amp;display_string=Audit&amp;DYN_ARGS=TRUE&amp;VAR:ID1=RSG&amp;VAR:RCODE=FDSREVSTOTAL&amp;VAR:SDATE=20090399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7__FDSAUDITLINK__" localSheetId="0" hidden="1">{"fdsup://IBCentral/FAT Viewer?action=UPDATE&amp;creator=factset&amp;DOC_NAME=fat:reuters_ltm_source_window.fat&amp;display_string=Audit&amp;DYN_ARGS=TRUE&amp;VAR:ID1=RSG&amp;VAR:RCODE=FDSREVSTOTAL&amp;VAR:SDATE=20090399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7__FDSAUDITLINK__" localSheetId="4" hidden="1">{"fdsup://IBCentral/FAT Viewer?action=UPDATE&amp;creator=factset&amp;DOC_NAME=fat:reuters_ltm_source_window.fat&amp;display_string=Audit&amp;DYN_ARGS=TRUE&amp;VAR:ID1=RSG&amp;VAR:RCODE=FDSREVSTOTAL&amp;VAR:SDATE=20090399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7__FDSAUDITLINK__" hidden="1">{"fdsup://IBCentral/FAT Viewer?action=UPDATE&amp;creator=factset&amp;DOC_NAME=fat:reuters_ltm_source_window.fat&amp;display_string=Audit&amp;DYN_ARGS=TRUE&amp;VAR:ID1=RSG&amp;VAR:RCODE=FDSREVSTOTAL&amp;VAR:SDATE=20090399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8__FDSAUDITLINK__" localSheetId="5" hidden="1">{"fdsup://IBCentral/FAT Viewer?action=UPDATE&amp;creator=factset&amp;DOC_NAME=fat:reuters_ltm_source_window.fat&amp;display_string=Audit&amp;DYN_ARGS=TRUE&amp;VAR:ID1=FLR&amp;VAR:RCODE=FDSREVSTOTAL&amp;VAR:SDATE=20090399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8__FDSAUDITLINK__" localSheetId="0" hidden="1">{"fdsup://IBCentral/FAT Viewer?action=UPDATE&amp;creator=factset&amp;DOC_NAME=fat:reuters_ltm_source_window.fat&amp;display_string=Audit&amp;DYN_ARGS=TRUE&amp;VAR:ID1=FLR&amp;VAR:RCODE=FDSREVSTOTAL&amp;VAR:SDATE=20090399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8__FDSAUDITLINK__" localSheetId="4" hidden="1">{"fdsup://IBCentral/FAT Viewer?action=UPDATE&amp;creator=factset&amp;DOC_NAME=fat:reuters_ltm_source_window.fat&amp;display_string=Audit&amp;DYN_ARGS=TRUE&amp;VAR:ID1=FLR&amp;VAR:RCODE=FDSREVSTOTAL&amp;VAR:SDATE=20090399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8__FDSAUDITLINK__" hidden="1">{"fdsup://IBCentral/FAT Viewer?action=UPDATE&amp;creator=factset&amp;DOC_NAME=fat:reuters_ltm_source_window.fat&amp;display_string=Audit&amp;DYN_ARGS=TRUE&amp;VAR:ID1=FLR&amp;VAR:RCODE=FDSREVSTOTAL&amp;VAR:SDATE=20090399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9__FDSAUDITLINK__" localSheetId="5" hidden="1">{"fdsup://IBCentral/FAT Viewer?action=UPDATE&amp;creator=factset&amp;DOC_NAME=fat:reuters_ltm_source_window.fat&amp;display_string=Audit&amp;DYN_ARGS=TRUE&amp;VAR:ID1=ITT&amp;VAR:RCODE=FDSREVSTOTAL&amp;VAR:SDATE=20090399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9__FDSAUDITLINK__" localSheetId="0" hidden="1">{"fdsup://IBCentral/FAT Viewer?action=UPDATE&amp;creator=factset&amp;DOC_NAME=fat:reuters_ltm_source_window.fat&amp;display_string=Audit&amp;DYN_ARGS=TRUE&amp;VAR:ID1=ITT&amp;VAR:RCODE=FDSREVSTOTAL&amp;VAR:SDATE=20090399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9__FDSAUDITLINK__" localSheetId="4" hidden="1">{"fdsup://IBCentral/FAT Viewer?action=UPDATE&amp;creator=factset&amp;DOC_NAME=fat:reuters_ltm_source_window.fat&amp;display_string=Audit&amp;DYN_ARGS=TRUE&amp;VAR:ID1=ITT&amp;VAR:RCODE=FDSREVSTOTAL&amp;VAR:SDATE=20090399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Viewer?action=UPDATE&amp;creator=factset&amp;DOC_NAME=fat:reuters_ltm_source_window.fat&amp;display_string=Audit&amp;DYN_ARGS=TRUE&amp;VAR:ID1=ITT&amp;VAR:RCODE=FDSREVSTOTAL&amp;VAR:SDATE=20090399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__123Graph_AChart_1AX" localSheetId="0" hidden="1">#REF!</definedName>
    <definedName name="_41__123Graph_AChart_1AX" hidden="1">#REF!</definedName>
    <definedName name="_41__FDSAUDITLINK__" localSheetId="5" hidden="1">{"fdsup://IBCentral/FAT Viewer?action=UPDATE&amp;creator=factset&amp;DOC_NAME=fat:reuters_ltm_source_window.fat&amp;display_string=Audit&amp;DYN_ARGS=TRUE&amp;VAR:ID1=TKR&amp;VAR:RCODE=FIBCEBITDA&amp;VAR:SDATE=20090399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1__FDSAUDITLINK__" localSheetId="0" hidden="1">{"fdsup://IBCentral/FAT Viewer?action=UPDATE&amp;creator=factset&amp;DOC_NAME=fat:reuters_ltm_source_window.fat&amp;display_string=Audit&amp;DYN_ARGS=TRUE&amp;VAR:ID1=TKR&amp;VAR:RCODE=FIBCEBITDA&amp;VAR:SDATE=20090399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1__FDSAUDITLINK__" localSheetId="4" hidden="1">{"fdsup://IBCentral/FAT Viewer?action=UPDATE&amp;creator=factset&amp;DOC_NAME=fat:reuters_ltm_source_window.fat&amp;display_string=Audit&amp;DYN_ARGS=TRUE&amp;VAR:ID1=TKR&amp;VAR:RCODE=FIBCEBITDA&amp;VAR:SDATE=20090399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1__FDSAUDITLINK__" hidden="1">{"fdsup://IBCentral/FAT Viewer?action=UPDATE&amp;creator=factset&amp;DOC_NAME=fat:reuters_ltm_source_window.fat&amp;display_string=Audit&amp;DYN_ARGS=TRUE&amp;VAR:ID1=TKR&amp;VAR:RCODE=FIBCEBITDA&amp;VAR:SDATE=20090399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10__FDSAUDITLINK__" localSheetId="5" hidden="1">{"fdsup://IBCentral/FAT Viewer?action=UPDATE&amp;creator=factset&amp;DOC_NAME=fat:reuters_ltm_source_window.fat&amp;display_string=Audit&amp;DYN_ARGS=TRUE&amp;VAR:ID1=LLL&amp;VAR:RCODE=FDSREVSTOTAL&amp;VAR:SDATE=20090399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0__FDSAUDITLINK__" localSheetId="0" hidden="1">{"fdsup://IBCentral/FAT Viewer?action=UPDATE&amp;creator=factset&amp;DOC_NAME=fat:reuters_ltm_source_window.fat&amp;display_string=Audit&amp;DYN_ARGS=TRUE&amp;VAR:ID1=LLL&amp;VAR:RCODE=FDSREVSTOTAL&amp;VAR:SDATE=20090399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0__FDSAUDITLINK__" localSheetId="4" hidden="1">{"fdsup://IBCentral/FAT Viewer?action=UPDATE&amp;creator=factset&amp;DOC_NAME=fat:reuters_ltm_source_window.fat&amp;display_string=Audit&amp;DYN_ARGS=TRUE&amp;VAR:ID1=LLL&amp;VAR:RCODE=FDSREVSTOTAL&amp;VAR:SDATE=20090399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0__FDSAUDITLINK__" hidden="1">{"fdsup://IBCentral/FAT Viewer?action=UPDATE&amp;creator=factset&amp;DOC_NAME=fat:reuters_ltm_source_window.fat&amp;display_string=Audit&amp;DYN_ARGS=TRUE&amp;VAR:ID1=LLL&amp;VAR:RCODE=FDSREVSTOTAL&amp;VAR:SDATE=20090399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1__FDSAUDITLINK__" localSheetId="5" hidden="1">{"fdsup://IBCentral/FAT Viewer?action=UPDATE&amp;creator=factset&amp;DOC_NAME=fat:reuters_ltm_source_window.fat&amp;display_string=Audit&amp;DYN_ARGS=TRUE&amp;VAR:ID1=CHRW&amp;VAR:RCODE=FDSREVSTOTAL&amp;VAR:SDATE=20090399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11__FDSAUDITLINK__" localSheetId="0" hidden="1">{"fdsup://IBCentral/FAT Viewer?action=UPDATE&amp;creator=factset&amp;DOC_NAME=fat:reuters_ltm_source_window.fat&amp;display_string=Audit&amp;DYN_ARGS=TRUE&amp;VAR:ID1=CHRW&amp;VAR:RCODE=FDSREVSTOTAL&amp;VAR:SDATE=20090399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11__FDSAUDITLINK__" localSheetId="4" hidden="1">{"fdsup://IBCentral/FAT Viewer?action=UPDATE&amp;creator=factset&amp;DOC_NAME=fat:reuters_ltm_source_window.fat&amp;display_string=Audit&amp;DYN_ARGS=TRUE&amp;VAR:ID1=CHRW&amp;VAR:RCODE=FDSREVSTOTAL&amp;VAR:SDATE=20090399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11__FDSAUDITLINK__" hidden="1">{"fdsup://IBCentral/FAT Viewer?action=UPDATE&amp;creator=factset&amp;DOC_NAME=fat:reuters_ltm_source_window.fat&amp;display_string=Audit&amp;DYN_ARGS=TRUE&amp;VAR:ID1=CHRW&amp;VAR:RCODE=FDSREVSTOTAL&amp;VAR:SDATE=20090399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12__FDSAUDITLINK__" localSheetId="5" hidden="1">{"fdsup://IBCentral/FAT Viewer?action=UPDATE&amp;creator=factset&amp;DOC_NAME=fat:reuters_annual_source_window.fat&amp;display_string=Audit&amp;DYN_ARGS=TRUE&amp;VAR:ID1=74018910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12__FDSAUDITLINK__" localSheetId="0" hidden="1">{"fdsup://IBCentral/FAT Viewer?action=UPDATE&amp;creator=factset&amp;DOC_NAME=fat:reuters_annual_source_window.fat&amp;display_string=Audit&amp;DYN_ARGS=TRUE&amp;VAR:ID1=74018910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12__FDSAUDITLINK__" localSheetId="4" hidden="1">{"fdsup://IBCentral/FAT Viewer?action=UPDATE&amp;creator=factset&amp;DOC_NAME=fat:reuters_annual_source_window.fat&amp;display_string=Audit&amp;DYN_ARGS=TRUE&amp;VAR:ID1=74018910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74018910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13__FDSAUDITLINK__" localSheetId="5" hidden="1">{"fdsup://IBCentral/FAT Viewer?action=UPDATE&amp;creator=factset&amp;DOC_NAME=fat:reuters_ltm_source_window.fat&amp;display_string=Audit&amp;DYN_ARGS=TRUE&amp;VAR:ID1=PCAR&amp;VAR:RCODE=FDSREVSTOTAL&amp;VAR:SDATE=20090399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13__FDSAUDITLINK__" localSheetId="0" hidden="1">{"fdsup://IBCentral/FAT Viewer?action=UPDATE&amp;creator=factset&amp;DOC_NAME=fat:reuters_ltm_source_window.fat&amp;display_string=Audit&amp;DYN_ARGS=TRUE&amp;VAR:ID1=PCAR&amp;VAR:RCODE=FDSREVSTOTAL&amp;VAR:SDATE=20090399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13__FDSAUDITLINK__" localSheetId="4" hidden="1">{"fdsup://IBCentral/FAT Viewer?action=UPDATE&amp;creator=factset&amp;DOC_NAME=fat:reuters_ltm_source_window.fat&amp;display_string=Audit&amp;DYN_ARGS=TRUE&amp;VAR:ID1=PCAR&amp;VAR:RCODE=FDSREVSTOTAL&amp;VAR:SDATE=20090399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13__FDSAUDITLINK__" hidden="1">{"fdsup://IBCentral/FAT Viewer?action=UPDATE&amp;creator=factset&amp;DOC_NAME=fat:reuters_ltm_source_window.fat&amp;display_string=Audit&amp;DYN_ARGS=TRUE&amp;VAR:ID1=PCAR&amp;VAR:RCODE=FDSREVSTOTAL&amp;VAR:SDATE=20090399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14__FDSAUDITLINK__" localSheetId="5" hidden="1">{"fdsup://IBCentral/FAT Viewer?action=UPDATE&amp;creator=factset&amp;DOC_NAME=fat:reuters_ltm_source_window.fat&amp;display_string=Audit&amp;DYN_ARGS=TRUE&amp;VAR:ID1=CSX&amp;VAR:RCODE=FDSREVSTOTAL&amp;VAR:SDATE=20090399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4__FDSAUDITLINK__" localSheetId="0" hidden="1">{"fdsup://IBCentral/FAT Viewer?action=UPDATE&amp;creator=factset&amp;DOC_NAME=fat:reuters_ltm_source_window.fat&amp;display_string=Audit&amp;DYN_ARGS=TRUE&amp;VAR:ID1=CSX&amp;VAR:RCODE=FDSREVSTOTAL&amp;VAR:SDATE=20090399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4__FDSAUDITLINK__" localSheetId="4" hidden="1">{"fdsup://IBCentral/FAT Viewer?action=UPDATE&amp;creator=factset&amp;DOC_NAME=fat:reuters_ltm_source_window.fat&amp;display_string=Audit&amp;DYN_ARGS=TRUE&amp;VAR:ID1=CSX&amp;VAR:RCODE=FDSREVSTOTAL&amp;VAR:SDATE=20090399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4__FDSAUDITLINK__" hidden="1">{"fdsup://IBCentral/FAT Viewer?action=UPDATE&amp;creator=factset&amp;DOC_NAME=fat:reuters_ltm_source_window.fat&amp;display_string=Audit&amp;DYN_ARGS=TRUE&amp;VAR:ID1=CSX&amp;VAR:RCODE=FDSREVSTOTAL&amp;VAR:SDATE=20090399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5__FDSAUDITLINK__" localSheetId="5" hidden="1">{"fdsup://IBCentral/FAT Viewer?action=UPDATE&amp;creator=factset&amp;DOC_NAME=fat:reuters_ltm_source_window.fat&amp;display_string=Audit&amp;DYN_ARGS=TRUE&amp;VAR:ID1=NSC&amp;VAR:RCODE=FDSREVSTOTAL&amp;VAR:SDATE=20090399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5__FDSAUDITLINK__" localSheetId="0" hidden="1">{"fdsup://IBCentral/FAT Viewer?action=UPDATE&amp;creator=factset&amp;DOC_NAME=fat:reuters_ltm_source_window.fat&amp;display_string=Audit&amp;DYN_ARGS=TRUE&amp;VAR:ID1=NSC&amp;VAR:RCODE=FDSREVSTOTAL&amp;VAR:SDATE=20090399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5__FDSAUDITLINK__" localSheetId="4" hidden="1">{"fdsup://IBCentral/FAT Viewer?action=UPDATE&amp;creator=factset&amp;DOC_NAME=fat:reuters_ltm_source_window.fat&amp;display_string=Audit&amp;DYN_ARGS=TRUE&amp;VAR:ID1=NSC&amp;VAR:RCODE=FDSREVSTOTAL&amp;VAR:SDATE=20090399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5__FDSAUDITLINK__" hidden="1">{"fdsup://IBCentral/FAT Viewer?action=UPDATE&amp;creator=factset&amp;DOC_NAME=fat:reuters_ltm_source_window.fat&amp;display_string=Audit&amp;DYN_ARGS=TRUE&amp;VAR:ID1=NSC&amp;VAR:RCODE=FDSREVSTOTAL&amp;VAR:SDATE=20090399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6__FDSAUDITLINK__" localSheetId="5" hidden="1">{"fdsup://IBCentral/FAT Viewer?action=UPDATE&amp;creator=factset&amp;DOC_NAME=fat:reuters_ltm_source_window.fat&amp;display_string=Audit&amp;DYN_ARGS=TRUE&amp;VAR:ID1=WMI&amp;VAR:RCODE=FDSREVSTOTAL&amp;VAR:SDATE=20090399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6__FDSAUDITLINK__" localSheetId="0" hidden="1">{"fdsup://IBCentral/FAT Viewer?action=UPDATE&amp;creator=factset&amp;DOC_NAME=fat:reuters_ltm_source_window.fat&amp;display_string=Audit&amp;DYN_ARGS=TRUE&amp;VAR:ID1=WMI&amp;VAR:RCODE=FDSREVSTOTAL&amp;VAR:SDATE=20090399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6__FDSAUDITLINK__" localSheetId="4" hidden="1">{"fdsup://IBCentral/FAT Viewer?action=UPDATE&amp;creator=factset&amp;DOC_NAME=fat:reuters_ltm_source_window.fat&amp;display_string=Audit&amp;DYN_ARGS=TRUE&amp;VAR:ID1=WMI&amp;VAR:RCODE=FDSREVSTOTAL&amp;VAR:SDATE=20090399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6__FDSAUDITLINK__" hidden="1">{"fdsup://IBCentral/FAT Viewer?action=UPDATE&amp;creator=factset&amp;DOC_NAME=fat:reuters_ltm_source_window.fat&amp;display_string=Audit&amp;DYN_ARGS=TRUE&amp;VAR:ID1=WMI&amp;VAR:RCODE=FDSREVSTOTAL&amp;VAR:SDATE=20090399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7__FDSAUDITLINK__" localSheetId="5" hidden="1">{"fdsup://IBCentral/FAT Viewer?action=UPDATE&amp;creator=factset&amp;DOC_NAME=fat:reuters_ltm_source_window.fat&amp;display_string=Audit&amp;DYN_ARGS=TRUE&amp;VAR:ID1=NOC&amp;VAR:RCODE=FDSREVSTOTAL&amp;VAR:SDATE=20090399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7__FDSAUDITLINK__" localSheetId="0" hidden="1">{"fdsup://IBCentral/FAT Viewer?action=UPDATE&amp;creator=factset&amp;DOC_NAME=fat:reuters_ltm_source_window.fat&amp;display_string=Audit&amp;DYN_ARGS=TRUE&amp;VAR:ID1=NOC&amp;VAR:RCODE=FDSREVSTOTAL&amp;VAR:SDATE=20090399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7__FDSAUDITLINK__" localSheetId="4" hidden="1">{"fdsup://IBCentral/FAT Viewer?action=UPDATE&amp;creator=factset&amp;DOC_NAME=fat:reuters_ltm_source_window.fat&amp;display_string=Audit&amp;DYN_ARGS=TRUE&amp;VAR:ID1=NOC&amp;VAR:RCODE=FDSREVSTOTAL&amp;VAR:SDATE=20090399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7__FDSAUDITLINK__" hidden="1">{"fdsup://IBCentral/FAT Viewer?action=UPDATE&amp;creator=factset&amp;DOC_NAME=fat:reuters_ltm_source_window.fat&amp;display_string=Audit&amp;DYN_ARGS=TRUE&amp;VAR:ID1=NOC&amp;VAR:RCODE=FDSREVSTOTAL&amp;VAR:SDATE=20090399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8__FDSAUDITLINK__" localSheetId="5" hidden="1">{"fdsup://IBCentral/FAT Viewer?action=UPDATE&amp;creator=factset&amp;DOC_NAME=fat:reuters_ltm_source_window.fat&amp;display_string=Audit&amp;DYN_ARGS=TRUE&amp;VAR:ID1=FDX&amp;VAR:RCODE=FDSREVSTOTAL&amp;VAR:SDATE=20090299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8__FDSAUDITLINK__" localSheetId="0" hidden="1">{"fdsup://IBCentral/FAT Viewer?action=UPDATE&amp;creator=factset&amp;DOC_NAME=fat:reuters_ltm_source_window.fat&amp;display_string=Audit&amp;DYN_ARGS=TRUE&amp;VAR:ID1=FDX&amp;VAR:RCODE=FDSREVSTOTAL&amp;VAR:SDATE=20090299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8__FDSAUDITLINK__" localSheetId="4" hidden="1">{"fdsup://IBCentral/FAT Viewer?action=UPDATE&amp;creator=factset&amp;DOC_NAME=fat:reuters_ltm_source_window.fat&amp;display_string=Audit&amp;DYN_ARGS=TRUE&amp;VAR:ID1=FDX&amp;VAR:RCODE=FDSREVSTOTAL&amp;VAR:SDATE=20090299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8__FDSAUDITLINK__" hidden="1">{"fdsup://IBCentral/FAT Viewer?action=UPDATE&amp;creator=factset&amp;DOC_NAME=fat:reuters_ltm_source_window.fat&amp;display_string=Audit&amp;DYN_ARGS=TRUE&amp;VAR:ID1=FDX&amp;VAR:RCODE=FDSREVSTOTAL&amp;VAR:SDATE=20090299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19__FDSAUDITLINK__" localSheetId="5" hidden="1">{"fdsup://IBCentral/FAT Viewer?action=UPDATE&amp;creator=factset&amp;DOC_NAME=fat:reuters_ltm_source_window.fat&amp;display_string=Audit&amp;DYN_ARGS=TRUE&amp;VAR:ID1=DE&amp;VAR:RCODE=FDSREVSTOTAL&amp;VAR:SDATE=20090499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19__FDSAUDITLINK__" localSheetId="0" hidden="1">{"fdsup://IBCentral/FAT Viewer?action=UPDATE&amp;creator=factset&amp;DOC_NAME=fat:reuters_ltm_source_window.fat&amp;display_string=Audit&amp;DYN_ARGS=TRUE&amp;VAR:ID1=DE&amp;VAR:RCODE=FDSREVSTOTAL&amp;VAR:SDATE=20090499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19__FDSAUDITLINK__" localSheetId="4" hidden="1">{"fdsup://IBCentral/FAT Viewer?action=UPDATE&amp;creator=factset&amp;DOC_NAME=fat:reuters_ltm_source_window.fat&amp;display_string=Audit&amp;DYN_ARGS=TRUE&amp;VAR:ID1=DE&amp;VAR:RCODE=FDSREVSTOTAL&amp;VAR:SDATE=20090499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19__FDSAUDITLINK__" hidden="1">{"fdsup://IBCentral/FAT Viewer?action=UPDATE&amp;creator=factset&amp;DOC_NAME=fat:reuters_ltm_source_window.fat&amp;display_string=Audit&amp;DYN_ARGS=TRUE&amp;VAR:ID1=DE&amp;VAR:RCODE=FDSREVSTOTAL&amp;VAR:SDATE=20090499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__FDSAUDITLINK__" localSheetId="5" hidden="1">{"fdsup://IBCentral/FAT Viewer?action=UPDATE&amp;creator=factset&amp;DOC_NAME=fat:reuters_ltm_source_window.fat&amp;display_string=Audit&amp;DYN_ARGS=TRUE&amp;VAR:ID1=LECO&amp;VAR:RCODE=FIBCEBITDA&amp;VAR:SDATE=20090399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__FDSAUDITLINK__" localSheetId="0" hidden="1">{"fdsup://IBCentral/FAT Viewer?action=UPDATE&amp;creator=factset&amp;DOC_NAME=fat:reuters_ltm_source_window.fat&amp;display_string=Audit&amp;DYN_ARGS=TRUE&amp;VAR:ID1=LECO&amp;VAR:RCODE=FIBCEBITDA&amp;VAR:SDATE=20090399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__FDSAUDITLINK__" localSheetId="4" hidden="1">{"fdsup://IBCentral/FAT Viewer?action=UPDATE&amp;creator=factset&amp;DOC_NAME=fat:reuters_ltm_source_window.fat&amp;display_string=Audit&amp;DYN_ARGS=TRUE&amp;VAR:ID1=LECO&amp;VAR:RCODE=FIBCEBITDA&amp;VAR:SDATE=20090399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__FDSAUDITLINK__" hidden="1">{"fdsup://IBCentral/FAT Viewer?action=UPDATE&amp;creator=factset&amp;DOC_NAME=fat:reuters_ltm_source_window.fat&amp;display_string=Audit&amp;DYN_ARGS=TRUE&amp;VAR:ID1=LECO&amp;VAR:RCODE=FIBCEBITDA&amp;VAR:SDATE=20090399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0__FDSAUDITLINK__" localSheetId="5" hidden="1">{"fdsup://IBCentral/FAT Viewer?action=UPDATE&amp;creator=factset&amp;DOC_NAME=fat:reuters_ltm_source_window.fat&amp;display_string=Audit&amp;DYN_ARGS=TRUE&amp;VAR:ID1=RTN&amp;VAR:RCODE=FDSREVSTOTAL&amp;VAR:SDATE=20090399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0__FDSAUDITLINK__" localSheetId="0" hidden="1">{"fdsup://IBCentral/FAT Viewer?action=UPDATE&amp;creator=factset&amp;DOC_NAME=fat:reuters_ltm_source_window.fat&amp;display_string=Audit&amp;DYN_ARGS=TRUE&amp;VAR:ID1=RTN&amp;VAR:RCODE=FDSREVSTOTAL&amp;VAR:SDATE=20090399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0__FDSAUDITLINK__" localSheetId="4" hidden="1">{"fdsup://IBCentral/FAT Viewer?action=UPDATE&amp;creator=factset&amp;DOC_NAME=fat:reuters_ltm_source_window.fat&amp;display_string=Audit&amp;DYN_ARGS=TRUE&amp;VAR:ID1=RTN&amp;VAR:RCODE=FDSREVSTOTAL&amp;VAR:SDATE=20090399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0__FDSAUDITLINK__" hidden="1">{"fdsup://IBCentral/FAT Viewer?action=UPDATE&amp;creator=factset&amp;DOC_NAME=fat:reuters_ltm_source_window.fat&amp;display_string=Audit&amp;DYN_ARGS=TRUE&amp;VAR:ID1=RTN&amp;VAR:RCODE=FDSREVSTOTAL&amp;VAR:SDATE=20090399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1__FDSAUDITLINK__" localSheetId="5" hidden="1">{"fdsup://IBCentral/FAT Viewer?action=UPDATE&amp;creator=factset&amp;DOC_NAME=fat:reuters_ltm_source_window.fat&amp;display_string=Audit&amp;DYN_ARGS=TRUE&amp;VAR:ID1=ITW&amp;VAR:RCODE=FDSREVSTOTAL&amp;VAR:SDATE=20090399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1__FDSAUDITLINK__" localSheetId="0" hidden="1">{"fdsup://IBCentral/FAT Viewer?action=UPDATE&amp;creator=factset&amp;DOC_NAME=fat:reuters_ltm_source_window.fat&amp;display_string=Audit&amp;DYN_ARGS=TRUE&amp;VAR:ID1=ITW&amp;VAR:RCODE=FDSREVSTOTAL&amp;VAR:SDATE=20090399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1__FDSAUDITLINK__" localSheetId="4" hidden="1">{"fdsup://IBCentral/FAT Viewer?action=UPDATE&amp;creator=factset&amp;DOC_NAME=fat:reuters_ltm_source_window.fat&amp;display_string=Audit&amp;DYN_ARGS=TRUE&amp;VAR:ID1=ITW&amp;VAR:RCODE=FDSREVSTOTAL&amp;VAR:SDATE=20090399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1__FDSAUDITLINK__" hidden="1">{"fdsup://IBCentral/FAT Viewer?action=UPDATE&amp;creator=factset&amp;DOC_NAME=fat:reuters_ltm_source_window.fat&amp;display_string=Audit&amp;DYN_ARGS=TRUE&amp;VAR:ID1=ITW&amp;VAR:RCODE=FDSREVSTOTAL&amp;VAR:SDATE=20090399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2__FDSAUDITLINK__" localSheetId="5" hidden="1">{"fdsup://IBCentral/FAT Viewer?action=UPDATE&amp;creator=factset&amp;DOC_NAME=fat:reuters_ltm_source_window.fat&amp;display_string=Audit&amp;DYN_ARGS=TRUE&amp;VAR:ID1=GD&amp;VAR:RCODE=FDSREVSTOTAL&amp;VAR:SDATE=20090399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2__FDSAUDITLINK__" localSheetId="0" hidden="1">{"fdsup://IBCentral/FAT Viewer?action=UPDATE&amp;creator=factset&amp;DOC_NAME=fat:reuters_ltm_source_window.fat&amp;display_string=Audit&amp;DYN_ARGS=TRUE&amp;VAR:ID1=GD&amp;VAR:RCODE=FDSREVSTOTAL&amp;VAR:SDATE=20090399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2__FDSAUDITLINK__" localSheetId="4" hidden="1">{"fdsup://IBCentral/FAT Viewer?action=UPDATE&amp;creator=factset&amp;DOC_NAME=fat:reuters_ltm_source_window.fat&amp;display_string=Audit&amp;DYN_ARGS=TRUE&amp;VAR:ID1=GD&amp;VAR:RCODE=FDSREVSTOTAL&amp;VAR:SDATE=20090399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2__FDSAUDITLINK__" hidden="1">{"fdsup://IBCentral/FAT Viewer?action=UPDATE&amp;creator=factset&amp;DOC_NAME=fat:reuters_ltm_source_window.fat&amp;display_string=Audit&amp;DYN_ARGS=TRUE&amp;VAR:ID1=GD&amp;VAR:RCODE=FDSREVSTOTAL&amp;VAR:SDATE=20090399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3__FDSAUDITLINK__" localSheetId="5" hidden="1">{"fdsup://IBCentral/FAT Viewer?action=UPDATE&amp;creator=factset&amp;DOC_NAME=fat:reuters_ltm_source_window.fat&amp;display_string=Audit&amp;DYN_ARGS=TRUE&amp;VAR:ID1=CAT&amp;VAR:RCODE=FDSREVSTOTAL&amp;VAR:SDATE=20090399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3__FDSAUDITLINK__" localSheetId="0" hidden="1">{"fdsup://IBCentral/FAT Viewer?action=UPDATE&amp;creator=factset&amp;DOC_NAME=fat:reuters_ltm_source_window.fat&amp;display_string=Audit&amp;DYN_ARGS=TRUE&amp;VAR:ID1=CAT&amp;VAR:RCODE=FDSREVSTOTAL&amp;VAR:SDATE=20090399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3__FDSAUDITLINK__" localSheetId="4" hidden="1">{"fdsup://IBCentral/FAT Viewer?action=UPDATE&amp;creator=factset&amp;DOC_NAME=fat:reuters_ltm_source_window.fat&amp;display_string=Audit&amp;DYN_ARGS=TRUE&amp;VAR:ID1=CAT&amp;VAR:RCODE=FDSREVSTOTAL&amp;VAR:SDATE=20090399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3__FDSAUDITLINK__" hidden="1">{"fdsup://IBCentral/FAT Viewer?action=UPDATE&amp;creator=factset&amp;DOC_NAME=fat:reuters_ltm_source_window.fat&amp;display_string=Audit&amp;DYN_ARGS=TRUE&amp;VAR:ID1=CAT&amp;VAR:RCODE=FDSREVSTOTAL&amp;VAR:SDATE=20090399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4__FDSAUDITLINK__" localSheetId="5" hidden="1">{"fdsup://IBCentral/FAT Viewer?action=UPDATE&amp;creator=factset&amp;DOC_NAME=fat:reuters_ltm_source_window.fat&amp;display_string=Audit&amp;DYN_ARGS=TRUE&amp;VAR:ID1=DHR&amp;VAR:RCODE=FDSREVSTOTAL&amp;VAR:SDATE=20090399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4__FDSAUDITLINK__" localSheetId="0" hidden="1">{"fdsup://IBCentral/FAT Viewer?action=UPDATE&amp;creator=factset&amp;DOC_NAME=fat:reuters_ltm_source_window.fat&amp;display_string=Audit&amp;DYN_ARGS=TRUE&amp;VAR:ID1=DHR&amp;VAR:RCODE=FDSREVSTOTAL&amp;VAR:SDATE=20090399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4__FDSAUDITLINK__" localSheetId="4" hidden="1">{"fdsup://IBCentral/FAT Viewer?action=UPDATE&amp;creator=factset&amp;DOC_NAME=fat:reuters_ltm_source_window.fat&amp;display_string=Audit&amp;DYN_ARGS=TRUE&amp;VAR:ID1=DHR&amp;VAR:RCODE=FDSREVSTOTAL&amp;VAR:SDATE=20090399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4__FDSAUDITLINK__" hidden="1">{"fdsup://IBCentral/FAT Viewer?action=UPDATE&amp;creator=factset&amp;DOC_NAME=fat:reuters_ltm_source_window.fat&amp;display_string=Audit&amp;DYN_ARGS=TRUE&amp;VAR:ID1=DHR&amp;VAR:RCODE=FDSREVSTOTAL&amp;VAR:SDATE=20090399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5__FDSAUDITLINK__" localSheetId="5" hidden="1">{"fdsup://IBCentral/FAT Viewer?action=UPDATE&amp;creator=factset&amp;DOC_NAME=fat:reuters_ltm_source_window.fat&amp;display_string=Audit&amp;DYN_ARGS=TRUE&amp;VAR:ID1=BNI&amp;VAR:RCODE=FDSREVSTOTAL&amp;VAR:SDATE=20090399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5__FDSAUDITLINK__" localSheetId="0" hidden="1">{"fdsup://IBCentral/FAT Viewer?action=UPDATE&amp;creator=factset&amp;DOC_NAME=fat:reuters_ltm_source_window.fat&amp;display_string=Audit&amp;DYN_ARGS=TRUE&amp;VAR:ID1=BNI&amp;VAR:RCODE=FDSREVSTOTAL&amp;VAR:SDATE=20090399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5__FDSAUDITLINK__" localSheetId="4" hidden="1">{"fdsup://IBCentral/FAT Viewer?action=UPDATE&amp;creator=factset&amp;DOC_NAME=fat:reuters_ltm_source_window.fat&amp;display_string=Audit&amp;DYN_ARGS=TRUE&amp;VAR:ID1=BNI&amp;VAR:RCODE=FDSREVSTOTAL&amp;VAR:SDATE=20090399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5__FDSAUDITLINK__" hidden="1">{"fdsup://IBCentral/FAT Viewer?action=UPDATE&amp;creator=factset&amp;DOC_NAME=fat:reuters_ltm_source_window.fat&amp;display_string=Audit&amp;DYN_ARGS=TRUE&amp;VAR:ID1=BNI&amp;VAR:RCODE=FDSREVSTOTAL&amp;VAR:SDATE=20090399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6__FDSAUDITLINK__" localSheetId="5" hidden="1">{"fdsup://IBCentral/FAT Viewer?action=UPDATE&amp;creator=factset&amp;DOC_NAME=fat:reuters_ltm_source_window.fat&amp;display_string=Audit&amp;DYN_ARGS=TRUE&amp;VAR:ID1=UNP&amp;VAR:RCODE=FDSREVSTOTAL&amp;VAR:SDATE=20090399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6__FDSAUDITLINK__" localSheetId="0" hidden="1">{"fdsup://IBCentral/FAT Viewer?action=UPDATE&amp;creator=factset&amp;DOC_NAME=fat:reuters_ltm_source_window.fat&amp;display_string=Audit&amp;DYN_ARGS=TRUE&amp;VAR:ID1=UNP&amp;VAR:RCODE=FDSREVSTOTAL&amp;VAR:SDATE=20090399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6__FDSAUDITLINK__" localSheetId="4" hidden="1">{"fdsup://IBCentral/FAT Viewer?action=UPDATE&amp;creator=factset&amp;DOC_NAME=fat:reuters_ltm_source_window.fat&amp;display_string=Audit&amp;DYN_ARGS=TRUE&amp;VAR:ID1=UNP&amp;VAR:RCODE=FDSREVSTOTAL&amp;VAR:SDATE=20090399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Viewer?action=UPDATE&amp;creator=factset&amp;DOC_NAME=fat:reuters_ltm_source_window.fat&amp;display_string=Audit&amp;DYN_ARGS=TRUE&amp;VAR:ID1=UNP&amp;VAR:RCODE=FDSREVSTOTAL&amp;VAR:SDATE=20090399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7__FDSAUDITLINK__" localSheetId="5" hidden="1">{"fdsup://IBCentral/FAT Viewer?action=UPDATE&amp;creator=factset&amp;DOC_NAME=fat:reuters_ltm_source_window.fat&amp;display_string=Audit&amp;DYN_ARGS=TRUE&amp;VAR:ID1=HON&amp;VAR:RCODE=FDSREVSTOTAL&amp;VAR:SDATE=20090399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7__FDSAUDITLINK__" localSheetId="0" hidden="1">{"fdsup://IBCentral/FAT Viewer?action=UPDATE&amp;creator=factset&amp;DOC_NAME=fat:reuters_ltm_source_window.fat&amp;display_string=Audit&amp;DYN_ARGS=TRUE&amp;VAR:ID1=HON&amp;VAR:RCODE=FDSREVSTOTAL&amp;VAR:SDATE=20090399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7__FDSAUDITLINK__" localSheetId="4" hidden="1">{"fdsup://IBCentral/FAT Viewer?action=UPDATE&amp;creator=factset&amp;DOC_NAME=fat:reuters_ltm_source_window.fat&amp;display_string=Audit&amp;DYN_ARGS=TRUE&amp;VAR:ID1=HON&amp;VAR:RCODE=FDSREVSTOTAL&amp;VAR:SDATE=20090399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7__FDSAUDITLINK__" hidden="1">{"fdsup://IBCentral/FAT Viewer?action=UPDATE&amp;creator=factset&amp;DOC_NAME=fat:reuters_ltm_source_window.fat&amp;display_string=Audit&amp;DYN_ARGS=TRUE&amp;VAR:ID1=HON&amp;VAR:RCODE=FDSREVSTOTAL&amp;VAR:SDATE=20090399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8__FDSAUDITLINK__" localSheetId="5" hidden="1">{"fdsup://IBCentral/FAT Viewer?action=UPDATE&amp;creator=factset&amp;DOC_NAME=fat:reuters_ltm_source_window.fat&amp;display_string=Audit&amp;DYN_ARGS=TRUE&amp;VAR:ID1=EMR&amp;VAR:RCODE=FDSREVSTOTAL&amp;VAR:SDATE=20090399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8__FDSAUDITLINK__" localSheetId="0" hidden="1">{"fdsup://IBCentral/FAT Viewer?action=UPDATE&amp;creator=factset&amp;DOC_NAME=fat:reuters_ltm_source_window.fat&amp;display_string=Audit&amp;DYN_ARGS=TRUE&amp;VAR:ID1=EMR&amp;VAR:RCODE=FDSREVSTOTAL&amp;VAR:SDATE=20090399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8__FDSAUDITLINK__" localSheetId="4" hidden="1">{"fdsup://IBCentral/FAT Viewer?action=UPDATE&amp;creator=factset&amp;DOC_NAME=fat:reuters_ltm_source_window.fat&amp;display_string=Audit&amp;DYN_ARGS=TRUE&amp;VAR:ID1=EMR&amp;VAR:RCODE=FDSREVSTOTAL&amp;VAR:SDATE=20090399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8__FDSAUDITLINK__" hidden="1">{"fdsup://IBCentral/FAT Viewer?action=UPDATE&amp;creator=factset&amp;DOC_NAME=fat:reuters_ltm_source_window.fat&amp;display_string=Audit&amp;DYN_ARGS=TRUE&amp;VAR:ID1=EMR&amp;VAR:RCODE=FDSREVSTOTAL&amp;VAR:SDATE=20090399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29__FDSAUDITLINK__" localSheetId="5" hidden="1">{"fdsup://IBCentral/FAT Viewer?action=UPDATE&amp;creator=factset&amp;DOC_NAME=fat:reuters_ltm_source_window.fat&amp;display_string=Audit&amp;DYN_ARGS=TRUE&amp;VAR:ID1=BA&amp;VAR:RCODE=FDSREVSTOTAL&amp;VAR:SDATE=20090399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9__FDSAUDITLINK__" localSheetId="0" hidden="1">{"fdsup://IBCentral/FAT Viewer?action=UPDATE&amp;creator=factset&amp;DOC_NAME=fat:reuters_ltm_source_window.fat&amp;display_string=Audit&amp;DYN_ARGS=TRUE&amp;VAR:ID1=BA&amp;VAR:RCODE=FDSREVSTOTAL&amp;VAR:SDATE=20090399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9__FDSAUDITLINK__" localSheetId="4" hidden="1">{"fdsup://IBCentral/FAT Viewer?action=UPDATE&amp;creator=factset&amp;DOC_NAME=fat:reuters_ltm_source_window.fat&amp;display_string=Audit&amp;DYN_ARGS=TRUE&amp;VAR:ID1=BA&amp;VAR:RCODE=FDSREVSTOTAL&amp;VAR:SDATE=20090399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29__FDSAUDITLINK__" hidden="1">{"fdsup://IBCentral/FAT Viewer?action=UPDATE&amp;creator=factset&amp;DOC_NAME=fat:reuters_ltm_source_window.fat&amp;display_string=Audit&amp;DYN_ARGS=TRUE&amp;VAR:ID1=BA&amp;VAR:RCODE=FDSREVSTOTAL&amp;VAR:SDATE=20090399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3__123Graph_AChart_1B" localSheetId="0" hidden="1">#REF!</definedName>
    <definedName name="_43__123Graph_AChart_1B" hidden="1">#REF!</definedName>
    <definedName name="_43__FDSAUDITLINK__" localSheetId="5" hidden="1">{"fdsup://IBCentral/FAT Viewer?action=UPDATE&amp;creator=factset&amp;DOC_NAME=fat:reuters_ltm_source_window.fat&amp;display_string=Audit&amp;DYN_ARGS=TRUE&amp;VAR:ID1=HUB.B&amp;VAR:RCODE=FIBCEBITDA&amp;VAR:SDATE=20090399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__FDSAUDITLINK__" localSheetId="0" hidden="1">{"fdsup://IBCentral/FAT Viewer?action=UPDATE&amp;creator=factset&amp;DOC_NAME=fat:reuters_ltm_source_window.fat&amp;display_string=Audit&amp;DYN_ARGS=TRUE&amp;VAR:ID1=HUB.B&amp;VAR:RCODE=FIBCEBITDA&amp;VAR:SDATE=20090399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__FDSAUDITLINK__" localSheetId="4" hidden="1">{"fdsup://IBCentral/FAT Viewer?action=UPDATE&amp;creator=factset&amp;DOC_NAME=fat:reuters_ltm_source_window.fat&amp;display_string=Audit&amp;DYN_ARGS=TRUE&amp;VAR:ID1=HUB.B&amp;VAR:RCODE=FIBCEBITDA&amp;VAR:SDATE=20090399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__FDSAUDITLINK__" hidden="1">{"fdsup://IBCentral/FAT Viewer?action=UPDATE&amp;creator=factset&amp;DOC_NAME=fat:reuters_ltm_source_window.fat&amp;display_string=Audit&amp;DYN_ARGS=TRUE&amp;VAR:ID1=HUB.B&amp;VAR:RCODE=FIBCEBITDA&amp;VAR:SDATE=20090399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0__FDSAUDITLINK__" localSheetId="5" hidden="1">{"fdsup://IBCentral/FAT Viewer?action=UPDATE&amp;creator=factset&amp;DOC_NAME=fat:reuters_ltm_source_window.fat&amp;display_string=Audit&amp;DYN_ARGS=TRUE&amp;VAR:ID1=LMT&amp;VAR:RCODE=FDSREVSTOTAL&amp;VAR:SDATE=20090399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0__FDSAUDITLINK__" localSheetId="0" hidden="1">{"fdsup://IBCentral/FAT Viewer?action=UPDATE&amp;creator=factset&amp;DOC_NAME=fat:reuters_ltm_source_window.fat&amp;display_string=Audit&amp;DYN_ARGS=TRUE&amp;VAR:ID1=LMT&amp;VAR:RCODE=FDSREVSTOTAL&amp;VAR:SDATE=20090399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0__FDSAUDITLINK__" localSheetId="4" hidden="1">{"fdsup://IBCentral/FAT Viewer?action=UPDATE&amp;creator=factset&amp;DOC_NAME=fat:reuters_ltm_source_window.fat&amp;display_string=Audit&amp;DYN_ARGS=TRUE&amp;VAR:ID1=LMT&amp;VAR:RCODE=FDSREVSTOTAL&amp;VAR:SDATE=20090399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0__FDSAUDITLINK__" hidden="1">{"fdsup://IBCentral/FAT Viewer?action=UPDATE&amp;creator=factset&amp;DOC_NAME=fat:reuters_ltm_source_window.fat&amp;display_string=Audit&amp;DYN_ARGS=TRUE&amp;VAR:ID1=LMT&amp;VAR:RCODE=FDSREVSTOTAL&amp;VAR:SDATE=20090399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1__FDSAUDITLINK__" localSheetId="5" hidden="1">{"fdsup://IBCentral/FAT Viewer?action=UPDATE&amp;creator=factset&amp;DOC_NAME=fat:reuters_ltm_source_window.fat&amp;display_string=Audit&amp;DYN_ARGS=TRUE&amp;VAR:ID1=MMM&amp;VAR:RCODE=FDSREVSTOTAL&amp;VAR:SDATE=20090399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1__FDSAUDITLINK__" localSheetId="0" hidden="1">{"fdsup://IBCentral/FAT Viewer?action=UPDATE&amp;creator=factset&amp;DOC_NAME=fat:reuters_ltm_source_window.fat&amp;display_string=Audit&amp;DYN_ARGS=TRUE&amp;VAR:ID1=MMM&amp;VAR:RCODE=FDSREVSTOTAL&amp;VAR:SDATE=20090399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1__FDSAUDITLINK__" localSheetId="4" hidden="1">{"fdsup://IBCentral/FAT Viewer?action=UPDATE&amp;creator=factset&amp;DOC_NAME=fat:reuters_ltm_source_window.fat&amp;display_string=Audit&amp;DYN_ARGS=TRUE&amp;VAR:ID1=MMM&amp;VAR:RCODE=FDSREVSTOTAL&amp;VAR:SDATE=20090399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1__FDSAUDITLINK__" hidden="1">{"fdsup://IBCentral/FAT Viewer?action=UPDATE&amp;creator=factset&amp;DOC_NAME=fat:reuters_ltm_source_window.fat&amp;display_string=Audit&amp;DYN_ARGS=TRUE&amp;VAR:ID1=MMM&amp;VAR:RCODE=FDSREVSTOTAL&amp;VAR:SDATE=20090399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2__FDSAUDITLINK__" localSheetId="5" hidden="1">{"fdsup://IBCentral/FAT Viewer?action=UPDATE&amp;creator=factset&amp;DOC_NAME=fat:reuters_ltm_source_window.fat&amp;display_string=Audit&amp;DYN_ARGS=TRUE&amp;VAR:ID1=UTX&amp;VAR:RCODE=FDSREVSTOTAL&amp;VAR:SDATE=20090399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2__FDSAUDITLINK__" localSheetId="0" hidden="1">{"fdsup://IBCentral/FAT Viewer?action=UPDATE&amp;creator=factset&amp;DOC_NAME=fat:reuters_ltm_source_window.fat&amp;display_string=Audit&amp;DYN_ARGS=TRUE&amp;VAR:ID1=UTX&amp;VAR:RCODE=FDSREVSTOTAL&amp;VAR:SDATE=20090399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2__FDSAUDITLINK__" localSheetId="4" hidden="1">{"fdsup://IBCentral/FAT Viewer?action=UPDATE&amp;creator=factset&amp;DOC_NAME=fat:reuters_ltm_source_window.fat&amp;display_string=Audit&amp;DYN_ARGS=TRUE&amp;VAR:ID1=UTX&amp;VAR:RCODE=FDSREVSTOTAL&amp;VAR:SDATE=20090399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2__FDSAUDITLINK__" hidden="1">{"fdsup://IBCentral/FAT Viewer?action=UPDATE&amp;creator=factset&amp;DOC_NAME=fat:reuters_ltm_source_window.fat&amp;display_string=Audit&amp;DYN_ARGS=TRUE&amp;VAR:ID1=UTX&amp;VAR:RCODE=FDSREVSTOTAL&amp;VAR:SDATE=20090399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3__FDSAUDITLINK__" localSheetId="5" hidden="1">{"fdsup://IBCentral/FAT Viewer?action=UPDATE&amp;creator=factset&amp;DOC_NAME=fat:reuters_ltm_source_window.fat&amp;display_string=Audit&amp;DYN_ARGS=TRUE&amp;VAR:ID1=UPS&amp;VAR:RCODE=FDSREVSTOTAL&amp;VAR:SDATE=20090399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3__FDSAUDITLINK__" localSheetId="0" hidden="1">{"fdsup://IBCentral/FAT Viewer?action=UPDATE&amp;creator=factset&amp;DOC_NAME=fat:reuters_ltm_source_window.fat&amp;display_string=Audit&amp;DYN_ARGS=TRUE&amp;VAR:ID1=UPS&amp;VAR:RCODE=FDSREVSTOTAL&amp;VAR:SDATE=20090399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3__FDSAUDITLINK__" localSheetId="4" hidden="1">{"fdsup://IBCentral/FAT Viewer?action=UPDATE&amp;creator=factset&amp;DOC_NAME=fat:reuters_ltm_source_window.fat&amp;display_string=Audit&amp;DYN_ARGS=TRUE&amp;VAR:ID1=UPS&amp;VAR:RCODE=FDSREVSTOTAL&amp;VAR:SDATE=20090399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3__FDSAUDITLINK__" hidden="1">{"fdsup://IBCentral/FAT Viewer?action=UPDATE&amp;creator=factset&amp;DOC_NAME=fat:reuters_ltm_source_window.fat&amp;display_string=Audit&amp;DYN_ARGS=TRUE&amp;VAR:ID1=UPS&amp;VAR:RCODE=FDSREVSTOTAL&amp;VAR:SDATE=20090399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4__FDSAUDITLINK__" localSheetId="5" hidden="1">{"fdsup://IBCentral/FAT Viewer?action=UPDATE&amp;creator=factset&amp;DOC_NAME=fat:reuters_ltm_source_window.fat&amp;display_string=Audit&amp;DYN_ARGS=TRUE&amp;VAR:ID1=GE&amp;VAR:RCODE=FDSREVSTOTAL&amp;VAR:SDATE=20090399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34__FDSAUDITLINK__" localSheetId="0" hidden="1">{"fdsup://IBCentral/FAT Viewer?action=UPDATE&amp;creator=factset&amp;DOC_NAME=fat:reuters_ltm_source_window.fat&amp;display_string=Audit&amp;DYN_ARGS=TRUE&amp;VAR:ID1=GE&amp;VAR:RCODE=FDSREVSTOTAL&amp;VAR:SDATE=20090399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34__FDSAUDITLINK__" localSheetId="4" hidden="1">{"fdsup://IBCentral/FAT Viewer?action=UPDATE&amp;creator=factset&amp;DOC_NAME=fat:reuters_ltm_source_window.fat&amp;display_string=Audit&amp;DYN_ARGS=TRUE&amp;VAR:ID1=GE&amp;VAR:RCODE=FDSREVSTOTAL&amp;VAR:SDATE=20090399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34__FDSAUDITLINK__" hidden="1">{"fdsup://IBCentral/FAT Viewer?action=UPDATE&amp;creator=factset&amp;DOC_NAME=fat:reuters_ltm_source_window.fat&amp;display_string=Audit&amp;DYN_ARGS=TRUE&amp;VAR:ID1=GE&amp;VAR:RCODE=FDSREVSTOTAL&amp;VAR:SDATE=20090399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35__FDSAUDITLINK__" localSheetId="5" hidden="1">{"fdsup://IBCentral/FAT Viewer?action=UPDATE&amp;creator=factset&amp;DOC_NAME=fat:reuters_ltm_source_window.fat&amp;display_string=Audit&amp;DYN_ARGS=TRUE&amp;VAR:ID1=CHP&amp;VAR:RCODE=FDSREVSTOTAL&amp;VAR:SDATE=20090499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5__FDSAUDITLINK__" localSheetId="0" hidden="1">{"fdsup://IBCentral/FAT Viewer?action=UPDATE&amp;creator=factset&amp;DOC_NAME=fat:reuters_ltm_source_window.fat&amp;display_string=Audit&amp;DYN_ARGS=TRUE&amp;VAR:ID1=CHP&amp;VAR:RCODE=FDSREVSTOTAL&amp;VAR:SDATE=20090499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5__FDSAUDITLINK__" localSheetId="4" hidden="1">{"fdsup://IBCentral/FAT Viewer?action=UPDATE&amp;creator=factset&amp;DOC_NAME=fat:reuters_ltm_source_window.fat&amp;display_string=Audit&amp;DYN_ARGS=TRUE&amp;VAR:ID1=CHP&amp;VAR:RCODE=FDSREVSTOTAL&amp;VAR:SDATE=20090499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5__FDSAUDITLINK__" hidden="1">{"fdsup://IBCentral/FAT Viewer?action=UPDATE&amp;creator=factset&amp;DOC_NAME=fat:reuters_ltm_source_window.fat&amp;display_string=Audit&amp;DYN_ARGS=TRUE&amp;VAR:ID1=CHP&amp;VAR:RCODE=FDSREVSTOTAL&amp;VAR:SDATE=20090499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6__FDSAUDITLINK__" localSheetId="5" hidden="1">{"fdsup://IBCentral/FAT Viewer?action=UPDATE&amp;creator=factset&amp;DOC_NAME=fat:reuters_ltm_source_window.fat&amp;display_string=Audit&amp;DYN_ARGS=TRUE&amp;VAR:ID1=CHP&amp;VAR:RCODE=FIBCEBITDA&amp;VAR:SDATE=20090499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36__FDSAUDITLINK__" localSheetId="0" hidden="1">{"fdsup://IBCentral/FAT Viewer?action=UPDATE&amp;creator=factset&amp;DOC_NAME=fat:reuters_ltm_source_window.fat&amp;display_string=Audit&amp;DYN_ARGS=TRUE&amp;VAR:ID1=CHP&amp;VAR:RCODE=FIBCEBITDA&amp;VAR:SDATE=20090499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36__FDSAUDITLINK__" localSheetId="4" hidden="1">{"fdsup://IBCentral/FAT Viewer?action=UPDATE&amp;creator=factset&amp;DOC_NAME=fat:reuters_ltm_source_window.fat&amp;display_string=Audit&amp;DYN_ARGS=TRUE&amp;VAR:ID1=CHP&amp;VAR:RCODE=FIBCEBITDA&amp;VAR:SDATE=20090499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36__FDSAUDITLINK__" hidden="1">{"fdsup://IBCentral/FAT Viewer?action=UPDATE&amp;creator=factset&amp;DOC_NAME=fat:reuters_ltm_source_window.fat&amp;display_string=Audit&amp;DYN_ARGS=TRUE&amp;VAR:ID1=CHP&amp;VAR:RCODE=FIBCEBITDA&amp;VAR:SDATE=20090499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37__FDSAUDITLINK__" localSheetId="5" hidden="1">{"fdsup://IBCentral/FAT Viewer?action=UPDATE&amp;creator=factset&amp;DOC_NAME=fat:reuters_ltm_source_window.fat&amp;display_string=Audit&amp;DYN_ARGS=TRUE&amp;VAR:ID1=NCS&amp;VAR:RCODE=FDSREVSTOTAL&amp;VAR:SDATE=20090499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7__FDSAUDITLINK__" localSheetId="0" hidden="1">{"fdsup://IBCentral/FAT Viewer?action=UPDATE&amp;creator=factset&amp;DOC_NAME=fat:reuters_ltm_source_window.fat&amp;display_string=Audit&amp;DYN_ARGS=TRUE&amp;VAR:ID1=NCS&amp;VAR:RCODE=FDSREVSTOTAL&amp;VAR:SDATE=20090499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7__FDSAUDITLINK__" localSheetId="4" hidden="1">{"fdsup://IBCentral/FAT Viewer?action=UPDATE&amp;creator=factset&amp;DOC_NAME=fat:reuters_ltm_source_window.fat&amp;display_string=Audit&amp;DYN_ARGS=TRUE&amp;VAR:ID1=NCS&amp;VAR:RCODE=FDSREVSTOTAL&amp;VAR:SDATE=20090499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7__FDSAUDITLINK__" hidden="1">{"fdsup://IBCentral/FAT Viewer?action=UPDATE&amp;creator=factset&amp;DOC_NAME=fat:reuters_ltm_source_window.fat&amp;display_string=Audit&amp;DYN_ARGS=TRUE&amp;VAR:ID1=NCS&amp;VAR:RCODE=FDSREVSTOTAL&amp;VAR:SDATE=20090499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38__FDSAUDITLINK__" localSheetId="5" hidden="1">{"fdsup://IBCentral/FAT Viewer?action=UPDATE&amp;creator=factset&amp;DOC_NAME=fat:reuters_ltm_source_window.fat&amp;display_string=Audit&amp;DYN_ARGS=TRUE&amp;VAR:ID1=NCS&amp;VAR:RCODE=FIBCEBITDA&amp;VAR:SDATE=20090499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38__FDSAUDITLINK__" localSheetId="0" hidden="1">{"fdsup://IBCentral/FAT Viewer?action=UPDATE&amp;creator=factset&amp;DOC_NAME=fat:reuters_ltm_source_window.fat&amp;display_string=Audit&amp;DYN_ARGS=TRUE&amp;VAR:ID1=NCS&amp;VAR:RCODE=FIBCEBITDA&amp;VAR:SDATE=20090499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38__FDSAUDITLINK__" localSheetId="4" hidden="1">{"fdsup://IBCentral/FAT Viewer?action=UPDATE&amp;creator=factset&amp;DOC_NAME=fat:reuters_ltm_source_window.fat&amp;display_string=Audit&amp;DYN_ARGS=TRUE&amp;VAR:ID1=NCS&amp;VAR:RCODE=FIBCEBITDA&amp;VAR:SDATE=20090499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38__FDSAUDITLINK__" hidden="1">{"fdsup://IBCentral/FAT Viewer?action=UPDATE&amp;creator=factset&amp;DOC_NAME=fat:reuters_ltm_source_window.fat&amp;display_string=Audit&amp;DYN_ARGS=TRUE&amp;VAR:ID1=NCS&amp;VAR:RCODE=FIBCEBITDA&amp;VAR:SDATE=20090499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39__FDSAUDITLINK__" localSheetId="5" hidden="1">{"fdsup://IBCentral/FAT Viewer?action=UPDATE&amp;creator=factset&amp;DOC_NAME=fat:reuters_annual_source_window.fat&amp;display_string=Audit&amp;DYN_ARGS=TRUE&amp;VAR:ID1=12476510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39__FDSAUDITLINK__" localSheetId="0" hidden="1">{"fdsup://IBCentral/FAT Viewer?action=UPDATE&amp;creator=factset&amp;DOC_NAME=fat:reuters_annual_source_window.fat&amp;display_string=Audit&amp;DYN_ARGS=TRUE&amp;VAR:ID1=12476510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39__FDSAUDITLINK__" localSheetId="4" hidden="1">{"fdsup://IBCentral/FAT Viewer?action=UPDATE&amp;creator=factset&amp;DOC_NAME=fat:reuters_annual_source_window.fat&amp;display_string=Audit&amp;DYN_ARGS=TRUE&amp;VAR:ID1=12476510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39__FDSAUDITLINK__" hidden="1">{"fdsup://IBCentral/FAT Viewer?action=UPDATE&amp;creator=factset&amp;DOC_NAME=fat:reuters_annual_source_window.fat&amp;display_string=Audit&amp;DYN_ARGS=TRUE&amp;VAR:ID1=12476510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4__FDSAUDITLINK__" localSheetId="5" hidden="1">{"fdsup://IBCentral/FAT Viewer?action=UPDATE&amp;creator=factset&amp;DOC_NAME=fat:reuters_ltm_source_window.fat&amp;display_string=Audit&amp;DYN_ARGS=TRUE&amp;VAR:ID1=LII&amp;VAR:RCODE=FIBCEBITDA&amp;VAR:SDATE=20090399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__FDSAUDITLINK__" localSheetId="0" hidden="1">{"fdsup://IBCentral/FAT Viewer?action=UPDATE&amp;creator=factset&amp;DOC_NAME=fat:reuters_ltm_source_window.fat&amp;display_string=Audit&amp;DYN_ARGS=TRUE&amp;VAR:ID1=LII&amp;VAR:RCODE=FIBCEBITDA&amp;VAR:SDATE=20090399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__FDSAUDITLINK__" localSheetId="4" hidden="1">{"fdsup://IBCentral/FAT Viewer?action=UPDATE&amp;creator=factset&amp;DOC_NAME=fat:reuters_ltm_source_window.fat&amp;display_string=Audit&amp;DYN_ARGS=TRUE&amp;VAR:ID1=LII&amp;VAR:RCODE=FIBCEBITDA&amp;VAR:SDATE=20090399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__FDSAUDITLINK__" hidden="1">{"fdsup://IBCentral/FAT Viewer?action=UPDATE&amp;creator=factset&amp;DOC_NAME=fat:reuters_ltm_source_window.fat&amp;display_string=Audit&amp;DYN_ARGS=TRUE&amp;VAR:ID1=LII&amp;VAR:RCODE=FIBCEBITDA&amp;VAR:SDATE=20090399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0__FDSAUDITLINK__" localSheetId="5" hidden="1">{"fdsup://IBCentral/FAT Viewer?action=UPDATE&amp;creator=factset&amp;DOC_NAME=fat:reuters_annual_source_window.fat&amp;display_string=Audit&amp;DYN_ARGS=TRUE&amp;VAR:ID1=12476510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40__FDSAUDITLINK__" localSheetId="0" hidden="1">{"fdsup://IBCentral/FAT Viewer?action=UPDATE&amp;creator=factset&amp;DOC_NAME=fat:reuters_annual_source_window.fat&amp;display_string=Audit&amp;DYN_ARGS=TRUE&amp;VAR:ID1=12476510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40__FDSAUDITLINK__" localSheetId="4" hidden="1">{"fdsup://IBCentral/FAT Viewer?action=UPDATE&amp;creator=factset&amp;DOC_NAME=fat:reuters_annual_source_window.fat&amp;display_string=Audit&amp;DYN_ARGS=TRUE&amp;VAR:ID1=12476510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annual_source_window.fat&amp;display_string=Audit&amp;DYN_ARGS=TRUE&amp;VAR:ID1=12476510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41__FDSAUDITLINK__" localSheetId="5" hidden="1">{"fdsup://IBCentral/FAT Viewer?action=UPDATE&amp;creator=factset&amp;DOC_NAME=fat:reuters_ltm_source_window.fat&amp;display_string=Audit&amp;DYN_ARGS=TRUE&amp;VAR:ID1=APSG&amp;VAR:RCODE=FDSREVSTOTAL&amp;VAR:SDATE=20090499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41__FDSAUDITLINK__" localSheetId="0" hidden="1">{"fdsup://IBCentral/FAT Viewer?action=UPDATE&amp;creator=factset&amp;DOC_NAME=fat:reuters_ltm_source_window.fat&amp;display_string=Audit&amp;DYN_ARGS=TRUE&amp;VAR:ID1=APSG&amp;VAR:RCODE=FDSREVSTOTAL&amp;VAR:SDATE=20090499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41__FDSAUDITLINK__" localSheetId="4" hidden="1">{"fdsup://IBCentral/FAT Viewer?action=UPDATE&amp;creator=factset&amp;DOC_NAME=fat:reuters_ltm_source_window.fat&amp;display_string=Audit&amp;DYN_ARGS=TRUE&amp;VAR:ID1=APSG&amp;VAR:RCODE=FDSREVSTOTAL&amp;VAR:SDATE=20090499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41__FDSAUDITLINK__" hidden="1">{"fdsup://IBCentral/FAT Viewer?action=UPDATE&amp;creator=factset&amp;DOC_NAME=fat:reuters_ltm_source_window.fat&amp;display_string=Audit&amp;DYN_ARGS=TRUE&amp;VAR:ID1=APSG&amp;VAR:RCODE=FDSREVSTOTAL&amp;VAR:SDATE=20090499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42__FDSAUDITLINK__" localSheetId="5" hidden="1">{"fdsup://IBCentral/FAT Viewer?action=UPDATE&amp;creator=factset&amp;DOC_NAME=fat:reuters_ltm_source_window.fat&amp;display_string=Audit&amp;DYN_ARGS=TRUE&amp;VAR:ID1=APSG&amp;VAR:RCODE=FIBCEBITDA&amp;VAR:SDATE=20090499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42__FDSAUDITLINK__" localSheetId="0" hidden="1">{"fdsup://IBCentral/FAT Viewer?action=UPDATE&amp;creator=factset&amp;DOC_NAME=fat:reuters_ltm_source_window.fat&amp;display_string=Audit&amp;DYN_ARGS=TRUE&amp;VAR:ID1=APSG&amp;VAR:RCODE=FIBCEBITDA&amp;VAR:SDATE=20090499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42__FDSAUDITLINK__" localSheetId="4" hidden="1">{"fdsup://IBCentral/FAT Viewer?action=UPDATE&amp;creator=factset&amp;DOC_NAME=fat:reuters_ltm_source_window.fat&amp;display_string=Audit&amp;DYN_ARGS=TRUE&amp;VAR:ID1=APSG&amp;VAR:RCODE=FIBCEBITDA&amp;VAR:SDATE=20090499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42__FDSAUDITLINK__" hidden="1">{"fdsup://IBCentral/FAT Viewer?action=UPDATE&amp;creator=factset&amp;DOC_NAME=fat:reuters_ltm_source_window.fat&amp;display_string=Audit&amp;DYN_ARGS=TRUE&amp;VAR:ID1=APSG&amp;VAR:RCODE=FIBCEBITDA&amp;VAR:SDATE=20090499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43__FDSAUDITLINK__" localSheetId="5" hidden="1">{"fdsup://IBCentral/FAT Viewer?action=UPDATE&amp;creator=factset&amp;DOC_NAME=fat:reuters_annual_source_window.fat&amp;display_string=Audit&amp;DYN_ARGS=TRUE&amp;VAR:ID1=80786310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43__FDSAUDITLINK__" localSheetId="0" hidden="1">{"fdsup://IBCentral/FAT Viewer?action=UPDATE&amp;creator=factset&amp;DOC_NAME=fat:reuters_annual_source_window.fat&amp;display_string=Audit&amp;DYN_ARGS=TRUE&amp;VAR:ID1=80786310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43__FDSAUDITLINK__" localSheetId="4" hidden="1">{"fdsup://IBCentral/FAT Viewer?action=UPDATE&amp;creator=factset&amp;DOC_NAME=fat:reuters_annual_source_window.fat&amp;display_string=Audit&amp;DYN_ARGS=TRUE&amp;VAR:ID1=80786310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43__FDSAUDITLINK__" hidden="1">{"fdsup://IBCentral/FAT Viewer?action=UPDATE&amp;creator=factset&amp;DOC_NAME=fat:reuters_annual_source_window.fat&amp;display_string=Audit&amp;DYN_ARGS=TRUE&amp;VAR:ID1=80786310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44__FDSAUDITLINK__" localSheetId="5" hidden="1">{"fdsup://IBCentral/FAT Viewer?action=UPDATE&amp;creator=factset&amp;DOC_NAME=fat:reuters_annual_source_window.fat&amp;display_string=Audit&amp;DYN_ARGS=TRUE&amp;VAR:ID1=80786310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44__FDSAUDITLINK__" localSheetId="0" hidden="1">{"fdsup://IBCentral/FAT Viewer?action=UPDATE&amp;creator=factset&amp;DOC_NAME=fat:reuters_annual_source_window.fat&amp;display_string=Audit&amp;DYN_ARGS=TRUE&amp;VAR:ID1=80786310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44__FDSAUDITLINK__" localSheetId="4" hidden="1">{"fdsup://IBCentral/FAT Viewer?action=UPDATE&amp;creator=factset&amp;DOC_NAME=fat:reuters_annual_source_window.fat&amp;display_string=Audit&amp;DYN_ARGS=TRUE&amp;VAR:ID1=80786310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80786310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45__FDSAUDITLINK__" localSheetId="5" hidden="1">{"fdsup://IBCentral/FAT Viewer?action=UPDATE&amp;creator=factset&amp;DOC_NAME=fat:reuters_ltm_source_window.fat&amp;display_string=Audit&amp;DYN_ARGS=TRUE&amp;VAR:ID1=LNN&amp;VAR:RCODE=FDSREVSTOTAL&amp;VAR:SDATE=20090599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45__FDSAUDITLINK__" localSheetId="0" hidden="1">{"fdsup://IBCentral/FAT Viewer?action=UPDATE&amp;creator=factset&amp;DOC_NAME=fat:reuters_ltm_source_window.fat&amp;display_string=Audit&amp;DYN_ARGS=TRUE&amp;VAR:ID1=LNN&amp;VAR:RCODE=FDSREVSTOTAL&amp;VAR:SDATE=20090599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45__FDSAUDITLINK__" localSheetId="4" hidden="1">{"fdsup://IBCentral/FAT Viewer?action=UPDATE&amp;creator=factset&amp;DOC_NAME=fat:reuters_ltm_source_window.fat&amp;display_string=Audit&amp;DYN_ARGS=TRUE&amp;VAR:ID1=LNN&amp;VAR:RCODE=FDSREVSTOTAL&amp;VAR:SDATE=20090599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45__FDSAUDITLINK__" hidden="1">{"fdsup://IBCentral/FAT Viewer?action=UPDATE&amp;creator=factset&amp;DOC_NAME=fat:reuters_ltm_source_window.fat&amp;display_string=Audit&amp;DYN_ARGS=TRUE&amp;VAR:ID1=LNN&amp;VAR:RCODE=FDSREVSTOTAL&amp;VAR:SDATE=20090599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46__FDSAUDITLINK__" localSheetId="5" hidden="1">{"fdsup://IBCentral/FAT Viewer?action=UPDATE&amp;creator=factset&amp;DOC_NAME=fat:reuters_ltm_source_window.fat&amp;display_string=Audit&amp;DYN_ARGS=TRUE&amp;VAR:ID1=LNN&amp;VAR:RCODE=FIBCEBITDA&amp;VAR:SDATE=20090599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6__FDSAUDITLINK__" localSheetId="0" hidden="1">{"fdsup://IBCentral/FAT Viewer?action=UPDATE&amp;creator=factset&amp;DOC_NAME=fat:reuters_ltm_source_window.fat&amp;display_string=Audit&amp;DYN_ARGS=TRUE&amp;VAR:ID1=LNN&amp;VAR:RCODE=FIBCEBITDA&amp;VAR:SDATE=20090599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6__FDSAUDITLINK__" localSheetId="4" hidden="1">{"fdsup://IBCentral/FAT Viewer?action=UPDATE&amp;creator=factset&amp;DOC_NAME=fat:reuters_ltm_source_window.fat&amp;display_string=Audit&amp;DYN_ARGS=TRUE&amp;VAR:ID1=LNN&amp;VAR:RCODE=FIBCEBITDA&amp;VAR:SDATE=20090599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6__FDSAUDITLINK__" hidden="1">{"fdsup://IBCentral/FAT Viewer?action=UPDATE&amp;creator=factset&amp;DOC_NAME=fat:reuters_ltm_source_window.fat&amp;display_string=Audit&amp;DYN_ARGS=TRUE&amp;VAR:ID1=LNN&amp;VAR:RCODE=FIBCEBITDA&amp;VAR:SDATE=20090599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7__FDSAUDITLINK__" localSheetId="5" hidden="1">{"fdsup://IBCentral/FAT Viewer?action=UPDATE&amp;creator=factset&amp;DOC_NAME=fat:reuters_ltm_source_window.fat&amp;display_string=Audit&amp;DYN_ARGS=TRUE&amp;VAR:ID1=AZZ&amp;VAR:RCODE=FDSREVSTOTAL&amp;VAR:SDATE=20090599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47__FDSAUDITLINK__" localSheetId="0" hidden="1">{"fdsup://IBCentral/FAT Viewer?action=UPDATE&amp;creator=factset&amp;DOC_NAME=fat:reuters_ltm_source_window.fat&amp;display_string=Audit&amp;DYN_ARGS=TRUE&amp;VAR:ID1=AZZ&amp;VAR:RCODE=FDSREVSTOTAL&amp;VAR:SDATE=20090599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47__FDSAUDITLINK__" localSheetId="4" hidden="1">{"fdsup://IBCentral/FAT Viewer?action=UPDATE&amp;creator=factset&amp;DOC_NAME=fat:reuters_ltm_source_window.fat&amp;display_string=Audit&amp;DYN_ARGS=TRUE&amp;VAR:ID1=AZZ&amp;VAR:RCODE=FDSREVSTOTAL&amp;VAR:SDATE=20090599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47__FDSAUDITLINK__" hidden="1">{"fdsup://IBCentral/FAT Viewer?action=UPDATE&amp;creator=factset&amp;DOC_NAME=fat:reuters_ltm_source_window.fat&amp;display_string=Audit&amp;DYN_ARGS=TRUE&amp;VAR:ID1=AZZ&amp;VAR:RCODE=FDSREVSTOTAL&amp;VAR:SDATE=20090599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48__FDSAUDITLINK__" localSheetId="5" hidden="1">{"fdsup://IBCentral/FAT Viewer?action=UPDATE&amp;creator=factset&amp;DOC_NAME=fat:reuters_ltm_source_window.fat&amp;display_string=Audit&amp;DYN_ARGS=TRUE&amp;VAR:ID1=AZZ&amp;VAR:RCODE=FIBCEBITDA&amp;VAR:SDATE=20090599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8__FDSAUDITLINK__" localSheetId="0" hidden="1">{"fdsup://IBCentral/FAT Viewer?action=UPDATE&amp;creator=factset&amp;DOC_NAME=fat:reuters_ltm_source_window.fat&amp;display_string=Audit&amp;DYN_ARGS=TRUE&amp;VAR:ID1=AZZ&amp;VAR:RCODE=FIBCEBITDA&amp;VAR:SDATE=20090599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8__FDSAUDITLINK__" localSheetId="4" hidden="1">{"fdsup://IBCentral/FAT Viewer?action=UPDATE&amp;creator=factset&amp;DOC_NAME=fat:reuters_ltm_source_window.fat&amp;display_string=Audit&amp;DYN_ARGS=TRUE&amp;VAR:ID1=AZZ&amp;VAR:RCODE=FIBCEBITDA&amp;VAR:SDATE=20090599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8__FDSAUDITLINK__" hidden="1">{"fdsup://IBCentral/FAT Viewer?action=UPDATE&amp;creator=factset&amp;DOC_NAME=fat:reuters_ltm_source_window.fat&amp;display_string=Audit&amp;DYN_ARGS=TRUE&amp;VAR:ID1=AZZ&amp;VAR:RCODE=FIBCEBITDA&amp;VAR:SDATE=20090599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49__FDSAUDITLINK__" localSheetId="5" hidden="1">{"fdsup://IBCentral/FAT Viewer?action=UPDATE&amp;creator=factset&amp;DOC_NAME=fat:reuters_ltm_source_window.fat&amp;display_string=Audit&amp;DYN_ARGS=TRUE&amp;VAR:ID1=NX&amp;VAR:RCODE=FDSREVSTOTAL&amp;VAR:SDATE=20090499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49__FDSAUDITLINK__" localSheetId="0" hidden="1">{"fdsup://IBCentral/FAT Viewer?action=UPDATE&amp;creator=factset&amp;DOC_NAME=fat:reuters_ltm_source_window.fat&amp;display_string=Audit&amp;DYN_ARGS=TRUE&amp;VAR:ID1=NX&amp;VAR:RCODE=FDSREVSTOTAL&amp;VAR:SDATE=20090499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49__FDSAUDITLINK__" localSheetId="4" hidden="1">{"fdsup://IBCentral/FAT Viewer?action=UPDATE&amp;creator=factset&amp;DOC_NAME=fat:reuters_ltm_source_window.fat&amp;display_string=Audit&amp;DYN_ARGS=TRUE&amp;VAR:ID1=NX&amp;VAR:RCODE=FDSREVSTOTAL&amp;VAR:SDATE=20090499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49__FDSAUDITLINK__" hidden="1">{"fdsup://IBCentral/FAT Viewer?action=UPDATE&amp;creator=factset&amp;DOC_NAME=fat:reuters_ltm_source_window.fat&amp;display_string=Audit&amp;DYN_ARGS=TRUE&amp;VAR:ID1=NX&amp;VAR:RCODE=FDSREVSTOTAL&amp;VAR:SDATE=20090499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5__123Graph_AChart_1C" localSheetId="0" hidden="1">#REF!</definedName>
    <definedName name="_45__123Graph_AChart_1C" hidden="1">#REF!</definedName>
    <definedName name="_45__FDSAUDITLINK__" localSheetId="5" hidden="1">{"fdsup://IBCentral/FAT Viewer?action=UPDATE&amp;creator=factset&amp;DOC_NAME=fat:reuters_ltm_source_window.fat&amp;display_string=Audit&amp;DYN_ARGS=TRUE&amp;VAR:ID1=GVA&amp;VAR:RCODE=FIBCEBITDA&amp;VAR:SDATE=20090399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__FDSAUDITLINK__" localSheetId="0" hidden="1">{"fdsup://IBCentral/FAT Viewer?action=UPDATE&amp;creator=factset&amp;DOC_NAME=fat:reuters_ltm_source_window.fat&amp;display_string=Audit&amp;DYN_ARGS=TRUE&amp;VAR:ID1=GVA&amp;VAR:RCODE=FIBCEBITDA&amp;VAR:SDATE=20090399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__FDSAUDITLINK__" localSheetId="4" hidden="1">{"fdsup://IBCentral/FAT Viewer?action=UPDATE&amp;creator=factset&amp;DOC_NAME=fat:reuters_ltm_source_window.fat&amp;display_string=Audit&amp;DYN_ARGS=TRUE&amp;VAR:ID1=GVA&amp;VAR:RCODE=FIBCEBITDA&amp;VAR:SDATE=20090399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__FDSAUDITLINK__" hidden="1">{"fdsup://IBCentral/FAT Viewer?action=UPDATE&amp;creator=factset&amp;DOC_NAME=fat:reuters_ltm_source_window.fat&amp;display_string=Audit&amp;DYN_ARGS=TRUE&amp;VAR:ID1=GVA&amp;VAR:RCODE=FIBCEBITDA&amp;VAR:SDATE=20090399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0__FDSAUDITLINK__" localSheetId="5" hidden="1">{"fdsup://IBCentral/FAT Viewer?action=UPDATE&amp;creator=factset&amp;DOC_NAME=fat:reuters_ltm_source_window.fat&amp;display_string=Audit&amp;DYN_ARGS=TRUE&amp;VAR:ID1=NX&amp;VAR:RCODE=FIBCEBITDA&amp;VAR:SDATE=20090499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450__FDSAUDITLINK__" localSheetId="0" hidden="1">{"fdsup://IBCentral/FAT Viewer?action=UPDATE&amp;creator=factset&amp;DOC_NAME=fat:reuters_ltm_source_window.fat&amp;display_string=Audit&amp;DYN_ARGS=TRUE&amp;VAR:ID1=NX&amp;VAR:RCODE=FIBCEBITDA&amp;VAR:SDATE=20090499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450__FDSAUDITLINK__" localSheetId="4" hidden="1">{"fdsup://IBCentral/FAT Viewer?action=UPDATE&amp;creator=factset&amp;DOC_NAME=fat:reuters_ltm_source_window.fat&amp;display_string=Audit&amp;DYN_ARGS=TRUE&amp;VAR:ID1=NX&amp;VAR:RCODE=FIBCEBITDA&amp;VAR:SDATE=20090499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450__FDSAUDITLINK__" hidden="1">{"fdsup://IBCentral/FAT Viewer?action=UPDATE&amp;creator=factset&amp;DOC_NAME=fat:reuters_ltm_source_window.fat&amp;display_string=Audit&amp;DYN_ARGS=TRUE&amp;VAR:ID1=NX&amp;VAR:RCODE=FIBCEBITDA&amp;VAR:SDATE=20090499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451__FDSAUDITLINK__" localSheetId="5" hidden="1">{"fdsup://IBCentral/FAT Viewer?action=UPDATE&amp;creator=factset&amp;DOC_NAME=fat:reuters_annual_source_window.fat&amp;display_string=Audit&amp;DYN_ARGS=TRUE&amp;VAR:ID1=50064320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51__FDSAUDITLINK__" localSheetId="0" hidden="1">{"fdsup://IBCentral/FAT Viewer?action=UPDATE&amp;creator=factset&amp;DOC_NAME=fat:reuters_annual_source_window.fat&amp;display_string=Audit&amp;DYN_ARGS=TRUE&amp;VAR:ID1=50064320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51__FDSAUDITLINK__" localSheetId="4" hidden="1">{"fdsup://IBCentral/FAT Viewer?action=UPDATE&amp;creator=factset&amp;DOC_NAME=fat:reuters_annual_source_window.fat&amp;display_string=Audit&amp;DYN_ARGS=TRUE&amp;VAR:ID1=50064320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51__FDSAUDITLINK__" hidden="1">{"fdsup://IBCentral/FAT Viewer?action=UPDATE&amp;creator=factset&amp;DOC_NAME=fat:reuters_annual_source_window.fat&amp;display_string=Audit&amp;DYN_ARGS=TRUE&amp;VAR:ID1=50064320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52__FDSAUDITLINK__" localSheetId="5" hidden="1">{"fdsup://IBCentral/FAT Viewer?action=UPDATE&amp;creator=factset&amp;DOC_NAME=fat:reuters_annual_source_window.fat&amp;display_string=Audit&amp;DYN_ARGS=TRUE&amp;VAR:ID1=50064320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52__FDSAUDITLINK__" localSheetId="0" hidden="1">{"fdsup://IBCentral/FAT Viewer?action=UPDATE&amp;creator=factset&amp;DOC_NAME=fat:reuters_annual_source_window.fat&amp;display_string=Audit&amp;DYN_ARGS=TRUE&amp;VAR:ID1=50064320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52__FDSAUDITLINK__" localSheetId="4" hidden="1">{"fdsup://IBCentral/FAT Viewer?action=UPDATE&amp;creator=factset&amp;DOC_NAME=fat:reuters_annual_source_window.fat&amp;display_string=Audit&amp;DYN_ARGS=TRUE&amp;VAR:ID1=50064320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52__FDSAUDITLINK__" hidden="1">{"fdsup://IBCentral/FAT Viewer?action=UPDATE&amp;creator=factset&amp;DOC_NAME=fat:reuters_annual_source_window.fat&amp;display_string=Audit&amp;DYN_ARGS=TRUE&amp;VAR:ID1=50064320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53__FDSAUDITLINK__" localSheetId="5" hidden="1">{"fdsup://IBCentral/FAT Viewer?action=UPDATE&amp;creator=factset&amp;DOC_NAME=fat:reuters_annual_source_window.fat&amp;display_string=Audit&amp;DYN_ARGS=TRUE&amp;VAR:ID1=00807310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53__FDSAUDITLINK__" localSheetId="0" hidden="1">{"fdsup://IBCentral/FAT Viewer?action=UPDATE&amp;creator=factset&amp;DOC_NAME=fat:reuters_annual_source_window.fat&amp;display_string=Audit&amp;DYN_ARGS=TRUE&amp;VAR:ID1=00807310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53__FDSAUDITLINK__" localSheetId="4" hidden="1">{"fdsup://IBCentral/FAT Viewer?action=UPDATE&amp;creator=factset&amp;DOC_NAME=fat:reuters_annual_source_window.fat&amp;display_string=Audit&amp;DYN_ARGS=TRUE&amp;VAR:ID1=00807310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53__FDSAUDITLINK__" hidden="1">{"fdsup://IBCentral/FAT Viewer?action=UPDATE&amp;creator=factset&amp;DOC_NAME=fat:reuters_annual_source_window.fat&amp;display_string=Audit&amp;DYN_ARGS=TRUE&amp;VAR:ID1=00807310&amp;VAR:RCODE=FDSREVSTOTAL&amp;VAR:SDATE=20090499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54__FDSAUDITLINK__" localSheetId="5" hidden="1">{"fdsup://IBCentral/FAT Viewer?action=UPDATE&amp;creator=factset&amp;DOC_NAME=fat:reuters_annual_source_window.fat&amp;display_string=Audit&amp;DYN_ARGS=TRUE&amp;VAR:ID1=00807310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54__FDSAUDITLINK__" localSheetId="0" hidden="1">{"fdsup://IBCentral/FAT Viewer?action=UPDATE&amp;creator=factset&amp;DOC_NAME=fat:reuters_annual_source_window.fat&amp;display_string=Audit&amp;DYN_ARGS=TRUE&amp;VAR:ID1=00807310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54__FDSAUDITLINK__" localSheetId="4" hidden="1">{"fdsup://IBCentral/FAT Viewer?action=UPDATE&amp;creator=factset&amp;DOC_NAME=fat:reuters_annual_source_window.fat&amp;display_string=Audit&amp;DYN_ARGS=TRUE&amp;VAR:ID1=00807310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54__FDSAUDITLINK__" hidden="1">{"fdsup://IBCentral/FAT Viewer?action=UPDATE&amp;creator=factset&amp;DOC_NAME=fat:reuters_annual_source_window.fat&amp;display_string=Audit&amp;DYN_ARGS=TRUE&amp;VAR:ID1=00807310&amp;VAR:RCODE=FIBCEBITDA&amp;VAR:SDATE=20090499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55__FDSAUDITLINK__" localSheetId="5" hidden="1">{"fdsup://IBCentral/FAT Viewer?action=UPDATE&amp;creator=factset&amp;DOC_NAME=fat:reuters_ltm_source_window.fat&amp;display_string=Audit&amp;DYN_ARGS=TRUE&amp;VAR:ID1=ATU&amp;VAR:RCODE=FDSREVSTOTAL&amp;VAR:SDATE=20090599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5__FDSAUDITLINK__" localSheetId="0" hidden="1">{"fdsup://IBCentral/FAT Viewer?action=UPDATE&amp;creator=factset&amp;DOC_NAME=fat:reuters_ltm_source_window.fat&amp;display_string=Audit&amp;DYN_ARGS=TRUE&amp;VAR:ID1=ATU&amp;VAR:RCODE=FDSREVSTOTAL&amp;VAR:SDATE=20090599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5__FDSAUDITLINK__" localSheetId="4" hidden="1">{"fdsup://IBCentral/FAT Viewer?action=UPDATE&amp;creator=factset&amp;DOC_NAME=fat:reuters_ltm_source_window.fat&amp;display_string=Audit&amp;DYN_ARGS=TRUE&amp;VAR:ID1=ATU&amp;VAR:RCODE=FDSREVSTOTAL&amp;VAR:SDATE=20090599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5__FDSAUDITLINK__" hidden="1">{"fdsup://IBCentral/FAT Viewer?action=UPDATE&amp;creator=factset&amp;DOC_NAME=fat:reuters_ltm_source_window.fat&amp;display_string=Audit&amp;DYN_ARGS=TRUE&amp;VAR:ID1=ATU&amp;VAR:RCODE=FDSREVSTOTAL&amp;VAR:SDATE=20090599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6__FDSAUDITLINK__" localSheetId="5" hidden="1">{"fdsup://IBCentral/FAT Viewer?action=UPDATE&amp;creator=factset&amp;DOC_NAME=fat:reuters_ltm_source_window.fat&amp;display_string=Audit&amp;DYN_ARGS=TRUE&amp;VAR:ID1=ATU&amp;VAR:RCODE=FIBCEBITDA&amp;VAR:SDATE=20090599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6__FDSAUDITLINK__" localSheetId="0" hidden="1">{"fdsup://IBCentral/FAT Viewer?action=UPDATE&amp;creator=factset&amp;DOC_NAME=fat:reuters_ltm_source_window.fat&amp;display_string=Audit&amp;DYN_ARGS=TRUE&amp;VAR:ID1=ATU&amp;VAR:RCODE=FIBCEBITDA&amp;VAR:SDATE=20090599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6__FDSAUDITLINK__" localSheetId="4" hidden="1">{"fdsup://IBCentral/FAT Viewer?action=UPDATE&amp;creator=factset&amp;DOC_NAME=fat:reuters_ltm_source_window.fat&amp;display_string=Audit&amp;DYN_ARGS=TRUE&amp;VAR:ID1=ATU&amp;VAR:RCODE=FIBCEBITDA&amp;VAR:SDATE=20090599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6__FDSAUDITLINK__" hidden="1">{"fdsup://IBCentral/FAT Viewer?action=UPDATE&amp;creator=factset&amp;DOC_NAME=fat:reuters_ltm_source_window.fat&amp;display_string=Audit&amp;DYN_ARGS=TRUE&amp;VAR:ID1=ATU&amp;VAR:RCODE=FIBCEBITDA&amp;VAR:SDATE=20090599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7__FDSAUDITLINK__" localSheetId="5" hidden="1">{"fdsup://IBCentral/FAT Viewer?action=UPDATE&amp;creator=factset&amp;DOC_NAME=fat:reuters_ltm_source_window.fat&amp;display_string=Audit&amp;DYN_ARGS=TRUE&amp;VAR:ID1=RBN&amp;VAR:RCODE=FDSREVSTOTAL&amp;VAR:SDATE=20090599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7__FDSAUDITLINK__" localSheetId="0" hidden="1">{"fdsup://IBCentral/FAT Viewer?action=UPDATE&amp;creator=factset&amp;DOC_NAME=fat:reuters_ltm_source_window.fat&amp;display_string=Audit&amp;DYN_ARGS=TRUE&amp;VAR:ID1=RBN&amp;VAR:RCODE=FDSREVSTOTAL&amp;VAR:SDATE=20090599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7__FDSAUDITLINK__" localSheetId="4" hidden="1">{"fdsup://IBCentral/FAT Viewer?action=UPDATE&amp;creator=factset&amp;DOC_NAME=fat:reuters_ltm_source_window.fat&amp;display_string=Audit&amp;DYN_ARGS=TRUE&amp;VAR:ID1=RBN&amp;VAR:RCODE=FDSREVSTOTAL&amp;VAR:SDATE=20090599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7__FDSAUDITLINK__" hidden="1">{"fdsup://IBCentral/FAT Viewer?action=UPDATE&amp;creator=factset&amp;DOC_NAME=fat:reuters_ltm_source_window.fat&amp;display_string=Audit&amp;DYN_ARGS=TRUE&amp;VAR:ID1=RBN&amp;VAR:RCODE=FDSREVSTOTAL&amp;VAR:SDATE=20090599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8__FDSAUDITLINK__" localSheetId="5" hidden="1">{"fdsup://IBCentral/FAT Viewer?action=UPDATE&amp;creator=factset&amp;DOC_NAME=fat:reuters_ltm_source_window.fat&amp;display_string=Audit&amp;DYN_ARGS=TRUE&amp;VAR:ID1=RBN&amp;VAR:RCODE=FIBCEBITDA&amp;VAR:SDATE=20090599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8__FDSAUDITLINK__" localSheetId="0" hidden="1">{"fdsup://IBCentral/FAT Viewer?action=UPDATE&amp;creator=factset&amp;DOC_NAME=fat:reuters_ltm_source_window.fat&amp;display_string=Audit&amp;DYN_ARGS=TRUE&amp;VAR:ID1=RBN&amp;VAR:RCODE=FIBCEBITDA&amp;VAR:SDATE=20090599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8__FDSAUDITLINK__" localSheetId="4" hidden="1">{"fdsup://IBCentral/FAT Viewer?action=UPDATE&amp;creator=factset&amp;DOC_NAME=fat:reuters_ltm_source_window.fat&amp;display_string=Audit&amp;DYN_ARGS=TRUE&amp;VAR:ID1=RBN&amp;VAR:RCODE=FIBCEBITDA&amp;VAR:SDATE=20090599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8__FDSAUDITLINK__" hidden="1">{"fdsup://IBCentral/FAT Viewer?action=UPDATE&amp;creator=factset&amp;DOC_NAME=fat:reuters_ltm_source_window.fat&amp;display_string=Audit&amp;DYN_ARGS=TRUE&amp;VAR:ID1=RBN&amp;VAR:RCODE=FIBCEBITDA&amp;VAR:SDATE=20090599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59__FDSAUDITLINK__" localSheetId="5" hidden="1">{"fdsup://IBCentral/FAT Viewer?action=UPDATE&amp;creator=factset&amp;DOC_NAME=fat:reuters_ltm_source_window.fat&amp;display_string=Audit&amp;DYN_ARGS=TRUE&amp;VAR:ID1=ESL&amp;VAR:RCODE=FDSREVSTOTAL&amp;VAR:SDATE=20090499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9__FDSAUDITLINK__" localSheetId="0" hidden="1">{"fdsup://IBCentral/FAT Viewer?action=UPDATE&amp;creator=factset&amp;DOC_NAME=fat:reuters_ltm_source_window.fat&amp;display_string=Audit&amp;DYN_ARGS=TRUE&amp;VAR:ID1=ESL&amp;VAR:RCODE=FDSREVSTOTAL&amp;VAR:SDATE=20090499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9__FDSAUDITLINK__" localSheetId="4" hidden="1">{"fdsup://IBCentral/FAT Viewer?action=UPDATE&amp;creator=factset&amp;DOC_NAME=fat:reuters_ltm_source_window.fat&amp;display_string=Audit&amp;DYN_ARGS=TRUE&amp;VAR:ID1=ESL&amp;VAR:RCODE=FDSREVSTOTAL&amp;VAR:SDATE=20090499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59__FDSAUDITLINK__" hidden="1">{"fdsup://IBCentral/FAT Viewer?action=UPDATE&amp;creator=factset&amp;DOC_NAME=fat:reuters_ltm_source_window.fat&amp;display_string=Audit&amp;DYN_ARGS=TRUE&amp;VAR:ID1=ESL&amp;VAR:RCODE=FDSREVSTOTAL&amp;VAR:SDATE=20090499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__FDSAUDITLINK__" localSheetId="5" hidden="1">{"fdsup://IBCentral/FAT Viewer?action=UPDATE&amp;creator=factset&amp;DOC_NAME=fat:reuters_ltm_source_window.fat&amp;display_string=Audit&amp;DYN_ARGS=TRUE&amp;VAR:ID1=R&amp;VAR:RCODE=FIBCEBITDA&amp;VAR:SDATE=20090399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46__FDSAUDITLINK__" localSheetId="0" hidden="1">{"fdsup://IBCentral/FAT Viewer?action=UPDATE&amp;creator=factset&amp;DOC_NAME=fat:reuters_ltm_source_window.fat&amp;display_string=Audit&amp;DYN_ARGS=TRUE&amp;VAR:ID1=R&amp;VAR:RCODE=FIBCEBITDA&amp;VAR:SDATE=20090399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46__FDSAUDITLINK__" localSheetId="4" hidden="1">{"fdsup://IBCentral/FAT Viewer?action=UPDATE&amp;creator=factset&amp;DOC_NAME=fat:reuters_ltm_source_window.fat&amp;display_string=Audit&amp;DYN_ARGS=TRUE&amp;VAR:ID1=R&amp;VAR:RCODE=FIBCEBITDA&amp;VAR:SDATE=20090399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46__FDSAUDITLINK__" hidden="1">{"fdsup://IBCentral/FAT Viewer?action=UPDATE&amp;creator=factset&amp;DOC_NAME=fat:reuters_ltm_source_window.fat&amp;display_string=Audit&amp;DYN_ARGS=TRUE&amp;VAR:ID1=R&amp;VAR:RCODE=FIBCEBITDA&amp;VAR:SDATE=20090399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460__FDSAUDITLINK__" localSheetId="5" hidden="1">{"fdsup://IBCentral/FAT Viewer?action=UPDATE&amp;creator=factset&amp;DOC_NAME=fat:reuters_ltm_source_window.fat&amp;display_string=Audit&amp;DYN_ARGS=TRUE&amp;VAR:ID1=ESL&amp;VAR:RCODE=FIBCEBITDA&amp;VAR:SDATE=20090499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0__FDSAUDITLINK__" localSheetId="0" hidden="1">{"fdsup://IBCentral/FAT Viewer?action=UPDATE&amp;creator=factset&amp;DOC_NAME=fat:reuters_ltm_source_window.fat&amp;display_string=Audit&amp;DYN_ARGS=TRUE&amp;VAR:ID1=ESL&amp;VAR:RCODE=FIBCEBITDA&amp;VAR:SDATE=20090499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0__FDSAUDITLINK__" localSheetId="4" hidden="1">{"fdsup://IBCentral/FAT Viewer?action=UPDATE&amp;creator=factset&amp;DOC_NAME=fat:reuters_ltm_source_window.fat&amp;display_string=Audit&amp;DYN_ARGS=TRUE&amp;VAR:ID1=ESL&amp;VAR:RCODE=FIBCEBITDA&amp;VAR:SDATE=20090499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0__FDSAUDITLINK__" hidden="1">{"fdsup://IBCentral/FAT Viewer?action=UPDATE&amp;creator=factset&amp;DOC_NAME=fat:reuters_ltm_source_window.fat&amp;display_string=Audit&amp;DYN_ARGS=TRUE&amp;VAR:ID1=ESL&amp;VAR:RCODE=FIBCEBITDA&amp;VAR:SDATE=20090499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1__FDSAUDITLINK__" localSheetId="5" hidden="1">{"fdsup://IBCentral/FAT Viewer?action=UPDATE&amp;creator=factset&amp;DOC_NAME=fat:reuters_ltm_source_window.fat&amp;display_string=Audit&amp;DYN_ARGS=TRUE&amp;VAR:ID1=AYI&amp;VAR:RCODE=FDSREVSTOTAL&amp;VAR:SDATE=20090599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1__FDSAUDITLINK__" localSheetId="0" hidden="1">{"fdsup://IBCentral/FAT Viewer?action=UPDATE&amp;creator=factset&amp;DOC_NAME=fat:reuters_ltm_source_window.fat&amp;display_string=Audit&amp;DYN_ARGS=TRUE&amp;VAR:ID1=AYI&amp;VAR:RCODE=FDSREVSTOTAL&amp;VAR:SDATE=20090599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1__FDSAUDITLINK__" localSheetId="4" hidden="1">{"fdsup://IBCentral/FAT Viewer?action=UPDATE&amp;creator=factset&amp;DOC_NAME=fat:reuters_ltm_source_window.fat&amp;display_string=Audit&amp;DYN_ARGS=TRUE&amp;VAR:ID1=AYI&amp;VAR:RCODE=FDSREVSTOTAL&amp;VAR:SDATE=20090599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1__FDSAUDITLINK__" hidden="1">{"fdsup://IBCentral/FAT Viewer?action=UPDATE&amp;creator=factset&amp;DOC_NAME=fat:reuters_ltm_source_window.fat&amp;display_string=Audit&amp;DYN_ARGS=TRUE&amp;VAR:ID1=AYI&amp;VAR:RCODE=FDSREVSTOTAL&amp;VAR:SDATE=20090599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2__FDSAUDITLINK__" localSheetId="5" hidden="1">{"fdsup://IBCentral/FAT Viewer?action=UPDATE&amp;creator=factset&amp;DOC_NAME=fat:reuters_ltm_source_window.fat&amp;display_string=Audit&amp;DYN_ARGS=TRUE&amp;VAR:ID1=AYI&amp;VAR:RCODE=FIBCEBITDA&amp;VAR:SDATE=20090599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2__FDSAUDITLINK__" localSheetId="0" hidden="1">{"fdsup://IBCentral/FAT Viewer?action=UPDATE&amp;creator=factset&amp;DOC_NAME=fat:reuters_ltm_source_window.fat&amp;display_string=Audit&amp;DYN_ARGS=TRUE&amp;VAR:ID1=AYI&amp;VAR:RCODE=FIBCEBITDA&amp;VAR:SDATE=20090599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2__FDSAUDITLINK__" localSheetId="4" hidden="1">{"fdsup://IBCentral/FAT Viewer?action=UPDATE&amp;creator=factset&amp;DOC_NAME=fat:reuters_ltm_source_window.fat&amp;display_string=Audit&amp;DYN_ARGS=TRUE&amp;VAR:ID1=AYI&amp;VAR:RCODE=FIBCEBITDA&amp;VAR:SDATE=20090599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2__FDSAUDITLINK__" hidden="1">{"fdsup://IBCentral/FAT Viewer?action=UPDATE&amp;creator=factset&amp;DOC_NAME=fat:reuters_ltm_source_window.fat&amp;display_string=Audit&amp;DYN_ARGS=TRUE&amp;VAR:ID1=AYI&amp;VAR:RCODE=FIBCEBITDA&amp;VAR:SDATE=20090599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3__FDSAUDITLINK__" localSheetId="5" hidden="1">{"fdsup://IBCentral/FAT Viewer?action=UPDATE&amp;creator=factset&amp;DOC_NAME=fat:reuters_ltm_source_window.fat&amp;display_string=Audit&amp;DYN_ARGS=TRUE&amp;VAR:ID1=CLC&amp;VAR:RCODE=FDSREVSTOTAL&amp;VAR:SDATE=20090599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3__FDSAUDITLINK__" localSheetId="0" hidden="1">{"fdsup://IBCentral/FAT Viewer?action=UPDATE&amp;creator=factset&amp;DOC_NAME=fat:reuters_ltm_source_window.fat&amp;display_string=Audit&amp;DYN_ARGS=TRUE&amp;VAR:ID1=CLC&amp;VAR:RCODE=FDSREVSTOTAL&amp;VAR:SDATE=20090599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3__FDSAUDITLINK__" localSheetId="4" hidden="1">{"fdsup://IBCentral/FAT Viewer?action=UPDATE&amp;creator=factset&amp;DOC_NAME=fat:reuters_ltm_source_window.fat&amp;display_string=Audit&amp;DYN_ARGS=TRUE&amp;VAR:ID1=CLC&amp;VAR:RCODE=FDSREVSTOTAL&amp;VAR:SDATE=20090599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3__FDSAUDITLINK__" hidden="1">{"fdsup://IBCentral/FAT Viewer?action=UPDATE&amp;creator=factset&amp;DOC_NAME=fat:reuters_ltm_source_window.fat&amp;display_string=Audit&amp;DYN_ARGS=TRUE&amp;VAR:ID1=CLC&amp;VAR:RCODE=FDSREVSTOTAL&amp;VAR:SDATE=20090599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4__FDSAUDITLINK__" localSheetId="5" hidden="1">{"fdsup://IBCentral/FAT Viewer?action=UPDATE&amp;creator=factset&amp;DOC_NAME=fat:reuters_ltm_source_window.fat&amp;display_string=Audit&amp;DYN_ARGS=TRUE&amp;VAR:ID1=CLC&amp;VAR:RCODE=FIBCEBITDA&amp;VAR:SDATE=20090599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4__FDSAUDITLINK__" localSheetId="0" hidden="1">{"fdsup://IBCentral/FAT Viewer?action=UPDATE&amp;creator=factset&amp;DOC_NAME=fat:reuters_ltm_source_window.fat&amp;display_string=Audit&amp;DYN_ARGS=TRUE&amp;VAR:ID1=CLC&amp;VAR:RCODE=FIBCEBITDA&amp;VAR:SDATE=20090599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4__FDSAUDITLINK__" localSheetId="4" hidden="1">{"fdsup://IBCentral/FAT Viewer?action=UPDATE&amp;creator=factset&amp;DOC_NAME=fat:reuters_ltm_source_window.fat&amp;display_string=Audit&amp;DYN_ARGS=TRUE&amp;VAR:ID1=CLC&amp;VAR:RCODE=FIBCEBITDA&amp;VAR:SDATE=20090599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4__FDSAUDITLINK__" hidden="1">{"fdsup://IBCentral/FAT Viewer?action=UPDATE&amp;creator=factset&amp;DOC_NAME=fat:reuters_ltm_source_window.fat&amp;display_string=Audit&amp;DYN_ARGS=TRUE&amp;VAR:ID1=CLC&amp;VAR:RCODE=FIBCEBITDA&amp;VAR:SDATE=20090599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5__FDSAUDITLINK__" localSheetId="5" hidden="1">{"fdsup://IBCentral/FAT Viewer?action=UPDATE&amp;creator=factset&amp;DOC_NAME=fat:reuters_ltm_source_window.fat&amp;display_string=Audit&amp;DYN_ARGS=TRUE&amp;VAR:ID1=MSM&amp;VAR:RCODE=FDSREVSTOTAL&amp;VAR:SDATE=20090599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5__FDSAUDITLINK__" localSheetId="0" hidden="1">{"fdsup://IBCentral/FAT Viewer?action=UPDATE&amp;creator=factset&amp;DOC_NAME=fat:reuters_ltm_source_window.fat&amp;display_string=Audit&amp;DYN_ARGS=TRUE&amp;VAR:ID1=MSM&amp;VAR:RCODE=FDSREVSTOTAL&amp;VAR:SDATE=20090599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5__FDSAUDITLINK__" localSheetId="4" hidden="1">{"fdsup://IBCentral/FAT Viewer?action=UPDATE&amp;creator=factset&amp;DOC_NAME=fat:reuters_ltm_source_window.fat&amp;display_string=Audit&amp;DYN_ARGS=TRUE&amp;VAR:ID1=MSM&amp;VAR:RCODE=FDSREVSTOTAL&amp;VAR:SDATE=20090599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5__FDSAUDITLINK__" hidden="1">{"fdsup://IBCentral/FAT Viewer?action=UPDATE&amp;creator=factset&amp;DOC_NAME=fat:reuters_ltm_source_window.fat&amp;display_string=Audit&amp;DYN_ARGS=TRUE&amp;VAR:ID1=MSM&amp;VAR:RCODE=FDSREVSTOTAL&amp;VAR:SDATE=20090599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6__FDSAUDITLINK__" localSheetId="5" hidden="1">{"fdsup://IBCentral/FAT Viewer?action=UPDATE&amp;creator=factset&amp;DOC_NAME=fat:reuters_ltm_source_window.fat&amp;display_string=Audit&amp;DYN_ARGS=TRUE&amp;VAR:ID1=MSM&amp;VAR:RCODE=FIBCEBITDA&amp;VAR:SDATE=20090599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6__FDSAUDITLINK__" localSheetId="0" hidden="1">{"fdsup://IBCentral/FAT Viewer?action=UPDATE&amp;creator=factset&amp;DOC_NAME=fat:reuters_ltm_source_window.fat&amp;display_string=Audit&amp;DYN_ARGS=TRUE&amp;VAR:ID1=MSM&amp;VAR:RCODE=FIBCEBITDA&amp;VAR:SDATE=20090599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6__FDSAUDITLINK__" localSheetId="4" hidden="1">{"fdsup://IBCentral/FAT Viewer?action=UPDATE&amp;creator=factset&amp;DOC_NAME=fat:reuters_ltm_source_window.fat&amp;display_string=Audit&amp;DYN_ARGS=TRUE&amp;VAR:ID1=MSM&amp;VAR:RCODE=FIBCEBITDA&amp;VAR:SDATE=20090599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6__FDSAUDITLINK__" hidden="1">{"fdsup://IBCentral/FAT Viewer?action=UPDATE&amp;creator=factset&amp;DOC_NAME=fat:reuters_ltm_source_window.fat&amp;display_string=Audit&amp;DYN_ARGS=TRUE&amp;VAR:ID1=MSM&amp;VAR:RCODE=FIBCEBITDA&amp;VAR:SDATE=20090599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7__FDSAUDITLINK__" localSheetId="5" hidden="1">{"fdsup://IBCentral/FAT Viewer?action=UPDATE&amp;creator=factset&amp;DOC_NAME=fat:reuters_ltm_source_window.fat&amp;display_string=Audit&amp;DYN_ARGS=TRUE&amp;VAR:ID1=PLL&amp;VAR:RCODE=FDSREVSTOTAL&amp;VAR:SDATE=20090499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7__FDSAUDITLINK__" localSheetId="0" hidden="1">{"fdsup://IBCentral/FAT Viewer?action=UPDATE&amp;creator=factset&amp;DOC_NAME=fat:reuters_ltm_source_window.fat&amp;display_string=Audit&amp;DYN_ARGS=TRUE&amp;VAR:ID1=PLL&amp;VAR:RCODE=FDSREVSTOTAL&amp;VAR:SDATE=20090499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7__FDSAUDITLINK__" localSheetId="4" hidden="1">{"fdsup://IBCentral/FAT Viewer?action=UPDATE&amp;creator=factset&amp;DOC_NAME=fat:reuters_ltm_source_window.fat&amp;display_string=Audit&amp;DYN_ARGS=TRUE&amp;VAR:ID1=PLL&amp;VAR:RCODE=FDSREVSTOTAL&amp;VAR:SDATE=20090499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7__FDSAUDITLINK__" hidden="1">{"fdsup://IBCentral/FAT Viewer?action=UPDATE&amp;creator=factset&amp;DOC_NAME=fat:reuters_ltm_source_window.fat&amp;display_string=Audit&amp;DYN_ARGS=TRUE&amp;VAR:ID1=PLL&amp;VAR:RCODE=FDSREVSTOTAL&amp;VAR:SDATE=20090499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68__FDSAUDITLINK__" localSheetId="5" hidden="1">{"fdsup://IBCentral/FAT Viewer?action=UPDATE&amp;creator=factset&amp;DOC_NAME=fat:reuters_ltm_source_window.fat&amp;display_string=Audit&amp;DYN_ARGS=TRUE&amp;VAR:ID1=PLL&amp;VAR:RCODE=FIBCEBITDA&amp;VAR:SDATE=20090499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8__FDSAUDITLINK__" localSheetId="0" hidden="1">{"fdsup://IBCentral/FAT Viewer?action=UPDATE&amp;creator=factset&amp;DOC_NAME=fat:reuters_ltm_source_window.fat&amp;display_string=Audit&amp;DYN_ARGS=TRUE&amp;VAR:ID1=PLL&amp;VAR:RCODE=FIBCEBITDA&amp;VAR:SDATE=20090499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8__FDSAUDITLINK__" localSheetId="4" hidden="1">{"fdsup://IBCentral/FAT Viewer?action=UPDATE&amp;creator=factset&amp;DOC_NAME=fat:reuters_ltm_source_window.fat&amp;display_string=Audit&amp;DYN_ARGS=TRUE&amp;VAR:ID1=PLL&amp;VAR:RCODE=FIBCEBITDA&amp;VAR:SDATE=20090499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8__FDSAUDITLINK__" hidden="1">{"fdsup://IBCentral/FAT Viewer?action=UPDATE&amp;creator=factset&amp;DOC_NAME=fat:reuters_ltm_source_window.fat&amp;display_string=Audit&amp;DYN_ARGS=TRUE&amp;VAR:ID1=PLL&amp;VAR:RCODE=FIBCEBITDA&amp;VAR:SDATE=20090499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69__FDSAUDITLINK__" localSheetId="5" hidden="1">{"fdsup://IBCentral/FAT Viewer?action=UPDATE&amp;creator=factset&amp;DOC_NAME=fat:reuters_ltm_source_window.fat&amp;display_string=Audit&amp;DYN_ARGS=TRUE&amp;VAR:ID1=JOYG&amp;VAR:RCODE=FDSREVSTOTAL&amp;VAR:SDATE=20090499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69__FDSAUDITLINK__" localSheetId="0" hidden="1">{"fdsup://IBCentral/FAT Viewer?action=UPDATE&amp;creator=factset&amp;DOC_NAME=fat:reuters_ltm_source_window.fat&amp;display_string=Audit&amp;DYN_ARGS=TRUE&amp;VAR:ID1=JOYG&amp;VAR:RCODE=FDSREVSTOTAL&amp;VAR:SDATE=20090499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69__FDSAUDITLINK__" localSheetId="4" hidden="1">{"fdsup://IBCentral/FAT Viewer?action=UPDATE&amp;creator=factset&amp;DOC_NAME=fat:reuters_ltm_source_window.fat&amp;display_string=Audit&amp;DYN_ARGS=TRUE&amp;VAR:ID1=JOYG&amp;VAR:RCODE=FDSREVSTOTAL&amp;VAR:SDATE=20090499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69__FDSAUDITLINK__" hidden="1">{"fdsup://IBCentral/FAT Viewer?action=UPDATE&amp;creator=factset&amp;DOC_NAME=fat:reuters_ltm_source_window.fat&amp;display_string=Audit&amp;DYN_ARGS=TRUE&amp;VAR:ID1=JOYG&amp;VAR:RCODE=FDSREVSTOTAL&amp;VAR:SDATE=20090499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__123Graph_AChart_1CA" localSheetId="0" hidden="1">#REF!</definedName>
    <definedName name="_47__123Graph_AChart_1CA" hidden="1">#REF!</definedName>
    <definedName name="_47__FDSAUDITLINK__" localSheetId="5" hidden="1">{"fdsup://IBCentral/FAT Viewer?action=UPDATE&amp;creator=factset&amp;DOC_NAME=fat:reuters_ltm_source_window.fat&amp;display_string=Audit&amp;DYN_ARGS=TRUE&amp;VAR:ID1=RRD&amp;VAR:RCODE=FIBCEBITDA&amp;VAR:SDATE=20090399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7__FDSAUDITLINK__" localSheetId="0" hidden="1">{"fdsup://IBCentral/FAT Viewer?action=UPDATE&amp;creator=factset&amp;DOC_NAME=fat:reuters_ltm_source_window.fat&amp;display_string=Audit&amp;DYN_ARGS=TRUE&amp;VAR:ID1=RRD&amp;VAR:RCODE=FIBCEBITDA&amp;VAR:SDATE=20090399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7__FDSAUDITLINK__" localSheetId="4" hidden="1">{"fdsup://IBCentral/FAT Viewer?action=UPDATE&amp;creator=factset&amp;DOC_NAME=fat:reuters_ltm_source_window.fat&amp;display_string=Audit&amp;DYN_ARGS=TRUE&amp;VAR:ID1=RRD&amp;VAR:RCODE=FIBCEBITDA&amp;VAR:SDATE=20090399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7__FDSAUDITLINK__" hidden="1">{"fdsup://IBCentral/FAT Viewer?action=UPDATE&amp;creator=factset&amp;DOC_NAME=fat:reuters_ltm_source_window.fat&amp;display_string=Audit&amp;DYN_ARGS=TRUE&amp;VAR:ID1=RRD&amp;VAR:RCODE=FIBCEBITDA&amp;VAR:SDATE=20090399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70__FDSAUDITLINK__" localSheetId="5" hidden="1">{"fdsup://IBCentral/FAT Viewer?action=UPDATE&amp;creator=factset&amp;DOC_NAME=fat:reuters_ltm_source_window.fat&amp;display_string=Audit&amp;DYN_ARGS=TRUE&amp;VAR:ID1=JOYG&amp;VAR:RCODE=FIBCEBITDA&amp;VAR:SDATE=20090499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0__FDSAUDITLINK__" localSheetId="0" hidden="1">{"fdsup://IBCentral/FAT Viewer?action=UPDATE&amp;creator=factset&amp;DOC_NAME=fat:reuters_ltm_source_window.fat&amp;display_string=Audit&amp;DYN_ARGS=TRUE&amp;VAR:ID1=JOYG&amp;VAR:RCODE=FIBCEBITDA&amp;VAR:SDATE=20090499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0__FDSAUDITLINK__" localSheetId="4" hidden="1">{"fdsup://IBCentral/FAT Viewer?action=UPDATE&amp;creator=factset&amp;DOC_NAME=fat:reuters_ltm_source_window.fat&amp;display_string=Audit&amp;DYN_ARGS=TRUE&amp;VAR:ID1=JOYG&amp;VAR:RCODE=FIBCEBITDA&amp;VAR:SDATE=20090499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0__FDSAUDITLINK__" hidden="1">{"fdsup://IBCentral/FAT Viewer?action=UPDATE&amp;creator=factset&amp;DOC_NAME=fat:reuters_ltm_source_window.fat&amp;display_string=Audit&amp;DYN_ARGS=TRUE&amp;VAR:ID1=JOYG&amp;VAR:RCODE=FIBCEBITDA&amp;VAR:SDATE=20090499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1__FDSAUDITLINK__" localSheetId="5" hidden="1">{"fdsup://IBCentral/FAT Viewer?action=UPDATE&amp;creator=factset&amp;DOC_NAME=fat:reuters_ltm_source_window.fat&amp;display_string=Audit&amp;DYN_ARGS=TRUE&amp;VAR:ID1=CPRT&amp;VAR:RCODE=FDSREVSTOTAL&amp;VAR:SDATE=20090499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1__FDSAUDITLINK__" localSheetId="0" hidden="1">{"fdsup://IBCentral/FAT Viewer?action=UPDATE&amp;creator=factset&amp;DOC_NAME=fat:reuters_ltm_source_window.fat&amp;display_string=Audit&amp;DYN_ARGS=TRUE&amp;VAR:ID1=CPRT&amp;VAR:RCODE=FDSREVSTOTAL&amp;VAR:SDATE=20090499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1__FDSAUDITLINK__" localSheetId="4" hidden="1">{"fdsup://IBCentral/FAT Viewer?action=UPDATE&amp;creator=factset&amp;DOC_NAME=fat:reuters_ltm_source_window.fat&amp;display_string=Audit&amp;DYN_ARGS=TRUE&amp;VAR:ID1=CPRT&amp;VAR:RCODE=FDSREVSTOTAL&amp;VAR:SDATE=20090499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1__FDSAUDITLINK__" hidden="1">{"fdsup://IBCentral/FAT Viewer?action=UPDATE&amp;creator=factset&amp;DOC_NAME=fat:reuters_ltm_source_window.fat&amp;display_string=Audit&amp;DYN_ARGS=TRUE&amp;VAR:ID1=CPRT&amp;VAR:RCODE=FDSREVSTOTAL&amp;VAR:SDATE=20090499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2__FDSAUDITLINK__" localSheetId="5" hidden="1">{"fdsup://IBCentral/FAT Viewer?action=UPDATE&amp;creator=factset&amp;DOC_NAME=fat:reuters_ltm_source_window.fat&amp;display_string=Audit&amp;DYN_ARGS=TRUE&amp;VAR:ID1=CPRT&amp;VAR:RCODE=FIBCEBITDA&amp;VAR:SDATE=20090499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2__FDSAUDITLINK__" localSheetId="0" hidden="1">{"fdsup://IBCentral/FAT Viewer?action=UPDATE&amp;creator=factset&amp;DOC_NAME=fat:reuters_ltm_source_window.fat&amp;display_string=Audit&amp;DYN_ARGS=TRUE&amp;VAR:ID1=CPRT&amp;VAR:RCODE=FIBCEBITDA&amp;VAR:SDATE=20090499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2__FDSAUDITLINK__" localSheetId="4" hidden="1">{"fdsup://IBCentral/FAT Viewer?action=UPDATE&amp;creator=factset&amp;DOC_NAME=fat:reuters_ltm_source_window.fat&amp;display_string=Audit&amp;DYN_ARGS=TRUE&amp;VAR:ID1=CPRT&amp;VAR:RCODE=FIBCEBITDA&amp;VAR:SDATE=20090499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2__FDSAUDITLINK__" hidden="1">{"fdsup://IBCentral/FAT Viewer?action=UPDATE&amp;creator=factset&amp;DOC_NAME=fat:reuters_ltm_source_window.fat&amp;display_string=Audit&amp;DYN_ARGS=TRUE&amp;VAR:ID1=CPRT&amp;VAR:RCODE=FIBCEBITDA&amp;VAR:SDATE=20090499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3__FDSAUDITLINK__" localSheetId="5" hidden="1">{"fdsup://IBCentral/FAT Viewer?action=UPDATE&amp;creator=factset&amp;DOC_NAME=fat:reuters_annual_source_window.fat&amp;display_string=Audit&amp;DYN_ARGS=TRUE&amp;VAR:ID1=31428X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73__FDSAUDITLINK__" localSheetId="0" hidden="1">{"fdsup://IBCentral/FAT Viewer?action=UPDATE&amp;creator=factset&amp;DOC_NAME=fat:reuters_annual_source_window.fat&amp;display_string=Audit&amp;DYN_ARGS=TRUE&amp;VAR:ID1=31428X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73__FDSAUDITLINK__" localSheetId="4" hidden="1">{"fdsup://IBCentral/FAT Viewer?action=UPDATE&amp;creator=factset&amp;DOC_NAME=fat:reuters_annual_source_window.fat&amp;display_string=Audit&amp;DYN_ARGS=TRUE&amp;VAR:ID1=31428X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73__FDSAUDITLINK__" hidden="1">{"fdsup://IBCentral/FAT Viewer?action=UPDATE&amp;creator=factset&amp;DOC_NAME=fat:reuters_annual_source_window.fat&amp;display_string=Audit&amp;DYN_ARGS=TRUE&amp;VAR:ID1=31428X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474__FDSAUDITLINK__" localSheetId="5" hidden="1">{"fdsup://IBCentral/FAT Viewer?action=UPDATE&amp;creator=factset&amp;DOC_NAME=fat:reuters_annual_source_window.fat&amp;display_string=Audit&amp;DYN_ARGS=TRUE&amp;VAR:ID1=31428X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74__FDSAUDITLINK__" localSheetId="0" hidden="1">{"fdsup://IBCentral/FAT Viewer?action=UPDATE&amp;creator=factset&amp;DOC_NAME=fat:reuters_annual_source_window.fat&amp;display_string=Audit&amp;DYN_ARGS=TRUE&amp;VAR:ID1=31428X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74__FDSAUDITLINK__" localSheetId="4" hidden="1">{"fdsup://IBCentral/FAT Viewer?action=UPDATE&amp;creator=factset&amp;DOC_NAME=fat:reuters_annual_source_window.fat&amp;display_string=Audit&amp;DYN_ARGS=TRUE&amp;VAR:ID1=31428X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74__FDSAUDITLINK__" hidden="1">{"fdsup://IBCentral/FAT Viewer?action=UPDATE&amp;creator=factset&amp;DOC_NAME=fat:reuters_annual_source_window.fat&amp;display_string=Audit&amp;DYN_ARGS=TRUE&amp;VAR:ID1=31428X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475__FDSAUDITLINK__" localSheetId="5" hidden="1">{"fdsup://IBCentral/FAT Viewer?action=UPDATE&amp;creator=factset&amp;DOC_NAME=fat:reuters_ltm_source_window.fat&amp;display_string=Audit&amp;DYN_ARGS=TRUE&amp;VAR:ID1=WNC&amp;VAR:RCODE=FDSREVSTOTAL&amp;VAR:SDATE=20090699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75__FDSAUDITLINK__" localSheetId="0" hidden="1">{"fdsup://IBCentral/FAT Viewer?action=UPDATE&amp;creator=factset&amp;DOC_NAME=fat:reuters_ltm_source_window.fat&amp;display_string=Audit&amp;DYN_ARGS=TRUE&amp;VAR:ID1=WNC&amp;VAR:RCODE=FDSREVSTOTAL&amp;VAR:SDATE=20090699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75__FDSAUDITLINK__" localSheetId="4" hidden="1">{"fdsup://IBCentral/FAT Viewer?action=UPDATE&amp;creator=factset&amp;DOC_NAME=fat:reuters_ltm_source_window.fat&amp;display_string=Audit&amp;DYN_ARGS=TRUE&amp;VAR:ID1=WNC&amp;VAR:RCODE=FDSREVSTOTAL&amp;VAR:SDATE=20090699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75__FDSAUDITLINK__" hidden="1">{"fdsup://IBCentral/FAT Viewer?action=UPDATE&amp;creator=factset&amp;DOC_NAME=fat:reuters_ltm_source_window.fat&amp;display_string=Audit&amp;DYN_ARGS=TRUE&amp;VAR:ID1=WNC&amp;VAR:RCODE=FDSREVSTOTAL&amp;VAR:SDATE=20090699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76__FDSAUDITLINK__" localSheetId="5" hidden="1">{"fdsup://IBCentral/FAT Viewer?action=UPDATE&amp;creator=factset&amp;DOC_NAME=fat:reuters_ltm_source_window.fat&amp;display_string=Audit&amp;DYN_ARGS=TRUE&amp;VAR:ID1=WNC&amp;VAR:RCODE=FIBCEBITDA&amp;VAR:SDATE=20090699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76__FDSAUDITLINK__" localSheetId="0" hidden="1">{"fdsup://IBCentral/FAT Viewer?action=UPDATE&amp;creator=factset&amp;DOC_NAME=fat:reuters_ltm_source_window.fat&amp;display_string=Audit&amp;DYN_ARGS=TRUE&amp;VAR:ID1=WNC&amp;VAR:RCODE=FIBCEBITDA&amp;VAR:SDATE=20090699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76__FDSAUDITLINK__" localSheetId="4" hidden="1">{"fdsup://IBCentral/FAT Viewer?action=UPDATE&amp;creator=factset&amp;DOC_NAME=fat:reuters_ltm_source_window.fat&amp;display_string=Audit&amp;DYN_ARGS=TRUE&amp;VAR:ID1=WNC&amp;VAR:RCODE=FIBCEBITDA&amp;VAR:SDATE=20090699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76__FDSAUDITLINK__" hidden="1">{"fdsup://IBCentral/FAT Viewer?action=UPDATE&amp;creator=factset&amp;DOC_NAME=fat:reuters_ltm_source_window.fat&amp;display_string=Audit&amp;DYN_ARGS=TRUE&amp;VAR:ID1=WNC&amp;VAR:RCODE=FIBCEBITDA&amp;VAR:SDATE=20090699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77__FDSAUDITLINK__" localSheetId="5" hidden="1">{"fdsup://IBCentral/FAT Viewer?action=UPDATE&amp;creator=factset&amp;DOC_NAME=fat:reuters_ltm_source_window.fat&amp;display_string=Audit&amp;DYN_ARGS=TRUE&amp;VAR:ID1=ASGN&amp;VAR:RCODE=FDSREVSTOTAL&amp;VAR:SDATE=20090699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7__FDSAUDITLINK__" localSheetId="0" hidden="1">{"fdsup://IBCentral/FAT Viewer?action=UPDATE&amp;creator=factset&amp;DOC_NAME=fat:reuters_ltm_source_window.fat&amp;display_string=Audit&amp;DYN_ARGS=TRUE&amp;VAR:ID1=ASGN&amp;VAR:RCODE=FDSREVSTOTAL&amp;VAR:SDATE=20090699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7__FDSAUDITLINK__" localSheetId="4" hidden="1">{"fdsup://IBCentral/FAT Viewer?action=UPDATE&amp;creator=factset&amp;DOC_NAME=fat:reuters_ltm_source_window.fat&amp;display_string=Audit&amp;DYN_ARGS=TRUE&amp;VAR:ID1=ASGN&amp;VAR:RCODE=FDSREVSTOTAL&amp;VAR:SDATE=20090699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7__FDSAUDITLINK__" hidden="1">{"fdsup://IBCentral/FAT Viewer?action=UPDATE&amp;creator=factset&amp;DOC_NAME=fat:reuters_ltm_source_window.fat&amp;display_string=Audit&amp;DYN_ARGS=TRUE&amp;VAR:ID1=ASGN&amp;VAR:RCODE=FDSREVSTOTAL&amp;VAR:SDATE=20090699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8__FDSAUDITLINK__" localSheetId="5" hidden="1">{"fdsup://IBCentral/FAT Viewer?action=UPDATE&amp;creator=factset&amp;DOC_NAME=fat:reuters_ltm_source_window.fat&amp;display_string=Audit&amp;DYN_ARGS=TRUE&amp;VAR:ID1=ASGN&amp;VAR:RCODE=FIBCEBITDA&amp;VAR:SDATE=20090699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8__FDSAUDITLINK__" localSheetId="0" hidden="1">{"fdsup://IBCentral/FAT Viewer?action=UPDATE&amp;creator=factset&amp;DOC_NAME=fat:reuters_ltm_source_window.fat&amp;display_string=Audit&amp;DYN_ARGS=TRUE&amp;VAR:ID1=ASGN&amp;VAR:RCODE=FIBCEBITDA&amp;VAR:SDATE=20090699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8__FDSAUDITLINK__" localSheetId="4" hidden="1">{"fdsup://IBCentral/FAT Viewer?action=UPDATE&amp;creator=factset&amp;DOC_NAME=fat:reuters_ltm_source_window.fat&amp;display_string=Audit&amp;DYN_ARGS=TRUE&amp;VAR:ID1=ASGN&amp;VAR:RCODE=FIBCEBITDA&amp;VAR:SDATE=20090699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8__FDSAUDITLINK__" hidden="1">{"fdsup://IBCentral/FAT Viewer?action=UPDATE&amp;creator=factset&amp;DOC_NAME=fat:reuters_ltm_source_window.fat&amp;display_string=Audit&amp;DYN_ARGS=TRUE&amp;VAR:ID1=ASGN&amp;VAR:RCODE=FIBCEBITDA&amp;VAR:SDATE=20090699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79__FDSAUDITLINK__" localSheetId="5" hidden="1">{"fdsup://IBCentral/FAT Viewer?action=UPDATE&amp;creator=factset&amp;DOC_NAME=fat:reuters_ltm_source_window.fat&amp;display_string=Audit&amp;DYN_ARGS=TRUE&amp;VAR:ID1=ROCK&amp;VAR:RCODE=FDSREVSTOTAL&amp;VAR:SDATE=20090699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9__FDSAUDITLINK__" localSheetId="0" hidden="1">{"fdsup://IBCentral/FAT Viewer?action=UPDATE&amp;creator=factset&amp;DOC_NAME=fat:reuters_ltm_source_window.fat&amp;display_string=Audit&amp;DYN_ARGS=TRUE&amp;VAR:ID1=ROCK&amp;VAR:RCODE=FDSREVSTOTAL&amp;VAR:SDATE=20090699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9__FDSAUDITLINK__" localSheetId="4" hidden="1">{"fdsup://IBCentral/FAT Viewer?action=UPDATE&amp;creator=factset&amp;DOC_NAME=fat:reuters_ltm_source_window.fat&amp;display_string=Audit&amp;DYN_ARGS=TRUE&amp;VAR:ID1=ROCK&amp;VAR:RCODE=FDSREVSTOTAL&amp;VAR:SDATE=20090699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79__FDSAUDITLINK__" hidden="1">{"fdsup://IBCentral/FAT Viewer?action=UPDATE&amp;creator=factset&amp;DOC_NAME=fat:reuters_ltm_source_window.fat&amp;display_string=Audit&amp;DYN_ARGS=TRUE&amp;VAR:ID1=ROCK&amp;VAR:RCODE=FDSREVSTOTAL&amp;VAR:SDATE=20090699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8__FDSAUDITLINK__" localSheetId="5" hidden="1">{"fdsup://IBCentral/FAT Viewer?action=UPDATE&amp;creator=factset&amp;DOC_NAME=fat:reuters_ltm_source_window.fat&amp;display_string=Audit&amp;DYN_ARGS=TRUE&amp;VAR:ID1=TXT&amp;VAR:RCODE=FIBCEBITDA&amp;VAR:SDATE=20090399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__FDSAUDITLINK__" localSheetId="0" hidden="1">{"fdsup://IBCentral/FAT Viewer?action=UPDATE&amp;creator=factset&amp;DOC_NAME=fat:reuters_ltm_source_window.fat&amp;display_string=Audit&amp;DYN_ARGS=TRUE&amp;VAR:ID1=TXT&amp;VAR:RCODE=FIBCEBITDA&amp;VAR:SDATE=20090399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__FDSAUDITLINK__" localSheetId="4" hidden="1">{"fdsup://IBCentral/FAT Viewer?action=UPDATE&amp;creator=factset&amp;DOC_NAME=fat:reuters_ltm_source_window.fat&amp;display_string=Audit&amp;DYN_ARGS=TRUE&amp;VAR:ID1=TXT&amp;VAR:RCODE=FIBCEBITDA&amp;VAR:SDATE=20090399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__FDSAUDITLINK__" hidden="1">{"fdsup://IBCentral/FAT Viewer?action=UPDATE&amp;creator=factset&amp;DOC_NAME=fat:reuters_ltm_source_window.fat&amp;display_string=Audit&amp;DYN_ARGS=TRUE&amp;VAR:ID1=TXT&amp;VAR:RCODE=FIBCEBITDA&amp;VAR:SDATE=20090399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0__FDSAUDITLINK__" localSheetId="5" hidden="1">{"fdsup://IBCentral/FAT Viewer?action=UPDATE&amp;creator=factset&amp;DOC_NAME=fat:reuters_ltm_source_window.fat&amp;display_string=Audit&amp;DYN_ARGS=TRUE&amp;VAR:ID1=ROCK&amp;VAR:RCODE=FIBCEBITDA&amp;VAR:SDATE=20090699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80__FDSAUDITLINK__" localSheetId="0" hidden="1">{"fdsup://IBCentral/FAT Viewer?action=UPDATE&amp;creator=factset&amp;DOC_NAME=fat:reuters_ltm_source_window.fat&amp;display_string=Audit&amp;DYN_ARGS=TRUE&amp;VAR:ID1=ROCK&amp;VAR:RCODE=FIBCEBITDA&amp;VAR:SDATE=20090699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80__FDSAUDITLINK__" localSheetId="4" hidden="1">{"fdsup://IBCentral/FAT Viewer?action=UPDATE&amp;creator=factset&amp;DOC_NAME=fat:reuters_ltm_source_window.fat&amp;display_string=Audit&amp;DYN_ARGS=TRUE&amp;VAR:ID1=ROCK&amp;VAR:RCODE=FIBCEBITDA&amp;VAR:SDATE=20090699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80__FDSAUDITLINK__" hidden="1">{"fdsup://IBCentral/FAT Viewer?action=UPDATE&amp;creator=factset&amp;DOC_NAME=fat:reuters_ltm_source_window.fat&amp;display_string=Audit&amp;DYN_ARGS=TRUE&amp;VAR:ID1=ROCK&amp;VAR:RCODE=FIBCEBITDA&amp;VAR:SDATE=20090699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81__FDSAUDITLINK__" localSheetId="5" hidden="1">{"fdsup://IBCentral/FAT Viewer?action=UPDATE&amp;creator=factset&amp;DOC_NAME=fat:reuters_ltm_source_window.fat&amp;display_string=Audit&amp;DYN_ARGS=TRUE&amp;VAR:ID1=SFN&amp;VAR:RCODE=FDSREVSTOTAL&amp;VAR:SDATE=20090699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1__FDSAUDITLINK__" localSheetId="0" hidden="1">{"fdsup://IBCentral/FAT Viewer?action=UPDATE&amp;creator=factset&amp;DOC_NAME=fat:reuters_ltm_source_window.fat&amp;display_string=Audit&amp;DYN_ARGS=TRUE&amp;VAR:ID1=SFN&amp;VAR:RCODE=FDSREVSTOTAL&amp;VAR:SDATE=20090699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1__FDSAUDITLINK__" localSheetId="4" hidden="1">{"fdsup://IBCentral/FAT Viewer?action=UPDATE&amp;creator=factset&amp;DOC_NAME=fat:reuters_ltm_source_window.fat&amp;display_string=Audit&amp;DYN_ARGS=TRUE&amp;VAR:ID1=SFN&amp;VAR:RCODE=FDSREVSTOTAL&amp;VAR:SDATE=20090699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1__FDSAUDITLINK__" hidden="1">{"fdsup://IBCentral/FAT Viewer?action=UPDATE&amp;creator=factset&amp;DOC_NAME=fat:reuters_ltm_source_window.fat&amp;display_string=Audit&amp;DYN_ARGS=TRUE&amp;VAR:ID1=SFN&amp;VAR:RCODE=FDSREVSTOTAL&amp;VAR:SDATE=20090699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2__FDSAUDITLINK__" localSheetId="5" hidden="1">{"fdsup://IBCentral/FAT Viewer?action=UPDATE&amp;creator=factset&amp;DOC_NAME=fat:reuters_ltm_source_window.fat&amp;display_string=Audit&amp;DYN_ARGS=TRUE&amp;VAR:ID1=SFN&amp;VAR:RCODE=FIBCEBITDA&amp;VAR:SDATE=20090699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2__FDSAUDITLINK__" localSheetId="0" hidden="1">{"fdsup://IBCentral/FAT Viewer?action=UPDATE&amp;creator=factset&amp;DOC_NAME=fat:reuters_ltm_source_window.fat&amp;display_string=Audit&amp;DYN_ARGS=TRUE&amp;VAR:ID1=SFN&amp;VAR:RCODE=FIBCEBITDA&amp;VAR:SDATE=20090699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2__FDSAUDITLINK__" localSheetId="4" hidden="1">{"fdsup://IBCentral/FAT Viewer?action=UPDATE&amp;creator=factset&amp;DOC_NAME=fat:reuters_ltm_source_window.fat&amp;display_string=Audit&amp;DYN_ARGS=TRUE&amp;VAR:ID1=SFN&amp;VAR:RCODE=FIBCEBITDA&amp;VAR:SDATE=20090699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2__FDSAUDITLINK__" hidden="1">{"fdsup://IBCentral/FAT Viewer?action=UPDATE&amp;creator=factset&amp;DOC_NAME=fat:reuters_ltm_source_window.fat&amp;display_string=Audit&amp;DYN_ARGS=TRUE&amp;VAR:ID1=SFN&amp;VAR:RCODE=FIBCEBITDA&amp;VAR:SDATE=20090699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3__FDSAUDITLINK__" localSheetId="5" hidden="1">{"fdsup://IBCentral/FAT Viewer?action=UPDATE&amp;creator=factset&amp;DOC_NAME=fat:reuters_ltm_source_window.fat&amp;display_string=Audit&amp;DYN_ARGS=TRUE&amp;VAR:ID1=SR&amp;VAR:RCODE=FDSREVSTOTAL&amp;VAR:SDATE=20090699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83__FDSAUDITLINK__" localSheetId="0" hidden="1">{"fdsup://IBCentral/FAT Viewer?action=UPDATE&amp;creator=factset&amp;DOC_NAME=fat:reuters_ltm_source_window.fat&amp;display_string=Audit&amp;DYN_ARGS=TRUE&amp;VAR:ID1=SR&amp;VAR:RCODE=FDSREVSTOTAL&amp;VAR:SDATE=20090699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83__FDSAUDITLINK__" localSheetId="4" hidden="1">{"fdsup://IBCentral/FAT Viewer?action=UPDATE&amp;creator=factset&amp;DOC_NAME=fat:reuters_ltm_source_window.fat&amp;display_string=Audit&amp;DYN_ARGS=TRUE&amp;VAR:ID1=SR&amp;VAR:RCODE=FDSREVSTOTAL&amp;VAR:SDATE=20090699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83__FDSAUDITLINK__" hidden="1">{"fdsup://IBCentral/FAT Viewer?action=UPDATE&amp;creator=factset&amp;DOC_NAME=fat:reuters_ltm_source_window.fat&amp;display_string=Audit&amp;DYN_ARGS=TRUE&amp;VAR:ID1=SR&amp;VAR:RCODE=FDSREVSTOTAL&amp;VAR:SDATE=20090699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84__FDSAUDITLINK__" localSheetId="5" hidden="1">{"fdsup://IBCentral/FAT Viewer?action=UPDATE&amp;creator=factset&amp;DOC_NAME=fat:reuters_ltm_source_window.fat&amp;display_string=Audit&amp;DYN_ARGS=TRUE&amp;VAR:ID1=SR&amp;VAR:RCODE=FIBCEBITDA&amp;VAR:SDATE=20090699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484__FDSAUDITLINK__" localSheetId="0" hidden="1">{"fdsup://IBCentral/FAT Viewer?action=UPDATE&amp;creator=factset&amp;DOC_NAME=fat:reuters_ltm_source_window.fat&amp;display_string=Audit&amp;DYN_ARGS=TRUE&amp;VAR:ID1=SR&amp;VAR:RCODE=FIBCEBITDA&amp;VAR:SDATE=20090699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484__FDSAUDITLINK__" localSheetId="4" hidden="1">{"fdsup://IBCentral/FAT Viewer?action=UPDATE&amp;creator=factset&amp;DOC_NAME=fat:reuters_ltm_source_window.fat&amp;display_string=Audit&amp;DYN_ARGS=TRUE&amp;VAR:ID1=SR&amp;VAR:RCODE=FIBCEBITDA&amp;VAR:SDATE=20090699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484__FDSAUDITLINK__" hidden="1">{"fdsup://IBCentral/FAT Viewer?action=UPDATE&amp;creator=factset&amp;DOC_NAME=fat:reuters_ltm_source_window.fat&amp;display_string=Audit&amp;DYN_ARGS=TRUE&amp;VAR:ID1=SR&amp;VAR:RCODE=FIBCEBITDA&amp;VAR:SDATE=20090699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485__FDSAUDITLINK__" localSheetId="5" hidden="1">{"fdsup://IBCentral/FAT Viewer?action=UPDATE&amp;creator=factset&amp;DOC_NAME=fat:reuters_ltm_source_window.fat&amp;display_string=Audit&amp;DYN_ARGS=TRUE&amp;VAR:ID1=IFSIA&amp;VAR:RCODE=FDSREVSTOTAL&amp;VAR:SDATE=20090699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485__FDSAUDITLINK__" localSheetId="0" hidden="1">{"fdsup://IBCentral/FAT Viewer?action=UPDATE&amp;creator=factset&amp;DOC_NAME=fat:reuters_ltm_source_window.fat&amp;display_string=Audit&amp;DYN_ARGS=TRUE&amp;VAR:ID1=IFSIA&amp;VAR:RCODE=FDSREVSTOTAL&amp;VAR:SDATE=20090699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485__FDSAUDITLINK__" localSheetId="4" hidden="1">{"fdsup://IBCentral/FAT Viewer?action=UPDATE&amp;creator=factset&amp;DOC_NAME=fat:reuters_ltm_source_window.fat&amp;display_string=Audit&amp;DYN_ARGS=TRUE&amp;VAR:ID1=IFSIA&amp;VAR:RCODE=FDSREVSTOTAL&amp;VAR:SDATE=20090699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485__FDSAUDITLINK__" hidden="1">{"fdsup://IBCentral/FAT Viewer?action=UPDATE&amp;creator=factset&amp;DOC_NAME=fat:reuters_ltm_source_window.fat&amp;display_string=Audit&amp;DYN_ARGS=TRUE&amp;VAR:ID1=IFSIA&amp;VAR:RCODE=FDSREVSTOTAL&amp;VAR:SDATE=20090699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486__FDSAUDITLINK__" localSheetId="5" hidden="1">{"fdsup://IBCentral/FAT Viewer?action=UPDATE&amp;creator=factset&amp;DOC_NAME=fat:reuters_ltm_source_window.fat&amp;display_string=Audit&amp;DYN_ARGS=TRUE&amp;VAR:ID1=IFSIA&amp;VAR:RCODE=FIBCEBITDA&amp;VAR:SDATE=20090699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6__FDSAUDITLINK__" localSheetId="0" hidden="1">{"fdsup://IBCentral/FAT Viewer?action=UPDATE&amp;creator=factset&amp;DOC_NAME=fat:reuters_ltm_source_window.fat&amp;display_string=Audit&amp;DYN_ARGS=TRUE&amp;VAR:ID1=IFSIA&amp;VAR:RCODE=FIBCEBITDA&amp;VAR:SDATE=20090699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6__FDSAUDITLINK__" localSheetId="4" hidden="1">{"fdsup://IBCentral/FAT Viewer?action=UPDATE&amp;creator=factset&amp;DOC_NAME=fat:reuters_ltm_source_window.fat&amp;display_string=Audit&amp;DYN_ARGS=TRUE&amp;VAR:ID1=IFSIA&amp;VAR:RCODE=FIBCEBITDA&amp;VAR:SDATE=20090699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6__FDSAUDITLINK__" hidden="1">{"fdsup://IBCentral/FAT Viewer?action=UPDATE&amp;creator=factset&amp;DOC_NAME=fat:reuters_ltm_source_window.fat&amp;display_string=Audit&amp;DYN_ARGS=TRUE&amp;VAR:ID1=IFSIA&amp;VAR:RCODE=FIBCEBITDA&amp;VAR:SDATE=20090699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7__FDSAUDITLINK__" localSheetId="5" hidden="1">{"fdsup://IBCentral/FAT Viewer?action=UPDATE&amp;creator=factset&amp;DOC_NAME=fat:reuters_ltm_source_window.fat&amp;display_string=Audit&amp;DYN_ARGS=TRUE&amp;VAR:ID1=CDI&amp;VAR:RCODE=FDSREVSTOTAL&amp;VAR:SDATE=20090699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7__FDSAUDITLINK__" localSheetId="0" hidden="1">{"fdsup://IBCentral/FAT Viewer?action=UPDATE&amp;creator=factset&amp;DOC_NAME=fat:reuters_ltm_source_window.fat&amp;display_string=Audit&amp;DYN_ARGS=TRUE&amp;VAR:ID1=CDI&amp;VAR:RCODE=FDSREVSTOTAL&amp;VAR:SDATE=20090699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7__FDSAUDITLINK__" localSheetId="4" hidden="1">{"fdsup://IBCentral/FAT Viewer?action=UPDATE&amp;creator=factset&amp;DOC_NAME=fat:reuters_ltm_source_window.fat&amp;display_string=Audit&amp;DYN_ARGS=TRUE&amp;VAR:ID1=CDI&amp;VAR:RCODE=FDSREVSTOTAL&amp;VAR:SDATE=20090699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7__FDSAUDITLINK__" hidden="1">{"fdsup://IBCentral/FAT Viewer?action=UPDATE&amp;creator=factset&amp;DOC_NAME=fat:reuters_ltm_source_window.fat&amp;display_string=Audit&amp;DYN_ARGS=TRUE&amp;VAR:ID1=CDI&amp;VAR:RCODE=FDSREVSTOTAL&amp;VAR:SDATE=20090699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88__FDSAUDITLINK__" localSheetId="5" hidden="1">{"fdsup://IBCentral/FAT Viewer?action=UPDATE&amp;creator=factset&amp;DOC_NAME=fat:reuters_ltm_source_window.fat&amp;display_string=Audit&amp;DYN_ARGS=TRUE&amp;VAR:ID1=CDI&amp;VAR:RCODE=FIBCEBITDA&amp;VAR:SDATE=20090699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8__FDSAUDITLINK__" localSheetId="0" hidden="1">{"fdsup://IBCentral/FAT Viewer?action=UPDATE&amp;creator=factset&amp;DOC_NAME=fat:reuters_ltm_source_window.fat&amp;display_string=Audit&amp;DYN_ARGS=TRUE&amp;VAR:ID1=CDI&amp;VAR:RCODE=FIBCEBITDA&amp;VAR:SDATE=20090699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8__FDSAUDITLINK__" localSheetId="4" hidden="1">{"fdsup://IBCentral/FAT Viewer?action=UPDATE&amp;creator=factset&amp;DOC_NAME=fat:reuters_ltm_source_window.fat&amp;display_string=Audit&amp;DYN_ARGS=TRUE&amp;VAR:ID1=CDI&amp;VAR:RCODE=FIBCEBITDA&amp;VAR:SDATE=20090699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8__FDSAUDITLINK__" hidden="1">{"fdsup://IBCentral/FAT Viewer?action=UPDATE&amp;creator=factset&amp;DOC_NAME=fat:reuters_ltm_source_window.fat&amp;display_string=Audit&amp;DYN_ARGS=TRUE&amp;VAR:ID1=CDI&amp;VAR:RCODE=FIBCEBITDA&amp;VAR:SDATE=20090699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89__FDSAUDITLINK__" localSheetId="5" hidden="1">{"fdsup://IBCentral/FAT Viewer?action=UPDATE&amp;creator=factset&amp;DOC_NAME=fat:reuters_ltm_source_window.fat&amp;display_string=Audit&amp;DYN_ARGS=TRUE&amp;VAR:ID1=YRCW&amp;VAR:RCODE=FDSREVSTOTAL&amp;VAR:SDATE=20090699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89__FDSAUDITLINK__" localSheetId="0" hidden="1">{"fdsup://IBCentral/FAT Viewer?action=UPDATE&amp;creator=factset&amp;DOC_NAME=fat:reuters_ltm_source_window.fat&amp;display_string=Audit&amp;DYN_ARGS=TRUE&amp;VAR:ID1=YRCW&amp;VAR:RCODE=FDSREVSTOTAL&amp;VAR:SDATE=20090699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89__FDSAUDITLINK__" localSheetId="4" hidden="1">{"fdsup://IBCentral/FAT Viewer?action=UPDATE&amp;creator=factset&amp;DOC_NAME=fat:reuters_ltm_source_window.fat&amp;display_string=Audit&amp;DYN_ARGS=TRUE&amp;VAR:ID1=YRCW&amp;VAR:RCODE=FDSREVSTOTAL&amp;VAR:SDATE=20090699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89__FDSAUDITLINK__" hidden="1">{"fdsup://IBCentral/FAT Viewer?action=UPDATE&amp;creator=factset&amp;DOC_NAME=fat:reuters_ltm_source_window.fat&amp;display_string=Audit&amp;DYN_ARGS=TRUE&amp;VAR:ID1=YRCW&amp;VAR:RCODE=FDSREVSTOTAL&amp;VAR:SDATE=20090699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9__123Graph_AChart_1CD" localSheetId="0" hidden="1">#REF!</definedName>
    <definedName name="_49__123Graph_AChart_1CD" hidden="1">#REF!</definedName>
    <definedName name="_49__FDSAUDITLINK__" localSheetId="5" hidden="1">{"fdsup://IBCentral/FAT Viewer?action=UPDATE&amp;creator=factset&amp;DOC_NAME=fat:reuters_ltm_source_window.fat&amp;display_string=Audit&amp;DYN_ARGS=TRUE&amp;VAR:ID1=ROL&amp;VAR:RCODE=FIBCEBITDA&amp;VAR:SDATE=20090399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__FDSAUDITLINK__" localSheetId="0" hidden="1">{"fdsup://IBCentral/FAT Viewer?action=UPDATE&amp;creator=factset&amp;DOC_NAME=fat:reuters_ltm_source_window.fat&amp;display_string=Audit&amp;DYN_ARGS=TRUE&amp;VAR:ID1=ROL&amp;VAR:RCODE=FIBCEBITDA&amp;VAR:SDATE=20090399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__FDSAUDITLINK__" localSheetId="4" hidden="1">{"fdsup://IBCentral/FAT Viewer?action=UPDATE&amp;creator=factset&amp;DOC_NAME=fat:reuters_ltm_source_window.fat&amp;display_string=Audit&amp;DYN_ARGS=TRUE&amp;VAR:ID1=ROL&amp;VAR:RCODE=FIBCEBITDA&amp;VAR:SDATE=20090399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__FDSAUDITLINK__" hidden="1">{"fdsup://IBCentral/FAT Viewer?action=UPDATE&amp;creator=factset&amp;DOC_NAME=fat:reuters_ltm_source_window.fat&amp;display_string=Audit&amp;DYN_ARGS=TRUE&amp;VAR:ID1=ROL&amp;VAR:RCODE=FIBCEBITDA&amp;VAR:SDATE=20090399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0__FDSAUDITLINK__" localSheetId="5" hidden="1">{"fdsup://IBCentral/FAT Viewer?action=UPDATE&amp;creator=factset&amp;DOC_NAME=fat:reuters_ltm_source_window.fat&amp;display_string=Audit&amp;DYN_ARGS=TRUE&amp;VAR:ID1=YRCW&amp;VAR:RCODE=FIBCEBITDA&amp;VAR:SDATE=20090699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90__FDSAUDITLINK__" localSheetId="0" hidden="1">{"fdsup://IBCentral/FAT Viewer?action=UPDATE&amp;creator=factset&amp;DOC_NAME=fat:reuters_ltm_source_window.fat&amp;display_string=Audit&amp;DYN_ARGS=TRUE&amp;VAR:ID1=YRCW&amp;VAR:RCODE=FIBCEBITDA&amp;VAR:SDATE=20090699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90__FDSAUDITLINK__" localSheetId="4" hidden="1">{"fdsup://IBCentral/FAT Viewer?action=UPDATE&amp;creator=factset&amp;DOC_NAME=fat:reuters_ltm_source_window.fat&amp;display_string=Audit&amp;DYN_ARGS=TRUE&amp;VAR:ID1=YRCW&amp;VAR:RCODE=FIBCEBITDA&amp;VAR:SDATE=20090699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90__FDSAUDITLINK__" hidden="1">{"fdsup://IBCentral/FAT Viewer?action=UPDATE&amp;creator=factset&amp;DOC_NAME=fat:reuters_ltm_source_window.fat&amp;display_string=Audit&amp;DYN_ARGS=TRUE&amp;VAR:ID1=YRCW&amp;VAR:RCODE=FIBCEBITDA&amp;VAR:SDATE=20090699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91__FDSAUDITLINK__" localSheetId="5" hidden="1">{"fdsup://IBCentral/FAT Viewer?action=UPDATE&amp;creator=factset&amp;DOC_NAME=fat:reuters_ltm_source_window.fat&amp;display_string=Audit&amp;DYN_ARGS=TRUE&amp;VAR:ID1=CAE&amp;VAR:RCODE=FDSREVSTOTAL&amp;VAR:SDATE=20090699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1__FDSAUDITLINK__" localSheetId="0" hidden="1">{"fdsup://IBCentral/FAT Viewer?action=UPDATE&amp;creator=factset&amp;DOC_NAME=fat:reuters_ltm_source_window.fat&amp;display_string=Audit&amp;DYN_ARGS=TRUE&amp;VAR:ID1=CAE&amp;VAR:RCODE=FDSREVSTOTAL&amp;VAR:SDATE=20090699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1__FDSAUDITLINK__" localSheetId="4" hidden="1">{"fdsup://IBCentral/FAT Viewer?action=UPDATE&amp;creator=factset&amp;DOC_NAME=fat:reuters_ltm_source_window.fat&amp;display_string=Audit&amp;DYN_ARGS=TRUE&amp;VAR:ID1=CAE&amp;VAR:RCODE=FDSREVSTOTAL&amp;VAR:SDATE=20090699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1__FDSAUDITLINK__" hidden="1">{"fdsup://IBCentral/FAT Viewer?action=UPDATE&amp;creator=factset&amp;DOC_NAME=fat:reuters_ltm_source_window.fat&amp;display_string=Audit&amp;DYN_ARGS=TRUE&amp;VAR:ID1=CAE&amp;VAR:RCODE=FDSREVSTOTAL&amp;VAR:SDATE=20090699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2__FDSAUDITLINK__" localSheetId="5" hidden="1">{"fdsup://IBCentral/FAT Viewer?action=UPDATE&amp;creator=factset&amp;DOC_NAME=fat:reuters_ltm_source_window.fat&amp;display_string=Audit&amp;DYN_ARGS=TRUE&amp;VAR:ID1=CAE&amp;VAR:RCODE=FIBCEBITDA&amp;VAR:SDATE=20090699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2__FDSAUDITLINK__" localSheetId="0" hidden="1">{"fdsup://IBCentral/FAT Viewer?action=UPDATE&amp;creator=factset&amp;DOC_NAME=fat:reuters_ltm_source_window.fat&amp;display_string=Audit&amp;DYN_ARGS=TRUE&amp;VAR:ID1=CAE&amp;VAR:RCODE=FIBCEBITDA&amp;VAR:SDATE=20090699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2__FDSAUDITLINK__" localSheetId="4" hidden="1">{"fdsup://IBCentral/FAT Viewer?action=UPDATE&amp;creator=factset&amp;DOC_NAME=fat:reuters_ltm_source_window.fat&amp;display_string=Audit&amp;DYN_ARGS=TRUE&amp;VAR:ID1=CAE&amp;VAR:RCODE=FIBCEBITDA&amp;VAR:SDATE=20090699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2__FDSAUDITLINK__" hidden="1">{"fdsup://IBCentral/FAT Viewer?action=UPDATE&amp;creator=factset&amp;DOC_NAME=fat:reuters_ltm_source_window.fat&amp;display_string=Audit&amp;DYN_ARGS=TRUE&amp;VAR:ID1=CAE&amp;VAR:RCODE=FIBCEBITDA&amp;VAR:SDATE=20090699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3__FDSAUDITLINK__" localSheetId="5" hidden="1">{"fdsup://IBCentral/FAT Viewer?action=UPDATE&amp;creator=factset&amp;DOC_NAME=fat:reuters_ltm_source_window.fat&amp;display_string=Audit&amp;DYN_ARGS=TRUE&amp;VAR:ID1=AIN&amp;VAR:RCODE=FDSREVSTOTAL&amp;VAR:SDATE=20090699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3__FDSAUDITLINK__" localSheetId="0" hidden="1">{"fdsup://IBCentral/FAT Viewer?action=UPDATE&amp;creator=factset&amp;DOC_NAME=fat:reuters_ltm_source_window.fat&amp;display_string=Audit&amp;DYN_ARGS=TRUE&amp;VAR:ID1=AIN&amp;VAR:RCODE=FDSREVSTOTAL&amp;VAR:SDATE=20090699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3__FDSAUDITLINK__" localSheetId="4" hidden="1">{"fdsup://IBCentral/FAT Viewer?action=UPDATE&amp;creator=factset&amp;DOC_NAME=fat:reuters_ltm_source_window.fat&amp;display_string=Audit&amp;DYN_ARGS=TRUE&amp;VAR:ID1=AIN&amp;VAR:RCODE=FDSREVSTOTAL&amp;VAR:SDATE=20090699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Viewer?action=UPDATE&amp;creator=factset&amp;DOC_NAME=fat:reuters_ltm_source_window.fat&amp;display_string=Audit&amp;DYN_ARGS=TRUE&amp;VAR:ID1=AIN&amp;VAR:RCODE=FDSREVSTOTAL&amp;VAR:SDATE=20090699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4__FDSAUDITLINK__" localSheetId="5" hidden="1">{"fdsup://IBCentral/FAT Viewer?action=UPDATE&amp;creator=factset&amp;DOC_NAME=fat:reuters_ltm_source_window.fat&amp;display_string=Audit&amp;DYN_ARGS=TRUE&amp;VAR:ID1=AIN&amp;VAR:RCODE=FIBCEBITDA&amp;VAR:SDATE=20090699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4__FDSAUDITLINK__" localSheetId="0" hidden="1">{"fdsup://IBCentral/FAT Viewer?action=UPDATE&amp;creator=factset&amp;DOC_NAME=fat:reuters_ltm_source_window.fat&amp;display_string=Audit&amp;DYN_ARGS=TRUE&amp;VAR:ID1=AIN&amp;VAR:RCODE=FIBCEBITDA&amp;VAR:SDATE=20090699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4__FDSAUDITLINK__" localSheetId="4" hidden="1">{"fdsup://IBCentral/FAT Viewer?action=UPDATE&amp;creator=factset&amp;DOC_NAME=fat:reuters_ltm_source_window.fat&amp;display_string=Audit&amp;DYN_ARGS=TRUE&amp;VAR:ID1=AIN&amp;VAR:RCODE=FIBCEBITDA&amp;VAR:SDATE=20090699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4__FDSAUDITLINK__" hidden="1">{"fdsup://IBCentral/FAT Viewer?action=UPDATE&amp;creator=factset&amp;DOC_NAME=fat:reuters_ltm_source_window.fat&amp;display_string=Audit&amp;DYN_ARGS=TRUE&amp;VAR:ID1=AIN&amp;VAR:RCODE=FIBCEBITDA&amp;VAR:SDATE=20090699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5__FDSAUDITLINK__" localSheetId="5" hidden="1">{"fdsup://IBCentral/FAT Viewer?action=UPDATE&amp;creator=factset&amp;DOC_NAME=fat:reuters_ltm_source_window.fat&amp;display_string=Audit&amp;DYN_ARGS=TRUE&amp;VAR:ID1=URI&amp;VAR:RCODE=FDSREVSTOTAL&amp;VAR:SDATE=20090699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5__FDSAUDITLINK__" localSheetId="0" hidden="1">{"fdsup://IBCentral/FAT Viewer?action=UPDATE&amp;creator=factset&amp;DOC_NAME=fat:reuters_ltm_source_window.fat&amp;display_string=Audit&amp;DYN_ARGS=TRUE&amp;VAR:ID1=URI&amp;VAR:RCODE=FDSREVSTOTAL&amp;VAR:SDATE=20090699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5__FDSAUDITLINK__" localSheetId="4" hidden="1">{"fdsup://IBCentral/FAT Viewer?action=UPDATE&amp;creator=factset&amp;DOC_NAME=fat:reuters_ltm_source_window.fat&amp;display_string=Audit&amp;DYN_ARGS=TRUE&amp;VAR:ID1=URI&amp;VAR:RCODE=FDSREVSTOTAL&amp;VAR:SDATE=20090699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5__FDSAUDITLINK__" hidden="1">{"fdsup://IBCentral/FAT Viewer?action=UPDATE&amp;creator=factset&amp;DOC_NAME=fat:reuters_ltm_source_window.fat&amp;display_string=Audit&amp;DYN_ARGS=TRUE&amp;VAR:ID1=URI&amp;VAR:RCODE=FDSREVSTOTAL&amp;VAR:SDATE=20090699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6__FDSAUDITLINK__" localSheetId="5" hidden="1">{"fdsup://IBCentral/FAT Viewer?action=UPDATE&amp;creator=factset&amp;DOC_NAME=fat:reuters_ltm_source_window.fat&amp;display_string=Audit&amp;DYN_ARGS=TRUE&amp;VAR:ID1=URI&amp;VAR:RCODE=FIBCEBITDA&amp;VAR:SDATE=20090699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6__FDSAUDITLINK__" localSheetId="0" hidden="1">{"fdsup://IBCentral/FAT Viewer?action=UPDATE&amp;creator=factset&amp;DOC_NAME=fat:reuters_ltm_source_window.fat&amp;display_string=Audit&amp;DYN_ARGS=TRUE&amp;VAR:ID1=URI&amp;VAR:RCODE=FIBCEBITDA&amp;VAR:SDATE=20090699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6__FDSAUDITLINK__" localSheetId="4" hidden="1">{"fdsup://IBCentral/FAT Viewer?action=UPDATE&amp;creator=factset&amp;DOC_NAME=fat:reuters_ltm_source_window.fat&amp;display_string=Audit&amp;DYN_ARGS=TRUE&amp;VAR:ID1=URI&amp;VAR:RCODE=FIBCEBITDA&amp;VAR:SDATE=20090699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6__FDSAUDITLINK__" hidden="1">{"fdsup://IBCentral/FAT Viewer?action=UPDATE&amp;creator=factset&amp;DOC_NAME=fat:reuters_ltm_source_window.fat&amp;display_string=Audit&amp;DYN_ARGS=TRUE&amp;VAR:ID1=URI&amp;VAR:RCODE=FIBCEBITDA&amp;VAR:SDATE=20090699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497__FDSAUDITLINK__" localSheetId="5" hidden="1">{"fdsup://IBCentral/FAT Viewer?action=UPDATE&amp;creator=factset&amp;DOC_NAME=fat:reuters_ltm_source_window.fat&amp;display_string=Audit&amp;DYN_ARGS=TRUE&amp;VAR:ID1=HSII&amp;VAR:RCODE=FDSREVSTOTAL&amp;VAR:SDATE=20090699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97__FDSAUDITLINK__" localSheetId="0" hidden="1">{"fdsup://IBCentral/FAT Viewer?action=UPDATE&amp;creator=factset&amp;DOC_NAME=fat:reuters_ltm_source_window.fat&amp;display_string=Audit&amp;DYN_ARGS=TRUE&amp;VAR:ID1=HSII&amp;VAR:RCODE=FDSREVSTOTAL&amp;VAR:SDATE=20090699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97__FDSAUDITLINK__" localSheetId="4" hidden="1">{"fdsup://IBCentral/FAT Viewer?action=UPDATE&amp;creator=factset&amp;DOC_NAME=fat:reuters_ltm_source_window.fat&amp;display_string=Audit&amp;DYN_ARGS=TRUE&amp;VAR:ID1=HSII&amp;VAR:RCODE=FDSREVSTOTAL&amp;VAR:SDATE=20090699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97__FDSAUDITLINK__" hidden="1">{"fdsup://IBCentral/FAT Viewer?action=UPDATE&amp;creator=factset&amp;DOC_NAME=fat:reuters_ltm_source_window.fat&amp;display_string=Audit&amp;DYN_ARGS=TRUE&amp;VAR:ID1=HSII&amp;VAR:RCODE=FDSREVSTOTAL&amp;VAR:SDATE=20090699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498__FDSAUDITLINK__" localSheetId="5" hidden="1">{"fdsup://IBCentral/FAT Viewer?action=UPDATE&amp;creator=factset&amp;DOC_NAME=fat:reuters_ltm_source_window.fat&amp;display_string=Audit&amp;DYN_ARGS=TRUE&amp;VAR:ID1=HSII&amp;VAR:RCODE=FIBCEBITDA&amp;VAR:SDATE=20090699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98__FDSAUDITLINK__" localSheetId="0" hidden="1">{"fdsup://IBCentral/FAT Viewer?action=UPDATE&amp;creator=factset&amp;DOC_NAME=fat:reuters_ltm_source_window.fat&amp;display_string=Audit&amp;DYN_ARGS=TRUE&amp;VAR:ID1=HSII&amp;VAR:RCODE=FIBCEBITDA&amp;VAR:SDATE=20090699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98__FDSAUDITLINK__" localSheetId="4" hidden="1">{"fdsup://IBCentral/FAT Viewer?action=UPDATE&amp;creator=factset&amp;DOC_NAME=fat:reuters_ltm_source_window.fat&amp;display_string=Audit&amp;DYN_ARGS=TRUE&amp;VAR:ID1=HSII&amp;VAR:RCODE=FIBCEBITDA&amp;VAR:SDATE=20090699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98__FDSAUDITLINK__" hidden="1">{"fdsup://IBCentral/FAT Viewer?action=UPDATE&amp;creator=factset&amp;DOC_NAME=fat:reuters_ltm_source_window.fat&amp;display_string=Audit&amp;DYN_ARGS=TRUE&amp;VAR:ID1=HSII&amp;VAR:RCODE=FIBCEBITDA&amp;VAR:SDATE=20090699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499__FDSAUDITLINK__" localSheetId="5" hidden="1">{"fdsup://IBCentral/FAT Viewer?action=UPDATE&amp;creator=factset&amp;DOC_NAME=fat:reuters_ltm_source_window.fat&amp;display_string=Audit&amp;DYN_ARGS=TRUE&amp;VAR:ID1=FSS&amp;VAR:RCODE=FDSREVSTOTAL&amp;VAR:SDATE=20090699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9__FDSAUDITLINK__" localSheetId="0" hidden="1">{"fdsup://IBCentral/FAT Viewer?action=UPDATE&amp;creator=factset&amp;DOC_NAME=fat:reuters_ltm_source_window.fat&amp;display_string=Audit&amp;DYN_ARGS=TRUE&amp;VAR:ID1=FSS&amp;VAR:RCODE=FDSREVSTOTAL&amp;VAR:SDATE=20090699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9__FDSAUDITLINK__" localSheetId="4" hidden="1">{"fdsup://IBCentral/FAT Viewer?action=UPDATE&amp;creator=factset&amp;DOC_NAME=fat:reuters_ltm_source_window.fat&amp;display_string=Audit&amp;DYN_ARGS=TRUE&amp;VAR:ID1=FSS&amp;VAR:RCODE=FDSREVSTOTAL&amp;VAR:SDATE=20090699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99__FDSAUDITLINK__" hidden="1">{"fdsup://IBCentral/FAT Viewer?action=UPDATE&amp;creator=factset&amp;DOC_NAME=fat:reuters_ltm_source_window.fat&amp;display_string=Audit&amp;DYN_ARGS=TRUE&amp;VAR:ID1=FSS&amp;VAR:RCODE=FDSREVSTOTAL&amp;VAR:SDATE=20090699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4ÿ_0M" localSheetId="0">#REF!</definedName>
    <definedName name="_4ÿ_0M">#REF!</definedName>
    <definedName name="_4ÿ_0Q" localSheetId="0">#REF!</definedName>
    <definedName name="_4ÿ_0Q">#REF!</definedName>
    <definedName name="_4ÿ_0T" localSheetId="0">#REF!</definedName>
    <definedName name="_4ÿ_0T">#REF!</definedName>
    <definedName name="_5_.__SGA_gro" localSheetId="0">#REF!</definedName>
    <definedName name="_5_.__SGA_gro">#REF!</definedName>
    <definedName name="_5_._0SGA_gro" localSheetId="0">#REF!</definedName>
    <definedName name="_5_._0SGA_gro">#REF!</definedName>
    <definedName name="_5__FDSAUDITLINK__" localSheetId="5" hidden="1">{"fdsup://IBCentral/FAT Viewer?action=UPDATE&amp;creator=factset&amp;DOC_NAME=fat:reuters_ltm_source_window.fat&amp;display_string=Audit&amp;DYN_ARGS=TRUE&amp;VAR:ID1=NDSN&amp;VAR:RCODE=FIBCEBITDA&amp;VAR:SDATE=20090499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__FDSAUDITLINK__" localSheetId="0" hidden="1">{"fdsup://IBCentral/FAT Viewer?action=UPDATE&amp;creator=factset&amp;DOC_NAME=fat:reuters_ltm_source_window.fat&amp;display_string=Audit&amp;DYN_ARGS=TRUE&amp;VAR:ID1=NDSN&amp;VAR:RCODE=FIBCEBITDA&amp;VAR:SDATE=20090499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__FDSAUDITLINK__" localSheetId="4" hidden="1">{"fdsup://IBCentral/FAT Viewer?action=UPDATE&amp;creator=factset&amp;DOC_NAME=fat:reuters_ltm_source_window.fat&amp;display_string=Audit&amp;DYN_ARGS=TRUE&amp;VAR:ID1=NDSN&amp;VAR:RCODE=FIBCEBITDA&amp;VAR:SDATE=20090499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__FDSAUDITLINK__" hidden="1">{"fdsup://IBCentral/FAT Viewer?action=UPDATE&amp;creator=factset&amp;DOC_NAME=fat:reuters_ltm_source_window.fat&amp;display_string=Audit&amp;DYN_ARGS=TRUE&amp;VAR:ID1=NDSN&amp;VAR:RCODE=FIBCEBITDA&amp;VAR:SDATE=20090499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_0mon" localSheetId="0">#REF!</definedName>
    <definedName name="_5_0mon">#REF!</definedName>
    <definedName name="_5_31_94" localSheetId="0">#REF!</definedName>
    <definedName name="_5_31_94">#REF!</definedName>
    <definedName name="_5_Yr_Growth" localSheetId="0">#REF!</definedName>
    <definedName name="_5_Yr_Growth">#REF!</definedName>
    <definedName name="_50__FDSAUDITLINK__" localSheetId="5" hidden="1">{"fdsup://IBCentral/FAT Viewer?action=UPDATE&amp;creator=factset&amp;DOC_NAME=fat:reuters_ltm_source_window.fat&amp;display_string=Audit&amp;DYN_ARGS=TRUE&amp;VAR:ID1=LSTR&amp;VAR:RCODE=FIBCEBITDA&amp;VAR:SDATE=20090399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__FDSAUDITLINK__" localSheetId="0" hidden="1">{"fdsup://IBCentral/FAT Viewer?action=UPDATE&amp;creator=factset&amp;DOC_NAME=fat:reuters_ltm_source_window.fat&amp;display_string=Audit&amp;DYN_ARGS=TRUE&amp;VAR:ID1=LSTR&amp;VAR:RCODE=FIBCEBITDA&amp;VAR:SDATE=20090399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__FDSAUDITLINK__" localSheetId="4" hidden="1">{"fdsup://IBCentral/FAT Viewer?action=UPDATE&amp;creator=factset&amp;DOC_NAME=fat:reuters_ltm_source_window.fat&amp;display_string=Audit&amp;DYN_ARGS=TRUE&amp;VAR:ID1=LSTR&amp;VAR:RCODE=FIBCEBITDA&amp;VAR:SDATE=20090399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__FDSAUDITLINK__" hidden="1">{"fdsup://IBCentral/FAT Viewer?action=UPDATE&amp;creator=factset&amp;DOC_NAME=fat:reuters_ltm_source_window.fat&amp;display_string=Audit&amp;DYN_ARGS=TRUE&amp;VAR:ID1=LSTR&amp;VAR:RCODE=FIBCEBITDA&amp;VAR:SDATE=20090399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0__FDSAUDITLINK__" localSheetId="5" hidden="1">{"fdsup://IBCentral/FAT Viewer?action=UPDATE&amp;creator=factset&amp;DOC_NAME=fat:reuters_ltm_source_window.fat&amp;display_string=Audit&amp;DYN_ARGS=TRUE&amp;VAR:ID1=FSS&amp;VAR:RCODE=FIBCEBITDA&amp;VAR:SDATE=20090699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0__FDSAUDITLINK__" localSheetId="0" hidden="1">{"fdsup://IBCentral/FAT Viewer?action=UPDATE&amp;creator=factset&amp;DOC_NAME=fat:reuters_ltm_source_window.fat&amp;display_string=Audit&amp;DYN_ARGS=TRUE&amp;VAR:ID1=FSS&amp;VAR:RCODE=FIBCEBITDA&amp;VAR:SDATE=20090699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0__FDSAUDITLINK__" localSheetId="4" hidden="1">{"fdsup://IBCentral/FAT Viewer?action=UPDATE&amp;creator=factset&amp;DOC_NAME=fat:reuters_ltm_source_window.fat&amp;display_string=Audit&amp;DYN_ARGS=TRUE&amp;VAR:ID1=FSS&amp;VAR:RCODE=FIBCEBITDA&amp;VAR:SDATE=20090699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0__FDSAUDITLINK__" hidden="1">{"fdsup://IBCentral/FAT Viewer?action=UPDATE&amp;creator=factset&amp;DOC_NAME=fat:reuters_ltm_source_window.fat&amp;display_string=Audit&amp;DYN_ARGS=TRUE&amp;VAR:ID1=FSS&amp;VAR:RCODE=FIBCEBITDA&amp;VAR:SDATE=20090699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1__FDSAUDITLINK__" localSheetId="5" hidden="1">{"fdsup://IBCentral/FAT Viewer?action=UPDATE&amp;creator=factset&amp;DOC_NAME=fat:reuters_ltm_source_window.fat&amp;display_string=Audit&amp;DYN_ARGS=TRUE&amp;VAR:ID1=JBT&amp;VAR:RCODE=FDSREVSTOTAL&amp;VAR:SDATE=20090699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1__FDSAUDITLINK__" localSheetId="0" hidden="1">{"fdsup://IBCentral/FAT Viewer?action=UPDATE&amp;creator=factset&amp;DOC_NAME=fat:reuters_ltm_source_window.fat&amp;display_string=Audit&amp;DYN_ARGS=TRUE&amp;VAR:ID1=JBT&amp;VAR:RCODE=FDSREVSTOTAL&amp;VAR:SDATE=20090699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1__FDSAUDITLINK__" localSheetId="4" hidden="1">{"fdsup://IBCentral/FAT Viewer?action=UPDATE&amp;creator=factset&amp;DOC_NAME=fat:reuters_ltm_source_window.fat&amp;display_string=Audit&amp;DYN_ARGS=TRUE&amp;VAR:ID1=JBT&amp;VAR:RCODE=FDSREVSTOTAL&amp;VAR:SDATE=20090699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1__FDSAUDITLINK__" hidden="1">{"fdsup://IBCentral/FAT Viewer?action=UPDATE&amp;creator=factset&amp;DOC_NAME=fat:reuters_ltm_source_window.fat&amp;display_string=Audit&amp;DYN_ARGS=TRUE&amp;VAR:ID1=JBT&amp;VAR:RCODE=FDSREVSTOTAL&amp;VAR:SDATE=20090699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2__FDSAUDITLINK__" localSheetId="5" hidden="1">{"fdsup://IBCentral/FAT Viewer?action=UPDATE&amp;creator=factset&amp;DOC_NAME=fat:reuters_ltm_source_window.fat&amp;display_string=Audit&amp;DYN_ARGS=TRUE&amp;VAR:ID1=JBT&amp;VAR:RCODE=FIBCEBITDA&amp;VAR:SDATE=20090699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2__FDSAUDITLINK__" localSheetId="0" hidden="1">{"fdsup://IBCentral/FAT Viewer?action=UPDATE&amp;creator=factset&amp;DOC_NAME=fat:reuters_ltm_source_window.fat&amp;display_string=Audit&amp;DYN_ARGS=TRUE&amp;VAR:ID1=JBT&amp;VAR:RCODE=FIBCEBITDA&amp;VAR:SDATE=20090699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2__FDSAUDITLINK__" localSheetId="4" hidden="1">{"fdsup://IBCentral/FAT Viewer?action=UPDATE&amp;creator=factset&amp;DOC_NAME=fat:reuters_ltm_source_window.fat&amp;display_string=Audit&amp;DYN_ARGS=TRUE&amp;VAR:ID1=JBT&amp;VAR:RCODE=FIBCEBITDA&amp;VAR:SDATE=20090699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2__FDSAUDITLINK__" hidden="1">{"fdsup://IBCentral/FAT Viewer?action=UPDATE&amp;creator=factset&amp;DOC_NAME=fat:reuters_ltm_source_window.fat&amp;display_string=Audit&amp;DYN_ARGS=TRUE&amp;VAR:ID1=JBT&amp;VAR:RCODE=FIBCEBITDA&amp;VAR:SDATE=20090699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3__FDSAUDITLINK__" localSheetId="5" hidden="1">{"fdsup://IBCentral/FAT Viewer?action=UPDATE&amp;creator=factset&amp;DOC_NAME=fat:reuters_ltm_source_window.fat&amp;display_string=Audit&amp;DYN_ARGS=TRUE&amp;VAR:ID1=KAMN&amp;VAR:RCODE=FDSREVSTOTAL&amp;VAR:SDATE=20090699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03__FDSAUDITLINK__" localSheetId="0" hidden="1">{"fdsup://IBCentral/FAT Viewer?action=UPDATE&amp;creator=factset&amp;DOC_NAME=fat:reuters_ltm_source_window.fat&amp;display_string=Audit&amp;DYN_ARGS=TRUE&amp;VAR:ID1=KAMN&amp;VAR:RCODE=FDSREVSTOTAL&amp;VAR:SDATE=20090699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03__FDSAUDITLINK__" localSheetId="4" hidden="1">{"fdsup://IBCentral/FAT Viewer?action=UPDATE&amp;creator=factset&amp;DOC_NAME=fat:reuters_ltm_source_window.fat&amp;display_string=Audit&amp;DYN_ARGS=TRUE&amp;VAR:ID1=KAMN&amp;VAR:RCODE=FDSREVSTOTAL&amp;VAR:SDATE=20090699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03__FDSAUDITLINK__" hidden="1">{"fdsup://IBCentral/FAT Viewer?action=UPDATE&amp;creator=factset&amp;DOC_NAME=fat:reuters_ltm_source_window.fat&amp;display_string=Audit&amp;DYN_ARGS=TRUE&amp;VAR:ID1=KAMN&amp;VAR:RCODE=FDSREVSTOTAL&amp;VAR:SDATE=20090699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04__FDSAUDITLINK__" localSheetId="5" hidden="1">{"fdsup://IBCentral/FAT Viewer?action=UPDATE&amp;creator=factset&amp;DOC_NAME=fat:reuters_ltm_source_window.fat&amp;display_string=Audit&amp;DYN_ARGS=TRUE&amp;VAR:ID1=KAMN&amp;VAR:RCODE=FIBCEBITDA&amp;VAR:SDATE=20090699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4__FDSAUDITLINK__" localSheetId="0" hidden="1">{"fdsup://IBCentral/FAT Viewer?action=UPDATE&amp;creator=factset&amp;DOC_NAME=fat:reuters_ltm_source_window.fat&amp;display_string=Audit&amp;DYN_ARGS=TRUE&amp;VAR:ID1=KAMN&amp;VAR:RCODE=FIBCEBITDA&amp;VAR:SDATE=20090699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4__FDSAUDITLINK__" localSheetId="4" hidden="1">{"fdsup://IBCentral/FAT Viewer?action=UPDATE&amp;creator=factset&amp;DOC_NAME=fat:reuters_ltm_source_window.fat&amp;display_string=Audit&amp;DYN_ARGS=TRUE&amp;VAR:ID1=KAMN&amp;VAR:RCODE=FIBCEBITDA&amp;VAR:SDATE=20090699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4__FDSAUDITLINK__" hidden="1">{"fdsup://IBCentral/FAT Viewer?action=UPDATE&amp;creator=factset&amp;DOC_NAME=fat:reuters_ltm_source_window.fat&amp;display_string=Audit&amp;DYN_ARGS=TRUE&amp;VAR:ID1=KAMN&amp;VAR:RCODE=FIBCEBITDA&amp;VAR:SDATE=20090699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5__FDSAUDITLINK__" localSheetId="5" hidden="1">{"fdsup://IBCentral/FAT Viewer?action=UPDATE&amp;creator=factset&amp;DOC_NAME=fat:reuters_ltm_source_window.fat&amp;display_string=Audit&amp;DYN_ARGS=TRUE&amp;VAR:ID1=APOG&amp;VAR:RCODE=FDSREVSTOTAL&amp;VAR:SDATE=20090599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05__FDSAUDITLINK__" localSheetId="0" hidden="1">{"fdsup://IBCentral/FAT Viewer?action=UPDATE&amp;creator=factset&amp;DOC_NAME=fat:reuters_ltm_source_window.fat&amp;display_string=Audit&amp;DYN_ARGS=TRUE&amp;VAR:ID1=APOG&amp;VAR:RCODE=FDSREVSTOTAL&amp;VAR:SDATE=20090599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05__FDSAUDITLINK__" localSheetId="4" hidden="1">{"fdsup://IBCentral/FAT Viewer?action=UPDATE&amp;creator=factset&amp;DOC_NAME=fat:reuters_ltm_source_window.fat&amp;display_string=Audit&amp;DYN_ARGS=TRUE&amp;VAR:ID1=APOG&amp;VAR:RCODE=FDSREVSTOTAL&amp;VAR:SDATE=20090599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05__FDSAUDITLINK__" hidden="1">{"fdsup://IBCentral/FAT Viewer?action=UPDATE&amp;creator=factset&amp;DOC_NAME=fat:reuters_ltm_source_window.fat&amp;display_string=Audit&amp;DYN_ARGS=TRUE&amp;VAR:ID1=APOG&amp;VAR:RCODE=FDSREVSTOTAL&amp;VAR:SDATE=20090599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06__FDSAUDITLINK__" localSheetId="5" hidden="1">{"fdsup://IBCentral/FAT Viewer?action=UPDATE&amp;creator=factset&amp;DOC_NAME=fat:reuters_ltm_source_window.fat&amp;display_string=Audit&amp;DYN_ARGS=TRUE&amp;VAR:ID1=APOG&amp;VAR:RCODE=FIBCEBITDA&amp;VAR:SDATE=20090599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6__FDSAUDITLINK__" localSheetId="0" hidden="1">{"fdsup://IBCentral/FAT Viewer?action=UPDATE&amp;creator=factset&amp;DOC_NAME=fat:reuters_ltm_source_window.fat&amp;display_string=Audit&amp;DYN_ARGS=TRUE&amp;VAR:ID1=APOG&amp;VAR:RCODE=FIBCEBITDA&amp;VAR:SDATE=20090599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6__FDSAUDITLINK__" localSheetId="4" hidden="1">{"fdsup://IBCentral/FAT Viewer?action=UPDATE&amp;creator=factset&amp;DOC_NAME=fat:reuters_ltm_source_window.fat&amp;display_string=Audit&amp;DYN_ARGS=TRUE&amp;VAR:ID1=APOG&amp;VAR:RCODE=FIBCEBITDA&amp;VAR:SDATE=20090599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6__FDSAUDITLINK__" hidden="1">{"fdsup://IBCentral/FAT Viewer?action=UPDATE&amp;creator=factset&amp;DOC_NAME=fat:reuters_ltm_source_window.fat&amp;display_string=Audit&amp;DYN_ARGS=TRUE&amp;VAR:ID1=APOG&amp;VAR:RCODE=FIBCEBITDA&amp;VAR:SDATE=20090599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07__FDSAUDITLINK__" localSheetId="5" hidden="1">{"fdsup://IBCentral/FAT Viewer?action=UPDATE&amp;creator=factset&amp;DOC_NAME=fat:reuters_ltm_source_window.fat&amp;display_string=Audit&amp;DYN_ARGS=TRUE&amp;VAR:ID1=NPO&amp;VAR:RCODE=FDSREVSTOTAL&amp;VAR:SDATE=20090699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7__FDSAUDITLINK__" localSheetId="0" hidden="1">{"fdsup://IBCentral/FAT Viewer?action=UPDATE&amp;creator=factset&amp;DOC_NAME=fat:reuters_ltm_source_window.fat&amp;display_string=Audit&amp;DYN_ARGS=TRUE&amp;VAR:ID1=NPO&amp;VAR:RCODE=FDSREVSTOTAL&amp;VAR:SDATE=20090699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7__FDSAUDITLINK__" localSheetId="4" hidden="1">{"fdsup://IBCentral/FAT Viewer?action=UPDATE&amp;creator=factset&amp;DOC_NAME=fat:reuters_ltm_source_window.fat&amp;display_string=Audit&amp;DYN_ARGS=TRUE&amp;VAR:ID1=NPO&amp;VAR:RCODE=FDSREVSTOTAL&amp;VAR:SDATE=20090699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7__FDSAUDITLINK__" hidden="1">{"fdsup://IBCentral/FAT Viewer?action=UPDATE&amp;creator=factset&amp;DOC_NAME=fat:reuters_ltm_source_window.fat&amp;display_string=Audit&amp;DYN_ARGS=TRUE&amp;VAR:ID1=NPO&amp;VAR:RCODE=FDSREVSTOTAL&amp;VAR:SDATE=20090699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8__FDSAUDITLINK__" localSheetId="5" hidden="1">{"fdsup://IBCentral/FAT Viewer?action=UPDATE&amp;creator=factset&amp;DOC_NAME=fat:reuters_ltm_source_window.fat&amp;display_string=Audit&amp;DYN_ARGS=TRUE&amp;VAR:ID1=NPO&amp;VAR:RCODE=FIBCEBITDA&amp;VAR:SDATE=20090699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8__FDSAUDITLINK__" localSheetId="0" hidden="1">{"fdsup://IBCentral/FAT Viewer?action=UPDATE&amp;creator=factset&amp;DOC_NAME=fat:reuters_ltm_source_window.fat&amp;display_string=Audit&amp;DYN_ARGS=TRUE&amp;VAR:ID1=NPO&amp;VAR:RCODE=FIBCEBITDA&amp;VAR:SDATE=20090699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8__FDSAUDITLINK__" localSheetId="4" hidden="1">{"fdsup://IBCentral/FAT Viewer?action=UPDATE&amp;creator=factset&amp;DOC_NAME=fat:reuters_ltm_source_window.fat&amp;display_string=Audit&amp;DYN_ARGS=TRUE&amp;VAR:ID1=NPO&amp;VAR:RCODE=FIBCEBITDA&amp;VAR:SDATE=20090699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8__FDSAUDITLINK__" hidden="1">{"fdsup://IBCentral/FAT Viewer?action=UPDATE&amp;creator=factset&amp;DOC_NAME=fat:reuters_ltm_source_window.fat&amp;display_string=Audit&amp;DYN_ARGS=TRUE&amp;VAR:ID1=NPO&amp;VAR:RCODE=FIBCEBITDA&amp;VAR:SDATE=20090699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09__FDSAUDITLINK__" localSheetId="5" hidden="1">{"fdsup://IBCentral/FAT Viewer?action=UPDATE&amp;creator=factset&amp;DOC_NAME=fat:reuters_ltm_source_window.fat&amp;display_string=Audit&amp;DYN_ARGS=TRUE&amp;VAR:ID1=TBI&amp;VAR:RCODE=FDSREVSTOTAL&amp;VAR:SDATE=20090699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9__FDSAUDITLINK__" localSheetId="0" hidden="1">{"fdsup://IBCentral/FAT Viewer?action=UPDATE&amp;creator=factset&amp;DOC_NAME=fat:reuters_ltm_source_window.fat&amp;display_string=Audit&amp;DYN_ARGS=TRUE&amp;VAR:ID1=TBI&amp;VAR:RCODE=FDSREVSTOTAL&amp;VAR:SDATE=20090699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9__FDSAUDITLINK__" localSheetId="4" hidden="1">{"fdsup://IBCentral/FAT Viewer?action=UPDATE&amp;creator=factset&amp;DOC_NAME=fat:reuters_ltm_source_window.fat&amp;display_string=Audit&amp;DYN_ARGS=TRUE&amp;VAR:ID1=TBI&amp;VAR:RCODE=FDSREVSTOTAL&amp;VAR:SDATE=20090699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09__FDSAUDITLINK__" hidden="1">{"fdsup://IBCentral/FAT Viewer?action=UPDATE&amp;creator=factset&amp;DOC_NAME=fat:reuters_ltm_source_window.fat&amp;display_string=Audit&amp;DYN_ARGS=TRUE&amp;VAR:ID1=TBI&amp;VAR:RCODE=FDSREVSTOTAL&amp;VAR:SDATE=20090699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__123Graph_AChart_1CE" localSheetId="0" hidden="1">#REF!</definedName>
    <definedName name="_51__123Graph_AChart_1CE" hidden="1">#REF!</definedName>
    <definedName name="_51__FDSAUDITLINK__" localSheetId="5" hidden="1">{"fdsup://IBCentral/FAT Viewer?action=UPDATE&amp;creator=factset&amp;DOC_NAME=fat:reuters_ltm_source_window.fat&amp;display_string=Audit&amp;DYN_ARGS=TRUE&amp;VAR:ID1=CXW&amp;VAR:RCODE=FIBCEBITDA&amp;VAR:SDATE=20090399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__FDSAUDITLINK__" localSheetId="0" hidden="1">{"fdsup://IBCentral/FAT Viewer?action=UPDATE&amp;creator=factset&amp;DOC_NAME=fat:reuters_ltm_source_window.fat&amp;display_string=Audit&amp;DYN_ARGS=TRUE&amp;VAR:ID1=CXW&amp;VAR:RCODE=FIBCEBITDA&amp;VAR:SDATE=20090399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__FDSAUDITLINK__" localSheetId="4" hidden="1">{"fdsup://IBCentral/FAT Viewer?action=UPDATE&amp;creator=factset&amp;DOC_NAME=fat:reuters_ltm_source_window.fat&amp;display_string=Audit&amp;DYN_ARGS=TRUE&amp;VAR:ID1=CXW&amp;VAR:RCODE=FIBCEBITDA&amp;VAR:SDATE=20090399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__FDSAUDITLINK__" hidden="1">{"fdsup://IBCentral/FAT Viewer?action=UPDATE&amp;creator=factset&amp;DOC_NAME=fat:reuters_ltm_source_window.fat&amp;display_string=Audit&amp;DYN_ARGS=TRUE&amp;VAR:ID1=CXW&amp;VAR:RCODE=FIBCEBITDA&amp;VAR:SDATE=20090399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0__FDSAUDITLINK__" localSheetId="5" hidden="1">{"fdsup://IBCentral/FAT Viewer?action=UPDATE&amp;creator=factset&amp;DOC_NAME=fat:reuters_ltm_source_window.fat&amp;display_string=Audit&amp;DYN_ARGS=TRUE&amp;VAR:ID1=TBI&amp;VAR:RCODE=FIBCEBITDA&amp;VAR:SDATE=20090699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0__FDSAUDITLINK__" localSheetId="0" hidden="1">{"fdsup://IBCentral/FAT Viewer?action=UPDATE&amp;creator=factset&amp;DOC_NAME=fat:reuters_ltm_source_window.fat&amp;display_string=Audit&amp;DYN_ARGS=TRUE&amp;VAR:ID1=TBI&amp;VAR:RCODE=FIBCEBITDA&amp;VAR:SDATE=20090699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0__FDSAUDITLINK__" localSheetId="4" hidden="1">{"fdsup://IBCentral/FAT Viewer?action=UPDATE&amp;creator=factset&amp;DOC_NAME=fat:reuters_ltm_source_window.fat&amp;display_string=Audit&amp;DYN_ARGS=TRUE&amp;VAR:ID1=TBI&amp;VAR:RCODE=FIBCEBITDA&amp;VAR:SDATE=20090699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0__FDSAUDITLINK__" hidden="1">{"fdsup://IBCentral/FAT Viewer?action=UPDATE&amp;creator=factset&amp;DOC_NAME=fat:reuters_ltm_source_window.fat&amp;display_string=Audit&amp;DYN_ARGS=TRUE&amp;VAR:ID1=TBI&amp;VAR:RCODE=FIBCEBITDA&amp;VAR:SDATE=20090699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1__FDSAUDITLINK__" localSheetId="5" hidden="1">{"fdsup://IBCentral/FAT Viewer?action=UPDATE&amp;creator=factset&amp;DOC_NAME=fat:reuters_ltm_source_window.fat&amp;display_string=Audit&amp;DYN_ARGS=TRUE&amp;VAR:ID1=CIR&amp;VAR:RCODE=FDSREVSTOTAL&amp;VAR:SDATE=20090699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1__FDSAUDITLINK__" localSheetId="0" hidden="1">{"fdsup://IBCentral/FAT Viewer?action=UPDATE&amp;creator=factset&amp;DOC_NAME=fat:reuters_ltm_source_window.fat&amp;display_string=Audit&amp;DYN_ARGS=TRUE&amp;VAR:ID1=CIR&amp;VAR:RCODE=FDSREVSTOTAL&amp;VAR:SDATE=20090699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1__FDSAUDITLINK__" localSheetId="4" hidden="1">{"fdsup://IBCentral/FAT Viewer?action=UPDATE&amp;creator=factset&amp;DOC_NAME=fat:reuters_ltm_source_window.fat&amp;display_string=Audit&amp;DYN_ARGS=TRUE&amp;VAR:ID1=CIR&amp;VAR:RCODE=FDSREVSTOTAL&amp;VAR:SDATE=20090699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1__FDSAUDITLINK__" hidden="1">{"fdsup://IBCentral/FAT Viewer?action=UPDATE&amp;creator=factset&amp;DOC_NAME=fat:reuters_ltm_source_window.fat&amp;display_string=Audit&amp;DYN_ARGS=TRUE&amp;VAR:ID1=CIR&amp;VAR:RCODE=FDSREVSTOTAL&amp;VAR:SDATE=20090699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2__FDSAUDITLINK__" localSheetId="5" hidden="1">{"fdsup://IBCentral/FAT Viewer?action=UPDATE&amp;creator=factset&amp;DOC_NAME=fat:reuters_ltm_source_window.fat&amp;display_string=Audit&amp;DYN_ARGS=TRUE&amp;VAR:ID1=CIR&amp;VAR:RCODE=FIBCEBITDA&amp;VAR:SDATE=20090699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2__FDSAUDITLINK__" localSheetId="0" hidden="1">{"fdsup://IBCentral/FAT Viewer?action=UPDATE&amp;creator=factset&amp;DOC_NAME=fat:reuters_ltm_source_window.fat&amp;display_string=Audit&amp;DYN_ARGS=TRUE&amp;VAR:ID1=CIR&amp;VAR:RCODE=FIBCEBITDA&amp;VAR:SDATE=20090699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2__FDSAUDITLINK__" localSheetId="4" hidden="1">{"fdsup://IBCentral/FAT Viewer?action=UPDATE&amp;creator=factset&amp;DOC_NAME=fat:reuters_ltm_source_window.fat&amp;display_string=Audit&amp;DYN_ARGS=TRUE&amp;VAR:ID1=CIR&amp;VAR:RCODE=FIBCEBITDA&amp;VAR:SDATE=20090699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2__FDSAUDITLINK__" hidden="1">{"fdsup://IBCentral/FAT Viewer?action=UPDATE&amp;creator=factset&amp;DOC_NAME=fat:reuters_ltm_source_window.fat&amp;display_string=Audit&amp;DYN_ARGS=TRUE&amp;VAR:ID1=CIR&amp;VAR:RCODE=FIBCEBITDA&amp;VAR:SDATE=20090699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3__FDSAUDITLINK__" localSheetId="5" hidden="1">{"fdsup://IBCentral/FAT Viewer?action=UPDATE&amp;creator=factset&amp;DOC_NAME=fat:reuters_ltm_source_window.fat&amp;display_string=Audit&amp;DYN_ARGS=TRUE&amp;VAR:ID1=MINI&amp;VAR:RCODE=FDSREVSTOTAL&amp;VAR:SDATE=20090699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3__FDSAUDITLINK__" localSheetId="0" hidden="1">{"fdsup://IBCentral/FAT Viewer?action=UPDATE&amp;creator=factset&amp;DOC_NAME=fat:reuters_ltm_source_window.fat&amp;display_string=Audit&amp;DYN_ARGS=TRUE&amp;VAR:ID1=MINI&amp;VAR:RCODE=FDSREVSTOTAL&amp;VAR:SDATE=20090699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3__FDSAUDITLINK__" localSheetId="4" hidden="1">{"fdsup://IBCentral/FAT Viewer?action=UPDATE&amp;creator=factset&amp;DOC_NAME=fat:reuters_ltm_source_window.fat&amp;display_string=Audit&amp;DYN_ARGS=TRUE&amp;VAR:ID1=MINI&amp;VAR:RCODE=FDSREVSTOTAL&amp;VAR:SDATE=20090699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3__FDSAUDITLINK__" hidden="1">{"fdsup://IBCentral/FAT Viewer?action=UPDATE&amp;creator=factset&amp;DOC_NAME=fat:reuters_ltm_source_window.fat&amp;display_string=Audit&amp;DYN_ARGS=TRUE&amp;VAR:ID1=MINI&amp;VAR:RCODE=FDSREVSTOTAL&amp;VAR:SDATE=20090699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4__FDSAUDITLINK__" localSheetId="5" hidden="1">{"fdsup://IBCentral/FAT Viewer?action=UPDATE&amp;creator=factset&amp;DOC_NAME=fat:reuters_ltm_source_window.fat&amp;display_string=Audit&amp;DYN_ARGS=TRUE&amp;VAR:ID1=MINI&amp;VAR:RCODE=FIBCEBITDA&amp;VAR:SDATE=20090699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14__FDSAUDITLINK__" localSheetId="0" hidden="1">{"fdsup://IBCentral/FAT Viewer?action=UPDATE&amp;creator=factset&amp;DOC_NAME=fat:reuters_ltm_source_window.fat&amp;display_string=Audit&amp;DYN_ARGS=TRUE&amp;VAR:ID1=MINI&amp;VAR:RCODE=FIBCEBITDA&amp;VAR:SDATE=20090699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14__FDSAUDITLINK__" localSheetId="4" hidden="1">{"fdsup://IBCentral/FAT Viewer?action=UPDATE&amp;creator=factset&amp;DOC_NAME=fat:reuters_ltm_source_window.fat&amp;display_string=Audit&amp;DYN_ARGS=TRUE&amp;VAR:ID1=MINI&amp;VAR:RCODE=FIBCEBITDA&amp;VAR:SDATE=20090699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14__FDSAUDITLINK__" hidden="1">{"fdsup://IBCentral/FAT Viewer?action=UPDATE&amp;creator=factset&amp;DOC_NAME=fat:reuters_ltm_source_window.fat&amp;display_string=Audit&amp;DYN_ARGS=TRUE&amp;VAR:ID1=MINI&amp;VAR:RCODE=FIBCEBITDA&amp;VAR:SDATE=20090699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15__FDSAUDITLINK__" localSheetId="5" hidden="1">{"fdsup://IBCentral/FAT Viewer?action=UPDATE&amp;creator=factset&amp;DOC_NAME=fat:reuters_ltm_source_window.fat&amp;display_string=Audit&amp;DYN_ARGS=TRUE&amp;VAR:ID1=INSU&amp;VAR:RCODE=FDSREVSTOTAL&amp;VAR:SDATE=20090699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5__FDSAUDITLINK__" localSheetId="0" hidden="1">{"fdsup://IBCentral/FAT Viewer?action=UPDATE&amp;creator=factset&amp;DOC_NAME=fat:reuters_ltm_source_window.fat&amp;display_string=Audit&amp;DYN_ARGS=TRUE&amp;VAR:ID1=INSU&amp;VAR:RCODE=FDSREVSTOTAL&amp;VAR:SDATE=20090699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5__FDSAUDITLINK__" localSheetId="4" hidden="1">{"fdsup://IBCentral/FAT Viewer?action=UPDATE&amp;creator=factset&amp;DOC_NAME=fat:reuters_ltm_source_window.fat&amp;display_string=Audit&amp;DYN_ARGS=TRUE&amp;VAR:ID1=INSU&amp;VAR:RCODE=FDSREVSTOTAL&amp;VAR:SDATE=20090699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5__FDSAUDITLINK__" hidden="1">{"fdsup://IBCentral/FAT Viewer?action=UPDATE&amp;creator=factset&amp;DOC_NAME=fat:reuters_ltm_source_window.fat&amp;display_string=Audit&amp;DYN_ARGS=TRUE&amp;VAR:ID1=INSU&amp;VAR:RCODE=FDSREVSTOTAL&amp;VAR:SDATE=20090699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6__FDSAUDITLINK__" localSheetId="5" hidden="1">{"fdsup://IBCentral/FAT Viewer?action=UPDATE&amp;creator=factset&amp;DOC_NAME=fat:reuters_ltm_source_window.fat&amp;display_string=Audit&amp;DYN_ARGS=TRUE&amp;VAR:ID1=INSU&amp;VAR:RCODE=FIBCEBITDA&amp;VAR:SDATE=20090699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16__FDSAUDITLINK__" localSheetId="0" hidden="1">{"fdsup://IBCentral/FAT Viewer?action=UPDATE&amp;creator=factset&amp;DOC_NAME=fat:reuters_ltm_source_window.fat&amp;display_string=Audit&amp;DYN_ARGS=TRUE&amp;VAR:ID1=INSU&amp;VAR:RCODE=FIBCEBITDA&amp;VAR:SDATE=20090699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16__FDSAUDITLINK__" localSheetId="4" hidden="1">{"fdsup://IBCentral/FAT Viewer?action=UPDATE&amp;creator=factset&amp;DOC_NAME=fat:reuters_ltm_source_window.fat&amp;display_string=Audit&amp;DYN_ARGS=TRUE&amp;VAR:ID1=INSU&amp;VAR:RCODE=FIBCEBITDA&amp;VAR:SDATE=20090699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16__FDSAUDITLINK__" hidden="1">{"fdsup://IBCentral/FAT Viewer?action=UPDATE&amp;creator=factset&amp;DOC_NAME=fat:reuters_ltm_source_window.fat&amp;display_string=Audit&amp;DYN_ARGS=TRUE&amp;VAR:ID1=INSU&amp;VAR:RCODE=FIBCEBITDA&amp;VAR:SDATE=20090699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17__FDSAUDITLINK__" localSheetId="5" hidden="1">{"fdsup://IBCentral/FAT Viewer?action=UPDATE&amp;creator=factset&amp;DOC_NAME=fat:reuters_ltm_source_window.fat&amp;display_string=Audit&amp;DYN_ARGS=TRUE&amp;VAR:ID1=GFF&amp;VAR:RCODE=FDSREVSTOTAL&amp;VAR:SDATE=20090699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7__FDSAUDITLINK__" localSheetId="0" hidden="1">{"fdsup://IBCentral/FAT Viewer?action=UPDATE&amp;creator=factset&amp;DOC_NAME=fat:reuters_ltm_source_window.fat&amp;display_string=Audit&amp;DYN_ARGS=TRUE&amp;VAR:ID1=GFF&amp;VAR:RCODE=FDSREVSTOTAL&amp;VAR:SDATE=20090699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7__FDSAUDITLINK__" localSheetId="4" hidden="1">{"fdsup://IBCentral/FAT Viewer?action=UPDATE&amp;creator=factset&amp;DOC_NAME=fat:reuters_ltm_source_window.fat&amp;display_string=Audit&amp;DYN_ARGS=TRUE&amp;VAR:ID1=GFF&amp;VAR:RCODE=FDSREVSTOTAL&amp;VAR:SDATE=20090699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7__FDSAUDITLINK__" hidden="1">{"fdsup://IBCentral/FAT Viewer?action=UPDATE&amp;creator=factset&amp;DOC_NAME=fat:reuters_ltm_source_window.fat&amp;display_string=Audit&amp;DYN_ARGS=TRUE&amp;VAR:ID1=GFF&amp;VAR:RCODE=FDSREVSTOTAL&amp;VAR:SDATE=20090699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18__FDSAUDITLINK__" localSheetId="5" hidden="1">{"fdsup://IBCentral/FAT Viewer?action=UPDATE&amp;creator=factset&amp;DOC_NAME=fat:reuters_ltm_source_window.fat&amp;display_string=Audit&amp;DYN_ARGS=TRUE&amp;VAR:ID1=GFF&amp;VAR:RCODE=FIBCEBITDA&amp;VAR:SDATE=20090699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8__FDSAUDITLINK__" localSheetId="0" hidden="1">{"fdsup://IBCentral/FAT Viewer?action=UPDATE&amp;creator=factset&amp;DOC_NAME=fat:reuters_ltm_source_window.fat&amp;display_string=Audit&amp;DYN_ARGS=TRUE&amp;VAR:ID1=GFF&amp;VAR:RCODE=FIBCEBITDA&amp;VAR:SDATE=20090699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8__FDSAUDITLINK__" localSheetId="4" hidden="1">{"fdsup://IBCentral/FAT Viewer?action=UPDATE&amp;creator=factset&amp;DOC_NAME=fat:reuters_ltm_source_window.fat&amp;display_string=Audit&amp;DYN_ARGS=TRUE&amp;VAR:ID1=GFF&amp;VAR:RCODE=FIBCEBITDA&amp;VAR:SDATE=20090699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8__FDSAUDITLINK__" hidden="1">{"fdsup://IBCentral/FAT Viewer?action=UPDATE&amp;creator=factset&amp;DOC_NAME=fat:reuters_ltm_source_window.fat&amp;display_string=Audit&amp;DYN_ARGS=TRUE&amp;VAR:ID1=GFF&amp;VAR:RCODE=FIBCEBITDA&amp;VAR:SDATE=20090699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19__FDSAUDITLINK__" localSheetId="5" hidden="1">{"fdsup://IBCentral/FAT Viewer?action=UPDATE&amp;creator=factset&amp;DOC_NAME=fat:reuters_ltm_source_window.fat&amp;display_string=Audit&amp;DYN_ARGS=TRUE&amp;VAR:ID1=AXYS&amp;VAR:RCODE=FDSREVSTOTAL&amp;VAR:SDATE=20090699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9__FDSAUDITLINK__" localSheetId="0" hidden="1">{"fdsup://IBCentral/FAT Viewer?action=UPDATE&amp;creator=factset&amp;DOC_NAME=fat:reuters_ltm_source_window.fat&amp;display_string=Audit&amp;DYN_ARGS=TRUE&amp;VAR:ID1=AXYS&amp;VAR:RCODE=FDSREVSTOTAL&amp;VAR:SDATE=20090699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9__FDSAUDITLINK__" localSheetId="4" hidden="1">{"fdsup://IBCentral/FAT Viewer?action=UPDATE&amp;creator=factset&amp;DOC_NAME=fat:reuters_ltm_source_window.fat&amp;display_string=Audit&amp;DYN_ARGS=TRUE&amp;VAR:ID1=AXYS&amp;VAR:RCODE=FDSREVSTOTAL&amp;VAR:SDATE=20090699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19__FDSAUDITLINK__" hidden="1">{"fdsup://IBCentral/FAT Viewer?action=UPDATE&amp;creator=factset&amp;DOC_NAME=fat:reuters_ltm_source_window.fat&amp;display_string=Audit&amp;DYN_ARGS=TRUE&amp;VAR:ID1=AXYS&amp;VAR:RCODE=FDSREVSTOTAL&amp;VAR:SDATE=20090699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__FDSAUDITLINK__" localSheetId="5" hidden="1">{"fdsup://IBCentral/FAT Viewer?action=UPDATE&amp;creator=factset&amp;DOC_NAME=fat:reuters_ltm_source_window.fat&amp;display_string=Audit&amp;DYN_ARGS=TRUE&amp;VAR:ID1=IEX&amp;VAR:RCODE=FIBCEBITDA&amp;VAR:SDATE=20090399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__FDSAUDITLINK__" localSheetId="0" hidden="1">{"fdsup://IBCentral/FAT Viewer?action=UPDATE&amp;creator=factset&amp;DOC_NAME=fat:reuters_ltm_source_window.fat&amp;display_string=Audit&amp;DYN_ARGS=TRUE&amp;VAR:ID1=IEX&amp;VAR:RCODE=FIBCEBITDA&amp;VAR:SDATE=20090399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__FDSAUDITLINK__" localSheetId="4" hidden="1">{"fdsup://IBCentral/FAT Viewer?action=UPDATE&amp;creator=factset&amp;DOC_NAME=fat:reuters_ltm_source_window.fat&amp;display_string=Audit&amp;DYN_ARGS=TRUE&amp;VAR:ID1=IEX&amp;VAR:RCODE=FIBCEBITDA&amp;VAR:SDATE=20090399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__FDSAUDITLINK__" hidden="1">{"fdsup://IBCentral/FAT Viewer?action=UPDATE&amp;creator=factset&amp;DOC_NAME=fat:reuters_ltm_source_window.fat&amp;display_string=Audit&amp;DYN_ARGS=TRUE&amp;VAR:ID1=IEX&amp;VAR:RCODE=FIBCEBITDA&amp;VAR:SDATE=20090399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0__FDSAUDITLINK__" localSheetId="5" hidden="1">{"fdsup://IBCentral/FAT Viewer?action=UPDATE&amp;creator=factset&amp;DOC_NAME=fat:reuters_ltm_source_window.fat&amp;display_string=Audit&amp;DYN_ARGS=TRUE&amp;VAR:ID1=AXYS&amp;VAR:RCODE=FIBCEBITDA&amp;VAR:SDATE=20090699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0__FDSAUDITLINK__" localSheetId="0" hidden="1">{"fdsup://IBCentral/FAT Viewer?action=UPDATE&amp;creator=factset&amp;DOC_NAME=fat:reuters_ltm_source_window.fat&amp;display_string=Audit&amp;DYN_ARGS=TRUE&amp;VAR:ID1=AXYS&amp;VAR:RCODE=FIBCEBITDA&amp;VAR:SDATE=20090699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0__FDSAUDITLINK__" localSheetId="4" hidden="1">{"fdsup://IBCentral/FAT Viewer?action=UPDATE&amp;creator=factset&amp;DOC_NAME=fat:reuters_ltm_source_window.fat&amp;display_string=Audit&amp;DYN_ARGS=TRUE&amp;VAR:ID1=AXYS&amp;VAR:RCODE=FIBCEBITDA&amp;VAR:SDATE=20090699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0__FDSAUDITLINK__" hidden="1">{"fdsup://IBCentral/FAT Viewer?action=UPDATE&amp;creator=factset&amp;DOC_NAME=fat:reuters_ltm_source_window.fat&amp;display_string=Audit&amp;DYN_ARGS=TRUE&amp;VAR:ID1=AXYS&amp;VAR:RCODE=FIBCEBITDA&amp;VAR:SDATE=20090699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1__FDSAUDITLINK__" localSheetId="5" hidden="1">{"fdsup://IBCentral/FAT Viewer?action=UPDATE&amp;creator=factset&amp;DOC_NAME=fat:reuters_ltm_source_window.fat&amp;display_string=Audit&amp;DYN_ARGS=TRUE&amp;VAR:ID1=ASEI&amp;VAR:RCODE=FDSREVSTOTAL&amp;VAR:SDATE=20090699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1__FDSAUDITLINK__" localSheetId="0" hidden="1">{"fdsup://IBCentral/FAT Viewer?action=UPDATE&amp;creator=factset&amp;DOC_NAME=fat:reuters_ltm_source_window.fat&amp;display_string=Audit&amp;DYN_ARGS=TRUE&amp;VAR:ID1=ASEI&amp;VAR:RCODE=FDSREVSTOTAL&amp;VAR:SDATE=20090699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1__FDSAUDITLINK__" localSheetId="4" hidden="1">{"fdsup://IBCentral/FAT Viewer?action=UPDATE&amp;creator=factset&amp;DOC_NAME=fat:reuters_ltm_source_window.fat&amp;display_string=Audit&amp;DYN_ARGS=TRUE&amp;VAR:ID1=ASEI&amp;VAR:RCODE=FDSREVSTOTAL&amp;VAR:SDATE=20090699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1__FDSAUDITLINK__" hidden="1">{"fdsup://IBCentral/FAT Viewer?action=UPDATE&amp;creator=factset&amp;DOC_NAME=fat:reuters_ltm_source_window.fat&amp;display_string=Audit&amp;DYN_ARGS=TRUE&amp;VAR:ID1=ASEI&amp;VAR:RCODE=FDSREVSTOTAL&amp;VAR:SDATE=20090699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2__FDSAUDITLINK__" localSheetId="5" hidden="1">{"fdsup://IBCentral/FAT Viewer?action=UPDATE&amp;creator=factset&amp;DOC_NAME=fat:reuters_ltm_source_window.fat&amp;display_string=Audit&amp;DYN_ARGS=TRUE&amp;VAR:ID1=ASEI&amp;VAR:RCODE=FIBCEBITDA&amp;VAR:SDATE=20090699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2__FDSAUDITLINK__" localSheetId="0" hidden="1">{"fdsup://IBCentral/FAT Viewer?action=UPDATE&amp;creator=factset&amp;DOC_NAME=fat:reuters_ltm_source_window.fat&amp;display_string=Audit&amp;DYN_ARGS=TRUE&amp;VAR:ID1=ASEI&amp;VAR:RCODE=FIBCEBITDA&amp;VAR:SDATE=20090699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2__FDSAUDITLINK__" localSheetId="4" hidden="1">{"fdsup://IBCentral/FAT Viewer?action=UPDATE&amp;creator=factset&amp;DOC_NAME=fat:reuters_ltm_source_window.fat&amp;display_string=Audit&amp;DYN_ARGS=TRUE&amp;VAR:ID1=ASEI&amp;VAR:RCODE=FIBCEBITDA&amp;VAR:SDATE=20090699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2__FDSAUDITLINK__" hidden="1">{"fdsup://IBCentral/FAT Viewer?action=UPDATE&amp;creator=factset&amp;DOC_NAME=fat:reuters_ltm_source_window.fat&amp;display_string=Audit&amp;DYN_ARGS=TRUE&amp;VAR:ID1=ASEI&amp;VAR:RCODE=FIBCEBITDA&amp;VAR:SDATE=20090699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3__FDSAUDITLINK__" localSheetId="5" hidden="1">{"fdsup://IBCentral/FAT Viewer?action=UPDATE&amp;creator=factset&amp;DOC_NAME=fat:reuters_ltm_source_window.fat&amp;display_string=Audit&amp;DYN_ARGS=TRUE&amp;VAR:ID1=FWRD&amp;VAR:RCODE=FDSREVSTOTAL&amp;VAR:SDATE=20090699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3__FDSAUDITLINK__" localSheetId="0" hidden="1">{"fdsup://IBCentral/FAT Viewer?action=UPDATE&amp;creator=factset&amp;DOC_NAME=fat:reuters_ltm_source_window.fat&amp;display_string=Audit&amp;DYN_ARGS=TRUE&amp;VAR:ID1=FWRD&amp;VAR:RCODE=FDSREVSTOTAL&amp;VAR:SDATE=20090699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3__FDSAUDITLINK__" localSheetId="4" hidden="1">{"fdsup://IBCentral/FAT Viewer?action=UPDATE&amp;creator=factset&amp;DOC_NAME=fat:reuters_ltm_source_window.fat&amp;display_string=Audit&amp;DYN_ARGS=TRUE&amp;VAR:ID1=FWRD&amp;VAR:RCODE=FDSREVSTOTAL&amp;VAR:SDATE=20090699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3__FDSAUDITLINK__" hidden="1">{"fdsup://IBCentral/FAT Viewer?action=UPDATE&amp;creator=factset&amp;DOC_NAME=fat:reuters_ltm_source_window.fat&amp;display_string=Audit&amp;DYN_ARGS=TRUE&amp;VAR:ID1=FWRD&amp;VAR:RCODE=FDSREVSTOTAL&amp;VAR:SDATE=20090699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4__FDSAUDITLINK__" localSheetId="5" hidden="1">{"fdsup://IBCentral/FAT Viewer?action=UPDATE&amp;creator=factset&amp;DOC_NAME=fat:reuters_ltm_source_window.fat&amp;display_string=Audit&amp;DYN_ARGS=TRUE&amp;VAR:ID1=FWRD&amp;VAR:RCODE=FIBCEBITDA&amp;VAR:SDATE=20090699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4__FDSAUDITLINK__" localSheetId="0" hidden="1">{"fdsup://IBCentral/FAT Viewer?action=UPDATE&amp;creator=factset&amp;DOC_NAME=fat:reuters_ltm_source_window.fat&amp;display_string=Audit&amp;DYN_ARGS=TRUE&amp;VAR:ID1=FWRD&amp;VAR:RCODE=FIBCEBITDA&amp;VAR:SDATE=20090699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4__FDSAUDITLINK__" localSheetId="4" hidden="1">{"fdsup://IBCentral/FAT Viewer?action=UPDATE&amp;creator=factset&amp;DOC_NAME=fat:reuters_ltm_source_window.fat&amp;display_string=Audit&amp;DYN_ARGS=TRUE&amp;VAR:ID1=FWRD&amp;VAR:RCODE=FIBCEBITDA&amp;VAR:SDATE=20090699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4__FDSAUDITLINK__" hidden="1">{"fdsup://IBCentral/FAT Viewer?action=UPDATE&amp;creator=factset&amp;DOC_NAME=fat:reuters_ltm_source_window.fat&amp;display_string=Audit&amp;DYN_ARGS=TRUE&amp;VAR:ID1=FWRD&amp;VAR:RCODE=FIBCEBITDA&amp;VAR:SDATE=20090699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25__FDSAUDITLINK__" localSheetId="5" hidden="1">{"fdsup://IBCentral/FAT Viewer?action=UPDATE&amp;creator=factset&amp;DOC_NAME=fat:reuters_ltm_source_window.fat&amp;display_string=Audit&amp;DYN_ARGS=TRUE&amp;VAR:ID1=HNI&amp;VAR:RCODE=FDSREVSTOTAL&amp;VAR:SDATE=20090699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25__FDSAUDITLINK__" localSheetId="0" hidden="1">{"fdsup://IBCentral/FAT Viewer?action=UPDATE&amp;creator=factset&amp;DOC_NAME=fat:reuters_ltm_source_window.fat&amp;display_string=Audit&amp;DYN_ARGS=TRUE&amp;VAR:ID1=HNI&amp;VAR:RCODE=FDSREVSTOTAL&amp;VAR:SDATE=20090699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25__FDSAUDITLINK__" localSheetId="4" hidden="1">{"fdsup://IBCentral/FAT Viewer?action=UPDATE&amp;creator=factset&amp;DOC_NAME=fat:reuters_ltm_source_window.fat&amp;display_string=Audit&amp;DYN_ARGS=TRUE&amp;VAR:ID1=HNI&amp;VAR:RCODE=FDSREVSTOTAL&amp;VAR:SDATE=20090699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25__FDSAUDITLINK__" hidden="1">{"fdsup://IBCentral/FAT Viewer?action=UPDATE&amp;creator=factset&amp;DOC_NAME=fat:reuters_ltm_source_window.fat&amp;display_string=Audit&amp;DYN_ARGS=TRUE&amp;VAR:ID1=HNI&amp;VAR:RCODE=FDSREVSTOTAL&amp;VAR:SDATE=20090699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26__FDSAUDITLINK__" localSheetId="5" hidden="1">{"fdsup://IBCentral/FAT Viewer?action=UPDATE&amp;creator=factset&amp;DOC_NAME=fat:reuters_ltm_source_window.fat&amp;display_string=Audit&amp;DYN_ARGS=TRUE&amp;VAR:ID1=HNI&amp;VAR:RCODE=FIBCEBITDA&amp;VAR:SDATE=20090699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6__FDSAUDITLINK__" localSheetId="0" hidden="1">{"fdsup://IBCentral/FAT Viewer?action=UPDATE&amp;creator=factset&amp;DOC_NAME=fat:reuters_ltm_source_window.fat&amp;display_string=Audit&amp;DYN_ARGS=TRUE&amp;VAR:ID1=HNI&amp;VAR:RCODE=FIBCEBITDA&amp;VAR:SDATE=20090699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6__FDSAUDITLINK__" localSheetId="4" hidden="1">{"fdsup://IBCentral/FAT Viewer?action=UPDATE&amp;creator=factset&amp;DOC_NAME=fat:reuters_ltm_source_window.fat&amp;display_string=Audit&amp;DYN_ARGS=TRUE&amp;VAR:ID1=HNI&amp;VAR:RCODE=FIBCEBITDA&amp;VAR:SDATE=20090699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6__FDSAUDITLINK__" hidden="1">{"fdsup://IBCentral/FAT Viewer?action=UPDATE&amp;creator=factset&amp;DOC_NAME=fat:reuters_ltm_source_window.fat&amp;display_string=Audit&amp;DYN_ARGS=TRUE&amp;VAR:ID1=HNI&amp;VAR:RCODE=FIBCEBITDA&amp;VAR:SDATE=20090699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7__FDSAUDITLINK__" localSheetId="5" hidden="1">{"fdsup://IBCentral/FAT Viewer?action=UPDATE&amp;creator=factset&amp;DOC_NAME=fat:reuters_ltm_source_window.fat&amp;display_string=Audit&amp;DYN_ARGS=TRUE&amp;VAR:ID1=AAI&amp;VAR:RCODE=FDSREVSTOTAL&amp;VAR:SDATE=20090699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27__FDSAUDITLINK__" localSheetId="0" hidden="1">{"fdsup://IBCentral/FAT Viewer?action=UPDATE&amp;creator=factset&amp;DOC_NAME=fat:reuters_ltm_source_window.fat&amp;display_string=Audit&amp;DYN_ARGS=TRUE&amp;VAR:ID1=AAI&amp;VAR:RCODE=FDSREVSTOTAL&amp;VAR:SDATE=20090699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27__FDSAUDITLINK__" localSheetId="4" hidden="1">{"fdsup://IBCentral/FAT Viewer?action=UPDATE&amp;creator=factset&amp;DOC_NAME=fat:reuters_ltm_source_window.fat&amp;display_string=Audit&amp;DYN_ARGS=TRUE&amp;VAR:ID1=AAI&amp;VAR:RCODE=FDSREVSTOTAL&amp;VAR:SDATE=20090699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Viewer?action=UPDATE&amp;creator=factset&amp;DOC_NAME=fat:reuters_ltm_source_window.fat&amp;display_string=Audit&amp;DYN_ARGS=TRUE&amp;VAR:ID1=AAI&amp;VAR:RCODE=FDSREVSTOTAL&amp;VAR:SDATE=20090699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28__FDSAUDITLINK__" localSheetId="5" hidden="1">{"fdsup://IBCentral/FAT Viewer?action=UPDATE&amp;creator=factset&amp;DOC_NAME=fat:reuters_ltm_source_window.fat&amp;display_string=Audit&amp;DYN_ARGS=TRUE&amp;VAR:ID1=AAI&amp;VAR:RCODE=FIBCEBITDA&amp;VAR:SDATE=20090699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8__FDSAUDITLINK__" localSheetId="0" hidden="1">{"fdsup://IBCentral/FAT Viewer?action=UPDATE&amp;creator=factset&amp;DOC_NAME=fat:reuters_ltm_source_window.fat&amp;display_string=Audit&amp;DYN_ARGS=TRUE&amp;VAR:ID1=AAI&amp;VAR:RCODE=FIBCEBITDA&amp;VAR:SDATE=20090699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8__FDSAUDITLINK__" localSheetId="4" hidden="1">{"fdsup://IBCentral/FAT Viewer?action=UPDATE&amp;creator=factset&amp;DOC_NAME=fat:reuters_ltm_source_window.fat&amp;display_string=Audit&amp;DYN_ARGS=TRUE&amp;VAR:ID1=AAI&amp;VAR:RCODE=FIBCEBITDA&amp;VAR:SDATE=20090699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8__FDSAUDITLINK__" hidden="1">{"fdsup://IBCentral/FAT Viewer?action=UPDATE&amp;creator=factset&amp;DOC_NAME=fat:reuters_ltm_source_window.fat&amp;display_string=Audit&amp;DYN_ARGS=TRUE&amp;VAR:ID1=AAI&amp;VAR:RCODE=FIBCEBITDA&amp;VAR:SDATE=20090699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29__FDSAUDITLINK__" localSheetId="5" hidden="1">{"fdsup://IBCentral/FAT Viewer?action=UPDATE&amp;creator=factset&amp;DOC_NAME=fat:reuters_ltm_source_window.fat&amp;display_string=Audit&amp;DYN_ARGS=TRUE&amp;VAR:ID1=EXBD&amp;VAR:RCODE=FDSREVSTOTAL&amp;VAR:SDATE=20090699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9__FDSAUDITLINK__" localSheetId="0" hidden="1">{"fdsup://IBCentral/FAT Viewer?action=UPDATE&amp;creator=factset&amp;DOC_NAME=fat:reuters_ltm_source_window.fat&amp;display_string=Audit&amp;DYN_ARGS=TRUE&amp;VAR:ID1=EXBD&amp;VAR:RCODE=FDSREVSTOTAL&amp;VAR:SDATE=20090699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9__FDSAUDITLINK__" localSheetId="4" hidden="1">{"fdsup://IBCentral/FAT Viewer?action=UPDATE&amp;creator=factset&amp;DOC_NAME=fat:reuters_ltm_source_window.fat&amp;display_string=Audit&amp;DYN_ARGS=TRUE&amp;VAR:ID1=EXBD&amp;VAR:RCODE=FDSREVSTOTAL&amp;VAR:SDATE=20090699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29__FDSAUDITLINK__" hidden="1">{"fdsup://IBCentral/FAT Viewer?action=UPDATE&amp;creator=factset&amp;DOC_NAME=fat:reuters_ltm_source_window.fat&amp;display_string=Audit&amp;DYN_ARGS=TRUE&amp;VAR:ID1=EXBD&amp;VAR:RCODE=FDSREVSTOTAL&amp;VAR:SDATE=20090699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__123Graph_AChart_1D" localSheetId="0" hidden="1">#REF!</definedName>
    <definedName name="_53__123Graph_AChart_1D" hidden="1">#REF!</definedName>
    <definedName name="_53__FDSAUDITLINK__" localSheetId="5" hidden="1">{"fdsup://IBCentral/FAT Viewer?action=UPDATE&amp;creator=factset&amp;DOC_NAME=fat:reuters_ltm_source_window.fat&amp;display_string=Audit&amp;DYN_ARGS=TRUE&amp;VAR:ID1=AG&amp;VAR:RCODE=FIBCEBITDA&amp;VAR:SDATE=20090399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3__FDSAUDITLINK__" localSheetId="0" hidden="1">{"fdsup://IBCentral/FAT Viewer?action=UPDATE&amp;creator=factset&amp;DOC_NAME=fat:reuters_ltm_source_window.fat&amp;display_string=Audit&amp;DYN_ARGS=TRUE&amp;VAR:ID1=AG&amp;VAR:RCODE=FIBCEBITDA&amp;VAR:SDATE=20090399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3__FDSAUDITLINK__" localSheetId="4" hidden="1">{"fdsup://IBCentral/FAT Viewer?action=UPDATE&amp;creator=factset&amp;DOC_NAME=fat:reuters_ltm_source_window.fat&amp;display_string=Audit&amp;DYN_ARGS=TRUE&amp;VAR:ID1=AG&amp;VAR:RCODE=FIBCEBITDA&amp;VAR:SDATE=20090399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3__FDSAUDITLINK__" hidden="1">{"fdsup://IBCentral/FAT Viewer?action=UPDATE&amp;creator=factset&amp;DOC_NAME=fat:reuters_ltm_source_window.fat&amp;display_string=Audit&amp;DYN_ARGS=TRUE&amp;VAR:ID1=AG&amp;VAR:RCODE=FIBCEBITDA&amp;VAR:SDATE=20090399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30__FDSAUDITLINK__" localSheetId="5" hidden="1">{"fdsup://IBCentral/FAT Viewer?action=UPDATE&amp;creator=factset&amp;DOC_NAME=fat:reuters_ltm_source_window.fat&amp;display_string=Audit&amp;DYN_ARGS=TRUE&amp;VAR:ID1=EXBD&amp;VAR:RCODE=FIBCEBITDA&amp;VAR:SDATE=20090699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0__FDSAUDITLINK__" localSheetId="0" hidden="1">{"fdsup://IBCentral/FAT Viewer?action=UPDATE&amp;creator=factset&amp;DOC_NAME=fat:reuters_ltm_source_window.fat&amp;display_string=Audit&amp;DYN_ARGS=TRUE&amp;VAR:ID1=EXBD&amp;VAR:RCODE=FIBCEBITDA&amp;VAR:SDATE=20090699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0__FDSAUDITLINK__" localSheetId="4" hidden="1">{"fdsup://IBCentral/FAT Viewer?action=UPDATE&amp;creator=factset&amp;DOC_NAME=fat:reuters_ltm_source_window.fat&amp;display_string=Audit&amp;DYN_ARGS=TRUE&amp;VAR:ID1=EXBD&amp;VAR:RCODE=FIBCEBITDA&amp;VAR:SDATE=20090699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0__FDSAUDITLINK__" hidden="1">{"fdsup://IBCentral/FAT Viewer?action=UPDATE&amp;creator=factset&amp;DOC_NAME=fat:reuters_ltm_source_window.fat&amp;display_string=Audit&amp;DYN_ARGS=TRUE&amp;VAR:ID1=EXBD&amp;VAR:RCODE=FIBCEBITDA&amp;VAR:SDATE=20090699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1__FDSAUDITLINK__" localSheetId="5" hidden="1">{"fdsup://IBCentral/FAT Viewer?action=UPDATE&amp;creator=factset&amp;DOC_NAME=fat:reuters_annual_source_window.fat&amp;display_string=Audit&amp;DYN_ARGS=TRUE&amp;VAR:ID1=00036110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31__FDSAUDITLINK__" localSheetId="0" hidden="1">{"fdsup://IBCentral/FAT Viewer?action=UPDATE&amp;creator=factset&amp;DOC_NAME=fat:reuters_annual_source_window.fat&amp;display_string=Audit&amp;DYN_ARGS=TRUE&amp;VAR:ID1=00036110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31__FDSAUDITLINK__" localSheetId="4" hidden="1">{"fdsup://IBCentral/FAT Viewer?action=UPDATE&amp;creator=factset&amp;DOC_NAME=fat:reuters_annual_source_window.fat&amp;display_string=Audit&amp;DYN_ARGS=TRUE&amp;VAR:ID1=00036110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00036110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32__FDSAUDITLINK__" localSheetId="5" hidden="1">{"fdsup://IBCentral/FAT Viewer?action=UPDATE&amp;creator=factset&amp;DOC_NAME=fat:reuters_annual_source_window.fat&amp;display_string=Audit&amp;DYN_ARGS=TRUE&amp;VAR:ID1=00036110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32__FDSAUDITLINK__" localSheetId="0" hidden="1">{"fdsup://IBCentral/FAT Viewer?action=UPDATE&amp;creator=factset&amp;DOC_NAME=fat:reuters_annual_source_window.fat&amp;display_string=Audit&amp;DYN_ARGS=TRUE&amp;VAR:ID1=00036110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32__FDSAUDITLINK__" localSheetId="4" hidden="1">{"fdsup://IBCentral/FAT Viewer?action=UPDATE&amp;creator=factset&amp;DOC_NAME=fat:reuters_annual_source_window.fat&amp;display_string=Audit&amp;DYN_ARGS=TRUE&amp;VAR:ID1=00036110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32__FDSAUDITLINK__" hidden="1">{"fdsup://IBCentral/FAT Viewer?action=UPDATE&amp;creator=factset&amp;DOC_NAME=fat:reuters_annual_source_window.fat&amp;display_string=Audit&amp;DYN_ARGS=TRUE&amp;VAR:ID1=00036110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33__FDSAUDITLINK__" localSheetId="5" hidden="1">{"fdsup://IBCentral/FAT Viewer?action=UPDATE&amp;creator=factset&amp;DOC_NAME=fat:reuters_annual_source_window.fat&amp;display_string=Audit&amp;DYN_ARGS=TRUE&amp;VAR:ID1=90210410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33__FDSAUDITLINK__" localSheetId="0" hidden="1">{"fdsup://IBCentral/FAT Viewer?action=UPDATE&amp;creator=factset&amp;DOC_NAME=fat:reuters_annual_source_window.fat&amp;display_string=Audit&amp;DYN_ARGS=TRUE&amp;VAR:ID1=90210410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33__FDSAUDITLINK__" localSheetId="4" hidden="1">{"fdsup://IBCentral/FAT Viewer?action=UPDATE&amp;creator=factset&amp;DOC_NAME=fat:reuters_annual_source_window.fat&amp;display_string=Audit&amp;DYN_ARGS=TRUE&amp;VAR:ID1=90210410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33__FDSAUDITLINK__" hidden="1">{"fdsup://IBCentral/FAT Viewer?action=UPDATE&amp;creator=factset&amp;DOC_NAME=fat:reuters_annual_source_window.fat&amp;display_string=Audit&amp;DYN_ARGS=TRUE&amp;VAR:ID1=90210410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34__FDSAUDITLINK__" localSheetId="5" hidden="1">{"fdsup://IBCentral/FAT Viewer?action=UPDATE&amp;creator=factset&amp;DOC_NAME=fat:reuters_annual_source_window.fat&amp;display_string=Audit&amp;DYN_ARGS=TRUE&amp;VAR:ID1=90210410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34__FDSAUDITLINK__" localSheetId="0" hidden="1">{"fdsup://IBCentral/FAT Viewer?action=UPDATE&amp;creator=factset&amp;DOC_NAME=fat:reuters_annual_source_window.fat&amp;display_string=Audit&amp;DYN_ARGS=TRUE&amp;VAR:ID1=90210410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34__FDSAUDITLINK__" localSheetId="4" hidden="1">{"fdsup://IBCentral/FAT Viewer?action=UPDATE&amp;creator=factset&amp;DOC_NAME=fat:reuters_annual_source_window.fat&amp;display_string=Audit&amp;DYN_ARGS=TRUE&amp;VAR:ID1=90210410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34__FDSAUDITLINK__" hidden="1">{"fdsup://IBCentral/FAT Viewer?action=UPDATE&amp;creator=factset&amp;DOC_NAME=fat:reuters_annual_source_window.fat&amp;display_string=Audit&amp;DYN_ARGS=TRUE&amp;VAR:ID1=90210410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35__FDSAUDITLINK__" localSheetId="5" hidden="1">{"fdsup://IBCentral/FAT Viewer?action=UPDATE&amp;creator=factset&amp;DOC_NAME=fat:reuters_ltm_source_window.fat&amp;display_string=Audit&amp;DYN_ARGS=TRUE&amp;VAR:ID1=CRDN&amp;VAR:RCODE=FDSREVSTOTAL&amp;VAR:SDATE=20090699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5__FDSAUDITLINK__" localSheetId="0" hidden="1">{"fdsup://IBCentral/FAT Viewer?action=UPDATE&amp;creator=factset&amp;DOC_NAME=fat:reuters_ltm_source_window.fat&amp;display_string=Audit&amp;DYN_ARGS=TRUE&amp;VAR:ID1=CRDN&amp;VAR:RCODE=FDSREVSTOTAL&amp;VAR:SDATE=20090699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5__FDSAUDITLINK__" localSheetId="4" hidden="1">{"fdsup://IBCentral/FAT Viewer?action=UPDATE&amp;creator=factset&amp;DOC_NAME=fat:reuters_ltm_source_window.fat&amp;display_string=Audit&amp;DYN_ARGS=TRUE&amp;VAR:ID1=CRDN&amp;VAR:RCODE=FDSREVSTOTAL&amp;VAR:SDATE=20090699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5__FDSAUDITLINK__" hidden="1">{"fdsup://IBCentral/FAT Viewer?action=UPDATE&amp;creator=factset&amp;DOC_NAME=fat:reuters_ltm_source_window.fat&amp;display_string=Audit&amp;DYN_ARGS=TRUE&amp;VAR:ID1=CRDN&amp;VAR:RCODE=FDSREVSTOTAL&amp;VAR:SDATE=20090699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6__FDSAUDITLINK__" localSheetId="5" hidden="1">{"fdsup://IBCentral/FAT Viewer?action=UPDATE&amp;creator=factset&amp;DOC_NAME=fat:reuters_ltm_source_window.fat&amp;display_string=Audit&amp;DYN_ARGS=TRUE&amp;VAR:ID1=CRDN&amp;VAR:RCODE=FIBCEBITDA&amp;VAR:SDATE=20090699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6__FDSAUDITLINK__" localSheetId="0" hidden="1">{"fdsup://IBCentral/FAT Viewer?action=UPDATE&amp;creator=factset&amp;DOC_NAME=fat:reuters_ltm_source_window.fat&amp;display_string=Audit&amp;DYN_ARGS=TRUE&amp;VAR:ID1=CRDN&amp;VAR:RCODE=FIBCEBITDA&amp;VAR:SDATE=20090699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6__FDSAUDITLINK__" localSheetId="4" hidden="1">{"fdsup://IBCentral/FAT Viewer?action=UPDATE&amp;creator=factset&amp;DOC_NAME=fat:reuters_ltm_source_window.fat&amp;display_string=Audit&amp;DYN_ARGS=TRUE&amp;VAR:ID1=CRDN&amp;VAR:RCODE=FIBCEBITDA&amp;VAR:SDATE=20090699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6__FDSAUDITLINK__" hidden="1">{"fdsup://IBCentral/FAT Viewer?action=UPDATE&amp;creator=factset&amp;DOC_NAME=fat:reuters_ltm_source_window.fat&amp;display_string=Audit&amp;DYN_ARGS=TRUE&amp;VAR:ID1=CRDN&amp;VAR:RCODE=FIBCEBITDA&amp;VAR:SDATE=20090699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7__FDSAUDITLINK__" localSheetId="5" hidden="1">{"fdsup://IBCentral/FAT Viewer?action=UPDATE&amp;creator=factset&amp;DOC_NAME=fat:reuters_ltm_source_window.fat&amp;display_string=Audit&amp;DYN_ARGS=TRUE&amp;VAR:ID1=UFPI&amp;VAR:RCODE=FDSREVSTOTAL&amp;VAR:SDATE=20090699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7__FDSAUDITLINK__" localSheetId="0" hidden="1">{"fdsup://IBCentral/FAT Viewer?action=UPDATE&amp;creator=factset&amp;DOC_NAME=fat:reuters_ltm_source_window.fat&amp;display_string=Audit&amp;DYN_ARGS=TRUE&amp;VAR:ID1=UFPI&amp;VAR:RCODE=FDSREVSTOTAL&amp;VAR:SDATE=20090699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7__FDSAUDITLINK__" localSheetId="4" hidden="1">{"fdsup://IBCentral/FAT Viewer?action=UPDATE&amp;creator=factset&amp;DOC_NAME=fat:reuters_ltm_source_window.fat&amp;display_string=Audit&amp;DYN_ARGS=TRUE&amp;VAR:ID1=UFPI&amp;VAR:RCODE=FDSREVSTOTAL&amp;VAR:SDATE=20090699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7__FDSAUDITLINK__" hidden="1">{"fdsup://IBCentral/FAT Viewer?action=UPDATE&amp;creator=factset&amp;DOC_NAME=fat:reuters_ltm_source_window.fat&amp;display_string=Audit&amp;DYN_ARGS=TRUE&amp;VAR:ID1=UFPI&amp;VAR:RCODE=FDSREVSTOTAL&amp;VAR:SDATE=20090699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38__FDSAUDITLINK__" localSheetId="5" hidden="1">{"fdsup://IBCentral/FAT Viewer?action=UPDATE&amp;creator=factset&amp;DOC_NAME=fat:reuters_ltm_source_window.fat&amp;display_string=Audit&amp;DYN_ARGS=TRUE&amp;VAR:ID1=UFPI&amp;VAR:RCODE=FIBCEBITDA&amp;VAR:SDATE=20090699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8__FDSAUDITLINK__" localSheetId="0" hidden="1">{"fdsup://IBCentral/FAT Viewer?action=UPDATE&amp;creator=factset&amp;DOC_NAME=fat:reuters_ltm_source_window.fat&amp;display_string=Audit&amp;DYN_ARGS=TRUE&amp;VAR:ID1=UFPI&amp;VAR:RCODE=FIBCEBITDA&amp;VAR:SDATE=20090699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8__FDSAUDITLINK__" localSheetId="4" hidden="1">{"fdsup://IBCentral/FAT Viewer?action=UPDATE&amp;creator=factset&amp;DOC_NAME=fat:reuters_ltm_source_window.fat&amp;display_string=Audit&amp;DYN_ARGS=TRUE&amp;VAR:ID1=UFPI&amp;VAR:RCODE=FIBCEBITDA&amp;VAR:SDATE=20090699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8__FDSAUDITLINK__" hidden="1">{"fdsup://IBCentral/FAT Viewer?action=UPDATE&amp;creator=factset&amp;DOC_NAME=fat:reuters_ltm_source_window.fat&amp;display_string=Audit&amp;DYN_ARGS=TRUE&amp;VAR:ID1=UFPI&amp;VAR:RCODE=FIBCEBITDA&amp;VAR:SDATE=20090699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39__FDSAUDITLINK__" localSheetId="5" hidden="1">{"fdsup://IBCentral/FAT Viewer?action=UPDATE&amp;creator=factset&amp;DOC_NAME=fat:reuters_ltm_source_window.fat&amp;display_string=Audit&amp;DYN_ARGS=TRUE&amp;VAR:ID1=ASF&amp;VAR:RCODE=FDSREVSTOTAL&amp;VAR:SDATE=20090699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39__FDSAUDITLINK__" localSheetId="0" hidden="1">{"fdsup://IBCentral/FAT Viewer?action=UPDATE&amp;creator=factset&amp;DOC_NAME=fat:reuters_ltm_source_window.fat&amp;display_string=Audit&amp;DYN_ARGS=TRUE&amp;VAR:ID1=ASF&amp;VAR:RCODE=FDSREVSTOTAL&amp;VAR:SDATE=20090699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39__FDSAUDITLINK__" localSheetId="4" hidden="1">{"fdsup://IBCentral/FAT Viewer?action=UPDATE&amp;creator=factset&amp;DOC_NAME=fat:reuters_ltm_source_window.fat&amp;display_string=Audit&amp;DYN_ARGS=TRUE&amp;VAR:ID1=ASF&amp;VAR:RCODE=FDSREVSTOTAL&amp;VAR:SDATE=20090699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39__FDSAUDITLINK__" hidden="1">{"fdsup://IBCentral/FAT Viewer?action=UPDATE&amp;creator=factset&amp;DOC_NAME=fat:reuters_ltm_source_window.fat&amp;display_string=Audit&amp;DYN_ARGS=TRUE&amp;VAR:ID1=ASF&amp;VAR:RCODE=FDSREVSTOTAL&amp;VAR:SDATE=20090699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__FDSAUDITLINK__" localSheetId="5" hidden="1">{"fdsup://IBCentral/FAT Viewer?action=UPDATE&amp;creator=factset&amp;DOC_NAME=fat:reuters_ltm_source_window.fat&amp;display_string=Audit&amp;DYN_ARGS=TRUE&amp;VAR:ID1=HSC&amp;VAR:RCODE=FIBCEBITDA&amp;VAR:SDATE=20090399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__FDSAUDITLINK__" localSheetId="0" hidden="1">{"fdsup://IBCentral/FAT Viewer?action=UPDATE&amp;creator=factset&amp;DOC_NAME=fat:reuters_ltm_source_window.fat&amp;display_string=Audit&amp;DYN_ARGS=TRUE&amp;VAR:ID1=HSC&amp;VAR:RCODE=FIBCEBITDA&amp;VAR:SDATE=20090399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__FDSAUDITLINK__" localSheetId="4" hidden="1">{"fdsup://IBCentral/FAT Viewer?action=UPDATE&amp;creator=factset&amp;DOC_NAME=fat:reuters_ltm_source_window.fat&amp;display_string=Audit&amp;DYN_ARGS=TRUE&amp;VAR:ID1=HSC&amp;VAR:RCODE=FIBCEBITDA&amp;VAR:SDATE=20090399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__FDSAUDITLINK__" hidden="1">{"fdsup://IBCentral/FAT Viewer?action=UPDATE&amp;creator=factset&amp;DOC_NAME=fat:reuters_ltm_source_window.fat&amp;display_string=Audit&amp;DYN_ARGS=TRUE&amp;VAR:ID1=HSC&amp;VAR:RCODE=FIBCEBITDA&amp;VAR:SDATE=20090399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0__FDSAUDITLINK__" localSheetId="5" hidden="1">{"fdsup://IBCentral/FAT Viewer?action=UPDATE&amp;creator=factset&amp;DOC_NAME=fat:reuters_ltm_source_window.fat&amp;display_string=Audit&amp;DYN_ARGS=TRUE&amp;VAR:ID1=ASF&amp;VAR:RCODE=FIBCEBITDA&amp;VAR:SDATE=20090699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0__FDSAUDITLINK__" localSheetId="0" hidden="1">{"fdsup://IBCentral/FAT Viewer?action=UPDATE&amp;creator=factset&amp;DOC_NAME=fat:reuters_ltm_source_window.fat&amp;display_string=Audit&amp;DYN_ARGS=TRUE&amp;VAR:ID1=ASF&amp;VAR:RCODE=FIBCEBITDA&amp;VAR:SDATE=20090699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0__FDSAUDITLINK__" localSheetId="4" hidden="1">{"fdsup://IBCentral/FAT Viewer?action=UPDATE&amp;creator=factset&amp;DOC_NAME=fat:reuters_ltm_source_window.fat&amp;display_string=Audit&amp;DYN_ARGS=TRUE&amp;VAR:ID1=ASF&amp;VAR:RCODE=FIBCEBITDA&amp;VAR:SDATE=20090699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0__FDSAUDITLINK__" hidden="1">{"fdsup://IBCentral/FAT Viewer?action=UPDATE&amp;creator=factset&amp;DOC_NAME=fat:reuters_ltm_source_window.fat&amp;display_string=Audit&amp;DYN_ARGS=TRUE&amp;VAR:ID1=ASF&amp;VAR:RCODE=FIBCEBITDA&amp;VAR:SDATE=20090699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1__FDSAUDITLINK__" localSheetId="5" hidden="1">{"fdsup://IBCentral/FAT Viewer?action=UPDATE&amp;creator=factset&amp;DOC_NAME=fat:reuters_ltm_source_window.fat&amp;display_string=Audit&amp;DYN_ARGS=TRUE&amp;VAR:ID1=ABFS&amp;VAR:RCODE=FDSREVSTOTAL&amp;VAR:SDATE=20090699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41__FDSAUDITLINK__" localSheetId="0" hidden="1">{"fdsup://IBCentral/FAT Viewer?action=UPDATE&amp;creator=factset&amp;DOC_NAME=fat:reuters_ltm_source_window.fat&amp;display_string=Audit&amp;DYN_ARGS=TRUE&amp;VAR:ID1=ABFS&amp;VAR:RCODE=FDSREVSTOTAL&amp;VAR:SDATE=20090699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41__FDSAUDITLINK__" localSheetId="4" hidden="1">{"fdsup://IBCentral/FAT Viewer?action=UPDATE&amp;creator=factset&amp;DOC_NAME=fat:reuters_ltm_source_window.fat&amp;display_string=Audit&amp;DYN_ARGS=TRUE&amp;VAR:ID1=ABFS&amp;VAR:RCODE=FDSREVSTOTAL&amp;VAR:SDATE=20090699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41__FDSAUDITLINK__" hidden="1">{"fdsup://IBCentral/FAT Viewer?action=UPDATE&amp;creator=factset&amp;DOC_NAME=fat:reuters_ltm_source_window.fat&amp;display_string=Audit&amp;DYN_ARGS=TRUE&amp;VAR:ID1=ABFS&amp;VAR:RCODE=FDSREVSTOTAL&amp;VAR:SDATE=20090699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42__FDSAUDITLINK__" localSheetId="5" hidden="1">{"fdsup://IBCentral/FAT Viewer?action=UPDATE&amp;creator=factset&amp;DOC_NAME=fat:reuters_ltm_source_window.fat&amp;display_string=Audit&amp;DYN_ARGS=TRUE&amp;VAR:ID1=ABFS&amp;VAR:RCODE=FIBCEBITDA&amp;VAR:SDATE=20090699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42__FDSAUDITLINK__" localSheetId="0" hidden="1">{"fdsup://IBCentral/FAT Viewer?action=UPDATE&amp;creator=factset&amp;DOC_NAME=fat:reuters_ltm_source_window.fat&amp;display_string=Audit&amp;DYN_ARGS=TRUE&amp;VAR:ID1=ABFS&amp;VAR:RCODE=FIBCEBITDA&amp;VAR:SDATE=20090699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42__FDSAUDITLINK__" localSheetId="4" hidden="1">{"fdsup://IBCentral/FAT Viewer?action=UPDATE&amp;creator=factset&amp;DOC_NAME=fat:reuters_ltm_source_window.fat&amp;display_string=Audit&amp;DYN_ARGS=TRUE&amp;VAR:ID1=ABFS&amp;VAR:RCODE=FIBCEBITDA&amp;VAR:SDATE=20090699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42__FDSAUDITLINK__" hidden="1">{"fdsup://IBCentral/FAT Viewer?action=UPDATE&amp;creator=factset&amp;DOC_NAME=fat:reuters_ltm_source_window.fat&amp;display_string=Audit&amp;DYN_ARGS=TRUE&amp;VAR:ID1=ABFS&amp;VAR:RCODE=FIBCEBITDA&amp;VAR:SDATE=20090699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43__FDSAUDITLINK__" localSheetId="5" hidden="1">{"fdsup://IBCentral/FAT Viewer?action=UPDATE&amp;creator=factset&amp;DOC_NAME=fat:reuters_ltm_source_window.fat&amp;display_string=Audit&amp;DYN_ARGS=TRUE&amp;VAR:ID1=DLX&amp;VAR:RCODE=FDSREVSTOTAL&amp;VAR:SDATE=20090699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3__FDSAUDITLINK__" localSheetId="0" hidden="1">{"fdsup://IBCentral/FAT Viewer?action=UPDATE&amp;creator=factset&amp;DOC_NAME=fat:reuters_ltm_source_window.fat&amp;display_string=Audit&amp;DYN_ARGS=TRUE&amp;VAR:ID1=DLX&amp;VAR:RCODE=FDSREVSTOTAL&amp;VAR:SDATE=20090699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3__FDSAUDITLINK__" localSheetId="4" hidden="1">{"fdsup://IBCentral/FAT Viewer?action=UPDATE&amp;creator=factset&amp;DOC_NAME=fat:reuters_ltm_source_window.fat&amp;display_string=Audit&amp;DYN_ARGS=TRUE&amp;VAR:ID1=DLX&amp;VAR:RCODE=FDSREVSTOTAL&amp;VAR:SDATE=20090699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3__FDSAUDITLINK__" hidden="1">{"fdsup://IBCentral/FAT Viewer?action=UPDATE&amp;creator=factset&amp;DOC_NAME=fat:reuters_ltm_source_window.fat&amp;display_string=Audit&amp;DYN_ARGS=TRUE&amp;VAR:ID1=DLX&amp;VAR:RCODE=FDSREVSTOTAL&amp;VAR:SDATE=20090699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4__FDSAUDITLINK__" localSheetId="5" hidden="1">{"fdsup://IBCentral/FAT Viewer?action=UPDATE&amp;creator=factset&amp;DOC_NAME=fat:reuters_ltm_source_window.fat&amp;display_string=Audit&amp;DYN_ARGS=TRUE&amp;VAR:ID1=DLX&amp;VAR:RCODE=FIBCEBITDA&amp;VAR:SDATE=20090699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4__FDSAUDITLINK__" localSheetId="0" hidden="1">{"fdsup://IBCentral/FAT Viewer?action=UPDATE&amp;creator=factset&amp;DOC_NAME=fat:reuters_ltm_source_window.fat&amp;display_string=Audit&amp;DYN_ARGS=TRUE&amp;VAR:ID1=DLX&amp;VAR:RCODE=FIBCEBITDA&amp;VAR:SDATE=20090699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4__FDSAUDITLINK__" localSheetId="4" hidden="1">{"fdsup://IBCentral/FAT Viewer?action=UPDATE&amp;creator=factset&amp;DOC_NAME=fat:reuters_ltm_source_window.fat&amp;display_string=Audit&amp;DYN_ARGS=TRUE&amp;VAR:ID1=DLX&amp;VAR:RCODE=FIBCEBITDA&amp;VAR:SDATE=20090699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4__FDSAUDITLINK__" hidden="1">{"fdsup://IBCentral/FAT Viewer?action=UPDATE&amp;creator=factset&amp;DOC_NAME=fat:reuters_ltm_source_window.fat&amp;display_string=Audit&amp;DYN_ARGS=TRUE&amp;VAR:ID1=DLX&amp;VAR:RCODE=FIBCEBITDA&amp;VAR:SDATE=20090699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5__FDSAUDITLINK__" localSheetId="5" hidden="1">{"fdsup://IBCentral/FAT Viewer?action=UPDATE&amp;creator=factset&amp;DOC_NAME=fat:reuters_ltm_source_window.fat&amp;display_string=Audit&amp;DYN_ARGS=TRUE&amp;VAR:ID1=OSK&amp;VAR:RCODE=FDSREVSTOTAL&amp;VAR:SDATE=20090699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5__FDSAUDITLINK__" localSheetId="0" hidden="1">{"fdsup://IBCentral/FAT Viewer?action=UPDATE&amp;creator=factset&amp;DOC_NAME=fat:reuters_ltm_source_window.fat&amp;display_string=Audit&amp;DYN_ARGS=TRUE&amp;VAR:ID1=OSK&amp;VAR:RCODE=FDSREVSTOTAL&amp;VAR:SDATE=20090699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5__FDSAUDITLINK__" localSheetId="4" hidden="1">{"fdsup://IBCentral/FAT Viewer?action=UPDATE&amp;creator=factset&amp;DOC_NAME=fat:reuters_ltm_source_window.fat&amp;display_string=Audit&amp;DYN_ARGS=TRUE&amp;VAR:ID1=OSK&amp;VAR:RCODE=FDSREVSTOTAL&amp;VAR:SDATE=20090699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5__FDSAUDITLINK__" hidden="1">{"fdsup://IBCentral/FAT Viewer?action=UPDATE&amp;creator=factset&amp;DOC_NAME=fat:reuters_ltm_source_window.fat&amp;display_string=Audit&amp;DYN_ARGS=TRUE&amp;VAR:ID1=OSK&amp;VAR:RCODE=FDSREVSTOTAL&amp;VAR:SDATE=20090699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6__FDSAUDITLINK__" localSheetId="5" hidden="1">{"fdsup://IBCentral/FAT Viewer?action=UPDATE&amp;creator=factset&amp;DOC_NAME=fat:reuters_ltm_source_window.fat&amp;display_string=Audit&amp;DYN_ARGS=TRUE&amp;VAR:ID1=OSK&amp;VAR:RCODE=FIBCEBITDA&amp;VAR:SDATE=20090699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6__FDSAUDITLINK__" localSheetId="0" hidden="1">{"fdsup://IBCentral/FAT Viewer?action=UPDATE&amp;creator=factset&amp;DOC_NAME=fat:reuters_ltm_source_window.fat&amp;display_string=Audit&amp;DYN_ARGS=TRUE&amp;VAR:ID1=OSK&amp;VAR:RCODE=FIBCEBITDA&amp;VAR:SDATE=20090699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6__FDSAUDITLINK__" localSheetId="4" hidden="1">{"fdsup://IBCentral/FAT Viewer?action=UPDATE&amp;creator=factset&amp;DOC_NAME=fat:reuters_ltm_source_window.fat&amp;display_string=Audit&amp;DYN_ARGS=TRUE&amp;VAR:ID1=OSK&amp;VAR:RCODE=FIBCEBITDA&amp;VAR:SDATE=20090699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6__FDSAUDITLINK__" hidden="1">{"fdsup://IBCentral/FAT Viewer?action=UPDATE&amp;creator=factset&amp;DOC_NAME=fat:reuters_ltm_source_window.fat&amp;display_string=Audit&amp;DYN_ARGS=TRUE&amp;VAR:ID1=OSK&amp;VAR:RCODE=FIBCEBITDA&amp;VAR:SDATE=20090699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7__FDSAUDITLINK__" localSheetId="5" hidden="1">{"fdsup://IBCentral/FAT Viewer?action=UPDATE&amp;creator=factset&amp;DOC_NAME=fat:reuters_ltm_source_window.fat&amp;display_string=Audit&amp;DYN_ARGS=TRUE&amp;VAR:ID1=MPS&amp;VAR:RCODE=FDSREVSTOTAL&amp;VAR:SDATE=20090699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7__FDSAUDITLINK__" localSheetId="0" hidden="1">{"fdsup://IBCentral/FAT Viewer?action=UPDATE&amp;creator=factset&amp;DOC_NAME=fat:reuters_ltm_source_window.fat&amp;display_string=Audit&amp;DYN_ARGS=TRUE&amp;VAR:ID1=MPS&amp;VAR:RCODE=FDSREVSTOTAL&amp;VAR:SDATE=20090699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7__FDSAUDITLINK__" localSheetId="4" hidden="1">{"fdsup://IBCentral/FAT Viewer?action=UPDATE&amp;creator=factset&amp;DOC_NAME=fat:reuters_ltm_source_window.fat&amp;display_string=Audit&amp;DYN_ARGS=TRUE&amp;VAR:ID1=MPS&amp;VAR:RCODE=FDSREVSTOTAL&amp;VAR:SDATE=20090699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7__FDSAUDITLINK__" hidden="1">{"fdsup://IBCentral/FAT Viewer?action=UPDATE&amp;creator=factset&amp;DOC_NAME=fat:reuters_ltm_source_window.fat&amp;display_string=Audit&amp;DYN_ARGS=TRUE&amp;VAR:ID1=MPS&amp;VAR:RCODE=FDSREVSTOTAL&amp;VAR:SDATE=20090699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48__FDSAUDITLINK__" localSheetId="5" hidden="1">{"fdsup://IBCentral/FAT Viewer?action=UPDATE&amp;creator=factset&amp;DOC_NAME=fat:reuters_ltm_source_window.fat&amp;display_string=Audit&amp;DYN_ARGS=TRUE&amp;VAR:ID1=MPS&amp;VAR:RCODE=FIBCEBITDA&amp;VAR:SDATE=20090699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8__FDSAUDITLINK__" localSheetId="0" hidden="1">{"fdsup://IBCentral/FAT Viewer?action=UPDATE&amp;creator=factset&amp;DOC_NAME=fat:reuters_ltm_source_window.fat&amp;display_string=Audit&amp;DYN_ARGS=TRUE&amp;VAR:ID1=MPS&amp;VAR:RCODE=FIBCEBITDA&amp;VAR:SDATE=20090699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8__FDSAUDITLINK__" localSheetId="4" hidden="1">{"fdsup://IBCentral/FAT Viewer?action=UPDATE&amp;creator=factset&amp;DOC_NAME=fat:reuters_ltm_source_window.fat&amp;display_string=Audit&amp;DYN_ARGS=TRUE&amp;VAR:ID1=MPS&amp;VAR:RCODE=FIBCEBITDA&amp;VAR:SDATE=20090699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8__FDSAUDITLINK__" hidden="1">{"fdsup://IBCentral/FAT Viewer?action=UPDATE&amp;creator=factset&amp;DOC_NAME=fat:reuters_ltm_source_window.fat&amp;display_string=Audit&amp;DYN_ARGS=TRUE&amp;VAR:ID1=MPS&amp;VAR:RCODE=FIBCEBITDA&amp;VAR:SDATE=20090699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49__FDSAUDITLINK__" localSheetId="5" hidden="1">{"fdsup://IBCentral/FAT Viewer?action=UPDATE&amp;creator=factset&amp;DOC_NAME=fat:reuters_annual_source_window.fat&amp;display_string=Audit&amp;DYN_ARGS=TRUE&amp;VAR:ID1=60054410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49__FDSAUDITLINK__" localSheetId="0" hidden="1">{"fdsup://IBCentral/FAT Viewer?action=UPDATE&amp;creator=factset&amp;DOC_NAME=fat:reuters_annual_source_window.fat&amp;display_string=Audit&amp;DYN_ARGS=TRUE&amp;VAR:ID1=60054410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49__FDSAUDITLINK__" localSheetId="4" hidden="1">{"fdsup://IBCentral/FAT Viewer?action=UPDATE&amp;creator=factset&amp;DOC_NAME=fat:reuters_annual_source_window.fat&amp;display_string=Audit&amp;DYN_ARGS=TRUE&amp;VAR:ID1=60054410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60054410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55__123Graph_AChart_1E" localSheetId="0" hidden="1">#REF!</definedName>
    <definedName name="_55__123Graph_AChart_1E" hidden="1">#REF!</definedName>
    <definedName name="_55__FDSAUDITLINK__" localSheetId="5" hidden="1">{"fdsup://IBCentral/FAT Viewer?action=UPDATE&amp;creator=factset&amp;DOC_NAME=fat:reuters_ltm_source_window.fat&amp;display_string=Audit&amp;DYN_ARGS=TRUE&amp;VAR:ID1=WCN&amp;VAR:RCODE=FIBCEBITDA&amp;VAR:SDATE=20090399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__FDSAUDITLINK__" localSheetId="0" hidden="1">{"fdsup://IBCentral/FAT Viewer?action=UPDATE&amp;creator=factset&amp;DOC_NAME=fat:reuters_ltm_source_window.fat&amp;display_string=Audit&amp;DYN_ARGS=TRUE&amp;VAR:ID1=WCN&amp;VAR:RCODE=FIBCEBITDA&amp;VAR:SDATE=20090399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__FDSAUDITLINK__" localSheetId="4" hidden="1">{"fdsup://IBCentral/FAT Viewer?action=UPDATE&amp;creator=factset&amp;DOC_NAME=fat:reuters_ltm_source_window.fat&amp;display_string=Audit&amp;DYN_ARGS=TRUE&amp;VAR:ID1=WCN&amp;VAR:RCODE=FIBCEBITDA&amp;VAR:SDATE=20090399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__FDSAUDITLINK__" hidden="1">{"fdsup://IBCentral/FAT Viewer?action=UPDATE&amp;creator=factset&amp;DOC_NAME=fat:reuters_ltm_source_window.fat&amp;display_string=Audit&amp;DYN_ARGS=TRUE&amp;VAR:ID1=WCN&amp;VAR:RCODE=FIBCEBITDA&amp;VAR:SDATE=20090399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0__FDSAUDITLINK__" localSheetId="5" hidden="1">{"fdsup://IBCentral/FAT Viewer?action=UPDATE&amp;creator=factset&amp;DOC_NAME=fat:reuters_annual_source_window.fat&amp;display_string=Audit&amp;DYN_ARGS=TRUE&amp;VAR:ID1=60054410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50__FDSAUDITLINK__" localSheetId="0" hidden="1">{"fdsup://IBCentral/FAT Viewer?action=UPDATE&amp;creator=factset&amp;DOC_NAME=fat:reuters_annual_source_window.fat&amp;display_string=Audit&amp;DYN_ARGS=TRUE&amp;VAR:ID1=60054410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50__FDSAUDITLINK__" localSheetId="4" hidden="1">{"fdsup://IBCentral/FAT Viewer?action=UPDATE&amp;creator=factset&amp;DOC_NAME=fat:reuters_annual_source_window.fat&amp;display_string=Audit&amp;DYN_ARGS=TRUE&amp;VAR:ID1=60054410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60054410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51__FDSAUDITLINK__" localSheetId="5" hidden="1">{"fdsup://IBCentral/FAT Viewer?action=UPDATE&amp;creator=factset&amp;DOC_NAME=fat:reuters_ltm_source_window.fat&amp;display_string=Audit&amp;DYN_ARGS=TRUE&amp;VAR:ID1=SXE&amp;VAR:RCODE=FDSREVSTOTAL&amp;VAR:SDATE=20090699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51__FDSAUDITLINK__" localSheetId="0" hidden="1">{"fdsup://IBCentral/FAT Viewer?action=UPDATE&amp;creator=factset&amp;DOC_NAME=fat:reuters_ltm_source_window.fat&amp;display_string=Audit&amp;DYN_ARGS=TRUE&amp;VAR:ID1=SXE&amp;VAR:RCODE=FDSREVSTOTAL&amp;VAR:SDATE=20090699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51__FDSAUDITLINK__" localSheetId="4" hidden="1">{"fdsup://IBCentral/FAT Viewer?action=UPDATE&amp;creator=factset&amp;DOC_NAME=fat:reuters_ltm_source_window.fat&amp;display_string=Audit&amp;DYN_ARGS=TRUE&amp;VAR:ID1=SXE&amp;VAR:RCODE=FDSREVSTOTAL&amp;VAR:SDATE=20090699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51__FDSAUDITLINK__" hidden="1">{"fdsup://IBCentral/FAT Viewer?action=UPDATE&amp;creator=factset&amp;DOC_NAME=fat:reuters_ltm_source_window.fat&amp;display_string=Audit&amp;DYN_ARGS=TRUE&amp;VAR:ID1=SXE&amp;VAR:RCODE=FDSREVSTOTAL&amp;VAR:SDATE=20090699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52__FDSAUDITLINK__" localSheetId="5" hidden="1">{"fdsup://IBCentral/FAT Viewer?action=UPDATE&amp;creator=factset&amp;DOC_NAME=fat:reuters_ltm_source_window.fat&amp;display_string=Audit&amp;DYN_ARGS=TRUE&amp;VAR:ID1=SXE&amp;VAR:RCODE=FIBCEBITDA&amp;VAR:SDATE=20090699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2__FDSAUDITLINK__" localSheetId="0" hidden="1">{"fdsup://IBCentral/FAT Viewer?action=UPDATE&amp;creator=factset&amp;DOC_NAME=fat:reuters_ltm_source_window.fat&amp;display_string=Audit&amp;DYN_ARGS=TRUE&amp;VAR:ID1=SXE&amp;VAR:RCODE=FIBCEBITDA&amp;VAR:SDATE=20090699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2__FDSAUDITLINK__" localSheetId="4" hidden="1">{"fdsup://IBCentral/FAT Viewer?action=UPDATE&amp;creator=factset&amp;DOC_NAME=fat:reuters_ltm_source_window.fat&amp;display_string=Audit&amp;DYN_ARGS=TRUE&amp;VAR:ID1=SXE&amp;VAR:RCODE=FIBCEBITDA&amp;VAR:SDATE=20090699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2__FDSAUDITLINK__" hidden="1">{"fdsup://IBCentral/FAT Viewer?action=UPDATE&amp;creator=factset&amp;DOC_NAME=fat:reuters_ltm_source_window.fat&amp;display_string=Audit&amp;DYN_ARGS=TRUE&amp;VAR:ID1=SXE&amp;VAR:RCODE=FIBCEBITDA&amp;VAR:SDATE=20090699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3__FDSAUDITLINK__" localSheetId="5" hidden="1">{"fdsup://IBCentral/FAT Viewer?action=UPDATE&amp;creator=factset&amp;DOC_NAME=fat:reuters_ltm_source_window.fat&amp;display_string=Audit&amp;DYN_ARGS=TRUE&amp;VAR:ID1=TG&amp;VAR:RCODE=FDSREVSTOTAL&amp;VAR:SDATE=20090699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53__FDSAUDITLINK__" localSheetId="0" hidden="1">{"fdsup://IBCentral/FAT Viewer?action=UPDATE&amp;creator=factset&amp;DOC_NAME=fat:reuters_ltm_source_window.fat&amp;display_string=Audit&amp;DYN_ARGS=TRUE&amp;VAR:ID1=TG&amp;VAR:RCODE=FDSREVSTOTAL&amp;VAR:SDATE=20090699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53__FDSAUDITLINK__" localSheetId="4" hidden="1">{"fdsup://IBCentral/FAT Viewer?action=UPDATE&amp;creator=factset&amp;DOC_NAME=fat:reuters_ltm_source_window.fat&amp;display_string=Audit&amp;DYN_ARGS=TRUE&amp;VAR:ID1=TG&amp;VAR:RCODE=FDSREVSTOTAL&amp;VAR:SDATE=20090699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53__FDSAUDITLINK__" hidden="1">{"fdsup://IBCentral/FAT Viewer?action=UPDATE&amp;creator=factset&amp;DOC_NAME=fat:reuters_ltm_source_window.fat&amp;display_string=Audit&amp;DYN_ARGS=TRUE&amp;VAR:ID1=TG&amp;VAR:RCODE=FDSREVSTOTAL&amp;VAR:SDATE=20090699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54__FDSAUDITLINK__" localSheetId="5" hidden="1">{"fdsup://IBCentral/FAT Viewer?action=UPDATE&amp;creator=factset&amp;DOC_NAME=fat:reuters_ltm_source_window.fat&amp;display_string=Audit&amp;DYN_ARGS=TRUE&amp;VAR:ID1=TG&amp;VAR:RCODE=FIBCEBITDA&amp;VAR:SDATE=20090699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54__FDSAUDITLINK__" localSheetId="0" hidden="1">{"fdsup://IBCentral/FAT Viewer?action=UPDATE&amp;creator=factset&amp;DOC_NAME=fat:reuters_ltm_source_window.fat&amp;display_string=Audit&amp;DYN_ARGS=TRUE&amp;VAR:ID1=TG&amp;VAR:RCODE=FIBCEBITDA&amp;VAR:SDATE=20090699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54__FDSAUDITLINK__" localSheetId="4" hidden="1">{"fdsup://IBCentral/FAT Viewer?action=UPDATE&amp;creator=factset&amp;DOC_NAME=fat:reuters_ltm_source_window.fat&amp;display_string=Audit&amp;DYN_ARGS=TRUE&amp;VAR:ID1=TG&amp;VAR:RCODE=FIBCEBITDA&amp;VAR:SDATE=20090699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54__FDSAUDITLINK__" hidden="1">{"fdsup://IBCentral/FAT Viewer?action=UPDATE&amp;creator=factset&amp;DOC_NAME=fat:reuters_ltm_source_window.fat&amp;display_string=Audit&amp;DYN_ARGS=TRUE&amp;VAR:ID1=TG&amp;VAR:RCODE=FIBCEBITDA&amp;VAR:SDATE=20090699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55__FDSAUDITLINK__" localSheetId="5" hidden="1">{"fdsup://IBCentral/FAT Viewer?action=UPDATE&amp;creator=factset&amp;DOC_NAME=fat:reuters_ltm_source_window.fat&amp;display_string=Audit&amp;DYN_ARGS=TRUE&amp;VAR:ID1=ASTE&amp;VAR:RCODE=FDSREVSTOTAL&amp;VAR:SDATE=20090699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55__FDSAUDITLINK__" localSheetId="0" hidden="1">{"fdsup://IBCentral/FAT Viewer?action=UPDATE&amp;creator=factset&amp;DOC_NAME=fat:reuters_ltm_source_window.fat&amp;display_string=Audit&amp;DYN_ARGS=TRUE&amp;VAR:ID1=ASTE&amp;VAR:RCODE=FDSREVSTOTAL&amp;VAR:SDATE=20090699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55__FDSAUDITLINK__" localSheetId="4" hidden="1">{"fdsup://IBCentral/FAT Viewer?action=UPDATE&amp;creator=factset&amp;DOC_NAME=fat:reuters_ltm_source_window.fat&amp;display_string=Audit&amp;DYN_ARGS=TRUE&amp;VAR:ID1=ASTE&amp;VAR:RCODE=FDSREVSTOTAL&amp;VAR:SDATE=20090699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55__FDSAUDITLINK__" hidden="1">{"fdsup://IBCentral/FAT Viewer?action=UPDATE&amp;creator=factset&amp;DOC_NAME=fat:reuters_ltm_source_window.fat&amp;display_string=Audit&amp;DYN_ARGS=TRUE&amp;VAR:ID1=ASTE&amp;VAR:RCODE=FDSREVSTOTAL&amp;VAR:SDATE=20090699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56__FDSAUDITLINK__" localSheetId="5" hidden="1">{"fdsup://IBCentral/FAT Viewer?action=UPDATE&amp;creator=factset&amp;DOC_NAME=fat:reuters_ltm_source_window.fat&amp;display_string=Audit&amp;DYN_ARGS=TRUE&amp;VAR:ID1=ASTE&amp;VAR:RCODE=FIBCEBITDA&amp;VAR:SDATE=20090699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56__FDSAUDITLINK__" localSheetId="0" hidden="1">{"fdsup://IBCentral/FAT Viewer?action=UPDATE&amp;creator=factset&amp;DOC_NAME=fat:reuters_ltm_source_window.fat&amp;display_string=Audit&amp;DYN_ARGS=TRUE&amp;VAR:ID1=ASTE&amp;VAR:RCODE=FIBCEBITDA&amp;VAR:SDATE=20090699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56__FDSAUDITLINK__" localSheetId="4" hidden="1">{"fdsup://IBCentral/FAT Viewer?action=UPDATE&amp;creator=factset&amp;DOC_NAME=fat:reuters_ltm_source_window.fat&amp;display_string=Audit&amp;DYN_ARGS=TRUE&amp;VAR:ID1=ASTE&amp;VAR:RCODE=FIBCEBITDA&amp;VAR:SDATE=20090699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56__FDSAUDITLINK__" hidden="1">{"fdsup://IBCentral/FAT Viewer?action=UPDATE&amp;creator=factset&amp;DOC_NAME=fat:reuters_ltm_source_window.fat&amp;display_string=Audit&amp;DYN_ARGS=TRUE&amp;VAR:ID1=ASTE&amp;VAR:RCODE=FIBCEBITDA&amp;VAR:SDATE=20090699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57__FDSAUDITLINK__" localSheetId="5" hidden="1">{"fdsup://IBCentral/FAT Viewer?action=UPDATE&amp;creator=factset&amp;DOC_NAME=fat:reuters_ltm_source_window.fat&amp;display_string=Audit&amp;DYN_ARGS=TRUE&amp;VAR:ID1=MTW&amp;VAR:RCODE=FDSREVSTOTAL&amp;VAR:SDATE=20090699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57__FDSAUDITLINK__" localSheetId="0" hidden="1">{"fdsup://IBCentral/FAT Viewer?action=UPDATE&amp;creator=factset&amp;DOC_NAME=fat:reuters_ltm_source_window.fat&amp;display_string=Audit&amp;DYN_ARGS=TRUE&amp;VAR:ID1=MTW&amp;VAR:RCODE=FDSREVSTOTAL&amp;VAR:SDATE=20090699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57__FDSAUDITLINK__" localSheetId="4" hidden="1">{"fdsup://IBCentral/FAT Viewer?action=UPDATE&amp;creator=factset&amp;DOC_NAME=fat:reuters_ltm_source_window.fat&amp;display_string=Audit&amp;DYN_ARGS=TRUE&amp;VAR:ID1=MTW&amp;VAR:RCODE=FDSREVSTOTAL&amp;VAR:SDATE=20090699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57__FDSAUDITLINK__" hidden="1">{"fdsup://IBCentral/FAT Viewer?action=UPDATE&amp;creator=factset&amp;DOC_NAME=fat:reuters_ltm_source_window.fat&amp;display_string=Audit&amp;DYN_ARGS=TRUE&amp;VAR:ID1=MTW&amp;VAR:RCODE=FDSREVSTOTAL&amp;VAR:SDATE=20090699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58__FDSAUDITLINK__" localSheetId="5" hidden="1">{"fdsup://IBCentral/FAT Viewer?action=UPDATE&amp;creator=factset&amp;DOC_NAME=fat:reuters_ltm_source_window.fat&amp;display_string=Audit&amp;DYN_ARGS=TRUE&amp;VAR:ID1=MTW&amp;VAR:RCODE=FIBCEBITDA&amp;VAR:SDATE=20090699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8__FDSAUDITLINK__" localSheetId="0" hidden="1">{"fdsup://IBCentral/FAT Viewer?action=UPDATE&amp;creator=factset&amp;DOC_NAME=fat:reuters_ltm_source_window.fat&amp;display_string=Audit&amp;DYN_ARGS=TRUE&amp;VAR:ID1=MTW&amp;VAR:RCODE=FIBCEBITDA&amp;VAR:SDATE=20090699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8__FDSAUDITLINK__" localSheetId="4" hidden="1">{"fdsup://IBCentral/FAT Viewer?action=UPDATE&amp;creator=factset&amp;DOC_NAME=fat:reuters_ltm_source_window.fat&amp;display_string=Audit&amp;DYN_ARGS=TRUE&amp;VAR:ID1=MTW&amp;VAR:RCODE=FIBCEBITDA&amp;VAR:SDATE=20090699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8__FDSAUDITLINK__" hidden="1">{"fdsup://IBCentral/FAT Viewer?action=UPDATE&amp;creator=factset&amp;DOC_NAME=fat:reuters_ltm_source_window.fat&amp;display_string=Audit&amp;DYN_ARGS=TRUE&amp;VAR:ID1=MTW&amp;VAR:RCODE=FIBCEBITDA&amp;VAR:SDATE=20090699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9__FDSAUDITLINK__" localSheetId="5" hidden="1">{"fdsup://IBCentral/FAT Viewer?action=UPDATE&amp;creator=factset&amp;DOC_NAME=fat:reuters_ltm_source_window.fat&amp;display_string=Audit&amp;DYN_ARGS=TRUE&amp;VAR:ID1=B&amp;VAR:RCODE=FDSREVSTOTAL&amp;VAR:SDATE=20090699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9__FDSAUDITLINK__" localSheetId="0" hidden="1">{"fdsup://IBCentral/FAT Viewer?action=UPDATE&amp;creator=factset&amp;DOC_NAME=fat:reuters_ltm_source_window.fat&amp;display_string=Audit&amp;DYN_ARGS=TRUE&amp;VAR:ID1=B&amp;VAR:RCODE=FDSREVSTOTAL&amp;VAR:SDATE=20090699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9__FDSAUDITLINK__" localSheetId="4" hidden="1">{"fdsup://IBCentral/FAT Viewer?action=UPDATE&amp;creator=factset&amp;DOC_NAME=fat:reuters_ltm_source_window.fat&amp;display_string=Audit&amp;DYN_ARGS=TRUE&amp;VAR:ID1=B&amp;VAR:RCODE=FDSREVSTOTAL&amp;VAR:SDATE=20090699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59__FDSAUDITLINK__" hidden="1">{"fdsup://IBCentral/FAT Viewer?action=UPDATE&amp;creator=factset&amp;DOC_NAME=fat:reuters_ltm_source_window.fat&amp;display_string=Audit&amp;DYN_ARGS=TRUE&amp;VAR:ID1=B&amp;VAR:RCODE=FDSREVSTOTAL&amp;VAR:SDATE=20090699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__FDSAUDITLINK__" localSheetId="5" hidden="1">{"fdsup://IBCentral/FAT Viewer?action=UPDATE&amp;creator=factset&amp;DOC_NAME=fat:reuters_ltm_source_window.fat&amp;display_string=Audit&amp;DYN_ARGS=TRUE&amp;VAR:ID1=DCI&amp;VAR:RCODE=FIBCEBITDA&amp;VAR:SDATE=20090499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__FDSAUDITLINK__" localSheetId="0" hidden="1">{"fdsup://IBCentral/FAT Viewer?action=UPDATE&amp;creator=factset&amp;DOC_NAME=fat:reuters_ltm_source_window.fat&amp;display_string=Audit&amp;DYN_ARGS=TRUE&amp;VAR:ID1=DCI&amp;VAR:RCODE=FIBCEBITDA&amp;VAR:SDATE=20090499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__FDSAUDITLINK__" localSheetId="4" hidden="1">{"fdsup://IBCentral/FAT Viewer?action=UPDATE&amp;creator=factset&amp;DOC_NAME=fat:reuters_ltm_source_window.fat&amp;display_string=Audit&amp;DYN_ARGS=TRUE&amp;VAR:ID1=DCI&amp;VAR:RCODE=FIBCEBITDA&amp;VAR:SDATE=20090499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__FDSAUDITLINK__" hidden="1">{"fdsup://IBCentral/FAT Viewer?action=UPDATE&amp;creator=factset&amp;DOC_NAME=fat:reuters_ltm_source_window.fat&amp;display_string=Audit&amp;DYN_ARGS=TRUE&amp;VAR:ID1=DCI&amp;VAR:RCODE=FIBCEBITDA&amp;VAR:SDATE=20090499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0__FDSAUDITLINK__" localSheetId="5" hidden="1">{"fdsup://IBCentral/FAT Viewer?action=UPDATE&amp;creator=factset&amp;DOC_NAME=fat:reuters_ltm_source_window.fat&amp;display_string=Audit&amp;DYN_ARGS=TRUE&amp;VAR:ID1=B&amp;VAR:RCODE=FIBCEBITDA&amp;VAR:SDATE=20090699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560__FDSAUDITLINK__" localSheetId="0" hidden="1">{"fdsup://IBCentral/FAT Viewer?action=UPDATE&amp;creator=factset&amp;DOC_NAME=fat:reuters_ltm_source_window.fat&amp;display_string=Audit&amp;DYN_ARGS=TRUE&amp;VAR:ID1=B&amp;VAR:RCODE=FIBCEBITDA&amp;VAR:SDATE=20090699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560__FDSAUDITLINK__" localSheetId="4" hidden="1">{"fdsup://IBCentral/FAT Viewer?action=UPDATE&amp;creator=factset&amp;DOC_NAME=fat:reuters_ltm_source_window.fat&amp;display_string=Audit&amp;DYN_ARGS=TRUE&amp;VAR:ID1=B&amp;VAR:RCODE=FIBCEBITDA&amp;VAR:SDATE=20090699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560__FDSAUDITLINK__" hidden="1">{"fdsup://IBCentral/FAT Viewer?action=UPDATE&amp;creator=factset&amp;DOC_NAME=fat:reuters_ltm_source_window.fat&amp;display_string=Audit&amp;DYN_ARGS=TRUE&amp;VAR:ID1=B&amp;VAR:RCODE=FIBCEBITDA&amp;VAR:SDATE=20090699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561__FDSAUDITLINK__" localSheetId="5" hidden="1">{"fdsup://IBCentral/FAT Viewer?action=UPDATE&amp;creator=factset&amp;DOC_NAME=fat:reuters_ltm_source_window.fat&amp;display_string=Audit&amp;DYN_ARGS=TRUE&amp;VAR:ID1=BDC&amp;VAR:RCODE=FDSREVSTOTAL&amp;VAR:SDATE=20090699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1__FDSAUDITLINK__" localSheetId="0" hidden="1">{"fdsup://IBCentral/FAT Viewer?action=UPDATE&amp;creator=factset&amp;DOC_NAME=fat:reuters_ltm_source_window.fat&amp;display_string=Audit&amp;DYN_ARGS=TRUE&amp;VAR:ID1=BDC&amp;VAR:RCODE=FDSREVSTOTAL&amp;VAR:SDATE=20090699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1__FDSAUDITLINK__" localSheetId="4" hidden="1">{"fdsup://IBCentral/FAT Viewer?action=UPDATE&amp;creator=factset&amp;DOC_NAME=fat:reuters_ltm_source_window.fat&amp;display_string=Audit&amp;DYN_ARGS=TRUE&amp;VAR:ID1=BDC&amp;VAR:RCODE=FDSREVSTOTAL&amp;VAR:SDATE=20090699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1__FDSAUDITLINK__" hidden="1">{"fdsup://IBCentral/FAT Viewer?action=UPDATE&amp;creator=factset&amp;DOC_NAME=fat:reuters_ltm_source_window.fat&amp;display_string=Audit&amp;DYN_ARGS=TRUE&amp;VAR:ID1=BDC&amp;VAR:RCODE=FDSREVSTOTAL&amp;VAR:SDATE=20090699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2__FDSAUDITLINK__" localSheetId="5" hidden="1">{"fdsup://IBCentral/FAT Viewer?action=UPDATE&amp;creator=factset&amp;DOC_NAME=fat:reuters_ltm_source_window.fat&amp;display_string=Audit&amp;DYN_ARGS=TRUE&amp;VAR:ID1=BDC&amp;VAR:RCODE=FIBCEBITDA&amp;VAR:SDATE=20090699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2__FDSAUDITLINK__" localSheetId="0" hidden="1">{"fdsup://IBCentral/FAT Viewer?action=UPDATE&amp;creator=factset&amp;DOC_NAME=fat:reuters_ltm_source_window.fat&amp;display_string=Audit&amp;DYN_ARGS=TRUE&amp;VAR:ID1=BDC&amp;VAR:RCODE=FIBCEBITDA&amp;VAR:SDATE=20090699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2__FDSAUDITLINK__" localSheetId="4" hidden="1">{"fdsup://IBCentral/FAT Viewer?action=UPDATE&amp;creator=factset&amp;DOC_NAME=fat:reuters_ltm_source_window.fat&amp;display_string=Audit&amp;DYN_ARGS=TRUE&amp;VAR:ID1=BDC&amp;VAR:RCODE=FIBCEBITDA&amp;VAR:SDATE=20090699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2__FDSAUDITLINK__" hidden="1">{"fdsup://IBCentral/FAT Viewer?action=UPDATE&amp;creator=factset&amp;DOC_NAME=fat:reuters_ltm_source_window.fat&amp;display_string=Audit&amp;DYN_ARGS=TRUE&amp;VAR:ID1=BDC&amp;VAR:RCODE=FIBCEBITDA&amp;VAR:SDATE=20090699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3__FDSAUDITLINK__" localSheetId="5" hidden="1">{"fdsup://IBCentral/FAT Viewer?action=UPDATE&amp;creator=factset&amp;DOC_NAME=fat:reuters_ltm_source_window.fat&amp;display_string=Audit&amp;DYN_ARGS=TRUE&amp;VAR:ID1=TGI&amp;VAR:RCODE=FDSREVSTOTAL&amp;VAR:SDATE=20090699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3__FDSAUDITLINK__" localSheetId="0" hidden="1">{"fdsup://IBCentral/FAT Viewer?action=UPDATE&amp;creator=factset&amp;DOC_NAME=fat:reuters_ltm_source_window.fat&amp;display_string=Audit&amp;DYN_ARGS=TRUE&amp;VAR:ID1=TGI&amp;VAR:RCODE=FDSREVSTOTAL&amp;VAR:SDATE=20090699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3__FDSAUDITLINK__" localSheetId="4" hidden="1">{"fdsup://IBCentral/FAT Viewer?action=UPDATE&amp;creator=factset&amp;DOC_NAME=fat:reuters_ltm_source_window.fat&amp;display_string=Audit&amp;DYN_ARGS=TRUE&amp;VAR:ID1=TGI&amp;VAR:RCODE=FDSREVSTOTAL&amp;VAR:SDATE=20090699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3__FDSAUDITLINK__" hidden="1">{"fdsup://IBCentral/FAT Viewer?action=UPDATE&amp;creator=factset&amp;DOC_NAME=fat:reuters_ltm_source_window.fat&amp;display_string=Audit&amp;DYN_ARGS=TRUE&amp;VAR:ID1=TGI&amp;VAR:RCODE=FDSREVSTOTAL&amp;VAR:SDATE=20090699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4__FDSAUDITLINK__" localSheetId="5" hidden="1">{"fdsup://IBCentral/FAT Viewer?action=UPDATE&amp;creator=factset&amp;DOC_NAME=fat:reuters_ltm_source_window.fat&amp;display_string=Audit&amp;DYN_ARGS=TRUE&amp;VAR:ID1=TGI&amp;VAR:RCODE=FIBCEBITDA&amp;VAR:SDATE=20090699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4__FDSAUDITLINK__" localSheetId="0" hidden="1">{"fdsup://IBCentral/FAT Viewer?action=UPDATE&amp;creator=factset&amp;DOC_NAME=fat:reuters_ltm_source_window.fat&amp;display_string=Audit&amp;DYN_ARGS=TRUE&amp;VAR:ID1=TGI&amp;VAR:RCODE=FIBCEBITDA&amp;VAR:SDATE=20090699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4__FDSAUDITLINK__" localSheetId="4" hidden="1">{"fdsup://IBCentral/FAT Viewer?action=UPDATE&amp;creator=factset&amp;DOC_NAME=fat:reuters_ltm_source_window.fat&amp;display_string=Audit&amp;DYN_ARGS=TRUE&amp;VAR:ID1=TGI&amp;VAR:RCODE=FIBCEBITDA&amp;VAR:SDATE=20090699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Viewer?action=UPDATE&amp;creator=factset&amp;DOC_NAME=fat:reuters_ltm_source_window.fat&amp;display_string=Audit&amp;DYN_ARGS=TRUE&amp;VAR:ID1=TGI&amp;VAR:RCODE=FIBCEBITDA&amp;VAR:SDATE=20090699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5__FDSAUDITLINK__" localSheetId="5" hidden="1">{"fdsup://IBCentral/FAT Viewer?action=UPDATE&amp;creator=factset&amp;DOC_NAME=fat:reuters_ltm_source_window.fat&amp;display_string=Audit&amp;DYN_ARGS=TRUE&amp;VAR:ID1=ALK&amp;VAR:RCODE=FDSREVSTOTAL&amp;VAR:SDATE=20090699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5__FDSAUDITLINK__" localSheetId="0" hidden="1">{"fdsup://IBCentral/FAT Viewer?action=UPDATE&amp;creator=factset&amp;DOC_NAME=fat:reuters_ltm_source_window.fat&amp;display_string=Audit&amp;DYN_ARGS=TRUE&amp;VAR:ID1=ALK&amp;VAR:RCODE=FDSREVSTOTAL&amp;VAR:SDATE=20090699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5__FDSAUDITLINK__" localSheetId="4" hidden="1">{"fdsup://IBCentral/FAT Viewer?action=UPDATE&amp;creator=factset&amp;DOC_NAME=fat:reuters_ltm_source_window.fat&amp;display_string=Audit&amp;DYN_ARGS=TRUE&amp;VAR:ID1=ALK&amp;VAR:RCODE=FDSREVSTOTAL&amp;VAR:SDATE=20090699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5__FDSAUDITLINK__" hidden="1">{"fdsup://IBCentral/FAT Viewer?action=UPDATE&amp;creator=factset&amp;DOC_NAME=fat:reuters_ltm_source_window.fat&amp;display_string=Audit&amp;DYN_ARGS=TRUE&amp;VAR:ID1=ALK&amp;VAR:RCODE=FDSREVSTOTAL&amp;VAR:SDATE=20090699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6__FDSAUDITLINK__" localSheetId="5" hidden="1">{"fdsup://IBCentral/FAT Viewer?action=UPDATE&amp;creator=factset&amp;DOC_NAME=fat:reuters_ltm_source_window.fat&amp;display_string=Audit&amp;DYN_ARGS=TRUE&amp;VAR:ID1=ALK&amp;VAR:RCODE=FIBCEBITDA&amp;VAR:SDATE=20090699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6__FDSAUDITLINK__" localSheetId="0" hidden="1">{"fdsup://IBCentral/FAT Viewer?action=UPDATE&amp;creator=factset&amp;DOC_NAME=fat:reuters_ltm_source_window.fat&amp;display_string=Audit&amp;DYN_ARGS=TRUE&amp;VAR:ID1=ALK&amp;VAR:RCODE=FIBCEBITDA&amp;VAR:SDATE=20090699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6__FDSAUDITLINK__" localSheetId="4" hidden="1">{"fdsup://IBCentral/FAT Viewer?action=UPDATE&amp;creator=factset&amp;DOC_NAME=fat:reuters_ltm_source_window.fat&amp;display_string=Audit&amp;DYN_ARGS=TRUE&amp;VAR:ID1=ALK&amp;VAR:RCODE=FIBCEBITDA&amp;VAR:SDATE=20090699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6__FDSAUDITLINK__" hidden="1">{"fdsup://IBCentral/FAT Viewer?action=UPDATE&amp;creator=factset&amp;DOC_NAME=fat:reuters_ltm_source_window.fat&amp;display_string=Audit&amp;DYN_ARGS=TRUE&amp;VAR:ID1=ALK&amp;VAR:RCODE=FIBCEBITDA&amp;VAR:SDATE=20090699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7__FDSAUDITLINK__" localSheetId="5" hidden="1">{"fdsup://IBCentral/FAT Viewer?action=UPDATE&amp;creator=factset&amp;DOC_NAME=fat:reuters_ltm_source_window.fat&amp;display_string=Audit&amp;DYN_ARGS=TRUE&amp;VAR:ID1=NCI&amp;VAR:RCODE=FDSREVSTOTAL&amp;VAR:SDATE=20090699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7__FDSAUDITLINK__" localSheetId="0" hidden="1">{"fdsup://IBCentral/FAT Viewer?action=UPDATE&amp;creator=factset&amp;DOC_NAME=fat:reuters_ltm_source_window.fat&amp;display_string=Audit&amp;DYN_ARGS=TRUE&amp;VAR:ID1=NCI&amp;VAR:RCODE=FDSREVSTOTAL&amp;VAR:SDATE=20090699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7__FDSAUDITLINK__" localSheetId="4" hidden="1">{"fdsup://IBCentral/FAT Viewer?action=UPDATE&amp;creator=factset&amp;DOC_NAME=fat:reuters_ltm_source_window.fat&amp;display_string=Audit&amp;DYN_ARGS=TRUE&amp;VAR:ID1=NCI&amp;VAR:RCODE=FDSREVSTOTAL&amp;VAR:SDATE=20090699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7__FDSAUDITLINK__" hidden="1">{"fdsup://IBCentral/FAT Viewer?action=UPDATE&amp;creator=factset&amp;DOC_NAME=fat:reuters_ltm_source_window.fat&amp;display_string=Audit&amp;DYN_ARGS=TRUE&amp;VAR:ID1=NCI&amp;VAR:RCODE=FDSREVSTOTAL&amp;VAR:SDATE=20090699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68__FDSAUDITLINK__" localSheetId="5" hidden="1">{"fdsup://IBCentral/FAT Viewer?action=UPDATE&amp;creator=factset&amp;DOC_NAME=fat:reuters_ltm_source_window.fat&amp;display_string=Audit&amp;DYN_ARGS=TRUE&amp;VAR:ID1=NCI&amp;VAR:RCODE=FIBCEBITDA&amp;VAR:SDATE=20090699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8__FDSAUDITLINK__" localSheetId="0" hidden="1">{"fdsup://IBCentral/FAT Viewer?action=UPDATE&amp;creator=factset&amp;DOC_NAME=fat:reuters_ltm_source_window.fat&amp;display_string=Audit&amp;DYN_ARGS=TRUE&amp;VAR:ID1=NCI&amp;VAR:RCODE=FIBCEBITDA&amp;VAR:SDATE=20090699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8__FDSAUDITLINK__" localSheetId="4" hidden="1">{"fdsup://IBCentral/FAT Viewer?action=UPDATE&amp;creator=factset&amp;DOC_NAME=fat:reuters_ltm_source_window.fat&amp;display_string=Audit&amp;DYN_ARGS=TRUE&amp;VAR:ID1=NCI&amp;VAR:RCODE=FIBCEBITDA&amp;VAR:SDATE=20090699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8__FDSAUDITLINK__" hidden="1">{"fdsup://IBCentral/FAT Viewer?action=UPDATE&amp;creator=factset&amp;DOC_NAME=fat:reuters_ltm_source_window.fat&amp;display_string=Audit&amp;DYN_ARGS=TRUE&amp;VAR:ID1=NCI&amp;VAR:RCODE=FIBCEBITDA&amp;VAR:SDATE=20090699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69__FDSAUDITLINK__" localSheetId="5" hidden="1">{"fdsup://IBCentral/FAT Viewer?action=UPDATE&amp;creator=factset&amp;DOC_NAME=fat:reuters_ltm_source_window.fat&amp;display_string=Audit&amp;DYN_ARGS=TRUE&amp;VAR:ID1=USTR&amp;VAR:RCODE=FDSREVSTOTAL&amp;VAR:SDATE=20090699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69__FDSAUDITLINK__" localSheetId="0" hidden="1">{"fdsup://IBCentral/FAT Viewer?action=UPDATE&amp;creator=factset&amp;DOC_NAME=fat:reuters_ltm_source_window.fat&amp;display_string=Audit&amp;DYN_ARGS=TRUE&amp;VAR:ID1=USTR&amp;VAR:RCODE=FDSREVSTOTAL&amp;VAR:SDATE=20090699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69__FDSAUDITLINK__" localSheetId="4" hidden="1">{"fdsup://IBCentral/FAT Viewer?action=UPDATE&amp;creator=factset&amp;DOC_NAME=fat:reuters_ltm_source_window.fat&amp;display_string=Audit&amp;DYN_ARGS=TRUE&amp;VAR:ID1=USTR&amp;VAR:RCODE=FDSREVSTOTAL&amp;VAR:SDATE=20090699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69__FDSAUDITLINK__" hidden="1">{"fdsup://IBCentral/FAT Viewer?action=UPDATE&amp;creator=factset&amp;DOC_NAME=fat:reuters_ltm_source_window.fat&amp;display_string=Audit&amp;DYN_ARGS=TRUE&amp;VAR:ID1=USTR&amp;VAR:RCODE=FDSREVSTOTAL&amp;VAR:SDATE=20090699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__123Graph_AChart_1F" localSheetId="0" hidden="1">#REF!</definedName>
    <definedName name="_57__123Graph_AChart_1F" hidden="1">#REF!</definedName>
    <definedName name="_57__FDSAUDITLINK__" localSheetId="5" hidden="1">{"fdsup://IBCentral/FAT Viewer?action=UPDATE&amp;creator=factset&amp;DOC_NAME=fat:reuters_annual_source_window.fat&amp;display_string=Audit&amp;DYN_ARGS=TRUE&amp;VAR:ID1=01880410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7__FDSAUDITLINK__" localSheetId="0" hidden="1">{"fdsup://IBCentral/FAT Viewer?action=UPDATE&amp;creator=factset&amp;DOC_NAME=fat:reuters_annual_source_window.fat&amp;display_string=Audit&amp;DYN_ARGS=TRUE&amp;VAR:ID1=01880410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7__FDSAUDITLINK__" localSheetId="4" hidden="1">{"fdsup://IBCentral/FAT Viewer?action=UPDATE&amp;creator=factset&amp;DOC_NAME=fat:reuters_annual_source_window.fat&amp;display_string=Audit&amp;DYN_ARGS=TRUE&amp;VAR:ID1=01880410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01880410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570__FDSAUDITLINK__" localSheetId="5" hidden="1">{"fdsup://IBCentral/FAT Viewer?action=UPDATE&amp;creator=factset&amp;DOC_NAME=fat:reuters_ltm_source_window.fat&amp;display_string=Audit&amp;DYN_ARGS=TRUE&amp;VAR:ID1=USTR&amp;VAR:RCODE=FIBCEBITDA&amp;VAR:SDATE=20090699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0__FDSAUDITLINK__" localSheetId="0" hidden="1">{"fdsup://IBCentral/FAT Viewer?action=UPDATE&amp;creator=factset&amp;DOC_NAME=fat:reuters_ltm_source_window.fat&amp;display_string=Audit&amp;DYN_ARGS=TRUE&amp;VAR:ID1=USTR&amp;VAR:RCODE=FIBCEBITDA&amp;VAR:SDATE=20090699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0__FDSAUDITLINK__" localSheetId="4" hidden="1">{"fdsup://IBCentral/FAT Viewer?action=UPDATE&amp;creator=factset&amp;DOC_NAME=fat:reuters_ltm_source_window.fat&amp;display_string=Audit&amp;DYN_ARGS=TRUE&amp;VAR:ID1=USTR&amp;VAR:RCODE=FIBCEBITDA&amp;VAR:SDATE=20090699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0__FDSAUDITLINK__" hidden="1">{"fdsup://IBCentral/FAT Viewer?action=UPDATE&amp;creator=factset&amp;DOC_NAME=fat:reuters_ltm_source_window.fat&amp;display_string=Audit&amp;DYN_ARGS=TRUE&amp;VAR:ID1=USTR&amp;VAR:RCODE=FIBCEBITDA&amp;VAR:SDATE=20090699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1__FDSAUDITLINK__" localSheetId="5" hidden="1">{"fdsup://IBCentral/FAT Viewer?action=UPDATE&amp;creator=factset&amp;DOC_NAME=fat:reuters_ltm_source_window.fat&amp;display_string=Audit&amp;DYN_ARGS=TRUE&amp;VAR:ID1=SYKE&amp;VAR:RCODE=FDSREVSTOTAL&amp;VAR:SDATE=20090699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1__FDSAUDITLINK__" localSheetId="0" hidden="1">{"fdsup://IBCentral/FAT Viewer?action=UPDATE&amp;creator=factset&amp;DOC_NAME=fat:reuters_ltm_source_window.fat&amp;display_string=Audit&amp;DYN_ARGS=TRUE&amp;VAR:ID1=SYKE&amp;VAR:RCODE=FDSREVSTOTAL&amp;VAR:SDATE=20090699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1__FDSAUDITLINK__" localSheetId="4" hidden="1">{"fdsup://IBCentral/FAT Viewer?action=UPDATE&amp;creator=factset&amp;DOC_NAME=fat:reuters_ltm_source_window.fat&amp;display_string=Audit&amp;DYN_ARGS=TRUE&amp;VAR:ID1=SYKE&amp;VAR:RCODE=FDSREVSTOTAL&amp;VAR:SDATE=20090699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1__FDSAUDITLINK__" hidden="1">{"fdsup://IBCentral/FAT Viewer?action=UPDATE&amp;creator=factset&amp;DOC_NAME=fat:reuters_ltm_source_window.fat&amp;display_string=Audit&amp;DYN_ARGS=TRUE&amp;VAR:ID1=SYKE&amp;VAR:RCODE=FDSREVSTOTAL&amp;VAR:SDATE=20090699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2__FDSAUDITLINK__" localSheetId="5" hidden="1">{"fdsup://IBCentral/FAT Viewer?action=UPDATE&amp;creator=factset&amp;DOC_NAME=fat:reuters_ltm_source_window.fat&amp;display_string=Audit&amp;DYN_ARGS=TRUE&amp;VAR:ID1=SYKE&amp;VAR:RCODE=FIBCEBITDA&amp;VAR:SDATE=20090699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2__FDSAUDITLINK__" localSheetId="0" hidden="1">{"fdsup://IBCentral/FAT Viewer?action=UPDATE&amp;creator=factset&amp;DOC_NAME=fat:reuters_ltm_source_window.fat&amp;display_string=Audit&amp;DYN_ARGS=TRUE&amp;VAR:ID1=SYKE&amp;VAR:RCODE=FIBCEBITDA&amp;VAR:SDATE=20090699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2__FDSAUDITLINK__" localSheetId="4" hidden="1">{"fdsup://IBCentral/FAT Viewer?action=UPDATE&amp;creator=factset&amp;DOC_NAME=fat:reuters_ltm_source_window.fat&amp;display_string=Audit&amp;DYN_ARGS=TRUE&amp;VAR:ID1=SYKE&amp;VAR:RCODE=FIBCEBITDA&amp;VAR:SDATE=20090699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2__FDSAUDITLINK__" hidden="1">{"fdsup://IBCentral/FAT Viewer?action=UPDATE&amp;creator=factset&amp;DOC_NAME=fat:reuters_ltm_source_window.fat&amp;display_string=Audit&amp;DYN_ARGS=TRUE&amp;VAR:ID1=SYKE&amp;VAR:RCODE=FIBCEBITDA&amp;VAR:SDATE=20090699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3__FDSAUDITLINK__" localSheetId="5" hidden="1">{"fdsup://IBCentral/FAT Viewer?action=UPDATE&amp;creator=factset&amp;DOC_NAME=fat:reuters_ltm_source_window.fat&amp;display_string=Audit&amp;DYN_ARGS=TRUE&amp;VAR:ID1=WGOV&amp;VAR:RCODE=FDSREVSTOTAL&amp;VAR:SDATE=20090699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3__FDSAUDITLINK__" localSheetId="0" hidden="1">{"fdsup://IBCentral/FAT Viewer?action=UPDATE&amp;creator=factset&amp;DOC_NAME=fat:reuters_ltm_source_window.fat&amp;display_string=Audit&amp;DYN_ARGS=TRUE&amp;VAR:ID1=WGOV&amp;VAR:RCODE=FDSREVSTOTAL&amp;VAR:SDATE=20090699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3__FDSAUDITLINK__" localSheetId="4" hidden="1">{"fdsup://IBCentral/FAT Viewer?action=UPDATE&amp;creator=factset&amp;DOC_NAME=fat:reuters_ltm_source_window.fat&amp;display_string=Audit&amp;DYN_ARGS=TRUE&amp;VAR:ID1=WGOV&amp;VAR:RCODE=FDSREVSTOTAL&amp;VAR:SDATE=20090699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3__FDSAUDITLINK__" hidden="1">{"fdsup://IBCentral/FAT Viewer?action=UPDATE&amp;creator=factset&amp;DOC_NAME=fat:reuters_ltm_source_window.fat&amp;display_string=Audit&amp;DYN_ARGS=TRUE&amp;VAR:ID1=WGOV&amp;VAR:RCODE=FDSREVSTOTAL&amp;VAR:SDATE=20090699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4__FDSAUDITLINK__" localSheetId="5" hidden="1">{"fdsup://IBCentral/FAT Viewer?action=UPDATE&amp;creator=factset&amp;DOC_NAME=fat:reuters_ltm_source_window.fat&amp;display_string=Audit&amp;DYN_ARGS=TRUE&amp;VAR:ID1=WGOV&amp;VAR:RCODE=FIBCEBITDA&amp;VAR:SDATE=20090699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4__FDSAUDITLINK__" localSheetId="0" hidden="1">{"fdsup://IBCentral/FAT Viewer?action=UPDATE&amp;creator=factset&amp;DOC_NAME=fat:reuters_ltm_source_window.fat&amp;display_string=Audit&amp;DYN_ARGS=TRUE&amp;VAR:ID1=WGOV&amp;VAR:RCODE=FIBCEBITDA&amp;VAR:SDATE=20090699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4__FDSAUDITLINK__" localSheetId="4" hidden="1">{"fdsup://IBCentral/FAT Viewer?action=UPDATE&amp;creator=factset&amp;DOC_NAME=fat:reuters_ltm_source_window.fat&amp;display_string=Audit&amp;DYN_ARGS=TRUE&amp;VAR:ID1=WGOV&amp;VAR:RCODE=FIBCEBITDA&amp;VAR:SDATE=20090699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4__FDSAUDITLINK__" hidden="1">{"fdsup://IBCentral/FAT Viewer?action=UPDATE&amp;creator=factset&amp;DOC_NAME=fat:reuters_ltm_source_window.fat&amp;display_string=Audit&amp;DYN_ARGS=TRUE&amp;VAR:ID1=WGOV&amp;VAR:RCODE=FIBCEBITDA&amp;VAR:SDATE=20090699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5__FDSAUDITLINK__" localSheetId="5" hidden="1">{"fdsup://IBCentral/FAT Viewer?action=UPDATE&amp;creator=factset&amp;DOC_NAME=fat:reuters_ltm_source_window.fat&amp;display_string=Audit&amp;DYN_ARGS=TRUE&amp;VAR:ID1=HUBG&amp;VAR:RCODE=FDSREVSTOTAL&amp;VAR:SDATE=20090699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5__FDSAUDITLINK__" localSheetId="0" hidden="1">{"fdsup://IBCentral/FAT Viewer?action=UPDATE&amp;creator=factset&amp;DOC_NAME=fat:reuters_ltm_source_window.fat&amp;display_string=Audit&amp;DYN_ARGS=TRUE&amp;VAR:ID1=HUBG&amp;VAR:RCODE=FDSREVSTOTAL&amp;VAR:SDATE=20090699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5__FDSAUDITLINK__" localSheetId="4" hidden="1">{"fdsup://IBCentral/FAT Viewer?action=UPDATE&amp;creator=factset&amp;DOC_NAME=fat:reuters_ltm_source_window.fat&amp;display_string=Audit&amp;DYN_ARGS=TRUE&amp;VAR:ID1=HUBG&amp;VAR:RCODE=FDSREVSTOTAL&amp;VAR:SDATE=20090699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5__FDSAUDITLINK__" hidden="1">{"fdsup://IBCentral/FAT Viewer?action=UPDATE&amp;creator=factset&amp;DOC_NAME=fat:reuters_ltm_source_window.fat&amp;display_string=Audit&amp;DYN_ARGS=TRUE&amp;VAR:ID1=HUBG&amp;VAR:RCODE=FDSREVSTOTAL&amp;VAR:SDATE=20090699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6__FDSAUDITLINK__" localSheetId="5" hidden="1">{"fdsup://IBCentral/FAT Viewer?action=UPDATE&amp;creator=factset&amp;DOC_NAME=fat:reuters_ltm_source_window.fat&amp;display_string=Audit&amp;DYN_ARGS=TRUE&amp;VAR:ID1=HUBG&amp;VAR:RCODE=FIBCEBITDA&amp;VAR:SDATE=20090699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6__FDSAUDITLINK__" localSheetId="0" hidden="1">{"fdsup://IBCentral/FAT Viewer?action=UPDATE&amp;creator=factset&amp;DOC_NAME=fat:reuters_ltm_source_window.fat&amp;display_string=Audit&amp;DYN_ARGS=TRUE&amp;VAR:ID1=HUBG&amp;VAR:RCODE=FIBCEBITDA&amp;VAR:SDATE=20090699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6__FDSAUDITLINK__" localSheetId="4" hidden="1">{"fdsup://IBCentral/FAT Viewer?action=UPDATE&amp;creator=factset&amp;DOC_NAME=fat:reuters_ltm_source_window.fat&amp;display_string=Audit&amp;DYN_ARGS=TRUE&amp;VAR:ID1=HUBG&amp;VAR:RCODE=FIBCEBITDA&amp;VAR:SDATE=20090699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6__FDSAUDITLINK__" hidden="1">{"fdsup://IBCentral/FAT Viewer?action=UPDATE&amp;creator=factset&amp;DOC_NAME=fat:reuters_ltm_source_window.fat&amp;display_string=Audit&amp;DYN_ARGS=TRUE&amp;VAR:ID1=HUBG&amp;VAR:RCODE=FIBCEBITDA&amp;VAR:SDATE=20090699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7__FDSAUDITLINK__" localSheetId="5" hidden="1">{"fdsup://IBCentral/FAT Viewer?action=UPDATE&amp;creator=factset&amp;DOC_NAME=fat:reuters_ltm_source_window.fat&amp;display_string=Audit&amp;DYN_ARGS=TRUE&amp;VAR:ID1=HCSG&amp;VAR:RCODE=FDSREVSTOTAL&amp;VAR:SDATE=20090699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7__FDSAUDITLINK__" localSheetId="0" hidden="1">{"fdsup://IBCentral/FAT Viewer?action=UPDATE&amp;creator=factset&amp;DOC_NAME=fat:reuters_ltm_source_window.fat&amp;display_string=Audit&amp;DYN_ARGS=TRUE&amp;VAR:ID1=HCSG&amp;VAR:RCODE=FDSREVSTOTAL&amp;VAR:SDATE=20090699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7__FDSAUDITLINK__" localSheetId="4" hidden="1">{"fdsup://IBCentral/FAT Viewer?action=UPDATE&amp;creator=factset&amp;DOC_NAME=fat:reuters_ltm_source_window.fat&amp;display_string=Audit&amp;DYN_ARGS=TRUE&amp;VAR:ID1=HCSG&amp;VAR:RCODE=FDSREVSTOTAL&amp;VAR:SDATE=20090699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7__FDSAUDITLINK__" hidden="1">{"fdsup://IBCentral/FAT Viewer?action=UPDATE&amp;creator=factset&amp;DOC_NAME=fat:reuters_ltm_source_window.fat&amp;display_string=Audit&amp;DYN_ARGS=TRUE&amp;VAR:ID1=HCSG&amp;VAR:RCODE=FDSREVSTOTAL&amp;VAR:SDATE=20090699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8__FDSAUDITLINK__" localSheetId="5" hidden="1">{"fdsup://IBCentral/FAT Viewer?action=UPDATE&amp;creator=factset&amp;DOC_NAME=fat:reuters_ltm_source_window.fat&amp;display_string=Audit&amp;DYN_ARGS=TRUE&amp;VAR:ID1=HCSG&amp;VAR:RCODE=FIBCEBITDA&amp;VAR:SDATE=20090699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8__FDSAUDITLINK__" localSheetId="0" hidden="1">{"fdsup://IBCentral/FAT Viewer?action=UPDATE&amp;creator=factset&amp;DOC_NAME=fat:reuters_ltm_source_window.fat&amp;display_string=Audit&amp;DYN_ARGS=TRUE&amp;VAR:ID1=HCSG&amp;VAR:RCODE=FIBCEBITDA&amp;VAR:SDATE=20090699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8__FDSAUDITLINK__" localSheetId="4" hidden="1">{"fdsup://IBCentral/FAT Viewer?action=UPDATE&amp;creator=factset&amp;DOC_NAME=fat:reuters_ltm_source_window.fat&amp;display_string=Audit&amp;DYN_ARGS=TRUE&amp;VAR:ID1=HCSG&amp;VAR:RCODE=FIBCEBITDA&amp;VAR:SDATE=20090699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8__FDSAUDITLINK__" hidden="1">{"fdsup://IBCentral/FAT Viewer?action=UPDATE&amp;creator=factset&amp;DOC_NAME=fat:reuters_ltm_source_window.fat&amp;display_string=Audit&amp;DYN_ARGS=TRUE&amp;VAR:ID1=HCSG&amp;VAR:RCODE=FIBCEBITDA&amp;VAR:SDATE=20090699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79__FDSAUDITLINK__" localSheetId="5" hidden="1">{"fdsup://IBCentral/FAT Viewer?action=UPDATE&amp;creator=factset&amp;DOC_NAME=fat:reuters_ltm_source_window.fat&amp;display_string=Audit&amp;DYN_ARGS=TRUE&amp;VAR:ID1=SKYW&amp;VAR:RCODE=FDSREVSTOTAL&amp;VAR:SDATE=20090699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9__FDSAUDITLINK__" localSheetId="0" hidden="1">{"fdsup://IBCentral/FAT Viewer?action=UPDATE&amp;creator=factset&amp;DOC_NAME=fat:reuters_ltm_source_window.fat&amp;display_string=Audit&amp;DYN_ARGS=TRUE&amp;VAR:ID1=SKYW&amp;VAR:RCODE=FDSREVSTOTAL&amp;VAR:SDATE=20090699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9__FDSAUDITLINK__" localSheetId="4" hidden="1">{"fdsup://IBCentral/FAT Viewer?action=UPDATE&amp;creator=factset&amp;DOC_NAME=fat:reuters_ltm_source_window.fat&amp;display_string=Audit&amp;DYN_ARGS=TRUE&amp;VAR:ID1=SKYW&amp;VAR:RCODE=FDSREVSTOTAL&amp;VAR:SDATE=20090699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79__FDSAUDITLINK__" hidden="1">{"fdsup://IBCentral/FAT Viewer?action=UPDATE&amp;creator=factset&amp;DOC_NAME=fat:reuters_ltm_source_window.fat&amp;display_string=Audit&amp;DYN_ARGS=TRUE&amp;VAR:ID1=SKYW&amp;VAR:RCODE=FDSREVSTOTAL&amp;VAR:SDATE=20090699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8__FDSAUDITLINK__" localSheetId="5" hidden="1">{"fdsup://IBCentral/FAT Viewer?action=UPDATE&amp;creator=factset&amp;DOC_NAME=fat:reuters_ltm_source_window.fat&amp;display_string=Audit&amp;DYN_ARGS=TRUE&amp;VAR:ID1=WW&amp;VAR:RCODE=FIBCEBITDA&amp;VAR:SDATE=20090399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8__FDSAUDITLINK__" localSheetId="0" hidden="1">{"fdsup://IBCentral/FAT Viewer?action=UPDATE&amp;creator=factset&amp;DOC_NAME=fat:reuters_ltm_source_window.fat&amp;display_string=Audit&amp;DYN_ARGS=TRUE&amp;VAR:ID1=WW&amp;VAR:RCODE=FIBCEBITDA&amp;VAR:SDATE=20090399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8__FDSAUDITLINK__" localSheetId="4" hidden="1">{"fdsup://IBCentral/FAT Viewer?action=UPDATE&amp;creator=factset&amp;DOC_NAME=fat:reuters_ltm_source_window.fat&amp;display_string=Audit&amp;DYN_ARGS=TRUE&amp;VAR:ID1=WW&amp;VAR:RCODE=FIBCEBITDA&amp;VAR:SDATE=20090399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8__FDSAUDITLINK__" hidden="1">{"fdsup://IBCentral/FAT Viewer?action=UPDATE&amp;creator=factset&amp;DOC_NAME=fat:reuters_ltm_source_window.fat&amp;display_string=Audit&amp;DYN_ARGS=TRUE&amp;VAR:ID1=WW&amp;VAR:RCODE=FIBCEBITDA&amp;VAR:SDATE=20090399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580__FDSAUDITLINK__" localSheetId="5" hidden="1">{"fdsup://IBCentral/FAT Viewer?action=UPDATE&amp;creator=factset&amp;DOC_NAME=fat:reuters_ltm_source_window.fat&amp;display_string=Audit&amp;DYN_ARGS=TRUE&amp;VAR:ID1=SKYW&amp;VAR:RCODE=FIBCEBITDA&amp;VAR:SDATE=20090699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80__FDSAUDITLINK__" localSheetId="0" hidden="1">{"fdsup://IBCentral/FAT Viewer?action=UPDATE&amp;creator=factset&amp;DOC_NAME=fat:reuters_ltm_source_window.fat&amp;display_string=Audit&amp;DYN_ARGS=TRUE&amp;VAR:ID1=SKYW&amp;VAR:RCODE=FIBCEBITDA&amp;VAR:SDATE=20090699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80__FDSAUDITLINK__" localSheetId="4" hidden="1">{"fdsup://IBCentral/FAT Viewer?action=UPDATE&amp;creator=factset&amp;DOC_NAME=fat:reuters_ltm_source_window.fat&amp;display_string=Audit&amp;DYN_ARGS=TRUE&amp;VAR:ID1=SKYW&amp;VAR:RCODE=FIBCEBITDA&amp;VAR:SDATE=20090699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80__FDSAUDITLINK__" hidden="1">{"fdsup://IBCentral/FAT Viewer?action=UPDATE&amp;creator=factset&amp;DOC_NAME=fat:reuters_ltm_source_window.fat&amp;display_string=Audit&amp;DYN_ARGS=TRUE&amp;VAR:ID1=SKYW&amp;VAR:RCODE=FIBCEBITDA&amp;VAR:SDATE=20090699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81__FDSAUDITLINK__" localSheetId="5" hidden="1">{"fdsup://IBCentral/FAT Viewer?action=UPDATE&amp;creator=factset&amp;DOC_NAME=fat:reuters_ltm_source_window.fat&amp;display_string=Audit&amp;DYN_ARGS=TRUE&amp;VAR:ID1=WTS&amp;VAR:RCODE=FDSREVSTOTAL&amp;VAR:SDATE=20090699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1__FDSAUDITLINK__" localSheetId="0" hidden="1">{"fdsup://IBCentral/FAT Viewer?action=UPDATE&amp;creator=factset&amp;DOC_NAME=fat:reuters_ltm_source_window.fat&amp;display_string=Audit&amp;DYN_ARGS=TRUE&amp;VAR:ID1=WTS&amp;VAR:RCODE=FDSREVSTOTAL&amp;VAR:SDATE=20090699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1__FDSAUDITLINK__" localSheetId="4" hidden="1">{"fdsup://IBCentral/FAT Viewer?action=UPDATE&amp;creator=factset&amp;DOC_NAME=fat:reuters_ltm_source_window.fat&amp;display_string=Audit&amp;DYN_ARGS=TRUE&amp;VAR:ID1=WTS&amp;VAR:RCODE=FDSREVSTOTAL&amp;VAR:SDATE=20090699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1__FDSAUDITLINK__" hidden="1">{"fdsup://IBCentral/FAT Viewer?action=UPDATE&amp;creator=factset&amp;DOC_NAME=fat:reuters_ltm_source_window.fat&amp;display_string=Audit&amp;DYN_ARGS=TRUE&amp;VAR:ID1=WTS&amp;VAR:RCODE=FDSREVSTOTAL&amp;VAR:SDATE=20090699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2__FDSAUDITLINK__" localSheetId="5" hidden="1">{"fdsup://IBCentral/FAT Viewer?action=UPDATE&amp;creator=factset&amp;DOC_NAME=fat:reuters_ltm_source_window.fat&amp;display_string=Audit&amp;DYN_ARGS=TRUE&amp;VAR:ID1=WTS&amp;VAR:RCODE=FIBCEBITDA&amp;VAR:SDATE=20090699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2__FDSAUDITLINK__" localSheetId="0" hidden="1">{"fdsup://IBCentral/FAT Viewer?action=UPDATE&amp;creator=factset&amp;DOC_NAME=fat:reuters_ltm_source_window.fat&amp;display_string=Audit&amp;DYN_ARGS=TRUE&amp;VAR:ID1=WTS&amp;VAR:RCODE=FIBCEBITDA&amp;VAR:SDATE=20090699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2__FDSAUDITLINK__" localSheetId="4" hidden="1">{"fdsup://IBCentral/FAT Viewer?action=UPDATE&amp;creator=factset&amp;DOC_NAME=fat:reuters_ltm_source_window.fat&amp;display_string=Audit&amp;DYN_ARGS=TRUE&amp;VAR:ID1=WTS&amp;VAR:RCODE=FIBCEBITDA&amp;VAR:SDATE=20090699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2__FDSAUDITLINK__" hidden="1">{"fdsup://IBCentral/FAT Viewer?action=UPDATE&amp;creator=factset&amp;DOC_NAME=fat:reuters_ltm_source_window.fat&amp;display_string=Audit&amp;DYN_ARGS=TRUE&amp;VAR:ID1=WTS&amp;VAR:RCODE=FIBCEBITDA&amp;VAR:SDATE=20090699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3__FDSAUDITLINK__" localSheetId="5" hidden="1">{"fdsup://IBCentral/FAT Viewer?action=UPDATE&amp;creator=factset&amp;DOC_NAME=fat:reuters_ltm_source_window.fat&amp;display_string=Audit&amp;DYN_ARGS=TRUE&amp;VAR:ID1=BEZ&amp;VAR:RCODE=FDSREVSTOTAL&amp;VAR:SDATE=20090699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3__FDSAUDITLINK__" localSheetId="0" hidden="1">{"fdsup://IBCentral/FAT Viewer?action=UPDATE&amp;creator=factset&amp;DOC_NAME=fat:reuters_ltm_source_window.fat&amp;display_string=Audit&amp;DYN_ARGS=TRUE&amp;VAR:ID1=BEZ&amp;VAR:RCODE=FDSREVSTOTAL&amp;VAR:SDATE=20090699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3__FDSAUDITLINK__" localSheetId="4" hidden="1">{"fdsup://IBCentral/FAT Viewer?action=UPDATE&amp;creator=factset&amp;DOC_NAME=fat:reuters_ltm_source_window.fat&amp;display_string=Audit&amp;DYN_ARGS=TRUE&amp;VAR:ID1=BEZ&amp;VAR:RCODE=FDSREVSTOTAL&amp;VAR:SDATE=20090699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3__FDSAUDITLINK__" hidden="1">{"fdsup://IBCentral/FAT Viewer?action=UPDATE&amp;creator=factset&amp;DOC_NAME=fat:reuters_ltm_source_window.fat&amp;display_string=Audit&amp;DYN_ARGS=TRUE&amp;VAR:ID1=BEZ&amp;VAR:RCODE=FDSREVSTOTAL&amp;VAR:SDATE=20090699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4__FDSAUDITLINK__" localSheetId="5" hidden="1">{"fdsup://IBCentral/FAT Viewer?action=UPDATE&amp;creator=factset&amp;DOC_NAME=fat:reuters_ltm_source_window.fat&amp;display_string=Audit&amp;DYN_ARGS=TRUE&amp;VAR:ID1=BEZ&amp;VAR:RCODE=FIBCEBITDA&amp;VAR:SDATE=20090699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4__FDSAUDITLINK__" localSheetId="0" hidden="1">{"fdsup://IBCentral/FAT Viewer?action=UPDATE&amp;creator=factset&amp;DOC_NAME=fat:reuters_ltm_source_window.fat&amp;display_string=Audit&amp;DYN_ARGS=TRUE&amp;VAR:ID1=BEZ&amp;VAR:RCODE=FIBCEBITDA&amp;VAR:SDATE=20090699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4__FDSAUDITLINK__" localSheetId="4" hidden="1">{"fdsup://IBCentral/FAT Viewer?action=UPDATE&amp;creator=factset&amp;DOC_NAME=fat:reuters_ltm_source_window.fat&amp;display_string=Audit&amp;DYN_ARGS=TRUE&amp;VAR:ID1=BEZ&amp;VAR:RCODE=FIBCEBITDA&amp;VAR:SDATE=20090699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4__FDSAUDITLINK__" hidden="1">{"fdsup://IBCentral/FAT Viewer?action=UPDATE&amp;creator=factset&amp;DOC_NAME=fat:reuters_ltm_source_window.fat&amp;display_string=Audit&amp;DYN_ARGS=TRUE&amp;VAR:ID1=BEZ&amp;VAR:RCODE=FIBCEBITDA&amp;VAR:SDATE=20090699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5__FDSAUDITLINK__" localSheetId="5" hidden="1">{"fdsup://IBCentral/FAT Viewer?action=UPDATE&amp;creator=factset&amp;DOC_NAME=fat:reuters_ltm_source_window.fat&amp;display_string=Audit&amp;DYN_ARGS=TRUE&amp;VAR:ID1=ORB&amp;VAR:RCODE=FDSREVSTOTAL&amp;VAR:SDATE=20090699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5__FDSAUDITLINK__" localSheetId="0" hidden="1">{"fdsup://IBCentral/FAT Viewer?action=UPDATE&amp;creator=factset&amp;DOC_NAME=fat:reuters_ltm_source_window.fat&amp;display_string=Audit&amp;DYN_ARGS=TRUE&amp;VAR:ID1=ORB&amp;VAR:RCODE=FDSREVSTOTAL&amp;VAR:SDATE=20090699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5__FDSAUDITLINK__" localSheetId="4" hidden="1">{"fdsup://IBCentral/FAT Viewer?action=UPDATE&amp;creator=factset&amp;DOC_NAME=fat:reuters_ltm_source_window.fat&amp;display_string=Audit&amp;DYN_ARGS=TRUE&amp;VAR:ID1=ORB&amp;VAR:RCODE=FDSREVSTOTAL&amp;VAR:SDATE=20090699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5__FDSAUDITLINK__" hidden="1">{"fdsup://IBCentral/FAT Viewer?action=UPDATE&amp;creator=factset&amp;DOC_NAME=fat:reuters_ltm_source_window.fat&amp;display_string=Audit&amp;DYN_ARGS=TRUE&amp;VAR:ID1=ORB&amp;VAR:RCODE=FDSREVSTOTAL&amp;VAR:SDATE=20090699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6__FDSAUDITLINK__" localSheetId="5" hidden="1">{"fdsup://IBCentral/FAT Viewer?action=UPDATE&amp;creator=factset&amp;DOC_NAME=fat:reuters_ltm_source_window.fat&amp;display_string=Audit&amp;DYN_ARGS=TRUE&amp;VAR:ID1=ORB&amp;VAR:RCODE=FIBCEBITDA&amp;VAR:SDATE=20090699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6__FDSAUDITLINK__" localSheetId="0" hidden="1">{"fdsup://IBCentral/FAT Viewer?action=UPDATE&amp;creator=factset&amp;DOC_NAME=fat:reuters_ltm_source_window.fat&amp;display_string=Audit&amp;DYN_ARGS=TRUE&amp;VAR:ID1=ORB&amp;VAR:RCODE=FIBCEBITDA&amp;VAR:SDATE=20090699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6__FDSAUDITLINK__" localSheetId="4" hidden="1">{"fdsup://IBCentral/FAT Viewer?action=UPDATE&amp;creator=factset&amp;DOC_NAME=fat:reuters_ltm_source_window.fat&amp;display_string=Audit&amp;DYN_ARGS=TRUE&amp;VAR:ID1=ORB&amp;VAR:RCODE=FIBCEBITDA&amp;VAR:SDATE=20090699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6__FDSAUDITLINK__" hidden="1">{"fdsup://IBCentral/FAT Viewer?action=UPDATE&amp;creator=factset&amp;DOC_NAME=fat:reuters_ltm_source_window.fat&amp;display_string=Audit&amp;DYN_ARGS=TRUE&amp;VAR:ID1=ORB&amp;VAR:RCODE=FIBCEBITDA&amp;VAR:SDATE=20090699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7__FDSAUDITLINK__" localSheetId="5" hidden="1">{"fdsup://IBCentral/FAT Viewer?action=UPDATE&amp;creator=factset&amp;DOC_NAME=fat:reuters_ltm_source_window.fat&amp;display_string=Audit&amp;DYN_ARGS=TRUE&amp;VAR:ID1=MSA&amp;VAR:RCODE=FDSREVSTOTAL&amp;VAR:SDATE=20090699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7__FDSAUDITLINK__" localSheetId="0" hidden="1">{"fdsup://IBCentral/FAT Viewer?action=UPDATE&amp;creator=factset&amp;DOC_NAME=fat:reuters_ltm_source_window.fat&amp;display_string=Audit&amp;DYN_ARGS=TRUE&amp;VAR:ID1=MSA&amp;VAR:RCODE=FDSREVSTOTAL&amp;VAR:SDATE=20090699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7__FDSAUDITLINK__" localSheetId="4" hidden="1">{"fdsup://IBCentral/FAT Viewer?action=UPDATE&amp;creator=factset&amp;DOC_NAME=fat:reuters_ltm_source_window.fat&amp;display_string=Audit&amp;DYN_ARGS=TRUE&amp;VAR:ID1=MSA&amp;VAR:RCODE=FDSREVSTOTAL&amp;VAR:SDATE=20090699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7__FDSAUDITLINK__" hidden="1">{"fdsup://IBCentral/FAT Viewer?action=UPDATE&amp;creator=factset&amp;DOC_NAME=fat:reuters_ltm_source_window.fat&amp;display_string=Audit&amp;DYN_ARGS=TRUE&amp;VAR:ID1=MSA&amp;VAR:RCODE=FDSREVSTOTAL&amp;VAR:SDATE=20090699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8__FDSAUDITLINK__" localSheetId="5" hidden="1">{"fdsup://IBCentral/FAT Viewer?action=UPDATE&amp;creator=factset&amp;DOC_NAME=fat:reuters_ltm_source_window.fat&amp;display_string=Audit&amp;DYN_ARGS=TRUE&amp;VAR:ID1=MSA&amp;VAR:RCODE=FIBCEBITDA&amp;VAR:SDATE=20090699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8__FDSAUDITLINK__" localSheetId="0" hidden="1">{"fdsup://IBCentral/FAT Viewer?action=UPDATE&amp;creator=factset&amp;DOC_NAME=fat:reuters_ltm_source_window.fat&amp;display_string=Audit&amp;DYN_ARGS=TRUE&amp;VAR:ID1=MSA&amp;VAR:RCODE=FIBCEBITDA&amp;VAR:SDATE=20090699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8__FDSAUDITLINK__" localSheetId="4" hidden="1">{"fdsup://IBCentral/FAT Viewer?action=UPDATE&amp;creator=factset&amp;DOC_NAME=fat:reuters_ltm_source_window.fat&amp;display_string=Audit&amp;DYN_ARGS=TRUE&amp;VAR:ID1=MSA&amp;VAR:RCODE=FIBCEBITDA&amp;VAR:SDATE=20090699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8__FDSAUDITLINK__" hidden="1">{"fdsup://IBCentral/FAT Viewer?action=UPDATE&amp;creator=factset&amp;DOC_NAME=fat:reuters_ltm_source_window.fat&amp;display_string=Audit&amp;DYN_ARGS=TRUE&amp;VAR:ID1=MSA&amp;VAR:RCODE=FIBCEBITDA&amp;VAR:SDATE=20090699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89__FDSAUDITLINK__" localSheetId="5" hidden="1">{"fdsup://IBCentral/FAT Viewer?action=UPDATE&amp;creator=factset&amp;DOC_NAME=fat:reuters_ltm_source_window.fat&amp;display_string=Audit&amp;DYN_ARGS=TRUE&amp;VAR:ID1=CUB&amp;VAR:RCODE=FDSREVSTOTAL&amp;VAR:SDATE=20090699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9__FDSAUDITLINK__" localSheetId="0" hidden="1">{"fdsup://IBCentral/FAT Viewer?action=UPDATE&amp;creator=factset&amp;DOC_NAME=fat:reuters_ltm_source_window.fat&amp;display_string=Audit&amp;DYN_ARGS=TRUE&amp;VAR:ID1=CUB&amp;VAR:RCODE=FDSREVSTOTAL&amp;VAR:SDATE=20090699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9__FDSAUDITLINK__" localSheetId="4" hidden="1">{"fdsup://IBCentral/FAT Viewer?action=UPDATE&amp;creator=factset&amp;DOC_NAME=fat:reuters_ltm_source_window.fat&amp;display_string=Audit&amp;DYN_ARGS=TRUE&amp;VAR:ID1=CUB&amp;VAR:RCODE=FDSREVSTOTAL&amp;VAR:SDATE=20090699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89__FDSAUDITLINK__" hidden="1">{"fdsup://IBCentral/FAT Viewer?action=UPDATE&amp;creator=factset&amp;DOC_NAME=fat:reuters_ltm_source_window.fat&amp;display_string=Audit&amp;DYN_ARGS=TRUE&amp;VAR:ID1=CUB&amp;VAR:RCODE=FDSREVSTOTAL&amp;VAR:SDATE=20090699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__123Graph_AChart_1G" localSheetId="0" hidden="1">#REF!</definedName>
    <definedName name="_59__123Graph_AChart_1G" hidden="1">#REF!</definedName>
    <definedName name="_59__FDSAUDITLINK__" localSheetId="5" hidden="1">{"fdsup://IBCentral/FAT Viewer?action=UPDATE&amp;creator=factset&amp;DOC_NAME=fat:reuters_ltm_source_window.fat&amp;display_string=Audit&amp;DYN_ARGS=TRUE&amp;VAR:ID1=PNR&amp;VAR:RCODE=FIBCEBITDA&amp;VAR:SDATE=20090399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__FDSAUDITLINK__" localSheetId="0" hidden="1">{"fdsup://IBCentral/FAT Viewer?action=UPDATE&amp;creator=factset&amp;DOC_NAME=fat:reuters_ltm_source_window.fat&amp;display_string=Audit&amp;DYN_ARGS=TRUE&amp;VAR:ID1=PNR&amp;VAR:RCODE=FIBCEBITDA&amp;VAR:SDATE=20090399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__FDSAUDITLINK__" localSheetId="4" hidden="1">{"fdsup://IBCentral/FAT Viewer?action=UPDATE&amp;creator=factset&amp;DOC_NAME=fat:reuters_ltm_source_window.fat&amp;display_string=Audit&amp;DYN_ARGS=TRUE&amp;VAR:ID1=PNR&amp;VAR:RCODE=FIBCEBITDA&amp;VAR:SDATE=20090399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__FDSAUDITLINK__" hidden="1">{"fdsup://IBCentral/FAT Viewer?action=UPDATE&amp;creator=factset&amp;DOC_NAME=fat:reuters_ltm_source_window.fat&amp;display_string=Audit&amp;DYN_ARGS=TRUE&amp;VAR:ID1=PNR&amp;VAR:RCODE=FIBCEBITDA&amp;VAR:SDATE=20090399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0__FDSAUDITLINK__" localSheetId="5" hidden="1">{"fdsup://IBCentral/FAT Viewer?action=UPDATE&amp;creator=factset&amp;DOC_NAME=fat:reuters_ltm_source_window.fat&amp;display_string=Audit&amp;DYN_ARGS=TRUE&amp;VAR:ID1=CUB&amp;VAR:RCODE=FIBCEBITDA&amp;VAR:SDATE=20090699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0__FDSAUDITLINK__" localSheetId="0" hidden="1">{"fdsup://IBCentral/FAT Viewer?action=UPDATE&amp;creator=factset&amp;DOC_NAME=fat:reuters_ltm_source_window.fat&amp;display_string=Audit&amp;DYN_ARGS=TRUE&amp;VAR:ID1=CUB&amp;VAR:RCODE=FIBCEBITDA&amp;VAR:SDATE=20090699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0__FDSAUDITLINK__" localSheetId="4" hidden="1">{"fdsup://IBCentral/FAT Viewer?action=UPDATE&amp;creator=factset&amp;DOC_NAME=fat:reuters_ltm_source_window.fat&amp;display_string=Audit&amp;DYN_ARGS=TRUE&amp;VAR:ID1=CUB&amp;VAR:RCODE=FIBCEBITDA&amp;VAR:SDATE=20090699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0__FDSAUDITLINK__" hidden="1">{"fdsup://IBCentral/FAT Viewer?action=UPDATE&amp;creator=factset&amp;DOC_NAME=fat:reuters_ltm_source_window.fat&amp;display_string=Audit&amp;DYN_ARGS=TRUE&amp;VAR:ID1=CUB&amp;VAR:RCODE=FIBCEBITDA&amp;VAR:SDATE=20090699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1__FDSAUDITLINK__" localSheetId="5" hidden="1">{"fdsup://IBCentral/FAT Viewer?action=UPDATE&amp;creator=factset&amp;DOC_NAME=fat:reuters_ltm_source_window.fat&amp;display_string=Audit&amp;DYN_ARGS=TRUE&amp;VAR:ID1=AOS&amp;VAR:RCODE=FDSREVSTOTAL&amp;VAR:SDATE=20090699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1__FDSAUDITLINK__" localSheetId="0" hidden="1">{"fdsup://IBCentral/FAT Viewer?action=UPDATE&amp;creator=factset&amp;DOC_NAME=fat:reuters_ltm_source_window.fat&amp;display_string=Audit&amp;DYN_ARGS=TRUE&amp;VAR:ID1=AOS&amp;VAR:RCODE=FDSREVSTOTAL&amp;VAR:SDATE=20090699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1__FDSAUDITLINK__" localSheetId="4" hidden="1">{"fdsup://IBCentral/FAT Viewer?action=UPDATE&amp;creator=factset&amp;DOC_NAME=fat:reuters_ltm_source_window.fat&amp;display_string=Audit&amp;DYN_ARGS=TRUE&amp;VAR:ID1=AOS&amp;VAR:RCODE=FDSREVSTOTAL&amp;VAR:SDATE=20090699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1__FDSAUDITLINK__" hidden="1">{"fdsup://IBCentral/FAT Viewer?action=UPDATE&amp;creator=factset&amp;DOC_NAME=fat:reuters_ltm_source_window.fat&amp;display_string=Audit&amp;DYN_ARGS=TRUE&amp;VAR:ID1=AOS&amp;VAR:RCODE=FDSREVSTOTAL&amp;VAR:SDATE=20090699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2__FDSAUDITLINK__" localSheetId="5" hidden="1">{"fdsup://IBCentral/FAT Viewer?action=UPDATE&amp;creator=factset&amp;DOC_NAME=fat:reuters_ltm_source_window.fat&amp;display_string=Audit&amp;DYN_ARGS=TRUE&amp;VAR:ID1=AOS&amp;VAR:RCODE=FIBCEBITDA&amp;VAR:SDATE=20090699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2__FDSAUDITLINK__" localSheetId="0" hidden="1">{"fdsup://IBCentral/FAT Viewer?action=UPDATE&amp;creator=factset&amp;DOC_NAME=fat:reuters_ltm_source_window.fat&amp;display_string=Audit&amp;DYN_ARGS=TRUE&amp;VAR:ID1=AOS&amp;VAR:RCODE=FIBCEBITDA&amp;VAR:SDATE=20090699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2__FDSAUDITLINK__" localSheetId="4" hidden="1">{"fdsup://IBCentral/FAT Viewer?action=UPDATE&amp;creator=factset&amp;DOC_NAME=fat:reuters_ltm_source_window.fat&amp;display_string=Audit&amp;DYN_ARGS=TRUE&amp;VAR:ID1=AOS&amp;VAR:RCODE=FIBCEBITDA&amp;VAR:SDATE=20090699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2__FDSAUDITLINK__" hidden="1">{"fdsup://IBCentral/FAT Viewer?action=UPDATE&amp;creator=factset&amp;DOC_NAME=fat:reuters_ltm_source_window.fat&amp;display_string=Audit&amp;DYN_ARGS=TRUE&amp;VAR:ID1=AOS&amp;VAR:RCODE=FIBCEBITDA&amp;VAR:SDATE=20090699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3__FDSAUDITLINK__" localSheetId="5" hidden="1">{"fdsup://IBCentral/FAT Viewer?action=UPDATE&amp;creator=factset&amp;DOC_NAME=fat:reuters_ltm_source_window.fat&amp;display_string=Audit&amp;DYN_ARGS=TRUE&amp;VAR:ID1=TRN&amp;VAR:RCODE=FDSREVSTOTAL&amp;VAR:SDATE=20090699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3__FDSAUDITLINK__" localSheetId="0" hidden="1">{"fdsup://IBCentral/FAT Viewer?action=UPDATE&amp;creator=factset&amp;DOC_NAME=fat:reuters_ltm_source_window.fat&amp;display_string=Audit&amp;DYN_ARGS=TRUE&amp;VAR:ID1=TRN&amp;VAR:RCODE=FDSREVSTOTAL&amp;VAR:SDATE=20090699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3__FDSAUDITLINK__" localSheetId="4" hidden="1">{"fdsup://IBCentral/FAT Viewer?action=UPDATE&amp;creator=factset&amp;DOC_NAME=fat:reuters_ltm_source_window.fat&amp;display_string=Audit&amp;DYN_ARGS=TRUE&amp;VAR:ID1=TRN&amp;VAR:RCODE=FDSREVSTOTAL&amp;VAR:SDATE=20090699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3__FDSAUDITLINK__" hidden="1">{"fdsup://IBCentral/FAT Viewer?action=UPDATE&amp;creator=factset&amp;DOC_NAME=fat:reuters_ltm_source_window.fat&amp;display_string=Audit&amp;DYN_ARGS=TRUE&amp;VAR:ID1=TRN&amp;VAR:RCODE=FDSREVSTOTAL&amp;VAR:SDATE=20090699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4__FDSAUDITLINK__" localSheetId="5" hidden="1">{"fdsup://IBCentral/FAT Viewer?action=UPDATE&amp;creator=factset&amp;DOC_NAME=fat:reuters_ltm_source_window.fat&amp;display_string=Audit&amp;DYN_ARGS=TRUE&amp;VAR:ID1=TRN&amp;VAR:RCODE=FIBCEBITDA&amp;VAR:SDATE=20090699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4__FDSAUDITLINK__" localSheetId="0" hidden="1">{"fdsup://IBCentral/FAT Viewer?action=UPDATE&amp;creator=factset&amp;DOC_NAME=fat:reuters_ltm_source_window.fat&amp;display_string=Audit&amp;DYN_ARGS=TRUE&amp;VAR:ID1=TRN&amp;VAR:RCODE=FIBCEBITDA&amp;VAR:SDATE=20090699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4__FDSAUDITLINK__" localSheetId="4" hidden="1">{"fdsup://IBCentral/FAT Viewer?action=UPDATE&amp;creator=factset&amp;DOC_NAME=fat:reuters_ltm_source_window.fat&amp;display_string=Audit&amp;DYN_ARGS=TRUE&amp;VAR:ID1=TRN&amp;VAR:RCODE=FIBCEBITDA&amp;VAR:SDATE=20090699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4__FDSAUDITLINK__" hidden="1">{"fdsup://IBCentral/FAT Viewer?action=UPDATE&amp;creator=factset&amp;DOC_NAME=fat:reuters_ltm_source_window.fat&amp;display_string=Audit&amp;DYN_ARGS=TRUE&amp;VAR:ID1=TRN&amp;VAR:RCODE=FIBCEBITDA&amp;VAR:SDATE=20090699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5__FDSAUDITLINK__" localSheetId="5" hidden="1">{"fdsup://IBCentral/FAT Viewer?action=UPDATE&amp;creator=factset&amp;DOC_NAME=fat:reuters_ltm_source_window.fat&amp;display_string=Audit&amp;DYN_ARGS=TRUE&amp;VAR:ID1=GEO&amp;VAR:RCODE=FDSREVSTOTAL&amp;VAR:SDATE=20090699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5__FDSAUDITLINK__" localSheetId="0" hidden="1">{"fdsup://IBCentral/FAT Viewer?action=UPDATE&amp;creator=factset&amp;DOC_NAME=fat:reuters_ltm_source_window.fat&amp;display_string=Audit&amp;DYN_ARGS=TRUE&amp;VAR:ID1=GEO&amp;VAR:RCODE=FDSREVSTOTAL&amp;VAR:SDATE=20090699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5__FDSAUDITLINK__" localSheetId="4" hidden="1">{"fdsup://IBCentral/FAT Viewer?action=UPDATE&amp;creator=factset&amp;DOC_NAME=fat:reuters_ltm_source_window.fat&amp;display_string=Audit&amp;DYN_ARGS=TRUE&amp;VAR:ID1=GEO&amp;VAR:RCODE=FDSREVSTOTAL&amp;VAR:SDATE=20090699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5__FDSAUDITLINK__" hidden="1">{"fdsup://IBCentral/FAT Viewer?action=UPDATE&amp;creator=factset&amp;DOC_NAME=fat:reuters_ltm_source_window.fat&amp;display_string=Audit&amp;DYN_ARGS=TRUE&amp;VAR:ID1=GEO&amp;VAR:RCODE=FDSREVSTOTAL&amp;VAR:SDATE=20090699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6__FDSAUDITLINK__" localSheetId="5" hidden="1">{"fdsup://IBCentral/FAT Viewer?action=UPDATE&amp;creator=factset&amp;DOC_NAME=fat:reuters_ltm_source_window.fat&amp;display_string=Audit&amp;DYN_ARGS=TRUE&amp;VAR:ID1=GEO&amp;VAR:RCODE=FIBCEBITDA&amp;VAR:SDATE=20090699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6__FDSAUDITLINK__" localSheetId="0" hidden="1">{"fdsup://IBCentral/FAT Viewer?action=UPDATE&amp;creator=factset&amp;DOC_NAME=fat:reuters_ltm_source_window.fat&amp;display_string=Audit&amp;DYN_ARGS=TRUE&amp;VAR:ID1=GEO&amp;VAR:RCODE=FIBCEBITDA&amp;VAR:SDATE=20090699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6__FDSAUDITLINK__" localSheetId="4" hidden="1">{"fdsup://IBCentral/FAT Viewer?action=UPDATE&amp;creator=factset&amp;DOC_NAME=fat:reuters_ltm_source_window.fat&amp;display_string=Audit&amp;DYN_ARGS=TRUE&amp;VAR:ID1=GEO&amp;VAR:RCODE=FIBCEBITDA&amp;VAR:SDATE=20090699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6__FDSAUDITLINK__" hidden="1">{"fdsup://IBCentral/FAT Viewer?action=UPDATE&amp;creator=factset&amp;DOC_NAME=fat:reuters_ltm_source_window.fat&amp;display_string=Audit&amp;DYN_ARGS=TRUE&amp;VAR:ID1=GEO&amp;VAR:RCODE=FIBCEBITDA&amp;VAR:SDATE=20090699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597__FDSAUDITLINK__" localSheetId="5" hidden="1">{"fdsup://IBCentral/FAT Viewer?action=UPDATE&amp;creator=factset&amp;DOC_NAME=fat:reuters_ltm_source_window.fat&amp;display_string=Audit&amp;DYN_ARGS=TRUE&amp;VAR:ID1=BEAV&amp;VAR:RCODE=FDSREVSTOTAL&amp;VAR:SDATE=20090699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97__FDSAUDITLINK__" localSheetId="0" hidden="1">{"fdsup://IBCentral/FAT Viewer?action=UPDATE&amp;creator=factset&amp;DOC_NAME=fat:reuters_ltm_source_window.fat&amp;display_string=Audit&amp;DYN_ARGS=TRUE&amp;VAR:ID1=BEAV&amp;VAR:RCODE=FDSREVSTOTAL&amp;VAR:SDATE=20090699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97__FDSAUDITLINK__" localSheetId="4" hidden="1">{"fdsup://IBCentral/FAT Viewer?action=UPDATE&amp;creator=factset&amp;DOC_NAME=fat:reuters_ltm_source_window.fat&amp;display_string=Audit&amp;DYN_ARGS=TRUE&amp;VAR:ID1=BEAV&amp;VAR:RCODE=FDSREVSTOTAL&amp;VAR:SDATE=20090699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97__FDSAUDITLINK__" hidden="1">{"fdsup://IBCentral/FAT Viewer?action=UPDATE&amp;creator=factset&amp;DOC_NAME=fat:reuters_ltm_source_window.fat&amp;display_string=Audit&amp;DYN_ARGS=TRUE&amp;VAR:ID1=BEAV&amp;VAR:RCODE=FDSREVSTOTAL&amp;VAR:SDATE=20090699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598__FDSAUDITLINK__" localSheetId="5" hidden="1">{"fdsup://IBCentral/FAT Viewer?action=UPDATE&amp;creator=factset&amp;DOC_NAME=fat:reuters_ltm_source_window.fat&amp;display_string=Audit&amp;DYN_ARGS=TRUE&amp;VAR:ID1=BEAV&amp;VAR:RCODE=FIBCEBITDA&amp;VAR:SDATE=20090699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98__FDSAUDITLINK__" localSheetId="0" hidden="1">{"fdsup://IBCentral/FAT Viewer?action=UPDATE&amp;creator=factset&amp;DOC_NAME=fat:reuters_ltm_source_window.fat&amp;display_string=Audit&amp;DYN_ARGS=TRUE&amp;VAR:ID1=BEAV&amp;VAR:RCODE=FIBCEBITDA&amp;VAR:SDATE=20090699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98__FDSAUDITLINK__" localSheetId="4" hidden="1">{"fdsup://IBCentral/FAT Viewer?action=UPDATE&amp;creator=factset&amp;DOC_NAME=fat:reuters_ltm_source_window.fat&amp;display_string=Audit&amp;DYN_ARGS=TRUE&amp;VAR:ID1=BEAV&amp;VAR:RCODE=FIBCEBITDA&amp;VAR:SDATE=20090699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98__FDSAUDITLINK__" hidden="1">{"fdsup://IBCentral/FAT Viewer?action=UPDATE&amp;creator=factset&amp;DOC_NAME=fat:reuters_ltm_source_window.fat&amp;display_string=Audit&amp;DYN_ARGS=TRUE&amp;VAR:ID1=BEAV&amp;VAR:RCODE=FIBCEBITDA&amp;VAR:SDATE=20090699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599__FDSAUDITLINK__" localSheetId="5" hidden="1">{"fdsup://IBCentral/FAT Viewer?action=UPDATE&amp;creator=factset&amp;DOC_NAME=fat:reuters_ltm_source_window.fat&amp;display_string=Audit&amp;DYN_ARGS=TRUE&amp;VAR:ID1=CNW&amp;VAR:RCODE=FDSREVSTOTAL&amp;VAR:SDATE=20090699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9__FDSAUDITLINK__" localSheetId="0" hidden="1">{"fdsup://IBCentral/FAT Viewer?action=UPDATE&amp;creator=factset&amp;DOC_NAME=fat:reuters_ltm_source_window.fat&amp;display_string=Audit&amp;DYN_ARGS=TRUE&amp;VAR:ID1=CNW&amp;VAR:RCODE=FDSREVSTOTAL&amp;VAR:SDATE=20090699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9__FDSAUDITLINK__" localSheetId="4" hidden="1">{"fdsup://IBCentral/FAT Viewer?action=UPDATE&amp;creator=factset&amp;DOC_NAME=fat:reuters_ltm_source_window.fat&amp;display_string=Audit&amp;DYN_ARGS=TRUE&amp;VAR:ID1=CNW&amp;VAR:RCODE=FDSREVSTOTAL&amp;VAR:SDATE=20090699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99__FDSAUDITLINK__" hidden="1">{"fdsup://IBCentral/FAT Viewer?action=UPDATE&amp;creator=factset&amp;DOC_NAME=fat:reuters_ltm_source_window.fat&amp;display_string=Audit&amp;DYN_ARGS=TRUE&amp;VAR:ID1=CNW&amp;VAR:RCODE=FDSREVSTOTAL&amp;VAR:SDATE=20090699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5ÿ_0Q" localSheetId="0">#REF!</definedName>
    <definedName name="_5ÿ_0Q">#REF!</definedName>
    <definedName name="_5ÿ_0T" localSheetId="0">#REF!</definedName>
    <definedName name="_5ÿ_0T">#REF!</definedName>
    <definedName name="_6_.__Shares_repurchase_liabil" localSheetId="0">#REF!</definedName>
    <definedName name="_6_.__Shares_repurchase_liabil">#REF!</definedName>
    <definedName name="_6_._0Shares_repurchase_liabil" localSheetId="0">#REF!</definedName>
    <definedName name="_6_._0Shares_repurchase_liabil">#REF!</definedName>
    <definedName name="_6__FDSAUDITLINK__" localSheetId="5" hidden="1">{"fdsup://IBCentral/FAT Viewer?action=UPDATE&amp;creator=factset&amp;DOC_NAME=fat:reuters_ltm_source_window.fat&amp;display_string=Audit&amp;DYN_ARGS=TRUE&amp;VAR:ID1=BRC&amp;VAR:RCODE=FIBCEBITDA&amp;VAR:SDATE=20090499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__FDSAUDITLINK__" localSheetId="0" hidden="1">{"fdsup://IBCentral/FAT Viewer?action=UPDATE&amp;creator=factset&amp;DOC_NAME=fat:reuters_ltm_source_window.fat&amp;display_string=Audit&amp;DYN_ARGS=TRUE&amp;VAR:ID1=BRC&amp;VAR:RCODE=FIBCEBITDA&amp;VAR:SDATE=20090499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__FDSAUDITLINK__" localSheetId="4" hidden="1">{"fdsup://IBCentral/FAT Viewer?action=UPDATE&amp;creator=factset&amp;DOC_NAME=fat:reuters_ltm_source_window.fat&amp;display_string=Audit&amp;DYN_ARGS=TRUE&amp;VAR:ID1=BRC&amp;VAR:RCODE=FIBCEBITDA&amp;VAR:SDATE=20090499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__FDSAUDITLINK__" hidden="1">{"fdsup://IBCentral/FAT Viewer?action=UPDATE&amp;creator=factset&amp;DOC_NAME=fat:reuters_ltm_source_window.fat&amp;display_string=Audit&amp;DYN_ARGS=TRUE&amp;VAR:ID1=BRC&amp;VAR:RCODE=FIBCEBITDA&amp;VAR:SDATE=20090499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_0EBITDA_Sh" localSheetId="0">#REF!</definedName>
    <definedName name="_6_0EBITDA_Sh">#REF!</definedName>
    <definedName name="_60__FDSAUDITLINK__" localSheetId="5" hidden="1">{"fdsup://IBCentral/FAT Viewer?action=UPDATE&amp;creator=factset&amp;DOC_NAME=fat:reuters_ltm_source_window.fat&amp;display_string=Audit&amp;DYN_ARGS=TRUE&amp;VAR:ID1=KBR&amp;VAR:RCODE=FIBCEBITDA&amp;VAR:SDATE=20090399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__FDSAUDITLINK__" localSheetId="0" hidden="1">{"fdsup://IBCentral/FAT Viewer?action=UPDATE&amp;creator=factset&amp;DOC_NAME=fat:reuters_ltm_source_window.fat&amp;display_string=Audit&amp;DYN_ARGS=TRUE&amp;VAR:ID1=KBR&amp;VAR:RCODE=FIBCEBITDA&amp;VAR:SDATE=20090399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__FDSAUDITLINK__" localSheetId="4" hidden="1">{"fdsup://IBCentral/FAT Viewer?action=UPDATE&amp;creator=factset&amp;DOC_NAME=fat:reuters_ltm_source_window.fat&amp;display_string=Audit&amp;DYN_ARGS=TRUE&amp;VAR:ID1=KBR&amp;VAR:RCODE=FIBCEBITDA&amp;VAR:SDATE=20090399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__FDSAUDITLINK__" hidden="1">{"fdsup://IBCentral/FAT Viewer?action=UPDATE&amp;creator=factset&amp;DOC_NAME=fat:reuters_ltm_source_window.fat&amp;display_string=Audit&amp;DYN_ARGS=TRUE&amp;VAR:ID1=KBR&amp;VAR:RCODE=FIBCEBITDA&amp;VAR:SDATE=20090399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0__FDSAUDITLINK__" localSheetId="5" hidden="1">{"fdsup://IBCentral/FAT Viewer?action=UPDATE&amp;creator=factset&amp;DOC_NAME=fat:reuters_ltm_source_window.fat&amp;display_string=Audit&amp;DYN_ARGS=TRUE&amp;VAR:ID1=CNW&amp;VAR:RCODE=FIBCEBITDA&amp;VAR:SDATE=20090699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0__FDSAUDITLINK__" localSheetId="0" hidden="1">{"fdsup://IBCentral/FAT Viewer?action=UPDATE&amp;creator=factset&amp;DOC_NAME=fat:reuters_ltm_source_window.fat&amp;display_string=Audit&amp;DYN_ARGS=TRUE&amp;VAR:ID1=CNW&amp;VAR:RCODE=FIBCEBITDA&amp;VAR:SDATE=20090699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0__FDSAUDITLINK__" localSheetId="4" hidden="1">{"fdsup://IBCentral/FAT Viewer?action=UPDATE&amp;creator=factset&amp;DOC_NAME=fat:reuters_ltm_source_window.fat&amp;display_string=Audit&amp;DYN_ARGS=TRUE&amp;VAR:ID1=CNW&amp;VAR:RCODE=FIBCEBITDA&amp;VAR:SDATE=20090699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0__FDSAUDITLINK__" hidden="1">{"fdsup://IBCentral/FAT Viewer?action=UPDATE&amp;creator=factset&amp;DOC_NAME=fat:reuters_ltm_source_window.fat&amp;display_string=Audit&amp;DYN_ARGS=TRUE&amp;VAR:ID1=CNW&amp;VAR:RCODE=FIBCEBITDA&amp;VAR:SDATE=20090699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1__FDSAUDITLINK__" localSheetId="5" hidden="1">{"fdsup://IBCentral/FAT Viewer?action=UPDATE&amp;creator=factset&amp;DOC_NAME=fat:reuters_ltm_source_window.fat&amp;display_string=Audit&amp;DYN_ARGS=TRUE&amp;VAR:ID1=ODFL&amp;VAR:RCODE=FDSREVSTOTAL&amp;VAR:SDATE=20090699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01__FDSAUDITLINK__" localSheetId="0" hidden="1">{"fdsup://IBCentral/FAT Viewer?action=UPDATE&amp;creator=factset&amp;DOC_NAME=fat:reuters_ltm_source_window.fat&amp;display_string=Audit&amp;DYN_ARGS=TRUE&amp;VAR:ID1=ODFL&amp;VAR:RCODE=FDSREVSTOTAL&amp;VAR:SDATE=20090699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01__FDSAUDITLINK__" localSheetId="4" hidden="1">{"fdsup://IBCentral/FAT Viewer?action=UPDATE&amp;creator=factset&amp;DOC_NAME=fat:reuters_ltm_source_window.fat&amp;display_string=Audit&amp;DYN_ARGS=TRUE&amp;VAR:ID1=ODFL&amp;VAR:RCODE=FDSREVSTOTAL&amp;VAR:SDATE=20090699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01__FDSAUDITLINK__" hidden="1">{"fdsup://IBCentral/FAT Viewer?action=UPDATE&amp;creator=factset&amp;DOC_NAME=fat:reuters_ltm_source_window.fat&amp;display_string=Audit&amp;DYN_ARGS=TRUE&amp;VAR:ID1=ODFL&amp;VAR:RCODE=FDSREVSTOTAL&amp;VAR:SDATE=20090699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02__FDSAUDITLINK__" localSheetId="5" hidden="1">{"fdsup://IBCentral/FAT Viewer?action=UPDATE&amp;creator=factset&amp;DOC_NAME=fat:reuters_ltm_source_window.fat&amp;display_string=Audit&amp;DYN_ARGS=TRUE&amp;VAR:ID1=ODFL&amp;VAR:RCODE=FIBCEBITDA&amp;VAR:SDATE=20090699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02__FDSAUDITLINK__" localSheetId="0" hidden="1">{"fdsup://IBCentral/FAT Viewer?action=UPDATE&amp;creator=factset&amp;DOC_NAME=fat:reuters_ltm_source_window.fat&amp;display_string=Audit&amp;DYN_ARGS=TRUE&amp;VAR:ID1=ODFL&amp;VAR:RCODE=FIBCEBITDA&amp;VAR:SDATE=20090699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02__FDSAUDITLINK__" localSheetId="4" hidden="1">{"fdsup://IBCentral/FAT Viewer?action=UPDATE&amp;creator=factset&amp;DOC_NAME=fat:reuters_ltm_source_window.fat&amp;display_string=Audit&amp;DYN_ARGS=TRUE&amp;VAR:ID1=ODFL&amp;VAR:RCODE=FIBCEBITDA&amp;VAR:SDATE=20090699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02__FDSAUDITLINK__" hidden="1">{"fdsup://IBCentral/FAT Viewer?action=UPDATE&amp;creator=factset&amp;DOC_NAME=fat:reuters_ltm_source_window.fat&amp;display_string=Audit&amp;DYN_ARGS=TRUE&amp;VAR:ID1=ODFL&amp;VAR:RCODE=FIBCEBITDA&amp;VAR:SDATE=20090699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03__FDSAUDITLINK__" localSheetId="5" hidden="1">{"fdsup://IBCentral/FAT Viewer?action=UPDATE&amp;creator=factset&amp;DOC_NAME=fat:reuters_ltm_source_window.fat&amp;display_string=Audit&amp;DYN_ARGS=TRUE&amp;VAR:ID1=GMT&amp;VAR:RCODE=FDSREVSTOTAL&amp;VAR:SDATE=20090699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3__FDSAUDITLINK__" localSheetId="0" hidden="1">{"fdsup://IBCentral/FAT Viewer?action=UPDATE&amp;creator=factset&amp;DOC_NAME=fat:reuters_ltm_source_window.fat&amp;display_string=Audit&amp;DYN_ARGS=TRUE&amp;VAR:ID1=GMT&amp;VAR:RCODE=FDSREVSTOTAL&amp;VAR:SDATE=20090699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3__FDSAUDITLINK__" localSheetId="4" hidden="1">{"fdsup://IBCentral/FAT Viewer?action=UPDATE&amp;creator=factset&amp;DOC_NAME=fat:reuters_ltm_source_window.fat&amp;display_string=Audit&amp;DYN_ARGS=TRUE&amp;VAR:ID1=GMT&amp;VAR:RCODE=FDSREVSTOTAL&amp;VAR:SDATE=20090699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3__FDSAUDITLINK__" hidden="1">{"fdsup://IBCentral/FAT Viewer?action=UPDATE&amp;creator=factset&amp;DOC_NAME=fat:reuters_ltm_source_window.fat&amp;display_string=Audit&amp;DYN_ARGS=TRUE&amp;VAR:ID1=GMT&amp;VAR:RCODE=FDSREVSTOTAL&amp;VAR:SDATE=20090699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4__FDSAUDITLINK__" localSheetId="5" hidden="1">{"fdsup://IBCentral/FAT Viewer?action=UPDATE&amp;creator=factset&amp;DOC_NAME=fat:reuters_ltm_source_window.fat&amp;display_string=Audit&amp;DYN_ARGS=TRUE&amp;VAR:ID1=GMT&amp;VAR:RCODE=FIBCEBITDA&amp;VAR:SDATE=20090699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4__FDSAUDITLINK__" localSheetId="0" hidden="1">{"fdsup://IBCentral/FAT Viewer?action=UPDATE&amp;creator=factset&amp;DOC_NAME=fat:reuters_ltm_source_window.fat&amp;display_string=Audit&amp;DYN_ARGS=TRUE&amp;VAR:ID1=GMT&amp;VAR:RCODE=FIBCEBITDA&amp;VAR:SDATE=20090699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4__FDSAUDITLINK__" localSheetId="4" hidden="1">{"fdsup://IBCentral/FAT Viewer?action=UPDATE&amp;creator=factset&amp;DOC_NAME=fat:reuters_ltm_source_window.fat&amp;display_string=Audit&amp;DYN_ARGS=TRUE&amp;VAR:ID1=GMT&amp;VAR:RCODE=FIBCEBITDA&amp;VAR:SDATE=20090699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4__FDSAUDITLINK__" hidden="1">{"fdsup://IBCentral/FAT Viewer?action=UPDATE&amp;creator=factset&amp;DOC_NAME=fat:reuters_ltm_source_window.fat&amp;display_string=Audit&amp;DYN_ARGS=TRUE&amp;VAR:ID1=GMT&amp;VAR:RCODE=FIBCEBITDA&amp;VAR:SDATE=20090699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5__FDSAUDITLINK__" localSheetId="5" hidden="1">{"fdsup://IBCentral/FAT Viewer?action=UPDATE&amp;creator=factset&amp;DOC_NAME=fat:reuters_ltm_source_window.fat&amp;display_string=Audit&amp;DYN_ARGS=TRUE&amp;VAR:ID1=SSD&amp;VAR:RCODE=FDSREVSTOTAL&amp;VAR:SDATE=20090699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5__FDSAUDITLINK__" localSheetId="0" hidden="1">{"fdsup://IBCentral/FAT Viewer?action=UPDATE&amp;creator=factset&amp;DOC_NAME=fat:reuters_ltm_source_window.fat&amp;display_string=Audit&amp;DYN_ARGS=TRUE&amp;VAR:ID1=SSD&amp;VAR:RCODE=FDSREVSTOTAL&amp;VAR:SDATE=20090699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5__FDSAUDITLINK__" localSheetId="4" hidden="1">{"fdsup://IBCentral/FAT Viewer?action=UPDATE&amp;creator=factset&amp;DOC_NAME=fat:reuters_ltm_source_window.fat&amp;display_string=Audit&amp;DYN_ARGS=TRUE&amp;VAR:ID1=SSD&amp;VAR:RCODE=FDSREVSTOTAL&amp;VAR:SDATE=20090699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5__FDSAUDITLINK__" hidden="1">{"fdsup://IBCentral/FAT Viewer?action=UPDATE&amp;creator=factset&amp;DOC_NAME=fat:reuters_ltm_source_window.fat&amp;display_string=Audit&amp;DYN_ARGS=TRUE&amp;VAR:ID1=SSD&amp;VAR:RCODE=FDSREVSTOTAL&amp;VAR:SDATE=20090699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6__FDSAUDITLINK__" localSheetId="5" hidden="1">{"fdsup://IBCentral/FAT Viewer?action=UPDATE&amp;creator=factset&amp;DOC_NAME=fat:reuters_ltm_source_window.fat&amp;display_string=Audit&amp;DYN_ARGS=TRUE&amp;VAR:ID1=SSD&amp;VAR:RCODE=FIBCEBITDA&amp;VAR:SDATE=20090699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6__FDSAUDITLINK__" localSheetId="0" hidden="1">{"fdsup://IBCentral/FAT Viewer?action=UPDATE&amp;creator=factset&amp;DOC_NAME=fat:reuters_ltm_source_window.fat&amp;display_string=Audit&amp;DYN_ARGS=TRUE&amp;VAR:ID1=SSD&amp;VAR:RCODE=FIBCEBITDA&amp;VAR:SDATE=20090699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6__FDSAUDITLINK__" localSheetId="4" hidden="1">{"fdsup://IBCentral/FAT Viewer?action=UPDATE&amp;creator=factset&amp;DOC_NAME=fat:reuters_ltm_source_window.fat&amp;display_string=Audit&amp;DYN_ARGS=TRUE&amp;VAR:ID1=SSD&amp;VAR:RCODE=FIBCEBITDA&amp;VAR:SDATE=20090699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6__FDSAUDITLINK__" hidden="1">{"fdsup://IBCentral/FAT Viewer?action=UPDATE&amp;creator=factset&amp;DOC_NAME=fat:reuters_ltm_source_window.fat&amp;display_string=Audit&amp;DYN_ARGS=TRUE&amp;VAR:ID1=SSD&amp;VAR:RCODE=FIBCEBITDA&amp;VAR:SDATE=20090699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7__FDSAUDITLINK__" localSheetId="5" hidden="1">{"fdsup://IBCentral/FAT Viewer?action=UPDATE&amp;creator=factset&amp;DOC_NAME=fat:reuters_ltm_source_window.fat&amp;display_string=Audit&amp;DYN_ARGS=TRUE&amp;VAR:ID1=TDY&amp;VAR:RCODE=FDSREVSTOTAL&amp;VAR:SDATE=20090699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7__FDSAUDITLINK__" localSheetId="0" hidden="1">{"fdsup://IBCentral/FAT Viewer?action=UPDATE&amp;creator=factset&amp;DOC_NAME=fat:reuters_ltm_source_window.fat&amp;display_string=Audit&amp;DYN_ARGS=TRUE&amp;VAR:ID1=TDY&amp;VAR:RCODE=FDSREVSTOTAL&amp;VAR:SDATE=20090699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7__FDSAUDITLINK__" localSheetId="4" hidden="1">{"fdsup://IBCentral/FAT Viewer?action=UPDATE&amp;creator=factset&amp;DOC_NAME=fat:reuters_ltm_source_window.fat&amp;display_string=Audit&amp;DYN_ARGS=TRUE&amp;VAR:ID1=TDY&amp;VAR:RCODE=FDSREVSTOTAL&amp;VAR:SDATE=20090699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7__FDSAUDITLINK__" hidden="1">{"fdsup://IBCentral/FAT Viewer?action=UPDATE&amp;creator=factset&amp;DOC_NAME=fat:reuters_ltm_source_window.fat&amp;display_string=Audit&amp;DYN_ARGS=TRUE&amp;VAR:ID1=TDY&amp;VAR:RCODE=FDSREVSTOTAL&amp;VAR:SDATE=20090699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08__FDSAUDITLINK__" localSheetId="5" hidden="1">{"fdsup://IBCentral/FAT Viewer?action=UPDATE&amp;creator=factset&amp;DOC_NAME=fat:reuters_ltm_source_window.fat&amp;display_string=Audit&amp;DYN_ARGS=TRUE&amp;VAR:ID1=TDY&amp;VAR:RCODE=FIBCEBITDA&amp;VAR:SDATE=20090699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8__FDSAUDITLINK__" localSheetId="0" hidden="1">{"fdsup://IBCentral/FAT Viewer?action=UPDATE&amp;creator=factset&amp;DOC_NAME=fat:reuters_ltm_source_window.fat&amp;display_string=Audit&amp;DYN_ARGS=TRUE&amp;VAR:ID1=TDY&amp;VAR:RCODE=FIBCEBITDA&amp;VAR:SDATE=20090699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8__FDSAUDITLINK__" localSheetId="4" hidden="1">{"fdsup://IBCentral/FAT Viewer?action=UPDATE&amp;creator=factset&amp;DOC_NAME=fat:reuters_ltm_source_window.fat&amp;display_string=Audit&amp;DYN_ARGS=TRUE&amp;VAR:ID1=TDY&amp;VAR:RCODE=FIBCEBITDA&amp;VAR:SDATE=20090699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8__FDSAUDITLINK__" hidden="1">{"fdsup://IBCentral/FAT Viewer?action=UPDATE&amp;creator=factset&amp;DOC_NAME=fat:reuters_ltm_source_window.fat&amp;display_string=Audit&amp;DYN_ARGS=TRUE&amp;VAR:ID1=TDY&amp;VAR:RCODE=FIBCEBITDA&amp;VAR:SDATE=20090699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09__FDSAUDITLINK__" localSheetId="5" hidden="1">{"fdsup://IBCentral/FAT Viewer?action=UPDATE&amp;creator=factset&amp;DOC_NAME=fat:reuters_ltm_source_window.fat&amp;display_string=Audit&amp;DYN_ARGS=TRUE&amp;VAR:ID1=MOG.A&amp;VAR:RCODE=FDSREVSTOTAL&amp;VAR:SDATE=20090699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609__FDSAUDITLINK__" localSheetId="0" hidden="1">{"fdsup://IBCentral/FAT Viewer?action=UPDATE&amp;creator=factset&amp;DOC_NAME=fat:reuters_ltm_source_window.fat&amp;display_string=Audit&amp;DYN_ARGS=TRUE&amp;VAR:ID1=MOG.A&amp;VAR:RCODE=FDSREVSTOTAL&amp;VAR:SDATE=20090699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609__FDSAUDITLINK__" localSheetId="4" hidden="1">{"fdsup://IBCentral/FAT Viewer?action=UPDATE&amp;creator=factset&amp;DOC_NAME=fat:reuters_ltm_source_window.fat&amp;display_string=Audit&amp;DYN_ARGS=TRUE&amp;VAR:ID1=MOG.A&amp;VAR:RCODE=FDSREVSTOTAL&amp;VAR:SDATE=20090699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609__FDSAUDITLINK__" hidden="1">{"fdsup://IBCentral/FAT Viewer?action=UPDATE&amp;creator=factset&amp;DOC_NAME=fat:reuters_ltm_source_window.fat&amp;display_string=Audit&amp;DYN_ARGS=TRUE&amp;VAR:ID1=MOG.A&amp;VAR:RCODE=FDSREVSTOTAL&amp;VAR:SDATE=20090699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61__123Graph_AChart_1H" localSheetId="0" hidden="1">#REF!</definedName>
    <definedName name="_61__123Graph_AChart_1H" hidden="1">#REF!</definedName>
    <definedName name="_61__FDSAUDITLINK__" localSheetId="5" hidden="1">{"fdsup://IBCentral/FAT Viewer?action=UPDATE&amp;creator=factset&amp;DOC_NAME=fat:reuters_ltm_source_window.fat&amp;display_string=Audit&amp;DYN_ARGS=TRUE&amp;VAR:ID1=MAN&amp;VAR:RCODE=FIBCEBITDA&amp;VAR:SDATE=20090399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__FDSAUDITLINK__" localSheetId="0" hidden="1">{"fdsup://IBCentral/FAT Viewer?action=UPDATE&amp;creator=factset&amp;DOC_NAME=fat:reuters_ltm_source_window.fat&amp;display_string=Audit&amp;DYN_ARGS=TRUE&amp;VAR:ID1=MAN&amp;VAR:RCODE=FIBCEBITDA&amp;VAR:SDATE=20090399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__FDSAUDITLINK__" localSheetId="4" hidden="1">{"fdsup://IBCentral/FAT Viewer?action=UPDATE&amp;creator=factset&amp;DOC_NAME=fat:reuters_ltm_source_window.fat&amp;display_string=Audit&amp;DYN_ARGS=TRUE&amp;VAR:ID1=MAN&amp;VAR:RCODE=FIBCEBITDA&amp;VAR:SDATE=20090399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__FDSAUDITLINK__" hidden="1">{"fdsup://IBCentral/FAT Viewer?action=UPDATE&amp;creator=factset&amp;DOC_NAME=fat:reuters_ltm_source_window.fat&amp;display_string=Audit&amp;DYN_ARGS=TRUE&amp;VAR:ID1=MAN&amp;VAR:RCODE=FIBCEBITDA&amp;VAR:SDATE=20090399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0__FDSAUDITLINK__" localSheetId="5" hidden="1">{"fdsup://IBCentral/FAT Viewer?action=UPDATE&amp;creator=factset&amp;DOC_NAME=fat:reuters_ltm_source_window.fat&amp;display_string=Audit&amp;DYN_ARGS=TRUE&amp;VAR:ID1=MOG.A&amp;VAR:RCODE=FIBCEBITDA&amp;VAR:SDATE=20090699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0__FDSAUDITLINK__" localSheetId="0" hidden="1">{"fdsup://IBCentral/FAT Viewer?action=UPDATE&amp;creator=factset&amp;DOC_NAME=fat:reuters_ltm_source_window.fat&amp;display_string=Audit&amp;DYN_ARGS=TRUE&amp;VAR:ID1=MOG.A&amp;VAR:RCODE=FIBCEBITDA&amp;VAR:SDATE=20090699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0__FDSAUDITLINK__" localSheetId="4" hidden="1">{"fdsup://IBCentral/FAT Viewer?action=UPDATE&amp;creator=factset&amp;DOC_NAME=fat:reuters_ltm_source_window.fat&amp;display_string=Audit&amp;DYN_ARGS=TRUE&amp;VAR:ID1=MOG.A&amp;VAR:RCODE=FIBCEBITDA&amp;VAR:SDATE=20090699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0__FDSAUDITLINK__" hidden="1">{"fdsup://IBCentral/FAT Viewer?action=UPDATE&amp;creator=factset&amp;DOC_NAME=fat:reuters_ltm_source_window.fat&amp;display_string=Audit&amp;DYN_ARGS=TRUE&amp;VAR:ID1=MOG.A&amp;VAR:RCODE=FIBCEBITDA&amp;VAR:SDATE=20090699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1__FDSAUDITLINK__" localSheetId="5" hidden="1">{"fdsup://IBCentral/FAT Viewer?action=UPDATE&amp;creator=factset&amp;DOC_NAME=fat:reuters_ltm_source_window.fat&amp;display_string=Audit&amp;DYN_ARGS=TRUE&amp;VAR:ID1=KDN&amp;VAR:RCODE=FDSREVSTOTAL&amp;VAR:SDATE=20090699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1__FDSAUDITLINK__" localSheetId="0" hidden="1">{"fdsup://IBCentral/FAT Viewer?action=UPDATE&amp;creator=factset&amp;DOC_NAME=fat:reuters_ltm_source_window.fat&amp;display_string=Audit&amp;DYN_ARGS=TRUE&amp;VAR:ID1=KDN&amp;VAR:RCODE=FDSREVSTOTAL&amp;VAR:SDATE=20090699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1__FDSAUDITLINK__" localSheetId="4" hidden="1">{"fdsup://IBCentral/FAT Viewer?action=UPDATE&amp;creator=factset&amp;DOC_NAME=fat:reuters_ltm_source_window.fat&amp;display_string=Audit&amp;DYN_ARGS=TRUE&amp;VAR:ID1=KDN&amp;VAR:RCODE=FDSREVSTOTAL&amp;VAR:SDATE=20090699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1__FDSAUDITLINK__" hidden="1">{"fdsup://IBCentral/FAT Viewer?action=UPDATE&amp;creator=factset&amp;DOC_NAME=fat:reuters_ltm_source_window.fat&amp;display_string=Audit&amp;DYN_ARGS=TRUE&amp;VAR:ID1=KDN&amp;VAR:RCODE=FDSREVSTOTAL&amp;VAR:SDATE=20090699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2__FDSAUDITLINK__" localSheetId="5" hidden="1">{"fdsup://IBCentral/FAT Viewer?action=UPDATE&amp;creator=factset&amp;DOC_NAME=fat:reuters_ltm_source_window.fat&amp;display_string=Audit&amp;DYN_ARGS=TRUE&amp;VAR:ID1=KDN&amp;VAR:RCODE=FIBCEBITDA&amp;VAR:SDATE=20090699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2__FDSAUDITLINK__" localSheetId="0" hidden="1">{"fdsup://IBCentral/FAT Viewer?action=UPDATE&amp;creator=factset&amp;DOC_NAME=fat:reuters_ltm_source_window.fat&amp;display_string=Audit&amp;DYN_ARGS=TRUE&amp;VAR:ID1=KDN&amp;VAR:RCODE=FIBCEBITDA&amp;VAR:SDATE=20090699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2__FDSAUDITLINK__" localSheetId="4" hidden="1">{"fdsup://IBCentral/FAT Viewer?action=UPDATE&amp;creator=factset&amp;DOC_NAME=fat:reuters_ltm_source_window.fat&amp;display_string=Audit&amp;DYN_ARGS=TRUE&amp;VAR:ID1=KDN&amp;VAR:RCODE=FIBCEBITDA&amp;VAR:SDATE=20090699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2__FDSAUDITLINK__" hidden="1">{"fdsup://IBCentral/FAT Viewer?action=UPDATE&amp;creator=factset&amp;DOC_NAME=fat:reuters_ltm_source_window.fat&amp;display_string=Audit&amp;DYN_ARGS=TRUE&amp;VAR:ID1=KDN&amp;VAR:RCODE=FIBCEBITDA&amp;VAR:SDATE=20090699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3__FDSAUDITLINK__" localSheetId="5" hidden="1">{"fdsup://IBCentral/FAT Viewer?action=UPDATE&amp;creator=factset&amp;DOC_NAME=fat:reuters_ltm_source_window.fat&amp;display_string=Audit&amp;DYN_ARGS=TRUE&amp;VAR:ID1=ESE&amp;VAR:RCODE=FDSREVSTOTAL&amp;VAR:SDATE=20090699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3__FDSAUDITLINK__" localSheetId="0" hidden="1">{"fdsup://IBCentral/FAT Viewer?action=UPDATE&amp;creator=factset&amp;DOC_NAME=fat:reuters_ltm_source_window.fat&amp;display_string=Audit&amp;DYN_ARGS=TRUE&amp;VAR:ID1=ESE&amp;VAR:RCODE=FDSREVSTOTAL&amp;VAR:SDATE=20090699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3__FDSAUDITLINK__" localSheetId="4" hidden="1">{"fdsup://IBCentral/FAT Viewer?action=UPDATE&amp;creator=factset&amp;DOC_NAME=fat:reuters_ltm_source_window.fat&amp;display_string=Audit&amp;DYN_ARGS=TRUE&amp;VAR:ID1=ESE&amp;VAR:RCODE=FDSREVSTOTAL&amp;VAR:SDATE=20090699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Viewer?action=UPDATE&amp;creator=factset&amp;DOC_NAME=fat:reuters_ltm_source_window.fat&amp;display_string=Audit&amp;DYN_ARGS=TRUE&amp;VAR:ID1=ESE&amp;VAR:RCODE=FDSREVSTOTAL&amp;VAR:SDATE=20090699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4__FDSAUDITLINK__" localSheetId="5" hidden="1">{"fdsup://IBCentral/FAT Viewer?action=UPDATE&amp;creator=factset&amp;DOC_NAME=fat:reuters_ltm_source_window.fat&amp;display_string=Audit&amp;DYN_ARGS=TRUE&amp;VAR:ID1=ESE&amp;VAR:RCODE=FIBCEBITDA&amp;VAR:SDATE=20090699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4__FDSAUDITLINK__" localSheetId="0" hidden="1">{"fdsup://IBCentral/FAT Viewer?action=UPDATE&amp;creator=factset&amp;DOC_NAME=fat:reuters_ltm_source_window.fat&amp;display_string=Audit&amp;DYN_ARGS=TRUE&amp;VAR:ID1=ESE&amp;VAR:RCODE=FIBCEBITDA&amp;VAR:SDATE=20090699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4__FDSAUDITLINK__" localSheetId="4" hidden="1">{"fdsup://IBCentral/FAT Viewer?action=UPDATE&amp;creator=factset&amp;DOC_NAME=fat:reuters_ltm_source_window.fat&amp;display_string=Audit&amp;DYN_ARGS=TRUE&amp;VAR:ID1=ESE&amp;VAR:RCODE=FIBCEBITDA&amp;VAR:SDATE=20090699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4__FDSAUDITLINK__" hidden="1">{"fdsup://IBCentral/FAT Viewer?action=UPDATE&amp;creator=factset&amp;DOC_NAME=fat:reuters_ltm_source_window.fat&amp;display_string=Audit&amp;DYN_ARGS=TRUE&amp;VAR:ID1=ESE&amp;VAR:RCODE=FIBCEBITDA&amp;VAR:SDATE=20090699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5__FDSAUDITLINK__" localSheetId="5" hidden="1">{"fdsup://IBCentral/FAT Viewer?action=UPDATE&amp;creator=factset&amp;DOC_NAME=fat:reuters_ltm_source_window.fat&amp;display_string=Audit&amp;DYN_ARGS=TRUE&amp;VAR:ID1=TEX&amp;VAR:RCODE=FDSREVSTOTAL&amp;VAR:SDATE=20090699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5__FDSAUDITLINK__" localSheetId="0" hidden="1">{"fdsup://IBCentral/FAT Viewer?action=UPDATE&amp;creator=factset&amp;DOC_NAME=fat:reuters_ltm_source_window.fat&amp;display_string=Audit&amp;DYN_ARGS=TRUE&amp;VAR:ID1=TEX&amp;VAR:RCODE=FDSREVSTOTAL&amp;VAR:SDATE=20090699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5__FDSAUDITLINK__" localSheetId="4" hidden="1">{"fdsup://IBCentral/FAT Viewer?action=UPDATE&amp;creator=factset&amp;DOC_NAME=fat:reuters_ltm_source_window.fat&amp;display_string=Audit&amp;DYN_ARGS=TRUE&amp;VAR:ID1=TEX&amp;VAR:RCODE=FDSREVSTOTAL&amp;VAR:SDATE=20090699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5__FDSAUDITLINK__" hidden="1">{"fdsup://IBCentral/FAT Viewer?action=UPDATE&amp;creator=factset&amp;DOC_NAME=fat:reuters_ltm_source_window.fat&amp;display_string=Audit&amp;DYN_ARGS=TRUE&amp;VAR:ID1=TEX&amp;VAR:RCODE=FDSREVSTOTAL&amp;VAR:SDATE=20090699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6__FDSAUDITLINK__" localSheetId="5" hidden="1">{"fdsup://IBCentral/FAT Viewer?action=UPDATE&amp;creator=factset&amp;DOC_NAME=fat:reuters_ltm_source_window.fat&amp;display_string=Audit&amp;DYN_ARGS=TRUE&amp;VAR:ID1=TEX&amp;VAR:RCODE=FIBCEBITDA&amp;VAR:SDATE=20090699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6__FDSAUDITLINK__" localSheetId="0" hidden="1">{"fdsup://IBCentral/FAT Viewer?action=UPDATE&amp;creator=factset&amp;DOC_NAME=fat:reuters_ltm_source_window.fat&amp;display_string=Audit&amp;DYN_ARGS=TRUE&amp;VAR:ID1=TEX&amp;VAR:RCODE=FIBCEBITDA&amp;VAR:SDATE=20090699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6__FDSAUDITLINK__" localSheetId="4" hidden="1">{"fdsup://IBCentral/FAT Viewer?action=UPDATE&amp;creator=factset&amp;DOC_NAME=fat:reuters_ltm_source_window.fat&amp;display_string=Audit&amp;DYN_ARGS=TRUE&amp;VAR:ID1=TEX&amp;VAR:RCODE=FIBCEBITDA&amp;VAR:SDATE=20090699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6__FDSAUDITLINK__" hidden="1">{"fdsup://IBCentral/FAT Viewer?action=UPDATE&amp;creator=factset&amp;DOC_NAME=fat:reuters_ltm_source_window.fat&amp;display_string=Audit&amp;DYN_ARGS=TRUE&amp;VAR:ID1=TEX&amp;VAR:RCODE=FIBCEBITDA&amp;VAR:SDATE=20090699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7__FDSAUDITLINK__" localSheetId="5" hidden="1">{"fdsup://IBCentral/FAT Viewer?action=UPDATE&amp;creator=factset&amp;DOC_NAME=fat:reuters_ltm_source_window.fat&amp;display_string=Audit&amp;DYN_ARGS=TRUE&amp;VAR:ID1=RBC&amp;VAR:RCODE=FDSREVSTOTAL&amp;VAR:SDATE=20090699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7__FDSAUDITLINK__" localSheetId="0" hidden="1">{"fdsup://IBCentral/FAT Viewer?action=UPDATE&amp;creator=factset&amp;DOC_NAME=fat:reuters_ltm_source_window.fat&amp;display_string=Audit&amp;DYN_ARGS=TRUE&amp;VAR:ID1=RBC&amp;VAR:RCODE=FDSREVSTOTAL&amp;VAR:SDATE=20090699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7__FDSAUDITLINK__" localSheetId="4" hidden="1">{"fdsup://IBCentral/FAT Viewer?action=UPDATE&amp;creator=factset&amp;DOC_NAME=fat:reuters_ltm_source_window.fat&amp;display_string=Audit&amp;DYN_ARGS=TRUE&amp;VAR:ID1=RBC&amp;VAR:RCODE=FDSREVSTOTAL&amp;VAR:SDATE=20090699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7__FDSAUDITLINK__" hidden="1">{"fdsup://IBCentral/FAT Viewer?action=UPDATE&amp;creator=factset&amp;DOC_NAME=fat:reuters_ltm_source_window.fat&amp;display_string=Audit&amp;DYN_ARGS=TRUE&amp;VAR:ID1=RBC&amp;VAR:RCODE=FDSREVSTOTAL&amp;VAR:SDATE=20090699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8__FDSAUDITLINK__" localSheetId="5" hidden="1">{"fdsup://IBCentral/FAT Viewer?action=UPDATE&amp;creator=factset&amp;DOC_NAME=fat:reuters_ltm_source_window.fat&amp;display_string=Audit&amp;DYN_ARGS=TRUE&amp;VAR:ID1=RBC&amp;VAR:RCODE=FIBCEBITDA&amp;VAR:SDATE=20090699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8__FDSAUDITLINK__" localSheetId="0" hidden="1">{"fdsup://IBCentral/FAT Viewer?action=UPDATE&amp;creator=factset&amp;DOC_NAME=fat:reuters_ltm_source_window.fat&amp;display_string=Audit&amp;DYN_ARGS=TRUE&amp;VAR:ID1=RBC&amp;VAR:RCODE=FIBCEBITDA&amp;VAR:SDATE=20090699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8__FDSAUDITLINK__" localSheetId="4" hidden="1">{"fdsup://IBCentral/FAT Viewer?action=UPDATE&amp;creator=factset&amp;DOC_NAME=fat:reuters_ltm_source_window.fat&amp;display_string=Audit&amp;DYN_ARGS=TRUE&amp;VAR:ID1=RBC&amp;VAR:RCODE=FIBCEBITDA&amp;VAR:SDATE=20090699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8__FDSAUDITLINK__" hidden="1">{"fdsup://IBCentral/FAT Viewer?action=UPDATE&amp;creator=factset&amp;DOC_NAME=fat:reuters_ltm_source_window.fat&amp;display_string=Audit&amp;DYN_ARGS=TRUE&amp;VAR:ID1=RBC&amp;VAR:RCODE=FIBCEBITDA&amp;VAR:SDATE=20090699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19__FDSAUDITLINK__" localSheetId="5" hidden="1">{"fdsup://IBCentral/FAT Viewer?action=UPDATE&amp;creator=factset&amp;DOC_NAME=fat:reuters_ltm_source_window.fat&amp;display_string=Audit&amp;DYN_ARGS=TRUE&amp;VAR:ID1=MWW&amp;VAR:RCODE=FDSREVSTOTAL&amp;VAR:SDATE=20090699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9__FDSAUDITLINK__" localSheetId="0" hidden="1">{"fdsup://IBCentral/FAT Viewer?action=UPDATE&amp;creator=factset&amp;DOC_NAME=fat:reuters_ltm_source_window.fat&amp;display_string=Audit&amp;DYN_ARGS=TRUE&amp;VAR:ID1=MWW&amp;VAR:RCODE=FDSREVSTOTAL&amp;VAR:SDATE=20090699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9__FDSAUDITLINK__" localSheetId="4" hidden="1">{"fdsup://IBCentral/FAT Viewer?action=UPDATE&amp;creator=factset&amp;DOC_NAME=fat:reuters_ltm_source_window.fat&amp;display_string=Audit&amp;DYN_ARGS=TRUE&amp;VAR:ID1=MWW&amp;VAR:RCODE=FDSREVSTOTAL&amp;VAR:SDATE=20090699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19__FDSAUDITLINK__" hidden="1">{"fdsup://IBCentral/FAT Viewer?action=UPDATE&amp;creator=factset&amp;DOC_NAME=fat:reuters_ltm_source_window.fat&amp;display_string=Audit&amp;DYN_ARGS=TRUE&amp;VAR:ID1=MWW&amp;VAR:RCODE=FDSREVSTOTAL&amp;VAR:SDATE=20090699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__FDSAUDITLINK__" localSheetId="5" hidden="1">{"fdsup://IBCentral/FAT Viewer?action=UPDATE&amp;creator=factset&amp;DOC_NAME=fat:reuters_ltm_source_window.fat&amp;display_string=Audit&amp;DYN_ARGS=TRUE&amp;VAR:ID1=FCN&amp;VAR:RCODE=FIBCEBITDA&amp;VAR:SDATE=20090399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__FDSAUDITLINK__" localSheetId="0" hidden="1">{"fdsup://IBCentral/FAT Viewer?action=UPDATE&amp;creator=factset&amp;DOC_NAME=fat:reuters_ltm_source_window.fat&amp;display_string=Audit&amp;DYN_ARGS=TRUE&amp;VAR:ID1=FCN&amp;VAR:RCODE=FIBCEBITDA&amp;VAR:SDATE=20090399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__FDSAUDITLINK__" localSheetId="4" hidden="1">{"fdsup://IBCentral/FAT Viewer?action=UPDATE&amp;creator=factset&amp;DOC_NAME=fat:reuters_ltm_source_window.fat&amp;display_string=Audit&amp;DYN_ARGS=TRUE&amp;VAR:ID1=FCN&amp;VAR:RCODE=FIBCEBITDA&amp;VAR:SDATE=20090399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__FDSAUDITLINK__" hidden="1">{"fdsup://IBCentral/FAT Viewer?action=UPDATE&amp;creator=factset&amp;DOC_NAME=fat:reuters_ltm_source_window.fat&amp;display_string=Audit&amp;DYN_ARGS=TRUE&amp;VAR:ID1=FCN&amp;VAR:RCODE=FIBCEBITDA&amp;VAR:SDATE=20090399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0__FDSAUDITLINK__" localSheetId="5" hidden="1">{"fdsup://IBCentral/FAT Viewer?action=UPDATE&amp;creator=factset&amp;DOC_NAME=fat:reuters_ltm_source_window.fat&amp;display_string=Audit&amp;DYN_ARGS=TRUE&amp;VAR:ID1=MWW&amp;VAR:RCODE=FIBCEBITDA&amp;VAR:SDATE=20090699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0__FDSAUDITLINK__" localSheetId="0" hidden="1">{"fdsup://IBCentral/FAT Viewer?action=UPDATE&amp;creator=factset&amp;DOC_NAME=fat:reuters_ltm_source_window.fat&amp;display_string=Audit&amp;DYN_ARGS=TRUE&amp;VAR:ID1=MWW&amp;VAR:RCODE=FIBCEBITDA&amp;VAR:SDATE=20090699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0__FDSAUDITLINK__" localSheetId="4" hidden="1">{"fdsup://IBCentral/FAT Viewer?action=UPDATE&amp;creator=factset&amp;DOC_NAME=fat:reuters_ltm_source_window.fat&amp;display_string=Audit&amp;DYN_ARGS=TRUE&amp;VAR:ID1=MWW&amp;VAR:RCODE=FIBCEBITDA&amp;VAR:SDATE=20090699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0__FDSAUDITLINK__" hidden="1">{"fdsup://IBCentral/FAT Viewer?action=UPDATE&amp;creator=factset&amp;DOC_NAME=fat:reuters_ltm_source_window.fat&amp;display_string=Audit&amp;DYN_ARGS=TRUE&amp;VAR:ID1=MWW&amp;VAR:RCODE=FIBCEBITDA&amp;VAR:SDATE=20090699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1__FDSAUDITLINK__" localSheetId="5" hidden="1">{"fdsup://IBCentral/FAT Viewer?action=UPDATE&amp;creator=factset&amp;DOC_NAME=fat:reuters_ltm_source_window.fat&amp;display_string=Audit&amp;DYN_ARGS=TRUE&amp;VAR:ID1=GGG&amp;VAR:RCODE=FDSREVSTOTAL&amp;VAR:SDATE=20090699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1__FDSAUDITLINK__" localSheetId="0" hidden="1">{"fdsup://IBCentral/FAT Viewer?action=UPDATE&amp;creator=factset&amp;DOC_NAME=fat:reuters_ltm_source_window.fat&amp;display_string=Audit&amp;DYN_ARGS=TRUE&amp;VAR:ID1=GGG&amp;VAR:RCODE=FDSREVSTOTAL&amp;VAR:SDATE=20090699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1__FDSAUDITLINK__" localSheetId="4" hidden="1">{"fdsup://IBCentral/FAT Viewer?action=UPDATE&amp;creator=factset&amp;DOC_NAME=fat:reuters_ltm_source_window.fat&amp;display_string=Audit&amp;DYN_ARGS=TRUE&amp;VAR:ID1=GGG&amp;VAR:RCODE=FDSREVSTOTAL&amp;VAR:SDATE=20090699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1__FDSAUDITLINK__" hidden="1">{"fdsup://IBCentral/FAT Viewer?action=UPDATE&amp;creator=factset&amp;DOC_NAME=fat:reuters_ltm_source_window.fat&amp;display_string=Audit&amp;DYN_ARGS=TRUE&amp;VAR:ID1=GGG&amp;VAR:RCODE=FDSREVSTOTAL&amp;VAR:SDATE=20090699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2__FDSAUDITLINK__" localSheetId="5" hidden="1">{"fdsup://IBCentral/FAT Viewer?action=UPDATE&amp;creator=factset&amp;DOC_NAME=fat:reuters_ltm_source_window.fat&amp;display_string=Audit&amp;DYN_ARGS=TRUE&amp;VAR:ID1=GGG&amp;VAR:RCODE=FIBCEBITDA&amp;VAR:SDATE=20090699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2__FDSAUDITLINK__" localSheetId="0" hidden="1">{"fdsup://IBCentral/FAT Viewer?action=UPDATE&amp;creator=factset&amp;DOC_NAME=fat:reuters_ltm_source_window.fat&amp;display_string=Audit&amp;DYN_ARGS=TRUE&amp;VAR:ID1=GGG&amp;VAR:RCODE=FIBCEBITDA&amp;VAR:SDATE=20090699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2__FDSAUDITLINK__" localSheetId="4" hidden="1">{"fdsup://IBCentral/FAT Viewer?action=UPDATE&amp;creator=factset&amp;DOC_NAME=fat:reuters_ltm_source_window.fat&amp;display_string=Audit&amp;DYN_ARGS=TRUE&amp;VAR:ID1=GGG&amp;VAR:RCODE=FIBCEBITDA&amp;VAR:SDATE=20090699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2__FDSAUDITLINK__" hidden="1">{"fdsup://IBCentral/FAT Viewer?action=UPDATE&amp;creator=factset&amp;DOC_NAME=fat:reuters_ltm_source_window.fat&amp;display_string=Audit&amp;DYN_ARGS=TRUE&amp;VAR:ID1=GGG&amp;VAR:RCODE=FIBCEBITDA&amp;VAR:SDATE=20090699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3__FDSAUDITLINK__" localSheetId="5" hidden="1">{"fdsup://IBCentral/FAT Viewer?action=UPDATE&amp;creator=factset&amp;DOC_NAME=fat:reuters_ltm_source_window.fat&amp;display_string=Audit&amp;DYN_ARGS=TRUE&amp;VAR:ID1=WSO&amp;VAR:RCODE=FDSREVSTOTAL&amp;VAR:SDATE=20090699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3__FDSAUDITLINK__" localSheetId="0" hidden="1">{"fdsup://IBCentral/FAT Viewer?action=UPDATE&amp;creator=factset&amp;DOC_NAME=fat:reuters_ltm_source_window.fat&amp;display_string=Audit&amp;DYN_ARGS=TRUE&amp;VAR:ID1=WSO&amp;VAR:RCODE=FDSREVSTOTAL&amp;VAR:SDATE=20090699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3__FDSAUDITLINK__" localSheetId="4" hidden="1">{"fdsup://IBCentral/FAT Viewer?action=UPDATE&amp;creator=factset&amp;DOC_NAME=fat:reuters_ltm_source_window.fat&amp;display_string=Audit&amp;DYN_ARGS=TRUE&amp;VAR:ID1=WSO&amp;VAR:RCODE=FDSREVSTOTAL&amp;VAR:SDATE=20090699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3__FDSAUDITLINK__" hidden="1">{"fdsup://IBCentral/FAT Viewer?action=UPDATE&amp;creator=factset&amp;DOC_NAME=fat:reuters_ltm_source_window.fat&amp;display_string=Audit&amp;DYN_ARGS=TRUE&amp;VAR:ID1=WSO&amp;VAR:RCODE=FDSREVSTOTAL&amp;VAR:SDATE=20090699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4__FDSAUDITLINK__" localSheetId="5" hidden="1">{"fdsup://IBCentral/FAT Viewer?action=UPDATE&amp;creator=factset&amp;DOC_NAME=fat:reuters_ltm_source_window.fat&amp;display_string=Audit&amp;DYN_ARGS=TRUE&amp;VAR:ID1=WSO&amp;VAR:RCODE=FIBCEBITDA&amp;VAR:SDATE=20090699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4__FDSAUDITLINK__" localSheetId="0" hidden="1">{"fdsup://IBCentral/FAT Viewer?action=UPDATE&amp;creator=factset&amp;DOC_NAME=fat:reuters_ltm_source_window.fat&amp;display_string=Audit&amp;DYN_ARGS=TRUE&amp;VAR:ID1=WSO&amp;VAR:RCODE=FIBCEBITDA&amp;VAR:SDATE=20090699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4__FDSAUDITLINK__" localSheetId="4" hidden="1">{"fdsup://IBCentral/FAT Viewer?action=UPDATE&amp;creator=factset&amp;DOC_NAME=fat:reuters_ltm_source_window.fat&amp;display_string=Audit&amp;DYN_ARGS=TRUE&amp;VAR:ID1=WSO&amp;VAR:RCODE=FIBCEBITDA&amp;VAR:SDATE=20090699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4__FDSAUDITLINK__" hidden="1">{"fdsup://IBCentral/FAT Viewer?action=UPDATE&amp;creator=factset&amp;DOC_NAME=fat:reuters_ltm_source_window.fat&amp;display_string=Audit&amp;DYN_ARGS=TRUE&amp;VAR:ID1=WSO&amp;VAR:RCODE=FIBCEBITDA&amp;VAR:SDATE=20090699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5__FDSAUDITLINK__" localSheetId="5" hidden="1">{"fdsup://IBCentral/FAT Viewer?action=UPDATE&amp;creator=factset&amp;DOC_NAME=fat:reuters_ltm_source_window.fat&amp;display_string=Audit&amp;DYN_ARGS=TRUE&amp;VAR:ID1=WERN&amp;VAR:RCODE=FDSREVSTOTAL&amp;VAR:SDATE=20090699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25__FDSAUDITLINK__" localSheetId="0" hidden="1">{"fdsup://IBCentral/FAT Viewer?action=UPDATE&amp;creator=factset&amp;DOC_NAME=fat:reuters_ltm_source_window.fat&amp;display_string=Audit&amp;DYN_ARGS=TRUE&amp;VAR:ID1=WERN&amp;VAR:RCODE=FDSREVSTOTAL&amp;VAR:SDATE=20090699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25__FDSAUDITLINK__" localSheetId="4" hidden="1">{"fdsup://IBCentral/FAT Viewer?action=UPDATE&amp;creator=factset&amp;DOC_NAME=fat:reuters_ltm_source_window.fat&amp;display_string=Audit&amp;DYN_ARGS=TRUE&amp;VAR:ID1=WERN&amp;VAR:RCODE=FDSREVSTOTAL&amp;VAR:SDATE=20090699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25__FDSAUDITLINK__" hidden="1">{"fdsup://IBCentral/FAT Viewer?action=UPDATE&amp;creator=factset&amp;DOC_NAME=fat:reuters_ltm_source_window.fat&amp;display_string=Audit&amp;DYN_ARGS=TRUE&amp;VAR:ID1=WERN&amp;VAR:RCODE=FDSREVSTOTAL&amp;VAR:SDATE=20090699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26__FDSAUDITLINK__" localSheetId="5" hidden="1">{"fdsup://IBCentral/FAT Viewer?action=UPDATE&amp;creator=factset&amp;DOC_NAME=fat:reuters_ltm_source_window.fat&amp;display_string=Audit&amp;DYN_ARGS=TRUE&amp;VAR:ID1=WERN&amp;VAR:RCODE=FIBCEBITDA&amp;VAR:SDATE=20090699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26__FDSAUDITLINK__" localSheetId="0" hidden="1">{"fdsup://IBCentral/FAT Viewer?action=UPDATE&amp;creator=factset&amp;DOC_NAME=fat:reuters_ltm_source_window.fat&amp;display_string=Audit&amp;DYN_ARGS=TRUE&amp;VAR:ID1=WERN&amp;VAR:RCODE=FIBCEBITDA&amp;VAR:SDATE=20090699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26__FDSAUDITLINK__" localSheetId="4" hidden="1">{"fdsup://IBCentral/FAT Viewer?action=UPDATE&amp;creator=factset&amp;DOC_NAME=fat:reuters_ltm_source_window.fat&amp;display_string=Audit&amp;DYN_ARGS=TRUE&amp;VAR:ID1=WERN&amp;VAR:RCODE=FIBCEBITDA&amp;VAR:SDATE=20090699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26__FDSAUDITLINK__" hidden="1">{"fdsup://IBCentral/FAT Viewer?action=UPDATE&amp;creator=factset&amp;DOC_NAME=fat:reuters_ltm_source_window.fat&amp;display_string=Audit&amp;DYN_ARGS=TRUE&amp;VAR:ID1=WERN&amp;VAR:RCODE=FIBCEBITDA&amp;VAR:SDATE=20090699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27__FDSAUDITLINK__" localSheetId="5" hidden="1">{"fdsup://IBCentral/FAT Viewer?action=UPDATE&amp;creator=factset&amp;DOC_NAME=fat:reuters_ltm_source_window.fat&amp;display_string=Audit&amp;DYN_ARGS=TRUE&amp;VAR:ID1=EME&amp;VAR:RCODE=FDSREVSTOTAL&amp;VAR:SDATE=20090699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7__FDSAUDITLINK__" localSheetId="0" hidden="1">{"fdsup://IBCentral/FAT Viewer?action=UPDATE&amp;creator=factset&amp;DOC_NAME=fat:reuters_ltm_source_window.fat&amp;display_string=Audit&amp;DYN_ARGS=TRUE&amp;VAR:ID1=EME&amp;VAR:RCODE=FDSREVSTOTAL&amp;VAR:SDATE=20090699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7__FDSAUDITLINK__" localSheetId="4" hidden="1">{"fdsup://IBCentral/FAT Viewer?action=UPDATE&amp;creator=factset&amp;DOC_NAME=fat:reuters_ltm_source_window.fat&amp;display_string=Audit&amp;DYN_ARGS=TRUE&amp;VAR:ID1=EME&amp;VAR:RCODE=FDSREVSTOTAL&amp;VAR:SDATE=20090699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7__FDSAUDITLINK__" hidden="1">{"fdsup://IBCentral/FAT Viewer?action=UPDATE&amp;creator=factset&amp;DOC_NAME=fat:reuters_ltm_source_window.fat&amp;display_string=Audit&amp;DYN_ARGS=TRUE&amp;VAR:ID1=EME&amp;VAR:RCODE=FDSREVSTOTAL&amp;VAR:SDATE=20090699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28__FDSAUDITLINK__" localSheetId="5" hidden="1">{"fdsup://IBCentral/FAT Viewer?action=UPDATE&amp;creator=factset&amp;DOC_NAME=fat:reuters_ltm_source_window.fat&amp;display_string=Audit&amp;DYN_ARGS=TRUE&amp;VAR:ID1=EME&amp;VAR:RCODE=FIBCEBITDA&amp;VAR:SDATE=20090699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8__FDSAUDITLINK__" localSheetId="0" hidden="1">{"fdsup://IBCentral/FAT Viewer?action=UPDATE&amp;creator=factset&amp;DOC_NAME=fat:reuters_ltm_source_window.fat&amp;display_string=Audit&amp;DYN_ARGS=TRUE&amp;VAR:ID1=EME&amp;VAR:RCODE=FIBCEBITDA&amp;VAR:SDATE=20090699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8__FDSAUDITLINK__" localSheetId="4" hidden="1">{"fdsup://IBCentral/FAT Viewer?action=UPDATE&amp;creator=factset&amp;DOC_NAME=fat:reuters_ltm_source_window.fat&amp;display_string=Audit&amp;DYN_ARGS=TRUE&amp;VAR:ID1=EME&amp;VAR:RCODE=FIBCEBITDA&amp;VAR:SDATE=20090699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8__FDSAUDITLINK__" hidden="1">{"fdsup://IBCentral/FAT Viewer?action=UPDATE&amp;creator=factset&amp;DOC_NAME=fat:reuters_ltm_source_window.fat&amp;display_string=Audit&amp;DYN_ARGS=TRUE&amp;VAR:ID1=EME&amp;VAR:RCODE=FIBCEBITDA&amp;VAR:SDATE=20090699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29__FDSAUDITLINK__" localSheetId="5" hidden="1">{"fdsup://IBCentral/FAT Viewer?action=UPDATE&amp;creator=factset&amp;DOC_NAME=fat:reuters_ltm_source_window.fat&amp;display_string=Audit&amp;DYN_ARGS=TRUE&amp;VAR:ID1=JBLU&amp;VAR:RCODE=FDSREVSTOTAL&amp;VAR:SDATE=20090699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29__FDSAUDITLINK__" localSheetId="0" hidden="1">{"fdsup://IBCentral/FAT Viewer?action=UPDATE&amp;creator=factset&amp;DOC_NAME=fat:reuters_ltm_source_window.fat&amp;display_string=Audit&amp;DYN_ARGS=TRUE&amp;VAR:ID1=JBLU&amp;VAR:RCODE=FDSREVSTOTAL&amp;VAR:SDATE=20090699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29__FDSAUDITLINK__" localSheetId="4" hidden="1">{"fdsup://IBCentral/FAT Viewer?action=UPDATE&amp;creator=factset&amp;DOC_NAME=fat:reuters_ltm_source_window.fat&amp;display_string=Audit&amp;DYN_ARGS=TRUE&amp;VAR:ID1=JBLU&amp;VAR:RCODE=FDSREVSTOTAL&amp;VAR:SDATE=20090699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29__FDSAUDITLINK__" hidden="1">{"fdsup://IBCentral/FAT Viewer?action=UPDATE&amp;creator=factset&amp;DOC_NAME=fat:reuters_ltm_source_window.fat&amp;display_string=Audit&amp;DYN_ARGS=TRUE&amp;VAR:ID1=JBLU&amp;VAR:RCODE=FDSREVSTOTAL&amp;VAR:SDATE=20090699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3__123Graph_AChart_1I" localSheetId="0" hidden="1">#REF!</definedName>
    <definedName name="_63__123Graph_AChart_1I" hidden="1">#REF!</definedName>
    <definedName name="_63__FDSAUDITLINK__" localSheetId="5" hidden="1">{"fdsup://IBCentral/FAT Viewer?action=UPDATE&amp;creator=factset&amp;DOC_NAME=fat:reuters_ltm_source_window.fat&amp;display_string=Audit&amp;DYN_ARGS=TRUE&amp;VAR:ID1=AVY&amp;VAR:RCODE=FIBCEBITDA&amp;VAR:SDATE=20090399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__FDSAUDITLINK__" localSheetId="0" hidden="1">{"fdsup://IBCentral/FAT Viewer?action=UPDATE&amp;creator=factset&amp;DOC_NAME=fat:reuters_ltm_source_window.fat&amp;display_string=Audit&amp;DYN_ARGS=TRUE&amp;VAR:ID1=AVY&amp;VAR:RCODE=FIBCEBITDA&amp;VAR:SDATE=20090399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__FDSAUDITLINK__" localSheetId="4" hidden="1">{"fdsup://IBCentral/FAT Viewer?action=UPDATE&amp;creator=factset&amp;DOC_NAME=fat:reuters_ltm_source_window.fat&amp;display_string=Audit&amp;DYN_ARGS=TRUE&amp;VAR:ID1=AVY&amp;VAR:RCODE=FIBCEBITDA&amp;VAR:SDATE=20090399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__FDSAUDITLINK__" hidden="1">{"fdsup://IBCentral/FAT Viewer?action=UPDATE&amp;creator=factset&amp;DOC_NAME=fat:reuters_ltm_source_window.fat&amp;display_string=Audit&amp;DYN_ARGS=TRUE&amp;VAR:ID1=AVY&amp;VAR:RCODE=FIBCEBITDA&amp;VAR:SDATE=20090399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0__FDSAUDITLINK__" localSheetId="5" hidden="1">{"fdsup://IBCentral/FAT Viewer?action=UPDATE&amp;creator=factset&amp;DOC_NAME=fat:reuters_ltm_source_window.fat&amp;display_string=Audit&amp;DYN_ARGS=TRUE&amp;VAR:ID1=JBLU&amp;VAR:RCODE=FIBCEBITDA&amp;VAR:SDATE=20090699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30__FDSAUDITLINK__" localSheetId="0" hidden="1">{"fdsup://IBCentral/FAT Viewer?action=UPDATE&amp;creator=factset&amp;DOC_NAME=fat:reuters_ltm_source_window.fat&amp;display_string=Audit&amp;DYN_ARGS=TRUE&amp;VAR:ID1=JBLU&amp;VAR:RCODE=FIBCEBITDA&amp;VAR:SDATE=20090699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30__FDSAUDITLINK__" localSheetId="4" hidden="1">{"fdsup://IBCentral/FAT Viewer?action=UPDATE&amp;creator=factset&amp;DOC_NAME=fat:reuters_ltm_source_window.fat&amp;display_string=Audit&amp;DYN_ARGS=TRUE&amp;VAR:ID1=JBLU&amp;VAR:RCODE=FIBCEBITDA&amp;VAR:SDATE=20090699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Viewer?action=UPDATE&amp;creator=factset&amp;DOC_NAME=fat:reuters_ltm_source_window.fat&amp;display_string=Audit&amp;DYN_ARGS=TRUE&amp;VAR:ID1=JBLU&amp;VAR:RCODE=FIBCEBITDA&amp;VAR:SDATE=20090699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31__FDSAUDITLINK__" localSheetId="5" hidden="1">{"fdsup://IBCentral/FAT Viewer?action=UPDATE&amp;creator=factset&amp;DOC_NAME=fat:reuters_ltm_source_window.fat&amp;display_string=Audit&amp;DYN_ARGS=TRUE&amp;VAR:ID1=GDI&amp;VAR:RCODE=FDSREVSTOTAL&amp;VAR:SDATE=20090699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1__FDSAUDITLINK__" localSheetId="0" hidden="1">{"fdsup://IBCentral/FAT Viewer?action=UPDATE&amp;creator=factset&amp;DOC_NAME=fat:reuters_ltm_source_window.fat&amp;display_string=Audit&amp;DYN_ARGS=TRUE&amp;VAR:ID1=GDI&amp;VAR:RCODE=FDSREVSTOTAL&amp;VAR:SDATE=20090699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1__FDSAUDITLINK__" localSheetId="4" hidden="1">{"fdsup://IBCentral/FAT Viewer?action=UPDATE&amp;creator=factset&amp;DOC_NAME=fat:reuters_ltm_source_window.fat&amp;display_string=Audit&amp;DYN_ARGS=TRUE&amp;VAR:ID1=GDI&amp;VAR:RCODE=FDSREVSTOTAL&amp;VAR:SDATE=20090699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1__FDSAUDITLINK__" hidden="1">{"fdsup://IBCentral/FAT Viewer?action=UPDATE&amp;creator=factset&amp;DOC_NAME=fat:reuters_ltm_source_window.fat&amp;display_string=Audit&amp;DYN_ARGS=TRUE&amp;VAR:ID1=GDI&amp;VAR:RCODE=FDSREVSTOTAL&amp;VAR:SDATE=20090699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2__FDSAUDITLINK__" localSheetId="5" hidden="1">{"fdsup://IBCentral/FAT Viewer?action=UPDATE&amp;creator=factset&amp;DOC_NAME=fat:reuters_ltm_source_window.fat&amp;display_string=Audit&amp;DYN_ARGS=TRUE&amp;VAR:ID1=GDI&amp;VAR:RCODE=FIBCEBITDA&amp;VAR:SDATE=20090699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2__FDSAUDITLINK__" localSheetId="0" hidden="1">{"fdsup://IBCentral/FAT Viewer?action=UPDATE&amp;creator=factset&amp;DOC_NAME=fat:reuters_ltm_source_window.fat&amp;display_string=Audit&amp;DYN_ARGS=TRUE&amp;VAR:ID1=GDI&amp;VAR:RCODE=FIBCEBITDA&amp;VAR:SDATE=20090699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2__FDSAUDITLINK__" localSheetId="4" hidden="1">{"fdsup://IBCentral/FAT Viewer?action=UPDATE&amp;creator=factset&amp;DOC_NAME=fat:reuters_ltm_source_window.fat&amp;display_string=Audit&amp;DYN_ARGS=TRUE&amp;VAR:ID1=GDI&amp;VAR:RCODE=FIBCEBITDA&amp;VAR:SDATE=20090699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2__FDSAUDITLINK__" hidden="1">{"fdsup://IBCentral/FAT Viewer?action=UPDATE&amp;creator=factset&amp;DOC_NAME=fat:reuters_ltm_source_window.fat&amp;display_string=Audit&amp;DYN_ARGS=TRUE&amp;VAR:ID1=GDI&amp;VAR:RCODE=FIBCEBITDA&amp;VAR:SDATE=20090699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3__FDSAUDITLINK__" localSheetId="5" hidden="1">{"fdsup://IBCentral/FAT Viewer?action=UPDATE&amp;creator=factset&amp;DOC_NAME=fat:reuters_ltm_source_window.fat&amp;display_string=Audit&amp;DYN_ARGS=TRUE&amp;VAR:ID1=CLH&amp;VAR:RCODE=FDSREVSTOTAL&amp;VAR:SDATE=20090699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3__FDSAUDITLINK__" localSheetId="0" hidden="1">{"fdsup://IBCentral/FAT Viewer?action=UPDATE&amp;creator=factset&amp;DOC_NAME=fat:reuters_ltm_source_window.fat&amp;display_string=Audit&amp;DYN_ARGS=TRUE&amp;VAR:ID1=CLH&amp;VAR:RCODE=FDSREVSTOTAL&amp;VAR:SDATE=20090699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3__FDSAUDITLINK__" localSheetId="4" hidden="1">{"fdsup://IBCentral/FAT Viewer?action=UPDATE&amp;creator=factset&amp;DOC_NAME=fat:reuters_ltm_source_window.fat&amp;display_string=Audit&amp;DYN_ARGS=TRUE&amp;VAR:ID1=CLH&amp;VAR:RCODE=FDSREVSTOTAL&amp;VAR:SDATE=20090699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3__FDSAUDITLINK__" hidden="1">{"fdsup://IBCentral/FAT Viewer?action=UPDATE&amp;creator=factset&amp;DOC_NAME=fat:reuters_ltm_source_window.fat&amp;display_string=Audit&amp;DYN_ARGS=TRUE&amp;VAR:ID1=CLH&amp;VAR:RCODE=FDSREVSTOTAL&amp;VAR:SDATE=20090699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4__FDSAUDITLINK__" localSheetId="5" hidden="1">{"fdsup://IBCentral/FAT Viewer?action=UPDATE&amp;creator=factset&amp;DOC_NAME=fat:reuters_ltm_source_window.fat&amp;display_string=Audit&amp;DYN_ARGS=TRUE&amp;VAR:ID1=CLH&amp;VAR:RCODE=FIBCEBITDA&amp;VAR:SDATE=20090699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4__FDSAUDITLINK__" localSheetId="0" hidden="1">{"fdsup://IBCentral/FAT Viewer?action=UPDATE&amp;creator=factset&amp;DOC_NAME=fat:reuters_ltm_source_window.fat&amp;display_string=Audit&amp;DYN_ARGS=TRUE&amp;VAR:ID1=CLH&amp;VAR:RCODE=FIBCEBITDA&amp;VAR:SDATE=20090699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4__FDSAUDITLINK__" localSheetId="4" hidden="1">{"fdsup://IBCentral/FAT Viewer?action=UPDATE&amp;creator=factset&amp;DOC_NAME=fat:reuters_ltm_source_window.fat&amp;display_string=Audit&amp;DYN_ARGS=TRUE&amp;VAR:ID1=CLH&amp;VAR:RCODE=FIBCEBITDA&amp;VAR:SDATE=20090699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4__FDSAUDITLINK__" hidden="1">{"fdsup://IBCentral/FAT Viewer?action=UPDATE&amp;creator=factset&amp;DOC_NAME=fat:reuters_ltm_source_window.fat&amp;display_string=Audit&amp;DYN_ARGS=TRUE&amp;VAR:ID1=CLH&amp;VAR:RCODE=FIBCEBITDA&amp;VAR:SDATE=20090699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5__FDSAUDITLINK__" localSheetId="5" hidden="1">{"fdsup://IBCentral/FAT Viewer?action=UPDATE&amp;creator=factset&amp;DOC_NAME=fat:reuters_ltm_source_window.fat&amp;display_string=Audit&amp;DYN_ARGS=TRUE&amp;VAR:ID1=BUCY&amp;VAR:RCODE=FDSREVSTOTAL&amp;VAR:SDATE=20090699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35__FDSAUDITLINK__" localSheetId="0" hidden="1">{"fdsup://IBCentral/FAT Viewer?action=UPDATE&amp;creator=factset&amp;DOC_NAME=fat:reuters_ltm_source_window.fat&amp;display_string=Audit&amp;DYN_ARGS=TRUE&amp;VAR:ID1=BUCY&amp;VAR:RCODE=FDSREVSTOTAL&amp;VAR:SDATE=20090699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35__FDSAUDITLINK__" localSheetId="4" hidden="1">{"fdsup://IBCentral/FAT Viewer?action=UPDATE&amp;creator=factset&amp;DOC_NAME=fat:reuters_ltm_source_window.fat&amp;display_string=Audit&amp;DYN_ARGS=TRUE&amp;VAR:ID1=BUCY&amp;VAR:RCODE=FDSREVSTOTAL&amp;VAR:SDATE=20090699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35__FDSAUDITLINK__" hidden="1">{"fdsup://IBCentral/FAT Viewer?action=UPDATE&amp;creator=factset&amp;DOC_NAME=fat:reuters_ltm_source_window.fat&amp;display_string=Audit&amp;DYN_ARGS=TRUE&amp;VAR:ID1=BUCY&amp;VAR:RCODE=FDSREVSTOTAL&amp;VAR:SDATE=20090699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36__FDSAUDITLINK__" localSheetId="5" hidden="1">{"fdsup://IBCentral/FAT Viewer?action=UPDATE&amp;creator=factset&amp;DOC_NAME=fat:reuters_ltm_source_window.fat&amp;display_string=Audit&amp;DYN_ARGS=TRUE&amp;VAR:ID1=BUCY&amp;VAR:RCODE=FIBCEBITDA&amp;VAR:SDATE=20090699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36__FDSAUDITLINK__" localSheetId="0" hidden="1">{"fdsup://IBCentral/FAT Viewer?action=UPDATE&amp;creator=factset&amp;DOC_NAME=fat:reuters_ltm_source_window.fat&amp;display_string=Audit&amp;DYN_ARGS=TRUE&amp;VAR:ID1=BUCY&amp;VAR:RCODE=FIBCEBITDA&amp;VAR:SDATE=20090699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36__FDSAUDITLINK__" localSheetId="4" hidden="1">{"fdsup://IBCentral/FAT Viewer?action=UPDATE&amp;creator=factset&amp;DOC_NAME=fat:reuters_ltm_source_window.fat&amp;display_string=Audit&amp;DYN_ARGS=TRUE&amp;VAR:ID1=BUCY&amp;VAR:RCODE=FIBCEBITDA&amp;VAR:SDATE=20090699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36__FDSAUDITLINK__" hidden="1">{"fdsup://IBCentral/FAT Viewer?action=UPDATE&amp;creator=factset&amp;DOC_NAME=fat:reuters_ltm_source_window.fat&amp;display_string=Audit&amp;DYN_ARGS=TRUE&amp;VAR:ID1=BUCY&amp;VAR:RCODE=FIBCEBITDA&amp;VAR:SDATE=20090699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37__FDSAUDITLINK__" localSheetId="5" hidden="1">{"fdsup://IBCentral/FAT Viewer?action=UPDATE&amp;creator=factset&amp;DOC_NAME=fat:reuters_ltm_source_window.fat&amp;display_string=Audit&amp;DYN_ARGS=TRUE&amp;VAR:ID1=BCO&amp;VAR:RCODE=FDSREVSTOTAL&amp;VAR:SDATE=20090699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7__FDSAUDITLINK__" localSheetId="0" hidden="1">{"fdsup://IBCentral/FAT Viewer?action=UPDATE&amp;creator=factset&amp;DOC_NAME=fat:reuters_ltm_source_window.fat&amp;display_string=Audit&amp;DYN_ARGS=TRUE&amp;VAR:ID1=BCO&amp;VAR:RCODE=FDSREVSTOTAL&amp;VAR:SDATE=20090699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7__FDSAUDITLINK__" localSheetId="4" hidden="1">{"fdsup://IBCentral/FAT Viewer?action=UPDATE&amp;creator=factset&amp;DOC_NAME=fat:reuters_ltm_source_window.fat&amp;display_string=Audit&amp;DYN_ARGS=TRUE&amp;VAR:ID1=BCO&amp;VAR:RCODE=FDSREVSTOTAL&amp;VAR:SDATE=20090699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7__FDSAUDITLINK__" hidden="1">{"fdsup://IBCentral/FAT Viewer?action=UPDATE&amp;creator=factset&amp;DOC_NAME=fat:reuters_ltm_source_window.fat&amp;display_string=Audit&amp;DYN_ARGS=TRUE&amp;VAR:ID1=BCO&amp;VAR:RCODE=FDSREVSTOTAL&amp;VAR:SDATE=20090699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38__FDSAUDITLINK__" localSheetId="5" hidden="1">{"fdsup://IBCentral/FAT Viewer?action=UPDATE&amp;creator=factset&amp;DOC_NAME=fat:reuters_ltm_source_window.fat&amp;display_string=Audit&amp;DYN_ARGS=TRUE&amp;VAR:ID1=BCO&amp;VAR:RCODE=FIBCEBITDA&amp;VAR:SDATE=20090699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8__FDSAUDITLINK__" localSheetId="0" hidden="1">{"fdsup://IBCentral/FAT Viewer?action=UPDATE&amp;creator=factset&amp;DOC_NAME=fat:reuters_ltm_source_window.fat&amp;display_string=Audit&amp;DYN_ARGS=TRUE&amp;VAR:ID1=BCO&amp;VAR:RCODE=FIBCEBITDA&amp;VAR:SDATE=20090699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8__FDSAUDITLINK__" localSheetId="4" hidden="1">{"fdsup://IBCentral/FAT Viewer?action=UPDATE&amp;creator=factset&amp;DOC_NAME=fat:reuters_ltm_source_window.fat&amp;display_string=Audit&amp;DYN_ARGS=TRUE&amp;VAR:ID1=BCO&amp;VAR:RCODE=FIBCEBITDA&amp;VAR:SDATE=20090699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8__FDSAUDITLINK__" hidden="1">{"fdsup://IBCentral/FAT Viewer?action=UPDATE&amp;creator=factset&amp;DOC_NAME=fat:reuters_ltm_source_window.fat&amp;display_string=Audit&amp;DYN_ARGS=TRUE&amp;VAR:ID1=BCO&amp;VAR:RCODE=FIBCEBITDA&amp;VAR:SDATE=20090699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39__FDSAUDITLINK__" localSheetId="5" hidden="1">{"fdsup://IBCentral/FAT Viewer?action=UPDATE&amp;creator=factset&amp;DOC_NAME=fat:reuters_annual_source_window.fat&amp;display_string=Audit&amp;DYN_ARGS=TRUE&amp;VAR:ID1=48917010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639__FDSAUDITLINK__" localSheetId="0" hidden="1">{"fdsup://IBCentral/FAT Viewer?action=UPDATE&amp;creator=factset&amp;DOC_NAME=fat:reuters_annual_source_window.fat&amp;display_string=Audit&amp;DYN_ARGS=TRUE&amp;VAR:ID1=48917010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639__FDSAUDITLINK__" localSheetId="4" hidden="1">{"fdsup://IBCentral/FAT Viewer?action=UPDATE&amp;creator=factset&amp;DOC_NAME=fat:reuters_annual_source_window.fat&amp;display_string=Audit&amp;DYN_ARGS=TRUE&amp;VAR:ID1=48917010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639__FDSAUDITLINK__" hidden="1">{"fdsup://IBCentral/FAT Viewer?action=UPDATE&amp;creator=factset&amp;DOC_NAME=fat:reuters_annual_source_window.fat&amp;display_string=Audit&amp;DYN_ARGS=TRUE&amp;VAR:ID1=48917010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64__FDSAUDITLINK__" localSheetId="5" hidden="1">{"fdsup://IBCentral/FAT Viewer?action=UPDATE&amp;creator=factset&amp;DOC_NAME=fat:reuters_ltm_source_window.fat&amp;display_string=Audit&amp;DYN_ARGS=TRUE&amp;VAR:ID1=SGR&amp;VAR:RCODE=FIBCEBITDA&amp;VAR:SDATE=20090299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__FDSAUDITLINK__" localSheetId="0" hidden="1">{"fdsup://IBCentral/FAT Viewer?action=UPDATE&amp;creator=factset&amp;DOC_NAME=fat:reuters_ltm_source_window.fat&amp;display_string=Audit&amp;DYN_ARGS=TRUE&amp;VAR:ID1=SGR&amp;VAR:RCODE=FIBCEBITDA&amp;VAR:SDATE=20090299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__FDSAUDITLINK__" localSheetId="4" hidden="1">{"fdsup://IBCentral/FAT Viewer?action=UPDATE&amp;creator=factset&amp;DOC_NAME=fat:reuters_ltm_source_window.fat&amp;display_string=Audit&amp;DYN_ARGS=TRUE&amp;VAR:ID1=SGR&amp;VAR:RCODE=FIBCEBITDA&amp;VAR:SDATE=20090299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__FDSAUDITLINK__" hidden="1">{"fdsup://IBCentral/FAT Viewer?action=UPDATE&amp;creator=factset&amp;DOC_NAME=fat:reuters_ltm_source_window.fat&amp;display_string=Audit&amp;DYN_ARGS=TRUE&amp;VAR:ID1=SGR&amp;VAR:RCODE=FIBCEBITDA&amp;VAR:SDATE=20090299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0__FDSAUDITLINK__" localSheetId="5" hidden="1">{"fdsup://IBCentral/FAT Viewer?action=UPDATE&amp;creator=factset&amp;DOC_NAME=fat:reuters_annual_source_window.fat&amp;display_string=Audit&amp;DYN_ARGS=TRUE&amp;VAR:ID1=48917010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640__FDSAUDITLINK__" localSheetId="0" hidden="1">{"fdsup://IBCentral/FAT Viewer?action=UPDATE&amp;creator=factset&amp;DOC_NAME=fat:reuters_annual_source_window.fat&amp;display_string=Audit&amp;DYN_ARGS=TRUE&amp;VAR:ID1=48917010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640__FDSAUDITLINK__" localSheetId="4" hidden="1">{"fdsup://IBCentral/FAT Viewer?action=UPDATE&amp;creator=factset&amp;DOC_NAME=fat:reuters_annual_source_window.fat&amp;display_string=Audit&amp;DYN_ARGS=TRUE&amp;VAR:ID1=48917010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640__FDSAUDITLINK__" hidden="1">{"fdsup://IBCentral/FAT Viewer?action=UPDATE&amp;creator=factset&amp;DOC_NAME=fat:reuters_annual_source_window.fat&amp;display_string=Audit&amp;DYN_ARGS=TRUE&amp;VAR:ID1=48917010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641__FDSAUDITLINK__" localSheetId="5" hidden="1">{"fdsup://IBCentral/FAT Viewer?action=UPDATE&amp;creator=factset&amp;DOC_NAME=fat:reuters_ltm_source_window.fat&amp;display_string=Audit&amp;DYN_ARGS=TRUE&amp;VAR:ID1=KNX&amp;VAR:RCODE=FDSREVSTOTAL&amp;VAR:SDATE=20090699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1__FDSAUDITLINK__" localSheetId="0" hidden="1">{"fdsup://IBCentral/FAT Viewer?action=UPDATE&amp;creator=factset&amp;DOC_NAME=fat:reuters_ltm_source_window.fat&amp;display_string=Audit&amp;DYN_ARGS=TRUE&amp;VAR:ID1=KNX&amp;VAR:RCODE=FDSREVSTOTAL&amp;VAR:SDATE=20090699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1__FDSAUDITLINK__" localSheetId="4" hidden="1">{"fdsup://IBCentral/FAT Viewer?action=UPDATE&amp;creator=factset&amp;DOC_NAME=fat:reuters_ltm_source_window.fat&amp;display_string=Audit&amp;DYN_ARGS=TRUE&amp;VAR:ID1=KNX&amp;VAR:RCODE=FDSREVSTOTAL&amp;VAR:SDATE=20090699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1__FDSAUDITLINK__" hidden="1">{"fdsup://IBCentral/FAT Viewer?action=UPDATE&amp;creator=factset&amp;DOC_NAME=fat:reuters_ltm_source_window.fat&amp;display_string=Audit&amp;DYN_ARGS=TRUE&amp;VAR:ID1=KNX&amp;VAR:RCODE=FDSREVSTOTAL&amp;VAR:SDATE=20090699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2__FDSAUDITLINK__" localSheetId="5" hidden="1">{"fdsup://IBCentral/FAT Viewer?action=UPDATE&amp;creator=factset&amp;DOC_NAME=fat:reuters_ltm_source_window.fat&amp;display_string=Audit&amp;DYN_ARGS=TRUE&amp;VAR:ID1=KNX&amp;VAR:RCODE=FIBCEBITDA&amp;VAR:SDATE=20090699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2__FDSAUDITLINK__" localSheetId="0" hidden="1">{"fdsup://IBCentral/FAT Viewer?action=UPDATE&amp;creator=factset&amp;DOC_NAME=fat:reuters_ltm_source_window.fat&amp;display_string=Audit&amp;DYN_ARGS=TRUE&amp;VAR:ID1=KNX&amp;VAR:RCODE=FIBCEBITDA&amp;VAR:SDATE=20090699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2__FDSAUDITLINK__" localSheetId="4" hidden="1">{"fdsup://IBCentral/FAT Viewer?action=UPDATE&amp;creator=factset&amp;DOC_NAME=fat:reuters_ltm_source_window.fat&amp;display_string=Audit&amp;DYN_ARGS=TRUE&amp;VAR:ID1=KNX&amp;VAR:RCODE=FIBCEBITDA&amp;VAR:SDATE=20090699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2__FDSAUDITLINK__" hidden="1">{"fdsup://IBCentral/FAT Viewer?action=UPDATE&amp;creator=factset&amp;DOC_NAME=fat:reuters_ltm_source_window.fat&amp;display_string=Audit&amp;DYN_ARGS=TRUE&amp;VAR:ID1=KNX&amp;VAR:RCODE=FIBCEBITDA&amp;VAR:SDATE=20090699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3__FDSAUDITLINK__" localSheetId="5" hidden="1">{"fdsup://IBCentral/FAT Viewer?action=UPDATE&amp;creator=factset&amp;DOC_NAME=fat:reuters_ltm_source_window.fat&amp;display_string=Audit&amp;DYN_ARGS=TRUE&amp;VAR:ID1=CW&amp;VAR:RCODE=FDSREVSTOTAL&amp;VAR:SDATE=20090699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43__FDSAUDITLINK__" localSheetId="0" hidden="1">{"fdsup://IBCentral/FAT Viewer?action=UPDATE&amp;creator=factset&amp;DOC_NAME=fat:reuters_ltm_source_window.fat&amp;display_string=Audit&amp;DYN_ARGS=TRUE&amp;VAR:ID1=CW&amp;VAR:RCODE=FDSREVSTOTAL&amp;VAR:SDATE=20090699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43__FDSAUDITLINK__" localSheetId="4" hidden="1">{"fdsup://IBCentral/FAT Viewer?action=UPDATE&amp;creator=factset&amp;DOC_NAME=fat:reuters_ltm_source_window.fat&amp;display_string=Audit&amp;DYN_ARGS=TRUE&amp;VAR:ID1=CW&amp;VAR:RCODE=FDSREVSTOTAL&amp;VAR:SDATE=20090699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43__FDSAUDITLINK__" hidden="1">{"fdsup://IBCentral/FAT Viewer?action=UPDATE&amp;creator=factset&amp;DOC_NAME=fat:reuters_ltm_source_window.fat&amp;display_string=Audit&amp;DYN_ARGS=TRUE&amp;VAR:ID1=CW&amp;VAR:RCODE=FDSREVSTOTAL&amp;VAR:SDATE=20090699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44__FDSAUDITLINK__" localSheetId="5" hidden="1">{"fdsup://IBCentral/FAT Viewer?action=UPDATE&amp;creator=factset&amp;DOC_NAME=fat:reuters_ltm_source_window.fat&amp;display_string=Audit&amp;DYN_ARGS=TRUE&amp;VAR:ID1=CW&amp;VAR:RCODE=FIBCEBITDA&amp;VAR:SDATE=20090699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644__FDSAUDITLINK__" localSheetId="0" hidden="1">{"fdsup://IBCentral/FAT Viewer?action=UPDATE&amp;creator=factset&amp;DOC_NAME=fat:reuters_ltm_source_window.fat&amp;display_string=Audit&amp;DYN_ARGS=TRUE&amp;VAR:ID1=CW&amp;VAR:RCODE=FIBCEBITDA&amp;VAR:SDATE=20090699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644__FDSAUDITLINK__" localSheetId="4" hidden="1">{"fdsup://IBCentral/FAT Viewer?action=UPDATE&amp;creator=factset&amp;DOC_NAME=fat:reuters_ltm_source_window.fat&amp;display_string=Audit&amp;DYN_ARGS=TRUE&amp;VAR:ID1=CW&amp;VAR:RCODE=FIBCEBITDA&amp;VAR:SDATE=20090699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644__FDSAUDITLINK__" hidden="1">{"fdsup://IBCentral/FAT Viewer?action=UPDATE&amp;creator=factset&amp;DOC_NAME=fat:reuters_ltm_source_window.fat&amp;display_string=Audit&amp;DYN_ARGS=TRUE&amp;VAR:ID1=CW&amp;VAR:RCODE=FIBCEBITDA&amp;VAR:SDATE=20090699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645__FDSAUDITLINK__" localSheetId="5" hidden="1">{"fdsup://IBCentral/FAT Viewer?action=UPDATE&amp;creator=factset&amp;DOC_NAME=fat:reuters_ltm_source_window.fat&amp;display_string=Audit&amp;DYN_ARGS=TRUE&amp;VAR:ID1=TNB&amp;VAR:RCODE=FDSREVSTOTAL&amp;VAR:SDATE=20090699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5__FDSAUDITLINK__" localSheetId="0" hidden="1">{"fdsup://IBCentral/FAT Viewer?action=UPDATE&amp;creator=factset&amp;DOC_NAME=fat:reuters_ltm_source_window.fat&amp;display_string=Audit&amp;DYN_ARGS=TRUE&amp;VAR:ID1=TNB&amp;VAR:RCODE=FDSREVSTOTAL&amp;VAR:SDATE=20090699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5__FDSAUDITLINK__" localSheetId="4" hidden="1">{"fdsup://IBCentral/FAT Viewer?action=UPDATE&amp;creator=factset&amp;DOC_NAME=fat:reuters_ltm_source_window.fat&amp;display_string=Audit&amp;DYN_ARGS=TRUE&amp;VAR:ID1=TNB&amp;VAR:RCODE=FDSREVSTOTAL&amp;VAR:SDATE=20090699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5__FDSAUDITLINK__" hidden="1">{"fdsup://IBCentral/FAT Viewer?action=UPDATE&amp;creator=factset&amp;DOC_NAME=fat:reuters_ltm_source_window.fat&amp;display_string=Audit&amp;DYN_ARGS=TRUE&amp;VAR:ID1=TNB&amp;VAR:RCODE=FDSREVSTOTAL&amp;VAR:SDATE=20090699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6__FDSAUDITLINK__" localSheetId="5" hidden="1">{"fdsup://IBCentral/FAT Viewer?action=UPDATE&amp;creator=factset&amp;DOC_NAME=fat:reuters_ltm_source_window.fat&amp;display_string=Audit&amp;DYN_ARGS=TRUE&amp;VAR:ID1=TNB&amp;VAR:RCODE=FIBCEBITDA&amp;VAR:SDATE=20090699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6__FDSAUDITLINK__" localSheetId="0" hidden="1">{"fdsup://IBCentral/FAT Viewer?action=UPDATE&amp;creator=factset&amp;DOC_NAME=fat:reuters_ltm_source_window.fat&amp;display_string=Audit&amp;DYN_ARGS=TRUE&amp;VAR:ID1=TNB&amp;VAR:RCODE=FIBCEBITDA&amp;VAR:SDATE=20090699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6__FDSAUDITLINK__" localSheetId="4" hidden="1">{"fdsup://IBCentral/FAT Viewer?action=UPDATE&amp;creator=factset&amp;DOC_NAME=fat:reuters_ltm_source_window.fat&amp;display_string=Audit&amp;DYN_ARGS=TRUE&amp;VAR:ID1=TNB&amp;VAR:RCODE=FIBCEBITDA&amp;VAR:SDATE=20090699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6__FDSAUDITLINK__" hidden="1">{"fdsup://IBCentral/FAT Viewer?action=UPDATE&amp;creator=factset&amp;DOC_NAME=fat:reuters_ltm_source_window.fat&amp;display_string=Audit&amp;DYN_ARGS=TRUE&amp;VAR:ID1=TNB&amp;VAR:RCODE=FIBCEBITDA&amp;VAR:SDATE=20090699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7__FDSAUDITLINK__" localSheetId="5" hidden="1">{"fdsup://IBCentral/FAT Viewer?action=UPDATE&amp;creator=factset&amp;DOC_NAME=fat:reuters_ltm_source_window.fat&amp;display_string=Audit&amp;DYN_ARGS=TRUE&amp;VAR:ID1=CSL&amp;VAR:RCODE=FDSREVSTOTAL&amp;VAR:SDATE=20090699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7__FDSAUDITLINK__" localSheetId="0" hidden="1">{"fdsup://IBCentral/FAT Viewer?action=UPDATE&amp;creator=factset&amp;DOC_NAME=fat:reuters_ltm_source_window.fat&amp;display_string=Audit&amp;DYN_ARGS=TRUE&amp;VAR:ID1=CSL&amp;VAR:RCODE=FDSREVSTOTAL&amp;VAR:SDATE=20090699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7__FDSAUDITLINK__" localSheetId="4" hidden="1">{"fdsup://IBCentral/FAT Viewer?action=UPDATE&amp;creator=factset&amp;DOC_NAME=fat:reuters_ltm_source_window.fat&amp;display_string=Audit&amp;DYN_ARGS=TRUE&amp;VAR:ID1=CSL&amp;VAR:RCODE=FDSREVSTOTAL&amp;VAR:SDATE=20090699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Viewer?action=UPDATE&amp;creator=factset&amp;DOC_NAME=fat:reuters_ltm_source_window.fat&amp;display_string=Audit&amp;DYN_ARGS=TRUE&amp;VAR:ID1=CSL&amp;VAR:RCODE=FDSREVSTOTAL&amp;VAR:SDATE=20090699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48__FDSAUDITLINK__" localSheetId="5" hidden="1">{"fdsup://IBCentral/FAT Viewer?action=UPDATE&amp;creator=factset&amp;DOC_NAME=fat:reuters_ltm_source_window.fat&amp;display_string=Audit&amp;DYN_ARGS=TRUE&amp;VAR:ID1=CSL&amp;VAR:RCODE=FIBCEBITDA&amp;VAR:SDATE=20090699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8__FDSAUDITLINK__" localSheetId="0" hidden="1">{"fdsup://IBCentral/FAT Viewer?action=UPDATE&amp;creator=factset&amp;DOC_NAME=fat:reuters_ltm_source_window.fat&amp;display_string=Audit&amp;DYN_ARGS=TRUE&amp;VAR:ID1=CSL&amp;VAR:RCODE=FIBCEBITDA&amp;VAR:SDATE=20090699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8__FDSAUDITLINK__" localSheetId="4" hidden="1">{"fdsup://IBCentral/FAT Viewer?action=UPDATE&amp;creator=factset&amp;DOC_NAME=fat:reuters_ltm_source_window.fat&amp;display_string=Audit&amp;DYN_ARGS=TRUE&amp;VAR:ID1=CSL&amp;VAR:RCODE=FIBCEBITDA&amp;VAR:SDATE=20090699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8__FDSAUDITLINK__" hidden="1">{"fdsup://IBCentral/FAT Viewer?action=UPDATE&amp;creator=factset&amp;DOC_NAME=fat:reuters_ltm_source_window.fat&amp;display_string=Audit&amp;DYN_ARGS=TRUE&amp;VAR:ID1=CSL&amp;VAR:RCODE=FIBCEBITDA&amp;VAR:SDATE=20090699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49__FDSAUDITLINK__" localSheetId="5" hidden="1">{"fdsup://IBCentral/FAT Viewer?action=UPDATE&amp;creator=factset&amp;DOC_NAME=fat:reuters_ltm_source_window.fat&amp;display_string=Audit&amp;DYN_ARGS=TRUE&amp;VAR:ID1=HTLD&amp;VAR:RCODE=FDSREVSTOTAL&amp;VAR:SDATE=20090699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49__FDSAUDITLINK__" localSheetId="0" hidden="1">{"fdsup://IBCentral/FAT Viewer?action=UPDATE&amp;creator=factset&amp;DOC_NAME=fat:reuters_ltm_source_window.fat&amp;display_string=Audit&amp;DYN_ARGS=TRUE&amp;VAR:ID1=HTLD&amp;VAR:RCODE=FDSREVSTOTAL&amp;VAR:SDATE=20090699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49__FDSAUDITLINK__" localSheetId="4" hidden="1">{"fdsup://IBCentral/FAT Viewer?action=UPDATE&amp;creator=factset&amp;DOC_NAME=fat:reuters_ltm_source_window.fat&amp;display_string=Audit&amp;DYN_ARGS=TRUE&amp;VAR:ID1=HTLD&amp;VAR:RCODE=FDSREVSTOTAL&amp;VAR:SDATE=20090699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49__FDSAUDITLINK__" hidden="1">{"fdsup://IBCentral/FAT Viewer?action=UPDATE&amp;creator=factset&amp;DOC_NAME=fat:reuters_ltm_source_window.fat&amp;display_string=Audit&amp;DYN_ARGS=TRUE&amp;VAR:ID1=HTLD&amp;VAR:RCODE=FDSREVSTOTAL&amp;VAR:SDATE=20090699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5__123Graph_AChart_1J" localSheetId="0" hidden="1">#REF!</definedName>
    <definedName name="_65__123Graph_AChart_1J" hidden="1">#REF!</definedName>
    <definedName name="_65__FDSAUDITLINK__" localSheetId="5" hidden="1">{"fdsup://IBCentral/FAT Viewer?action=UPDATE&amp;creator=factset&amp;DOC_NAME=fat:reuters_ltm_source_window.fat&amp;display_string=Audit&amp;DYN_ARGS=TRUE&amp;VAR:ID1=PLL&amp;VAR:RCODE=FIBCEBITDA&amp;VAR:SDATE=20090199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__FDSAUDITLINK__" localSheetId="0" hidden="1">{"fdsup://IBCentral/FAT Viewer?action=UPDATE&amp;creator=factset&amp;DOC_NAME=fat:reuters_ltm_source_window.fat&amp;display_string=Audit&amp;DYN_ARGS=TRUE&amp;VAR:ID1=PLL&amp;VAR:RCODE=FIBCEBITDA&amp;VAR:SDATE=20090199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__FDSAUDITLINK__" localSheetId="4" hidden="1">{"fdsup://IBCentral/FAT Viewer?action=UPDATE&amp;creator=factset&amp;DOC_NAME=fat:reuters_ltm_source_window.fat&amp;display_string=Audit&amp;DYN_ARGS=TRUE&amp;VAR:ID1=PLL&amp;VAR:RCODE=FIBCEBITDA&amp;VAR:SDATE=20090199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__FDSAUDITLINK__" hidden="1">{"fdsup://IBCentral/FAT Viewer?action=UPDATE&amp;creator=factset&amp;DOC_NAME=fat:reuters_ltm_source_window.fat&amp;display_string=Audit&amp;DYN_ARGS=TRUE&amp;VAR:ID1=PLL&amp;VAR:RCODE=FIBCEBITDA&amp;VAR:SDATE=20090199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0__FDSAUDITLINK__" localSheetId="5" hidden="1">{"fdsup://IBCentral/FAT Viewer?action=UPDATE&amp;creator=factset&amp;DOC_NAME=fat:reuters_ltm_source_window.fat&amp;display_string=Audit&amp;DYN_ARGS=TRUE&amp;VAR:ID1=HTLD&amp;VAR:RCODE=FIBCEBITDA&amp;VAR:SDATE=20090699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50__FDSAUDITLINK__" localSheetId="0" hidden="1">{"fdsup://IBCentral/FAT Viewer?action=UPDATE&amp;creator=factset&amp;DOC_NAME=fat:reuters_ltm_source_window.fat&amp;display_string=Audit&amp;DYN_ARGS=TRUE&amp;VAR:ID1=HTLD&amp;VAR:RCODE=FIBCEBITDA&amp;VAR:SDATE=20090699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50__FDSAUDITLINK__" localSheetId="4" hidden="1">{"fdsup://IBCentral/FAT Viewer?action=UPDATE&amp;creator=factset&amp;DOC_NAME=fat:reuters_ltm_source_window.fat&amp;display_string=Audit&amp;DYN_ARGS=TRUE&amp;VAR:ID1=HTLD&amp;VAR:RCODE=FIBCEBITDA&amp;VAR:SDATE=20090699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50__FDSAUDITLINK__" hidden="1">{"fdsup://IBCentral/FAT Viewer?action=UPDATE&amp;creator=factset&amp;DOC_NAME=fat:reuters_ltm_source_window.fat&amp;display_string=Audit&amp;DYN_ARGS=TRUE&amp;VAR:ID1=HTLD&amp;VAR:RCODE=FIBCEBITDA&amp;VAR:SDATE=20090699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51__FDSAUDITLINK__" localSheetId="5" hidden="1">{"fdsup://IBCentral/FAT Viewer?action=UPDATE&amp;creator=factset&amp;DOC_NAME=fat:reuters_ltm_source_window.fat&amp;display_string=Audit&amp;DYN_ARGS=TRUE&amp;VAR:ID1=TTEK&amp;VAR:RCODE=FDSREVSTOTAL&amp;VAR:SDATE=20090699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51__FDSAUDITLINK__" localSheetId="0" hidden="1">{"fdsup://IBCentral/FAT Viewer?action=UPDATE&amp;creator=factset&amp;DOC_NAME=fat:reuters_ltm_source_window.fat&amp;display_string=Audit&amp;DYN_ARGS=TRUE&amp;VAR:ID1=TTEK&amp;VAR:RCODE=FDSREVSTOTAL&amp;VAR:SDATE=20090699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51__FDSAUDITLINK__" localSheetId="4" hidden="1">{"fdsup://IBCentral/FAT Viewer?action=UPDATE&amp;creator=factset&amp;DOC_NAME=fat:reuters_ltm_source_window.fat&amp;display_string=Audit&amp;DYN_ARGS=TRUE&amp;VAR:ID1=TTEK&amp;VAR:RCODE=FDSREVSTOTAL&amp;VAR:SDATE=20090699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51__FDSAUDITLINK__" hidden="1">{"fdsup://IBCentral/FAT Viewer?action=UPDATE&amp;creator=factset&amp;DOC_NAME=fat:reuters_ltm_source_window.fat&amp;display_string=Audit&amp;DYN_ARGS=TRUE&amp;VAR:ID1=TTEK&amp;VAR:RCODE=FDSREVSTOTAL&amp;VAR:SDATE=20090699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52__FDSAUDITLINK__" localSheetId="5" hidden="1">{"fdsup://IBCentral/FAT Viewer?action=UPDATE&amp;creator=factset&amp;DOC_NAME=fat:reuters_ltm_source_window.fat&amp;display_string=Audit&amp;DYN_ARGS=TRUE&amp;VAR:ID1=TTEK&amp;VAR:RCODE=FIBCEBITDA&amp;VAR:SDATE=20090699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52__FDSAUDITLINK__" localSheetId="0" hidden="1">{"fdsup://IBCentral/FAT Viewer?action=UPDATE&amp;creator=factset&amp;DOC_NAME=fat:reuters_ltm_source_window.fat&amp;display_string=Audit&amp;DYN_ARGS=TRUE&amp;VAR:ID1=TTEK&amp;VAR:RCODE=FIBCEBITDA&amp;VAR:SDATE=20090699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52__FDSAUDITLINK__" localSheetId="4" hidden="1">{"fdsup://IBCentral/FAT Viewer?action=UPDATE&amp;creator=factset&amp;DOC_NAME=fat:reuters_ltm_source_window.fat&amp;display_string=Audit&amp;DYN_ARGS=TRUE&amp;VAR:ID1=TTEK&amp;VAR:RCODE=FIBCEBITDA&amp;VAR:SDATE=20090699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52__FDSAUDITLINK__" hidden="1">{"fdsup://IBCentral/FAT Viewer?action=UPDATE&amp;creator=factset&amp;DOC_NAME=fat:reuters_ltm_source_window.fat&amp;display_string=Audit&amp;DYN_ARGS=TRUE&amp;VAR:ID1=TTEK&amp;VAR:RCODE=FIBCEBITDA&amp;VAR:SDATE=20090699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53__FDSAUDITLINK__" localSheetId="5" hidden="1">{"fdsup://IBCentral/FAT Viewer?action=UPDATE&amp;creator=factset&amp;DOC_NAME=fat:reuters_ltm_source_window.fat&amp;display_string=Audit&amp;DYN_ARGS=TRUE&amp;VAR:ID1=WAB&amp;VAR:RCODE=FDSREVSTOTAL&amp;VAR:SDATE=20090699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3__FDSAUDITLINK__" localSheetId="0" hidden="1">{"fdsup://IBCentral/FAT Viewer?action=UPDATE&amp;creator=factset&amp;DOC_NAME=fat:reuters_ltm_source_window.fat&amp;display_string=Audit&amp;DYN_ARGS=TRUE&amp;VAR:ID1=WAB&amp;VAR:RCODE=FDSREVSTOTAL&amp;VAR:SDATE=20090699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3__FDSAUDITLINK__" localSheetId="4" hidden="1">{"fdsup://IBCentral/FAT Viewer?action=UPDATE&amp;creator=factset&amp;DOC_NAME=fat:reuters_ltm_source_window.fat&amp;display_string=Audit&amp;DYN_ARGS=TRUE&amp;VAR:ID1=WAB&amp;VAR:RCODE=FDSREVSTOTAL&amp;VAR:SDATE=20090699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3__FDSAUDITLINK__" hidden="1">{"fdsup://IBCentral/FAT Viewer?action=UPDATE&amp;creator=factset&amp;DOC_NAME=fat:reuters_ltm_source_window.fat&amp;display_string=Audit&amp;DYN_ARGS=TRUE&amp;VAR:ID1=WAB&amp;VAR:RCODE=FDSREVSTOTAL&amp;VAR:SDATE=20090699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4__FDSAUDITLINK__" localSheetId="5" hidden="1">{"fdsup://IBCentral/FAT Viewer?action=UPDATE&amp;creator=factset&amp;DOC_NAME=fat:reuters_ltm_source_window.fat&amp;display_string=Audit&amp;DYN_ARGS=TRUE&amp;VAR:ID1=WAB&amp;VAR:RCODE=FIBCEBITDA&amp;VAR:SDATE=20090699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4__FDSAUDITLINK__" localSheetId="0" hidden="1">{"fdsup://IBCentral/FAT Viewer?action=UPDATE&amp;creator=factset&amp;DOC_NAME=fat:reuters_ltm_source_window.fat&amp;display_string=Audit&amp;DYN_ARGS=TRUE&amp;VAR:ID1=WAB&amp;VAR:RCODE=FIBCEBITDA&amp;VAR:SDATE=20090699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4__FDSAUDITLINK__" localSheetId="4" hidden="1">{"fdsup://IBCentral/FAT Viewer?action=UPDATE&amp;creator=factset&amp;DOC_NAME=fat:reuters_ltm_source_window.fat&amp;display_string=Audit&amp;DYN_ARGS=TRUE&amp;VAR:ID1=WAB&amp;VAR:RCODE=FIBCEBITDA&amp;VAR:SDATE=20090699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4__FDSAUDITLINK__" hidden="1">{"fdsup://IBCentral/FAT Viewer?action=UPDATE&amp;creator=factset&amp;DOC_NAME=fat:reuters_ltm_source_window.fat&amp;display_string=Audit&amp;DYN_ARGS=TRUE&amp;VAR:ID1=WAB&amp;VAR:RCODE=FIBCEBITDA&amp;VAR:SDATE=20090699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5__FDSAUDITLINK__" localSheetId="5" hidden="1">{"fdsup://IBCentral/FAT Viewer?action=UPDATE&amp;creator=factset&amp;DOC_NAME=fat:reuters_ltm_source_window.fat&amp;display_string=Audit&amp;DYN_ARGS=TRUE&amp;VAR:ID1=KSU&amp;VAR:RCODE=FDSREVSTOTAL&amp;VAR:SDATE=20090699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5__FDSAUDITLINK__" localSheetId="0" hidden="1">{"fdsup://IBCentral/FAT Viewer?action=UPDATE&amp;creator=factset&amp;DOC_NAME=fat:reuters_ltm_source_window.fat&amp;display_string=Audit&amp;DYN_ARGS=TRUE&amp;VAR:ID1=KSU&amp;VAR:RCODE=FDSREVSTOTAL&amp;VAR:SDATE=20090699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5__FDSAUDITLINK__" localSheetId="4" hidden="1">{"fdsup://IBCentral/FAT Viewer?action=UPDATE&amp;creator=factset&amp;DOC_NAME=fat:reuters_ltm_source_window.fat&amp;display_string=Audit&amp;DYN_ARGS=TRUE&amp;VAR:ID1=KSU&amp;VAR:RCODE=FDSREVSTOTAL&amp;VAR:SDATE=20090699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5__FDSAUDITLINK__" hidden="1">{"fdsup://IBCentral/FAT Viewer?action=UPDATE&amp;creator=factset&amp;DOC_NAME=fat:reuters_ltm_source_window.fat&amp;display_string=Audit&amp;DYN_ARGS=TRUE&amp;VAR:ID1=KSU&amp;VAR:RCODE=FDSREVSTOTAL&amp;VAR:SDATE=20090699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6__FDSAUDITLINK__" localSheetId="5" hidden="1">{"fdsup://IBCentral/FAT Viewer?action=UPDATE&amp;creator=factset&amp;DOC_NAME=fat:reuters_ltm_source_window.fat&amp;display_string=Audit&amp;DYN_ARGS=TRUE&amp;VAR:ID1=KSU&amp;VAR:RCODE=FIBCEBITDA&amp;VAR:SDATE=20090699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6__FDSAUDITLINK__" localSheetId="0" hidden="1">{"fdsup://IBCentral/FAT Viewer?action=UPDATE&amp;creator=factset&amp;DOC_NAME=fat:reuters_ltm_source_window.fat&amp;display_string=Audit&amp;DYN_ARGS=TRUE&amp;VAR:ID1=KSU&amp;VAR:RCODE=FIBCEBITDA&amp;VAR:SDATE=20090699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6__FDSAUDITLINK__" localSheetId="4" hidden="1">{"fdsup://IBCentral/FAT Viewer?action=UPDATE&amp;creator=factset&amp;DOC_NAME=fat:reuters_ltm_source_window.fat&amp;display_string=Audit&amp;DYN_ARGS=TRUE&amp;VAR:ID1=KSU&amp;VAR:RCODE=FIBCEBITDA&amp;VAR:SDATE=20090699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6__FDSAUDITLINK__" hidden="1">{"fdsup://IBCentral/FAT Viewer?action=UPDATE&amp;creator=factset&amp;DOC_NAME=fat:reuters_ltm_source_window.fat&amp;display_string=Audit&amp;DYN_ARGS=TRUE&amp;VAR:ID1=KSU&amp;VAR:RCODE=FIBCEBITDA&amp;VAR:SDATE=20090699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7__FDSAUDITLINK__" localSheetId="5" hidden="1">{"fdsup://IBCentral/FAT Viewer?action=UPDATE&amp;creator=factset&amp;DOC_NAME=fat:reuters_ltm_source_window.fat&amp;display_string=Audit&amp;DYN_ARGS=TRUE&amp;VAR:ID1=VMI&amp;VAR:RCODE=FDSREVSTOTAL&amp;VAR:SDATE=20090699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7__FDSAUDITLINK__" localSheetId="0" hidden="1">{"fdsup://IBCentral/FAT Viewer?action=UPDATE&amp;creator=factset&amp;DOC_NAME=fat:reuters_ltm_source_window.fat&amp;display_string=Audit&amp;DYN_ARGS=TRUE&amp;VAR:ID1=VMI&amp;VAR:RCODE=FDSREVSTOTAL&amp;VAR:SDATE=20090699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7__FDSAUDITLINK__" localSheetId="4" hidden="1">{"fdsup://IBCentral/FAT Viewer?action=UPDATE&amp;creator=factset&amp;DOC_NAME=fat:reuters_ltm_source_window.fat&amp;display_string=Audit&amp;DYN_ARGS=TRUE&amp;VAR:ID1=VMI&amp;VAR:RCODE=FDSREVSTOTAL&amp;VAR:SDATE=20090699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7__FDSAUDITLINK__" hidden="1">{"fdsup://IBCentral/FAT Viewer?action=UPDATE&amp;creator=factset&amp;DOC_NAME=fat:reuters_ltm_source_window.fat&amp;display_string=Audit&amp;DYN_ARGS=TRUE&amp;VAR:ID1=VMI&amp;VAR:RCODE=FDSREVSTOTAL&amp;VAR:SDATE=20090699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8__FDSAUDITLINK__" localSheetId="5" hidden="1">{"fdsup://IBCentral/FAT Viewer?action=UPDATE&amp;creator=factset&amp;DOC_NAME=fat:reuters_ltm_source_window.fat&amp;display_string=Audit&amp;DYN_ARGS=TRUE&amp;VAR:ID1=VMI&amp;VAR:RCODE=FIBCEBITDA&amp;VAR:SDATE=20090699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8__FDSAUDITLINK__" localSheetId="0" hidden="1">{"fdsup://IBCentral/FAT Viewer?action=UPDATE&amp;creator=factset&amp;DOC_NAME=fat:reuters_ltm_source_window.fat&amp;display_string=Audit&amp;DYN_ARGS=TRUE&amp;VAR:ID1=VMI&amp;VAR:RCODE=FIBCEBITDA&amp;VAR:SDATE=20090699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8__FDSAUDITLINK__" localSheetId="4" hidden="1">{"fdsup://IBCentral/FAT Viewer?action=UPDATE&amp;creator=factset&amp;DOC_NAME=fat:reuters_ltm_source_window.fat&amp;display_string=Audit&amp;DYN_ARGS=TRUE&amp;VAR:ID1=VMI&amp;VAR:RCODE=FIBCEBITDA&amp;VAR:SDATE=20090699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8__FDSAUDITLINK__" hidden="1">{"fdsup://IBCentral/FAT Viewer?action=UPDATE&amp;creator=factset&amp;DOC_NAME=fat:reuters_ltm_source_window.fat&amp;display_string=Audit&amp;DYN_ARGS=TRUE&amp;VAR:ID1=VMI&amp;VAR:RCODE=FIBCEBITDA&amp;VAR:SDATE=20090699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59__FDSAUDITLINK__" localSheetId="5" hidden="1">{"fdsup://IBCentral/FAT Viewer?action=UPDATE&amp;creator=factset&amp;DOC_NAME=fat:reuters_ltm_source_window.fat&amp;display_string=Audit&amp;DYN_ARGS=TRUE&amp;VAR:ID1=KEX&amp;VAR:RCODE=FDSREVSTOTAL&amp;VAR:SDATE=20090699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9__FDSAUDITLINK__" localSheetId="0" hidden="1">{"fdsup://IBCentral/FAT Viewer?action=UPDATE&amp;creator=factset&amp;DOC_NAME=fat:reuters_ltm_source_window.fat&amp;display_string=Audit&amp;DYN_ARGS=TRUE&amp;VAR:ID1=KEX&amp;VAR:RCODE=FDSREVSTOTAL&amp;VAR:SDATE=20090699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9__FDSAUDITLINK__" localSheetId="4" hidden="1">{"fdsup://IBCentral/FAT Viewer?action=UPDATE&amp;creator=factset&amp;DOC_NAME=fat:reuters_ltm_source_window.fat&amp;display_string=Audit&amp;DYN_ARGS=TRUE&amp;VAR:ID1=KEX&amp;VAR:RCODE=FDSREVSTOTAL&amp;VAR:SDATE=20090699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59__FDSAUDITLINK__" hidden="1">{"fdsup://IBCentral/FAT Viewer?action=UPDATE&amp;creator=factset&amp;DOC_NAME=fat:reuters_ltm_source_window.fat&amp;display_string=Audit&amp;DYN_ARGS=TRUE&amp;VAR:ID1=KEX&amp;VAR:RCODE=FDSREVSTOTAL&amp;VAR:SDATE=20090699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__FDSAUDITLINK__" localSheetId="5" hidden="1">{"fdsup://IBCentral/FAT Viewer?action=UPDATE&amp;creator=factset&amp;DOC_NAME=fat:reuters_ltm_source_window.fat&amp;display_string=Audit&amp;DYN_ARGS=TRUE&amp;VAR:ID1=JOYG&amp;VAR:RCODE=FIBCEBITDA&amp;VAR:SDATE=20090199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6__FDSAUDITLINK__" localSheetId="0" hidden="1">{"fdsup://IBCentral/FAT Viewer?action=UPDATE&amp;creator=factset&amp;DOC_NAME=fat:reuters_ltm_source_window.fat&amp;display_string=Audit&amp;DYN_ARGS=TRUE&amp;VAR:ID1=JOYG&amp;VAR:RCODE=FIBCEBITDA&amp;VAR:SDATE=20090199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6__FDSAUDITLINK__" localSheetId="4" hidden="1">{"fdsup://IBCentral/FAT Viewer?action=UPDATE&amp;creator=factset&amp;DOC_NAME=fat:reuters_ltm_source_window.fat&amp;display_string=Audit&amp;DYN_ARGS=TRUE&amp;VAR:ID1=JOYG&amp;VAR:RCODE=FIBCEBITDA&amp;VAR:SDATE=20090199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6__FDSAUDITLINK__" hidden="1">{"fdsup://IBCentral/FAT Viewer?action=UPDATE&amp;creator=factset&amp;DOC_NAME=fat:reuters_ltm_source_window.fat&amp;display_string=Audit&amp;DYN_ARGS=TRUE&amp;VAR:ID1=JOYG&amp;VAR:RCODE=FIBCEBITDA&amp;VAR:SDATE=20090199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60__FDSAUDITLINK__" localSheetId="5" hidden="1">{"fdsup://IBCentral/FAT Viewer?action=UPDATE&amp;creator=factset&amp;DOC_NAME=fat:reuters_ltm_source_window.fat&amp;display_string=Audit&amp;DYN_ARGS=TRUE&amp;VAR:ID1=KEX&amp;VAR:RCODE=FIBCEBITDA&amp;VAR:SDATE=20090699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0__FDSAUDITLINK__" localSheetId="0" hidden="1">{"fdsup://IBCentral/FAT Viewer?action=UPDATE&amp;creator=factset&amp;DOC_NAME=fat:reuters_ltm_source_window.fat&amp;display_string=Audit&amp;DYN_ARGS=TRUE&amp;VAR:ID1=KEX&amp;VAR:RCODE=FIBCEBITDA&amp;VAR:SDATE=20090699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0__FDSAUDITLINK__" localSheetId="4" hidden="1">{"fdsup://IBCentral/FAT Viewer?action=UPDATE&amp;creator=factset&amp;DOC_NAME=fat:reuters_ltm_source_window.fat&amp;display_string=Audit&amp;DYN_ARGS=TRUE&amp;VAR:ID1=KEX&amp;VAR:RCODE=FIBCEBITDA&amp;VAR:SDATE=20090699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0__FDSAUDITLINK__" hidden="1">{"fdsup://IBCentral/FAT Viewer?action=UPDATE&amp;creator=factset&amp;DOC_NAME=fat:reuters_ltm_source_window.fat&amp;display_string=Audit&amp;DYN_ARGS=TRUE&amp;VAR:ID1=KEX&amp;VAR:RCODE=FIBCEBITDA&amp;VAR:SDATE=20090699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1__FDSAUDITLINK__" localSheetId="5" hidden="1">{"fdsup://IBCentral/FAT Viewer?action=UPDATE&amp;creator=factset&amp;DOC_NAME=fat:reuters_ltm_source_window.fat&amp;display_string=Audit&amp;DYN_ARGS=TRUE&amp;VAR:ID1=TKR&amp;VAR:RCODE=FDSREVSTOTAL&amp;VAR:SDATE=20090699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1__FDSAUDITLINK__" localSheetId="0" hidden="1">{"fdsup://IBCentral/FAT Viewer?action=UPDATE&amp;creator=factset&amp;DOC_NAME=fat:reuters_ltm_source_window.fat&amp;display_string=Audit&amp;DYN_ARGS=TRUE&amp;VAR:ID1=TKR&amp;VAR:RCODE=FDSREVSTOTAL&amp;VAR:SDATE=20090699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1__FDSAUDITLINK__" localSheetId="4" hidden="1">{"fdsup://IBCentral/FAT Viewer?action=UPDATE&amp;creator=factset&amp;DOC_NAME=fat:reuters_ltm_source_window.fat&amp;display_string=Audit&amp;DYN_ARGS=TRUE&amp;VAR:ID1=TKR&amp;VAR:RCODE=FDSREVSTOTAL&amp;VAR:SDATE=20090699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1__FDSAUDITLINK__" hidden="1">{"fdsup://IBCentral/FAT Viewer?action=UPDATE&amp;creator=factset&amp;DOC_NAME=fat:reuters_ltm_source_window.fat&amp;display_string=Audit&amp;DYN_ARGS=TRUE&amp;VAR:ID1=TKR&amp;VAR:RCODE=FDSREVSTOTAL&amp;VAR:SDATE=20090699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2__FDSAUDITLINK__" localSheetId="5" hidden="1">{"fdsup://IBCentral/FAT Viewer?action=UPDATE&amp;creator=factset&amp;DOC_NAME=fat:reuters_ltm_source_window.fat&amp;display_string=Audit&amp;DYN_ARGS=TRUE&amp;VAR:ID1=TKR&amp;VAR:RCODE=FIBCEBITDA&amp;VAR:SDATE=20090699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2__FDSAUDITLINK__" localSheetId="0" hidden="1">{"fdsup://IBCentral/FAT Viewer?action=UPDATE&amp;creator=factset&amp;DOC_NAME=fat:reuters_ltm_source_window.fat&amp;display_string=Audit&amp;DYN_ARGS=TRUE&amp;VAR:ID1=TKR&amp;VAR:RCODE=FIBCEBITDA&amp;VAR:SDATE=20090699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2__FDSAUDITLINK__" localSheetId="4" hidden="1">{"fdsup://IBCentral/FAT Viewer?action=UPDATE&amp;creator=factset&amp;DOC_NAME=fat:reuters_ltm_source_window.fat&amp;display_string=Audit&amp;DYN_ARGS=TRUE&amp;VAR:ID1=TKR&amp;VAR:RCODE=FIBCEBITDA&amp;VAR:SDATE=20090699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2__FDSAUDITLINK__" hidden="1">{"fdsup://IBCentral/FAT Viewer?action=UPDATE&amp;creator=factset&amp;DOC_NAME=fat:reuters_ltm_source_window.fat&amp;display_string=Audit&amp;DYN_ARGS=TRUE&amp;VAR:ID1=TKR&amp;VAR:RCODE=FIBCEBITDA&amp;VAR:SDATE=20090699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3__FDSAUDITLINK__" localSheetId="5" hidden="1">{"fdsup://IBCentral/FAT Viewer?action=UPDATE&amp;creator=factset&amp;DOC_NAME=fat:reuters_ltm_source_window.fat&amp;display_string=Audit&amp;DYN_ARGS=TRUE&amp;VAR:ID1=LECO&amp;VAR:RCODE=FDSREVSTOTAL&amp;VAR:SDATE=20090699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63__FDSAUDITLINK__" localSheetId="0" hidden="1">{"fdsup://IBCentral/FAT Viewer?action=UPDATE&amp;creator=factset&amp;DOC_NAME=fat:reuters_ltm_source_window.fat&amp;display_string=Audit&amp;DYN_ARGS=TRUE&amp;VAR:ID1=LECO&amp;VAR:RCODE=FDSREVSTOTAL&amp;VAR:SDATE=20090699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63__FDSAUDITLINK__" localSheetId="4" hidden="1">{"fdsup://IBCentral/FAT Viewer?action=UPDATE&amp;creator=factset&amp;DOC_NAME=fat:reuters_ltm_source_window.fat&amp;display_string=Audit&amp;DYN_ARGS=TRUE&amp;VAR:ID1=LECO&amp;VAR:RCODE=FDSREVSTOTAL&amp;VAR:SDATE=20090699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63__FDSAUDITLINK__" hidden="1">{"fdsup://IBCentral/FAT Viewer?action=UPDATE&amp;creator=factset&amp;DOC_NAME=fat:reuters_ltm_source_window.fat&amp;display_string=Audit&amp;DYN_ARGS=TRUE&amp;VAR:ID1=LECO&amp;VAR:RCODE=FDSREVSTOTAL&amp;VAR:SDATE=20090699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64__FDSAUDITLINK__" localSheetId="5" hidden="1">{"fdsup://IBCentral/FAT Viewer?action=UPDATE&amp;creator=factset&amp;DOC_NAME=fat:reuters_ltm_source_window.fat&amp;display_string=Audit&amp;DYN_ARGS=TRUE&amp;VAR:ID1=LECO&amp;VAR:RCODE=FIBCEBITDA&amp;VAR:SDATE=20090699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64__FDSAUDITLINK__" localSheetId="0" hidden="1">{"fdsup://IBCentral/FAT Viewer?action=UPDATE&amp;creator=factset&amp;DOC_NAME=fat:reuters_ltm_source_window.fat&amp;display_string=Audit&amp;DYN_ARGS=TRUE&amp;VAR:ID1=LECO&amp;VAR:RCODE=FIBCEBITDA&amp;VAR:SDATE=20090699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64__FDSAUDITLINK__" localSheetId="4" hidden="1">{"fdsup://IBCentral/FAT Viewer?action=UPDATE&amp;creator=factset&amp;DOC_NAME=fat:reuters_ltm_source_window.fat&amp;display_string=Audit&amp;DYN_ARGS=TRUE&amp;VAR:ID1=LECO&amp;VAR:RCODE=FIBCEBITDA&amp;VAR:SDATE=20090699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Viewer?action=UPDATE&amp;creator=factset&amp;DOC_NAME=fat:reuters_ltm_source_window.fat&amp;display_string=Audit&amp;DYN_ARGS=TRUE&amp;VAR:ID1=LECO&amp;VAR:RCODE=FIBCEBITDA&amp;VAR:SDATE=20090699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65__FDSAUDITLINK__" localSheetId="5" hidden="1">{"fdsup://IBCentral/FAT Viewer?action=UPDATE&amp;creator=factset&amp;DOC_NAME=fat:reuters_ltm_source_window.fat&amp;display_string=Audit&amp;DYN_ARGS=TRUE&amp;VAR:ID1=HUB.B&amp;VAR:RCODE=FDSREVSTOTAL&amp;VAR:SDATE=20090699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665__FDSAUDITLINK__" localSheetId="0" hidden="1">{"fdsup://IBCentral/FAT Viewer?action=UPDATE&amp;creator=factset&amp;DOC_NAME=fat:reuters_ltm_source_window.fat&amp;display_string=Audit&amp;DYN_ARGS=TRUE&amp;VAR:ID1=HUB.B&amp;VAR:RCODE=FDSREVSTOTAL&amp;VAR:SDATE=20090699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665__FDSAUDITLINK__" localSheetId="4" hidden="1">{"fdsup://IBCentral/FAT Viewer?action=UPDATE&amp;creator=factset&amp;DOC_NAME=fat:reuters_ltm_source_window.fat&amp;display_string=Audit&amp;DYN_ARGS=TRUE&amp;VAR:ID1=HUB.B&amp;VAR:RCODE=FDSREVSTOTAL&amp;VAR:SDATE=20090699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665__FDSAUDITLINK__" hidden="1">{"fdsup://IBCentral/FAT Viewer?action=UPDATE&amp;creator=factset&amp;DOC_NAME=fat:reuters_ltm_source_window.fat&amp;display_string=Audit&amp;DYN_ARGS=TRUE&amp;VAR:ID1=HUB.B&amp;VAR:RCODE=FDSREVSTOTAL&amp;VAR:SDATE=20090699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666__FDSAUDITLINK__" localSheetId="5" hidden="1">{"fdsup://IBCentral/FAT Viewer?action=UPDATE&amp;creator=factset&amp;DOC_NAME=fat:reuters_ltm_source_window.fat&amp;display_string=Audit&amp;DYN_ARGS=TRUE&amp;VAR:ID1=HUB.B&amp;VAR:RCODE=FIBCEBITDA&amp;VAR:SDATE=20090699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6__FDSAUDITLINK__" localSheetId="0" hidden="1">{"fdsup://IBCentral/FAT Viewer?action=UPDATE&amp;creator=factset&amp;DOC_NAME=fat:reuters_ltm_source_window.fat&amp;display_string=Audit&amp;DYN_ARGS=TRUE&amp;VAR:ID1=HUB.B&amp;VAR:RCODE=FIBCEBITDA&amp;VAR:SDATE=20090699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6__FDSAUDITLINK__" localSheetId="4" hidden="1">{"fdsup://IBCentral/FAT Viewer?action=UPDATE&amp;creator=factset&amp;DOC_NAME=fat:reuters_ltm_source_window.fat&amp;display_string=Audit&amp;DYN_ARGS=TRUE&amp;VAR:ID1=HUB.B&amp;VAR:RCODE=FIBCEBITDA&amp;VAR:SDATE=20090699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6__FDSAUDITLINK__" hidden="1">{"fdsup://IBCentral/FAT Viewer?action=UPDATE&amp;creator=factset&amp;DOC_NAME=fat:reuters_ltm_source_window.fat&amp;display_string=Audit&amp;DYN_ARGS=TRUE&amp;VAR:ID1=HUB.B&amp;VAR:RCODE=FIBCEBITDA&amp;VAR:SDATE=20090699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7__FDSAUDITLINK__" localSheetId="5" hidden="1">{"fdsup://IBCentral/FAT Viewer?action=UPDATE&amp;creator=factset&amp;DOC_NAME=fat:reuters_ltm_source_window.fat&amp;display_string=Audit&amp;DYN_ARGS=TRUE&amp;VAR:ID1=LII&amp;VAR:RCODE=FDSREVSTOTAL&amp;VAR:SDATE=20090699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7__FDSAUDITLINK__" localSheetId="0" hidden="1">{"fdsup://IBCentral/FAT Viewer?action=UPDATE&amp;creator=factset&amp;DOC_NAME=fat:reuters_ltm_source_window.fat&amp;display_string=Audit&amp;DYN_ARGS=TRUE&amp;VAR:ID1=LII&amp;VAR:RCODE=FDSREVSTOTAL&amp;VAR:SDATE=20090699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7__FDSAUDITLINK__" localSheetId="4" hidden="1">{"fdsup://IBCentral/FAT Viewer?action=UPDATE&amp;creator=factset&amp;DOC_NAME=fat:reuters_ltm_source_window.fat&amp;display_string=Audit&amp;DYN_ARGS=TRUE&amp;VAR:ID1=LII&amp;VAR:RCODE=FDSREVSTOTAL&amp;VAR:SDATE=20090699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7__FDSAUDITLINK__" hidden="1">{"fdsup://IBCentral/FAT Viewer?action=UPDATE&amp;creator=factset&amp;DOC_NAME=fat:reuters_ltm_source_window.fat&amp;display_string=Audit&amp;DYN_ARGS=TRUE&amp;VAR:ID1=LII&amp;VAR:RCODE=FDSREVSTOTAL&amp;VAR:SDATE=20090699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8__FDSAUDITLINK__" localSheetId="5" hidden="1">{"fdsup://IBCentral/FAT Viewer?action=UPDATE&amp;creator=factset&amp;DOC_NAME=fat:reuters_ltm_source_window.fat&amp;display_string=Audit&amp;DYN_ARGS=TRUE&amp;VAR:ID1=LII&amp;VAR:RCODE=FIBCEBITDA&amp;VAR:SDATE=20090699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8__FDSAUDITLINK__" localSheetId="0" hidden="1">{"fdsup://IBCentral/FAT Viewer?action=UPDATE&amp;creator=factset&amp;DOC_NAME=fat:reuters_ltm_source_window.fat&amp;display_string=Audit&amp;DYN_ARGS=TRUE&amp;VAR:ID1=LII&amp;VAR:RCODE=FIBCEBITDA&amp;VAR:SDATE=20090699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8__FDSAUDITLINK__" localSheetId="4" hidden="1">{"fdsup://IBCentral/FAT Viewer?action=UPDATE&amp;creator=factset&amp;DOC_NAME=fat:reuters_ltm_source_window.fat&amp;display_string=Audit&amp;DYN_ARGS=TRUE&amp;VAR:ID1=LII&amp;VAR:RCODE=FIBCEBITDA&amp;VAR:SDATE=20090699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8__FDSAUDITLINK__" hidden="1">{"fdsup://IBCentral/FAT Viewer?action=UPDATE&amp;creator=factset&amp;DOC_NAME=fat:reuters_ltm_source_window.fat&amp;display_string=Audit&amp;DYN_ARGS=TRUE&amp;VAR:ID1=LII&amp;VAR:RCODE=FIBCEBITDA&amp;VAR:SDATE=20090699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69__FDSAUDITLINK__" localSheetId="5" hidden="1">{"fdsup://IBCentral/FAT Viewer?action=UPDATE&amp;creator=factset&amp;DOC_NAME=fat:reuters_ltm_source_window.fat&amp;display_string=Audit&amp;DYN_ARGS=TRUE&amp;VAR:ID1=GVA&amp;VAR:RCODE=FDSREVSTOTAL&amp;VAR:SDATE=20090699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9__FDSAUDITLINK__" localSheetId="0" hidden="1">{"fdsup://IBCentral/FAT Viewer?action=UPDATE&amp;creator=factset&amp;DOC_NAME=fat:reuters_ltm_source_window.fat&amp;display_string=Audit&amp;DYN_ARGS=TRUE&amp;VAR:ID1=GVA&amp;VAR:RCODE=FDSREVSTOTAL&amp;VAR:SDATE=20090699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9__FDSAUDITLINK__" localSheetId="4" hidden="1">{"fdsup://IBCentral/FAT Viewer?action=UPDATE&amp;creator=factset&amp;DOC_NAME=fat:reuters_ltm_source_window.fat&amp;display_string=Audit&amp;DYN_ARGS=TRUE&amp;VAR:ID1=GVA&amp;VAR:RCODE=FDSREVSTOTAL&amp;VAR:SDATE=20090699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69__FDSAUDITLINK__" hidden="1">{"fdsup://IBCentral/FAT Viewer?action=UPDATE&amp;creator=factset&amp;DOC_NAME=fat:reuters_ltm_source_window.fat&amp;display_string=Audit&amp;DYN_ARGS=TRUE&amp;VAR:ID1=GVA&amp;VAR:RCODE=FDSREVSTOTAL&amp;VAR:SDATE=20090699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__123Graph_AChart_1K" localSheetId="0" hidden="1">#REF!</definedName>
    <definedName name="_67__123Graph_AChart_1K" hidden="1">#REF!</definedName>
    <definedName name="_67__FDSAUDITLINK__" localSheetId="5" hidden="1">{"fdsup://IBCentral/FAT Viewer?action=UPDATE&amp;creator=factset&amp;DOC_NAME=fat:reuters_ltm_source_window.fat&amp;display_string=Audit&amp;DYN_ARGS=TRUE&amp;VAR:ID1=CPRT&amp;VAR:RCODE=FIBCEBITDA&amp;VAR:SDATE=20090199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7__FDSAUDITLINK__" localSheetId="0" hidden="1">{"fdsup://IBCentral/FAT Viewer?action=UPDATE&amp;creator=factset&amp;DOC_NAME=fat:reuters_ltm_source_window.fat&amp;display_string=Audit&amp;DYN_ARGS=TRUE&amp;VAR:ID1=CPRT&amp;VAR:RCODE=FIBCEBITDA&amp;VAR:SDATE=20090199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7__FDSAUDITLINK__" localSheetId="4" hidden="1">{"fdsup://IBCentral/FAT Viewer?action=UPDATE&amp;creator=factset&amp;DOC_NAME=fat:reuters_ltm_source_window.fat&amp;display_string=Audit&amp;DYN_ARGS=TRUE&amp;VAR:ID1=CPRT&amp;VAR:RCODE=FIBCEBITDA&amp;VAR:SDATE=20090199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7__FDSAUDITLINK__" hidden="1">{"fdsup://IBCentral/FAT Viewer?action=UPDATE&amp;creator=factset&amp;DOC_NAME=fat:reuters_ltm_source_window.fat&amp;display_string=Audit&amp;DYN_ARGS=TRUE&amp;VAR:ID1=CPRT&amp;VAR:RCODE=FIBCEBITDA&amp;VAR:SDATE=20090199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70__FDSAUDITLINK__" localSheetId="5" hidden="1">{"fdsup://IBCentral/FAT Viewer?action=UPDATE&amp;creator=factset&amp;DOC_NAME=fat:reuters_ltm_source_window.fat&amp;display_string=Audit&amp;DYN_ARGS=TRUE&amp;VAR:ID1=GVA&amp;VAR:RCODE=FIBCEBITDA&amp;VAR:SDATE=20090699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0__FDSAUDITLINK__" localSheetId="0" hidden="1">{"fdsup://IBCentral/FAT Viewer?action=UPDATE&amp;creator=factset&amp;DOC_NAME=fat:reuters_ltm_source_window.fat&amp;display_string=Audit&amp;DYN_ARGS=TRUE&amp;VAR:ID1=GVA&amp;VAR:RCODE=FIBCEBITDA&amp;VAR:SDATE=20090699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0__FDSAUDITLINK__" localSheetId="4" hidden="1">{"fdsup://IBCentral/FAT Viewer?action=UPDATE&amp;creator=factset&amp;DOC_NAME=fat:reuters_ltm_source_window.fat&amp;display_string=Audit&amp;DYN_ARGS=TRUE&amp;VAR:ID1=GVA&amp;VAR:RCODE=FIBCEBITDA&amp;VAR:SDATE=20090699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0__FDSAUDITLINK__" hidden="1">{"fdsup://IBCentral/FAT Viewer?action=UPDATE&amp;creator=factset&amp;DOC_NAME=fat:reuters_ltm_source_window.fat&amp;display_string=Audit&amp;DYN_ARGS=TRUE&amp;VAR:ID1=GVA&amp;VAR:RCODE=FIBCEBITDA&amp;VAR:SDATE=20090699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1__FDSAUDITLINK__" localSheetId="5" hidden="1">{"fdsup://IBCentral/FAT Viewer?action=UPDATE&amp;creator=factset&amp;DOC_NAME=fat:reuters_ltm_source_window.fat&amp;display_string=Audit&amp;DYN_ARGS=TRUE&amp;VAR:ID1=R&amp;VAR:RCODE=FDSREVSTOTAL&amp;VAR:SDATE=20090699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1__FDSAUDITLINK__" localSheetId="0" hidden="1">{"fdsup://IBCentral/FAT Viewer?action=UPDATE&amp;creator=factset&amp;DOC_NAME=fat:reuters_ltm_source_window.fat&amp;display_string=Audit&amp;DYN_ARGS=TRUE&amp;VAR:ID1=R&amp;VAR:RCODE=FDSREVSTOTAL&amp;VAR:SDATE=20090699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1__FDSAUDITLINK__" localSheetId="4" hidden="1">{"fdsup://IBCentral/FAT Viewer?action=UPDATE&amp;creator=factset&amp;DOC_NAME=fat:reuters_ltm_source_window.fat&amp;display_string=Audit&amp;DYN_ARGS=TRUE&amp;VAR:ID1=R&amp;VAR:RCODE=FDSREVSTOTAL&amp;VAR:SDATE=20090699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1__FDSAUDITLINK__" hidden="1">{"fdsup://IBCentral/FAT Viewer?action=UPDATE&amp;creator=factset&amp;DOC_NAME=fat:reuters_ltm_source_window.fat&amp;display_string=Audit&amp;DYN_ARGS=TRUE&amp;VAR:ID1=R&amp;VAR:RCODE=FDSREVSTOTAL&amp;VAR:SDATE=20090699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2__FDSAUDITLINK__" localSheetId="5" hidden="1">{"fdsup://IBCentral/FAT Viewer?action=UPDATE&amp;creator=factset&amp;DOC_NAME=fat:reuters_ltm_source_window.fat&amp;display_string=Audit&amp;DYN_ARGS=TRUE&amp;VAR:ID1=R&amp;VAR:RCODE=FIBCEBITDA&amp;VAR:SDATE=20090699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672__FDSAUDITLINK__" localSheetId="0" hidden="1">{"fdsup://IBCentral/FAT Viewer?action=UPDATE&amp;creator=factset&amp;DOC_NAME=fat:reuters_ltm_source_window.fat&amp;display_string=Audit&amp;DYN_ARGS=TRUE&amp;VAR:ID1=R&amp;VAR:RCODE=FIBCEBITDA&amp;VAR:SDATE=20090699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672__FDSAUDITLINK__" localSheetId="4" hidden="1">{"fdsup://IBCentral/FAT Viewer?action=UPDATE&amp;creator=factset&amp;DOC_NAME=fat:reuters_ltm_source_window.fat&amp;display_string=Audit&amp;DYN_ARGS=TRUE&amp;VAR:ID1=R&amp;VAR:RCODE=FIBCEBITDA&amp;VAR:SDATE=20090699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672__FDSAUDITLINK__" hidden="1">{"fdsup://IBCentral/FAT Viewer?action=UPDATE&amp;creator=factset&amp;DOC_NAME=fat:reuters_ltm_source_window.fat&amp;display_string=Audit&amp;DYN_ARGS=TRUE&amp;VAR:ID1=R&amp;VAR:RCODE=FIBCEBITDA&amp;VAR:SDATE=20090699 &amp;VAR:FREQ=Quarterly&amp;VAR:RELITEM=RP&amp;VAR:CURRENCY=&amp;VAR:CURRSOURCE=EXSH","ARE&amp;VAR:NATFREQ=QUARTERLY&amp;VAR:RFIELD=FINALIZED&amp;VAR:DB_TYPE=&amp;VAR:UNITS=M&amp;window=popup&amp;width=540&amp;height=300&amp;START_MAXIMIZED=FALSE"}</definedName>
    <definedName name="_673__FDSAUDITLINK__" localSheetId="5" hidden="1">{"fdsup://IBCentral/FAT Viewer?action=UPDATE&amp;creator=factset&amp;DOC_NAME=fat:reuters_ltm_source_window.fat&amp;display_string=Audit&amp;DYN_ARGS=TRUE&amp;VAR:ID1=RRD&amp;VAR:RCODE=FDSREVSTOTAL&amp;VAR:SDATE=20090699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3__FDSAUDITLINK__" localSheetId="0" hidden="1">{"fdsup://IBCentral/FAT Viewer?action=UPDATE&amp;creator=factset&amp;DOC_NAME=fat:reuters_ltm_source_window.fat&amp;display_string=Audit&amp;DYN_ARGS=TRUE&amp;VAR:ID1=RRD&amp;VAR:RCODE=FDSREVSTOTAL&amp;VAR:SDATE=20090699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3__FDSAUDITLINK__" localSheetId="4" hidden="1">{"fdsup://IBCentral/FAT Viewer?action=UPDATE&amp;creator=factset&amp;DOC_NAME=fat:reuters_ltm_source_window.fat&amp;display_string=Audit&amp;DYN_ARGS=TRUE&amp;VAR:ID1=RRD&amp;VAR:RCODE=FDSREVSTOTAL&amp;VAR:SDATE=20090699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3__FDSAUDITLINK__" hidden="1">{"fdsup://IBCentral/FAT Viewer?action=UPDATE&amp;creator=factset&amp;DOC_NAME=fat:reuters_ltm_source_window.fat&amp;display_string=Audit&amp;DYN_ARGS=TRUE&amp;VAR:ID1=RRD&amp;VAR:RCODE=FDSREVSTOTAL&amp;VAR:SDATE=20090699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4__FDSAUDITLINK__" localSheetId="5" hidden="1">{"fdsup://IBCentral/FAT Viewer?action=UPDATE&amp;creator=factset&amp;DOC_NAME=fat:reuters_ltm_source_window.fat&amp;display_string=Audit&amp;DYN_ARGS=TRUE&amp;VAR:ID1=RRD&amp;VAR:RCODE=FIBCEBITDA&amp;VAR:SDATE=20090699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4__FDSAUDITLINK__" localSheetId="0" hidden="1">{"fdsup://IBCentral/FAT Viewer?action=UPDATE&amp;creator=factset&amp;DOC_NAME=fat:reuters_ltm_source_window.fat&amp;display_string=Audit&amp;DYN_ARGS=TRUE&amp;VAR:ID1=RRD&amp;VAR:RCODE=FIBCEBITDA&amp;VAR:SDATE=20090699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4__FDSAUDITLINK__" localSheetId="4" hidden="1">{"fdsup://IBCentral/FAT Viewer?action=UPDATE&amp;creator=factset&amp;DOC_NAME=fat:reuters_ltm_source_window.fat&amp;display_string=Audit&amp;DYN_ARGS=TRUE&amp;VAR:ID1=RRD&amp;VAR:RCODE=FIBCEBITDA&amp;VAR:SDATE=20090699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4__FDSAUDITLINK__" hidden="1">{"fdsup://IBCentral/FAT Viewer?action=UPDATE&amp;creator=factset&amp;DOC_NAME=fat:reuters_ltm_source_window.fat&amp;display_string=Audit&amp;DYN_ARGS=TRUE&amp;VAR:ID1=RRD&amp;VAR:RCODE=FIBCEBITDA&amp;VAR:SDATE=20090699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5__FDSAUDITLINK__" localSheetId="5" hidden="1">{"fdsup://IBCentral/FAT Viewer?action=UPDATE&amp;creator=factset&amp;DOC_NAME=fat:reuters_ltm_source_window.fat&amp;display_string=Audit&amp;DYN_ARGS=TRUE&amp;VAR:ID1=TXT&amp;VAR:RCODE=FDSREVSTOTAL&amp;VAR:SDATE=20090699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5__FDSAUDITLINK__" localSheetId="0" hidden="1">{"fdsup://IBCentral/FAT Viewer?action=UPDATE&amp;creator=factset&amp;DOC_NAME=fat:reuters_ltm_source_window.fat&amp;display_string=Audit&amp;DYN_ARGS=TRUE&amp;VAR:ID1=TXT&amp;VAR:RCODE=FDSREVSTOTAL&amp;VAR:SDATE=20090699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5__FDSAUDITLINK__" localSheetId="4" hidden="1">{"fdsup://IBCentral/FAT Viewer?action=UPDATE&amp;creator=factset&amp;DOC_NAME=fat:reuters_ltm_source_window.fat&amp;display_string=Audit&amp;DYN_ARGS=TRUE&amp;VAR:ID1=TXT&amp;VAR:RCODE=FDSREVSTOTAL&amp;VAR:SDATE=20090699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5__FDSAUDITLINK__" hidden="1">{"fdsup://IBCentral/FAT Viewer?action=UPDATE&amp;creator=factset&amp;DOC_NAME=fat:reuters_ltm_source_window.fat&amp;display_string=Audit&amp;DYN_ARGS=TRUE&amp;VAR:ID1=TXT&amp;VAR:RCODE=FDSREVSTOTAL&amp;VAR:SDATE=20090699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6__FDSAUDITLINK__" localSheetId="5" hidden="1">{"fdsup://IBCentral/FAT Viewer?action=UPDATE&amp;creator=factset&amp;DOC_NAME=fat:reuters_ltm_source_window.fat&amp;display_string=Audit&amp;DYN_ARGS=TRUE&amp;VAR:ID1=TXT&amp;VAR:RCODE=FIBCEBITDA&amp;VAR:SDATE=20090699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6__FDSAUDITLINK__" localSheetId="0" hidden="1">{"fdsup://IBCentral/FAT Viewer?action=UPDATE&amp;creator=factset&amp;DOC_NAME=fat:reuters_ltm_source_window.fat&amp;display_string=Audit&amp;DYN_ARGS=TRUE&amp;VAR:ID1=TXT&amp;VAR:RCODE=FIBCEBITDA&amp;VAR:SDATE=20090699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6__FDSAUDITLINK__" localSheetId="4" hidden="1">{"fdsup://IBCentral/FAT Viewer?action=UPDATE&amp;creator=factset&amp;DOC_NAME=fat:reuters_ltm_source_window.fat&amp;display_string=Audit&amp;DYN_ARGS=TRUE&amp;VAR:ID1=TXT&amp;VAR:RCODE=FIBCEBITDA&amp;VAR:SDATE=20090699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6__FDSAUDITLINK__" hidden="1">{"fdsup://IBCentral/FAT Viewer?action=UPDATE&amp;creator=factset&amp;DOC_NAME=fat:reuters_ltm_source_window.fat&amp;display_string=Audit&amp;DYN_ARGS=TRUE&amp;VAR:ID1=TXT&amp;VAR:RCODE=FIBCEBITDA&amp;VAR:SDATE=20090699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7__FDSAUDITLINK__" localSheetId="5" hidden="1">{"fdsup://IBCentral/FAT Viewer?action=UPDATE&amp;creator=factset&amp;DOC_NAME=fat:reuters_ltm_source_window.fat&amp;display_string=Audit&amp;DYN_ARGS=TRUE&amp;VAR:ID1=ROL&amp;VAR:RCODE=FDSREVSTOTAL&amp;VAR:SDATE=20090699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7__FDSAUDITLINK__" localSheetId="0" hidden="1">{"fdsup://IBCentral/FAT Viewer?action=UPDATE&amp;creator=factset&amp;DOC_NAME=fat:reuters_ltm_source_window.fat&amp;display_string=Audit&amp;DYN_ARGS=TRUE&amp;VAR:ID1=ROL&amp;VAR:RCODE=FDSREVSTOTAL&amp;VAR:SDATE=20090699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7__FDSAUDITLINK__" localSheetId="4" hidden="1">{"fdsup://IBCentral/FAT Viewer?action=UPDATE&amp;creator=factset&amp;DOC_NAME=fat:reuters_ltm_source_window.fat&amp;display_string=Audit&amp;DYN_ARGS=TRUE&amp;VAR:ID1=ROL&amp;VAR:RCODE=FDSREVSTOTAL&amp;VAR:SDATE=20090699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7__FDSAUDITLINK__" hidden="1">{"fdsup://IBCentral/FAT Viewer?action=UPDATE&amp;creator=factset&amp;DOC_NAME=fat:reuters_ltm_source_window.fat&amp;display_string=Audit&amp;DYN_ARGS=TRUE&amp;VAR:ID1=ROL&amp;VAR:RCODE=FDSREVSTOTAL&amp;VAR:SDATE=20090699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78__FDSAUDITLINK__" localSheetId="5" hidden="1">{"fdsup://IBCentral/FAT Viewer?action=UPDATE&amp;creator=factset&amp;DOC_NAME=fat:reuters_ltm_source_window.fat&amp;display_string=Audit&amp;DYN_ARGS=TRUE&amp;VAR:ID1=ROL&amp;VAR:RCODE=FIBCEBITDA&amp;VAR:SDATE=20090699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8__FDSAUDITLINK__" localSheetId="0" hidden="1">{"fdsup://IBCentral/FAT Viewer?action=UPDATE&amp;creator=factset&amp;DOC_NAME=fat:reuters_ltm_source_window.fat&amp;display_string=Audit&amp;DYN_ARGS=TRUE&amp;VAR:ID1=ROL&amp;VAR:RCODE=FIBCEBITDA&amp;VAR:SDATE=20090699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8__FDSAUDITLINK__" localSheetId="4" hidden="1">{"fdsup://IBCentral/FAT Viewer?action=UPDATE&amp;creator=factset&amp;DOC_NAME=fat:reuters_ltm_source_window.fat&amp;display_string=Audit&amp;DYN_ARGS=TRUE&amp;VAR:ID1=ROL&amp;VAR:RCODE=FIBCEBITDA&amp;VAR:SDATE=20090699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8__FDSAUDITLINK__" hidden="1">{"fdsup://IBCentral/FAT Viewer?action=UPDATE&amp;creator=factset&amp;DOC_NAME=fat:reuters_ltm_source_window.fat&amp;display_string=Audit&amp;DYN_ARGS=TRUE&amp;VAR:ID1=ROL&amp;VAR:RCODE=FIBCEBITDA&amp;VAR:SDATE=20090699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79__FDSAUDITLINK__" localSheetId="5" hidden="1">{"fdsup://IBCentral/FAT Viewer?action=UPDATE&amp;creator=factset&amp;DOC_NAME=fat:reuters_ltm_source_window.fat&amp;display_string=Audit&amp;DYN_ARGS=TRUE&amp;VAR:ID1=LSTR&amp;VAR:RCODE=FDSREVSTOTAL&amp;VAR:SDATE=20090699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79__FDSAUDITLINK__" localSheetId="0" hidden="1">{"fdsup://IBCentral/FAT Viewer?action=UPDATE&amp;creator=factset&amp;DOC_NAME=fat:reuters_ltm_source_window.fat&amp;display_string=Audit&amp;DYN_ARGS=TRUE&amp;VAR:ID1=LSTR&amp;VAR:RCODE=FDSREVSTOTAL&amp;VAR:SDATE=20090699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79__FDSAUDITLINK__" localSheetId="4" hidden="1">{"fdsup://IBCentral/FAT Viewer?action=UPDATE&amp;creator=factset&amp;DOC_NAME=fat:reuters_ltm_source_window.fat&amp;display_string=Audit&amp;DYN_ARGS=TRUE&amp;VAR:ID1=LSTR&amp;VAR:RCODE=FDSREVSTOTAL&amp;VAR:SDATE=20090699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79__FDSAUDITLINK__" hidden="1">{"fdsup://IBCentral/FAT Viewer?action=UPDATE&amp;creator=factset&amp;DOC_NAME=fat:reuters_ltm_source_window.fat&amp;display_string=Audit&amp;DYN_ARGS=TRUE&amp;VAR:ID1=LSTR&amp;VAR:RCODE=FDSREVSTOTAL&amp;VAR:SDATE=20090699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68__FDSAUDITLINK__" localSheetId="5" hidden="1">{"fdsup://IBCentral/FAT Viewer?action=UPDATE&amp;creator=factset&amp;DOC_NAME=fat:reuters_ltm_source_window.fat&amp;display_string=Audit&amp;DYN_ARGS=TRUE&amp;VAR:ID1=MAS&amp;VAR:RCODE=FIBCEBITDA&amp;VAR:SDATE=20090399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__FDSAUDITLINK__" localSheetId="0" hidden="1">{"fdsup://IBCentral/FAT Viewer?action=UPDATE&amp;creator=factset&amp;DOC_NAME=fat:reuters_ltm_source_window.fat&amp;display_string=Audit&amp;DYN_ARGS=TRUE&amp;VAR:ID1=MAS&amp;VAR:RCODE=FIBCEBITDA&amp;VAR:SDATE=20090399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__FDSAUDITLINK__" localSheetId="4" hidden="1">{"fdsup://IBCentral/FAT Viewer?action=UPDATE&amp;creator=factset&amp;DOC_NAME=fat:reuters_ltm_source_window.fat&amp;display_string=Audit&amp;DYN_ARGS=TRUE&amp;VAR:ID1=MAS&amp;VAR:RCODE=FIBCEBITDA&amp;VAR:SDATE=20090399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__FDSAUDITLINK__" hidden="1">{"fdsup://IBCentral/FAT Viewer?action=UPDATE&amp;creator=factset&amp;DOC_NAME=fat:reuters_ltm_source_window.fat&amp;display_string=Audit&amp;DYN_ARGS=TRUE&amp;VAR:ID1=MAS&amp;VAR:RCODE=FIBCEBITDA&amp;VAR:SDATE=20090399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0__FDSAUDITLINK__" localSheetId="5" hidden="1">{"fdsup://IBCentral/FAT Viewer?action=UPDATE&amp;creator=factset&amp;DOC_NAME=fat:reuters_ltm_source_window.fat&amp;display_string=Audit&amp;DYN_ARGS=TRUE&amp;VAR:ID1=LSTR&amp;VAR:RCODE=FIBCEBITDA&amp;VAR:SDATE=20090699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80__FDSAUDITLINK__" localSheetId="0" hidden="1">{"fdsup://IBCentral/FAT Viewer?action=UPDATE&amp;creator=factset&amp;DOC_NAME=fat:reuters_ltm_source_window.fat&amp;display_string=Audit&amp;DYN_ARGS=TRUE&amp;VAR:ID1=LSTR&amp;VAR:RCODE=FIBCEBITDA&amp;VAR:SDATE=20090699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80__FDSAUDITLINK__" localSheetId="4" hidden="1">{"fdsup://IBCentral/FAT Viewer?action=UPDATE&amp;creator=factset&amp;DOC_NAME=fat:reuters_ltm_source_window.fat&amp;display_string=Audit&amp;DYN_ARGS=TRUE&amp;VAR:ID1=LSTR&amp;VAR:RCODE=FIBCEBITDA&amp;VAR:SDATE=20090699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80__FDSAUDITLINK__" hidden="1">{"fdsup://IBCentral/FAT Viewer?action=UPDATE&amp;creator=factset&amp;DOC_NAME=fat:reuters_ltm_source_window.fat&amp;display_string=Audit&amp;DYN_ARGS=TRUE&amp;VAR:ID1=LSTR&amp;VAR:RCODE=FIBCEBITDA&amp;VAR:SDATE=20090699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81__FDSAUDITLINK__" localSheetId="5" hidden="1">{"fdsup://IBCentral/FAT Viewer?action=UPDATE&amp;creator=factset&amp;DOC_NAME=fat:reuters_ltm_source_window.fat&amp;display_string=Audit&amp;DYN_ARGS=TRUE&amp;VAR:ID1=CXW&amp;VAR:RCODE=FDSREVSTOTAL&amp;VAR:SDATE=20090699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1__FDSAUDITLINK__" localSheetId="0" hidden="1">{"fdsup://IBCentral/FAT Viewer?action=UPDATE&amp;creator=factset&amp;DOC_NAME=fat:reuters_ltm_source_window.fat&amp;display_string=Audit&amp;DYN_ARGS=TRUE&amp;VAR:ID1=CXW&amp;VAR:RCODE=FDSREVSTOTAL&amp;VAR:SDATE=20090699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1__FDSAUDITLINK__" localSheetId="4" hidden="1">{"fdsup://IBCentral/FAT Viewer?action=UPDATE&amp;creator=factset&amp;DOC_NAME=fat:reuters_ltm_source_window.fat&amp;display_string=Audit&amp;DYN_ARGS=TRUE&amp;VAR:ID1=CXW&amp;VAR:RCODE=FDSREVSTOTAL&amp;VAR:SDATE=20090699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Viewer?action=UPDATE&amp;creator=factset&amp;DOC_NAME=fat:reuters_ltm_source_window.fat&amp;display_string=Audit&amp;DYN_ARGS=TRUE&amp;VAR:ID1=CXW&amp;VAR:RCODE=FDSREVSTOTAL&amp;VAR:SDATE=20090699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2__FDSAUDITLINK__" localSheetId="5" hidden="1">{"fdsup://IBCentral/FAT Viewer?action=UPDATE&amp;creator=factset&amp;DOC_NAME=fat:reuters_ltm_source_window.fat&amp;display_string=Audit&amp;DYN_ARGS=TRUE&amp;VAR:ID1=CXW&amp;VAR:RCODE=FIBCEBITDA&amp;VAR:SDATE=20090699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2__FDSAUDITLINK__" localSheetId="0" hidden="1">{"fdsup://IBCentral/FAT Viewer?action=UPDATE&amp;creator=factset&amp;DOC_NAME=fat:reuters_ltm_source_window.fat&amp;display_string=Audit&amp;DYN_ARGS=TRUE&amp;VAR:ID1=CXW&amp;VAR:RCODE=FIBCEBITDA&amp;VAR:SDATE=20090699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2__FDSAUDITLINK__" localSheetId="4" hidden="1">{"fdsup://IBCentral/FAT Viewer?action=UPDATE&amp;creator=factset&amp;DOC_NAME=fat:reuters_ltm_source_window.fat&amp;display_string=Audit&amp;DYN_ARGS=TRUE&amp;VAR:ID1=CXW&amp;VAR:RCODE=FIBCEBITDA&amp;VAR:SDATE=20090699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2__FDSAUDITLINK__" hidden="1">{"fdsup://IBCentral/FAT Viewer?action=UPDATE&amp;creator=factset&amp;DOC_NAME=fat:reuters_ltm_source_window.fat&amp;display_string=Audit&amp;DYN_ARGS=TRUE&amp;VAR:ID1=CXW&amp;VAR:RCODE=FIBCEBITDA&amp;VAR:SDATE=20090699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3__FDSAUDITLINK__" localSheetId="5" hidden="1">{"fdsup://IBCentral/FAT Viewer?action=UPDATE&amp;creator=factset&amp;DOC_NAME=fat:reuters_ltm_source_window.fat&amp;display_string=Audit&amp;DYN_ARGS=TRUE&amp;VAR:ID1=IEX&amp;VAR:RCODE=FDSREVSTOTAL&amp;VAR:SDATE=20090699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3__FDSAUDITLINK__" localSheetId="0" hidden="1">{"fdsup://IBCentral/FAT Viewer?action=UPDATE&amp;creator=factset&amp;DOC_NAME=fat:reuters_ltm_source_window.fat&amp;display_string=Audit&amp;DYN_ARGS=TRUE&amp;VAR:ID1=IEX&amp;VAR:RCODE=FDSREVSTOTAL&amp;VAR:SDATE=20090699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3__FDSAUDITLINK__" localSheetId="4" hidden="1">{"fdsup://IBCentral/FAT Viewer?action=UPDATE&amp;creator=factset&amp;DOC_NAME=fat:reuters_ltm_source_window.fat&amp;display_string=Audit&amp;DYN_ARGS=TRUE&amp;VAR:ID1=IEX&amp;VAR:RCODE=FDSREVSTOTAL&amp;VAR:SDATE=20090699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3__FDSAUDITLINK__" hidden="1">{"fdsup://IBCentral/FAT Viewer?action=UPDATE&amp;creator=factset&amp;DOC_NAME=fat:reuters_ltm_source_window.fat&amp;display_string=Audit&amp;DYN_ARGS=TRUE&amp;VAR:ID1=IEX&amp;VAR:RCODE=FDSREVSTOTAL&amp;VAR:SDATE=20090699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4__FDSAUDITLINK__" localSheetId="5" hidden="1">{"fdsup://IBCentral/FAT Viewer?action=UPDATE&amp;creator=factset&amp;DOC_NAME=fat:reuters_ltm_source_window.fat&amp;display_string=Audit&amp;DYN_ARGS=TRUE&amp;VAR:ID1=IEX&amp;VAR:RCODE=FIBCEBITDA&amp;VAR:SDATE=20090699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4__FDSAUDITLINK__" localSheetId="0" hidden="1">{"fdsup://IBCentral/FAT Viewer?action=UPDATE&amp;creator=factset&amp;DOC_NAME=fat:reuters_ltm_source_window.fat&amp;display_string=Audit&amp;DYN_ARGS=TRUE&amp;VAR:ID1=IEX&amp;VAR:RCODE=FIBCEBITDA&amp;VAR:SDATE=20090699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4__FDSAUDITLINK__" localSheetId="4" hidden="1">{"fdsup://IBCentral/FAT Viewer?action=UPDATE&amp;creator=factset&amp;DOC_NAME=fat:reuters_ltm_source_window.fat&amp;display_string=Audit&amp;DYN_ARGS=TRUE&amp;VAR:ID1=IEX&amp;VAR:RCODE=FIBCEBITDA&amp;VAR:SDATE=20090699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4__FDSAUDITLINK__" hidden="1">{"fdsup://IBCentral/FAT Viewer?action=UPDATE&amp;creator=factset&amp;DOC_NAME=fat:reuters_ltm_source_window.fat&amp;display_string=Audit&amp;DYN_ARGS=TRUE&amp;VAR:ID1=IEX&amp;VAR:RCODE=FIBCEBITDA&amp;VAR:SDATE=20090699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5__FDSAUDITLINK__" localSheetId="5" hidden="1">{"fdsup://IBCentral/FAT Viewer?action=UPDATE&amp;creator=factset&amp;DOC_NAME=fat:reuters_ltm_source_window.fat&amp;display_string=Audit&amp;DYN_ARGS=TRUE&amp;VAR:ID1=AG&amp;VAR:RCODE=FDSREVSTOTAL&amp;VAR:SDATE=20090699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85__FDSAUDITLINK__" localSheetId="0" hidden="1">{"fdsup://IBCentral/FAT Viewer?action=UPDATE&amp;creator=factset&amp;DOC_NAME=fat:reuters_ltm_source_window.fat&amp;display_string=Audit&amp;DYN_ARGS=TRUE&amp;VAR:ID1=AG&amp;VAR:RCODE=FDSREVSTOTAL&amp;VAR:SDATE=20090699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85__FDSAUDITLINK__" localSheetId="4" hidden="1">{"fdsup://IBCentral/FAT Viewer?action=UPDATE&amp;creator=factset&amp;DOC_NAME=fat:reuters_ltm_source_window.fat&amp;display_string=Audit&amp;DYN_ARGS=TRUE&amp;VAR:ID1=AG&amp;VAR:RCODE=FDSREVSTOTAL&amp;VAR:SDATE=20090699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85__FDSAUDITLINK__" hidden="1">{"fdsup://IBCentral/FAT Viewer?action=UPDATE&amp;creator=factset&amp;DOC_NAME=fat:reuters_ltm_source_window.fat&amp;display_string=Audit&amp;DYN_ARGS=TRUE&amp;VAR:ID1=AG&amp;VAR:RCODE=FDSREVSTOTAL&amp;VAR:SDATE=20090699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686__FDSAUDITLINK__" localSheetId="5" hidden="1">{"fdsup://IBCentral/FAT Viewer?action=UPDATE&amp;creator=factset&amp;DOC_NAME=fat:reuters_ltm_source_window.fat&amp;display_string=Audit&amp;DYN_ARGS=TRUE&amp;VAR:ID1=AG&amp;VAR:RCODE=FIBCEBITDA&amp;VAR:SDATE=20090699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686__FDSAUDITLINK__" localSheetId="0" hidden="1">{"fdsup://IBCentral/FAT Viewer?action=UPDATE&amp;creator=factset&amp;DOC_NAME=fat:reuters_ltm_source_window.fat&amp;display_string=Audit&amp;DYN_ARGS=TRUE&amp;VAR:ID1=AG&amp;VAR:RCODE=FIBCEBITDA&amp;VAR:SDATE=20090699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686__FDSAUDITLINK__" localSheetId="4" hidden="1">{"fdsup://IBCentral/FAT Viewer?action=UPDATE&amp;creator=factset&amp;DOC_NAME=fat:reuters_ltm_source_window.fat&amp;display_string=Audit&amp;DYN_ARGS=TRUE&amp;VAR:ID1=AG&amp;VAR:RCODE=FIBCEBITDA&amp;VAR:SDATE=20090699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686__FDSAUDITLINK__" hidden="1">{"fdsup://IBCentral/FAT Viewer?action=UPDATE&amp;creator=factset&amp;DOC_NAME=fat:reuters_ltm_source_window.fat&amp;display_string=Audit&amp;DYN_ARGS=TRUE&amp;VAR:ID1=AG&amp;VAR:RCODE=FIBCEBITDA&amp;VAR:SDATE=20090699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687__FDSAUDITLINK__" localSheetId="5" hidden="1">{"fdsup://IBCentral/FAT Viewer?action=UPDATE&amp;creator=factset&amp;DOC_NAME=fat:reuters_ltm_source_window.fat&amp;display_string=Audit&amp;DYN_ARGS=TRUE&amp;VAR:ID1=HSC&amp;VAR:RCODE=FDSREVSTOTAL&amp;VAR:SDATE=20090699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7__FDSAUDITLINK__" localSheetId="0" hidden="1">{"fdsup://IBCentral/FAT Viewer?action=UPDATE&amp;creator=factset&amp;DOC_NAME=fat:reuters_ltm_source_window.fat&amp;display_string=Audit&amp;DYN_ARGS=TRUE&amp;VAR:ID1=HSC&amp;VAR:RCODE=FDSREVSTOTAL&amp;VAR:SDATE=20090699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7__FDSAUDITLINK__" localSheetId="4" hidden="1">{"fdsup://IBCentral/FAT Viewer?action=UPDATE&amp;creator=factset&amp;DOC_NAME=fat:reuters_ltm_source_window.fat&amp;display_string=Audit&amp;DYN_ARGS=TRUE&amp;VAR:ID1=HSC&amp;VAR:RCODE=FDSREVSTOTAL&amp;VAR:SDATE=20090699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7__FDSAUDITLINK__" hidden="1">{"fdsup://IBCentral/FAT Viewer?action=UPDATE&amp;creator=factset&amp;DOC_NAME=fat:reuters_ltm_source_window.fat&amp;display_string=Audit&amp;DYN_ARGS=TRUE&amp;VAR:ID1=HSC&amp;VAR:RCODE=FDSREVSTOTAL&amp;VAR:SDATE=20090699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8__FDSAUDITLINK__" localSheetId="5" hidden="1">{"fdsup://IBCentral/FAT Viewer?action=UPDATE&amp;creator=factset&amp;DOC_NAME=fat:reuters_ltm_source_window.fat&amp;display_string=Audit&amp;DYN_ARGS=TRUE&amp;VAR:ID1=HSC&amp;VAR:RCODE=FIBCEBITDA&amp;VAR:SDATE=20090699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8__FDSAUDITLINK__" localSheetId="0" hidden="1">{"fdsup://IBCentral/FAT Viewer?action=UPDATE&amp;creator=factset&amp;DOC_NAME=fat:reuters_ltm_source_window.fat&amp;display_string=Audit&amp;DYN_ARGS=TRUE&amp;VAR:ID1=HSC&amp;VAR:RCODE=FIBCEBITDA&amp;VAR:SDATE=20090699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8__FDSAUDITLINK__" localSheetId="4" hidden="1">{"fdsup://IBCentral/FAT Viewer?action=UPDATE&amp;creator=factset&amp;DOC_NAME=fat:reuters_ltm_source_window.fat&amp;display_string=Audit&amp;DYN_ARGS=TRUE&amp;VAR:ID1=HSC&amp;VAR:RCODE=FIBCEBITDA&amp;VAR:SDATE=20090699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8__FDSAUDITLINK__" hidden="1">{"fdsup://IBCentral/FAT Viewer?action=UPDATE&amp;creator=factset&amp;DOC_NAME=fat:reuters_ltm_source_window.fat&amp;display_string=Audit&amp;DYN_ARGS=TRUE&amp;VAR:ID1=HSC&amp;VAR:RCODE=FIBCEBITDA&amp;VAR:SDATE=20090699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89__FDSAUDITLINK__" localSheetId="5" hidden="1">{"fdsup://IBCentral/FAT Viewer?action=UPDATE&amp;creator=factset&amp;DOC_NAME=fat:reuters_ltm_source_window.fat&amp;display_string=Audit&amp;DYN_ARGS=TRUE&amp;VAR:ID1=WCN&amp;VAR:RCODE=FDSREVSTOTAL&amp;VAR:SDATE=20090699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9__FDSAUDITLINK__" localSheetId="0" hidden="1">{"fdsup://IBCentral/FAT Viewer?action=UPDATE&amp;creator=factset&amp;DOC_NAME=fat:reuters_ltm_source_window.fat&amp;display_string=Audit&amp;DYN_ARGS=TRUE&amp;VAR:ID1=WCN&amp;VAR:RCODE=FDSREVSTOTAL&amp;VAR:SDATE=20090699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9__FDSAUDITLINK__" localSheetId="4" hidden="1">{"fdsup://IBCentral/FAT Viewer?action=UPDATE&amp;creator=factset&amp;DOC_NAME=fat:reuters_ltm_source_window.fat&amp;display_string=Audit&amp;DYN_ARGS=TRUE&amp;VAR:ID1=WCN&amp;VAR:RCODE=FDSREVSTOTAL&amp;VAR:SDATE=20090699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89__FDSAUDITLINK__" hidden="1">{"fdsup://IBCentral/FAT Viewer?action=UPDATE&amp;creator=factset&amp;DOC_NAME=fat:reuters_ltm_source_window.fat&amp;display_string=Audit&amp;DYN_ARGS=TRUE&amp;VAR:ID1=WCN&amp;VAR:RCODE=FDSREVSTOTAL&amp;VAR:SDATE=20090699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__123Graph_AChart_1L" localSheetId="0" hidden="1">#REF!</definedName>
    <definedName name="_69__123Graph_AChart_1L" hidden="1">#REF!</definedName>
    <definedName name="_69__FDSAUDITLINK__" localSheetId="5" hidden="1">{"fdsup://IBCentral/FAT Viewer?action=UPDATE&amp;creator=factset&amp;DOC_NAME=fat:reuters_ltm_source_window.fat&amp;display_string=Audit&amp;DYN_ARGS=TRUE&amp;VAR:ID1=SPW&amp;VAR:RCODE=FIBCEBITDA&amp;VAR:SDATE=20090399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__FDSAUDITLINK__" localSheetId="0" hidden="1">{"fdsup://IBCentral/FAT Viewer?action=UPDATE&amp;creator=factset&amp;DOC_NAME=fat:reuters_ltm_source_window.fat&amp;display_string=Audit&amp;DYN_ARGS=TRUE&amp;VAR:ID1=SPW&amp;VAR:RCODE=FIBCEBITDA&amp;VAR:SDATE=20090399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__FDSAUDITLINK__" localSheetId="4" hidden="1">{"fdsup://IBCentral/FAT Viewer?action=UPDATE&amp;creator=factset&amp;DOC_NAME=fat:reuters_ltm_source_window.fat&amp;display_string=Audit&amp;DYN_ARGS=TRUE&amp;VAR:ID1=SPW&amp;VAR:RCODE=FIBCEBITDA&amp;VAR:SDATE=20090399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__FDSAUDITLINK__" hidden="1">{"fdsup://IBCentral/FAT Viewer?action=UPDATE&amp;creator=factset&amp;DOC_NAME=fat:reuters_ltm_source_window.fat&amp;display_string=Audit&amp;DYN_ARGS=TRUE&amp;VAR:ID1=SPW&amp;VAR:RCODE=FIBCEBITDA&amp;VAR:SDATE=20090399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0__FDSAUDITLINK__" localSheetId="5" hidden="1">{"fdsup://IBCentral/FAT Viewer?action=UPDATE&amp;creator=factset&amp;DOC_NAME=fat:reuters_ltm_source_window.fat&amp;display_string=Audit&amp;DYN_ARGS=TRUE&amp;VAR:ID1=WCN&amp;VAR:RCODE=FIBCEBITDA&amp;VAR:SDATE=20090699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0__FDSAUDITLINK__" localSheetId="0" hidden="1">{"fdsup://IBCentral/FAT Viewer?action=UPDATE&amp;creator=factset&amp;DOC_NAME=fat:reuters_ltm_source_window.fat&amp;display_string=Audit&amp;DYN_ARGS=TRUE&amp;VAR:ID1=WCN&amp;VAR:RCODE=FIBCEBITDA&amp;VAR:SDATE=20090699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0__FDSAUDITLINK__" localSheetId="4" hidden="1">{"fdsup://IBCentral/FAT Viewer?action=UPDATE&amp;creator=factset&amp;DOC_NAME=fat:reuters_ltm_source_window.fat&amp;display_string=Audit&amp;DYN_ARGS=TRUE&amp;VAR:ID1=WCN&amp;VAR:RCODE=FIBCEBITDA&amp;VAR:SDATE=20090699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0__FDSAUDITLINK__" hidden="1">{"fdsup://IBCentral/FAT Viewer?action=UPDATE&amp;creator=factset&amp;DOC_NAME=fat:reuters_ltm_source_window.fat&amp;display_string=Audit&amp;DYN_ARGS=TRUE&amp;VAR:ID1=WCN&amp;VAR:RCODE=FIBCEBITDA&amp;VAR:SDATE=20090699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1__FDSAUDITLINK__" localSheetId="5" hidden="1">{"fdsup://IBCentral/FAT Viewer?action=UPDATE&amp;creator=factset&amp;DOC_NAME=fat:reuters_ltm_source_window.fat&amp;display_string=Audit&amp;DYN_ARGS=TRUE&amp;VAR:ID1=ATK&amp;VAR:RCODE=FDSREVSTOTAL&amp;VAR:SDATE=20090699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1__FDSAUDITLINK__" localSheetId="0" hidden="1">{"fdsup://IBCentral/FAT Viewer?action=UPDATE&amp;creator=factset&amp;DOC_NAME=fat:reuters_ltm_source_window.fat&amp;display_string=Audit&amp;DYN_ARGS=TRUE&amp;VAR:ID1=ATK&amp;VAR:RCODE=FDSREVSTOTAL&amp;VAR:SDATE=20090699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1__FDSAUDITLINK__" localSheetId="4" hidden="1">{"fdsup://IBCentral/FAT Viewer?action=UPDATE&amp;creator=factset&amp;DOC_NAME=fat:reuters_ltm_source_window.fat&amp;display_string=Audit&amp;DYN_ARGS=TRUE&amp;VAR:ID1=ATK&amp;VAR:RCODE=FDSREVSTOTAL&amp;VAR:SDATE=20090699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1__FDSAUDITLINK__" hidden="1">{"fdsup://IBCentral/FAT Viewer?action=UPDATE&amp;creator=factset&amp;DOC_NAME=fat:reuters_ltm_source_window.fat&amp;display_string=Audit&amp;DYN_ARGS=TRUE&amp;VAR:ID1=ATK&amp;VAR:RCODE=FDSREVSTOTAL&amp;VAR:SDATE=20090699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2__FDSAUDITLINK__" localSheetId="5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2__FDSAUDITLINK__" localSheetId="0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2__FDSAUDITLINK__" localSheetId="4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2__FDSAUDITLINK__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3__FDSAUDITLINK__" localSheetId="5" hidden="1">{"fdsup://IBCentral/FAT Viewer?action=UPDATE&amp;creator=factset&amp;DOC_NAME=fat:reuters_ltm_source_window.fat&amp;display_string=Audit&amp;DYN_ARGS=TRUE&amp;VAR:ID1=PNR&amp;VAR:RCODE=FDSREVSTOTAL&amp;VAR:SDATE=20090699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3__FDSAUDITLINK__" localSheetId="0" hidden="1">{"fdsup://IBCentral/FAT Viewer?action=UPDATE&amp;creator=factset&amp;DOC_NAME=fat:reuters_ltm_source_window.fat&amp;display_string=Audit&amp;DYN_ARGS=TRUE&amp;VAR:ID1=PNR&amp;VAR:RCODE=FDSREVSTOTAL&amp;VAR:SDATE=20090699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3__FDSAUDITLINK__" localSheetId="4" hidden="1">{"fdsup://IBCentral/FAT Viewer?action=UPDATE&amp;creator=factset&amp;DOC_NAME=fat:reuters_ltm_source_window.fat&amp;display_string=Audit&amp;DYN_ARGS=TRUE&amp;VAR:ID1=PNR&amp;VAR:RCODE=FDSREVSTOTAL&amp;VAR:SDATE=20090699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3__FDSAUDITLINK__" hidden="1">{"fdsup://IBCentral/FAT Viewer?action=UPDATE&amp;creator=factset&amp;DOC_NAME=fat:reuters_ltm_source_window.fat&amp;display_string=Audit&amp;DYN_ARGS=TRUE&amp;VAR:ID1=PNR&amp;VAR:RCODE=FDSREVSTOTAL&amp;VAR:SDATE=20090699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4__FDSAUDITLINK__" localSheetId="5" hidden="1">{"fdsup://IBCentral/FAT Viewer?action=UPDATE&amp;creator=factset&amp;DOC_NAME=fat:reuters_ltm_source_window.fat&amp;display_string=Audit&amp;DYN_ARGS=TRUE&amp;VAR:ID1=PNR&amp;VAR:RCODE=FIBCEBITDA&amp;VAR:SDATE=20090699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4__FDSAUDITLINK__" localSheetId="0" hidden="1">{"fdsup://IBCentral/FAT Viewer?action=UPDATE&amp;creator=factset&amp;DOC_NAME=fat:reuters_ltm_source_window.fat&amp;display_string=Audit&amp;DYN_ARGS=TRUE&amp;VAR:ID1=PNR&amp;VAR:RCODE=FIBCEBITDA&amp;VAR:SDATE=20090699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4__FDSAUDITLINK__" localSheetId="4" hidden="1">{"fdsup://IBCentral/FAT Viewer?action=UPDATE&amp;creator=factset&amp;DOC_NAME=fat:reuters_ltm_source_window.fat&amp;display_string=Audit&amp;DYN_ARGS=TRUE&amp;VAR:ID1=PNR&amp;VAR:RCODE=FIBCEBITDA&amp;VAR:SDATE=20090699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4__FDSAUDITLINK__" hidden="1">{"fdsup://IBCentral/FAT Viewer?action=UPDATE&amp;creator=factset&amp;DOC_NAME=fat:reuters_ltm_source_window.fat&amp;display_string=Audit&amp;DYN_ARGS=TRUE&amp;VAR:ID1=PNR&amp;VAR:RCODE=FIBCEBITDA&amp;VAR:SDATE=20090699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5__FDSAUDITLINK__" localSheetId="5" hidden="1">{"fdsup://IBCentral/FAT Viewer?action=UPDATE&amp;creator=factset&amp;DOC_NAME=fat:reuters_ltm_source_window.fat&amp;display_string=Audit&amp;DYN_ARGS=TRUE&amp;VAR:ID1=KBR&amp;VAR:RCODE=FDSREVSTOTAL&amp;VAR:SDATE=20090699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5__FDSAUDITLINK__" localSheetId="0" hidden="1">{"fdsup://IBCentral/FAT Viewer?action=UPDATE&amp;creator=factset&amp;DOC_NAME=fat:reuters_ltm_source_window.fat&amp;display_string=Audit&amp;DYN_ARGS=TRUE&amp;VAR:ID1=KBR&amp;VAR:RCODE=FDSREVSTOTAL&amp;VAR:SDATE=20090699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5__FDSAUDITLINK__" localSheetId="4" hidden="1">{"fdsup://IBCentral/FAT Viewer?action=UPDATE&amp;creator=factset&amp;DOC_NAME=fat:reuters_ltm_source_window.fat&amp;display_string=Audit&amp;DYN_ARGS=TRUE&amp;VAR:ID1=KBR&amp;VAR:RCODE=FDSREVSTOTAL&amp;VAR:SDATE=20090699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5__FDSAUDITLINK__" hidden="1">{"fdsup://IBCentral/FAT Viewer?action=UPDATE&amp;creator=factset&amp;DOC_NAME=fat:reuters_ltm_source_window.fat&amp;display_string=Audit&amp;DYN_ARGS=TRUE&amp;VAR:ID1=KBR&amp;VAR:RCODE=FDSREVSTOTAL&amp;VAR:SDATE=20090699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6__FDSAUDITLINK__" localSheetId="5" hidden="1">{"fdsup://IBCentral/FAT Viewer?action=UPDATE&amp;creator=factset&amp;DOC_NAME=fat:reuters_ltm_source_window.fat&amp;display_string=Audit&amp;DYN_ARGS=TRUE&amp;VAR:ID1=KBR&amp;VAR:RCODE=FIBCEBITDA&amp;VAR:SDATE=20090699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6__FDSAUDITLINK__" localSheetId="0" hidden="1">{"fdsup://IBCentral/FAT Viewer?action=UPDATE&amp;creator=factset&amp;DOC_NAME=fat:reuters_ltm_source_window.fat&amp;display_string=Audit&amp;DYN_ARGS=TRUE&amp;VAR:ID1=KBR&amp;VAR:RCODE=FIBCEBITDA&amp;VAR:SDATE=20090699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6__FDSAUDITLINK__" localSheetId="4" hidden="1">{"fdsup://IBCentral/FAT Viewer?action=UPDATE&amp;creator=factset&amp;DOC_NAME=fat:reuters_ltm_source_window.fat&amp;display_string=Audit&amp;DYN_ARGS=TRUE&amp;VAR:ID1=KBR&amp;VAR:RCODE=FIBCEBITDA&amp;VAR:SDATE=20090699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6__FDSAUDITLINK__" hidden="1">{"fdsup://IBCentral/FAT Viewer?action=UPDATE&amp;creator=factset&amp;DOC_NAME=fat:reuters_ltm_source_window.fat&amp;display_string=Audit&amp;DYN_ARGS=TRUE&amp;VAR:ID1=KBR&amp;VAR:RCODE=FIBCEBITDA&amp;VAR:SDATE=20090699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7__FDSAUDITLINK__" localSheetId="5" hidden="1">{"fdsup://IBCentral/FAT Viewer?action=UPDATE&amp;creator=factset&amp;DOC_NAME=fat:reuters_ltm_source_window.fat&amp;display_string=Audit&amp;DYN_ARGS=TRUE&amp;VAR:ID1=MAN&amp;VAR:RCODE=FDSREVSTOTAL&amp;VAR:SDATE=20090699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7__FDSAUDITLINK__" localSheetId="0" hidden="1">{"fdsup://IBCentral/FAT Viewer?action=UPDATE&amp;creator=factset&amp;DOC_NAME=fat:reuters_ltm_source_window.fat&amp;display_string=Audit&amp;DYN_ARGS=TRUE&amp;VAR:ID1=MAN&amp;VAR:RCODE=FDSREVSTOTAL&amp;VAR:SDATE=20090699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7__FDSAUDITLINK__" localSheetId="4" hidden="1">{"fdsup://IBCentral/FAT Viewer?action=UPDATE&amp;creator=factset&amp;DOC_NAME=fat:reuters_ltm_source_window.fat&amp;display_string=Audit&amp;DYN_ARGS=TRUE&amp;VAR:ID1=MAN&amp;VAR:RCODE=FDSREVSTOTAL&amp;VAR:SDATE=20090699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7__FDSAUDITLINK__" hidden="1">{"fdsup://IBCentral/FAT Viewer?action=UPDATE&amp;creator=factset&amp;DOC_NAME=fat:reuters_ltm_source_window.fat&amp;display_string=Audit&amp;DYN_ARGS=TRUE&amp;VAR:ID1=MAN&amp;VAR:RCODE=FDSREVSTOTAL&amp;VAR:SDATE=20090699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8__FDSAUDITLINK__" localSheetId="5" hidden="1">{"fdsup://IBCentral/FAT Viewer?action=UPDATE&amp;creator=factset&amp;DOC_NAME=fat:reuters_ltm_source_window.fat&amp;display_string=Audit&amp;DYN_ARGS=TRUE&amp;VAR:ID1=MAN&amp;VAR:RCODE=FIBCEBITDA&amp;VAR:SDATE=20090699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8__FDSAUDITLINK__" localSheetId="0" hidden="1">{"fdsup://IBCentral/FAT Viewer?action=UPDATE&amp;creator=factset&amp;DOC_NAME=fat:reuters_ltm_source_window.fat&amp;display_string=Audit&amp;DYN_ARGS=TRUE&amp;VAR:ID1=MAN&amp;VAR:RCODE=FIBCEBITDA&amp;VAR:SDATE=20090699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8__FDSAUDITLINK__" localSheetId="4" hidden="1">{"fdsup://IBCentral/FAT Viewer?action=UPDATE&amp;creator=factset&amp;DOC_NAME=fat:reuters_ltm_source_window.fat&amp;display_string=Audit&amp;DYN_ARGS=TRUE&amp;VAR:ID1=MAN&amp;VAR:RCODE=FIBCEBITDA&amp;VAR:SDATE=20090699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Viewer?action=UPDATE&amp;creator=factset&amp;DOC_NAME=fat:reuters_ltm_source_window.fat&amp;display_string=Audit&amp;DYN_ARGS=TRUE&amp;VAR:ID1=MAN&amp;VAR:RCODE=FIBCEBITDA&amp;VAR:SDATE=20090699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699__FDSAUDITLINK__" localSheetId="5" hidden="1">{"fdsup://IBCentral/FAT Viewer?action=UPDATE&amp;creator=factset&amp;DOC_NAME=fat:reuters_ltm_source_window.fat&amp;display_string=Audit&amp;DYN_ARGS=TRUE&amp;VAR:ID1=FCN&amp;VAR:RCODE=FDSREVSTOTAL&amp;VAR:SDATE=20090699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9__FDSAUDITLINK__" localSheetId="0" hidden="1">{"fdsup://IBCentral/FAT Viewer?action=UPDATE&amp;creator=factset&amp;DOC_NAME=fat:reuters_ltm_source_window.fat&amp;display_string=Audit&amp;DYN_ARGS=TRUE&amp;VAR:ID1=FCN&amp;VAR:RCODE=FDSREVSTOTAL&amp;VAR:SDATE=20090699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9__FDSAUDITLINK__" localSheetId="4" hidden="1">{"fdsup://IBCentral/FAT Viewer?action=UPDATE&amp;creator=factset&amp;DOC_NAME=fat:reuters_ltm_source_window.fat&amp;display_string=Audit&amp;DYN_ARGS=TRUE&amp;VAR:ID1=FCN&amp;VAR:RCODE=FDSREVSTOTAL&amp;VAR:SDATE=20090699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99__FDSAUDITLINK__" hidden="1">{"fdsup://IBCentral/FAT Viewer?action=UPDATE&amp;creator=factset&amp;DOC_NAME=fat:reuters_ltm_source_window.fat&amp;display_string=Audit&amp;DYN_ARGS=TRUE&amp;VAR:ID1=FCN&amp;VAR:RCODE=FDSREVSTOTAL&amp;VAR:SDATE=20090699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6ÿ__I" localSheetId="0">#REF!</definedName>
    <definedName name="_6ÿ__I">#REF!</definedName>
    <definedName name="_6ÿ_0Q" localSheetId="0">#REF!</definedName>
    <definedName name="_6ÿ_0Q">#REF!</definedName>
    <definedName name="_7__FDSAUDITLINK__" localSheetId="5" hidden="1">{"fdsup://IBCentral/FAT Viewer?action=UPDATE&amp;creator=factset&amp;DOC_NAME=fat:reuters_ltm_source_window.fat&amp;display_string=Audit&amp;DYN_ARGS=TRUE&amp;VAR:ID1=GMT&amp;VAR:RCODE=FIBCEBITDA&amp;VAR:SDATE=20090399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__FDSAUDITLINK__" localSheetId="0" hidden="1">{"fdsup://IBCentral/FAT Viewer?action=UPDATE&amp;creator=factset&amp;DOC_NAME=fat:reuters_ltm_source_window.fat&amp;display_string=Audit&amp;DYN_ARGS=TRUE&amp;VAR:ID1=GMT&amp;VAR:RCODE=FIBCEBITDA&amp;VAR:SDATE=20090399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__FDSAUDITLINK__" localSheetId="4" hidden="1">{"fdsup://IBCentral/FAT Viewer?action=UPDATE&amp;creator=factset&amp;DOC_NAME=fat:reuters_ltm_source_window.fat&amp;display_string=Audit&amp;DYN_ARGS=TRUE&amp;VAR:ID1=GMT&amp;VAR:RCODE=FIBCEBITDA&amp;VAR:SDATE=20090399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__FDSAUDITLINK__" hidden="1">{"fdsup://IBCentral/FAT Viewer?action=UPDATE&amp;creator=factset&amp;DOC_NAME=fat:reuters_ltm_source_window.fat&amp;display_string=Audit&amp;DYN_ARGS=TRUE&amp;VAR:ID1=GMT&amp;VAR:RCODE=FIBCEBITDA&amp;VAR:SDATE=20090399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_0FAMERangeDJ_BALA" localSheetId="0">#REF!</definedName>
    <definedName name="_7_0FAMERangeDJ_BALA">#REF!</definedName>
    <definedName name="_7_0NOPAT_Sh" localSheetId="0">#REF!</definedName>
    <definedName name="_7_0NOPAT_Sh">#REF!</definedName>
    <definedName name="_7_3__Income_before_ta" localSheetId="0">#REF!</definedName>
    <definedName name="_7_3__Income_before_ta">#REF!</definedName>
    <definedName name="_70__FDSAUDITLINK__" localSheetId="5" hidden="1">{"fdsup://IBCentral/FAT Viewer?action=UPDATE&amp;creator=factset&amp;DOC_NAME=fat:reuters_ltm_source_window.fat&amp;display_string=Audit&amp;DYN_ARGS=TRUE&amp;VAR:ID1=ACM&amp;VAR:RCODE=FIBCEBITDA&amp;VAR:SDATE=20090399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__FDSAUDITLINK__" localSheetId="0" hidden="1">{"fdsup://IBCentral/FAT Viewer?action=UPDATE&amp;creator=factset&amp;DOC_NAME=fat:reuters_ltm_source_window.fat&amp;display_string=Audit&amp;DYN_ARGS=TRUE&amp;VAR:ID1=ACM&amp;VAR:RCODE=FIBCEBITDA&amp;VAR:SDATE=20090399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__FDSAUDITLINK__" localSheetId="4" hidden="1">{"fdsup://IBCentral/FAT Viewer?action=UPDATE&amp;creator=factset&amp;DOC_NAME=fat:reuters_ltm_source_window.fat&amp;display_string=Audit&amp;DYN_ARGS=TRUE&amp;VAR:ID1=ACM&amp;VAR:RCODE=FIBCEBITDA&amp;VAR:SDATE=20090399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__FDSAUDITLINK__" hidden="1">{"fdsup://IBCentral/FAT Viewer?action=UPDATE&amp;creator=factset&amp;DOC_NAME=fat:reuters_ltm_source_window.fat&amp;display_string=Audit&amp;DYN_ARGS=TRUE&amp;VAR:ID1=ACM&amp;VAR:RCODE=FIBCEBITDA&amp;VAR:SDATE=20090399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0__FDSAUDITLINK__" localSheetId="5" hidden="1">{"fdsup://IBCentral/FAT Viewer?action=UPDATE&amp;creator=factset&amp;DOC_NAME=fat:reuters_ltm_source_window.fat&amp;display_string=Audit&amp;DYN_ARGS=TRUE&amp;VAR:ID1=FCN&amp;VAR:RCODE=FIBCEBITDA&amp;VAR:SDATE=20090699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0__FDSAUDITLINK__" localSheetId="0" hidden="1">{"fdsup://IBCentral/FAT Viewer?action=UPDATE&amp;creator=factset&amp;DOC_NAME=fat:reuters_ltm_source_window.fat&amp;display_string=Audit&amp;DYN_ARGS=TRUE&amp;VAR:ID1=FCN&amp;VAR:RCODE=FIBCEBITDA&amp;VAR:SDATE=20090699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0__FDSAUDITLINK__" localSheetId="4" hidden="1">{"fdsup://IBCentral/FAT Viewer?action=UPDATE&amp;creator=factset&amp;DOC_NAME=fat:reuters_ltm_source_window.fat&amp;display_string=Audit&amp;DYN_ARGS=TRUE&amp;VAR:ID1=FCN&amp;VAR:RCODE=FIBCEBITDA&amp;VAR:SDATE=20090699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0__FDSAUDITLINK__" hidden="1">{"fdsup://IBCentral/FAT Viewer?action=UPDATE&amp;creator=factset&amp;DOC_NAME=fat:reuters_ltm_source_window.fat&amp;display_string=Audit&amp;DYN_ARGS=TRUE&amp;VAR:ID1=FCN&amp;VAR:RCODE=FIBCEBITDA&amp;VAR:SDATE=20090699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1__FDSAUDITLINK__" localSheetId="5" hidden="1">{"fdsup://IBCentral/FAT Viewer?action=UPDATE&amp;creator=factset&amp;DOC_NAME=fat:reuters_ltm_source_window.fat&amp;display_string=Audit&amp;DYN_ARGS=TRUE&amp;VAR:ID1=AVY&amp;VAR:RCODE=FDSREVSTOTAL&amp;VAR:SDATE=20090699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1__FDSAUDITLINK__" localSheetId="0" hidden="1">{"fdsup://IBCentral/FAT Viewer?action=UPDATE&amp;creator=factset&amp;DOC_NAME=fat:reuters_ltm_source_window.fat&amp;display_string=Audit&amp;DYN_ARGS=TRUE&amp;VAR:ID1=AVY&amp;VAR:RCODE=FDSREVSTOTAL&amp;VAR:SDATE=20090699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1__FDSAUDITLINK__" localSheetId="4" hidden="1">{"fdsup://IBCentral/FAT Viewer?action=UPDATE&amp;creator=factset&amp;DOC_NAME=fat:reuters_ltm_source_window.fat&amp;display_string=Audit&amp;DYN_ARGS=TRUE&amp;VAR:ID1=AVY&amp;VAR:RCODE=FDSREVSTOTAL&amp;VAR:SDATE=20090699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1__FDSAUDITLINK__" hidden="1">{"fdsup://IBCentral/FAT Viewer?action=UPDATE&amp;creator=factset&amp;DOC_NAME=fat:reuters_ltm_source_window.fat&amp;display_string=Audit&amp;DYN_ARGS=TRUE&amp;VAR:ID1=AVY&amp;VAR:RCODE=FDSREVSTOTAL&amp;VAR:SDATE=20090699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2__FDSAUDITLINK__" localSheetId="5" hidden="1">{"fdsup://IBCentral/FAT Viewer?action=UPDATE&amp;creator=factset&amp;DOC_NAME=fat:reuters_ltm_source_window.fat&amp;display_string=Audit&amp;DYN_ARGS=TRUE&amp;VAR:ID1=AVY&amp;VAR:RCODE=FIBCEBITDA&amp;VAR:SDATE=20090699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2__FDSAUDITLINK__" localSheetId="0" hidden="1">{"fdsup://IBCentral/FAT Viewer?action=UPDATE&amp;creator=factset&amp;DOC_NAME=fat:reuters_ltm_source_window.fat&amp;display_string=Audit&amp;DYN_ARGS=TRUE&amp;VAR:ID1=AVY&amp;VAR:RCODE=FIBCEBITDA&amp;VAR:SDATE=20090699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2__FDSAUDITLINK__" localSheetId="4" hidden="1">{"fdsup://IBCentral/FAT Viewer?action=UPDATE&amp;creator=factset&amp;DOC_NAME=fat:reuters_ltm_source_window.fat&amp;display_string=Audit&amp;DYN_ARGS=TRUE&amp;VAR:ID1=AVY&amp;VAR:RCODE=FIBCEBITDA&amp;VAR:SDATE=20090699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2__FDSAUDITLINK__" hidden="1">{"fdsup://IBCentral/FAT Viewer?action=UPDATE&amp;creator=factset&amp;DOC_NAME=fat:reuters_ltm_source_window.fat&amp;display_string=Audit&amp;DYN_ARGS=TRUE&amp;VAR:ID1=AVY&amp;VAR:RCODE=FIBCEBITDA&amp;VAR:SDATE=20090699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3__FDSAUDITLINK__" localSheetId="5" hidden="1">{"fdsup://IBCentral/FAT Viewer?action=UPDATE&amp;creator=factset&amp;DOC_NAME=fat:reuters_ltm_source_window.fat&amp;display_string=Audit&amp;DYN_ARGS=TRUE&amp;VAR:ID1=SGR&amp;VAR:RCODE=FDSREVSTOTAL&amp;VAR:SDATE=20090599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3__FDSAUDITLINK__" localSheetId="0" hidden="1">{"fdsup://IBCentral/FAT Viewer?action=UPDATE&amp;creator=factset&amp;DOC_NAME=fat:reuters_ltm_source_window.fat&amp;display_string=Audit&amp;DYN_ARGS=TRUE&amp;VAR:ID1=SGR&amp;VAR:RCODE=FDSREVSTOTAL&amp;VAR:SDATE=20090599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3__FDSAUDITLINK__" localSheetId="4" hidden="1">{"fdsup://IBCentral/FAT Viewer?action=UPDATE&amp;creator=factset&amp;DOC_NAME=fat:reuters_ltm_source_window.fat&amp;display_string=Audit&amp;DYN_ARGS=TRUE&amp;VAR:ID1=SGR&amp;VAR:RCODE=FDSREVSTOTAL&amp;VAR:SDATE=20090599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3__FDSAUDITLINK__" hidden="1">{"fdsup://IBCentral/FAT Viewer?action=UPDATE&amp;creator=factset&amp;DOC_NAME=fat:reuters_ltm_source_window.fat&amp;display_string=Audit&amp;DYN_ARGS=TRUE&amp;VAR:ID1=SGR&amp;VAR:RCODE=FDSREVSTOTAL&amp;VAR:SDATE=20090599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4__FDSAUDITLINK__" localSheetId="5" hidden="1">{"fdsup://IBCentral/FAT Viewer?action=UPDATE&amp;creator=factset&amp;DOC_NAME=fat:reuters_ltm_source_window.fat&amp;display_string=Audit&amp;DYN_ARGS=TRUE&amp;VAR:ID1=SGR&amp;VAR:RCODE=FIBCEBITDA&amp;VAR:SDATE=20090599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4__FDSAUDITLINK__" localSheetId="0" hidden="1">{"fdsup://IBCentral/FAT Viewer?action=UPDATE&amp;creator=factset&amp;DOC_NAME=fat:reuters_ltm_source_window.fat&amp;display_string=Audit&amp;DYN_ARGS=TRUE&amp;VAR:ID1=SGR&amp;VAR:RCODE=FIBCEBITDA&amp;VAR:SDATE=20090599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4__FDSAUDITLINK__" localSheetId="4" hidden="1">{"fdsup://IBCentral/FAT Viewer?action=UPDATE&amp;creator=factset&amp;DOC_NAME=fat:reuters_ltm_source_window.fat&amp;display_string=Audit&amp;DYN_ARGS=TRUE&amp;VAR:ID1=SGR&amp;VAR:RCODE=FIBCEBITDA&amp;VAR:SDATE=20090599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4__FDSAUDITLINK__" hidden="1">{"fdsup://IBCentral/FAT Viewer?action=UPDATE&amp;creator=factset&amp;DOC_NAME=fat:reuters_ltm_source_window.fat&amp;display_string=Audit&amp;DYN_ARGS=TRUE&amp;VAR:ID1=SGR&amp;VAR:RCODE=FIBCEBITDA&amp;VAR:SDATE=20090599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5__FDSAUDITLINK__" localSheetId="5" hidden="1">{"fdsup://IBCentral/FAT Viewer?action=UPDATE&amp;creator=factset&amp;DOC_NAME=fat:reuters_ltm_source_window.fat&amp;display_string=Audit&amp;DYN_ARGS=TRUE&amp;VAR:ID1=MAS&amp;VAR:RCODE=FDSREVSTOTAL&amp;VAR:SDATE=20090699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5__FDSAUDITLINK__" localSheetId="0" hidden="1">{"fdsup://IBCentral/FAT Viewer?action=UPDATE&amp;creator=factset&amp;DOC_NAME=fat:reuters_ltm_source_window.fat&amp;display_string=Audit&amp;DYN_ARGS=TRUE&amp;VAR:ID1=MAS&amp;VAR:RCODE=FDSREVSTOTAL&amp;VAR:SDATE=20090699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5__FDSAUDITLINK__" localSheetId="4" hidden="1">{"fdsup://IBCentral/FAT Viewer?action=UPDATE&amp;creator=factset&amp;DOC_NAME=fat:reuters_ltm_source_window.fat&amp;display_string=Audit&amp;DYN_ARGS=TRUE&amp;VAR:ID1=MAS&amp;VAR:RCODE=FDSREVSTOTAL&amp;VAR:SDATE=20090699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5__FDSAUDITLINK__" hidden="1">{"fdsup://IBCentral/FAT Viewer?action=UPDATE&amp;creator=factset&amp;DOC_NAME=fat:reuters_ltm_source_window.fat&amp;display_string=Audit&amp;DYN_ARGS=TRUE&amp;VAR:ID1=MAS&amp;VAR:RCODE=FDSREVSTOTAL&amp;VAR:SDATE=20090699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6__FDSAUDITLINK__" localSheetId="5" hidden="1">{"fdsup://IBCentral/FAT Viewer?action=UPDATE&amp;creator=factset&amp;DOC_NAME=fat:reuters_ltm_source_window.fat&amp;display_string=Audit&amp;DYN_ARGS=TRUE&amp;VAR:ID1=MAS&amp;VAR:RCODE=FIBCEBITDA&amp;VAR:SDATE=20090699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6__FDSAUDITLINK__" localSheetId="0" hidden="1">{"fdsup://IBCentral/FAT Viewer?action=UPDATE&amp;creator=factset&amp;DOC_NAME=fat:reuters_ltm_source_window.fat&amp;display_string=Audit&amp;DYN_ARGS=TRUE&amp;VAR:ID1=MAS&amp;VAR:RCODE=FIBCEBITDA&amp;VAR:SDATE=20090699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6__FDSAUDITLINK__" localSheetId="4" hidden="1">{"fdsup://IBCentral/FAT Viewer?action=UPDATE&amp;creator=factset&amp;DOC_NAME=fat:reuters_ltm_source_window.fat&amp;display_string=Audit&amp;DYN_ARGS=TRUE&amp;VAR:ID1=MAS&amp;VAR:RCODE=FIBCEBITDA&amp;VAR:SDATE=20090699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6__FDSAUDITLINK__" hidden="1">{"fdsup://IBCentral/FAT Viewer?action=UPDATE&amp;creator=factset&amp;DOC_NAME=fat:reuters_ltm_source_window.fat&amp;display_string=Audit&amp;DYN_ARGS=TRUE&amp;VAR:ID1=MAS&amp;VAR:RCODE=FIBCEBITDA&amp;VAR:SDATE=20090699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7__FDSAUDITLINK__" localSheetId="5" hidden="1">{"fdsup://IBCentral/FAT Viewer?action=UPDATE&amp;creator=factset&amp;DOC_NAME=fat:reuters_ltm_source_window.fat&amp;display_string=Audit&amp;DYN_ARGS=TRUE&amp;VAR:ID1=SPW&amp;VAR:RCODE=FDSREVSTOTAL&amp;VAR:SDATE=20090699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7__FDSAUDITLINK__" localSheetId="0" hidden="1">{"fdsup://IBCentral/FAT Viewer?action=UPDATE&amp;creator=factset&amp;DOC_NAME=fat:reuters_ltm_source_window.fat&amp;display_string=Audit&amp;DYN_ARGS=TRUE&amp;VAR:ID1=SPW&amp;VAR:RCODE=FDSREVSTOTAL&amp;VAR:SDATE=20090699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7__FDSAUDITLINK__" localSheetId="4" hidden="1">{"fdsup://IBCentral/FAT Viewer?action=UPDATE&amp;creator=factset&amp;DOC_NAME=fat:reuters_ltm_source_window.fat&amp;display_string=Audit&amp;DYN_ARGS=TRUE&amp;VAR:ID1=SPW&amp;VAR:RCODE=FDSREVSTOTAL&amp;VAR:SDATE=20090699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7__FDSAUDITLINK__" hidden="1">{"fdsup://IBCentral/FAT Viewer?action=UPDATE&amp;creator=factset&amp;DOC_NAME=fat:reuters_ltm_source_window.fat&amp;display_string=Audit&amp;DYN_ARGS=TRUE&amp;VAR:ID1=SPW&amp;VAR:RCODE=FDSREVSTOTAL&amp;VAR:SDATE=20090699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8__FDSAUDITLINK__" localSheetId="5" hidden="1">{"fdsup://IBCentral/FAT Viewer?action=UPDATE&amp;creator=factset&amp;DOC_NAME=fat:reuters_ltm_source_window.fat&amp;display_string=Audit&amp;DYN_ARGS=TRUE&amp;VAR:ID1=SPW&amp;VAR:RCODE=FIBCEBITDA&amp;VAR:SDATE=20090699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8__FDSAUDITLINK__" localSheetId="0" hidden="1">{"fdsup://IBCentral/FAT Viewer?action=UPDATE&amp;creator=factset&amp;DOC_NAME=fat:reuters_ltm_source_window.fat&amp;display_string=Audit&amp;DYN_ARGS=TRUE&amp;VAR:ID1=SPW&amp;VAR:RCODE=FIBCEBITDA&amp;VAR:SDATE=20090699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8__FDSAUDITLINK__" localSheetId="4" hidden="1">{"fdsup://IBCentral/FAT Viewer?action=UPDATE&amp;creator=factset&amp;DOC_NAME=fat:reuters_ltm_source_window.fat&amp;display_string=Audit&amp;DYN_ARGS=TRUE&amp;VAR:ID1=SPW&amp;VAR:RCODE=FIBCEBITDA&amp;VAR:SDATE=20090699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8__FDSAUDITLINK__" hidden="1">{"fdsup://IBCentral/FAT Viewer?action=UPDATE&amp;creator=factset&amp;DOC_NAME=fat:reuters_ltm_source_window.fat&amp;display_string=Audit&amp;DYN_ARGS=TRUE&amp;VAR:ID1=SPW&amp;VAR:RCODE=FIBCEBITDA&amp;VAR:SDATE=20090699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09__FDSAUDITLINK__" localSheetId="5" hidden="1">{"fdsup://IBCentral/FAT Viewer?action=UPDATE&amp;creator=factset&amp;DOC_NAME=fat:reuters_ltm_source_window.fat&amp;display_string=Audit&amp;DYN_ARGS=TRUE&amp;VAR:ID1=ACM&amp;VAR:RCODE=FDSREVSTOTAL&amp;VAR:SDATE=20090699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9__FDSAUDITLINK__" localSheetId="0" hidden="1">{"fdsup://IBCentral/FAT Viewer?action=UPDATE&amp;creator=factset&amp;DOC_NAME=fat:reuters_ltm_source_window.fat&amp;display_string=Audit&amp;DYN_ARGS=TRUE&amp;VAR:ID1=ACM&amp;VAR:RCODE=FDSREVSTOTAL&amp;VAR:SDATE=20090699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9__FDSAUDITLINK__" localSheetId="4" hidden="1">{"fdsup://IBCentral/FAT Viewer?action=UPDATE&amp;creator=factset&amp;DOC_NAME=fat:reuters_ltm_source_window.fat&amp;display_string=Audit&amp;DYN_ARGS=TRUE&amp;VAR:ID1=ACM&amp;VAR:RCODE=FDSREVSTOTAL&amp;VAR:SDATE=20090699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09__FDSAUDITLINK__" hidden="1">{"fdsup://IBCentral/FAT Viewer?action=UPDATE&amp;creator=factset&amp;DOC_NAME=fat:reuters_ltm_source_window.fat&amp;display_string=Audit&amp;DYN_ARGS=TRUE&amp;VAR:ID1=ACM&amp;VAR:RCODE=FDSREVSTOTAL&amp;VAR:SDATE=20090699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__123Graph_AChart_1M" localSheetId="0" hidden="1">#REF!</definedName>
    <definedName name="_71__123Graph_AChart_1M" hidden="1">#REF!</definedName>
    <definedName name="_71__FDSAUDITLINK__" localSheetId="5" hidden="1">{"fdsup://IBCentral/FAT Viewer?action=UPDATE&amp;creator=factset&amp;DOC_NAME=fat:reuters_ltm_source_window.fat&amp;display_string=Audit&amp;DYN_ARGS=TRUE&amp;VAR:ID1=RHI&amp;VAR:RCODE=FIBCEBITDA&amp;VAR:SDATE=20090399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__FDSAUDITLINK__" localSheetId="0" hidden="1">{"fdsup://IBCentral/FAT Viewer?action=UPDATE&amp;creator=factset&amp;DOC_NAME=fat:reuters_ltm_source_window.fat&amp;display_string=Audit&amp;DYN_ARGS=TRUE&amp;VAR:ID1=RHI&amp;VAR:RCODE=FIBCEBITDA&amp;VAR:SDATE=20090399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__FDSAUDITLINK__" localSheetId="4" hidden="1">{"fdsup://IBCentral/FAT Viewer?action=UPDATE&amp;creator=factset&amp;DOC_NAME=fat:reuters_ltm_source_window.fat&amp;display_string=Audit&amp;DYN_ARGS=TRUE&amp;VAR:ID1=RHI&amp;VAR:RCODE=FIBCEBITDA&amp;VAR:SDATE=20090399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__FDSAUDITLINK__" hidden="1">{"fdsup://IBCentral/FAT Viewer?action=UPDATE&amp;creator=factset&amp;DOC_NAME=fat:reuters_ltm_source_window.fat&amp;display_string=Audit&amp;DYN_ARGS=TRUE&amp;VAR:ID1=RHI&amp;VAR:RCODE=FIBCEBITDA&amp;VAR:SDATE=20090399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0__FDSAUDITLINK__" localSheetId="5" hidden="1">{"fdsup://IBCentral/FAT Viewer?action=UPDATE&amp;creator=factset&amp;DOC_NAME=fat:reuters_ltm_source_window.fat&amp;display_string=Audit&amp;DYN_ARGS=TRUE&amp;VAR:ID1=ACM&amp;VAR:RCODE=FIBCEBITDA&amp;VAR:SDATE=20090699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0__FDSAUDITLINK__" localSheetId="0" hidden="1">{"fdsup://IBCentral/FAT Viewer?action=UPDATE&amp;creator=factset&amp;DOC_NAME=fat:reuters_ltm_source_window.fat&amp;display_string=Audit&amp;DYN_ARGS=TRUE&amp;VAR:ID1=ACM&amp;VAR:RCODE=FIBCEBITDA&amp;VAR:SDATE=20090699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0__FDSAUDITLINK__" localSheetId="4" hidden="1">{"fdsup://IBCentral/FAT Viewer?action=UPDATE&amp;creator=factset&amp;DOC_NAME=fat:reuters_ltm_source_window.fat&amp;display_string=Audit&amp;DYN_ARGS=TRUE&amp;VAR:ID1=ACM&amp;VAR:RCODE=FIBCEBITDA&amp;VAR:SDATE=20090699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0__FDSAUDITLINK__" hidden="1">{"fdsup://IBCentral/FAT Viewer?action=UPDATE&amp;creator=factset&amp;DOC_NAME=fat:reuters_ltm_source_window.fat&amp;display_string=Audit&amp;DYN_ARGS=TRUE&amp;VAR:ID1=ACM&amp;VAR:RCODE=FIBCEBITDA&amp;VAR:SDATE=20090699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1__FDSAUDITLINK__" localSheetId="5" hidden="1">{"fdsup://IBCentral/FAT Viewer?action=UPDATE&amp;creator=factset&amp;DOC_NAME=fat:reuters_ltm_source_window.fat&amp;display_string=Audit&amp;DYN_ARGS=TRUE&amp;VAR:ID1=RHI&amp;VAR:RCODE=FDSREVSTOTAL&amp;VAR:SDATE=20090699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1__FDSAUDITLINK__" localSheetId="0" hidden="1">{"fdsup://IBCentral/FAT Viewer?action=UPDATE&amp;creator=factset&amp;DOC_NAME=fat:reuters_ltm_source_window.fat&amp;display_string=Audit&amp;DYN_ARGS=TRUE&amp;VAR:ID1=RHI&amp;VAR:RCODE=FDSREVSTOTAL&amp;VAR:SDATE=20090699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1__FDSAUDITLINK__" localSheetId="4" hidden="1">{"fdsup://IBCentral/FAT Viewer?action=UPDATE&amp;creator=factset&amp;DOC_NAME=fat:reuters_ltm_source_window.fat&amp;display_string=Audit&amp;DYN_ARGS=TRUE&amp;VAR:ID1=RHI&amp;VAR:RCODE=FDSREVSTOTAL&amp;VAR:SDATE=20090699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1__FDSAUDITLINK__" hidden="1">{"fdsup://IBCentral/FAT Viewer?action=UPDATE&amp;creator=factset&amp;DOC_NAME=fat:reuters_ltm_source_window.fat&amp;display_string=Audit&amp;DYN_ARGS=TRUE&amp;VAR:ID1=RHI&amp;VAR:RCODE=FDSREVSTOTAL&amp;VAR:SDATE=20090699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2__FDSAUDITLINK__" localSheetId="5" hidden="1">{"fdsup://IBCentral/FAT Viewer?action=UPDATE&amp;creator=factset&amp;DOC_NAME=fat:reuters_ltm_source_window.fat&amp;display_string=Audit&amp;DYN_ARGS=TRUE&amp;VAR:ID1=RHI&amp;VAR:RCODE=FIBCEBITDA&amp;VAR:SDATE=20090699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2__FDSAUDITLINK__" localSheetId="0" hidden="1">{"fdsup://IBCentral/FAT Viewer?action=UPDATE&amp;creator=factset&amp;DOC_NAME=fat:reuters_ltm_source_window.fat&amp;display_string=Audit&amp;DYN_ARGS=TRUE&amp;VAR:ID1=RHI&amp;VAR:RCODE=FIBCEBITDA&amp;VAR:SDATE=20090699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2__FDSAUDITLINK__" localSheetId="4" hidden="1">{"fdsup://IBCentral/FAT Viewer?action=UPDATE&amp;creator=factset&amp;DOC_NAME=fat:reuters_ltm_source_window.fat&amp;display_string=Audit&amp;DYN_ARGS=TRUE&amp;VAR:ID1=RHI&amp;VAR:RCODE=FIBCEBITDA&amp;VAR:SDATE=20090699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2__FDSAUDITLINK__" hidden="1">{"fdsup://IBCentral/FAT Viewer?action=UPDATE&amp;creator=factset&amp;DOC_NAME=fat:reuters_ltm_source_window.fat&amp;display_string=Audit&amp;DYN_ARGS=TRUE&amp;VAR:ID1=RHI&amp;VAR:RCODE=FIBCEBITDA&amp;VAR:SDATE=20090699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3__FDSAUDITLINK__" localSheetId="5" hidden="1">{"fdsup://IBCentral/FAT Viewer?action=UPDATE&amp;creator=factset&amp;DOC_NAME=fat:reuters_ltm_source_window.fat&amp;display_string=Audit&amp;DYN_ARGS=TRUE&amp;VAR:ID1=JBHT&amp;VAR:RCODE=FDSREVSTOTAL&amp;VAR:SDATE=20090699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13__FDSAUDITLINK__" localSheetId="0" hidden="1">{"fdsup://IBCentral/FAT Viewer?action=UPDATE&amp;creator=factset&amp;DOC_NAME=fat:reuters_ltm_source_window.fat&amp;display_string=Audit&amp;DYN_ARGS=TRUE&amp;VAR:ID1=JBHT&amp;VAR:RCODE=FDSREVSTOTAL&amp;VAR:SDATE=20090699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13__FDSAUDITLINK__" localSheetId="4" hidden="1">{"fdsup://IBCentral/FAT Viewer?action=UPDATE&amp;creator=factset&amp;DOC_NAME=fat:reuters_ltm_source_window.fat&amp;display_string=Audit&amp;DYN_ARGS=TRUE&amp;VAR:ID1=JBHT&amp;VAR:RCODE=FDSREVSTOTAL&amp;VAR:SDATE=20090699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13__FDSAUDITLINK__" hidden="1">{"fdsup://IBCentral/FAT Viewer?action=UPDATE&amp;creator=factset&amp;DOC_NAME=fat:reuters_ltm_source_window.fat&amp;display_string=Audit&amp;DYN_ARGS=TRUE&amp;VAR:ID1=JBHT&amp;VAR:RCODE=FDSREVSTOTAL&amp;VAR:SDATE=20090699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14__FDSAUDITLINK__" localSheetId="5" hidden="1">{"fdsup://IBCentral/FAT Viewer?action=UPDATE&amp;creator=factset&amp;DOC_NAME=fat:reuters_ltm_source_window.fat&amp;display_string=Audit&amp;DYN_ARGS=TRUE&amp;VAR:ID1=JBHT&amp;VAR:RCODE=FIBCEBITDA&amp;VAR:SDATE=20090699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14__FDSAUDITLINK__" localSheetId="0" hidden="1">{"fdsup://IBCentral/FAT Viewer?action=UPDATE&amp;creator=factset&amp;DOC_NAME=fat:reuters_ltm_source_window.fat&amp;display_string=Audit&amp;DYN_ARGS=TRUE&amp;VAR:ID1=JBHT&amp;VAR:RCODE=FIBCEBITDA&amp;VAR:SDATE=20090699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14__FDSAUDITLINK__" localSheetId="4" hidden="1">{"fdsup://IBCentral/FAT Viewer?action=UPDATE&amp;creator=factset&amp;DOC_NAME=fat:reuters_ltm_source_window.fat&amp;display_string=Audit&amp;DYN_ARGS=TRUE&amp;VAR:ID1=JBHT&amp;VAR:RCODE=FIBCEBITDA&amp;VAR:SDATE=20090699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14__FDSAUDITLINK__" hidden="1">{"fdsup://IBCentral/FAT Viewer?action=UPDATE&amp;creator=factset&amp;DOC_NAME=fat:reuters_ltm_source_window.fat&amp;display_string=Audit&amp;DYN_ARGS=TRUE&amp;VAR:ID1=JBHT&amp;VAR:RCODE=FIBCEBITDA&amp;VAR:SDATE=20090699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15__FDSAUDITLINK__" localSheetId="5" hidden="1">{"fdsup://IBCentral/FAT Viewer?action=UPDATE&amp;creator=factset&amp;DOC_NAME=fat:reuters_ltm_source_window.fat&amp;display_string=Audit&amp;DYN_ARGS=TRUE&amp;VAR:ID1=EFX&amp;VAR:RCODE=FDSREVSTOTAL&amp;VAR:SDATE=20090699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5__FDSAUDITLINK__" localSheetId="0" hidden="1">{"fdsup://IBCentral/FAT Viewer?action=UPDATE&amp;creator=factset&amp;DOC_NAME=fat:reuters_ltm_source_window.fat&amp;display_string=Audit&amp;DYN_ARGS=TRUE&amp;VAR:ID1=EFX&amp;VAR:RCODE=FDSREVSTOTAL&amp;VAR:SDATE=20090699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5__FDSAUDITLINK__" localSheetId="4" hidden="1">{"fdsup://IBCentral/FAT Viewer?action=UPDATE&amp;creator=factset&amp;DOC_NAME=fat:reuters_ltm_source_window.fat&amp;display_string=Audit&amp;DYN_ARGS=TRUE&amp;VAR:ID1=EFX&amp;VAR:RCODE=FDSREVSTOTAL&amp;VAR:SDATE=20090699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Viewer?action=UPDATE&amp;creator=factset&amp;DOC_NAME=fat:reuters_ltm_source_window.fat&amp;display_string=Audit&amp;DYN_ARGS=TRUE&amp;VAR:ID1=EFX&amp;VAR:RCODE=FDSREVSTOTAL&amp;VAR:SDATE=20090699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6__FDSAUDITLINK__" localSheetId="5" hidden="1">{"fdsup://IBCentral/FAT Viewer?action=UPDATE&amp;creator=factset&amp;DOC_NAME=fat:reuters_ltm_source_window.fat&amp;display_string=Audit&amp;DYN_ARGS=TRUE&amp;VAR:ID1=EFX&amp;VAR:RCODE=FIBCEBITDA&amp;VAR:SDATE=20090699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6__FDSAUDITLINK__" localSheetId="0" hidden="1">{"fdsup://IBCentral/FAT Viewer?action=UPDATE&amp;creator=factset&amp;DOC_NAME=fat:reuters_ltm_source_window.fat&amp;display_string=Audit&amp;DYN_ARGS=TRUE&amp;VAR:ID1=EFX&amp;VAR:RCODE=FIBCEBITDA&amp;VAR:SDATE=20090699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6__FDSAUDITLINK__" localSheetId="4" hidden="1">{"fdsup://IBCentral/FAT Viewer?action=UPDATE&amp;creator=factset&amp;DOC_NAME=fat:reuters_ltm_source_window.fat&amp;display_string=Audit&amp;DYN_ARGS=TRUE&amp;VAR:ID1=EFX&amp;VAR:RCODE=FIBCEBITDA&amp;VAR:SDATE=20090699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6__FDSAUDITLINK__" hidden="1">{"fdsup://IBCentral/FAT Viewer?action=UPDATE&amp;creator=factset&amp;DOC_NAME=fat:reuters_ltm_source_window.fat&amp;display_string=Audit&amp;DYN_ARGS=TRUE&amp;VAR:ID1=EFX&amp;VAR:RCODE=FIBCEBITDA&amp;VAR:SDATE=20090699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7__FDSAUDITLINK__" localSheetId="5" hidden="1">{"fdsup://IBCentral/FAT Viewer?action=UPDATE&amp;creator=factset&amp;DOC_NAME=fat:reuters_ltm_source_window.fat&amp;display_string=Audit&amp;DYN_ARGS=TRUE&amp;VAR:ID1=FLS&amp;VAR:RCODE=FDSREVSTOTAL&amp;VAR:SDATE=20090699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7__FDSAUDITLINK__" localSheetId="0" hidden="1">{"fdsup://IBCentral/FAT Viewer?action=UPDATE&amp;creator=factset&amp;DOC_NAME=fat:reuters_ltm_source_window.fat&amp;display_string=Audit&amp;DYN_ARGS=TRUE&amp;VAR:ID1=FLS&amp;VAR:RCODE=FDSREVSTOTAL&amp;VAR:SDATE=20090699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7__FDSAUDITLINK__" localSheetId="4" hidden="1">{"fdsup://IBCentral/FAT Viewer?action=UPDATE&amp;creator=factset&amp;DOC_NAME=fat:reuters_ltm_source_window.fat&amp;display_string=Audit&amp;DYN_ARGS=TRUE&amp;VAR:ID1=FLS&amp;VAR:RCODE=FDSREVSTOTAL&amp;VAR:SDATE=20090699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7__FDSAUDITLINK__" hidden="1">{"fdsup://IBCentral/FAT Viewer?action=UPDATE&amp;creator=factset&amp;DOC_NAME=fat:reuters_ltm_source_window.fat&amp;display_string=Audit&amp;DYN_ARGS=TRUE&amp;VAR:ID1=FLS&amp;VAR:RCODE=FDSREVSTOTAL&amp;VAR:SDATE=20090699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8__FDSAUDITLINK__" localSheetId="5" hidden="1">{"fdsup://IBCentral/FAT Viewer?action=UPDATE&amp;creator=factset&amp;DOC_NAME=fat:reuters_ltm_source_window.fat&amp;display_string=Audit&amp;DYN_ARGS=TRUE&amp;VAR:ID1=FLS&amp;VAR:RCODE=FIBCEBITDA&amp;VAR:SDATE=20090699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8__FDSAUDITLINK__" localSheetId="0" hidden="1">{"fdsup://IBCentral/FAT Viewer?action=UPDATE&amp;creator=factset&amp;DOC_NAME=fat:reuters_ltm_source_window.fat&amp;display_string=Audit&amp;DYN_ARGS=TRUE&amp;VAR:ID1=FLS&amp;VAR:RCODE=FIBCEBITDA&amp;VAR:SDATE=20090699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8__FDSAUDITLINK__" localSheetId="4" hidden="1">{"fdsup://IBCentral/FAT Viewer?action=UPDATE&amp;creator=factset&amp;DOC_NAME=fat:reuters_ltm_source_window.fat&amp;display_string=Audit&amp;DYN_ARGS=TRUE&amp;VAR:ID1=FLS&amp;VAR:RCODE=FIBCEBITDA&amp;VAR:SDATE=20090699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8__FDSAUDITLINK__" hidden="1">{"fdsup://IBCentral/FAT Viewer?action=UPDATE&amp;creator=factset&amp;DOC_NAME=fat:reuters_ltm_source_window.fat&amp;display_string=Audit&amp;DYN_ARGS=TRUE&amp;VAR:ID1=FLS&amp;VAR:RCODE=FIBCEBITDA&amp;VAR:SDATE=20090699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19__FDSAUDITLINK__" localSheetId="5" hidden="1">{"fdsup://IBCentral/FAT Viewer?action=UPDATE&amp;creator=factset&amp;DOC_NAME=fat:reuters_ltm_source_window.fat&amp;display_string=Audit&amp;DYN_ARGS=TRUE&amp;VAR:ID1=AME&amp;VAR:RCODE=FDSREVSTOTAL&amp;VAR:SDATE=20090699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9__FDSAUDITLINK__" localSheetId="0" hidden="1">{"fdsup://IBCentral/FAT Viewer?action=UPDATE&amp;creator=factset&amp;DOC_NAME=fat:reuters_ltm_source_window.fat&amp;display_string=Audit&amp;DYN_ARGS=TRUE&amp;VAR:ID1=AME&amp;VAR:RCODE=FDSREVSTOTAL&amp;VAR:SDATE=20090699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9__FDSAUDITLINK__" localSheetId="4" hidden="1">{"fdsup://IBCentral/FAT Viewer?action=UPDATE&amp;creator=factset&amp;DOC_NAME=fat:reuters_ltm_source_window.fat&amp;display_string=Audit&amp;DYN_ARGS=TRUE&amp;VAR:ID1=AME&amp;VAR:RCODE=FDSREVSTOTAL&amp;VAR:SDATE=20090699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19__FDSAUDITLINK__" hidden="1">{"fdsup://IBCentral/FAT Viewer?action=UPDATE&amp;creator=factset&amp;DOC_NAME=fat:reuters_ltm_source_window.fat&amp;display_string=Audit&amp;DYN_ARGS=TRUE&amp;VAR:ID1=AME&amp;VAR:RCODE=FDSREVSTOTAL&amp;VAR:SDATE=20090699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__FDSAUDITLINK__" localSheetId="5" hidden="1">{"fdsup://IBCentral/FAT Viewer?action=UPDATE&amp;creator=factset&amp;DOC_NAME=fat:reuters_ltm_source_window.fat&amp;display_string=Audit&amp;DYN_ARGS=TRUE&amp;VAR:ID1=JBHT&amp;VAR:RCODE=FIBCEBITDA&amp;VAR:SDATE=20090399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2__FDSAUDITLINK__" localSheetId="0" hidden="1">{"fdsup://IBCentral/FAT Viewer?action=UPDATE&amp;creator=factset&amp;DOC_NAME=fat:reuters_ltm_source_window.fat&amp;display_string=Audit&amp;DYN_ARGS=TRUE&amp;VAR:ID1=JBHT&amp;VAR:RCODE=FIBCEBITDA&amp;VAR:SDATE=20090399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2__FDSAUDITLINK__" localSheetId="4" hidden="1">{"fdsup://IBCentral/FAT Viewer?action=UPDATE&amp;creator=factset&amp;DOC_NAME=fat:reuters_ltm_source_window.fat&amp;display_string=Audit&amp;DYN_ARGS=TRUE&amp;VAR:ID1=JBHT&amp;VAR:RCODE=FIBCEBITDA&amp;VAR:SDATE=20090399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2__FDSAUDITLINK__" hidden="1">{"fdsup://IBCentral/FAT Viewer?action=UPDATE&amp;creator=factset&amp;DOC_NAME=fat:reuters_ltm_source_window.fat&amp;display_string=Audit&amp;DYN_ARGS=TRUE&amp;VAR:ID1=JBHT&amp;VAR:RCODE=FIBCEBITDA&amp;VAR:SDATE=20090399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20__FDSAUDITLINK__" localSheetId="5" hidden="1">{"fdsup://IBCentral/FAT Viewer?action=UPDATE&amp;creator=factset&amp;DOC_NAME=fat:reuters_ltm_source_window.fat&amp;display_string=Audit&amp;DYN_ARGS=TRUE&amp;VAR:ID1=AME&amp;VAR:RCODE=FIBCEBITDA&amp;VAR:SDATE=20090699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0__FDSAUDITLINK__" localSheetId="0" hidden="1">{"fdsup://IBCentral/FAT Viewer?action=UPDATE&amp;creator=factset&amp;DOC_NAME=fat:reuters_ltm_source_window.fat&amp;display_string=Audit&amp;DYN_ARGS=TRUE&amp;VAR:ID1=AME&amp;VAR:RCODE=FIBCEBITDA&amp;VAR:SDATE=20090699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0__FDSAUDITLINK__" localSheetId="4" hidden="1">{"fdsup://IBCentral/FAT Viewer?action=UPDATE&amp;creator=factset&amp;DOC_NAME=fat:reuters_ltm_source_window.fat&amp;display_string=Audit&amp;DYN_ARGS=TRUE&amp;VAR:ID1=AME&amp;VAR:RCODE=FIBCEBITDA&amp;VAR:SDATE=20090699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0__FDSAUDITLINK__" hidden="1">{"fdsup://IBCentral/FAT Viewer?action=UPDATE&amp;creator=factset&amp;DOC_NAME=fat:reuters_ltm_source_window.fat&amp;display_string=Audit&amp;DYN_ARGS=TRUE&amp;VAR:ID1=AME&amp;VAR:RCODE=FIBCEBITDA&amp;VAR:SDATE=20090699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1__FDSAUDITLINK__" localSheetId="5" hidden="1">{"fdsup://IBCentral/FAT Viewer?action=UPDATE&amp;creator=factset&amp;DOC_NAME=fat:reuters_ltm_source_window.fat&amp;display_string=Audit&amp;DYN_ARGS=TRUE&amp;VAR:ID1=ROK&amp;VAR:RCODE=FDSREVSTOTAL&amp;VAR:SDATE=20090699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1__FDSAUDITLINK__" localSheetId="0" hidden="1">{"fdsup://IBCentral/FAT Viewer?action=UPDATE&amp;creator=factset&amp;DOC_NAME=fat:reuters_ltm_source_window.fat&amp;display_string=Audit&amp;DYN_ARGS=TRUE&amp;VAR:ID1=ROK&amp;VAR:RCODE=FDSREVSTOTAL&amp;VAR:SDATE=20090699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1__FDSAUDITLINK__" localSheetId="4" hidden="1">{"fdsup://IBCentral/FAT Viewer?action=UPDATE&amp;creator=factset&amp;DOC_NAME=fat:reuters_ltm_source_window.fat&amp;display_string=Audit&amp;DYN_ARGS=TRUE&amp;VAR:ID1=ROK&amp;VAR:RCODE=FDSREVSTOTAL&amp;VAR:SDATE=20090699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1__FDSAUDITLINK__" hidden="1">{"fdsup://IBCentral/FAT Viewer?action=UPDATE&amp;creator=factset&amp;DOC_NAME=fat:reuters_ltm_source_window.fat&amp;display_string=Audit&amp;DYN_ARGS=TRUE&amp;VAR:ID1=ROK&amp;VAR:RCODE=FDSREVSTOTAL&amp;VAR:SDATE=20090699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2__FDSAUDITLINK__" localSheetId="5" hidden="1">{"fdsup://IBCentral/FAT Viewer?action=UPDATE&amp;creator=factset&amp;DOC_NAME=fat:reuters_ltm_source_window.fat&amp;display_string=Audit&amp;DYN_ARGS=TRUE&amp;VAR:ID1=ROK&amp;VAR:RCODE=FIBCEBITDA&amp;VAR:SDATE=20090699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2__FDSAUDITLINK__" localSheetId="0" hidden="1">{"fdsup://IBCentral/FAT Viewer?action=UPDATE&amp;creator=factset&amp;DOC_NAME=fat:reuters_ltm_source_window.fat&amp;display_string=Audit&amp;DYN_ARGS=TRUE&amp;VAR:ID1=ROK&amp;VAR:RCODE=FIBCEBITDA&amp;VAR:SDATE=20090699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2__FDSAUDITLINK__" localSheetId="4" hidden="1">{"fdsup://IBCentral/FAT Viewer?action=UPDATE&amp;creator=factset&amp;DOC_NAME=fat:reuters_ltm_source_window.fat&amp;display_string=Audit&amp;DYN_ARGS=TRUE&amp;VAR:ID1=ROK&amp;VAR:RCODE=FIBCEBITDA&amp;VAR:SDATE=20090699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2__FDSAUDITLINK__" hidden="1">{"fdsup://IBCentral/FAT Viewer?action=UPDATE&amp;creator=factset&amp;DOC_NAME=fat:reuters_ltm_source_window.fat&amp;display_string=Audit&amp;DYN_ARGS=TRUE&amp;VAR:ID1=ROK&amp;VAR:RCODE=FIBCEBITDA&amp;VAR:SDATE=20090699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3__FDSAUDITLINK__" localSheetId="5" hidden="1">{"fdsup://IBCentral/FAT Viewer?action=UPDATE&amp;creator=factset&amp;DOC_NAME=fat:reuters_annual_source_window.fat&amp;display_string=Audit&amp;DYN_ARGS=TRUE&amp;VAR:ID1=17290810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723__FDSAUDITLINK__" localSheetId="0" hidden="1">{"fdsup://IBCentral/FAT Viewer?action=UPDATE&amp;creator=factset&amp;DOC_NAME=fat:reuters_annual_source_window.fat&amp;display_string=Audit&amp;DYN_ARGS=TRUE&amp;VAR:ID1=17290810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723__FDSAUDITLINK__" localSheetId="4" hidden="1">{"fdsup://IBCentral/FAT Viewer?action=UPDATE&amp;creator=factset&amp;DOC_NAME=fat:reuters_annual_source_window.fat&amp;display_string=Audit&amp;DYN_ARGS=TRUE&amp;VAR:ID1=17290810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723__FDSAUDITLINK__" hidden="1">{"fdsup://IBCentral/FAT Viewer?action=UPDATE&amp;creator=factset&amp;DOC_NAME=fat:reuters_annual_source_window.fat&amp;display_string=Audit&amp;DYN_ARGS=TRUE&amp;VAR:ID1=17290810&amp;VAR:RCODE=FDSREVSTOTAL&amp;VAR:SDATE=20090599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724__FDSAUDITLINK__" localSheetId="5" hidden="1">{"fdsup://IBCentral/FAT Viewer?action=UPDATE&amp;creator=factset&amp;DOC_NAME=fat:reuters_annual_source_window.fat&amp;display_string=Audit&amp;DYN_ARGS=TRUE&amp;VAR:ID1=17290810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724__FDSAUDITLINK__" localSheetId="0" hidden="1">{"fdsup://IBCentral/FAT Viewer?action=UPDATE&amp;creator=factset&amp;DOC_NAME=fat:reuters_annual_source_window.fat&amp;display_string=Audit&amp;DYN_ARGS=TRUE&amp;VAR:ID1=17290810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724__FDSAUDITLINK__" localSheetId="4" hidden="1">{"fdsup://IBCentral/FAT Viewer?action=UPDATE&amp;creator=factset&amp;DOC_NAME=fat:reuters_annual_source_window.fat&amp;display_string=Audit&amp;DYN_ARGS=TRUE&amp;VAR:ID1=17290810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724__FDSAUDITLINK__" hidden="1">{"fdsup://IBCentral/FAT Viewer?action=UPDATE&amp;creator=factset&amp;DOC_NAME=fat:reuters_annual_source_window.fat&amp;display_string=Audit&amp;DYN_ARGS=TRUE&amp;VAR:ID1=17290810&amp;VAR:RCODE=FIBCEBITDA&amp;VAR:SDATE=20090599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725__FDSAUDITLINK__" localSheetId="5" hidden="1">{"fdsup://IBCentral/FAT Viewer?action=UPDATE&amp;creator=factset&amp;DOC_NAME=fat:reuters_ltm_source_window.fat&amp;display_string=Audit&amp;DYN_ARGS=TRUE&amp;VAR:ID1=ROP&amp;VAR:RCODE=FDSREVSTOTAL&amp;VAR:SDATE=20090699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5__FDSAUDITLINK__" localSheetId="0" hidden="1">{"fdsup://IBCentral/FAT Viewer?action=UPDATE&amp;creator=factset&amp;DOC_NAME=fat:reuters_ltm_source_window.fat&amp;display_string=Audit&amp;DYN_ARGS=TRUE&amp;VAR:ID1=ROP&amp;VAR:RCODE=FDSREVSTOTAL&amp;VAR:SDATE=20090699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5__FDSAUDITLINK__" localSheetId="4" hidden="1">{"fdsup://IBCentral/FAT Viewer?action=UPDATE&amp;creator=factset&amp;DOC_NAME=fat:reuters_ltm_source_window.fat&amp;display_string=Audit&amp;DYN_ARGS=TRUE&amp;VAR:ID1=ROP&amp;VAR:RCODE=FDSREVSTOTAL&amp;VAR:SDATE=20090699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5__FDSAUDITLINK__" hidden="1">{"fdsup://IBCentral/FAT Viewer?action=UPDATE&amp;creator=factset&amp;DOC_NAME=fat:reuters_ltm_source_window.fat&amp;display_string=Audit&amp;DYN_ARGS=TRUE&amp;VAR:ID1=ROP&amp;VAR:RCODE=FDSREVSTOTAL&amp;VAR:SDATE=20090699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6__FDSAUDITLINK__" localSheetId="5" hidden="1">{"fdsup://IBCentral/FAT Viewer?action=UPDATE&amp;creator=factset&amp;DOC_NAME=fat:reuters_ltm_source_window.fat&amp;display_string=Audit&amp;DYN_ARGS=TRUE&amp;VAR:ID1=ROP&amp;VAR:RCODE=FIBCEBITDA&amp;VAR:SDATE=20090699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6__FDSAUDITLINK__" localSheetId="0" hidden="1">{"fdsup://IBCentral/FAT Viewer?action=UPDATE&amp;creator=factset&amp;DOC_NAME=fat:reuters_ltm_source_window.fat&amp;display_string=Audit&amp;DYN_ARGS=TRUE&amp;VAR:ID1=ROP&amp;VAR:RCODE=FIBCEBITDA&amp;VAR:SDATE=20090699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6__FDSAUDITLINK__" localSheetId="4" hidden="1">{"fdsup://IBCentral/FAT Viewer?action=UPDATE&amp;creator=factset&amp;DOC_NAME=fat:reuters_ltm_source_window.fat&amp;display_string=Audit&amp;DYN_ARGS=TRUE&amp;VAR:ID1=ROP&amp;VAR:RCODE=FIBCEBITDA&amp;VAR:SDATE=20090699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6__FDSAUDITLINK__" hidden="1">{"fdsup://IBCentral/FAT Viewer?action=UPDATE&amp;creator=factset&amp;DOC_NAME=fat:reuters_ltm_source_window.fat&amp;display_string=Audit&amp;DYN_ARGS=TRUE&amp;VAR:ID1=ROP&amp;VAR:RCODE=FIBCEBITDA&amp;VAR:SDATE=20090699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27__FDSAUDITLINK__" localSheetId="5" hidden="1">{"fdsup://IBCentral/FAT Viewer?action=UPDATE&amp;creator=factset&amp;DOC_NAME=fat:reuters_ltm_source_window.fat&amp;display_string=Audit&amp;DYN_ARGS=TRUE&amp;VAR:ID1=SRCL&amp;VAR:RCODE=FDSREVSTOTAL&amp;VAR:SDATE=20090699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27__FDSAUDITLINK__" localSheetId="0" hidden="1">{"fdsup://IBCentral/FAT Viewer?action=UPDATE&amp;creator=factset&amp;DOC_NAME=fat:reuters_ltm_source_window.fat&amp;display_string=Audit&amp;DYN_ARGS=TRUE&amp;VAR:ID1=SRCL&amp;VAR:RCODE=FDSREVSTOTAL&amp;VAR:SDATE=20090699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27__FDSAUDITLINK__" localSheetId="4" hidden="1">{"fdsup://IBCentral/FAT Viewer?action=UPDATE&amp;creator=factset&amp;DOC_NAME=fat:reuters_ltm_source_window.fat&amp;display_string=Audit&amp;DYN_ARGS=TRUE&amp;VAR:ID1=SRCL&amp;VAR:RCODE=FDSREVSTOTAL&amp;VAR:SDATE=20090699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27__FDSAUDITLINK__" hidden="1">{"fdsup://IBCentral/FAT Viewer?action=UPDATE&amp;creator=factset&amp;DOC_NAME=fat:reuters_ltm_source_window.fat&amp;display_string=Audit&amp;DYN_ARGS=TRUE&amp;VAR:ID1=SRCL&amp;VAR:RCODE=FDSREVSTOTAL&amp;VAR:SDATE=20090699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28__FDSAUDITLINK__" localSheetId="5" hidden="1">{"fdsup://IBCentral/FAT Viewer?action=UPDATE&amp;creator=factset&amp;DOC_NAME=fat:reuters_ltm_source_window.fat&amp;display_string=Audit&amp;DYN_ARGS=TRUE&amp;VAR:ID1=SRCL&amp;VAR:RCODE=FIBCEBITDA&amp;VAR:SDATE=20090699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28__FDSAUDITLINK__" localSheetId="0" hidden="1">{"fdsup://IBCentral/FAT Viewer?action=UPDATE&amp;creator=factset&amp;DOC_NAME=fat:reuters_ltm_source_window.fat&amp;display_string=Audit&amp;DYN_ARGS=TRUE&amp;VAR:ID1=SRCL&amp;VAR:RCODE=FIBCEBITDA&amp;VAR:SDATE=20090699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28__FDSAUDITLINK__" localSheetId="4" hidden="1">{"fdsup://IBCentral/FAT Viewer?action=UPDATE&amp;creator=factset&amp;DOC_NAME=fat:reuters_ltm_source_window.fat&amp;display_string=Audit&amp;DYN_ARGS=TRUE&amp;VAR:ID1=SRCL&amp;VAR:RCODE=FIBCEBITDA&amp;VAR:SDATE=20090699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28__FDSAUDITLINK__" hidden="1">{"fdsup://IBCentral/FAT Viewer?action=UPDATE&amp;creator=factset&amp;DOC_NAME=fat:reuters_ltm_source_window.fat&amp;display_string=Audit&amp;DYN_ARGS=TRUE&amp;VAR:ID1=SRCL&amp;VAR:RCODE=FIBCEBITDA&amp;VAR:SDATE=20090699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29__FDSAUDITLINK__" localSheetId="5" hidden="1">{"fdsup://IBCentral/FAT Viewer?action=UPDATE&amp;creator=factset&amp;DOC_NAME=fat:reuters_ltm_source_window.fat&amp;display_string=Audit&amp;DYN_ARGS=TRUE&amp;VAR:ID1=DNB&amp;VAR:RCODE=FDSREVSTOTAL&amp;VAR:SDATE=20090699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9__FDSAUDITLINK__" localSheetId="0" hidden="1">{"fdsup://IBCentral/FAT Viewer?action=UPDATE&amp;creator=factset&amp;DOC_NAME=fat:reuters_ltm_source_window.fat&amp;display_string=Audit&amp;DYN_ARGS=TRUE&amp;VAR:ID1=DNB&amp;VAR:RCODE=FDSREVSTOTAL&amp;VAR:SDATE=20090699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9__FDSAUDITLINK__" localSheetId="4" hidden="1">{"fdsup://IBCentral/FAT Viewer?action=UPDATE&amp;creator=factset&amp;DOC_NAME=fat:reuters_ltm_source_window.fat&amp;display_string=Audit&amp;DYN_ARGS=TRUE&amp;VAR:ID1=DNB&amp;VAR:RCODE=FDSREVSTOTAL&amp;VAR:SDATE=20090699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29__FDSAUDITLINK__" hidden="1">{"fdsup://IBCentral/FAT Viewer?action=UPDATE&amp;creator=factset&amp;DOC_NAME=fat:reuters_ltm_source_window.fat&amp;display_string=Audit&amp;DYN_ARGS=TRUE&amp;VAR:ID1=DNB&amp;VAR:RCODE=FDSREVSTOTAL&amp;VAR:SDATE=20090699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__123Graph_AChart_1N" localSheetId="0" hidden="1">#REF!</definedName>
    <definedName name="_73__123Graph_AChart_1N" hidden="1">#REF!</definedName>
    <definedName name="_73__FDSAUDITLINK__" localSheetId="5" hidden="1">{"fdsup://IBCentral/FAT Viewer?action=UPDATE&amp;creator=factset&amp;DOC_NAME=fat:reuters_ltm_source_window.fat&amp;display_string=Audit&amp;DYN_ARGS=TRUE&amp;VAR:ID1=EFX&amp;VAR:RCODE=FIBCEBITDA&amp;VAR:SDATE=20090399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__FDSAUDITLINK__" localSheetId="0" hidden="1">{"fdsup://IBCentral/FAT Viewer?action=UPDATE&amp;creator=factset&amp;DOC_NAME=fat:reuters_ltm_source_window.fat&amp;display_string=Audit&amp;DYN_ARGS=TRUE&amp;VAR:ID1=EFX&amp;VAR:RCODE=FIBCEBITDA&amp;VAR:SDATE=20090399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__FDSAUDITLINK__" localSheetId="4" hidden="1">{"fdsup://IBCentral/FAT Viewer?action=UPDATE&amp;creator=factset&amp;DOC_NAME=fat:reuters_ltm_source_window.fat&amp;display_string=Audit&amp;DYN_ARGS=TRUE&amp;VAR:ID1=EFX&amp;VAR:RCODE=FIBCEBITDA&amp;VAR:SDATE=20090399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__FDSAUDITLINK__" hidden="1">{"fdsup://IBCentral/FAT Viewer?action=UPDATE&amp;creator=factset&amp;DOC_NAME=fat:reuters_ltm_source_window.fat&amp;display_string=Audit&amp;DYN_ARGS=TRUE&amp;VAR:ID1=EFX&amp;VAR:RCODE=FIBCEBITDA&amp;VAR:SDATE=20090399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0__FDSAUDITLINK__" localSheetId="5" hidden="1">{"fdsup://IBCentral/FAT Viewer?action=UPDATE&amp;creator=factset&amp;DOC_NAME=fat:reuters_ltm_source_window.fat&amp;display_string=Audit&amp;DYN_ARGS=TRUE&amp;VAR:ID1=DNB&amp;VAR:RCODE=FIBCEBITDA&amp;VAR:SDATE=20090699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0__FDSAUDITLINK__" localSheetId="0" hidden="1">{"fdsup://IBCentral/FAT Viewer?action=UPDATE&amp;creator=factset&amp;DOC_NAME=fat:reuters_ltm_source_window.fat&amp;display_string=Audit&amp;DYN_ARGS=TRUE&amp;VAR:ID1=DNB&amp;VAR:RCODE=FIBCEBITDA&amp;VAR:SDATE=20090699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0__FDSAUDITLINK__" localSheetId="4" hidden="1">{"fdsup://IBCentral/FAT Viewer?action=UPDATE&amp;creator=factset&amp;DOC_NAME=fat:reuters_ltm_source_window.fat&amp;display_string=Audit&amp;DYN_ARGS=TRUE&amp;VAR:ID1=DNB&amp;VAR:RCODE=FIBCEBITDA&amp;VAR:SDATE=20090699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0__FDSAUDITLINK__" hidden="1">{"fdsup://IBCentral/FAT Viewer?action=UPDATE&amp;creator=factset&amp;DOC_NAME=fat:reuters_ltm_source_window.fat&amp;display_string=Audit&amp;DYN_ARGS=TRUE&amp;VAR:ID1=DNB&amp;VAR:RCODE=FIBCEBITDA&amp;VAR:SDATE=20090699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1__FDSAUDITLINK__" localSheetId="5" hidden="1">{"fdsup://IBCentral/FAT Viewer?action=UPDATE&amp;creator=factset&amp;DOC_NAME=fat:reuters_ltm_source_window.fat&amp;display_string=Audit&amp;DYN_ARGS=TRUE&amp;VAR:ID1=CBE&amp;VAR:RCODE=FDSREVSTOTAL&amp;VAR:SDATE=20090699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1__FDSAUDITLINK__" localSheetId="0" hidden="1">{"fdsup://IBCentral/FAT Viewer?action=UPDATE&amp;creator=factset&amp;DOC_NAME=fat:reuters_ltm_source_window.fat&amp;display_string=Audit&amp;DYN_ARGS=TRUE&amp;VAR:ID1=CBE&amp;VAR:RCODE=FDSREVSTOTAL&amp;VAR:SDATE=20090699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1__FDSAUDITLINK__" localSheetId="4" hidden="1">{"fdsup://IBCentral/FAT Viewer?action=UPDATE&amp;creator=factset&amp;DOC_NAME=fat:reuters_ltm_source_window.fat&amp;display_string=Audit&amp;DYN_ARGS=TRUE&amp;VAR:ID1=CBE&amp;VAR:RCODE=FDSREVSTOTAL&amp;VAR:SDATE=20090699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1__FDSAUDITLINK__" hidden="1">{"fdsup://IBCentral/FAT Viewer?action=UPDATE&amp;creator=factset&amp;DOC_NAME=fat:reuters_ltm_source_window.fat&amp;display_string=Audit&amp;DYN_ARGS=TRUE&amp;VAR:ID1=CBE&amp;VAR:RCODE=FDSREVSTOTAL&amp;VAR:SDATE=20090699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2__FDSAUDITLINK__" localSheetId="5" hidden="1">{"fdsup://IBCentral/FAT Viewer?action=UPDATE&amp;creator=factset&amp;DOC_NAME=fat:reuters_ltm_source_window.fat&amp;display_string=Audit&amp;DYN_ARGS=TRUE&amp;VAR:ID1=CBE&amp;VAR:RCODE=FIBCEBITDA&amp;VAR:SDATE=20090699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2__FDSAUDITLINK__" localSheetId="0" hidden="1">{"fdsup://IBCentral/FAT Viewer?action=UPDATE&amp;creator=factset&amp;DOC_NAME=fat:reuters_ltm_source_window.fat&amp;display_string=Audit&amp;DYN_ARGS=TRUE&amp;VAR:ID1=CBE&amp;VAR:RCODE=FIBCEBITDA&amp;VAR:SDATE=20090699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2__FDSAUDITLINK__" localSheetId="4" hidden="1">{"fdsup://IBCentral/FAT Viewer?action=UPDATE&amp;creator=factset&amp;DOC_NAME=fat:reuters_ltm_source_window.fat&amp;display_string=Audit&amp;DYN_ARGS=TRUE&amp;VAR:ID1=CBE&amp;VAR:RCODE=FIBCEBITDA&amp;VAR:SDATE=20090699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Viewer?action=UPDATE&amp;creator=factset&amp;DOC_NAME=fat:reuters_ltm_source_window.fat&amp;display_string=Audit&amp;DYN_ARGS=TRUE&amp;VAR:ID1=CBE&amp;VAR:RCODE=FIBCEBITDA&amp;VAR:SDATE=20090699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3__FDSAUDITLINK__" localSheetId="5" hidden="1">{"fdsup://IBCentral/FAT Viewer?action=UPDATE&amp;creator=factset&amp;DOC_NAME=fat:reuters_ltm_source_window.fat&amp;display_string=Audit&amp;DYN_ARGS=TRUE&amp;VAR:ID1=PWR&amp;VAR:RCODE=FDSREVSTOTAL&amp;VAR:SDATE=20090699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3__FDSAUDITLINK__" localSheetId="0" hidden="1">{"fdsup://IBCentral/FAT Viewer?action=UPDATE&amp;creator=factset&amp;DOC_NAME=fat:reuters_ltm_source_window.fat&amp;display_string=Audit&amp;DYN_ARGS=TRUE&amp;VAR:ID1=PWR&amp;VAR:RCODE=FDSREVSTOTAL&amp;VAR:SDATE=20090699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3__FDSAUDITLINK__" localSheetId="4" hidden="1">{"fdsup://IBCentral/FAT Viewer?action=UPDATE&amp;creator=factset&amp;DOC_NAME=fat:reuters_ltm_source_window.fat&amp;display_string=Audit&amp;DYN_ARGS=TRUE&amp;VAR:ID1=PWR&amp;VAR:RCODE=FDSREVSTOTAL&amp;VAR:SDATE=20090699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3__FDSAUDITLINK__" hidden="1">{"fdsup://IBCentral/FAT Viewer?action=UPDATE&amp;creator=factset&amp;DOC_NAME=fat:reuters_ltm_source_window.fat&amp;display_string=Audit&amp;DYN_ARGS=TRUE&amp;VAR:ID1=PWR&amp;VAR:RCODE=FDSREVSTOTAL&amp;VAR:SDATE=20090699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4__FDSAUDITLINK__" localSheetId="5" hidden="1">{"fdsup://IBCentral/FAT Viewer?action=UPDATE&amp;creator=factset&amp;DOC_NAME=fat:reuters_ltm_source_window.fat&amp;display_string=Audit&amp;DYN_ARGS=TRUE&amp;VAR:ID1=PWR&amp;VAR:RCODE=FIBCEBITDA&amp;VAR:SDATE=20090699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4__FDSAUDITLINK__" localSheetId="0" hidden="1">{"fdsup://IBCentral/FAT Viewer?action=UPDATE&amp;creator=factset&amp;DOC_NAME=fat:reuters_ltm_source_window.fat&amp;display_string=Audit&amp;DYN_ARGS=TRUE&amp;VAR:ID1=PWR&amp;VAR:RCODE=FIBCEBITDA&amp;VAR:SDATE=20090699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4__FDSAUDITLINK__" localSheetId="4" hidden="1">{"fdsup://IBCentral/FAT Viewer?action=UPDATE&amp;creator=factset&amp;DOC_NAME=fat:reuters_ltm_source_window.fat&amp;display_string=Audit&amp;DYN_ARGS=TRUE&amp;VAR:ID1=PWR&amp;VAR:RCODE=FIBCEBITDA&amp;VAR:SDATE=20090699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4__FDSAUDITLINK__" hidden="1">{"fdsup://IBCentral/FAT Viewer?action=UPDATE&amp;creator=factset&amp;DOC_NAME=fat:reuters_ltm_source_window.fat&amp;display_string=Audit&amp;DYN_ARGS=TRUE&amp;VAR:ID1=PWR&amp;VAR:RCODE=FIBCEBITDA&amp;VAR:SDATE=20090699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5__FDSAUDITLINK__" localSheetId="5" hidden="1">{"fdsup://IBCentral/FAT Viewer?action=UPDATE&amp;creator=factset&amp;DOC_NAME=fat:reuters_ltm_source_window.fat&amp;display_string=Audit&amp;DYN_ARGS=TRUE&amp;VAR:ID1=LUV&amp;VAR:RCODE=FDSREVSTOTAL&amp;VAR:SDATE=20090699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5__FDSAUDITLINK__" localSheetId="0" hidden="1">{"fdsup://IBCentral/FAT Viewer?action=UPDATE&amp;creator=factset&amp;DOC_NAME=fat:reuters_ltm_source_window.fat&amp;display_string=Audit&amp;DYN_ARGS=TRUE&amp;VAR:ID1=LUV&amp;VAR:RCODE=FDSREVSTOTAL&amp;VAR:SDATE=20090699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5__FDSAUDITLINK__" localSheetId="4" hidden="1">{"fdsup://IBCentral/FAT Viewer?action=UPDATE&amp;creator=factset&amp;DOC_NAME=fat:reuters_ltm_source_window.fat&amp;display_string=Audit&amp;DYN_ARGS=TRUE&amp;VAR:ID1=LUV&amp;VAR:RCODE=FDSREVSTOTAL&amp;VAR:SDATE=20090699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5__FDSAUDITLINK__" hidden="1">{"fdsup://IBCentral/FAT Viewer?action=UPDATE&amp;creator=factset&amp;DOC_NAME=fat:reuters_ltm_source_window.fat&amp;display_string=Audit&amp;DYN_ARGS=TRUE&amp;VAR:ID1=LUV&amp;VAR:RCODE=FDSREVSTOTAL&amp;VAR:SDATE=20090699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6__FDSAUDITLINK__" localSheetId="5" hidden="1">{"fdsup://IBCentral/FAT Viewer?action=UPDATE&amp;creator=factset&amp;DOC_NAME=fat:reuters_ltm_source_window.fat&amp;display_string=Audit&amp;DYN_ARGS=TRUE&amp;VAR:ID1=LUV&amp;VAR:RCODE=FIBCEBITDA&amp;VAR:SDATE=20090699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6__FDSAUDITLINK__" localSheetId="0" hidden="1">{"fdsup://IBCentral/FAT Viewer?action=UPDATE&amp;creator=factset&amp;DOC_NAME=fat:reuters_ltm_source_window.fat&amp;display_string=Audit&amp;DYN_ARGS=TRUE&amp;VAR:ID1=LUV&amp;VAR:RCODE=FIBCEBITDA&amp;VAR:SDATE=20090699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6__FDSAUDITLINK__" localSheetId="4" hidden="1">{"fdsup://IBCentral/FAT Viewer?action=UPDATE&amp;creator=factset&amp;DOC_NAME=fat:reuters_ltm_source_window.fat&amp;display_string=Audit&amp;DYN_ARGS=TRUE&amp;VAR:ID1=LUV&amp;VAR:RCODE=FIBCEBITDA&amp;VAR:SDATE=20090699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6__FDSAUDITLINK__" hidden="1">{"fdsup://IBCentral/FAT Viewer?action=UPDATE&amp;creator=factset&amp;DOC_NAME=fat:reuters_ltm_source_window.fat&amp;display_string=Audit&amp;DYN_ARGS=TRUE&amp;VAR:ID1=LUV&amp;VAR:RCODE=FIBCEBITDA&amp;VAR:SDATE=20090699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7__FDSAUDITLINK__" localSheetId="5" hidden="1">{"fdsup://IBCentral/FAT Viewer?action=UPDATE&amp;creator=factset&amp;DOC_NAME=fat:reuters_ltm_source_window.fat&amp;display_string=Audit&amp;DYN_ARGS=TRUE&amp;VAR:ID1=IRM&amp;VAR:RCODE=FDSREVSTOTAL&amp;VAR:SDATE=20090699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7__FDSAUDITLINK__" localSheetId="0" hidden="1">{"fdsup://IBCentral/FAT Viewer?action=UPDATE&amp;creator=factset&amp;DOC_NAME=fat:reuters_ltm_source_window.fat&amp;display_string=Audit&amp;DYN_ARGS=TRUE&amp;VAR:ID1=IRM&amp;VAR:RCODE=FDSREVSTOTAL&amp;VAR:SDATE=20090699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7__FDSAUDITLINK__" localSheetId="4" hidden="1">{"fdsup://IBCentral/FAT Viewer?action=UPDATE&amp;creator=factset&amp;DOC_NAME=fat:reuters_ltm_source_window.fat&amp;display_string=Audit&amp;DYN_ARGS=TRUE&amp;VAR:ID1=IRM&amp;VAR:RCODE=FDSREVSTOTAL&amp;VAR:SDATE=20090699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7__FDSAUDITLINK__" hidden="1">{"fdsup://IBCentral/FAT Viewer?action=UPDATE&amp;creator=factset&amp;DOC_NAME=fat:reuters_ltm_source_window.fat&amp;display_string=Audit&amp;DYN_ARGS=TRUE&amp;VAR:ID1=IRM&amp;VAR:RCODE=FDSREVSTOTAL&amp;VAR:SDATE=20090699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38__FDSAUDITLINK__" localSheetId="5" hidden="1">{"fdsup://IBCentral/FAT Viewer?action=UPDATE&amp;creator=factset&amp;DOC_NAME=fat:reuters_ltm_source_window.fat&amp;display_string=Audit&amp;DYN_ARGS=TRUE&amp;VAR:ID1=IRM&amp;VAR:RCODE=FIBCEBITDA&amp;VAR:SDATE=20090699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8__FDSAUDITLINK__" localSheetId="0" hidden="1">{"fdsup://IBCentral/FAT Viewer?action=UPDATE&amp;creator=factset&amp;DOC_NAME=fat:reuters_ltm_source_window.fat&amp;display_string=Audit&amp;DYN_ARGS=TRUE&amp;VAR:ID1=IRM&amp;VAR:RCODE=FIBCEBITDA&amp;VAR:SDATE=20090699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8__FDSAUDITLINK__" localSheetId="4" hidden="1">{"fdsup://IBCentral/FAT Viewer?action=UPDATE&amp;creator=factset&amp;DOC_NAME=fat:reuters_ltm_source_window.fat&amp;display_string=Audit&amp;DYN_ARGS=TRUE&amp;VAR:ID1=IRM&amp;VAR:RCODE=FIBCEBITDA&amp;VAR:SDATE=20090699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8__FDSAUDITLINK__" hidden="1">{"fdsup://IBCentral/FAT Viewer?action=UPDATE&amp;creator=factset&amp;DOC_NAME=fat:reuters_ltm_source_window.fat&amp;display_string=Audit&amp;DYN_ARGS=TRUE&amp;VAR:ID1=IRM&amp;VAR:RCODE=FIBCEBITDA&amp;VAR:SDATE=20090699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39__FDSAUDITLINK__" localSheetId="5" hidden="1">{"fdsup://IBCentral/FAT Viewer?action=UPDATE&amp;creator=factset&amp;DOC_NAME=fat:reuters_ltm_source_window.fat&amp;display_string=Audit&amp;DYN_ARGS=TRUE&amp;VAR:ID1=FAST&amp;VAR:RCODE=FDSREVSTOTAL&amp;VAR:SDATE=20090699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39__FDSAUDITLINK__" localSheetId="0" hidden="1">{"fdsup://IBCentral/FAT Viewer?action=UPDATE&amp;creator=factset&amp;DOC_NAME=fat:reuters_ltm_source_window.fat&amp;display_string=Audit&amp;DYN_ARGS=TRUE&amp;VAR:ID1=FAST&amp;VAR:RCODE=FDSREVSTOTAL&amp;VAR:SDATE=20090699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39__FDSAUDITLINK__" localSheetId="4" hidden="1">{"fdsup://IBCentral/FAT Viewer?action=UPDATE&amp;creator=factset&amp;DOC_NAME=fat:reuters_ltm_source_window.fat&amp;display_string=Audit&amp;DYN_ARGS=TRUE&amp;VAR:ID1=FAST&amp;VAR:RCODE=FDSREVSTOTAL&amp;VAR:SDATE=20090699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39__FDSAUDITLINK__" hidden="1">{"fdsup://IBCentral/FAT Viewer?action=UPDATE&amp;creator=factset&amp;DOC_NAME=fat:reuters_ltm_source_window.fat&amp;display_string=Audit&amp;DYN_ARGS=TRUE&amp;VAR:ID1=FAST&amp;VAR:RCODE=FDSREVSTOTAL&amp;VAR:SDATE=20090699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4__FDSAUDITLINK__" localSheetId="5" hidden="1">{"fdsup://IBCentral/FAT Viewer?action=UPDATE&amp;creator=factset&amp;DOC_NAME=fat:reuters_ltm_source_window.fat&amp;display_string=Audit&amp;DYN_ARGS=TRUE&amp;VAR:ID1=FLS&amp;VAR:RCODE=FIBCEBITDA&amp;VAR:SDATE=20090399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__FDSAUDITLINK__" localSheetId="0" hidden="1">{"fdsup://IBCentral/FAT Viewer?action=UPDATE&amp;creator=factset&amp;DOC_NAME=fat:reuters_ltm_source_window.fat&amp;display_string=Audit&amp;DYN_ARGS=TRUE&amp;VAR:ID1=FLS&amp;VAR:RCODE=FIBCEBITDA&amp;VAR:SDATE=20090399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__FDSAUDITLINK__" localSheetId="4" hidden="1">{"fdsup://IBCentral/FAT Viewer?action=UPDATE&amp;creator=factset&amp;DOC_NAME=fat:reuters_ltm_source_window.fat&amp;display_string=Audit&amp;DYN_ARGS=TRUE&amp;VAR:ID1=FLS&amp;VAR:RCODE=FIBCEBITDA&amp;VAR:SDATE=20090399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__FDSAUDITLINK__" hidden="1">{"fdsup://IBCentral/FAT Viewer?action=UPDATE&amp;creator=factset&amp;DOC_NAME=fat:reuters_ltm_source_window.fat&amp;display_string=Audit&amp;DYN_ARGS=TRUE&amp;VAR:ID1=FLS&amp;VAR:RCODE=FIBCEBITDA&amp;VAR:SDATE=20090399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0__FDSAUDITLINK__" localSheetId="5" hidden="1">{"fdsup://IBCentral/FAT Viewer?action=UPDATE&amp;creator=factset&amp;DOC_NAME=fat:reuters_ltm_source_window.fat&amp;display_string=Audit&amp;DYN_ARGS=TRUE&amp;VAR:ID1=FAST&amp;VAR:RCODE=FIBCEBITDA&amp;VAR:SDATE=20090699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0__FDSAUDITLINK__" localSheetId="0" hidden="1">{"fdsup://IBCentral/FAT Viewer?action=UPDATE&amp;creator=factset&amp;DOC_NAME=fat:reuters_ltm_source_window.fat&amp;display_string=Audit&amp;DYN_ARGS=TRUE&amp;VAR:ID1=FAST&amp;VAR:RCODE=FIBCEBITDA&amp;VAR:SDATE=20090699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0__FDSAUDITLINK__" localSheetId="4" hidden="1">{"fdsup://IBCentral/FAT Viewer?action=UPDATE&amp;creator=factset&amp;DOC_NAME=fat:reuters_ltm_source_window.fat&amp;display_string=Audit&amp;DYN_ARGS=TRUE&amp;VAR:ID1=FAST&amp;VAR:RCODE=FIBCEBITDA&amp;VAR:SDATE=20090699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0__FDSAUDITLINK__" hidden="1">{"fdsup://IBCentral/FAT Viewer?action=UPDATE&amp;creator=factset&amp;DOC_NAME=fat:reuters_ltm_source_window.fat&amp;display_string=Audit&amp;DYN_ARGS=TRUE&amp;VAR:ID1=FAST&amp;VAR:RCODE=FIBCEBITDA&amp;VAR:SDATE=20090699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1__FDSAUDITLINK__" localSheetId="5" hidden="1">{"fdsup://IBCentral/FAT Viewer?action=UPDATE&amp;creator=factset&amp;DOC_NAME=fat:reuters_ltm_source_window.fat&amp;display_string=Audit&amp;DYN_ARGS=TRUE&amp;VAR:ID1=PBI&amp;VAR:RCODE=FDSREVSTOTAL&amp;VAR:SDATE=20090699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1__FDSAUDITLINK__" localSheetId="0" hidden="1">{"fdsup://IBCentral/FAT Viewer?action=UPDATE&amp;creator=factset&amp;DOC_NAME=fat:reuters_ltm_source_window.fat&amp;display_string=Audit&amp;DYN_ARGS=TRUE&amp;VAR:ID1=PBI&amp;VAR:RCODE=FDSREVSTOTAL&amp;VAR:SDATE=20090699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1__FDSAUDITLINK__" localSheetId="4" hidden="1">{"fdsup://IBCentral/FAT Viewer?action=UPDATE&amp;creator=factset&amp;DOC_NAME=fat:reuters_ltm_source_window.fat&amp;display_string=Audit&amp;DYN_ARGS=TRUE&amp;VAR:ID1=PBI&amp;VAR:RCODE=FDSREVSTOTAL&amp;VAR:SDATE=20090699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1__FDSAUDITLINK__" hidden="1">{"fdsup://IBCentral/FAT Viewer?action=UPDATE&amp;creator=factset&amp;DOC_NAME=fat:reuters_ltm_source_window.fat&amp;display_string=Audit&amp;DYN_ARGS=TRUE&amp;VAR:ID1=PBI&amp;VAR:RCODE=FDSREVSTOTAL&amp;VAR:SDATE=20090699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2__FDSAUDITLINK__" localSheetId="5" hidden="1">{"fdsup://IBCentral/FAT Viewer?action=UPDATE&amp;creator=factset&amp;DOC_NAME=fat:reuters_ltm_source_window.fat&amp;display_string=Audit&amp;DYN_ARGS=TRUE&amp;VAR:ID1=PBI&amp;VAR:RCODE=FIBCEBITDA&amp;VAR:SDATE=20090699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2__FDSAUDITLINK__" localSheetId="0" hidden="1">{"fdsup://IBCentral/FAT Viewer?action=UPDATE&amp;creator=factset&amp;DOC_NAME=fat:reuters_ltm_source_window.fat&amp;display_string=Audit&amp;DYN_ARGS=TRUE&amp;VAR:ID1=PBI&amp;VAR:RCODE=FIBCEBITDA&amp;VAR:SDATE=20090699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2__FDSAUDITLINK__" localSheetId="4" hidden="1">{"fdsup://IBCentral/FAT Viewer?action=UPDATE&amp;creator=factset&amp;DOC_NAME=fat:reuters_ltm_source_window.fat&amp;display_string=Audit&amp;DYN_ARGS=TRUE&amp;VAR:ID1=PBI&amp;VAR:RCODE=FIBCEBITDA&amp;VAR:SDATE=20090699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2__FDSAUDITLINK__" hidden="1">{"fdsup://IBCentral/FAT Viewer?action=UPDATE&amp;creator=factset&amp;DOC_NAME=fat:reuters_ltm_source_window.fat&amp;display_string=Audit&amp;DYN_ARGS=TRUE&amp;VAR:ID1=PBI&amp;VAR:RCODE=FIBCEBITDA&amp;VAR:SDATE=20090699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3__FDSAUDITLINK__" localSheetId="5" hidden="1">{"fdsup://IBCentral/FAT Viewer?action=UPDATE&amp;creator=factset&amp;DOC_NAME=fat:reuters_ltm_source_window.fat&amp;display_string=Audit&amp;DYN_ARGS=TRUE&amp;VAR:ID1=IR&amp;VAR:RCODE=FDSREVSTOTAL&amp;VAR:SDATE=20090699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3__FDSAUDITLINK__" localSheetId="0" hidden="1">{"fdsup://IBCentral/FAT Viewer?action=UPDATE&amp;creator=factset&amp;DOC_NAME=fat:reuters_ltm_source_window.fat&amp;display_string=Audit&amp;DYN_ARGS=TRUE&amp;VAR:ID1=IR&amp;VAR:RCODE=FDSREVSTOTAL&amp;VAR:SDATE=20090699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3__FDSAUDITLINK__" localSheetId="4" hidden="1">{"fdsup://IBCentral/FAT Viewer?action=UPDATE&amp;creator=factset&amp;DOC_NAME=fat:reuters_ltm_source_window.fat&amp;display_string=Audit&amp;DYN_ARGS=TRUE&amp;VAR:ID1=IR&amp;VAR:RCODE=FDSREVSTOTAL&amp;VAR:SDATE=20090699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3__FDSAUDITLINK__" hidden="1">{"fdsup://IBCentral/FAT Viewer?action=UPDATE&amp;creator=factset&amp;DOC_NAME=fat:reuters_ltm_source_window.fat&amp;display_string=Audit&amp;DYN_ARGS=TRUE&amp;VAR:ID1=IR&amp;VAR:RCODE=FDSREVSTOTAL&amp;VAR:SDATE=20090699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4__FDSAUDITLINK__" localSheetId="5" hidden="1">{"fdsup://IBCentral/FAT Viewer?action=UPDATE&amp;creator=factset&amp;DOC_NAME=fat:reuters_ltm_source_window.fat&amp;display_string=Audit&amp;DYN_ARGS=TRUE&amp;VAR:ID1=IR&amp;VAR:RCODE=FIBCEBITDA&amp;VAR:SDATE=20090699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44__FDSAUDITLINK__" localSheetId="0" hidden="1">{"fdsup://IBCentral/FAT Viewer?action=UPDATE&amp;creator=factset&amp;DOC_NAME=fat:reuters_ltm_source_window.fat&amp;display_string=Audit&amp;DYN_ARGS=TRUE&amp;VAR:ID1=IR&amp;VAR:RCODE=FIBCEBITDA&amp;VAR:SDATE=20090699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44__FDSAUDITLINK__" localSheetId="4" hidden="1">{"fdsup://IBCentral/FAT Viewer?action=UPDATE&amp;creator=factset&amp;DOC_NAME=fat:reuters_ltm_source_window.fat&amp;display_string=Audit&amp;DYN_ARGS=TRUE&amp;VAR:ID1=IR&amp;VAR:RCODE=FIBCEBITDA&amp;VAR:SDATE=20090699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44__FDSAUDITLINK__" hidden="1">{"fdsup://IBCentral/FAT Viewer?action=UPDATE&amp;creator=factset&amp;DOC_NAME=fat:reuters_ltm_source_window.fat&amp;display_string=Audit&amp;DYN_ARGS=TRUE&amp;VAR:ID1=IR&amp;VAR:RCODE=FIBCEBITDA&amp;VAR:SDATE=20090699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45__FDSAUDITLINK__" localSheetId="5" hidden="1">{"fdsup://IBCentral/FAT Viewer?action=UPDATE&amp;creator=factset&amp;DOC_NAME=fat:reuters_ltm_source_window.fat&amp;display_string=Audit&amp;DYN_ARGS=TRUE&amp;VAR:ID1=GR&amp;VAR:RCODE=FDSREVSTOTAL&amp;VAR:SDATE=20090699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5__FDSAUDITLINK__" localSheetId="0" hidden="1">{"fdsup://IBCentral/FAT Viewer?action=UPDATE&amp;creator=factset&amp;DOC_NAME=fat:reuters_ltm_source_window.fat&amp;display_string=Audit&amp;DYN_ARGS=TRUE&amp;VAR:ID1=GR&amp;VAR:RCODE=FDSREVSTOTAL&amp;VAR:SDATE=20090699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5__FDSAUDITLINK__" localSheetId="4" hidden="1">{"fdsup://IBCentral/FAT Viewer?action=UPDATE&amp;creator=factset&amp;DOC_NAME=fat:reuters_ltm_source_window.fat&amp;display_string=Audit&amp;DYN_ARGS=TRUE&amp;VAR:ID1=GR&amp;VAR:RCODE=FDSREVSTOTAL&amp;VAR:SDATE=20090699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5__FDSAUDITLINK__" hidden="1">{"fdsup://IBCentral/FAT Viewer?action=UPDATE&amp;creator=factset&amp;DOC_NAME=fat:reuters_ltm_source_window.fat&amp;display_string=Audit&amp;DYN_ARGS=TRUE&amp;VAR:ID1=GR&amp;VAR:RCODE=FDSREVSTOTAL&amp;VAR:SDATE=20090699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46__FDSAUDITLINK__" localSheetId="5" hidden="1">{"fdsup://IBCentral/FAT Viewer?action=UPDATE&amp;creator=factset&amp;DOC_NAME=fat:reuters_ltm_source_window.fat&amp;display_string=Audit&amp;DYN_ARGS=TRUE&amp;VAR:ID1=GR&amp;VAR:RCODE=FIBCEBITDA&amp;VAR:SDATE=20090699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46__FDSAUDITLINK__" localSheetId="0" hidden="1">{"fdsup://IBCentral/FAT Viewer?action=UPDATE&amp;creator=factset&amp;DOC_NAME=fat:reuters_ltm_source_window.fat&amp;display_string=Audit&amp;DYN_ARGS=TRUE&amp;VAR:ID1=GR&amp;VAR:RCODE=FIBCEBITDA&amp;VAR:SDATE=20090699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46__FDSAUDITLINK__" localSheetId="4" hidden="1">{"fdsup://IBCentral/FAT Viewer?action=UPDATE&amp;creator=factset&amp;DOC_NAME=fat:reuters_ltm_source_window.fat&amp;display_string=Audit&amp;DYN_ARGS=TRUE&amp;VAR:ID1=GR&amp;VAR:RCODE=FIBCEBITDA&amp;VAR:SDATE=20090699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46__FDSAUDITLINK__" hidden="1">{"fdsup://IBCentral/FAT Viewer?action=UPDATE&amp;creator=factset&amp;DOC_NAME=fat:reuters_ltm_source_window.fat&amp;display_string=Audit&amp;DYN_ARGS=TRUE&amp;VAR:ID1=GR&amp;VAR:RCODE=FIBCEBITDA&amp;VAR:SDATE=20090699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47__FDSAUDITLINK__" localSheetId="5" hidden="1">{"fdsup://IBCentral/FAT Viewer?action=UPDATE&amp;creator=factset&amp;DOC_NAME=fat:reuters_ltm_source_window.fat&amp;display_string=Audit&amp;DYN_ARGS=TRUE&amp;VAR:ID1=JEC&amp;VAR:RCODE=FDSREVSTOTAL&amp;VAR:SDATE=20090699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7__FDSAUDITLINK__" localSheetId="0" hidden="1">{"fdsup://IBCentral/FAT Viewer?action=UPDATE&amp;creator=factset&amp;DOC_NAME=fat:reuters_ltm_source_window.fat&amp;display_string=Audit&amp;DYN_ARGS=TRUE&amp;VAR:ID1=JEC&amp;VAR:RCODE=FDSREVSTOTAL&amp;VAR:SDATE=20090699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7__FDSAUDITLINK__" localSheetId="4" hidden="1">{"fdsup://IBCentral/FAT Viewer?action=UPDATE&amp;creator=factset&amp;DOC_NAME=fat:reuters_ltm_source_window.fat&amp;display_string=Audit&amp;DYN_ARGS=TRUE&amp;VAR:ID1=JEC&amp;VAR:RCODE=FDSREVSTOTAL&amp;VAR:SDATE=20090699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7__FDSAUDITLINK__" hidden="1">{"fdsup://IBCentral/FAT Viewer?action=UPDATE&amp;creator=factset&amp;DOC_NAME=fat:reuters_ltm_source_window.fat&amp;display_string=Audit&amp;DYN_ARGS=TRUE&amp;VAR:ID1=JEC&amp;VAR:RCODE=FDSREVSTOTAL&amp;VAR:SDATE=20090699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8__FDSAUDITLINK__" localSheetId="5" hidden="1">{"fdsup://IBCentral/FAT Viewer?action=UPDATE&amp;creator=factset&amp;DOC_NAME=fat:reuters_ltm_source_window.fat&amp;display_string=Audit&amp;DYN_ARGS=TRUE&amp;VAR:ID1=JEC&amp;VAR:RCODE=FIBCEBITDA&amp;VAR:SDATE=20090699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8__FDSAUDITLINK__" localSheetId="0" hidden="1">{"fdsup://IBCentral/FAT Viewer?action=UPDATE&amp;creator=factset&amp;DOC_NAME=fat:reuters_ltm_source_window.fat&amp;display_string=Audit&amp;DYN_ARGS=TRUE&amp;VAR:ID1=JEC&amp;VAR:RCODE=FIBCEBITDA&amp;VAR:SDATE=20090699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8__FDSAUDITLINK__" localSheetId="4" hidden="1">{"fdsup://IBCentral/FAT Viewer?action=UPDATE&amp;creator=factset&amp;DOC_NAME=fat:reuters_ltm_source_window.fat&amp;display_string=Audit&amp;DYN_ARGS=TRUE&amp;VAR:ID1=JEC&amp;VAR:RCODE=FIBCEBITDA&amp;VAR:SDATE=20090699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8__FDSAUDITLINK__" hidden="1">{"fdsup://IBCentral/FAT Viewer?action=UPDATE&amp;creator=factset&amp;DOC_NAME=fat:reuters_ltm_source_window.fat&amp;display_string=Audit&amp;DYN_ARGS=TRUE&amp;VAR:ID1=JEC&amp;VAR:RCODE=FIBCEBITDA&amp;VAR:SDATE=20090699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49__FDSAUDITLINK__" localSheetId="5" hidden="1">{"fdsup://IBCentral/FAT Viewer?action=UPDATE&amp;creator=factset&amp;DOC_NAME=fat:reuters_ltm_source_window.fat&amp;display_string=Audit&amp;DYN_ARGS=TRUE&amp;VAR:ID1=DOV&amp;VAR:RCODE=FDSREVSTOTAL&amp;VAR:SDATE=20090699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9__FDSAUDITLINK__" localSheetId="0" hidden="1">{"fdsup://IBCentral/FAT Viewer?action=UPDATE&amp;creator=factset&amp;DOC_NAME=fat:reuters_ltm_source_window.fat&amp;display_string=Audit&amp;DYN_ARGS=TRUE&amp;VAR:ID1=DOV&amp;VAR:RCODE=FDSREVSTOTAL&amp;VAR:SDATE=20090699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9__FDSAUDITLINK__" localSheetId="4" hidden="1">{"fdsup://IBCentral/FAT Viewer?action=UPDATE&amp;creator=factset&amp;DOC_NAME=fat:reuters_ltm_source_window.fat&amp;display_string=Audit&amp;DYN_ARGS=TRUE&amp;VAR:ID1=DOV&amp;VAR:RCODE=FDSREVSTOTAL&amp;VAR:SDATE=20090699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49__FDSAUDITLINK__" hidden="1">{"fdsup://IBCentral/FAT Viewer?action=UPDATE&amp;creator=factset&amp;DOC_NAME=fat:reuters_ltm_source_window.fat&amp;display_string=Audit&amp;DYN_ARGS=TRUE&amp;VAR:ID1=DOV&amp;VAR:RCODE=FDSREVSTOTAL&amp;VAR:SDATE=20090699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__123Graph_AChart_1O" localSheetId="0" hidden="1">#REF!</definedName>
    <definedName name="_75__123Graph_AChart_1O" hidden="1">#REF!</definedName>
    <definedName name="_75__FDSAUDITLINK__" localSheetId="5" hidden="1">{"fdsup://IBCentral/FAT Viewer?action=UPDATE&amp;creator=factset&amp;DOC_NAME=fat:reuters_ltm_source_window.fat&amp;display_string=Audit&amp;DYN_ARGS=TRUE&amp;VAR:ID1=AME&amp;VAR:RCODE=FIBCEBITDA&amp;VAR:SDATE=20090399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__FDSAUDITLINK__" localSheetId="0" hidden="1">{"fdsup://IBCentral/FAT Viewer?action=UPDATE&amp;creator=factset&amp;DOC_NAME=fat:reuters_ltm_source_window.fat&amp;display_string=Audit&amp;DYN_ARGS=TRUE&amp;VAR:ID1=AME&amp;VAR:RCODE=FIBCEBITDA&amp;VAR:SDATE=20090399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__FDSAUDITLINK__" localSheetId="4" hidden="1">{"fdsup://IBCentral/FAT Viewer?action=UPDATE&amp;creator=factset&amp;DOC_NAME=fat:reuters_ltm_source_window.fat&amp;display_string=Audit&amp;DYN_ARGS=TRUE&amp;VAR:ID1=AME&amp;VAR:RCODE=FIBCEBITDA&amp;VAR:SDATE=20090399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__FDSAUDITLINK__" hidden="1">{"fdsup://IBCentral/FAT Viewer?action=UPDATE&amp;creator=factset&amp;DOC_NAME=fat:reuters_ltm_source_window.fat&amp;display_string=Audit&amp;DYN_ARGS=TRUE&amp;VAR:ID1=AME&amp;VAR:RCODE=FIBCEBITDA&amp;VAR:SDATE=20090399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0__FDSAUDITLINK__" localSheetId="5" hidden="1">{"fdsup://IBCentral/FAT Viewer?action=UPDATE&amp;creator=factset&amp;DOC_NAME=fat:reuters_ltm_source_window.fat&amp;display_string=Audit&amp;DYN_ARGS=TRUE&amp;VAR:ID1=DOV&amp;VAR:RCODE=FIBCEBITDA&amp;VAR:SDATE=20090699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0__FDSAUDITLINK__" localSheetId="0" hidden="1">{"fdsup://IBCentral/FAT Viewer?action=UPDATE&amp;creator=factset&amp;DOC_NAME=fat:reuters_ltm_source_window.fat&amp;display_string=Audit&amp;DYN_ARGS=TRUE&amp;VAR:ID1=DOV&amp;VAR:RCODE=FIBCEBITDA&amp;VAR:SDATE=20090699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0__FDSAUDITLINK__" localSheetId="4" hidden="1">{"fdsup://IBCentral/FAT Viewer?action=UPDATE&amp;creator=factset&amp;DOC_NAME=fat:reuters_ltm_source_window.fat&amp;display_string=Audit&amp;DYN_ARGS=TRUE&amp;VAR:ID1=DOV&amp;VAR:RCODE=FIBCEBITDA&amp;VAR:SDATE=20090699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0__FDSAUDITLINK__" hidden="1">{"fdsup://IBCentral/FAT Viewer?action=UPDATE&amp;creator=factset&amp;DOC_NAME=fat:reuters_ltm_source_window.fat&amp;display_string=Audit&amp;DYN_ARGS=TRUE&amp;VAR:ID1=DOV&amp;VAR:RCODE=FIBCEBITDA&amp;VAR:SDATE=20090699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1__FDSAUDITLINK__" localSheetId="5" hidden="1">{"fdsup://IBCentral/FAT Viewer?action=UPDATE&amp;creator=factset&amp;DOC_NAME=fat:reuters_ltm_source_window.fat&amp;display_string=Audit&amp;DYN_ARGS=TRUE&amp;VAR:ID1=COL&amp;VAR:RCODE=FDSREVSTOTAL&amp;VAR:SDATE=20090699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1__FDSAUDITLINK__" localSheetId="0" hidden="1">{"fdsup://IBCentral/FAT Viewer?action=UPDATE&amp;creator=factset&amp;DOC_NAME=fat:reuters_ltm_source_window.fat&amp;display_string=Audit&amp;DYN_ARGS=TRUE&amp;VAR:ID1=COL&amp;VAR:RCODE=FDSREVSTOTAL&amp;VAR:SDATE=20090699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1__FDSAUDITLINK__" localSheetId="4" hidden="1">{"fdsup://IBCentral/FAT Viewer?action=UPDATE&amp;creator=factset&amp;DOC_NAME=fat:reuters_ltm_source_window.fat&amp;display_string=Audit&amp;DYN_ARGS=TRUE&amp;VAR:ID1=COL&amp;VAR:RCODE=FDSREVSTOTAL&amp;VAR:SDATE=20090699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1__FDSAUDITLINK__" hidden="1">{"fdsup://IBCentral/FAT Viewer?action=UPDATE&amp;creator=factset&amp;DOC_NAME=fat:reuters_ltm_source_window.fat&amp;display_string=Audit&amp;DYN_ARGS=TRUE&amp;VAR:ID1=COL&amp;VAR:RCODE=FDSREVSTOTAL&amp;VAR:SDATE=20090699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2__FDSAUDITLINK__" localSheetId="5" hidden="1">{"fdsup://IBCentral/FAT Viewer?action=UPDATE&amp;creator=factset&amp;DOC_NAME=fat:reuters_ltm_source_window.fat&amp;display_string=Audit&amp;DYN_ARGS=TRUE&amp;VAR:ID1=COL&amp;VAR:RCODE=FIBCEBITDA&amp;VAR:SDATE=20090699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2__FDSAUDITLINK__" localSheetId="0" hidden="1">{"fdsup://IBCentral/FAT Viewer?action=UPDATE&amp;creator=factset&amp;DOC_NAME=fat:reuters_ltm_source_window.fat&amp;display_string=Audit&amp;DYN_ARGS=TRUE&amp;VAR:ID1=COL&amp;VAR:RCODE=FIBCEBITDA&amp;VAR:SDATE=20090699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2__FDSAUDITLINK__" localSheetId="4" hidden="1">{"fdsup://IBCentral/FAT Viewer?action=UPDATE&amp;creator=factset&amp;DOC_NAME=fat:reuters_ltm_source_window.fat&amp;display_string=Audit&amp;DYN_ARGS=TRUE&amp;VAR:ID1=COL&amp;VAR:RCODE=FIBCEBITDA&amp;VAR:SDATE=20090699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2__FDSAUDITLINK__" hidden="1">{"fdsup://IBCentral/FAT Viewer?action=UPDATE&amp;creator=factset&amp;DOC_NAME=fat:reuters_ltm_source_window.fat&amp;display_string=Audit&amp;DYN_ARGS=TRUE&amp;VAR:ID1=COL&amp;VAR:RCODE=FIBCEBITDA&amp;VAR:SDATE=20090699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3__FDSAUDITLINK__" localSheetId="5" hidden="1">{"fdsup://IBCentral/FAT Viewer?action=UPDATE&amp;creator=factset&amp;DOC_NAME=fat:reuters_ltm_source_window.fat&amp;display_string=Audit&amp;DYN_ARGS=TRUE&amp;VAR:ID1=GWW&amp;VAR:RCODE=FDSREVSTOTAL&amp;VAR:SDATE=20090699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3__FDSAUDITLINK__" localSheetId="0" hidden="1">{"fdsup://IBCentral/FAT Viewer?action=UPDATE&amp;creator=factset&amp;DOC_NAME=fat:reuters_ltm_source_window.fat&amp;display_string=Audit&amp;DYN_ARGS=TRUE&amp;VAR:ID1=GWW&amp;VAR:RCODE=FDSREVSTOTAL&amp;VAR:SDATE=20090699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3__FDSAUDITLINK__" localSheetId="4" hidden="1">{"fdsup://IBCentral/FAT Viewer?action=UPDATE&amp;creator=factset&amp;DOC_NAME=fat:reuters_ltm_source_window.fat&amp;display_string=Audit&amp;DYN_ARGS=TRUE&amp;VAR:ID1=GWW&amp;VAR:RCODE=FDSREVSTOTAL&amp;VAR:SDATE=20090699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3__FDSAUDITLINK__" hidden="1">{"fdsup://IBCentral/FAT Viewer?action=UPDATE&amp;creator=factset&amp;DOC_NAME=fat:reuters_ltm_source_window.fat&amp;display_string=Audit&amp;DYN_ARGS=TRUE&amp;VAR:ID1=GWW&amp;VAR:RCODE=FDSREVSTOTAL&amp;VAR:SDATE=20090699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4__FDSAUDITLINK__" localSheetId="5" hidden="1">{"fdsup://IBCentral/FAT Viewer?action=UPDATE&amp;creator=factset&amp;DOC_NAME=fat:reuters_ltm_source_window.fat&amp;display_string=Audit&amp;DYN_ARGS=TRUE&amp;VAR:ID1=GWW&amp;VAR:RCODE=FIBCEBITDA&amp;VAR:SDATE=20090699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4__FDSAUDITLINK__" localSheetId="0" hidden="1">{"fdsup://IBCentral/FAT Viewer?action=UPDATE&amp;creator=factset&amp;DOC_NAME=fat:reuters_ltm_source_window.fat&amp;display_string=Audit&amp;DYN_ARGS=TRUE&amp;VAR:ID1=GWW&amp;VAR:RCODE=FIBCEBITDA&amp;VAR:SDATE=20090699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4__FDSAUDITLINK__" localSheetId="4" hidden="1">{"fdsup://IBCentral/FAT Viewer?action=UPDATE&amp;creator=factset&amp;DOC_NAME=fat:reuters_ltm_source_window.fat&amp;display_string=Audit&amp;DYN_ARGS=TRUE&amp;VAR:ID1=GWW&amp;VAR:RCODE=FIBCEBITDA&amp;VAR:SDATE=20090699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4__FDSAUDITLINK__" hidden="1">{"fdsup://IBCentral/FAT Viewer?action=UPDATE&amp;creator=factset&amp;DOC_NAME=fat:reuters_ltm_source_window.fat&amp;display_string=Audit&amp;DYN_ARGS=TRUE&amp;VAR:ID1=GWW&amp;VAR:RCODE=FIBCEBITDA&amp;VAR:SDATE=20090699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5__FDSAUDITLINK__" localSheetId="5" hidden="1">{"fdsup://IBCentral/FAT Viewer?action=UPDATE&amp;creator=factset&amp;DOC_NAME=fat:reuters_annual_source_window.fat&amp;display_string=Audit&amp;DYN_ARGS=TRUE&amp;VAR:ID1=70109410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755__FDSAUDITLINK__" localSheetId="0" hidden="1">{"fdsup://IBCentral/FAT Viewer?action=UPDATE&amp;creator=factset&amp;DOC_NAME=fat:reuters_annual_source_window.fat&amp;display_string=Audit&amp;DYN_ARGS=TRUE&amp;VAR:ID1=70109410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755__FDSAUDITLINK__" localSheetId="4" hidden="1">{"fdsup://IBCentral/FAT Viewer?action=UPDATE&amp;creator=factset&amp;DOC_NAME=fat:reuters_annual_source_window.fat&amp;display_string=Audit&amp;DYN_ARGS=TRUE&amp;VAR:ID1=70109410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755__FDSAUDITLINK__" hidden="1">{"fdsup://IBCentral/FAT Viewer?action=UPDATE&amp;creator=factset&amp;DOC_NAME=fat:reuters_annual_source_window.fat&amp;display_string=Audit&amp;DYN_ARGS=TRUE&amp;VAR:ID1=70109410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756__FDSAUDITLINK__" localSheetId="5" hidden="1">{"fdsup://IBCentral/FAT Viewer?action=UPDATE&amp;creator=factset&amp;DOC_NAME=fat:reuters_annual_source_window.fat&amp;display_string=Audit&amp;DYN_ARGS=TRUE&amp;VAR:ID1=70109410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756__FDSAUDITLINK__" localSheetId="0" hidden="1">{"fdsup://IBCentral/FAT Viewer?action=UPDATE&amp;creator=factset&amp;DOC_NAME=fat:reuters_annual_source_window.fat&amp;display_string=Audit&amp;DYN_ARGS=TRUE&amp;VAR:ID1=70109410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756__FDSAUDITLINK__" localSheetId="4" hidden="1">{"fdsup://IBCentral/FAT Viewer?action=UPDATE&amp;creator=factset&amp;DOC_NAME=fat:reuters_annual_source_window.fat&amp;display_string=Audit&amp;DYN_ARGS=TRUE&amp;VAR:ID1=70109410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756__FDSAUDITLINK__" hidden="1">{"fdsup://IBCentral/FAT Viewer?action=UPDATE&amp;creator=factset&amp;DOC_NAME=fat:reuters_annual_source_window.fat&amp;display_string=Audit&amp;DYN_ARGS=TRUE&amp;VAR:ID1=70109410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757__FDSAUDITLINK__" localSheetId="5" hidden="1">{"fdsup://IBCentral/FAT Viewer?action=UPDATE&amp;creator=factset&amp;DOC_NAME=fat:reuters_ltm_source_window.fat&amp;display_string=Audit&amp;DYN_ARGS=TRUE&amp;VAR:ID1=CMI&amp;VAR:RCODE=FDSREVSTOTAL&amp;VAR:SDATE=20090699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7__FDSAUDITLINK__" localSheetId="0" hidden="1">{"fdsup://IBCentral/FAT Viewer?action=UPDATE&amp;creator=factset&amp;DOC_NAME=fat:reuters_ltm_source_window.fat&amp;display_string=Audit&amp;DYN_ARGS=TRUE&amp;VAR:ID1=CMI&amp;VAR:RCODE=FDSREVSTOTAL&amp;VAR:SDATE=20090699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7__FDSAUDITLINK__" localSheetId="4" hidden="1">{"fdsup://IBCentral/FAT Viewer?action=UPDATE&amp;creator=factset&amp;DOC_NAME=fat:reuters_ltm_source_window.fat&amp;display_string=Audit&amp;DYN_ARGS=TRUE&amp;VAR:ID1=CMI&amp;VAR:RCODE=FDSREVSTOTAL&amp;VAR:SDATE=20090699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7__FDSAUDITLINK__" hidden="1">{"fdsup://IBCentral/FAT Viewer?action=UPDATE&amp;creator=factset&amp;DOC_NAME=fat:reuters_ltm_source_window.fat&amp;display_string=Audit&amp;DYN_ARGS=TRUE&amp;VAR:ID1=CMI&amp;VAR:RCODE=FDSREVSTOTAL&amp;VAR:SDATE=20090699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8__FDSAUDITLINK__" localSheetId="5" hidden="1">{"fdsup://IBCentral/FAT Viewer?action=UPDATE&amp;creator=factset&amp;DOC_NAME=fat:reuters_ltm_source_window.fat&amp;display_string=Audit&amp;DYN_ARGS=TRUE&amp;VAR:ID1=CMI&amp;VAR:RCODE=FIBCEBITDA&amp;VAR:SDATE=20090699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8__FDSAUDITLINK__" localSheetId="0" hidden="1">{"fdsup://IBCentral/FAT Viewer?action=UPDATE&amp;creator=factset&amp;DOC_NAME=fat:reuters_ltm_source_window.fat&amp;display_string=Audit&amp;DYN_ARGS=TRUE&amp;VAR:ID1=CMI&amp;VAR:RCODE=FIBCEBITDA&amp;VAR:SDATE=20090699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8__FDSAUDITLINK__" localSheetId="4" hidden="1">{"fdsup://IBCentral/FAT Viewer?action=UPDATE&amp;creator=factset&amp;DOC_NAME=fat:reuters_ltm_source_window.fat&amp;display_string=Audit&amp;DYN_ARGS=TRUE&amp;VAR:ID1=CMI&amp;VAR:RCODE=FIBCEBITDA&amp;VAR:SDATE=20090699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8__FDSAUDITLINK__" hidden="1">{"fdsup://IBCentral/FAT Viewer?action=UPDATE&amp;creator=factset&amp;DOC_NAME=fat:reuters_ltm_source_window.fat&amp;display_string=Audit&amp;DYN_ARGS=TRUE&amp;VAR:ID1=CMI&amp;VAR:RCODE=FIBCEBITDA&amp;VAR:SDATE=20090699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59__FDSAUDITLINK__" localSheetId="5" hidden="1">{"fdsup://IBCentral/FAT Viewer?action=UPDATE&amp;creator=factset&amp;DOC_NAME=fat:reuters_ltm_source_window.fat&amp;display_string=Audit&amp;DYN_ARGS=TRUE&amp;VAR:ID1=ETN&amp;VAR:RCODE=FDSREVSTOTAL&amp;VAR:SDATE=20090699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9__FDSAUDITLINK__" localSheetId="0" hidden="1">{"fdsup://IBCentral/FAT Viewer?action=UPDATE&amp;creator=factset&amp;DOC_NAME=fat:reuters_ltm_source_window.fat&amp;display_string=Audit&amp;DYN_ARGS=TRUE&amp;VAR:ID1=ETN&amp;VAR:RCODE=FDSREVSTOTAL&amp;VAR:SDATE=20090699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9__FDSAUDITLINK__" localSheetId="4" hidden="1">{"fdsup://IBCentral/FAT Viewer?action=UPDATE&amp;creator=factset&amp;DOC_NAME=fat:reuters_ltm_source_window.fat&amp;display_string=Audit&amp;DYN_ARGS=TRUE&amp;VAR:ID1=ETN&amp;VAR:RCODE=FDSREVSTOTAL&amp;VAR:SDATE=20090699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59__FDSAUDITLINK__" hidden="1">{"fdsup://IBCentral/FAT Viewer?action=UPDATE&amp;creator=factset&amp;DOC_NAME=fat:reuters_ltm_source_window.fat&amp;display_string=Audit&amp;DYN_ARGS=TRUE&amp;VAR:ID1=ETN&amp;VAR:RCODE=FDSREVSTOTAL&amp;VAR:SDATE=20090699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__FDSAUDITLINK__" localSheetId="5" hidden="1">{"fdsup://IBCentral/FAT Viewer?action=UPDATE&amp;creator=factset&amp;DOC_NAME=fat:reuters_ltm_source_window.fat&amp;display_string=Audit&amp;DYN_ARGS=TRUE&amp;VAR:ID1=URS&amp;VAR:RCODE=FIBCEBITDA&amp;VAR:SDATE=20090399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__FDSAUDITLINK__" localSheetId="0" hidden="1">{"fdsup://IBCentral/FAT Viewer?action=UPDATE&amp;creator=factset&amp;DOC_NAME=fat:reuters_ltm_source_window.fat&amp;display_string=Audit&amp;DYN_ARGS=TRUE&amp;VAR:ID1=URS&amp;VAR:RCODE=FIBCEBITDA&amp;VAR:SDATE=20090399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__FDSAUDITLINK__" localSheetId="4" hidden="1">{"fdsup://IBCentral/FAT Viewer?action=UPDATE&amp;creator=factset&amp;DOC_NAME=fat:reuters_ltm_source_window.fat&amp;display_string=Audit&amp;DYN_ARGS=TRUE&amp;VAR:ID1=URS&amp;VAR:RCODE=FIBCEBITDA&amp;VAR:SDATE=20090399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__FDSAUDITLINK__" hidden="1">{"fdsup://IBCentral/FAT Viewer?action=UPDATE&amp;creator=factset&amp;DOC_NAME=fat:reuters_ltm_source_window.fat&amp;display_string=Audit&amp;DYN_ARGS=TRUE&amp;VAR:ID1=URS&amp;VAR:RCODE=FIBCEBITDA&amp;VAR:SDATE=20090399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0__FDSAUDITLINK__" localSheetId="5" hidden="1">{"fdsup://IBCentral/FAT Viewer?action=UPDATE&amp;creator=factset&amp;DOC_NAME=fat:reuters_ltm_source_window.fat&amp;display_string=Audit&amp;DYN_ARGS=TRUE&amp;VAR:ID1=ETN&amp;VAR:RCODE=FIBCEBITDA&amp;VAR:SDATE=20090699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0__FDSAUDITLINK__" localSheetId="0" hidden="1">{"fdsup://IBCentral/FAT Viewer?action=UPDATE&amp;creator=factset&amp;DOC_NAME=fat:reuters_ltm_source_window.fat&amp;display_string=Audit&amp;DYN_ARGS=TRUE&amp;VAR:ID1=ETN&amp;VAR:RCODE=FIBCEBITDA&amp;VAR:SDATE=20090699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0__FDSAUDITLINK__" localSheetId="4" hidden="1">{"fdsup://IBCentral/FAT Viewer?action=UPDATE&amp;creator=factset&amp;DOC_NAME=fat:reuters_ltm_source_window.fat&amp;display_string=Audit&amp;DYN_ARGS=TRUE&amp;VAR:ID1=ETN&amp;VAR:RCODE=FIBCEBITDA&amp;VAR:SDATE=20090699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0__FDSAUDITLINK__" hidden="1">{"fdsup://IBCentral/FAT Viewer?action=UPDATE&amp;creator=factset&amp;DOC_NAME=fat:reuters_ltm_source_window.fat&amp;display_string=Audit&amp;DYN_ARGS=TRUE&amp;VAR:ID1=ETN&amp;VAR:RCODE=FIBCEBITDA&amp;VAR:SDATE=20090699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1__FDSAUDITLINK__" localSheetId="5" hidden="1">{"fdsup://IBCentral/FAT Viewer?action=UPDATE&amp;creator=factset&amp;DOC_NAME=fat:reuters_ltm_source_window.fat&amp;display_string=Audit&amp;DYN_ARGS=TRUE&amp;VAR:ID1=EXPD&amp;VAR:RCODE=FDSREVSTOTAL&amp;VAR:SDATE=20090699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61__FDSAUDITLINK__" localSheetId="0" hidden="1">{"fdsup://IBCentral/FAT Viewer?action=UPDATE&amp;creator=factset&amp;DOC_NAME=fat:reuters_ltm_source_window.fat&amp;display_string=Audit&amp;DYN_ARGS=TRUE&amp;VAR:ID1=EXPD&amp;VAR:RCODE=FDSREVSTOTAL&amp;VAR:SDATE=20090699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61__FDSAUDITLINK__" localSheetId="4" hidden="1">{"fdsup://IBCentral/FAT Viewer?action=UPDATE&amp;creator=factset&amp;DOC_NAME=fat:reuters_ltm_source_window.fat&amp;display_string=Audit&amp;DYN_ARGS=TRUE&amp;VAR:ID1=EXPD&amp;VAR:RCODE=FDSREVSTOTAL&amp;VAR:SDATE=20090699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61__FDSAUDITLINK__" hidden="1">{"fdsup://IBCentral/FAT Viewer?action=UPDATE&amp;creator=factset&amp;DOC_NAME=fat:reuters_ltm_source_window.fat&amp;display_string=Audit&amp;DYN_ARGS=TRUE&amp;VAR:ID1=EXPD&amp;VAR:RCODE=FDSREVSTOTAL&amp;VAR:SDATE=20090699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62__FDSAUDITLINK__" localSheetId="5" hidden="1">{"fdsup://IBCentral/FAT Viewer?action=UPDATE&amp;creator=factset&amp;DOC_NAME=fat:reuters_ltm_source_window.fat&amp;display_string=Audit&amp;DYN_ARGS=TRUE&amp;VAR:ID1=EXPD&amp;VAR:RCODE=FIBCEBITDA&amp;VAR:SDATE=20090699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62__FDSAUDITLINK__" localSheetId="0" hidden="1">{"fdsup://IBCentral/FAT Viewer?action=UPDATE&amp;creator=factset&amp;DOC_NAME=fat:reuters_ltm_source_window.fat&amp;display_string=Audit&amp;DYN_ARGS=TRUE&amp;VAR:ID1=EXPD&amp;VAR:RCODE=FIBCEBITDA&amp;VAR:SDATE=20090699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62__FDSAUDITLINK__" localSheetId="4" hidden="1">{"fdsup://IBCentral/FAT Viewer?action=UPDATE&amp;creator=factset&amp;DOC_NAME=fat:reuters_ltm_source_window.fat&amp;display_string=Audit&amp;DYN_ARGS=TRUE&amp;VAR:ID1=EXPD&amp;VAR:RCODE=FIBCEBITDA&amp;VAR:SDATE=20090699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62__FDSAUDITLINK__" hidden="1">{"fdsup://IBCentral/FAT Viewer?action=UPDATE&amp;creator=factset&amp;DOC_NAME=fat:reuters_ltm_source_window.fat&amp;display_string=Audit&amp;DYN_ARGS=TRUE&amp;VAR:ID1=EXPD&amp;VAR:RCODE=FIBCEBITDA&amp;VAR:SDATE=20090699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63__FDSAUDITLINK__" localSheetId="5" hidden="1">{"fdsup://IBCentral/FAT Viewer?action=UPDATE&amp;creator=factset&amp;DOC_NAME=fat:reuters_ltm_source_window.fat&amp;display_string=Audit&amp;DYN_ARGS=TRUE&amp;VAR:ID1=RSG&amp;VAR:RCODE=FDSREVSTOTAL&amp;VAR:SDATE=20090699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3__FDSAUDITLINK__" localSheetId="0" hidden="1">{"fdsup://IBCentral/FAT Viewer?action=UPDATE&amp;creator=factset&amp;DOC_NAME=fat:reuters_ltm_source_window.fat&amp;display_string=Audit&amp;DYN_ARGS=TRUE&amp;VAR:ID1=RSG&amp;VAR:RCODE=FDSREVSTOTAL&amp;VAR:SDATE=20090699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3__FDSAUDITLINK__" localSheetId="4" hidden="1">{"fdsup://IBCentral/FAT Viewer?action=UPDATE&amp;creator=factset&amp;DOC_NAME=fat:reuters_ltm_source_window.fat&amp;display_string=Audit&amp;DYN_ARGS=TRUE&amp;VAR:ID1=RSG&amp;VAR:RCODE=FDSREVSTOTAL&amp;VAR:SDATE=20090699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3__FDSAUDITLINK__" hidden="1">{"fdsup://IBCentral/FAT Viewer?action=UPDATE&amp;creator=factset&amp;DOC_NAME=fat:reuters_ltm_source_window.fat&amp;display_string=Audit&amp;DYN_ARGS=TRUE&amp;VAR:ID1=RSG&amp;VAR:RCODE=FDSREVSTOTAL&amp;VAR:SDATE=20090699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4__FDSAUDITLINK__" localSheetId="5" hidden="1">{"fdsup://IBCentral/FAT Viewer?action=UPDATE&amp;creator=factset&amp;DOC_NAME=fat:reuters_ltm_source_window.fat&amp;display_string=Audit&amp;DYN_ARGS=TRUE&amp;VAR:ID1=RSG&amp;VAR:RCODE=FIBCEBITDA&amp;VAR:SDATE=20090699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4__FDSAUDITLINK__" localSheetId="0" hidden="1">{"fdsup://IBCentral/FAT Viewer?action=UPDATE&amp;creator=factset&amp;DOC_NAME=fat:reuters_ltm_source_window.fat&amp;display_string=Audit&amp;DYN_ARGS=TRUE&amp;VAR:ID1=RSG&amp;VAR:RCODE=FIBCEBITDA&amp;VAR:SDATE=20090699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4__FDSAUDITLINK__" localSheetId="4" hidden="1">{"fdsup://IBCentral/FAT Viewer?action=UPDATE&amp;creator=factset&amp;DOC_NAME=fat:reuters_ltm_source_window.fat&amp;display_string=Audit&amp;DYN_ARGS=TRUE&amp;VAR:ID1=RSG&amp;VAR:RCODE=FIBCEBITDA&amp;VAR:SDATE=20090699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Viewer?action=UPDATE&amp;creator=factset&amp;DOC_NAME=fat:reuters_ltm_source_window.fat&amp;display_string=Audit&amp;DYN_ARGS=TRUE&amp;VAR:ID1=RSG&amp;VAR:RCODE=FIBCEBITDA&amp;VAR:SDATE=20090699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5__FDSAUDITLINK__" localSheetId="5" hidden="1">{"fdsup://IBCentral/FAT Viewer?action=UPDATE&amp;creator=factset&amp;DOC_NAME=fat:reuters_ltm_source_window.fat&amp;display_string=Audit&amp;DYN_ARGS=TRUE&amp;VAR:ID1=FLR&amp;VAR:RCODE=FDSREVSTOTAL&amp;VAR:SDATE=20090699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5__FDSAUDITLINK__" localSheetId="0" hidden="1">{"fdsup://IBCentral/FAT Viewer?action=UPDATE&amp;creator=factset&amp;DOC_NAME=fat:reuters_ltm_source_window.fat&amp;display_string=Audit&amp;DYN_ARGS=TRUE&amp;VAR:ID1=FLR&amp;VAR:RCODE=FDSREVSTOTAL&amp;VAR:SDATE=20090699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5__FDSAUDITLINK__" localSheetId="4" hidden="1">{"fdsup://IBCentral/FAT Viewer?action=UPDATE&amp;creator=factset&amp;DOC_NAME=fat:reuters_ltm_source_window.fat&amp;display_string=Audit&amp;DYN_ARGS=TRUE&amp;VAR:ID1=FLR&amp;VAR:RCODE=FDSREVSTOTAL&amp;VAR:SDATE=20090699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5__FDSAUDITLINK__" hidden="1">{"fdsup://IBCentral/FAT Viewer?action=UPDATE&amp;creator=factset&amp;DOC_NAME=fat:reuters_ltm_source_window.fat&amp;display_string=Audit&amp;DYN_ARGS=TRUE&amp;VAR:ID1=FLR&amp;VAR:RCODE=FDSREVSTOTAL&amp;VAR:SDATE=20090699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6__FDSAUDITLINK__" localSheetId="5" hidden="1">{"fdsup://IBCentral/FAT Viewer?action=UPDATE&amp;creator=factset&amp;DOC_NAME=fat:reuters_ltm_source_window.fat&amp;display_string=Audit&amp;DYN_ARGS=TRUE&amp;VAR:ID1=FLR&amp;VAR:RCODE=FIBCEBITDA&amp;VAR:SDATE=20090699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6__FDSAUDITLINK__" localSheetId="0" hidden="1">{"fdsup://IBCentral/FAT Viewer?action=UPDATE&amp;creator=factset&amp;DOC_NAME=fat:reuters_ltm_source_window.fat&amp;display_string=Audit&amp;DYN_ARGS=TRUE&amp;VAR:ID1=FLR&amp;VAR:RCODE=FIBCEBITDA&amp;VAR:SDATE=20090699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6__FDSAUDITLINK__" localSheetId="4" hidden="1">{"fdsup://IBCentral/FAT Viewer?action=UPDATE&amp;creator=factset&amp;DOC_NAME=fat:reuters_ltm_source_window.fat&amp;display_string=Audit&amp;DYN_ARGS=TRUE&amp;VAR:ID1=FLR&amp;VAR:RCODE=FIBCEBITDA&amp;VAR:SDATE=20090699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6__FDSAUDITLINK__" hidden="1">{"fdsup://IBCentral/FAT Viewer?action=UPDATE&amp;creator=factset&amp;DOC_NAME=fat:reuters_ltm_source_window.fat&amp;display_string=Audit&amp;DYN_ARGS=TRUE&amp;VAR:ID1=FLR&amp;VAR:RCODE=FIBCEBITDA&amp;VAR:SDATE=20090699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7__FDSAUDITLINK__" localSheetId="5" hidden="1">{"fdsup://IBCentral/FAT Viewer?action=UPDATE&amp;creator=factset&amp;DOC_NAME=fat:reuters_ltm_source_window.fat&amp;display_string=Audit&amp;DYN_ARGS=TRUE&amp;VAR:ID1=ITT&amp;VAR:RCODE=FDSREVSTOTAL&amp;VAR:SDATE=20090699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7__FDSAUDITLINK__" localSheetId="0" hidden="1">{"fdsup://IBCentral/FAT Viewer?action=UPDATE&amp;creator=factset&amp;DOC_NAME=fat:reuters_ltm_source_window.fat&amp;display_string=Audit&amp;DYN_ARGS=TRUE&amp;VAR:ID1=ITT&amp;VAR:RCODE=FDSREVSTOTAL&amp;VAR:SDATE=20090699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7__FDSAUDITLINK__" localSheetId="4" hidden="1">{"fdsup://IBCentral/FAT Viewer?action=UPDATE&amp;creator=factset&amp;DOC_NAME=fat:reuters_ltm_source_window.fat&amp;display_string=Audit&amp;DYN_ARGS=TRUE&amp;VAR:ID1=ITT&amp;VAR:RCODE=FDSREVSTOTAL&amp;VAR:SDATE=20090699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7__FDSAUDITLINK__" hidden="1">{"fdsup://IBCentral/FAT Viewer?action=UPDATE&amp;creator=factset&amp;DOC_NAME=fat:reuters_ltm_source_window.fat&amp;display_string=Audit&amp;DYN_ARGS=TRUE&amp;VAR:ID1=ITT&amp;VAR:RCODE=FDSREVSTOTAL&amp;VAR:SDATE=20090699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8__FDSAUDITLINK__" localSheetId="5" hidden="1">{"fdsup://IBCentral/FAT Viewer?action=UPDATE&amp;creator=factset&amp;DOC_NAME=fat:reuters_ltm_source_window.fat&amp;display_string=Audit&amp;DYN_ARGS=TRUE&amp;VAR:ID1=ITT&amp;VAR:RCODE=FIBCEBITDA&amp;VAR:SDATE=20090699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8__FDSAUDITLINK__" localSheetId="0" hidden="1">{"fdsup://IBCentral/FAT Viewer?action=UPDATE&amp;creator=factset&amp;DOC_NAME=fat:reuters_ltm_source_window.fat&amp;display_string=Audit&amp;DYN_ARGS=TRUE&amp;VAR:ID1=ITT&amp;VAR:RCODE=FIBCEBITDA&amp;VAR:SDATE=20090699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8__FDSAUDITLINK__" localSheetId="4" hidden="1">{"fdsup://IBCentral/FAT Viewer?action=UPDATE&amp;creator=factset&amp;DOC_NAME=fat:reuters_ltm_source_window.fat&amp;display_string=Audit&amp;DYN_ARGS=TRUE&amp;VAR:ID1=ITT&amp;VAR:RCODE=FIBCEBITDA&amp;VAR:SDATE=20090699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8__FDSAUDITLINK__" hidden="1">{"fdsup://IBCentral/FAT Viewer?action=UPDATE&amp;creator=factset&amp;DOC_NAME=fat:reuters_ltm_source_window.fat&amp;display_string=Audit&amp;DYN_ARGS=TRUE&amp;VAR:ID1=ITT&amp;VAR:RCODE=FIBCEBITDA&amp;VAR:SDATE=20090699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69__FDSAUDITLINK__" localSheetId="5" hidden="1">{"fdsup://IBCentral/FAT Viewer?action=UPDATE&amp;creator=factset&amp;DOC_NAME=fat:reuters_ltm_source_window.fat&amp;display_string=Audit&amp;DYN_ARGS=TRUE&amp;VAR:ID1=LLL&amp;VAR:RCODE=FDSREVSTOTAL&amp;VAR:SDATE=20090699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9__FDSAUDITLINK__" localSheetId="0" hidden="1">{"fdsup://IBCentral/FAT Viewer?action=UPDATE&amp;creator=factset&amp;DOC_NAME=fat:reuters_ltm_source_window.fat&amp;display_string=Audit&amp;DYN_ARGS=TRUE&amp;VAR:ID1=LLL&amp;VAR:RCODE=FDSREVSTOTAL&amp;VAR:SDATE=20090699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9__FDSAUDITLINK__" localSheetId="4" hidden="1">{"fdsup://IBCentral/FAT Viewer?action=UPDATE&amp;creator=factset&amp;DOC_NAME=fat:reuters_ltm_source_window.fat&amp;display_string=Audit&amp;DYN_ARGS=TRUE&amp;VAR:ID1=LLL&amp;VAR:RCODE=FDSREVSTOTAL&amp;VAR:SDATE=20090699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69__FDSAUDITLINK__" hidden="1">{"fdsup://IBCentral/FAT Viewer?action=UPDATE&amp;creator=factset&amp;DOC_NAME=fat:reuters_ltm_source_window.fat&amp;display_string=Audit&amp;DYN_ARGS=TRUE&amp;VAR:ID1=LLL&amp;VAR:RCODE=FDSREVSTOTAL&amp;VAR:SDATE=20090699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__123Graph_AChart_1P" localSheetId="0" hidden="1">#REF!</definedName>
    <definedName name="_77__123Graph_AChart_1P" hidden="1">#REF!</definedName>
    <definedName name="_77__FDSAUDITLINK__" localSheetId="5" hidden="1">{"fdsup://IBCentral/FAT Viewer?action=UPDATE&amp;creator=factset&amp;DOC_NAME=fat:reuters_ltm_source_window.fat&amp;display_string=Audit&amp;DYN_ARGS=TRUE&amp;VAR:ID1=ROK&amp;VAR:RCODE=FIBCEBITDA&amp;VAR:SDATE=20090399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__FDSAUDITLINK__" localSheetId="0" hidden="1">{"fdsup://IBCentral/FAT Viewer?action=UPDATE&amp;creator=factset&amp;DOC_NAME=fat:reuters_ltm_source_window.fat&amp;display_string=Audit&amp;DYN_ARGS=TRUE&amp;VAR:ID1=ROK&amp;VAR:RCODE=FIBCEBITDA&amp;VAR:SDATE=20090399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__FDSAUDITLINK__" localSheetId="4" hidden="1">{"fdsup://IBCentral/FAT Viewer?action=UPDATE&amp;creator=factset&amp;DOC_NAME=fat:reuters_ltm_source_window.fat&amp;display_string=Audit&amp;DYN_ARGS=TRUE&amp;VAR:ID1=ROK&amp;VAR:RCODE=FIBCEBITDA&amp;VAR:SDATE=20090399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__FDSAUDITLINK__" hidden="1">{"fdsup://IBCentral/FAT Viewer?action=UPDATE&amp;creator=factset&amp;DOC_NAME=fat:reuters_ltm_source_window.fat&amp;display_string=Audit&amp;DYN_ARGS=TRUE&amp;VAR:ID1=ROK&amp;VAR:RCODE=FIBCEBITDA&amp;VAR:SDATE=20090399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0__FDSAUDITLINK__" localSheetId="5" hidden="1">{"fdsup://IBCentral/FAT Viewer?action=UPDATE&amp;creator=factset&amp;DOC_NAME=fat:reuters_ltm_source_window.fat&amp;display_string=Audit&amp;DYN_ARGS=TRUE&amp;VAR:ID1=LLL&amp;VAR:RCODE=FIBCEBITDA&amp;VAR:SDATE=20090699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0__FDSAUDITLINK__" localSheetId="0" hidden="1">{"fdsup://IBCentral/FAT Viewer?action=UPDATE&amp;creator=factset&amp;DOC_NAME=fat:reuters_ltm_source_window.fat&amp;display_string=Audit&amp;DYN_ARGS=TRUE&amp;VAR:ID1=LLL&amp;VAR:RCODE=FIBCEBITDA&amp;VAR:SDATE=20090699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0__FDSAUDITLINK__" localSheetId="4" hidden="1">{"fdsup://IBCentral/FAT Viewer?action=UPDATE&amp;creator=factset&amp;DOC_NAME=fat:reuters_ltm_source_window.fat&amp;display_string=Audit&amp;DYN_ARGS=TRUE&amp;VAR:ID1=LLL&amp;VAR:RCODE=FIBCEBITDA&amp;VAR:SDATE=20090699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0__FDSAUDITLINK__" hidden="1">{"fdsup://IBCentral/FAT Viewer?action=UPDATE&amp;creator=factset&amp;DOC_NAME=fat:reuters_ltm_source_window.fat&amp;display_string=Audit&amp;DYN_ARGS=TRUE&amp;VAR:ID1=LLL&amp;VAR:RCODE=FIBCEBITDA&amp;VAR:SDATE=20090699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1__FDSAUDITLINK__" localSheetId="5" hidden="1">{"fdsup://IBCentral/FAT Viewer?action=UPDATE&amp;creator=factset&amp;DOC_NAME=fat:reuters_ltm_source_window.fat&amp;display_string=Audit&amp;DYN_ARGS=TRUE&amp;VAR:ID1=CHRW&amp;VAR:RCODE=FDSREVSTOTAL&amp;VAR:SDATE=20090699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71__FDSAUDITLINK__" localSheetId="0" hidden="1">{"fdsup://IBCentral/FAT Viewer?action=UPDATE&amp;creator=factset&amp;DOC_NAME=fat:reuters_ltm_source_window.fat&amp;display_string=Audit&amp;DYN_ARGS=TRUE&amp;VAR:ID1=CHRW&amp;VAR:RCODE=FDSREVSTOTAL&amp;VAR:SDATE=20090699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71__FDSAUDITLINK__" localSheetId="4" hidden="1">{"fdsup://IBCentral/FAT Viewer?action=UPDATE&amp;creator=factset&amp;DOC_NAME=fat:reuters_ltm_source_window.fat&amp;display_string=Audit&amp;DYN_ARGS=TRUE&amp;VAR:ID1=CHRW&amp;VAR:RCODE=FDSREVSTOTAL&amp;VAR:SDATE=20090699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71__FDSAUDITLINK__" hidden="1">{"fdsup://IBCentral/FAT Viewer?action=UPDATE&amp;creator=factset&amp;DOC_NAME=fat:reuters_ltm_source_window.fat&amp;display_string=Audit&amp;DYN_ARGS=TRUE&amp;VAR:ID1=CHRW&amp;VAR:RCODE=FDSREVSTOTAL&amp;VAR:SDATE=20090699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72__FDSAUDITLINK__" localSheetId="5" hidden="1">{"fdsup://IBCentral/FAT Viewer?action=UPDATE&amp;creator=factset&amp;DOC_NAME=fat:reuters_ltm_source_window.fat&amp;display_string=Audit&amp;DYN_ARGS=TRUE&amp;VAR:ID1=CHRW&amp;VAR:RCODE=FIBCEBITDA&amp;VAR:SDATE=20090699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72__FDSAUDITLINK__" localSheetId="0" hidden="1">{"fdsup://IBCentral/FAT Viewer?action=UPDATE&amp;creator=factset&amp;DOC_NAME=fat:reuters_ltm_source_window.fat&amp;display_string=Audit&amp;DYN_ARGS=TRUE&amp;VAR:ID1=CHRW&amp;VAR:RCODE=FIBCEBITDA&amp;VAR:SDATE=20090699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72__FDSAUDITLINK__" localSheetId="4" hidden="1">{"fdsup://IBCentral/FAT Viewer?action=UPDATE&amp;creator=factset&amp;DOC_NAME=fat:reuters_ltm_source_window.fat&amp;display_string=Audit&amp;DYN_ARGS=TRUE&amp;VAR:ID1=CHRW&amp;VAR:RCODE=FIBCEBITDA&amp;VAR:SDATE=20090699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72__FDSAUDITLINK__" hidden="1">{"fdsup://IBCentral/FAT Viewer?action=UPDATE&amp;creator=factset&amp;DOC_NAME=fat:reuters_ltm_source_window.fat&amp;display_string=Audit&amp;DYN_ARGS=TRUE&amp;VAR:ID1=CHRW&amp;VAR:RCODE=FIBCEBITDA&amp;VAR:SDATE=20090699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73__FDSAUDITLINK__" localSheetId="5" hidden="1">{"fdsup://IBCentral/FAT Viewer?action=UPDATE&amp;creator=factset&amp;DOC_NAME=fat:reuters_ltm_source_window.fat&amp;display_string=Audit&amp;DYN_ARGS=TRUE&amp;VAR:ID1=PCP&amp;VAR:RCODE=FDSREVSTOTAL&amp;VAR:SDATE=20090699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3__FDSAUDITLINK__" localSheetId="0" hidden="1">{"fdsup://IBCentral/FAT Viewer?action=UPDATE&amp;creator=factset&amp;DOC_NAME=fat:reuters_ltm_source_window.fat&amp;display_string=Audit&amp;DYN_ARGS=TRUE&amp;VAR:ID1=PCP&amp;VAR:RCODE=FDSREVSTOTAL&amp;VAR:SDATE=20090699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3__FDSAUDITLINK__" localSheetId="4" hidden="1">{"fdsup://IBCentral/FAT Viewer?action=UPDATE&amp;creator=factset&amp;DOC_NAME=fat:reuters_ltm_source_window.fat&amp;display_string=Audit&amp;DYN_ARGS=TRUE&amp;VAR:ID1=PCP&amp;VAR:RCODE=FDSREVSTOTAL&amp;VAR:SDATE=20090699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3__FDSAUDITLINK__" hidden="1">{"fdsup://IBCentral/FAT Viewer?action=UPDATE&amp;creator=factset&amp;DOC_NAME=fat:reuters_ltm_source_window.fat&amp;display_string=Audit&amp;DYN_ARGS=TRUE&amp;VAR:ID1=PCP&amp;VAR:RCODE=FDSREVSTOTAL&amp;VAR:SDATE=20090699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4__FDSAUDITLINK__" localSheetId="5" hidden="1">{"fdsup://IBCentral/FAT Viewer?action=UPDATE&amp;creator=factset&amp;DOC_NAME=fat:reuters_ltm_source_window.fat&amp;display_string=Audit&amp;DYN_ARGS=TRUE&amp;VAR:ID1=PCP&amp;VAR:RCODE=FIBCEBITDA&amp;VAR:SDATE=20090699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4__FDSAUDITLINK__" localSheetId="0" hidden="1">{"fdsup://IBCentral/FAT Viewer?action=UPDATE&amp;creator=factset&amp;DOC_NAME=fat:reuters_ltm_source_window.fat&amp;display_string=Audit&amp;DYN_ARGS=TRUE&amp;VAR:ID1=PCP&amp;VAR:RCODE=FIBCEBITDA&amp;VAR:SDATE=20090699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4__FDSAUDITLINK__" localSheetId="4" hidden="1">{"fdsup://IBCentral/FAT Viewer?action=UPDATE&amp;creator=factset&amp;DOC_NAME=fat:reuters_ltm_source_window.fat&amp;display_string=Audit&amp;DYN_ARGS=TRUE&amp;VAR:ID1=PCP&amp;VAR:RCODE=FIBCEBITDA&amp;VAR:SDATE=20090699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4__FDSAUDITLINK__" hidden="1">{"fdsup://IBCentral/FAT Viewer?action=UPDATE&amp;creator=factset&amp;DOC_NAME=fat:reuters_ltm_source_window.fat&amp;display_string=Audit&amp;DYN_ARGS=TRUE&amp;VAR:ID1=PCP&amp;VAR:RCODE=FIBCEBITDA&amp;VAR:SDATE=20090699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5__FDSAUDITLINK__" localSheetId="5" hidden="1">{"fdsup://IBCentral/FAT Viewer?action=UPDATE&amp;creator=factset&amp;DOC_NAME=fat:reuters_ltm_source_window.fat&amp;display_string=Audit&amp;DYN_ARGS=TRUE&amp;VAR:ID1=PCAR&amp;VAR:RCODE=FDSREVSTOTAL&amp;VAR:SDATE=20090699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75__FDSAUDITLINK__" localSheetId="0" hidden="1">{"fdsup://IBCentral/FAT Viewer?action=UPDATE&amp;creator=factset&amp;DOC_NAME=fat:reuters_ltm_source_window.fat&amp;display_string=Audit&amp;DYN_ARGS=TRUE&amp;VAR:ID1=PCAR&amp;VAR:RCODE=FDSREVSTOTAL&amp;VAR:SDATE=20090699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75__FDSAUDITLINK__" localSheetId="4" hidden="1">{"fdsup://IBCentral/FAT Viewer?action=UPDATE&amp;creator=factset&amp;DOC_NAME=fat:reuters_ltm_source_window.fat&amp;display_string=Audit&amp;DYN_ARGS=TRUE&amp;VAR:ID1=PCAR&amp;VAR:RCODE=FDSREVSTOTAL&amp;VAR:SDATE=20090699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75__FDSAUDITLINK__" hidden="1">{"fdsup://IBCentral/FAT Viewer?action=UPDATE&amp;creator=factset&amp;DOC_NAME=fat:reuters_ltm_source_window.fat&amp;display_string=Audit&amp;DYN_ARGS=TRUE&amp;VAR:ID1=PCAR&amp;VAR:RCODE=FDSREVSTOTAL&amp;VAR:SDATE=20090699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776__FDSAUDITLINK__" localSheetId="5" hidden="1">{"fdsup://IBCentral/FAT Viewer?action=UPDATE&amp;creator=factset&amp;DOC_NAME=fat:reuters_ltm_source_window.fat&amp;display_string=Audit&amp;DYN_ARGS=TRUE&amp;VAR:ID1=PCAR&amp;VAR:RCODE=FIBCEBITDA&amp;VAR:SDATE=20090699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76__FDSAUDITLINK__" localSheetId="0" hidden="1">{"fdsup://IBCentral/FAT Viewer?action=UPDATE&amp;creator=factset&amp;DOC_NAME=fat:reuters_ltm_source_window.fat&amp;display_string=Audit&amp;DYN_ARGS=TRUE&amp;VAR:ID1=PCAR&amp;VAR:RCODE=FIBCEBITDA&amp;VAR:SDATE=20090699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76__FDSAUDITLINK__" localSheetId="4" hidden="1">{"fdsup://IBCentral/FAT Viewer?action=UPDATE&amp;creator=factset&amp;DOC_NAME=fat:reuters_ltm_source_window.fat&amp;display_string=Audit&amp;DYN_ARGS=TRUE&amp;VAR:ID1=PCAR&amp;VAR:RCODE=FIBCEBITDA&amp;VAR:SDATE=20090699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76__FDSAUDITLINK__" hidden="1">{"fdsup://IBCentral/FAT Viewer?action=UPDATE&amp;creator=factset&amp;DOC_NAME=fat:reuters_ltm_source_window.fat&amp;display_string=Audit&amp;DYN_ARGS=TRUE&amp;VAR:ID1=PCAR&amp;VAR:RCODE=FIBCEBITDA&amp;VAR:SDATE=20090699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77__FDSAUDITLINK__" localSheetId="5" hidden="1">{"fdsup://IBCentral/FAT Viewer?action=UPDATE&amp;creator=factset&amp;DOC_NAME=fat:reuters_ltm_source_window.fat&amp;display_string=Audit&amp;DYN_ARGS=TRUE&amp;VAR:ID1=CSX&amp;VAR:RCODE=FDSREVSTOTAL&amp;VAR:SDATE=20090699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7__FDSAUDITLINK__" localSheetId="0" hidden="1">{"fdsup://IBCentral/FAT Viewer?action=UPDATE&amp;creator=factset&amp;DOC_NAME=fat:reuters_ltm_source_window.fat&amp;display_string=Audit&amp;DYN_ARGS=TRUE&amp;VAR:ID1=CSX&amp;VAR:RCODE=FDSREVSTOTAL&amp;VAR:SDATE=20090699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7__FDSAUDITLINK__" localSheetId="4" hidden="1">{"fdsup://IBCentral/FAT Viewer?action=UPDATE&amp;creator=factset&amp;DOC_NAME=fat:reuters_ltm_source_window.fat&amp;display_string=Audit&amp;DYN_ARGS=TRUE&amp;VAR:ID1=CSX&amp;VAR:RCODE=FDSREVSTOTAL&amp;VAR:SDATE=20090699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7__FDSAUDITLINK__" hidden="1">{"fdsup://IBCentral/FAT Viewer?action=UPDATE&amp;creator=factset&amp;DOC_NAME=fat:reuters_ltm_source_window.fat&amp;display_string=Audit&amp;DYN_ARGS=TRUE&amp;VAR:ID1=CSX&amp;VAR:RCODE=FDSREVSTOTAL&amp;VAR:SDATE=20090699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8__FDSAUDITLINK__" localSheetId="5" hidden="1">{"fdsup://IBCentral/FAT Viewer?action=UPDATE&amp;creator=factset&amp;DOC_NAME=fat:reuters_ltm_source_window.fat&amp;display_string=Audit&amp;DYN_ARGS=TRUE&amp;VAR:ID1=CSX&amp;VAR:RCODE=FIBCEBITDA&amp;VAR:SDATE=20090699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8__FDSAUDITLINK__" localSheetId="0" hidden="1">{"fdsup://IBCentral/FAT Viewer?action=UPDATE&amp;creator=factset&amp;DOC_NAME=fat:reuters_ltm_source_window.fat&amp;display_string=Audit&amp;DYN_ARGS=TRUE&amp;VAR:ID1=CSX&amp;VAR:RCODE=FIBCEBITDA&amp;VAR:SDATE=20090699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8__FDSAUDITLINK__" localSheetId="4" hidden="1">{"fdsup://IBCentral/FAT Viewer?action=UPDATE&amp;creator=factset&amp;DOC_NAME=fat:reuters_ltm_source_window.fat&amp;display_string=Audit&amp;DYN_ARGS=TRUE&amp;VAR:ID1=CSX&amp;VAR:RCODE=FIBCEBITDA&amp;VAR:SDATE=20090699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8__FDSAUDITLINK__" hidden="1">{"fdsup://IBCentral/FAT Viewer?action=UPDATE&amp;creator=factset&amp;DOC_NAME=fat:reuters_ltm_source_window.fat&amp;display_string=Audit&amp;DYN_ARGS=TRUE&amp;VAR:ID1=CSX&amp;VAR:RCODE=FIBCEBITDA&amp;VAR:SDATE=20090699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79__FDSAUDITLINK__" localSheetId="5" hidden="1">{"fdsup://IBCentral/FAT Viewer?action=UPDATE&amp;creator=factset&amp;DOC_NAME=fat:reuters_ltm_source_window.fat&amp;display_string=Audit&amp;DYN_ARGS=TRUE&amp;VAR:ID1=NSC&amp;VAR:RCODE=FDSREVSTOTAL&amp;VAR:SDATE=20090699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9__FDSAUDITLINK__" localSheetId="0" hidden="1">{"fdsup://IBCentral/FAT Viewer?action=UPDATE&amp;creator=factset&amp;DOC_NAME=fat:reuters_ltm_source_window.fat&amp;display_string=Audit&amp;DYN_ARGS=TRUE&amp;VAR:ID1=NSC&amp;VAR:RCODE=FDSREVSTOTAL&amp;VAR:SDATE=20090699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9__FDSAUDITLINK__" localSheetId="4" hidden="1">{"fdsup://IBCentral/FAT Viewer?action=UPDATE&amp;creator=factset&amp;DOC_NAME=fat:reuters_ltm_source_window.fat&amp;display_string=Audit&amp;DYN_ARGS=TRUE&amp;VAR:ID1=NSC&amp;VAR:RCODE=FDSREVSTOTAL&amp;VAR:SDATE=20090699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79__FDSAUDITLINK__" hidden="1">{"fdsup://IBCentral/FAT Viewer?action=UPDATE&amp;creator=factset&amp;DOC_NAME=fat:reuters_ltm_source_window.fat&amp;display_string=Audit&amp;DYN_ARGS=TRUE&amp;VAR:ID1=NSC&amp;VAR:RCODE=FDSREVSTOTAL&amp;VAR:SDATE=20090699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__FDSAUDITLINK__" localSheetId="5" hidden="1">{"fdsup://IBCentral/FAT Viewer?action=UPDATE&amp;creator=factset&amp;DOC_NAME=fat:reuters_ltm_source_window.fat&amp;display_string=Audit&amp;DYN_ARGS=TRUE&amp;VAR:ID1=CTAS&amp;VAR:RCODE=FIBCEBITDA&amp;VAR:SDATE=20090299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8__FDSAUDITLINK__" localSheetId="0" hidden="1">{"fdsup://IBCentral/FAT Viewer?action=UPDATE&amp;creator=factset&amp;DOC_NAME=fat:reuters_ltm_source_window.fat&amp;display_string=Audit&amp;DYN_ARGS=TRUE&amp;VAR:ID1=CTAS&amp;VAR:RCODE=FIBCEBITDA&amp;VAR:SDATE=20090299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8__FDSAUDITLINK__" localSheetId="4" hidden="1">{"fdsup://IBCentral/FAT Viewer?action=UPDATE&amp;creator=factset&amp;DOC_NAME=fat:reuters_ltm_source_window.fat&amp;display_string=Audit&amp;DYN_ARGS=TRUE&amp;VAR:ID1=CTAS&amp;VAR:RCODE=FIBCEBITDA&amp;VAR:SDATE=20090299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8__FDSAUDITLINK__" hidden="1">{"fdsup://IBCentral/FAT Viewer?action=UPDATE&amp;creator=factset&amp;DOC_NAME=fat:reuters_ltm_source_window.fat&amp;display_string=Audit&amp;DYN_ARGS=TRUE&amp;VAR:ID1=CTAS&amp;VAR:RCODE=FIBCEBITDA&amp;VAR:SDATE=20090299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80__FDSAUDITLINK__" localSheetId="5" hidden="1">{"fdsup://IBCentral/FAT Viewer?action=UPDATE&amp;creator=factset&amp;DOC_NAME=fat:reuters_ltm_source_window.fat&amp;display_string=Audit&amp;DYN_ARGS=TRUE&amp;VAR:ID1=NSC&amp;VAR:RCODE=FIBCEBITDA&amp;VAR:SDATE=20090699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0__FDSAUDITLINK__" localSheetId="0" hidden="1">{"fdsup://IBCentral/FAT Viewer?action=UPDATE&amp;creator=factset&amp;DOC_NAME=fat:reuters_ltm_source_window.fat&amp;display_string=Audit&amp;DYN_ARGS=TRUE&amp;VAR:ID1=NSC&amp;VAR:RCODE=FIBCEBITDA&amp;VAR:SDATE=20090699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0__FDSAUDITLINK__" localSheetId="4" hidden="1">{"fdsup://IBCentral/FAT Viewer?action=UPDATE&amp;creator=factset&amp;DOC_NAME=fat:reuters_ltm_source_window.fat&amp;display_string=Audit&amp;DYN_ARGS=TRUE&amp;VAR:ID1=NSC&amp;VAR:RCODE=FIBCEBITDA&amp;VAR:SDATE=20090699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0__FDSAUDITLINK__" hidden="1">{"fdsup://IBCentral/FAT Viewer?action=UPDATE&amp;creator=factset&amp;DOC_NAME=fat:reuters_ltm_source_window.fat&amp;display_string=Audit&amp;DYN_ARGS=TRUE&amp;VAR:ID1=NSC&amp;VAR:RCODE=FIBCEBITDA&amp;VAR:SDATE=20090699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1__FDSAUDITLINK__" localSheetId="5" hidden="1">{"fdsup://IBCentral/FAT Viewer?action=UPDATE&amp;creator=factset&amp;DOC_NAME=fat:reuters_ltm_source_window.fat&amp;display_string=Audit&amp;DYN_ARGS=TRUE&amp;VAR:ID1=WMI&amp;VAR:RCODE=FDSREVSTOTAL&amp;VAR:SDATE=20090699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1__FDSAUDITLINK__" localSheetId="0" hidden="1">{"fdsup://IBCentral/FAT Viewer?action=UPDATE&amp;creator=factset&amp;DOC_NAME=fat:reuters_ltm_source_window.fat&amp;display_string=Audit&amp;DYN_ARGS=TRUE&amp;VAR:ID1=WMI&amp;VAR:RCODE=FDSREVSTOTAL&amp;VAR:SDATE=20090699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1__FDSAUDITLINK__" localSheetId="4" hidden="1">{"fdsup://IBCentral/FAT Viewer?action=UPDATE&amp;creator=factset&amp;DOC_NAME=fat:reuters_ltm_source_window.fat&amp;display_string=Audit&amp;DYN_ARGS=TRUE&amp;VAR:ID1=WMI&amp;VAR:RCODE=FDSREVSTOTAL&amp;VAR:SDATE=20090699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Viewer?action=UPDATE&amp;creator=factset&amp;DOC_NAME=fat:reuters_ltm_source_window.fat&amp;display_string=Audit&amp;DYN_ARGS=TRUE&amp;VAR:ID1=WMI&amp;VAR:RCODE=FDSREVSTOTAL&amp;VAR:SDATE=20090699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2__FDSAUDITLINK__" localSheetId="5" hidden="1">{"fdsup://IBCentral/FAT Viewer?action=UPDATE&amp;creator=factset&amp;DOC_NAME=fat:reuters_ltm_source_window.fat&amp;display_string=Audit&amp;DYN_ARGS=TRUE&amp;VAR:ID1=WMI&amp;VAR:RCODE=FIBCEBITDA&amp;VAR:SDATE=20090699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2__FDSAUDITLINK__" localSheetId="0" hidden="1">{"fdsup://IBCentral/FAT Viewer?action=UPDATE&amp;creator=factset&amp;DOC_NAME=fat:reuters_ltm_source_window.fat&amp;display_string=Audit&amp;DYN_ARGS=TRUE&amp;VAR:ID1=WMI&amp;VAR:RCODE=FIBCEBITDA&amp;VAR:SDATE=20090699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2__FDSAUDITLINK__" localSheetId="4" hidden="1">{"fdsup://IBCentral/FAT Viewer?action=UPDATE&amp;creator=factset&amp;DOC_NAME=fat:reuters_ltm_source_window.fat&amp;display_string=Audit&amp;DYN_ARGS=TRUE&amp;VAR:ID1=WMI&amp;VAR:RCODE=FIBCEBITDA&amp;VAR:SDATE=20090699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2__FDSAUDITLINK__" hidden="1">{"fdsup://IBCentral/FAT Viewer?action=UPDATE&amp;creator=factset&amp;DOC_NAME=fat:reuters_ltm_source_window.fat&amp;display_string=Audit&amp;DYN_ARGS=TRUE&amp;VAR:ID1=WMI&amp;VAR:RCODE=FIBCEBITDA&amp;VAR:SDATE=20090699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3__FDSAUDITLINK__" localSheetId="5" hidden="1">{"fdsup://IBCentral/FAT Viewer?action=UPDATE&amp;creator=factset&amp;DOC_NAME=fat:reuters_ltm_source_window.fat&amp;display_string=Audit&amp;DYN_ARGS=TRUE&amp;VAR:ID1=NOC&amp;VAR:RCODE=FDSREVSTOTAL&amp;VAR:SDATE=20090699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3__FDSAUDITLINK__" localSheetId="0" hidden="1">{"fdsup://IBCentral/FAT Viewer?action=UPDATE&amp;creator=factset&amp;DOC_NAME=fat:reuters_ltm_source_window.fat&amp;display_string=Audit&amp;DYN_ARGS=TRUE&amp;VAR:ID1=NOC&amp;VAR:RCODE=FDSREVSTOTAL&amp;VAR:SDATE=20090699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3__FDSAUDITLINK__" localSheetId="4" hidden="1">{"fdsup://IBCentral/FAT Viewer?action=UPDATE&amp;creator=factset&amp;DOC_NAME=fat:reuters_ltm_source_window.fat&amp;display_string=Audit&amp;DYN_ARGS=TRUE&amp;VAR:ID1=NOC&amp;VAR:RCODE=FDSREVSTOTAL&amp;VAR:SDATE=20090699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3__FDSAUDITLINK__" hidden="1">{"fdsup://IBCentral/FAT Viewer?action=UPDATE&amp;creator=factset&amp;DOC_NAME=fat:reuters_ltm_source_window.fat&amp;display_string=Audit&amp;DYN_ARGS=TRUE&amp;VAR:ID1=NOC&amp;VAR:RCODE=FDSREVSTOTAL&amp;VAR:SDATE=20090699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4__FDSAUDITLINK__" localSheetId="5" hidden="1">{"fdsup://IBCentral/FAT Viewer?action=UPDATE&amp;creator=factset&amp;DOC_NAME=fat:reuters_ltm_source_window.fat&amp;display_string=Audit&amp;DYN_ARGS=TRUE&amp;VAR:ID1=NOC&amp;VAR:RCODE=FIBCEBITDA&amp;VAR:SDATE=20090699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4__FDSAUDITLINK__" localSheetId="0" hidden="1">{"fdsup://IBCentral/FAT Viewer?action=UPDATE&amp;creator=factset&amp;DOC_NAME=fat:reuters_ltm_source_window.fat&amp;display_string=Audit&amp;DYN_ARGS=TRUE&amp;VAR:ID1=NOC&amp;VAR:RCODE=FIBCEBITDA&amp;VAR:SDATE=20090699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4__FDSAUDITLINK__" localSheetId="4" hidden="1">{"fdsup://IBCentral/FAT Viewer?action=UPDATE&amp;creator=factset&amp;DOC_NAME=fat:reuters_ltm_source_window.fat&amp;display_string=Audit&amp;DYN_ARGS=TRUE&amp;VAR:ID1=NOC&amp;VAR:RCODE=FIBCEBITDA&amp;VAR:SDATE=20090699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4__FDSAUDITLINK__" hidden="1">{"fdsup://IBCentral/FAT Viewer?action=UPDATE&amp;creator=factset&amp;DOC_NAME=fat:reuters_ltm_source_window.fat&amp;display_string=Audit&amp;DYN_ARGS=TRUE&amp;VAR:ID1=NOC&amp;VAR:RCODE=FIBCEBITDA&amp;VAR:SDATE=20090699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5__FDSAUDITLINK__" localSheetId="5" hidden="1">{"fdsup://IBCentral/FAT Viewer?action=UPDATE&amp;creator=factset&amp;DOC_NAME=fat:reuters_ltm_source_window.fat&amp;display_string=Audit&amp;DYN_ARGS=TRUE&amp;VAR:ID1=RTN&amp;VAR:RCODE=FDSREVSTOTAL&amp;VAR:SDATE=20090699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5__FDSAUDITLINK__" localSheetId="0" hidden="1">{"fdsup://IBCentral/FAT Viewer?action=UPDATE&amp;creator=factset&amp;DOC_NAME=fat:reuters_ltm_source_window.fat&amp;display_string=Audit&amp;DYN_ARGS=TRUE&amp;VAR:ID1=RTN&amp;VAR:RCODE=FDSREVSTOTAL&amp;VAR:SDATE=20090699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5__FDSAUDITLINK__" localSheetId="4" hidden="1">{"fdsup://IBCentral/FAT Viewer?action=UPDATE&amp;creator=factset&amp;DOC_NAME=fat:reuters_ltm_source_window.fat&amp;display_string=Audit&amp;DYN_ARGS=TRUE&amp;VAR:ID1=RTN&amp;VAR:RCODE=FDSREVSTOTAL&amp;VAR:SDATE=20090699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5__FDSAUDITLINK__" hidden="1">{"fdsup://IBCentral/FAT Viewer?action=UPDATE&amp;creator=factset&amp;DOC_NAME=fat:reuters_ltm_source_window.fat&amp;display_string=Audit&amp;DYN_ARGS=TRUE&amp;VAR:ID1=RTN&amp;VAR:RCODE=FDSREVSTOTAL&amp;VAR:SDATE=20090699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6__FDSAUDITLINK__" localSheetId="5" hidden="1">{"fdsup://IBCentral/FAT Viewer?action=UPDATE&amp;creator=factset&amp;DOC_NAME=fat:reuters_ltm_source_window.fat&amp;display_string=Audit&amp;DYN_ARGS=TRUE&amp;VAR:ID1=RTN&amp;VAR:RCODE=FIBCEBITDA&amp;VAR:SDATE=20090699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6__FDSAUDITLINK__" localSheetId="0" hidden="1">{"fdsup://IBCentral/FAT Viewer?action=UPDATE&amp;creator=factset&amp;DOC_NAME=fat:reuters_ltm_source_window.fat&amp;display_string=Audit&amp;DYN_ARGS=TRUE&amp;VAR:ID1=RTN&amp;VAR:RCODE=FIBCEBITDA&amp;VAR:SDATE=20090699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6__FDSAUDITLINK__" localSheetId="4" hidden="1">{"fdsup://IBCentral/FAT Viewer?action=UPDATE&amp;creator=factset&amp;DOC_NAME=fat:reuters_ltm_source_window.fat&amp;display_string=Audit&amp;DYN_ARGS=TRUE&amp;VAR:ID1=RTN&amp;VAR:RCODE=FIBCEBITDA&amp;VAR:SDATE=20090699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6__FDSAUDITLINK__" hidden="1">{"fdsup://IBCentral/FAT Viewer?action=UPDATE&amp;creator=factset&amp;DOC_NAME=fat:reuters_ltm_source_window.fat&amp;display_string=Audit&amp;DYN_ARGS=TRUE&amp;VAR:ID1=RTN&amp;VAR:RCODE=FIBCEBITDA&amp;VAR:SDATE=20090699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7__FDSAUDITLINK__" localSheetId="5" hidden="1">{"fdsup://IBCentral/FAT Viewer?action=UPDATE&amp;creator=factset&amp;DOC_NAME=fat:reuters_ltm_source_window.fat&amp;display_string=Audit&amp;DYN_ARGS=TRUE&amp;VAR:ID1=ITW&amp;VAR:RCODE=FDSREVSTOTAL&amp;VAR:SDATE=20090699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7__FDSAUDITLINK__" localSheetId="0" hidden="1">{"fdsup://IBCentral/FAT Viewer?action=UPDATE&amp;creator=factset&amp;DOC_NAME=fat:reuters_ltm_source_window.fat&amp;display_string=Audit&amp;DYN_ARGS=TRUE&amp;VAR:ID1=ITW&amp;VAR:RCODE=FDSREVSTOTAL&amp;VAR:SDATE=20090699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7__FDSAUDITLINK__" localSheetId="4" hidden="1">{"fdsup://IBCentral/FAT Viewer?action=UPDATE&amp;creator=factset&amp;DOC_NAME=fat:reuters_ltm_source_window.fat&amp;display_string=Audit&amp;DYN_ARGS=TRUE&amp;VAR:ID1=ITW&amp;VAR:RCODE=FDSREVSTOTAL&amp;VAR:SDATE=20090699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7__FDSAUDITLINK__" hidden="1">{"fdsup://IBCentral/FAT Viewer?action=UPDATE&amp;creator=factset&amp;DOC_NAME=fat:reuters_ltm_source_window.fat&amp;display_string=Audit&amp;DYN_ARGS=TRUE&amp;VAR:ID1=ITW&amp;VAR:RCODE=FDSREVSTOTAL&amp;VAR:SDATE=20090699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88__FDSAUDITLINK__" localSheetId="5" hidden="1">{"fdsup://IBCentral/FAT Viewer?action=UPDATE&amp;creator=factset&amp;DOC_NAME=fat:reuters_ltm_source_window.fat&amp;display_string=Audit&amp;DYN_ARGS=TRUE&amp;VAR:ID1=ITW&amp;VAR:RCODE=FIBCEBITDA&amp;VAR:SDATE=20090699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8__FDSAUDITLINK__" localSheetId="0" hidden="1">{"fdsup://IBCentral/FAT Viewer?action=UPDATE&amp;creator=factset&amp;DOC_NAME=fat:reuters_ltm_source_window.fat&amp;display_string=Audit&amp;DYN_ARGS=TRUE&amp;VAR:ID1=ITW&amp;VAR:RCODE=FIBCEBITDA&amp;VAR:SDATE=20090699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8__FDSAUDITLINK__" localSheetId="4" hidden="1">{"fdsup://IBCentral/FAT Viewer?action=UPDATE&amp;creator=factset&amp;DOC_NAME=fat:reuters_ltm_source_window.fat&amp;display_string=Audit&amp;DYN_ARGS=TRUE&amp;VAR:ID1=ITW&amp;VAR:RCODE=FIBCEBITDA&amp;VAR:SDATE=20090699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8__FDSAUDITLINK__" hidden="1">{"fdsup://IBCentral/FAT Viewer?action=UPDATE&amp;creator=factset&amp;DOC_NAME=fat:reuters_ltm_source_window.fat&amp;display_string=Audit&amp;DYN_ARGS=TRUE&amp;VAR:ID1=ITW&amp;VAR:RCODE=FIBCEBITDA&amp;VAR:SDATE=20090699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89__FDSAUDITLINK__" localSheetId="5" hidden="1">{"fdsup://IBCentral/FAT Viewer?action=UPDATE&amp;creator=factset&amp;DOC_NAME=fat:reuters_ltm_source_window.fat&amp;display_string=Audit&amp;DYN_ARGS=TRUE&amp;VAR:ID1=GD&amp;VAR:RCODE=FDSREVSTOTAL&amp;VAR:SDATE=20090699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89__FDSAUDITLINK__" localSheetId="0" hidden="1">{"fdsup://IBCentral/FAT Viewer?action=UPDATE&amp;creator=factset&amp;DOC_NAME=fat:reuters_ltm_source_window.fat&amp;display_string=Audit&amp;DYN_ARGS=TRUE&amp;VAR:ID1=GD&amp;VAR:RCODE=FDSREVSTOTAL&amp;VAR:SDATE=20090699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89__FDSAUDITLINK__" localSheetId="4" hidden="1">{"fdsup://IBCentral/FAT Viewer?action=UPDATE&amp;creator=factset&amp;DOC_NAME=fat:reuters_ltm_source_window.fat&amp;display_string=Audit&amp;DYN_ARGS=TRUE&amp;VAR:ID1=GD&amp;VAR:RCODE=FDSREVSTOTAL&amp;VAR:SDATE=20090699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89__FDSAUDITLINK__" hidden="1">{"fdsup://IBCentral/FAT Viewer?action=UPDATE&amp;creator=factset&amp;DOC_NAME=fat:reuters_ltm_source_window.fat&amp;display_string=Audit&amp;DYN_ARGS=TRUE&amp;VAR:ID1=GD&amp;VAR:RCODE=FDSREVSTOTAL&amp;VAR:SDATE=20090699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79__123Graph_AChart_1Q" localSheetId="0" hidden="1">#REF!</definedName>
    <definedName name="_79__123Graph_AChart_1Q" hidden="1">#REF!</definedName>
    <definedName name="_79__FDSAUDITLINK__" localSheetId="5" hidden="1">{"fdsup://IBCentral/FAT Viewer?action=UPDATE&amp;creator=factset&amp;DOC_NAME=fat:reuters_ltm_source_window.fat&amp;display_string=Audit&amp;DYN_ARGS=TRUE&amp;VAR:ID1=ROP&amp;VAR:RCODE=FIBCEBITDA&amp;VAR:SDATE=20090399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__FDSAUDITLINK__" localSheetId="0" hidden="1">{"fdsup://IBCentral/FAT Viewer?action=UPDATE&amp;creator=factset&amp;DOC_NAME=fat:reuters_ltm_source_window.fat&amp;display_string=Audit&amp;DYN_ARGS=TRUE&amp;VAR:ID1=ROP&amp;VAR:RCODE=FIBCEBITDA&amp;VAR:SDATE=20090399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__FDSAUDITLINK__" localSheetId="4" hidden="1">{"fdsup://IBCentral/FAT Viewer?action=UPDATE&amp;creator=factset&amp;DOC_NAME=fat:reuters_ltm_source_window.fat&amp;display_string=Audit&amp;DYN_ARGS=TRUE&amp;VAR:ID1=ROP&amp;VAR:RCODE=FIBCEBITDA&amp;VAR:SDATE=20090399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__FDSAUDITLINK__" hidden="1">{"fdsup://IBCentral/FAT Viewer?action=UPDATE&amp;creator=factset&amp;DOC_NAME=fat:reuters_ltm_source_window.fat&amp;display_string=Audit&amp;DYN_ARGS=TRUE&amp;VAR:ID1=ROP&amp;VAR:RCODE=FIBCEBITDA&amp;VAR:SDATE=20090399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0__FDSAUDITLINK__" localSheetId="5" hidden="1">{"fdsup://IBCentral/FAT Viewer?action=UPDATE&amp;creator=factset&amp;DOC_NAME=fat:reuters_ltm_source_window.fat&amp;display_string=Audit&amp;DYN_ARGS=TRUE&amp;VAR:ID1=GD&amp;VAR:RCODE=FIBCEBITDA&amp;VAR:SDATE=20090699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90__FDSAUDITLINK__" localSheetId="0" hidden="1">{"fdsup://IBCentral/FAT Viewer?action=UPDATE&amp;creator=factset&amp;DOC_NAME=fat:reuters_ltm_source_window.fat&amp;display_string=Audit&amp;DYN_ARGS=TRUE&amp;VAR:ID1=GD&amp;VAR:RCODE=FIBCEBITDA&amp;VAR:SDATE=20090699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90__FDSAUDITLINK__" localSheetId="4" hidden="1">{"fdsup://IBCentral/FAT Viewer?action=UPDATE&amp;creator=factset&amp;DOC_NAME=fat:reuters_ltm_source_window.fat&amp;display_string=Audit&amp;DYN_ARGS=TRUE&amp;VAR:ID1=GD&amp;VAR:RCODE=FIBCEBITDA&amp;VAR:SDATE=20090699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90__FDSAUDITLINK__" hidden="1">{"fdsup://IBCentral/FAT Viewer?action=UPDATE&amp;creator=factset&amp;DOC_NAME=fat:reuters_ltm_source_window.fat&amp;display_string=Audit&amp;DYN_ARGS=TRUE&amp;VAR:ID1=GD&amp;VAR:RCODE=FIBCEBITDA&amp;VAR:SDATE=20090699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791__FDSAUDITLINK__" localSheetId="5" hidden="1">{"fdsup://IBCentral/FAT Viewer?action=UPDATE&amp;creator=factset&amp;DOC_NAME=fat:reuters_ltm_source_window.fat&amp;display_string=Audit&amp;DYN_ARGS=TRUE&amp;VAR:ID1=CAT&amp;VAR:RCODE=FDSREVSTOTAL&amp;VAR:SDATE=20090699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1__FDSAUDITLINK__" localSheetId="0" hidden="1">{"fdsup://IBCentral/FAT Viewer?action=UPDATE&amp;creator=factset&amp;DOC_NAME=fat:reuters_ltm_source_window.fat&amp;display_string=Audit&amp;DYN_ARGS=TRUE&amp;VAR:ID1=CAT&amp;VAR:RCODE=FDSREVSTOTAL&amp;VAR:SDATE=20090699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1__FDSAUDITLINK__" localSheetId="4" hidden="1">{"fdsup://IBCentral/FAT Viewer?action=UPDATE&amp;creator=factset&amp;DOC_NAME=fat:reuters_ltm_source_window.fat&amp;display_string=Audit&amp;DYN_ARGS=TRUE&amp;VAR:ID1=CAT&amp;VAR:RCODE=FDSREVSTOTAL&amp;VAR:SDATE=20090699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1__FDSAUDITLINK__" hidden="1">{"fdsup://IBCentral/FAT Viewer?action=UPDATE&amp;creator=factset&amp;DOC_NAME=fat:reuters_ltm_source_window.fat&amp;display_string=Audit&amp;DYN_ARGS=TRUE&amp;VAR:ID1=CAT&amp;VAR:RCODE=FDSREVSTOTAL&amp;VAR:SDATE=20090699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2__FDSAUDITLINK__" localSheetId="5" hidden="1">{"fdsup://IBCentral/FAT Viewer?action=UPDATE&amp;creator=factset&amp;DOC_NAME=fat:reuters_ltm_source_window.fat&amp;display_string=Audit&amp;DYN_ARGS=TRUE&amp;VAR:ID1=CAT&amp;VAR:RCODE=FIBCEBITDA&amp;VAR:SDATE=20090699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2__FDSAUDITLINK__" localSheetId="0" hidden="1">{"fdsup://IBCentral/FAT Viewer?action=UPDATE&amp;creator=factset&amp;DOC_NAME=fat:reuters_ltm_source_window.fat&amp;display_string=Audit&amp;DYN_ARGS=TRUE&amp;VAR:ID1=CAT&amp;VAR:RCODE=FIBCEBITDA&amp;VAR:SDATE=20090699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2__FDSAUDITLINK__" localSheetId="4" hidden="1">{"fdsup://IBCentral/FAT Viewer?action=UPDATE&amp;creator=factset&amp;DOC_NAME=fat:reuters_ltm_source_window.fat&amp;display_string=Audit&amp;DYN_ARGS=TRUE&amp;VAR:ID1=CAT&amp;VAR:RCODE=FIBCEBITDA&amp;VAR:SDATE=20090699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2__FDSAUDITLINK__" hidden="1">{"fdsup://IBCentral/FAT Viewer?action=UPDATE&amp;creator=factset&amp;DOC_NAME=fat:reuters_ltm_source_window.fat&amp;display_string=Audit&amp;DYN_ARGS=TRUE&amp;VAR:ID1=CAT&amp;VAR:RCODE=FIBCEBITDA&amp;VAR:SDATE=20090699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3__FDSAUDITLINK__" localSheetId="5" hidden="1">{"fdsup://IBCentral/FAT Viewer?action=UPDATE&amp;creator=factset&amp;DOC_NAME=fat:reuters_ltm_source_window.fat&amp;display_string=Audit&amp;DYN_ARGS=TRUE&amp;VAR:ID1=DHR&amp;VAR:RCODE=FDSREVSTOTAL&amp;VAR:SDATE=20090699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3__FDSAUDITLINK__" localSheetId="0" hidden="1">{"fdsup://IBCentral/FAT Viewer?action=UPDATE&amp;creator=factset&amp;DOC_NAME=fat:reuters_ltm_source_window.fat&amp;display_string=Audit&amp;DYN_ARGS=TRUE&amp;VAR:ID1=DHR&amp;VAR:RCODE=FDSREVSTOTAL&amp;VAR:SDATE=20090699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3__FDSAUDITLINK__" localSheetId="4" hidden="1">{"fdsup://IBCentral/FAT Viewer?action=UPDATE&amp;creator=factset&amp;DOC_NAME=fat:reuters_ltm_source_window.fat&amp;display_string=Audit&amp;DYN_ARGS=TRUE&amp;VAR:ID1=DHR&amp;VAR:RCODE=FDSREVSTOTAL&amp;VAR:SDATE=20090699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3__FDSAUDITLINK__" hidden="1">{"fdsup://IBCentral/FAT Viewer?action=UPDATE&amp;creator=factset&amp;DOC_NAME=fat:reuters_ltm_source_window.fat&amp;display_string=Audit&amp;DYN_ARGS=TRUE&amp;VAR:ID1=DHR&amp;VAR:RCODE=FDSREVSTOTAL&amp;VAR:SDATE=20090699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4__FDSAUDITLINK__" localSheetId="5" hidden="1">{"fdsup://IBCentral/FAT Viewer?action=UPDATE&amp;creator=factset&amp;DOC_NAME=fat:reuters_ltm_source_window.fat&amp;display_string=Audit&amp;DYN_ARGS=TRUE&amp;VAR:ID1=DHR&amp;VAR:RCODE=FIBCEBITDA&amp;VAR:SDATE=20090699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4__FDSAUDITLINK__" localSheetId="0" hidden="1">{"fdsup://IBCentral/FAT Viewer?action=UPDATE&amp;creator=factset&amp;DOC_NAME=fat:reuters_ltm_source_window.fat&amp;display_string=Audit&amp;DYN_ARGS=TRUE&amp;VAR:ID1=DHR&amp;VAR:RCODE=FIBCEBITDA&amp;VAR:SDATE=20090699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4__FDSAUDITLINK__" localSheetId="4" hidden="1">{"fdsup://IBCentral/FAT Viewer?action=UPDATE&amp;creator=factset&amp;DOC_NAME=fat:reuters_ltm_source_window.fat&amp;display_string=Audit&amp;DYN_ARGS=TRUE&amp;VAR:ID1=DHR&amp;VAR:RCODE=FIBCEBITDA&amp;VAR:SDATE=20090699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4__FDSAUDITLINK__" hidden="1">{"fdsup://IBCentral/FAT Viewer?action=UPDATE&amp;creator=factset&amp;DOC_NAME=fat:reuters_ltm_source_window.fat&amp;display_string=Audit&amp;DYN_ARGS=TRUE&amp;VAR:ID1=DHR&amp;VAR:RCODE=FIBCEBITDA&amp;VAR:SDATE=20090699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5__FDSAUDITLINK__" localSheetId="5" hidden="1">{"fdsup://IBCentral/FAT Viewer?action=UPDATE&amp;creator=factset&amp;DOC_NAME=fat:reuters_ltm_source_window.fat&amp;display_string=Audit&amp;DYN_ARGS=TRUE&amp;VAR:ID1=BNI&amp;VAR:RCODE=FDSREVSTOTAL&amp;VAR:SDATE=20090699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5__FDSAUDITLINK__" localSheetId="0" hidden="1">{"fdsup://IBCentral/FAT Viewer?action=UPDATE&amp;creator=factset&amp;DOC_NAME=fat:reuters_ltm_source_window.fat&amp;display_string=Audit&amp;DYN_ARGS=TRUE&amp;VAR:ID1=BNI&amp;VAR:RCODE=FDSREVSTOTAL&amp;VAR:SDATE=20090699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5__FDSAUDITLINK__" localSheetId="4" hidden="1">{"fdsup://IBCentral/FAT Viewer?action=UPDATE&amp;creator=factset&amp;DOC_NAME=fat:reuters_ltm_source_window.fat&amp;display_string=Audit&amp;DYN_ARGS=TRUE&amp;VAR:ID1=BNI&amp;VAR:RCODE=FDSREVSTOTAL&amp;VAR:SDATE=20090699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5__FDSAUDITLINK__" hidden="1">{"fdsup://IBCentral/FAT Viewer?action=UPDATE&amp;creator=factset&amp;DOC_NAME=fat:reuters_ltm_source_window.fat&amp;display_string=Audit&amp;DYN_ARGS=TRUE&amp;VAR:ID1=BNI&amp;VAR:RCODE=FDSREVSTOTAL&amp;VAR:SDATE=20090699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6__FDSAUDITLINK__" localSheetId="5" hidden="1">{"fdsup://IBCentral/FAT Viewer?action=UPDATE&amp;creator=factset&amp;DOC_NAME=fat:reuters_ltm_source_window.fat&amp;display_string=Audit&amp;DYN_ARGS=TRUE&amp;VAR:ID1=BNI&amp;VAR:RCODE=FIBCEBITDA&amp;VAR:SDATE=20090699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6__FDSAUDITLINK__" localSheetId="0" hidden="1">{"fdsup://IBCentral/FAT Viewer?action=UPDATE&amp;creator=factset&amp;DOC_NAME=fat:reuters_ltm_source_window.fat&amp;display_string=Audit&amp;DYN_ARGS=TRUE&amp;VAR:ID1=BNI&amp;VAR:RCODE=FIBCEBITDA&amp;VAR:SDATE=20090699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6__FDSAUDITLINK__" localSheetId="4" hidden="1">{"fdsup://IBCentral/FAT Viewer?action=UPDATE&amp;creator=factset&amp;DOC_NAME=fat:reuters_ltm_source_window.fat&amp;display_string=Audit&amp;DYN_ARGS=TRUE&amp;VAR:ID1=BNI&amp;VAR:RCODE=FIBCEBITDA&amp;VAR:SDATE=20090699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6__FDSAUDITLINK__" hidden="1">{"fdsup://IBCentral/FAT Viewer?action=UPDATE&amp;creator=factset&amp;DOC_NAME=fat:reuters_ltm_source_window.fat&amp;display_string=Audit&amp;DYN_ARGS=TRUE&amp;VAR:ID1=BNI&amp;VAR:RCODE=FIBCEBITDA&amp;VAR:SDATE=20090699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7__FDSAUDITLINK__" localSheetId="5" hidden="1">{"fdsup://IBCentral/FAT Viewer?action=UPDATE&amp;creator=factset&amp;DOC_NAME=fat:reuters_ltm_source_window.fat&amp;display_string=Audit&amp;DYN_ARGS=TRUE&amp;VAR:ID1=UNP&amp;VAR:RCODE=FDSREVSTOTAL&amp;VAR:SDATE=20090699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7__FDSAUDITLINK__" localSheetId="0" hidden="1">{"fdsup://IBCentral/FAT Viewer?action=UPDATE&amp;creator=factset&amp;DOC_NAME=fat:reuters_ltm_source_window.fat&amp;display_string=Audit&amp;DYN_ARGS=TRUE&amp;VAR:ID1=UNP&amp;VAR:RCODE=FDSREVSTOTAL&amp;VAR:SDATE=20090699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7__FDSAUDITLINK__" localSheetId="4" hidden="1">{"fdsup://IBCentral/FAT Viewer?action=UPDATE&amp;creator=factset&amp;DOC_NAME=fat:reuters_ltm_source_window.fat&amp;display_string=Audit&amp;DYN_ARGS=TRUE&amp;VAR:ID1=UNP&amp;VAR:RCODE=FDSREVSTOTAL&amp;VAR:SDATE=20090699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7__FDSAUDITLINK__" hidden="1">{"fdsup://IBCentral/FAT Viewer?action=UPDATE&amp;creator=factset&amp;DOC_NAME=fat:reuters_ltm_source_window.fat&amp;display_string=Audit&amp;DYN_ARGS=TRUE&amp;VAR:ID1=UNP&amp;VAR:RCODE=FDSREVSTOTAL&amp;VAR:SDATE=20090699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8__FDSAUDITLINK__" localSheetId="5" hidden="1">{"fdsup://IBCentral/FAT Viewer?action=UPDATE&amp;creator=factset&amp;DOC_NAME=fat:reuters_ltm_source_window.fat&amp;display_string=Audit&amp;DYN_ARGS=TRUE&amp;VAR:ID1=UNP&amp;VAR:RCODE=FIBCEBITDA&amp;VAR:SDATE=20090699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8__FDSAUDITLINK__" localSheetId="0" hidden="1">{"fdsup://IBCentral/FAT Viewer?action=UPDATE&amp;creator=factset&amp;DOC_NAME=fat:reuters_ltm_source_window.fat&amp;display_string=Audit&amp;DYN_ARGS=TRUE&amp;VAR:ID1=UNP&amp;VAR:RCODE=FIBCEBITDA&amp;VAR:SDATE=20090699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8__FDSAUDITLINK__" localSheetId="4" hidden="1">{"fdsup://IBCentral/FAT Viewer?action=UPDATE&amp;creator=factset&amp;DOC_NAME=fat:reuters_ltm_source_window.fat&amp;display_string=Audit&amp;DYN_ARGS=TRUE&amp;VAR:ID1=UNP&amp;VAR:RCODE=FIBCEBITDA&amp;VAR:SDATE=20090699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Viewer?action=UPDATE&amp;creator=factset&amp;DOC_NAME=fat:reuters_ltm_source_window.fat&amp;display_string=Audit&amp;DYN_ARGS=TRUE&amp;VAR:ID1=UNP&amp;VAR:RCODE=FIBCEBITDA&amp;VAR:SDATE=20090699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799__FDSAUDITLINK__" localSheetId="5" hidden="1">{"fdsup://IBCentral/FAT Viewer?action=UPDATE&amp;creator=factset&amp;DOC_NAME=fat:reuters_ltm_source_window.fat&amp;display_string=Audit&amp;DYN_ARGS=TRUE&amp;VAR:ID1=HON&amp;VAR:RCODE=FDSREVSTOTAL&amp;VAR:SDATE=20090699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9__FDSAUDITLINK__" localSheetId="0" hidden="1">{"fdsup://IBCentral/FAT Viewer?action=UPDATE&amp;creator=factset&amp;DOC_NAME=fat:reuters_ltm_source_window.fat&amp;display_string=Audit&amp;DYN_ARGS=TRUE&amp;VAR:ID1=HON&amp;VAR:RCODE=FDSREVSTOTAL&amp;VAR:SDATE=20090699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9__FDSAUDITLINK__" localSheetId="4" hidden="1">{"fdsup://IBCentral/FAT Viewer?action=UPDATE&amp;creator=factset&amp;DOC_NAME=fat:reuters_ltm_source_window.fat&amp;display_string=Audit&amp;DYN_ARGS=TRUE&amp;VAR:ID1=HON&amp;VAR:RCODE=FDSREVSTOTAL&amp;VAR:SDATE=20090699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99__FDSAUDITLINK__" hidden="1">{"fdsup://IBCentral/FAT Viewer?action=UPDATE&amp;creator=factset&amp;DOC_NAME=fat:reuters_ltm_source_window.fat&amp;display_string=Audit&amp;DYN_ARGS=TRUE&amp;VAR:ID1=HON&amp;VAR:RCODE=FDSREVSTOTAL&amp;VAR:SDATE=20090699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7ÿ__M" localSheetId="0">#REF!</definedName>
    <definedName name="_7ÿ__M">#REF!</definedName>
    <definedName name="_7ÿ_0T" localSheetId="0">#REF!</definedName>
    <definedName name="_7ÿ_0T">#REF!</definedName>
    <definedName name="_8__FDSAUDITLINK__" localSheetId="5" hidden="1">{"fdsup://IBCentral/FAT Viewer?action=UPDATE&amp;creator=factset&amp;DOC_NAME=fat:reuters_ltm_source_window.fat&amp;display_string=Audit&amp;DYN_ARGS=TRUE&amp;VAR:ID1=SSD&amp;VAR:RCODE=FIBCEBITDA&amp;VAR:SDATE=20090399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__FDSAUDITLINK__" localSheetId="0" hidden="1">{"fdsup://IBCentral/FAT Viewer?action=UPDATE&amp;creator=factset&amp;DOC_NAME=fat:reuters_ltm_source_window.fat&amp;display_string=Audit&amp;DYN_ARGS=TRUE&amp;VAR:ID1=SSD&amp;VAR:RCODE=FIBCEBITDA&amp;VAR:SDATE=20090399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__FDSAUDITLINK__" localSheetId="4" hidden="1">{"fdsup://IBCentral/FAT Viewer?action=UPDATE&amp;creator=factset&amp;DOC_NAME=fat:reuters_ltm_source_window.fat&amp;display_string=Audit&amp;DYN_ARGS=TRUE&amp;VAR:ID1=SSD&amp;VAR:RCODE=FIBCEBITDA&amp;VAR:SDATE=20090399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__FDSAUDITLINK__" hidden="1">{"fdsup://IBCentral/FAT Viewer?action=UPDATE&amp;creator=factset&amp;DOC_NAME=fat:reuters_ltm_source_window.fat&amp;display_string=Audit&amp;DYN_ARGS=TRUE&amp;VAR:ID1=SSD&amp;VAR:RCODE=FIBCEBITDA&amp;VAR:SDATE=20090399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_0FAMERangeDJ_BALA" localSheetId="0">#REF!</definedName>
    <definedName name="_8_0FAMERangeDJ_BALA">#REF!</definedName>
    <definedName name="_8_0Purch" localSheetId="0">#REF!</definedName>
    <definedName name="_8_0Purch">#REF!</definedName>
    <definedName name="_8_3__Increase_in_other_liabilit" localSheetId="0">#REF!</definedName>
    <definedName name="_8_3__Increase_in_other_liabilit">#REF!</definedName>
    <definedName name="_8_31_94" localSheetId="0">#REF!</definedName>
    <definedName name="_8_31_94">#REF!</definedName>
    <definedName name="_80__FDSAUDITLINK__" localSheetId="5" hidden="1">{"fdsup://IBCentral/FAT Viewer?action=UPDATE&amp;creator=factset&amp;DOC_NAME=fat:reuters_ltm_source_window.fat&amp;display_string=Audit&amp;DYN_ARGS=TRUE&amp;VAR:ID1=SRCL&amp;VAR:RCODE=FIBCEBITDA&amp;VAR:SDATE=20090399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0__FDSAUDITLINK__" localSheetId="0" hidden="1">{"fdsup://IBCentral/FAT Viewer?action=UPDATE&amp;creator=factset&amp;DOC_NAME=fat:reuters_ltm_source_window.fat&amp;display_string=Audit&amp;DYN_ARGS=TRUE&amp;VAR:ID1=SRCL&amp;VAR:RCODE=FIBCEBITDA&amp;VAR:SDATE=20090399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0__FDSAUDITLINK__" localSheetId="4" hidden="1">{"fdsup://IBCentral/FAT Viewer?action=UPDATE&amp;creator=factset&amp;DOC_NAME=fat:reuters_ltm_source_window.fat&amp;display_string=Audit&amp;DYN_ARGS=TRUE&amp;VAR:ID1=SRCL&amp;VAR:RCODE=FIBCEBITDA&amp;VAR:SDATE=20090399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0__FDSAUDITLINK__" hidden="1">{"fdsup://IBCentral/FAT Viewer?action=UPDATE&amp;creator=factset&amp;DOC_NAME=fat:reuters_ltm_source_window.fat&amp;display_string=Audit&amp;DYN_ARGS=TRUE&amp;VAR:ID1=SRCL&amp;VAR:RCODE=FIBCEBITDA&amp;VAR:SDATE=20090399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00__FDSAUDITLINK__" localSheetId="5" hidden="1">{"fdsup://IBCentral/FAT Viewer?action=UPDATE&amp;creator=factset&amp;DOC_NAME=fat:reuters_ltm_source_window.fat&amp;display_string=Audit&amp;DYN_ARGS=TRUE&amp;VAR:ID1=HON&amp;VAR:RCODE=FIBCEBITDA&amp;VAR:SDATE=20090699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0__FDSAUDITLINK__" localSheetId="0" hidden="1">{"fdsup://IBCentral/FAT Viewer?action=UPDATE&amp;creator=factset&amp;DOC_NAME=fat:reuters_ltm_source_window.fat&amp;display_string=Audit&amp;DYN_ARGS=TRUE&amp;VAR:ID1=HON&amp;VAR:RCODE=FIBCEBITDA&amp;VAR:SDATE=20090699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0__FDSAUDITLINK__" localSheetId="4" hidden="1">{"fdsup://IBCentral/FAT Viewer?action=UPDATE&amp;creator=factset&amp;DOC_NAME=fat:reuters_ltm_source_window.fat&amp;display_string=Audit&amp;DYN_ARGS=TRUE&amp;VAR:ID1=HON&amp;VAR:RCODE=FIBCEBITDA&amp;VAR:SDATE=20090699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0__FDSAUDITLINK__" hidden="1">{"fdsup://IBCentral/FAT Viewer?action=UPDATE&amp;creator=factset&amp;DOC_NAME=fat:reuters_ltm_source_window.fat&amp;display_string=Audit&amp;DYN_ARGS=TRUE&amp;VAR:ID1=HON&amp;VAR:RCODE=FIBCEBITDA&amp;VAR:SDATE=20090699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1__FDSAUDITLINK__" localSheetId="5" hidden="1">{"fdsup://IBCentral/FAT Viewer?action=UPDATE&amp;creator=factset&amp;DOC_NAME=fat:reuters_ltm_source_window.fat&amp;display_string=Audit&amp;DYN_ARGS=TRUE&amp;VAR:ID1=EMR&amp;VAR:RCODE=FDSREVSTOTAL&amp;VAR:SDATE=20090699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1__FDSAUDITLINK__" localSheetId="0" hidden="1">{"fdsup://IBCentral/FAT Viewer?action=UPDATE&amp;creator=factset&amp;DOC_NAME=fat:reuters_ltm_source_window.fat&amp;display_string=Audit&amp;DYN_ARGS=TRUE&amp;VAR:ID1=EMR&amp;VAR:RCODE=FDSREVSTOTAL&amp;VAR:SDATE=20090699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1__FDSAUDITLINK__" localSheetId="4" hidden="1">{"fdsup://IBCentral/FAT Viewer?action=UPDATE&amp;creator=factset&amp;DOC_NAME=fat:reuters_ltm_source_window.fat&amp;display_string=Audit&amp;DYN_ARGS=TRUE&amp;VAR:ID1=EMR&amp;VAR:RCODE=FDSREVSTOTAL&amp;VAR:SDATE=20090699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1__FDSAUDITLINK__" hidden="1">{"fdsup://IBCentral/FAT Viewer?action=UPDATE&amp;creator=factset&amp;DOC_NAME=fat:reuters_ltm_source_window.fat&amp;display_string=Audit&amp;DYN_ARGS=TRUE&amp;VAR:ID1=EMR&amp;VAR:RCODE=FDSREVSTOTAL&amp;VAR:SDATE=20090699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2__FDSAUDITLINK__" localSheetId="5" hidden="1">{"fdsup://IBCentral/FAT Viewer?action=UPDATE&amp;creator=factset&amp;DOC_NAME=fat:reuters_ltm_source_window.fat&amp;display_string=Audit&amp;DYN_ARGS=TRUE&amp;VAR:ID1=EMR&amp;VAR:RCODE=FIBCEBITDA&amp;VAR:SDATE=20090699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2__FDSAUDITLINK__" localSheetId="0" hidden="1">{"fdsup://IBCentral/FAT Viewer?action=UPDATE&amp;creator=factset&amp;DOC_NAME=fat:reuters_ltm_source_window.fat&amp;display_string=Audit&amp;DYN_ARGS=TRUE&amp;VAR:ID1=EMR&amp;VAR:RCODE=FIBCEBITDA&amp;VAR:SDATE=20090699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2__FDSAUDITLINK__" localSheetId="4" hidden="1">{"fdsup://IBCentral/FAT Viewer?action=UPDATE&amp;creator=factset&amp;DOC_NAME=fat:reuters_ltm_source_window.fat&amp;display_string=Audit&amp;DYN_ARGS=TRUE&amp;VAR:ID1=EMR&amp;VAR:RCODE=FIBCEBITDA&amp;VAR:SDATE=20090699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2__FDSAUDITLINK__" hidden="1">{"fdsup://IBCentral/FAT Viewer?action=UPDATE&amp;creator=factset&amp;DOC_NAME=fat:reuters_ltm_source_window.fat&amp;display_string=Audit&amp;DYN_ARGS=TRUE&amp;VAR:ID1=EMR&amp;VAR:RCODE=FIBCEBITDA&amp;VAR:SDATE=20090699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3__FDSAUDITLINK__" localSheetId="5" hidden="1">{"fdsup://IBCentral/FAT Viewer?action=UPDATE&amp;creator=factset&amp;DOC_NAME=fat:reuters_ltm_source_window.fat&amp;display_string=Audit&amp;DYN_ARGS=TRUE&amp;VAR:ID1=BA&amp;VAR:RCODE=FDSREVSTOTAL&amp;VAR:SDATE=20090699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03__FDSAUDITLINK__" localSheetId="0" hidden="1">{"fdsup://IBCentral/FAT Viewer?action=UPDATE&amp;creator=factset&amp;DOC_NAME=fat:reuters_ltm_source_window.fat&amp;display_string=Audit&amp;DYN_ARGS=TRUE&amp;VAR:ID1=BA&amp;VAR:RCODE=FDSREVSTOTAL&amp;VAR:SDATE=20090699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03__FDSAUDITLINK__" localSheetId="4" hidden="1">{"fdsup://IBCentral/FAT Viewer?action=UPDATE&amp;creator=factset&amp;DOC_NAME=fat:reuters_ltm_source_window.fat&amp;display_string=Audit&amp;DYN_ARGS=TRUE&amp;VAR:ID1=BA&amp;VAR:RCODE=FDSREVSTOTAL&amp;VAR:SDATE=20090699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03__FDSAUDITLINK__" hidden="1">{"fdsup://IBCentral/FAT Viewer?action=UPDATE&amp;creator=factset&amp;DOC_NAME=fat:reuters_ltm_source_window.fat&amp;display_string=Audit&amp;DYN_ARGS=TRUE&amp;VAR:ID1=BA&amp;VAR:RCODE=FDSREVSTOTAL&amp;VAR:SDATE=20090699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04__FDSAUDITLINK__" localSheetId="5" hidden="1">{"fdsup://IBCentral/FAT Viewer?action=UPDATE&amp;creator=factset&amp;DOC_NAME=fat:reuters_ltm_source_window.fat&amp;display_string=Audit&amp;DYN_ARGS=TRUE&amp;VAR:ID1=BA&amp;VAR:RCODE=FIBCEBITDA&amp;VAR:SDATE=20090699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04__FDSAUDITLINK__" localSheetId="0" hidden="1">{"fdsup://IBCentral/FAT Viewer?action=UPDATE&amp;creator=factset&amp;DOC_NAME=fat:reuters_ltm_source_window.fat&amp;display_string=Audit&amp;DYN_ARGS=TRUE&amp;VAR:ID1=BA&amp;VAR:RCODE=FIBCEBITDA&amp;VAR:SDATE=20090699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04__FDSAUDITLINK__" localSheetId="4" hidden="1">{"fdsup://IBCentral/FAT Viewer?action=UPDATE&amp;creator=factset&amp;DOC_NAME=fat:reuters_ltm_source_window.fat&amp;display_string=Audit&amp;DYN_ARGS=TRUE&amp;VAR:ID1=BA&amp;VAR:RCODE=FIBCEBITDA&amp;VAR:SDATE=20090699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04__FDSAUDITLINK__" hidden="1">{"fdsup://IBCentral/FAT Viewer?action=UPDATE&amp;creator=factset&amp;DOC_NAME=fat:reuters_ltm_source_window.fat&amp;display_string=Audit&amp;DYN_ARGS=TRUE&amp;VAR:ID1=BA&amp;VAR:RCODE=FIBCEBITDA&amp;VAR:SDATE=20090699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05__FDSAUDITLINK__" localSheetId="5" hidden="1">{"fdsup://IBCentral/FAT Viewer?action=UPDATE&amp;creator=factset&amp;DOC_NAME=fat:reuters_ltm_source_window.fat&amp;display_string=Audit&amp;DYN_ARGS=TRUE&amp;VAR:ID1=LMT&amp;VAR:RCODE=FDSREVSTOTAL&amp;VAR:SDATE=20090699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5__FDSAUDITLINK__" localSheetId="0" hidden="1">{"fdsup://IBCentral/FAT Viewer?action=UPDATE&amp;creator=factset&amp;DOC_NAME=fat:reuters_ltm_source_window.fat&amp;display_string=Audit&amp;DYN_ARGS=TRUE&amp;VAR:ID1=LMT&amp;VAR:RCODE=FDSREVSTOTAL&amp;VAR:SDATE=20090699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5__FDSAUDITLINK__" localSheetId="4" hidden="1">{"fdsup://IBCentral/FAT Viewer?action=UPDATE&amp;creator=factset&amp;DOC_NAME=fat:reuters_ltm_source_window.fat&amp;display_string=Audit&amp;DYN_ARGS=TRUE&amp;VAR:ID1=LMT&amp;VAR:RCODE=FDSREVSTOTAL&amp;VAR:SDATE=20090699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5__FDSAUDITLINK__" hidden="1">{"fdsup://IBCentral/FAT Viewer?action=UPDATE&amp;creator=factset&amp;DOC_NAME=fat:reuters_ltm_source_window.fat&amp;display_string=Audit&amp;DYN_ARGS=TRUE&amp;VAR:ID1=LMT&amp;VAR:RCODE=FDSREVSTOTAL&amp;VAR:SDATE=20090699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6__FDSAUDITLINK__" localSheetId="5" hidden="1">{"fdsup://IBCentral/FAT Viewer?action=UPDATE&amp;creator=factset&amp;DOC_NAME=fat:reuters_ltm_source_window.fat&amp;display_string=Audit&amp;DYN_ARGS=TRUE&amp;VAR:ID1=LMT&amp;VAR:RCODE=FIBCEBITDA&amp;VAR:SDATE=20090699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6__FDSAUDITLINK__" localSheetId="0" hidden="1">{"fdsup://IBCentral/FAT Viewer?action=UPDATE&amp;creator=factset&amp;DOC_NAME=fat:reuters_ltm_source_window.fat&amp;display_string=Audit&amp;DYN_ARGS=TRUE&amp;VAR:ID1=LMT&amp;VAR:RCODE=FIBCEBITDA&amp;VAR:SDATE=20090699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6__FDSAUDITLINK__" localSheetId="4" hidden="1">{"fdsup://IBCentral/FAT Viewer?action=UPDATE&amp;creator=factset&amp;DOC_NAME=fat:reuters_ltm_source_window.fat&amp;display_string=Audit&amp;DYN_ARGS=TRUE&amp;VAR:ID1=LMT&amp;VAR:RCODE=FIBCEBITDA&amp;VAR:SDATE=20090699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6__FDSAUDITLINK__" hidden="1">{"fdsup://IBCentral/FAT Viewer?action=UPDATE&amp;creator=factset&amp;DOC_NAME=fat:reuters_ltm_source_window.fat&amp;display_string=Audit&amp;DYN_ARGS=TRUE&amp;VAR:ID1=LMT&amp;VAR:RCODE=FIBCEBITDA&amp;VAR:SDATE=20090699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7__FDSAUDITLINK__" localSheetId="5" hidden="1">{"fdsup://IBCentral/FAT Viewer?action=UPDATE&amp;creator=factset&amp;DOC_NAME=fat:reuters_ltm_source_window.fat&amp;display_string=Audit&amp;DYN_ARGS=TRUE&amp;VAR:ID1=MMM&amp;VAR:RCODE=FDSREVSTOTAL&amp;VAR:SDATE=20090699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7__FDSAUDITLINK__" localSheetId="0" hidden="1">{"fdsup://IBCentral/FAT Viewer?action=UPDATE&amp;creator=factset&amp;DOC_NAME=fat:reuters_ltm_source_window.fat&amp;display_string=Audit&amp;DYN_ARGS=TRUE&amp;VAR:ID1=MMM&amp;VAR:RCODE=FDSREVSTOTAL&amp;VAR:SDATE=20090699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7__FDSAUDITLINK__" localSheetId="4" hidden="1">{"fdsup://IBCentral/FAT Viewer?action=UPDATE&amp;creator=factset&amp;DOC_NAME=fat:reuters_ltm_source_window.fat&amp;display_string=Audit&amp;DYN_ARGS=TRUE&amp;VAR:ID1=MMM&amp;VAR:RCODE=FDSREVSTOTAL&amp;VAR:SDATE=20090699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7__FDSAUDITLINK__" hidden="1">{"fdsup://IBCentral/FAT Viewer?action=UPDATE&amp;creator=factset&amp;DOC_NAME=fat:reuters_ltm_source_window.fat&amp;display_string=Audit&amp;DYN_ARGS=TRUE&amp;VAR:ID1=MMM&amp;VAR:RCODE=FDSREVSTOTAL&amp;VAR:SDATE=20090699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8__FDSAUDITLINK__" localSheetId="5" hidden="1">{"fdsup://IBCentral/FAT Viewer?action=UPDATE&amp;creator=factset&amp;DOC_NAME=fat:reuters_ltm_source_window.fat&amp;display_string=Audit&amp;DYN_ARGS=TRUE&amp;VAR:ID1=MMM&amp;VAR:RCODE=FIBCEBITDA&amp;VAR:SDATE=20090699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8__FDSAUDITLINK__" localSheetId="0" hidden="1">{"fdsup://IBCentral/FAT Viewer?action=UPDATE&amp;creator=factset&amp;DOC_NAME=fat:reuters_ltm_source_window.fat&amp;display_string=Audit&amp;DYN_ARGS=TRUE&amp;VAR:ID1=MMM&amp;VAR:RCODE=FIBCEBITDA&amp;VAR:SDATE=20090699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8__FDSAUDITLINK__" localSheetId="4" hidden="1">{"fdsup://IBCentral/FAT Viewer?action=UPDATE&amp;creator=factset&amp;DOC_NAME=fat:reuters_ltm_source_window.fat&amp;display_string=Audit&amp;DYN_ARGS=TRUE&amp;VAR:ID1=MMM&amp;VAR:RCODE=FIBCEBITDA&amp;VAR:SDATE=20090699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8__FDSAUDITLINK__" hidden="1">{"fdsup://IBCentral/FAT Viewer?action=UPDATE&amp;creator=factset&amp;DOC_NAME=fat:reuters_ltm_source_window.fat&amp;display_string=Audit&amp;DYN_ARGS=TRUE&amp;VAR:ID1=MMM&amp;VAR:RCODE=FIBCEBITDA&amp;VAR:SDATE=20090699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09__FDSAUDITLINK__" localSheetId="5" hidden="1">{"fdsup://IBCentral/FAT Viewer?action=UPDATE&amp;creator=factset&amp;DOC_NAME=fat:reuters_ltm_source_window.fat&amp;display_string=Audit&amp;DYN_ARGS=TRUE&amp;VAR:ID1=UTX&amp;VAR:RCODE=FDSREVSTOTAL&amp;VAR:SDATE=20090699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9__FDSAUDITLINK__" localSheetId="0" hidden="1">{"fdsup://IBCentral/FAT Viewer?action=UPDATE&amp;creator=factset&amp;DOC_NAME=fat:reuters_ltm_source_window.fat&amp;display_string=Audit&amp;DYN_ARGS=TRUE&amp;VAR:ID1=UTX&amp;VAR:RCODE=FDSREVSTOTAL&amp;VAR:SDATE=20090699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9__FDSAUDITLINK__" localSheetId="4" hidden="1">{"fdsup://IBCentral/FAT Viewer?action=UPDATE&amp;creator=factset&amp;DOC_NAME=fat:reuters_ltm_source_window.fat&amp;display_string=Audit&amp;DYN_ARGS=TRUE&amp;VAR:ID1=UTX&amp;VAR:RCODE=FDSREVSTOTAL&amp;VAR:SDATE=20090699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09__FDSAUDITLINK__" hidden="1">{"fdsup://IBCentral/FAT Viewer?action=UPDATE&amp;creator=factset&amp;DOC_NAME=fat:reuters_ltm_source_window.fat&amp;display_string=Audit&amp;DYN_ARGS=TRUE&amp;VAR:ID1=UTX&amp;VAR:RCODE=FDSREVSTOTAL&amp;VAR:SDATE=20090699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1__123Graph_AChart_1R" localSheetId="0" hidden="1">#REF!</definedName>
    <definedName name="_81__123Graph_AChart_1R" hidden="1">#REF!</definedName>
    <definedName name="_81__FDSAUDITLINK__" localSheetId="5" hidden="1">{"fdsup://IBCentral/FAT Viewer?action=UPDATE&amp;creator=factset&amp;DOC_NAME=fat:reuters_ltm_source_window.fat&amp;display_string=Audit&amp;DYN_ARGS=TRUE&amp;VAR:ID1=DNB&amp;VAR:RCODE=FIBCEBITDA&amp;VAR:SDATE=20090399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__FDSAUDITLINK__" localSheetId="0" hidden="1">{"fdsup://IBCentral/FAT Viewer?action=UPDATE&amp;creator=factset&amp;DOC_NAME=fat:reuters_ltm_source_window.fat&amp;display_string=Audit&amp;DYN_ARGS=TRUE&amp;VAR:ID1=DNB&amp;VAR:RCODE=FIBCEBITDA&amp;VAR:SDATE=20090399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__FDSAUDITLINK__" localSheetId="4" hidden="1">{"fdsup://IBCentral/FAT Viewer?action=UPDATE&amp;creator=factset&amp;DOC_NAME=fat:reuters_ltm_source_window.fat&amp;display_string=Audit&amp;DYN_ARGS=TRUE&amp;VAR:ID1=DNB&amp;VAR:RCODE=FIBCEBITDA&amp;VAR:SDATE=20090399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__FDSAUDITLINK__" hidden="1">{"fdsup://IBCentral/FAT Viewer?action=UPDATE&amp;creator=factset&amp;DOC_NAME=fat:reuters_ltm_source_window.fat&amp;display_string=Audit&amp;DYN_ARGS=TRUE&amp;VAR:ID1=DNB&amp;VAR:RCODE=FIBCEBITDA&amp;VAR:SDATE=20090399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0__FDSAUDITLINK__" localSheetId="5" hidden="1">{"fdsup://IBCentral/FAT Viewer?action=UPDATE&amp;creator=factset&amp;DOC_NAME=fat:reuters_ltm_source_window.fat&amp;display_string=Audit&amp;DYN_ARGS=TRUE&amp;VAR:ID1=UTX&amp;VAR:RCODE=FIBCEBITDA&amp;VAR:SDATE=20090699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0__FDSAUDITLINK__" localSheetId="0" hidden="1">{"fdsup://IBCentral/FAT Viewer?action=UPDATE&amp;creator=factset&amp;DOC_NAME=fat:reuters_ltm_source_window.fat&amp;display_string=Audit&amp;DYN_ARGS=TRUE&amp;VAR:ID1=UTX&amp;VAR:RCODE=FIBCEBITDA&amp;VAR:SDATE=20090699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0__FDSAUDITLINK__" localSheetId="4" hidden="1">{"fdsup://IBCentral/FAT Viewer?action=UPDATE&amp;creator=factset&amp;DOC_NAME=fat:reuters_ltm_source_window.fat&amp;display_string=Audit&amp;DYN_ARGS=TRUE&amp;VAR:ID1=UTX&amp;VAR:RCODE=FIBCEBITDA&amp;VAR:SDATE=20090699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0__FDSAUDITLINK__" hidden="1">{"fdsup://IBCentral/FAT Viewer?action=UPDATE&amp;creator=factset&amp;DOC_NAME=fat:reuters_ltm_source_window.fat&amp;display_string=Audit&amp;DYN_ARGS=TRUE&amp;VAR:ID1=UTX&amp;VAR:RCODE=FIBCEBITDA&amp;VAR:SDATE=20090699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1__FDSAUDITLINK__" localSheetId="5" hidden="1">{"fdsup://IBCentral/FAT Viewer?action=UPDATE&amp;creator=factset&amp;DOC_NAME=fat:reuters_ltm_source_window.fat&amp;display_string=Audit&amp;DYN_ARGS=TRUE&amp;VAR:ID1=UPS&amp;VAR:RCODE=FDSREVSTOTAL&amp;VAR:SDATE=20090699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11__FDSAUDITLINK__" localSheetId="0" hidden="1">{"fdsup://IBCentral/FAT Viewer?action=UPDATE&amp;creator=factset&amp;DOC_NAME=fat:reuters_ltm_source_window.fat&amp;display_string=Audit&amp;DYN_ARGS=TRUE&amp;VAR:ID1=UPS&amp;VAR:RCODE=FDSREVSTOTAL&amp;VAR:SDATE=20090699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11__FDSAUDITLINK__" localSheetId="4" hidden="1">{"fdsup://IBCentral/FAT Viewer?action=UPDATE&amp;creator=factset&amp;DOC_NAME=fat:reuters_ltm_source_window.fat&amp;display_string=Audit&amp;DYN_ARGS=TRUE&amp;VAR:ID1=UPS&amp;VAR:RCODE=FDSREVSTOTAL&amp;VAR:SDATE=20090699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11__FDSAUDITLINK__" hidden="1">{"fdsup://IBCentral/FAT Viewer?action=UPDATE&amp;creator=factset&amp;DOC_NAME=fat:reuters_ltm_source_window.fat&amp;display_string=Audit&amp;DYN_ARGS=TRUE&amp;VAR:ID1=UPS&amp;VAR:RCODE=FDSREVSTOTAL&amp;VAR:SDATE=20090699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12__FDSAUDITLINK__" localSheetId="5" hidden="1">{"fdsup://IBCentral/FAT Viewer?action=UPDATE&amp;creator=factset&amp;DOC_NAME=fat:reuters_ltm_source_window.fat&amp;display_string=Audit&amp;DYN_ARGS=TRUE&amp;VAR:ID1=UPS&amp;VAR:RCODE=FIBCEBITDA&amp;VAR:SDATE=20090699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2__FDSAUDITLINK__" localSheetId="0" hidden="1">{"fdsup://IBCentral/FAT Viewer?action=UPDATE&amp;creator=factset&amp;DOC_NAME=fat:reuters_ltm_source_window.fat&amp;display_string=Audit&amp;DYN_ARGS=TRUE&amp;VAR:ID1=UPS&amp;VAR:RCODE=FIBCEBITDA&amp;VAR:SDATE=20090699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2__FDSAUDITLINK__" localSheetId="4" hidden="1">{"fdsup://IBCentral/FAT Viewer?action=UPDATE&amp;creator=factset&amp;DOC_NAME=fat:reuters_ltm_source_window.fat&amp;display_string=Audit&amp;DYN_ARGS=TRUE&amp;VAR:ID1=UPS&amp;VAR:RCODE=FIBCEBITDA&amp;VAR:SDATE=20090699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2__FDSAUDITLINK__" hidden="1">{"fdsup://IBCentral/FAT Viewer?action=UPDATE&amp;creator=factset&amp;DOC_NAME=fat:reuters_ltm_source_window.fat&amp;display_string=Audit&amp;DYN_ARGS=TRUE&amp;VAR:ID1=UPS&amp;VAR:RCODE=FIBCEBITDA&amp;VAR:SDATE=20090699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13__FDSAUDITLINK__" localSheetId="5" hidden="1">{"fdsup://IBCentral/FAT Viewer?action=UPDATE&amp;creator=factset&amp;DOC_NAME=fat:reuters_ltm_source_window.fat&amp;display_string=Audit&amp;DYN_ARGS=TRUE&amp;VAR:ID1=GE&amp;VAR:RCODE=FDSREVSTOTAL&amp;VAR:SDATE=20090699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3__FDSAUDITLINK__" localSheetId="0" hidden="1">{"fdsup://IBCentral/FAT Viewer?action=UPDATE&amp;creator=factset&amp;DOC_NAME=fat:reuters_ltm_source_window.fat&amp;display_string=Audit&amp;DYN_ARGS=TRUE&amp;VAR:ID1=GE&amp;VAR:RCODE=FDSREVSTOTAL&amp;VAR:SDATE=20090699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3__FDSAUDITLINK__" localSheetId="4" hidden="1">{"fdsup://IBCentral/FAT Viewer?action=UPDATE&amp;creator=factset&amp;DOC_NAME=fat:reuters_ltm_source_window.fat&amp;display_string=Audit&amp;DYN_ARGS=TRUE&amp;VAR:ID1=GE&amp;VAR:RCODE=FDSREVSTOTAL&amp;VAR:SDATE=20090699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3__FDSAUDITLINK__" hidden="1">{"fdsup://IBCentral/FAT Viewer?action=UPDATE&amp;creator=factset&amp;DOC_NAME=fat:reuters_ltm_source_window.fat&amp;display_string=Audit&amp;DYN_ARGS=TRUE&amp;VAR:ID1=GE&amp;VAR:RCODE=FDSREVSTOTAL&amp;VAR:SDATE=20090699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4__FDSAUDITLINK__" localSheetId="5" hidden="1">{"fdsup://IBCentral/FAT Viewer?action=UPDATE&amp;creator=factset&amp;DOC_NAME=fat:reuters_ltm_source_window.fat&amp;display_string=Audit&amp;DYN_ARGS=TRUE&amp;VAR:ID1=GE&amp;VAR:RCODE=FIBCEBITDA&amp;VAR:SDATE=20090699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4__FDSAUDITLINK__" localSheetId="0" hidden="1">{"fdsup://IBCentral/FAT Viewer?action=UPDATE&amp;creator=factset&amp;DOC_NAME=fat:reuters_ltm_source_window.fat&amp;display_string=Audit&amp;DYN_ARGS=TRUE&amp;VAR:ID1=GE&amp;VAR:RCODE=FIBCEBITDA&amp;VAR:SDATE=20090699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4__FDSAUDITLINK__" localSheetId="4" hidden="1">{"fdsup://IBCentral/FAT Viewer?action=UPDATE&amp;creator=factset&amp;DOC_NAME=fat:reuters_ltm_source_window.fat&amp;display_string=Audit&amp;DYN_ARGS=TRUE&amp;VAR:ID1=GE&amp;VAR:RCODE=FIBCEBITDA&amp;VAR:SDATE=20090699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4__FDSAUDITLINK__" hidden="1">{"fdsup://IBCentral/FAT Viewer?action=UPDATE&amp;creator=factset&amp;DOC_NAME=fat:reuters_ltm_source_window.fat&amp;display_string=Audit&amp;DYN_ARGS=TRUE&amp;VAR:ID1=GE&amp;VAR:RCODE=FIBCEBITDA&amp;VAR:SDATE=20090699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5__FDSAUDITLINK__" localSheetId="5" hidden="1">{"fdsup://IBCentral/FAT Viewer?action=UPDATE&amp;creator=factset&amp;DOC_NAME=fat:reuters_ltm_source_window.fat&amp;display_string=Audit&amp;DYN_ARGS=TRUE&amp;VAR:ID1=CR&amp;VAR:RCODE=FDSREVSTOTAL&amp;VAR:SDATE=20090399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5__FDSAUDITLINK__" localSheetId="0" hidden="1">{"fdsup://IBCentral/FAT Viewer?action=UPDATE&amp;creator=factset&amp;DOC_NAME=fat:reuters_ltm_source_window.fat&amp;display_string=Audit&amp;DYN_ARGS=TRUE&amp;VAR:ID1=CR&amp;VAR:RCODE=FDSREVSTOTAL&amp;VAR:SDATE=20090399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5__FDSAUDITLINK__" localSheetId="4" hidden="1">{"fdsup://IBCentral/FAT Viewer?action=UPDATE&amp;creator=factset&amp;DOC_NAME=fat:reuters_ltm_source_window.fat&amp;display_string=Audit&amp;DYN_ARGS=TRUE&amp;VAR:ID1=CR&amp;VAR:RCODE=FDSREVSTOTAL&amp;VAR:SDATE=20090399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5__FDSAUDITLINK__" hidden="1">{"fdsup://IBCentral/FAT Viewer?action=UPDATE&amp;creator=factset&amp;DOC_NAME=fat:reuters_ltm_source_window.fat&amp;display_string=Audit&amp;DYN_ARGS=TRUE&amp;VAR:ID1=CR&amp;VAR:RCODE=FDSREVSTOTAL&amp;VAR:SDATE=20090399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6__FDSAUDITLINK__" localSheetId="5" hidden="1">{"fdsup://IBCentral/FAT Viewer?action=UPDATE&amp;creator=factset&amp;DOC_NAME=fat:reuters_ltm_source_window.fat&amp;display_string=Audit&amp;DYN_ARGS=TRUE&amp;VAR:ID1=CR&amp;VAR:RCODE=FIBCEBITDA&amp;VAR:SDATE=20090399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6__FDSAUDITLINK__" localSheetId="0" hidden="1">{"fdsup://IBCentral/FAT Viewer?action=UPDATE&amp;creator=factset&amp;DOC_NAME=fat:reuters_ltm_source_window.fat&amp;display_string=Audit&amp;DYN_ARGS=TRUE&amp;VAR:ID1=CR&amp;VAR:RCODE=FIBCEBITDA&amp;VAR:SDATE=20090399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6__FDSAUDITLINK__" localSheetId="4" hidden="1">{"fdsup://IBCentral/FAT Viewer?action=UPDATE&amp;creator=factset&amp;DOC_NAME=fat:reuters_ltm_source_window.fat&amp;display_string=Audit&amp;DYN_ARGS=TRUE&amp;VAR:ID1=CR&amp;VAR:RCODE=FIBCEBITDA&amp;VAR:SDATE=20090399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6__FDSAUDITLINK__" hidden="1">{"fdsup://IBCentral/FAT Viewer?action=UPDATE&amp;creator=factset&amp;DOC_NAME=fat:reuters_ltm_source_window.fat&amp;display_string=Audit&amp;DYN_ARGS=TRUE&amp;VAR:ID1=CR&amp;VAR:RCODE=FIBCEBITDA&amp;VAR:SDATE=20090399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7__FDSAUDITLINK__" localSheetId="5" hidden="1">{"fdsup://IBCentral/FAT Viewer?action=UPDATE&amp;creator=factset&amp;DOC_NAME=fat:reuters_ltm_source_window.fat&amp;display_string=Audit&amp;DYN_ARGS=TRUE&amp;VAR:ID1=CR&amp;VAR:RCODE=FDSREVSTOTAL&amp;VAR:SDATE=20090699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7__FDSAUDITLINK__" localSheetId="0" hidden="1">{"fdsup://IBCentral/FAT Viewer?action=UPDATE&amp;creator=factset&amp;DOC_NAME=fat:reuters_ltm_source_window.fat&amp;display_string=Audit&amp;DYN_ARGS=TRUE&amp;VAR:ID1=CR&amp;VAR:RCODE=FDSREVSTOTAL&amp;VAR:SDATE=20090699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7__FDSAUDITLINK__" localSheetId="4" hidden="1">{"fdsup://IBCentral/FAT Viewer?action=UPDATE&amp;creator=factset&amp;DOC_NAME=fat:reuters_ltm_source_window.fat&amp;display_string=Audit&amp;DYN_ARGS=TRUE&amp;VAR:ID1=CR&amp;VAR:RCODE=FDSREVSTOTAL&amp;VAR:SDATE=20090699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7__FDSAUDITLINK__" hidden="1">{"fdsup://IBCentral/FAT Viewer?action=UPDATE&amp;creator=factset&amp;DOC_NAME=fat:reuters_ltm_source_window.fat&amp;display_string=Audit&amp;DYN_ARGS=TRUE&amp;VAR:ID1=CR&amp;VAR:RCODE=FDSREVSTOTAL&amp;VAR:SDATE=20090699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18__FDSAUDITLINK__" localSheetId="5" hidden="1">{"fdsup://IBCentral/FAT Viewer?action=UPDATE&amp;creator=factset&amp;DOC_NAME=fat:reuters_ltm_source_window.fat&amp;display_string=Audit&amp;DYN_ARGS=TRUE&amp;VAR:ID1=CR&amp;VAR:RCODE=FIBCEBITDA&amp;VAR:SDATE=20090699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8__FDSAUDITLINK__" localSheetId="0" hidden="1">{"fdsup://IBCentral/FAT Viewer?action=UPDATE&amp;creator=factset&amp;DOC_NAME=fat:reuters_ltm_source_window.fat&amp;display_string=Audit&amp;DYN_ARGS=TRUE&amp;VAR:ID1=CR&amp;VAR:RCODE=FIBCEBITDA&amp;VAR:SDATE=20090699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8__FDSAUDITLINK__" localSheetId="4" hidden="1">{"fdsup://IBCentral/FAT Viewer?action=UPDATE&amp;creator=factset&amp;DOC_NAME=fat:reuters_ltm_source_window.fat&amp;display_string=Audit&amp;DYN_ARGS=TRUE&amp;VAR:ID1=CR&amp;VAR:RCODE=FIBCEBITDA&amp;VAR:SDATE=20090699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8__FDSAUDITLINK__" hidden="1">{"fdsup://IBCentral/FAT Viewer?action=UPDATE&amp;creator=factset&amp;DOC_NAME=fat:reuters_ltm_source_window.fat&amp;display_string=Audit&amp;DYN_ARGS=TRUE&amp;VAR:ID1=CR&amp;VAR:RCODE=FIBCEBITDA&amp;VAR:SDATE=20090699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19__FDSAUDITLINK__" localSheetId="5" hidden="1">{"fdsup://IBCentral/FAT Viewer?action=UPDATE&amp;creator=factset&amp;DOC_NAME=fat:reuters_ltm_source_window.fat&amp;display_string=Audit&amp;DYN_ARGS=TRUE&amp;VAR:ID1=AXB&amp;VAR:RCODE=FDSREVSTOTAL&amp;VAR:SDATE=20090399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19__FDSAUDITLINK__" localSheetId="0" hidden="1">{"fdsup://IBCentral/FAT Viewer?action=UPDATE&amp;creator=factset&amp;DOC_NAME=fat:reuters_ltm_source_window.fat&amp;display_string=Audit&amp;DYN_ARGS=TRUE&amp;VAR:ID1=AXB&amp;VAR:RCODE=FDSREVSTOTAL&amp;VAR:SDATE=20090399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19__FDSAUDITLINK__" localSheetId="4" hidden="1">{"fdsup://IBCentral/FAT Viewer?action=UPDATE&amp;creator=factset&amp;DOC_NAME=fat:reuters_ltm_source_window.fat&amp;display_string=Audit&amp;DYN_ARGS=TRUE&amp;VAR:ID1=AXB&amp;VAR:RCODE=FDSREVSTOTAL&amp;VAR:SDATE=20090399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19__FDSAUDITLINK__" hidden="1">{"fdsup://IBCentral/FAT Viewer?action=UPDATE&amp;creator=factset&amp;DOC_NAME=fat:reuters_ltm_source_window.fat&amp;display_string=Audit&amp;DYN_ARGS=TRUE&amp;VAR:ID1=AXB&amp;VAR:RCODE=FDSREVSTOTAL&amp;VAR:SDATE=20090399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__FDSAUDITLINK__" localSheetId="5" hidden="1">{"fdsup://IBCentral/FAT Viewer?action=UPDATE&amp;creator=factset&amp;DOC_NAME=fat:reuters_ltm_source_window.fat&amp;display_string=Audit&amp;DYN_ARGS=TRUE&amp;VAR:ID1=CBE&amp;VAR:RCODE=FIBCEBITDA&amp;VAR:SDATE=20090399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__FDSAUDITLINK__" localSheetId="0" hidden="1">{"fdsup://IBCentral/FAT Viewer?action=UPDATE&amp;creator=factset&amp;DOC_NAME=fat:reuters_ltm_source_window.fat&amp;display_string=Audit&amp;DYN_ARGS=TRUE&amp;VAR:ID1=CBE&amp;VAR:RCODE=FIBCEBITDA&amp;VAR:SDATE=20090399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__FDSAUDITLINK__" localSheetId="4" hidden="1">{"fdsup://IBCentral/FAT Viewer?action=UPDATE&amp;creator=factset&amp;DOC_NAME=fat:reuters_ltm_source_window.fat&amp;display_string=Audit&amp;DYN_ARGS=TRUE&amp;VAR:ID1=CBE&amp;VAR:RCODE=FIBCEBITDA&amp;VAR:SDATE=20090399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__FDSAUDITLINK__" hidden="1">{"fdsup://IBCentral/FAT Viewer?action=UPDATE&amp;creator=factset&amp;DOC_NAME=fat:reuters_ltm_source_window.fat&amp;display_string=Audit&amp;DYN_ARGS=TRUE&amp;VAR:ID1=CBE&amp;VAR:RCODE=FIBCEBITDA&amp;VAR:SDATE=20090399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0__FDSAUDITLINK__" localSheetId="5" hidden="1">{"fdsup://IBCentral/FAT Viewer?action=UPDATE&amp;creator=factset&amp;DOC_NAME=fat:reuters_ltm_source_window.fat&amp;display_string=Audit&amp;DYN_ARGS=TRUE&amp;VAR:ID1=AXB&amp;VAR:RCODE=FIBCEBITDA&amp;VAR:SDATE=20090399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0__FDSAUDITLINK__" localSheetId="0" hidden="1">{"fdsup://IBCentral/FAT Viewer?action=UPDATE&amp;creator=factset&amp;DOC_NAME=fat:reuters_ltm_source_window.fat&amp;display_string=Audit&amp;DYN_ARGS=TRUE&amp;VAR:ID1=AXB&amp;VAR:RCODE=FIBCEBITDA&amp;VAR:SDATE=20090399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0__FDSAUDITLINK__" localSheetId="4" hidden="1">{"fdsup://IBCentral/FAT Viewer?action=UPDATE&amp;creator=factset&amp;DOC_NAME=fat:reuters_ltm_source_window.fat&amp;display_string=Audit&amp;DYN_ARGS=TRUE&amp;VAR:ID1=AXB&amp;VAR:RCODE=FIBCEBITDA&amp;VAR:SDATE=20090399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0__FDSAUDITLINK__" hidden="1">{"fdsup://IBCentral/FAT Viewer?action=UPDATE&amp;creator=factset&amp;DOC_NAME=fat:reuters_ltm_source_window.fat&amp;display_string=Audit&amp;DYN_ARGS=TRUE&amp;VAR:ID1=AXB&amp;VAR:RCODE=FIBCEBITDA&amp;VAR:SDATE=20090399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1__FDSAUDITLINK__" localSheetId="5" hidden="1">{"fdsup://IBCentral/FAT Viewer?action=UPDATE&amp;creator=factset&amp;DOC_NAME=fat:reuters_ltm_source_window.fat&amp;display_string=Audit&amp;DYN_ARGS=TRUE&amp;VAR:ID1=TRN&amp;VAR:RCODE=FDSREVSTOTAL&amp;VAR:SDATE=20090699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1__FDSAUDITLINK__" localSheetId="0" hidden="1">{"fdsup://IBCentral/FAT Viewer?action=UPDATE&amp;creator=factset&amp;DOC_NAME=fat:reuters_ltm_source_window.fat&amp;display_string=Audit&amp;DYN_ARGS=TRUE&amp;VAR:ID1=TRN&amp;VAR:RCODE=FDSREVSTOTAL&amp;VAR:SDATE=20090699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1__FDSAUDITLINK__" localSheetId="4" hidden="1">{"fdsup://IBCentral/FAT Viewer?action=UPDATE&amp;creator=factset&amp;DOC_NAME=fat:reuters_ltm_source_window.fat&amp;display_string=Audit&amp;DYN_ARGS=TRUE&amp;VAR:ID1=TRN&amp;VAR:RCODE=FDSREVSTOTAL&amp;VAR:SDATE=20090699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1__FDSAUDITLINK__" hidden="1">{"fdsup://IBCentral/FAT Viewer?action=UPDATE&amp;creator=factset&amp;DOC_NAME=fat:reuters_ltm_source_window.fat&amp;display_string=Audit&amp;DYN_ARGS=TRUE&amp;VAR:ID1=TRN&amp;VAR:RCODE=FDSREVSTOTAL&amp;VAR:SDATE=20090699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2__FDSAUDITLINK__" localSheetId="5" hidden="1">{"fdsup://IBCentral/FAT Viewer?action=UPDATE&amp;creator=factset&amp;DOC_NAME=fat:reuters_ltm_source_window.fat&amp;display_string=Audit&amp;DYN_ARGS=TRUE&amp;VAR:ID1=TRN&amp;VAR:RCODE=FIBCEBITDA&amp;VAR:SDATE=20090699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2__FDSAUDITLINK__" localSheetId="0" hidden="1">{"fdsup://IBCentral/FAT Viewer?action=UPDATE&amp;creator=factset&amp;DOC_NAME=fat:reuters_ltm_source_window.fat&amp;display_string=Audit&amp;DYN_ARGS=TRUE&amp;VAR:ID1=TRN&amp;VAR:RCODE=FIBCEBITDA&amp;VAR:SDATE=20090699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2__FDSAUDITLINK__" localSheetId="4" hidden="1">{"fdsup://IBCentral/FAT Viewer?action=UPDATE&amp;creator=factset&amp;DOC_NAME=fat:reuters_ltm_source_window.fat&amp;display_string=Audit&amp;DYN_ARGS=TRUE&amp;VAR:ID1=TRN&amp;VAR:RCODE=FIBCEBITDA&amp;VAR:SDATE=20090699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2__FDSAUDITLINK__" hidden="1">{"fdsup://IBCentral/FAT Viewer?action=UPDATE&amp;creator=factset&amp;DOC_NAME=fat:reuters_ltm_source_window.fat&amp;display_string=Audit&amp;DYN_ARGS=TRUE&amp;VAR:ID1=TRN&amp;VAR:RCODE=FIBCEBITDA&amp;VAR:SDATE=20090699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3__FDSAUDITLINK__" localSheetId="5" hidden="1">{"fdsup://IBCentral/FAT Viewer?action=UPDATE&amp;creator=factset&amp;DOC_NAME=fat:reuters_ltm_source_window.fat&amp;display_string=Audit&amp;DYN_ARGS=TRUE&amp;VAR:ID1=GEO&amp;VAR:RCODE=FDSREVSTOTAL&amp;VAR:SDATE=20090699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3__FDSAUDITLINK__" localSheetId="0" hidden="1">{"fdsup://IBCentral/FAT Viewer?action=UPDATE&amp;creator=factset&amp;DOC_NAME=fat:reuters_ltm_source_window.fat&amp;display_string=Audit&amp;DYN_ARGS=TRUE&amp;VAR:ID1=GEO&amp;VAR:RCODE=FDSREVSTOTAL&amp;VAR:SDATE=20090699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3__FDSAUDITLINK__" localSheetId="4" hidden="1">{"fdsup://IBCentral/FAT Viewer?action=UPDATE&amp;creator=factset&amp;DOC_NAME=fat:reuters_ltm_source_window.fat&amp;display_string=Audit&amp;DYN_ARGS=TRUE&amp;VAR:ID1=GEO&amp;VAR:RCODE=FDSREVSTOTAL&amp;VAR:SDATE=20090699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3__FDSAUDITLINK__" hidden="1">{"fdsup://IBCentral/FAT Viewer?action=UPDATE&amp;creator=factset&amp;DOC_NAME=fat:reuters_ltm_source_window.fat&amp;display_string=Audit&amp;DYN_ARGS=TRUE&amp;VAR:ID1=GEO&amp;VAR:RCODE=FDSREVSTOTAL&amp;VAR:SDATE=20090699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4__FDSAUDITLINK__" localSheetId="5" hidden="1">{"fdsup://IBCentral/FAT Viewer?action=UPDATE&amp;creator=factset&amp;DOC_NAME=fat:reuters_ltm_source_window.fat&amp;display_string=Audit&amp;DYN_ARGS=TRUE&amp;VAR:ID1=GEO&amp;VAR:RCODE=FIBCEBITDA&amp;VAR:SDATE=20090699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4__FDSAUDITLINK__" localSheetId="0" hidden="1">{"fdsup://IBCentral/FAT Viewer?action=UPDATE&amp;creator=factset&amp;DOC_NAME=fat:reuters_ltm_source_window.fat&amp;display_string=Audit&amp;DYN_ARGS=TRUE&amp;VAR:ID1=GEO&amp;VAR:RCODE=FIBCEBITDA&amp;VAR:SDATE=20090699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4__FDSAUDITLINK__" localSheetId="4" hidden="1">{"fdsup://IBCentral/FAT Viewer?action=UPDATE&amp;creator=factset&amp;DOC_NAME=fat:reuters_ltm_source_window.fat&amp;display_string=Audit&amp;DYN_ARGS=TRUE&amp;VAR:ID1=GEO&amp;VAR:RCODE=FIBCEBITDA&amp;VAR:SDATE=20090699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4__FDSAUDITLINK__" hidden="1">{"fdsup://IBCentral/FAT Viewer?action=UPDATE&amp;creator=factset&amp;DOC_NAME=fat:reuters_ltm_source_window.fat&amp;display_string=Audit&amp;DYN_ARGS=TRUE&amp;VAR:ID1=GEO&amp;VAR:RCODE=FIBCEBITDA&amp;VAR:SDATE=20090699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5__FDSAUDITLINK__" localSheetId="5" hidden="1">{"fdsup://IBCentral/FAT Viewer?action=UPDATE&amp;creator=factset&amp;DOC_NAME=fat:reuters_ltm_source_window.fat&amp;display_string=Audit&amp;DYN_ARGS=TRUE&amp;VAR:ID1=BGG&amp;VAR:RCODE=FDSREVSTOTAL&amp;VAR:SDATE=20090399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5__FDSAUDITLINK__" localSheetId="0" hidden="1">{"fdsup://IBCentral/FAT Viewer?action=UPDATE&amp;creator=factset&amp;DOC_NAME=fat:reuters_ltm_source_window.fat&amp;display_string=Audit&amp;DYN_ARGS=TRUE&amp;VAR:ID1=BGG&amp;VAR:RCODE=FDSREVSTOTAL&amp;VAR:SDATE=20090399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5__FDSAUDITLINK__" localSheetId="4" hidden="1">{"fdsup://IBCentral/FAT Viewer?action=UPDATE&amp;creator=factset&amp;DOC_NAME=fat:reuters_ltm_source_window.fat&amp;display_string=Audit&amp;DYN_ARGS=TRUE&amp;VAR:ID1=BGG&amp;VAR:RCODE=FDSREVSTOTAL&amp;VAR:SDATE=20090399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5__FDSAUDITLINK__" hidden="1">{"fdsup://IBCentral/FAT Viewer?action=UPDATE&amp;creator=factset&amp;DOC_NAME=fat:reuters_ltm_source_window.fat&amp;display_string=Audit&amp;DYN_ARGS=TRUE&amp;VAR:ID1=BGG&amp;VAR:RCODE=FDSREVSTOTAL&amp;VAR:SDATE=20090399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6__FDSAUDITLINK__" localSheetId="5" hidden="1">{"fdsup://IBCentral/FAT Viewer?action=UPDATE&amp;creator=factset&amp;DOC_NAME=fat:reuters_ltm_source_window.fat&amp;display_string=Audit&amp;DYN_ARGS=TRUE&amp;VAR:ID1=BGG&amp;VAR:RCODE=FIBCEBITDA&amp;VAR:SDATE=20090399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6__FDSAUDITLINK__" localSheetId="0" hidden="1">{"fdsup://IBCentral/FAT Viewer?action=UPDATE&amp;creator=factset&amp;DOC_NAME=fat:reuters_ltm_source_window.fat&amp;display_string=Audit&amp;DYN_ARGS=TRUE&amp;VAR:ID1=BGG&amp;VAR:RCODE=FIBCEBITDA&amp;VAR:SDATE=20090399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6__FDSAUDITLINK__" localSheetId="4" hidden="1">{"fdsup://IBCentral/FAT Viewer?action=UPDATE&amp;creator=factset&amp;DOC_NAME=fat:reuters_ltm_source_window.fat&amp;display_string=Audit&amp;DYN_ARGS=TRUE&amp;VAR:ID1=BGG&amp;VAR:RCODE=FIBCEBITDA&amp;VAR:SDATE=20090399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6__FDSAUDITLINK__" hidden="1">{"fdsup://IBCentral/FAT Viewer?action=UPDATE&amp;creator=factset&amp;DOC_NAME=fat:reuters_ltm_source_window.fat&amp;display_string=Audit&amp;DYN_ARGS=TRUE&amp;VAR:ID1=BGG&amp;VAR:RCODE=FIBCEBITDA&amp;VAR:SDATE=20090399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7__FDSAUDITLINK__" localSheetId="5" hidden="1">{"fdsup://IBCentral/FAT Viewer?action=UPDATE&amp;creator=factset&amp;DOC_NAME=fat:reuters_ltm_source_window.fat&amp;display_string=Audit&amp;DYN_ARGS=TRUE&amp;VAR:ID1=MLI&amp;VAR:RCODE=FDSREVSTOTAL&amp;VAR:SDATE=20090399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7__FDSAUDITLINK__" localSheetId="0" hidden="1">{"fdsup://IBCentral/FAT Viewer?action=UPDATE&amp;creator=factset&amp;DOC_NAME=fat:reuters_ltm_source_window.fat&amp;display_string=Audit&amp;DYN_ARGS=TRUE&amp;VAR:ID1=MLI&amp;VAR:RCODE=FDSREVSTOTAL&amp;VAR:SDATE=20090399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7__FDSAUDITLINK__" localSheetId="4" hidden="1">{"fdsup://IBCentral/FAT Viewer?action=UPDATE&amp;creator=factset&amp;DOC_NAME=fat:reuters_ltm_source_window.fat&amp;display_string=Audit&amp;DYN_ARGS=TRUE&amp;VAR:ID1=MLI&amp;VAR:RCODE=FDSREVSTOTAL&amp;VAR:SDATE=20090399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7__FDSAUDITLINK__" hidden="1">{"fdsup://IBCentral/FAT Viewer?action=UPDATE&amp;creator=factset&amp;DOC_NAME=fat:reuters_ltm_source_window.fat&amp;display_string=Audit&amp;DYN_ARGS=TRUE&amp;VAR:ID1=MLI&amp;VAR:RCODE=FDSREVSTOTAL&amp;VAR:SDATE=20090399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28__FDSAUDITLINK__" localSheetId="5" hidden="1">{"fdsup://IBCentral/FAT Viewer?action=UPDATE&amp;creator=factset&amp;DOC_NAME=fat:reuters_ltm_source_window.fat&amp;display_string=Audit&amp;DYN_ARGS=TRUE&amp;VAR:ID1=MLI&amp;VAR:RCODE=FIBCEBITDA&amp;VAR:SDATE=20090399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8__FDSAUDITLINK__" localSheetId="0" hidden="1">{"fdsup://IBCentral/FAT Viewer?action=UPDATE&amp;creator=factset&amp;DOC_NAME=fat:reuters_ltm_source_window.fat&amp;display_string=Audit&amp;DYN_ARGS=TRUE&amp;VAR:ID1=MLI&amp;VAR:RCODE=FIBCEBITDA&amp;VAR:SDATE=20090399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8__FDSAUDITLINK__" localSheetId="4" hidden="1">{"fdsup://IBCentral/FAT Viewer?action=UPDATE&amp;creator=factset&amp;DOC_NAME=fat:reuters_ltm_source_window.fat&amp;display_string=Audit&amp;DYN_ARGS=TRUE&amp;VAR:ID1=MLI&amp;VAR:RCODE=FIBCEBITDA&amp;VAR:SDATE=20090399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8__FDSAUDITLINK__" hidden="1">{"fdsup://IBCentral/FAT Viewer?action=UPDATE&amp;creator=factset&amp;DOC_NAME=fat:reuters_ltm_source_window.fat&amp;display_string=Audit&amp;DYN_ARGS=TRUE&amp;VAR:ID1=MLI&amp;VAR:RCODE=FIBCEBITDA&amp;VAR:SDATE=20090399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29__FDSAUDITLINK__" localSheetId="5" hidden="1">{"fdsup://IBCentral/FAT Viewer?action=UPDATE&amp;creator=factset&amp;DOC_NAME=fat:reuters_ltm_source_window.fat&amp;display_string=Audit&amp;DYN_ARGS=TRUE&amp;VAR:ID1=BEAV&amp;VAR:RCODE=FDSREVSTOTAL&amp;VAR:SDATE=20090699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29__FDSAUDITLINK__" localSheetId="0" hidden="1">{"fdsup://IBCentral/FAT Viewer?action=UPDATE&amp;creator=factset&amp;DOC_NAME=fat:reuters_ltm_source_window.fat&amp;display_string=Audit&amp;DYN_ARGS=TRUE&amp;VAR:ID1=BEAV&amp;VAR:RCODE=FDSREVSTOTAL&amp;VAR:SDATE=20090699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29__FDSAUDITLINK__" localSheetId="4" hidden="1">{"fdsup://IBCentral/FAT Viewer?action=UPDATE&amp;creator=factset&amp;DOC_NAME=fat:reuters_ltm_source_window.fat&amp;display_string=Audit&amp;DYN_ARGS=TRUE&amp;VAR:ID1=BEAV&amp;VAR:RCODE=FDSREVSTOTAL&amp;VAR:SDATE=20090699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29__FDSAUDITLINK__" hidden="1">{"fdsup://IBCentral/FAT Viewer?action=UPDATE&amp;creator=factset&amp;DOC_NAME=fat:reuters_ltm_source_window.fat&amp;display_string=Audit&amp;DYN_ARGS=TRUE&amp;VAR:ID1=BEAV&amp;VAR:RCODE=FDSREVSTOTAL&amp;VAR:SDATE=20090699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3__123Graph_AChart_1S" localSheetId="0" hidden="1">#REF!</definedName>
    <definedName name="_83__123Graph_AChart_1S" hidden="1">#REF!</definedName>
    <definedName name="_83__FDSAUDITLINK__" localSheetId="5" hidden="1">{"fdsup://IBCentral/FAT Viewer?action=UPDATE&amp;creator=factset&amp;DOC_NAME=fat:reuters_ltm_source_window.fat&amp;display_string=Audit&amp;DYN_ARGS=TRUE&amp;VAR:ID1=PWR&amp;VAR:RCODE=FIBCEBITDA&amp;VAR:SDATE=20090399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__FDSAUDITLINK__" localSheetId="0" hidden="1">{"fdsup://IBCentral/FAT Viewer?action=UPDATE&amp;creator=factset&amp;DOC_NAME=fat:reuters_ltm_source_window.fat&amp;display_string=Audit&amp;DYN_ARGS=TRUE&amp;VAR:ID1=PWR&amp;VAR:RCODE=FIBCEBITDA&amp;VAR:SDATE=20090399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__FDSAUDITLINK__" localSheetId="4" hidden="1">{"fdsup://IBCentral/FAT Viewer?action=UPDATE&amp;creator=factset&amp;DOC_NAME=fat:reuters_ltm_source_window.fat&amp;display_string=Audit&amp;DYN_ARGS=TRUE&amp;VAR:ID1=PWR&amp;VAR:RCODE=FIBCEBITDA&amp;VAR:SDATE=20090399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__FDSAUDITLINK__" hidden="1">{"fdsup://IBCentral/FAT Viewer?action=UPDATE&amp;creator=factset&amp;DOC_NAME=fat:reuters_ltm_source_window.fat&amp;display_string=Audit&amp;DYN_ARGS=TRUE&amp;VAR:ID1=PWR&amp;VAR:RCODE=FIBCEBITDA&amp;VAR:SDATE=20090399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0__FDSAUDITLINK__" localSheetId="5" hidden="1">{"fdsup://IBCentral/FAT Viewer?action=UPDATE&amp;creator=factset&amp;DOC_NAME=fat:reuters_ltm_source_window.fat&amp;display_string=Audit&amp;DYN_ARGS=TRUE&amp;VAR:ID1=BEAV&amp;VAR:RCODE=FIBCEBITDA&amp;VAR:SDATE=20090699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30__FDSAUDITLINK__" localSheetId="0" hidden="1">{"fdsup://IBCentral/FAT Viewer?action=UPDATE&amp;creator=factset&amp;DOC_NAME=fat:reuters_ltm_source_window.fat&amp;display_string=Audit&amp;DYN_ARGS=TRUE&amp;VAR:ID1=BEAV&amp;VAR:RCODE=FIBCEBITDA&amp;VAR:SDATE=20090699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30__FDSAUDITLINK__" localSheetId="4" hidden="1">{"fdsup://IBCentral/FAT Viewer?action=UPDATE&amp;creator=factset&amp;DOC_NAME=fat:reuters_ltm_source_window.fat&amp;display_string=Audit&amp;DYN_ARGS=TRUE&amp;VAR:ID1=BEAV&amp;VAR:RCODE=FIBCEBITDA&amp;VAR:SDATE=20090699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30__FDSAUDITLINK__" hidden="1">{"fdsup://IBCentral/FAT Viewer?action=UPDATE&amp;creator=factset&amp;DOC_NAME=fat:reuters_ltm_source_window.fat&amp;display_string=Audit&amp;DYN_ARGS=TRUE&amp;VAR:ID1=BEAV&amp;VAR:RCODE=FIBCEBITDA&amp;VAR:SDATE=20090699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31__FDSAUDITLINK__" localSheetId="5" hidden="1">{"fdsup://IBCentral/FAT Viewer?action=UPDATE&amp;creator=factset&amp;DOC_NAME=fat:reuters_ltm_source_window.fat&amp;display_string=Audit&amp;DYN_ARGS=TRUE&amp;VAR:ID1=CNW&amp;VAR:RCODE=FDSREVSTOTAL&amp;VAR:SDATE=20090699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1__FDSAUDITLINK__" localSheetId="0" hidden="1">{"fdsup://IBCentral/FAT Viewer?action=UPDATE&amp;creator=factset&amp;DOC_NAME=fat:reuters_ltm_source_window.fat&amp;display_string=Audit&amp;DYN_ARGS=TRUE&amp;VAR:ID1=CNW&amp;VAR:RCODE=FDSREVSTOTAL&amp;VAR:SDATE=20090699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1__FDSAUDITLINK__" localSheetId="4" hidden="1">{"fdsup://IBCentral/FAT Viewer?action=UPDATE&amp;creator=factset&amp;DOC_NAME=fat:reuters_ltm_source_window.fat&amp;display_string=Audit&amp;DYN_ARGS=TRUE&amp;VAR:ID1=CNW&amp;VAR:RCODE=FDSREVSTOTAL&amp;VAR:SDATE=20090699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1__FDSAUDITLINK__" hidden="1">{"fdsup://IBCentral/FAT Viewer?action=UPDATE&amp;creator=factset&amp;DOC_NAME=fat:reuters_ltm_source_window.fat&amp;display_string=Audit&amp;DYN_ARGS=TRUE&amp;VAR:ID1=CNW&amp;VAR:RCODE=FDSREVSTOTAL&amp;VAR:SDATE=20090699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2__FDSAUDITLINK__" localSheetId="5" hidden="1">{"fdsup://IBCentral/FAT Viewer?action=UPDATE&amp;creator=factset&amp;DOC_NAME=fat:reuters_ltm_source_window.fat&amp;display_string=Audit&amp;DYN_ARGS=TRUE&amp;VAR:ID1=CNW&amp;VAR:RCODE=FIBCEBITDA&amp;VAR:SDATE=20090699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2__FDSAUDITLINK__" localSheetId="0" hidden="1">{"fdsup://IBCentral/FAT Viewer?action=UPDATE&amp;creator=factset&amp;DOC_NAME=fat:reuters_ltm_source_window.fat&amp;display_string=Audit&amp;DYN_ARGS=TRUE&amp;VAR:ID1=CNW&amp;VAR:RCODE=FIBCEBITDA&amp;VAR:SDATE=20090699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2__FDSAUDITLINK__" localSheetId="4" hidden="1">{"fdsup://IBCentral/FAT Viewer?action=UPDATE&amp;creator=factset&amp;DOC_NAME=fat:reuters_ltm_source_window.fat&amp;display_string=Audit&amp;DYN_ARGS=TRUE&amp;VAR:ID1=CNW&amp;VAR:RCODE=FIBCEBITDA&amp;VAR:SDATE=20090699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2__FDSAUDITLINK__" hidden="1">{"fdsup://IBCentral/FAT Viewer?action=UPDATE&amp;creator=factset&amp;DOC_NAME=fat:reuters_ltm_source_window.fat&amp;display_string=Audit&amp;DYN_ARGS=TRUE&amp;VAR:ID1=CNW&amp;VAR:RCODE=FIBCEBITDA&amp;VAR:SDATE=20090699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3__FDSAUDITLINK__" localSheetId="5" hidden="1">{"fdsup://IBCentral/FAT Viewer?action=UPDATE&amp;creator=factset&amp;DOC_NAME=fat:reuters_ltm_source_window.fat&amp;display_string=Audit&amp;DYN_ARGS=TRUE&amp;VAR:ID1=ABM&amp;VAR:RCODE=FDSREVSTOTAL&amp;VAR:SDATE=20090199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3__FDSAUDITLINK__" localSheetId="0" hidden="1">{"fdsup://IBCentral/FAT Viewer?action=UPDATE&amp;creator=factset&amp;DOC_NAME=fat:reuters_ltm_source_window.fat&amp;display_string=Audit&amp;DYN_ARGS=TRUE&amp;VAR:ID1=ABM&amp;VAR:RCODE=FDSREVSTOTAL&amp;VAR:SDATE=20090199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3__FDSAUDITLINK__" localSheetId="4" hidden="1">{"fdsup://IBCentral/FAT Viewer?action=UPDATE&amp;creator=factset&amp;DOC_NAME=fat:reuters_ltm_source_window.fat&amp;display_string=Audit&amp;DYN_ARGS=TRUE&amp;VAR:ID1=ABM&amp;VAR:RCODE=FDSREVSTOTAL&amp;VAR:SDATE=20090199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3__FDSAUDITLINK__" hidden="1">{"fdsup://IBCentral/FAT Viewer?action=UPDATE&amp;creator=factset&amp;DOC_NAME=fat:reuters_ltm_source_window.fat&amp;display_string=Audit&amp;DYN_ARGS=TRUE&amp;VAR:ID1=ABM&amp;VAR:RCODE=FDSREVSTOTAL&amp;VAR:SDATE=20090199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4__FDSAUDITLINK__" localSheetId="5" hidden="1">{"fdsup://IBCentral/FAT Viewer?action=UPDATE&amp;creator=factset&amp;DOC_NAME=fat:reuters_ltm_source_window.fat&amp;display_string=Audit&amp;DYN_ARGS=TRUE&amp;VAR:ID1=ABM&amp;VAR:RCODE=FIBCEBITDA&amp;VAR:SDATE=20090199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4__FDSAUDITLINK__" localSheetId="0" hidden="1">{"fdsup://IBCentral/FAT Viewer?action=UPDATE&amp;creator=factset&amp;DOC_NAME=fat:reuters_ltm_source_window.fat&amp;display_string=Audit&amp;DYN_ARGS=TRUE&amp;VAR:ID1=ABM&amp;VAR:RCODE=FIBCEBITDA&amp;VAR:SDATE=20090199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4__FDSAUDITLINK__" localSheetId="4" hidden="1">{"fdsup://IBCentral/FAT Viewer?action=UPDATE&amp;creator=factset&amp;DOC_NAME=fat:reuters_ltm_source_window.fat&amp;display_string=Audit&amp;DYN_ARGS=TRUE&amp;VAR:ID1=ABM&amp;VAR:RCODE=FIBCEBITDA&amp;VAR:SDATE=20090199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4__FDSAUDITLINK__" hidden="1">{"fdsup://IBCentral/FAT Viewer?action=UPDATE&amp;creator=factset&amp;DOC_NAME=fat:reuters_ltm_source_window.fat&amp;display_string=Audit&amp;DYN_ARGS=TRUE&amp;VAR:ID1=ABM&amp;VAR:RCODE=FIBCEBITDA&amp;VAR:SDATE=20090199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5__FDSAUDITLINK__" localSheetId="5" hidden="1">{"fdsup://IBCentral/FAT Viewer?action=UPDATE&amp;creator=factset&amp;DOC_NAME=fat:reuters_ltm_source_window.fat&amp;display_string=Audit&amp;DYN_ARGS=TRUE&amp;VAR:ID1=AXB&amp;VAR:RCODE=FDSREVSTOTAL&amp;VAR:SDATE=20090699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5__FDSAUDITLINK__" localSheetId="0" hidden="1">{"fdsup://IBCentral/FAT Viewer?action=UPDATE&amp;creator=factset&amp;DOC_NAME=fat:reuters_ltm_source_window.fat&amp;display_string=Audit&amp;DYN_ARGS=TRUE&amp;VAR:ID1=AXB&amp;VAR:RCODE=FDSREVSTOTAL&amp;VAR:SDATE=20090699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5__FDSAUDITLINK__" localSheetId="4" hidden="1">{"fdsup://IBCentral/FAT Viewer?action=UPDATE&amp;creator=factset&amp;DOC_NAME=fat:reuters_ltm_source_window.fat&amp;display_string=Audit&amp;DYN_ARGS=TRUE&amp;VAR:ID1=AXB&amp;VAR:RCODE=FDSREVSTOTAL&amp;VAR:SDATE=20090699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5__FDSAUDITLINK__" hidden="1">{"fdsup://IBCentral/FAT Viewer?action=UPDATE&amp;creator=factset&amp;DOC_NAME=fat:reuters_ltm_source_window.fat&amp;display_string=Audit&amp;DYN_ARGS=TRUE&amp;VAR:ID1=AXB&amp;VAR:RCODE=FDSREVSTOTAL&amp;VAR:SDATE=20090699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6__FDSAUDITLINK__" localSheetId="5" hidden="1">{"fdsup://IBCentral/FAT Viewer?action=UPDATE&amp;creator=factset&amp;DOC_NAME=fat:reuters_ltm_source_window.fat&amp;display_string=Audit&amp;DYN_ARGS=TRUE&amp;VAR:ID1=AXB&amp;VAR:RCODE=FIBCEBITDA&amp;VAR:SDATE=20090699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6__FDSAUDITLINK__" localSheetId="0" hidden="1">{"fdsup://IBCentral/FAT Viewer?action=UPDATE&amp;creator=factset&amp;DOC_NAME=fat:reuters_ltm_source_window.fat&amp;display_string=Audit&amp;DYN_ARGS=TRUE&amp;VAR:ID1=AXB&amp;VAR:RCODE=FIBCEBITDA&amp;VAR:SDATE=20090699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6__FDSAUDITLINK__" localSheetId="4" hidden="1">{"fdsup://IBCentral/FAT Viewer?action=UPDATE&amp;creator=factset&amp;DOC_NAME=fat:reuters_ltm_source_window.fat&amp;display_string=Audit&amp;DYN_ARGS=TRUE&amp;VAR:ID1=AXB&amp;VAR:RCODE=FIBCEBITDA&amp;VAR:SDATE=20090699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6__FDSAUDITLINK__" hidden="1">{"fdsup://IBCentral/FAT Viewer?action=UPDATE&amp;creator=factset&amp;DOC_NAME=fat:reuters_ltm_source_window.fat&amp;display_string=Audit&amp;DYN_ARGS=TRUE&amp;VAR:ID1=AXB&amp;VAR:RCODE=FIBCEBITDA&amp;VAR:SDATE=20090699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7__FDSAUDITLINK__" localSheetId="5" hidden="1">{"fdsup://IBCentral/FAT Viewer?action=UPDATE&amp;creator=factset&amp;DOC_NAME=fat:reuters_ltm_source_window.fat&amp;display_string=Audit&amp;DYN_ARGS=TRUE&amp;VAR:ID1=MLI&amp;VAR:RCODE=FDSREVSTOTAL&amp;VAR:SDATE=20090699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7__FDSAUDITLINK__" localSheetId="0" hidden="1">{"fdsup://IBCentral/FAT Viewer?action=UPDATE&amp;creator=factset&amp;DOC_NAME=fat:reuters_ltm_source_window.fat&amp;display_string=Audit&amp;DYN_ARGS=TRUE&amp;VAR:ID1=MLI&amp;VAR:RCODE=FDSREVSTOTAL&amp;VAR:SDATE=20090699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7__FDSAUDITLINK__" localSheetId="4" hidden="1">{"fdsup://IBCentral/FAT Viewer?action=UPDATE&amp;creator=factset&amp;DOC_NAME=fat:reuters_ltm_source_window.fat&amp;display_string=Audit&amp;DYN_ARGS=TRUE&amp;VAR:ID1=MLI&amp;VAR:RCODE=FDSREVSTOTAL&amp;VAR:SDATE=20090699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7__FDSAUDITLINK__" hidden="1">{"fdsup://IBCentral/FAT Viewer?action=UPDATE&amp;creator=factset&amp;DOC_NAME=fat:reuters_ltm_source_window.fat&amp;display_string=Audit&amp;DYN_ARGS=TRUE&amp;VAR:ID1=MLI&amp;VAR:RCODE=FDSREVSTOTAL&amp;VAR:SDATE=20090699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8__FDSAUDITLINK__" localSheetId="5" hidden="1">{"fdsup://IBCentral/FAT Viewer?action=UPDATE&amp;creator=factset&amp;DOC_NAME=fat:reuters_ltm_source_window.fat&amp;display_string=Audit&amp;DYN_ARGS=TRUE&amp;VAR:ID1=MLI&amp;VAR:RCODE=FIBCEBITDA&amp;VAR:SDATE=20090699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8__FDSAUDITLINK__" localSheetId="0" hidden="1">{"fdsup://IBCentral/FAT Viewer?action=UPDATE&amp;creator=factset&amp;DOC_NAME=fat:reuters_ltm_source_window.fat&amp;display_string=Audit&amp;DYN_ARGS=TRUE&amp;VAR:ID1=MLI&amp;VAR:RCODE=FIBCEBITDA&amp;VAR:SDATE=20090699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8__FDSAUDITLINK__" localSheetId="4" hidden="1">{"fdsup://IBCentral/FAT Viewer?action=UPDATE&amp;creator=factset&amp;DOC_NAME=fat:reuters_ltm_source_window.fat&amp;display_string=Audit&amp;DYN_ARGS=TRUE&amp;VAR:ID1=MLI&amp;VAR:RCODE=FIBCEBITDA&amp;VAR:SDATE=20090699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8__FDSAUDITLINK__" hidden="1">{"fdsup://IBCentral/FAT Viewer?action=UPDATE&amp;creator=factset&amp;DOC_NAME=fat:reuters_ltm_source_window.fat&amp;display_string=Audit&amp;DYN_ARGS=TRUE&amp;VAR:ID1=MLI&amp;VAR:RCODE=FIBCEBITDA&amp;VAR:SDATE=20090699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39__FDSAUDITLINK__" localSheetId="5" hidden="1">{"fdsup://IBCentral/FAT Viewer?action=UPDATE&amp;creator=factset&amp;DOC_NAME=fat:reuters_ltm_source_window.fat&amp;display_string=Audit&amp;DYN_ARGS=TRUE&amp;VAR:ID1=ABM&amp;VAR:RCODE=FDSREVSTOTAL&amp;VAR:SDATE=20090499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9__FDSAUDITLINK__" localSheetId="0" hidden="1">{"fdsup://IBCentral/FAT Viewer?action=UPDATE&amp;creator=factset&amp;DOC_NAME=fat:reuters_ltm_source_window.fat&amp;display_string=Audit&amp;DYN_ARGS=TRUE&amp;VAR:ID1=ABM&amp;VAR:RCODE=FDSREVSTOTAL&amp;VAR:SDATE=20090499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9__FDSAUDITLINK__" localSheetId="4" hidden="1">{"fdsup://IBCentral/FAT Viewer?action=UPDATE&amp;creator=factset&amp;DOC_NAME=fat:reuters_ltm_source_window.fat&amp;display_string=Audit&amp;DYN_ARGS=TRUE&amp;VAR:ID1=ABM&amp;VAR:RCODE=FDSREVSTOTAL&amp;VAR:SDATE=20090499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Viewer?action=UPDATE&amp;creator=factset&amp;DOC_NAME=fat:reuters_ltm_source_window.fat&amp;display_string=Audit&amp;DYN_ARGS=TRUE&amp;VAR:ID1=ABM&amp;VAR:RCODE=FDSREVSTOTAL&amp;VAR:SDATE=20090499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__FDSAUDITLINK__" localSheetId="5" hidden="1">{"fdsup://IBCentral/FAT Viewer?action=UPDATE&amp;creator=factset&amp;DOC_NAME=fat:reuters_ltm_source_window.fat&amp;display_string=Audit&amp;DYN_ARGS=TRUE&amp;VAR:ID1=LUV&amp;VAR:RCODE=FIBCEBITDA&amp;VAR:SDATE=20090399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__FDSAUDITLINK__" localSheetId="0" hidden="1">{"fdsup://IBCentral/FAT Viewer?action=UPDATE&amp;creator=factset&amp;DOC_NAME=fat:reuters_ltm_source_window.fat&amp;display_string=Audit&amp;DYN_ARGS=TRUE&amp;VAR:ID1=LUV&amp;VAR:RCODE=FIBCEBITDA&amp;VAR:SDATE=20090399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__FDSAUDITLINK__" localSheetId="4" hidden="1">{"fdsup://IBCentral/FAT Viewer?action=UPDATE&amp;creator=factset&amp;DOC_NAME=fat:reuters_ltm_source_window.fat&amp;display_string=Audit&amp;DYN_ARGS=TRUE&amp;VAR:ID1=LUV&amp;VAR:RCODE=FIBCEBITDA&amp;VAR:SDATE=20090399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__FDSAUDITLINK__" hidden="1">{"fdsup://IBCentral/FAT Viewer?action=UPDATE&amp;creator=factset&amp;DOC_NAME=fat:reuters_ltm_source_window.fat&amp;display_string=Audit&amp;DYN_ARGS=TRUE&amp;VAR:ID1=LUV&amp;VAR:RCODE=FIBCEBITDA&amp;VAR:SDATE=20090399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0__FDSAUDITLINK__" localSheetId="5" hidden="1">{"fdsup://IBCentral/FAT Viewer?action=UPDATE&amp;creator=factset&amp;DOC_NAME=fat:reuters_ltm_source_window.fat&amp;display_string=Audit&amp;DYN_ARGS=TRUE&amp;VAR:ID1=ABM&amp;VAR:RCODE=FIBCEBITDA&amp;VAR:SDATE=20090499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0__FDSAUDITLINK__" localSheetId="0" hidden="1">{"fdsup://IBCentral/FAT Viewer?action=UPDATE&amp;creator=factset&amp;DOC_NAME=fat:reuters_ltm_source_window.fat&amp;display_string=Audit&amp;DYN_ARGS=TRUE&amp;VAR:ID1=ABM&amp;VAR:RCODE=FIBCEBITDA&amp;VAR:SDATE=20090499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0__FDSAUDITLINK__" localSheetId="4" hidden="1">{"fdsup://IBCentral/FAT Viewer?action=UPDATE&amp;creator=factset&amp;DOC_NAME=fat:reuters_ltm_source_window.fat&amp;display_string=Audit&amp;DYN_ARGS=TRUE&amp;VAR:ID1=ABM&amp;VAR:RCODE=FIBCEBITDA&amp;VAR:SDATE=20090499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0__FDSAUDITLINK__" hidden="1">{"fdsup://IBCentral/FAT Viewer?action=UPDATE&amp;creator=factset&amp;DOC_NAME=fat:reuters_ltm_source_window.fat&amp;display_string=Audit&amp;DYN_ARGS=TRUE&amp;VAR:ID1=ABM&amp;VAR:RCODE=FIBCEBITDA&amp;VAR:SDATE=20090499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1__FDSAUDITLINK__" localSheetId="5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1__FDSAUDITLINK__" localSheetId="0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1__FDSAUDITLINK__" localSheetId="4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1__FDSAUDITLINK__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2__FDSAUDITLINK__" localSheetId="5" hidden="1">{"fdsup://IBCentral/FAT Viewer?action=UPDATE&amp;creator=factset&amp;DOC_NAME=fat:reuters_ltm_source_window.fat&amp;display_string=Audit&amp;DYN_ARGS=TRUE&amp;VAR:ID1=WNC&amp;VAR:RCODE=FDSREVSTOTAL&amp;VAR:SDATE=20090699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2__FDSAUDITLINK__" localSheetId="0" hidden="1">{"fdsup://IBCentral/FAT Viewer?action=UPDATE&amp;creator=factset&amp;DOC_NAME=fat:reuters_ltm_source_window.fat&amp;display_string=Audit&amp;DYN_ARGS=TRUE&amp;VAR:ID1=WNC&amp;VAR:RCODE=FDSREVSTOTAL&amp;VAR:SDATE=20090699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2__FDSAUDITLINK__" localSheetId="4" hidden="1">{"fdsup://IBCentral/FAT Viewer?action=UPDATE&amp;creator=factset&amp;DOC_NAME=fat:reuters_ltm_source_window.fat&amp;display_string=Audit&amp;DYN_ARGS=TRUE&amp;VAR:ID1=WNC&amp;VAR:RCODE=FDSREVSTOTAL&amp;VAR:SDATE=20090699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2__FDSAUDITLINK__" hidden="1">{"fdsup://IBCentral/FAT Viewer?action=UPDATE&amp;creator=factset&amp;DOC_NAME=fat:reuters_ltm_source_window.fat&amp;display_string=Audit&amp;DYN_ARGS=TRUE&amp;VAR:ID1=WNC&amp;VAR:RCODE=FDSREVSTOTAL&amp;VAR:SDATE=20090699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3__FDSAUDITLINK__" localSheetId="5" hidden="1">{"fdsup://IBCentral/FAT Viewer?action=UPDATE&amp;creator=factset&amp;DOC_NAME=fat:reuters_ltm_source_window.fat&amp;display_string=Audit&amp;DYN_ARGS=TRUE&amp;VAR:ID1=WNC&amp;VAR:RCODE=FIBCEBITDA&amp;VAR:SDATE=20090699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3__FDSAUDITLINK__" localSheetId="0" hidden="1">{"fdsup://IBCentral/FAT Viewer?action=UPDATE&amp;creator=factset&amp;DOC_NAME=fat:reuters_ltm_source_window.fat&amp;display_string=Audit&amp;DYN_ARGS=TRUE&amp;VAR:ID1=WNC&amp;VAR:RCODE=FIBCEBITDA&amp;VAR:SDATE=20090699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3__FDSAUDITLINK__" localSheetId="4" hidden="1">{"fdsup://IBCentral/FAT Viewer?action=UPDATE&amp;creator=factset&amp;DOC_NAME=fat:reuters_ltm_source_window.fat&amp;display_string=Audit&amp;DYN_ARGS=TRUE&amp;VAR:ID1=WNC&amp;VAR:RCODE=FIBCEBITDA&amp;VAR:SDATE=20090699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3__FDSAUDITLINK__" hidden="1">{"fdsup://IBCentral/FAT Viewer?action=UPDATE&amp;creator=factset&amp;DOC_NAME=fat:reuters_ltm_source_window.fat&amp;display_string=Audit&amp;DYN_ARGS=TRUE&amp;VAR:ID1=WNC&amp;VAR:RCODE=FIBCEBITDA&amp;VAR:SDATE=20090699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4__FDSAUDITLINK__" localSheetId="5" hidden="1">{"fdsup://IBCentral/FAT Viewer?action=UPDATE&amp;creator=factset&amp;DOC_NAME=fat:reuters_ltm_source_window.fat&amp;display_string=Audit&amp;DYN_ARGS=TRUE&amp;VAR:ID1=CHP&amp;VAR:RCODE=FDSREVSTOTAL&amp;VAR:SDATE=20090499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4__FDSAUDITLINK__" localSheetId="0" hidden="1">{"fdsup://IBCentral/FAT Viewer?action=UPDATE&amp;creator=factset&amp;DOC_NAME=fat:reuters_ltm_source_window.fat&amp;display_string=Audit&amp;DYN_ARGS=TRUE&amp;VAR:ID1=CHP&amp;VAR:RCODE=FDSREVSTOTAL&amp;VAR:SDATE=20090499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4__FDSAUDITLINK__" localSheetId="4" hidden="1">{"fdsup://IBCentral/FAT Viewer?action=UPDATE&amp;creator=factset&amp;DOC_NAME=fat:reuters_ltm_source_window.fat&amp;display_string=Audit&amp;DYN_ARGS=TRUE&amp;VAR:ID1=CHP&amp;VAR:RCODE=FDSREVSTOTAL&amp;VAR:SDATE=20090499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4__FDSAUDITLINK__" hidden="1">{"fdsup://IBCentral/FAT Viewer?action=UPDATE&amp;creator=factset&amp;DOC_NAME=fat:reuters_ltm_source_window.fat&amp;display_string=Audit&amp;DYN_ARGS=TRUE&amp;VAR:ID1=CHP&amp;VAR:RCODE=FDSREVSTOTAL&amp;VAR:SDATE=20090499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5__FDSAUDITLINK__" localSheetId="5" hidden="1">{"fdsup://IBCentral/FAT Viewer?action=UPDATE&amp;creator=factset&amp;DOC_NAME=fat:reuters_ltm_source_window.fat&amp;display_string=Audit&amp;DYN_ARGS=TRUE&amp;VAR:ID1=CHP&amp;VAR:RCODE=FIBCEBITDA&amp;VAR:SDATE=20090499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5__FDSAUDITLINK__" localSheetId="0" hidden="1">{"fdsup://IBCentral/FAT Viewer?action=UPDATE&amp;creator=factset&amp;DOC_NAME=fat:reuters_ltm_source_window.fat&amp;display_string=Audit&amp;DYN_ARGS=TRUE&amp;VAR:ID1=CHP&amp;VAR:RCODE=FIBCEBITDA&amp;VAR:SDATE=20090499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5__FDSAUDITLINK__" localSheetId="4" hidden="1">{"fdsup://IBCentral/FAT Viewer?action=UPDATE&amp;creator=factset&amp;DOC_NAME=fat:reuters_ltm_source_window.fat&amp;display_string=Audit&amp;DYN_ARGS=TRUE&amp;VAR:ID1=CHP&amp;VAR:RCODE=FIBCEBITDA&amp;VAR:SDATE=20090499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5__FDSAUDITLINK__" hidden="1">{"fdsup://IBCentral/FAT Viewer?action=UPDATE&amp;creator=factset&amp;DOC_NAME=fat:reuters_ltm_source_window.fat&amp;display_string=Audit&amp;DYN_ARGS=TRUE&amp;VAR:ID1=CHP&amp;VAR:RCODE=FIBCEBITDA&amp;VAR:SDATE=20090499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6__FDSAUDITLINK__" localSheetId="5" hidden="1">{"fdsup://IBCentral/FAT Viewer?action=UPDATE&amp;creator=factset&amp;DOC_NAME=fat:reuters_ltm_source_window.fat&amp;display_string=Audit&amp;DYN_ARGS=TRUE&amp;VAR:ID1=LDL&amp;VAR:RCODE=FDSREVSTOTAL&amp;VAR:SDATE=20090399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6__FDSAUDITLINK__" localSheetId="0" hidden="1">{"fdsup://IBCentral/FAT Viewer?action=UPDATE&amp;creator=factset&amp;DOC_NAME=fat:reuters_ltm_source_window.fat&amp;display_string=Audit&amp;DYN_ARGS=TRUE&amp;VAR:ID1=LDL&amp;VAR:RCODE=FDSREVSTOTAL&amp;VAR:SDATE=20090399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6__FDSAUDITLINK__" localSheetId="4" hidden="1">{"fdsup://IBCentral/FAT Viewer?action=UPDATE&amp;creator=factset&amp;DOC_NAME=fat:reuters_ltm_source_window.fat&amp;display_string=Audit&amp;DYN_ARGS=TRUE&amp;VAR:ID1=LDL&amp;VAR:RCODE=FDSREVSTOTAL&amp;VAR:SDATE=20090399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6__FDSAUDITLINK__" hidden="1">{"fdsup://IBCentral/FAT Viewer?action=UPDATE&amp;creator=factset&amp;DOC_NAME=fat:reuters_ltm_source_window.fat&amp;display_string=Audit&amp;DYN_ARGS=TRUE&amp;VAR:ID1=LDL&amp;VAR:RCODE=FDSREVSTOTAL&amp;VAR:SDATE=20090399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7__FDSAUDITLINK__" localSheetId="5" hidden="1">{"fdsup://IBCentral/FAT Viewer?action=UPDATE&amp;creator=factset&amp;DOC_NAME=fat:reuters_ltm_source_window.fat&amp;display_string=Audit&amp;DYN_ARGS=TRUE&amp;VAR:ID1=LDL&amp;VAR:RCODE=FIBCEBITDA&amp;VAR:SDATE=20090399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7__FDSAUDITLINK__" localSheetId="0" hidden="1">{"fdsup://IBCentral/FAT Viewer?action=UPDATE&amp;creator=factset&amp;DOC_NAME=fat:reuters_ltm_source_window.fat&amp;display_string=Audit&amp;DYN_ARGS=TRUE&amp;VAR:ID1=LDL&amp;VAR:RCODE=FIBCEBITDA&amp;VAR:SDATE=20090399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7__FDSAUDITLINK__" localSheetId="4" hidden="1">{"fdsup://IBCentral/FAT Viewer?action=UPDATE&amp;creator=factset&amp;DOC_NAME=fat:reuters_ltm_source_window.fat&amp;display_string=Audit&amp;DYN_ARGS=TRUE&amp;VAR:ID1=LDL&amp;VAR:RCODE=FIBCEBITDA&amp;VAR:SDATE=20090399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7__FDSAUDITLINK__" hidden="1">{"fdsup://IBCentral/FAT Viewer?action=UPDATE&amp;creator=factset&amp;DOC_NAME=fat:reuters_ltm_source_window.fat&amp;display_string=Audit&amp;DYN_ARGS=TRUE&amp;VAR:ID1=LDL&amp;VAR:RCODE=FIBCEBITDA&amp;VAR:SDATE=20090399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8__FDSAUDITLINK__" localSheetId="5" hidden="1">{"fdsup://IBCentral/FAT Viewer?action=UPDATE&amp;creator=factset&amp;DOC_NAME=fat:reuters_ltm_source_window.fat&amp;display_string=Audit&amp;DYN_ARGS=TRUE&amp;VAR:ID1=NCS&amp;VAR:RCODE=FDSREVSTOTAL&amp;VAR:SDATE=20090499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8__FDSAUDITLINK__" localSheetId="0" hidden="1">{"fdsup://IBCentral/FAT Viewer?action=UPDATE&amp;creator=factset&amp;DOC_NAME=fat:reuters_ltm_source_window.fat&amp;display_string=Audit&amp;DYN_ARGS=TRUE&amp;VAR:ID1=NCS&amp;VAR:RCODE=FDSREVSTOTAL&amp;VAR:SDATE=20090499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8__FDSAUDITLINK__" localSheetId="4" hidden="1">{"fdsup://IBCentral/FAT Viewer?action=UPDATE&amp;creator=factset&amp;DOC_NAME=fat:reuters_ltm_source_window.fat&amp;display_string=Audit&amp;DYN_ARGS=TRUE&amp;VAR:ID1=NCS&amp;VAR:RCODE=FDSREVSTOTAL&amp;VAR:SDATE=20090499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8__FDSAUDITLINK__" hidden="1">{"fdsup://IBCentral/FAT Viewer?action=UPDATE&amp;creator=factset&amp;DOC_NAME=fat:reuters_ltm_source_window.fat&amp;display_string=Audit&amp;DYN_ARGS=TRUE&amp;VAR:ID1=NCS&amp;VAR:RCODE=FDSREVSTOTAL&amp;VAR:SDATE=20090499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49__FDSAUDITLINK__" localSheetId="5" hidden="1">{"fdsup://IBCentral/FAT Viewer?action=UPDATE&amp;creator=factset&amp;DOC_NAME=fat:reuters_ltm_source_window.fat&amp;display_string=Audit&amp;DYN_ARGS=TRUE&amp;VAR:ID1=NCS&amp;VAR:RCODE=FIBCEBITDA&amp;VAR:SDATE=20090499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9__FDSAUDITLINK__" localSheetId="0" hidden="1">{"fdsup://IBCentral/FAT Viewer?action=UPDATE&amp;creator=factset&amp;DOC_NAME=fat:reuters_ltm_source_window.fat&amp;display_string=Audit&amp;DYN_ARGS=TRUE&amp;VAR:ID1=NCS&amp;VAR:RCODE=FIBCEBITDA&amp;VAR:SDATE=20090499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9__FDSAUDITLINK__" localSheetId="4" hidden="1">{"fdsup://IBCentral/FAT Viewer?action=UPDATE&amp;creator=factset&amp;DOC_NAME=fat:reuters_ltm_source_window.fat&amp;display_string=Audit&amp;DYN_ARGS=TRUE&amp;VAR:ID1=NCS&amp;VAR:RCODE=FIBCEBITDA&amp;VAR:SDATE=20090499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49__FDSAUDITLINK__" hidden="1">{"fdsup://IBCentral/FAT Viewer?action=UPDATE&amp;creator=factset&amp;DOC_NAME=fat:reuters_ltm_source_window.fat&amp;display_string=Audit&amp;DYN_ARGS=TRUE&amp;VAR:ID1=NCS&amp;VAR:RCODE=FIBCEBITDA&amp;VAR:SDATE=20090499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__123Graph_AChart_1T" localSheetId="0" hidden="1">#REF!</definedName>
    <definedName name="_85__123Graph_AChart_1T" hidden="1">#REF!</definedName>
    <definedName name="_85__FDSAUDITLINK__" localSheetId="5" hidden="1">{"fdsup://IBCentral/FAT Viewer?action=UPDATE&amp;creator=factset&amp;DOC_NAME=fat:reuters_ltm_source_window.fat&amp;display_string=Audit&amp;DYN_ARGS=TRUE&amp;VAR:ID1=IRM&amp;VAR:RCODE=FIBCEBITDA&amp;VAR:SDATE=20090399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__FDSAUDITLINK__" localSheetId="0" hidden="1">{"fdsup://IBCentral/FAT Viewer?action=UPDATE&amp;creator=factset&amp;DOC_NAME=fat:reuters_ltm_source_window.fat&amp;display_string=Audit&amp;DYN_ARGS=TRUE&amp;VAR:ID1=IRM&amp;VAR:RCODE=FIBCEBITDA&amp;VAR:SDATE=20090399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__FDSAUDITLINK__" localSheetId="4" hidden="1">{"fdsup://IBCentral/FAT Viewer?action=UPDATE&amp;creator=factset&amp;DOC_NAME=fat:reuters_ltm_source_window.fat&amp;display_string=Audit&amp;DYN_ARGS=TRUE&amp;VAR:ID1=IRM&amp;VAR:RCODE=FIBCEBITDA&amp;VAR:SDATE=20090399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__FDSAUDITLINK__" hidden="1">{"fdsup://IBCentral/FAT Viewer?action=UPDATE&amp;creator=factset&amp;DOC_NAME=fat:reuters_ltm_source_window.fat&amp;display_string=Audit&amp;DYN_ARGS=TRUE&amp;VAR:ID1=IRM&amp;VAR:RCODE=FIBCEBITDA&amp;VAR:SDATE=20090399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0__FDSAUDITLINK__" localSheetId="5" hidden="1">{"fdsup://IBCentral/FAT Viewer?action=UPDATE&amp;creator=factset&amp;DOC_NAME=fat:reuters_ltm_source_window.fat&amp;display_string=Audit&amp;DYN_ARGS=TRUE&amp;VAR:ID1=MAG&amp;VAR:RCODE=FDSREVSTOTAL&amp;VAR:SDATE=20081299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0__FDSAUDITLINK__" localSheetId="0" hidden="1">{"fdsup://IBCentral/FAT Viewer?action=UPDATE&amp;creator=factset&amp;DOC_NAME=fat:reuters_ltm_source_window.fat&amp;display_string=Audit&amp;DYN_ARGS=TRUE&amp;VAR:ID1=MAG&amp;VAR:RCODE=FDSREVSTOTAL&amp;VAR:SDATE=20081299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0__FDSAUDITLINK__" localSheetId="4" hidden="1">{"fdsup://IBCentral/FAT Viewer?action=UPDATE&amp;creator=factset&amp;DOC_NAME=fat:reuters_ltm_source_window.fat&amp;display_string=Audit&amp;DYN_ARGS=TRUE&amp;VAR:ID1=MAG&amp;VAR:RCODE=FDSREVSTOTAL&amp;VAR:SDATE=20081299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0__FDSAUDITLINK__" hidden="1">{"fdsup://IBCentral/FAT Viewer?action=UPDATE&amp;creator=factset&amp;DOC_NAME=fat:reuters_ltm_source_window.fat&amp;display_string=Audit&amp;DYN_ARGS=TRUE&amp;VAR:ID1=MAG&amp;VAR:RCODE=FDSREVSTOTAL&amp;VAR:SDATE=20081299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1__FDSAUDITLINK__" localSheetId="5" hidden="1">{"fdsup://IBCentral/FAT Viewer?action=UPDATE&amp;creator=factset&amp;DOC_NAME=fat:reuters_ltm_source_window.fat&amp;display_string=Audit&amp;DYN_ARGS=TRUE&amp;VAR:ID1=MAG&amp;VAR:RCODE=FIBCEBITDA&amp;VAR:SDATE=20081299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1__FDSAUDITLINK__" localSheetId="0" hidden="1">{"fdsup://IBCentral/FAT Viewer?action=UPDATE&amp;creator=factset&amp;DOC_NAME=fat:reuters_ltm_source_window.fat&amp;display_string=Audit&amp;DYN_ARGS=TRUE&amp;VAR:ID1=MAG&amp;VAR:RCODE=FIBCEBITDA&amp;VAR:SDATE=20081299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1__FDSAUDITLINK__" localSheetId="4" hidden="1">{"fdsup://IBCentral/FAT Viewer?action=UPDATE&amp;creator=factset&amp;DOC_NAME=fat:reuters_ltm_source_window.fat&amp;display_string=Audit&amp;DYN_ARGS=TRUE&amp;VAR:ID1=MAG&amp;VAR:RCODE=FIBCEBITDA&amp;VAR:SDATE=20081299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1__FDSAUDITLINK__" hidden="1">{"fdsup://IBCentral/FAT Viewer?action=UPDATE&amp;creator=factset&amp;DOC_NAME=fat:reuters_ltm_source_window.fat&amp;display_string=Audit&amp;DYN_ARGS=TRUE&amp;VAR:ID1=MAG&amp;VAR:RCODE=FIBCEBITDA&amp;VAR:SDATE=20081299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2__FDSAUDITLINK__" localSheetId="5" hidden="1">{"fdsup://IBCentral/FAT Viewer?action=UPDATE&amp;creator=factset&amp;DOC_NAME=fat:reuters_ltm_source_window.fat&amp;display_string=Audit&amp;DYN_ARGS=TRUE&amp;VAR:ID1=BNE&amp;VAR:RCODE=FDSREVSTOTAL&amp;VAR:SDATE=20090399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2__FDSAUDITLINK__" localSheetId="0" hidden="1">{"fdsup://IBCentral/FAT Viewer?action=UPDATE&amp;creator=factset&amp;DOC_NAME=fat:reuters_ltm_source_window.fat&amp;display_string=Audit&amp;DYN_ARGS=TRUE&amp;VAR:ID1=BNE&amp;VAR:RCODE=FDSREVSTOTAL&amp;VAR:SDATE=20090399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2__FDSAUDITLINK__" localSheetId="4" hidden="1">{"fdsup://IBCentral/FAT Viewer?action=UPDATE&amp;creator=factset&amp;DOC_NAME=fat:reuters_ltm_source_window.fat&amp;display_string=Audit&amp;DYN_ARGS=TRUE&amp;VAR:ID1=BNE&amp;VAR:RCODE=FDSREVSTOTAL&amp;VAR:SDATE=20090399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2__FDSAUDITLINK__" hidden="1">{"fdsup://IBCentral/FAT Viewer?action=UPDATE&amp;creator=factset&amp;DOC_NAME=fat:reuters_ltm_source_window.fat&amp;display_string=Audit&amp;DYN_ARGS=TRUE&amp;VAR:ID1=BNE&amp;VAR:RCODE=FDSREVSTOTAL&amp;VAR:SDATE=20090399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3__FDSAUDITLINK__" localSheetId="5" hidden="1">{"fdsup://IBCentral/FAT Viewer?action=UPDATE&amp;creator=factset&amp;DOC_NAME=fat:reuters_ltm_source_window.fat&amp;display_string=Audit&amp;DYN_ARGS=TRUE&amp;VAR:ID1=BNE&amp;VAR:RCODE=FIBCEBITDA&amp;VAR:SDATE=20090399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3__FDSAUDITLINK__" localSheetId="0" hidden="1">{"fdsup://IBCentral/FAT Viewer?action=UPDATE&amp;creator=factset&amp;DOC_NAME=fat:reuters_ltm_source_window.fat&amp;display_string=Audit&amp;DYN_ARGS=TRUE&amp;VAR:ID1=BNE&amp;VAR:RCODE=FIBCEBITDA&amp;VAR:SDATE=20090399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3__FDSAUDITLINK__" localSheetId="4" hidden="1">{"fdsup://IBCentral/FAT Viewer?action=UPDATE&amp;creator=factset&amp;DOC_NAME=fat:reuters_ltm_source_window.fat&amp;display_string=Audit&amp;DYN_ARGS=TRUE&amp;VAR:ID1=BNE&amp;VAR:RCODE=FIBCEBITDA&amp;VAR:SDATE=20090399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3__FDSAUDITLINK__" hidden="1">{"fdsup://IBCentral/FAT Viewer?action=UPDATE&amp;creator=factset&amp;DOC_NAME=fat:reuters_ltm_source_window.fat&amp;display_string=Audit&amp;DYN_ARGS=TRUE&amp;VAR:ID1=BNE&amp;VAR:RCODE=FIBCEBITDA&amp;VAR:SDATE=20090399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4__FDSAUDITLINK__" localSheetId="5" hidden="1">{"fdsup://IBCentral/FAT Viewer?action=UPDATE&amp;creator=factset&amp;DOC_NAME=fat:reuters_ltm_source_window.fat&amp;display_string=Audit&amp;DYN_ARGS=TRUE&amp;VAR:ID1=ASGN&amp;VAR:RCODE=FDSREVSTOTAL&amp;VAR:SDATE=20090699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54__FDSAUDITLINK__" localSheetId="0" hidden="1">{"fdsup://IBCentral/FAT Viewer?action=UPDATE&amp;creator=factset&amp;DOC_NAME=fat:reuters_ltm_source_window.fat&amp;display_string=Audit&amp;DYN_ARGS=TRUE&amp;VAR:ID1=ASGN&amp;VAR:RCODE=FDSREVSTOTAL&amp;VAR:SDATE=20090699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54__FDSAUDITLINK__" localSheetId="4" hidden="1">{"fdsup://IBCentral/FAT Viewer?action=UPDATE&amp;creator=factset&amp;DOC_NAME=fat:reuters_ltm_source_window.fat&amp;display_string=Audit&amp;DYN_ARGS=TRUE&amp;VAR:ID1=ASGN&amp;VAR:RCODE=FDSREVSTOTAL&amp;VAR:SDATE=20090699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54__FDSAUDITLINK__" hidden="1">{"fdsup://IBCentral/FAT Viewer?action=UPDATE&amp;creator=factset&amp;DOC_NAME=fat:reuters_ltm_source_window.fat&amp;display_string=Audit&amp;DYN_ARGS=TRUE&amp;VAR:ID1=ASGN&amp;VAR:RCODE=FDSREVSTOTAL&amp;VAR:SDATE=20090699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55__FDSAUDITLINK__" localSheetId="5" hidden="1">{"fdsup://IBCentral/FAT Viewer?action=UPDATE&amp;creator=factset&amp;DOC_NAME=fat:reuters_ltm_source_window.fat&amp;display_string=Audit&amp;DYN_ARGS=TRUE&amp;VAR:ID1=ASGN&amp;VAR:RCODE=FIBCEBITDA&amp;VAR:SDATE=20090699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55__FDSAUDITLINK__" localSheetId="0" hidden="1">{"fdsup://IBCentral/FAT Viewer?action=UPDATE&amp;creator=factset&amp;DOC_NAME=fat:reuters_ltm_source_window.fat&amp;display_string=Audit&amp;DYN_ARGS=TRUE&amp;VAR:ID1=ASGN&amp;VAR:RCODE=FIBCEBITDA&amp;VAR:SDATE=20090699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55__FDSAUDITLINK__" localSheetId="4" hidden="1">{"fdsup://IBCentral/FAT Viewer?action=UPDATE&amp;creator=factset&amp;DOC_NAME=fat:reuters_ltm_source_window.fat&amp;display_string=Audit&amp;DYN_ARGS=TRUE&amp;VAR:ID1=ASGN&amp;VAR:RCODE=FIBCEBITDA&amp;VAR:SDATE=20090699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55__FDSAUDITLINK__" hidden="1">{"fdsup://IBCentral/FAT Viewer?action=UPDATE&amp;creator=factset&amp;DOC_NAME=fat:reuters_ltm_source_window.fat&amp;display_string=Audit&amp;DYN_ARGS=TRUE&amp;VAR:ID1=ASGN&amp;VAR:RCODE=FIBCEBITDA&amp;VAR:SDATE=20090699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56__FDSAUDITLINK__" localSheetId="5" hidden="1">{"fdsup://IBCentral/FAT Viewer?action=UPDATE&amp;creator=factset&amp;DOC_NAME=fat:reuters_ltm_source_window.fat&amp;display_string=Audit&amp;DYN_ARGS=TRUE&amp;VAR:ID1=LAWS&amp;VAR:RCODE=FDSREVSTOTAL&amp;VAR:SDATE=20090399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56__FDSAUDITLINK__" localSheetId="0" hidden="1">{"fdsup://IBCentral/FAT Viewer?action=UPDATE&amp;creator=factset&amp;DOC_NAME=fat:reuters_ltm_source_window.fat&amp;display_string=Audit&amp;DYN_ARGS=TRUE&amp;VAR:ID1=LAWS&amp;VAR:RCODE=FDSREVSTOTAL&amp;VAR:SDATE=20090399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56__FDSAUDITLINK__" localSheetId="4" hidden="1">{"fdsup://IBCentral/FAT Viewer?action=UPDATE&amp;creator=factset&amp;DOC_NAME=fat:reuters_ltm_source_window.fat&amp;display_string=Audit&amp;DYN_ARGS=TRUE&amp;VAR:ID1=LAWS&amp;VAR:RCODE=FDSREVSTOTAL&amp;VAR:SDATE=20090399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56__FDSAUDITLINK__" hidden="1">{"fdsup://IBCentral/FAT Viewer?action=UPDATE&amp;creator=factset&amp;DOC_NAME=fat:reuters_ltm_source_window.fat&amp;display_string=Audit&amp;DYN_ARGS=TRUE&amp;VAR:ID1=LAWS&amp;VAR:RCODE=FDSREVSTOTAL&amp;VAR:SDATE=20090399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57__FDSAUDITLINK__" localSheetId="5" hidden="1">{"fdsup://IBCentral/FAT Viewer?action=UPDATE&amp;creator=factset&amp;DOC_NAME=fat:reuters_ltm_source_window.fat&amp;display_string=Audit&amp;DYN_ARGS=TRUE&amp;VAR:ID1=LAWS&amp;VAR:RCODE=FIBCEBITDA&amp;VAR:SDATE=20090399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57__FDSAUDITLINK__" localSheetId="0" hidden="1">{"fdsup://IBCentral/FAT Viewer?action=UPDATE&amp;creator=factset&amp;DOC_NAME=fat:reuters_ltm_source_window.fat&amp;display_string=Audit&amp;DYN_ARGS=TRUE&amp;VAR:ID1=LAWS&amp;VAR:RCODE=FIBCEBITDA&amp;VAR:SDATE=20090399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57__FDSAUDITLINK__" localSheetId="4" hidden="1">{"fdsup://IBCentral/FAT Viewer?action=UPDATE&amp;creator=factset&amp;DOC_NAME=fat:reuters_ltm_source_window.fat&amp;display_string=Audit&amp;DYN_ARGS=TRUE&amp;VAR:ID1=LAWS&amp;VAR:RCODE=FIBCEBITDA&amp;VAR:SDATE=20090399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57__FDSAUDITLINK__" hidden="1">{"fdsup://IBCentral/FAT Viewer?action=UPDATE&amp;creator=factset&amp;DOC_NAME=fat:reuters_ltm_source_window.fat&amp;display_string=Audit&amp;DYN_ARGS=TRUE&amp;VAR:ID1=LAWS&amp;VAR:RCODE=FIBCEBITDA&amp;VAR:SDATE=20090399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58__FDSAUDITLINK__" localSheetId="5" hidden="1">{"fdsup://IBCentral/FAT Viewer?action=UPDATE&amp;creator=factset&amp;DOC_NAME=fat:reuters_ltm_source_window.fat&amp;display_string=Audit&amp;DYN_ARGS=TRUE&amp;VAR:ID1=SXI&amp;VAR:RCODE=FDSREVSTOTAL&amp;VAR:SDATE=20090399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8__FDSAUDITLINK__" localSheetId="0" hidden="1">{"fdsup://IBCentral/FAT Viewer?action=UPDATE&amp;creator=factset&amp;DOC_NAME=fat:reuters_ltm_source_window.fat&amp;display_string=Audit&amp;DYN_ARGS=TRUE&amp;VAR:ID1=SXI&amp;VAR:RCODE=FDSREVSTOTAL&amp;VAR:SDATE=20090399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8__FDSAUDITLINK__" localSheetId="4" hidden="1">{"fdsup://IBCentral/FAT Viewer?action=UPDATE&amp;creator=factset&amp;DOC_NAME=fat:reuters_ltm_source_window.fat&amp;display_string=Audit&amp;DYN_ARGS=TRUE&amp;VAR:ID1=SXI&amp;VAR:RCODE=FDSREVSTOTAL&amp;VAR:SDATE=20090399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8__FDSAUDITLINK__" hidden="1">{"fdsup://IBCentral/FAT Viewer?action=UPDATE&amp;creator=factset&amp;DOC_NAME=fat:reuters_ltm_source_window.fat&amp;display_string=Audit&amp;DYN_ARGS=TRUE&amp;VAR:ID1=SXI&amp;VAR:RCODE=FDSREVSTOTAL&amp;VAR:SDATE=20090399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59__FDSAUDITLINK__" localSheetId="5" hidden="1">{"fdsup://IBCentral/FAT Viewer?action=UPDATE&amp;creator=factset&amp;DOC_NAME=fat:reuters_ltm_source_window.fat&amp;display_string=Audit&amp;DYN_ARGS=TRUE&amp;VAR:ID1=SXI&amp;VAR:RCODE=FIBCEBITDA&amp;VAR:SDATE=20090399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9__FDSAUDITLINK__" localSheetId="0" hidden="1">{"fdsup://IBCentral/FAT Viewer?action=UPDATE&amp;creator=factset&amp;DOC_NAME=fat:reuters_ltm_source_window.fat&amp;display_string=Audit&amp;DYN_ARGS=TRUE&amp;VAR:ID1=SXI&amp;VAR:RCODE=FIBCEBITDA&amp;VAR:SDATE=20090399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9__FDSAUDITLINK__" localSheetId="4" hidden="1">{"fdsup://IBCentral/FAT Viewer?action=UPDATE&amp;creator=factset&amp;DOC_NAME=fat:reuters_ltm_source_window.fat&amp;display_string=Audit&amp;DYN_ARGS=TRUE&amp;VAR:ID1=SXI&amp;VAR:RCODE=FIBCEBITDA&amp;VAR:SDATE=20090399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59__FDSAUDITLINK__" hidden="1">{"fdsup://IBCentral/FAT Viewer?action=UPDATE&amp;creator=factset&amp;DOC_NAME=fat:reuters_ltm_source_window.fat&amp;display_string=Audit&amp;DYN_ARGS=TRUE&amp;VAR:ID1=SXI&amp;VAR:RCODE=FIBCEBITDA&amp;VAR:SDATE=20090399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6__FDSAUDITLINK__" localSheetId="5" hidden="1">{"fdsup://IBCentral/FAT Viewer?action=UPDATE&amp;creator=factset&amp;DOC_NAME=fat:reuters_ltm_source_window.fat&amp;display_string=Audit&amp;DYN_ARGS=TRUE&amp;VAR:ID1=FAST&amp;VAR:RCODE=FIBCEBITDA&amp;VAR:SDATE=20090399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__FDSAUDITLINK__" localSheetId="0" hidden="1">{"fdsup://IBCentral/FAT Viewer?action=UPDATE&amp;creator=factset&amp;DOC_NAME=fat:reuters_ltm_source_window.fat&amp;display_string=Audit&amp;DYN_ARGS=TRUE&amp;VAR:ID1=FAST&amp;VAR:RCODE=FIBCEBITDA&amp;VAR:SDATE=20090399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__FDSAUDITLINK__" localSheetId="4" hidden="1">{"fdsup://IBCentral/FAT Viewer?action=UPDATE&amp;creator=factset&amp;DOC_NAME=fat:reuters_ltm_source_window.fat&amp;display_string=Audit&amp;DYN_ARGS=TRUE&amp;VAR:ID1=FAST&amp;VAR:RCODE=FIBCEBITDA&amp;VAR:SDATE=20090399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__FDSAUDITLINK__" hidden="1">{"fdsup://IBCentral/FAT Viewer?action=UPDATE&amp;creator=factset&amp;DOC_NAME=fat:reuters_ltm_source_window.fat&amp;display_string=Audit&amp;DYN_ARGS=TRUE&amp;VAR:ID1=FAST&amp;VAR:RCODE=FIBCEBITDA&amp;VAR:SDATE=20090399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0__FDSAUDITLINK__" localSheetId="5" hidden="1">{"fdsup://IBCentral/FAT Viewer?action=UPDATE&amp;creator=factset&amp;DOC_NAME=fat:reuters_annual_source_window.fat&amp;display_string=Audit&amp;DYN_ARGS=TRUE&amp;VAR:ID1=20934110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860__FDSAUDITLINK__" localSheetId="0" hidden="1">{"fdsup://IBCentral/FAT Viewer?action=UPDATE&amp;creator=factset&amp;DOC_NAME=fat:reuters_annual_source_window.fat&amp;display_string=Audit&amp;DYN_ARGS=TRUE&amp;VAR:ID1=20934110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860__FDSAUDITLINK__" localSheetId="4" hidden="1">{"fdsup://IBCentral/FAT Viewer?action=UPDATE&amp;creator=factset&amp;DOC_NAME=fat:reuters_annual_source_window.fat&amp;display_string=Audit&amp;DYN_ARGS=TRUE&amp;VAR:ID1=20934110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annual_source_window.fat&amp;display_string=Audit&amp;DYN_ARGS=TRUE&amp;VAR:ID1=20934110&amp;VAR:RCODE=FDSREVSTOTAL&amp;VAR:SDATE=20090399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861__FDSAUDITLINK__" localSheetId="5" hidden="1">{"fdsup://IBCentral/FAT Viewer?action=UPDATE&amp;creator=factset&amp;DOC_NAME=fat:reuters_annual_source_window.fat&amp;display_string=Audit&amp;DYN_ARGS=TRUE&amp;VAR:ID1=20934110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861__FDSAUDITLINK__" localSheetId="0" hidden="1">{"fdsup://IBCentral/FAT Viewer?action=UPDATE&amp;creator=factset&amp;DOC_NAME=fat:reuters_annual_source_window.fat&amp;display_string=Audit&amp;DYN_ARGS=TRUE&amp;VAR:ID1=20934110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861__FDSAUDITLINK__" localSheetId="4" hidden="1">{"fdsup://IBCentral/FAT Viewer?action=UPDATE&amp;creator=factset&amp;DOC_NAME=fat:reuters_annual_source_window.fat&amp;display_string=Audit&amp;DYN_ARGS=TRUE&amp;VAR:ID1=20934110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annual_source_window.fat&amp;display_string=Audit&amp;DYN_ARGS=TRUE&amp;VAR:ID1=20934110&amp;VAR:RCODE=FIBCEBITDA&amp;VAR:SDATE=20090399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862__FDSAUDITLINK__" localSheetId="5" hidden="1">{"fdsup://IBCentral/FAT Viewer?action=UPDATE&amp;creator=factset&amp;DOC_NAME=fat:reuters_ltm_source_window.fat&amp;display_string=Audit&amp;DYN_ARGS=TRUE&amp;VAR:ID1=ROCK&amp;VAR:RCODE=FDSREVSTOTAL&amp;VAR:SDATE=20090699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62__FDSAUDITLINK__" localSheetId="0" hidden="1">{"fdsup://IBCentral/FAT Viewer?action=UPDATE&amp;creator=factset&amp;DOC_NAME=fat:reuters_ltm_source_window.fat&amp;display_string=Audit&amp;DYN_ARGS=TRUE&amp;VAR:ID1=ROCK&amp;VAR:RCODE=FDSREVSTOTAL&amp;VAR:SDATE=20090699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62__FDSAUDITLINK__" localSheetId="4" hidden="1">{"fdsup://IBCentral/FAT Viewer?action=UPDATE&amp;creator=factset&amp;DOC_NAME=fat:reuters_ltm_source_window.fat&amp;display_string=Audit&amp;DYN_ARGS=TRUE&amp;VAR:ID1=ROCK&amp;VAR:RCODE=FDSREVSTOTAL&amp;VAR:SDATE=20090699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62__FDSAUDITLINK__" hidden="1">{"fdsup://IBCentral/FAT Viewer?action=UPDATE&amp;creator=factset&amp;DOC_NAME=fat:reuters_ltm_source_window.fat&amp;display_string=Audit&amp;DYN_ARGS=TRUE&amp;VAR:ID1=ROCK&amp;VAR:RCODE=FDSREVSTOTAL&amp;VAR:SDATE=20090699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63__FDSAUDITLINK__" localSheetId="5" hidden="1">{"fdsup://IBCentral/FAT Viewer?action=UPDATE&amp;creator=factset&amp;DOC_NAME=fat:reuters_ltm_source_window.fat&amp;display_string=Audit&amp;DYN_ARGS=TRUE&amp;VAR:ID1=ROCK&amp;VAR:RCODE=FIBCEBITDA&amp;VAR:SDATE=20090699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3__FDSAUDITLINK__" localSheetId="0" hidden="1">{"fdsup://IBCentral/FAT Viewer?action=UPDATE&amp;creator=factset&amp;DOC_NAME=fat:reuters_ltm_source_window.fat&amp;display_string=Audit&amp;DYN_ARGS=TRUE&amp;VAR:ID1=ROCK&amp;VAR:RCODE=FIBCEBITDA&amp;VAR:SDATE=20090699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3__FDSAUDITLINK__" localSheetId="4" hidden="1">{"fdsup://IBCentral/FAT Viewer?action=UPDATE&amp;creator=factset&amp;DOC_NAME=fat:reuters_ltm_source_window.fat&amp;display_string=Audit&amp;DYN_ARGS=TRUE&amp;VAR:ID1=ROCK&amp;VAR:RCODE=FIBCEBITDA&amp;VAR:SDATE=20090699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3__FDSAUDITLINK__" hidden="1">{"fdsup://IBCentral/FAT Viewer?action=UPDATE&amp;creator=factset&amp;DOC_NAME=fat:reuters_ltm_source_window.fat&amp;display_string=Audit&amp;DYN_ARGS=TRUE&amp;VAR:ID1=ROCK&amp;VAR:RCODE=FIBCEBITDA&amp;VAR:SDATE=20090699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4__FDSAUDITLINK__" localSheetId="5" hidden="1">{"fdsup://IBCentral/FAT Viewer?action=UPDATE&amp;creator=factset&amp;DOC_NAME=fat:reuters_ltm_source_window.fat&amp;display_string=Audit&amp;DYN_ARGS=TRUE&amp;VAR:ID1=GY&amp;VAR:RCODE=FDSREVSTOTAL&amp;VAR:SDATE=20090299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4__FDSAUDITLINK__" localSheetId="0" hidden="1">{"fdsup://IBCentral/FAT Viewer?action=UPDATE&amp;creator=factset&amp;DOC_NAME=fat:reuters_ltm_source_window.fat&amp;display_string=Audit&amp;DYN_ARGS=TRUE&amp;VAR:ID1=GY&amp;VAR:RCODE=FDSREVSTOTAL&amp;VAR:SDATE=20090299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4__FDSAUDITLINK__" localSheetId="4" hidden="1">{"fdsup://IBCentral/FAT Viewer?action=UPDATE&amp;creator=factset&amp;DOC_NAME=fat:reuters_ltm_source_window.fat&amp;display_string=Audit&amp;DYN_ARGS=TRUE&amp;VAR:ID1=GY&amp;VAR:RCODE=FDSREVSTOTAL&amp;VAR:SDATE=20090299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4__FDSAUDITLINK__" hidden="1">{"fdsup://IBCentral/FAT Viewer?action=UPDATE&amp;creator=factset&amp;DOC_NAME=fat:reuters_ltm_source_window.fat&amp;display_string=Audit&amp;DYN_ARGS=TRUE&amp;VAR:ID1=GY&amp;VAR:RCODE=FDSREVSTOTAL&amp;VAR:SDATE=20090299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5__FDSAUDITLINK__" localSheetId="5" hidden="1">{"fdsup://IBCentral/FAT Viewer?action=UPDATE&amp;creator=factset&amp;DOC_NAME=fat:reuters_ltm_source_window.fat&amp;display_string=Audit&amp;DYN_ARGS=TRUE&amp;VAR:ID1=GY&amp;VAR:RCODE=FIBCEBITDA&amp;VAR:SDATE=20090299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65__FDSAUDITLINK__" localSheetId="0" hidden="1">{"fdsup://IBCentral/FAT Viewer?action=UPDATE&amp;creator=factset&amp;DOC_NAME=fat:reuters_ltm_source_window.fat&amp;display_string=Audit&amp;DYN_ARGS=TRUE&amp;VAR:ID1=GY&amp;VAR:RCODE=FIBCEBITDA&amp;VAR:SDATE=20090299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65__FDSAUDITLINK__" localSheetId="4" hidden="1">{"fdsup://IBCentral/FAT Viewer?action=UPDATE&amp;creator=factset&amp;DOC_NAME=fat:reuters_ltm_source_window.fat&amp;display_string=Audit&amp;DYN_ARGS=TRUE&amp;VAR:ID1=GY&amp;VAR:RCODE=FIBCEBITDA&amp;VAR:SDATE=20090299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65__FDSAUDITLINK__" hidden="1">{"fdsup://IBCentral/FAT Viewer?action=UPDATE&amp;creator=factset&amp;DOC_NAME=fat:reuters_ltm_source_window.fat&amp;display_string=Audit&amp;DYN_ARGS=TRUE&amp;VAR:ID1=GY&amp;VAR:RCODE=FIBCEBITDA&amp;VAR:SDATE=20090299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66__FDSAUDITLINK__" localSheetId="5" hidden="1">{"fdsup://IBCentral/FAT Viewer?action=UPDATE&amp;creator=factset&amp;DOC_NAME=fat:reuters_ltm_source_window.fat&amp;display_string=Audit&amp;DYN_ARGS=TRUE&amp;VAR:ID1=SFN&amp;VAR:RCODE=FDSREVSTOTAL&amp;VAR:SDATE=20090699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66__FDSAUDITLINK__" localSheetId="0" hidden="1">{"fdsup://IBCentral/FAT Viewer?action=UPDATE&amp;creator=factset&amp;DOC_NAME=fat:reuters_ltm_source_window.fat&amp;display_string=Audit&amp;DYN_ARGS=TRUE&amp;VAR:ID1=SFN&amp;VAR:RCODE=FDSREVSTOTAL&amp;VAR:SDATE=20090699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66__FDSAUDITLINK__" localSheetId="4" hidden="1">{"fdsup://IBCentral/FAT Viewer?action=UPDATE&amp;creator=factset&amp;DOC_NAME=fat:reuters_ltm_source_window.fat&amp;display_string=Audit&amp;DYN_ARGS=TRUE&amp;VAR:ID1=SFN&amp;VAR:RCODE=FDSREVSTOTAL&amp;VAR:SDATE=20090699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66__FDSAUDITLINK__" hidden="1">{"fdsup://IBCentral/FAT Viewer?action=UPDATE&amp;creator=factset&amp;DOC_NAME=fat:reuters_ltm_source_window.fat&amp;display_string=Audit&amp;DYN_ARGS=TRUE&amp;VAR:ID1=SFN&amp;VAR:RCODE=FDSREVSTOTAL&amp;VAR:SDATE=20090699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67__FDSAUDITLINK__" localSheetId="5" hidden="1">{"fdsup://IBCentral/FAT Viewer?action=UPDATE&amp;creator=factset&amp;DOC_NAME=fat:reuters_ltm_source_window.fat&amp;display_string=Audit&amp;DYN_ARGS=TRUE&amp;VAR:ID1=SFN&amp;VAR:RCODE=FIBCEBITDA&amp;VAR:SDATE=20090699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67__FDSAUDITLINK__" localSheetId="0" hidden="1">{"fdsup://IBCentral/FAT Viewer?action=UPDATE&amp;creator=factset&amp;DOC_NAME=fat:reuters_ltm_source_window.fat&amp;display_string=Audit&amp;DYN_ARGS=TRUE&amp;VAR:ID1=SFN&amp;VAR:RCODE=FIBCEBITDA&amp;VAR:SDATE=20090699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67__FDSAUDITLINK__" localSheetId="4" hidden="1">{"fdsup://IBCentral/FAT Viewer?action=UPDATE&amp;creator=factset&amp;DOC_NAME=fat:reuters_ltm_source_window.fat&amp;display_string=Audit&amp;DYN_ARGS=TRUE&amp;VAR:ID1=SFN&amp;VAR:RCODE=FIBCEBITDA&amp;VAR:SDATE=20090699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67__FDSAUDITLINK__" hidden="1">{"fdsup://IBCentral/FAT Viewer?action=UPDATE&amp;creator=factset&amp;DOC_NAME=fat:reuters_ltm_source_window.fat&amp;display_string=Audit&amp;DYN_ARGS=TRUE&amp;VAR:ID1=SFN&amp;VAR:RCODE=FIBCEBITDA&amp;VAR:SDATE=20090699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68__FDSAUDITLINK__" localSheetId="5" hidden="1">{"fdsup://IBCentral/FAT Viewer?action=UPDATE&amp;creator=factset&amp;DOC_NAME=fat:reuters_ltm_source_window.fat&amp;display_string=Audit&amp;DYN_ARGS=TRUE&amp;VAR:ID1=SR&amp;VAR:RCODE=FDSREVSTOTAL&amp;VAR:SDATE=20090699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8__FDSAUDITLINK__" localSheetId="0" hidden="1">{"fdsup://IBCentral/FAT Viewer?action=UPDATE&amp;creator=factset&amp;DOC_NAME=fat:reuters_ltm_source_window.fat&amp;display_string=Audit&amp;DYN_ARGS=TRUE&amp;VAR:ID1=SR&amp;VAR:RCODE=FDSREVSTOTAL&amp;VAR:SDATE=20090699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8__FDSAUDITLINK__" localSheetId="4" hidden="1">{"fdsup://IBCentral/FAT Viewer?action=UPDATE&amp;creator=factset&amp;DOC_NAME=fat:reuters_ltm_source_window.fat&amp;display_string=Audit&amp;DYN_ARGS=TRUE&amp;VAR:ID1=SR&amp;VAR:RCODE=FDSREVSTOTAL&amp;VAR:SDATE=20090699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8__FDSAUDITLINK__" hidden="1">{"fdsup://IBCentral/FAT Viewer?action=UPDATE&amp;creator=factset&amp;DOC_NAME=fat:reuters_ltm_source_window.fat&amp;display_string=Audit&amp;DYN_ARGS=TRUE&amp;VAR:ID1=SR&amp;VAR:RCODE=FDSREVSTOTAL&amp;VAR:SDATE=20090699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69__FDSAUDITLINK__" localSheetId="5" hidden="1">{"fdsup://IBCentral/FAT Viewer?action=UPDATE&amp;creator=factset&amp;DOC_NAME=fat:reuters_ltm_source_window.fat&amp;display_string=Audit&amp;DYN_ARGS=TRUE&amp;VAR:ID1=SR&amp;VAR:RCODE=FIBCEBITDA&amp;VAR:SDATE=20090699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69__FDSAUDITLINK__" localSheetId="0" hidden="1">{"fdsup://IBCentral/FAT Viewer?action=UPDATE&amp;creator=factset&amp;DOC_NAME=fat:reuters_ltm_source_window.fat&amp;display_string=Audit&amp;DYN_ARGS=TRUE&amp;VAR:ID1=SR&amp;VAR:RCODE=FIBCEBITDA&amp;VAR:SDATE=20090699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69__FDSAUDITLINK__" localSheetId="4" hidden="1">{"fdsup://IBCentral/FAT Viewer?action=UPDATE&amp;creator=factset&amp;DOC_NAME=fat:reuters_ltm_source_window.fat&amp;display_string=Audit&amp;DYN_ARGS=TRUE&amp;VAR:ID1=SR&amp;VAR:RCODE=FIBCEBITDA&amp;VAR:SDATE=20090699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69__FDSAUDITLINK__" hidden="1">{"fdsup://IBCentral/FAT Viewer?action=UPDATE&amp;creator=factset&amp;DOC_NAME=fat:reuters_ltm_source_window.fat&amp;display_string=Audit&amp;DYN_ARGS=TRUE&amp;VAR:ID1=SR&amp;VAR:RCODE=FIBCEBITDA&amp;VAR:SDATE=20090699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7__123Graph_AChart_1U" localSheetId="0" hidden="1">#REF!</definedName>
    <definedName name="_87__123Graph_AChart_1U" hidden="1">#REF!</definedName>
    <definedName name="_87__FDSAUDITLINK__" localSheetId="5" hidden="1">{"fdsup://IBCentral/FAT Viewer?action=UPDATE&amp;creator=factset&amp;DOC_NAME=fat:reuters_ltm_source_window.fat&amp;display_string=Audit&amp;DYN_ARGS=TRUE&amp;VAR:ID1=PBI&amp;VAR:RCODE=FIBCEBITDA&amp;VAR:SDATE=20090399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__FDSAUDITLINK__" localSheetId="0" hidden="1">{"fdsup://IBCentral/FAT Viewer?action=UPDATE&amp;creator=factset&amp;DOC_NAME=fat:reuters_ltm_source_window.fat&amp;display_string=Audit&amp;DYN_ARGS=TRUE&amp;VAR:ID1=PBI&amp;VAR:RCODE=FIBCEBITDA&amp;VAR:SDATE=20090399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__FDSAUDITLINK__" localSheetId="4" hidden="1">{"fdsup://IBCentral/FAT Viewer?action=UPDATE&amp;creator=factset&amp;DOC_NAME=fat:reuters_ltm_source_window.fat&amp;display_string=Audit&amp;DYN_ARGS=TRUE&amp;VAR:ID1=PBI&amp;VAR:RCODE=FIBCEBITDA&amp;VAR:SDATE=20090399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__FDSAUDITLINK__" hidden="1">{"fdsup://IBCentral/FAT Viewer?action=UPDATE&amp;creator=factset&amp;DOC_NAME=fat:reuters_ltm_source_window.fat&amp;display_string=Audit&amp;DYN_ARGS=TRUE&amp;VAR:ID1=PBI&amp;VAR:RCODE=FIBCEBITDA&amp;VAR:SDATE=20090399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0__FDSAUDITLINK__" localSheetId="5" hidden="1">{"fdsup://IBCentral/FAT Viewer?action=UPDATE&amp;creator=factset&amp;DOC_NAME=fat:reuters_ltm_source_window.fat&amp;display_string=Audit&amp;DYN_ARGS=TRUE&amp;VAR:ID1=IFSIA&amp;VAR:RCODE=FDSREVSTOTAL&amp;VAR:SDATE=20090699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870__FDSAUDITLINK__" localSheetId="0" hidden="1">{"fdsup://IBCentral/FAT Viewer?action=UPDATE&amp;creator=factset&amp;DOC_NAME=fat:reuters_ltm_source_window.fat&amp;display_string=Audit&amp;DYN_ARGS=TRUE&amp;VAR:ID1=IFSIA&amp;VAR:RCODE=FDSREVSTOTAL&amp;VAR:SDATE=20090699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870__FDSAUDITLINK__" localSheetId="4" hidden="1">{"fdsup://IBCentral/FAT Viewer?action=UPDATE&amp;creator=factset&amp;DOC_NAME=fat:reuters_ltm_source_window.fat&amp;display_string=Audit&amp;DYN_ARGS=TRUE&amp;VAR:ID1=IFSIA&amp;VAR:RCODE=FDSREVSTOTAL&amp;VAR:SDATE=20090699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870__FDSAUDITLINK__" hidden="1">{"fdsup://IBCentral/FAT Viewer?action=UPDATE&amp;creator=factset&amp;DOC_NAME=fat:reuters_ltm_source_window.fat&amp;display_string=Audit&amp;DYN_ARGS=TRUE&amp;VAR:ID1=IFSIA&amp;VAR:RCODE=FDSREVSTOTAL&amp;VAR:SDATE=20090699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871__FDSAUDITLINK__" localSheetId="5" hidden="1">{"fdsup://IBCentral/FAT Viewer?action=UPDATE&amp;creator=factset&amp;DOC_NAME=fat:reuters_ltm_source_window.fat&amp;display_string=Audit&amp;DYN_ARGS=TRUE&amp;VAR:ID1=IFSIA&amp;VAR:RCODE=FIBCEBITDA&amp;VAR:SDATE=20090699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1__FDSAUDITLINK__" localSheetId="0" hidden="1">{"fdsup://IBCentral/FAT Viewer?action=UPDATE&amp;creator=factset&amp;DOC_NAME=fat:reuters_ltm_source_window.fat&amp;display_string=Audit&amp;DYN_ARGS=TRUE&amp;VAR:ID1=IFSIA&amp;VAR:RCODE=FIBCEBITDA&amp;VAR:SDATE=20090699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1__FDSAUDITLINK__" localSheetId="4" hidden="1">{"fdsup://IBCentral/FAT Viewer?action=UPDATE&amp;creator=factset&amp;DOC_NAME=fat:reuters_ltm_source_window.fat&amp;display_string=Audit&amp;DYN_ARGS=TRUE&amp;VAR:ID1=IFSIA&amp;VAR:RCODE=FIBCEBITDA&amp;VAR:SDATE=20090699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1__FDSAUDITLINK__" hidden="1">{"fdsup://IBCentral/FAT Viewer?action=UPDATE&amp;creator=factset&amp;DOC_NAME=fat:reuters_ltm_source_window.fat&amp;display_string=Audit&amp;DYN_ARGS=TRUE&amp;VAR:ID1=IFSIA&amp;VAR:RCODE=FIBCEBITDA&amp;VAR:SDATE=20090699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2__FDSAUDITLINK__" localSheetId="5" hidden="1">{"fdsup://IBCentral/FAT Viewer?action=UPDATE&amp;creator=factset&amp;DOC_NAME=fat:reuters_ltm_source_window.fat&amp;display_string=Audit&amp;DYN_ARGS=TRUE&amp;VAR:ID1=VOL&amp;VAR:RCODE=FDSREVSTOTAL&amp;VAR:SDATE=20090199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2__FDSAUDITLINK__" localSheetId="0" hidden="1">{"fdsup://IBCentral/FAT Viewer?action=UPDATE&amp;creator=factset&amp;DOC_NAME=fat:reuters_ltm_source_window.fat&amp;display_string=Audit&amp;DYN_ARGS=TRUE&amp;VAR:ID1=VOL&amp;VAR:RCODE=FDSREVSTOTAL&amp;VAR:SDATE=20090199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2__FDSAUDITLINK__" localSheetId="4" hidden="1">{"fdsup://IBCentral/FAT Viewer?action=UPDATE&amp;creator=factset&amp;DOC_NAME=fat:reuters_ltm_source_window.fat&amp;display_string=Audit&amp;DYN_ARGS=TRUE&amp;VAR:ID1=VOL&amp;VAR:RCODE=FDSREVSTOTAL&amp;VAR:SDATE=20090199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2__FDSAUDITLINK__" hidden="1">{"fdsup://IBCentral/FAT Viewer?action=UPDATE&amp;creator=factset&amp;DOC_NAME=fat:reuters_ltm_source_window.fat&amp;display_string=Audit&amp;DYN_ARGS=TRUE&amp;VAR:ID1=VOL&amp;VAR:RCODE=FDSREVSTOTAL&amp;VAR:SDATE=20090199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3__FDSAUDITLINK__" localSheetId="5" hidden="1">{"fdsup://IBCentral/FAT Viewer?action=UPDATE&amp;creator=factset&amp;DOC_NAME=fat:reuters_ltm_source_window.fat&amp;display_string=Audit&amp;DYN_ARGS=TRUE&amp;VAR:ID1=VOL&amp;VAR:RCODE=FIBCEBITDA&amp;VAR:SDATE=20090199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3__FDSAUDITLINK__" localSheetId="0" hidden="1">{"fdsup://IBCentral/FAT Viewer?action=UPDATE&amp;creator=factset&amp;DOC_NAME=fat:reuters_ltm_source_window.fat&amp;display_string=Audit&amp;DYN_ARGS=TRUE&amp;VAR:ID1=VOL&amp;VAR:RCODE=FIBCEBITDA&amp;VAR:SDATE=20090199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3__FDSAUDITLINK__" localSheetId="4" hidden="1">{"fdsup://IBCentral/FAT Viewer?action=UPDATE&amp;creator=factset&amp;DOC_NAME=fat:reuters_ltm_source_window.fat&amp;display_string=Audit&amp;DYN_ARGS=TRUE&amp;VAR:ID1=VOL&amp;VAR:RCODE=FIBCEBITDA&amp;VAR:SDATE=20090199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3__FDSAUDITLINK__" hidden="1">{"fdsup://IBCentral/FAT Viewer?action=UPDATE&amp;creator=factset&amp;DOC_NAME=fat:reuters_ltm_source_window.fat&amp;display_string=Audit&amp;DYN_ARGS=TRUE&amp;VAR:ID1=VOL&amp;VAR:RCODE=FIBCEBITDA&amp;VAR:SDATE=20090199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4__FDSAUDITLINK__" localSheetId="5" hidden="1">{"fdsup://IBCentral/FAT Viewer?action=UPDATE&amp;creator=factset&amp;DOC_NAME=fat:reuters_ltm_source_window.fat&amp;display_string=Audit&amp;DYN_ARGS=TRUE&amp;VAR:ID1=CDI&amp;VAR:RCODE=FDSREVSTOTAL&amp;VAR:SDATE=20090699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4__FDSAUDITLINK__" localSheetId="0" hidden="1">{"fdsup://IBCentral/FAT Viewer?action=UPDATE&amp;creator=factset&amp;DOC_NAME=fat:reuters_ltm_source_window.fat&amp;display_string=Audit&amp;DYN_ARGS=TRUE&amp;VAR:ID1=CDI&amp;VAR:RCODE=FDSREVSTOTAL&amp;VAR:SDATE=20090699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4__FDSAUDITLINK__" localSheetId="4" hidden="1">{"fdsup://IBCentral/FAT Viewer?action=UPDATE&amp;creator=factset&amp;DOC_NAME=fat:reuters_ltm_source_window.fat&amp;display_string=Audit&amp;DYN_ARGS=TRUE&amp;VAR:ID1=CDI&amp;VAR:RCODE=FDSREVSTOTAL&amp;VAR:SDATE=20090699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4__FDSAUDITLINK__" hidden="1">{"fdsup://IBCentral/FAT Viewer?action=UPDATE&amp;creator=factset&amp;DOC_NAME=fat:reuters_ltm_source_window.fat&amp;display_string=Audit&amp;DYN_ARGS=TRUE&amp;VAR:ID1=CDI&amp;VAR:RCODE=FDSREVSTOTAL&amp;VAR:SDATE=20090699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75__FDSAUDITLINK__" localSheetId="5" hidden="1">{"fdsup://IBCentral/FAT Viewer?action=UPDATE&amp;creator=factset&amp;DOC_NAME=fat:reuters_ltm_source_window.fat&amp;display_string=Audit&amp;DYN_ARGS=TRUE&amp;VAR:ID1=CDI&amp;VAR:RCODE=FIBCEBITDA&amp;VAR:SDATE=20090699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5__FDSAUDITLINK__" localSheetId="0" hidden="1">{"fdsup://IBCentral/FAT Viewer?action=UPDATE&amp;creator=factset&amp;DOC_NAME=fat:reuters_ltm_source_window.fat&amp;display_string=Audit&amp;DYN_ARGS=TRUE&amp;VAR:ID1=CDI&amp;VAR:RCODE=FIBCEBITDA&amp;VAR:SDATE=20090699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5__FDSAUDITLINK__" localSheetId="4" hidden="1">{"fdsup://IBCentral/FAT Viewer?action=UPDATE&amp;creator=factset&amp;DOC_NAME=fat:reuters_ltm_source_window.fat&amp;display_string=Audit&amp;DYN_ARGS=TRUE&amp;VAR:ID1=CDI&amp;VAR:RCODE=FIBCEBITDA&amp;VAR:SDATE=20090699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5__FDSAUDITLINK__" hidden="1">{"fdsup://IBCentral/FAT Viewer?action=UPDATE&amp;creator=factset&amp;DOC_NAME=fat:reuters_ltm_source_window.fat&amp;display_string=Audit&amp;DYN_ARGS=TRUE&amp;VAR:ID1=CDI&amp;VAR:RCODE=FIBCEBITDA&amp;VAR:SDATE=20090699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76__FDSAUDITLINK__" localSheetId="5" hidden="1">{"fdsup://IBCentral/FAT Viewer?action=UPDATE&amp;creator=factset&amp;DOC_NAME=fat:reuters_ltm_source_window.fat&amp;display_string=Audit&amp;DYN_ARGS=TRUE&amp;VAR:ID1=DY&amp;VAR:RCODE=FDSREVSTOTAL&amp;VAR:SDATE=20090499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76__FDSAUDITLINK__" localSheetId="0" hidden="1">{"fdsup://IBCentral/FAT Viewer?action=UPDATE&amp;creator=factset&amp;DOC_NAME=fat:reuters_ltm_source_window.fat&amp;display_string=Audit&amp;DYN_ARGS=TRUE&amp;VAR:ID1=DY&amp;VAR:RCODE=FDSREVSTOTAL&amp;VAR:SDATE=20090499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76__FDSAUDITLINK__" localSheetId="4" hidden="1">{"fdsup://IBCentral/FAT Viewer?action=UPDATE&amp;creator=factset&amp;DOC_NAME=fat:reuters_ltm_source_window.fat&amp;display_string=Audit&amp;DYN_ARGS=TRUE&amp;VAR:ID1=DY&amp;VAR:RCODE=FDSREVSTOTAL&amp;VAR:SDATE=20090499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76__FDSAUDITLINK__" hidden="1">{"fdsup://IBCentral/FAT Viewer?action=UPDATE&amp;creator=factset&amp;DOC_NAME=fat:reuters_ltm_source_window.fat&amp;display_string=Audit&amp;DYN_ARGS=TRUE&amp;VAR:ID1=DY&amp;VAR:RCODE=FDSREVSTOTAL&amp;VAR:SDATE=20090499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77__FDSAUDITLINK__" localSheetId="5" hidden="1">{"fdsup://IBCentral/FAT Viewer?action=UPDATE&amp;creator=factset&amp;DOC_NAME=fat:reuters_ltm_source_window.fat&amp;display_string=Audit&amp;DYN_ARGS=TRUE&amp;VAR:ID1=DY&amp;VAR:RCODE=FIBCEBITDA&amp;VAR:SDATE=20090499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77__FDSAUDITLINK__" localSheetId="0" hidden="1">{"fdsup://IBCentral/FAT Viewer?action=UPDATE&amp;creator=factset&amp;DOC_NAME=fat:reuters_ltm_source_window.fat&amp;display_string=Audit&amp;DYN_ARGS=TRUE&amp;VAR:ID1=DY&amp;VAR:RCODE=FIBCEBITDA&amp;VAR:SDATE=20090499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77__FDSAUDITLINK__" localSheetId="4" hidden="1">{"fdsup://IBCentral/FAT Viewer?action=UPDATE&amp;creator=factset&amp;DOC_NAME=fat:reuters_ltm_source_window.fat&amp;display_string=Audit&amp;DYN_ARGS=TRUE&amp;VAR:ID1=DY&amp;VAR:RCODE=FIBCEBITDA&amp;VAR:SDATE=20090499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77__FDSAUDITLINK__" hidden="1">{"fdsup://IBCentral/FAT Viewer?action=UPDATE&amp;creator=factset&amp;DOC_NAME=fat:reuters_ltm_source_window.fat&amp;display_string=Audit&amp;DYN_ARGS=TRUE&amp;VAR:ID1=DY&amp;VAR:RCODE=FIBCEBITDA&amp;VAR:SDATE=20090499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78__FDSAUDITLINK__" localSheetId="5" hidden="1">{"fdsup://IBCentral/FAT Viewer?action=UPDATE&amp;creator=factset&amp;DOC_NAME=fat:reuters_ltm_source_window.fat&amp;display_string=Audit&amp;DYN_ARGS=TRUE&amp;VAR:ID1=VICR&amp;VAR:RCODE=FDSREVSTOTAL&amp;VAR:SDATE=20090399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78__FDSAUDITLINK__" localSheetId="0" hidden="1">{"fdsup://IBCentral/FAT Viewer?action=UPDATE&amp;creator=factset&amp;DOC_NAME=fat:reuters_ltm_source_window.fat&amp;display_string=Audit&amp;DYN_ARGS=TRUE&amp;VAR:ID1=VICR&amp;VAR:RCODE=FDSREVSTOTAL&amp;VAR:SDATE=20090399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78__FDSAUDITLINK__" localSheetId="4" hidden="1">{"fdsup://IBCentral/FAT Viewer?action=UPDATE&amp;creator=factset&amp;DOC_NAME=fat:reuters_ltm_source_window.fat&amp;display_string=Audit&amp;DYN_ARGS=TRUE&amp;VAR:ID1=VICR&amp;VAR:RCODE=FDSREVSTOTAL&amp;VAR:SDATE=20090399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78__FDSAUDITLINK__" hidden="1">{"fdsup://IBCentral/FAT Viewer?action=UPDATE&amp;creator=factset&amp;DOC_NAME=fat:reuters_ltm_source_window.fat&amp;display_string=Audit&amp;DYN_ARGS=TRUE&amp;VAR:ID1=VICR&amp;VAR:RCODE=FDSREVSTOTAL&amp;VAR:SDATE=20090399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79__FDSAUDITLINK__" localSheetId="5" hidden="1">{"fdsup://IBCentral/FAT Viewer?action=UPDATE&amp;creator=factset&amp;DOC_NAME=fat:reuters_ltm_source_window.fat&amp;display_string=Audit&amp;DYN_ARGS=TRUE&amp;VAR:ID1=VICR&amp;VAR:RCODE=FIBCEBITDA&amp;VAR:SDATE=20090399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79__FDSAUDITLINK__" localSheetId="0" hidden="1">{"fdsup://IBCentral/FAT Viewer?action=UPDATE&amp;creator=factset&amp;DOC_NAME=fat:reuters_ltm_source_window.fat&amp;display_string=Audit&amp;DYN_ARGS=TRUE&amp;VAR:ID1=VICR&amp;VAR:RCODE=FIBCEBITDA&amp;VAR:SDATE=20090399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79__FDSAUDITLINK__" localSheetId="4" hidden="1">{"fdsup://IBCentral/FAT Viewer?action=UPDATE&amp;creator=factset&amp;DOC_NAME=fat:reuters_ltm_source_window.fat&amp;display_string=Audit&amp;DYN_ARGS=TRUE&amp;VAR:ID1=VICR&amp;VAR:RCODE=FIBCEBITDA&amp;VAR:SDATE=20090399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79__FDSAUDITLINK__" hidden="1">{"fdsup://IBCentral/FAT Viewer?action=UPDATE&amp;creator=factset&amp;DOC_NAME=fat:reuters_ltm_source_window.fat&amp;display_string=Audit&amp;DYN_ARGS=TRUE&amp;VAR:ID1=VICR&amp;VAR:RCODE=FIBCEBITDA&amp;VAR:SDATE=20090399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__FDSAUDITLINK__" localSheetId="5" hidden="1">{"fdsup://IBCentral/FAT Viewer?action=UPDATE&amp;creator=factset&amp;DOC_NAME=fat:reuters_ltm_source_window.fat&amp;display_string=Audit&amp;DYN_ARGS=TRUE&amp;VAR:ID1=IR&amp;VAR:RCODE=FIBCEBITDA&amp;VAR:SDATE=20090399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8__FDSAUDITLINK__" localSheetId="0" hidden="1">{"fdsup://IBCentral/FAT Viewer?action=UPDATE&amp;creator=factset&amp;DOC_NAME=fat:reuters_ltm_source_window.fat&amp;display_string=Audit&amp;DYN_ARGS=TRUE&amp;VAR:ID1=IR&amp;VAR:RCODE=FIBCEBITDA&amp;VAR:SDATE=20090399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8__FDSAUDITLINK__" localSheetId="4" hidden="1">{"fdsup://IBCentral/FAT Viewer?action=UPDATE&amp;creator=factset&amp;DOC_NAME=fat:reuters_ltm_source_window.fat&amp;display_string=Audit&amp;DYN_ARGS=TRUE&amp;VAR:ID1=IR&amp;VAR:RCODE=FIBCEBITDA&amp;VAR:SDATE=20090399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8__FDSAUDITLINK__" hidden="1">{"fdsup://IBCentral/FAT Viewer?action=UPDATE&amp;creator=factset&amp;DOC_NAME=fat:reuters_ltm_source_window.fat&amp;display_string=Audit&amp;DYN_ARGS=TRUE&amp;VAR:ID1=IR&amp;VAR:RCODE=FIBCEBITDA&amp;VAR:SDATE=20090399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80__FDSAUDITLINK__" localSheetId="5" hidden="1">{"fdsup://IBCentral/FAT Viewer?action=UPDATE&amp;creator=factset&amp;DOC_NAME=fat:reuters_ltm_source_window.fat&amp;display_string=Audit&amp;DYN_ARGS=TRUE&amp;VAR:ID1=YRCW&amp;VAR:RCODE=FDSREVSTOTAL&amp;VAR:SDATE=20090699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80__FDSAUDITLINK__" localSheetId="0" hidden="1">{"fdsup://IBCentral/FAT Viewer?action=UPDATE&amp;creator=factset&amp;DOC_NAME=fat:reuters_ltm_source_window.fat&amp;display_string=Audit&amp;DYN_ARGS=TRUE&amp;VAR:ID1=YRCW&amp;VAR:RCODE=FDSREVSTOTAL&amp;VAR:SDATE=20090699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80__FDSAUDITLINK__" localSheetId="4" hidden="1">{"fdsup://IBCentral/FAT Viewer?action=UPDATE&amp;creator=factset&amp;DOC_NAME=fat:reuters_ltm_source_window.fat&amp;display_string=Audit&amp;DYN_ARGS=TRUE&amp;VAR:ID1=YRCW&amp;VAR:RCODE=FDSREVSTOTAL&amp;VAR:SDATE=20090699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80__FDSAUDITLINK__" hidden="1">{"fdsup://IBCentral/FAT Viewer?action=UPDATE&amp;creator=factset&amp;DOC_NAME=fat:reuters_ltm_source_window.fat&amp;display_string=Audit&amp;DYN_ARGS=TRUE&amp;VAR:ID1=YRCW&amp;VAR:RCODE=FDSREVSTOTAL&amp;VAR:SDATE=20090699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81__FDSAUDITLINK__" localSheetId="5" hidden="1">{"fdsup://IBCentral/FAT Viewer?action=UPDATE&amp;creator=factset&amp;DOC_NAME=fat:reuters_ltm_source_window.fat&amp;display_string=Audit&amp;DYN_ARGS=TRUE&amp;VAR:ID1=YRCW&amp;VAR:RCODE=FIBCEBITDA&amp;VAR:SDATE=20090699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1__FDSAUDITLINK__" localSheetId="0" hidden="1">{"fdsup://IBCentral/FAT Viewer?action=UPDATE&amp;creator=factset&amp;DOC_NAME=fat:reuters_ltm_source_window.fat&amp;display_string=Audit&amp;DYN_ARGS=TRUE&amp;VAR:ID1=YRCW&amp;VAR:RCODE=FIBCEBITDA&amp;VAR:SDATE=20090699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1__FDSAUDITLINK__" localSheetId="4" hidden="1">{"fdsup://IBCentral/FAT Viewer?action=UPDATE&amp;creator=factset&amp;DOC_NAME=fat:reuters_ltm_source_window.fat&amp;display_string=Audit&amp;DYN_ARGS=TRUE&amp;VAR:ID1=YRCW&amp;VAR:RCODE=FIBCEBITDA&amp;VAR:SDATE=20090699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1__FDSAUDITLINK__" hidden="1">{"fdsup://IBCentral/FAT Viewer?action=UPDATE&amp;creator=factset&amp;DOC_NAME=fat:reuters_ltm_source_window.fat&amp;display_string=Audit&amp;DYN_ARGS=TRUE&amp;VAR:ID1=YRCW&amp;VAR:RCODE=FIBCEBITDA&amp;VAR:SDATE=20090699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2__FDSAUDITLINK__" localSheetId="5" hidden="1">{"fdsup://IBCentral/FAT Viewer?action=UPDATE&amp;creator=factset&amp;DOC_NAME=fat:reuters_ltm_source_window.fat&amp;display_string=Audit&amp;DYN_ARGS=TRUE&amp;VAR:ID1=ATAC&amp;VAR:RCODE=FDSREVSTOTAL&amp;VAR:SDATE=20090399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82__FDSAUDITLINK__" localSheetId="0" hidden="1">{"fdsup://IBCentral/FAT Viewer?action=UPDATE&amp;creator=factset&amp;DOC_NAME=fat:reuters_ltm_source_window.fat&amp;display_string=Audit&amp;DYN_ARGS=TRUE&amp;VAR:ID1=ATAC&amp;VAR:RCODE=FDSREVSTOTAL&amp;VAR:SDATE=20090399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82__FDSAUDITLINK__" localSheetId="4" hidden="1">{"fdsup://IBCentral/FAT Viewer?action=UPDATE&amp;creator=factset&amp;DOC_NAME=fat:reuters_ltm_source_window.fat&amp;display_string=Audit&amp;DYN_ARGS=TRUE&amp;VAR:ID1=ATAC&amp;VAR:RCODE=FDSREVSTOTAL&amp;VAR:SDATE=20090399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82__FDSAUDITLINK__" hidden="1">{"fdsup://IBCentral/FAT Viewer?action=UPDATE&amp;creator=factset&amp;DOC_NAME=fat:reuters_ltm_source_window.fat&amp;display_string=Audit&amp;DYN_ARGS=TRUE&amp;VAR:ID1=ATAC&amp;VAR:RCODE=FDSREVSTOTAL&amp;VAR:SDATE=20090399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83__FDSAUDITLINK__" localSheetId="5" hidden="1">{"fdsup://IBCentral/FAT Viewer?action=UPDATE&amp;creator=factset&amp;DOC_NAME=fat:reuters_ltm_source_window.fat&amp;display_string=Audit&amp;DYN_ARGS=TRUE&amp;VAR:ID1=ATAC&amp;VAR:RCODE=FIBCEBITDA&amp;VAR:SDATE=20090399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3__FDSAUDITLINK__" localSheetId="0" hidden="1">{"fdsup://IBCentral/FAT Viewer?action=UPDATE&amp;creator=factset&amp;DOC_NAME=fat:reuters_ltm_source_window.fat&amp;display_string=Audit&amp;DYN_ARGS=TRUE&amp;VAR:ID1=ATAC&amp;VAR:RCODE=FIBCEBITDA&amp;VAR:SDATE=20090399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3__FDSAUDITLINK__" localSheetId="4" hidden="1">{"fdsup://IBCentral/FAT Viewer?action=UPDATE&amp;creator=factset&amp;DOC_NAME=fat:reuters_ltm_source_window.fat&amp;display_string=Audit&amp;DYN_ARGS=TRUE&amp;VAR:ID1=ATAC&amp;VAR:RCODE=FIBCEBITDA&amp;VAR:SDATE=20090399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3__FDSAUDITLINK__" hidden="1">{"fdsup://IBCentral/FAT Viewer?action=UPDATE&amp;creator=factset&amp;DOC_NAME=fat:reuters_ltm_source_window.fat&amp;display_string=Audit&amp;DYN_ARGS=TRUE&amp;VAR:ID1=ATAC&amp;VAR:RCODE=FIBCEBITDA&amp;VAR:SDATE=20090399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84__FDSAUDITLINK__" localSheetId="5" hidden="1">{"fdsup://IBCentral/FAT Viewer?action=UPDATE&amp;creator=factset&amp;DOC_NAME=fat:reuters_ltm_source_window.fat&amp;display_string=Audit&amp;DYN_ARGS=TRUE&amp;VAR:ID1=CAE&amp;VAR:RCODE=FDSREVSTOTAL&amp;VAR:SDATE=20090699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4__FDSAUDITLINK__" localSheetId="0" hidden="1">{"fdsup://IBCentral/FAT Viewer?action=UPDATE&amp;creator=factset&amp;DOC_NAME=fat:reuters_ltm_source_window.fat&amp;display_string=Audit&amp;DYN_ARGS=TRUE&amp;VAR:ID1=CAE&amp;VAR:RCODE=FDSREVSTOTAL&amp;VAR:SDATE=20090699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4__FDSAUDITLINK__" localSheetId="4" hidden="1">{"fdsup://IBCentral/FAT Viewer?action=UPDATE&amp;creator=factset&amp;DOC_NAME=fat:reuters_ltm_source_window.fat&amp;display_string=Audit&amp;DYN_ARGS=TRUE&amp;VAR:ID1=CAE&amp;VAR:RCODE=FDSREVSTOTAL&amp;VAR:SDATE=20090699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4__FDSAUDITLINK__" hidden="1">{"fdsup://IBCentral/FAT Viewer?action=UPDATE&amp;creator=factset&amp;DOC_NAME=fat:reuters_ltm_source_window.fat&amp;display_string=Audit&amp;DYN_ARGS=TRUE&amp;VAR:ID1=CAE&amp;VAR:RCODE=FDSREVSTOTAL&amp;VAR:SDATE=20090699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5__FDSAUDITLINK__" localSheetId="5" hidden="1">{"fdsup://IBCentral/FAT Viewer?action=UPDATE&amp;creator=factset&amp;DOC_NAME=fat:reuters_ltm_source_window.fat&amp;display_string=Audit&amp;DYN_ARGS=TRUE&amp;VAR:ID1=CAE&amp;VAR:RCODE=FIBCEBITDA&amp;VAR:SDATE=20090699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5__FDSAUDITLINK__" localSheetId="0" hidden="1">{"fdsup://IBCentral/FAT Viewer?action=UPDATE&amp;creator=factset&amp;DOC_NAME=fat:reuters_ltm_source_window.fat&amp;display_string=Audit&amp;DYN_ARGS=TRUE&amp;VAR:ID1=CAE&amp;VAR:RCODE=FIBCEBITDA&amp;VAR:SDATE=20090699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5__FDSAUDITLINK__" localSheetId="4" hidden="1">{"fdsup://IBCentral/FAT Viewer?action=UPDATE&amp;creator=factset&amp;DOC_NAME=fat:reuters_ltm_source_window.fat&amp;display_string=Audit&amp;DYN_ARGS=TRUE&amp;VAR:ID1=CAE&amp;VAR:RCODE=FIBCEBITDA&amp;VAR:SDATE=20090699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5__FDSAUDITLINK__" hidden="1">{"fdsup://IBCentral/FAT Viewer?action=UPDATE&amp;creator=factset&amp;DOC_NAME=fat:reuters_ltm_source_window.fat&amp;display_string=Audit&amp;DYN_ARGS=TRUE&amp;VAR:ID1=CAE&amp;VAR:RCODE=FIBCEBITDA&amp;VAR:SDATE=20090699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6__FDSAUDITLINK__" localSheetId="5" hidden="1">{"fdsup://IBCentral/FAT Viewer?action=UPDATE&amp;creator=factset&amp;DOC_NAME=fat:reuters_ltm_source_window.fat&amp;display_string=Audit&amp;DYN_ARGS=TRUE&amp;VAR:ID1=AIN&amp;VAR:RCODE=FDSREVSTOTAL&amp;VAR:SDATE=20090699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6__FDSAUDITLINK__" localSheetId="0" hidden="1">{"fdsup://IBCentral/FAT Viewer?action=UPDATE&amp;creator=factset&amp;DOC_NAME=fat:reuters_ltm_source_window.fat&amp;display_string=Audit&amp;DYN_ARGS=TRUE&amp;VAR:ID1=AIN&amp;VAR:RCODE=FDSREVSTOTAL&amp;VAR:SDATE=20090699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6__FDSAUDITLINK__" localSheetId="4" hidden="1">{"fdsup://IBCentral/FAT Viewer?action=UPDATE&amp;creator=factset&amp;DOC_NAME=fat:reuters_ltm_source_window.fat&amp;display_string=Audit&amp;DYN_ARGS=TRUE&amp;VAR:ID1=AIN&amp;VAR:RCODE=FDSREVSTOTAL&amp;VAR:SDATE=20090699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6__FDSAUDITLINK__" hidden="1">{"fdsup://IBCentral/FAT Viewer?action=UPDATE&amp;creator=factset&amp;DOC_NAME=fat:reuters_ltm_source_window.fat&amp;display_string=Audit&amp;DYN_ARGS=TRUE&amp;VAR:ID1=AIN&amp;VAR:RCODE=FDSREVSTOTAL&amp;VAR:SDATE=20090699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7__FDSAUDITLINK__" localSheetId="5" hidden="1">{"fdsup://IBCentral/FAT Viewer?action=UPDATE&amp;creator=factset&amp;DOC_NAME=fat:reuters_ltm_source_window.fat&amp;display_string=Audit&amp;DYN_ARGS=TRUE&amp;VAR:ID1=AIN&amp;VAR:RCODE=FIBCEBITDA&amp;VAR:SDATE=20090699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7__FDSAUDITLINK__" localSheetId="0" hidden="1">{"fdsup://IBCentral/FAT Viewer?action=UPDATE&amp;creator=factset&amp;DOC_NAME=fat:reuters_ltm_source_window.fat&amp;display_string=Audit&amp;DYN_ARGS=TRUE&amp;VAR:ID1=AIN&amp;VAR:RCODE=FIBCEBITDA&amp;VAR:SDATE=20090699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7__FDSAUDITLINK__" localSheetId="4" hidden="1">{"fdsup://IBCentral/FAT Viewer?action=UPDATE&amp;creator=factset&amp;DOC_NAME=fat:reuters_ltm_source_window.fat&amp;display_string=Audit&amp;DYN_ARGS=TRUE&amp;VAR:ID1=AIN&amp;VAR:RCODE=FIBCEBITDA&amp;VAR:SDATE=20090699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7__FDSAUDITLINK__" hidden="1">{"fdsup://IBCentral/FAT Viewer?action=UPDATE&amp;creator=factset&amp;DOC_NAME=fat:reuters_ltm_source_window.fat&amp;display_string=Audit&amp;DYN_ARGS=TRUE&amp;VAR:ID1=AIN&amp;VAR:RCODE=FIBCEBITDA&amp;VAR:SDATE=20090699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8__FDSAUDITLINK__" localSheetId="5" hidden="1">{"fdsup://IBCentral/FAT Viewer?action=UPDATE&amp;creator=factset&amp;DOC_NAME=fat:reuters_ltm_source_window.fat&amp;display_string=Audit&amp;DYN_ARGS=TRUE&amp;VAR:ID1=URI&amp;VAR:RCODE=FDSREVSTOTAL&amp;VAR:SDATE=20090699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8__FDSAUDITLINK__" localSheetId="0" hidden="1">{"fdsup://IBCentral/FAT Viewer?action=UPDATE&amp;creator=factset&amp;DOC_NAME=fat:reuters_ltm_source_window.fat&amp;display_string=Audit&amp;DYN_ARGS=TRUE&amp;VAR:ID1=URI&amp;VAR:RCODE=FDSREVSTOTAL&amp;VAR:SDATE=20090699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8__FDSAUDITLINK__" localSheetId="4" hidden="1">{"fdsup://IBCentral/FAT Viewer?action=UPDATE&amp;creator=factset&amp;DOC_NAME=fat:reuters_ltm_source_window.fat&amp;display_string=Audit&amp;DYN_ARGS=TRUE&amp;VAR:ID1=URI&amp;VAR:RCODE=FDSREVSTOTAL&amp;VAR:SDATE=20090699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Viewer?action=UPDATE&amp;creator=factset&amp;DOC_NAME=fat:reuters_ltm_source_window.fat&amp;display_string=Audit&amp;DYN_ARGS=TRUE&amp;VAR:ID1=URI&amp;VAR:RCODE=FDSREVSTOTAL&amp;VAR:SDATE=20090699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89__FDSAUDITLINK__" localSheetId="5" hidden="1">{"fdsup://IBCentral/FAT Viewer?action=UPDATE&amp;creator=factset&amp;DOC_NAME=fat:reuters_ltm_source_window.fat&amp;display_string=Audit&amp;DYN_ARGS=TRUE&amp;VAR:ID1=URI&amp;VAR:RCODE=FIBCEBITDA&amp;VAR:SDATE=20090699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9__FDSAUDITLINK__" localSheetId="0" hidden="1">{"fdsup://IBCentral/FAT Viewer?action=UPDATE&amp;creator=factset&amp;DOC_NAME=fat:reuters_ltm_source_window.fat&amp;display_string=Audit&amp;DYN_ARGS=TRUE&amp;VAR:ID1=URI&amp;VAR:RCODE=FIBCEBITDA&amp;VAR:SDATE=20090699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9__FDSAUDITLINK__" localSheetId="4" hidden="1">{"fdsup://IBCentral/FAT Viewer?action=UPDATE&amp;creator=factset&amp;DOC_NAME=fat:reuters_ltm_source_window.fat&amp;display_string=Audit&amp;DYN_ARGS=TRUE&amp;VAR:ID1=URI&amp;VAR:RCODE=FIBCEBITDA&amp;VAR:SDATE=20090699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89__FDSAUDITLINK__" hidden="1">{"fdsup://IBCentral/FAT Viewer?action=UPDATE&amp;creator=factset&amp;DOC_NAME=fat:reuters_ltm_source_window.fat&amp;display_string=Audit&amp;DYN_ARGS=TRUE&amp;VAR:ID1=URI&amp;VAR:RCODE=FIBCEBITDA&amp;VAR:SDATE=20090699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__123Graph_AChart_1V" localSheetId="0" hidden="1">#REF!</definedName>
    <definedName name="_89__123Graph_AChart_1V" hidden="1">#REF!</definedName>
    <definedName name="_89__FDSAUDITLINK__" localSheetId="5" hidden="1">{"fdsup://IBCentral/FAT Viewer?action=UPDATE&amp;creator=factset&amp;DOC_NAME=fat:reuters_ltm_source_window.fat&amp;display_string=Audit&amp;DYN_ARGS=TRUE&amp;VAR:ID1=GR&amp;VAR:RCODE=FIBCEBITDA&amp;VAR:SDATE=20090399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9__FDSAUDITLINK__" localSheetId="0" hidden="1">{"fdsup://IBCentral/FAT Viewer?action=UPDATE&amp;creator=factset&amp;DOC_NAME=fat:reuters_ltm_source_window.fat&amp;display_string=Audit&amp;DYN_ARGS=TRUE&amp;VAR:ID1=GR&amp;VAR:RCODE=FIBCEBITDA&amp;VAR:SDATE=20090399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9__FDSAUDITLINK__" localSheetId="4" hidden="1">{"fdsup://IBCentral/FAT Viewer?action=UPDATE&amp;creator=factset&amp;DOC_NAME=fat:reuters_ltm_source_window.fat&amp;display_string=Audit&amp;DYN_ARGS=TRUE&amp;VAR:ID1=GR&amp;VAR:RCODE=FIBCEBITDA&amp;VAR:SDATE=20090399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9__FDSAUDITLINK__" hidden="1">{"fdsup://IBCentral/FAT Viewer?action=UPDATE&amp;creator=factset&amp;DOC_NAME=fat:reuters_ltm_source_window.fat&amp;display_string=Audit&amp;DYN_ARGS=TRUE&amp;VAR:ID1=GR&amp;VAR:RCODE=FIBCEBITDA&amp;VAR:SDATE=20090399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890__FDSAUDITLINK__" localSheetId="5" hidden="1">{"fdsup://IBCentral/FAT Viewer?action=UPDATE&amp;creator=factset&amp;DOC_NAME=fat:reuters_ltm_source_window.fat&amp;display_string=Audit&amp;DYN_ARGS=TRUE&amp;VAR:ID1=HSII&amp;VAR:RCODE=FDSREVSTOTAL&amp;VAR:SDATE=20090699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90__FDSAUDITLINK__" localSheetId="0" hidden="1">{"fdsup://IBCentral/FAT Viewer?action=UPDATE&amp;creator=factset&amp;DOC_NAME=fat:reuters_ltm_source_window.fat&amp;display_string=Audit&amp;DYN_ARGS=TRUE&amp;VAR:ID1=HSII&amp;VAR:RCODE=FDSREVSTOTAL&amp;VAR:SDATE=20090699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90__FDSAUDITLINK__" localSheetId="4" hidden="1">{"fdsup://IBCentral/FAT Viewer?action=UPDATE&amp;creator=factset&amp;DOC_NAME=fat:reuters_ltm_source_window.fat&amp;display_string=Audit&amp;DYN_ARGS=TRUE&amp;VAR:ID1=HSII&amp;VAR:RCODE=FDSREVSTOTAL&amp;VAR:SDATE=20090699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90__FDSAUDITLINK__" hidden="1">{"fdsup://IBCentral/FAT Viewer?action=UPDATE&amp;creator=factset&amp;DOC_NAME=fat:reuters_ltm_source_window.fat&amp;display_string=Audit&amp;DYN_ARGS=TRUE&amp;VAR:ID1=HSII&amp;VAR:RCODE=FDSREVSTOTAL&amp;VAR:SDATE=20090699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91__FDSAUDITLINK__" localSheetId="5" hidden="1">{"fdsup://IBCentral/FAT Viewer?action=UPDATE&amp;creator=factset&amp;DOC_NAME=fat:reuters_ltm_source_window.fat&amp;display_string=Audit&amp;DYN_ARGS=TRUE&amp;VAR:ID1=HSII&amp;VAR:RCODE=FIBCEBITDA&amp;VAR:SDATE=20090699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91__FDSAUDITLINK__" localSheetId="0" hidden="1">{"fdsup://IBCentral/FAT Viewer?action=UPDATE&amp;creator=factset&amp;DOC_NAME=fat:reuters_ltm_source_window.fat&amp;display_string=Audit&amp;DYN_ARGS=TRUE&amp;VAR:ID1=HSII&amp;VAR:RCODE=FIBCEBITDA&amp;VAR:SDATE=20090699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91__FDSAUDITLINK__" localSheetId="4" hidden="1">{"fdsup://IBCentral/FAT Viewer?action=UPDATE&amp;creator=factset&amp;DOC_NAME=fat:reuters_ltm_source_window.fat&amp;display_string=Audit&amp;DYN_ARGS=TRUE&amp;VAR:ID1=HSII&amp;VAR:RCODE=FIBCEBITDA&amp;VAR:SDATE=20090699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91__FDSAUDITLINK__" hidden="1">{"fdsup://IBCentral/FAT Viewer?action=UPDATE&amp;creator=factset&amp;DOC_NAME=fat:reuters_ltm_source_window.fat&amp;display_string=Audit&amp;DYN_ARGS=TRUE&amp;VAR:ID1=HSII&amp;VAR:RCODE=FIBCEBITDA&amp;VAR:SDATE=20090699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92__FDSAUDITLINK__" localSheetId="5" hidden="1">{"fdsup://IBCentral/FAT Viewer?action=UPDATE&amp;creator=factset&amp;DOC_NAME=fat:reuters_ltm_source_window.fat&amp;display_string=Audit&amp;DYN_ARGS=TRUE&amp;VAR:ID1=FSS&amp;VAR:RCODE=FDSREVSTOTAL&amp;VAR:SDATE=20090699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2__FDSAUDITLINK__" localSheetId="0" hidden="1">{"fdsup://IBCentral/FAT Viewer?action=UPDATE&amp;creator=factset&amp;DOC_NAME=fat:reuters_ltm_source_window.fat&amp;display_string=Audit&amp;DYN_ARGS=TRUE&amp;VAR:ID1=FSS&amp;VAR:RCODE=FDSREVSTOTAL&amp;VAR:SDATE=20090699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2__FDSAUDITLINK__" localSheetId="4" hidden="1">{"fdsup://IBCentral/FAT Viewer?action=UPDATE&amp;creator=factset&amp;DOC_NAME=fat:reuters_ltm_source_window.fat&amp;display_string=Audit&amp;DYN_ARGS=TRUE&amp;VAR:ID1=FSS&amp;VAR:RCODE=FDSREVSTOTAL&amp;VAR:SDATE=20090699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2__FDSAUDITLINK__" hidden="1">{"fdsup://IBCentral/FAT Viewer?action=UPDATE&amp;creator=factset&amp;DOC_NAME=fat:reuters_ltm_source_window.fat&amp;display_string=Audit&amp;DYN_ARGS=TRUE&amp;VAR:ID1=FSS&amp;VAR:RCODE=FDSREVSTOTAL&amp;VAR:SDATE=20090699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3__FDSAUDITLINK__" localSheetId="5" hidden="1">{"fdsup://IBCentral/FAT Viewer?action=UPDATE&amp;creator=factset&amp;DOC_NAME=fat:reuters_ltm_source_window.fat&amp;display_string=Audit&amp;DYN_ARGS=TRUE&amp;VAR:ID1=FSS&amp;VAR:RCODE=FIBCEBITDA&amp;VAR:SDATE=20090699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3__FDSAUDITLINK__" localSheetId="0" hidden="1">{"fdsup://IBCentral/FAT Viewer?action=UPDATE&amp;creator=factset&amp;DOC_NAME=fat:reuters_ltm_source_window.fat&amp;display_string=Audit&amp;DYN_ARGS=TRUE&amp;VAR:ID1=FSS&amp;VAR:RCODE=FIBCEBITDA&amp;VAR:SDATE=20090699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3__FDSAUDITLINK__" localSheetId="4" hidden="1">{"fdsup://IBCentral/FAT Viewer?action=UPDATE&amp;creator=factset&amp;DOC_NAME=fat:reuters_ltm_source_window.fat&amp;display_string=Audit&amp;DYN_ARGS=TRUE&amp;VAR:ID1=FSS&amp;VAR:RCODE=FIBCEBITDA&amp;VAR:SDATE=20090699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3__FDSAUDITLINK__" hidden="1">{"fdsup://IBCentral/FAT Viewer?action=UPDATE&amp;creator=factset&amp;DOC_NAME=fat:reuters_ltm_source_window.fat&amp;display_string=Audit&amp;DYN_ARGS=TRUE&amp;VAR:ID1=FSS&amp;VAR:RCODE=FIBCEBITDA&amp;VAR:SDATE=20090699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4__FDSAUDITLINK__" localSheetId="5" hidden="1">{"fdsup://IBCentral/FAT Viewer?action=UPDATE&amp;creator=factset&amp;DOC_NAME=fat:reuters_ltm_source_window.fat&amp;display_string=Audit&amp;DYN_ARGS=TRUE&amp;VAR:ID1=APSG&amp;VAR:RCODE=FDSREVSTOTAL&amp;VAR:SDATE=20090499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94__FDSAUDITLINK__" localSheetId="0" hidden="1">{"fdsup://IBCentral/FAT Viewer?action=UPDATE&amp;creator=factset&amp;DOC_NAME=fat:reuters_ltm_source_window.fat&amp;display_string=Audit&amp;DYN_ARGS=TRUE&amp;VAR:ID1=APSG&amp;VAR:RCODE=FDSREVSTOTAL&amp;VAR:SDATE=20090499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94__FDSAUDITLINK__" localSheetId="4" hidden="1">{"fdsup://IBCentral/FAT Viewer?action=UPDATE&amp;creator=factset&amp;DOC_NAME=fat:reuters_ltm_source_window.fat&amp;display_string=Audit&amp;DYN_ARGS=TRUE&amp;VAR:ID1=APSG&amp;VAR:RCODE=FDSREVSTOTAL&amp;VAR:SDATE=20090499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94__FDSAUDITLINK__" hidden="1">{"fdsup://IBCentral/FAT Viewer?action=UPDATE&amp;creator=factset&amp;DOC_NAME=fat:reuters_ltm_source_window.fat&amp;display_string=Audit&amp;DYN_ARGS=TRUE&amp;VAR:ID1=APSG&amp;VAR:RCODE=FDSREVSTOTAL&amp;VAR:SDATE=20090499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895__FDSAUDITLINK__" localSheetId="5" hidden="1">{"fdsup://IBCentral/FAT Viewer?action=UPDATE&amp;creator=factset&amp;DOC_NAME=fat:reuters_ltm_source_window.fat&amp;display_string=Audit&amp;DYN_ARGS=TRUE&amp;VAR:ID1=APSG&amp;VAR:RCODE=FIBCEBITDA&amp;VAR:SDATE=20090499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95__FDSAUDITLINK__" localSheetId="0" hidden="1">{"fdsup://IBCentral/FAT Viewer?action=UPDATE&amp;creator=factset&amp;DOC_NAME=fat:reuters_ltm_source_window.fat&amp;display_string=Audit&amp;DYN_ARGS=TRUE&amp;VAR:ID1=APSG&amp;VAR:RCODE=FIBCEBITDA&amp;VAR:SDATE=20090499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95__FDSAUDITLINK__" localSheetId="4" hidden="1">{"fdsup://IBCentral/FAT Viewer?action=UPDATE&amp;creator=factset&amp;DOC_NAME=fat:reuters_ltm_source_window.fat&amp;display_string=Audit&amp;DYN_ARGS=TRUE&amp;VAR:ID1=APSG&amp;VAR:RCODE=FIBCEBITDA&amp;VAR:SDATE=20090499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95__FDSAUDITLINK__" hidden="1">{"fdsup://IBCentral/FAT Viewer?action=UPDATE&amp;creator=factset&amp;DOC_NAME=fat:reuters_ltm_source_window.fat&amp;display_string=Audit&amp;DYN_ARGS=TRUE&amp;VAR:ID1=APSG&amp;VAR:RCODE=FIBCEBITDA&amp;VAR:SDATE=20090499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896__FDSAUDITLINK__" localSheetId="5" hidden="1">{"fdsup://IBCentral/FAT Viewer?action=UPDATE&amp;creator=factset&amp;DOC_NAME=fat:reuters_ltm_source_window.fat&amp;display_string=Audit&amp;DYN_ARGS=TRUE&amp;VAR:ID1=VVI&amp;VAR:RCODE=FDSREVSTOTAL&amp;VAR:SDATE=20090399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6__FDSAUDITLINK__" localSheetId="0" hidden="1">{"fdsup://IBCentral/FAT Viewer?action=UPDATE&amp;creator=factset&amp;DOC_NAME=fat:reuters_ltm_source_window.fat&amp;display_string=Audit&amp;DYN_ARGS=TRUE&amp;VAR:ID1=VVI&amp;VAR:RCODE=FDSREVSTOTAL&amp;VAR:SDATE=20090399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6__FDSAUDITLINK__" localSheetId="4" hidden="1">{"fdsup://IBCentral/FAT Viewer?action=UPDATE&amp;creator=factset&amp;DOC_NAME=fat:reuters_ltm_source_window.fat&amp;display_string=Audit&amp;DYN_ARGS=TRUE&amp;VAR:ID1=VVI&amp;VAR:RCODE=FDSREVSTOTAL&amp;VAR:SDATE=20090399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6__FDSAUDITLINK__" hidden="1">{"fdsup://IBCentral/FAT Viewer?action=UPDATE&amp;creator=factset&amp;DOC_NAME=fat:reuters_ltm_source_window.fat&amp;display_string=Audit&amp;DYN_ARGS=TRUE&amp;VAR:ID1=VVI&amp;VAR:RCODE=FDSREVSTOTAL&amp;VAR:SDATE=20090399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7__FDSAUDITLINK__" localSheetId="5" hidden="1">{"fdsup://IBCentral/FAT Viewer?action=UPDATE&amp;creator=factset&amp;DOC_NAME=fat:reuters_ltm_source_window.fat&amp;display_string=Audit&amp;DYN_ARGS=TRUE&amp;VAR:ID1=VVI&amp;VAR:RCODE=FIBCEBITDA&amp;VAR:SDATE=20090399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7__FDSAUDITLINK__" localSheetId="0" hidden="1">{"fdsup://IBCentral/FAT Viewer?action=UPDATE&amp;creator=factset&amp;DOC_NAME=fat:reuters_ltm_source_window.fat&amp;display_string=Audit&amp;DYN_ARGS=TRUE&amp;VAR:ID1=VVI&amp;VAR:RCODE=FIBCEBITDA&amp;VAR:SDATE=20090399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7__FDSAUDITLINK__" localSheetId="4" hidden="1">{"fdsup://IBCentral/FAT Viewer?action=UPDATE&amp;creator=factset&amp;DOC_NAME=fat:reuters_ltm_source_window.fat&amp;display_string=Audit&amp;DYN_ARGS=TRUE&amp;VAR:ID1=VVI&amp;VAR:RCODE=FIBCEBITDA&amp;VAR:SDATE=20090399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7__FDSAUDITLINK__" hidden="1">{"fdsup://IBCentral/FAT Viewer?action=UPDATE&amp;creator=factset&amp;DOC_NAME=fat:reuters_ltm_source_window.fat&amp;display_string=Audit&amp;DYN_ARGS=TRUE&amp;VAR:ID1=VVI&amp;VAR:RCODE=FIBCEBITDA&amp;VAR:SDATE=20090399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8__FDSAUDITLINK__" localSheetId="5" hidden="1">{"fdsup://IBCentral/FAT Viewer?action=UPDATE&amp;creator=factset&amp;DOC_NAME=fat:reuters_ltm_source_window.fat&amp;display_string=Audit&amp;DYN_ARGS=TRUE&amp;VAR:ID1=LDL&amp;VAR:RCODE=FDSREVSTOTAL&amp;VAR:SDATE=20090699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8__FDSAUDITLINK__" localSheetId="0" hidden="1">{"fdsup://IBCentral/FAT Viewer?action=UPDATE&amp;creator=factset&amp;DOC_NAME=fat:reuters_ltm_source_window.fat&amp;display_string=Audit&amp;DYN_ARGS=TRUE&amp;VAR:ID1=LDL&amp;VAR:RCODE=FDSREVSTOTAL&amp;VAR:SDATE=20090699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8__FDSAUDITLINK__" localSheetId="4" hidden="1">{"fdsup://IBCentral/FAT Viewer?action=UPDATE&amp;creator=factset&amp;DOC_NAME=fat:reuters_ltm_source_window.fat&amp;display_string=Audit&amp;DYN_ARGS=TRUE&amp;VAR:ID1=LDL&amp;VAR:RCODE=FDSREVSTOTAL&amp;VAR:SDATE=20090699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8__FDSAUDITLINK__" hidden="1">{"fdsup://IBCentral/FAT Viewer?action=UPDATE&amp;creator=factset&amp;DOC_NAME=fat:reuters_ltm_source_window.fat&amp;display_string=Audit&amp;DYN_ARGS=TRUE&amp;VAR:ID1=LDL&amp;VAR:RCODE=FDSREVSTOTAL&amp;VAR:SDATE=20090699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899__FDSAUDITLINK__" localSheetId="5" hidden="1">{"fdsup://IBCentral/FAT Viewer?action=UPDATE&amp;creator=factset&amp;DOC_NAME=fat:reuters_ltm_source_window.fat&amp;display_string=Audit&amp;DYN_ARGS=TRUE&amp;VAR:ID1=LDL&amp;VAR:RCODE=FIBCEBITDA&amp;VAR:SDATE=20090699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9__FDSAUDITLINK__" localSheetId="0" hidden="1">{"fdsup://IBCentral/FAT Viewer?action=UPDATE&amp;creator=factset&amp;DOC_NAME=fat:reuters_ltm_source_window.fat&amp;display_string=Audit&amp;DYN_ARGS=TRUE&amp;VAR:ID1=LDL&amp;VAR:RCODE=FIBCEBITDA&amp;VAR:SDATE=20090699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9__FDSAUDITLINK__" localSheetId="4" hidden="1">{"fdsup://IBCentral/FAT Viewer?action=UPDATE&amp;creator=factset&amp;DOC_NAME=fat:reuters_ltm_source_window.fat&amp;display_string=Audit&amp;DYN_ARGS=TRUE&amp;VAR:ID1=LDL&amp;VAR:RCODE=FIBCEBITDA&amp;VAR:SDATE=20090699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99__FDSAUDITLINK__" hidden="1">{"fdsup://IBCentral/FAT Viewer?action=UPDATE&amp;creator=factset&amp;DOC_NAME=fat:reuters_ltm_source_window.fat&amp;display_string=Audit&amp;DYN_ARGS=TRUE&amp;VAR:ID1=LDL&amp;VAR:RCODE=FIBCEBITDA&amp;VAR:SDATE=20090699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8ÿ__Q" localSheetId="0">#REF!</definedName>
    <definedName name="_8ÿ__Q">#REF!</definedName>
    <definedName name="_8ÿ_0T" localSheetId="0">#REF!</definedName>
    <definedName name="_8ÿ_0T">#REF!</definedName>
    <definedName name="_9_._0Gross_inc_gro" localSheetId="0">#REF!</definedName>
    <definedName name="_9_._0Gross_inc_gro">#REF!</definedName>
    <definedName name="_9__123Graph_AChart_1A" localSheetId="0" hidden="1">#REF!</definedName>
    <definedName name="_9__123Graph_AChart_1A" hidden="1">#REF!</definedName>
    <definedName name="_9__FDSAUDITLINK__" localSheetId="5" hidden="1">{"fdsup://IBCentral/FAT Viewer?action=UPDATE&amp;creator=factset&amp;DOC_NAME=fat:reuters_ltm_source_window.fat&amp;display_string=Audit&amp;DYN_ARGS=TRUE&amp;VAR:ID1=TDY&amp;VAR:RCODE=FIBCEBITDA&amp;VAR:SDATE=20090399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__FDSAUDITLINK__" localSheetId="0" hidden="1">{"fdsup://IBCentral/FAT Viewer?action=UPDATE&amp;creator=factset&amp;DOC_NAME=fat:reuters_ltm_source_window.fat&amp;display_string=Audit&amp;DYN_ARGS=TRUE&amp;VAR:ID1=TDY&amp;VAR:RCODE=FIBCEBITDA&amp;VAR:SDATE=20090399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__FDSAUDITLINK__" localSheetId="4" hidden="1">{"fdsup://IBCentral/FAT Viewer?action=UPDATE&amp;creator=factset&amp;DOC_NAME=fat:reuters_ltm_source_window.fat&amp;display_string=Audit&amp;DYN_ARGS=TRUE&amp;VAR:ID1=TDY&amp;VAR:RCODE=FIBCEBITDA&amp;VAR:SDATE=20090399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__FDSAUDITLINK__" hidden="1">{"fdsup://IBCentral/FAT Viewer?action=UPDATE&amp;creator=factset&amp;DOC_NAME=fat:reuters_ltm_source_window.fat&amp;display_string=Audit&amp;DYN_ARGS=TRUE&amp;VAR:ID1=TDY&amp;VAR:RCODE=FIBCEBITDA&amp;VAR:SDATE=20090399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_0FAMERangeDJ_BALA" localSheetId="0">#REF!</definedName>
    <definedName name="_9_0FAMERangeDJ_BALA">#REF!</definedName>
    <definedName name="_9_3__Other_Segment_Reven" localSheetId="0">#REF!</definedName>
    <definedName name="_9_3__Other_Segment_Reven">#REF!</definedName>
    <definedName name="_90__FDSAUDITLINK__" localSheetId="5" hidden="1">{"fdsup://IBCentral/FAT Viewer?action=UPDATE&amp;creator=factset&amp;DOC_NAME=fat:reuters_ltm_source_window.fat&amp;display_string=Audit&amp;DYN_ARGS=TRUE&amp;VAR:ID1=JEC&amp;VAR:RCODE=FIBCEBITDA&amp;VAR:SDATE=20090399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__FDSAUDITLINK__" localSheetId="0" hidden="1">{"fdsup://IBCentral/FAT Viewer?action=UPDATE&amp;creator=factset&amp;DOC_NAME=fat:reuters_ltm_source_window.fat&amp;display_string=Audit&amp;DYN_ARGS=TRUE&amp;VAR:ID1=JEC&amp;VAR:RCODE=FIBCEBITDA&amp;VAR:SDATE=20090399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__FDSAUDITLINK__" localSheetId="4" hidden="1">{"fdsup://IBCentral/FAT Viewer?action=UPDATE&amp;creator=factset&amp;DOC_NAME=fat:reuters_ltm_source_window.fat&amp;display_string=Audit&amp;DYN_ARGS=TRUE&amp;VAR:ID1=JEC&amp;VAR:RCODE=FIBCEBITDA&amp;VAR:SDATE=20090399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__FDSAUDITLINK__" hidden="1">{"fdsup://IBCentral/FAT Viewer?action=UPDATE&amp;creator=factset&amp;DOC_NAME=fat:reuters_ltm_source_window.fat&amp;display_string=Audit&amp;DYN_ARGS=TRUE&amp;VAR:ID1=JEC&amp;VAR:RCODE=FIBCEBITDA&amp;VAR:SDATE=20090399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0__FDSAUDITLINK__" localSheetId="5" hidden="1">{"fdsup://IBCentral/FAT Viewer?action=UPDATE&amp;creator=factset&amp;DOC_NAME=fat:reuters_ltm_source_window.fat&amp;display_string=Audit&amp;DYN_ARGS=TRUE&amp;VAR:ID1=MAG&amp;VAR:RCODE=FDSREVSTOTAL&amp;VAR:SDATE=20090399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0__FDSAUDITLINK__" localSheetId="0" hidden="1">{"fdsup://IBCentral/FAT Viewer?action=UPDATE&amp;creator=factset&amp;DOC_NAME=fat:reuters_ltm_source_window.fat&amp;display_string=Audit&amp;DYN_ARGS=TRUE&amp;VAR:ID1=MAG&amp;VAR:RCODE=FDSREVSTOTAL&amp;VAR:SDATE=20090399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0__FDSAUDITLINK__" localSheetId="4" hidden="1">{"fdsup://IBCentral/FAT Viewer?action=UPDATE&amp;creator=factset&amp;DOC_NAME=fat:reuters_ltm_source_window.fat&amp;display_string=Audit&amp;DYN_ARGS=TRUE&amp;VAR:ID1=MAG&amp;VAR:RCODE=FDSREVSTOTAL&amp;VAR:SDATE=20090399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0__FDSAUDITLINK__" hidden="1">{"fdsup://IBCentral/FAT Viewer?action=UPDATE&amp;creator=factset&amp;DOC_NAME=fat:reuters_ltm_source_window.fat&amp;display_string=Audit&amp;DYN_ARGS=TRUE&amp;VAR:ID1=MAG&amp;VAR:RCODE=FDSREVSTOTAL&amp;VAR:SDATE=20090399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1__FDSAUDITLINK__" localSheetId="5" hidden="1">{"fdsup://IBCentral/FAT Viewer?action=UPDATE&amp;creator=factset&amp;DOC_NAME=fat:reuters_ltm_source_window.fat&amp;display_string=Audit&amp;DYN_ARGS=TRUE&amp;VAR:ID1=MAG&amp;VAR:RCODE=FIBCEBITDA&amp;VAR:SDATE=20090399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1__FDSAUDITLINK__" localSheetId="0" hidden="1">{"fdsup://IBCentral/FAT Viewer?action=UPDATE&amp;creator=factset&amp;DOC_NAME=fat:reuters_ltm_source_window.fat&amp;display_string=Audit&amp;DYN_ARGS=TRUE&amp;VAR:ID1=MAG&amp;VAR:RCODE=FIBCEBITDA&amp;VAR:SDATE=20090399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1__FDSAUDITLINK__" localSheetId="4" hidden="1">{"fdsup://IBCentral/FAT Viewer?action=UPDATE&amp;creator=factset&amp;DOC_NAME=fat:reuters_ltm_source_window.fat&amp;display_string=Audit&amp;DYN_ARGS=TRUE&amp;VAR:ID1=MAG&amp;VAR:RCODE=FIBCEBITDA&amp;VAR:SDATE=20090399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1__FDSAUDITLINK__" hidden="1">{"fdsup://IBCentral/FAT Viewer?action=UPDATE&amp;creator=factset&amp;DOC_NAME=fat:reuters_ltm_source_window.fat&amp;display_string=Audit&amp;DYN_ARGS=TRUE&amp;VAR:ID1=MAG&amp;VAR:RCODE=FIBCEBITDA&amp;VAR:SDATE=20090399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2__FDSAUDITLINK__" localSheetId="5" hidden="1">{"fdsup://IBCentral/FAT Viewer?action=UPDATE&amp;creator=factset&amp;DOC_NAME=fat:reuters_ltm_source_window.fat&amp;display_string=Audit&amp;DYN_ARGS=TRUE&amp;VAR:ID1=BNE&amp;VAR:RCODE=FDSREVSTOTAL&amp;VAR:SDATE=20090699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2__FDSAUDITLINK__" localSheetId="0" hidden="1">{"fdsup://IBCentral/FAT Viewer?action=UPDATE&amp;creator=factset&amp;DOC_NAME=fat:reuters_ltm_source_window.fat&amp;display_string=Audit&amp;DYN_ARGS=TRUE&amp;VAR:ID1=BNE&amp;VAR:RCODE=FDSREVSTOTAL&amp;VAR:SDATE=20090699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2__FDSAUDITLINK__" localSheetId="4" hidden="1">{"fdsup://IBCentral/FAT Viewer?action=UPDATE&amp;creator=factset&amp;DOC_NAME=fat:reuters_ltm_source_window.fat&amp;display_string=Audit&amp;DYN_ARGS=TRUE&amp;VAR:ID1=BNE&amp;VAR:RCODE=FDSREVSTOTAL&amp;VAR:SDATE=20090699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2__FDSAUDITLINK__" hidden="1">{"fdsup://IBCentral/FAT Viewer?action=UPDATE&amp;creator=factset&amp;DOC_NAME=fat:reuters_ltm_source_window.fat&amp;display_string=Audit&amp;DYN_ARGS=TRUE&amp;VAR:ID1=BNE&amp;VAR:RCODE=FDSREVSTOTAL&amp;VAR:SDATE=20090699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3__FDSAUDITLINK__" localSheetId="5" hidden="1">{"fdsup://IBCentral/FAT Viewer?action=UPDATE&amp;creator=factset&amp;DOC_NAME=fat:reuters_ltm_source_window.fat&amp;display_string=Audit&amp;DYN_ARGS=TRUE&amp;VAR:ID1=BNE&amp;VAR:RCODE=FIBCEBITDA&amp;VAR:SDATE=20090699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3__FDSAUDITLINK__" localSheetId="0" hidden="1">{"fdsup://IBCentral/FAT Viewer?action=UPDATE&amp;creator=factset&amp;DOC_NAME=fat:reuters_ltm_source_window.fat&amp;display_string=Audit&amp;DYN_ARGS=TRUE&amp;VAR:ID1=BNE&amp;VAR:RCODE=FIBCEBITDA&amp;VAR:SDATE=20090699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3__FDSAUDITLINK__" localSheetId="4" hidden="1">{"fdsup://IBCentral/FAT Viewer?action=UPDATE&amp;creator=factset&amp;DOC_NAME=fat:reuters_ltm_source_window.fat&amp;display_string=Audit&amp;DYN_ARGS=TRUE&amp;VAR:ID1=BNE&amp;VAR:RCODE=FIBCEBITDA&amp;VAR:SDATE=20090699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3__FDSAUDITLINK__" hidden="1">{"fdsup://IBCentral/FAT Viewer?action=UPDATE&amp;creator=factset&amp;DOC_NAME=fat:reuters_ltm_source_window.fat&amp;display_string=Audit&amp;DYN_ARGS=TRUE&amp;VAR:ID1=BNE&amp;VAR:RCODE=FIBCEBITDA&amp;VAR:SDATE=20090699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4__FDSAUDITLINK__" localSheetId="5" hidden="1">{"fdsup://IBCentral/FAT Viewer?action=UPDATE&amp;creator=factset&amp;DOC_NAME=fat:reuters_ltm_source_window.fat&amp;display_string=Audit&amp;DYN_ARGS=TRUE&amp;VAR:ID1=LAWS&amp;VAR:RCODE=FDSREVSTOTAL&amp;VAR:SDATE=20090699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04__FDSAUDITLINK__" localSheetId="0" hidden="1">{"fdsup://IBCentral/FAT Viewer?action=UPDATE&amp;creator=factset&amp;DOC_NAME=fat:reuters_ltm_source_window.fat&amp;display_string=Audit&amp;DYN_ARGS=TRUE&amp;VAR:ID1=LAWS&amp;VAR:RCODE=FDSREVSTOTAL&amp;VAR:SDATE=20090699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04__FDSAUDITLINK__" localSheetId="4" hidden="1">{"fdsup://IBCentral/FAT Viewer?action=UPDATE&amp;creator=factset&amp;DOC_NAME=fat:reuters_ltm_source_window.fat&amp;display_string=Audit&amp;DYN_ARGS=TRUE&amp;VAR:ID1=LAWS&amp;VAR:RCODE=FDSREVSTOTAL&amp;VAR:SDATE=20090699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04__FDSAUDITLINK__" hidden="1">{"fdsup://IBCentral/FAT Viewer?action=UPDATE&amp;creator=factset&amp;DOC_NAME=fat:reuters_ltm_source_window.fat&amp;display_string=Audit&amp;DYN_ARGS=TRUE&amp;VAR:ID1=LAWS&amp;VAR:RCODE=FDSREVSTOTAL&amp;VAR:SDATE=20090699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05__FDSAUDITLINK__" localSheetId="5" hidden="1">{"fdsup://IBCentral/FAT Viewer?action=UPDATE&amp;creator=factset&amp;DOC_NAME=fat:reuters_ltm_source_window.fat&amp;display_string=Audit&amp;DYN_ARGS=TRUE&amp;VAR:ID1=LAWS&amp;VAR:RCODE=FIBCEBITDA&amp;VAR:SDATE=20090699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05__FDSAUDITLINK__" localSheetId="0" hidden="1">{"fdsup://IBCentral/FAT Viewer?action=UPDATE&amp;creator=factset&amp;DOC_NAME=fat:reuters_ltm_source_window.fat&amp;display_string=Audit&amp;DYN_ARGS=TRUE&amp;VAR:ID1=LAWS&amp;VAR:RCODE=FIBCEBITDA&amp;VAR:SDATE=20090699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05__FDSAUDITLINK__" localSheetId="4" hidden="1">{"fdsup://IBCentral/FAT Viewer?action=UPDATE&amp;creator=factset&amp;DOC_NAME=fat:reuters_ltm_source_window.fat&amp;display_string=Audit&amp;DYN_ARGS=TRUE&amp;VAR:ID1=LAWS&amp;VAR:RCODE=FIBCEBITDA&amp;VAR:SDATE=20090699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Viewer?action=UPDATE&amp;creator=factset&amp;DOC_NAME=fat:reuters_ltm_source_window.fat&amp;display_string=Audit&amp;DYN_ARGS=TRUE&amp;VAR:ID1=LAWS&amp;VAR:RCODE=FIBCEBITDA&amp;VAR:SDATE=20090699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06__FDSAUDITLINK__" localSheetId="5" hidden="1">{"fdsup://IBCentral/FAT Viewer?action=UPDATE&amp;creator=factset&amp;DOC_NAME=fat:reuters_ltm_source_window.fat&amp;display_string=Audit&amp;DYN_ARGS=TRUE&amp;VAR:ID1=GY&amp;VAR:RCODE=FDSREVSTOTAL&amp;VAR:SDATE=20090599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06__FDSAUDITLINK__" localSheetId="0" hidden="1">{"fdsup://IBCentral/FAT Viewer?action=UPDATE&amp;creator=factset&amp;DOC_NAME=fat:reuters_ltm_source_window.fat&amp;display_string=Audit&amp;DYN_ARGS=TRUE&amp;VAR:ID1=GY&amp;VAR:RCODE=FDSREVSTOTAL&amp;VAR:SDATE=20090599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06__FDSAUDITLINK__" localSheetId="4" hidden="1">{"fdsup://IBCentral/FAT Viewer?action=UPDATE&amp;creator=factset&amp;DOC_NAME=fat:reuters_ltm_source_window.fat&amp;display_string=Audit&amp;DYN_ARGS=TRUE&amp;VAR:ID1=GY&amp;VAR:RCODE=FDSREVSTOTAL&amp;VAR:SDATE=20090599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06__FDSAUDITLINK__" hidden="1">{"fdsup://IBCentral/FAT Viewer?action=UPDATE&amp;creator=factset&amp;DOC_NAME=fat:reuters_ltm_source_window.fat&amp;display_string=Audit&amp;DYN_ARGS=TRUE&amp;VAR:ID1=GY&amp;VAR:RCODE=FDSREVSTOTAL&amp;VAR:SDATE=20090599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07__FDSAUDITLINK__" localSheetId="5" hidden="1">{"fdsup://IBCentral/FAT Viewer?action=UPDATE&amp;creator=factset&amp;DOC_NAME=fat:reuters_ltm_source_window.fat&amp;display_string=Audit&amp;DYN_ARGS=TRUE&amp;VAR:ID1=GY&amp;VAR:RCODE=FIBCEBITDA&amp;VAR:SDATE=20090599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07__FDSAUDITLINK__" localSheetId="0" hidden="1">{"fdsup://IBCentral/FAT Viewer?action=UPDATE&amp;creator=factset&amp;DOC_NAME=fat:reuters_ltm_source_window.fat&amp;display_string=Audit&amp;DYN_ARGS=TRUE&amp;VAR:ID1=GY&amp;VAR:RCODE=FIBCEBITDA&amp;VAR:SDATE=20090599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07__FDSAUDITLINK__" localSheetId="4" hidden="1">{"fdsup://IBCentral/FAT Viewer?action=UPDATE&amp;creator=factset&amp;DOC_NAME=fat:reuters_ltm_source_window.fat&amp;display_string=Audit&amp;DYN_ARGS=TRUE&amp;VAR:ID1=GY&amp;VAR:RCODE=FIBCEBITDA&amp;VAR:SDATE=20090599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07__FDSAUDITLINK__" hidden="1">{"fdsup://IBCentral/FAT Viewer?action=UPDATE&amp;creator=factset&amp;DOC_NAME=fat:reuters_ltm_source_window.fat&amp;display_string=Audit&amp;DYN_ARGS=TRUE&amp;VAR:ID1=GY&amp;VAR:RCODE=FIBCEBITDA&amp;VAR:SDATE=20090599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08__FDSAUDITLINK__" localSheetId="5" hidden="1">{"fdsup://IBCentral/FAT Viewer?action=UPDATE&amp;creator=factset&amp;DOC_NAME=fat:reuters_ltm_source_window.fat&amp;display_string=Audit&amp;DYN_ARGS=TRUE&amp;VAR:ID1=VOL&amp;VAR:RCODE=FDSREVSTOTAL&amp;VAR:SDATE=20090499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8__FDSAUDITLINK__" localSheetId="0" hidden="1">{"fdsup://IBCentral/FAT Viewer?action=UPDATE&amp;creator=factset&amp;DOC_NAME=fat:reuters_ltm_source_window.fat&amp;display_string=Audit&amp;DYN_ARGS=TRUE&amp;VAR:ID1=VOL&amp;VAR:RCODE=FDSREVSTOTAL&amp;VAR:SDATE=20090499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8__FDSAUDITLINK__" localSheetId="4" hidden="1">{"fdsup://IBCentral/FAT Viewer?action=UPDATE&amp;creator=factset&amp;DOC_NAME=fat:reuters_ltm_source_window.fat&amp;display_string=Audit&amp;DYN_ARGS=TRUE&amp;VAR:ID1=VOL&amp;VAR:RCODE=FDSREVSTOTAL&amp;VAR:SDATE=20090499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8__FDSAUDITLINK__" hidden="1">{"fdsup://IBCentral/FAT Viewer?action=UPDATE&amp;creator=factset&amp;DOC_NAME=fat:reuters_ltm_source_window.fat&amp;display_string=Audit&amp;DYN_ARGS=TRUE&amp;VAR:ID1=VOL&amp;VAR:RCODE=FDSREVSTOTAL&amp;VAR:SDATE=20090499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09__FDSAUDITLINK__" localSheetId="5" hidden="1">{"fdsup://IBCentral/FAT Viewer?action=UPDATE&amp;creator=factset&amp;DOC_NAME=fat:reuters_ltm_source_window.fat&amp;display_string=Audit&amp;DYN_ARGS=TRUE&amp;VAR:ID1=VOL&amp;VAR:RCODE=FIBCEBITDA&amp;VAR:SDATE=20090499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9__FDSAUDITLINK__" localSheetId="0" hidden="1">{"fdsup://IBCentral/FAT Viewer?action=UPDATE&amp;creator=factset&amp;DOC_NAME=fat:reuters_ltm_source_window.fat&amp;display_string=Audit&amp;DYN_ARGS=TRUE&amp;VAR:ID1=VOL&amp;VAR:RCODE=FIBCEBITDA&amp;VAR:SDATE=20090499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9__FDSAUDITLINK__" localSheetId="4" hidden="1">{"fdsup://IBCentral/FAT Viewer?action=UPDATE&amp;creator=factset&amp;DOC_NAME=fat:reuters_ltm_source_window.fat&amp;display_string=Audit&amp;DYN_ARGS=TRUE&amp;VAR:ID1=VOL&amp;VAR:RCODE=FIBCEBITDA&amp;VAR:SDATE=20090499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09__FDSAUDITLINK__" hidden="1">{"fdsup://IBCentral/FAT Viewer?action=UPDATE&amp;creator=factset&amp;DOC_NAME=fat:reuters_ltm_source_window.fat&amp;display_string=Audit&amp;DYN_ARGS=TRUE&amp;VAR:ID1=VOL&amp;VAR:RCODE=FIBCEBITDA&amp;VAR:SDATE=20090499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__123Graph_AChart_1W" localSheetId="0" hidden="1">#REF!</definedName>
    <definedName name="_91__123Graph_AChart_1W" hidden="1">#REF!</definedName>
    <definedName name="_91__FDSAUDITLINK__" localSheetId="5" hidden="1">{"fdsup://IBCentral/FAT Viewer?action=UPDATE&amp;creator=factset&amp;DOC_NAME=fat:reuters_ltm_source_window.fat&amp;display_string=Audit&amp;DYN_ARGS=TRUE&amp;VAR:ID1=DOV&amp;VAR:RCODE=FIBCEBITDA&amp;VAR:SDATE=20090399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__FDSAUDITLINK__" localSheetId="0" hidden="1">{"fdsup://IBCentral/FAT Viewer?action=UPDATE&amp;creator=factset&amp;DOC_NAME=fat:reuters_ltm_source_window.fat&amp;display_string=Audit&amp;DYN_ARGS=TRUE&amp;VAR:ID1=DOV&amp;VAR:RCODE=FIBCEBITDA&amp;VAR:SDATE=20090399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__FDSAUDITLINK__" localSheetId="4" hidden="1">{"fdsup://IBCentral/FAT Viewer?action=UPDATE&amp;creator=factset&amp;DOC_NAME=fat:reuters_ltm_source_window.fat&amp;display_string=Audit&amp;DYN_ARGS=TRUE&amp;VAR:ID1=DOV&amp;VAR:RCODE=FIBCEBITDA&amp;VAR:SDATE=20090399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__FDSAUDITLINK__" hidden="1">{"fdsup://IBCentral/FAT Viewer?action=UPDATE&amp;creator=factset&amp;DOC_NAME=fat:reuters_ltm_source_window.fat&amp;display_string=Audit&amp;DYN_ARGS=TRUE&amp;VAR:ID1=DOV&amp;VAR:RCODE=FIBCEBITDA&amp;VAR:SDATE=20090399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0__FDSAUDITLINK__" localSheetId="5" hidden="1">{"fdsup://IBCentral/FAT Viewer?action=UPDATE&amp;creator=factset&amp;DOC_NAME=fat:reuters_ltm_source_window.fat&amp;display_string=Audit&amp;DYN_ARGS=TRUE&amp;VAR:ID1=VICR&amp;VAR:RCODE=FDSREVSTOTAL&amp;VAR:SDATE=20090699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0__FDSAUDITLINK__" localSheetId="0" hidden="1">{"fdsup://IBCentral/FAT Viewer?action=UPDATE&amp;creator=factset&amp;DOC_NAME=fat:reuters_ltm_source_window.fat&amp;display_string=Audit&amp;DYN_ARGS=TRUE&amp;VAR:ID1=VICR&amp;VAR:RCODE=FDSREVSTOTAL&amp;VAR:SDATE=20090699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0__FDSAUDITLINK__" localSheetId="4" hidden="1">{"fdsup://IBCentral/FAT Viewer?action=UPDATE&amp;creator=factset&amp;DOC_NAME=fat:reuters_ltm_source_window.fat&amp;display_string=Audit&amp;DYN_ARGS=TRUE&amp;VAR:ID1=VICR&amp;VAR:RCODE=FDSREVSTOTAL&amp;VAR:SDATE=20090699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0__FDSAUDITLINK__" hidden="1">{"fdsup://IBCentral/FAT Viewer?action=UPDATE&amp;creator=factset&amp;DOC_NAME=fat:reuters_ltm_source_window.fat&amp;display_string=Audit&amp;DYN_ARGS=TRUE&amp;VAR:ID1=VICR&amp;VAR:RCODE=FDSREVSTOTAL&amp;VAR:SDATE=20090699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1__FDSAUDITLINK__" localSheetId="5" hidden="1">{"fdsup://IBCentral/FAT Viewer?action=UPDATE&amp;creator=factset&amp;DOC_NAME=fat:reuters_ltm_source_window.fat&amp;display_string=Audit&amp;DYN_ARGS=TRUE&amp;VAR:ID1=VICR&amp;VAR:RCODE=FIBCEBITDA&amp;VAR:SDATE=20090699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1__FDSAUDITLINK__" localSheetId="0" hidden="1">{"fdsup://IBCentral/FAT Viewer?action=UPDATE&amp;creator=factset&amp;DOC_NAME=fat:reuters_ltm_source_window.fat&amp;display_string=Audit&amp;DYN_ARGS=TRUE&amp;VAR:ID1=VICR&amp;VAR:RCODE=FIBCEBITDA&amp;VAR:SDATE=20090699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1__FDSAUDITLINK__" localSheetId="4" hidden="1">{"fdsup://IBCentral/FAT Viewer?action=UPDATE&amp;creator=factset&amp;DOC_NAME=fat:reuters_ltm_source_window.fat&amp;display_string=Audit&amp;DYN_ARGS=TRUE&amp;VAR:ID1=VICR&amp;VAR:RCODE=FIBCEBITDA&amp;VAR:SDATE=20090699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1__FDSAUDITLINK__" hidden="1">{"fdsup://IBCentral/FAT Viewer?action=UPDATE&amp;creator=factset&amp;DOC_NAME=fat:reuters_ltm_source_window.fat&amp;display_string=Audit&amp;DYN_ARGS=TRUE&amp;VAR:ID1=VICR&amp;VAR:RCODE=FIBCEBITDA&amp;VAR:SDATE=20090699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2__FDSAUDITLINK__" localSheetId="5" hidden="1">{"fdsup://IBCentral/FAT Viewer?action=UPDATE&amp;creator=factset&amp;DOC_NAME=fat:reuters_ltm_source_window.fat&amp;display_string=Audit&amp;DYN_ARGS=TRUE&amp;VAR:ID1=ATAC&amp;VAR:RCODE=FDSREVSTOTAL&amp;VAR:SDATE=20090699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2__FDSAUDITLINK__" localSheetId="0" hidden="1">{"fdsup://IBCentral/FAT Viewer?action=UPDATE&amp;creator=factset&amp;DOC_NAME=fat:reuters_ltm_source_window.fat&amp;display_string=Audit&amp;DYN_ARGS=TRUE&amp;VAR:ID1=ATAC&amp;VAR:RCODE=FDSREVSTOTAL&amp;VAR:SDATE=20090699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2__FDSAUDITLINK__" localSheetId="4" hidden="1">{"fdsup://IBCentral/FAT Viewer?action=UPDATE&amp;creator=factset&amp;DOC_NAME=fat:reuters_ltm_source_window.fat&amp;display_string=Audit&amp;DYN_ARGS=TRUE&amp;VAR:ID1=ATAC&amp;VAR:RCODE=FDSREVSTOTAL&amp;VAR:SDATE=20090699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2__FDSAUDITLINK__" hidden="1">{"fdsup://IBCentral/FAT Viewer?action=UPDATE&amp;creator=factset&amp;DOC_NAME=fat:reuters_ltm_source_window.fat&amp;display_string=Audit&amp;DYN_ARGS=TRUE&amp;VAR:ID1=ATAC&amp;VAR:RCODE=FDSREVSTOTAL&amp;VAR:SDATE=20090699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3__FDSAUDITLINK__" localSheetId="5" hidden="1">{"fdsup://IBCentral/FAT Viewer?action=UPDATE&amp;creator=factset&amp;DOC_NAME=fat:reuters_ltm_source_window.fat&amp;display_string=Audit&amp;DYN_ARGS=TRUE&amp;VAR:ID1=ATAC&amp;VAR:RCODE=FIBCEBITDA&amp;VAR:SDATE=20090699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3__FDSAUDITLINK__" localSheetId="0" hidden="1">{"fdsup://IBCentral/FAT Viewer?action=UPDATE&amp;creator=factset&amp;DOC_NAME=fat:reuters_ltm_source_window.fat&amp;display_string=Audit&amp;DYN_ARGS=TRUE&amp;VAR:ID1=ATAC&amp;VAR:RCODE=FIBCEBITDA&amp;VAR:SDATE=20090699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3__FDSAUDITLINK__" localSheetId="4" hidden="1">{"fdsup://IBCentral/FAT Viewer?action=UPDATE&amp;creator=factset&amp;DOC_NAME=fat:reuters_ltm_source_window.fat&amp;display_string=Audit&amp;DYN_ARGS=TRUE&amp;VAR:ID1=ATAC&amp;VAR:RCODE=FIBCEBITDA&amp;VAR:SDATE=20090699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3__FDSAUDITLINK__" hidden="1">{"fdsup://IBCentral/FAT Viewer?action=UPDATE&amp;creator=factset&amp;DOC_NAME=fat:reuters_ltm_source_window.fat&amp;display_string=Audit&amp;DYN_ARGS=TRUE&amp;VAR:ID1=ATAC&amp;VAR:RCODE=FIBCEBITDA&amp;VAR:SDATE=20090699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4__FDSAUDITLINK__" localSheetId="5" hidden="1">{"fdsup://IBCentral/FAT Viewer?action=UPDATE&amp;creator=factset&amp;DOC_NAME=fat:reuters_ltm_source_window.fat&amp;display_string=Audit&amp;DYN_ARGS=TRUE&amp;VAR:ID1=VVI&amp;VAR:RCODE=FDSREVSTOTAL&amp;VAR:SDATE=20090699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14__FDSAUDITLINK__" localSheetId="0" hidden="1">{"fdsup://IBCentral/FAT Viewer?action=UPDATE&amp;creator=factset&amp;DOC_NAME=fat:reuters_ltm_source_window.fat&amp;display_string=Audit&amp;DYN_ARGS=TRUE&amp;VAR:ID1=VVI&amp;VAR:RCODE=FDSREVSTOTAL&amp;VAR:SDATE=20090699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14__FDSAUDITLINK__" localSheetId="4" hidden="1">{"fdsup://IBCentral/FAT Viewer?action=UPDATE&amp;creator=factset&amp;DOC_NAME=fat:reuters_ltm_source_window.fat&amp;display_string=Audit&amp;DYN_ARGS=TRUE&amp;VAR:ID1=VVI&amp;VAR:RCODE=FDSREVSTOTAL&amp;VAR:SDATE=20090699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14__FDSAUDITLINK__" hidden="1">{"fdsup://IBCentral/FAT Viewer?action=UPDATE&amp;creator=factset&amp;DOC_NAME=fat:reuters_ltm_source_window.fat&amp;display_string=Audit&amp;DYN_ARGS=TRUE&amp;VAR:ID1=VVI&amp;VAR:RCODE=FDSREVSTOTAL&amp;VAR:SDATE=20090699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15__FDSAUDITLINK__" localSheetId="5" hidden="1">{"fdsup://IBCentral/FAT Viewer?action=UPDATE&amp;creator=factset&amp;DOC_NAME=fat:reuters_ltm_source_window.fat&amp;display_string=Audit&amp;DYN_ARGS=TRUE&amp;VAR:ID1=VVI&amp;VAR:RCODE=FIBCEBITDA&amp;VAR:SDATE=20090699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5__FDSAUDITLINK__" localSheetId="0" hidden="1">{"fdsup://IBCentral/FAT Viewer?action=UPDATE&amp;creator=factset&amp;DOC_NAME=fat:reuters_ltm_source_window.fat&amp;display_string=Audit&amp;DYN_ARGS=TRUE&amp;VAR:ID1=VVI&amp;VAR:RCODE=FIBCEBITDA&amp;VAR:SDATE=20090699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5__FDSAUDITLINK__" localSheetId="4" hidden="1">{"fdsup://IBCentral/FAT Viewer?action=UPDATE&amp;creator=factset&amp;DOC_NAME=fat:reuters_ltm_source_window.fat&amp;display_string=Audit&amp;DYN_ARGS=TRUE&amp;VAR:ID1=VVI&amp;VAR:RCODE=FIBCEBITDA&amp;VAR:SDATE=20090699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5__FDSAUDITLINK__" hidden="1">{"fdsup://IBCentral/FAT Viewer?action=UPDATE&amp;creator=factset&amp;DOC_NAME=fat:reuters_ltm_source_window.fat&amp;display_string=Audit&amp;DYN_ARGS=TRUE&amp;VAR:ID1=VVI&amp;VAR:RCODE=FIBCEBITDA&amp;VAR:SDATE=20090699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6__FDSAUDITLINK__" localSheetId="5" hidden="1">{"fdsup://IBCentral/FAT Viewer?action=UPDATE&amp;creator=factset&amp;DOC_NAME=fat:reuters_ltm_source_window.fat&amp;display_string=Audit&amp;DYN_ARGS=TRUE&amp;VAR:ID1=LUV&amp;VAR:RCODE=FDSREVSTOTAL&amp;VAR:SDATE=20090699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16__FDSAUDITLINK__" localSheetId="0" hidden="1">{"fdsup://IBCentral/FAT Viewer?action=UPDATE&amp;creator=factset&amp;DOC_NAME=fat:reuters_ltm_source_window.fat&amp;display_string=Audit&amp;DYN_ARGS=TRUE&amp;VAR:ID1=LUV&amp;VAR:RCODE=FDSREVSTOTAL&amp;VAR:SDATE=20090699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16__FDSAUDITLINK__" localSheetId="4" hidden="1">{"fdsup://IBCentral/FAT Viewer?action=UPDATE&amp;creator=factset&amp;DOC_NAME=fat:reuters_ltm_source_window.fat&amp;display_string=Audit&amp;DYN_ARGS=TRUE&amp;VAR:ID1=LUV&amp;VAR:RCODE=FDSREVSTOTAL&amp;VAR:SDATE=20090699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16__FDSAUDITLINK__" hidden="1">{"fdsup://IBCentral/FAT Viewer?action=UPDATE&amp;creator=factset&amp;DOC_NAME=fat:reuters_ltm_source_window.fat&amp;display_string=Audit&amp;DYN_ARGS=TRUE&amp;VAR:ID1=LUV&amp;VAR:RCODE=FDSREVSTOTAL&amp;VAR:SDATE=20090699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17__FDSAUDITLINK__" localSheetId="5" hidden="1">{"fdsup://IBCentral/FAT Viewer?action=UPDATE&amp;creator=factset&amp;DOC_NAME=fat:reuters_ltm_source_window.fat&amp;display_string=Audit&amp;DYN_ARGS=TRUE&amp;VAR:ID1=LUV&amp;VAR:RCODE=FIBCEBITDA&amp;VAR:SDATE=20090699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7__FDSAUDITLINK__" localSheetId="0" hidden="1">{"fdsup://IBCentral/FAT Viewer?action=UPDATE&amp;creator=factset&amp;DOC_NAME=fat:reuters_ltm_source_window.fat&amp;display_string=Audit&amp;DYN_ARGS=TRUE&amp;VAR:ID1=LUV&amp;VAR:RCODE=FIBCEBITDA&amp;VAR:SDATE=20090699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7__FDSAUDITLINK__" localSheetId="4" hidden="1">{"fdsup://IBCentral/FAT Viewer?action=UPDATE&amp;creator=factset&amp;DOC_NAME=fat:reuters_ltm_source_window.fat&amp;display_string=Audit&amp;DYN_ARGS=TRUE&amp;VAR:ID1=LUV&amp;VAR:RCODE=FIBCEBITDA&amp;VAR:SDATE=20090699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7__FDSAUDITLINK__" hidden="1">{"fdsup://IBCentral/FAT Viewer?action=UPDATE&amp;creator=factset&amp;DOC_NAME=fat:reuters_ltm_source_window.fat&amp;display_string=Audit&amp;DYN_ARGS=TRUE&amp;VAR:ID1=LUV&amp;VAR:RCODE=FIBCEBITDA&amp;VAR:SDATE=20090699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18__FDSAUDITLINK__" localSheetId="5" hidden="1">{"fdsup://IBCentral/FAT Viewer?action=UPDATE&amp;creator=factset&amp;DOC_NAME=fat:reuters_ltm_source_window.fat&amp;display_string=Audit&amp;DYN_ARGS=TRUE&amp;VAR:ID1=JBLU&amp;VAR:RCODE=FDSREVSTOTAL&amp;VAR:SDATE=20090699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8__FDSAUDITLINK__" localSheetId="0" hidden="1">{"fdsup://IBCentral/FAT Viewer?action=UPDATE&amp;creator=factset&amp;DOC_NAME=fat:reuters_ltm_source_window.fat&amp;display_string=Audit&amp;DYN_ARGS=TRUE&amp;VAR:ID1=JBLU&amp;VAR:RCODE=FDSREVSTOTAL&amp;VAR:SDATE=20090699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8__FDSAUDITLINK__" localSheetId="4" hidden="1">{"fdsup://IBCentral/FAT Viewer?action=UPDATE&amp;creator=factset&amp;DOC_NAME=fat:reuters_ltm_source_window.fat&amp;display_string=Audit&amp;DYN_ARGS=TRUE&amp;VAR:ID1=JBLU&amp;VAR:RCODE=FDSREVSTOTAL&amp;VAR:SDATE=20090699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8__FDSAUDITLINK__" hidden="1">{"fdsup://IBCentral/FAT Viewer?action=UPDATE&amp;creator=factset&amp;DOC_NAME=fat:reuters_ltm_source_window.fat&amp;display_string=Audit&amp;DYN_ARGS=TRUE&amp;VAR:ID1=JBLU&amp;VAR:RCODE=FDSREVSTOTAL&amp;VAR:SDATE=20090699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19__FDSAUDITLINK__" localSheetId="5" hidden="1">{"fdsup://IBCentral/FAT Viewer?action=UPDATE&amp;creator=factset&amp;DOC_NAME=fat:reuters_ltm_source_window.fat&amp;display_string=Audit&amp;DYN_ARGS=TRUE&amp;VAR:ID1=JBLU&amp;VAR:RCODE=FIBCEBITDA&amp;VAR:SDATE=20090699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9__FDSAUDITLINK__" localSheetId="0" hidden="1">{"fdsup://IBCentral/FAT Viewer?action=UPDATE&amp;creator=factset&amp;DOC_NAME=fat:reuters_ltm_source_window.fat&amp;display_string=Audit&amp;DYN_ARGS=TRUE&amp;VAR:ID1=JBLU&amp;VAR:RCODE=FIBCEBITDA&amp;VAR:SDATE=20090699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9__FDSAUDITLINK__" localSheetId="4" hidden="1">{"fdsup://IBCentral/FAT Viewer?action=UPDATE&amp;creator=factset&amp;DOC_NAME=fat:reuters_ltm_source_window.fat&amp;display_string=Audit&amp;DYN_ARGS=TRUE&amp;VAR:ID1=JBLU&amp;VAR:RCODE=FIBCEBITDA&amp;VAR:SDATE=20090699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19__FDSAUDITLINK__" hidden="1">{"fdsup://IBCentral/FAT Viewer?action=UPDATE&amp;creator=factset&amp;DOC_NAME=fat:reuters_ltm_source_window.fat&amp;display_string=Audit&amp;DYN_ARGS=TRUE&amp;VAR:ID1=JBLU&amp;VAR:RCODE=FIBCEBITDA&amp;VAR:SDATE=20090699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2__FDSAUDITLINK__" localSheetId="5" hidden="1">{"fdsup://IBCentral/FAT Viewer?action=UPDATE&amp;creator=factset&amp;DOC_NAME=fat:reuters_ltm_source_window.fat&amp;display_string=Audit&amp;DYN_ARGS=TRUE&amp;VAR:ID1=COL&amp;VAR:RCODE=FIBCEBITDA&amp;VAR:SDATE=20090399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__FDSAUDITLINK__" localSheetId="0" hidden="1">{"fdsup://IBCentral/FAT Viewer?action=UPDATE&amp;creator=factset&amp;DOC_NAME=fat:reuters_ltm_source_window.fat&amp;display_string=Audit&amp;DYN_ARGS=TRUE&amp;VAR:ID1=COL&amp;VAR:RCODE=FIBCEBITDA&amp;VAR:SDATE=20090399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__FDSAUDITLINK__" localSheetId="4" hidden="1">{"fdsup://IBCentral/FAT Viewer?action=UPDATE&amp;creator=factset&amp;DOC_NAME=fat:reuters_ltm_source_window.fat&amp;display_string=Audit&amp;DYN_ARGS=TRUE&amp;VAR:ID1=COL&amp;VAR:RCODE=FIBCEBITDA&amp;VAR:SDATE=20090399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__FDSAUDITLINK__" hidden="1">{"fdsup://IBCentral/FAT Viewer?action=UPDATE&amp;creator=factset&amp;DOC_NAME=fat:reuters_ltm_source_window.fat&amp;display_string=Audit&amp;DYN_ARGS=TRUE&amp;VAR:ID1=COL&amp;VAR:RCODE=FIBCEBITDA&amp;VAR:SDATE=20090399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0__FDSAUDITLINK__" localSheetId="5" hidden="1">{"fdsup://IBCentral/FAT Viewer?action=UPDATE&amp;creator=factset&amp;DOC_NAME=fat:reuters_ltm_source_window.fat&amp;display_string=Audit&amp;DYN_ARGS=TRUE&amp;VAR:ID1=AAI&amp;VAR:RCODE=FDSREVSTOTAL&amp;VAR:SDATE=20090699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0__FDSAUDITLINK__" localSheetId="0" hidden="1">{"fdsup://IBCentral/FAT Viewer?action=UPDATE&amp;creator=factset&amp;DOC_NAME=fat:reuters_ltm_source_window.fat&amp;display_string=Audit&amp;DYN_ARGS=TRUE&amp;VAR:ID1=AAI&amp;VAR:RCODE=FDSREVSTOTAL&amp;VAR:SDATE=20090699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0__FDSAUDITLINK__" localSheetId="4" hidden="1">{"fdsup://IBCentral/FAT Viewer?action=UPDATE&amp;creator=factset&amp;DOC_NAME=fat:reuters_ltm_source_window.fat&amp;display_string=Audit&amp;DYN_ARGS=TRUE&amp;VAR:ID1=AAI&amp;VAR:RCODE=FDSREVSTOTAL&amp;VAR:SDATE=20090699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0__FDSAUDITLINK__" hidden="1">{"fdsup://IBCentral/FAT Viewer?action=UPDATE&amp;creator=factset&amp;DOC_NAME=fat:reuters_ltm_source_window.fat&amp;display_string=Audit&amp;DYN_ARGS=TRUE&amp;VAR:ID1=AAI&amp;VAR:RCODE=FDSREVSTOTAL&amp;VAR:SDATE=20090699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1__FDSAUDITLINK__" localSheetId="5" hidden="1">{"fdsup://IBCentral/FAT Viewer?action=UPDATE&amp;creator=factset&amp;DOC_NAME=fat:reuters_ltm_source_window.fat&amp;display_string=Audit&amp;DYN_ARGS=TRUE&amp;VAR:ID1=AAI&amp;VAR:RCODE=FIBCEBITDA&amp;VAR:SDATE=20090699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1__FDSAUDITLINK__" localSheetId="0" hidden="1">{"fdsup://IBCentral/FAT Viewer?action=UPDATE&amp;creator=factset&amp;DOC_NAME=fat:reuters_ltm_source_window.fat&amp;display_string=Audit&amp;DYN_ARGS=TRUE&amp;VAR:ID1=AAI&amp;VAR:RCODE=FIBCEBITDA&amp;VAR:SDATE=20090699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1__FDSAUDITLINK__" localSheetId="4" hidden="1">{"fdsup://IBCentral/FAT Viewer?action=UPDATE&amp;creator=factset&amp;DOC_NAME=fat:reuters_ltm_source_window.fat&amp;display_string=Audit&amp;DYN_ARGS=TRUE&amp;VAR:ID1=AAI&amp;VAR:RCODE=FIBCEBITDA&amp;VAR:SDATE=20090699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1__FDSAUDITLINK__" hidden="1">{"fdsup://IBCentral/FAT Viewer?action=UPDATE&amp;creator=factset&amp;DOC_NAME=fat:reuters_ltm_source_window.fat&amp;display_string=Audit&amp;DYN_ARGS=TRUE&amp;VAR:ID1=AAI&amp;VAR:RCODE=FIBCEBITDA&amp;VAR:SDATE=20090699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2__FDSAUDITLINK__" localSheetId="5" hidden="1">{"fdsup://IBCentral/FAT Viewer?action=UPDATE&amp;creator=factset&amp;DOC_NAME=fat:reuters_ltm_source_window.fat&amp;display_string=Audit&amp;DYN_ARGS=TRUE&amp;VAR:ID1=ALK&amp;VAR:RCODE=FDSREVSTOTAL&amp;VAR:SDATE=20090699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2__FDSAUDITLINK__" localSheetId="0" hidden="1">{"fdsup://IBCentral/FAT Viewer?action=UPDATE&amp;creator=factset&amp;DOC_NAME=fat:reuters_ltm_source_window.fat&amp;display_string=Audit&amp;DYN_ARGS=TRUE&amp;VAR:ID1=ALK&amp;VAR:RCODE=FDSREVSTOTAL&amp;VAR:SDATE=20090699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2__FDSAUDITLINK__" localSheetId="4" hidden="1">{"fdsup://IBCentral/FAT Viewer?action=UPDATE&amp;creator=factset&amp;DOC_NAME=fat:reuters_ltm_source_window.fat&amp;display_string=Audit&amp;DYN_ARGS=TRUE&amp;VAR:ID1=ALK&amp;VAR:RCODE=FDSREVSTOTAL&amp;VAR:SDATE=20090699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Viewer?action=UPDATE&amp;creator=factset&amp;DOC_NAME=fat:reuters_ltm_source_window.fat&amp;display_string=Audit&amp;DYN_ARGS=TRUE&amp;VAR:ID1=ALK&amp;VAR:RCODE=FDSREVSTOTAL&amp;VAR:SDATE=20090699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3__FDSAUDITLINK__" localSheetId="5" hidden="1">{"fdsup://IBCentral/FAT Viewer?action=UPDATE&amp;creator=factset&amp;DOC_NAME=fat:reuters_ltm_source_window.fat&amp;display_string=Audit&amp;DYN_ARGS=TRUE&amp;VAR:ID1=ALK&amp;VAR:RCODE=FIBCEBITDA&amp;VAR:SDATE=20090699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3__FDSAUDITLINK__" localSheetId="0" hidden="1">{"fdsup://IBCentral/FAT Viewer?action=UPDATE&amp;creator=factset&amp;DOC_NAME=fat:reuters_ltm_source_window.fat&amp;display_string=Audit&amp;DYN_ARGS=TRUE&amp;VAR:ID1=ALK&amp;VAR:RCODE=FIBCEBITDA&amp;VAR:SDATE=20090699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3__FDSAUDITLINK__" localSheetId="4" hidden="1">{"fdsup://IBCentral/FAT Viewer?action=UPDATE&amp;creator=factset&amp;DOC_NAME=fat:reuters_ltm_source_window.fat&amp;display_string=Audit&amp;DYN_ARGS=TRUE&amp;VAR:ID1=ALK&amp;VAR:RCODE=FIBCEBITDA&amp;VAR:SDATE=20090699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3__FDSAUDITLINK__" hidden="1">{"fdsup://IBCentral/FAT Viewer?action=UPDATE&amp;creator=factset&amp;DOC_NAME=fat:reuters_ltm_source_window.fat&amp;display_string=Audit&amp;DYN_ARGS=TRUE&amp;VAR:ID1=ALK&amp;VAR:RCODE=FIBCEBITDA&amp;VAR:SDATE=20090699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4__FDSAUDITLINK__" localSheetId="5" hidden="1">{"fdsup://IBCentral/FAT Viewer?action=UPDATE&amp;creator=factset&amp;DOC_NAME=fat:reuters_ltm_source_window.fat&amp;display_string=Audit&amp;DYN_ARGS=TRUE&amp;VAR:ID1=CAL&amp;VAR:RCODE=FDSREVSTOTAL&amp;VAR:SDATE=20090699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4__FDSAUDITLINK__" localSheetId="0" hidden="1">{"fdsup://IBCentral/FAT Viewer?action=UPDATE&amp;creator=factset&amp;DOC_NAME=fat:reuters_ltm_source_window.fat&amp;display_string=Audit&amp;DYN_ARGS=TRUE&amp;VAR:ID1=CAL&amp;VAR:RCODE=FDSREVSTOTAL&amp;VAR:SDATE=20090699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4__FDSAUDITLINK__" localSheetId="4" hidden="1">{"fdsup://IBCentral/FAT Viewer?action=UPDATE&amp;creator=factset&amp;DOC_NAME=fat:reuters_ltm_source_window.fat&amp;display_string=Audit&amp;DYN_ARGS=TRUE&amp;VAR:ID1=CAL&amp;VAR:RCODE=FDSREVSTOTAL&amp;VAR:SDATE=20090699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4__FDSAUDITLINK__" hidden="1">{"fdsup://IBCentral/FAT Viewer?action=UPDATE&amp;creator=factset&amp;DOC_NAME=fat:reuters_ltm_source_window.fat&amp;display_string=Audit&amp;DYN_ARGS=TRUE&amp;VAR:ID1=CAL&amp;VAR:RCODE=FDSREVSTOTAL&amp;VAR:SDATE=20090699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5__FDSAUDITLINK__" localSheetId="5" hidden="1">{"fdsup://IBCentral/FAT Viewer?action=UPDATE&amp;creator=factset&amp;DOC_NAME=fat:reuters_ltm_source_window.fat&amp;display_string=Audit&amp;DYN_ARGS=TRUE&amp;VAR:ID1=CAL&amp;VAR:RCODE=FIBCEBITDA&amp;VAR:SDATE=20090699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5__FDSAUDITLINK__" localSheetId="0" hidden="1">{"fdsup://IBCentral/FAT Viewer?action=UPDATE&amp;creator=factset&amp;DOC_NAME=fat:reuters_ltm_source_window.fat&amp;display_string=Audit&amp;DYN_ARGS=TRUE&amp;VAR:ID1=CAL&amp;VAR:RCODE=FIBCEBITDA&amp;VAR:SDATE=20090699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5__FDSAUDITLINK__" localSheetId="4" hidden="1">{"fdsup://IBCentral/FAT Viewer?action=UPDATE&amp;creator=factset&amp;DOC_NAME=fat:reuters_ltm_source_window.fat&amp;display_string=Audit&amp;DYN_ARGS=TRUE&amp;VAR:ID1=CAL&amp;VAR:RCODE=FIBCEBITDA&amp;VAR:SDATE=20090699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5__FDSAUDITLINK__" hidden="1">{"fdsup://IBCentral/FAT Viewer?action=UPDATE&amp;creator=factset&amp;DOC_NAME=fat:reuters_ltm_source_window.fat&amp;display_string=Audit&amp;DYN_ARGS=TRUE&amp;VAR:ID1=CAL&amp;VAR:RCODE=FIBCEBITDA&amp;VAR:SDATE=20090699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6__FDSAUDITLINK__" localSheetId="5" hidden="1">{"fdsup://IBCentral/FAT Viewer?action=UPDATE&amp;creator=factset&amp;DOC_NAME=fat:reuters_ltm_source_window.fat&amp;display_string=Audit&amp;DYN_ARGS=TRUE&amp;VAR:ID1=DAL&amp;VAR:RCODE=FDSREVSTOTAL&amp;VAR:SDATE=20090699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6__FDSAUDITLINK__" localSheetId="0" hidden="1">{"fdsup://IBCentral/FAT Viewer?action=UPDATE&amp;creator=factset&amp;DOC_NAME=fat:reuters_ltm_source_window.fat&amp;display_string=Audit&amp;DYN_ARGS=TRUE&amp;VAR:ID1=DAL&amp;VAR:RCODE=FDSREVSTOTAL&amp;VAR:SDATE=20090699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6__FDSAUDITLINK__" localSheetId="4" hidden="1">{"fdsup://IBCentral/FAT Viewer?action=UPDATE&amp;creator=factset&amp;DOC_NAME=fat:reuters_ltm_source_window.fat&amp;display_string=Audit&amp;DYN_ARGS=TRUE&amp;VAR:ID1=DAL&amp;VAR:RCODE=FDSREVSTOTAL&amp;VAR:SDATE=20090699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6__FDSAUDITLINK__" hidden="1">{"fdsup://IBCentral/FAT Viewer?action=UPDATE&amp;creator=factset&amp;DOC_NAME=fat:reuters_ltm_source_window.fat&amp;display_string=Audit&amp;DYN_ARGS=TRUE&amp;VAR:ID1=DAL&amp;VAR:RCODE=FDSREVSTOTAL&amp;VAR:SDATE=20090699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7__FDSAUDITLINK__" localSheetId="5" hidden="1">{"fdsup://IBCentral/FAT Viewer?action=UPDATE&amp;creator=factset&amp;DOC_NAME=fat:reuters_ltm_source_window.fat&amp;display_string=Audit&amp;DYN_ARGS=TRUE&amp;VAR:ID1=DAL&amp;VAR:RCODE=FIBCEBITDA&amp;VAR:SDATE=20090699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7__FDSAUDITLINK__" localSheetId="0" hidden="1">{"fdsup://IBCentral/FAT Viewer?action=UPDATE&amp;creator=factset&amp;DOC_NAME=fat:reuters_ltm_source_window.fat&amp;display_string=Audit&amp;DYN_ARGS=TRUE&amp;VAR:ID1=DAL&amp;VAR:RCODE=FIBCEBITDA&amp;VAR:SDATE=20090699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7__FDSAUDITLINK__" localSheetId="4" hidden="1">{"fdsup://IBCentral/FAT Viewer?action=UPDATE&amp;creator=factset&amp;DOC_NAME=fat:reuters_ltm_source_window.fat&amp;display_string=Audit&amp;DYN_ARGS=TRUE&amp;VAR:ID1=DAL&amp;VAR:RCODE=FIBCEBITDA&amp;VAR:SDATE=20090699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7__FDSAUDITLINK__" hidden="1">{"fdsup://IBCentral/FAT Viewer?action=UPDATE&amp;creator=factset&amp;DOC_NAME=fat:reuters_ltm_source_window.fat&amp;display_string=Audit&amp;DYN_ARGS=TRUE&amp;VAR:ID1=DAL&amp;VAR:RCODE=FIBCEBITDA&amp;VAR:SDATE=20090699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8__FDSAUDITLINK__" localSheetId="5" hidden="1">{"fdsup://IBCentral/FAT Viewer?action=UPDATE&amp;creator=factset&amp;DOC_NAME=fat:reuters_ltm_source_window.fat&amp;display_string=Audit&amp;DYN_ARGS=TRUE&amp;VAR:ID1=AMR&amp;VAR:RCODE=FDSREVSTOTAL&amp;VAR:SDATE=20090699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8__FDSAUDITLINK__" localSheetId="0" hidden="1">{"fdsup://IBCentral/FAT Viewer?action=UPDATE&amp;creator=factset&amp;DOC_NAME=fat:reuters_ltm_source_window.fat&amp;display_string=Audit&amp;DYN_ARGS=TRUE&amp;VAR:ID1=AMR&amp;VAR:RCODE=FDSREVSTOTAL&amp;VAR:SDATE=20090699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8__FDSAUDITLINK__" localSheetId="4" hidden="1">{"fdsup://IBCentral/FAT Viewer?action=UPDATE&amp;creator=factset&amp;DOC_NAME=fat:reuters_ltm_source_window.fat&amp;display_string=Audit&amp;DYN_ARGS=TRUE&amp;VAR:ID1=AMR&amp;VAR:RCODE=FDSREVSTOTAL&amp;VAR:SDATE=20090699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8__FDSAUDITLINK__" hidden="1">{"fdsup://IBCentral/FAT Viewer?action=UPDATE&amp;creator=factset&amp;DOC_NAME=fat:reuters_ltm_source_window.fat&amp;display_string=Audit&amp;DYN_ARGS=TRUE&amp;VAR:ID1=AMR&amp;VAR:RCODE=FDSREVSTOTAL&amp;VAR:SDATE=20090699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29__FDSAUDITLINK__" localSheetId="5" hidden="1">{"fdsup://IBCentral/FAT Viewer?action=UPDATE&amp;creator=factset&amp;DOC_NAME=fat:reuters_ltm_source_window.fat&amp;display_string=Audit&amp;DYN_ARGS=TRUE&amp;VAR:ID1=AMR&amp;VAR:RCODE=FIBCEBITDA&amp;VAR:SDATE=20090699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9__FDSAUDITLINK__" localSheetId="0" hidden="1">{"fdsup://IBCentral/FAT Viewer?action=UPDATE&amp;creator=factset&amp;DOC_NAME=fat:reuters_ltm_source_window.fat&amp;display_string=Audit&amp;DYN_ARGS=TRUE&amp;VAR:ID1=AMR&amp;VAR:RCODE=FIBCEBITDA&amp;VAR:SDATE=20090699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9__FDSAUDITLINK__" localSheetId="4" hidden="1">{"fdsup://IBCentral/FAT Viewer?action=UPDATE&amp;creator=factset&amp;DOC_NAME=fat:reuters_ltm_source_window.fat&amp;display_string=Audit&amp;DYN_ARGS=TRUE&amp;VAR:ID1=AMR&amp;VAR:RCODE=FIBCEBITDA&amp;VAR:SDATE=20090699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29__FDSAUDITLINK__" hidden="1">{"fdsup://IBCentral/FAT Viewer?action=UPDATE&amp;creator=factset&amp;DOC_NAME=fat:reuters_ltm_source_window.fat&amp;display_string=Audit&amp;DYN_ARGS=TRUE&amp;VAR:ID1=AMR&amp;VAR:RCODE=FIBCEBITDA&amp;VAR:SDATE=20090699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__123Graph_AChart_1X" localSheetId="0" hidden="1">#REF!</definedName>
    <definedName name="_93__123Graph_AChart_1X" hidden="1">#REF!</definedName>
    <definedName name="_93__FDSAUDITLINK__" localSheetId="5" hidden="1">{"fdsup://IBCentral/FAT Viewer?action=UPDATE&amp;creator=factset&amp;DOC_NAME=fat:reuters_ltm_source_window.fat&amp;display_string=Audit&amp;DYN_ARGS=TRUE&amp;VAR:ID1=GWW&amp;VAR:RCODE=FIBCEBITDA&amp;VAR:SDATE=20090399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__FDSAUDITLINK__" localSheetId="0" hidden="1">{"fdsup://IBCentral/FAT Viewer?action=UPDATE&amp;creator=factset&amp;DOC_NAME=fat:reuters_ltm_source_window.fat&amp;display_string=Audit&amp;DYN_ARGS=TRUE&amp;VAR:ID1=GWW&amp;VAR:RCODE=FIBCEBITDA&amp;VAR:SDATE=20090399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__FDSAUDITLINK__" localSheetId="4" hidden="1">{"fdsup://IBCentral/FAT Viewer?action=UPDATE&amp;creator=factset&amp;DOC_NAME=fat:reuters_ltm_source_window.fat&amp;display_string=Audit&amp;DYN_ARGS=TRUE&amp;VAR:ID1=GWW&amp;VAR:RCODE=FIBCEBITDA&amp;VAR:SDATE=20090399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__FDSAUDITLINK__" hidden="1">{"fdsup://IBCentral/FAT Viewer?action=UPDATE&amp;creator=factset&amp;DOC_NAME=fat:reuters_ltm_source_window.fat&amp;display_string=Audit&amp;DYN_ARGS=TRUE&amp;VAR:ID1=GWW&amp;VAR:RCODE=FIBCEBITDA&amp;VAR:SDATE=20090399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0__FDSAUDITLINK__" localSheetId="5" hidden="1">{"fdsup://IBCentral/FAT Viewer?action=UPDATE&amp;creator=factset&amp;DOC_NAME=fat:reuters_ltm_source_window.fat&amp;display_string=Audit&amp;DYN_ARGS=TRUE&amp;VAR:ID1=UAUA&amp;VAR:RCODE=FDSREVSTOTAL&amp;VAR:SDATE=20090699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30__FDSAUDITLINK__" localSheetId="0" hidden="1">{"fdsup://IBCentral/FAT Viewer?action=UPDATE&amp;creator=factset&amp;DOC_NAME=fat:reuters_ltm_source_window.fat&amp;display_string=Audit&amp;DYN_ARGS=TRUE&amp;VAR:ID1=UAUA&amp;VAR:RCODE=FDSREVSTOTAL&amp;VAR:SDATE=20090699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30__FDSAUDITLINK__" localSheetId="4" hidden="1">{"fdsup://IBCentral/FAT Viewer?action=UPDATE&amp;creator=factset&amp;DOC_NAME=fat:reuters_ltm_source_window.fat&amp;display_string=Audit&amp;DYN_ARGS=TRUE&amp;VAR:ID1=UAUA&amp;VAR:RCODE=FDSREVSTOTAL&amp;VAR:SDATE=20090699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30__FDSAUDITLINK__" hidden="1">{"fdsup://IBCentral/FAT Viewer?action=UPDATE&amp;creator=factset&amp;DOC_NAME=fat:reuters_ltm_source_window.fat&amp;display_string=Audit&amp;DYN_ARGS=TRUE&amp;VAR:ID1=UAUA&amp;VAR:RCODE=FDSREVSTOTAL&amp;VAR:SDATE=20090699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31__FDSAUDITLINK__" localSheetId="5" hidden="1">{"fdsup://IBCentral/FAT Viewer?action=UPDATE&amp;creator=factset&amp;DOC_NAME=fat:reuters_ltm_source_window.fat&amp;display_string=Audit&amp;DYN_ARGS=TRUE&amp;VAR:ID1=UAUA&amp;VAR:RCODE=FIBCEBITDA&amp;VAR:SDATE=20090699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31__FDSAUDITLINK__" localSheetId="0" hidden="1">{"fdsup://IBCentral/FAT Viewer?action=UPDATE&amp;creator=factset&amp;DOC_NAME=fat:reuters_ltm_source_window.fat&amp;display_string=Audit&amp;DYN_ARGS=TRUE&amp;VAR:ID1=UAUA&amp;VAR:RCODE=FIBCEBITDA&amp;VAR:SDATE=20090699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31__FDSAUDITLINK__" localSheetId="4" hidden="1">{"fdsup://IBCentral/FAT Viewer?action=UPDATE&amp;creator=factset&amp;DOC_NAME=fat:reuters_ltm_source_window.fat&amp;display_string=Audit&amp;DYN_ARGS=TRUE&amp;VAR:ID1=UAUA&amp;VAR:RCODE=FIBCEBITDA&amp;VAR:SDATE=20090699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31__FDSAUDITLINK__" hidden="1">{"fdsup://IBCentral/FAT Viewer?action=UPDATE&amp;creator=factset&amp;DOC_NAME=fat:reuters_ltm_source_window.fat&amp;display_string=Audit&amp;DYN_ARGS=TRUE&amp;VAR:ID1=UAUA&amp;VAR:RCODE=FIBCEBITDA&amp;VAR:SDATE=20090699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32__FDSAUDITLINK__" localSheetId="5" hidden="1">{"fdsup://IBCentral/FAT Viewer?action=UPDATE&amp;creator=factset&amp;DOC_NAME=fat:reuters_ltm_source_window.fat&amp;display_string=Audit&amp;DYN_ARGS=TRUE&amp;VAR:ID1=CHP&amp;VAR:RCODE=FDSREVSTOTAL&amp;VAR:SDATE=20090799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32__FDSAUDITLINK__" localSheetId="0" hidden="1">{"fdsup://IBCentral/FAT Viewer?action=UPDATE&amp;creator=factset&amp;DOC_NAME=fat:reuters_ltm_source_window.fat&amp;display_string=Audit&amp;DYN_ARGS=TRUE&amp;VAR:ID1=CHP&amp;VAR:RCODE=FDSREVSTOTAL&amp;VAR:SDATE=20090799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32__FDSAUDITLINK__" localSheetId="4" hidden="1">{"fdsup://IBCentral/FAT Viewer?action=UPDATE&amp;creator=factset&amp;DOC_NAME=fat:reuters_ltm_source_window.fat&amp;display_string=Audit&amp;DYN_ARGS=TRUE&amp;VAR:ID1=CHP&amp;VAR:RCODE=FDSREVSTOTAL&amp;VAR:SDATE=20090799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32__FDSAUDITLINK__" hidden="1">{"fdsup://IBCentral/FAT Viewer?action=UPDATE&amp;creator=factset&amp;DOC_NAME=fat:reuters_ltm_source_window.fat&amp;display_string=Audit&amp;DYN_ARGS=TRUE&amp;VAR:ID1=CHP&amp;VAR:RCODE=FDSREVSTOTAL&amp;VAR:SDATE=20090799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33__FDSAUDITLINK__" localSheetId="5" hidden="1">{"fdsup://IBCentral/FAT Viewer?action=UPDATE&amp;creator=factset&amp;DOC_NAME=fat:reuters_ltm_source_window.fat&amp;display_string=Audit&amp;DYN_ARGS=TRUE&amp;VAR:ID1=CHP&amp;VAR:RCODE=FIBCEBITDA&amp;VAR:SDATE=20090799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3__FDSAUDITLINK__" localSheetId="0" hidden="1">{"fdsup://IBCentral/FAT Viewer?action=UPDATE&amp;creator=factset&amp;DOC_NAME=fat:reuters_ltm_source_window.fat&amp;display_string=Audit&amp;DYN_ARGS=TRUE&amp;VAR:ID1=CHP&amp;VAR:RCODE=FIBCEBITDA&amp;VAR:SDATE=20090799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3__FDSAUDITLINK__" localSheetId="4" hidden="1">{"fdsup://IBCentral/FAT Viewer?action=UPDATE&amp;creator=factset&amp;DOC_NAME=fat:reuters_ltm_source_window.fat&amp;display_string=Audit&amp;DYN_ARGS=TRUE&amp;VAR:ID1=CHP&amp;VAR:RCODE=FIBCEBITDA&amp;VAR:SDATE=20090799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3__FDSAUDITLINK__" hidden="1">{"fdsup://IBCentral/FAT Viewer?action=UPDATE&amp;creator=factset&amp;DOC_NAME=fat:reuters_ltm_source_window.fat&amp;display_string=Audit&amp;DYN_ARGS=TRUE&amp;VAR:ID1=CHP&amp;VAR:RCODE=FIBCEBITDA&amp;VAR:SDATE=20090799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4__FDSAUDITLINK__" localSheetId="5" hidden="1">{"fdsup://IBCentral/FAT Viewer?action=UPDATE&amp;creator=factset&amp;DOC_NAME=fat:reuters_ltm_source_window.fat&amp;display_string=Audit&amp;DYN_ARGS=TRUE&amp;VAR:ID1=NCS&amp;VAR:RCODE=FDSREVSTOTAL&amp;VAR:SDATE=20090799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34__FDSAUDITLINK__" localSheetId="0" hidden="1">{"fdsup://IBCentral/FAT Viewer?action=UPDATE&amp;creator=factset&amp;DOC_NAME=fat:reuters_ltm_source_window.fat&amp;display_string=Audit&amp;DYN_ARGS=TRUE&amp;VAR:ID1=NCS&amp;VAR:RCODE=FDSREVSTOTAL&amp;VAR:SDATE=20090799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34__FDSAUDITLINK__" localSheetId="4" hidden="1">{"fdsup://IBCentral/FAT Viewer?action=UPDATE&amp;creator=factset&amp;DOC_NAME=fat:reuters_ltm_source_window.fat&amp;display_string=Audit&amp;DYN_ARGS=TRUE&amp;VAR:ID1=NCS&amp;VAR:RCODE=FDSREVSTOTAL&amp;VAR:SDATE=20090799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34__FDSAUDITLINK__" hidden="1">{"fdsup://IBCentral/FAT Viewer?action=UPDATE&amp;creator=factset&amp;DOC_NAME=fat:reuters_ltm_source_window.fat&amp;display_string=Audit&amp;DYN_ARGS=TRUE&amp;VAR:ID1=NCS&amp;VAR:RCODE=FDSREVSTOTAL&amp;VAR:SDATE=20090799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35__FDSAUDITLINK__" localSheetId="5" hidden="1">{"fdsup://IBCentral/FAT Viewer?action=UPDATE&amp;creator=factset&amp;DOC_NAME=fat:reuters_ltm_source_window.fat&amp;display_string=Audit&amp;DYN_ARGS=TRUE&amp;VAR:ID1=NCS&amp;VAR:RCODE=FIBCEBITDA&amp;VAR:SDATE=20090799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5__FDSAUDITLINK__" localSheetId="0" hidden="1">{"fdsup://IBCentral/FAT Viewer?action=UPDATE&amp;creator=factset&amp;DOC_NAME=fat:reuters_ltm_source_window.fat&amp;display_string=Audit&amp;DYN_ARGS=TRUE&amp;VAR:ID1=NCS&amp;VAR:RCODE=FIBCEBITDA&amp;VAR:SDATE=20090799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5__FDSAUDITLINK__" localSheetId="4" hidden="1">{"fdsup://IBCentral/FAT Viewer?action=UPDATE&amp;creator=factset&amp;DOC_NAME=fat:reuters_ltm_source_window.fat&amp;display_string=Audit&amp;DYN_ARGS=TRUE&amp;VAR:ID1=NCS&amp;VAR:RCODE=FIBCEBITDA&amp;VAR:SDATE=20090799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5__FDSAUDITLINK__" hidden="1">{"fdsup://IBCentral/FAT Viewer?action=UPDATE&amp;creator=factset&amp;DOC_NAME=fat:reuters_ltm_source_window.fat&amp;display_string=Audit&amp;DYN_ARGS=TRUE&amp;VAR:ID1=NCS&amp;VAR:RCODE=FIBCEBITDA&amp;VAR:SDATE=20090799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36__FDSAUDITLINK__" localSheetId="5" hidden="1">{"fdsup://IBCentral/FAT Viewer?action=UPDATE&amp;creator=factset&amp;DOC_NAME=fat:reuters_annual_source_window.fat&amp;display_string=Audit&amp;DYN_ARGS=TRUE&amp;VAR:ID1=55942410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36__FDSAUDITLINK__" localSheetId="0" hidden="1">{"fdsup://IBCentral/FAT Viewer?action=UPDATE&amp;creator=factset&amp;DOC_NAME=fat:reuters_annual_source_window.fat&amp;display_string=Audit&amp;DYN_ARGS=TRUE&amp;VAR:ID1=55942410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36__FDSAUDITLINK__" localSheetId="4" hidden="1">{"fdsup://IBCentral/FAT Viewer?action=UPDATE&amp;creator=factset&amp;DOC_NAME=fat:reuters_annual_source_window.fat&amp;display_string=Audit&amp;DYN_ARGS=TRUE&amp;VAR:ID1=55942410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36__FDSAUDITLINK__" hidden="1">{"fdsup://IBCentral/FAT Viewer?action=UPDATE&amp;creator=factset&amp;DOC_NAME=fat:reuters_annual_source_window.fat&amp;display_string=Audit&amp;DYN_ARGS=TRUE&amp;VAR:ID1=55942410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37__FDSAUDITLINK__" localSheetId="5" hidden="1">{"fdsup://IBCentral/FAT Viewer?action=UPDATE&amp;creator=factset&amp;DOC_NAME=fat:reuters_annual_source_window.fat&amp;display_string=Audit&amp;DYN_ARGS=TRUE&amp;VAR:ID1=55942410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37__FDSAUDITLINK__" localSheetId="0" hidden="1">{"fdsup://IBCentral/FAT Viewer?action=UPDATE&amp;creator=factset&amp;DOC_NAME=fat:reuters_annual_source_window.fat&amp;display_string=Audit&amp;DYN_ARGS=TRUE&amp;VAR:ID1=55942410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37__FDSAUDITLINK__" localSheetId="4" hidden="1">{"fdsup://IBCentral/FAT Viewer?action=UPDATE&amp;creator=factset&amp;DOC_NAME=fat:reuters_annual_source_window.fat&amp;display_string=Audit&amp;DYN_ARGS=TRUE&amp;VAR:ID1=55942410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37__FDSAUDITLINK__" hidden="1">{"fdsup://IBCentral/FAT Viewer?action=UPDATE&amp;creator=factset&amp;DOC_NAME=fat:reuters_annual_source_window.fat&amp;display_string=Audit&amp;DYN_ARGS=TRUE&amp;VAR:ID1=55942410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38__FDSAUDITLINK__" localSheetId="5" hidden="1">{"fdsup://IBCentral/FAT Viewer?action=UPDATE&amp;creator=factset&amp;DOC_NAME=fat:reuters_annual_source_window.fat&amp;display_string=Audit&amp;DYN_ARGS=TRUE&amp;VAR:ID1=85423110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38__FDSAUDITLINK__" localSheetId="0" hidden="1">{"fdsup://IBCentral/FAT Viewer?action=UPDATE&amp;creator=factset&amp;DOC_NAME=fat:reuters_annual_source_window.fat&amp;display_string=Audit&amp;DYN_ARGS=TRUE&amp;VAR:ID1=85423110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38__FDSAUDITLINK__" localSheetId="4" hidden="1">{"fdsup://IBCentral/FAT Viewer?action=UPDATE&amp;creator=factset&amp;DOC_NAME=fat:reuters_annual_source_window.fat&amp;display_string=Audit&amp;DYN_ARGS=TRUE&amp;VAR:ID1=85423110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38__FDSAUDITLINK__" hidden="1">{"fdsup://IBCentral/FAT Viewer?action=UPDATE&amp;creator=factset&amp;DOC_NAME=fat:reuters_annual_source_window.fat&amp;display_string=Audit&amp;DYN_ARGS=TRUE&amp;VAR:ID1=85423110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39__FDSAUDITLINK__" localSheetId="5" hidden="1">{"fdsup://IBCentral/FAT Viewer?action=UPDATE&amp;creator=factset&amp;DOC_NAME=fat:reuters_annual_source_window.fat&amp;display_string=Audit&amp;DYN_ARGS=TRUE&amp;VAR:ID1=85423110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39__FDSAUDITLINK__" localSheetId="0" hidden="1">{"fdsup://IBCentral/FAT Viewer?action=UPDATE&amp;creator=factset&amp;DOC_NAME=fat:reuters_annual_source_window.fat&amp;display_string=Audit&amp;DYN_ARGS=TRUE&amp;VAR:ID1=85423110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39__FDSAUDITLINK__" localSheetId="4" hidden="1">{"fdsup://IBCentral/FAT Viewer?action=UPDATE&amp;creator=factset&amp;DOC_NAME=fat:reuters_annual_source_window.fat&amp;display_string=Audit&amp;DYN_ARGS=TRUE&amp;VAR:ID1=85423110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39__FDSAUDITLINK__" hidden="1">{"fdsup://IBCentral/FAT Viewer?action=UPDATE&amp;creator=factset&amp;DOC_NAME=fat:reuters_annual_source_window.fat&amp;display_string=Audit&amp;DYN_ARGS=TRUE&amp;VAR:ID1=85423110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3BE" localSheetId="0">#REF!</definedName>
    <definedName name="_93BE">#REF!</definedName>
    <definedName name="_93DIL" localSheetId="0">#REF!</definedName>
    <definedName name="_93DIL">#REF!</definedName>
    <definedName name="_94__FDSAUDITLINK__" localSheetId="5" hidden="1">{"fdsup://IBCentral/FAT Viewer?action=UPDATE&amp;creator=factset&amp;DOC_NAME=fat:reuters_ltm_source_window.fat&amp;display_string=Audit&amp;DYN_ARGS=TRUE&amp;VAR:ID1=PH&amp;VAR:RCODE=FIBCEBITDA&amp;VAR:SDATE=20090399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4__FDSAUDITLINK__" localSheetId="0" hidden="1">{"fdsup://IBCentral/FAT Viewer?action=UPDATE&amp;creator=factset&amp;DOC_NAME=fat:reuters_ltm_source_window.fat&amp;display_string=Audit&amp;DYN_ARGS=TRUE&amp;VAR:ID1=PH&amp;VAR:RCODE=FIBCEBITDA&amp;VAR:SDATE=20090399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4__FDSAUDITLINK__" localSheetId="4" hidden="1">{"fdsup://IBCentral/FAT Viewer?action=UPDATE&amp;creator=factset&amp;DOC_NAME=fat:reuters_ltm_source_window.fat&amp;display_string=Audit&amp;DYN_ARGS=TRUE&amp;VAR:ID1=PH&amp;VAR:RCODE=FIBCEBITDA&amp;VAR:SDATE=20090399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4__FDSAUDITLINK__" hidden="1">{"fdsup://IBCentral/FAT Viewer?action=UPDATE&amp;creator=factset&amp;DOC_NAME=fat:reuters_ltm_source_window.fat&amp;display_string=Audit&amp;DYN_ARGS=TRUE&amp;VAR:ID1=PH&amp;VAR:RCODE=FIBCEBITDA&amp;VAR:SDATE=20090399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40__FDSAUDITLINK__" localSheetId="5" hidden="1">{"fdsup://IBCentral/FAT Viewer?action=UPDATE&amp;creator=factset&amp;DOC_NAME=fat:reuters_ltm_source_window.fat&amp;display_string=Audit&amp;DYN_ARGS=TRUE&amp;VAR:ID1=CGX&amp;VAR:RCODE=FDSREVSTOTAL&amp;VAR:SDATE=20090699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40__FDSAUDITLINK__" localSheetId="0" hidden="1">{"fdsup://IBCentral/FAT Viewer?action=UPDATE&amp;creator=factset&amp;DOC_NAME=fat:reuters_ltm_source_window.fat&amp;display_string=Audit&amp;DYN_ARGS=TRUE&amp;VAR:ID1=CGX&amp;VAR:RCODE=FDSREVSTOTAL&amp;VAR:SDATE=20090699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40__FDSAUDITLINK__" localSheetId="4" hidden="1">{"fdsup://IBCentral/FAT Viewer?action=UPDATE&amp;creator=factset&amp;DOC_NAME=fat:reuters_ltm_source_window.fat&amp;display_string=Audit&amp;DYN_ARGS=TRUE&amp;VAR:ID1=CGX&amp;VAR:RCODE=FDSREVSTOTAL&amp;VAR:SDATE=20090699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40__FDSAUDITLINK__" hidden="1">{"fdsup://IBCentral/FAT Viewer?action=UPDATE&amp;creator=factset&amp;DOC_NAME=fat:reuters_ltm_source_window.fat&amp;display_string=Audit&amp;DYN_ARGS=TRUE&amp;VAR:ID1=CGX&amp;VAR:RCODE=FDSREVSTOTAL&amp;VAR:SDATE=20090699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41__FDSAUDITLINK__" localSheetId="5" hidden="1">{"fdsup://IBCentral/FAT Viewer?action=UPDATE&amp;creator=factset&amp;DOC_NAME=fat:reuters_ltm_source_window.fat&amp;display_string=Audit&amp;DYN_ARGS=TRUE&amp;VAR:ID1=CGX&amp;VAR:RCODE=FIBCEBITDA&amp;VAR:SDATE=20090699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41__FDSAUDITLINK__" localSheetId="0" hidden="1">{"fdsup://IBCentral/FAT Viewer?action=UPDATE&amp;creator=factset&amp;DOC_NAME=fat:reuters_ltm_source_window.fat&amp;display_string=Audit&amp;DYN_ARGS=TRUE&amp;VAR:ID1=CGX&amp;VAR:RCODE=FIBCEBITDA&amp;VAR:SDATE=20090699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41__FDSAUDITLINK__" localSheetId="4" hidden="1">{"fdsup://IBCentral/FAT Viewer?action=UPDATE&amp;creator=factset&amp;DOC_NAME=fat:reuters_ltm_source_window.fat&amp;display_string=Audit&amp;DYN_ARGS=TRUE&amp;VAR:ID1=CGX&amp;VAR:RCODE=FIBCEBITDA&amp;VAR:SDATE=20090699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41__FDSAUDITLINK__" hidden="1">{"fdsup://IBCentral/FAT Viewer?action=UPDATE&amp;creator=factset&amp;DOC_NAME=fat:reuters_ltm_source_window.fat&amp;display_string=Audit&amp;DYN_ARGS=TRUE&amp;VAR:ID1=CGX&amp;VAR:RCODE=FIBCEBITDA&amp;VAR:SDATE=20090699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42__FDSAUDITLINK__" localSheetId="5" hidden="1">{"fdsup://IBCentral/FAT Viewer?action=UPDATE&amp;creator=factset&amp;DOC_NAME=fat:reuters_annual_source_window.fat&amp;display_string=Audit&amp;DYN_ARGS=TRUE&amp;VAR:ID1=26747510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42__FDSAUDITLINK__" localSheetId="0" hidden="1">{"fdsup://IBCentral/FAT Viewer?action=UPDATE&amp;creator=factset&amp;DOC_NAME=fat:reuters_annual_source_window.fat&amp;display_string=Audit&amp;DYN_ARGS=TRUE&amp;VAR:ID1=26747510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42__FDSAUDITLINK__" localSheetId="4" hidden="1">{"fdsup://IBCentral/FAT Viewer?action=UPDATE&amp;creator=factset&amp;DOC_NAME=fat:reuters_annual_source_window.fat&amp;display_string=Audit&amp;DYN_ARGS=TRUE&amp;VAR:ID1=26747510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26747510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43__FDSAUDITLINK__" localSheetId="5" hidden="1">{"fdsup://IBCentral/FAT Viewer?action=UPDATE&amp;creator=factset&amp;DOC_NAME=fat:reuters_annual_source_window.fat&amp;display_string=Audit&amp;DYN_ARGS=TRUE&amp;VAR:ID1=26747510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43__FDSAUDITLINK__" localSheetId="0" hidden="1">{"fdsup://IBCentral/FAT Viewer?action=UPDATE&amp;creator=factset&amp;DOC_NAME=fat:reuters_annual_source_window.fat&amp;display_string=Audit&amp;DYN_ARGS=TRUE&amp;VAR:ID1=26747510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43__FDSAUDITLINK__" localSheetId="4" hidden="1">{"fdsup://IBCentral/FAT Viewer?action=UPDATE&amp;creator=factset&amp;DOC_NAME=fat:reuters_annual_source_window.fat&amp;display_string=Audit&amp;DYN_ARGS=TRUE&amp;VAR:ID1=26747510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26747510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44__FDSAUDITLINK__" localSheetId="5" hidden="1">{"fdsup://IBCentral/FAT Viewer?action=UPDATE&amp;creator=factset&amp;DOC_NAME=fat:reuters_ltm_source_window.fat&amp;display_string=Audit&amp;DYN_ARGS=TRUE&amp;VAR:ID1=APSG&amp;VAR:RCODE=FDSREVSTOTAL&amp;VAR:SDATE=20090799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44__FDSAUDITLINK__" localSheetId="0" hidden="1">{"fdsup://IBCentral/FAT Viewer?action=UPDATE&amp;creator=factset&amp;DOC_NAME=fat:reuters_ltm_source_window.fat&amp;display_string=Audit&amp;DYN_ARGS=TRUE&amp;VAR:ID1=APSG&amp;VAR:RCODE=FDSREVSTOTAL&amp;VAR:SDATE=20090799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44__FDSAUDITLINK__" localSheetId="4" hidden="1">{"fdsup://IBCentral/FAT Viewer?action=UPDATE&amp;creator=factset&amp;DOC_NAME=fat:reuters_ltm_source_window.fat&amp;display_string=Audit&amp;DYN_ARGS=TRUE&amp;VAR:ID1=APSG&amp;VAR:RCODE=FDSREVSTOTAL&amp;VAR:SDATE=20090799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44__FDSAUDITLINK__" hidden="1">{"fdsup://IBCentral/FAT Viewer?action=UPDATE&amp;creator=factset&amp;DOC_NAME=fat:reuters_ltm_source_window.fat&amp;display_string=Audit&amp;DYN_ARGS=TRUE&amp;VAR:ID1=APSG&amp;VAR:RCODE=FDSREVSTOTAL&amp;VAR:SDATE=20090799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45__FDSAUDITLINK__" localSheetId="5" hidden="1">{"fdsup://IBCentral/FAT Viewer?action=UPDATE&amp;creator=factset&amp;DOC_NAME=fat:reuters_ltm_source_window.fat&amp;display_string=Audit&amp;DYN_ARGS=TRUE&amp;VAR:ID1=APSG&amp;VAR:RCODE=FIBCEBITDA&amp;VAR:SDATE=20090799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45__FDSAUDITLINK__" localSheetId="0" hidden="1">{"fdsup://IBCentral/FAT Viewer?action=UPDATE&amp;creator=factset&amp;DOC_NAME=fat:reuters_ltm_source_window.fat&amp;display_string=Audit&amp;DYN_ARGS=TRUE&amp;VAR:ID1=APSG&amp;VAR:RCODE=FIBCEBITDA&amp;VAR:SDATE=20090799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45__FDSAUDITLINK__" localSheetId="4" hidden="1">{"fdsup://IBCentral/FAT Viewer?action=UPDATE&amp;creator=factset&amp;DOC_NAME=fat:reuters_ltm_source_window.fat&amp;display_string=Audit&amp;DYN_ARGS=TRUE&amp;VAR:ID1=APSG&amp;VAR:RCODE=FIBCEBITDA&amp;VAR:SDATE=20090799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45__FDSAUDITLINK__" hidden="1">{"fdsup://IBCentral/FAT Viewer?action=UPDATE&amp;creator=factset&amp;DOC_NAME=fat:reuters_ltm_source_window.fat&amp;display_string=Audit&amp;DYN_ARGS=TRUE&amp;VAR:ID1=APSG&amp;VAR:RCODE=FIBCEBITDA&amp;VAR:SDATE=20090799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46__FDSAUDITLINK__" localSheetId="5" hidden="1">{"fdsup://IBCentral/FAT Viewer?action=UPDATE&amp;creator=factset&amp;DOC_NAME=fat:reuters_ltm_source_window.fat&amp;display_string=Audit&amp;DYN_ARGS=TRUE&amp;VAR:ID1=APOG&amp;VAR:RCODE=FDSREVSTOTAL&amp;VAR:SDATE=20090899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46__FDSAUDITLINK__" localSheetId="0" hidden="1">{"fdsup://IBCentral/FAT Viewer?action=UPDATE&amp;creator=factset&amp;DOC_NAME=fat:reuters_ltm_source_window.fat&amp;display_string=Audit&amp;DYN_ARGS=TRUE&amp;VAR:ID1=APOG&amp;VAR:RCODE=FDSREVSTOTAL&amp;VAR:SDATE=20090899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46__FDSAUDITLINK__" localSheetId="4" hidden="1">{"fdsup://IBCentral/FAT Viewer?action=UPDATE&amp;creator=factset&amp;DOC_NAME=fat:reuters_ltm_source_window.fat&amp;display_string=Audit&amp;DYN_ARGS=TRUE&amp;VAR:ID1=APOG&amp;VAR:RCODE=FDSREVSTOTAL&amp;VAR:SDATE=20090899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46__FDSAUDITLINK__" hidden="1">{"fdsup://IBCentral/FAT Viewer?action=UPDATE&amp;creator=factset&amp;DOC_NAME=fat:reuters_ltm_source_window.fat&amp;display_string=Audit&amp;DYN_ARGS=TRUE&amp;VAR:ID1=APOG&amp;VAR:RCODE=FDSREVSTOTAL&amp;VAR:SDATE=20090899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47__FDSAUDITLINK__" localSheetId="5" hidden="1">{"fdsup://IBCentral/FAT Viewer?action=UPDATE&amp;creator=factset&amp;DOC_NAME=fat:reuters_ltm_source_window.fat&amp;display_string=Audit&amp;DYN_ARGS=TRUE&amp;VAR:ID1=APOG&amp;VAR:RCODE=FIBCEBITDA&amp;VAR:SDATE=20090899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47__FDSAUDITLINK__" localSheetId="0" hidden="1">{"fdsup://IBCentral/FAT Viewer?action=UPDATE&amp;creator=factset&amp;DOC_NAME=fat:reuters_ltm_source_window.fat&amp;display_string=Audit&amp;DYN_ARGS=TRUE&amp;VAR:ID1=APOG&amp;VAR:RCODE=FIBCEBITDA&amp;VAR:SDATE=20090899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47__FDSAUDITLINK__" localSheetId="4" hidden="1">{"fdsup://IBCentral/FAT Viewer?action=UPDATE&amp;creator=factset&amp;DOC_NAME=fat:reuters_ltm_source_window.fat&amp;display_string=Audit&amp;DYN_ARGS=TRUE&amp;VAR:ID1=APOG&amp;VAR:RCODE=FIBCEBITDA&amp;VAR:SDATE=20090899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47__FDSAUDITLINK__" hidden="1">{"fdsup://IBCentral/FAT Viewer?action=UPDATE&amp;creator=factset&amp;DOC_NAME=fat:reuters_ltm_source_window.fat&amp;display_string=Audit&amp;DYN_ARGS=TRUE&amp;VAR:ID1=APOG&amp;VAR:RCODE=FIBCEBITDA&amp;VAR:SDATE=20090899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48__FDSAUDITLINK__" localSheetId="5" hidden="1">{"fdsup://IBCentral/FAT Viewer?action=UPDATE&amp;creator=factset&amp;DOC_NAME=fat:reuters_ltm_source_window.fat&amp;display_string=Audit&amp;DYN_ARGS=TRUE&amp;VAR:ID1=KELYA&amp;VAR:RCODE=FDSREVSTOTAL&amp;VAR:SDATE=20090699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948__FDSAUDITLINK__" localSheetId="0" hidden="1">{"fdsup://IBCentral/FAT Viewer?action=UPDATE&amp;creator=factset&amp;DOC_NAME=fat:reuters_ltm_source_window.fat&amp;display_string=Audit&amp;DYN_ARGS=TRUE&amp;VAR:ID1=KELYA&amp;VAR:RCODE=FDSREVSTOTAL&amp;VAR:SDATE=20090699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948__FDSAUDITLINK__" localSheetId="4" hidden="1">{"fdsup://IBCentral/FAT Viewer?action=UPDATE&amp;creator=factset&amp;DOC_NAME=fat:reuters_ltm_source_window.fat&amp;display_string=Audit&amp;DYN_ARGS=TRUE&amp;VAR:ID1=KELYA&amp;VAR:RCODE=FDSREVSTOTAL&amp;VAR:SDATE=20090699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948__FDSAUDITLINK__" hidden="1">{"fdsup://IBCentral/FAT Viewer?action=UPDATE&amp;creator=factset&amp;DOC_NAME=fat:reuters_ltm_source_window.fat&amp;display_string=Audit&amp;DYN_ARGS=TRUE&amp;VAR:ID1=KELYA&amp;VAR:RCODE=FDSREVSTOTAL&amp;VAR:SDATE=20090699 &amp;VAR:FREQ=Quarterly&amp;VAR:RELITEM=RP&amp;VAR:CURRENCY=&amp;VAR:CURRSOURC","E=EXSHARE&amp;VAR:NATFREQ=QUARTERLY&amp;VAR:RFIELD=FINALIZED&amp;VAR:DB_TYPE=&amp;VAR:UNITS=M&amp;window=popup&amp;width=540&amp;height=300&amp;START_MAXIMIZED=FALSE"}</definedName>
    <definedName name="_949__FDSAUDITLINK__" localSheetId="5" hidden="1">{"fdsup://IBCentral/FAT Viewer?action=UPDATE&amp;creator=factset&amp;DOC_NAME=fat:reuters_ltm_source_window.fat&amp;display_string=Audit&amp;DYN_ARGS=TRUE&amp;VAR:ID1=KELYA&amp;VAR:RCODE=FIBCEBITDA&amp;VAR:SDATE=20090699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49__FDSAUDITLINK__" localSheetId="0" hidden="1">{"fdsup://IBCentral/FAT Viewer?action=UPDATE&amp;creator=factset&amp;DOC_NAME=fat:reuters_ltm_source_window.fat&amp;display_string=Audit&amp;DYN_ARGS=TRUE&amp;VAR:ID1=KELYA&amp;VAR:RCODE=FIBCEBITDA&amp;VAR:SDATE=20090699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49__FDSAUDITLINK__" localSheetId="4" hidden="1">{"fdsup://IBCentral/FAT Viewer?action=UPDATE&amp;creator=factset&amp;DOC_NAME=fat:reuters_ltm_source_window.fat&amp;display_string=Audit&amp;DYN_ARGS=TRUE&amp;VAR:ID1=KELYA&amp;VAR:RCODE=FIBCEBITDA&amp;VAR:SDATE=20090699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49__FDSAUDITLINK__" hidden="1">{"fdsup://IBCentral/FAT Viewer?action=UPDATE&amp;creator=factset&amp;DOC_NAME=fat:reuters_ltm_source_window.fat&amp;display_string=Audit&amp;DYN_ARGS=TRUE&amp;VAR:ID1=KELYA&amp;VAR:RCODE=FIBCEBITDA&amp;VAR:SDATE=20090699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4BE" localSheetId="0">#REF!</definedName>
    <definedName name="_94BE">#REF!</definedName>
    <definedName name="_94DIL" localSheetId="0">#REF!</definedName>
    <definedName name="_94DIL">#REF!</definedName>
    <definedName name="_95__123Graph_AChart_1Y" localSheetId="0" hidden="1">#REF!</definedName>
    <definedName name="_95__123Graph_AChart_1Y" hidden="1">#REF!</definedName>
    <definedName name="_95__FDSAUDITLINK__" localSheetId="5" hidden="1">{"fdsup://IBCentral/FAT Viewer?action=UPDATE&amp;creator=factset&amp;DOC_NAME=fat:reuters_ltm_source_window.fat&amp;display_string=Audit&amp;DYN_ARGS=TRUE&amp;VAR:ID1=CMI&amp;VAR:RCODE=FIBCEBITDA&amp;VAR:SDATE=20090399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5__FDSAUDITLINK__" localSheetId="0" hidden="1">{"fdsup://IBCentral/FAT Viewer?action=UPDATE&amp;creator=factset&amp;DOC_NAME=fat:reuters_ltm_source_window.fat&amp;display_string=Audit&amp;DYN_ARGS=TRUE&amp;VAR:ID1=CMI&amp;VAR:RCODE=FIBCEBITDA&amp;VAR:SDATE=20090399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5__FDSAUDITLINK__" localSheetId="4" hidden="1">{"fdsup://IBCentral/FAT Viewer?action=UPDATE&amp;creator=factset&amp;DOC_NAME=fat:reuters_ltm_source_window.fat&amp;display_string=Audit&amp;DYN_ARGS=TRUE&amp;VAR:ID1=CMI&amp;VAR:RCODE=FIBCEBITDA&amp;VAR:SDATE=20090399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5__FDSAUDITLINK__" hidden="1">{"fdsup://IBCentral/FAT Viewer?action=UPDATE&amp;creator=factset&amp;DOC_NAME=fat:reuters_ltm_source_window.fat&amp;display_string=Audit&amp;DYN_ARGS=TRUE&amp;VAR:ID1=CMI&amp;VAR:RCODE=FIBCEBITDA&amp;VAR:SDATE=20090399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50__FDSAUDITLINK__" localSheetId="5" hidden="1">{"fdsup://IBCentral/FAT Viewer?action=UPDATE&amp;creator=factset&amp;DOC_NAME=fat:reuters_ltm_source_window.fat&amp;display_string=Audit&amp;DYN_ARGS=TRUE&amp;VAR:ID1=SCHS&amp;VAR:RCODE=FDSREVSTOTAL&amp;VAR:SDATE=20090799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50__FDSAUDITLINK__" localSheetId="0" hidden="1">{"fdsup://IBCentral/FAT Viewer?action=UPDATE&amp;creator=factset&amp;DOC_NAME=fat:reuters_ltm_source_window.fat&amp;display_string=Audit&amp;DYN_ARGS=TRUE&amp;VAR:ID1=SCHS&amp;VAR:RCODE=FDSREVSTOTAL&amp;VAR:SDATE=20090799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50__FDSAUDITLINK__" localSheetId="4" hidden="1">{"fdsup://IBCentral/FAT Viewer?action=UPDATE&amp;creator=factset&amp;DOC_NAME=fat:reuters_ltm_source_window.fat&amp;display_string=Audit&amp;DYN_ARGS=TRUE&amp;VAR:ID1=SCHS&amp;VAR:RCODE=FDSREVSTOTAL&amp;VAR:SDATE=20090799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50__FDSAUDITLINK__" hidden="1">{"fdsup://IBCentral/FAT Viewer?action=UPDATE&amp;creator=factset&amp;DOC_NAME=fat:reuters_ltm_source_window.fat&amp;display_string=Audit&amp;DYN_ARGS=TRUE&amp;VAR:ID1=SCHS&amp;VAR:RCODE=FDSREVSTOTAL&amp;VAR:SDATE=20090799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51__FDSAUDITLINK__" localSheetId="5" hidden="1">{"fdsup://IBCentral/FAT Viewer?action=UPDATE&amp;creator=factset&amp;DOC_NAME=fat:reuters_ltm_source_window.fat&amp;display_string=Audit&amp;DYN_ARGS=TRUE&amp;VAR:ID1=SCHS&amp;VAR:RCODE=FIBCEBITDA&amp;VAR:SDATE=20090799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1__FDSAUDITLINK__" localSheetId="0" hidden="1">{"fdsup://IBCentral/FAT Viewer?action=UPDATE&amp;creator=factset&amp;DOC_NAME=fat:reuters_ltm_source_window.fat&amp;display_string=Audit&amp;DYN_ARGS=TRUE&amp;VAR:ID1=SCHS&amp;VAR:RCODE=FIBCEBITDA&amp;VAR:SDATE=20090799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1__FDSAUDITLINK__" localSheetId="4" hidden="1">{"fdsup://IBCentral/FAT Viewer?action=UPDATE&amp;creator=factset&amp;DOC_NAME=fat:reuters_ltm_source_window.fat&amp;display_string=Audit&amp;DYN_ARGS=TRUE&amp;VAR:ID1=SCHS&amp;VAR:RCODE=FIBCEBITDA&amp;VAR:SDATE=20090799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1__FDSAUDITLINK__" hidden="1">{"fdsup://IBCentral/FAT Viewer?action=UPDATE&amp;creator=factset&amp;DOC_NAME=fat:reuters_ltm_source_window.fat&amp;display_string=Audit&amp;DYN_ARGS=TRUE&amp;VAR:ID1=SCHS&amp;VAR:RCODE=FIBCEBITDA&amp;VAR:SDATE=20090799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2__FDSAUDITLINK__" localSheetId="5" hidden="1">{"fdsup://IBCentral/FAT Viewer?action=UPDATE&amp;creator=factset&amp;DOC_NAME=fat:reuters_ltm_source_window.fat&amp;display_string=Audit&amp;DYN_ARGS=TRUE&amp;VAR:ID1=NX&amp;VAR:RCODE=FDSREVSTOTAL&amp;VAR:SDATE=20090799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2__FDSAUDITLINK__" localSheetId="0" hidden="1">{"fdsup://IBCentral/FAT Viewer?action=UPDATE&amp;creator=factset&amp;DOC_NAME=fat:reuters_ltm_source_window.fat&amp;display_string=Audit&amp;DYN_ARGS=TRUE&amp;VAR:ID1=NX&amp;VAR:RCODE=FDSREVSTOTAL&amp;VAR:SDATE=20090799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2__FDSAUDITLINK__" localSheetId="4" hidden="1">{"fdsup://IBCentral/FAT Viewer?action=UPDATE&amp;creator=factset&amp;DOC_NAME=fat:reuters_ltm_source_window.fat&amp;display_string=Audit&amp;DYN_ARGS=TRUE&amp;VAR:ID1=NX&amp;VAR:RCODE=FDSREVSTOTAL&amp;VAR:SDATE=20090799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2__FDSAUDITLINK__" hidden="1">{"fdsup://IBCentral/FAT Viewer?action=UPDATE&amp;creator=factset&amp;DOC_NAME=fat:reuters_ltm_source_window.fat&amp;display_string=Audit&amp;DYN_ARGS=TRUE&amp;VAR:ID1=NX&amp;VAR:RCODE=FDSREVSTOTAL&amp;VAR:SDATE=20090799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3__FDSAUDITLINK__" localSheetId="5" hidden="1">{"fdsup://IBCentral/FAT Viewer?action=UPDATE&amp;creator=factset&amp;DOC_NAME=fat:reuters_ltm_source_window.fat&amp;display_string=Audit&amp;DYN_ARGS=TRUE&amp;VAR:ID1=NX&amp;VAR:RCODE=FIBCEBITDA&amp;VAR:SDATE=20090799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53__FDSAUDITLINK__" localSheetId="0" hidden="1">{"fdsup://IBCentral/FAT Viewer?action=UPDATE&amp;creator=factset&amp;DOC_NAME=fat:reuters_ltm_source_window.fat&amp;display_string=Audit&amp;DYN_ARGS=TRUE&amp;VAR:ID1=NX&amp;VAR:RCODE=FIBCEBITDA&amp;VAR:SDATE=20090799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53__FDSAUDITLINK__" localSheetId="4" hidden="1">{"fdsup://IBCentral/FAT Viewer?action=UPDATE&amp;creator=factset&amp;DOC_NAME=fat:reuters_ltm_source_window.fat&amp;display_string=Audit&amp;DYN_ARGS=TRUE&amp;VAR:ID1=NX&amp;VAR:RCODE=FIBCEBITDA&amp;VAR:SDATE=20090799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53__FDSAUDITLINK__" hidden="1">{"fdsup://IBCentral/FAT Viewer?action=UPDATE&amp;creator=factset&amp;DOC_NAME=fat:reuters_ltm_source_window.fat&amp;display_string=Audit&amp;DYN_ARGS=TRUE&amp;VAR:ID1=NX&amp;VAR:RCODE=FIBCEBITDA&amp;VAR:SDATE=20090799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54__FDSAUDITLINK__" localSheetId="5" hidden="1">{"fdsup://IBCentral/FAT Viewer?action=UPDATE&amp;creator=factset&amp;DOC_NAME=fat:reuters_annual_source_window.fat&amp;display_string=Audit&amp;DYN_ARGS=TRUE&amp;VAR:ID1=36126810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54__FDSAUDITLINK__" localSheetId="0" hidden="1">{"fdsup://IBCentral/FAT Viewer?action=UPDATE&amp;creator=factset&amp;DOC_NAME=fat:reuters_annual_source_window.fat&amp;display_string=Audit&amp;DYN_ARGS=TRUE&amp;VAR:ID1=36126810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54__FDSAUDITLINK__" localSheetId="4" hidden="1">{"fdsup://IBCentral/FAT Viewer?action=UPDATE&amp;creator=factset&amp;DOC_NAME=fat:reuters_annual_source_window.fat&amp;display_string=Audit&amp;DYN_ARGS=TRUE&amp;VAR:ID1=36126810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54__FDSAUDITLINK__" hidden="1">{"fdsup://IBCentral/FAT Viewer?action=UPDATE&amp;creator=factset&amp;DOC_NAME=fat:reuters_annual_source_window.fat&amp;display_string=Audit&amp;DYN_ARGS=TRUE&amp;VAR:ID1=36126810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55__FDSAUDITLINK__" localSheetId="5" hidden="1">{"fdsup://IBCentral/FAT Viewer?action=UPDATE&amp;creator=factset&amp;DOC_NAME=fat:reuters_annual_source_window.fat&amp;display_string=Audit&amp;DYN_ARGS=TRUE&amp;VAR:ID1=36126810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55__FDSAUDITLINK__" localSheetId="0" hidden="1">{"fdsup://IBCentral/FAT Viewer?action=UPDATE&amp;creator=factset&amp;DOC_NAME=fat:reuters_annual_source_window.fat&amp;display_string=Audit&amp;DYN_ARGS=TRUE&amp;VAR:ID1=36126810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55__FDSAUDITLINK__" localSheetId="4" hidden="1">{"fdsup://IBCentral/FAT Viewer?action=UPDATE&amp;creator=factset&amp;DOC_NAME=fat:reuters_annual_source_window.fat&amp;display_string=Audit&amp;DYN_ARGS=TRUE&amp;VAR:ID1=36126810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55__FDSAUDITLINK__" hidden="1">{"fdsup://IBCentral/FAT Viewer?action=UPDATE&amp;creator=factset&amp;DOC_NAME=fat:reuters_annual_source_window.fat&amp;display_string=Audit&amp;DYN_ARGS=TRUE&amp;VAR:ID1=36126810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56__FDSAUDITLINK__" localSheetId="5" hidden="1">{"fdsup://IBCentral/FAT Viewer?action=UPDATE&amp;creator=factset&amp;DOC_NAME=fat:reuters_ltm_source_window.fat&amp;display_string=Audit&amp;DYN_ARGS=TRUE&amp;VAR:ID1=KFY&amp;VAR:RCODE=FDSREVSTOTAL&amp;VAR:SDATE=20090799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56__FDSAUDITLINK__" localSheetId="0" hidden="1">{"fdsup://IBCentral/FAT Viewer?action=UPDATE&amp;creator=factset&amp;DOC_NAME=fat:reuters_ltm_source_window.fat&amp;display_string=Audit&amp;DYN_ARGS=TRUE&amp;VAR:ID1=KFY&amp;VAR:RCODE=FDSREVSTOTAL&amp;VAR:SDATE=20090799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56__FDSAUDITLINK__" localSheetId="4" hidden="1">{"fdsup://IBCentral/FAT Viewer?action=UPDATE&amp;creator=factset&amp;DOC_NAME=fat:reuters_ltm_source_window.fat&amp;display_string=Audit&amp;DYN_ARGS=TRUE&amp;VAR:ID1=KFY&amp;VAR:RCODE=FDSREVSTOTAL&amp;VAR:SDATE=20090799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Viewer?action=UPDATE&amp;creator=factset&amp;DOC_NAME=fat:reuters_ltm_source_window.fat&amp;display_string=Audit&amp;DYN_ARGS=TRUE&amp;VAR:ID1=KFY&amp;VAR:RCODE=FDSREVSTOTAL&amp;VAR:SDATE=20090799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57__FDSAUDITLINK__" localSheetId="5" hidden="1">{"fdsup://IBCentral/FAT Viewer?action=UPDATE&amp;creator=factset&amp;DOC_NAME=fat:reuters_ltm_source_window.fat&amp;display_string=Audit&amp;DYN_ARGS=TRUE&amp;VAR:ID1=KFY&amp;VAR:RCODE=FIBCEBITDA&amp;VAR:SDATE=20090799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57__FDSAUDITLINK__" localSheetId="0" hidden="1">{"fdsup://IBCentral/FAT Viewer?action=UPDATE&amp;creator=factset&amp;DOC_NAME=fat:reuters_ltm_source_window.fat&amp;display_string=Audit&amp;DYN_ARGS=TRUE&amp;VAR:ID1=KFY&amp;VAR:RCODE=FIBCEBITDA&amp;VAR:SDATE=20090799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57__FDSAUDITLINK__" localSheetId="4" hidden="1">{"fdsup://IBCentral/FAT Viewer?action=UPDATE&amp;creator=factset&amp;DOC_NAME=fat:reuters_ltm_source_window.fat&amp;display_string=Audit&amp;DYN_ARGS=TRUE&amp;VAR:ID1=KFY&amp;VAR:RCODE=FIBCEBITDA&amp;VAR:SDATE=20090799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57__FDSAUDITLINK__" hidden="1">{"fdsup://IBCentral/FAT Viewer?action=UPDATE&amp;creator=factset&amp;DOC_NAME=fat:reuters_ltm_source_window.fat&amp;display_string=Audit&amp;DYN_ARGS=TRUE&amp;VAR:ID1=KFY&amp;VAR:RCODE=FIBCEBITDA&amp;VAR:SDATE=20090799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58__FDSAUDITLINK__" localSheetId="5" hidden="1">{"fdsup://IBCentral/FAT Viewer?action=UPDATE&amp;creator=factset&amp;DOC_NAME=fat:reuters_ltm_source_window.fat&amp;display_string=Audit&amp;DYN_ARGS=TRUE&amp;VAR:ID1=AVAV&amp;VAR:RCODE=FDSREVSTOTAL&amp;VAR:SDATE=20090799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58__FDSAUDITLINK__" localSheetId="0" hidden="1">{"fdsup://IBCentral/FAT Viewer?action=UPDATE&amp;creator=factset&amp;DOC_NAME=fat:reuters_ltm_source_window.fat&amp;display_string=Audit&amp;DYN_ARGS=TRUE&amp;VAR:ID1=AVAV&amp;VAR:RCODE=FDSREVSTOTAL&amp;VAR:SDATE=20090799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58__FDSAUDITLINK__" localSheetId="4" hidden="1">{"fdsup://IBCentral/FAT Viewer?action=UPDATE&amp;creator=factset&amp;DOC_NAME=fat:reuters_ltm_source_window.fat&amp;display_string=Audit&amp;DYN_ARGS=TRUE&amp;VAR:ID1=AVAV&amp;VAR:RCODE=FDSREVSTOTAL&amp;VAR:SDATE=20090799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58__FDSAUDITLINK__" hidden="1">{"fdsup://IBCentral/FAT Viewer?action=UPDATE&amp;creator=factset&amp;DOC_NAME=fat:reuters_ltm_source_window.fat&amp;display_string=Audit&amp;DYN_ARGS=TRUE&amp;VAR:ID1=AVAV&amp;VAR:RCODE=FDSREVSTOTAL&amp;VAR:SDATE=20090799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59__FDSAUDITLINK__" localSheetId="5" hidden="1">{"fdsup://IBCentral/FAT Viewer?action=UPDATE&amp;creator=factset&amp;DOC_NAME=fat:reuters_ltm_source_window.fat&amp;display_string=Audit&amp;DYN_ARGS=TRUE&amp;VAR:ID1=AVAV&amp;VAR:RCODE=FIBCEBITDA&amp;VAR:SDATE=20090799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9__FDSAUDITLINK__" localSheetId="0" hidden="1">{"fdsup://IBCentral/FAT Viewer?action=UPDATE&amp;creator=factset&amp;DOC_NAME=fat:reuters_ltm_source_window.fat&amp;display_string=Audit&amp;DYN_ARGS=TRUE&amp;VAR:ID1=AVAV&amp;VAR:RCODE=FIBCEBITDA&amp;VAR:SDATE=20090799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9__FDSAUDITLINK__" localSheetId="4" hidden="1">{"fdsup://IBCentral/FAT Viewer?action=UPDATE&amp;creator=factset&amp;DOC_NAME=fat:reuters_ltm_source_window.fat&amp;display_string=Audit&amp;DYN_ARGS=TRUE&amp;VAR:ID1=AVAV&amp;VAR:RCODE=FIBCEBITDA&amp;VAR:SDATE=20090799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59__FDSAUDITLINK__" hidden="1">{"fdsup://IBCentral/FAT Viewer?action=UPDATE&amp;creator=factset&amp;DOC_NAME=fat:reuters_ltm_source_window.fat&amp;display_string=Audit&amp;DYN_ARGS=TRUE&amp;VAR:ID1=AVAV&amp;VAR:RCODE=FIBCEBITDA&amp;VAR:SDATE=20090799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6__FDSAUDITLINK__" localSheetId="5" hidden="1">{"fdsup://IBCentral/FAT Viewer?action=UPDATE&amp;creator=factset&amp;DOC_NAME=fat:reuters_ltm_source_window.fat&amp;display_string=Audit&amp;DYN_ARGS=TRUE&amp;VAR:ID1=ETN&amp;VAR:RCODE=FIBCEBITDA&amp;VAR:SDATE=20090399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__FDSAUDITLINK__" localSheetId="0" hidden="1">{"fdsup://IBCentral/FAT Viewer?action=UPDATE&amp;creator=factset&amp;DOC_NAME=fat:reuters_ltm_source_window.fat&amp;display_string=Audit&amp;DYN_ARGS=TRUE&amp;VAR:ID1=ETN&amp;VAR:RCODE=FIBCEBITDA&amp;VAR:SDATE=20090399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__FDSAUDITLINK__" localSheetId="4" hidden="1">{"fdsup://IBCentral/FAT Viewer?action=UPDATE&amp;creator=factset&amp;DOC_NAME=fat:reuters_ltm_source_window.fat&amp;display_string=Audit&amp;DYN_ARGS=TRUE&amp;VAR:ID1=ETN&amp;VAR:RCODE=FIBCEBITDA&amp;VAR:SDATE=20090399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__FDSAUDITLINK__" hidden="1">{"fdsup://IBCentral/FAT Viewer?action=UPDATE&amp;creator=factset&amp;DOC_NAME=fat:reuters_ltm_source_window.fat&amp;display_string=Audit&amp;DYN_ARGS=TRUE&amp;VAR:ID1=ETN&amp;VAR:RCODE=FIBCEBITDA&amp;VAR:SDATE=20090399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0__FDSAUDITLINK__" localSheetId="5" hidden="1">{"fdsup://IBCentral/FAT Viewer?action=UPDATE&amp;creator=factset&amp;DOC_NAME=fat:reuters_ltm_source_window.fat&amp;display_string=Audit&amp;DYN_ARGS=TRUE&amp;VAR:ID1=AIR&amp;VAR:RCODE=FDSREVSTOTAL&amp;VAR:SDATE=20090899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60__FDSAUDITLINK__" localSheetId="0" hidden="1">{"fdsup://IBCentral/FAT Viewer?action=UPDATE&amp;creator=factset&amp;DOC_NAME=fat:reuters_ltm_source_window.fat&amp;display_string=Audit&amp;DYN_ARGS=TRUE&amp;VAR:ID1=AIR&amp;VAR:RCODE=FDSREVSTOTAL&amp;VAR:SDATE=20090899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60__FDSAUDITLINK__" localSheetId="4" hidden="1">{"fdsup://IBCentral/FAT Viewer?action=UPDATE&amp;creator=factset&amp;DOC_NAME=fat:reuters_ltm_source_window.fat&amp;display_string=Audit&amp;DYN_ARGS=TRUE&amp;VAR:ID1=AIR&amp;VAR:RCODE=FDSREVSTOTAL&amp;VAR:SDATE=20090899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60__FDSAUDITLINK__" hidden="1">{"fdsup://IBCentral/FAT Viewer?action=UPDATE&amp;creator=factset&amp;DOC_NAME=fat:reuters_ltm_source_window.fat&amp;display_string=Audit&amp;DYN_ARGS=TRUE&amp;VAR:ID1=AIR&amp;VAR:RCODE=FDSREVSTOTAL&amp;VAR:SDATE=20090899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61__FDSAUDITLINK__" localSheetId="5" hidden="1">{"fdsup://IBCentral/FAT Viewer?action=UPDATE&amp;creator=factset&amp;DOC_NAME=fat:reuters_ltm_source_window.fat&amp;display_string=Audit&amp;DYN_ARGS=TRUE&amp;VAR:ID1=AIR&amp;VAR:RCODE=FIBCEBITDA&amp;VAR:SDATE=20090899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1__FDSAUDITLINK__" localSheetId="0" hidden="1">{"fdsup://IBCentral/FAT Viewer?action=UPDATE&amp;creator=factset&amp;DOC_NAME=fat:reuters_ltm_source_window.fat&amp;display_string=Audit&amp;DYN_ARGS=TRUE&amp;VAR:ID1=AIR&amp;VAR:RCODE=FIBCEBITDA&amp;VAR:SDATE=20090899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1__FDSAUDITLINK__" localSheetId="4" hidden="1">{"fdsup://IBCentral/FAT Viewer?action=UPDATE&amp;creator=factset&amp;DOC_NAME=fat:reuters_ltm_source_window.fat&amp;display_string=Audit&amp;DYN_ARGS=TRUE&amp;VAR:ID1=AIR&amp;VAR:RCODE=FIBCEBITDA&amp;VAR:SDATE=20090899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1__FDSAUDITLINK__" hidden="1">{"fdsup://IBCentral/FAT Viewer?action=UPDATE&amp;creator=factset&amp;DOC_NAME=fat:reuters_ltm_source_window.fat&amp;display_string=Audit&amp;DYN_ARGS=TRUE&amp;VAR:ID1=AIR&amp;VAR:RCODE=FIBCEBITDA&amp;VAR:SDATE=20090899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2__FDSAUDITLINK__" localSheetId="5" hidden="1">{"fdsup://IBCentral/FAT Viewer?action=UPDATE&amp;creator=factset&amp;DOC_NAME=fat:reuters_ltm_source_window.fat&amp;display_string=Audit&amp;DYN_ARGS=TRUE&amp;VAR:ID1=MLHR&amp;VAR:RCODE=FDSREVSTOTAL&amp;VAR:SDATE=20090899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62__FDSAUDITLINK__" localSheetId="0" hidden="1">{"fdsup://IBCentral/FAT Viewer?action=UPDATE&amp;creator=factset&amp;DOC_NAME=fat:reuters_ltm_source_window.fat&amp;display_string=Audit&amp;DYN_ARGS=TRUE&amp;VAR:ID1=MLHR&amp;VAR:RCODE=FDSREVSTOTAL&amp;VAR:SDATE=20090899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62__FDSAUDITLINK__" localSheetId="4" hidden="1">{"fdsup://IBCentral/FAT Viewer?action=UPDATE&amp;creator=factset&amp;DOC_NAME=fat:reuters_ltm_source_window.fat&amp;display_string=Audit&amp;DYN_ARGS=TRUE&amp;VAR:ID1=MLHR&amp;VAR:RCODE=FDSREVSTOTAL&amp;VAR:SDATE=20090899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62__FDSAUDITLINK__" hidden="1">{"fdsup://IBCentral/FAT Viewer?action=UPDATE&amp;creator=factset&amp;DOC_NAME=fat:reuters_ltm_source_window.fat&amp;display_string=Audit&amp;DYN_ARGS=TRUE&amp;VAR:ID1=MLHR&amp;VAR:RCODE=FDSREVSTOTAL&amp;VAR:SDATE=20090899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63__FDSAUDITLINK__" localSheetId="5" hidden="1">{"fdsup://IBCentral/FAT Viewer?action=UPDATE&amp;creator=factset&amp;DOC_NAME=fat:reuters_ltm_source_window.fat&amp;display_string=Audit&amp;DYN_ARGS=TRUE&amp;VAR:ID1=MLHR&amp;VAR:RCODE=FIBCEBITDA&amp;VAR:SDATE=20090899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63__FDSAUDITLINK__" localSheetId="0" hidden="1">{"fdsup://IBCentral/FAT Viewer?action=UPDATE&amp;creator=factset&amp;DOC_NAME=fat:reuters_ltm_source_window.fat&amp;display_string=Audit&amp;DYN_ARGS=TRUE&amp;VAR:ID1=MLHR&amp;VAR:RCODE=FIBCEBITDA&amp;VAR:SDATE=20090899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63__FDSAUDITLINK__" localSheetId="4" hidden="1">{"fdsup://IBCentral/FAT Viewer?action=UPDATE&amp;creator=factset&amp;DOC_NAME=fat:reuters_ltm_source_window.fat&amp;display_string=Audit&amp;DYN_ARGS=TRUE&amp;VAR:ID1=MLHR&amp;VAR:RCODE=FIBCEBITDA&amp;VAR:SDATE=20090899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63__FDSAUDITLINK__" hidden="1">{"fdsup://IBCentral/FAT Viewer?action=UPDATE&amp;creator=factset&amp;DOC_NAME=fat:reuters_ltm_source_window.fat&amp;display_string=Audit&amp;DYN_ARGS=TRUE&amp;VAR:ID1=MLHR&amp;VAR:RCODE=FIBCEBITDA&amp;VAR:SDATE=20090899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64__FDSAUDITLINK__" localSheetId="5" hidden="1">{"fdsup://IBCentral/FAT Viewer?action=UPDATE&amp;creator=factset&amp;DOC_NAME=fat:reuters_ltm_source_window.fat&amp;display_string=Audit&amp;DYN_ARGS=TRUE&amp;VAR:ID1=ESL&amp;VAR:RCODE=FDSREVSTOTAL&amp;VAR:SDATE=20090799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64__FDSAUDITLINK__" localSheetId="0" hidden="1">{"fdsup://IBCentral/FAT Viewer?action=UPDATE&amp;creator=factset&amp;DOC_NAME=fat:reuters_ltm_source_window.fat&amp;display_string=Audit&amp;DYN_ARGS=TRUE&amp;VAR:ID1=ESL&amp;VAR:RCODE=FDSREVSTOTAL&amp;VAR:SDATE=20090799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64__FDSAUDITLINK__" localSheetId="4" hidden="1">{"fdsup://IBCentral/FAT Viewer?action=UPDATE&amp;creator=factset&amp;DOC_NAME=fat:reuters_ltm_source_window.fat&amp;display_string=Audit&amp;DYN_ARGS=TRUE&amp;VAR:ID1=ESL&amp;VAR:RCODE=FDSREVSTOTAL&amp;VAR:SDATE=20090799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64__FDSAUDITLINK__" hidden="1">{"fdsup://IBCentral/FAT Viewer?action=UPDATE&amp;creator=factset&amp;DOC_NAME=fat:reuters_ltm_source_window.fat&amp;display_string=Audit&amp;DYN_ARGS=TRUE&amp;VAR:ID1=ESL&amp;VAR:RCODE=FDSREVSTOTAL&amp;VAR:SDATE=20090799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65__FDSAUDITLINK__" localSheetId="5" hidden="1">{"fdsup://IBCentral/FAT Viewer?action=UPDATE&amp;creator=factset&amp;DOC_NAME=fat:reuters_ltm_source_window.fat&amp;display_string=Audit&amp;DYN_ARGS=TRUE&amp;VAR:ID1=ESL&amp;VAR:RCODE=FIBCEBITDA&amp;VAR:SDATE=20090799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5__FDSAUDITLINK__" localSheetId="0" hidden="1">{"fdsup://IBCentral/FAT Viewer?action=UPDATE&amp;creator=factset&amp;DOC_NAME=fat:reuters_ltm_source_window.fat&amp;display_string=Audit&amp;DYN_ARGS=TRUE&amp;VAR:ID1=ESL&amp;VAR:RCODE=FIBCEBITDA&amp;VAR:SDATE=20090799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5__FDSAUDITLINK__" localSheetId="4" hidden="1">{"fdsup://IBCentral/FAT Viewer?action=UPDATE&amp;creator=factset&amp;DOC_NAME=fat:reuters_ltm_source_window.fat&amp;display_string=Audit&amp;DYN_ARGS=TRUE&amp;VAR:ID1=ESL&amp;VAR:RCODE=FIBCEBITDA&amp;VAR:SDATE=20090799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5__FDSAUDITLINK__" hidden="1">{"fdsup://IBCentral/FAT Viewer?action=UPDATE&amp;creator=factset&amp;DOC_NAME=fat:reuters_ltm_source_window.fat&amp;display_string=Audit&amp;DYN_ARGS=TRUE&amp;VAR:ID1=ESL&amp;VAR:RCODE=FIBCEBITDA&amp;VAR:SDATE=20090799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66__FDSAUDITLINK__" localSheetId="5" hidden="1">{"fdsup://IBCentral/FAT Viewer?action=UPDATE&amp;creator=factset&amp;DOC_NAME=fat:reuters_annual_source_window.fat&amp;display_string=Audit&amp;DYN_ARGS=TRUE&amp;VAR:ID1=03820C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66__FDSAUDITLINK__" localSheetId="0" hidden="1">{"fdsup://IBCentral/FAT Viewer?action=UPDATE&amp;creator=factset&amp;DOC_NAME=fat:reuters_annual_source_window.fat&amp;display_string=Audit&amp;DYN_ARGS=TRUE&amp;VAR:ID1=03820C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66__FDSAUDITLINK__" localSheetId="4" hidden="1">{"fdsup://IBCentral/FAT Viewer?action=UPDATE&amp;creator=factset&amp;DOC_NAME=fat:reuters_annual_source_window.fat&amp;display_string=Audit&amp;DYN_ARGS=TRUE&amp;VAR:ID1=03820C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66__FDSAUDITLINK__" hidden="1">{"fdsup://IBCentral/FAT Viewer?action=UPDATE&amp;creator=factset&amp;DOC_NAME=fat:reuters_annual_source_window.fat&amp;display_string=Audit&amp;DYN_ARGS=TRUE&amp;VAR:ID1=03820C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67__FDSAUDITLINK__" localSheetId="5" hidden="1">{"fdsup://IBCentral/FAT Viewer?action=UPDATE&amp;creator=factset&amp;DOC_NAME=fat:reuters_annual_source_window.fat&amp;display_string=Audit&amp;DYN_ARGS=TRUE&amp;VAR:ID1=03820C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67__FDSAUDITLINK__" localSheetId="0" hidden="1">{"fdsup://IBCentral/FAT Viewer?action=UPDATE&amp;creator=factset&amp;DOC_NAME=fat:reuters_annual_source_window.fat&amp;display_string=Audit&amp;DYN_ARGS=TRUE&amp;VAR:ID1=03820C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67__FDSAUDITLINK__" localSheetId="4" hidden="1">{"fdsup://IBCentral/FAT Viewer?action=UPDATE&amp;creator=factset&amp;DOC_NAME=fat:reuters_annual_source_window.fat&amp;display_string=Audit&amp;DYN_ARGS=TRUE&amp;VAR:ID1=03820C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67__FDSAUDITLINK__" hidden="1">{"fdsup://IBCentral/FAT Viewer?action=UPDATE&amp;creator=factset&amp;DOC_NAME=fat:reuters_annual_source_window.fat&amp;display_string=Audit&amp;DYN_ARGS=TRUE&amp;VAR:ID1=03820C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68__FDSAUDITLINK__" localSheetId="5" hidden="1">{"fdsup://IBCentral/FAT Viewer?action=UPDATE&amp;creator=factset&amp;DOC_NAME=fat:reuters_annual_source_window.fat&amp;display_string=Audit&amp;DYN_ARGS=TRUE&amp;VAR:ID1=10904310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68__FDSAUDITLINK__" localSheetId="0" hidden="1">{"fdsup://IBCentral/FAT Viewer?action=UPDATE&amp;creator=factset&amp;DOC_NAME=fat:reuters_annual_source_window.fat&amp;display_string=Audit&amp;DYN_ARGS=TRUE&amp;VAR:ID1=10904310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68__FDSAUDITLINK__" localSheetId="4" hidden="1">{"fdsup://IBCentral/FAT Viewer?action=UPDATE&amp;creator=factset&amp;DOC_NAME=fat:reuters_annual_source_window.fat&amp;display_string=Audit&amp;DYN_ARGS=TRUE&amp;VAR:ID1=10904310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68__FDSAUDITLINK__" hidden="1">{"fdsup://IBCentral/FAT Viewer?action=UPDATE&amp;creator=factset&amp;DOC_NAME=fat:reuters_annual_source_window.fat&amp;display_string=Audit&amp;DYN_ARGS=TRUE&amp;VAR:ID1=10904310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69__FDSAUDITLINK__" localSheetId="5" hidden="1">{"fdsup://IBCentral/FAT Viewer?action=UPDATE&amp;creator=factset&amp;DOC_NAME=fat:reuters_annual_source_window.fat&amp;display_string=Audit&amp;DYN_ARGS=TRUE&amp;VAR:ID1=10904310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69__FDSAUDITLINK__" localSheetId="0" hidden="1">{"fdsup://IBCentral/FAT Viewer?action=UPDATE&amp;creator=factset&amp;DOC_NAME=fat:reuters_annual_source_window.fat&amp;display_string=Audit&amp;DYN_ARGS=TRUE&amp;VAR:ID1=10904310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69__FDSAUDITLINK__" localSheetId="4" hidden="1">{"fdsup://IBCentral/FAT Viewer?action=UPDATE&amp;creator=factset&amp;DOC_NAME=fat:reuters_annual_source_window.fat&amp;display_string=Audit&amp;DYN_ARGS=TRUE&amp;VAR:ID1=10904310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69__FDSAUDITLINK__" hidden="1">{"fdsup://IBCentral/FAT Viewer?action=UPDATE&amp;creator=factset&amp;DOC_NAME=fat:reuters_annual_source_window.fat&amp;display_string=Audit&amp;DYN_ARGS=TRUE&amp;VAR:ID1=10904310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7__123Graph_AChart_1Z" localSheetId="0" hidden="1">#REF!</definedName>
    <definedName name="_97__123Graph_AChart_1Z" hidden="1">#REF!</definedName>
    <definedName name="_97__FDSAUDITLINK__" localSheetId="5" hidden="1">{"fdsup://IBCentral/FAT Viewer?action=UPDATE&amp;creator=factset&amp;DOC_NAME=fat:reuters_ltm_source_window.fat&amp;display_string=Audit&amp;DYN_ARGS=TRUE&amp;VAR:ID1=EXPD&amp;VAR:RCODE=FIBCEBITDA&amp;VAR:SDATE=20090399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7__FDSAUDITLINK__" localSheetId="0" hidden="1">{"fdsup://IBCentral/FAT Viewer?action=UPDATE&amp;creator=factset&amp;DOC_NAME=fat:reuters_ltm_source_window.fat&amp;display_string=Audit&amp;DYN_ARGS=TRUE&amp;VAR:ID1=EXPD&amp;VAR:RCODE=FIBCEBITDA&amp;VAR:SDATE=20090399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7__FDSAUDITLINK__" localSheetId="4" hidden="1">{"fdsup://IBCentral/FAT Viewer?action=UPDATE&amp;creator=factset&amp;DOC_NAME=fat:reuters_ltm_source_window.fat&amp;display_string=Audit&amp;DYN_ARGS=TRUE&amp;VAR:ID1=EXPD&amp;VAR:RCODE=FIBCEBITDA&amp;VAR:SDATE=20090399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7__FDSAUDITLINK__" hidden="1">{"fdsup://IBCentral/FAT Viewer?action=UPDATE&amp;creator=factset&amp;DOC_NAME=fat:reuters_ltm_source_window.fat&amp;display_string=Audit&amp;DYN_ARGS=TRUE&amp;VAR:ID1=EXPD&amp;VAR:RCODE=FIBCEBITDA&amp;VAR:SDATE=20090399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70__FDSAUDITLINK__" localSheetId="5" hidden="1">{"fdsup://IBCentral/FAT Viewer?action=UPDATE&amp;creator=factset&amp;DOC_NAME=fat:reuters_ltm_source_window.fat&amp;display_string=Audit&amp;DYN_ARGS=TRUE&amp;VAR:ID1=ABM&amp;VAR:RCODE=FDSREVSTOTAL&amp;VAR:SDATE=20090799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0__FDSAUDITLINK__" localSheetId="0" hidden="1">{"fdsup://IBCentral/FAT Viewer?action=UPDATE&amp;creator=factset&amp;DOC_NAME=fat:reuters_ltm_source_window.fat&amp;display_string=Audit&amp;DYN_ARGS=TRUE&amp;VAR:ID1=ABM&amp;VAR:RCODE=FDSREVSTOTAL&amp;VAR:SDATE=20090799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0__FDSAUDITLINK__" localSheetId="4" hidden="1">{"fdsup://IBCentral/FAT Viewer?action=UPDATE&amp;creator=factset&amp;DOC_NAME=fat:reuters_ltm_source_window.fat&amp;display_string=Audit&amp;DYN_ARGS=TRUE&amp;VAR:ID1=ABM&amp;VAR:RCODE=FDSREVSTOTAL&amp;VAR:SDATE=20090799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0__FDSAUDITLINK__" hidden="1">{"fdsup://IBCentral/FAT Viewer?action=UPDATE&amp;creator=factset&amp;DOC_NAME=fat:reuters_ltm_source_window.fat&amp;display_string=Audit&amp;DYN_ARGS=TRUE&amp;VAR:ID1=ABM&amp;VAR:RCODE=FDSREVSTOTAL&amp;VAR:SDATE=20090799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1__FDSAUDITLINK__" localSheetId="5" hidden="1">{"fdsup://IBCentral/FAT Viewer?action=UPDATE&amp;creator=factset&amp;DOC_NAME=fat:reuters_ltm_source_window.fat&amp;display_string=Audit&amp;DYN_ARGS=TRUE&amp;VAR:ID1=ABM&amp;VAR:RCODE=FIBCEBITDA&amp;VAR:SDATE=20090799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1__FDSAUDITLINK__" localSheetId="0" hidden="1">{"fdsup://IBCentral/FAT Viewer?action=UPDATE&amp;creator=factset&amp;DOC_NAME=fat:reuters_ltm_source_window.fat&amp;display_string=Audit&amp;DYN_ARGS=TRUE&amp;VAR:ID1=ABM&amp;VAR:RCODE=FIBCEBITDA&amp;VAR:SDATE=20090799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1__FDSAUDITLINK__" localSheetId="4" hidden="1">{"fdsup://IBCentral/FAT Viewer?action=UPDATE&amp;creator=factset&amp;DOC_NAME=fat:reuters_ltm_source_window.fat&amp;display_string=Audit&amp;DYN_ARGS=TRUE&amp;VAR:ID1=ABM&amp;VAR:RCODE=FIBCEBITDA&amp;VAR:SDATE=20090799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1__FDSAUDITLINK__" hidden="1">{"fdsup://IBCentral/FAT Viewer?action=UPDATE&amp;creator=factset&amp;DOC_NAME=fat:reuters_ltm_source_window.fat&amp;display_string=Audit&amp;DYN_ARGS=TRUE&amp;VAR:ID1=ABM&amp;VAR:RCODE=FIBCEBITDA&amp;VAR:SDATE=20090799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2__FDSAUDITLINK__" localSheetId="5" hidden="1">{"fdsup://IBCentral/FAT Viewer?action=UPDATE&amp;creator=factset&amp;DOC_NAME=fat:reuters_ltm_source_window.fat&amp;display_string=Audit&amp;DYN_ARGS=TRUE&amp;VAR:ID1=NDSN&amp;VAR:RCODE=FDSREVSTOTAL&amp;VAR:SDATE=20090799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72__FDSAUDITLINK__" localSheetId="0" hidden="1">{"fdsup://IBCentral/FAT Viewer?action=UPDATE&amp;creator=factset&amp;DOC_NAME=fat:reuters_ltm_source_window.fat&amp;display_string=Audit&amp;DYN_ARGS=TRUE&amp;VAR:ID1=NDSN&amp;VAR:RCODE=FDSREVSTOTAL&amp;VAR:SDATE=20090799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72__FDSAUDITLINK__" localSheetId="4" hidden="1">{"fdsup://IBCentral/FAT Viewer?action=UPDATE&amp;creator=factset&amp;DOC_NAME=fat:reuters_ltm_source_window.fat&amp;display_string=Audit&amp;DYN_ARGS=TRUE&amp;VAR:ID1=NDSN&amp;VAR:RCODE=FDSREVSTOTAL&amp;VAR:SDATE=20090799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72__FDSAUDITLINK__" hidden="1">{"fdsup://IBCentral/FAT Viewer?action=UPDATE&amp;creator=factset&amp;DOC_NAME=fat:reuters_ltm_source_window.fat&amp;display_string=Audit&amp;DYN_ARGS=TRUE&amp;VAR:ID1=NDSN&amp;VAR:RCODE=FDSREVSTOTAL&amp;VAR:SDATE=20090799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73__FDSAUDITLINK__" localSheetId="5" hidden="1">{"fdsup://IBCentral/FAT Viewer?action=UPDATE&amp;creator=factset&amp;DOC_NAME=fat:reuters_ltm_source_window.fat&amp;display_string=Audit&amp;DYN_ARGS=TRUE&amp;VAR:ID1=NDSN&amp;VAR:RCODE=FIBCEBITDA&amp;VAR:SDATE=20090799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73__FDSAUDITLINK__" localSheetId="0" hidden="1">{"fdsup://IBCentral/FAT Viewer?action=UPDATE&amp;creator=factset&amp;DOC_NAME=fat:reuters_ltm_source_window.fat&amp;display_string=Audit&amp;DYN_ARGS=TRUE&amp;VAR:ID1=NDSN&amp;VAR:RCODE=FIBCEBITDA&amp;VAR:SDATE=20090799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73__FDSAUDITLINK__" localSheetId="4" hidden="1">{"fdsup://IBCentral/FAT Viewer?action=UPDATE&amp;creator=factset&amp;DOC_NAME=fat:reuters_ltm_source_window.fat&amp;display_string=Audit&amp;DYN_ARGS=TRUE&amp;VAR:ID1=NDSN&amp;VAR:RCODE=FIBCEBITDA&amp;VAR:SDATE=20090799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Viewer?action=UPDATE&amp;creator=factset&amp;DOC_NAME=fat:reuters_ltm_source_window.fat&amp;display_string=Audit&amp;DYN_ARGS=TRUE&amp;VAR:ID1=NDSN&amp;VAR:RCODE=FIBCEBITDA&amp;VAR:SDATE=20090799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74__FDSAUDITLINK__" localSheetId="5" hidden="1">{"fdsup://IBCentral/FAT Viewer?action=UPDATE&amp;creator=factset&amp;DOC_NAME=fat:reuters_annual_source_window.fat&amp;display_string=Audit&amp;DYN_ARGS=TRUE&amp;VAR:ID1=10467410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74__FDSAUDITLINK__" localSheetId="0" hidden="1">{"fdsup://IBCentral/FAT Viewer?action=UPDATE&amp;creator=factset&amp;DOC_NAME=fat:reuters_annual_source_window.fat&amp;display_string=Audit&amp;DYN_ARGS=TRUE&amp;VAR:ID1=10467410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74__FDSAUDITLINK__" localSheetId="4" hidden="1">{"fdsup://IBCentral/FAT Viewer?action=UPDATE&amp;creator=factset&amp;DOC_NAME=fat:reuters_annual_source_window.fat&amp;display_string=Audit&amp;DYN_ARGS=TRUE&amp;VAR:ID1=10467410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10467410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75__FDSAUDITLINK__" localSheetId="5" hidden="1">{"fdsup://IBCentral/FAT Viewer?action=UPDATE&amp;creator=factset&amp;DOC_NAME=fat:reuters_annual_source_window.fat&amp;display_string=Audit&amp;DYN_ARGS=TRUE&amp;VAR:ID1=10467410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75__FDSAUDITLINK__" localSheetId="0" hidden="1">{"fdsup://IBCentral/FAT Viewer?action=UPDATE&amp;creator=factset&amp;DOC_NAME=fat:reuters_annual_source_window.fat&amp;display_string=Audit&amp;DYN_ARGS=TRUE&amp;VAR:ID1=10467410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75__FDSAUDITLINK__" localSheetId="4" hidden="1">{"fdsup://IBCentral/FAT Viewer?action=UPDATE&amp;creator=factset&amp;DOC_NAME=fat:reuters_annual_source_window.fat&amp;display_string=Audit&amp;DYN_ARGS=TRUE&amp;VAR:ID1=10467410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10467410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76__FDSAUDITLINK__" localSheetId="5" hidden="1">{"fdsup://IBCentral/FAT Viewer?action=UPDATE&amp;creator=factset&amp;DOC_NAME=fat:reuters_ltm_source_window.fat&amp;display_string=Audit&amp;DYN_ARGS=TRUE&amp;VAR:ID1=TTC&amp;VAR:RCODE=FDSREVSTOTAL&amp;VAR:SDATE=20090799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6__FDSAUDITLINK__" localSheetId="0" hidden="1">{"fdsup://IBCentral/FAT Viewer?action=UPDATE&amp;creator=factset&amp;DOC_NAME=fat:reuters_ltm_source_window.fat&amp;display_string=Audit&amp;DYN_ARGS=TRUE&amp;VAR:ID1=TTC&amp;VAR:RCODE=FDSREVSTOTAL&amp;VAR:SDATE=20090799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6__FDSAUDITLINK__" localSheetId="4" hidden="1">{"fdsup://IBCentral/FAT Viewer?action=UPDATE&amp;creator=factset&amp;DOC_NAME=fat:reuters_ltm_source_window.fat&amp;display_string=Audit&amp;DYN_ARGS=TRUE&amp;VAR:ID1=TTC&amp;VAR:RCODE=FDSREVSTOTAL&amp;VAR:SDATE=20090799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6__FDSAUDITLINK__" hidden="1">{"fdsup://IBCentral/FAT Viewer?action=UPDATE&amp;creator=factset&amp;DOC_NAME=fat:reuters_ltm_source_window.fat&amp;display_string=Audit&amp;DYN_ARGS=TRUE&amp;VAR:ID1=TTC&amp;VAR:RCODE=FDSREVSTOTAL&amp;VAR:SDATE=20090799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7__FDSAUDITLINK__" localSheetId="5" hidden="1">{"fdsup://IBCentral/FAT Viewer?action=UPDATE&amp;creator=factset&amp;DOC_NAME=fat:reuters_ltm_source_window.fat&amp;display_string=Audit&amp;DYN_ARGS=TRUE&amp;VAR:ID1=TTC&amp;VAR:RCODE=FIBCEBITDA&amp;VAR:SDATE=20090799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7__FDSAUDITLINK__" localSheetId="0" hidden="1">{"fdsup://IBCentral/FAT Viewer?action=UPDATE&amp;creator=factset&amp;DOC_NAME=fat:reuters_ltm_source_window.fat&amp;display_string=Audit&amp;DYN_ARGS=TRUE&amp;VAR:ID1=TTC&amp;VAR:RCODE=FIBCEBITDA&amp;VAR:SDATE=20090799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7__FDSAUDITLINK__" localSheetId="4" hidden="1">{"fdsup://IBCentral/FAT Viewer?action=UPDATE&amp;creator=factset&amp;DOC_NAME=fat:reuters_ltm_source_window.fat&amp;display_string=Audit&amp;DYN_ARGS=TRUE&amp;VAR:ID1=TTC&amp;VAR:RCODE=FIBCEBITDA&amp;VAR:SDATE=20090799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7__FDSAUDITLINK__" hidden="1">{"fdsup://IBCentral/FAT Viewer?action=UPDATE&amp;creator=factset&amp;DOC_NAME=fat:reuters_ltm_source_window.fat&amp;display_string=Audit&amp;DYN_ARGS=TRUE&amp;VAR:ID1=TTC&amp;VAR:RCODE=FIBCEBITDA&amp;VAR:SDATE=20090799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8__FDSAUDITLINK__" localSheetId="5" hidden="1">{"fdsup://IBCentral/FAT Viewer?action=UPDATE&amp;creator=factset&amp;DOC_NAME=fat:reuters_ltm_source_window.fat&amp;display_string=Audit&amp;DYN_ARGS=TRUE&amp;VAR:ID1=CLC&amp;VAR:RCODE=FDSREVSTOTAL&amp;VAR:SDATE=20090899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8__FDSAUDITLINK__" localSheetId="0" hidden="1">{"fdsup://IBCentral/FAT Viewer?action=UPDATE&amp;creator=factset&amp;DOC_NAME=fat:reuters_ltm_source_window.fat&amp;display_string=Audit&amp;DYN_ARGS=TRUE&amp;VAR:ID1=CLC&amp;VAR:RCODE=FDSREVSTOTAL&amp;VAR:SDATE=20090899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8__FDSAUDITLINK__" localSheetId="4" hidden="1">{"fdsup://IBCentral/FAT Viewer?action=UPDATE&amp;creator=factset&amp;DOC_NAME=fat:reuters_ltm_source_window.fat&amp;display_string=Audit&amp;DYN_ARGS=TRUE&amp;VAR:ID1=CLC&amp;VAR:RCODE=FDSREVSTOTAL&amp;VAR:SDATE=20090899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8__FDSAUDITLINK__" hidden="1">{"fdsup://IBCentral/FAT Viewer?action=UPDATE&amp;creator=factset&amp;DOC_NAME=fat:reuters_ltm_source_window.fat&amp;display_string=Audit&amp;DYN_ARGS=TRUE&amp;VAR:ID1=CLC&amp;VAR:RCODE=FDSREVSTOTAL&amp;VAR:SDATE=20090899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79__FDSAUDITLINK__" localSheetId="5" hidden="1">{"fdsup://IBCentral/FAT Viewer?action=UPDATE&amp;creator=factset&amp;DOC_NAME=fat:reuters_ltm_source_window.fat&amp;display_string=Audit&amp;DYN_ARGS=TRUE&amp;VAR:ID1=CLC&amp;VAR:RCODE=FIBCEBITDA&amp;VAR:SDATE=20090899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9__FDSAUDITLINK__" localSheetId="0" hidden="1">{"fdsup://IBCentral/FAT Viewer?action=UPDATE&amp;creator=factset&amp;DOC_NAME=fat:reuters_ltm_source_window.fat&amp;display_string=Audit&amp;DYN_ARGS=TRUE&amp;VAR:ID1=CLC&amp;VAR:RCODE=FIBCEBITDA&amp;VAR:SDATE=20090899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9__FDSAUDITLINK__" localSheetId="4" hidden="1">{"fdsup://IBCentral/FAT Viewer?action=UPDATE&amp;creator=factset&amp;DOC_NAME=fat:reuters_ltm_source_window.fat&amp;display_string=Audit&amp;DYN_ARGS=TRUE&amp;VAR:ID1=CLC&amp;VAR:RCODE=FIBCEBITDA&amp;VAR:SDATE=20090899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79__FDSAUDITLINK__" hidden="1">{"fdsup://IBCentral/FAT Viewer?action=UPDATE&amp;creator=factset&amp;DOC_NAME=fat:reuters_ltm_source_window.fat&amp;display_string=Audit&amp;DYN_ARGS=TRUE&amp;VAR:ID1=CLC&amp;VAR:RCODE=FIBCEBITDA&amp;VAR:SDATE=20090899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8__FDSAUDITLINK__" localSheetId="5" hidden="1">{"fdsup://IBCentral/FAT Viewer?action=UPDATE&amp;creator=factset&amp;DOC_NAME=fat:reuters_ltm_source_window.fat&amp;display_string=Audit&amp;DYN_ARGS=TRUE&amp;VAR:ID1=RSG&amp;VAR:RCODE=FIBCEBITDA&amp;VAR:SDATE=20090399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8__FDSAUDITLINK__" localSheetId="0" hidden="1">{"fdsup://IBCentral/FAT Viewer?action=UPDATE&amp;creator=factset&amp;DOC_NAME=fat:reuters_ltm_source_window.fat&amp;display_string=Audit&amp;DYN_ARGS=TRUE&amp;VAR:ID1=RSG&amp;VAR:RCODE=FIBCEBITDA&amp;VAR:SDATE=20090399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8__FDSAUDITLINK__" localSheetId="4" hidden="1">{"fdsup://IBCentral/FAT Viewer?action=UPDATE&amp;creator=factset&amp;DOC_NAME=fat:reuters_ltm_source_window.fat&amp;display_string=Audit&amp;DYN_ARGS=TRUE&amp;VAR:ID1=RSG&amp;VAR:RCODE=FIBCEBITDA&amp;VAR:SDATE=20090399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8__FDSAUDITLINK__" hidden="1">{"fdsup://IBCentral/FAT Viewer?action=UPDATE&amp;creator=factset&amp;DOC_NAME=fat:reuters_ltm_source_window.fat&amp;display_string=Audit&amp;DYN_ARGS=TRUE&amp;VAR:ID1=RSG&amp;VAR:RCODE=FIBCEBITDA&amp;VAR:SDATE=20090399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80__FDSAUDITLINK__" localSheetId="5" hidden="1">{"fdsup://IBCentral/FAT Viewer?action=UPDATE&amp;creator=factset&amp;DOC_NAME=fat:reuters_annual_source_window.fat&amp;display_string=Audit&amp;DYN_ARGS=TRUE&amp;VAR:ID1=25765110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0__FDSAUDITLINK__" localSheetId="0" hidden="1">{"fdsup://IBCentral/FAT Viewer?action=UPDATE&amp;creator=factset&amp;DOC_NAME=fat:reuters_annual_source_window.fat&amp;display_string=Audit&amp;DYN_ARGS=TRUE&amp;VAR:ID1=25765110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0__FDSAUDITLINK__" localSheetId="4" hidden="1">{"fdsup://IBCentral/FAT Viewer?action=UPDATE&amp;creator=factset&amp;DOC_NAME=fat:reuters_annual_source_window.fat&amp;display_string=Audit&amp;DYN_ARGS=TRUE&amp;VAR:ID1=25765110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0__FDSAUDITLINK__" hidden="1">{"fdsup://IBCentral/FAT Viewer?action=UPDATE&amp;creator=factset&amp;DOC_NAME=fat:reuters_annual_source_window.fat&amp;display_string=Audit&amp;DYN_ARGS=TRUE&amp;VAR:ID1=25765110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1__FDSAUDITLINK__" localSheetId="5" hidden="1">{"fdsup://IBCentral/FAT Viewer?action=UPDATE&amp;creator=factset&amp;DOC_NAME=fat:reuters_annual_source_window.fat&amp;display_string=Audit&amp;DYN_ARGS=TRUE&amp;VAR:ID1=25765110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1__FDSAUDITLINK__" localSheetId="0" hidden="1">{"fdsup://IBCentral/FAT Viewer?action=UPDATE&amp;creator=factset&amp;DOC_NAME=fat:reuters_annual_source_window.fat&amp;display_string=Audit&amp;DYN_ARGS=TRUE&amp;VAR:ID1=25765110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1__FDSAUDITLINK__" localSheetId="4" hidden="1">{"fdsup://IBCentral/FAT Viewer?action=UPDATE&amp;creator=factset&amp;DOC_NAME=fat:reuters_annual_source_window.fat&amp;display_string=Audit&amp;DYN_ARGS=TRUE&amp;VAR:ID1=25765110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1__FDSAUDITLINK__" hidden="1">{"fdsup://IBCentral/FAT Viewer?action=UPDATE&amp;creator=factset&amp;DOC_NAME=fat:reuters_annual_source_window.fat&amp;display_string=Audit&amp;DYN_ARGS=TRUE&amp;VAR:ID1=25765110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2__FDSAUDITLINK__" localSheetId="5" hidden="1">{"fdsup://IBCentral/FAT Viewer?action=UPDATE&amp;creator=factset&amp;DOC_NAME=fat:reuters_annual_source_window.fat&amp;display_string=Audit&amp;DYN_ARGS=TRUE&amp;VAR:ID1=94271210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2__FDSAUDITLINK__" localSheetId="0" hidden="1">{"fdsup://IBCentral/FAT Viewer?action=UPDATE&amp;creator=factset&amp;DOC_NAME=fat:reuters_annual_source_window.fat&amp;display_string=Audit&amp;DYN_ARGS=TRUE&amp;VAR:ID1=94271210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2__FDSAUDITLINK__" localSheetId="4" hidden="1">{"fdsup://IBCentral/FAT Viewer?action=UPDATE&amp;creator=factset&amp;DOC_NAME=fat:reuters_annual_source_window.fat&amp;display_string=Audit&amp;DYN_ARGS=TRUE&amp;VAR:ID1=94271210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2__FDSAUDITLINK__" hidden="1">{"fdsup://IBCentral/FAT Viewer?action=UPDATE&amp;creator=factset&amp;DOC_NAME=fat:reuters_annual_source_window.fat&amp;display_string=Audit&amp;DYN_ARGS=TRUE&amp;VAR:ID1=94271210&amp;VAR:RCODE=FDSREVSTOTAL&amp;VAR:SDATE=20090699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3__FDSAUDITLINK__" localSheetId="5" hidden="1">{"fdsup://IBCentral/FAT Viewer?action=UPDATE&amp;creator=factset&amp;DOC_NAME=fat:reuters_annual_source_window.fat&amp;display_string=Audit&amp;DYN_ARGS=TRUE&amp;VAR:ID1=94271210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3__FDSAUDITLINK__" localSheetId="0" hidden="1">{"fdsup://IBCentral/FAT Viewer?action=UPDATE&amp;creator=factset&amp;DOC_NAME=fat:reuters_annual_source_window.fat&amp;display_string=Audit&amp;DYN_ARGS=TRUE&amp;VAR:ID1=94271210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3__FDSAUDITLINK__" localSheetId="4" hidden="1">{"fdsup://IBCentral/FAT Viewer?action=UPDATE&amp;creator=factset&amp;DOC_NAME=fat:reuters_annual_source_window.fat&amp;display_string=Audit&amp;DYN_ARGS=TRUE&amp;VAR:ID1=94271210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3__FDSAUDITLINK__" hidden="1">{"fdsup://IBCentral/FAT Viewer?action=UPDATE&amp;creator=factset&amp;DOC_NAME=fat:reuters_annual_source_window.fat&amp;display_string=Audit&amp;DYN_ARGS=TRUE&amp;VAR:ID1=94271210&amp;VAR:RCODE=FIBCEBITDA&amp;VAR:SDATE=20090699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4__FDSAUDITLINK__" localSheetId="5" hidden="1">{"fdsup://IBCentral/FAT Viewer?action=UPDATE&amp;creator=factset&amp;DOC_NAME=fat:reuters_annual_source_window.fat&amp;display_string=Audit&amp;DYN_ARGS=TRUE&amp;VAR:ID1=69642930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4__FDSAUDITLINK__" localSheetId="0" hidden="1">{"fdsup://IBCentral/FAT Viewer?action=UPDATE&amp;creator=factset&amp;DOC_NAME=fat:reuters_annual_source_window.fat&amp;display_string=Audit&amp;DYN_ARGS=TRUE&amp;VAR:ID1=69642930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4__FDSAUDITLINK__" localSheetId="4" hidden="1">{"fdsup://IBCentral/FAT Viewer?action=UPDATE&amp;creator=factset&amp;DOC_NAME=fat:reuters_annual_source_window.fat&amp;display_string=Audit&amp;DYN_ARGS=TRUE&amp;VAR:ID1=69642930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4__FDSAUDITLINK__" hidden="1">{"fdsup://IBCentral/FAT Viewer?action=UPDATE&amp;creator=factset&amp;DOC_NAME=fat:reuters_annual_source_window.fat&amp;display_string=Audit&amp;DYN_ARGS=TRUE&amp;VAR:ID1=69642930&amp;VAR:RCODE=FDSREVSTOTAL&amp;VAR:SDATE=20090799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985__FDSAUDITLINK__" localSheetId="5" hidden="1">{"fdsup://IBCentral/FAT Viewer?action=UPDATE&amp;creator=factset&amp;DOC_NAME=fat:reuters_annual_source_window.fat&amp;display_string=Audit&amp;DYN_ARGS=TRUE&amp;VAR:ID1=69642930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5__FDSAUDITLINK__" localSheetId="0" hidden="1">{"fdsup://IBCentral/FAT Viewer?action=UPDATE&amp;creator=factset&amp;DOC_NAME=fat:reuters_annual_source_window.fat&amp;display_string=Audit&amp;DYN_ARGS=TRUE&amp;VAR:ID1=69642930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5__FDSAUDITLINK__" localSheetId="4" hidden="1">{"fdsup://IBCentral/FAT Viewer?action=UPDATE&amp;creator=factset&amp;DOC_NAME=fat:reuters_annual_source_window.fat&amp;display_string=Audit&amp;DYN_ARGS=TRUE&amp;VAR:ID1=69642930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5__FDSAUDITLINK__" hidden="1">{"fdsup://IBCentral/FAT Viewer?action=UPDATE&amp;creator=factset&amp;DOC_NAME=fat:reuters_annual_source_window.fat&amp;display_string=Audit&amp;DYN_ARGS=TRUE&amp;VAR:ID1=69642930&amp;VAR:RCODE=FIBCEBITDA&amp;VAR:SDATE=20090799&amp;VAR:FREQ=Quarterly&amp;VAR:RELITEM=RP&amp;VAR:CURRENCY=&amp;VAR:CURRSO","URCE=EXSHARE&amp;VAR:NATFREQ=ANNUAL&amp;VAR:RFIELD=FINALIZED&amp;VAR:DB_TYPE=&amp;VAR:UNITS=M&amp;window=popup&amp;width=450&amp;height=300&amp;START_MAXIMIZED=FALSE"}</definedName>
    <definedName name="_986__FDSAUDITLINK__" localSheetId="5" hidden="1">{"fdsup://IBCentral/FAT Viewer?action=UPDATE&amp;creator=factset&amp;DOC_NAME=fat:reuters_ltm_source_window.fat&amp;display_string=Audit&amp;DYN_ARGS=TRUE&amp;VAR:ID1=JOYG&amp;VAR:RCODE=FDSREVSTOTAL&amp;VAR:SDATE=20090799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86__FDSAUDITLINK__" localSheetId="0" hidden="1">{"fdsup://IBCentral/FAT Viewer?action=UPDATE&amp;creator=factset&amp;DOC_NAME=fat:reuters_ltm_source_window.fat&amp;display_string=Audit&amp;DYN_ARGS=TRUE&amp;VAR:ID1=JOYG&amp;VAR:RCODE=FDSREVSTOTAL&amp;VAR:SDATE=20090799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86__FDSAUDITLINK__" localSheetId="4" hidden="1">{"fdsup://IBCentral/FAT Viewer?action=UPDATE&amp;creator=factset&amp;DOC_NAME=fat:reuters_ltm_source_window.fat&amp;display_string=Audit&amp;DYN_ARGS=TRUE&amp;VAR:ID1=JOYG&amp;VAR:RCODE=FDSREVSTOTAL&amp;VAR:SDATE=20090799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86__FDSAUDITLINK__" hidden="1">{"fdsup://IBCentral/FAT Viewer?action=UPDATE&amp;creator=factset&amp;DOC_NAME=fat:reuters_ltm_source_window.fat&amp;display_string=Audit&amp;DYN_ARGS=TRUE&amp;VAR:ID1=JOYG&amp;VAR:RCODE=FDSREVSTOTAL&amp;VAR:SDATE=20090799 &amp;VAR:FREQ=Quarterly&amp;VAR:RELITEM=RP&amp;VAR:CURRENCY=&amp;VAR:CURRSOURCE","=EXSHARE&amp;VAR:NATFREQ=QUARTERLY&amp;VAR:RFIELD=FINALIZED&amp;VAR:DB_TYPE=&amp;VAR:UNITS=M&amp;window=popup&amp;width=540&amp;height=300&amp;START_MAXIMIZED=FALSE"}</definedName>
    <definedName name="_987__FDSAUDITLINK__" localSheetId="5" hidden="1">{"fdsup://IBCentral/FAT Viewer?action=UPDATE&amp;creator=factset&amp;DOC_NAME=fat:reuters_ltm_source_window.fat&amp;display_string=Audit&amp;DYN_ARGS=TRUE&amp;VAR:ID1=JOYG&amp;VAR:RCODE=FIBCEBITDA&amp;VAR:SDATE=20090799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87__FDSAUDITLINK__" localSheetId="0" hidden="1">{"fdsup://IBCentral/FAT Viewer?action=UPDATE&amp;creator=factset&amp;DOC_NAME=fat:reuters_ltm_source_window.fat&amp;display_string=Audit&amp;DYN_ARGS=TRUE&amp;VAR:ID1=JOYG&amp;VAR:RCODE=FIBCEBITDA&amp;VAR:SDATE=20090799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87__FDSAUDITLINK__" localSheetId="4" hidden="1">{"fdsup://IBCentral/FAT Viewer?action=UPDATE&amp;creator=factset&amp;DOC_NAME=fat:reuters_ltm_source_window.fat&amp;display_string=Audit&amp;DYN_ARGS=TRUE&amp;VAR:ID1=JOYG&amp;VAR:RCODE=FIBCEBITDA&amp;VAR:SDATE=20090799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87__FDSAUDITLINK__" hidden="1">{"fdsup://IBCentral/FAT Viewer?action=UPDATE&amp;creator=factset&amp;DOC_NAME=fat:reuters_ltm_source_window.fat&amp;display_string=Audit&amp;DYN_ARGS=TRUE&amp;VAR:ID1=JOYG&amp;VAR:RCODE=FIBCEBITDA&amp;VAR:SDATE=20090799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88__FDSAUDITLINK__" localSheetId="5" hidden="1">{"fdsup://IBCentral/FAT Viewer?action=UPDATE&amp;creator=factset&amp;DOC_NAME=fat:reuters_ltm_source_window.fat&amp;display_string=Audit&amp;DYN_ARGS=TRUE&amp;VAR:ID1=URS&amp;VAR:RCODE=FDSREVSTOTAL&amp;VAR:SDATE=20090699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88__FDSAUDITLINK__" localSheetId="0" hidden="1">{"fdsup://IBCentral/FAT Viewer?action=UPDATE&amp;creator=factset&amp;DOC_NAME=fat:reuters_ltm_source_window.fat&amp;display_string=Audit&amp;DYN_ARGS=TRUE&amp;VAR:ID1=URS&amp;VAR:RCODE=FDSREVSTOTAL&amp;VAR:SDATE=20090699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88__FDSAUDITLINK__" localSheetId="4" hidden="1">{"fdsup://IBCentral/FAT Viewer?action=UPDATE&amp;creator=factset&amp;DOC_NAME=fat:reuters_ltm_source_window.fat&amp;display_string=Audit&amp;DYN_ARGS=TRUE&amp;VAR:ID1=URS&amp;VAR:RCODE=FDSREVSTOTAL&amp;VAR:SDATE=20090699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88__FDSAUDITLINK__" hidden="1">{"fdsup://IBCentral/FAT Viewer?action=UPDATE&amp;creator=factset&amp;DOC_NAME=fat:reuters_ltm_source_window.fat&amp;display_string=Audit&amp;DYN_ARGS=TRUE&amp;VAR:ID1=URS&amp;VAR:RCODE=FDSREVSTOTAL&amp;VAR:SDATE=20090699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89__FDSAUDITLINK__" localSheetId="5" hidden="1">{"fdsup://IBCentral/FAT Viewer?action=UPDATE&amp;creator=factset&amp;DOC_NAME=fat:reuters_ltm_source_window.fat&amp;display_string=Audit&amp;DYN_ARGS=TRUE&amp;VAR:ID1=URS&amp;VAR:RCODE=FIBCEBITDA&amp;VAR:SDATE=20090699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89__FDSAUDITLINK__" localSheetId="0" hidden="1">{"fdsup://IBCentral/FAT Viewer?action=UPDATE&amp;creator=factset&amp;DOC_NAME=fat:reuters_ltm_source_window.fat&amp;display_string=Audit&amp;DYN_ARGS=TRUE&amp;VAR:ID1=URS&amp;VAR:RCODE=FIBCEBITDA&amp;VAR:SDATE=20090699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89__FDSAUDITLINK__" localSheetId="4" hidden="1">{"fdsup://IBCentral/FAT Viewer?action=UPDATE&amp;creator=factset&amp;DOC_NAME=fat:reuters_ltm_source_window.fat&amp;display_string=Audit&amp;DYN_ARGS=TRUE&amp;VAR:ID1=URS&amp;VAR:RCODE=FIBCEBITDA&amp;VAR:SDATE=20090699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89__FDSAUDITLINK__" hidden="1">{"fdsup://IBCentral/FAT Viewer?action=UPDATE&amp;creator=factset&amp;DOC_NAME=fat:reuters_ltm_source_window.fat&amp;display_string=Audit&amp;DYN_ARGS=TRUE&amp;VAR:ID1=URS&amp;VAR:RCODE=FIBCEBITDA&amp;VAR:SDATE=20090699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__123Graph_AChart_2A" localSheetId="0" hidden="1">#REF!</definedName>
    <definedName name="_99__123Graph_AChart_2A" hidden="1">#REF!</definedName>
    <definedName name="_99__FDSAUDITLINK__" localSheetId="5" hidden="1">{"fdsup://IBCentral/FAT Viewer?action=UPDATE&amp;creator=factset&amp;DOC_NAME=fat:reuters_ltm_source_window.fat&amp;display_string=Audit&amp;DYN_ARGS=TRUE&amp;VAR:ID1=FLR&amp;VAR:RCODE=FIBCEBITDA&amp;VAR:SDATE=20090399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__FDSAUDITLINK__" localSheetId="0" hidden="1">{"fdsup://IBCentral/FAT Viewer?action=UPDATE&amp;creator=factset&amp;DOC_NAME=fat:reuters_ltm_source_window.fat&amp;display_string=Audit&amp;DYN_ARGS=TRUE&amp;VAR:ID1=FLR&amp;VAR:RCODE=FIBCEBITDA&amp;VAR:SDATE=20090399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__FDSAUDITLINK__" localSheetId="4" hidden="1">{"fdsup://IBCentral/FAT Viewer?action=UPDATE&amp;creator=factset&amp;DOC_NAME=fat:reuters_ltm_source_window.fat&amp;display_string=Audit&amp;DYN_ARGS=TRUE&amp;VAR:ID1=FLR&amp;VAR:RCODE=FIBCEBITDA&amp;VAR:SDATE=20090399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__FDSAUDITLINK__" hidden="1">{"fdsup://IBCentral/FAT Viewer?action=UPDATE&amp;creator=factset&amp;DOC_NAME=fat:reuters_ltm_source_window.fat&amp;display_string=Audit&amp;DYN_ARGS=TRUE&amp;VAR:ID1=FLR&amp;VAR:RCODE=FIBCEBITDA&amp;VAR:SDATE=20090399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0__FDSAUDITLINK__" localSheetId="5" hidden="1">{"fdsup://IBCentral/FAT Viewer?action=UPDATE&amp;creator=factset&amp;DOC_NAME=fat:reuters_ltm_source_window.fat&amp;display_string=Audit&amp;DYN_ARGS=TRUE&amp;VAR:ID1=FDX&amp;VAR:RCODE=FDSREVSTOTAL&amp;VAR:SDATE=20090899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90__FDSAUDITLINK__" localSheetId="0" hidden="1">{"fdsup://IBCentral/FAT Viewer?action=UPDATE&amp;creator=factset&amp;DOC_NAME=fat:reuters_ltm_source_window.fat&amp;display_string=Audit&amp;DYN_ARGS=TRUE&amp;VAR:ID1=FDX&amp;VAR:RCODE=FDSREVSTOTAL&amp;VAR:SDATE=20090899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90__FDSAUDITLINK__" localSheetId="4" hidden="1">{"fdsup://IBCentral/FAT Viewer?action=UPDATE&amp;creator=factset&amp;DOC_NAME=fat:reuters_ltm_source_window.fat&amp;display_string=Audit&amp;DYN_ARGS=TRUE&amp;VAR:ID1=FDX&amp;VAR:RCODE=FDSREVSTOTAL&amp;VAR:SDATE=20090899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Viewer?action=UPDATE&amp;creator=factset&amp;DOC_NAME=fat:reuters_ltm_source_window.fat&amp;display_string=Audit&amp;DYN_ARGS=TRUE&amp;VAR:ID1=FDX&amp;VAR:RCODE=FDSREVSTOTAL&amp;VAR:SDATE=20090899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91__FDSAUDITLINK__" localSheetId="5" hidden="1">{"fdsup://IBCentral/FAT Viewer?action=UPDATE&amp;creator=factset&amp;DOC_NAME=fat:reuters_ltm_source_window.fat&amp;display_string=Audit&amp;DYN_ARGS=TRUE&amp;VAR:ID1=FDX&amp;VAR:RCODE=FIBCEBITDA&amp;VAR:SDATE=20090899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1__FDSAUDITLINK__" localSheetId="0" hidden="1">{"fdsup://IBCentral/FAT Viewer?action=UPDATE&amp;creator=factset&amp;DOC_NAME=fat:reuters_ltm_source_window.fat&amp;display_string=Audit&amp;DYN_ARGS=TRUE&amp;VAR:ID1=FDX&amp;VAR:RCODE=FIBCEBITDA&amp;VAR:SDATE=20090899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1__FDSAUDITLINK__" localSheetId="4" hidden="1">{"fdsup://IBCentral/FAT Viewer?action=UPDATE&amp;creator=factset&amp;DOC_NAME=fat:reuters_ltm_source_window.fat&amp;display_string=Audit&amp;DYN_ARGS=TRUE&amp;VAR:ID1=FDX&amp;VAR:RCODE=FIBCEBITDA&amp;VAR:SDATE=20090899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1__FDSAUDITLINK__" hidden="1">{"fdsup://IBCentral/FAT Viewer?action=UPDATE&amp;creator=factset&amp;DOC_NAME=fat:reuters_ltm_source_window.fat&amp;display_string=Audit&amp;DYN_ARGS=TRUE&amp;VAR:ID1=FDX&amp;VAR:RCODE=FIBCEBITDA&amp;VAR:SDATE=20090899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2__FDSAUDITLINK__" localSheetId="5" hidden="1">{"fdsup://IBCentral/FAT Viewer?action=UPDATE&amp;creator=factset&amp;DOC_NAME=fat:reuters_ltm_source_window.fat&amp;display_string=Audit&amp;DYN_ARGS=TRUE&amp;VAR:ID1=DE&amp;VAR:RCODE=FDSREVSTOTAL&amp;VAR:SDATE=20090799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92__FDSAUDITLINK__" localSheetId="0" hidden="1">{"fdsup://IBCentral/FAT Viewer?action=UPDATE&amp;creator=factset&amp;DOC_NAME=fat:reuters_ltm_source_window.fat&amp;display_string=Audit&amp;DYN_ARGS=TRUE&amp;VAR:ID1=DE&amp;VAR:RCODE=FDSREVSTOTAL&amp;VAR:SDATE=20090799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92__FDSAUDITLINK__" localSheetId="4" hidden="1">{"fdsup://IBCentral/FAT Viewer?action=UPDATE&amp;creator=factset&amp;DOC_NAME=fat:reuters_ltm_source_window.fat&amp;display_string=Audit&amp;DYN_ARGS=TRUE&amp;VAR:ID1=DE&amp;VAR:RCODE=FDSREVSTOTAL&amp;VAR:SDATE=20090799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92__FDSAUDITLINK__" hidden="1">{"fdsup://IBCentral/FAT Viewer?action=UPDATE&amp;creator=factset&amp;DOC_NAME=fat:reuters_ltm_source_window.fat&amp;display_string=Audit&amp;DYN_ARGS=TRUE&amp;VAR:ID1=DE&amp;VAR:RCODE=FDSREVSTOTAL&amp;VAR:SDATE=20090799 &amp;VAR:FREQ=Quarterly&amp;VAR:RELITEM=RP&amp;VAR:CURRENCY=&amp;VAR:CURRSOURCE=E","XSHARE&amp;VAR:NATFREQ=QUARTERLY&amp;VAR:RFIELD=FINALIZED&amp;VAR:DB_TYPE=&amp;VAR:UNITS=M&amp;window=popup&amp;width=540&amp;height=300&amp;START_MAXIMIZED=FALSE"}</definedName>
    <definedName name="_993__FDSAUDITLINK__" localSheetId="5" hidden="1">{"fdsup://IBCentral/FAT Viewer?action=UPDATE&amp;creator=factset&amp;DOC_NAME=fat:reuters_ltm_source_window.fat&amp;display_string=Audit&amp;DYN_ARGS=TRUE&amp;VAR:ID1=DE&amp;VAR:RCODE=FIBCEBITDA&amp;VAR:SDATE=20090799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93__FDSAUDITLINK__" localSheetId="0" hidden="1">{"fdsup://IBCentral/FAT Viewer?action=UPDATE&amp;creator=factset&amp;DOC_NAME=fat:reuters_ltm_source_window.fat&amp;display_string=Audit&amp;DYN_ARGS=TRUE&amp;VAR:ID1=DE&amp;VAR:RCODE=FIBCEBITDA&amp;VAR:SDATE=20090799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93__FDSAUDITLINK__" localSheetId="4" hidden="1">{"fdsup://IBCentral/FAT Viewer?action=UPDATE&amp;creator=factset&amp;DOC_NAME=fat:reuters_ltm_source_window.fat&amp;display_string=Audit&amp;DYN_ARGS=TRUE&amp;VAR:ID1=DE&amp;VAR:RCODE=FIBCEBITDA&amp;VAR:SDATE=20090799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93__FDSAUDITLINK__" hidden="1">{"fdsup://IBCentral/FAT Viewer?action=UPDATE&amp;creator=factset&amp;DOC_NAME=fat:reuters_ltm_source_window.fat&amp;display_string=Audit&amp;DYN_ARGS=TRUE&amp;VAR:ID1=DE&amp;VAR:RCODE=FIBCEBITDA&amp;VAR:SDATE=20090799 &amp;VAR:FREQ=Quarterly&amp;VAR:RELITEM=RP&amp;VAR:CURRENCY=&amp;VAR:CURRSOURCE=EXS","HARE&amp;VAR:NATFREQ=QUARTERLY&amp;VAR:RFIELD=FINALIZED&amp;VAR:DB_TYPE=&amp;VAR:UNITS=M&amp;window=popup&amp;width=540&amp;height=300&amp;START_MAXIMIZED=FALSE"}</definedName>
    <definedName name="_994__FDSAUDITLINK__" localSheetId="5" hidden="1">{"fdsup://IBCentral/FAT Viewer?action=UPDATE&amp;creator=factset&amp;DOC_NAME=fat:reuters_ltm_source_window.fat&amp;display_string=Audit&amp;DYN_ARGS=TRUE&amp;VAR:ID1=ATK&amp;VAR:RCODE=FDSREVSTOTAL&amp;VAR:SDATE=20090699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94__FDSAUDITLINK__" localSheetId="0" hidden="1">{"fdsup://IBCentral/FAT Viewer?action=UPDATE&amp;creator=factset&amp;DOC_NAME=fat:reuters_ltm_source_window.fat&amp;display_string=Audit&amp;DYN_ARGS=TRUE&amp;VAR:ID1=ATK&amp;VAR:RCODE=FDSREVSTOTAL&amp;VAR:SDATE=20090699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94__FDSAUDITLINK__" localSheetId="4" hidden="1">{"fdsup://IBCentral/FAT Viewer?action=UPDATE&amp;creator=factset&amp;DOC_NAME=fat:reuters_ltm_source_window.fat&amp;display_string=Audit&amp;DYN_ARGS=TRUE&amp;VAR:ID1=ATK&amp;VAR:RCODE=FDSREVSTOTAL&amp;VAR:SDATE=20090699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94__FDSAUDITLINK__" hidden="1">{"fdsup://IBCentral/FAT Viewer?action=UPDATE&amp;creator=factset&amp;DOC_NAME=fat:reuters_ltm_source_window.fat&amp;display_string=Audit&amp;DYN_ARGS=TRUE&amp;VAR:ID1=ATK&amp;VAR:RCODE=FDSREVSTOTAL&amp;VAR:SDATE=20090699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995__FDSAUDITLINK__" localSheetId="5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5__FDSAUDITLINK__" localSheetId="0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5__FDSAUDITLINK__" localSheetId="4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95__FDSAUDITLINK__" hidden="1">{"fdsup://IBCentral/FAT Viewer?action=UPDATE&amp;creator=factset&amp;DOC_NAME=fat:reuters_ltm_source_window.fat&amp;display_string=Audit&amp;DYN_ARGS=TRUE&amp;VAR:ID1=ATK&amp;VAR:RCODE=FIBCEBITDA&amp;VAR:SDATE=20090699 &amp;VAR:FREQ=Quarterly&amp;VAR:RELITEM=RP&amp;VAR:CURRENCY=&amp;VAR:CURRSOURCE=EX","SHARE&amp;VAR:NATFREQ=QUARTERLY&amp;VAR:RFIELD=FINALIZED&amp;VAR:DB_TYPE=&amp;VAR:UNITS=M&amp;window=popup&amp;width=540&amp;height=300&amp;START_MAXIMIZED=FALSE"}</definedName>
    <definedName name="_9ÿ__T" localSheetId="0">#REF!</definedName>
    <definedName name="_9ÿ__T">#REF!</definedName>
    <definedName name="_a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4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4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9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9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9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9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_aa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g1" hidden="1">#N/A</definedName>
    <definedName name="_all1" localSheetId="0">#REF!</definedName>
    <definedName name="_all1">#REF!</definedName>
    <definedName name="_all2" localSheetId="0">#REF!</definedName>
    <definedName name="_all2">#REF!</definedName>
    <definedName name="_all3" localSheetId="0">#REF!</definedName>
    <definedName name="_all3">#REF!</definedName>
    <definedName name="_all4" localSheetId="0">#REF!</definedName>
    <definedName name="_all4">#REF!</definedName>
    <definedName name="_all5" localSheetId="0">#REF!</definedName>
    <definedName name="_all5">#REF!</definedName>
    <definedName name="_all6" localSheetId="0">#REF!</definedName>
    <definedName name="_all6">#REF!</definedName>
    <definedName name="_all7" localSheetId="0">#REF!</definedName>
    <definedName name="_all7">#REF!</definedName>
    <definedName name="_ass2" localSheetId="0">#REF!</definedName>
    <definedName name="_ass2">#REF!</definedName>
    <definedName name="_b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CF01" localSheetId="0">#REF!</definedName>
    <definedName name="_BCF01">#REF!</definedName>
    <definedName name="_BCF02" localSheetId="0">#REF!</definedName>
    <definedName name="_BCF02">#REF!</definedName>
    <definedName name="_BCF93" localSheetId="0">#REF!</definedName>
    <definedName name="_BCF93">#REF!</definedName>
    <definedName name="_BCF94" localSheetId="0">#REF!</definedName>
    <definedName name="_BCF94">#REF!</definedName>
    <definedName name="_BCF95" localSheetId="0">#REF!</definedName>
    <definedName name="_BCF95">#REF!</definedName>
    <definedName name="_BCF97" localSheetId="0">#REF!</definedName>
    <definedName name="_BCF97">#REF!</definedName>
    <definedName name="_BCF98" localSheetId="0">#REF!</definedName>
    <definedName name="_BCF98">#REF!</definedName>
    <definedName name="_BCF99" localSheetId="0">#REF!</definedName>
    <definedName name="_BCF99">#REF!</definedName>
    <definedName name="_bdm.4933B2B002A14CB28D5202ACD0E0D169.edm" localSheetId="0" hidden="1">#REF!</definedName>
    <definedName name="_bdm.4933B2B002A14CB28D5202ACD0E0D169.edm" hidden="1">#REF!</definedName>
    <definedName name="_bdm.832BBD2738664ACDA8A0490B0F0648CE.edm" localSheetId="0" hidden="1">#REF!</definedName>
    <definedName name="_bdm.832BBD2738664ACDA8A0490B0F0648CE.edm" hidden="1">#REF!</definedName>
    <definedName name="_bdm.ADA5E2B1E8CE42EFADE9EC66C687CBB9.edm" localSheetId="0" hidden="1">#REF!</definedName>
    <definedName name="_bdm.ADA5E2B1E8CE42EFADE9EC66C687CBB9.edm" hidden="1">#REF!</definedName>
    <definedName name="_bdm.B35EE854F8714C29B80834AEC3E2096C.edm" localSheetId="0" hidden="1">#REF!</definedName>
    <definedName name="_bdm.B35EE854F8714C29B80834AEC3E2096C.edm" hidden="1">#REF!</definedName>
    <definedName name="_bdm.DF8B2A720D6C4E00B423ABF362CE528F.edm" localSheetId="0" hidden="1">#REF!</definedName>
    <definedName name="_bdm.DF8B2A720D6C4E00B423ABF362CE528F.edm" hidden="1">#REF!</definedName>
    <definedName name="_BSH01" localSheetId="0">#REF!</definedName>
    <definedName name="_BSH01">#REF!</definedName>
    <definedName name="_BSH02" localSheetId="0">#REF!</definedName>
    <definedName name="_BSH02">#REF!</definedName>
    <definedName name="_BSH03" localSheetId="0">#REF!</definedName>
    <definedName name="_BSH03">#REF!</definedName>
    <definedName name="_BSH98" localSheetId="0">#REF!</definedName>
    <definedName name="_BSH98">#REF!</definedName>
    <definedName name="_BSH99" localSheetId="0">#REF!</definedName>
    <definedName name="_BSH99">#REF!</definedName>
    <definedName name="_BSO01" localSheetId="0">#REF!</definedName>
    <definedName name="_BSO01">#REF!</definedName>
    <definedName name="_BSO02" localSheetId="0">#REF!</definedName>
    <definedName name="_BSO02">#REF!</definedName>
    <definedName name="_BSO93" localSheetId="0">#REF!</definedName>
    <definedName name="_BSO93">#REF!</definedName>
    <definedName name="_BSO94" localSheetId="0">#REF!</definedName>
    <definedName name="_BSO94">#REF!</definedName>
    <definedName name="_BSO95" localSheetId="0">#REF!</definedName>
    <definedName name="_BSO95">#REF!</definedName>
    <definedName name="_BSO97" localSheetId="0">#REF!</definedName>
    <definedName name="_BSO97">#REF!</definedName>
    <definedName name="_BSO98" localSheetId="0">#REF!</definedName>
    <definedName name="_BSO98">#REF!</definedName>
    <definedName name="_BSO99" localSheetId="0">#REF!</definedName>
    <definedName name="_BSO99">#REF!</definedName>
    <definedName name="_cc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F98" localSheetId="0">#REF!,#REF!</definedName>
    <definedName name="_CF98">#REF!,#REF!</definedName>
    <definedName name="_CF99" localSheetId="0">#REF!,#REF!</definedName>
    <definedName name="_CF99">#REF!,#REF!</definedName>
    <definedName name="_CGA01" localSheetId="0">#REF!</definedName>
    <definedName name="_CGA01">#REF!</definedName>
    <definedName name="_CGA02" localSheetId="0">#REF!</definedName>
    <definedName name="_CGA02">#REF!</definedName>
    <definedName name="_CGA03" localSheetId="0">#REF!</definedName>
    <definedName name="_CGA03">#REF!</definedName>
    <definedName name="_CGA98" localSheetId="0">#REF!</definedName>
    <definedName name="_CGA98">#REF!</definedName>
    <definedName name="_CGA99" localSheetId="0">#REF!</definedName>
    <definedName name="_CGA99">#REF!</definedName>
    <definedName name="_COMP" localSheetId="0">#REF!</definedName>
    <definedName name="_COMP">#REF!</definedName>
    <definedName name="_DAP01" localSheetId="0">#REF!</definedName>
    <definedName name="_DAP01">#REF!</definedName>
    <definedName name="_DAP02" localSheetId="0">#REF!</definedName>
    <definedName name="_DAP02">#REF!</definedName>
    <definedName name="_DAP03" localSheetId="0">#REF!</definedName>
    <definedName name="_DAP03">#REF!</definedName>
    <definedName name="_DAP93" localSheetId="0">#REF!</definedName>
    <definedName name="_DAP93">#REF!</definedName>
    <definedName name="_DAP94" localSheetId="0">#REF!</definedName>
    <definedName name="_DAP94">#REF!</definedName>
    <definedName name="_DAP95" localSheetId="0">#REF!</definedName>
    <definedName name="_DAP95">#REF!</definedName>
    <definedName name="_DAP96" localSheetId="0">#REF!</definedName>
    <definedName name="_DAP96">#REF!</definedName>
    <definedName name="_DAP97" localSheetId="0">#REF!</definedName>
    <definedName name="_DAP97">#REF!</definedName>
    <definedName name="_DAP98" localSheetId="0">#REF!</definedName>
    <definedName name="_DAP98">#REF!</definedName>
    <definedName name="_DAP99" localSheetId="0">#REF!</definedName>
    <definedName name="_DAP99">#REF!</definedName>
    <definedName name="_dcf2001" localSheetId="0">#REF!</definedName>
    <definedName name="_dcf2001">#REF!</definedName>
    <definedName name="_dfd2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_dfd2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_dfd2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_dfd2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_DIV01" localSheetId="0">#REF!</definedName>
    <definedName name="_DIV01">#REF!</definedName>
    <definedName name="_DIV86" localSheetId="0">#REF!</definedName>
    <definedName name="_DIV86">#REF!</definedName>
    <definedName name="_DIV87" localSheetId="0">#REF!</definedName>
    <definedName name="_DIV87">#REF!</definedName>
    <definedName name="_DIV88" localSheetId="0">#REF!</definedName>
    <definedName name="_DIV88">#REF!</definedName>
    <definedName name="_DIV89" localSheetId="0">#REF!</definedName>
    <definedName name="_DIV89">#REF!</definedName>
    <definedName name="_DIV90" localSheetId="0">#REF!</definedName>
    <definedName name="_DIV90">#REF!</definedName>
    <definedName name="_DIV91" localSheetId="0">#REF!</definedName>
    <definedName name="_DIV91">#REF!</definedName>
    <definedName name="_DIV92" localSheetId="0">#REF!</definedName>
    <definedName name="_DIV92">#REF!</definedName>
    <definedName name="_DIV93" localSheetId="0">#REF!</definedName>
    <definedName name="_DIV93">#REF!</definedName>
    <definedName name="_DIV94" localSheetId="0">#REF!</definedName>
    <definedName name="_DIV94">#REF!</definedName>
    <definedName name="_DIV95" localSheetId="0">#REF!</definedName>
    <definedName name="_DIV95">#REF!</definedName>
    <definedName name="_dps01" localSheetId="0">#REF!</definedName>
    <definedName name="_dps01">#REF!</definedName>
    <definedName name="_dps98" localSheetId="0">#REF!</definedName>
    <definedName name="_dps98">#REF!</definedName>
    <definedName name="_dps99" localSheetId="0">#REF!</definedName>
    <definedName name="_dps99">#REF!</definedName>
    <definedName name="_EPS01" localSheetId="0">#REF!</definedName>
    <definedName name="_EPS01">#REF!</definedName>
    <definedName name="_EPS02" localSheetId="0">#REF!</definedName>
    <definedName name="_EPS02">#REF!</definedName>
    <definedName name="_EPS03" localSheetId="0">#REF!</definedName>
    <definedName name="_EPS03">#REF!</definedName>
    <definedName name="_eps1" localSheetId="0">#REF!,#REF!</definedName>
    <definedName name="_eps1">#REF!,#REF!</definedName>
    <definedName name="_eps2" localSheetId="0">#REF!</definedName>
    <definedName name="_eps2">#REF!</definedName>
    <definedName name="_EPS3" localSheetId="0">#REF!</definedName>
    <definedName name="_EPS3">#REF!</definedName>
    <definedName name="_EPS4" localSheetId="0">#REF!</definedName>
    <definedName name="_EPS4">#REF!</definedName>
    <definedName name="_EPS5" localSheetId="0">#REF!</definedName>
    <definedName name="_EPS5">#REF!</definedName>
    <definedName name="_EPS86" localSheetId="0">#REF!</definedName>
    <definedName name="_EPS86">#REF!</definedName>
    <definedName name="_EPS87" localSheetId="0">#REF!</definedName>
    <definedName name="_EPS87">#REF!</definedName>
    <definedName name="_EPS88" localSheetId="0">#REF!</definedName>
    <definedName name="_EPS88">#REF!</definedName>
    <definedName name="_EPS89" localSheetId="0">#REF!</definedName>
    <definedName name="_EPS89">#REF!</definedName>
    <definedName name="_EPS90" localSheetId="0">#REF!</definedName>
    <definedName name="_EPS90">#REF!</definedName>
    <definedName name="_EPS91" localSheetId="0">#REF!</definedName>
    <definedName name="_EPS91">#REF!</definedName>
    <definedName name="_EPS92" localSheetId="0">#REF!</definedName>
    <definedName name="_EPS92">#REF!</definedName>
    <definedName name="_EPS93" localSheetId="0">#REF!</definedName>
    <definedName name="_EPS93">#REF!</definedName>
    <definedName name="_EPS94" localSheetId="0">#REF!</definedName>
    <definedName name="_EPS94">#REF!</definedName>
    <definedName name="_EPS95" localSheetId="0">#REF!</definedName>
    <definedName name="_EPS95">#REF!</definedName>
    <definedName name="_EPS96" localSheetId="0">#REF!</definedName>
    <definedName name="_EPS96">#REF!</definedName>
    <definedName name="_EPS97" localSheetId="0">#REF!</definedName>
    <definedName name="_EPS97">#REF!</definedName>
    <definedName name="_EPS98" localSheetId="0">#REF!</definedName>
    <definedName name="_EPS98">#REF!</definedName>
    <definedName name="_eps99" localSheetId="0">#REF!</definedName>
    <definedName name="_eps99">#REF!</definedName>
    <definedName name="_equ91" localSheetId="0">#REF!</definedName>
    <definedName name="_equ91">#REF!</definedName>
    <definedName name="_fcf01" localSheetId="0">#REF!</definedName>
    <definedName name="_fcf01">#REF!</definedName>
    <definedName name="_fcf02" localSheetId="0">#REF!</definedName>
    <definedName name="_fcf02">#REF!</definedName>
    <definedName name="_fcf03" localSheetId="0">#REF!</definedName>
    <definedName name="_fcf03">#REF!</definedName>
    <definedName name="_fcf04" localSheetId="0">#REF!</definedName>
    <definedName name="_fcf04">#REF!</definedName>
    <definedName name="_FCF1" localSheetId="0">#REF!</definedName>
    <definedName name="_FCF1">#REF!</definedName>
    <definedName name="_FCF2" localSheetId="0">#REF!</definedName>
    <definedName name="_FCF2">#REF!</definedName>
    <definedName name="_FCF2001" localSheetId="0">#REF!</definedName>
    <definedName name="_FCF2001">#REF!</definedName>
    <definedName name="_FCF2002" localSheetId="0">#REF!</definedName>
    <definedName name="_FCF2002">#REF!</definedName>
    <definedName name="_FCF2003" localSheetId="0">#REF!</definedName>
    <definedName name="_FCF2003">#REF!</definedName>
    <definedName name="_FCF2004" localSheetId="0">#REF!</definedName>
    <definedName name="_FCF2004">#REF!</definedName>
    <definedName name="_FCF2005" localSheetId="0">#REF!</definedName>
    <definedName name="_FCF2005">#REF!</definedName>
    <definedName name="_FCF2006" localSheetId="0">#REF!</definedName>
    <definedName name="_FCF2006">#REF!</definedName>
    <definedName name="_FCF3" localSheetId="0">#REF!</definedName>
    <definedName name="_FCF3">#REF!</definedName>
    <definedName name="_fcf99" localSheetId="0">#REF!</definedName>
    <definedName name="_fcf99">#REF!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FYE1990" localSheetId="0">#REF!</definedName>
    <definedName name="_FYE1990">#REF!</definedName>
    <definedName name="_FYE1991" localSheetId="0">#REF!</definedName>
    <definedName name="_FYE1991">#REF!</definedName>
    <definedName name="_FYE1992" localSheetId="0">#REF!</definedName>
    <definedName name="_FYE1992">#REF!</definedName>
    <definedName name="_FYE1993" localSheetId="0">#REF!</definedName>
    <definedName name="_FYE1993">#REF!</definedName>
    <definedName name="_FYE1994" localSheetId="0">#REF!</definedName>
    <definedName name="_FYE1994">#REF!</definedName>
    <definedName name="_FYE1995" localSheetId="0">#REF!</definedName>
    <definedName name="_FYE1995">#REF!</definedName>
    <definedName name="_fye1996" localSheetId="0">#REF!</definedName>
    <definedName name="_fye1996">#REF!</definedName>
    <definedName name="_FYE1997" localSheetId="0">#REF!</definedName>
    <definedName name="_FYE1997">#REF!</definedName>
    <definedName name="_FYE1998" localSheetId="0">#REF!</definedName>
    <definedName name="_FYE1998">#REF!</definedName>
    <definedName name="_gop01" localSheetId="0">#REF!</definedName>
    <definedName name="_gop01">#REF!</definedName>
    <definedName name="_gop99" localSheetId="0">#REF!</definedName>
    <definedName name="_gop99">#REF!</definedName>
    <definedName name="_GOTO_EZ1_" localSheetId="0">#REF!</definedName>
    <definedName name="_GOTO_EZ1_">#REF!</definedName>
    <definedName name="_inc90" localSheetId="0">#REF!</definedName>
    <definedName name="_inc90">#REF!</definedName>
    <definedName name="_Key1" localSheetId="0">#REF!</definedName>
    <definedName name="_Key1">#REF!</definedName>
    <definedName name="_Key2" localSheetId="0" hidden="1">#REF!</definedName>
    <definedName name="_Key2" hidden="1">#REF!</definedName>
    <definedName name="_MatInverse_In" localSheetId="0" hidden="1">#REF!</definedName>
    <definedName name="_MatInverse_In" hidden="1">#REF!</definedName>
    <definedName name="_MatInverse_Out" localSheetId="0" hidden="1">#REF!</definedName>
    <definedName name="_MatInverse_Out" hidden="1">#REF!</definedName>
    <definedName name="_MCF94" localSheetId="0">#REF!</definedName>
    <definedName name="_MCF94">#REF!</definedName>
    <definedName name="_MCF95" localSheetId="0">#REF!</definedName>
    <definedName name="_MCF95">#REF!</definedName>
    <definedName name="_MCF96" localSheetId="0">#REF!</definedName>
    <definedName name="_MCF96">#REF!</definedName>
    <definedName name="_MCF97" localSheetId="0">#REF!</definedName>
    <definedName name="_MCF97">#REF!</definedName>
    <definedName name="_MCF98" localSheetId="0">#REF!</definedName>
    <definedName name="_MCF98">#REF!</definedName>
    <definedName name="_mi01" localSheetId="0">#REF!</definedName>
    <definedName name="_MI01">#REF!</definedName>
    <definedName name="_MI02" localSheetId="0">#REF!</definedName>
    <definedName name="_MI02">#REF!</definedName>
    <definedName name="_MI03" localSheetId="0">#REF!</definedName>
    <definedName name="_MI03">#REF!</definedName>
    <definedName name="_MI98" localSheetId="0">#REF!</definedName>
    <definedName name="_MI98">#REF!</definedName>
    <definedName name="_mi99" localSheetId="0">#REF!</definedName>
    <definedName name="_MI99">#REF!</definedName>
    <definedName name="_NI88" localSheetId="0">#REF!</definedName>
    <definedName name="_NI88">#REF!</definedName>
    <definedName name="_NI89" localSheetId="0">#REF!</definedName>
    <definedName name="_NI89">#REF!</definedName>
    <definedName name="_NI90" localSheetId="0">#REF!</definedName>
    <definedName name="_NI90">#REF!</definedName>
    <definedName name="_NI91" localSheetId="0">#REF!</definedName>
    <definedName name="_NI91">#REF!</definedName>
    <definedName name="_NI92" localSheetId="0">#REF!</definedName>
    <definedName name="_NI92">#REF!</definedName>
    <definedName name="_NI93" localSheetId="0">#REF!</definedName>
    <definedName name="_NI93">#REF!</definedName>
    <definedName name="_NI94" localSheetId="0">#REF!</definedName>
    <definedName name="_NI94">#REF!</definedName>
    <definedName name="_NI95" localSheetId="0">#REF!</definedName>
    <definedName name="_NI95">#REF!</definedName>
    <definedName name="_NP01" localSheetId="0">#REF!</definedName>
    <definedName name="_NP01">#REF!</definedName>
    <definedName name="_NP86" localSheetId="0">#REF!</definedName>
    <definedName name="_NP86">#REF!</definedName>
    <definedName name="_NP87" localSheetId="0">#REF!</definedName>
    <definedName name="_NP87">#REF!</definedName>
    <definedName name="_NP88" localSheetId="0">#REF!</definedName>
    <definedName name="_NP88">#REF!</definedName>
    <definedName name="_NP89" localSheetId="0">#REF!</definedName>
    <definedName name="_NP89">#REF!</definedName>
    <definedName name="_NP90" localSheetId="0">#REF!</definedName>
    <definedName name="_NP90">#REF!</definedName>
    <definedName name="_NP91" localSheetId="0">#REF!</definedName>
    <definedName name="_NP91">#REF!</definedName>
    <definedName name="_NP92" localSheetId="0">#REF!</definedName>
    <definedName name="_NP92">#REF!</definedName>
    <definedName name="_NP93" localSheetId="0">#REF!</definedName>
    <definedName name="_NP93">#REF!</definedName>
    <definedName name="_NP94" localSheetId="0">#REF!</definedName>
    <definedName name="_NP94">#REF!</definedName>
    <definedName name="_NP95" localSheetId="0">#REF!</definedName>
    <definedName name="_NP95">#REF!</definedName>
    <definedName name="_NS01" localSheetId="0">#REF!</definedName>
    <definedName name="_NS01">#REF!</definedName>
    <definedName name="_NS86" localSheetId="0">#REF!</definedName>
    <definedName name="_NS86">#REF!</definedName>
    <definedName name="_NS87" localSheetId="0">#REF!</definedName>
    <definedName name="_NS87">#REF!</definedName>
    <definedName name="_NS88" localSheetId="0">#REF!</definedName>
    <definedName name="_NS88">#REF!</definedName>
    <definedName name="_NS89" localSheetId="0">#REF!</definedName>
    <definedName name="_NS89">#REF!</definedName>
    <definedName name="_NS90" localSheetId="0">#REF!</definedName>
    <definedName name="_NS90">#REF!</definedName>
    <definedName name="_NS91" localSheetId="0">#REF!</definedName>
    <definedName name="_NS91">#REF!</definedName>
    <definedName name="_NS92" localSheetId="0">#REF!</definedName>
    <definedName name="_NS92">#REF!</definedName>
    <definedName name="_NS93" localSheetId="0">#REF!</definedName>
    <definedName name="_NS93">#REF!</definedName>
    <definedName name="_NS94" localSheetId="0">#REF!</definedName>
    <definedName name="_NS94">#REF!</definedName>
    <definedName name="_NS95" localSheetId="0">#REF!</definedName>
    <definedName name="_NS95">#REF!</definedName>
    <definedName name="_OCF01" localSheetId="0">#REF!</definedName>
    <definedName name="_OCF01">#REF!</definedName>
    <definedName name="_OCF02" localSheetId="0">#REF!</definedName>
    <definedName name="_OCF02">#REF!</definedName>
    <definedName name="_OCF94" localSheetId="0">#REF!</definedName>
    <definedName name="_OCF94">#REF!</definedName>
    <definedName name="_OCF95" localSheetId="0">#REF!</definedName>
    <definedName name="_OCF95">#REF!</definedName>
    <definedName name="_OCF96" localSheetId="0">#REF!</definedName>
    <definedName name="_OCF96">#REF!</definedName>
    <definedName name="_OCF97" localSheetId="0">#REF!</definedName>
    <definedName name="_OCF97">#REF!</definedName>
    <definedName name="_OCF98" localSheetId="0">#REF!</definedName>
    <definedName name="_OCF98">#REF!</definedName>
    <definedName name="_OCF99" localSheetId="0">#REF!</definedName>
    <definedName name="_OCF99">#REF!</definedName>
    <definedName name="_OGA01" localSheetId="0">#REF!</definedName>
    <definedName name="_OGA01">#REF!</definedName>
    <definedName name="_OGA02" localSheetId="0">#REF!</definedName>
    <definedName name="_OGA02">#REF!</definedName>
    <definedName name="_OGA03" localSheetId="0">#REF!</definedName>
    <definedName name="_OGA03">#REF!</definedName>
    <definedName name="_OGA98" localSheetId="0">#REF!</definedName>
    <definedName name="_OGA98">#REF!</definedName>
    <definedName name="_OGA99" localSheetId="0">#REF!</definedName>
    <definedName name="_OGA99">#REF!</definedName>
    <definedName name="_Order1" localSheetId="0" hidden="1">1</definedName>
    <definedName name="_Order1" hidden="1">0</definedName>
    <definedName name="_Order2" localSheetId="0" hidden="1">1</definedName>
    <definedName name="_Order2" hidden="1">0</definedName>
    <definedName name="_p45" localSheetId="0" hidden="1">#REF!</definedName>
    <definedName name="_p45" hidden="1">#REF!</definedName>
    <definedName name="_PFD01" localSheetId="0">#REF!</definedName>
    <definedName name="_PFD01">#REF!</definedName>
    <definedName name="_PFD02" localSheetId="0">#REF!</definedName>
    <definedName name="_PFD02">#REF!</definedName>
    <definedName name="_PFD03" localSheetId="0">#REF!</definedName>
    <definedName name="_PFD03">#REF!</definedName>
    <definedName name="_PFD99" localSheetId="0">#REF!</definedName>
    <definedName name="_PFD99">#REF!</definedName>
    <definedName name="_PFY1" localSheetId="0">#REF!</definedName>
    <definedName name="_PFY1">#REF!</definedName>
    <definedName name="_PFY2" localSheetId="0">#REF!</definedName>
    <definedName name="_PFY2">#REF!</definedName>
    <definedName name="_PFY3" localSheetId="0">#REF!</definedName>
    <definedName name="_PFY3">#REF!</definedName>
    <definedName name="_pg5" localSheetId="0">#REF!</definedName>
    <definedName name="_pg5">#REF!</definedName>
    <definedName name="_pg6" localSheetId="0">#REF!</definedName>
    <definedName name="_pg6">#REF!</definedName>
    <definedName name="_pg7" localSheetId="0">#REF!</definedName>
    <definedName name="_pg7">#REF!</definedName>
    <definedName name="_PL1" localSheetId="0">#REF!</definedName>
    <definedName name="_PL1">#REF!</definedName>
    <definedName name="_pri93" localSheetId="0">#REF!</definedName>
    <definedName name="_pri93">#REF!</definedName>
    <definedName name="_pri94" localSheetId="0">#REF!</definedName>
    <definedName name="_pri94">#REF!</definedName>
    <definedName name="_pri95" localSheetId="0">#REF!</definedName>
    <definedName name="_pri95">#REF!</definedName>
    <definedName name="_pri96" localSheetId="0">#REF!</definedName>
    <definedName name="_pri96">#REF!</definedName>
    <definedName name="_pri97" localSheetId="0">#REF!</definedName>
    <definedName name="_pri97">#REF!</definedName>
    <definedName name="_qtr1" localSheetId="0">#REF!</definedName>
    <definedName name="_qtr1">#REF!</definedName>
    <definedName name="_qtr2" localSheetId="0">#REF!</definedName>
    <definedName name="_qtr2">#REF!</definedName>
    <definedName name="_qtr3" localSheetId="0">#REF!</definedName>
    <definedName name="_qtr3">#REF!</definedName>
    <definedName name="_qtr4" localSheetId="0">#REF!</definedName>
    <definedName name="_qtr4">#REF!</definedName>
    <definedName name="_R" localSheetId="0">#REF!</definedName>
    <definedName name="_R">#REF!</definedName>
    <definedName name="_Regression_Int" hidden="1">1</definedName>
    <definedName name="_Regression_Out" localSheetId="0" hidden="1">#REF!</definedName>
    <definedName name="_Regression_Out" hidden="1">#REF!</definedName>
    <definedName name="_rev01" localSheetId="0">#REF!</definedName>
    <definedName name="_rev01">#REF!</definedName>
    <definedName name="_rev2006" localSheetId="0">#REF!</definedName>
    <definedName name="_rev2006">#REF!</definedName>
    <definedName name="_rev2007" localSheetId="0">#REF!</definedName>
    <definedName name="_rev2007">#REF!</definedName>
    <definedName name="_rev2008" localSheetId="0">#REF!</definedName>
    <definedName name="_rev2008">#REF!</definedName>
    <definedName name="_rev2009" localSheetId="0">#REF!</definedName>
    <definedName name="_rev2009">#REF!</definedName>
    <definedName name="_REV89" localSheetId="0">#REF!</definedName>
    <definedName name="_REV89">#REF!</definedName>
    <definedName name="_REV90" localSheetId="0">#REF!</definedName>
    <definedName name="_REV90">#REF!</definedName>
    <definedName name="_REV91" localSheetId="0">#REF!</definedName>
    <definedName name="_REV91">#REF!</definedName>
    <definedName name="_REV92" localSheetId="0">#REF!</definedName>
    <definedName name="_REV92">#REF!</definedName>
    <definedName name="_REV93" localSheetId="0">#REF!</definedName>
    <definedName name="_REV93">#REF!</definedName>
    <definedName name="_REV94" localSheetId="0">#REF!</definedName>
    <definedName name="_REV94">#REF!</definedName>
    <definedName name="_REV95" localSheetId="0">#REF!</definedName>
    <definedName name="_REV95">#REF!</definedName>
    <definedName name="_REV96" localSheetId="0">#REF!</definedName>
    <definedName name="_REV96">#REF!</definedName>
    <definedName name="_REV97" localSheetId="0">#REF!</definedName>
    <definedName name="_REV97">#REF!</definedName>
    <definedName name="_REV98" localSheetId="0">#REF!</definedName>
    <definedName name="_REV98">#REF!</definedName>
    <definedName name="_rev99" localSheetId="0">#REF!</definedName>
    <definedName name="_rev99">#REF!</definedName>
    <definedName name="_roc85" localSheetId="0">#REF!</definedName>
    <definedName name="_roc85">#REF!</definedName>
    <definedName name="_roc86" localSheetId="0">#REF!</definedName>
    <definedName name="_roc86">#REF!</definedName>
    <definedName name="_roc87" localSheetId="0">#REF!</definedName>
    <definedName name="_roc87">#REF!</definedName>
    <definedName name="_roc88" localSheetId="0">#REF!</definedName>
    <definedName name="_roc88">#REF!</definedName>
    <definedName name="_roc89" localSheetId="0">#REF!</definedName>
    <definedName name="_roc89">#REF!</definedName>
    <definedName name="_roc90" localSheetId="0">#REF!</definedName>
    <definedName name="_roc90">#REF!</definedName>
    <definedName name="_roc91" localSheetId="0">#REF!</definedName>
    <definedName name="_roc91">#REF!</definedName>
    <definedName name="_roc92" localSheetId="0">#REF!</definedName>
    <definedName name="_roc92">#REF!</definedName>
    <definedName name="_roc93" localSheetId="0">#REF!</definedName>
    <definedName name="_roc93">#REF!</definedName>
    <definedName name="_roc94" localSheetId="0">#REF!</definedName>
    <definedName name="_roc94">#REF!</definedName>
    <definedName name="_roc95" localSheetId="0">#REF!</definedName>
    <definedName name="_roc95">#REF!</definedName>
    <definedName name="_roc96" localSheetId="0">#REF!</definedName>
    <definedName name="_roc96">#REF!</definedName>
    <definedName name="_roe92" localSheetId="0">#REF!</definedName>
    <definedName name="_roe92">#REF!</definedName>
    <definedName name="_roe93" localSheetId="0">#REF!</definedName>
    <definedName name="_roe93">#REF!</definedName>
    <definedName name="_roe94" localSheetId="0">#REF!</definedName>
    <definedName name="_roe94">#REF!</definedName>
    <definedName name="_roe95" localSheetId="0">#REF!</definedName>
    <definedName name="_roe95">#REF!</definedName>
    <definedName name="_roe96" localSheetId="0">#REF!</definedName>
    <definedName name="_roe96">#REF!</definedName>
    <definedName name="_SE88" localSheetId="0">#REF!</definedName>
    <definedName name="_SE88">#REF!</definedName>
    <definedName name="_SE89" localSheetId="0">#REF!</definedName>
    <definedName name="_SE89">#REF!</definedName>
    <definedName name="_SE90" localSheetId="0">#REF!</definedName>
    <definedName name="_SE90">#REF!</definedName>
    <definedName name="_SE91" localSheetId="0">#REF!</definedName>
    <definedName name="_SE91">#REF!</definedName>
    <definedName name="_SE92" localSheetId="0">#REF!</definedName>
    <definedName name="_SE92">#REF!</definedName>
    <definedName name="_SE93" localSheetId="0">#REF!</definedName>
    <definedName name="_SE93">#REF!</definedName>
    <definedName name="_SE94" localSheetId="0">#REF!</definedName>
    <definedName name="_SE94">#REF!</definedName>
    <definedName name="_SE95" localSheetId="0">#REF!</definedName>
    <definedName name="_SE95">#REF!</definedName>
    <definedName name="_sls90" localSheetId="0">#REF!</definedName>
    <definedName name="_sls90">#REF!</definedName>
    <definedName name="_Sort" localSheetId="0">#REF!</definedName>
    <definedName name="_Sort" hidden="1">#N/A</definedName>
    <definedName name="_sum1" localSheetId="0">#REF!</definedName>
    <definedName name="_sum1">#REF!</definedName>
    <definedName name="_sum2" localSheetId="0">#REF!</definedName>
    <definedName name="_sum2">#REF!</definedName>
    <definedName name="_TA1" localSheetId="0">#REF!</definedName>
    <definedName name="_TA1">#REF!</definedName>
    <definedName name="_TA2" localSheetId="0">#REF!</definedName>
    <definedName name="_TA2">#REF!</definedName>
    <definedName name="_TA88" localSheetId="0">#REF!</definedName>
    <definedName name="_TA88">#REF!</definedName>
    <definedName name="_TA89" localSheetId="0">#REF!</definedName>
    <definedName name="_TA89">#REF!</definedName>
    <definedName name="_TA90" localSheetId="0">#REF!</definedName>
    <definedName name="_TA90">#REF!</definedName>
    <definedName name="_TA91" localSheetId="0">#REF!</definedName>
    <definedName name="_TA91">#REF!</definedName>
    <definedName name="_TA92" localSheetId="0">#REF!</definedName>
    <definedName name="_TA92">#REF!</definedName>
    <definedName name="_TA93" localSheetId="0">#REF!</definedName>
    <definedName name="_TA93">#REF!</definedName>
    <definedName name="_TA94" localSheetId="0">#REF!</definedName>
    <definedName name="_TA94">#REF!</definedName>
    <definedName name="_TA95" localSheetId="0">#REF!</definedName>
    <definedName name="_TA95">#REF!</definedName>
    <definedName name="_tab4" localSheetId="0">#REF!</definedName>
    <definedName name="_tab4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ax01" localSheetId="0">#REF!</definedName>
    <definedName name="_TAX01">#REF!</definedName>
    <definedName name="_tax1996" localSheetId="0">#REF!</definedName>
    <definedName name="_tax1996">#REF!</definedName>
    <definedName name="_tax1997" localSheetId="0">#REF!</definedName>
    <definedName name="_tax1997">#REF!</definedName>
    <definedName name="_tax1998" localSheetId="0">#REF!</definedName>
    <definedName name="_tax1998">#REF!</definedName>
    <definedName name="_tax1999" localSheetId="0">#REF!</definedName>
    <definedName name="_tax1999">#REF!</definedName>
    <definedName name="_tax2000" localSheetId="0">#REF!</definedName>
    <definedName name="_tax2000">#REF!</definedName>
    <definedName name="_tax2001" localSheetId="0">#REF!</definedName>
    <definedName name="_tax2001">#REF!</definedName>
    <definedName name="_tax99" localSheetId="0">#REF!</definedName>
    <definedName name="_tax99">#REF!</definedName>
    <definedName name="_vol93" localSheetId="0">#REF!</definedName>
    <definedName name="_vol93">#REF!</definedName>
    <definedName name="_vol94" localSheetId="0">#REF!</definedName>
    <definedName name="_vol94">#REF!</definedName>
    <definedName name="_vol95" localSheetId="0">#REF!</definedName>
    <definedName name="_vol95">#REF!</definedName>
    <definedName name="_vol96" localSheetId="0">#REF!</definedName>
    <definedName name="_vol96">#REF!</definedName>
    <definedName name="_vol97" localSheetId="0">#REF!</definedName>
    <definedName name="_vol97">#REF!</definedName>
    <definedName name="_w1" localSheetId="5" hidden="1">{"DELIV.",#N/A,FALSE,"comp";"INV",#N/A,FALSE,"comp"}</definedName>
    <definedName name="_w1" localSheetId="0" hidden="1">{"DELIV.",#N/A,FALSE,"comp";"INV",#N/A,FALSE,"comp"}</definedName>
    <definedName name="_w1" localSheetId="4" hidden="1">{"DELIV.",#N/A,FALSE,"comp";"INV",#N/A,FALSE,"comp"}</definedName>
    <definedName name="_w1" hidden="1">{"DELIV.",#N/A,FALSE,"comp";"INV",#N/A,FALSE,"comp"}</definedName>
    <definedName name="_WGT1" localSheetId="0">#REF!</definedName>
    <definedName name="_WGT1">#REF!</definedName>
    <definedName name="_WGT2" localSheetId="0">#REF!</definedName>
    <definedName name="_WGT2">#REF!</definedName>
    <definedName name="_WGT3" localSheetId="0">#REF!</definedName>
    <definedName name="_WGT3">#REF!</definedName>
    <definedName name="_WGT4" localSheetId="0">#REF!</definedName>
    <definedName name="_WGT4">#REF!</definedName>
    <definedName name="_WGT5" localSheetId="0">#REF!</definedName>
    <definedName name="_WGT5">#REF!</definedName>
    <definedName name="_WGT6" localSheetId="0">#REF!</definedName>
    <definedName name="_WGT6">#REF!</definedName>
    <definedName name="_wrn1" localSheetId="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" localSheetId="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_wrn111" localSheetId="5" hidden="1">{#N/A,#N/A,FALSE,"One Pager";#N/A,#N/A,FALSE,"Technical"}</definedName>
    <definedName name="_wrn111" localSheetId="0" hidden="1">{#N/A,#N/A,FALSE,"One Pager";#N/A,#N/A,FALSE,"Technical"}</definedName>
    <definedName name="_wrn111" localSheetId="4" hidden="1">{#N/A,#N/A,FALSE,"One Pager";#N/A,#N/A,FALSE,"Technical"}</definedName>
    <definedName name="_wrn111" hidden="1">{#N/A,#N/A,FALSE,"One Pager";#N/A,#N/A,FALSE,"Technical"}</definedName>
    <definedName name="_wrn2" localSheetId="5" hidden="1">{#N/A,#N/A,TRUE,"Financials";#N/A,#N/A,TRUE,"Operating Statistics";#N/A,#N/A,TRUE,"Capex &amp; Depreciation";#N/A,#N/A,TRUE,"Debt"}</definedName>
    <definedName name="_wrn2" localSheetId="0" hidden="1">{#N/A,#N/A,TRUE,"Financials";#N/A,#N/A,TRUE,"Operating Statistics";#N/A,#N/A,TRUE,"Capex &amp; Depreciation";#N/A,#N/A,TRUE,"Debt"}</definedName>
    <definedName name="_wrn2" localSheetId="4" hidden="1">{#N/A,#N/A,TRUE,"Financials";#N/A,#N/A,TRUE,"Operating Statistics";#N/A,#N/A,TRUE,"Capex &amp; Depreciation";#N/A,#N/A,TRUE,"Debt"}</definedName>
    <definedName name="_wrn2" hidden="1">{#N/A,#N/A,TRUE,"Financials";#N/A,#N/A,TRUE,"Operating Statistics";#N/A,#N/A,TRUE,"Capex &amp; Depreciation";#N/A,#N/A,TRUE,"Debt"}</definedName>
    <definedName name="_wrn3" localSheetId="5" hidden="1">{#N/A,#N/A,FALSE,"One Pager";#N/A,#N/A,FALSE,"Technical"}</definedName>
    <definedName name="_wrn3" localSheetId="0" hidden="1">{#N/A,#N/A,FALSE,"One Pager";#N/A,#N/A,FALSE,"Technical"}</definedName>
    <definedName name="_wrn3" localSheetId="4" hidden="1">{#N/A,#N/A,FALSE,"One Pager";#N/A,#N/A,FALSE,"Technical"}</definedName>
    <definedName name="_wrn3" hidden="1">{#N/A,#N/A,FALSE,"One Pager";#N/A,#N/A,FALSE,"Technical"}</definedName>
    <definedName name="_x1" hidden="1">#N/A</definedName>
    <definedName name="_YR1" localSheetId="0">#REF!</definedName>
    <definedName name="_YR1">#REF!</definedName>
    <definedName name="_YR2" localSheetId="0">#REF!</definedName>
    <definedName name="_YR2">#REF!</definedName>
    <definedName name="_YR3" localSheetId="0">#REF!</definedName>
    <definedName name="_YR3">#REF!</definedName>
    <definedName name="_YR4" localSheetId="0">#REF!</definedName>
    <definedName name="_YR4">#REF!</definedName>
    <definedName name="_YR5" localSheetId="0">#REF!</definedName>
    <definedName name="_YR5">#REF!</definedName>
    <definedName name="_YR6" localSheetId="0">#REF!</definedName>
    <definedName name="_YR6">#REF!</definedName>
    <definedName name="_YR7" localSheetId="0">#REF!</definedName>
    <definedName name="_YR7">#REF!</definedName>
    <definedName name="_YR8" localSheetId="0">#REF!</definedName>
    <definedName name="_YR8">#REF!</definedName>
    <definedName name="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">#REF!</definedName>
    <definedName name="A_ALL_000725.SZ" localSheetId="0">#REF!</definedName>
    <definedName name="A_ALL_000725.SZ">#REF!</definedName>
    <definedName name="A_ALL_002415.SZ_" localSheetId="0">#REF!</definedName>
    <definedName name="A_ALL_002415.SZ_">#REF!</definedName>
    <definedName name="A_ALL_002456.SZ" localSheetId="0">#REF!</definedName>
    <definedName name="A_ALL_002456.SZ">#REF!</definedName>
    <definedName name="A_ALL_0100.HK" localSheetId="0">#REF!</definedName>
    <definedName name="A_ALL_0100.HK">#REF!</definedName>
    <definedName name="A_ALL_0175.HK_" localSheetId="0">#REF!</definedName>
    <definedName name="A_ALL_0175.HK_">#REF!</definedName>
    <definedName name="A_ALL_0881.HK_" localSheetId="0">#REF!</definedName>
    <definedName name="A_ALL_0881.HK_">#REF!</definedName>
    <definedName name="A_ALL_1268.HK" localSheetId="0">#REF!</definedName>
    <definedName name="A_ALL_1268.HK">#REF!</definedName>
    <definedName name="A_ALL_1316.HK" localSheetId="0">#REF!</definedName>
    <definedName name="A_ALL_1316.HK">#REF!</definedName>
    <definedName name="A_ALL_1477.TW" localSheetId="0">#REF!</definedName>
    <definedName name="A_ALL_1477.TW">#REF!</definedName>
    <definedName name="A_ALL_2513.HK">#REF!</definedName>
    <definedName name="A_ALL_2618.HK" localSheetId="0">#REF!</definedName>
    <definedName name="A_ALL_2618.HK">#REF!</definedName>
    <definedName name="A_ALL_300750.SZ" localSheetId="0">#REF!</definedName>
    <definedName name="A_ALL_300750.SZ">#REF!</definedName>
    <definedName name="A_ALL_3690.HK" localSheetId="0">#REF!</definedName>
    <definedName name="A_ALL_3690.HK">#REF!</definedName>
    <definedName name="A_ALL_3836.HK" localSheetId="0">#REF!</definedName>
    <definedName name="A_ALL_3836.HK">#REF!</definedName>
    <definedName name="A_ALL_600104.SS_" localSheetId="0">#REF!</definedName>
    <definedName name="A_ALL_600104.SS_">#REF!</definedName>
    <definedName name="A_ALL_600699.SS" localSheetId="0">#REF!</definedName>
    <definedName name="A_ALL_600699.SS">#REF!</definedName>
    <definedName name="A_ALL_7618.HK">#REF!</definedName>
    <definedName name="A_ALL_8044.TWO" localSheetId="0">#REF!</definedName>
    <definedName name="A_ALL_8044.TWO">#REF!</definedName>
    <definedName name="A_ALL_CMG" localSheetId="0">#REF!</definedName>
    <definedName name="A_ALL_CMG">#REF!</definedName>
    <definedName name="A_ALL_DAO" localSheetId="0">#REF!</definedName>
    <definedName name="A_ALL_DAO">#REF!</definedName>
    <definedName name="A_ALL_DIDIY" localSheetId="0">#REF!</definedName>
    <definedName name="A_ALL_DIDIY">#REF!</definedName>
    <definedName name="A_ALL_EDU" localSheetId="0">#REF!</definedName>
    <definedName name="A_ALL_EDU">#REF!</definedName>
    <definedName name="A_ALL_EDU_" localSheetId="0">#REF!</definedName>
    <definedName name="A_ALL_EDU_">#REF!</definedName>
    <definedName name="A_ALL_JD" localSheetId="0">#REF!</definedName>
    <definedName name="A_ALL_JD">#REF!</definedName>
    <definedName name="A_ALL_KEYWORDS_TYPE_ScalarContributed_EQTY_200006934" localSheetId="0">#REF!,#REF!</definedName>
    <definedName name="A_ALL_KEYWORDS_TYPE_ScalarContributed_EQTY_200006934">#REF!,#REF!</definedName>
    <definedName name="A_ALL_KEYWORDS_TYPE_ScalarContributed_EQTY_200007870" localSheetId="0">#REF!,#REF!</definedName>
    <definedName name="A_ALL_KEYWORDS_TYPE_ScalarContributed_EQTY_200007870">#REF!,#REF!</definedName>
    <definedName name="A_ALL_KEYWORDS_TYPE_ScalarContributed_EQTY_200009970" localSheetId="0">#REF!,#REF!</definedName>
    <definedName name="A_ALL_KEYWORDS_TYPE_ScalarContributed_EQTY_200009970">#REF!,#REF!</definedName>
    <definedName name="A_ALL_KEYWORDS_TYPE_ScalarContributed_EQTY_200011172" localSheetId="0">#REF!,#REF!</definedName>
    <definedName name="A_ALL_KEYWORDS_TYPE_ScalarContributed_EQTY_200011172">#REF!,#REF!</definedName>
    <definedName name="A_ALL_KEYWORDS_TYPE_ScalarContributed_EQTY_200012492" localSheetId="0">#REF!,#REF!</definedName>
    <definedName name="A_ALL_KEYWORDS_TYPE_ScalarContributed_EQTY_200012492">#REF!,#REF!</definedName>
    <definedName name="A_ALL_KEYWORDS_TYPE_ScalarContributed_EQTY_200012735" localSheetId="0">#REF!,#REF!</definedName>
    <definedName name="A_ALL_KEYWORDS_TYPE_ScalarContributed_EQTY_200012735">#REF!,#REF!</definedName>
    <definedName name="A_ALL_KEYWORDS_TYPE_ScalarContributed_EQTY_200012909" localSheetId="0">#REF!,#REF!</definedName>
    <definedName name="A_ALL_KEYWORDS_TYPE_ScalarContributed_EQTY_200012909">#REF!,#REF!</definedName>
    <definedName name="A_ALL_KEYWORDS_TYPE_ScalarContributed_EQTY_200012913" localSheetId="0">#REF!,#REF!</definedName>
    <definedName name="A_ALL_KEYWORDS_TYPE_ScalarContributed_EQTY_200012913">#REF!,#REF!</definedName>
    <definedName name="A_ALL_KEYWORDS_TYPE_ScalarContributed_EQTY_200013037" localSheetId="0">#REF!,#REF!</definedName>
    <definedName name="A_ALL_KEYWORDS_TYPE_ScalarContributed_EQTY_200013037">#REF!,#REF!</definedName>
    <definedName name="A_ALL_KEYWORDS_TYPE_ScalarContributed_EQTY_200013142" localSheetId="0">#REF!,#REF!</definedName>
    <definedName name="A_ALL_KEYWORDS_TYPE_ScalarContributed_EQTY_200013142">#REF!,#REF!</definedName>
    <definedName name="A_ALL_KEYWORDS_TYPE_ScalarContributed_EQTY_200016087" localSheetId="0">#REF!,#REF!</definedName>
    <definedName name="A_ALL_KEYWORDS_TYPE_ScalarContributed_EQTY_200016087">#REF!,#REF!</definedName>
    <definedName name="A_ALL_KEYWORDS_TYPE_ScalarContributed_EQTY_200017199" localSheetId="0">#REF!,#REF!</definedName>
    <definedName name="A_ALL_KEYWORDS_TYPE_ScalarContributed_EQTY_200017199">#REF!,#REF!</definedName>
    <definedName name="A_ALL_KEYWORDS_TYPE_ScalarContributed_EQTY_200019438" localSheetId="0">#REF!,#REF!</definedName>
    <definedName name="A_ALL_KEYWORDS_TYPE_ScalarContributed_EQTY_200019438">#REF!,#REF!</definedName>
    <definedName name="A_ALL_KEYWORDS_TYPE_ScalarContributed_EQTY_200019558" localSheetId="0">#REF!,#REF!</definedName>
    <definedName name="A_ALL_KEYWORDS_TYPE_ScalarContributed_EQTY_200019558">#REF!,#REF!</definedName>
    <definedName name="A_ALL_KEYWORDS_TYPE_ScalarContributed_EQTY_200019592" localSheetId="0">#REF!,#REF!</definedName>
    <definedName name="A_ALL_KEYWORDS_TYPE_ScalarContributed_EQTY_200019592">#REF!,#REF!</definedName>
    <definedName name="A_ALL_KEYWORDS_TYPE_ScalarContributed_EQTY_200019860" localSheetId="0">#REF!,#REF!,#REF!</definedName>
    <definedName name="A_ALL_KEYWORDS_TYPE_ScalarContributed_EQTY_200019860">#REF!,#REF!,#REF!</definedName>
    <definedName name="A_ALL_KEYWORDS_TYPE_ScalarContributed_EQTY_200021259">#REF!,#REF!,#REF!</definedName>
    <definedName name="A_ALL_KEYWORDS_TYPE_ScalarContributed_ISSR_208002371" localSheetId="0">#REF!,#REF!,#REF!</definedName>
    <definedName name="A_ALL_KEYWORDS_TYPE_ScalarContributed_ISSR_208002371">#REF!,#REF!,#REF!</definedName>
    <definedName name="A_ALL_KEYWORDS_TYPE_ScalarContributed_ISSR_208010083" localSheetId="0">#REF!,#REF!</definedName>
    <definedName name="A_ALL_KEYWORDS_TYPE_ScalarContributed_ISSR_208010083">#REF!,#REF!</definedName>
    <definedName name="A_ALL_KEYWORDS_TYPE_ScalarContributed_ISSR_208014620" localSheetId="0">#REF!,#REF!</definedName>
    <definedName name="A_ALL_KEYWORDS_TYPE_ScalarContributed_ISSR_208014620">#REF!,#REF!</definedName>
    <definedName name="A_ALL_KEYWORDS_TYPE_ScalarContributed_ISSR_208018143" localSheetId="0">#REF!,#REF!</definedName>
    <definedName name="A_ALL_KEYWORDS_TYPE_ScalarContributed_ISSR_208018143">#REF!,#REF!</definedName>
    <definedName name="A_ALL_KEYWORDS_TYPE_ScalarContributed_ISSR_208018361" localSheetId="0">#REF!,#REF!,#REF!</definedName>
    <definedName name="A_ALL_KEYWORDS_TYPE_ScalarContributed_ISSR_208018361">#REF!,#REF!,#REF!</definedName>
    <definedName name="A_ALL_KEYWORDS_TYPE_ScalarContributed_ISSR_208018457" localSheetId="0">#REF!,#REF!,#REF!,#REF!</definedName>
    <definedName name="A_ALL_KEYWORDS_TYPE_ScalarContributed_ISSR_208018457">#REF!,#REF!,#REF!,#REF!</definedName>
    <definedName name="A_ALL_KEYWORDS_TYPE_ScalarContributed_ISSR_208018550" localSheetId="0">#REF!,#REF!</definedName>
    <definedName name="A_ALL_KEYWORDS_TYPE_ScalarContributed_ISSR_208018550">#REF!,#REF!</definedName>
    <definedName name="A_ALL_KEYWORDS_TYPE_Vector_EQTY_200006934" localSheetId="0">#REF!,#REF!,#REF!,#REF!,#REF!</definedName>
    <definedName name="A_ALL_KEYWORDS_TYPE_Vector_EQTY_200006934">#REF!,#REF!,#REF!,#REF!,#REF!</definedName>
    <definedName name="A_ALL_KEYWORDS_TYPE_Vector_EQTY_200007870" localSheetId="0">#REF!,#REF!,#REF!,#REF!,#REF!</definedName>
    <definedName name="A_ALL_KEYWORDS_TYPE_Vector_EQTY_200007870">#REF!,#REF!,#REF!,#REF!,#REF!</definedName>
    <definedName name="A_ALL_KEYWORDS_TYPE_Vector_EQTY_200009970" localSheetId="0">#REF!,#REF!,#REF!,#REF!,#REF!</definedName>
    <definedName name="A_ALL_KEYWORDS_TYPE_Vector_EQTY_200009970">#REF!,#REF!,#REF!,#REF!,#REF!</definedName>
    <definedName name="A_ALL_KEYWORDS_TYPE_Vector_EQTY_200011172" localSheetId="0">#REF!,#REF!,#REF!,#REF!,#REF!</definedName>
    <definedName name="A_ALL_KEYWORDS_TYPE_Vector_EQTY_200011172">#REF!,#REF!,#REF!,#REF!,#REF!</definedName>
    <definedName name="A_ALL_KEYWORDS_TYPE_Vector_EQTY_200012302" localSheetId="0">#REF!,#REF!,#REF!,#REF!,#REF!,#REF!,#REF!,#REF!</definedName>
    <definedName name="A_ALL_KEYWORDS_TYPE_Vector_EQTY_200012302">#REF!,#REF!,#REF!,#REF!,#REF!,#REF!,#REF!,#REF!</definedName>
    <definedName name="A_ALL_KEYWORDS_TYPE_Vector_EQTY_200012492" localSheetId="0">#REF!,#REF!,#REF!,#REF!,#REF!</definedName>
    <definedName name="A_ALL_KEYWORDS_TYPE_Vector_EQTY_200012492">#REF!,#REF!,#REF!,#REF!,#REF!</definedName>
    <definedName name="A_ALL_KEYWORDS_TYPE_Vector_EQTY_200012735" localSheetId="0">#REF!,#REF!,#REF!,#REF!,#REF!</definedName>
    <definedName name="A_ALL_KEYWORDS_TYPE_Vector_EQTY_200012735">#REF!,#REF!,#REF!,#REF!,#REF!</definedName>
    <definedName name="A_ALL_KEYWORDS_TYPE_Vector_EQTY_200012909" localSheetId="0">#REF!,#REF!,#REF!,#REF!,#REF!</definedName>
    <definedName name="A_ALL_KEYWORDS_TYPE_Vector_EQTY_200012909">#REF!,#REF!,#REF!,#REF!,#REF!</definedName>
    <definedName name="A_ALL_KEYWORDS_TYPE_Vector_EQTY_200012913" localSheetId="0">#REF!,#REF!,#REF!,#REF!,#REF!</definedName>
    <definedName name="A_ALL_KEYWORDS_TYPE_Vector_EQTY_200012913">#REF!,#REF!,#REF!,#REF!,#REF!</definedName>
    <definedName name="A_ALL_KEYWORDS_TYPE_Vector_EQTY_200013037" localSheetId="0">#REF!,#REF!,#REF!,#REF!,#REF!</definedName>
    <definedName name="A_ALL_KEYWORDS_TYPE_Vector_EQTY_200013037">#REF!,#REF!,#REF!,#REF!,#REF!</definedName>
    <definedName name="A_ALL_KEYWORDS_TYPE_Vector_EQTY_200013142" localSheetId="0">#REF!,#REF!,#REF!,#REF!,#REF!</definedName>
    <definedName name="A_ALL_KEYWORDS_TYPE_Vector_EQTY_200013142">#REF!,#REF!,#REF!,#REF!,#REF!</definedName>
    <definedName name="A_ALL_KEYWORDS_TYPE_Vector_EQTY_200016087" localSheetId="0">#REF!,#REF!,#REF!,#REF!,#REF!</definedName>
    <definedName name="A_ALL_KEYWORDS_TYPE_Vector_EQTY_200016087">#REF!,#REF!,#REF!,#REF!,#REF!</definedName>
    <definedName name="A_ALL_KEYWORDS_TYPE_Vector_EQTY_200017199" localSheetId="0">#REF!,#REF!,#REF!,#REF!,#REF!</definedName>
    <definedName name="A_ALL_KEYWORDS_TYPE_Vector_EQTY_200017199">#REF!,#REF!,#REF!,#REF!,#REF!</definedName>
    <definedName name="A_ALL_KEYWORDS_TYPE_Vector_EQTY_200018245" localSheetId="0">#REF!,#REF!,#REF!,#REF!,#REF!</definedName>
    <definedName name="A_ALL_KEYWORDS_TYPE_Vector_EQTY_200018245">#REF!,#REF!,#REF!,#REF!,#REF!</definedName>
    <definedName name="A_ALL_KEYWORDS_TYPE_Vector_EQTY_200019592" localSheetId="0">#REF!,#REF!,#REF!,#REF!,#REF!</definedName>
    <definedName name="A_ALL_KEYWORDS_TYPE_Vector_EQTY_200019592">#REF!,#REF!,#REF!,#REF!,#REF!</definedName>
    <definedName name="A_ALL_KEYWORDS_TYPE_Vector_EQTY_200019837" localSheetId="0">#REF!,#REF!,#REF!,#REF!,#REF!</definedName>
    <definedName name="A_ALL_KEYWORDS_TYPE_Vector_EQTY_200019837">#REF!,#REF!,#REF!,#REF!,#REF!</definedName>
    <definedName name="A_ALL_KEYWORDS_TYPE_Vector_EQTY_200019864" localSheetId="0">#REF!,#REF!,#REF!,#REF!,#REF!</definedName>
    <definedName name="A_ALL_KEYWORDS_TYPE_Vector_EQTY_200019864">#REF!,#REF!,#REF!,#REF!,#REF!</definedName>
    <definedName name="A_ALL_KEYWORDS_TYPE_Vector_ISSR_208000417" localSheetId="0">#REF!,#REF!,#REF!,#REF!,#REF!,#REF!,#REF!,#REF!,#REF!,#REF!,#REF!,#REF!</definedName>
    <definedName name="A_ALL_KEYWORDS_TYPE_Vector_ISSR_208000417">#REF!,#REF!,#REF!,#REF!,#REF!,#REF!,#REF!,#REF!,#REF!,#REF!,#REF!,#REF!</definedName>
    <definedName name="A_ALL_KEYWORDS_TYPE_Vector_ISSR_208000897" localSheetId="0">#REF!,#REF!,#REF!,#REF!,#REF!,#REF!,#REF!,#REF!,#REF!,#REF!,#REF!</definedName>
    <definedName name="A_ALL_KEYWORDS_TYPE_Vector_ISSR_208000897">#REF!,#REF!,#REF!,#REF!,#REF!,#REF!,#REF!,#REF!,#REF!,#REF!,#REF!</definedName>
    <definedName name="A_ALL_KEYWORDS_TYPE_Vector_ISSR_208002371" localSheetId="0">#REF!,#REF!,#REF!,#REF!,#REF!,#REF!,#REF!,#REF!,#REF!,#REF!,#REF!,#REF!,#REF!,#REF!,#REF!,#REF!,#REF!,#REF!,#REF!</definedName>
    <definedName name="A_ALL_KEYWORDS_TYPE_Vector_ISSR_208002371">#REF!,#REF!,#REF!,#REF!,#REF!,#REF!,#REF!,#REF!,#REF!,#REF!,#REF!,#REF!,#REF!,#REF!,#REF!,#REF!,#REF!,#REF!,#REF!</definedName>
    <definedName name="A_ALL_KEYWORDS_TYPE_Vector_ISSR_208006103" localSheetId="0">#REF!,#REF!,#REF!,#REF!,#REF!,#REF!,#REF!,#REF!,#REF!,#REF!,#REF!,#REF!,#REF!,#REF!</definedName>
    <definedName name="A_ALL_KEYWORDS_TYPE_Vector_ISSR_208006103">#REF!,#REF!,#REF!,#REF!,#REF!,#REF!,#REF!,#REF!,#REF!,#REF!,#REF!,#REF!,#REF!,#REF!</definedName>
    <definedName name="A_ALL_KEYWORDS_TYPE_Vector_ISSR_208007694" localSheetId="0">#REF!,#REF!,#REF!,#REF!,#REF!,#REF!,#REF!,#REF!,#REF!,#REF!,#REF!,#REF!,#REF!,#REF!,#REF!</definedName>
    <definedName name="A_ALL_KEYWORDS_TYPE_Vector_ISSR_208007694">#REF!,#REF!,#REF!,#REF!,#REF!,#REF!,#REF!,#REF!,#REF!,#REF!,#REF!,#REF!,#REF!,#REF!,#REF!</definedName>
    <definedName name="A_ALL_KEYWORDS_TYPE_Vector_ISSR_208008548" localSheetId="0">#REF!,#REF!,#REF!,#REF!,#REF!,#REF!,#REF!,#REF!,#REF!,#REF!,#REF!,#REF!,#REF!,#REF!,#REF!,#REF!</definedName>
    <definedName name="A_ALL_KEYWORDS_TYPE_Vector_ISSR_208008548">#REF!,#REF!,#REF!,#REF!,#REF!,#REF!,#REF!,#REF!,#REF!,#REF!,#REF!,#REF!,#REF!,#REF!,#REF!,#REF!</definedName>
    <definedName name="A_ALL_KEYWORDS_TYPE_Vector_ISSR_208009486" localSheetId="0">#REF!,#REF!,#REF!,#REF!,#REF!,#REF!,#REF!,#REF!,#REF!,#REF!,#REF!,#REF!,#REF!,#REF!,#REF!</definedName>
    <definedName name="A_ALL_KEYWORDS_TYPE_Vector_ISSR_208009486">#REF!,#REF!,#REF!,#REF!,#REF!,#REF!,#REF!,#REF!,#REF!,#REF!,#REF!,#REF!,#REF!,#REF!,#REF!</definedName>
    <definedName name="A_ALL_KEYWORDS_TYPE_Vector_ISSR_208009698" localSheetId="0">#REF!,#REF!,#REF!,#REF!,#REF!,#REF!,#REF!,#REF!,#REF!,#REF!,#REF!,#REF!,#REF!,#REF!</definedName>
    <definedName name="A_ALL_KEYWORDS_TYPE_Vector_ISSR_208009698">#REF!,#REF!,#REF!,#REF!,#REF!,#REF!,#REF!,#REF!,#REF!,#REF!,#REF!,#REF!,#REF!,#REF!</definedName>
    <definedName name="A_ALL_KEYWORDS_TYPE_Vector_ISSR_208009912" localSheetId="0">#REF!,#REF!,#REF!,#REF!,#REF!,#REF!,#REF!,#REF!,#REF!,#REF!,#REF!,#REF!,#REF!,#REF!,#REF!</definedName>
    <definedName name="A_ALL_KEYWORDS_TYPE_Vector_ISSR_208009912">#REF!,#REF!,#REF!,#REF!,#REF!,#REF!,#REF!,#REF!,#REF!,#REF!,#REF!,#REF!,#REF!,#REF!,#REF!</definedName>
    <definedName name="A_ALL_KEYWORDS_TYPE_Vector_ISSR_208009916" localSheetId="0">#REF!,#REF!,#REF!,#REF!,#REF!,#REF!,#REF!,#REF!,#REF!,#REF!,#REF!,#REF!,#REF!,#REF!</definedName>
    <definedName name="A_ALL_KEYWORDS_TYPE_Vector_ISSR_208009916">#REF!,#REF!,#REF!,#REF!,#REF!,#REF!,#REF!,#REF!,#REF!,#REF!,#REF!,#REF!,#REF!,#REF!</definedName>
    <definedName name="A_ALL_KEYWORDS_TYPE_Vector_ISSR_208010083" localSheetId="0">#REF!,#REF!,#REF!,#REF!,#REF!,#REF!,#REF!,#REF!,#REF!,#REF!,#REF!,#REF!,#REF!,#REF!,#REF!,#REF!,#REF!,#REF!,#REF!,#REF!,#REF!,#REF!,#REF!</definedName>
    <definedName name="A_ALL_KEYWORDS_TYPE_Vector_ISSR_208010083">#REF!,#REF!,#REF!,#REF!,#REF!,#REF!,#REF!,#REF!,#REF!,#REF!,#REF!,#REF!,#REF!,#REF!,#REF!,#REF!,#REF!,#REF!,#REF!,#REF!,#REF!,#REF!,#REF!</definedName>
    <definedName name="A_ALL_KEYWORDS_TYPE_Vector_ISSR_208013035" localSheetId="0">#REF!,#REF!,#REF!,#REF!,#REF!,#REF!,#REF!,#REF!,#REF!,#REF!,#REF!,#REF!,#REF!,#REF!,#REF!</definedName>
    <definedName name="A_ALL_KEYWORDS_TYPE_Vector_ISSR_208013035">#REF!,#REF!,#REF!,#REF!,#REF!,#REF!,#REF!,#REF!,#REF!,#REF!,#REF!,#REF!,#REF!,#REF!,#REF!</definedName>
    <definedName name="A_ALL_KEYWORDS_TYPE_Vector_ISSR_208014620" localSheetId="0">#REF!,#REF!,#REF!,#REF!,#REF!,#REF!,#REF!,#REF!,#REF!,#REF!,#REF!,#REF!</definedName>
    <definedName name="A_ALL_KEYWORDS_TYPE_Vector_ISSR_208014620">#REF!,#REF!,#REF!,#REF!,#REF!,#REF!,#REF!,#REF!,#REF!,#REF!,#REF!,#REF!</definedName>
    <definedName name="A_ALL_KEYWORDS_TYPE_Vector_ISSR_208015997" localSheetId="0">#REF!,#REF!,#REF!,#REF!,#REF!,#REF!,#REF!,#REF!,#REF!,#REF!,#REF!,#REF!,#REF!,#REF!</definedName>
    <definedName name="A_ALL_KEYWORDS_TYPE_Vector_ISSR_208015997">#REF!,#REF!,#REF!,#REF!,#REF!,#REF!,#REF!,#REF!,#REF!,#REF!,#REF!,#REF!,#REF!,#REF!</definedName>
    <definedName name="A_ALL_KEYWORDS_TYPE_Vector_ISSR_208018143" localSheetId="0">#REF!,#REF!,#REF!,#REF!,#REF!,#REF!,#REF!,#REF!,#REF!,#REF!,#REF!,#REF!,#REF!</definedName>
    <definedName name="A_ALL_KEYWORDS_TYPE_Vector_ISSR_208018143">#REF!,#REF!,#REF!,#REF!,#REF!,#REF!,#REF!,#REF!,#REF!,#REF!,#REF!,#REF!,#REF!</definedName>
    <definedName name="A_ALL_KEYWORDS_TYPE_Vector_ISSR_208018361" localSheetId="0">#REF!,#REF!,#REF!,#REF!,#REF!,#REF!,#REF!,#REF!,#REF!,#REF!,#REF!,#REF!,#REF!,#REF!,#REF!,#REF!,#REF!,#REF!,#REF!</definedName>
    <definedName name="A_ALL_KEYWORDS_TYPE_Vector_ISSR_208018361">#REF!,#REF!,#REF!,#REF!,#REF!,#REF!,#REF!,#REF!,#REF!,#REF!,#REF!,#REF!,#REF!,#REF!,#REF!,#REF!,#REF!,#REF!,#REF!</definedName>
    <definedName name="A_ALL_KEYWORDS_TYPE_Vector_ISSR_208018457" localSheetId="0">#REF!,#REF!,#REF!,#REF!,#REF!,#REF!,#REF!,#REF!,#REF!,#REF!,#REF!,#REF!,#REF!,#REF!,#REF!,#REF!,#REF!,#REF!,#REF!</definedName>
    <definedName name="A_ALL_KEYWORDS_TYPE_Vector_ISSR_208018457">#REF!,#REF!,#REF!,#REF!,#REF!,#REF!,#REF!,#REF!,#REF!,#REF!,#REF!,#REF!,#REF!,#REF!,#REF!,#REF!,#REF!,#REF!,#REF!</definedName>
    <definedName name="A_ALL_KEYWORDS_TYPE_Vector_ISSR_208018497" localSheetId="0">#REF!,#REF!,#REF!,#REF!,#REF!,#REF!,#REF!,#REF!,#REF!,#REF!,#REF!,#REF!,#REF!</definedName>
    <definedName name="A_ALL_KEYWORDS_TYPE_Vector_ISSR_208018497">#REF!,#REF!,#REF!,#REF!,#REF!,#REF!,#REF!,#REF!,#REF!,#REF!,#REF!,#REF!,#REF!</definedName>
    <definedName name="A_ALL_KEYWORDS_TYPE_Vector_ISSR_208018550" localSheetId="0">#REF!,#REF!,#REF!,#REF!,#REF!,#REF!,#REF!,#REF!,#REF!,#REF!,#REF!,#REF!,#REF!</definedName>
    <definedName name="A_ALL_KEYWORDS_TYPE_Vector_ISSR_208018550">#REF!,#REF!,#REF!,#REF!,#REF!,#REF!,#REF!,#REF!,#REF!,#REF!,#REF!,#REF!,#REF!</definedName>
    <definedName name="A_ALL_KEYWORDS_TYPE_Vector_ISSR_208020716" localSheetId="0">#REF!,#REF!,#REF!,#REF!,#REF!,#REF!,#REF!,#REF!,#REF!,#REF!,#REF!,#REF!,#REF!,#REF!</definedName>
    <definedName name="A_ALL_KEYWORDS_TYPE_Vector_ISSR_208020716">#REF!,#REF!,#REF!,#REF!,#REF!,#REF!,#REF!,#REF!,#REF!,#REF!,#REF!,#REF!,#REF!,#REF!</definedName>
    <definedName name="A_ALL_LAIX" localSheetId="0">#REF!</definedName>
    <definedName name="A_ALL_LAIX">#REF!</definedName>
    <definedName name="A_ALL_LI" localSheetId="0">#REF!</definedName>
    <definedName name="A_ALL_LI">#REF!</definedName>
    <definedName name="A_ALL_MCD" localSheetId="0">#REF!</definedName>
    <definedName name="A_ALL_MCD">#REF!</definedName>
    <definedName name="A_ALL_PERIODS_8044.TWO" localSheetId="0">#REF!</definedName>
    <definedName name="A_ALL_PERIODS_8044.TWO">#REF!</definedName>
    <definedName name="A_ALL_SECTION_KEYWORDS_EQTY_200019752_13A" localSheetId="0">#REF!</definedName>
    <definedName name="A_ALL_SECTION_KEYWORDS_EQTY_200019752_13A">#REF!</definedName>
    <definedName name="A_ALL_SECTION_KEYWORDS_EQTY_200019864_13K" localSheetId="0">#REF!</definedName>
    <definedName name="A_ALL_SECTION_KEYWORDS_EQTY_200019864_13K">#REF!</definedName>
    <definedName name="A_ALL_SECTION_KEYWORDS_EQTY_200021259_13A">#REF!</definedName>
    <definedName name="A_ALL_SECTION_KEYWORDS_ISSR_208000417_131O" localSheetId="0">#REF!,#REF!</definedName>
    <definedName name="A_ALL_SECTION_KEYWORDS_ISSR_208000417_131O">#REF!,#REF!</definedName>
    <definedName name="A_ALL_SECTION_KEYWORDS_ISSR_208000897_131O" localSheetId="0">#REF!,#REF!</definedName>
    <definedName name="A_ALL_SECTION_KEYWORDS_ISSR_208000897_131O">#REF!,#REF!</definedName>
    <definedName name="A_ALL_SECTION_KEYWORDS_ISSR_208000897_136E" localSheetId="0">#REF!,#REF!</definedName>
    <definedName name="A_ALL_SECTION_KEYWORDS_ISSR_208000897_136E">#REF!,#REF!</definedName>
    <definedName name="A_ALL_SECTION_KEYWORDS_ISSR_208002371_136E" localSheetId="0">#REF!,#REF!</definedName>
    <definedName name="A_ALL_SECTION_KEYWORDS_ISSR_208002371_136E">#REF!,#REF!</definedName>
    <definedName name="A_ALL_SECTION_KEYWORDS_ISSR_208002371_13V" localSheetId="0">#REF!,#REF!</definedName>
    <definedName name="A_ALL_SECTION_KEYWORDS_ISSR_208002371_13V">#REF!,#REF!</definedName>
    <definedName name="A_ALL_SECTION_KEYWORDS_ISSR_208009698_1316U" localSheetId="0">#REF!,#REF!</definedName>
    <definedName name="A_ALL_SECTION_KEYWORDS_ISSR_208009698_1316U">#REF!,#REF!</definedName>
    <definedName name="A_ALL_SECTION_KEYWORDS_ISSR_208009916_1316U" localSheetId="0">#REF!,#REF!</definedName>
    <definedName name="A_ALL_SECTION_KEYWORDS_ISSR_208009916_1316U">#REF!,#REF!</definedName>
    <definedName name="A_ALL_SECTION_KEYWORDS_ISSR_208010032_13178" localSheetId="0">#REF!,#REF!</definedName>
    <definedName name="A_ALL_SECTION_KEYWORDS_ISSR_208010032_13178">#REF!,#REF!</definedName>
    <definedName name="A_ALL_SECTION_KEYWORDS_ISSR_208010032_136E" localSheetId="0">#REF!,#REF!</definedName>
    <definedName name="A_ALL_SECTION_KEYWORDS_ISSR_208010032_136E">#REF!,#REF!</definedName>
    <definedName name="A_ALL_SECTION_KEYWORDS_ISSR_208014620_136E" localSheetId="0">#REF!,#REF!</definedName>
    <definedName name="A_ALL_SECTION_KEYWORDS_ISSR_208014620_136E">#REF!,#REF!</definedName>
    <definedName name="A_ALL_SECTION_KEYWORDS_ISSR_208014620_13V" localSheetId="0">#REF!,#REF!</definedName>
    <definedName name="A_ALL_SECTION_KEYWORDS_ISSR_208014620_13V">#REF!,#REF!</definedName>
    <definedName name="A_ALL_SECTION_KEYWORDS_ISSR_208015997_1316U" localSheetId="0">#REF!,#REF!</definedName>
    <definedName name="A_ALL_SECTION_KEYWORDS_ISSR_208015997_1316U">#REF!,#REF!</definedName>
    <definedName name="A_ALL_SECTION_KEYWORDS_ISSR_208018143_13V" localSheetId="0">#REF!,#REF!</definedName>
    <definedName name="A_ALL_SECTION_KEYWORDS_ISSR_208018143_13V">#REF!,#REF!</definedName>
    <definedName name="A_ALL_SECTION_KEYWORDS_ISSR_208018361_13168" localSheetId="0">#REF!</definedName>
    <definedName name="A_ALL_SECTION_KEYWORDS_ISSR_208018361_13168">#REF!</definedName>
    <definedName name="A_ALL_SECTION_KEYWORDS_ISSR_208018361_1319" localSheetId="0">#REF!</definedName>
    <definedName name="A_ALL_SECTION_KEYWORDS_ISSR_208018361_1319">#REF!</definedName>
    <definedName name="A_ALL_SECTION_KEYWORDS_ISSR_208018361_131P" localSheetId="0">#REF!,#REF!</definedName>
    <definedName name="A_ALL_SECTION_KEYWORDS_ISSR_208018361_131P">#REF!,#REF!</definedName>
    <definedName name="A_ALL_SECTION_KEYWORDS_ISSR_208018361_136E" localSheetId="0">#REF!,#REF!</definedName>
    <definedName name="A_ALL_SECTION_KEYWORDS_ISSR_208018361_136E">#REF!,#REF!</definedName>
    <definedName name="A_ALL_SECTION_KEYWORDS_ISSR_208018457_136E" localSheetId="0">#REF!,#REF!</definedName>
    <definedName name="A_ALL_SECTION_KEYWORDS_ISSR_208018457_136E">#REF!,#REF!</definedName>
    <definedName name="A_ALL_SECTION_KEYWORDS_ISSR_208018457_13V" localSheetId="0">#REF!,#REF!</definedName>
    <definedName name="A_ALL_SECTION_KEYWORDS_ISSR_208018457_13V">#REF!,#REF!</definedName>
    <definedName name="A_ALL_SECTION_KEYWORDS_ISSR_208018497_131O" localSheetId="0">#REF!,#REF!</definedName>
    <definedName name="A_ALL_SECTION_KEYWORDS_ISSR_208018497_131O">#REF!,#REF!</definedName>
    <definedName name="A_ALL_SECTION_KEYWORDS_ISSR_208018550_1314" localSheetId="0">#REF!</definedName>
    <definedName name="A_ALL_SECTION_KEYWORDS_ISSR_208018550_1314">#REF!</definedName>
    <definedName name="A_ALL_SECTION_KEYWORDS_ISSR_208018550_1319" localSheetId="0">#REF!</definedName>
    <definedName name="A_ALL_SECTION_KEYWORDS_ISSR_208018550_1319">#REF!</definedName>
    <definedName name="A_ALL_SECTION_KEYWORDS_ISSR_208018550_131E" localSheetId="0">#REF!</definedName>
    <definedName name="A_ALL_SECTION_KEYWORDS_ISSR_208018550_131E">#REF!</definedName>
    <definedName name="A_ALL_SECTION_KEYWORDS_ISSR_208018550_13V" localSheetId="0">#REF!,#REF!</definedName>
    <definedName name="A_ALL_SECTION_KEYWORDS_ISSR_208018550_13V">#REF!,#REF!</definedName>
    <definedName name="A_ALL_SECTION_KEYWORDS_ISSR_208020716_131O" localSheetId="0">#REF!,#REF!</definedName>
    <definedName name="A_ALL_SECTION_KEYWORDS_ISSR_208020716_131O">#REF!,#REF!</definedName>
    <definedName name="A_ALL_SECTIONS_EQTY_200007870" localSheetId="0">#REF!,#REF!,#REF!,#REF!,#REF!,#REF!,#REF!,#REF!</definedName>
    <definedName name="A_ALL_SECTIONS_EQTY_200007870">#REF!,#REF!,#REF!,#REF!,#REF!,#REF!,#REF!,#REF!</definedName>
    <definedName name="A_ALL_SECTIONS_EQTY_200009970" localSheetId="0">#REF!,#REF!,#REF!,#REF!,#REF!,#REF!,#REF!,#REF!</definedName>
    <definedName name="A_ALL_SECTIONS_EQTY_200009970">#REF!,#REF!,#REF!,#REF!,#REF!,#REF!,#REF!,#REF!</definedName>
    <definedName name="A_ALL_SECTIONS_EQTY_200011172" localSheetId="0">#REF!,#REF!,#REF!,#REF!,#REF!,#REF!,#REF!,#REF!</definedName>
    <definedName name="A_ALL_SECTIONS_EQTY_200011172">#REF!,#REF!,#REF!,#REF!,#REF!,#REF!,#REF!,#REF!</definedName>
    <definedName name="A_ALL_SECTIONS_EQTY_200012492" localSheetId="0">#REF!,#REF!,#REF!,#REF!,#REF!,#REF!,#REF!,#REF!</definedName>
    <definedName name="A_ALL_SECTIONS_EQTY_200012492">#REF!,#REF!,#REF!,#REF!,#REF!,#REF!,#REF!,#REF!</definedName>
    <definedName name="A_ALL_SECTIONS_EQTY_200012735" localSheetId="0">#REF!,#REF!,#REF!,#REF!,#REF!,#REF!,#REF!,#REF!</definedName>
    <definedName name="A_ALL_SECTIONS_EQTY_200012735">#REF!,#REF!,#REF!,#REF!,#REF!,#REF!,#REF!,#REF!</definedName>
    <definedName name="A_ALL_SECTIONS_EQTY_200012909" localSheetId="0">#REF!,#REF!,#REF!,#REF!,#REF!,#REF!,#REF!,#REF!</definedName>
    <definedName name="A_ALL_SECTIONS_EQTY_200012909">#REF!,#REF!,#REF!,#REF!,#REF!,#REF!,#REF!,#REF!</definedName>
    <definedName name="A_ALL_SECTIONS_EQTY_200012913" localSheetId="0">#REF!,#REF!,#REF!,#REF!,#REF!,#REF!,#REF!,#REF!</definedName>
    <definedName name="A_ALL_SECTIONS_EQTY_200012913">#REF!,#REF!,#REF!,#REF!,#REF!,#REF!,#REF!,#REF!</definedName>
    <definedName name="A_ALL_SECTIONS_EQTY_200013037" localSheetId="0">#REF!,#REF!,#REF!,#REF!,#REF!,#REF!,#REF!,#REF!</definedName>
    <definedName name="A_ALL_SECTIONS_EQTY_200013037">#REF!,#REF!,#REF!,#REF!,#REF!,#REF!,#REF!,#REF!</definedName>
    <definedName name="A_ALL_SECTIONS_EQTY_200013142" localSheetId="0">#REF!,#REF!,#REF!,#REF!,#REF!,#REF!,#REF!,#REF!</definedName>
    <definedName name="A_ALL_SECTIONS_EQTY_200013142">#REF!,#REF!,#REF!,#REF!,#REF!,#REF!,#REF!,#REF!</definedName>
    <definedName name="A_ALL_SECTIONS_EQTY_200016087" localSheetId="0">#REF!,#REF!,#REF!,#REF!,#REF!,#REF!,#REF!,#REF!</definedName>
    <definedName name="A_ALL_SECTIONS_EQTY_200016087">#REF!,#REF!,#REF!,#REF!,#REF!,#REF!,#REF!,#REF!</definedName>
    <definedName name="A_ALL_SECTIONS_EQTY_200018245" localSheetId="0">#REF!,#REF!,#REF!,#REF!,#REF!,#REF!,#REF!,#REF!</definedName>
    <definedName name="A_ALL_SECTIONS_EQTY_200018245">#REF!,#REF!,#REF!,#REF!,#REF!,#REF!,#REF!,#REF!</definedName>
    <definedName name="A_ALL_SECTIONS_ISSR_208006103" localSheetId="0">#REF!,#REF!,#REF!,#REF!,#REF!,#REF!,#REF!,#REF!,#REF!,#REF!</definedName>
    <definedName name="A_ALL_SECTIONS_ISSR_208006103">#REF!,#REF!,#REF!,#REF!,#REF!,#REF!,#REF!,#REF!,#REF!,#REF!</definedName>
    <definedName name="A_ALL_SECTIONS_ISSR_208007694" localSheetId="0">#REF!,#REF!,#REF!,#REF!,#REF!,#REF!,#REF!,#REF!,#REF!,#REF!</definedName>
    <definedName name="A_ALL_SECTIONS_ISSR_208007694">#REF!,#REF!,#REF!,#REF!,#REF!,#REF!,#REF!,#REF!,#REF!,#REF!</definedName>
    <definedName name="A_ALL_SECTIONS_ISSR_208008548" localSheetId="0">#REF!,#REF!,#REF!,#REF!,#REF!,#REF!,#REF!,#REF!,#REF!,#REF!</definedName>
    <definedName name="A_ALL_SECTIONS_ISSR_208008548">#REF!,#REF!,#REF!,#REF!,#REF!,#REF!,#REF!,#REF!,#REF!,#REF!</definedName>
    <definedName name="A_ALL_SECTIONS_ISSR_208009486" localSheetId="0">#REF!,#REF!,#REF!,#REF!,#REF!,#REF!,#REF!,#REF!,#REF!,#REF!</definedName>
    <definedName name="A_ALL_SECTIONS_ISSR_208009486">#REF!,#REF!,#REF!,#REF!,#REF!,#REF!,#REF!,#REF!,#REF!,#REF!</definedName>
    <definedName name="A_ALL_SECTIONS_ISSR_208009698" localSheetId="0">#REF!,#REF!,#REF!,#REF!,#REF!,#REF!,#REF!,#REF!,#REF!</definedName>
    <definedName name="A_ALL_SECTIONS_ISSR_208009698">#REF!,#REF!,#REF!,#REF!,#REF!,#REF!,#REF!,#REF!,#REF!</definedName>
    <definedName name="A_ALL_SECTIONS_ISSR_208009912" localSheetId="0">#REF!,#REF!,#REF!,#REF!,#REF!,#REF!,#REF!,#REF!,#REF!,#REF!</definedName>
    <definedName name="A_ALL_SECTIONS_ISSR_208009912">#REF!,#REF!,#REF!,#REF!,#REF!,#REF!,#REF!,#REF!,#REF!,#REF!</definedName>
    <definedName name="A_ALL_SECTIONS_ISSR_208009916" localSheetId="0">#REF!,#REF!,#REF!,#REF!,#REF!,#REF!,#REF!,#REF!,#REF!</definedName>
    <definedName name="A_ALL_SECTIONS_ISSR_208009916">#REF!,#REF!,#REF!,#REF!,#REF!,#REF!,#REF!,#REF!,#REF!</definedName>
    <definedName name="A_ALL_SECTIONS_ISSR_208010083" localSheetId="0">#REF!,#REF!,#REF!,#REF!,#REF!,#REF!,#REF!,#REF!,#REF!,#REF!,#REF!</definedName>
    <definedName name="A_ALL_SECTIONS_ISSR_208010083">#REF!,#REF!,#REF!,#REF!,#REF!,#REF!,#REF!,#REF!,#REF!,#REF!,#REF!</definedName>
    <definedName name="A_ALL_SECTIONS_ISSR_208013035" localSheetId="0">#REF!,#REF!,#REF!,#REF!,#REF!,#REF!,#REF!,#REF!,#REF!,#REF!</definedName>
    <definedName name="A_ALL_SECTIONS_ISSR_208013035">#REF!,#REF!,#REF!,#REF!,#REF!,#REF!,#REF!,#REF!,#REF!,#REF!</definedName>
    <definedName name="A_ALL_SOGO" localSheetId="0">#REF!</definedName>
    <definedName name="A_ALL_SOGO">#REF!</definedName>
    <definedName name="A_ALL_YMM" localSheetId="0">#REF!</definedName>
    <definedName name="A_ALL_YMM">#REF!</definedName>
    <definedName name="A_KEYWORD_ISSR_208010032_OP_AUSTRA" localSheetId="0">#REF!</definedName>
    <definedName name="A_KEYWORD_ISSR_208010032_OP_AUSTRA">#REF!</definedName>
    <definedName name="A_KEYWORD_ISSR_208010032_OP_AUSTRIA" localSheetId="0">#REF!</definedName>
    <definedName name="A_KEYWORD_ISSR_208010032_OP_AUSTRIA">#REF!</definedName>
    <definedName name="A_KEYWORD_ISSR_208010032_OP_BEL" localSheetId="0">#REF!</definedName>
    <definedName name="A_KEYWORD_ISSR_208010032_OP_BEL">#REF!</definedName>
    <definedName name="A_KEYWORD_ISSR_208010032_OP_BRAZIL" localSheetId="0">#REF!</definedName>
    <definedName name="A_KEYWORD_ISSR_208010032_OP_BRAZIL">#REF!</definedName>
    <definedName name="A_KEYWORD_ISSR_208010032_OP_CANADA" localSheetId="0">#REF!</definedName>
    <definedName name="A_KEYWORD_ISSR_208010032_OP_CANADA">#REF!</definedName>
    <definedName name="A_KEYWORD_ISSR_208010032_OP_CEE" localSheetId="0">#REF!</definedName>
    <definedName name="A_KEYWORD_ISSR_208010032_OP_CEE">#REF!</definedName>
    <definedName name="A_KEYWORD_ISSR_208010032_OP_CHINA" localSheetId="0">#REF!</definedName>
    <definedName name="A_KEYWORD_ISSR_208010032_OP_CHINA">#REF!</definedName>
    <definedName name="A_KEYWORD_ISSR_208010032_OP_CONS" localSheetId="0">#REF!</definedName>
    <definedName name="A_KEYWORD_ISSR_208010032_OP_CONS">#REF!</definedName>
    <definedName name="A_KEYWORD_ISSR_208010032_OP_DEN" localSheetId="0">#REF!</definedName>
    <definedName name="A_KEYWORD_ISSR_208010032_OP_DEN">#REF!</definedName>
    <definedName name="A_KEYWORD_ISSR_208010032_OP_EU_EX_UK" localSheetId="0">#REF!</definedName>
    <definedName name="A_KEYWORD_ISSR_208010032_OP_EU_EX_UK">#REF!</definedName>
    <definedName name="A_KEYWORD_ISSR_208010032_OP_FIN" localSheetId="0">#REF!</definedName>
    <definedName name="A_KEYWORD_ISSR_208010032_OP_FIN">#REF!</definedName>
    <definedName name="A_KEYWORD_ISSR_208010032_OP_FRA" localSheetId="0">#REF!</definedName>
    <definedName name="A_KEYWORD_ISSR_208010032_OP_FRA">#REF!</definedName>
    <definedName name="A_KEYWORD_ISSR_208010032_OP_GER" localSheetId="0">#REF!</definedName>
    <definedName name="A_KEYWORD_ISSR_208010032_OP_GER">#REF!</definedName>
    <definedName name="A_KEYWORD_ISSR_208010032_OP_GOV" localSheetId="0">#REF!</definedName>
    <definedName name="A_KEYWORD_ISSR_208010032_OP_GOV">#REF!</definedName>
    <definedName name="A_KEYWORD_ISSR_208010032_OP_GRE" localSheetId="0">#REF!</definedName>
    <definedName name="A_KEYWORD_ISSR_208010032_OP_GRE">#REF!</definedName>
    <definedName name="A_KEYWORD_ISSR_208010032_OP_ICE" localSheetId="0">#REF!</definedName>
    <definedName name="A_KEYWORD_ISSR_208010032_OP_ICE">#REF!</definedName>
    <definedName name="A_KEYWORD_ISSR_208010032_OP_IND" localSheetId="0">#REF!</definedName>
    <definedName name="A_KEYWORD_ISSR_208010032_OP_IND">#REF!</definedName>
    <definedName name="A_KEYWORD_ISSR_208010032_OP_INDIA" localSheetId="0">#REF!</definedName>
    <definedName name="A_KEYWORD_ISSR_208010032_OP_INDIA">#REF!</definedName>
    <definedName name="A_KEYWORD_ISSR_208010032_OP_IRE" localSheetId="0">#REF!</definedName>
    <definedName name="A_KEYWORD_ISSR_208010032_OP_IRE">#REF!</definedName>
    <definedName name="A_KEYWORD_ISSR_208010032_OP_ITA" localSheetId="0">#REF!</definedName>
    <definedName name="A_KEYWORD_ISSR_208010032_OP_ITA">#REF!</definedName>
    <definedName name="A_KEYWORD_ISSR_208010032_OP_JAPAN" localSheetId="0">#REF!</definedName>
    <definedName name="A_KEYWORD_ISSR_208010032_OP_JAPAN">#REF!</definedName>
    <definedName name="A_KEYWORD_ISSR_208010032_OP_ME" localSheetId="0">#REF!</definedName>
    <definedName name="A_KEYWORD_ISSR_208010032_OP_ME">#REF!</definedName>
    <definedName name="A_KEYWORD_ISSR_208010032_OP_NETH" localSheetId="0">#REF!</definedName>
    <definedName name="A_KEYWORD_ISSR_208010032_OP_NETH">#REF!</definedName>
    <definedName name="A_KEYWORD_ISSR_208010032_OP_NOR" localSheetId="0">#REF!</definedName>
    <definedName name="A_KEYWORD_ISSR_208010032_OP_NOR">#REF!</definedName>
    <definedName name="A_KEYWORD_ISSR_208010032_OP_NZ" localSheetId="0">#REF!</definedName>
    <definedName name="A_KEYWORD_ISSR_208010032_OP_NZ">#REF!</definedName>
    <definedName name="A_KEYWORD_ISSR_208010032_OP_OTH_AEJ" localSheetId="0">#REF!</definedName>
    <definedName name="A_KEYWORD_ISSR_208010032_OP_OTH_AEJ">#REF!</definedName>
    <definedName name="A_KEYWORD_ISSR_208010032_OP_OTH_AM" localSheetId="0">#REF!</definedName>
    <definedName name="A_KEYWORD_ISSR_208010032_OP_OTH_AM">#REF!</definedName>
    <definedName name="A_KEYWORD_ISSR_208010032_OP_OTH_EMEA" localSheetId="0">#REF!</definedName>
    <definedName name="A_KEYWORD_ISSR_208010032_OP_OTH_EMEA">#REF!</definedName>
    <definedName name="A_KEYWORD_ISSR_208010032_OP_OTHER" localSheetId="0">#REF!</definedName>
    <definedName name="A_KEYWORD_ISSR_208010032_OP_OTHER">#REF!</definedName>
    <definedName name="A_KEYWORD_ISSR_208010032_OP_POR" localSheetId="0">#REF!</definedName>
    <definedName name="A_KEYWORD_ISSR_208010032_OP_POR">#REF!</definedName>
    <definedName name="A_KEYWORD_ISSR_208010032_OP_RUSSIA" localSheetId="0">#REF!</definedName>
    <definedName name="A_KEYWORD_ISSR_208010032_OP_RUSSIA">#REF!</definedName>
    <definedName name="A_KEYWORD_ISSR_208010032_OP_SK" localSheetId="0">#REF!</definedName>
    <definedName name="A_KEYWORD_ISSR_208010032_OP_SK">#REF!</definedName>
    <definedName name="A_KEYWORD_ISSR_208010032_OP_SPA" localSheetId="0">#REF!</definedName>
    <definedName name="A_KEYWORD_ISSR_208010032_OP_SPA">#REF!</definedName>
    <definedName name="A_KEYWORD_ISSR_208010032_OP_SWE" localSheetId="0">#REF!</definedName>
    <definedName name="A_KEYWORD_ISSR_208010032_OP_SWE">#REF!</definedName>
    <definedName name="A_KEYWORD_ISSR_208010032_OP_SWIT" localSheetId="0">#REF!</definedName>
    <definedName name="A_KEYWORD_ISSR_208010032_OP_SWIT">#REF!</definedName>
    <definedName name="A_KEYWORD_ISSR_208010032_OP_TOT_AM" localSheetId="0">#REF!</definedName>
    <definedName name="A_KEYWORD_ISSR_208010032_OP_TOT_AM">#REF!</definedName>
    <definedName name="A_KEYWORD_ISSR_208010032_OP_TOT_ASIA" localSheetId="0">#REF!</definedName>
    <definedName name="A_KEYWORD_ISSR_208010032_OP_TOT_ASIA">#REF!</definedName>
    <definedName name="A_KEYWORD_ISSR_208010032_OP_TOT_EMEA" localSheetId="0">#REF!</definedName>
    <definedName name="A_KEYWORD_ISSR_208010032_OP_TOT_EMEA">#REF!</definedName>
    <definedName name="A_KEYWORD_ISSR_208010032_OP_UK" localSheetId="0">#REF!</definedName>
    <definedName name="A_KEYWORD_ISSR_208010032_OP_UK">#REF!</definedName>
    <definedName name="A_KEYWORD_ISSR_208010032_OP_US" localSheetId="0">#REF!</definedName>
    <definedName name="A_KEYWORD_ISSR_208010032_OP_US">#REF!</definedName>
    <definedName name="A_KEYWORD_ISSR_208010032_SALES_DEN" localSheetId="0">#REF!</definedName>
    <definedName name="A_KEYWORD_ISSR_208010032_SALES_DEN">#REF!</definedName>
    <definedName name="A_KEYWORD_ISSR_208010032_SALES_FIN" localSheetId="0">#REF!</definedName>
    <definedName name="A_KEYWORD_ISSR_208010032_SALES_FIN">#REF!</definedName>
    <definedName name="A_KEYWORD_ISSR_208010032_SALES_ICE" localSheetId="0">#REF!</definedName>
    <definedName name="A_KEYWORD_ISSR_208010032_SALES_ICE">#REF!</definedName>
    <definedName name="A_ModelA" localSheetId="0">#REF!</definedName>
    <definedName name="A_ModelA">#REF!</definedName>
    <definedName name="A_ModelQ" localSheetId="0">#REF!</definedName>
    <definedName name="A_ModelQ">#REF!</definedName>
    <definedName name="a_Principales" localSheetId="0">#REF!,#REF!,#REF!,#REF!,#REF!,#REF!,#REF!,#REF!,#REF!</definedName>
    <definedName name="a_Principales">#REF!,#REF!,#REF!,#REF!,#REF!,#REF!,#REF!,#REF!,#REF!</definedName>
    <definedName name="a0_Primeras_nueve" localSheetId="0">#REF!,#REF!,#REF!,#REF!,#REF!,#REF!,#REF!,#REF!,#REF!</definedName>
    <definedName name="a0_Primeras_nueve">#REF!,#REF!,#REF!,#REF!,#REF!,#REF!,#REF!,#REF!,#REF!</definedName>
    <definedName name="a1_Ventas1" localSheetId="0">#REF!,#REF!,#REF!,#REF!,#REF!,#REF!,#REF!,#REF!,#REF!,#REF!</definedName>
    <definedName name="a1_Ventas1">#REF!,#REF!,#REF!,#REF!,#REF!,#REF!,#REF!,#REF!,#REF!,#REF!</definedName>
    <definedName name="a1_Ventas2a" localSheetId="0">#REF!,#REF!,#REF!,#REF!,#REF!,#REF!,#REF!,#REF!,#REF!,#REF!,#REF!,#REF!</definedName>
    <definedName name="a1_Ventas2a">#REF!,#REF!,#REF!,#REF!,#REF!,#REF!,#REF!,#REF!,#REF!,#REF!,#REF!,#REF!</definedName>
    <definedName name="a3_Gastos_y_MgmentFee" localSheetId="0">#REF!,#REF!,#REF!</definedName>
    <definedName name="a3_Gastos_y_MgmentFee">#REF!,#REF!,#REF!</definedName>
    <definedName name="a4_Inversion_y_amort" localSheetId="0">#REF!,#REF!,#REF!,#REF!,#REF!,#REF!,#REF!</definedName>
    <definedName name="a4_Inversion_y_amort">#REF!,#REF!,#REF!,#REF!,#REF!,#REF!,#REF!</definedName>
    <definedName name="a5_Cap_Imp_y_Financ" localSheetId="0">#REF!,#REF!,#REF!,#REF!</definedName>
    <definedName name="a5_Cap_Imp_y_Financ">#REF!,#REF!,#REF!,#REF!</definedName>
    <definedName name="a6_Deudas" localSheetId="0">#REF!,#REF!,#REF!</definedName>
    <definedName name="a6_Deudas">#REF!,#REF!,#REF!</definedName>
    <definedName name="a7_Rdos_Fin_y_PN" localSheetId="0">#REF!,#REF!,#REF!,#REF!</definedName>
    <definedName name="a7_Rdos_Fin_y_PN">#REF!,#REF!,#REF!,#REF!</definedName>
    <definedName name="a8_Participadas1_sinTyssa" localSheetId="0">#REF!,#REF!,#REF!,#REF!,#REF!,#REF!,#REF!,#REF!,#REF!,#REF!,#REF!,#REF!</definedName>
    <definedName name="a8_Participadas1_sinTyssa">#REF!,#REF!,#REF!,#REF!,#REF!,#REF!,#REF!,#REF!,#REF!,#REF!,#REF!,#REF!</definedName>
    <definedName name="a8_Participadas2_Tyssa" localSheetId="0">#REF!,#REF!</definedName>
    <definedName name="a8_Participadas2_Tyssa">#REF!,#REF!</definedName>
    <definedName name="a9_Valor" localSheetId="0">#REF!,#REF!</definedName>
    <definedName name="a9_Valor">#REF!,#REF!</definedName>
    <definedName name="a99_Calculo_Valor" localSheetId="0">#REF!,#REF!,#REF!</definedName>
    <definedName name="a99_Calculo_Valor">#REF!,#REF!,#REF!</definedName>
    <definedName name="AA" localSheetId="0">#REF!</definedName>
    <definedName name="AA">#REF!</definedName>
    <definedName name="AA_Print_Annual" localSheetId="0">#REF!</definedName>
    <definedName name="AA_Print_Annual">#REF!</definedName>
    <definedName name="AA_Print_Quarter" localSheetId="0">#REF!</definedName>
    <definedName name="AA_Print_Quarter">#REF!</definedName>
    <definedName name="aaa" localSheetId="5" hidden="1">{"'Check Request'!$A$1:$BF$37"}</definedName>
    <definedName name="aaa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aaa" localSheetId="4" hidden="1">{"'Check Request'!$A$1:$BF$37"}</definedName>
    <definedName name="aaa" hidden="1">{"'Check Request'!$A$1:$BF$37"}</definedName>
    <definedName name="AAA_DOCTOPS" hidden="1">"AAA_SET"</definedName>
    <definedName name="AAA_duser" hidden="1">"OFF"</definedName>
    <definedName name="aaaa" localSheetId="5" hidden="1">{"'Check Request'!$A$1:$BF$37"}</definedName>
    <definedName name="aaa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aa" localSheetId="4" hidden="1">{"'Check Request'!$A$1:$BF$37"}</definedName>
    <definedName name="aaaa" hidden="1">{"'Check Request'!$A$1:$BF$37"}</definedName>
    <definedName name="aaaaa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aa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aaa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aa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aaaa" hidden="1">#N/A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bbb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bbb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bbb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abbb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B" localSheetId="0">#REF!</definedName>
    <definedName name="AB">#REF!</definedName>
    <definedName name="ABB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B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B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B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abbrevEDL" localSheetId="0">#REF!</definedName>
    <definedName name="abbrevEDL">#REF!</definedName>
    <definedName name="ABBREVIATED" localSheetId="0">#REF!</definedName>
    <definedName name="ABBREVIATED">#REF!</definedName>
    <definedName name="Abbreviated1" localSheetId="0">#REF!</definedName>
    <definedName name="Abbreviated1">#REF!</definedName>
    <definedName name="AbbreviatedDIS" localSheetId="0">#REF!</definedName>
    <definedName name="AbbreviatedDIS">#REF!</definedName>
    <definedName name="abc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c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C">#REF!</definedName>
    <definedName name="Acc_payable_growth_fore" localSheetId="0">#REF!</definedName>
    <definedName name="Acc_payable_growth_fore">#REF!</definedName>
    <definedName name="Acc_Rec_growth_fore" localSheetId="0">#REF!</definedName>
    <definedName name="Acc_Rec_growth_fore">#REF!</definedName>
    <definedName name="Access_Button" hidden="1">"dataLink_ver1__Sheet1_List"</definedName>
    <definedName name="AccessDatabase" hidden="1">"C:\dataLink(ver1).mdb"</definedName>
    <definedName name="account" localSheetId="0">#REF!</definedName>
    <definedName name="account">#REF!</definedName>
    <definedName name="accounts" localSheetId="0">#REF!</definedName>
    <definedName name="accounts">#REF!</definedName>
    <definedName name="Accounts_payable" localSheetId="0">#REF!</definedName>
    <definedName name="Accounts_payable">#REF!</definedName>
    <definedName name="ACCR93" localSheetId="0">#REF!</definedName>
    <definedName name="ACCR93">#REF!</definedName>
    <definedName name="ACCR94" localSheetId="0">#REF!</definedName>
    <definedName name="ACCR94">#REF!</definedName>
    <definedName name="ACCR95" localSheetId="0">#REF!</definedName>
    <definedName name="ACCR95">#REF!</definedName>
    <definedName name="Accrued_compensation_growth_fore" localSheetId="0">#REF!</definedName>
    <definedName name="Accrued_compensation_growth_fore">#REF!</definedName>
    <definedName name="Accrued_expenses_growth_fore" localSheetId="0">#REF!</definedName>
    <definedName name="Accrued_expenses_growth_fore">#REF!</definedName>
    <definedName name="Accum_Cap_Expenses_growth_fore" localSheetId="0">#REF!</definedName>
    <definedName name="Accum_Cap_Expenses_growth_fore">#REF!</definedName>
    <definedName name="Accum_Goodwill_Amort_growth_fore" localSheetId="0">#REF!</definedName>
    <definedName name="Accum_Goodwill_Amort_growth_fore">#REF!</definedName>
    <definedName name="accy" localSheetId="0">#REF!</definedName>
    <definedName name="accy">#REF!</definedName>
    <definedName name="ACQCAPX00" localSheetId="0">#REF!</definedName>
    <definedName name="ACQCAPX00">#REF!</definedName>
    <definedName name="ACQCAPX01" localSheetId="0">#REF!</definedName>
    <definedName name="ACQCAPX01">#REF!</definedName>
    <definedName name="ACQCAPX02" localSheetId="0">#REF!</definedName>
    <definedName name="ACQCAPX02">#REF!</definedName>
    <definedName name="ACQCAPX03" localSheetId="0">#REF!</definedName>
    <definedName name="ACQCAPX03">#REF!</definedName>
    <definedName name="ACQCAPX98" localSheetId="0">#REF!</definedName>
    <definedName name="ACQCAPX98">#REF!</definedName>
    <definedName name="ACQCAPX99" localSheetId="0">#REF!</definedName>
    <definedName name="ACQCAPX99">#REF!</definedName>
    <definedName name="ACQTOW00" localSheetId="0">#REF!</definedName>
    <definedName name="ACQTOW00">#REF!</definedName>
    <definedName name="ACQTOW01" localSheetId="0">#REF!</definedName>
    <definedName name="ACQTOW01">#REF!</definedName>
    <definedName name="ACQTOW02" localSheetId="0">#REF!</definedName>
    <definedName name="ACQTOW02">#REF!</definedName>
    <definedName name="ACQTOW03" localSheetId="0">#REF!</definedName>
    <definedName name="ACQTOW03">#REF!</definedName>
    <definedName name="ACQTOW98" localSheetId="0">#REF!</definedName>
    <definedName name="ACQTOW98">#REF!</definedName>
    <definedName name="ACQTOW99" localSheetId="0">#REF!</definedName>
    <definedName name="ACQTOW99">#REF!</definedName>
    <definedName name="acquiror" localSheetId="0">#REF!</definedName>
    <definedName name="acquiror">#REF!</definedName>
    <definedName name="Acquisition_divestments" localSheetId="0">#REF!</definedName>
    <definedName name="Acquisition_divestments">#REF!</definedName>
    <definedName name="acquisitions" localSheetId="0">#REF!</definedName>
    <definedName name="acquisitions">#REF!</definedName>
    <definedName name="active_flag" localSheetId="0">#REF!</definedName>
    <definedName name="active_flag">#REF!</definedName>
    <definedName name="AD" localSheetId="0">#REF!</definedName>
    <definedName name="ad">#REF!</definedName>
    <definedName name="Ad_rev" localSheetId="0">#REF!</definedName>
    <definedName name="Ad_rev">#REF!</definedName>
    <definedName name="ADDCASE" localSheetId="0">#REF!</definedName>
    <definedName name="ADDCASE">#REF!</definedName>
    <definedName name="ADDED_VALUE" localSheetId="0">#REF!</definedName>
    <definedName name="ADDED_VALUE">#REF!</definedName>
    <definedName name="adfadf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dfadf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dfadf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dfadf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dj" localSheetId="5" hidden="1">{"Base_rev",#N/A,FALSE,"Proj_IS_Base";"Projrev",#N/A,FALSE,"Proj_IS_wOTLC";"Delta",#N/A,FALSE,"Delta Rev_PV"}</definedName>
    <definedName name="Adj" localSheetId="0" hidden="1">{"Base_rev",#N/A,FALSE,"Proj_IS_Base";"Projrev",#N/A,FALSE,"Proj_IS_wOTLC";"Delta",#N/A,FALSE,"Delta Rev_PV"}</definedName>
    <definedName name="Adj" localSheetId="4" hidden="1">{"Base_rev",#N/A,FALSE,"Proj_IS_Base";"Projrev",#N/A,FALSE,"Proj_IS_wOTLC";"Delta",#N/A,FALSE,"Delta Rev_PV"}</definedName>
    <definedName name="Adj" hidden="1">{"Base_rev",#N/A,FALSE,"Proj_IS_Base";"Projrev",#N/A,FALSE,"Proj_IS_wOTLC";"Delta",#N/A,FALSE,"Delta Rev_PV"}</definedName>
    <definedName name="Adj_net_oper_fore" localSheetId="0">#REF!</definedName>
    <definedName name="Adj_net_oper_fore">#REF!</definedName>
    <definedName name="Adjusted_EPS" localSheetId="0">#REF!</definedName>
    <definedName name="Adjusted_EPS">#REF!</definedName>
    <definedName name="Adjusted_Net_Operating_Profit" localSheetId="0">#REF!</definedName>
    <definedName name="Adjusted_Net_Operating_Profit">#REF!</definedName>
    <definedName name="AdjustedNetIncome" localSheetId="0">#REF!</definedName>
    <definedName name="AdjustedNetIncome">#REF!</definedName>
    <definedName name="AdjustmentsToPTI" localSheetId="0">#REF!</definedName>
    <definedName name="AdjustmentsToPTI">#REF!</definedName>
    <definedName name="AdjustmentsToTaxes" localSheetId="0">#REF!</definedName>
    <definedName name="AdjustmentsToTaxes">#REF!</definedName>
    <definedName name="ADMIN" localSheetId="0">#REF!</definedName>
    <definedName name="ADMIN">#REF!</definedName>
    <definedName name="ADR_EXRATE" localSheetId="0">#REF!</definedName>
    <definedName name="ADR_EXRATE">#REF!</definedName>
    <definedName name="ADREV_2002" localSheetId="0">#REF!</definedName>
    <definedName name="ADREV_2002">#REF!</definedName>
    <definedName name="AdRev_2003" localSheetId="0">#REF!</definedName>
    <definedName name="AdRev_2003">#REF!</definedName>
    <definedName name="AdRev_2004" localSheetId="0">#REF!</definedName>
    <definedName name="AdRev_2004">#REF!</definedName>
    <definedName name="ADREVS" localSheetId="0">#REF!</definedName>
    <definedName name="ADREVS">#REF!</definedName>
    <definedName name="ADREVS_2001" localSheetId="0">#REF!</definedName>
    <definedName name="ADREVS_2001">#REF!</definedName>
    <definedName name="ADREVS98" localSheetId="0">#REF!</definedName>
    <definedName name="ADREVS98">#REF!</definedName>
    <definedName name="ADREVS99" localSheetId="0">#REF!</definedName>
    <definedName name="ADREVS99">#REF!</definedName>
    <definedName name="ads" localSheetId="0">#REF!</definedName>
    <definedName name="ads">#REF!</definedName>
    <definedName name="Advance" localSheetId="0">#REF!</definedName>
    <definedName name="Advance">#REF!</definedName>
    <definedName name="Advertise_Shipping" localSheetId="0">#REF!</definedName>
    <definedName name="Advertise_Shipping">#REF!</definedName>
    <definedName name="Advertising_Exp" localSheetId="0">#REF!</definedName>
    <definedName name="Advertising_Exp">#REF!</definedName>
    <definedName name="AE" localSheetId="0">#REF!</definedName>
    <definedName name="AE">#REF!</definedName>
    <definedName name="afdadfasdfsd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adfasdfsd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adfasdfsd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adfasdfsd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sasd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sasd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sasd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fdsasd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g" hidden="1">#N/A</definedName>
    <definedName name="AJHFkjDGHF" localSheetId="5" hidden="1">{"Annual_Income",#N/A,FALSE,"Report Page";"Balance_Cash_Flow",#N/A,FALSE,"Report Page";"Quarterly_Income",#N/A,FALSE,"Report Page"}</definedName>
    <definedName name="AJHFkjDGHF" localSheetId="0" hidden="1">{"Annual_Income",#N/A,FALSE,"Report Page";"Balance_Cash_Flow",#N/A,FALSE,"Report Page";"Quarterly_Income",#N/A,FALSE,"Report Page"}</definedName>
    <definedName name="AJHFkjDGHF" localSheetId="4" hidden="1">{"Annual_Income",#N/A,FALSE,"Report Page";"Balance_Cash_Flow",#N/A,FALSE,"Report Page";"Quarterly_Income",#N/A,FALSE,"Report Page"}</definedName>
    <definedName name="AJHFkjDGHF" hidden="1">{"Annual_Income",#N/A,FALSE,"Report Page";"Balance_Cash_Flow",#N/A,FALSE,"Report Page";"Quarterly_Income",#N/A,FALSE,"Report Page"}</definedName>
    <definedName name="All_00_PS" localSheetId="0">#REF!</definedName>
    <definedName name="All_00_PS">#REF!</definedName>
    <definedName name="All_00_Rev" localSheetId="0">#REF!</definedName>
    <definedName name="All_00_Rev">#REF!</definedName>
    <definedName name="All_97_PS" localSheetId="0">#REF!</definedName>
    <definedName name="All_97_PS">#REF!</definedName>
    <definedName name="All_97_Rev" localSheetId="0">#REF!</definedName>
    <definedName name="All_97_Rev">#REF!</definedName>
    <definedName name="All_98_PS" localSheetId="0">#REF!</definedName>
    <definedName name="All_98_PS">#REF!</definedName>
    <definedName name="All_98_Rev" localSheetId="0">#REF!</definedName>
    <definedName name="All_98_Rev">#REF!</definedName>
    <definedName name="All_99_PS" localSheetId="0">#REF!</definedName>
    <definedName name="All_99_PS">#REF!</definedName>
    <definedName name="All_99_Rev" localSheetId="0">#REF!</definedName>
    <definedName name="All_99_Rev">#REF!</definedName>
    <definedName name="ALL_EDL" localSheetId="0">#REF!</definedName>
    <definedName name="ALL_EDL">#REF!</definedName>
    <definedName name="All_EPS_00" localSheetId="0">#REF!</definedName>
    <definedName name="All_EPS_00">#REF!</definedName>
    <definedName name="All_EPS_98" localSheetId="0">#REF!</definedName>
    <definedName name="All_EPS_98">#REF!</definedName>
    <definedName name="All_EPS_99" localSheetId="0">#REF!</definedName>
    <definedName name="All_EPS_99">#REF!</definedName>
    <definedName name="All_Mkt_Cap" localSheetId="0">#REF!</definedName>
    <definedName name="All_Mkt_Cap">#REF!</definedName>
    <definedName name="All_Off_High" localSheetId="0">#REF!</definedName>
    <definedName name="All_Off_High">#REF!</definedName>
    <definedName name="All_Stocks" localSheetId="0">#REF!</definedName>
    <definedName name="All_Stocks">#REF!</definedName>
    <definedName name="ALLEBITDS" localSheetId="0">#REF!</definedName>
    <definedName name="ALLEBITDS">#REF!</definedName>
    <definedName name="ALLOC" localSheetId="0">#REF!</definedName>
    <definedName name="ALLOC">#REF!</definedName>
    <definedName name="allocationcal" localSheetId="0">#REF!,#REF!</definedName>
    <definedName name="allocationcal">#REF!,#REF!</definedName>
    <definedName name="AllTables" localSheetId="5">{5}</definedName>
    <definedName name="AllTables" localSheetId="0">{5}</definedName>
    <definedName name="AllTables" localSheetId="4">{5}</definedName>
    <definedName name="AllTables">{5}</definedName>
    <definedName name="alternative" localSheetId="0">#REF!</definedName>
    <definedName name="alternative">#REF!</definedName>
    <definedName name="Amort" localSheetId="0">#REF!</definedName>
    <definedName name="amort">#REF!</definedName>
    <definedName name="an" localSheetId="0">[0]!is1b,[0]!is1c,[0]!STATS2,[0]!STATS3</definedName>
    <definedName name="an">#REF!,#REF!,#REF!,#REF!</definedName>
    <definedName name="annual" localSheetId="0">#REF!</definedName>
    <definedName name="annual">#REF!</definedName>
    <definedName name="another" localSheetId="0">[0]!is1b,[0]!is1c,[0]!STATS2,[0]!STATS3</definedName>
    <definedName name="another">#REF!,#REF!,#REF!,#REF!</definedName>
    <definedName name="ANS_NONE00" localSheetId="0">#REF!</definedName>
    <definedName name="ANS_NONE00">#REF!</definedName>
    <definedName name="AP" localSheetId="0">#REF!</definedName>
    <definedName name="AP">#REF!</definedName>
    <definedName name="AR" localSheetId="0">#REF!</definedName>
    <definedName name="AR">#REF!</definedName>
    <definedName name="AREA_IMPRESION" localSheetId="0">#REF!,#REF!,#REF!,#REF!,#REF!,#REF!,#REF!,#REF!</definedName>
    <definedName name="AREA_IMPRESION">#REF!,#REF!,#REF!,#REF!,#REF!,#REF!,#REF!,#REF!</definedName>
    <definedName name="Argentina" localSheetId="0">#REF!</definedName>
    <definedName name="Argentina">#REF!</definedName>
    <definedName name="ArgentinaBalanceSheet" localSheetId="0">#REF!</definedName>
    <definedName name="ArgentinaBalanceSheet">#REF!</definedName>
    <definedName name="ArgentinaCashFlow" localSheetId="0">#REF!</definedName>
    <definedName name="ArgentinaCashFlow">#REF!</definedName>
    <definedName name="ArgentinaIncomeStatement" localSheetId="0">#REF!</definedName>
    <definedName name="ArgentinaIncomeStatement">#REF!</definedName>
    <definedName name="Arial" localSheetId="0">#REF!</definedName>
    <definedName name="Arial">#REF!</definedName>
    <definedName name="ARPU" localSheetId="0">#REF!</definedName>
    <definedName name="ARPU">#REF!</definedName>
    <definedName name="as" localSheetId="0">#REF!</definedName>
    <definedName name="as" hidden="1">"c2895"</definedName>
    <definedName name="AS2DocOpenMode" hidden="1">"AS2DocumentEdit"</definedName>
    <definedName name="AS2NamedRange" hidden="1">17</definedName>
    <definedName name="AS2ReportLS" hidden="1">1</definedName>
    <definedName name="AS2SyncStepLS" hidden="1">0</definedName>
    <definedName name="AS2TickmarkLS" localSheetId="0" hidden="1">#REF!</definedName>
    <definedName name="AS2TickmarkLS" hidden="1">#REF!</definedName>
    <definedName name="AS2VersionLS" hidden="1">300</definedName>
    <definedName name="asd" localSheetId="5" hidden="1">{#N/A,#N/A,FALSE,"Aging Summary";#N/A,#N/A,FALSE,"Ratio Analysis";#N/A,#N/A,FALSE,"Test 120 Day Accts";#N/A,#N/A,FALSE,"Tickmarks"}</definedName>
    <definedName name="asd" localSheetId="0" hidden="1">{#N/A,#N/A,FALSE,"Aging Summary";#N/A,#N/A,FALSE,"Ratio Analysis";#N/A,#N/A,FALSE,"Test 120 Day Accts";#N/A,#N/A,FALSE,"Tickmarks"}</definedName>
    <definedName name="asd" localSheetId="4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asd" localSheetId="5" hidden="1">{#N/A,#N/A,FALSE,"Const";#N/A,#N/A,FALSE,"P&amp;L";#N/A,#N/A,FALSE,"Sale"}</definedName>
    <definedName name="asdasd" localSheetId="0" hidden="1">{#N/A,#N/A,FALSE,"Const";#N/A,#N/A,FALSE,"P&amp;L";#N/A,#N/A,FALSE,"Sale"}</definedName>
    <definedName name="asdasd" localSheetId="4" hidden="1">{#N/A,#N/A,FALSE,"Const";#N/A,#N/A,FALSE,"P&amp;L";#N/A,#N/A,FALSE,"Sale"}</definedName>
    <definedName name="asdasd" hidden="1">{#N/A,#N/A,FALSE,"Const";#N/A,#N/A,FALSE,"P&amp;L";#N/A,#N/A,FALSE,"Sale"}</definedName>
    <definedName name="asdf">#N/A</definedName>
    <definedName name="asdf2" localSheetId="5" hidden="1">{"reports",#N/A,FALSE,"Balance Sheet"}</definedName>
    <definedName name="asdf2" localSheetId="0" hidden="1">{"reports",#N/A,FALSE,"Balance Sheet"}</definedName>
    <definedName name="asdf2" localSheetId="4" hidden="1">{"reports",#N/A,FALSE,"Balance Sheet"}</definedName>
    <definedName name="asdf2" hidden="1">{"reports",#N/A,FALSE,"Balance Sheet"}</definedName>
    <definedName name="asdfbackground" localSheetId="5" hidden="1">{"reports",#N/A,FALSE,"Balance Sheet"}</definedName>
    <definedName name="asdfbackground" localSheetId="0" hidden="1">{"reports",#N/A,FALSE,"Balance Sheet"}</definedName>
    <definedName name="asdfbackground" localSheetId="4" hidden="1">{"reports",#N/A,FALSE,"Balance Sheet"}</definedName>
    <definedName name="asdfbackground" hidden="1">{"reports",#N/A,FALSE,"Balance Sheet"}</definedName>
    <definedName name="asdg" localSheetId="0">#REF!</definedName>
    <definedName name="asdg">#REF!</definedName>
    <definedName name="asfafq" hidden="1">#N/A</definedName>
    <definedName name="asfpd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sfpd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sfpd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sfpd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Asia" localSheetId="0">#REF!</definedName>
    <definedName name="Asia">#REF!</definedName>
    <definedName name="Asia_w" localSheetId="0">#REF!</definedName>
    <definedName name="Asia_w">#REF!</definedName>
    <definedName name="ASP" localSheetId="0">#REF!</definedName>
    <definedName name="ASP">#REF!</definedName>
    <definedName name="ass" localSheetId="0">#REF!</definedName>
    <definedName name="ass">#REF!</definedName>
    <definedName name="ASSET_SALES" localSheetId="0">#REF!</definedName>
    <definedName name="ASSET_SALES">#REF!</definedName>
    <definedName name="ASSET_VALUE" localSheetId="0">#REF!</definedName>
    <definedName name="ASSET_VALUE">#REF!</definedName>
    <definedName name="AssetsCurrentAccountsReceivableAllowance">0</definedName>
    <definedName name="AssetsCurrentAccountsReceivableGross">0</definedName>
    <definedName name="AssetsCurrentAccountsReceivableNet" localSheetId="0">#REF!</definedName>
    <definedName name="AssetsCurrentAccountsReceivableNet">#REF!</definedName>
    <definedName name="AssetsCurrentCash" localSheetId="0">#REF!</definedName>
    <definedName name="AssetsCurrentCash">#REF!</definedName>
    <definedName name="AssetsCurrentDeferredIncomeTaxes" localSheetId="0">#REF!</definedName>
    <definedName name="AssetsCurrentDeferredIncomeTaxes">#REF!</definedName>
    <definedName name="AssetsCurrentInventories" localSheetId="0">#REF!</definedName>
    <definedName name="AssetsCurrentInventories">#REF!</definedName>
    <definedName name="AssetsCurrentOther">0</definedName>
    <definedName name="AssetsCurrentPrepaidExpenses" localSheetId="0">#REF!</definedName>
    <definedName name="AssetsCurrentPrepaidExpenses">#REF!</definedName>
    <definedName name="AssetsCurrentShortTermInvestments">0</definedName>
    <definedName name="AssetsCurrentTotal" localSheetId="0">#REF!</definedName>
    <definedName name="AssetsCurrentTotal">#REF!</definedName>
    <definedName name="AssetsIntangiblesAccumulatedAmortization">0</definedName>
    <definedName name="AssetsIntangiblesGross">0</definedName>
    <definedName name="AssetsIntangiblesNet" localSheetId="0">#REF!</definedName>
    <definedName name="AssetsIntangiblesNet">#REF!</definedName>
    <definedName name="AssetsInvestments" localSheetId="0">#REF!</definedName>
    <definedName name="AssetsInvestments">#REF!</definedName>
    <definedName name="AssetsOther" localSheetId="0">#REF!+#REF!</definedName>
    <definedName name="AssetsOther">#REF!+#REF!</definedName>
    <definedName name="AssetsOtherAccumulatedAmortization">0</definedName>
    <definedName name="AssetsOtherGross">0</definedName>
    <definedName name="AssetsOtherNet">0</definedName>
    <definedName name="AssetsPPEAccumulatedDepreciation" localSheetId="0">#REF!</definedName>
    <definedName name="AssetsPPEAccumulatedDepreciation">#REF!</definedName>
    <definedName name="AssetsPPEGross" localSheetId="0">#REF!</definedName>
    <definedName name="AssetsPPEGross">#REF!</definedName>
    <definedName name="AssetsPPENet" localSheetId="0">#REF!</definedName>
    <definedName name="AssetsPPENet">#REF!</definedName>
    <definedName name="AssetsTotal" localSheetId="0">#REF!</definedName>
    <definedName name="AssetsTotal">#REF!</definedName>
    <definedName name="Associated_income" localSheetId="0">#REF!</definedName>
    <definedName name="Associated_income">#REF!</definedName>
    <definedName name="Assum_First_Hist_Yr" localSheetId="0">#REF!</definedName>
    <definedName name="Assum_First_Hist_Yr">#REF!</definedName>
    <definedName name="Assum_First_Proj_Yr" localSheetId="0">#REF!</definedName>
    <definedName name="Assum_First_Proj_Yr">#REF!</definedName>
    <definedName name="asum1" localSheetId="0">#REF!</definedName>
    <definedName name="asum1">#REF!</definedName>
    <definedName name="asum2" localSheetId="0">#REF!</definedName>
    <definedName name="asum2">#REF!</definedName>
    <definedName name="ASUM3" localSheetId="0">#REF!</definedName>
    <definedName name="ASUM3">#REF!</definedName>
    <definedName name="AT" localSheetId="5">{5}</definedName>
    <definedName name="AT" localSheetId="0">{5}</definedName>
    <definedName name="AT" localSheetId="4">{5}</definedName>
    <definedName name="AT">{5}</definedName>
    <definedName name="at_a_glance" localSheetId="0">#REF!</definedName>
    <definedName name="at_a_glance">#REF!</definedName>
    <definedName name="ATCF00B" localSheetId="0">#REF!</definedName>
    <definedName name="ATCF00B">#REF!</definedName>
    <definedName name="ATCF00PFB" localSheetId="0">#REF!</definedName>
    <definedName name="ATCF00PFB">#REF!</definedName>
    <definedName name="ATCF01B" localSheetId="0">#REF!</definedName>
    <definedName name="ATCF01B">#REF!</definedName>
    <definedName name="ATCF02B" localSheetId="0">#REF!</definedName>
    <definedName name="ATCF02B">#REF!</definedName>
    <definedName name="ATCF02C" localSheetId="0">#REF!</definedName>
    <definedName name="ATCF02C">#REF!</definedName>
    <definedName name="ATCF03B" localSheetId="0">#REF!</definedName>
    <definedName name="ATCF03B">#REF!</definedName>
    <definedName name="ATCF93B" localSheetId="0">#REF!</definedName>
    <definedName name="ATCF93B">#REF!</definedName>
    <definedName name="ATCF94B" localSheetId="0">#REF!</definedName>
    <definedName name="ATCF94B">#REF!</definedName>
    <definedName name="ATCF95B" localSheetId="0">#REF!</definedName>
    <definedName name="ATCF95B">#REF!</definedName>
    <definedName name="ATCF96B" localSheetId="0">#REF!</definedName>
    <definedName name="ATCF96B">#REF!</definedName>
    <definedName name="ATCF97B" localSheetId="0">#REF!</definedName>
    <definedName name="ATCF97B">#REF!</definedName>
    <definedName name="ATCF98B" localSheetId="0">#REF!</definedName>
    <definedName name="ATCF98B">#REF!</definedName>
    <definedName name="ATCF99B" localSheetId="0">#REF!</definedName>
    <definedName name="ATCF99B">#REF!</definedName>
    <definedName name="ATCF99PFB" localSheetId="0">#REF!</definedName>
    <definedName name="ATCF99PFB">#REF!</definedName>
    <definedName name="atl" localSheetId="0">#REF!</definedName>
    <definedName name="atl">#REF!</definedName>
    <definedName name="AU" localSheetId="0">#REF!</definedName>
    <definedName name="AU">#REF!</definedName>
    <definedName name="audnew" localSheetId="0">#REF!</definedName>
    <definedName name="audnew">#REF!</definedName>
    <definedName name="audold" localSheetId="0">#REF!</definedName>
    <definedName name="audold">#REF!</definedName>
    <definedName name="Aust" localSheetId="0">#REF!</definedName>
    <definedName name="Aust">#REF!</definedName>
    <definedName name="avaaaaav" hidden="1">#N/A</definedName>
    <definedName name="avedebt1997" localSheetId="0">#REF!</definedName>
    <definedName name="avedebt1997">#REF!</definedName>
    <definedName name="avedebt1998" localSheetId="0">#REF!</definedName>
    <definedName name="avedebt1998">#REF!</definedName>
    <definedName name="Average_invested_capital" localSheetId="0">#REF!</definedName>
    <definedName name="Average_invested_capital">#REF!</definedName>
    <definedName name="Average_invested_capital_DCF" localSheetId="0">#REF!</definedName>
    <definedName name="Average_invested_capital_DCF">#REF!</definedName>
    <definedName name="AverageCommonShares" localSheetId="0">#REF!</definedName>
    <definedName name="AverageCommonShares">#REF!</definedName>
    <definedName name="AverageDaysInventory" localSheetId="0">#REF!</definedName>
    <definedName name="AverageDaysInventory">#REF!</definedName>
    <definedName name="AverageDaysPayable" localSheetId="0">#REF!</definedName>
    <definedName name="AverageDaysPayable">#REF!</definedName>
    <definedName name="AverageDSO" localSheetId="0">#REF!</definedName>
    <definedName name="AverageDSO">#REF!</definedName>
    <definedName name="AverageInvTurns" localSheetId="0">#REF!</definedName>
    <definedName name="AverageInvTurns">#REF!</definedName>
    <definedName name="AverageNWC" localSheetId="0">#REF!</definedName>
    <definedName name="AverageNWC">#REF!</definedName>
    <definedName name="AVGFDSHARES" localSheetId="0">#REF!</definedName>
    <definedName name="AVGFDSHARES">#REF!</definedName>
    <definedName name="AvgSellPr" localSheetId="0" hidden="1">#REF!,#REF!,#REF!,#REF!,#REF!,#REF!,#REF!,#REF!</definedName>
    <definedName name="AvgSellPr" hidden="1">#REF!,#REF!,#REF!,#REF!,#REF!,#REF!,#REF!,#REF!</definedName>
    <definedName name="AVGSHARES" localSheetId="0">#REF!</definedName>
    <definedName name="AVGSHARES">#REF!</definedName>
    <definedName name="b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">#REF!</definedName>
    <definedName name="BA" localSheetId="0">#REF!</definedName>
    <definedName name="BA">#REF!</definedName>
    <definedName name="ba_cash" localSheetId="0">#REF!</definedName>
    <definedName name="ba_cash">#REF!</definedName>
    <definedName name="ba_cur_ass" localSheetId="0">#REF!</definedName>
    <definedName name="ba_cur_ass">#REF!</definedName>
    <definedName name="ba_stock" localSheetId="0">#REF!</definedName>
    <definedName name="ba_stock">#REF!</definedName>
    <definedName name="ba_tot_ass" localSheetId="0">#REF!</definedName>
    <definedName name="ba_tot_ass">#REF!</definedName>
    <definedName name="ba_wip" localSheetId="0">#REF!</definedName>
    <definedName name="ba_wip">#REF!</definedName>
    <definedName name="backbone" localSheetId="0">#REF!</definedName>
    <definedName name="backbone">#REF!</definedName>
    <definedName name="backto" localSheetId="0">#REF!</definedName>
    <definedName name="backto">#REF!</definedName>
    <definedName name="BackToMain">#N/A</definedName>
    <definedName name="backtomain2">#N/A</definedName>
    <definedName name="Bad_Debt" localSheetId="0">#REF!</definedName>
    <definedName name="Bad_Debt">#REF!</definedName>
    <definedName name="bahtnew" localSheetId="0">#REF!</definedName>
    <definedName name="bahtnew">#REF!</definedName>
    <definedName name="bahtold" localSheetId="0">#REF!</definedName>
    <definedName name="bahtold">#REF!</definedName>
    <definedName name="BalanceSheet" localSheetId="0">#REF!</definedName>
    <definedName name="BalanceSheet">#REF!</definedName>
    <definedName name="BALFULL" localSheetId="0">#REF!</definedName>
    <definedName name="BALFULL">#REF!</definedName>
    <definedName name="BALSHT" localSheetId="0">#REF!</definedName>
    <definedName name="BALSHT">#REF!</definedName>
    <definedName name="bandcopinc1997" localSheetId="0">#REF!</definedName>
    <definedName name="bandcopinc1997">#REF!</definedName>
    <definedName name="bandcopinc1998" localSheetId="0">#REF!</definedName>
    <definedName name="bandcopinc1998">#REF!</definedName>
    <definedName name="bandcopinc1999" localSheetId="0">#REF!</definedName>
    <definedName name="bandcopinc1999">#REF!</definedName>
    <definedName name="bandcopinc2000" localSheetId="0">#REF!</definedName>
    <definedName name="bandcopinc2000">#REF!</definedName>
    <definedName name="bandcopinc2001" localSheetId="0">#REF!</definedName>
    <definedName name="bandcopinc2001">#REF!</definedName>
    <definedName name="bandcopinc2002" localSheetId="0">#REF!</definedName>
    <definedName name="bandcopinc2002">#REF!</definedName>
    <definedName name="bandcopinc2003" localSheetId="0">#REF!</definedName>
    <definedName name="bandcopinc2003">#REF!</definedName>
    <definedName name="baseassump" localSheetId="0">#REF!</definedName>
    <definedName name="baseassump">#REF!</definedName>
    <definedName name="baseassumption" localSheetId="0">#REF!</definedName>
    <definedName name="baseassumption">#REF!</definedName>
    <definedName name="bb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">#REF!</definedName>
    <definedName name="bbb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bbbbbbbbbbbbbbbbbbbb">36943.5090625</definedName>
    <definedName name="BC" localSheetId="0">#REF!</definedName>
    <definedName name="BC">#REF!</definedName>
    <definedName name="bcd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cd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cd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cd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CF00" localSheetId="0">#REF!</definedName>
    <definedName name="BCF00">#REF!</definedName>
    <definedName name="BCF00PF" localSheetId="0">#REF!</definedName>
    <definedName name="BCF00PF">#REF!</definedName>
    <definedName name="BCF99PF" localSheetId="0">#REF!</definedName>
    <definedName name="BCF99PF">#REF!</definedName>
    <definedName name="BCFMARG00" localSheetId="0">#REF!</definedName>
    <definedName name="BCFMARG00">#REF!</definedName>
    <definedName name="BCFMARG00PF" localSheetId="0">#REF!</definedName>
    <definedName name="BCFMARG00PF">#REF!</definedName>
    <definedName name="BCFMARG01" localSheetId="0">#REF!</definedName>
    <definedName name="BCFMARG01">#REF!</definedName>
    <definedName name="BCFMARG02" localSheetId="0">#REF!</definedName>
    <definedName name="BCFMARG02">#REF!</definedName>
    <definedName name="BCFMARG93" localSheetId="0">#REF!</definedName>
    <definedName name="BCFMARG93">#REF!</definedName>
    <definedName name="BCFMARG94" localSheetId="0">#REF!</definedName>
    <definedName name="BCFMARG94">#REF!</definedName>
    <definedName name="BCFMARG95" localSheetId="0">#REF!</definedName>
    <definedName name="BCFMARG95">#REF!</definedName>
    <definedName name="BCFMARG97" localSheetId="0">#REF!</definedName>
    <definedName name="BCFMARG97">#REF!</definedName>
    <definedName name="BCFMARG98" localSheetId="0">#REF!</definedName>
    <definedName name="BCFMARG98">#REF!</definedName>
    <definedName name="BCFMARG99" localSheetId="0">#REF!</definedName>
    <definedName name="BCFMARG99">#REF!</definedName>
    <definedName name="BCFMARG99PF" localSheetId="0">#REF!</definedName>
    <definedName name="BCFMARG99PF">#REF!</definedName>
    <definedName name="BD" localSheetId="0">#REF!</definedName>
    <definedName name="BD">#REF!</definedName>
    <definedName name="BDN" localSheetId="0">#REF!</definedName>
    <definedName name="BDN">#REF!</definedName>
    <definedName name="BE" localSheetId="0">#REF!</definedName>
    <definedName name="BE">#REF!</definedName>
    <definedName name="Bear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nefits" localSheetId="0">#REF!</definedName>
    <definedName name="benefits">#REF!</definedName>
    <definedName name="BEPT93" localSheetId="0">#REF!</definedName>
    <definedName name="BEPT93">#REF!</definedName>
    <definedName name="BEPT94" localSheetId="0">#REF!</definedName>
    <definedName name="BEPT94">#REF!</definedName>
    <definedName name="BEPT95" localSheetId="0">#REF!</definedName>
    <definedName name="BEPT95">#REF!</definedName>
    <definedName name="BERLI" localSheetId="0">#REF!</definedName>
    <definedName name="BERLI">#REF!</definedName>
    <definedName name="BETA" localSheetId="0">#REF!</definedName>
    <definedName name="BETA">#REF!</definedName>
    <definedName name="BG_Del" hidden="1">15</definedName>
    <definedName name="BG_Ins" hidden="1">4</definedName>
    <definedName name="BG_Mod" hidden="1">6</definedName>
    <definedName name="Bk_Mtg_Loan_gwt" localSheetId="0">#REF!</definedName>
    <definedName name="Bk_Mtg_Loan_gwt">#REF!</definedName>
    <definedName name="BkBgn" localSheetId="0">#REF!</definedName>
    <definedName name="BkBgn">#REF!</definedName>
    <definedName name="bl_pens_prov" localSheetId="0">#REF!</definedName>
    <definedName name="bl_pens_prov">#REF!</definedName>
    <definedName name="bl_sh_fund" localSheetId="0">#REF!</definedName>
    <definedName name="bl_sh_fund">#REF!</definedName>
    <definedName name="bl_tot_cur_liab" localSheetId="0">#REF!</definedName>
    <definedName name="bl_tot_cur_liab">#REF!</definedName>
    <definedName name="bl_tot_liab_over" localSheetId="0">#REF!</definedName>
    <definedName name="bl_tot_liab_over">#REF!</definedName>
    <definedName name="bl_tot_liab_use_over" localSheetId="0">#REF!</definedName>
    <definedName name="bl_tot_liab_use_over">#REF!</definedName>
    <definedName name="bla" localSheetId="5">{"Client Name or Project Name"}</definedName>
    <definedName name="BLA" localSheetId="0">#REF!</definedName>
    <definedName name="bla" localSheetId="4">{"Client Name or Project Name"}</definedName>
    <definedName name="bla">{"Client Name or Project Name"}</definedName>
    <definedName name="BLPB1" localSheetId="0" hidden="1">#REF!</definedName>
    <definedName name="BLPB1" hidden="1">#REF!</definedName>
    <definedName name="BLPB10" localSheetId="0" hidden="1">#REF!</definedName>
    <definedName name="BLPB10" hidden="1">#REF!</definedName>
    <definedName name="BLPB100" localSheetId="0" hidden="1">#REF!</definedName>
    <definedName name="BLPB100" hidden="1">#REF!</definedName>
    <definedName name="BLPB101" localSheetId="0" hidden="1">#REF!</definedName>
    <definedName name="BLPB101" hidden="1">#REF!</definedName>
    <definedName name="BLPB102" localSheetId="0" hidden="1">#REF!</definedName>
    <definedName name="BLPB102" hidden="1">#REF!</definedName>
    <definedName name="BLPB103" localSheetId="0" hidden="1">#REF!</definedName>
    <definedName name="BLPB103" hidden="1">#REF!</definedName>
    <definedName name="BLPB104" localSheetId="0" hidden="1">#REF!</definedName>
    <definedName name="BLPB104" hidden="1">#REF!</definedName>
    <definedName name="BLPB105" localSheetId="0" hidden="1">#REF!</definedName>
    <definedName name="BLPB105" hidden="1">#REF!</definedName>
    <definedName name="BLPB106" localSheetId="0" hidden="1">#REF!</definedName>
    <definedName name="BLPB106" hidden="1">#REF!</definedName>
    <definedName name="BLPB107" localSheetId="0" hidden="1">#REF!</definedName>
    <definedName name="BLPB107" hidden="1">#REF!</definedName>
    <definedName name="BLPB108" localSheetId="0" hidden="1">#REF!</definedName>
    <definedName name="BLPB108" hidden="1">#REF!</definedName>
    <definedName name="BLPB109" localSheetId="0" hidden="1">#REF!</definedName>
    <definedName name="BLPB109" hidden="1">#REF!</definedName>
    <definedName name="BLPB11" localSheetId="0" hidden="1">#REF!</definedName>
    <definedName name="BLPB11" hidden="1">#REF!</definedName>
    <definedName name="BLPB110" localSheetId="0" hidden="1">#REF!</definedName>
    <definedName name="BLPB110" hidden="1">#REF!</definedName>
    <definedName name="BLPB111" localSheetId="0" hidden="1">#REF!</definedName>
    <definedName name="BLPB111" hidden="1">#REF!</definedName>
    <definedName name="BLPB112" localSheetId="0" hidden="1">#REF!</definedName>
    <definedName name="BLPB112" hidden="1">#REF!</definedName>
    <definedName name="BLPB113" localSheetId="0" hidden="1">#REF!</definedName>
    <definedName name="BLPB113" hidden="1">#REF!</definedName>
    <definedName name="BLPB114" localSheetId="0" hidden="1">#REF!</definedName>
    <definedName name="BLPB114" hidden="1">#REF!</definedName>
    <definedName name="BLPB115" localSheetId="0" hidden="1">#REF!</definedName>
    <definedName name="BLPB115" hidden="1">#REF!</definedName>
    <definedName name="BLPB116" localSheetId="0" hidden="1">#REF!</definedName>
    <definedName name="BLPB116" hidden="1">#REF!</definedName>
    <definedName name="BLPB117" localSheetId="0" hidden="1">#REF!</definedName>
    <definedName name="BLPB117" hidden="1">#REF!</definedName>
    <definedName name="BLPB118" localSheetId="0" hidden="1">#REF!</definedName>
    <definedName name="BLPB118" hidden="1">#REF!</definedName>
    <definedName name="BLPB119" localSheetId="0" hidden="1">#REF!</definedName>
    <definedName name="BLPB119" hidden="1">#REF!</definedName>
    <definedName name="BLPB12" localSheetId="0" hidden="1">#REF!</definedName>
    <definedName name="BLPB12" hidden="1">#REF!</definedName>
    <definedName name="BLPB120" localSheetId="0" hidden="1">#REF!</definedName>
    <definedName name="BLPB120" hidden="1">#REF!</definedName>
    <definedName name="BLPB121" localSheetId="0" hidden="1">#REF!</definedName>
    <definedName name="BLPB121" hidden="1">#REF!</definedName>
    <definedName name="BLPB122" localSheetId="0" hidden="1">#REF!</definedName>
    <definedName name="BLPB122" hidden="1">#REF!</definedName>
    <definedName name="BLPB123" localSheetId="0" hidden="1">#REF!</definedName>
    <definedName name="BLPB123" hidden="1">#REF!</definedName>
    <definedName name="BLPB124" localSheetId="0" hidden="1">#REF!</definedName>
    <definedName name="BLPB124" hidden="1">#REF!</definedName>
    <definedName name="BLPB125" localSheetId="0" hidden="1">#REF!</definedName>
    <definedName name="BLPB125" hidden="1">#REF!</definedName>
    <definedName name="BLPB126" localSheetId="0" hidden="1">#REF!</definedName>
    <definedName name="BLPB126" hidden="1">#REF!</definedName>
    <definedName name="BLPB127" localSheetId="0" hidden="1">#REF!</definedName>
    <definedName name="BLPB127" hidden="1">#REF!</definedName>
    <definedName name="BLPB128" localSheetId="0" hidden="1">#REF!</definedName>
    <definedName name="BLPB128" hidden="1">#REF!</definedName>
    <definedName name="BLPB129" localSheetId="0" hidden="1">#REF!</definedName>
    <definedName name="BLPB129" hidden="1">#REF!</definedName>
    <definedName name="BLPB13" localSheetId="0" hidden="1">#REF!</definedName>
    <definedName name="BLPB13" hidden="1">#REF!</definedName>
    <definedName name="BLPB130" localSheetId="0" hidden="1">#REF!</definedName>
    <definedName name="BLPB130" hidden="1">#REF!</definedName>
    <definedName name="BLPB131" localSheetId="0" hidden="1">#REF!</definedName>
    <definedName name="BLPB131" hidden="1">#REF!</definedName>
    <definedName name="BLPB132" localSheetId="0" hidden="1">#REF!</definedName>
    <definedName name="BLPB132" hidden="1">#REF!</definedName>
    <definedName name="BLPB133" localSheetId="0" hidden="1">#REF!</definedName>
    <definedName name="BLPB133" hidden="1">#REF!</definedName>
    <definedName name="BLPB134" localSheetId="0" hidden="1">#REF!</definedName>
    <definedName name="BLPB134" hidden="1">#REF!</definedName>
    <definedName name="BLPB135" localSheetId="0" hidden="1">#REF!</definedName>
    <definedName name="BLPB135" hidden="1">#REF!</definedName>
    <definedName name="BLPB136" localSheetId="0" hidden="1">#REF!</definedName>
    <definedName name="BLPB136" hidden="1">#REF!</definedName>
    <definedName name="BLPB137" localSheetId="0" hidden="1">#REF!</definedName>
    <definedName name="BLPB137" hidden="1">#REF!</definedName>
    <definedName name="BLPB138" localSheetId="0" hidden="1">#REF!</definedName>
    <definedName name="BLPB138" hidden="1">#REF!</definedName>
    <definedName name="BLPB139" localSheetId="0" hidden="1">#REF!</definedName>
    <definedName name="BLPB139" hidden="1">#REF!</definedName>
    <definedName name="BLPB14" localSheetId="0" hidden="1">#REF!</definedName>
    <definedName name="BLPB14" hidden="1">#REF!</definedName>
    <definedName name="BLPB140" localSheetId="0" hidden="1">#REF!</definedName>
    <definedName name="BLPB140" hidden="1">#REF!</definedName>
    <definedName name="BLPB141" localSheetId="0" hidden="1">#REF!</definedName>
    <definedName name="BLPB141" hidden="1">#REF!</definedName>
    <definedName name="BLPB142" localSheetId="0" hidden="1">#REF!</definedName>
    <definedName name="BLPB142" hidden="1">#REF!</definedName>
    <definedName name="BLPB143" localSheetId="0" hidden="1">#REF!</definedName>
    <definedName name="BLPB143" hidden="1">#REF!</definedName>
    <definedName name="BLPB144" localSheetId="0" hidden="1">#REF!</definedName>
    <definedName name="BLPB144" hidden="1">#REF!</definedName>
    <definedName name="BLPB145" localSheetId="0" hidden="1">#REF!</definedName>
    <definedName name="BLPB145" hidden="1">#REF!</definedName>
    <definedName name="BLPB146" localSheetId="0" hidden="1">#REF!</definedName>
    <definedName name="BLPB146" hidden="1">#REF!</definedName>
    <definedName name="BLPB147" localSheetId="0" hidden="1">#REF!</definedName>
    <definedName name="BLPB147" hidden="1">#REF!</definedName>
    <definedName name="BLPB148" localSheetId="0" hidden="1">#REF!</definedName>
    <definedName name="BLPB148" hidden="1">#REF!</definedName>
    <definedName name="BLPB149" localSheetId="0" hidden="1">#REF!</definedName>
    <definedName name="BLPB149" hidden="1">#REF!</definedName>
    <definedName name="BLPB15" localSheetId="0" hidden="1">#REF!</definedName>
    <definedName name="BLPB15" hidden="1">#REF!</definedName>
    <definedName name="BLPB150" localSheetId="0" hidden="1">#REF!</definedName>
    <definedName name="BLPB150" hidden="1">#REF!</definedName>
    <definedName name="BLPB151" localSheetId="0" hidden="1">#REF!</definedName>
    <definedName name="BLPB151" hidden="1">#REF!</definedName>
    <definedName name="BLPB152" localSheetId="0" hidden="1">#REF!</definedName>
    <definedName name="BLPB152" hidden="1">#REF!</definedName>
    <definedName name="BLPB153" localSheetId="0" hidden="1">#REF!</definedName>
    <definedName name="BLPB153" hidden="1">#REF!</definedName>
    <definedName name="BLPB154" localSheetId="0" hidden="1">#REF!</definedName>
    <definedName name="BLPB154" hidden="1">#REF!</definedName>
    <definedName name="BLPB155" localSheetId="0" hidden="1">#REF!</definedName>
    <definedName name="BLPB155" hidden="1">#REF!</definedName>
    <definedName name="BLPB156" localSheetId="0" hidden="1">#REF!</definedName>
    <definedName name="BLPB156" hidden="1">#REF!</definedName>
    <definedName name="BLPB157" localSheetId="0" hidden="1">#REF!</definedName>
    <definedName name="BLPB157" hidden="1">#REF!</definedName>
    <definedName name="BLPB158" localSheetId="0" hidden="1">#REF!</definedName>
    <definedName name="BLPB158" hidden="1">#REF!</definedName>
    <definedName name="BLPB159" localSheetId="0" hidden="1">#REF!</definedName>
    <definedName name="BLPB159" hidden="1">#REF!</definedName>
    <definedName name="BLPB16" localSheetId="0" hidden="1">#REF!</definedName>
    <definedName name="BLPB16" hidden="1">#REF!</definedName>
    <definedName name="BLPB160" localSheetId="0" hidden="1">#REF!</definedName>
    <definedName name="BLPB160" hidden="1">#REF!</definedName>
    <definedName name="BLPB161" localSheetId="0" hidden="1">#REF!</definedName>
    <definedName name="BLPB161" hidden="1">#REF!</definedName>
    <definedName name="BLPB162" localSheetId="0" hidden="1">#REF!</definedName>
    <definedName name="BLPB162" hidden="1">#REF!</definedName>
    <definedName name="BLPB163" localSheetId="0" hidden="1">#REF!</definedName>
    <definedName name="BLPB163" hidden="1">#REF!</definedName>
    <definedName name="BLPB164" localSheetId="0" hidden="1">#REF!</definedName>
    <definedName name="BLPB164" hidden="1">#REF!</definedName>
    <definedName name="BLPB165" localSheetId="0" hidden="1">#REF!</definedName>
    <definedName name="BLPB165" hidden="1">#REF!</definedName>
    <definedName name="BLPB166" localSheetId="0" hidden="1">#REF!</definedName>
    <definedName name="BLPB166" hidden="1">#REF!</definedName>
    <definedName name="BLPB167" localSheetId="0" hidden="1">#REF!</definedName>
    <definedName name="BLPB167" hidden="1">#REF!</definedName>
    <definedName name="BLPB168" localSheetId="0" hidden="1">#REF!</definedName>
    <definedName name="BLPB168" hidden="1">#REF!</definedName>
    <definedName name="BLPB169" localSheetId="0" hidden="1">#REF!</definedName>
    <definedName name="BLPB169" hidden="1">#REF!</definedName>
    <definedName name="BLPB17" localSheetId="0" hidden="1">#REF!</definedName>
    <definedName name="BLPB17" hidden="1">#REF!</definedName>
    <definedName name="BLPB170" localSheetId="0" hidden="1">#REF!</definedName>
    <definedName name="BLPB170" hidden="1">#REF!</definedName>
    <definedName name="BLPB171" localSheetId="0" hidden="1">#REF!</definedName>
    <definedName name="BLPB171" hidden="1">#REF!</definedName>
    <definedName name="BLPB172" localSheetId="0" hidden="1">#REF!</definedName>
    <definedName name="BLPB172" hidden="1">#REF!</definedName>
    <definedName name="BLPB173" localSheetId="0" hidden="1">#REF!</definedName>
    <definedName name="BLPB173" hidden="1">#REF!</definedName>
    <definedName name="BLPB174" localSheetId="0" hidden="1">#REF!</definedName>
    <definedName name="BLPB174" hidden="1">#REF!</definedName>
    <definedName name="BLPB175" localSheetId="0" hidden="1">#REF!</definedName>
    <definedName name="BLPB175" hidden="1">#REF!</definedName>
    <definedName name="BLPB176" localSheetId="0" hidden="1">#REF!</definedName>
    <definedName name="BLPB176" hidden="1">#REF!</definedName>
    <definedName name="BLPB177" localSheetId="0" hidden="1">#REF!</definedName>
    <definedName name="BLPB177" hidden="1">#REF!</definedName>
    <definedName name="BLPB178" localSheetId="0" hidden="1">#REF!</definedName>
    <definedName name="BLPB178" hidden="1">#REF!</definedName>
    <definedName name="BLPB179" localSheetId="0" hidden="1">#REF!</definedName>
    <definedName name="BLPB179" hidden="1">#REF!</definedName>
    <definedName name="BLPB18" localSheetId="0" hidden="1">#REF!</definedName>
    <definedName name="BLPB18" hidden="1">#REF!</definedName>
    <definedName name="BLPB180" localSheetId="0" hidden="1">#REF!</definedName>
    <definedName name="BLPB180" hidden="1">#REF!</definedName>
    <definedName name="BLPB181" localSheetId="0" hidden="1">#REF!</definedName>
    <definedName name="BLPB181" hidden="1">#REF!</definedName>
    <definedName name="BLPB182" localSheetId="0" hidden="1">#REF!</definedName>
    <definedName name="BLPB182" hidden="1">#REF!</definedName>
    <definedName name="BLPB183" localSheetId="0" hidden="1">#REF!</definedName>
    <definedName name="BLPB183" hidden="1">#REF!</definedName>
    <definedName name="BLPB184" localSheetId="0" hidden="1">#REF!</definedName>
    <definedName name="BLPB184" hidden="1">#REF!</definedName>
    <definedName name="BLPB185" localSheetId="0" hidden="1">#REF!</definedName>
    <definedName name="BLPB185" hidden="1">#REF!</definedName>
    <definedName name="BLPB186" localSheetId="0" hidden="1">#REF!</definedName>
    <definedName name="BLPB186" hidden="1">#REF!</definedName>
    <definedName name="BLPB187" localSheetId="0" hidden="1">#REF!</definedName>
    <definedName name="BLPB187" hidden="1">#REF!</definedName>
    <definedName name="BLPB188" localSheetId="0" hidden="1">#REF!</definedName>
    <definedName name="BLPB188" hidden="1">#REF!</definedName>
    <definedName name="BLPB189" localSheetId="0" hidden="1">#REF!</definedName>
    <definedName name="BLPB189" hidden="1">#REF!</definedName>
    <definedName name="BLPB19" localSheetId="0" hidden="1">#REF!</definedName>
    <definedName name="BLPB19" hidden="1">#REF!</definedName>
    <definedName name="BLPB190" localSheetId="0" hidden="1">#REF!</definedName>
    <definedName name="BLPB190" hidden="1">#REF!</definedName>
    <definedName name="BLPB191" localSheetId="0" hidden="1">#REF!</definedName>
    <definedName name="BLPB191" hidden="1">#REF!</definedName>
    <definedName name="BLPB192" localSheetId="0" hidden="1">#REF!</definedName>
    <definedName name="BLPB192" hidden="1">#REF!</definedName>
    <definedName name="BLPB193" localSheetId="0" hidden="1">#REF!</definedName>
    <definedName name="BLPB193" hidden="1">#REF!</definedName>
    <definedName name="BLPB194" localSheetId="0" hidden="1">#REF!</definedName>
    <definedName name="BLPB194" hidden="1">#REF!</definedName>
    <definedName name="BLPB195" localSheetId="0" hidden="1">#REF!</definedName>
    <definedName name="BLPB195" hidden="1">#REF!</definedName>
    <definedName name="BLPB196" localSheetId="0" hidden="1">#REF!</definedName>
    <definedName name="BLPB196" hidden="1">#REF!</definedName>
    <definedName name="BLPB197" localSheetId="0" hidden="1">#REF!</definedName>
    <definedName name="BLPB197" hidden="1">#REF!</definedName>
    <definedName name="BLPB198" localSheetId="0" hidden="1">#REF!</definedName>
    <definedName name="BLPB198" hidden="1">#REF!</definedName>
    <definedName name="BLPB199" localSheetId="0" hidden="1">#REF!</definedName>
    <definedName name="BLPB199" hidden="1">#REF!</definedName>
    <definedName name="BLPB2" localSheetId="0" hidden="1">#REF!</definedName>
    <definedName name="BLPB2" hidden="1">#REF!</definedName>
    <definedName name="BLPB20" localSheetId="0" hidden="1">#REF!</definedName>
    <definedName name="BLPB20" hidden="1">#REF!</definedName>
    <definedName name="BLPB200" localSheetId="0" hidden="1">#REF!</definedName>
    <definedName name="BLPB200" hidden="1">#REF!</definedName>
    <definedName name="BLPB201" localSheetId="0" hidden="1">#REF!</definedName>
    <definedName name="BLPB201" hidden="1">#REF!</definedName>
    <definedName name="BLPB202" localSheetId="0" hidden="1">#REF!</definedName>
    <definedName name="BLPB202" hidden="1">#REF!</definedName>
    <definedName name="BLPB203" localSheetId="0" hidden="1">#REF!</definedName>
    <definedName name="BLPB203" hidden="1">#REF!</definedName>
    <definedName name="BLPB204" localSheetId="0" hidden="1">#REF!</definedName>
    <definedName name="BLPB204" hidden="1">#REF!</definedName>
    <definedName name="BLPB205" localSheetId="0" hidden="1">#REF!</definedName>
    <definedName name="BLPB205" hidden="1">#REF!</definedName>
    <definedName name="BLPB206" localSheetId="0" hidden="1">#REF!</definedName>
    <definedName name="BLPB206" hidden="1">#REF!</definedName>
    <definedName name="BLPB207" localSheetId="0" hidden="1">#REF!</definedName>
    <definedName name="BLPB207" hidden="1">#REF!</definedName>
    <definedName name="BLPB208" localSheetId="0" hidden="1">#REF!</definedName>
    <definedName name="BLPB208" hidden="1">#REF!</definedName>
    <definedName name="BLPB209" localSheetId="0" hidden="1">#REF!</definedName>
    <definedName name="BLPB209" hidden="1">#REF!</definedName>
    <definedName name="BLPB21" localSheetId="0" hidden="1">#REF!</definedName>
    <definedName name="BLPB21" hidden="1">#REF!</definedName>
    <definedName name="BLPB210" localSheetId="0" hidden="1">#REF!</definedName>
    <definedName name="BLPB210" hidden="1">#REF!</definedName>
    <definedName name="BLPB211" localSheetId="0" hidden="1">#REF!</definedName>
    <definedName name="BLPB211" hidden="1">#REF!</definedName>
    <definedName name="BLPB212" localSheetId="0" hidden="1">#REF!</definedName>
    <definedName name="BLPB212" hidden="1">#REF!</definedName>
    <definedName name="BLPB213" localSheetId="0" hidden="1">#REF!</definedName>
    <definedName name="BLPB213" hidden="1">#REF!</definedName>
    <definedName name="BLPB214" localSheetId="0" hidden="1">#REF!</definedName>
    <definedName name="BLPB214" hidden="1">#REF!</definedName>
    <definedName name="BLPB215" localSheetId="0" hidden="1">#REF!</definedName>
    <definedName name="BLPB215" hidden="1">#REF!</definedName>
    <definedName name="BLPB216" localSheetId="0" hidden="1">#REF!</definedName>
    <definedName name="BLPB216" hidden="1">#REF!</definedName>
    <definedName name="BLPB217" localSheetId="0" hidden="1">#REF!</definedName>
    <definedName name="BLPB217" hidden="1">#REF!</definedName>
    <definedName name="BLPB218" localSheetId="0" hidden="1">#REF!</definedName>
    <definedName name="BLPB218" hidden="1">#REF!</definedName>
    <definedName name="BLPB219" localSheetId="0" hidden="1">#REF!</definedName>
    <definedName name="BLPB219" hidden="1">#REF!</definedName>
    <definedName name="BLPB22" localSheetId="0" hidden="1">#REF!</definedName>
    <definedName name="BLPB22" hidden="1">#REF!</definedName>
    <definedName name="BLPB220" localSheetId="0" hidden="1">#REF!</definedName>
    <definedName name="BLPB220" hidden="1">#REF!</definedName>
    <definedName name="BLPB221" localSheetId="0" hidden="1">#REF!</definedName>
    <definedName name="BLPB221" hidden="1">#REF!</definedName>
    <definedName name="BLPB222" localSheetId="0" hidden="1">#REF!</definedName>
    <definedName name="BLPB222" hidden="1">#REF!</definedName>
    <definedName name="BLPB223" localSheetId="0" hidden="1">#REF!</definedName>
    <definedName name="BLPB223" hidden="1">#REF!</definedName>
    <definedName name="BLPB224" localSheetId="0" hidden="1">#REF!</definedName>
    <definedName name="BLPB224" hidden="1">#REF!</definedName>
    <definedName name="BLPB225" localSheetId="0" hidden="1">#REF!</definedName>
    <definedName name="BLPB225" hidden="1">#REF!</definedName>
    <definedName name="BLPB226" localSheetId="0" hidden="1">#REF!</definedName>
    <definedName name="BLPB226" hidden="1">#REF!</definedName>
    <definedName name="BLPB227" localSheetId="0" hidden="1">#REF!</definedName>
    <definedName name="BLPB227" hidden="1">#REF!</definedName>
    <definedName name="BLPB228" localSheetId="0" hidden="1">#REF!</definedName>
    <definedName name="BLPB228" hidden="1">#REF!</definedName>
    <definedName name="BLPB229" localSheetId="0" hidden="1">#REF!</definedName>
    <definedName name="BLPB229" hidden="1">#REF!</definedName>
    <definedName name="BLPB23" localSheetId="0" hidden="1">#REF!</definedName>
    <definedName name="BLPB23" hidden="1">#REF!</definedName>
    <definedName name="BLPB230" localSheetId="0" hidden="1">#REF!</definedName>
    <definedName name="BLPB230" hidden="1">#REF!</definedName>
    <definedName name="BLPB231" localSheetId="0" hidden="1">#REF!</definedName>
    <definedName name="BLPB231" hidden="1">#REF!</definedName>
    <definedName name="BLPB232" localSheetId="0" hidden="1">#REF!</definedName>
    <definedName name="BLPB232" hidden="1">#REF!</definedName>
    <definedName name="BLPB233" localSheetId="0" hidden="1">#REF!</definedName>
    <definedName name="BLPB233" hidden="1">#REF!</definedName>
    <definedName name="BLPB234" localSheetId="0" hidden="1">#REF!</definedName>
    <definedName name="BLPB234" hidden="1">#REF!</definedName>
    <definedName name="BLPB235" localSheetId="0" hidden="1">#REF!</definedName>
    <definedName name="BLPB235" hidden="1">#REF!</definedName>
    <definedName name="BLPB236" localSheetId="0" hidden="1">#REF!</definedName>
    <definedName name="BLPB236" hidden="1">#REF!</definedName>
    <definedName name="BLPB237" localSheetId="0" hidden="1">#REF!</definedName>
    <definedName name="BLPB237" hidden="1">#REF!</definedName>
    <definedName name="BLPB238" localSheetId="0" hidden="1">#REF!</definedName>
    <definedName name="BLPB238" hidden="1">#REF!</definedName>
    <definedName name="BLPB239" localSheetId="0" hidden="1">#REF!</definedName>
    <definedName name="BLPB239" hidden="1">#REF!</definedName>
    <definedName name="BLPB24" localSheetId="0" hidden="1">#REF!</definedName>
    <definedName name="BLPB24" hidden="1">#REF!</definedName>
    <definedName name="BLPB240" localSheetId="0" hidden="1">#REF!</definedName>
    <definedName name="BLPB240" hidden="1">#REF!</definedName>
    <definedName name="BLPB241" localSheetId="0" hidden="1">#REF!</definedName>
    <definedName name="BLPB241" hidden="1">#REF!</definedName>
    <definedName name="BLPB242" localSheetId="0" hidden="1">#REF!</definedName>
    <definedName name="BLPB242" hidden="1">#REF!</definedName>
    <definedName name="BLPB243" localSheetId="0" hidden="1">#REF!</definedName>
    <definedName name="BLPB243" hidden="1">#REF!</definedName>
    <definedName name="BLPB244" localSheetId="0" hidden="1">#REF!</definedName>
    <definedName name="BLPB244" hidden="1">#REF!</definedName>
    <definedName name="BLPB245" localSheetId="0" hidden="1">#REF!</definedName>
    <definedName name="BLPB245" hidden="1">#REF!</definedName>
    <definedName name="BLPB246" localSheetId="0" hidden="1">#REF!</definedName>
    <definedName name="BLPB246" hidden="1">#REF!</definedName>
    <definedName name="BLPB247" localSheetId="0" hidden="1">#REF!</definedName>
    <definedName name="BLPB247" hidden="1">#REF!</definedName>
    <definedName name="BLPB248" localSheetId="0" hidden="1">#REF!</definedName>
    <definedName name="BLPB248" hidden="1">#REF!</definedName>
    <definedName name="BLPB249" localSheetId="0" hidden="1">#REF!</definedName>
    <definedName name="BLPB249" hidden="1">#REF!</definedName>
    <definedName name="BLPB25" localSheetId="0" hidden="1">#REF!</definedName>
    <definedName name="BLPB25" hidden="1">#REF!</definedName>
    <definedName name="BLPB250" localSheetId="0" hidden="1">#REF!</definedName>
    <definedName name="BLPB250" hidden="1">#REF!</definedName>
    <definedName name="BLPB251" localSheetId="0" hidden="1">#REF!</definedName>
    <definedName name="BLPB251" hidden="1">#REF!</definedName>
    <definedName name="BLPB252" localSheetId="0" hidden="1">#REF!</definedName>
    <definedName name="BLPB252" hidden="1">#REF!</definedName>
    <definedName name="BLPB253" localSheetId="0" hidden="1">#REF!</definedName>
    <definedName name="BLPB253" hidden="1">#REF!</definedName>
    <definedName name="BLPB254" localSheetId="0" hidden="1">#REF!</definedName>
    <definedName name="BLPB254" hidden="1">#REF!</definedName>
    <definedName name="BLPB255" localSheetId="0" hidden="1">#REF!</definedName>
    <definedName name="BLPB255" hidden="1">#REF!</definedName>
    <definedName name="BLPB256" localSheetId="0" hidden="1">#REF!</definedName>
    <definedName name="BLPB256" hidden="1">#REF!</definedName>
    <definedName name="BLPB257" localSheetId="0" hidden="1">#REF!</definedName>
    <definedName name="BLPB257" hidden="1">#REF!</definedName>
    <definedName name="BLPB258" localSheetId="0" hidden="1">#REF!</definedName>
    <definedName name="BLPB258" hidden="1">#REF!</definedName>
    <definedName name="BLPB259" localSheetId="0" hidden="1">#REF!</definedName>
    <definedName name="BLPB259" hidden="1">#REF!</definedName>
    <definedName name="BLPB26" localSheetId="0" hidden="1">#REF!</definedName>
    <definedName name="BLPB26" hidden="1">#REF!</definedName>
    <definedName name="BLPB260" localSheetId="0" hidden="1">#REF!</definedName>
    <definedName name="BLPB260" hidden="1">#REF!</definedName>
    <definedName name="BLPB261" localSheetId="0" hidden="1">#REF!</definedName>
    <definedName name="BLPB261" hidden="1">#REF!</definedName>
    <definedName name="BLPB262" localSheetId="0" hidden="1">#REF!</definedName>
    <definedName name="BLPB262" hidden="1">#REF!</definedName>
    <definedName name="BLPB263" localSheetId="0" hidden="1">#REF!</definedName>
    <definedName name="BLPB263" hidden="1">#REF!</definedName>
    <definedName name="BLPB264" localSheetId="0" hidden="1">#REF!</definedName>
    <definedName name="BLPB264" hidden="1">#REF!</definedName>
    <definedName name="BLPB265" localSheetId="0" hidden="1">#REF!</definedName>
    <definedName name="BLPB265" hidden="1">#REF!</definedName>
    <definedName name="BLPB266" localSheetId="0" hidden="1">#REF!</definedName>
    <definedName name="BLPB266" hidden="1">#REF!</definedName>
    <definedName name="BLPB267" localSheetId="0" hidden="1">#REF!</definedName>
    <definedName name="BLPB267" hidden="1">#REF!</definedName>
    <definedName name="BLPB268" localSheetId="0" hidden="1">#REF!</definedName>
    <definedName name="BLPB268" hidden="1">#REF!</definedName>
    <definedName name="BLPB269" localSheetId="0" hidden="1">#REF!</definedName>
    <definedName name="BLPB269" hidden="1">#REF!</definedName>
    <definedName name="BLPB27" localSheetId="0" hidden="1">#REF!</definedName>
    <definedName name="BLPB27" hidden="1">#REF!</definedName>
    <definedName name="BLPB270" localSheetId="0" hidden="1">#REF!</definedName>
    <definedName name="BLPB270" hidden="1">#REF!</definedName>
    <definedName name="BLPB271" localSheetId="0" hidden="1">#REF!</definedName>
    <definedName name="BLPB271" hidden="1">#REF!</definedName>
    <definedName name="BLPB272" localSheetId="0" hidden="1">#REF!</definedName>
    <definedName name="BLPB272" hidden="1">#REF!</definedName>
    <definedName name="BLPB273" localSheetId="0" hidden="1">#REF!</definedName>
    <definedName name="BLPB273" hidden="1">#REF!</definedName>
    <definedName name="BLPB274" localSheetId="0" hidden="1">#REF!</definedName>
    <definedName name="BLPB274" hidden="1">#REF!</definedName>
    <definedName name="BLPB275" localSheetId="0" hidden="1">#REF!</definedName>
    <definedName name="BLPB275" hidden="1">#REF!</definedName>
    <definedName name="BLPB276" localSheetId="0" hidden="1">#REF!</definedName>
    <definedName name="BLPB276" hidden="1">#REF!</definedName>
    <definedName name="BLPB277" localSheetId="0" hidden="1">#REF!</definedName>
    <definedName name="BLPB277" hidden="1">#REF!</definedName>
    <definedName name="BLPB278" localSheetId="0" hidden="1">#REF!</definedName>
    <definedName name="BLPB278" hidden="1">#REF!</definedName>
    <definedName name="BLPB279" localSheetId="0" hidden="1">#REF!</definedName>
    <definedName name="BLPB279" hidden="1">#REF!</definedName>
    <definedName name="BLPB28" localSheetId="0" hidden="1">#REF!</definedName>
    <definedName name="BLPB28" hidden="1">#REF!</definedName>
    <definedName name="BLPB280" localSheetId="0" hidden="1">#REF!</definedName>
    <definedName name="BLPB280" hidden="1">#REF!</definedName>
    <definedName name="BLPB281" localSheetId="0" hidden="1">#REF!</definedName>
    <definedName name="BLPB281" hidden="1">#REF!</definedName>
    <definedName name="BLPB282" localSheetId="0" hidden="1">#REF!</definedName>
    <definedName name="BLPB282" hidden="1">#REF!</definedName>
    <definedName name="BLPB283" localSheetId="0" hidden="1">#REF!</definedName>
    <definedName name="BLPB283" hidden="1">#REF!</definedName>
    <definedName name="BLPB284" localSheetId="0" hidden="1">#REF!</definedName>
    <definedName name="BLPB284" hidden="1">#REF!</definedName>
    <definedName name="BLPB285" localSheetId="0" hidden="1">#REF!</definedName>
    <definedName name="BLPB285" hidden="1">#REF!</definedName>
    <definedName name="BLPB286" localSheetId="0" hidden="1">#REF!</definedName>
    <definedName name="BLPB286" hidden="1">#REF!</definedName>
    <definedName name="BLPB287" localSheetId="0" hidden="1">#REF!</definedName>
    <definedName name="BLPB287" hidden="1">#REF!</definedName>
    <definedName name="BLPB288" localSheetId="0" hidden="1">#REF!</definedName>
    <definedName name="BLPB288" hidden="1">#REF!</definedName>
    <definedName name="BLPB289" localSheetId="0" hidden="1">#REF!</definedName>
    <definedName name="BLPB289" hidden="1">#REF!</definedName>
    <definedName name="BLPB29" localSheetId="0" hidden="1">#REF!</definedName>
    <definedName name="BLPB29" hidden="1">#REF!</definedName>
    <definedName name="BLPB290" localSheetId="0" hidden="1">#REF!</definedName>
    <definedName name="BLPB290" hidden="1">#REF!</definedName>
    <definedName name="BLPB291" localSheetId="0" hidden="1">#REF!</definedName>
    <definedName name="BLPB291" hidden="1">#REF!</definedName>
    <definedName name="BLPB292" localSheetId="0" hidden="1">#REF!</definedName>
    <definedName name="BLPB292" hidden="1">#REF!</definedName>
    <definedName name="BLPB293" localSheetId="0" hidden="1">#REF!</definedName>
    <definedName name="BLPB293" hidden="1">#REF!</definedName>
    <definedName name="BLPB294" localSheetId="0" hidden="1">#REF!</definedName>
    <definedName name="BLPB294" hidden="1">#REF!</definedName>
    <definedName name="BLPB295" localSheetId="0" hidden="1">#REF!</definedName>
    <definedName name="BLPB295" hidden="1">#REF!</definedName>
    <definedName name="BLPB296" localSheetId="0" hidden="1">#REF!</definedName>
    <definedName name="BLPB296" hidden="1">#REF!</definedName>
    <definedName name="BLPB297" localSheetId="0" hidden="1">#REF!</definedName>
    <definedName name="BLPB297" hidden="1">#REF!</definedName>
    <definedName name="BLPB298" localSheetId="0" hidden="1">#REF!</definedName>
    <definedName name="BLPB298" hidden="1">#REF!</definedName>
    <definedName name="BLPB299" localSheetId="0" hidden="1">#REF!</definedName>
    <definedName name="BLPB299" hidden="1">#REF!</definedName>
    <definedName name="BLPB3" localSheetId="0" hidden="1">#REF!</definedName>
    <definedName name="BLPB3" hidden="1">#REF!</definedName>
    <definedName name="BLPB30" localSheetId="0" hidden="1">#REF!</definedName>
    <definedName name="BLPB30" hidden="1">#REF!</definedName>
    <definedName name="BLPB300" localSheetId="0" hidden="1">#REF!</definedName>
    <definedName name="BLPB300" hidden="1">#REF!</definedName>
    <definedName name="BLPB301" localSheetId="0" hidden="1">#REF!</definedName>
    <definedName name="BLPB301" hidden="1">#REF!</definedName>
    <definedName name="BLPB302" localSheetId="0" hidden="1">#REF!</definedName>
    <definedName name="BLPB302" hidden="1">#REF!</definedName>
    <definedName name="BLPB303" localSheetId="0" hidden="1">#REF!</definedName>
    <definedName name="BLPB303" hidden="1">#REF!</definedName>
    <definedName name="BLPB304" localSheetId="0" hidden="1">#REF!</definedName>
    <definedName name="BLPB304" hidden="1">#REF!</definedName>
    <definedName name="BLPB305" localSheetId="0" hidden="1">#REF!</definedName>
    <definedName name="BLPB305" hidden="1">#REF!</definedName>
    <definedName name="BLPB306" localSheetId="0" hidden="1">#REF!</definedName>
    <definedName name="BLPB306" hidden="1">#REF!</definedName>
    <definedName name="BLPB307" localSheetId="0" hidden="1">#REF!</definedName>
    <definedName name="BLPB307" hidden="1">#REF!</definedName>
    <definedName name="BLPB308" localSheetId="0" hidden="1">#REF!</definedName>
    <definedName name="BLPB308" hidden="1">#REF!</definedName>
    <definedName name="BLPB309" localSheetId="0" hidden="1">#REF!</definedName>
    <definedName name="BLPB309" hidden="1">#REF!</definedName>
    <definedName name="BLPB31" localSheetId="0" hidden="1">#REF!</definedName>
    <definedName name="BLPB31" hidden="1">#REF!</definedName>
    <definedName name="BLPB310" localSheetId="0" hidden="1">#REF!</definedName>
    <definedName name="BLPB310" hidden="1">#REF!</definedName>
    <definedName name="BLPB311" localSheetId="0" hidden="1">#REF!</definedName>
    <definedName name="BLPB311" hidden="1">#REF!</definedName>
    <definedName name="BLPB312" localSheetId="0" hidden="1">#REF!</definedName>
    <definedName name="BLPB312" hidden="1">#REF!</definedName>
    <definedName name="BLPB313" localSheetId="0" hidden="1">#REF!</definedName>
    <definedName name="BLPB313" hidden="1">#REF!</definedName>
    <definedName name="BLPB314" localSheetId="0" hidden="1">#REF!</definedName>
    <definedName name="BLPB314" hidden="1">#REF!</definedName>
    <definedName name="BLPB315" localSheetId="0" hidden="1">#REF!</definedName>
    <definedName name="BLPB315" hidden="1">#REF!</definedName>
    <definedName name="BLPB316" localSheetId="0" hidden="1">#REF!</definedName>
    <definedName name="BLPB316" hidden="1">#REF!</definedName>
    <definedName name="BLPB317" localSheetId="0" hidden="1">#REF!</definedName>
    <definedName name="BLPB317" hidden="1">#REF!</definedName>
    <definedName name="BLPB318" localSheetId="0" hidden="1">#REF!</definedName>
    <definedName name="BLPB318" hidden="1">#REF!</definedName>
    <definedName name="BLPB319" localSheetId="0" hidden="1">#REF!</definedName>
    <definedName name="BLPB319" hidden="1">#REF!</definedName>
    <definedName name="BLPB32" localSheetId="0" hidden="1">#REF!</definedName>
    <definedName name="BLPB32" hidden="1">#REF!</definedName>
    <definedName name="BLPB320" localSheetId="0" hidden="1">#REF!</definedName>
    <definedName name="BLPB320" hidden="1">#REF!</definedName>
    <definedName name="BLPB321" localSheetId="0" hidden="1">#REF!</definedName>
    <definedName name="BLPB321" hidden="1">#REF!</definedName>
    <definedName name="BLPB322" localSheetId="0" hidden="1">#REF!</definedName>
    <definedName name="BLPB322" hidden="1">#REF!</definedName>
    <definedName name="BLPB323" localSheetId="0" hidden="1">#REF!</definedName>
    <definedName name="BLPB323" hidden="1">#REF!</definedName>
    <definedName name="BLPB324" localSheetId="0" hidden="1">#REF!</definedName>
    <definedName name="BLPB324" hidden="1">#REF!</definedName>
    <definedName name="BLPB325" localSheetId="0" hidden="1">#REF!</definedName>
    <definedName name="BLPB325" hidden="1">#REF!</definedName>
    <definedName name="BLPB326" localSheetId="0" hidden="1">#REF!</definedName>
    <definedName name="BLPB326" hidden="1">#REF!</definedName>
    <definedName name="BLPB327" localSheetId="0" hidden="1">#REF!</definedName>
    <definedName name="BLPB327" hidden="1">#REF!</definedName>
    <definedName name="BLPB328" localSheetId="0" hidden="1">#REF!</definedName>
    <definedName name="BLPB328" hidden="1">#REF!</definedName>
    <definedName name="BLPB329" localSheetId="0" hidden="1">#REF!</definedName>
    <definedName name="BLPB329" hidden="1">#REF!</definedName>
    <definedName name="BLPB33" localSheetId="0" hidden="1">#REF!</definedName>
    <definedName name="BLPB33" hidden="1">#REF!</definedName>
    <definedName name="BLPB330" localSheetId="0" hidden="1">#REF!</definedName>
    <definedName name="BLPB330" hidden="1">#REF!</definedName>
    <definedName name="BLPB331" localSheetId="0" hidden="1">#REF!</definedName>
    <definedName name="BLPB331" hidden="1">#REF!</definedName>
    <definedName name="BLPB332" localSheetId="0" hidden="1">#REF!</definedName>
    <definedName name="BLPB332" hidden="1">#REF!</definedName>
    <definedName name="BLPB333" localSheetId="0" hidden="1">#REF!</definedName>
    <definedName name="BLPB333" hidden="1">#REF!</definedName>
    <definedName name="BLPB334" localSheetId="0" hidden="1">#REF!</definedName>
    <definedName name="BLPB334" hidden="1">#REF!</definedName>
    <definedName name="BLPB335" localSheetId="0" hidden="1">#REF!</definedName>
    <definedName name="BLPB335" hidden="1">#REF!</definedName>
    <definedName name="BLPB336" localSheetId="0" hidden="1">#REF!</definedName>
    <definedName name="BLPB336" hidden="1">#REF!</definedName>
    <definedName name="BLPB337" localSheetId="0" hidden="1">#REF!</definedName>
    <definedName name="BLPB337" hidden="1">#REF!</definedName>
    <definedName name="BLPB338" localSheetId="0" hidden="1">#REF!</definedName>
    <definedName name="BLPB338" hidden="1">#REF!</definedName>
    <definedName name="BLPB339" localSheetId="0" hidden="1">#REF!</definedName>
    <definedName name="BLPB339" hidden="1">#REF!</definedName>
    <definedName name="BLPB34" localSheetId="0" hidden="1">#REF!</definedName>
    <definedName name="BLPB34" hidden="1">#REF!</definedName>
    <definedName name="BLPB340" localSheetId="0" hidden="1">#REF!</definedName>
    <definedName name="BLPB340" hidden="1">#REF!</definedName>
    <definedName name="BLPB341" localSheetId="0" hidden="1">#REF!</definedName>
    <definedName name="BLPB341" hidden="1">#REF!</definedName>
    <definedName name="BLPB342" localSheetId="0" hidden="1">#REF!</definedName>
    <definedName name="BLPB342" hidden="1">#REF!</definedName>
    <definedName name="BLPB343" localSheetId="0" hidden="1">#REF!</definedName>
    <definedName name="BLPB343" hidden="1">#REF!</definedName>
    <definedName name="BLPB344" localSheetId="0" hidden="1">#REF!</definedName>
    <definedName name="BLPB344" hidden="1">#REF!</definedName>
    <definedName name="BLPB345" localSheetId="0" hidden="1">#REF!</definedName>
    <definedName name="BLPB345" hidden="1">#REF!</definedName>
    <definedName name="BLPB346" localSheetId="0" hidden="1">#REF!</definedName>
    <definedName name="BLPB346" hidden="1">#REF!</definedName>
    <definedName name="BLPB347" localSheetId="0" hidden="1">#REF!</definedName>
    <definedName name="BLPB347" hidden="1">#REF!</definedName>
    <definedName name="BLPB348" localSheetId="0" hidden="1">#REF!</definedName>
    <definedName name="BLPB348" hidden="1">#REF!</definedName>
    <definedName name="BLPB349" localSheetId="0" hidden="1">#REF!</definedName>
    <definedName name="BLPB349" hidden="1">#REF!</definedName>
    <definedName name="BLPB35" localSheetId="0" hidden="1">#REF!</definedName>
    <definedName name="BLPB35" hidden="1">#REF!</definedName>
    <definedName name="BLPB350" localSheetId="0" hidden="1">#REF!</definedName>
    <definedName name="BLPB350" hidden="1">#REF!</definedName>
    <definedName name="BLPB351" localSheetId="0" hidden="1">#REF!</definedName>
    <definedName name="BLPB351" hidden="1">#REF!</definedName>
    <definedName name="BLPB352" localSheetId="0" hidden="1">#REF!</definedName>
    <definedName name="BLPB352" hidden="1">#REF!</definedName>
    <definedName name="BLPB353" localSheetId="0" hidden="1">#REF!</definedName>
    <definedName name="BLPB353" hidden="1">#REF!</definedName>
    <definedName name="BLPB354" localSheetId="0" hidden="1">#REF!</definedName>
    <definedName name="BLPB354" hidden="1">#REF!</definedName>
    <definedName name="BLPB355" localSheetId="0" hidden="1">#REF!</definedName>
    <definedName name="BLPB355" hidden="1">#REF!</definedName>
    <definedName name="BLPB356" localSheetId="0" hidden="1">#REF!</definedName>
    <definedName name="BLPB356" hidden="1">#REF!</definedName>
    <definedName name="BLPB357" localSheetId="0" hidden="1">#REF!</definedName>
    <definedName name="BLPB357" hidden="1">#REF!</definedName>
    <definedName name="BLPB358" localSheetId="0" hidden="1">#REF!</definedName>
    <definedName name="BLPB358" hidden="1">#REF!</definedName>
    <definedName name="BLPB359" localSheetId="0" hidden="1">#REF!</definedName>
    <definedName name="BLPB359" hidden="1">#REF!</definedName>
    <definedName name="BLPB36" localSheetId="0" hidden="1">#REF!</definedName>
    <definedName name="BLPB36" hidden="1">#REF!</definedName>
    <definedName name="BLPB360" localSheetId="0" hidden="1">#REF!</definedName>
    <definedName name="BLPB360" hidden="1">#REF!</definedName>
    <definedName name="BLPB361" localSheetId="0" hidden="1">#REF!</definedName>
    <definedName name="BLPB361" hidden="1">#REF!</definedName>
    <definedName name="BLPB362" localSheetId="0" hidden="1">#REF!</definedName>
    <definedName name="BLPB362" hidden="1">#REF!</definedName>
    <definedName name="BLPB363" localSheetId="0" hidden="1">#REF!</definedName>
    <definedName name="BLPB363" hidden="1">#REF!</definedName>
    <definedName name="BLPB364" localSheetId="0" hidden="1">#REF!</definedName>
    <definedName name="BLPB364" hidden="1">#REF!</definedName>
    <definedName name="BLPB365" localSheetId="0" hidden="1">#REF!</definedName>
    <definedName name="BLPB365" hidden="1">#REF!</definedName>
    <definedName name="BLPB366" localSheetId="0" hidden="1">#REF!</definedName>
    <definedName name="BLPB366" hidden="1">#REF!</definedName>
    <definedName name="BLPB367" localSheetId="0" hidden="1">#REF!</definedName>
    <definedName name="BLPB367" hidden="1">#REF!</definedName>
    <definedName name="BLPB368" localSheetId="0" hidden="1">#REF!</definedName>
    <definedName name="BLPB368" hidden="1">#REF!</definedName>
    <definedName name="BLPB369" localSheetId="0" hidden="1">#REF!</definedName>
    <definedName name="BLPB369" hidden="1">#REF!</definedName>
    <definedName name="BLPB37" localSheetId="0" hidden="1">#REF!</definedName>
    <definedName name="BLPB37" hidden="1">#REF!</definedName>
    <definedName name="BLPB370" localSheetId="0" hidden="1">#REF!</definedName>
    <definedName name="BLPB370" hidden="1">#REF!</definedName>
    <definedName name="BLPB371" localSheetId="0" hidden="1">#REF!</definedName>
    <definedName name="BLPB371" hidden="1">#REF!</definedName>
    <definedName name="BLPB372" localSheetId="0" hidden="1">#REF!</definedName>
    <definedName name="BLPB372" hidden="1">#REF!</definedName>
    <definedName name="BLPB373" localSheetId="0" hidden="1">#REF!</definedName>
    <definedName name="BLPB373" hidden="1">#REF!</definedName>
    <definedName name="BLPB374" localSheetId="0" hidden="1">#REF!</definedName>
    <definedName name="BLPB374" hidden="1">#REF!</definedName>
    <definedName name="BLPB375" localSheetId="0" hidden="1">#REF!</definedName>
    <definedName name="BLPB375" hidden="1">#REF!</definedName>
    <definedName name="BLPB376" localSheetId="0" hidden="1">#REF!</definedName>
    <definedName name="BLPB376" hidden="1">#REF!</definedName>
    <definedName name="BLPB377" localSheetId="0" hidden="1">#REF!</definedName>
    <definedName name="BLPB377" hidden="1">#REF!</definedName>
    <definedName name="BLPB378" localSheetId="0" hidden="1">#REF!</definedName>
    <definedName name="BLPB378" hidden="1">#REF!</definedName>
    <definedName name="BLPB379" localSheetId="0" hidden="1">#REF!</definedName>
    <definedName name="BLPB379" hidden="1">#REF!</definedName>
    <definedName name="BLPB38" localSheetId="0" hidden="1">#REF!</definedName>
    <definedName name="BLPB38" hidden="1">#REF!</definedName>
    <definedName name="BLPB380" localSheetId="0" hidden="1">#REF!</definedName>
    <definedName name="BLPB380" hidden="1">#REF!</definedName>
    <definedName name="BLPB381" localSheetId="0" hidden="1">#REF!</definedName>
    <definedName name="BLPB381" hidden="1">#REF!</definedName>
    <definedName name="BLPB382" localSheetId="0" hidden="1">#REF!</definedName>
    <definedName name="BLPB382" hidden="1">#REF!</definedName>
    <definedName name="BLPB383" localSheetId="0" hidden="1">#REF!</definedName>
    <definedName name="BLPB383" hidden="1">#REF!</definedName>
    <definedName name="BLPB384" localSheetId="0" hidden="1">#REF!</definedName>
    <definedName name="BLPB384" hidden="1">#REF!</definedName>
    <definedName name="BLPB385" localSheetId="0" hidden="1">#REF!</definedName>
    <definedName name="BLPB385" hidden="1">#REF!</definedName>
    <definedName name="BLPB386" localSheetId="0" hidden="1">#REF!</definedName>
    <definedName name="BLPB386" hidden="1">#REF!</definedName>
    <definedName name="BLPB387" localSheetId="0" hidden="1">#REF!</definedName>
    <definedName name="BLPB387" hidden="1">#REF!</definedName>
    <definedName name="BLPB388" localSheetId="0" hidden="1">#REF!</definedName>
    <definedName name="BLPB388" hidden="1">#REF!</definedName>
    <definedName name="BLPB389" localSheetId="0" hidden="1">#REF!</definedName>
    <definedName name="BLPB389" hidden="1">#REF!</definedName>
    <definedName name="BLPB39" localSheetId="0" hidden="1">#REF!</definedName>
    <definedName name="BLPB39" hidden="1">#REF!</definedName>
    <definedName name="BLPB390" localSheetId="0" hidden="1">#REF!</definedName>
    <definedName name="BLPB390" hidden="1">#REF!</definedName>
    <definedName name="BLPB391" localSheetId="0" hidden="1">#REF!</definedName>
    <definedName name="BLPB391" hidden="1">#REF!</definedName>
    <definedName name="BLPB392" localSheetId="0" hidden="1">#REF!</definedName>
    <definedName name="BLPB392" hidden="1">#REF!</definedName>
    <definedName name="BLPB393" localSheetId="0" hidden="1">#REF!</definedName>
    <definedName name="BLPB393" hidden="1">#REF!</definedName>
    <definedName name="BLPB394" localSheetId="0" hidden="1">#REF!</definedName>
    <definedName name="BLPB394" hidden="1">#REF!</definedName>
    <definedName name="BLPB395" localSheetId="0" hidden="1">#REF!</definedName>
    <definedName name="BLPB395" hidden="1">#REF!</definedName>
    <definedName name="BLPB396" localSheetId="0" hidden="1">#REF!</definedName>
    <definedName name="BLPB396" hidden="1">#REF!</definedName>
    <definedName name="BLPB397" localSheetId="0" hidden="1">#REF!</definedName>
    <definedName name="BLPB397" hidden="1">#REF!</definedName>
    <definedName name="BLPB398" localSheetId="0" hidden="1">#REF!</definedName>
    <definedName name="BLPB398" hidden="1">#REF!</definedName>
    <definedName name="BLPB399" localSheetId="0" hidden="1">#REF!</definedName>
    <definedName name="BLPB399" hidden="1">#REF!</definedName>
    <definedName name="BLPB4" localSheetId="0" hidden="1">#REF!</definedName>
    <definedName name="BLPB4" hidden="1">#REF!</definedName>
    <definedName name="BLPB40" localSheetId="0" hidden="1">#REF!</definedName>
    <definedName name="BLPB40" hidden="1">#REF!</definedName>
    <definedName name="BLPB400" localSheetId="0" hidden="1">#REF!</definedName>
    <definedName name="BLPB400" hidden="1">#REF!</definedName>
    <definedName name="BLPB401" localSheetId="0" hidden="1">#REF!</definedName>
    <definedName name="BLPB401" hidden="1">#REF!</definedName>
    <definedName name="BLPB402" localSheetId="0" hidden="1">#REF!</definedName>
    <definedName name="BLPB402" hidden="1">#REF!</definedName>
    <definedName name="BLPB403" localSheetId="0" hidden="1">#REF!</definedName>
    <definedName name="BLPB403" hidden="1">#REF!</definedName>
    <definedName name="BLPB404" localSheetId="0" hidden="1">#REF!</definedName>
    <definedName name="BLPB404" hidden="1">#REF!</definedName>
    <definedName name="BLPB405" localSheetId="0" hidden="1">#REF!</definedName>
    <definedName name="BLPB405" hidden="1">#REF!</definedName>
    <definedName name="BLPB406" localSheetId="0" hidden="1">#REF!</definedName>
    <definedName name="BLPB406" hidden="1">#REF!</definedName>
    <definedName name="BLPB407" localSheetId="0" hidden="1">#REF!</definedName>
    <definedName name="BLPB407" hidden="1">#REF!</definedName>
    <definedName name="BLPB408" localSheetId="0" hidden="1">#REF!</definedName>
    <definedName name="BLPB408" hidden="1">#REF!</definedName>
    <definedName name="BLPB409" localSheetId="0" hidden="1">#REF!</definedName>
    <definedName name="BLPB409" hidden="1">#REF!</definedName>
    <definedName name="BLPB41" localSheetId="0" hidden="1">#REF!</definedName>
    <definedName name="BLPB41" hidden="1">#REF!</definedName>
    <definedName name="BLPB410" localSheetId="0" hidden="1">#REF!</definedName>
    <definedName name="BLPB410" hidden="1">#REF!</definedName>
    <definedName name="BLPB411" localSheetId="0" hidden="1">#REF!</definedName>
    <definedName name="BLPB411" hidden="1">#REF!</definedName>
    <definedName name="BLPB412" localSheetId="0" hidden="1">#REF!</definedName>
    <definedName name="BLPB412" hidden="1">#REF!</definedName>
    <definedName name="BLPB413" localSheetId="0" hidden="1">#REF!</definedName>
    <definedName name="BLPB413" hidden="1">#REF!</definedName>
    <definedName name="BLPB414" localSheetId="0" hidden="1">#REF!</definedName>
    <definedName name="BLPB414" hidden="1">#REF!</definedName>
    <definedName name="BLPB415" localSheetId="0" hidden="1">#REF!</definedName>
    <definedName name="BLPB415" hidden="1">#REF!</definedName>
    <definedName name="BLPB416" localSheetId="0" hidden="1">#REF!</definedName>
    <definedName name="BLPB416" hidden="1">#REF!</definedName>
    <definedName name="BLPB417" localSheetId="0" hidden="1">#REF!</definedName>
    <definedName name="BLPB417" hidden="1">#REF!</definedName>
    <definedName name="BLPB418" localSheetId="0" hidden="1">#REF!</definedName>
    <definedName name="BLPB418" hidden="1">#REF!</definedName>
    <definedName name="BLPB419" localSheetId="0" hidden="1">#REF!</definedName>
    <definedName name="BLPB419" hidden="1">#REF!</definedName>
    <definedName name="BLPB42" localSheetId="0" hidden="1">#REF!</definedName>
    <definedName name="BLPB42" hidden="1">#REF!</definedName>
    <definedName name="BLPB420" localSheetId="0" hidden="1">#REF!</definedName>
    <definedName name="BLPB420" hidden="1">#REF!</definedName>
    <definedName name="BLPB421" localSheetId="0" hidden="1">#REF!</definedName>
    <definedName name="BLPB421" hidden="1">#REF!</definedName>
    <definedName name="BLPB422" localSheetId="0" hidden="1">#REF!</definedName>
    <definedName name="BLPB422" hidden="1">#REF!</definedName>
    <definedName name="BLPB423" localSheetId="0" hidden="1">#REF!</definedName>
    <definedName name="BLPB423" hidden="1">#REF!</definedName>
    <definedName name="BLPB424" localSheetId="0" hidden="1">#REF!</definedName>
    <definedName name="BLPB424" hidden="1">#REF!</definedName>
    <definedName name="BLPB425" localSheetId="0" hidden="1">#REF!</definedName>
    <definedName name="BLPB425" hidden="1">#REF!</definedName>
    <definedName name="BLPB426" localSheetId="0" hidden="1">#REF!</definedName>
    <definedName name="BLPB426" hidden="1">#REF!</definedName>
    <definedName name="BLPB427" localSheetId="0" hidden="1">#REF!</definedName>
    <definedName name="BLPB427" hidden="1">#REF!</definedName>
    <definedName name="BLPB428" localSheetId="0" hidden="1">#REF!</definedName>
    <definedName name="BLPB428" hidden="1">#REF!</definedName>
    <definedName name="BLPB429" localSheetId="0" hidden="1">#REF!</definedName>
    <definedName name="BLPB429" hidden="1">#REF!</definedName>
    <definedName name="BLPB43" localSheetId="0" hidden="1">#REF!</definedName>
    <definedName name="BLPB43" hidden="1">#REF!</definedName>
    <definedName name="BLPB430" localSheetId="0" hidden="1">#REF!</definedName>
    <definedName name="BLPB430" hidden="1">#REF!</definedName>
    <definedName name="BLPB431" localSheetId="0" hidden="1">#REF!</definedName>
    <definedName name="BLPB431" hidden="1">#REF!</definedName>
    <definedName name="BLPB432" localSheetId="0" hidden="1">#REF!</definedName>
    <definedName name="BLPB432" hidden="1">#REF!</definedName>
    <definedName name="BLPB433" localSheetId="0" hidden="1">#REF!</definedName>
    <definedName name="BLPB433" hidden="1">#REF!</definedName>
    <definedName name="BLPB434" localSheetId="0" hidden="1">#REF!</definedName>
    <definedName name="BLPB434" hidden="1">#REF!</definedName>
    <definedName name="BLPB435" localSheetId="0" hidden="1">#REF!</definedName>
    <definedName name="BLPB435" hidden="1">#REF!</definedName>
    <definedName name="BLPB436" localSheetId="0" hidden="1">#REF!</definedName>
    <definedName name="BLPB436" hidden="1">#REF!</definedName>
    <definedName name="BLPB437" localSheetId="0" hidden="1">#REF!</definedName>
    <definedName name="BLPB437" hidden="1">#REF!</definedName>
    <definedName name="BLPB438" localSheetId="0" hidden="1">#REF!</definedName>
    <definedName name="BLPB438" hidden="1">#REF!</definedName>
    <definedName name="BLPB439" localSheetId="0" hidden="1">#REF!</definedName>
    <definedName name="BLPB439" hidden="1">#REF!</definedName>
    <definedName name="BLPB44" localSheetId="0" hidden="1">#REF!</definedName>
    <definedName name="BLPB44" hidden="1">#REF!</definedName>
    <definedName name="BLPB440" localSheetId="0" hidden="1">#REF!</definedName>
    <definedName name="BLPB440" hidden="1">#REF!</definedName>
    <definedName name="BLPB441" localSheetId="0" hidden="1">#REF!</definedName>
    <definedName name="BLPB441" hidden="1">#REF!</definedName>
    <definedName name="BLPB442" localSheetId="0" hidden="1">#REF!</definedName>
    <definedName name="BLPB442" hidden="1">#REF!</definedName>
    <definedName name="BLPB443" localSheetId="0" hidden="1">#REF!</definedName>
    <definedName name="BLPB443" hidden="1">#REF!</definedName>
    <definedName name="BLPB444" localSheetId="0" hidden="1">#REF!</definedName>
    <definedName name="BLPB444" hidden="1">#REF!</definedName>
    <definedName name="BLPB445" localSheetId="0" hidden="1">#REF!</definedName>
    <definedName name="BLPB445" hidden="1">#REF!</definedName>
    <definedName name="BLPB446" localSheetId="0" hidden="1">#REF!</definedName>
    <definedName name="BLPB446" hidden="1">#REF!</definedName>
    <definedName name="BLPB447" localSheetId="0" hidden="1">#REF!</definedName>
    <definedName name="BLPB447" hidden="1">#REF!</definedName>
    <definedName name="BLPB448" localSheetId="0" hidden="1">#REF!</definedName>
    <definedName name="BLPB448" hidden="1">#REF!</definedName>
    <definedName name="BLPB449" localSheetId="0" hidden="1">#REF!</definedName>
    <definedName name="BLPB449" hidden="1">#REF!</definedName>
    <definedName name="BLPB45" localSheetId="0" hidden="1">#REF!</definedName>
    <definedName name="BLPB45" hidden="1">#REF!</definedName>
    <definedName name="BLPB450" localSheetId="0" hidden="1">#REF!</definedName>
    <definedName name="BLPB450" hidden="1">#REF!</definedName>
    <definedName name="BLPB451" localSheetId="0" hidden="1">#REF!</definedName>
    <definedName name="BLPB451" hidden="1">#REF!</definedName>
    <definedName name="BLPB452" localSheetId="0" hidden="1">#REF!</definedName>
    <definedName name="BLPB452" hidden="1">#REF!</definedName>
    <definedName name="BLPB453" localSheetId="0" hidden="1">#REF!</definedName>
    <definedName name="BLPB453" hidden="1">#REF!</definedName>
    <definedName name="BLPB454" localSheetId="0" hidden="1">#REF!</definedName>
    <definedName name="BLPB454" hidden="1">#REF!</definedName>
    <definedName name="BLPB455" localSheetId="0" hidden="1">#REF!</definedName>
    <definedName name="BLPB455" hidden="1">#REF!</definedName>
    <definedName name="BLPB456" localSheetId="0" hidden="1">#REF!</definedName>
    <definedName name="BLPB456" hidden="1">#REF!</definedName>
    <definedName name="BLPB457" localSheetId="0" hidden="1">#REF!</definedName>
    <definedName name="BLPB457" hidden="1">#REF!</definedName>
    <definedName name="BLPB458" localSheetId="0" hidden="1">#REF!</definedName>
    <definedName name="BLPB458" hidden="1">#REF!</definedName>
    <definedName name="BLPB459" localSheetId="0" hidden="1">#REF!</definedName>
    <definedName name="BLPB459" hidden="1">#REF!</definedName>
    <definedName name="BLPB46" localSheetId="0" hidden="1">#REF!</definedName>
    <definedName name="BLPB46" hidden="1">#REF!</definedName>
    <definedName name="BLPB460" localSheetId="0" hidden="1">#REF!</definedName>
    <definedName name="BLPB460" hidden="1">#REF!</definedName>
    <definedName name="BLPB461" localSheetId="0" hidden="1">#REF!</definedName>
    <definedName name="BLPB461" hidden="1">#REF!</definedName>
    <definedName name="BLPB462" localSheetId="0" hidden="1">#REF!</definedName>
    <definedName name="BLPB462" hidden="1">#REF!</definedName>
    <definedName name="BLPB463" localSheetId="0" hidden="1">#REF!</definedName>
    <definedName name="BLPB463" hidden="1">#REF!</definedName>
    <definedName name="BLPB464" localSheetId="0" hidden="1">#REF!</definedName>
    <definedName name="BLPB464" hidden="1">#REF!</definedName>
    <definedName name="BLPB465" localSheetId="0" hidden="1">#REF!</definedName>
    <definedName name="BLPB465" hidden="1">#REF!</definedName>
    <definedName name="BLPB466" localSheetId="0" hidden="1">#REF!</definedName>
    <definedName name="BLPB466" hidden="1">#REF!</definedName>
    <definedName name="BLPB467" localSheetId="0" hidden="1">#REF!</definedName>
    <definedName name="BLPB467" hidden="1">#REF!</definedName>
    <definedName name="BLPB468" localSheetId="0" hidden="1">#REF!</definedName>
    <definedName name="BLPB468" hidden="1">#REF!</definedName>
    <definedName name="BLPB469" localSheetId="0" hidden="1">#REF!</definedName>
    <definedName name="BLPB469" hidden="1">#REF!</definedName>
    <definedName name="BLPB47" localSheetId="0" hidden="1">#REF!</definedName>
    <definedName name="BLPB47" hidden="1">#REF!</definedName>
    <definedName name="BLPB470" localSheetId="0" hidden="1">#REF!</definedName>
    <definedName name="BLPB470" hidden="1">#REF!</definedName>
    <definedName name="BLPB471" localSheetId="0" hidden="1">#REF!</definedName>
    <definedName name="BLPB471" hidden="1">#REF!</definedName>
    <definedName name="BLPB472" localSheetId="0" hidden="1">#REF!</definedName>
    <definedName name="BLPB472" hidden="1">#REF!</definedName>
    <definedName name="BLPB473" localSheetId="0" hidden="1">#REF!</definedName>
    <definedName name="BLPB473" hidden="1">#REF!</definedName>
    <definedName name="BLPB474" localSheetId="0" hidden="1">#REF!</definedName>
    <definedName name="BLPB474" hidden="1">#REF!</definedName>
    <definedName name="BLPB475" localSheetId="0" hidden="1">#REF!</definedName>
    <definedName name="BLPB475" hidden="1">#REF!</definedName>
    <definedName name="BLPB476" localSheetId="0" hidden="1">#REF!</definedName>
    <definedName name="BLPB476" hidden="1">#REF!</definedName>
    <definedName name="BLPB477" localSheetId="0" hidden="1">#REF!</definedName>
    <definedName name="BLPB477" hidden="1">#REF!</definedName>
    <definedName name="BLPB478" localSheetId="0" hidden="1">#REF!</definedName>
    <definedName name="BLPB478" hidden="1">#REF!</definedName>
    <definedName name="BLPB479" localSheetId="0" hidden="1">#REF!</definedName>
    <definedName name="BLPB479" hidden="1">#REF!</definedName>
    <definedName name="BLPB48" localSheetId="0" hidden="1">#REF!</definedName>
    <definedName name="BLPB48" hidden="1">#REF!</definedName>
    <definedName name="BLPB480" localSheetId="0" hidden="1">#REF!</definedName>
    <definedName name="BLPB480" hidden="1">#REF!</definedName>
    <definedName name="BLPB481" localSheetId="0" hidden="1">#REF!</definedName>
    <definedName name="BLPB481" hidden="1">#REF!</definedName>
    <definedName name="BLPB482" localSheetId="0" hidden="1">#REF!</definedName>
    <definedName name="BLPB482" hidden="1">#REF!</definedName>
    <definedName name="BLPB483" localSheetId="0" hidden="1">#REF!</definedName>
    <definedName name="BLPB483" hidden="1">#REF!</definedName>
    <definedName name="BLPB484" localSheetId="0" hidden="1">#REF!</definedName>
    <definedName name="BLPB484" hidden="1">#REF!</definedName>
    <definedName name="BLPB485" localSheetId="0" hidden="1">#REF!</definedName>
    <definedName name="BLPB485" hidden="1">#REF!</definedName>
    <definedName name="BLPB486" localSheetId="0" hidden="1">#REF!</definedName>
    <definedName name="BLPB486" hidden="1">#REF!</definedName>
    <definedName name="BLPB487" localSheetId="0" hidden="1">#REF!</definedName>
    <definedName name="BLPB487" hidden="1">#REF!</definedName>
    <definedName name="BLPB488" localSheetId="0" hidden="1">#REF!</definedName>
    <definedName name="BLPB488" hidden="1">#REF!</definedName>
    <definedName name="BLPB489" localSheetId="0" hidden="1">#REF!</definedName>
    <definedName name="BLPB489" hidden="1">#REF!</definedName>
    <definedName name="BLPB49" localSheetId="0" hidden="1">#REF!</definedName>
    <definedName name="BLPB49" hidden="1">#REF!</definedName>
    <definedName name="BLPB490" localSheetId="0" hidden="1">#REF!</definedName>
    <definedName name="BLPB490" hidden="1">#REF!</definedName>
    <definedName name="BLPB491" localSheetId="0" hidden="1">#REF!</definedName>
    <definedName name="BLPB491" hidden="1">#REF!</definedName>
    <definedName name="BLPB492" localSheetId="0" hidden="1">#REF!</definedName>
    <definedName name="BLPB492" hidden="1">#REF!</definedName>
    <definedName name="BLPB493" localSheetId="0" hidden="1">#REF!</definedName>
    <definedName name="BLPB493" hidden="1">#REF!</definedName>
    <definedName name="BLPB494" localSheetId="0" hidden="1">#REF!</definedName>
    <definedName name="BLPB494" hidden="1">#REF!</definedName>
    <definedName name="BLPB495" localSheetId="0" hidden="1">#REF!</definedName>
    <definedName name="BLPB495" hidden="1">#REF!</definedName>
    <definedName name="BLPB496" localSheetId="0" hidden="1">#REF!</definedName>
    <definedName name="BLPB496" hidden="1">#REF!</definedName>
    <definedName name="BLPB497" localSheetId="0" hidden="1">#REF!</definedName>
    <definedName name="BLPB497" hidden="1">#REF!</definedName>
    <definedName name="BLPB498" localSheetId="0" hidden="1">#REF!</definedName>
    <definedName name="BLPB498" hidden="1">#REF!</definedName>
    <definedName name="BLPB499" localSheetId="0" hidden="1">#REF!</definedName>
    <definedName name="BLPB499" hidden="1">#REF!</definedName>
    <definedName name="BLPB5" localSheetId="0" hidden="1">#REF!</definedName>
    <definedName name="BLPB5" hidden="1">#REF!</definedName>
    <definedName name="BLPB50" localSheetId="0" hidden="1">#REF!</definedName>
    <definedName name="BLPB50" hidden="1">#REF!</definedName>
    <definedName name="BLPB500" localSheetId="0" hidden="1">#REF!</definedName>
    <definedName name="BLPB500" hidden="1">#REF!</definedName>
    <definedName name="BLPB501" localSheetId="0" hidden="1">#REF!</definedName>
    <definedName name="BLPB501" hidden="1">#REF!</definedName>
    <definedName name="BLPB502" localSheetId="0" hidden="1">#REF!</definedName>
    <definedName name="BLPB502" hidden="1">#REF!</definedName>
    <definedName name="BLPB503" localSheetId="0" hidden="1">#REF!</definedName>
    <definedName name="BLPB503" hidden="1">#REF!</definedName>
    <definedName name="BLPB504" localSheetId="0" hidden="1">#REF!</definedName>
    <definedName name="BLPB504" hidden="1">#REF!</definedName>
    <definedName name="BLPB505" localSheetId="0" hidden="1">#REF!</definedName>
    <definedName name="BLPB505" hidden="1">#REF!</definedName>
    <definedName name="BLPB506" localSheetId="0" hidden="1">#REF!</definedName>
    <definedName name="BLPB506" hidden="1">#REF!</definedName>
    <definedName name="BLPB507" localSheetId="0" hidden="1">#REF!</definedName>
    <definedName name="BLPB507" hidden="1">#REF!</definedName>
    <definedName name="BLPB508" localSheetId="0" hidden="1">#REF!</definedName>
    <definedName name="BLPB508" hidden="1">#REF!</definedName>
    <definedName name="BLPB509" localSheetId="0" hidden="1">#REF!</definedName>
    <definedName name="BLPB509" hidden="1">#REF!</definedName>
    <definedName name="BLPB51" localSheetId="0" hidden="1">#REF!</definedName>
    <definedName name="BLPB51" hidden="1">#REF!</definedName>
    <definedName name="BLPB510" localSheetId="0" hidden="1">#REF!</definedName>
    <definedName name="BLPB510" hidden="1">#REF!</definedName>
    <definedName name="BLPB511" localSheetId="0" hidden="1">#REF!</definedName>
    <definedName name="BLPB511" hidden="1">#REF!</definedName>
    <definedName name="BLPB512" localSheetId="0" hidden="1">#REF!</definedName>
    <definedName name="BLPB512" hidden="1">#REF!</definedName>
    <definedName name="BLPB513" localSheetId="0" hidden="1">#REF!</definedName>
    <definedName name="BLPB513" hidden="1">#REF!</definedName>
    <definedName name="BLPB514" localSheetId="0" hidden="1">#REF!</definedName>
    <definedName name="BLPB514" hidden="1">#REF!</definedName>
    <definedName name="BLPB515" localSheetId="0" hidden="1">#REF!</definedName>
    <definedName name="BLPB515" hidden="1">#REF!</definedName>
    <definedName name="BLPB516" localSheetId="0" hidden="1">#REF!</definedName>
    <definedName name="BLPB516" hidden="1">#REF!</definedName>
    <definedName name="BLPB517" localSheetId="0" hidden="1">#REF!</definedName>
    <definedName name="BLPB517" hidden="1">#REF!</definedName>
    <definedName name="BLPB518" localSheetId="0" hidden="1">#REF!</definedName>
    <definedName name="BLPB518" hidden="1">#REF!</definedName>
    <definedName name="BLPB519" localSheetId="0" hidden="1">#REF!</definedName>
    <definedName name="BLPB519" hidden="1">#REF!</definedName>
    <definedName name="BLPB52" localSheetId="0" hidden="1">#REF!</definedName>
    <definedName name="BLPB52" hidden="1">#REF!</definedName>
    <definedName name="BLPB520" localSheetId="0" hidden="1">#REF!</definedName>
    <definedName name="BLPB520" hidden="1">#REF!</definedName>
    <definedName name="BLPB521" localSheetId="0" hidden="1">#REF!</definedName>
    <definedName name="BLPB521" hidden="1">#REF!</definedName>
    <definedName name="BLPB522" localSheetId="0" hidden="1">#REF!</definedName>
    <definedName name="BLPB522" hidden="1">#REF!</definedName>
    <definedName name="BLPB523" localSheetId="0" hidden="1">#REF!</definedName>
    <definedName name="BLPB523" hidden="1">#REF!</definedName>
    <definedName name="BLPB524" localSheetId="0" hidden="1">#REF!</definedName>
    <definedName name="BLPB524" hidden="1">#REF!</definedName>
    <definedName name="BLPB525" localSheetId="0" hidden="1">#REF!</definedName>
    <definedName name="BLPB525" hidden="1">#REF!</definedName>
    <definedName name="BLPB526" localSheetId="0" hidden="1">#REF!</definedName>
    <definedName name="BLPB526" hidden="1">#REF!</definedName>
    <definedName name="BLPB527" localSheetId="0" hidden="1">#REF!</definedName>
    <definedName name="BLPB527" hidden="1">#REF!</definedName>
    <definedName name="BLPB528" localSheetId="0" hidden="1">#REF!</definedName>
    <definedName name="BLPB528" hidden="1">#REF!</definedName>
    <definedName name="BLPB529" localSheetId="0" hidden="1">#REF!</definedName>
    <definedName name="BLPB529" hidden="1">#REF!</definedName>
    <definedName name="BLPB53" localSheetId="0" hidden="1">#REF!</definedName>
    <definedName name="BLPB53" hidden="1">#REF!</definedName>
    <definedName name="BLPB530" localSheetId="0" hidden="1">#REF!</definedName>
    <definedName name="BLPB530" hidden="1">#REF!</definedName>
    <definedName name="BLPB531" localSheetId="0" hidden="1">#REF!</definedName>
    <definedName name="BLPB531" hidden="1">#REF!</definedName>
    <definedName name="BLPB532" localSheetId="0" hidden="1">#REF!</definedName>
    <definedName name="BLPB532" hidden="1">#REF!</definedName>
    <definedName name="BLPB533" localSheetId="0" hidden="1">#REF!</definedName>
    <definedName name="BLPB533" hidden="1">#REF!</definedName>
    <definedName name="BLPB534" localSheetId="0" hidden="1">#REF!</definedName>
    <definedName name="BLPB534" hidden="1">#REF!</definedName>
    <definedName name="BLPB535" localSheetId="0" hidden="1">#REF!</definedName>
    <definedName name="BLPB535" hidden="1">#REF!</definedName>
    <definedName name="BLPB536" localSheetId="0" hidden="1">#REF!</definedName>
    <definedName name="BLPB536" hidden="1">#REF!</definedName>
    <definedName name="BLPB537" localSheetId="0" hidden="1">#REF!</definedName>
    <definedName name="BLPB537" hidden="1">#REF!</definedName>
    <definedName name="BLPB538" localSheetId="0" hidden="1">#REF!</definedName>
    <definedName name="BLPB538" hidden="1">#REF!</definedName>
    <definedName name="BLPB539" localSheetId="0" hidden="1">#REF!</definedName>
    <definedName name="BLPB539" hidden="1">#REF!</definedName>
    <definedName name="BLPB54" localSheetId="0" hidden="1">#REF!</definedName>
    <definedName name="BLPB54" hidden="1">#REF!</definedName>
    <definedName name="BLPB540" localSheetId="0" hidden="1">#REF!</definedName>
    <definedName name="BLPB540" hidden="1">#REF!</definedName>
    <definedName name="BLPB541" localSheetId="0" hidden="1">#REF!</definedName>
    <definedName name="BLPB541" hidden="1">#REF!</definedName>
    <definedName name="BLPB542" localSheetId="0" hidden="1">#REF!</definedName>
    <definedName name="BLPB542" hidden="1">#REF!</definedName>
    <definedName name="BLPB543" localSheetId="0" hidden="1">#REF!</definedName>
    <definedName name="BLPB543" hidden="1">#REF!</definedName>
    <definedName name="BLPB544" localSheetId="0" hidden="1">#REF!</definedName>
    <definedName name="BLPB544" hidden="1">#REF!</definedName>
    <definedName name="BLPB545" localSheetId="0" hidden="1">#REF!</definedName>
    <definedName name="BLPB545" hidden="1">#REF!</definedName>
    <definedName name="BLPB546" localSheetId="0" hidden="1">#REF!</definedName>
    <definedName name="BLPB546" hidden="1">#REF!</definedName>
    <definedName name="BLPB547" localSheetId="0" hidden="1">#REF!</definedName>
    <definedName name="BLPB547" hidden="1">#REF!</definedName>
    <definedName name="BLPB548" localSheetId="0" hidden="1">#REF!</definedName>
    <definedName name="BLPB548" hidden="1">#REF!</definedName>
    <definedName name="BLPB549" localSheetId="0" hidden="1">#REF!</definedName>
    <definedName name="BLPB549" hidden="1">#REF!</definedName>
    <definedName name="BLPB55" localSheetId="0" hidden="1">#REF!</definedName>
    <definedName name="BLPB55" hidden="1">#REF!</definedName>
    <definedName name="BLPB550" localSheetId="0" hidden="1">#REF!</definedName>
    <definedName name="BLPB550" hidden="1">#REF!</definedName>
    <definedName name="BLPB551" localSheetId="0" hidden="1">#REF!</definedName>
    <definedName name="BLPB551" hidden="1">#REF!</definedName>
    <definedName name="BLPB552" localSheetId="0" hidden="1">#REF!</definedName>
    <definedName name="BLPB552" hidden="1">#REF!</definedName>
    <definedName name="BLPB553" localSheetId="0" hidden="1">#REF!</definedName>
    <definedName name="BLPB553" hidden="1">#REF!</definedName>
    <definedName name="BLPB554" localSheetId="0" hidden="1">#REF!</definedName>
    <definedName name="BLPB554" hidden="1">#REF!</definedName>
    <definedName name="BLPB555" localSheetId="0" hidden="1">#REF!</definedName>
    <definedName name="BLPB555" hidden="1">#REF!</definedName>
    <definedName name="BLPB556" localSheetId="0" hidden="1">#REF!</definedName>
    <definedName name="BLPB556" hidden="1">#REF!</definedName>
    <definedName name="BLPB557" localSheetId="0" hidden="1">#REF!</definedName>
    <definedName name="BLPB557" hidden="1">#REF!</definedName>
    <definedName name="BLPB558" localSheetId="0" hidden="1">#REF!</definedName>
    <definedName name="BLPB558" hidden="1">#REF!</definedName>
    <definedName name="BLPB559" localSheetId="0" hidden="1">#REF!</definedName>
    <definedName name="BLPB559" hidden="1">#REF!</definedName>
    <definedName name="BLPB56" localSheetId="0" hidden="1">#REF!</definedName>
    <definedName name="BLPB56" hidden="1">#REF!</definedName>
    <definedName name="BLPB560" localSheetId="0" hidden="1">#REF!</definedName>
    <definedName name="BLPB560" hidden="1">#REF!</definedName>
    <definedName name="BLPB561" localSheetId="0" hidden="1">#REF!</definedName>
    <definedName name="BLPB561" hidden="1">#REF!</definedName>
    <definedName name="BLPB562" localSheetId="0" hidden="1">#REF!</definedName>
    <definedName name="BLPB562" hidden="1">#REF!</definedName>
    <definedName name="BLPB563" localSheetId="0" hidden="1">#REF!</definedName>
    <definedName name="BLPB563" hidden="1">#REF!</definedName>
    <definedName name="BLPB564" localSheetId="0" hidden="1">#REF!</definedName>
    <definedName name="BLPB564" hidden="1">#REF!</definedName>
    <definedName name="BLPB565" localSheetId="0" hidden="1">#REF!</definedName>
    <definedName name="BLPB565" hidden="1">#REF!</definedName>
    <definedName name="BLPB566" localSheetId="0" hidden="1">#REF!</definedName>
    <definedName name="BLPB566" hidden="1">#REF!</definedName>
    <definedName name="BLPB567" localSheetId="0" hidden="1">#REF!</definedName>
    <definedName name="BLPB567" hidden="1">#REF!</definedName>
    <definedName name="BLPB568" localSheetId="0" hidden="1">#REF!</definedName>
    <definedName name="BLPB568" hidden="1">#REF!</definedName>
    <definedName name="BLPB569" localSheetId="0" hidden="1">#REF!</definedName>
    <definedName name="BLPB569" hidden="1">#REF!</definedName>
    <definedName name="BLPB57" localSheetId="0" hidden="1">#REF!</definedName>
    <definedName name="BLPB57" hidden="1">#REF!</definedName>
    <definedName name="BLPB570" localSheetId="0" hidden="1">#REF!</definedName>
    <definedName name="BLPB570" hidden="1">#REF!</definedName>
    <definedName name="BLPB571" localSheetId="0" hidden="1">#REF!</definedName>
    <definedName name="BLPB571" hidden="1">#REF!</definedName>
    <definedName name="BLPB572" localSheetId="0" hidden="1">#REF!</definedName>
    <definedName name="BLPB572" hidden="1">#REF!</definedName>
    <definedName name="BLPB573" localSheetId="0" hidden="1">#REF!</definedName>
    <definedName name="BLPB573" hidden="1">#REF!</definedName>
    <definedName name="BLPB574" localSheetId="0" hidden="1">#REF!</definedName>
    <definedName name="BLPB574" hidden="1">#REF!</definedName>
    <definedName name="BLPB575" localSheetId="0" hidden="1">#REF!</definedName>
    <definedName name="BLPB575" hidden="1">#REF!</definedName>
    <definedName name="BLPB576" localSheetId="0" hidden="1">#REF!</definedName>
    <definedName name="BLPB576" hidden="1">#REF!</definedName>
    <definedName name="BLPB577" localSheetId="0" hidden="1">#REF!</definedName>
    <definedName name="BLPB577" hidden="1">#REF!</definedName>
    <definedName name="BLPB578" localSheetId="0" hidden="1">#REF!</definedName>
    <definedName name="BLPB578" hidden="1">#REF!</definedName>
    <definedName name="BLPB579" localSheetId="0" hidden="1">#REF!</definedName>
    <definedName name="BLPB579" hidden="1">#REF!</definedName>
    <definedName name="BLPB58" localSheetId="0" hidden="1">#REF!</definedName>
    <definedName name="BLPB58" hidden="1">#REF!</definedName>
    <definedName name="BLPB580" localSheetId="0" hidden="1">#REF!</definedName>
    <definedName name="BLPB580" hidden="1">#REF!</definedName>
    <definedName name="BLPB581" localSheetId="0" hidden="1">#REF!</definedName>
    <definedName name="BLPB581" hidden="1">#REF!</definedName>
    <definedName name="BLPB582" localSheetId="0" hidden="1">#REF!</definedName>
    <definedName name="BLPB582" hidden="1">#REF!</definedName>
    <definedName name="BLPB583" localSheetId="0" hidden="1">#REF!</definedName>
    <definedName name="BLPB583" hidden="1">#REF!</definedName>
    <definedName name="BLPB584" localSheetId="0" hidden="1">#REF!</definedName>
    <definedName name="BLPB584" hidden="1">#REF!</definedName>
    <definedName name="BLPB585" localSheetId="0" hidden="1">#REF!</definedName>
    <definedName name="BLPB585" hidden="1">#REF!</definedName>
    <definedName name="BLPB586" localSheetId="0" hidden="1">#REF!</definedName>
    <definedName name="BLPB586" hidden="1">#REF!</definedName>
    <definedName name="BLPB587" localSheetId="0" hidden="1">#REF!</definedName>
    <definedName name="BLPB587" hidden="1">#REF!</definedName>
    <definedName name="BLPB588" localSheetId="0" hidden="1">#REF!</definedName>
    <definedName name="BLPB588" hidden="1">#REF!</definedName>
    <definedName name="BLPB589" localSheetId="0" hidden="1">#REF!</definedName>
    <definedName name="BLPB589" hidden="1">#REF!</definedName>
    <definedName name="BLPB59" localSheetId="0" hidden="1">#REF!</definedName>
    <definedName name="BLPB59" hidden="1">#REF!</definedName>
    <definedName name="BLPB590" localSheetId="0" hidden="1">#REF!</definedName>
    <definedName name="BLPB590" hidden="1">#REF!</definedName>
    <definedName name="BLPB591" localSheetId="0" hidden="1">#REF!</definedName>
    <definedName name="BLPB591" hidden="1">#REF!</definedName>
    <definedName name="BLPB592" localSheetId="0" hidden="1">#REF!</definedName>
    <definedName name="BLPB592" hidden="1">#REF!</definedName>
    <definedName name="BLPB593" localSheetId="0" hidden="1">#REF!</definedName>
    <definedName name="BLPB593" hidden="1">#REF!</definedName>
    <definedName name="BLPB594" localSheetId="0" hidden="1">#REF!</definedName>
    <definedName name="BLPB594" hidden="1">#REF!</definedName>
    <definedName name="BLPB595" localSheetId="0" hidden="1">#REF!</definedName>
    <definedName name="BLPB595" hidden="1">#REF!</definedName>
    <definedName name="BLPB596" localSheetId="0" hidden="1">#REF!</definedName>
    <definedName name="BLPB596" hidden="1">#REF!</definedName>
    <definedName name="BLPB597" localSheetId="0" hidden="1">#REF!</definedName>
    <definedName name="BLPB597" hidden="1">#REF!</definedName>
    <definedName name="BLPB598" localSheetId="0" hidden="1">#REF!</definedName>
    <definedName name="BLPB598" hidden="1">#REF!</definedName>
    <definedName name="BLPB599" localSheetId="0" hidden="1">#REF!</definedName>
    <definedName name="BLPB599" hidden="1">#REF!</definedName>
    <definedName name="BLPB6" localSheetId="0" hidden="1">#REF!</definedName>
    <definedName name="BLPB6" hidden="1">#REF!</definedName>
    <definedName name="BLPB60" localSheetId="0" hidden="1">#REF!</definedName>
    <definedName name="BLPB60" hidden="1">#REF!</definedName>
    <definedName name="BLPB600" localSheetId="0" hidden="1">#REF!</definedName>
    <definedName name="BLPB600" hidden="1">#REF!</definedName>
    <definedName name="BLPB601" localSheetId="0" hidden="1">#REF!</definedName>
    <definedName name="BLPB601" hidden="1">#REF!</definedName>
    <definedName name="BLPB602" localSheetId="0" hidden="1">#REF!</definedName>
    <definedName name="BLPB602" hidden="1">#REF!</definedName>
    <definedName name="BLPB603" localSheetId="0" hidden="1">#REF!</definedName>
    <definedName name="BLPB603" hidden="1">#REF!</definedName>
    <definedName name="BLPB604" localSheetId="0" hidden="1">#REF!</definedName>
    <definedName name="BLPB604" hidden="1">#REF!</definedName>
    <definedName name="BLPB605" localSheetId="0" hidden="1">#REF!</definedName>
    <definedName name="BLPB605" hidden="1">#REF!</definedName>
    <definedName name="BLPB606" localSheetId="0" hidden="1">#REF!</definedName>
    <definedName name="BLPB606" hidden="1">#REF!</definedName>
    <definedName name="BLPB607" localSheetId="0" hidden="1">#REF!</definedName>
    <definedName name="BLPB607" hidden="1">#REF!</definedName>
    <definedName name="BLPB608" localSheetId="0" hidden="1">#REF!</definedName>
    <definedName name="BLPB608" hidden="1">#REF!</definedName>
    <definedName name="BLPB609" localSheetId="0" hidden="1">#REF!</definedName>
    <definedName name="BLPB609" hidden="1">#REF!</definedName>
    <definedName name="BLPB61" localSheetId="0" hidden="1">#REF!</definedName>
    <definedName name="BLPB61" hidden="1">#REF!</definedName>
    <definedName name="BLPB610" localSheetId="0" hidden="1">#REF!</definedName>
    <definedName name="BLPB610" hidden="1">#REF!</definedName>
    <definedName name="BLPB611" localSheetId="0" hidden="1">#REF!</definedName>
    <definedName name="BLPB611" hidden="1">#REF!</definedName>
    <definedName name="BLPB612" localSheetId="0" hidden="1">#REF!</definedName>
    <definedName name="BLPB612" hidden="1">#REF!</definedName>
    <definedName name="BLPB613" localSheetId="0" hidden="1">#REF!</definedName>
    <definedName name="BLPB613" hidden="1">#REF!</definedName>
    <definedName name="BLPB614" localSheetId="0" hidden="1">#REF!</definedName>
    <definedName name="BLPB614" hidden="1">#REF!</definedName>
    <definedName name="BLPB615" localSheetId="0" hidden="1">#REF!</definedName>
    <definedName name="BLPB615" hidden="1">#REF!</definedName>
    <definedName name="BLPB616" localSheetId="0" hidden="1">#REF!</definedName>
    <definedName name="BLPB616" hidden="1">#REF!</definedName>
    <definedName name="BLPB617" localSheetId="0" hidden="1">#REF!</definedName>
    <definedName name="BLPB617" hidden="1">#REF!</definedName>
    <definedName name="BLPB618" localSheetId="0" hidden="1">#REF!</definedName>
    <definedName name="BLPB618" hidden="1">#REF!</definedName>
    <definedName name="BLPB619" localSheetId="0" hidden="1">#REF!</definedName>
    <definedName name="BLPB619" hidden="1">#REF!</definedName>
    <definedName name="BLPB62" localSheetId="0" hidden="1">#REF!</definedName>
    <definedName name="BLPB62" hidden="1">#REF!</definedName>
    <definedName name="BLPB620" localSheetId="0" hidden="1">#REF!</definedName>
    <definedName name="BLPB620" hidden="1">#REF!</definedName>
    <definedName name="BLPB621" localSheetId="0" hidden="1">#REF!</definedName>
    <definedName name="BLPB621" hidden="1">#REF!</definedName>
    <definedName name="BLPB622" localSheetId="0" hidden="1">#REF!</definedName>
    <definedName name="BLPB622" hidden="1">#REF!</definedName>
    <definedName name="BLPB623" localSheetId="0" hidden="1">#REF!</definedName>
    <definedName name="BLPB623" hidden="1">#REF!</definedName>
    <definedName name="BLPB624" localSheetId="0" hidden="1">#REF!</definedName>
    <definedName name="BLPB624" hidden="1">#REF!</definedName>
    <definedName name="BLPB625" localSheetId="0" hidden="1">#REF!</definedName>
    <definedName name="BLPB625" hidden="1">#REF!</definedName>
    <definedName name="BLPB626" localSheetId="0" hidden="1">#REF!</definedName>
    <definedName name="BLPB626" hidden="1">#REF!</definedName>
    <definedName name="BLPB627" localSheetId="0" hidden="1">#REF!</definedName>
    <definedName name="BLPB627" hidden="1">#REF!</definedName>
    <definedName name="BLPB628" localSheetId="0" hidden="1">#REF!</definedName>
    <definedName name="BLPB628" hidden="1">#REF!</definedName>
    <definedName name="BLPB629" localSheetId="0" hidden="1">#REF!</definedName>
    <definedName name="BLPB629" hidden="1">#REF!</definedName>
    <definedName name="BLPB63" localSheetId="0" hidden="1">#REF!</definedName>
    <definedName name="BLPB63" hidden="1">#REF!</definedName>
    <definedName name="BLPB630" localSheetId="0" hidden="1">#REF!</definedName>
    <definedName name="BLPB630" hidden="1">#REF!</definedName>
    <definedName name="BLPB631" localSheetId="0" hidden="1">#REF!</definedName>
    <definedName name="BLPB631" hidden="1">#REF!</definedName>
    <definedName name="BLPB632" localSheetId="0" hidden="1">#REF!</definedName>
    <definedName name="BLPB632" hidden="1">#REF!</definedName>
    <definedName name="BLPB633" localSheetId="0" hidden="1">#REF!</definedName>
    <definedName name="BLPB633" hidden="1">#REF!</definedName>
    <definedName name="BLPB634" localSheetId="0" hidden="1">#REF!</definedName>
    <definedName name="BLPB634" hidden="1">#REF!</definedName>
    <definedName name="BLPB635" localSheetId="0" hidden="1">#REF!</definedName>
    <definedName name="BLPB635" hidden="1">#REF!</definedName>
    <definedName name="BLPB636" localSheetId="0" hidden="1">#REF!</definedName>
    <definedName name="BLPB636" hidden="1">#REF!</definedName>
    <definedName name="BLPB637" localSheetId="0" hidden="1">#REF!</definedName>
    <definedName name="BLPB637" hidden="1">#REF!</definedName>
    <definedName name="BLPB638" localSheetId="0" hidden="1">#REF!</definedName>
    <definedName name="BLPB638" hidden="1">#REF!</definedName>
    <definedName name="BLPB639" localSheetId="0" hidden="1">#REF!</definedName>
    <definedName name="BLPB639" hidden="1">#REF!</definedName>
    <definedName name="BLPB64" localSheetId="0" hidden="1">#REF!</definedName>
    <definedName name="BLPB64" hidden="1">#REF!</definedName>
    <definedName name="BLPB640" localSheetId="0" hidden="1">#REF!</definedName>
    <definedName name="BLPB640" hidden="1">#REF!</definedName>
    <definedName name="BLPB641" localSheetId="0" hidden="1">#REF!</definedName>
    <definedName name="BLPB641" hidden="1">#REF!</definedName>
    <definedName name="BLPB642" localSheetId="0" hidden="1">#REF!</definedName>
    <definedName name="BLPB642" hidden="1">#REF!</definedName>
    <definedName name="BLPB643" localSheetId="0" hidden="1">#REF!</definedName>
    <definedName name="BLPB643" hidden="1">#REF!</definedName>
    <definedName name="BLPB644" localSheetId="0" hidden="1">#REF!</definedName>
    <definedName name="BLPB644" hidden="1">#REF!</definedName>
    <definedName name="BLPB645" localSheetId="0" hidden="1">#REF!</definedName>
    <definedName name="BLPB645" hidden="1">#REF!</definedName>
    <definedName name="BLPB646" localSheetId="0" hidden="1">#REF!</definedName>
    <definedName name="BLPB646" hidden="1">#REF!</definedName>
    <definedName name="BLPB647" localSheetId="0" hidden="1">#REF!</definedName>
    <definedName name="BLPB647" hidden="1">#REF!</definedName>
    <definedName name="BLPB648" localSheetId="0" hidden="1">#REF!</definedName>
    <definedName name="BLPB648" hidden="1">#REF!</definedName>
    <definedName name="BLPB649" localSheetId="0" hidden="1">#REF!</definedName>
    <definedName name="BLPB649" hidden="1">#REF!</definedName>
    <definedName name="BLPB65" localSheetId="0" hidden="1">#REF!</definedName>
    <definedName name="BLPB65" hidden="1">#REF!</definedName>
    <definedName name="BLPB650" localSheetId="0" hidden="1">#REF!</definedName>
    <definedName name="BLPB650" hidden="1">#REF!</definedName>
    <definedName name="BLPB651" localSheetId="0" hidden="1">#REF!</definedName>
    <definedName name="BLPB651" hidden="1">#REF!</definedName>
    <definedName name="BLPB652" localSheetId="0" hidden="1">#REF!</definedName>
    <definedName name="BLPB652" hidden="1">#REF!</definedName>
    <definedName name="BLPB653" localSheetId="0" hidden="1">#REF!</definedName>
    <definedName name="BLPB653" hidden="1">#REF!</definedName>
    <definedName name="BLPB654" localSheetId="0" hidden="1">#REF!</definedName>
    <definedName name="BLPB654" hidden="1">#REF!</definedName>
    <definedName name="BLPB655" localSheetId="0" hidden="1">#REF!</definedName>
    <definedName name="BLPB655" hidden="1">#REF!</definedName>
    <definedName name="BLPB656" localSheetId="0" hidden="1">#REF!</definedName>
    <definedName name="BLPB656" hidden="1">#REF!</definedName>
    <definedName name="BLPB657" localSheetId="0" hidden="1">#REF!</definedName>
    <definedName name="BLPB657" hidden="1">#REF!</definedName>
    <definedName name="BLPB658" localSheetId="0" hidden="1">#REF!</definedName>
    <definedName name="BLPB658" hidden="1">#REF!</definedName>
    <definedName name="BLPB659" localSheetId="0" hidden="1">#REF!</definedName>
    <definedName name="BLPB659" hidden="1">#REF!</definedName>
    <definedName name="BLPB66" localSheetId="0" hidden="1">#REF!</definedName>
    <definedName name="BLPB66" hidden="1">#REF!</definedName>
    <definedName name="BLPB660" localSheetId="0" hidden="1">#REF!</definedName>
    <definedName name="BLPB660" hidden="1">#REF!</definedName>
    <definedName name="BLPB661" localSheetId="0" hidden="1">#REF!</definedName>
    <definedName name="BLPB661" hidden="1">#REF!</definedName>
    <definedName name="BLPB662" localSheetId="0" hidden="1">#REF!</definedName>
    <definedName name="BLPB662" hidden="1">#REF!</definedName>
    <definedName name="BLPB663" localSheetId="0" hidden="1">#REF!</definedName>
    <definedName name="BLPB663" hidden="1">#REF!</definedName>
    <definedName name="BLPB664" localSheetId="0" hidden="1">#REF!</definedName>
    <definedName name="BLPB664" hidden="1">#REF!</definedName>
    <definedName name="BLPB665" localSheetId="0" hidden="1">#REF!</definedName>
    <definedName name="BLPB665" hidden="1">#REF!</definedName>
    <definedName name="BLPB666" localSheetId="0" hidden="1">#REF!</definedName>
    <definedName name="BLPB666" hidden="1">#REF!</definedName>
    <definedName name="BLPB667" localSheetId="0" hidden="1">#REF!</definedName>
    <definedName name="BLPB667" hidden="1">#REF!</definedName>
    <definedName name="BLPB668" localSheetId="0" hidden="1">#REF!</definedName>
    <definedName name="BLPB668" hidden="1">#REF!</definedName>
    <definedName name="BLPB669" localSheetId="0" hidden="1">#REF!</definedName>
    <definedName name="BLPB669" hidden="1">#REF!</definedName>
    <definedName name="BLPB67" localSheetId="0" hidden="1">#REF!</definedName>
    <definedName name="BLPB67" hidden="1">#REF!</definedName>
    <definedName name="BLPB670" localSheetId="0" hidden="1">#REF!</definedName>
    <definedName name="BLPB670" hidden="1">#REF!</definedName>
    <definedName name="BLPB671" localSheetId="0" hidden="1">#REF!</definedName>
    <definedName name="BLPB671" hidden="1">#REF!</definedName>
    <definedName name="BLPB672" localSheetId="0" hidden="1">#REF!</definedName>
    <definedName name="BLPB672" hidden="1">#REF!</definedName>
    <definedName name="BLPB673" localSheetId="0" hidden="1">#REF!</definedName>
    <definedName name="BLPB673" hidden="1">#REF!</definedName>
    <definedName name="BLPB674" localSheetId="0" hidden="1">#REF!</definedName>
    <definedName name="BLPB674" hidden="1">#REF!</definedName>
    <definedName name="BLPB675" localSheetId="0" hidden="1">#REF!</definedName>
    <definedName name="BLPB675" hidden="1">#REF!</definedName>
    <definedName name="BLPB676" localSheetId="0" hidden="1">#REF!</definedName>
    <definedName name="BLPB676" hidden="1">#REF!</definedName>
    <definedName name="BLPB677" localSheetId="0" hidden="1">#REF!</definedName>
    <definedName name="BLPB677" hidden="1">#REF!</definedName>
    <definedName name="BLPB678" localSheetId="0" hidden="1">#REF!</definedName>
    <definedName name="BLPB678" hidden="1">#REF!</definedName>
    <definedName name="BLPB679" localSheetId="0" hidden="1">#REF!</definedName>
    <definedName name="BLPB679" hidden="1">#REF!</definedName>
    <definedName name="BLPB68" localSheetId="0" hidden="1">#REF!</definedName>
    <definedName name="BLPB68" hidden="1">#REF!</definedName>
    <definedName name="BLPB680" localSheetId="0" hidden="1">#REF!</definedName>
    <definedName name="BLPB680" hidden="1">#REF!</definedName>
    <definedName name="BLPB681" localSheetId="0" hidden="1">#REF!</definedName>
    <definedName name="BLPB681" hidden="1">#REF!</definedName>
    <definedName name="BLPB682" localSheetId="0" hidden="1">#REF!</definedName>
    <definedName name="BLPB682" hidden="1">#REF!</definedName>
    <definedName name="BLPB683" localSheetId="0" hidden="1">#REF!</definedName>
    <definedName name="BLPB683" hidden="1">#REF!</definedName>
    <definedName name="BLPB684" localSheetId="0" hidden="1">#REF!</definedName>
    <definedName name="BLPB684" hidden="1">#REF!</definedName>
    <definedName name="BLPB685" localSheetId="0" hidden="1">#REF!</definedName>
    <definedName name="BLPB685" hidden="1">#REF!</definedName>
    <definedName name="BLPB686" localSheetId="0" hidden="1">#REF!</definedName>
    <definedName name="BLPB686" hidden="1">#REF!</definedName>
    <definedName name="BLPB687" localSheetId="0" hidden="1">#REF!</definedName>
    <definedName name="BLPB687" hidden="1">#REF!</definedName>
    <definedName name="BLPB688" localSheetId="0" hidden="1">#REF!</definedName>
    <definedName name="BLPB688" hidden="1">#REF!</definedName>
    <definedName name="BLPB689" localSheetId="0" hidden="1">#REF!</definedName>
    <definedName name="BLPB689" hidden="1">#REF!</definedName>
    <definedName name="BLPB69" localSheetId="0" hidden="1">#REF!</definedName>
    <definedName name="BLPB69" hidden="1">#REF!</definedName>
    <definedName name="BLPB690" localSheetId="0" hidden="1">#REF!</definedName>
    <definedName name="BLPB690" hidden="1">#REF!</definedName>
    <definedName name="BLPB691" localSheetId="0" hidden="1">#REF!</definedName>
    <definedName name="BLPB691" hidden="1">#REF!</definedName>
    <definedName name="BLPB692" localSheetId="0" hidden="1">#REF!</definedName>
    <definedName name="BLPB692" hidden="1">#REF!</definedName>
    <definedName name="BLPB693" localSheetId="0" hidden="1">#REF!</definedName>
    <definedName name="BLPB693" hidden="1">#REF!</definedName>
    <definedName name="BLPB694" localSheetId="0" hidden="1">#REF!</definedName>
    <definedName name="BLPB694" hidden="1">#REF!</definedName>
    <definedName name="BLPB695" localSheetId="0" hidden="1">#REF!</definedName>
    <definedName name="BLPB695" hidden="1">#REF!</definedName>
    <definedName name="BLPB696" localSheetId="0" hidden="1">#REF!</definedName>
    <definedName name="BLPB696" hidden="1">#REF!</definedName>
    <definedName name="BLPB697" localSheetId="0" hidden="1">#REF!</definedName>
    <definedName name="BLPB697" hidden="1">#REF!</definedName>
    <definedName name="BLPB698" localSheetId="0" hidden="1">#REF!</definedName>
    <definedName name="BLPB698" hidden="1">#REF!</definedName>
    <definedName name="BLPB699" localSheetId="0" hidden="1">#REF!</definedName>
    <definedName name="BLPB699" hidden="1">#REF!</definedName>
    <definedName name="BLPB7" localSheetId="0" hidden="1">#REF!</definedName>
    <definedName name="BLPB7" hidden="1">#REF!</definedName>
    <definedName name="BLPB70" localSheetId="0" hidden="1">#REF!</definedName>
    <definedName name="BLPB70" hidden="1">#REF!</definedName>
    <definedName name="BLPB700" localSheetId="0" hidden="1">#REF!</definedName>
    <definedName name="BLPB700" hidden="1">#REF!</definedName>
    <definedName name="BLPB701" localSheetId="0" hidden="1">#REF!</definedName>
    <definedName name="BLPB701" hidden="1">#REF!</definedName>
    <definedName name="BLPB702" localSheetId="0" hidden="1">#REF!</definedName>
    <definedName name="BLPB702" hidden="1">#REF!</definedName>
    <definedName name="BLPB703" localSheetId="0" hidden="1">#REF!</definedName>
    <definedName name="BLPB703" hidden="1">#REF!</definedName>
    <definedName name="BLPB704" localSheetId="0" hidden="1">#REF!</definedName>
    <definedName name="BLPB704" hidden="1">#REF!</definedName>
    <definedName name="BLPB705" localSheetId="0" hidden="1">#REF!</definedName>
    <definedName name="BLPB705" hidden="1">#REF!</definedName>
    <definedName name="BLPB706" localSheetId="0" hidden="1">#REF!</definedName>
    <definedName name="BLPB706" hidden="1">#REF!</definedName>
    <definedName name="BLPB707" localSheetId="0" hidden="1">#REF!</definedName>
    <definedName name="BLPB707" hidden="1">#REF!</definedName>
    <definedName name="BLPB708" localSheetId="0" hidden="1">#REF!</definedName>
    <definedName name="BLPB708" hidden="1">#REF!</definedName>
    <definedName name="BLPB709" localSheetId="0" hidden="1">#REF!</definedName>
    <definedName name="BLPB709" hidden="1">#REF!</definedName>
    <definedName name="BLPB71" localSheetId="0" hidden="1">#REF!</definedName>
    <definedName name="BLPB71" hidden="1">#REF!</definedName>
    <definedName name="BLPB710" localSheetId="0" hidden="1">#REF!</definedName>
    <definedName name="BLPB710" hidden="1">#REF!</definedName>
    <definedName name="BLPB711" localSheetId="0" hidden="1">#REF!</definedName>
    <definedName name="BLPB711" hidden="1">#REF!</definedName>
    <definedName name="BLPB712" localSheetId="0" hidden="1">#REF!</definedName>
    <definedName name="BLPB712" hidden="1">#REF!</definedName>
    <definedName name="BLPB713" localSheetId="0" hidden="1">#REF!</definedName>
    <definedName name="BLPB713" hidden="1">#REF!</definedName>
    <definedName name="BLPB714" localSheetId="0" hidden="1">#REF!</definedName>
    <definedName name="BLPB714" hidden="1">#REF!</definedName>
    <definedName name="BLPB715" localSheetId="0" hidden="1">#REF!</definedName>
    <definedName name="BLPB715" hidden="1">#REF!</definedName>
    <definedName name="BLPB716" localSheetId="0" hidden="1">#REF!</definedName>
    <definedName name="BLPB716" hidden="1">#REF!</definedName>
    <definedName name="BLPB717" localSheetId="0" hidden="1">#REF!</definedName>
    <definedName name="BLPB717" hidden="1">#REF!</definedName>
    <definedName name="BLPB718" localSheetId="0" hidden="1">#REF!</definedName>
    <definedName name="BLPB718" hidden="1">#REF!</definedName>
    <definedName name="BLPB719" localSheetId="0" hidden="1">#REF!</definedName>
    <definedName name="BLPB719" hidden="1">#REF!</definedName>
    <definedName name="BLPB72" localSheetId="0" hidden="1">#REF!</definedName>
    <definedName name="BLPB72" hidden="1">#REF!</definedName>
    <definedName name="BLPB720" localSheetId="0" hidden="1">#REF!</definedName>
    <definedName name="BLPB720" hidden="1">#REF!</definedName>
    <definedName name="BLPB721" localSheetId="0" hidden="1">#REF!</definedName>
    <definedName name="BLPB721" hidden="1">#REF!</definedName>
    <definedName name="BLPB722" localSheetId="0" hidden="1">#REF!</definedName>
    <definedName name="BLPB722" hidden="1">#REF!</definedName>
    <definedName name="BLPB723" localSheetId="0" hidden="1">#REF!</definedName>
    <definedName name="BLPB723" hidden="1">#REF!</definedName>
    <definedName name="BLPB724" localSheetId="0" hidden="1">#REF!</definedName>
    <definedName name="BLPB724" hidden="1">#REF!</definedName>
    <definedName name="BLPB725" localSheetId="0" hidden="1">#REF!</definedName>
    <definedName name="BLPB725" hidden="1">#REF!</definedName>
    <definedName name="BLPB726" localSheetId="0" hidden="1">#REF!</definedName>
    <definedName name="BLPB726" hidden="1">#REF!</definedName>
    <definedName name="BLPB727" localSheetId="0" hidden="1">#REF!</definedName>
    <definedName name="BLPB727" hidden="1">#REF!</definedName>
    <definedName name="BLPB728" localSheetId="0" hidden="1">#REF!</definedName>
    <definedName name="BLPB728" hidden="1">#REF!</definedName>
    <definedName name="BLPB729" localSheetId="0" hidden="1">#REF!</definedName>
    <definedName name="BLPB729" hidden="1">#REF!</definedName>
    <definedName name="BLPB73" localSheetId="0" hidden="1">#REF!</definedName>
    <definedName name="BLPB73" hidden="1">#REF!</definedName>
    <definedName name="BLPB730" localSheetId="0" hidden="1">#REF!</definedName>
    <definedName name="BLPB730" hidden="1">#REF!</definedName>
    <definedName name="BLPB731" localSheetId="0" hidden="1">#REF!</definedName>
    <definedName name="BLPB731" hidden="1">#REF!</definedName>
    <definedName name="BLPB732" localSheetId="0" hidden="1">#REF!</definedName>
    <definedName name="BLPB732" hidden="1">#REF!</definedName>
    <definedName name="BLPB733" localSheetId="0" hidden="1">#REF!</definedName>
    <definedName name="BLPB733" hidden="1">#REF!</definedName>
    <definedName name="BLPB734" localSheetId="0" hidden="1">#REF!</definedName>
    <definedName name="BLPB734" hidden="1">#REF!</definedName>
    <definedName name="BLPB735" localSheetId="0" hidden="1">#REF!</definedName>
    <definedName name="BLPB735" hidden="1">#REF!</definedName>
    <definedName name="BLPB736" localSheetId="0" hidden="1">#REF!</definedName>
    <definedName name="BLPB736" hidden="1">#REF!</definedName>
    <definedName name="BLPB737" localSheetId="0" hidden="1">#REF!</definedName>
    <definedName name="BLPB737" hidden="1">#REF!</definedName>
    <definedName name="BLPB738" localSheetId="0" hidden="1">#REF!</definedName>
    <definedName name="BLPB738" hidden="1">#REF!</definedName>
    <definedName name="BLPB739" localSheetId="0" hidden="1">#REF!</definedName>
    <definedName name="BLPB739" hidden="1">#REF!</definedName>
    <definedName name="BLPB74" localSheetId="0" hidden="1">#REF!</definedName>
    <definedName name="BLPB74" hidden="1">#REF!</definedName>
    <definedName name="BLPB740" localSheetId="0" hidden="1">#REF!</definedName>
    <definedName name="BLPB740" hidden="1">#REF!</definedName>
    <definedName name="BLPB741" localSheetId="0" hidden="1">#REF!</definedName>
    <definedName name="BLPB741" hidden="1">#REF!</definedName>
    <definedName name="BLPB742" localSheetId="0" hidden="1">#REF!</definedName>
    <definedName name="BLPB742" hidden="1">#REF!</definedName>
    <definedName name="BLPB743" localSheetId="0" hidden="1">#REF!</definedName>
    <definedName name="BLPB743" hidden="1">#REF!</definedName>
    <definedName name="BLPB744" localSheetId="0" hidden="1">#REF!</definedName>
    <definedName name="BLPB744" hidden="1">#REF!</definedName>
    <definedName name="BLPB745" localSheetId="0" hidden="1">#REF!</definedName>
    <definedName name="BLPB745" hidden="1">#REF!</definedName>
    <definedName name="BLPB746" localSheetId="0" hidden="1">#REF!</definedName>
    <definedName name="BLPB746" hidden="1">#REF!</definedName>
    <definedName name="BLPB747" localSheetId="0" hidden="1">#REF!</definedName>
    <definedName name="BLPB747" hidden="1">#REF!</definedName>
    <definedName name="BLPB748" localSheetId="0" hidden="1">#REF!</definedName>
    <definedName name="BLPB748" hidden="1">#REF!</definedName>
    <definedName name="BLPB749" localSheetId="0" hidden="1">#REF!</definedName>
    <definedName name="BLPB749" hidden="1">#REF!</definedName>
    <definedName name="BLPB75" localSheetId="0" hidden="1">#REF!</definedName>
    <definedName name="BLPB75" hidden="1">#REF!</definedName>
    <definedName name="BLPB750" localSheetId="0" hidden="1">#REF!</definedName>
    <definedName name="BLPB750" hidden="1">#REF!</definedName>
    <definedName name="BLPB751" localSheetId="0" hidden="1">#REF!</definedName>
    <definedName name="BLPB751" hidden="1">#REF!</definedName>
    <definedName name="BLPB752" localSheetId="0" hidden="1">#REF!</definedName>
    <definedName name="BLPB752" hidden="1">#REF!</definedName>
    <definedName name="BLPB753" localSheetId="0" hidden="1">#REF!</definedName>
    <definedName name="BLPB753" hidden="1">#REF!</definedName>
    <definedName name="BLPB754" localSheetId="0" hidden="1">#REF!</definedName>
    <definedName name="BLPB754" hidden="1">#REF!</definedName>
    <definedName name="BLPB755" localSheetId="0" hidden="1">#REF!</definedName>
    <definedName name="BLPB755" hidden="1">#REF!</definedName>
    <definedName name="BLPB756" localSheetId="0" hidden="1">#REF!</definedName>
    <definedName name="BLPB756" hidden="1">#REF!</definedName>
    <definedName name="BLPB757" localSheetId="0" hidden="1">#REF!</definedName>
    <definedName name="BLPB757" hidden="1">#REF!</definedName>
    <definedName name="BLPB758" localSheetId="0" hidden="1">#REF!</definedName>
    <definedName name="BLPB758" hidden="1">#REF!</definedName>
    <definedName name="BLPB759" localSheetId="0" hidden="1">#REF!</definedName>
    <definedName name="BLPB759" hidden="1">#REF!</definedName>
    <definedName name="BLPB76" localSheetId="0" hidden="1">#REF!</definedName>
    <definedName name="BLPB76" hidden="1">#REF!</definedName>
    <definedName name="BLPB760" localSheetId="0" hidden="1">#REF!</definedName>
    <definedName name="BLPB760" hidden="1">#REF!</definedName>
    <definedName name="BLPB761" localSheetId="0" hidden="1">#REF!</definedName>
    <definedName name="BLPB761" hidden="1">#REF!</definedName>
    <definedName name="BLPB762" localSheetId="0" hidden="1">#REF!</definedName>
    <definedName name="BLPB762" hidden="1">#REF!</definedName>
    <definedName name="BLPB763" localSheetId="0" hidden="1">#REF!</definedName>
    <definedName name="BLPB763" hidden="1">#REF!</definedName>
    <definedName name="BLPB764" localSheetId="0" hidden="1">#REF!</definedName>
    <definedName name="BLPB764" hidden="1">#REF!</definedName>
    <definedName name="BLPB765" localSheetId="0" hidden="1">#REF!</definedName>
    <definedName name="BLPB765" hidden="1">#REF!</definedName>
    <definedName name="BLPB766" localSheetId="0" hidden="1">#REF!</definedName>
    <definedName name="BLPB766" hidden="1">#REF!</definedName>
    <definedName name="BLPB767" localSheetId="0" hidden="1">#REF!</definedName>
    <definedName name="BLPB767" hidden="1">#REF!</definedName>
    <definedName name="BLPB768" localSheetId="0" hidden="1">#REF!</definedName>
    <definedName name="BLPB768" hidden="1">#REF!</definedName>
    <definedName name="BLPB769" localSheetId="0" hidden="1">#REF!</definedName>
    <definedName name="BLPB769" hidden="1">#REF!</definedName>
    <definedName name="BLPB77" localSheetId="0" hidden="1">#REF!</definedName>
    <definedName name="BLPB77" hidden="1">#REF!</definedName>
    <definedName name="BLPB770" localSheetId="0" hidden="1">#REF!</definedName>
    <definedName name="BLPB770" hidden="1">#REF!</definedName>
    <definedName name="BLPB771" localSheetId="0" hidden="1">#REF!</definedName>
    <definedName name="BLPB771" hidden="1">#REF!</definedName>
    <definedName name="BLPB772" localSheetId="0" hidden="1">#REF!</definedName>
    <definedName name="BLPB772" hidden="1">#REF!</definedName>
    <definedName name="BLPB773" localSheetId="0" hidden="1">#REF!</definedName>
    <definedName name="BLPB773" hidden="1">#REF!</definedName>
    <definedName name="BLPB774" localSheetId="0" hidden="1">#REF!</definedName>
    <definedName name="BLPB774" hidden="1">#REF!</definedName>
    <definedName name="BLPB775" localSheetId="0" hidden="1">#REF!</definedName>
    <definedName name="BLPB775" hidden="1">#REF!</definedName>
    <definedName name="BLPB776" localSheetId="0" hidden="1">#REF!</definedName>
    <definedName name="BLPB776" hidden="1">#REF!</definedName>
    <definedName name="BLPB777" localSheetId="0" hidden="1">#REF!</definedName>
    <definedName name="BLPB777" hidden="1">#REF!</definedName>
    <definedName name="BLPB778" localSheetId="0" hidden="1">#REF!</definedName>
    <definedName name="BLPB778" hidden="1">#REF!</definedName>
    <definedName name="BLPB779" localSheetId="0" hidden="1">#REF!</definedName>
    <definedName name="BLPB779" hidden="1">#REF!</definedName>
    <definedName name="BLPB78" localSheetId="0" hidden="1">#REF!</definedName>
    <definedName name="BLPB78" hidden="1">#REF!</definedName>
    <definedName name="BLPB780" localSheetId="0" hidden="1">#REF!</definedName>
    <definedName name="BLPB780" hidden="1">#REF!</definedName>
    <definedName name="BLPB781" localSheetId="0" hidden="1">#REF!</definedName>
    <definedName name="BLPB781" hidden="1">#REF!</definedName>
    <definedName name="BLPB782" localSheetId="0" hidden="1">#REF!</definedName>
    <definedName name="BLPB782" hidden="1">#REF!</definedName>
    <definedName name="BLPB783" localSheetId="0" hidden="1">#REF!</definedName>
    <definedName name="BLPB783" hidden="1">#REF!</definedName>
    <definedName name="BLPB784" localSheetId="0" hidden="1">#REF!</definedName>
    <definedName name="BLPB784" hidden="1">#REF!</definedName>
    <definedName name="BLPB785" localSheetId="0" hidden="1">#REF!</definedName>
    <definedName name="BLPB785" hidden="1">#REF!</definedName>
    <definedName name="BLPB786" localSheetId="0" hidden="1">#REF!</definedName>
    <definedName name="BLPB786" hidden="1">#REF!</definedName>
    <definedName name="BLPB787" localSheetId="0" hidden="1">#REF!</definedName>
    <definedName name="BLPB787" hidden="1">#REF!</definedName>
    <definedName name="BLPB788" localSheetId="0" hidden="1">#REF!</definedName>
    <definedName name="BLPB788" hidden="1">#REF!</definedName>
    <definedName name="BLPB789" localSheetId="0" hidden="1">#REF!</definedName>
    <definedName name="BLPB789" hidden="1">#REF!</definedName>
    <definedName name="BLPB79" localSheetId="0" hidden="1">#REF!</definedName>
    <definedName name="BLPB79" hidden="1">#REF!</definedName>
    <definedName name="BLPB790" localSheetId="0" hidden="1">#REF!</definedName>
    <definedName name="BLPB790" hidden="1">#REF!</definedName>
    <definedName name="BLPB791" localSheetId="0" hidden="1">#REF!</definedName>
    <definedName name="BLPB791" hidden="1">#REF!</definedName>
    <definedName name="BLPB792" localSheetId="0" hidden="1">#REF!</definedName>
    <definedName name="BLPB792" hidden="1">#REF!</definedName>
    <definedName name="BLPB793" localSheetId="0" hidden="1">#REF!</definedName>
    <definedName name="BLPB793" hidden="1">#REF!</definedName>
    <definedName name="BLPB794" localSheetId="0" hidden="1">#REF!</definedName>
    <definedName name="BLPB794" hidden="1">#REF!</definedName>
    <definedName name="BLPB795" localSheetId="0" hidden="1">#REF!</definedName>
    <definedName name="BLPB795" hidden="1">#REF!</definedName>
    <definedName name="BLPB796" localSheetId="0" hidden="1">#REF!</definedName>
    <definedName name="BLPB796" hidden="1">#REF!</definedName>
    <definedName name="BLPB797" localSheetId="0" hidden="1">#REF!</definedName>
    <definedName name="BLPB797" hidden="1">#REF!</definedName>
    <definedName name="BLPB798" localSheetId="0" hidden="1">#REF!</definedName>
    <definedName name="BLPB798" hidden="1">#REF!</definedName>
    <definedName name="BLPB799" localSheetId="0" hidden="1">#REF!</definedName>
    <definedName name="BLPB799" hidden="1">#REF!</definedName>
    <definedName name="BLPB8" localSheetId="0" hidden="1">#REF!</definedName>
    <definedName name="BLPB8" hidden="1">#REF!</definedName>
    <definedName name="BLPB80" localSheetId="0" hidden="1">#REF!</definedName>
    <definedName name="BLPB80" hidden="1">#REF!</definedName>
    <definedName name="BLPB800" localSheetId="0" hidden="1">#REF!</definedName>
    <definedName name="BLPB800" hidden="1">#REF!</definedName>
    <definedName name="BLPB801" localSheetId="0" hidden="1">#REF!</definedName>
    <definedName name="BLPB801" hidden="1">#REF!</definedName>
    <definedName name="BLPB802" localSheetId="0" hidden="1">#REF!</definedName>
    <definedName name="BLPB802" hidden="1">#REF!</definedName>
    <definedName name="BLPB803" localSheetId="0" hidden="1">#REF!</definedName>
    <definedName name="BLPB803" hidden="1">#REF!</definedName>
    <definedName name="BLPB804" localSheetId="0" hidden="1">#REF!</definedName>
    <definedName name="BLPB804" hidden="1">#REF!</definedName>
    <definedName name="BLPB805" localSheetId="0" hidden="1">#REF!</definedName>
    <definedName name="BLPB805" hidden="1">#REF!</definedName>
    <definedName name="BLPB806" localSheetId="0" hidden="1">#REF!</definedName>
    <definedName name="BLPB806" hidden="1">#REF!</definedName>
    <definedName name="BLPB807" localSheetId="0" hidden="1">#REF!</definedName>
    <definedName name="BLPB807" hidden="1">#REF!</definedName>
    <definedName name="BLPB808" localSheetId="0" hidden="1">#REF!</definedName>
    <definedName name="BLPB808" hidden="1">#REF!</definedName>
    <definedName name="BLPB809" localSheetId="0" hidden="1">#REF!</definedName>
    <definedName name="BLPB809" hidden="1">#REF!</definedName>
    <definedName name="BLPB81" localSheetId="0" hidden="1">#REF!</definedName>
    <definedName name="BLPB81" hidden="1">#REF!</definedName>
    <definedName name="BLPB810" localSheetId="0" hidden="1">#REF!</definedName>
    <definedName name="BLPB810" hidden="1">#REF!</definedName>
    <definedName name="BLPB811" localSheetId="0" hidden="1">#REF!</definedName>
    <definedName name="BLPB811" hidden="1">#REF!</definedName>
    <definedName name="BLPB812" localSheetId="0" hidden="1">#REF!</definedName>
    <definedName name="BLPB812" hidden="1">#REF!</definedName>
    <definedName name="BLPB813" localSheetId="0" hidden="1">#REF!</definedName>
    <definedName name="BLPB813" hidden="1">#REF!</definedName>
    <definedName name="BLPB814" localSheetId="0" hidden="1">#REF!</definedName>
    <definedName name="BLPB814" hidden="1">#REF!</definedName>
    <definedName name="BLPB815" localSheetId="0" hidden="1">#REF!</definedName>
    <definedName name="BLPB815" hidden="1">#REF!</definedName>
    <definedName name="BLPB816" localSheetId="0" hidden="1">#REF!</definedName>
    <definedName name="BLPB816" hidden="1">#REF!</definedName>
    <definedName name="BLPB817" localSheetId="0" hidden="1">#REF!</definedName>
    <definedName name="BLPB817" hidden="1">#REF!</definedName>
    <definedName name="BLPB818" localSheetId="0" hidden="1">#REF!</definedName>
    <definedName name="BLPB818" hidden="1">#REF!</definedName>
    <definedName name="BLPB819" localSheetId="0" hidden="1">#REF!</definedName>
    <definedName name="BLPB819" hidden="1">#REF!</definedName>
    <definedName name="BLPB82" localSheetId="0" hidden="1">#REF!</definedName>
    <definedName name="BLPB82" hidden="1">#REF!</definedName>
    <definedName name="BLPB820" localSheetId="0" hidden="1">#REF!</definedName>
    <definedName name="BLPB820" hidden="1">#REF!</definedName>
    <definedName name="BLPB821" localSheetId="0" hidden="1">#REF!</definedName>
    <definedName name="BLPB821" hidden="1">#REF!</definedName>
    <definedName name="BLPB822" localSheetId="0" hidden="1">#REF!</definedName>
    <definedName name="BLPB822" hidden="1">#REF!</definedName>
    <definedName name="BLPB823" localSheetId="0" hidden="1">#REF!</definedName>
    <definedName name="BLPB823" hidden="1">#REF!</definedName>
    <definedName name="BLPB824" localSheetId="0" hidden="1">#REF!</definedName>
    <definedName name="BLPB824" hidden="1">#REF!</definedName>
    <definedName name="BLPB825" localSheetId="0" hidden="1">#REF!</definedName>
    <definedName name="BLPB825" hidden="1">#REF!</definedName>
    <definedName name="BLPB826" localSheetId="0" hidden="1">#REF!</definedName>
    <definedName name="BLPB826" hidden="1">#REF!</definedName>
    <definedName name="BLPB827" localSheetId="0" hidden="1">#REF!</definedName>
    <definedName name="BLPB827" hidden="1">#REF!</definedName>
    <definedName name="BLPB828" localSheetId="0" hidden="1">#REF!</definedName>
    <definedName name="BLPB828" hidden="1">#REF!</definedName>
    <definedName name="BLPB829" localSheetId="0" hidden="1">#REF!</definedName>
    <definedName name="BLPB829" hidden="1">#REF!</definedName>
    <definedName name="BLPB83" localSheetId="0" hidden="1">#REF!</definedName>
    <definedName name="BLPB83" hidden="1">#REF!</definedName>
    <definedName name="BLPB830" localSheetId="0" hidden="1">#REF!</definedName>
    <definedName name="BLPB830" hidden="1">#REF!</definedName>
    <definedName name="BLPB831" localSheetId="0" hidden="1">#REF!</definedName>
    <definedName name="BLPB831" hidden="1">#REF!</definedName>
    <definedName name="BLPB832" localSheetId="0" hidden="1">#REF!</definedName>
    <definedName name="BLPB832" hidden="1">#REF!</definedName>
    <definedName name="BLPB833" localSheetId="0" hidden="1">#REF!</definedName>
    <definedName name="BLPB833" hidden="1">#REF!</definedName>
    <definedName name="BLPB834" localSheetId="0" hidden="1">#REF!</definedName>
    <definedName name="BLPB834" hidden="1">#REF!</definedName>
    <definedName name="BLPB835" localSheetId="0" hidden="1">#REF!</definedName>
    <definedName name="BLPB835" hidden="1">#REF!</definedName>
    <definedName name="BLPB836" localSheetId="0" hidden="1">#REF!</definedName>
    <definedName name="BLPB836" hidden="1">#REF!</definedName>
    <definedName name="BLPB837" localSheetId="0" hidden="1">#REF!</definedName>
    <definedName name="BLPB837" hidden="1">#REF!</definedName>
    <definedName name="BLPB838" localSheetId="0" hidden="1">#REF!</definedName>
    <definedName name="BLPB838" hidden="1">#REF!</definedName>
    <definedName name="BLPB839" localSheetId="0" hidden="1">#REF!</definedName>
    <definedName name="BLPB839" hidden="1">#REF!</definedName>
    <definedName name="BLPB84" localSheetId="0" hidden="1">#REF!</definedName>
    <definedName name="BLPB84" hidden="1">#REF!</definedName>
    <definedName name="BLPB840" localSheetId="0" hidden="1">#REF!</definedName>
    <definedName name="BLPB840" hidden="1">#REF!</definedName>
    <definedName name="BLPB841" localSheetId="0" hidden="1">#REF!</definedName>
    <definedName name="BLPB841" hidden="1">#REF!</definedName>
    <definedName name="BLPB842" localSheetId="0" hidden="1">#REF!</definedName>
    <definedName name="BLPB842" hidden="1">#REF!</definedName>
    <definedName name="BLPB843" localSheetId="0" hidden="1">#REF!</definedName>
    <definedName name="BLPB843" hidden="1">#REF!</definedName>
    <definedName name="BLPB844" localSheetId="0" hidden="1">#REF!</definedName>
    <definedName name="BLPB844" hidden="1">#REF!</definedName>
    <definedName name="BLPB845" localSheetId="0" hidden="1">#REF!</definedName>
    <definedName name="BLPB845" hidden="1">#REF!</definedName>
    <definedName name="BLPB846" localSheetId="0" hidden="1">#REF!</definedName>
    <definedName name="BLPB846" hidden="1">#REF!</definedName>
    <definedName name="BLPB847" localSheetId="0" hidden="1">#REF!</definedName>
    <definedName name="BLPB847" hidden="1">#REF!</definedName>
    <definedName name="BLPB848" localSheetId="0" hidden="1">#REF!</definedName>
    <definedName name="BLPB848" hidden="1">#REF!</definedName>
    <definedName name="BLPB849" localSheetId="0" hidden="1">#REF!</definedName>
    <definedName name="BLPB849" hidden="1">#REF!</definedName>
    <definedName name="BLPB85" localSheetId="0" hidden="1">#REF!</definedName>
    <definedName name="BLPB85" hidden="1">#REF!</definedName>
    <definedName name="BLPB850" localSheetId="0" hidden="1">#REF!</definedName>
    <definedName name="BLPB850" hidden="1">#REF!</definedName>
    <definedName name="BLPB851" localSheetId="0" hidden="1">#REF!</definedName>
    <definedName name="BLPB851" hidden="1">#REF!</definedName>
    <definedName name="BLPB852" localSheetId="0" hidden="1">#REF!</definedName>
    <definedName name="BLPB852" hidden="1">#REF!</definedName>
    <definedName name="BLPB853" localSheetId="0" hidden="1">#REF!</definedName>
    <definedName name="BLPB853" hidden="1">#REF!</definedName>
    <definedName name="BLPB854" localSheetId="0" hidden="1">#REF!</definedName>
    <definedName name="BLPB854" hidden="1">#REF!</definedName>
    <definedName name="BLPB855" localSheetId="0" hidden="1">#REF!</definedName>
    <definedName name="BLPB855" hidden="1">#REF!</definedName>
    <definedName name="BLPB856" localSheetId="0" hidden="1">#REF!</definedName>
    <definedName name="BLPB856" hidden="1">#REF!</definedName>
    <definedName name="BLPB857" localSheetId="0" hidden="1">#REF!</definedName>
    <definedName name="BLPB857" hidden="1">#REF!</definedName>
    <definedName name="BLPB858" localSheetId="0" hidden="1">#REF!</definedName>
    <definedName name="BLPB858" hidden="1">#REF!</definedName>
    <definedName name="BLPB859" localSheetId="0" hidden="1">#REF!</definedName>
    <definedName name="BLPB859" hidden="1">#REF!</definedName>
    <definedName name="BLPB86" localSheetId="0" hidden="1">#REF!</definedName>
    <definedName name="BLPB86" hidden="1">#REF!</definedName>
    <definedName name="BLPB860" localSheetId="0" hidden="1">#REF!</definedName>
    <definedName name="BLPB860" hidden="1">#REF!</definedName>
    <definedName name="BLPB861" localSheetId="0" hidden="1">#REF!</definedName>
    <definedName name="BLPB861" hidden="1">#REF!</definedName>
    <definedName name="BLPB862" localSheetId="0" hidden="1">#REF!</definedName>
    <definedName name="BLPB862" hidden="1">#REF!</definedName>
    <definedName name="BLPB863" localSheetId="0" hidden="1">#REF!</definedName>
    <definedName name="BLPB863" hidden="1">#REF!</definedName>
    <definedName name="BLPB864" localSheetId="0" hidden="1">#REF!</definedName>
    <definedName name="BLPB864" hidden="1">#REF!</definedName>
    <definedName name="BLPB865" localSheetId="0" hidden="1">#REF!</definedName>
    <definedName name="BLPB865" hidden="1">#REF!</definedName>
    <definedName name="BLPB866" localSheetId="0" hidden="1">#REF!</definedName>
    <definedName name="BLPB866" hidden="1">#REF!</definedName>
    <definedName name="BLPB867" localSheetId="0" hidden="1">#REF!</definedName>
    <definedName name="BLPB867" hidden="1">#REF!</definedName>
    <definedName name="BLPB868" localSheetId="0" hidden="1">#REF!</definedName>
    <definedName name="BLPB868" hidden="1">#REF!</definedName>
    <definedName name="BLPB869" localSheetId="0" hidden="1">#REF!</definedName>
    <definedName name="BLPB869" hidden="1">#REF!</definedName>
    <definedName name="BLPB87" localSheetId="0" hidden="1">#REF!</definedName>
    <definedName name="BLPB87" hidden="1">#REF!</definedName>
    <definedName name="BLPB870" localSheetId="0" hidden="1">#REF!</definedName>
    <definedName name="BLPB870" hidden="1">#REF!</definedName>
    <definedName name="BLPB871" localSheetId="0" hidden="1">#REF!</definedName>
    <definedName name="BLPB871" hidden="1">#REF!</definedName>
    <definedName name="BLPB872" localSheetId="0" hidden="1">#REF!</definedName>
    <definedName name="BLPB872" hidden="1">#REF!</definedName>
    <definedName name="BLPB873" localSheetId="0" hidden="1">#REF!</definedName>
    <definedName name="BLPB873" hidden="1">#REF!</definedName>
    <definedName name="BLPB874" localSheetId="0" hidden="1">#REF!</definedName>
    <definedName name="BLPB874" hidden="1">#REF!</definedName>
    <definedName name="BLPB875" localSheetId="0" hidden="1">#REF!</definedName>
    <definedName name="BLPB875" hidden="1">#REF!</definedName>
    <definedName name="BLPB876" localSheetId="0" hidden="1">#REF!</definedName>
    <definedName name="BLPB876" hidden="1">#REF!</definedName>
    <definedName name="BLPB877" localSheetId="0" hidden="1">#REF!</definedName>
    <definedName name="BLPB877" hidden="1">#REF!</definedName>
    <definedName name="BLPB878" localSheetId="0" hidden="1">#REF!</definedName>
    <definedName name="BLPB878" hidden="1">#REF!</definedName>
    <definedName name="BLPB879" localSheetId="0" hidden="1">#REF!</definedName>
    <definedName name="BLPB879" hidden="1">#REF!</definedName>
    <definedName name="BLPB88" localSheetId="0" hidden="1">#REF!</definedName>
    <definedName name="BLPB88" hidden="1">#REF!</definedName>
    <definedName name="BLPB880" localSheetId="0" hidden="1">#REF!</definedName>
    <definedName name="BLPB880" hidden="1">#REF!</definedName>
    <definedName name="BLPB881" localSheetId="0" hidden="1">#REF!</definedName>
    <definedName name="BLPB881" hidden="1">#REF!</definedName>
    <definedName name="BLPB882" localSheetId="0" hidden="1">#REF!</definedName>
    <definedName name="BLPB882" hidden="1">#REF!</definedName>
    <definedName name="BLPB883" localSheetId="0" hidden="1">#REF!</definedName>
    <definedName name="BLPB883" hidden="1">#REF!</definedName>
    <definedName name="BLPB884" localSheetId="0" hidden="1">#REF!</definedName>
    <definedName name="BLPB884" hidden="1">#REF!</definedName>
    <definedName name="BLPB885" localSheetId="0" hidden="1">#REF!</definedName>
    <definedName name="BLPB885" hidden="1">#REF!</definedName>
    <definedName name="BLPB886" localSheetId="0" hidden="1">#REF!</definedName>
    <definedName name="BLPB886" hidden="1">#REF!</definedName>
    <definedName name="BLPB887" localSheetId="0" hidden="1">#REF!</definedName>
    <definedName name="BLPB887" hidden="1">#REF!</definedName>
    <definedName name="BLPB888" localSheetId="0" hidden="1">#REF!</definedName>
    <definedName name="BLPB888" hidden="1">#REF!</definedName>
    <definedName name="BLPB889" localSheetId="0" hidden="1">#REF!</definedName>
    <definedName name="BLPB889" hidden="1">#REF!</definedName>
    <definedName name="BLPB89" localSheetId="0" hidden="1">#REF!</definedName>
    <definedName name="BLPB89" hidden="1">#REF!</definedName>
    <definedName name="BLPB890" localSheetId="0" hidden="1">#REF!</definedName>
    <definedName name="BLPB890" hidden="1">#REF!</definedName>
    <definedName name="BLPB891" localSheetId="0" hidden="1">#REF!</definedName>
    <definedName name="BLPB891" hidden="1">#REF!</definedName>
    <definedName name="BLPB892" localSheetId="0" hidden="1">#REF!</definedName>
    <definedName name="BLPB892" hidden="1">#REF!</definedName>
    <definedName name="BLPB893" localSheetId="0" hidden="1">#REF!</definedName>
    <definedName name="BLPB893" hidden="1">#REF!</definedName>
    <definedName name="BLPB894" localSheetId="0" hidden="1">#REF!</definedName>
    <definedName name="BLPB894" hidden="1">#REF!</definedName>
    <definedName name="BLPB895" localSheetId="0" hidden="1">#REF!</definedName>
    <definedName name="BLPB895" hidden="1">#REF!</definedName>
    <definedName name="BLPB896" localSheetId="0" hidden="1">#REF!</definedName>
    <definedName name="BLPB896" hidden="1">#REF!</definedName>
    <definedName name="BLPB897" localSheetId="0" hidden="1">#REF!</definedName>
    <definedName name="BLPB897" hidden="1">#REF!</definedName>
    <definedName name="BLPB898" localSheetId="0" hidden="1">#REF!</definedName>
    <definedName name="BLPB898" hidden="1">#REF!</definedName>
    <definedName name="BLPB899" localSheetId="0" hidden="1">#REF!</definedName>
    <definedName name="BLPB899" hidden="1">#REF!</definedName>
    <definedName name="BLPB9" localSheetId="0" hidden="1">#REF!</definedName>
    <definedName name="BLPB9" hidden="1">#REF!</definedName>
    <definedName name="BLPB90" localSheetId="0" hidden="1">#REF!</definedName>
    <definedName name="BLPB90" hidden="1">#REF!</definedName>
    <definedName name="BLPB900" localSheetId="0" hidden="1">#REF!</definedName>
    <definedName name="BLPB900" hidden="1">#REF!</definedName>
    <definedName name="BLPB901" localSheetId="0" hidden="1">#REF!</definedName>
    <definedName name="BLPB901" hidden="1">#REF!</definedName>
    <definedName name="BLPB91" localSheetId="0" hidden="1">#REF!</definedName>
    <definedName name="BLPB91" hidden="1">#REF!</definedName>
    <definedName name="BLPB92" localSheetId="0" hidden="1">#REF!</definedName>
    <definedName name="BLPB92" hidden="1">#REF!</definedName>
    <definedName name="BLPB93" localSheetId="0" hidden="1">#REF!</definedName>
    <definedName name="BLPB93" hidden="1">#REF!</definedName>
    <definedName name="BLPB94" localSheetId="0" hidden="1">#REF!</definedName>
    <definedName name="BLPB94" hidden="1">#REF!</definedName>
    <definedName name="BLPB95" localSheetId="0" hidden="1">#REF!</definedName>
    <definedName name="BLPB95" hidden="1">#REF!</definedName>
    <definedName name="BLPB96" localSheetId="0" hidden="1">#REF!</definedName>
    <definedName name="BLPB96" hidden="1">#REF!</definedName>
    <definedName name="BLPB97" localSheetId="0" hidden="1">#REF!</definedName>
    <definedName name="BLPB97" hidden="1">#REF!</definedName>
    <definedName name="BLPB98" localSheetId="0" hidden="1">#REF!</definedName>
    <definedName name="BLPB98" hidden="1">#REF!</definedName>
    <definedName name="BLPB99" localSheetId="0" hidden="1">#REF!</definedName>
    <definedName name="BLPB99" hidden="1">#REF!</definedName>
    <definedName name="BLPH1" localSheetId="0" hidden="1">#REF!</definedName>
    <definedName name="BLPH1" hidden="1">#REF!</definedName>
    <definedName name="BLPH10" localSheetId="0" hidden="1">#N/A</definedName>
    <definedName name="BLPH10" hidden="1">#REF!</definedName>
    <definedName name="BLPH100" localSheetId="0" hidden="1">#REF!</definedName>
    <definedName name="BLPH100" hidden="1">#REF!</definedName>
    <definedName name="BLPH101" localSheetId="0" hidden="1">#REF!</definedName>
    <definedName name="BLPH101" hidden="1">#REF!</definedName>
    <definedName name="BLPH102" localSheetId="0" hidden="1">#REF!</definedName>
    <definedName name="BLPH102" hidden="1">#REF!</definedName>
    <definedName name="BLPH103" localSheetId="0" hidden="1">#REF!</definedName>
    <definedName name="BLPH103" hidden="1">#REF!</definedName>
    <definedName name="BLPH104" localSheetId="0" hidden="1">#REF!</definedName>
    <definedName name="BLPH104" hidden="1">#REF!</definedName>
    <definedName name="BLPH105" localSheetId="0" hidden="1">#REF!</definedName>
    <definedName name="BLPH105" hidden="1">#REF!</definedName>
    <definedName name="BLPH106" localSheetId="0" hidden="1">#REF!</definedName>
    <definedName name="BLPH106" hidden="1">#REF!</definedName>
    <definedName name="BLPH107" localSheetId="0" hidden="1">#REF!</definedName>
    <definedName name="BLPH107" hidden="1">#REF!</definedName>
    <definedName name="BLPH108" localSheetId="0" hidden="1">#REF!</definedName>
    <definedName name="BLPH108" hidden="1">#REF!</definedName>
    <definedName name="BLPH109" localSheetId="0" hidden="1">#REF!</definedName>
    <definedName name="BLPH109" hidden="1">#REF!</definedName>
    <definedName name="BLPH11" localSheetId="0" hidden="1">#N/A</definedName>
    <definedName name="BLPH11" hidden="1">#REF!</definedName>
    <definedName name="BLPH110" localSheetId="0" hidden="1">#REF!</definedName>
    <definedName name="BLPH110" hidden="1">#REF!</definedName>
    <definedName name="BLPH111" localSheetId="0" hidden="1">#REF!</definedName>
    <definedName name="BLPH111" hidden="1">#REF!</definedName>
    <definedName name="BLPH112" localSheetId="0" hidden="1">#REF!</definedName>
    <definedName name="BLPH112" hidden="1">#REF!</definedName>
    <definedName name="BLPH113" localSheetId="0" hidden="1">#REF!</definedName>
    <definedName name="BLPH113" hidden="1">#REF!</definedName>
    <definedName name="BLPH114" localSheetId="0" hidden="1">#REF!</definedName>
    <definedName name="BLPH114" hidden="1">#REF!</definedName>
    <definedName name="BLPH115" localSheetId="0" hidden="1">#REF!</definedName>
    <definedName name="BLPH115" hidden="1">#REF!</definedName>
    <definedName name="BLPH116" localSheetId="0" hidden="1">#REF!</definedName>
    <definedName name="BLPH116" hidden="1">#REF!</definedName>
    <definedName name="BLPH117" localSheetId="0" hidden="1">#REF!</definedName>
    <definedName name="BLPH117" hidden="1">#REF!</definedName>
    <definedName name="BLPH118" localSheetId="0" hidden="1">#REF!</definedName>
    <definedName name="BLPH118" hidden="1">#REF!</definedName>
    <definedName name="BLPH119" localSheetId="0" hidden="1">#REF!</definedName>
    <definedName name="BLPH119" hidden="1">#REF!</definedName>
    <definedName name="BLPH12" localSheetId="0" hidden="1">#REF!</definedName>
    <definedName name="BLPH12" hidden="1">#REF!</definedName>
    <definedName name="BLPH120" localSheetId="0" hidden="1">#REF!</definedName>
    <definedName name="BLPH120" hidden="1">#REF!</definedName>
    <definedName name="BLPH121" localSheetId="0" hidden="1">#REF!</definedName>
    <definedName name="BLPH121" hidden="1">#REF!</definedName>
    <definedName name="BLPH122" localSheetId="0" hidden="1">#REF!</definedName>
    <definedName name="BLPH122" hidden="1">#REF!</definedName>
    <definedName name="BLPH123" localSheetId="0" hidden="1">#REF!</definedName>
    <definedName name="BLPH123" hidden="1">#REF!</definedName>
    <definedName name="BLPH124" localSheetId="0" hidden="1">#REF!</definedName>
    <definedName name="BLPH124" hidden="1">#REF!</definedName>
    <definedName name="BLPH125" localSheetId="0" hidden="1">#REF!</definedName>
    <definedName name="BLPH125" hidden="1">#REF!</definedName>
    <definedName name="BLPH126" localSheetId="0" hidden="1">#REF!</definedName>
    <definedName name="BLPH126" hidden="1">#REF!</definedName>
    <definedName name="BLPH127" localSheetId="0" hidden="1">#REF!</definedName>
    <definedName name="BLPH127" hidden="1">#REF!</definedName>
    <definedName name="BLPH128" localSheetId="0" hidden="1">#REF!</definedName>
    <definedName name="BLPH128" hidden="1">#REF!</definedName>
    <definedName name="BLPH129" localSheetId="0" hidden="1">#REF!</definedName>
    <definedName name="BLPH129" hidden="1">#REF!</definedName>
    <definedName name="BLPH13" localSheetId="0" hidden="1">#REF!</definedName>
    <definedName name="BLPH13" hidden="1">#REF!</definedName>
    <definedName name="BLPH130" localSheetId="0" hidden="1">#REF!</definedName>
    <definedName name="BLPH130" hidden="1">#REF!</definedName>
    <definedName name="BLPH131" localSheetId="0" hidden="1">#REF!</definedName>
    <definedName name="BLPH131" hidden="1">#REF!</definedName>
    <definedName name="BLPH132" localSheetId="0" hidden="1">#REF!</definedName>
    <definedName name="BLPH132" hidden="1">#REF!</definedName>
    <definedName name="BLPH133" localSheetId="0" hidden="1">#REF!</definedName>
    <definedName name="BLPH133" hidden="1">#REF!</definedName>
    <definedName name="BLPH134" localSheetId="0" hidden="1">#REF!</definedName>
    <definedName name="BLPH134" hidden="1">#REF!</definedName>
    <definedName name="BLPH135" localSheetId="0" hidden="1">#REF!</definedName>
    <definedName name="BLPH135" hidden="1">#REF!</definedName>
    <definedName name="BLPH136" localSheetId="0" hidden="1">#REF!</definedName>
    <definedName name="BLPH136" hidden="1">#REF!</definedName>
    <definedName name="BLPH137" localSheetId="0" hidden="1">#REF!</definedName>
    <definedName name="BLPH137" hidden="1">#REF!</definedName>
    <definedName name="BLPH138" localSheetId="0" hidden="1">#REF!</definedName>
    <definedName name="BLPH138" hidden="1">#REF!</definedName>
    <definedName name="BLPH139" localSheetId="0" hidden="1">#REF!</definedName>
    <definedName name="BLPH139" hidden="1">#REF!</definedName>
    <definedName name="BLPH14" localSheetId="0" hidden="1">#REF!</definedName>
    <definedName name="BLPH14" hidden="1">#REF!</definedName>
    <definedName name="BLPH140" localSheetId="0" hidden="1">#REF!</definedName>
    <definedName name="BLPH140" hidden="1">#REF!</definedName>
    <definedName name="BLPH141" localSheetId="0" hidden="1">#REF!</definedName>
    <definedName name="BLPH141" hidden="1">#REF!</definedName>
    <definedName name="BLPH142" localSheetId="0" hidden="1">#REF!</definedName>
    <definedName name="BLPH142" hidden="1">#REF!</definedName>
    <definedName name="BLPH143" localSheetId="0" hidden="1">#REF!</definedName>
    <definedName name="BLPH143" hidden="1">#REF!</definedName>
    <definedName name="BLPH144" localSheetId="0" hidden="1">#REF!</definedName>
    <definedName name="BLPH144" hidden="1">#REF!</definedName>
    <definedName name="BLPH145" localSheetId="0" hidden="1">#REF!</definedName>
    <definedName name="BLPH145" hidden="1">#REF!</definedName>
    <definedName name="BLPH146" localSheetId="0" hidden="1">#REF!</definedName>
    <definedName name="BLPH146" hidden="1">#REF!</definedName>
    <definedName name="BLPH147" localSheetId="0" hidden="1">#REF!</definedName>
    <definedName name="BLPH147" hidden="1">#REF!</definedName>
    <definedName name="BLPH148" localSheetId="0" hidden="1">#REF!</definedName>
    <definedName name="BLPH148" hidden="1">#REF!</definedName>
    <definedName name="BLPH149" localSheetId="0" hidden="1">#REF!</definedName>
    <definedName name="BLPH149" hidden="1">#REF!</definedName>
    <definedName name="BLPH15" localSheetId="0" hidden="1">#REF!</definedName>
    <definedName name="BLPH15" hidden="1">#REF!</definedName>
    <definedName name="BLPH150" localSheetId="0" hidden="1">#REF!</definedName>
    <definedName name="BLPH150" hidden="1">#REF!</definedName>
    <definedName name="BLPH151" localSheetId="0" hidden="1">#REF!</definedName>
    <definedName name="BLPH151" hidden="1">#REF!</definedName>
    <definedName name="BLPH152" localSheetId="0" hidden="1">#REF!</definedName>
    <definedName name="BLPH152" hidden="1">#REF!</definedName>
    <definedName name="BLPH153" localSheetId="0" hidden="1">#REF!</definedName>
    <definedName name="BLPH153" hidden="1">#REF!</definedName>
    <definedName name="BLPH154" localSheetId="0" hidden="1">#REF!</definedName>
    <definedName name="BLPH154" hidden="1">#REF!</definedName>
    <definedName name="BLPH155" localSheetId="0" hidden="1">#REF!</definedName>
    <definedName name="BLPH155" hidden="1">#REF!</definedName>
    <definedName name="BLPH156" localSheetId="0" hidden="1">#REF!</definedName>
    <definedName name="BLPH156" hidden="1">#REF!</definedName>
    <definedName name="BLPH16" localSheetId="0" hidden="1">#REF!</definedName>
    <definedName name="BLPH16" hidden="1">#REF!</definedName>
    <definedName name="BLPH17" localSheetId="0" hidden="1">#REF!</definedName>
    <definedName name="BLPH17" hidden="1">#REF!</definedName>
    <definedName name="BLPH18" localSheetId="0" hidden="1">#REF!</definedName>
    <definedName name="BLPH18" hidden="1">#REF!</definedName>
    <definedName name="BLPH19" localSheetId="0" hidden="1">#REF!</definedName>
    <definedName name="BLPH19" hidden="1">#REF!</definedName>
    <definedName name="BLPH2" localSheetId="0" hidden="1">#REF!</definedName>
    <definedName name="BLPH2" hidden="1">#REF!</definedName>
    <definedName name="BLPH20" localSheetId="0" hidden="1">#REF!</definedName>
    <definedName name="BLPH20" hidden="1">#REF!</definedName>
    <definedName name="BLPH21" localSheetId="0" hidden="1">#REF!</definedName>
    <definedName name="BLPH21" hidden="1">#REF!</definedName>
    <definedName name="BLPH22" localSheetId="0" hidden="1">#REF!</definedName>
    <definedName name="BLPH22" hidden="1">#REF!</definedName>
    <definedName name="BLPH23" localSheetId="0" hidden="1">#REF!</definedName>
    <definedName name="BLPH23" hidden="1">#REF!</definedName>
    <definedName name="BLPH24" localSheetId="0" hidden="1">#REF!</definedName>
    <definedName name="BLPH24" hidden="1">#REF!</definedName>
    <definedName name="BLPH25" localSheetId="0" hidden="1">#REF!</definedName>
    <definedName name="BLPH25" hidden="1">#REF!</definedName>
    <definedName name="BLPH26" localSheetId="0" hidden="1">#REF!</definedName>
    <definedName name="BLPH26" hidden="1">#REF!</definedName>
    <definedName name="BLPH27" localSheetId="0" hidden="1">#REF!</definedName>
    <definedName name="BLPH27" hidden="1">#REF!</definedName>
    <definedName name="BLPH28" localSheetId="0" hidden="1">#REF!</definedName>
    <definedName name="BLPH28" hidden="1">#REF!</definedName>
    <definedName name="BLPH29" localSheetId="0" hidden="1">#REF!</definedName>
    <definedName name="BLPH29" hidden="1">#REF!</definedName>
    <definedName name="BLPH3" localSheetId="0" hidden="1">#REF!</definedName>
    <definedName name="BLPH3" hidden="1">#REF!</definedName>
    <definedName name="BLPH30" localSheetId="0" hidden="1">#REF!</definedName>
    <definedName name="BLPH30" hidden="1">#REF!</definedName>
    <definedName name="BLPH31" localSheetId="0" hidden="1">#REF!</definedName>
    <definedName name="BLPH31" hidden="1">#REF!</definedName>
    <definedName name="BLPH32" localSheetId="0" hidden="1">#REF!</definedName>
    <definedName name="BLPH32" hidden="1">#REF!</definedName>
    <definedName name="BLPH33" localSheetId="0" hidden="1">#REF!</definedName>
    <definedName name="BLPH33" hidden="1">#REF!</definedName>
    <definedName name="BLPH34" localSheetId="0" hidden="1">#REF!</definedName>
    <definedName name="BLPH34" hidden="1">#REF!</definedName>
    <definedName name="BLPH35" localSheetId="0" hidden="1">#REF!</definedName>
    <definedName name="BLPH35" hidden="1">#REF!</definedName>
    <definedName name="BLPH36" localSheetId="0" hidden="1">#REF!</definedName>
    <definedName name="BLPH36" hidden="1">#REF!</definedName>
    <definedName name="BLPH37" localSheetId="0" hidden="1">#REF!</definedName>
    <definedName name="BLPH37" hidden="1">#REF!</definedName>
    <definedName name="BLPH38" localSheetId="0" hidden="1">#REF!</definedName>
    <definedName name="BLPH38" hidden="1">#REF!</definedName>
    <definedName name="BLPH39" localSheetId="0" hidden="1">#REF!</definedName>
    <definedName name="BLPH39" hidden="1">#REF!</definedName>
    <definedName name="BLPH4" localSheetId="0" hidden="1">#REF!</definedName>
    <definedName name="BLPH4" hidden="1">#REF!</definedName>
    <definedName name="BLPH40" localSheetId="0" hidden="1">#REF!</definedName>
    <definedName name="BLPH40" hidden="1">#REF!</definedName>
    <definedName name="BLPH41" localSheetId="0" hidden="1">#REF!</definedName>
    <definedName name="BLPH41" hidden="1">#REF!</definedName>
    <definedName name="BLPH42" localSheetId="0" hidden="1">#REF!</definedName>
    <definedName name="BLPH42" hidden="1">#REF!</definedName>
    <definedName name="BLPH43" localSheetId="0" hidden="1">#REF!</definedName>
    <definedName name="BLPH43" hidden="1">#REF!</definedName>
    <definedName name="BLPH44" localSheetId="0" hidden="1">#REF!</definedName>
    <definedName name="BLPH44" hidden="1">#REF!</definedName>
    <definedName name="BLPH45" localSheetId="0" hidden="1">#REF!</definedName>
    <definedName name="BLPH45" hidden="1">#REF!</definedName>
    <definedName name="BLPH46" localSheetId="0" hidden="1">#REF!</definedName>
    <definedName name="BLPH46" hidden="1">#REF!</definedName>
    <definedName name="BLPH47" localSheetId="0" hidden="1">#REF!</definedName>
    <definedName name="BLPH47" hidden="1">#REF!</definedName>
    <definedName name="BLPH48" localSheetId="0" hidden="1">#REF!</definedName>
    <definedName name="BLPH48" hidden="1">#REF!</definedName>
    <definedName name="BLPH49" localSheetId="0" hidden="1">#REF!</definedName>
    <definedName name="BLPH49" hidden="1">#REF!</definedName>
    <definedName name="BLPH5" localSheetId="0" hidden="1">#REF!</definedName>
    <definedName name="BLPH5" hidden="1">#REF!</definedName>
    <definedName name="BLPH50" localSheetId="0" hidden="1">#REF!</definedName>
    <definedName name="BLPH50" hidden="1">#REF!</definedName>
    <definedName name="BLPH51" localSheetId="0" hidden="1">#REF!</definedName>
    <definedName name="BLPH51" hidden="1">#REF!</definedName>
    <definedName name="BLPH52" localSheetId="0" hidden="1">#REF!</definedName>
    <definedName name="BLPH52" hidden="1">#REF!</definedName>
    <definedName name="BLPH53" localSheetId="0" hidden="1">#REF!</definedName>
    <definedName name="BLPH53" hidden="1">#REF!</definedName>
    <definedName name="BLPH54" hidden="1">#N/A</definedName>
    <definedName name="BLPH55" localSheetId="0" hidden="1">#REF!</definedName>
    <definedName name="BLPH55" hidden="1">#REF!</definedName>
    <definedName name="BLPH56" localSheetId="0" hidden="1">#REF!</definedName>
    <definedName name="BLPH56" hidden="1">#REF!</definedName>
    <definedName name="BLPH57" localSheetId="0" hidden="1">#REF!</definedName>
    <definedName name="BLPH57" hidden="1">#REF!</definedName>
    <definedName name="BLPH58" localSheetId="0" hidden="1">#REF!</definedName>
    <definedName name="BLPH58" hidden="1">#REF!</definedName>
    <definedName name="BLPH59" localSheetId="0" hidden="1">#REF!</definedName>
    <definedName name="BLPH59" hidden="1">#REF!</definedName>
    <definedName name="BLPH6" localSheetId="0" hidden="1">#REF!</definedName>
    <definedName name="BLPH6" hidden="1">#REF!</definedName>
    <definedName name="BLPH60" localSheetId="0" hidden="1">#REF!</definedName>
    <definedName name="BLPH60" hidden="1">#REF!</definedName>
    <definedName name="BLPH61" localSheetId="0" hidden="1">#REF!</definedName>
    <definedName name="BLPH61" hidden="1">#REF!</definedName>
    <definedName name="BLPH62" localSheetId="0" hidden="1">#REF!</definedName>
    <definedName name="BLPH62" hidden="1">#REF!</definedName>
    <definedName name="BLPH63" localSheetId="0" hidden="1">#REF!</definedName>
    <definedName name="BLPH63" hidden="1">#REF!</definedName>
    <definedName name="BLPH64" localSheetId="0" hidden="1">#REF!</definedName>
    <definedName name="BLPH64" hidden="1">#REF!</definedName>
    <definedName name="BLPH65" localSheetId="0" hidden="1">#REF!</definedName>
    <definedName name="BLPH65" hidden="1">#REF!</definedName>
    <definedName name="BLPH66" localSheetId="0" hidden="1">#REF!</definedName>
    <definedName name="BLPH66" hidden="1">#REF!</definedName>
    <definedName name="BLPH67" localSheetId="0" hidden="1">#REF!</definedName>
    <definedName name="BLPH67" hidden="1">#REF!</definedName>
    <definedName name="BLPH68" localSheetId="0" hidden="1">#REF!</definedName>
    <definedName name="BLPH68" hidden="1">#REF!</definedName>
    <definedName name="BLPH69" localSheetId="0" hidden="1">#REF!</definedName>
    <definedName name="BLPH69" hidden="1">#REF!</definedName>
    <definedName name="BLPH7" localSheetId="0" hidden="1">#N/A</definedName>
    <definedName name="BLPH7" hidden="1">#REF!</definedName>
    <definedName name="BLPH70" localSheetId="0" hidden="1">#REF!</definedName>
    <definedName name="BLPH70" hidden="1">#REF!</definedName>
    <definedName name="BLPH71" localSheetId="0" hidden="1">#REF!</definedName>
    <definedName name="BLPH71" hidden="1">#REF!</definedName>
    <definedName name="BLPH72" localSheetId="0" hidden="1">#REF!</definedName>
    <definedName name="BLPH72" hidden="1">#REF!</definedName>
    <definedName name="BLPH73" localSheetId="0" hidden="1">#REF!</definedName>
    <definedName name="BLPH73" hidden="1">#REF!</definedName>
    <definedName name="BLPH74" localSheetId="0" hidden="1">#REF!</definedName>
    <definedName name="BLPH74" hidden="1">#REF!</definedName>
    <definedName name="BLPH75" localSheetId="0" hidden="1">#REF!</definedName>
    <definedName name="BLPH75" hidden="1">#REF!</definedName>
    <definedName name="BLPH76" localSheetId="0" hidden="1">#REF!</definedName>
    <definedName name="BLPH76" hidden="1">#REF!</definedName>
    <definedName name="BLPH77" localSheetId="0" hidden="1">#REF!</definedName>
    <definedName name="BLPH77" hidden="1">#REF!</definedName>
    <definedName name="BLPH78" localSheetId="0" hidden="1">#REF!</definedName>
    <definedName name="BLPH78" hidden="1">#REF!</definedName>
    <definedName name="BLPH79" localSheetId="0" hidden="1">#REF!</definedName>
    <definedName name="BLPH79" hidden="1">#REF!</definedName>
    <definedName name="BLPH8" localSheetId="0" hidden="1">#N/A</definedName>
    <definedName name="BLPH8" hidden="1">#REF!</definedName>
    <definedName name="BLPH80" localSheetId="0" hidden="1">#REF!</definedName>
    <definedName name="BLPH80" hidden="1">#REF!</definedName>
    <definedName name="BLPH81" localSheetId="0" hidden="1">#REF!</definedName>
    <definedName name="BLPH81" hidden="1">#REF!</definedName>
    <definedName name="BLPH82" localSheetId="0" hidden="1">#REF!</definedName>
    <definedName name="BLPH82" hidden="1">#REF!</definedName>
    <definedName name="BLPH83" localSheetId="0" hidden="1">#REF!</definedName>
    <definedName name="BLPH83" hidden="1">#REF!</definedName>
    <definedName name="BLPH84" localSheetId="0" hidden="1">#REF!</definedName>
    <definedName name="BLPH84" hidden="1">#REF!</definedName>
    <definedName name="BLPH85" localSheetId="0" hidden="1">#REF!</definedName>
    <definedName name="BLPH85" hidden="1">#REF!</definedName>
    <definedName name="BLPH86" localSheetId="0" hidden="1">#REF!</definedName>
    <definedName name="BLPH86" hidden="1">#REF!</definedName>
    <definedName name="BLPH87" localSheetId="0" hidden="1">#REF!</definedName>
    <definedName name="BLPH87" hidden="1">#REF!</definedName>
    <definedName name="BLPH88" localSheetId="0" hidden="1">#REF!</definedName>
    <definedName name="BLPH88" hidden="1">#REF!</definedName>
    <definedName name="BLPH89" localSheetId="0" hidden="1">#REF!</definedName>
    <definedName name="BLPH89" hidden="1">#REF!</definedName>
    <definedName name="BLPH9" localSheetId="0" hidden="1">#N/A</definedName>
    <definedName name="BLPH9" hidden="1">#REF!</definedName>
    <definedName name="BLPH90" localSheetId="0" hidden="1">#REF!</definedName>
    <definedName name="BLPH90" hidden="1">#REF!</definedName>
    <definedName name="BLPH91" localSheetId="0" hidden="1">#REF!</definedName>
    <definedName name="BLPH91" hidden="1">#REF!</definedName>
    <definedName name="BLPH92" localSheetId="0" hidden="1">#REF!</definedName>
    <definedName name="BLPH92" hidden="1">#REF!</definedName>
    <definedName name="BLPH93" localSheetId="0" hidden="1">#REF!</definedName>
    <definedName name="BLPH93" hidden="1">#REF!</definedName>
    <definedName name="BLPH94" localSheetId="0" hidden="1">#REF!</definedName>
    <definedName name="BLPH94" hidden="1">#REF!</definedName>
    <definedName name="BLPH95" localSheetId="0" hidden="1">#REF!</definedName>
    <definedName name="BLPH95" hidden="1">#REF!</definedName>
    <definedName name="BLPH96" localSheetId="0" hidden="1">#REF!</definedName>
    <definedName name="BLPH96" hidden="1">#REF!</definedName>
    <definedName name="BLPH97" localSheetId="0" hidden="1">#REF!</definedName>
    <definedName name="BLPH97" hidden="1">#REF!</definedName>
    <definedName name="BLPH98" localSheetId="0" hidden="1">#REF!</definedName>
    <definedName name="BLPH98" hidden="1">#REF!</definedName>
    <definedName name="BLPH99" localSheetId="0" hidden="1">#REF!</definedName>
    <definedName name="BLPH99" hidden="1">#REF!</definedName>
    <definedName name="BLPI1" localSheetId="0" hidden="1">#REF!</definedName>
    <definedName name="BLPI1" hidden="1">#REF!</definedName>
    <definedName name="BLPI3" localSheetId="0" hidden="1">#REF!</definedName>
    <definedName name="BLPI3" hidden="1">#REF!</definedName>
    <definedName name="BLQ" localSheetId="0">#REF!</definedName>
    <definedName name="BLQ">#REF!</definedName>
    <definedName name="BOCGroup" localSheetId="0">#REF!</definedName>
    <definedName name="BOCGroup">#REF!</definedName>
    <definedName name="BOCGrp" localSheetId="0">#REF!</definedName>
    <definedName name="BOCGrp">#REF!</definedName>
    <definedName name="BondHcBgn" localSheetId="0">#REF!</definedName>
    <definedName name="BondHcBgn">#REF!</definedName>
    <definedName name="BrazilBalanceSheet" localSheetId="0">#REF!</definedName>
    <definedName name="BrazilBalanceSheet">#REF!</definedName>
    <definedName name="BrazilCashFlow" localSheetId="0">#REF!</definedName>
    <definedName name="BrazilCashFlow">#REF!</definedName>
    <definedName name="BrazilIncomeStatement" localSheetId="0">#REF!</definedName>
    <definedName name="BrazilIncomeStatement">#REF!</definedName>
    <definedName name="breakeven" localSheetId="0">#REF!</definedName>
    <definedName name="breakeven">#REF!</definedName>
    <definedName name="broad" localSheetId="0">#REF!</definedName>
    <definedName name="broad">#REF!</definedName>
    <definedName name="BROADCASTING" localSheetId="0">#REF!</definedName>
    <definedName name="BROADCASTING">#REF!</definedName>
    <definedName name="BS" localSheetId="0">#REF!</definedName>
    <definedName name="BS">#REF!</definedName>
    <definedName name="BSBgn" localSheetId="0">#REF!</definedName>
    <definedName name="BSBgn">#REF!</definedName>
    <definedName name="bse_dpsg" localSheetId="0">#REF!</definedName>
    <definedName name="bse_dpsg">#REF!</definedName>
    <definedName name="bse_epsg" localSheetId="0">#REF!</definedName>
    <definedName name="bse_epsg">#REF!</definedName>
    <definedName name="BSH00" localSheetId="0">#REF!</definedName>
    <definedName name="BSH00">#REF!</definedName>
    <definedName name="BSH00PF" localSheetId="0">#REF!</definedName>
    <definedName name="BSH00PF">#REF!</definedName>
    <definedName name="bshaust" localSheetId="0">#REF!</definedName>
    <definedName name="bshaust">#REF!</definedName>
    <definedName name="BskyB_NonE00" localSheetId="0">#REF!</definedName>
    <definedName name="BskyB_NonE00">#REF!</definedName>
    <definedName name="BSkyB1996" localSheetId="0">#REF!</definedName>
    <definedName name="BSkyB1996">#REF!</definedName>
    <definedName name="BSkyB1997" localSheetId="0">#REF!</definedName>
    <definedName name="BSkyB1997">#REF!</definedName>
    <definedName name="BSkyB1998" localSheetId="0">#REF!</definedName>
    <definedName name="BSkyB1998">#REF!</definedName>
    <definedName name="BSkyB1999" localSheetId="0">#REF!</definedName>
    <definedName name="BSkyB1999">#REF!</definedName>
    <definedName name="BSkyB2000" localSheetId="0">#REF!</definedName>
    <definedName name="BSkyB2000">#REF!</definedName>
    <definedName name="BSkyB2001" localSheetId="0">#REF!</definedName>
    <definedName name="BSkyB2001">#REF!</definedName>
    <definedName name="BSO00" localSheetId="0">#REF!</definedName>
    <definedName name="BSO00">#REF!</definedName>
    <definedName name="BSO00PF" localSheetId="0">#REF!</definedName>
    <definedName name="BSO00PF">#REF!</definedName>
    <definedName name="BSR" localSheetId="0">#REF!</definedName>
    <definedName name="BSR">#REF!</definedName>
    <definedName name="bssubsbgn" localSheetId="0">#REF!</definedName>
    <definedName name="bssubsbgn">#REF!</definedName>
    <definedName name="bt" localSheetId="0">#REF!</definedName>
    <definedName name="bt">#REF!</definedName>
    <definedName name="BTEN00" localSheetId="0">#REF!</definedName>
    <definedName name="BTEN00">#REF!</definedName>
    <definedName name="BTEN01" localSheetId="0">#REF!</definedName>
    <definedName name="BTEN01">#REF!</definedName>
    <definedName name="BTEN02" localSheetId="0">#REF!</definedName>
    <definedName name="BTEN02">#REF!</definedName>
    <definedName name="BTEN03" localSheetId="0">#REF!</definedName>
    <definedName name="BTEN03">#REF!</definedName>
    <definedName name="BTEN98" localSheetId="0">#REF!</definedName>
    <definedName name="BTEN98">#REF!</definedName>
    <definedName name="BTEN99" localSheetId="0">#REF!</definedName>
    <definedName name="BTEN99">#REF!</definedName>
    <definedName name="BTOW00" localSheetId="0">#REF!</definedName>
    <definedName name="BTOW00">#REF!</definedName>
    <definedName name="BTOW01" localSheetId="0">#REF!</definedName>
    <definedName name="BTOW01">#REF!</definedName>
    <definedName name="BTOW02" localSheetId="0">#REF!</definedName>
    <definedName name="BTOW02">#REF!</definedName>
    <definedName name="BTOW03" localSheetId="0">#REF!</definedName>
    <definedName name="BTOW03">#REF!</definedName>
    <definedName name="BTOW98" localSheetId="0">#REF!</definedName>
    <definedName name="BTOW98">#REF!</definedName>
    <definedName name="BTOW99" localSheetId="0">#REF!</definedName>
    <definedName name="BTOW99">#REF!</definedName>
    <definedName name="BU">17</definedName>
    <definedName name="but" localSheetId="5">{"Mcp08.PrintRep",""}</definedName>
    <definedName name="but" localSheetId="0">{"Mcp08.PrintRep",""}</definedName>
    <definedName name="but" localSheetId="4">{"Mcp08.PrintRep",""}</definedName>
    <definedName name="but">{"Mcp08.PrintRep",""}</definedName>
    <definedName name="Button_1">"ASIAVSL_print_List"</definedName>
    <definedName name="Button_2">"ASIAVSL_print_List"</definedName>
    <definedName name="Button2" localSheetId="5">{"Mcp08.PrintRep",""}</definedName>
    <definedName name="Button2" localSheetId="0">{"Mcp08.PrintRep",""}</definedName>
    <definedName name="Button2" localSheetId="4">{"Mcp08.PrintRep",""}</definedName>
    <definedName name="Button2">{"Mcp08.PrintRep",""}</definedName>
    <definedName name="BUY" localSheetId="0">#REF!</definedName>
    <definedName name="BUY">#REF!</definedName>
    <definedName name="BUY_ASSETS">#N/A</definedName>
    <definedName name="BUY_STOCK">#N/A</definedName>
    <definedName name="BVPS" localSheetId="0">#REF!</definedName>
    <definedName name="BVPS">#REF!</definedName>
    <definedName name="BVPS00" localSheetId="0">#REF!</definedName>
    <definedName name="BVPS00">#REF!</definedName>
    <definedName name="BVPS01" localSheetId="0">#REF!</definedName>
    <definedName name="BVPS01">#REF!</definedName>
    <definedName name="BVPS99" localSheetId="0">#REF!</definedName>
    <definedName name="BVPS99">#REF!</definedName>
    <definedName name="BVPSH00" localSheetId="0">#REF!</definedName>
    <definedName name="BVPSH00">#REF!</definedName>
    <definedName name="BVPSH01" localSheetId="0">#REF!</definedName>
    <definedName name="BVPSH01">#REF!</definedName>
    <definedName name="BVPSH86" localSheetId="0">#REF!</definedName>
    <definedName name="BVPSH86">#REF!</definedName>
    <definedName name="BVPSH87" localSheetId="0">#REF!</definedName>
    <definedName name="BVPSH87">#REF!</definedName>
    <definedName name="BVPSH88" localSheetId="0">#REF!</definedName>
    <definedName name="BVPSH88">#REF!</definedName>
    <definedName name="BVPSH89" localSheetId="0">#REF!</definedName>
    <definedName name="BVPSH89">#REF!</definedName>
    <definedName name="BVPSH90" localSheetId="0">#REF!</definedName>
    <definedName name="BVPSH90">#REF!</definedName>
    <definedName name="BVPSH91" localSheetId="0">#REF!</definedName>
    <definedName name="BVPSH91">#REF!</definedName>
    <definedName name="BVPSH92" localSheetId="0">#REF!</definedName>
    <definedName name="BVPSH92">#REF!</definedName>
    <definedName name="BVPSH93" localSheetId="0">#REF!</definedName>
    <definedName name="BVPSH93">#REF!</definedName>
    <definedName name="BVPSH94" localSheetId="0">#REF!</definedName>
    <definedName name="BVPSH94">#REF!</definedName>
    <definedName name="BVPSH95" localSheetId="0">#REF!</definedName>
    <definedName name="BVPSH95">#REF!</definedName>
    <definedName name="BVPSH96" localSheetId="0">#REF!</definedName>
    <definedName name="BVPSH96">#REF!</definedName>
    <definedName name="BVPSH97" localSheetId="0">#REF!</definedName>
    <definedName name="BVPSH97">#REF!</definedName>
    <definedName name="BVPSH98" localSheetId="0">#REF!</definedName>
    <definedName name="BVPSH98">#REF!</definedName>
    <definedName name="BVPSH99" localSheetId="0">#REF!</definedName>
    <definedName name="BVPSH99">#REF!</definedName>
    <definedName name="c_cash_eoy" localSheetId="0">#REF!</definedName>
    <definedName name="c_cash_eoy">#REF!</definedName>
    <definedName name="c_cash_fin" localSheetId="0">#REF!</definedName>
    <definedName name="c_cash_fin">#REF!</definedName>
    <definedName name="c_cash_inv" localSheetId="0">#REF!</definedName>
    <definedName name="c_cash_inv">#REF!</definedName>
    <definedName name="c_cash_op" localSheetId="0">#REF!</definedName>
    <definedName name="c_cash_op">#REF!</definedName>
    <definedName name="c_ex_acq" localSheetId="0">#REF!</definedName>
    <definedName name="c_ex_acq">#REF!</definedName>
    <definedName name="c_fin_act_oth" localSheetId="0">#REF!</definedName>
    <definedName name="c_fin_act_oth">#REF!</definedName>
    <definedName name="c_incr_nwc" localSheetId="0">#REF!</definedName>
    <definedName name="c_incr_nwc">#REF!</definedName>
    <definedName name="c_net_depr" localSheetId="0">#REF!</definedName>
    <definedName name="c_net_depr">#REF!</definedName>
    <definedName name="c_on_cap_ex" localSheetId="0">#REF!</definedName>
    <definedName name="c_on_cap_ex">#REF!</definedName>
    <definedName name="c_proc_ltl" localSheetId="0">#REF!</definedName>
    <definedName name="c_proc_ltl">#REF!</definedName>
    <definedName name="c_proc_stb" localSheetId="0">#REF!</definedName>
    <definedName name="c_proc_stb">#REF!</definedName>
    <definedName name="c_tot_div" localSheetId="0">#REF!</definedName>
    <definedName name="c_tot_div">#REF!</definedName>
    <definedName name="c_tot_incr_cash" localSheetId="0">#REF!</definedName>
    <definedName name="c_tot_incr_cash">#REF!</definedName>
    <definedName name="CA" localSheetId="0">#REF!</definedName>
    <definedName name="CA">#REF!</definedName>
    <definedName name="CA_CASH" localSheetId="0">#REF!</definedName>
    <definedName name="CA_CASH">#REF!</definedName>
    <definedName name="CA_RECS" localSheetId="0">#REF!</definedName>
    <definedName name="CA_RECS">#REF!</definedName>
    <definedName name="CA_STK" localSheetId="0">#REF!</definedName>
    <definedName name="CA_STK">#REF!</definedName>
    <definedName name="CABLE" localSheetId="0">#REF!</definedName>
    <definedName name="CABLE">#REF!</definedName>
    <definedName name="cableEBITDA01" localSheetId="0">#REF!</definedName>
    <definedName name="cableEBITDA01">#REF!</definedName>
    <definedName name="cadnew" localSheetId="0">#REF!</definedName>
    <definedName name="cadnew">#REF!</definedName>
    <definedName name="cadold" localSheetId="0">#REF!</definedName>
    <definedName name="cadold">#REF!</definedName>
    <definedName name="cal" localSheetId="0">#REF!</definedName>
    <definedName name="cal">#REF!</definedName>
    <definedName name="cal_condense" localSheetId="0">#REF!</definedName>
    <definedName name="cal_condense">#REF!</definedName>
    <definedName name="cal_condenseQ" localSheetId="0">#REF!</definedName>
    <definedName name="cal_condenseQ">#REF!</definedName>
    <definedName name="cal_copy" localSheetId="0">#REF!</definedName>
    <definedName name="cal_copy">#REF!</definedName>
    <definedName name="cal_PL_after" localSheetId="0">#REF!</definedName>
    <definedName name="cal_PL_after">#REF!</definedName>
    <definedName name="cal_PL_before" localSheetId="0">#REF!</definedName>
    <definedName name="cal_PL_before">#REF!</definedName>
    <definedName name="cal_rollupQ" localSheetId="0">#REF!</definedName>
    <definedName name="cal_rollupQ">#REF!</definedName>
    <definedName name="cal_spending" localSheetId="0">#REF!</definedName>
    <definedName name="cal_spending">#REF!</definedName>
    <definedName name="cal_spending_M" localSheetId="0">#REF!</definedName>
    <definedName name="cal_spending_M">#REF!</definedName>
    <definedName name="cal_spending_Q" localSheetId="0">#REF!</definedName>
    <definedName name="cal_spending_Q">#REF!</definedName>
    <definedName name="cal00_eps" localSheetId="0">#REF!</definedName>
    <definedName name="cal00_eps">#REF!</definedName>
    <definedName name="cal00_rev" localSheetId="0">#REF!</definedName>
    <definedName name="cal00_rev">#REF!</definedName>
    <definedName name="cal01_eps" localSheetId="0">#REF!</definedName>
    <definedName name="cal01_eps">#REF!</definedName>
    <definedName name="cal01_rev" localSheetId="0">#REF!</definedName>
    <definedName name="cal01_rev">#REF!</definedName>
    <definedName name="cal94_eps" localSheetId="0">#REF!</definedName>
    <definedName name="cal94_eps">#REF!</definedName>
    <definedName name="cal95_eps" localSheetId="0">#REF!</definedName>
    <definedName name="cal95_eps">#REF!</definedName>
    <definedName name="cal95_rev" localSheetId="0">#REF!</definedName>
    <definedName name="cal95_rev">#REF!</definedName>
    <definedName name="cal96_eps" localSheetId="0">#REF!</definedName>
    <definedName name="cal96_eps">#REF!</definedName>
    <definedName name="cal96_rev" localSheetId="0">#REF!</definedName>
    <definedName name="cal96_rev">#REF!</definedName>
    <definedName name="cal97_eps" localSheetId="0">#REF!</definedName>
    <definedName name="cal97_eps">#REF!</definedName>
    <definedName name="cal97_rev" localSheetId="0">#REF!</definedName>
    <definedName name="cal97_rev">#REF!</definedName>
    <definedName name="cal98_eps" localSheetId="0">#REF!</definedName>
    <definedName name="cal98_eps">#REF!</definedName>
    <definedName name="cal98_rev" localSheetId="0">#REF!</definedName>
    <definedName name="cal98_rev">#REF!</definedName>
    <definedName name="cal99_eps" localSheetId="0">#REF!</definedName>
    <definedName name="cal99_eps">#REF!</definedName>
    <definedName name="cal99_rev" localSheetId="0">#REF!</definedName>
    <definedName name="cal99_rev">#REF!</definedName>
    <definedName name="CalcBgn" localSheetId="0">#REF!</definedName>
    <definedName name="CalcBgn">#REF!</definedName>
    <definedName name="calendar" localSheetId="0">#REF!</definedName>
    <definedName name="calendar">#REF!</definedName>
    <definedName name="CalendarPE" localSheetId="0">#REF!</definedName>
    <definedName name="CalendarPE">#REF!</definedName>
    <definedName name="caleps00" localSheetId="0">#REF!</definedName>
    <definedName name="caleps00">#REF!</definedName>
    <definedName name="caleps98" localSheetId="0">#REF!</definedName>
    <definedName name="caleps98">#REF!</definedName>
    <definedName name="caleps99" localSheetId="0">#REF!</definedName>
    <definedName name="caleps99">#REF!</definedName>
    <definedName name="Call_Note" localSheetId="0">#REF!</definedName>
    <definedName name="Call_Note">#REF!</definedName>
    <definedName name="calrev00" localSheetId="0">#REF!</definedName>
    <definedName name="calrev00">#REF!</definedName>
    <definedName name="calrev98" localSheetId="0">#REF!</definedName>
    <definedName name="calrev98">#REF!</definedName>
    <definedName name="calrev99" localSheetId="0">#REF!</definedName>
    <definedName name="calrev99">#REF!</definedName>
    <definedName name="Camel_Korea2" localSheetId="0">#REF!</definedName>
    <definedName name="Camel_Korea2">#REF!</definedName>
    <definedName name="Camel_Korea3" localSheetId="0">#REF!</definedName>
    <definedName name="Camel_Korea3">#REF!</definedName>
    <definedName name="Camel_Korea4" localSheetId="0">#REF!</definedName>
    <definedName name="Camel_Korea4">#REF!</definedName>
    <definedName name="CAMELOT" localSheetId="0">#REF!</definedName>
    <definedName name="CAMELOT">#REF!</definedName>
    <definedName name="Camelot_korea" localSheetId="0">#REF!</definedName>
    <definedName name="Camelot_korea">#REF!</definedName>
    <definedName name="canstar" localSheetId="0">#REF!</definedName>
    <definedName name="canstar">#REF!</definedName>
    <definedName name="cap" localSheetId="0">#REF!</definedName>
    <definedName name="cap">#REF!</definedName>
    <definedName name="Capex" localSheetId="0">#REF!</definedName>
    <definedName name="Capex">#REF!</definedName>
    <definedName name="capex00" localSheetId="0">#REF!</definedName>
    <definedName name="capex00">#REF!</definedName>
    <definedName name="CAPEX00PF" localSheetId="0">#REF!</definedName>
    <definedName name="CAPEX00PF">#REF!</definedName>
    <definedName name="capex01" localSheetId="0">#REF!</definedName>
    <definedName name="capex01">#REF!</definedName>
    <definedName name="capex02" localSheetId="0">#REF!</definedName>
    <definedName name="capex02">#REF!</definedName>
    <definedName name="capex03" localSheetId="0">#REF!</definedName>
    <definedName name="capex03">#REF!</definedName>
    <definedName name="capex04" localSheetId="0">#REF!</definedName>
    <definedName name="capex04">#REF!</definedName>
    <definedName name="capex2001" localSheetId="0">#REF!</definedName>
    <definedName name="capex2001">#REF!</definedName>
    <definedName name="CAPEX93" localSheetId="0">#REF!</definedName>
    <definedName name="CAPEX93">#REF!</definedName>
    <definedName name="CAPEX94" localSheetId="0">#REF!</definedName>
    <definedName name="CAPEX94">#REF!</definedName>
    <definedName name="CAPEX95" localSheetId="0">#REF!</definedName>
    <definedName name="CAPEX95">#REF!</definedName>
    <definedName name="CAPEX96" localSheetId="0">#REF!</definedName>
    <definedName name="CAPEX96">#REF!</definedName>
    <definedName name="capex97" localSheetId="0">#REF!</definedName>
    <definedName name="capex97">#REF!</definedName>
    <definedName name="capex98" localSheetId="0">#REF!</definedName>
    <definedName name="capex98">#REF!</definedName>
    <definedName name="CAPEX99" localSheetId="0">#REF!</definedName>
    <definedName name="CAPEX99">#REF!</definedName>
    <definedName name="CAPEX99PF" localSheetId="0">#REF!</definedName>
    <definedName name="CAPEX99PF">#REF!</definedName>
    <definedName name="Capexp_92" localSheetId="0">#REF!</definedName>
    <definedName name="Capexp_92">#REF!</definedName>
    <definedName name="Capexp_93" localSheetId="0">#REF!</definedName>
    <definedName name="Capexp_93">#REF!</definedName>
    <definedName name="Capexp_94" localSheetId="0">#REF!</definedName>
    <definedName name="Capexp_94">#REF!</definedName>
    <definedName name="Capexp_95" localSheetId="0">#REF!</definedName>
    <definedName name="Capexp_95">#REF!</definedName>
    <definedName name="CAPEXP92" localSheetId="0">#REF!</definedName>
    <definedName name="CAPEXP92">#REF!</definedName>
    <definedName name="CAPEXP93" localSheetId="0">#REF!</definedName>
    <definedName name="CAPEXP93">#REF!</definedName>
    <definedName name="CAPEXP94" localSheetId="0">#REF!</definedName>
    <definedName name="CAPEXP94">#REF!</definedName>
    <definedName name="CAPEXP95" localSheetId="0">#REF!</definedName>
    <definedName name="CAPEXP95">#REF!</definedName>
    <definedName name="CAPEXP96" localSheetId="0">#REF!</definedName>
    <definedName name="CAPEXP96">#REF!</definedName>
    <definedName name="CAPEXP97" localSheetId="0">#REF!</definedName>
    <definedName name="CAPEXP97">#REF!</definedName>
    <definedName name="capita" localSheetId="0">#REF!</definedName>
    <definedName name="capita">#REF!</definedName>
    <definedName name="Capital_gains" localSheetId="0">#REF!</definedName>
    <definedName name="Capital_gains">#REF!</definedName>
    <definedName name="Capital_spending" localSheetId="0">#REF!</definedName>
    <definedName name="Capital_spending">#REF!</definedName>
    <definedName name="Capital_Spending_Budgets__estimated_by_Salomon_Smith_Barney" localSheetId="0">#REF!</definedName>
    <definedName name="Capital_Spending_Budgets__estimated_by_Salomon_Smith_Barney">#REF!</definedName>
    <definedName name="capital4">#N/A</definedName>
    <definedName name="CapitalExpenditureConsolidated" localSheetId="0">#REF!</definedName>
    <definedName name="CapitalExpenditureConsolidated">#REF!</definedName>
    <definedName name="capitalexpenditureprojected" localSheetId="0">#REF!</definedName>
    <definedName name="capitalexpenditureprojected">#REF!</definedName>
    <definedName name="Capitalization" localSheetId="0">#REF!</definedName>
    <definedName name="Capitalization">#REF!</definedName>
    <definedName name="cargadatosfiliales" localSheetId="0">#REF!,#REF!,#REF!,#REF!,#REF!,#REF!</definedName>
    <definedName name="cargadatosfiliales">#REF!,#REF!,#REF!,#REF!,#REF!,#REF!</definedName>
    <definedName name="case" localSheetId="0">#REF!</definedName>
    <definedName name="case">#REF!</definedName>
    <definedName name="CASE1" localSheetId="0">#REF!</definedName>
    <definedName name="CASE1">#REF!</definedName>
    <definedName name="CASE2" localSheetId="0">#REF!</definedName>
    <definedName name="CASE2">#REF!</definedName>
    <definedName name="CASE3" localSheetId="0">#REF!</definedName>
    <definedName name="CASE3">#REF!</definedName>
    <definedName name="CASE4" localSheetId="0">#REF!</definedName>
    <definedName name="CASE4">#REF!</definedName>
    <definedName name="Cash" localSheetId="0">#REF!</definedName>
    <definedName name="Cash">#REF!</definedName>
    <definedName name="Cash___Liquid_assets" localSheetId="0">#REF!</definedName>
    <definedName name="Cash___Liquid_assets">#REF!</definedName>
    <definedName name="Cash_DCF" localSheetId="0">#REF!</definedName>
    <definedName name="Cash_DCF">#REF!</definedName>
    <definedName name="Cash_Debt" localSheetId="0">#REF!</definedName>
    <definedName name="Cash_Debt">#REF!</definedName>
    <definedName name="cash_flow" localSheetId="0">#REF!</definedName>
    <definedName name="cash_flow">#REF!</definedName>
    <definedName name="cash_flow_Dollars" localSheetId="0">#REF!</definedName>
    <definedName name="cash_flow_Dollars">#REF!</definedName>
    <definedName name="Cash_fore" localSheetId="0">#REF!</definedName>
    <definedName name="Cash_fore">#REF!</definedName>
    <definedName name="Cash_growth_fore" localSheetId="0">#REF!</definedName>
    <definedName name="Cash_growth_fore">#REF!</definedName>
    <definedName name="Cash_Operating_Taxes" localSheetId="0">#REF!</definedName>
    <definedName name="Cash_Operating_Taxes">#REF!</definedName>
    <definedName name="Cash_operating_taxes_fore" localSheetId="0">#REF!</definedName>
    <definedName name="Cash_operating_taxes_fore">#REF!</definedName>
    <definedName name="CASH00" localSheetId="0">#REF!</definedName>
    <definedName name="CASH00">#REF!</definedName>
    <definedName name="CASH01" localSheetId="0">#REF!</definedName>
    <definedName name="CASH01">#REF!</definedName>
    <definedName name="CASH02" localSheetId="0">#REF!</definedName>
    <definedName name="CASH02">#REF!</definedName>
    <definedName name="CASH03" localSheetId="0">#REF!</definedName>
    <definedName name="CASH03">#REF!</definedName>
    <definedName name="cash1997" localSheetId="0">#REF!</definedName>
    <definedName name="cash1997">#REF!</definedName>
    <definedName name="CASH99" localSheetId="0">#REF!</definedName>
    <definedName name="CASH99">#REF!</definedName>
    <definedName name="CASHFLOW" localSheetId="0">#REF!</definedName>
    <definedName name="CASHFLOW">#REF!</definedName>
    <definedName name="CashFlowCapitalExpenditureCellular">0</definedName>
    <definedName name="CashFlowCapitalExpenditureOther">0</definedName>
    <definedName name="CashFlowCapitalExpenditurePaging">0</definedName>
    <definedName name="CashFlowCapitalExpenditureTelephone">0</definedName>
    <definedName name="CashFlowCapitalExpenditureTotal" localSheetId="0">#REF!</definedName>
    <definedName name="CashFlowCapitalExpenditureTotal">#REF!</definedName>
    <definedName name="CashFlowCapitalExpenditureWireless">0</definedName>
    <definedName name="CashFlowDividend" localSheetId="0">#REF!</definedName>
    <definedName name="CashFlowDividend">#REF!</definedName>
    <definedName name="CashFlowDividendCurrent" localSheetId="0">#REF!</definedName>
    <definedName name="CashFlowDividendCurrent">#REF!</definedName>
    <definedName name="CashFlowDividendPaid" localSheetId="0">#REF!</definedName>
    <definedName name="CashFlowDividendPaid">#REF!</definedName>
    <definedName name="CashFlowDividendPaidPreferredStock">0</definedName>
    <definedName name="CashFlowDividendPayoutRatio" localSheetId="0">#REF!</definedName>
    <definedName name="CashFlowDividendPayoutRatio">#REF!</definedName>
    <definedName name="cashflw" localSheetId="0">#REF!</definedName>
    <definedName name="cashflw">#REF!</definedName>
    <definedName name="CASHINT00" localSheetId="0">#REF!</definedName>
    <definedName name="CASHINT00">#REF!</definedName>
    <definedName name="CASHINT01" localSheetId="0">#REF!</definedName>
    <definedName name="CASHINT01">#REF!</definedName>
    <definedName name="CASHINT02" localSheetId="0">#REF!</definedName>
    <definedName name="CASHINT02">#REF!</definedName>
    <definedName name="CASHINT03" localSheetId="0">#REF!</definedName>
    <definedName name="CASHINT03">#REF!</definedName>
    <definedName name="CASHINT99" localSheetId="0">#REF!</definedName>
    <definedName name="CASHINT99">#REF!</definedName>
    <definedName name="Catalog_Path" localSheetId="0">#REF!</definedName>
    <definedName name="Catalog_Path">#REF!</definedName>
    <definedName name="Cathay" localSheetId="0">#REF!</definedName>
    <definedName name="Cathay">#REF!</definedName>
    <definedName name="caution" localSheetId="0">#REF!</definedName>
    <definedName name="caution">#REF!</definedName>
    <definedName name="CB" localSheetId="0">#REF!</definedName>
    <definedName name="CB">#REF!</definedName>
    <definedName name="CC" localSheetId="0">#REF!</definedName>
    <definedName name="CC">#REF!</definedName>
    <definedName name="CCtr" localSheetId="0">#REF!</definedName>
    <definedName name="CCtr">#REF!</definedName>
    <definedName name="CCZSCSZZC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CZSCSZZC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CZSCSZZC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CZSCSZZC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D" localSheetId="0">#REF!</definedName>
    <definedName name="CD">#REF!</definedName>
    <definedName name="cdwc_date_range" localSheetId="0">OFFSET(#REF!,0,0,COUNTA(#REF!)-1)</definedName>
    <definedName name="cdwc_date_range">OFFSET(#REF!,0,0,COUNTA(#REF!)-1)</definedName>
    <definedName name="cdwc_price_range" localSheetId="0">OFFSET(#REF!,0,0,COUNTA(#REF!)-1)</definedName>
    <definedName name="cdwc_price_range">OFFSET(#REF!,0,0,COUNTA(#REF!)-1)</definedName>
    <definedName name="CE" localSheetId="0">#REF!</definedName>
    <definedName name="CE">#REF!</definedName>
    <definedName name="Cell_1" localSheetId="0">#REF!</definedName>
    <definedName name="Cell_1">#REF!</definedName>
    <definedName name="cf" localSheetId="0">#REF!</definedName>
    <definedName name="cf">#REF!</definedName>
    <definedName name="CF_ASSOC" localSheetId="0">#REF!</definedName>
    <definedName name="CF_ASSOC">#REF!</definedName>
    <definedName name="CF_CTP" localSheetId="0">#REF!</definedName>
    <definedName name="CF_CTP">#REF!</definedName>
    <definedName name="CF_DEPR" localSheetId="0">#REF!</definedName>
    <definedName name="CF_DEPR">#REF!</definedName>
    <definedName name="CF_GAIN_LOSS" localSheetId="0">#REF!</definedName>
    <definedName name="CF_GAIN_LOSS">#REF!</definedName>
    <definedName name="CF_PBT" localSheetId="0">#REF!</definedName>
    <definedName name="CF_PBT">#REF!</definedName>
    <definedName name="CF_WC" localSheetId="0">#REF!</definedName>
    <definedName name="CF_WC">#REF!</definedName>
    <definedName name="CFA" localSheetId="0">#REF!</definedName>
    <definedName name="CFA">#REF!</definedName>
    <definedName name="CFBgn" localSheetId="0">#REF!</definedName>
    <definedName name="CFBgn">#REF!</definedName>
    <definedName name="CFLFULL" localSheetId="0">#REF!</definedName>
    <definedName name="CFLFULL">#REF!</definedName>
    <definedName name="CFormats" localSheetId="0">#REF!</definedName>
    <definedName name="CFormats">#REF!</definedName>
    <definedName name="CFPS" localSheetId="0">#REF!</definedName>
    <definedName name="CFPS">#REF!</definedName>
    <definedName name="CFR" localSheetId="0">#REF!</definedName>
    <definedName name="CFR">#REF!</definedName>
    <definedName name="CFsubsbgn" localSheetId="0">#REF!</definedName>
    <definedName name="CFsubsbgn">#REF!</definedName>
    <definedName name="CGA00" localSheetId="0">#REF!</definedName>
    <definedName name="CGA00">#REF!</definedName>
    <definedName name="CGA00PF" localSheetId="0">#REF!</definedName>
    <definedName name="CGA00PF">#REF!</definedName>
    <definedName name="ChangeNWC" localSheetId="0">#REF!</definedName>
    <definedName name="ChangeNWC">#REF!</definedName>
    <definedName name="ChangeRange" hidden="1">#N/A</definedName>
    <definedName name="chart_data" localSheetId="0">#REF!</definedName>
    <definedName name="chart_data">#REF!</definedName>
    <definedName name="chart_data_pd" localSheetId="0">#REF!</definedName>
    <definedName name="chart_data_pd">#REF!</definedName>
    <definedName name="chart_index" localSheetId="0">#REF!</definedName>
    <definedName name="chart_index">#REF!</definedName>
    <definedName name="chart_name" localSheetId="0">#REF!</definedName>
    <definedName name="chart_name">#REF!</definedName>
    <definedName name="chart_range" localSheetId="0">#REF!</definedName>
    <definedName name="chart_range">#REF!</definedName>
    <definedName name="Charts1" localSheetId="0">#REF!</definedName>
    <definedName name="Charts1">#REF!</definedName>
    <definedName name="Charts2" localSheetId="0">#REF!</definedName>
    <definedName name="Charts2">#REF!</definedName>
    <definedName name="CHD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CHECKLIST" localSheetId="0">#REF!</definedName>
    <definedName name="CHECKLIST">#REF!</definedName>
    <definedName name="chg" localSheetId="0">#REF!</definedName>
    <definedName name="chg">#REF!</definedName>
    <definedName name="chic" localSheetId="0">#REF!</definedName>
    <definedName name="chic">#REF!</definedName>
    <definedName name="Chile1" localSheetId="0">#REF!</definedName>
    <definedName name="Chile1">#REF!</definedName>
    <definedName name="Chile2" localSheetId="0">#REF!</definedName>
    <definedName name="Chile2">#REF!</definedName>
    <definedName name="China_map" localSheetId="0">#REF!</definedName>
    <definedName name="China_map">#REF!</definedName>
    <definedName name="China_waimai" localSheetId="0">#REF!</definedName>
    <definedName name="China_waimai">#REF!</definedName>
    <definedName name="Choices">#N/A</definedName>
    <definedName name="Choices_Wrapper">#N/A</definedName>
    <definedName name="Chrysler_Highlighted" localSheetId="0">#REF!</definedName>
    <definedName name="Chrysler_Highlighted">#REF!</definedName>
    <definedName name="CL" localSheetId="0">#REF!</definedName>
    <definedName name="CL">#REF!</definedName>
    <definedName name="CL_DEBT" localSheetId="0">#REF!</definedName>
    <definedName name="CL_DEBT">#REF!</definedName>
    <definedName name="CL_MIN_INT" localSheetId="0">#REF!</definedName>
    <definedName name="CL_MIN_INT">#REF!</definedName>
    <definedName name="CL_PAY" localSheetId="0">#REF!</definedName>
    <definedName name="CL_PAY">#REF!</definedName>
    <definedName name="Closed_End" localSheetId="0">#REF!</definedName>
    <definedName name="Closed_End">#REF!</definedName>
    <definedName name="ClosingDate" localSheetId="0">#REF!</definedName>
    <definedName name="ClosingDate">#REF!</definedName>
    <definedName name="ClosingPrice" localSheetId="0">#REF!</definedName>
    <definedName name="ClosingPrice">#REF!</definedName>
    <definedName name="cmdOK2_click">#N/A</definedName>
    <definedName name="CO">"Alberto-Culver Company"</definedName>
    <definedName name="Co_name" localSheetId="0">#REF!</definedName>
    <definedName name="Co_name">#REF!</definedName>
    <definedName name="codeDestination" localSheetId="0">#REF!</definedName>
    <definedName name="codeDestination">#REF!</definedName>
    <definedName name="CODELK_Path" localSheetId="0">#REF!</definedName>
    <definedName name="CODELK_Path">#REF!</definedName>
    <definedName name="COGS" localSheetId="0">#REF!</definedName>
    <definedName name="COGS">#REF!</definedName>
    <definedName name="cogs_handsets" localSheetId="0">#REF!</definedName>
    <definedName name="cogs_handsets">#REF!</definedName>
    <definedName name="cogs_internet" localSheetId="0">#REF!</definedName>
    <definedName name="cogs_internet">#REF!</definedName>
    <definedName name="cogs_mobile" localSheetId="0">#REF!</definedName>
    <definedName name="cogs_mobile">#REF!</definedName>
    <definedName name="cogs_other" localSheetId="0">#REF!</definedName>
    <definedName name="cogs_other">#REF!</definedName>
    <definedName name="cogs1q01" localSheetId="0">#REF!</definedName>
    <definedName name="cogs1q01">#REF!</definedName>
    <definedName name="cogs1q02" localSheetId="0">#REF!</definedName>
    <definedName name="cogs1q02">#REF!</definedName>
    <definedName name="cogs2q01" localSheetId="0">#REF!</definedName>
    <definedName name="cogs2q01">#REF!</definedName>
    <definedName name="cogs2q02" localSheetId="0">#REF!</definedName>
    <definedName name="cogs2q02">#REF!</definedName>
    <definedName name="cogs3q01" localSheetId="0">#REF!</definedName>
    <definedName name="cogs3q01">#REF!</definedName>
    <definedName name="cogs3q02" localSheetId="0">#REF!</definedName>
    <definedName name="cogs3q02">#REF!</definedName>
    <definedName name="cogs4q01" localSheetId="0">#REF!</definedName>
    <definedName name="cogs4q01">#REF!</definedName>
    <definedName name="cogs4q02" localSheetId="0">#REF!</definedName>
    <definedName name="cogs4q02">#REF!</definedName>
    <definedName name="cogsfy01" localSheetId="0">#REF!</definedName>
    <definedName name="cogsfy01">#REF!</definedName>
    <definedName name="cogsfy02" localSheetId="0">#REF!</definedName>
    <definedName name="cogsfy02">#REF!</definedName>
    <definedName name="column_id" localSheetId="0">#REF!</definedName>
    <definedName name="column_id">#REF!</definedName>
    <definedName name="column_name" localSheetId="0">#REF!</definedName>
    <definedName name="column_name">#REF!</definedName>
    <definedName name="column_start" localSheetId="0">#REF!</definedName>
    <definedName name="column_start">#REF!</definedName>
    <definedName name="ColumnHeading" localSheetId="0">#REF!</definedName>
    <definedName name="ColumnHeading">#REF!</definedName>
    <definedName name="CommentCell14502" localSheetId="0" hidden="1">#REF!</definedName>
    <definedName name="CommentCell14502" hidden="1">#REF!</definedName>
    <definedName name="CommentCell17017" localSheetId="0" hidden="1">#REF!</definedName>
    <definedName name="CommentCell17017" hidden="1">#REF!</definedName>
    <definedName name="CommentCell17350" localSheetId="0" hidden="1">#REF!</definedName>
    <definedName name="CommentCell17350" hidden="1">#REF!</definedName>
    <definedName name="CommentCell18099" localSheetId="0" hidden="1">#REF!</definedName>
    <definedName name="CommentCell18099" hidden="1">#REF!</definedName>
    <definedName name="CommentCell18719" localSheetId="0" hidden="1">#REF!</definedName>
    <definedName name="CommentCell18719" hidden="1">#REF!</definedName>
    <definedName name="CommentCell1991" localSheetId="0" hidden="1">#REF!</definedName>
    <definedName name="CommentCell1991" hidden="1">#REF!</definedName>
    <definedName name="CommentCell20449" localSheetId="0" hidden="1">#REF!</definedName>
    <definedName name="CommentCell20449" hidden="1">#REF!</definedName>
    <definedName name="CommentCell26124" localSheetId="0" hidden="1">#REF!</definedName>
    <definedName name="CommentCell26124" hidden="1">#REF!</definedName>
    <definedName name="CommentCell31118" localSheetId="0" hidden="1">#REF!</definedName>
    <definedName name="CommentCell31118" hidden="1">#REF!</definedName>
    <definedName name="CommentCell38089" localSheetId="0" hidden="1">#REF!</definedName>
    <definedName name="CommentCell38089" hidden="1">#REF!</definedName>
    <definedName name="CommentCell38206" localSheetId="0" hidden="1">#REF!</definedName>
    <definedName name="CommentCell38206" hidden="1">#REF!</definedName>
    <definedName name="CommentCell3940" localSheetId="0" hidden="1">#REF!</definedName>
    <definedName name="CommentCell3940" hidden="1">#REF!</definedName>
    <definedName name="CommentCell40020" localSheetId="0" hidden="1">#REF!</definedName>
    <definedName name="CommentCell40020" hidden="1">#REF!</definedName>
    <definedName name="CommentCell40444" localSheetId="0" hidden="1">#REF!</definedName>
    <definedName name="CommentCell40444" hidden="1">#REF!</definedName>
    <definedName name="CommentCell41221" localSheetId="0" hidden="1">#REF!</definedName>
    <definedName name="CommentCell41221" hidden="1">#REF!</definedName>
    <definedName name="CommentCell44027" localSheetId="0" hidden="1">#REF!</definedName>
    <definedName name="CommentCell44027" hidden="1">#REF!</definedName>
    <definedName name="CommentCell4432" localSheetId="0" hidden="1">#REF!</definedName>
    <definedName name="CommentCell4432" hidden="1">#REF!</definedName>
    <definedName name="CommentCell44817" localSheetId="0" hidden="1">#REF!</definedName>
    <definedName name="CommentCell44817" hidden="1">#REF!</definedName>
    <definedName name="CommentCell46066" localSheetId="0" hidden="1">#REF!</definedName>
    <definedName name="CommentCell46066" hidden="1">#REF!</definedName>
    <definedName name="CommentCell46201" localSheetId="0" hidden="1">#REF!</definedName>
    <definedName name="CommentCell46201" hidden="1">#REF!</definedName>
    <definedName name="CommentCell46343" localSheetId="0" hidden="1">#REF!</definedName>
    <definedName name="CommentCell46343" hidden="1">#REF!</definedName>
    <definedName name="CommentCell47786" localSheetId="0" hidden="1">#REF!</definedName>
    <definedName name="CommentCell47786" hidden="1">#REF!</definedName>
    <definedName name="CommentCell48261" localSheetId="0" hidden="1">#REF!</definedName>
    <definedName name="CommentCell48261" hidden="1">#REF!</definedName>
    <definedName name="CommentCell49417" localSheetId="0" hidden="1">#REF!</definedName>
    <definedName name="CommentCell49417" hidden="1">#REF!</definedName>
    <definedName name="CommentCell51296" localSheetId="0" hidden="1">#REF!</definedName>
    <definedName name="CommentCell51296" hidden="1">#REF!</definedName>
    <definedName name="CommentCell55178" localSheetId="0" hidden="1">#REF!</definedName>
    <definedName name="CommentCell55178" hidden="1">#REF!</definedName>
    <definedName name="CommentCell57593" localSheetId="0" hidden="1">#REF!</definedName>
    <definedName name="CommentCell57593" hidden="1">#REF!</definedName>
    <definedName name="CommentCell61697" localSheetId="0" hidden="1">#REF!</definedName>
    <definedName name="CommentCell61697" hidden="1">#REF!</definedName>
    <definedName name="CommentCell61960" localSheetId="0" hidden="1">#REF!</definedName>
    <definedName name="CommentCell61960" hidden="1">#REF!</definedName>
    <definedName name="CommentCell62781" localSheetId="0" hidden="1">#REF!</definedName>
    <definedName name="CommentCell62781" hidden="1">#REF!</definedName>
    <definedName name="CommentCell80336" localSheetId="0" hidden="1">#REF!</definedName>
    <definedName name="CommentCell80336" hidden="1">#REF!</definedName>
    <definedName name="CommentCell8504" localSheetId="0" hidden="1">#REF!</definedName>
    <definedName name="CommentCell8504" hidden="1">#REF!</definedName>
    <definedName name="CommentCell92925" localSheetId="0" hidden="1">#REF!</definedName>
    <definedName name="CommentCell92925" hidden="1">#REF!</definedName>
    <definedName name="CommentCell93069" localSheetId="0" hidden="1">#REF!</definedName>
    <definedName name="CommentCell93069" hidden="1">#REF!</definedName>
    <definedName name="CommentCell93918" localSheetId="0" hidden="1">#REF!</definedName>
    <definedName name="CommentCell93918" hidden="1">#REF!</definedName>
    <definedName name="CommentCell94120" localSheetId="0" hidden="1">#REF!</definedName>
    <definedName name="CommentCell94120" hidden="1">#REF!</definedName>
    <definedName name="CommentCell94201" localSheetId="0" hidden="1">#REF!</definedName>
    <definedName name="CommentCell94201" hidden="1">#REF!</definedName>
    <definedName name="CommentCell94331" localSheetId="0" hidden="1">#REF!</definedName>
    <definedName name="CommentCell94331" hidden="1">#REF!</definedName>
    <definedName name="CommentCell94787" localSheetId="0" hidden="1">#REF!</definedName>
    <definedName name="CommentCell94787" hidden="1">#REF!</definedName>
    <definedName name="CommentCell94958" localSheetId="0" hidden="1">#REF!</definedName>
    <definedName name="CommentCell94958" hidden="1">#REF!</definedName>
    <definedName name="CommentCell98669" localSheetId="0" hidden="1">#REF!</definedName>
    <definedName name="CommentCell98669" hidden="1">#REF!</definedName>
    <definedName name="CommentCell99400" localSheetId="0" hidden="1">#REF!</definedName>
    <definedName name="CommentCell99400" hidden="1">#REF!</definedName>
    <definedName name="Commission_Shipping" localSheetId="0">#REF!</definedName>
    <definedName name="Commission_Shipping">#REF!</definedName>
    <definedName name="Commodity_SG_A" localSheetId="0">#REF!</definedName>
    <definedName name="Commodity_SG_A">#REF!</definedName>
    <definedName name="CommonOutstanding" localSheetId="0">#REF!</definedName>
    <definedName name="CommonOutstanding">#REF!</definedName>
    <definedName name="COMP" localSheetId="0">#REF!</definedName>
    <definedName name="COMP">#REF!</definedName>
    <definedName name="COMPANIES" localSheetId="0">#REF!</definedName>
    <definedName name="COMPANIES">#REF!</definedName>
    <definedName name="Company" localSheetId="0">#REF!</definedName>
    <definedName name="Company">#REF!</definedName>
    <definedName name="Company_reported_exceptionals" localSheetId="0">#REF!</definedName>
    <definedName name="Company_reported_exceptionals">#REF!</definedName>
    <definedName name="CompanyName" localSheetId="0">#REF!</definedName>
    <definedName name="CompanyName">#REF!</definedName>
    <definedName name="CompanyOverview1" localSheetId="0">#REF!</definedName>
    <definedName name="CompanyOverview1">#REF!</definedName>
    <definedName name="CompanyOverview2" localSheetId="0">#REF!</definedName>
    <definedName name="CompanyOverview2">#REF!</definedName>
    <definedName name="CompanyOverview3" localSheetId="0">#REF!</definedName>
    <definedName name="CompanyOverview3">#REF!</definedName>
    <definedName name="CompanyOverview4" localSheetId="0">#REF!</definedName>
    <definedName name="CompanyOverview4">#REF!</definedName>
    <definedName name="CompanyOverview5" localSheetId="0">#REF!</definedName>
    <definedName name="CompanyOverview5">#REF!</definedName>
    <definedName name="comps">#N/A</definedName>
    <definedName name="CoName" localSheetId="0">#REF!</definedName>
    <definedName name="CoName">#REF!</definedName>
    <definedName name="CoNameJ" localSheetId="0">#REF!</definedName>
    <definedName name="CoNameJ">#REF!</definedName>
    <definedName name="Concap" localSheetId="0">#REF!</definedName>
    <definedName name="Concap">#REF!</definedName>
    <definedName name="CONN_P1" localSheetId="0">#REF!</definedName>
    <definedName name="CONN_P1">#REF!</definedName>
    <definedName name="CONN_P2" localSheetId="0">#REF!</definedName>
    <definedName name="CONN_P2">#REF!</definedName>
    <definedName name="consCOVpops01" localSheetId="0">#REF!</definedName>
    <definedName name="consCOVpops01">#REF!</definedName>
    <definedName name="Consensus" localSheetId="0">#REF!</definedName>
    <definedName name="Consensus">#REF!</definedName>
    <definedName name="Consolidated_Cash_Flow_Statement" localSheetId="0">#REF!</definedName>
    <definedName name="Consolidated_Cash_Flow_Statement">#REF!</definedName>
    <definedName name="consolidated_company_id" localSheetId="0">#REF!</definedName>
    <definedName name="consolidated_company_id">#REF!</definedName>
    <definedName name="Content" localSheetId="0">#REF!</definedName>
    <definedName name="Content">#REF!</definedName>
    <definedName name="ContentsHelp" hidden="1">#N/A</definedName>
    <definedName name="CONTRIBUTIONS" localSheetId="0">#REF!</definedName>
    <definedName name="CONTRIBUTIONS">#REF!</definedName>
    <definedName name="control" localSheetId="0">#REF!</definedName>
    <definedName name="control">#REF!</definedName>
    <definedName name="ContTerminala" localSheetId="0">#REF!</definedName>
    <definedName name="ContTerminala">#REF!</definedName>
    <definedName name="ContTerminala1" localSheetId="0">#REF!</definedName>
    <definedName name="ContTerminala1">#REF!</definedName>
    <definedName name="ContTerminalb" localSheetId="0">#REF!</definedName>
    <definedName name="ContTerminalb">#REF!</definedName>
    <definedName name="ContTerminalb1" localSheetId="0">#REF!</definedName>
    <definedName name="ContTerminalb1">#REF!</definedName>
    <definedName name="conversion_rate" localSheetId="0">#REF!</definedName>
    <definedName name="conversion_rate">#REF!</definedName>
    <definedName name="Convertibles_options" localSheetId="0">#REF!</definedName>
    <definedName name="Convertibles_options">#REF!</definedName>
    <definedName name="copia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ia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ia" localSheetId="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y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opy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opy" localSheetId="4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op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opy_Area" localSheetId="0">#REF!</definedName>
    <definedName name="Copy_Area">#REF!</definedName>
    <definedName name="Copy_Table" localSheetId="0">#REF!</definedName>
    <definedName name="Copy_Table">#REF!</definedName>
    <definedName name="Copy_Table_J" localSheetId="0">#REF!</definedName>
    <definedName name="Copy_Table_J">#REF!</definedName>
    <definedName name="CopyArea" localSheetId="0">#REF!</definedName>
    <definedName name="CopyArea">#REF!</definedName>
    <definedName name="CORPE00" localSheetId="0">#REF!</definedName>
    <definedName name="CORPE00">#REF!</definedName>
    <definedName name="CORPE00PF" localSheetId="0">#REF!</definedName>
    <definedName name="CORPE00PF">#REF!</definedName>
    <definedName name="CORPE01" localSheetId="0">#REF!</definedName>
    <definedName name="CORPE01">#REF!</definedName>
    <definedName name="CORPE02" localSheetId="0">#REF!</definedName>
    <definedName name="CORPE02">#REF!</definedName>
    <definedName name="CORPE93" localSheetId="0">#REF!</definedName>
    <definedName name="CORPE93">#REF!</definedName>
    <definedName name="CORPE94" localSheetId="0">#REF!</definedName>
    <definedName name="CORPE94">#REF!</definedName>
    <definedName name="CORPE95" localSheetId="0">#REF!</definedName>
    <definedName name="CORPE95">#REF!</definedName>
    <definedName name="CORPE96" localSheetId="0">#REF!</definedName>
    <definedName name="CORPE96">#REF!</definedName>
    <definedName name="CORPE97" localSheetId="0">#REF!</definedName>
    <definedName name="CORPE97">#REF!</definedName>
    <definedName name="CORPE98" localSheetId="0">#REF!</definedName>
    <definedName name="CORPE98">#REF!</definedName>
    <definedName name="CORPE99" localSheetId="0">#REF!</definedName>
    <definedName name="CORPE99">#REF!</definedName>
    <definedName name="CORPE99PF" localSheetId="0">#REF!</definedName>
    <definedName name="CORPE99PF">#REF!</definedName>
    <definedName name="COS" localSheetId="0">#REF!</definedName>
    <definedName name="COS">#REF!</definedName>
    <definedName name="Cost_of_goods_sold" localSheetId="0">#REF!</definedName>
    <definedName name="Cost_of_goods_sold">#REF!</definedName>
    <definedName name="Cost_Variation_Adj" localSheetId="0">#REF!</definedName>
    <definedName name="Cost_Variation_Adj">#REF!</definedName>
    <definedName name="COSTOFDEBT" localSheetId="0">#REF!</definedName>
    <definedName name="COSTOFDEBT">#REF!</definedName>
    <definedName name="costsav" localSheetId="0">#REF!</definedName>
    <definedName name="costsav">#REF!</definedName>
    <definedName name="COUNT" localSheetId="0">#REF!</definedName>
    <definedName name="COUNT">#REF!</definedName>
    <definedName name="COUNT2" localSheetId="0">#REF!</definedName>
    <definedName name="COUNT2">#REF!</definedName>
    <definedName name="Country" localSheetId="0">#REF!</definedName>
    <definedName name="country">#REF!</definedName>
    <definedName name="CountryList" localSheetId="0">#REF!</definedName>
    <definedName name="CountryList">#REF!</definedName>
    <definedName name="CountryName" localSheetId="0">#REF!</definedName>
    <definedName name="CountryName">#REF!</definedName>
    <definedName name="Cov_00_PS" localSheetId="0">#REF!</definedName>
    <definedName name="Cov_00_PS">#REF!</definedName>
    <definedName name="Cov_00_Rev" localSheetId="0">#REF!</definedName>
    <definedName name="Cov_00_Rev">#REF!</definedName>
    <definedName name="Cov_97_PS" localSheetId="0">#REF!</definedName>
    <definedName name="Cov_97_PS">#REF!</definedName>
    <definedName name="Cov_97_Rev" localSheetId="0">#REF!</definedName>
    <definedName name="Cov_97_Rev">#REF!</definedName>
    <definedName name="Cov_98_PS" localSheetId="0">#REF!</definedName>
    <definedName name="Cov_98_PS">#REF!</definedName>
    <definedName name="Cov_98_Rev" localSheetId="0">#REF!</definedName>
    <definedName name="Cov_98_Rev">#REF!</definedName>
    <definedName name="Cov_99_PS" localSheetId="0">#REF!</definedName>
    <definedName name="Cov_99_PS">#REF!</definedName>
    <definedName name="Cov_99_Rev" localSheetId="0">#REF!</definedName>
    <definedName name="Cov_99_Rev">#REF!</definedName>
    <definedName name="Cov_EPS_00" localSheetId="0">#REF!</definedName>
    <definedName name="Cov_EPS_00">#REF!</definedName>
    <definedName name="Cov_EPS_98" localSheetId="0">#REF!</definedName>
    <definedName name="Cov_EPS_98">#REF!</definedName>
    <definedName name="Cov_EPS_99" localSheetId="0">#REF!</definedName>
    <definedName name="Cov_EPS_99">#REF!</definedName>
    <definedName name="Cov_Mkt_Cap" localSheetId="0">#REF!</definedName>
    <definedName name="Cov_Mkt_Cap">#REF!</definedName>
    <definedName name="Cov_Off_High" localSheetId="0">#REF!</definedName>
    <definedName name="Cov_Off_High">#REF!</definedName>
    <definedName name="Cov_Perf_97" localSheetId="0">#REF!</definedName>
    <definedName name="Cov_Perf_97">#REF!</definedName>
    <definedName name="Cov_Perf_98" localSheetId="0">#REF!</definedName>
    <definedName name="Cov_Perf_98">#REF!</definedName>
    <definedName name="Cov_Perf_99" localSheetId="0">#REF!</definedName>
    <definedName name="Cov_Perf_99">#REF!</definedName>
    <definedName name="cov_perf_99b" localSheetId="0">#REF!</definedName>
    <definedName name="cov_perf_99b">#REF!</definedName>
    <definedName name="Cov_Univ_Avg" localSheetId="0">#REF!</definedName>
    <definedName name="Cov_Univ_Avg">#REF!</definedName>
    <definedName name="Cov_Univ_Total" localSheetId="0">#REF!</definedName>
    <definedName name="Cov_Univ_Total">#REF!</definedName>
    <definedName name="CPCS" localSheetId="0">#REF!</definedName>
    <definedName name="CPCS">#REF!</definedName>
    <definedName name="CPRating" localSheetId="0">#REF!</definedName>
    <definedName name="CPRating">#REF!</definedName>
    <definedName name="CR" localSheetId="0">#REF!</definedName>
    <definedName name="CR">#REF!</definedName>
    <definedName name="Cransco" localSheetId="0">#REF!</definedName>
    <definedName name="Cransco">#REF!</definedName>
    <definedName name="cratios" localSheetId="0">#REF!</definedName>
    <definedName name="cratios">#REF!</definedName>
    <definedName name="CreateTable" hidden="1">#N/A</definedName>
    <definedName name="_xlnm.Criteria" localSheetId="0">#REF!</definedName>
    <definedName name="_xlnm.Criteria">#REF!</definedName>
    <definedName name="cs" localSheetId="0">#REF!</definedName>
    <definedName name="cs">#REF!</definedName>
    <definedName name="CTopics" localSheetId="0">#REF!</definedName>
    <definedName name="CTopics">#REF!</definedName>
    <definedName name="CTR" localSheetId="0">#REF!</definedName>
    <definedName name="CTR">#REF!</definedName>
    <definedName name="cu102.ShareScalingFactor" hidden="1">1000000</definedName>
    <definedName name="cu103.EmployeeScalingFactor" hidden="1">1000</definedName>
    <definedName name="cu107.DPSSymbol" hidden="1">"R$"</definedName>
    <definedName name="cu107.EPSSymbol" hidden="1">"R$"</definedName>
    <definedName name="cu71.ScalingFactor" hidden="1">1000000</definedName>
    <definedName name="Cube" localSheetId="0">#REF!</definedName>
    <definedName name="Cube">#REF!</definedName>
    <definedName name="Cumulative_Effects" localSheetId="0">#REF!</definedName>
    <definedName name="Cumulative_Effects">#REF!</definedName>
    <definedName name="CurrencyList" localSheetId="0">#REF!</definedName>
    <definedName name="CurrencyList">#REF!</definedName>
    <definedName name="Current_cost_adjusted_net_income" localSheetId="0">#REF!</definedName>
    <definedName name="Current_cost_adjusted_net_income">#REF!</definedName>
    <definedName name="current_earnings_footnote" localSheetId="0">#REF!</definedName>
    <definedName name="current_earnings_footnote">#REF!</definedName>
    <definedName name="CurrentAssets" localSheetId="0">#REF!</definedName>
    <definedName name="CurrentAssets">#REF!</definedName>
    <definedName name="CurrentLiabilities" localSheetId="0">#REF!</definedName>
    <definedName name="CurrentLiabilities">#REF!</definedName>
    <definedName name="CurrentLiabilitiesUMG" localSheetId="0">#REF!</definedName>
    <definedName name="CurrentLiabilitiesUMG">#REF!</definedName>
    <definedName name="Customer_advances" localSheetId="0">#REF!</definedName>
    <definedName name="Customer_advances">#REF!</definedName>
    <definedName name="Customer_deposits_growth_fore" localSheetId="0">#REF!</definedName>
    <definedName name="Customer_deposits_growth_fore">#REF!</definedName>
    <definedName name="cvcvcvcv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vcvcvcv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vcvcvcv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vcvcvcv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w" localSheetId="0">#REF!</definedName>
    <definedName name="cw">#REF!</definedName>
    <definedName name="Cwvu.GREY_ALL." localSheetId="0" hidden="1">#REF!</definedName>
    <definedName name="Cwvu.GREY_ALL." hidden="1">#REF!</definedName>
    <definedName name="CY_ANNUAL" localSheetId="0">#REF!</definedName>
    <definedName name="CY_ANNUAL">#REF!</definedName>
    <definedName name="d" localSheetId="5" hidden="1">{"FTSE100","COMPANIES",TRUE}</definedName>
    <definedName name="d" localSheetId="0" hidden="1">#REF!</definedName>
    <definedName name="d" localSheetId="4" hidden="1">{"FTSE100","COMPANIES",TRUE}</definedName>
    <definedName name="d" hidden="1">{"FTSE100","COMPANIES",TRUE}</definedName>
    <definedName name="DA" localSheetId="0">#REF!</definedName>
    <definedName name="DA">#REF!</definedName>
    <definedName name="dal" localSheetId="0">#REF!</definedName>
    <definedName name="dal">#REF!</definedName>
    <definedName name="danda1997" localSheetId="0">#REF!</definedName>
    <definedName name="danda1997">#REF!</definedName>
    <definedName name="danda1998" localSheetId="0">#REF!</definedName>
    <definedName name="danda1998">#REF!</definedName>
    <definedName name="danda1999" localSheetId="0">#REF!</definedName>
    <definedName name="danda1999">#REF!</definedName>
    <definedName name="danda2000" localSheetId="0">#REF!</definedName>
    <definedName name="danda2000">#REF!</definedName>
    <definedName name="danda2001" localSheetId="0">#REF!</definedName>
    <definedName name="danda2001">#REF!</definedName>
    <definedName name="danda2002" localSheetId="0">#REF!</definedName>
    <definedName name="danda2002">#REF!</definedName>
    <definedName name="danda2003" localSheetId="0">#REF!</definedName>
    <definedName name="danda2003">#REF!</definedName>
    <definedName name="DAP00" localSheetId="0">#REF!</definedName>
    <definedName name="DAP00">#REF!</definedName>
    <definedName name="DAP00PF" localSheetId="0">#REF!</definedName>
    <definedName name="DAP00PF">#REF!</definedName>
    <definedName name="DAP99PF" localSheetId="0">#REF!</definedName>
    <definedName name="DAP99PF">#REF!</definedName>
    <definedName name="DARYA" localSheetId="0">#REF!</definedName>
    <definedName name="DARYA">#REF!</definedName>
    <definedName name="dash" localSheetId="0">#REF!</definedName>
    <definedName name="dash">#REF!</definedName>
    <definedName name="data_type_id" localSheetId="0">#REF!</definedName>
    <definedName name="data_type_id">#REF!</definedName>
    <definedName name="Data1.1" localSheetId="0">#REF!</definedName>
    <definedName name="Data1.1">#REF!</definedName>
    <definedName name="Data1.2" localSheetId="0">#REF!</definedName>
    <definedName name="Data1.2">#REF!</definedName>
    <definedName name="Data2.1" localSheetId="0">#REF!</definedName>
    <definedName name="Data2.1">#REF!</definedName>
    <definedName name="Data2.2" localSheetId="0">#REF!</definedName>
    <definedName name="Data2.2">#REF!</definedName>
    <definedName name="Data3.1" localSheetId="0">#REF!</definedName>
    <definedName name="Data3.1">#REF!</definedName>
    <definedName name="Data3.2" localSheetId="0">#REF!</definedName>
    <definedName name="Data3.2">#REF!</definedName>
    <definedName name="Data4.1" localSheetId="0">#REF!</definedName>
    <definedName name="Data4.1">#REF!</definedName>
    <definedName name="Data4.2" localSheetId="0">#REF!</definedName>
    <definedName name="Data4.2">#REF!</definedName>
    <definedName name="Data5.1" localSheetId="0">#REF!</definedName>
    <definedName name="Data5.1">#REF!</definedName>
    <definedName name="Data5.2" localSheetId="0">#REF!</definedName>
    <definedName name="Data5.2">#REF!</definedName>
    <definedName name="_xlnm.Database" localSheetId="0">#REF!</definedName>
    <definedName name="_xlnm.Database">#REF!</definedName>
    <definedName name="DataItem" localSheetId="0">#REF!</definedName>
    <definedName name="DataItem">#REF!</definedName>
    <definedName name="dataLink_ver1__Sheet1_List" localSheetId="0">#REF!</definedName>
    <definedName name="dataLink_ver1__Sheet1_List">#REF!</definedName>
    <definedName name="Datastream" localSheetId="0">#REF!</definedName>
    <definedName name="Datastream">#REF!</definedName>
    <definedName name="DATE" localSheetId="0">#REF!</definedName>
    <definedName name="DATE">#REF!</definedName>
    <definedName name="date_of_last_bvps_update" localSheetId="0">#REF!</definedName>
    <definedName name="date_of_last_bvps_update">#REF!</definedName>
    <definedName name="date_of_last_eps_update" localSheetId="0">#REF!</definedName>
    <definedName name="date_of_last_eps_update">#REF!</definedName>
    <definedName name="date1" localSheetId="0">#REF!</definedName>
    <definedName name="date1">#REF!</definedName>
    <definedName name="DATES" localSheetId="0">#REF!</definedName>
    <definedName name="DATES">#REF!</definedName>
    <definedName name="david" localSheetId="0">#REF!,#REF!,#REF!,#REF!,#REF!,#REF!,#REF!</definedName>
    <definedName name="david">#REF!,#REF!,#REF!,#REF!,#REF!,#REF!,#REF!</definedName>
    <definedName name="DB" localSheetId="0">#REF!</definedName>
    <definedName name="DB">#REF!</definedName>
    <definedName name="db_lines" localSheetId="0">#REF!</definedName>
    <definedName name="db_lines">#REF!</definedName>
    <definedName name="dbs50_dpsg" localSheetId="0">#REF!</definedName>
    <definedName name="dbs50_dpsg">#REF!</definedName>
    <definedName name="dbs50_epsg" localSheetId="0">#REF!</definedName>
    <definedName name="dbs50_epsg">#REF!</definedName>
    <definedName name="DC" localSheetId="0">#REF!</definedName>
    <definedName name="dc">#REF!</definedName>
    <definedName name="dcf" localSheetId="0">#REF!</definedName>
    <definedName name="dcf" hidden="1">#REF!</definedName>
    <definedName name="DCF_EY1" localSheetId="0">#REF!</definedName>
    <definedName name="DCF_EY1">#REF!</definedName>
    <definedName name="DCF_EY10" localSheetId="0">#REF!</definedName>
    <definedName name="DCF_EY10">#REF!</definedName>
    <definedName name="DCF_EY14" localSheetId="0">#REF!</definedName>
    <definedName name="DCF_EY14">#REF!</definedName>
    <definedName name="DCF_EY15" localSheetId="0">#REF!</definedName>
    <definedName name="DCF_EY15">#REF!</definedName>
    <definedName name="DCF_EY2" localSheetId="0">#REF!</definedName>
    <definedName name="DCF_EY2">#REF!</definedName>
    <definedName name="DCF_EY24" localSheetId="0">#REF!</definedName>
    <definedName name="DCF_EY24">#REF!</definedName>
    <definedName name="DCF_EY25" localSheetId="0">#REF!</definedName>
    <definedName name="DCF_EY25">#REF!</definedName>
    <definedName name="DCF_EY3" localSheetId="0">#REF!</definedName>
    <definedName name="DCF_EY3">#REF!</definedName>
    <definedName name="DCF_EY4" localSheetId="0">#REF!</definedName>
    <definedName name="DCF_EY4">#REF!</definedName>
    <definedName name="DCF_EY5" localSheetId="0">#REF!</definedName>
    <definedName name="DCF_EY5">#REF!</definedName>
    <definedName name="DCF_EY9" localSheetId="0">#REF!</definedName>
    <definedName name="DCF_EY9">#REF!</definedName>
    <definedName name="dcf_hazardous" localSheetId="0">#REF!</definedName>
    <definedName name="dcf_hazardous">#REF!</definedName>
    <definedName name="DCF_P" localSheetId="0">#REF!</definedName>
    <definedName name="DCF_P">#REF!</definedName>
    <definedName name="dcf_passenger" localSheetId="0">#REF!</definedName>
    <definedName name="dcf_passenger">#REF!</definedName>
    <definedName name="dcf_solid" localSheetId="0">#REF!</definedName>
    <definedName name="dcf_solid">#REF!</definedName>
    <definedName name="dcf_value" localSheetId="0">#REF!</definedName>
    <definedName name="dcf_value">#REF!</definedName>
    <definedName name="DCFINPUTS" localSheetId="0">#REF!</definedName>
    <definedName name="DCFINPUTS">#REF!</definedName>
    <definedName name="DCFMATRIX" localSheetId="0">#REF!</definedName>
    <definedName name="DCFMATRIX">#REF!</definedName>
    <definedName name="dd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D">#REF!</definedName>
    <definedName name="ddd" localSheetId="5" hidden="1">{#N/A,#N/A,FALSE,"FACTSHEETS";#N/A,#N/A,FALSE,"pump";#N/A,#N/A,FALSE,"filter"}</definedName>
    <definedName name="ddd" localSheetId="0" hidden="1">{#N/A,#N/A,FALSE,"FACTSHEETS";#N/A,#N/A,FALSE,"pump";#N/A,#N/A,FALSE,"filter"}</definedName>
    <definedName name="ddd" localSheetId="4" hidden="1">{#N/A,#N/A,FALSE,"FACTSHEETS";#N/A,#N/A,FALSE,"pump";#N/A,#N/A,FALSE,"filter"}</definedName>
    <definedName name="ddd" hidden="1">{#N/A,#N/A,FALSE,"FACTSHEETS";#N/A,#N/A,FALSE,"pump";#N/A,#N/A,FALSE,"filter"}</definedName>
    <definedName name="DE" localSheetId="0">#REF!</definedName>
    <definedName name="DE">#REF!</definedName>
    <definedName name="debt" localSheetId="0">#REF!</definedName>
    <definedName name="debt">#REF!</definedName>
    <definedName name="DEBT_CAP" localSheetId="0">#REF!</definedName>
    <definedName name="DEBT_CAP">#REF!</definedName>
    <definedName name="DEBT_EBITDA" localSheetId="0">#REF!</definedName>
    <definedName name="DEBT_EBITDA">#REF!</definedName>
    <definedName name="Debt_growth" localSheetId="0">#REF!</definedName>
    <definedName name="Debt_growth">#REF!</definedName>
    <definedName name="Debt_Market_Cap_Ratio" localSheetId="0">#REF!</definedName>
    <definedName name="Debt_Market_Cap_Ratio">#REF!</definedName>
    <definedName name="debt_shr01AACB" localSheetId="0">#REF!</definedName>
    <definedName name="debt_shr01AACB">#REF!</definedName>
    <definedName name="debt_shr01AEN" localSheetId="0">#REF!</definedName>
    <definedName name="debt_shr01AEN">#REF!</definedName>
    <definedName name="debt_shr01AOL" localSheetId="0">#REF!</definedName>
    <definedName name="debt_shr01AOL">#REF!</definedName>
    <definedName name="debt_shr01BBI" localSheetId="0">#REF!</definedName>
    <definedName name="debt_shr01BBI">#REF!</definedName>
    <definedName name="debt_shr01CRWN" localSheetId="0">#REF!</definedName>
    <definedName name="debt_shr01CRWN">#REF!</definedName>
    <definedName name="debt_shr01DIS" localSheetId="0">#REF!</definedName>
    <definedName name="debt_shr01DIS">#REF!</definedName>
    <definedName name="debt_shr01FOX" localSheetId="0">#REF!</definedName>
    <definedName name="debt_shr01FOX">#REF!</definedName>
    <definedName name="debt_shr01HLYW" localSheetId="0">#REF!</definedName>
    <definedName name="debt_shr01HLYW">#REF!</definedName>
    <definedName name="debt_shr01IMAX" localSheetId="0">#REF!</definedName>
    <definedName name="debt_shr01IMAX">#REF!</definedName>
    <definedName name="debt_shr01MGM" localSheetId="0">#REF!</definedName>
    <definedName name="debt_shr01MGM">#REF!</definedName>
    <definedName name="debt_shr01NWS" localSheetId="0">#REF!</definedName>
    <definedName name="debt_shr01NWS">#REF!</definedName>
    <definedName name="debt_shr01NWSA" localSheetId="0">#REF!</definedName>
    <definedName name="debt_shr01NWSA">#REF!</definedName>
    <definedName name="debt_shr01NWSAexFOX" localSheetId="0">#REF!</definedName>
    <definedName name="debt_shr01NWSAexFOX">#REF!</definedName>
    <definedName name="debt_shr01RMG" localSheetId="0">#REF!</definedName>
    <definedName name="debt_shr01RMG">#REF!</definedName>
    <definedName name="debt_shr01USAI" localSheetId="0">#REF!</definedName>
    <definedName name="debt_shr01USAI">#REF!</definedName>
    <definedName name="debt_shr01V" localSheetId="0">#REF!</definedName>
    <definedName name="debt_shr01V">#REF!</definedName>
    <definedName name="debt_shr01VIAB" localSheetId="0">#REF!</definedName>
    <definedName name="debt_shr01VIAB">#REF!</definedName>
    <definedName name="debt1997" localSheetId="0">#REF!</definedName>
    <definedName name="debt1997">#REF!</definedName>
    <definedName name="debt1998" localSheetId="0">#REF!</definedName>
    <definedName name="debt1998">#REF!</definedName>
    <definedName name="debt1999" localSheetId="0">#REF!</definedName>
    <definedName name="debt1999">#REF!</definedName>
    <definedName name="debt2000" localSheetId="0">#REF!</definedName>
    <definedName name="debt2000">#REF!</definedName>
    <definedName name="debt2001" localSheetId="0">#REF!</definedName>
    <definedName name="debt2001">#REF!</definedName>
    <definedName name="debt2002" localSheetId="0">#REF!</definedName>
    <definedName name="debt2002">#REF!</definedName>
    <definedName name="debt2003" localSheetId="0">#REF!</definedName>
    <definedName name="debt2003">#REF!</definedName>
    <definedName name="DebtPayableWithinOneYear" localSheetId="0">#REF!</definedName>
    <definedName name="DebtPayableWithinOneYear">#REF!</definedName>
    <definedName name="DebtPayableWithinOneYearUMG" localSheetId="0">#REF!</definedName>
    <definedName name="DebtPayableWithinOneYearUMG">#REF!</definedName>
    <definedName name="DEBTS" localSheetId="0">#REF!</definedName>
    <definedName name="DEBTS">#REF!</definedName>
    <definedName name="Decline" localSheetId="0">#REF!</definedName>
    <definedName name="Decline">#REF!</definedName>
    <definedName name="decrease" localSheetId="0">#REF!</definedName>
    <definedName name="decrease">#REF!</definedName>
    <definedName name="Decreased" localSheetId="0">#REF!</definedName>
    <definedName name="Decreased">#REF!</definedName>
    <definedName name="DED" localSheetId="0">#REF!</definedName>
    <definedName name="DED">#REF!</definedName>
    <definedName name="DEFBEN00" localSheetId="0">#REF!</definedName>
    <definedName name="DEFBEN00">#REF!</definedName>
    <definedName name="DEFBEN00PF" localSheetId="0">#REF!</definedName>
    <definedName name="DEFBEN00PF">#REF!</definedName>
    <definedName name="DEFBEN01" localSheetId="0">#REF!</definedName>
    <definedName name="DEFBEN01">#REF!</definedName>
    <definedName name="DEFBEN98" localSheetId="0">#REF!</definedName>
    <definedName name="DEFBEN98">#REF!</definedName>
    <definedName name="DEFBEN99" localSheetId="0">#REF!</definedName>
    <definedName name="DEFBEN99">#REF!</definedName>
    <definedName name="Deferred_tax_asset_growth_fore" localSheetId="0">#REF!</definedName>
    <definedName name="Deferred_tax_asset_growth_fore">#REF!</definedName>
    <definedName name="Deferred_tax_liability_growth_fore" localSheetId="0">#REF!</definedName>
    <definedName name="Deferred_tax_liability_growth_fore">#REF!</definedName>
    <definedName name="deftaxes00" localSheetId="0">#REF!</definedName>
    <definedName name="deftaxes00">#REF!</definedName>
    <definedName name="deftaxes01" localSheetId="0">#REF!</definedName>
    <definedName name="deftaxes01">#REF!</definedName>
    <definedName name="deftaxes02" localSheetId="0">#REF!</definedName>
    <definedName name="deftaxes02">#REF!</definedName>
    <definedName name="deftaxes03" localSheetId="0">#REF!</definedName>
    <definedName name="deftaxes03">#REF!</definedName>
    <definedName name="deftaxes04" localSheetId="0">#REF!</definedName>
    <definedName name="deftaxes04">#REF!</definedName>
    <definedName name="deftaxes2003" localSheetId="0">#REF!</definedName>
    <definedName name="deftaxes2003">#REF!</definedName>
    <definedName name="deftaxes96" localSheetId="0">#REF!</definedName>
    <definedName name="deftaxes96">#REF!</definedName>
    <definedName name="deftaxes97" localSheetId="0">#REF!</definedName>
    <definedName name="deftaxes97">#REF!</definedName>
    <definedName name="deftaxes98" localSheetId="0">#REF!</definedName>
    <definedName name="deftaxes98">#REF!</definedName>
    <definedName name="DeleteRange" hidden="1">#N/A</definedName>
    <definedName name="DeleteTable" hidden="1">#N/A</definedName>
    <definedName name="dep" localSheetId="0">#REF!</definedName>
    <definedName name="dep">#REF!</definedName>
    <definedName name="Dep_and_Amort" localSheetId="0">#REF!</definedName>
    <definedName name="Dep_and_Amort">#REF!</definedName>
    <definedName name="Dep_margin_fore" localSheetId="0">#REF!</definedName>
    <definedName name="Dep_margin_fore">#REF!</definedName>
    <definedName name="Depr" localSheetId="0">#REF!</definedName>
    <definedName name="Depr">#REF!</definedName>
    <definedName name="Deprec_SG_A" localSheetId="0">#REF!</definedName>
    <definedName name="Deprec_SG_A">#REF!</definedName>
    <definedName name="Depreciation" localSheetId="0">#REF!</definedName>
    <definedName name="Depreciation">#REF!</definedName>
    <definedName name="Depreciation_fore" localSheetId="0">#REF!</definedName>
    <definedName name="Depreciation_fore">#REF!</definedName>
    <definedName name="Depreciation_IS_C67" localSheetId="0">#REF!</definedName>
    <definedName name="Depreciation_IS_C67">#REF!</definedName>
    <definedName name="Depreciations" localSheetId="0">#REF!</definedName>
    <definedName name="Depreciations">#REF!</definedName>
    <definedName name="deriv_spon_type_id" localSheetId="0">#REF!</definedName>
    <definedName name="deriv_spon_type_id">#REF!</definedName>
    <definedName name="deriv_type_id" localSheetId="0">#REF!</definedName>
    <definedName name="deriv_type_id">#REF!</definedName>
    <definedName name="DES" localSheetId="0">#REF!</definedName>
    <definedName name="DES">#REF!</definedName>
    <definedName name="description" localSheetId="0">#REF!</definedName>
    <definedName name="description">#REF!</definedName>
    <definedName name="desktop" localSheetId="0">#REF!</definedName>
    <definedName name="desktop">#REF!</definedName>
    <definedName name="DetailColumns" localSheetId="0">#REF!</definedName>
    <definedName name="DetailColumns">#REF!</definedName>
    <definedName name="DFASDFD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fasdfsdf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asdfsdf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asdfsdf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asdfsdf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d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dfd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dfd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dfd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dfdf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" localSheetId="5" hidden="1">{#N/A,#N/A,FALSE,"Const";#N/A,#N/A,FALSE,"P&amp;L";#N/A,#N/A,FALSE,"Sale"}</definedName>
    <definedName name="dfg" localSheetId="0" hidden="1">{#N/A,#N/A,FALSE,"Const";#N/A,#N/A,FALSE,"P&amp;L";#N/A,#N/A,FALSE,"Sale"}</definedName>
    <definedName name="dfg" localSheetId="4" hidden="1">{#N/A,#N/A,FALSE,"Const";#N/A,#N/A,FALSE,"P&amp;L";#N/A,#N/A,FALSE,"Sale"}</definedName>
    <definedName name="dfg" hidden="1">{#N/A,#N/A,FALSE,"Const";#N/A,#N/A,FALSE,"P&amp;L";#N/A,#N/A,FALSE,"Sale"}</definedName>
    <definedName name="dfgd" localSheetId="5" hidden="1">{#N/A,#N/A,FALSE,"Const";#N/A,#N/A,FALSE,"P&amp;L";#N/A,#N/A,FALSE,"Sale"}</definedName>
    <definedName name="dfgd" localSheetId="0" hidden="1">{#N/A,#N/A,FALSE,"Const";#N/A,#N/A,FALSE,"P&amp;L";#N/A,#N/A,FALSE,"Sale"}</definedName>
    <definedName name="dfgd" localSheetId="4" hidden="1">{#N/A,#N/A,FALSE,"Const";#N/A,#N/A,FALSE,"P&amp;L";#N/A,#N/A,FALSE,"Sale"}</definedName>
    <definedName name="dfgd" hidden="1">{#N/A,#N/A,FALSE,"Const";#N/A,#N/A,FALSE,"P&amp;L";#N/A,#N/A,FALSE,"Sale"}</definedName>
    <definedName name="dfgdf" localSheetId="5" hidden="1">{#N/A,#N/A,FALSE,"Const";#N/A,#N/A,FALSE,"P&amp;L";#N/A,#N/A,FALSE,"Sale"}</definedName>
    <definedName name="dfgdf" localSheetId="0" hidden="1">{#N/A,#N/A,FALSE,"Const";#N/A,#N/A,FALSE,"P&amp;L";#N/A,#N/A,FALSE,"Sale"}</definedName>
    <definedName name="dfgdf" localSheetId="4" hidden="1">{#N/A,#N/A,FALSE,"Const";#N/A,#N/A,FALSE,"P&amp;L";#N/A,#N/A,FALSE,"Sale"}</definedName>
    <definedName name="dfgdf" hidden="1">{#N/A,#N/A,FALSE,"Const";#N/A,#N/A,FALSE,"P&amp;L";#N/A,#N/A,FALSE,"Sale"}</definedName>
    <definedName name="dfk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sdfasdf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sdfasdf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sdfasdf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fsdfasdf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dg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IA" localSheetId="0">#REF!</definedName>
    <definedName name="DIA">#REF!</definedName>
    <definedName name="dial_around_services" localSheetId="0">#REF!</definedName>
    <definedName name="dial_around_services">#REF!</definedName>
    <definedName name="disc" localSheetId="0">#REF!</definedName>
    <definedName name="disc">#REF!</definedName>
    <definedName name="disCABLE00" localSheetId="0">#REF!</definedName>
    <definedName name="disCABLE00">#REF!</definedName>
    <definedName name="disCABLE01" localSheetId="0">#REF!</definedName>
    <definedName name="disCABLE01">#REF!</definedName>
    <definedName name="disCABLE02" localSheetId="0">#REF!</definedName>
    <definedName name="disCABLE02">#REF!</definedName>
    <definedName name="disCABLE98" localSheetId="0">#REF!</definedName>
    <definedName name="disCABLE98">#REF!</definedName>
    <definedName name="disCABLE99" localSheetId="0">#REF!</definedName>
    <definedName name="disCABLE99">#REF!</definedName>
    <definedName name="Discont_Dept_Gain_Loss" localSheetId="0">#REF!</definedName>
    <definedName name="Discont_Dept_Gain_Loss">#REF!</definedName>
    <definedName name="Discount_factor" localSheetId="0">#REF!</definedName>
    <definedName name="Discount_factor">#REF!</definedName>
    <definedName name="disFE00" localSheetId="0">#REF!</definedName>
    <definedName name="disFE00">#REF!</definedName>
    <definedName name="disFE01" localSheetId="0">#REF!</definedName>
    <definedName name="disFE01">#REF!</definedName>
    <definedName name="disFE02" localSheetId="0">#REF!</definedName>
    <definedName name="disFE02">#REF!</definedName>
    <definedName name="disFE03" localSheetId="0">#REF!</definedName>
    <definedName name="disFE03">#REF!</definedName>
    <definedName name="disFE04" localSheetId="0">#REF!</definedName>
    <definedName name="disFE04">#REF!</definedName>
    <definedName name="disFE98" localSheetId="0">#REF!</definedName>
    <definedName name="disFE98">#REF!</definedName>
    <definedName name="disFE99" localSheetId="0">#REF!</definedName>
    <definedName name="disFE99">#REF!</definedName>
    <definedName name="disGOOD00" localSheetId="0">#REF!</definedName>
    <definedName name="disGOOD00">#REF!</definedName>
    <definedName name="disGOOD01" localSheetId="0">#REF!</definedName>
    <definedName name="disGOOD01">#REF!</definedName>
    <definedName name="disGOOD02" localSheetId="0">#REF!</definedName>
    <definedName name="disGOOD02">#REF!</definedName>
    <definedName name="disGOOD98" localSheetId="0">#REF!</definedName>
    <definedName name="disGOOD98">#REF!</definedName>
    <definedName name="disGOOD99" localSheetId="0">#REF!</definedName>
    <definedName name="disGOOD99">#REF!</definedName>
    <definedName name="Dish_cost" localSheetId="0">#REF!</definedName>
    <definedName name="Dish_cost">#REF!</definedName>
    <definedName name="DISH_NonE00" localSheetId="0">#REF!</definedName>
    <definedName name="DISH_NonE00">#REF!</definedName>
    <definedName name="disNET00" localSheetId="0">#REF!</definedName>
    <definedName name="disNET00">#REF!</definedName>
    <definedName name="disNET01" localSheetId="0">#REF!</definedName>
    <definedName name="disNET01">#REF!</definedName>
    <definedName name="disNET02" localSheetId="0">#REF!</definedName>
    <definedName name="disNET02">#REF!</definedName>
    <definedName name="disNET98" localSheetId="0">#REF!</definedName>
    <definedName name="disNET98">#REF!</definedName>
    <definedName name="disNET99" localSheetId="0">#REF!</definedName>
    <definedName name="disNET99">#REF!</definedName>
    <definedName name="disOTHER00" localSheetId="0">#REF!</definedName>
    <definedName name="disOTHER00">#REF!</definedName>
    <definedName name="disOTHER01" localSheetId="0">#REF!</definedName>
    <definedName name="disOTHER01">#REF!</definedName>
    <definedName name="disOTHER02" localSheetId="0">#REF!</definedName>
    <definedName name="disOTHER02">#REF!</definedName>
    <definedName name="disOTHER98" localSheetId="0">#REF!</definedName>
    <definedName name="disOTHER98">#REF!</definedName>
    <definedName name="disOTHER99" localSheetId="0">#REF!</definedName>
    <definedName name="disOTHER99">#REF!</definedName>
    <definedName name="disOVER00" localSheetId="0">#REF!</definedName>
    <definedName name="disOVER00">#REF!</definedName>
    <definedName name="disOVER01" localSheetId="0">#REF!</definedName>
    <definedName name="disOVER01">#REF!</definedName>
    <definedName name="disOVER02" localSheetId="0">#REF!</definedName>
    <definedName name="disOVER02">#REF!</definedName>
    <definedName name="disOVER98" localSheetId="0">#REF!</definedName>
    <definedName name="disOVER98">#REF!</definedName>
    <definedName name="disOVER99" localSheetId="0">#REF!</definedName>
    <definedName name="disOVER99">#REF!</definedName>
    <definedName name="disPARKS00" localSheetId="0">#REF!</definedName>
    <definedName name="disPARKS00">#REF!</definedName>
    <definedName name="disPARKS01" localSheetId="0">#REF!</definedName>
    <definedName name="disPARKS01">#REF!</definedName>
    <definedName name="disPARKS02" localSheetId="0">#REF!</definedName>
    <definedName name="disPARKS02">#REF!</definedName>
    <definedName name="disPARKS03" localSheetId="0">#REF!</definedName>
    <definedName name="disPARKS03">#REF!</definedName>
    <definedName name="disPARKS04" localSheetId="0">#REF!</definedName>
    <definedName name="disPARKS04">#REF!</definedName>
    <definedName name="disPARKS98" localSheetId="0">#REF!</definedName>
    <definedName name="disPARKS98">#REF!</definedName>
    <definedName name="disPARKS99" localSheetId="0">#REF!</definedName>
    <definedName name="disPARKS99">#REF!</definedName>
    <definedName name="DisplaySelectedSheetsMacroButton" localSheetId="0">#REF!</definedName>
    <definedName name="DisplaySelectedSheetsMacroButton">#REF!</definedName>
    <definedName name="disPROD00" localSheetId="0">#REF!</definedName>
    <definedName name="disPROD00">#REF!</definedName>
    <definedName name="disPROD01" localSheetId="0">#REF!</definedName>
    <definedName name="disPROD01">#REF!</definedName>
    <definedName name="disPROD02" localSheetId="0">#REF!</definedName>
    <definedName name="disPROD02">#REF!</definedName>
    <definedName name="disPROD03" localSheetId="0">#REF!</definedName>
    <definedName name="disPROD03">#REF!</definedName>
    <definedName name="disPROD04" localSheetId="0">#REF!</definedName>
    <definedName name="disPROD04">#REF!</definedName>
    <definedName name="disPROD98" localSheetId="0">#REF!</definedName>
    <definedName name="disPROD98">#REF!</definedName>
    <definedName name="disPROD99" localSheetId="0">#REF!</definedName>
    <definedName name="disPROD99">#REF!</definedName>
    <definedName name="disPUB00" localSheetId="0">#REF!</definedName>
    <definedName name="disPUB00">#REF!</definedName>
    <definedName name="disPUB01" localSheetId="0">#REF!</definedName>
    <definedName name="disPUB01">#REF!</definedName>
    <definedName name="disPUB02" localSheetId="0">#REF!</definedName>
    <definedName name="disPUB02">#REF!</definedName>
    <definedName name="disPUB98" localSheetId="0">#REF!</definedName>
    <definedName name="disPUB98">#REF!</definedName>
    <definedName name="disPUB99" localSheetId="0">#REF!</definedName>
    <definedName name="disPUB99">#REF!</definedName>
    <definedName name="disRADIO00" localSheetId="0">#REF!</definedName>
    <definedName name="disRADIO00">#REF!</definedName>
    <definedName name="disRADIO01" localSheetId="0">#REF!</definedName>
    <definedName name="disRADIO01">#REF!</definedName>
    <definedName name="disRADIO02" localSheetId="0">#REF!</definedName>
    <definedName name="disRADIO02">#REF!</definedName>
    <definedName name="disRADIO98" localSheetId="0">#REF!</definedName>
    <definedName name="disRADIO98">#REF!</definedName>
    <definedName name="disRADIO99" localSheetId="0">#REF!</definedName>
    <definedName name="disRADIO99">#REF!</definedName>
    <definedName name="disSTAT00" localSheetId="0">#REF!</definedName>
    <definedName name="disSTAT00">#REF!</definedName>
    <definedName name="disSTAT01" localSheetId="0">#REF!</definedName>
    <definedName name="disSTAT01">#REF!</definedName>
    <definedName name="disSTAT02" localSheetId="0">#REF!</definedName>
    <definedName name="disSTAT02">#REF!</definedName>
    <definedName name="disSTAT98" localSheetId="0">#REF!</definedName>
    <definedName name="disSTAT98">#REF!</definedName>
    <definedName name="disSTAT99" localSheetId="0">#REF!</definedName>
    <definedName name="disSTAT99">#REF!</definedName>
    <definedName name="Distrib_Expense_SG_A" localSheetId="0">#REF!</definedName>
    <definedName name="Distrib_Expense_SG_A">#REF!</definedName>
    <definedName name="Distribution_Cost" localSheetId="0">#REF!</definedName>
    <definedName name="Distribution_Cost">#REF!</definedName>
    <definedName name="Div" localSheetId="0">#REF!</definedName>
    <definedName name="Div">#REF!</definedName>
    <definedName name="DIV_PD" localSheetId="0">#REF!</definedName>
    <definedName name="DIV_PD">#REF!</definedName>
    <definedName name="DIVFULL" localSheetId="0">#REF!</definedName>
    <definedName name="DIVFULL">#REF!</definedName>
    <definedName name="dividend" localSheetId="0">#REF!</definedName>
    <definedName name="dividend">#REF!</definedName>
    <definedName name="Dividend_paid" localSheetId="0">#REF!</definedName>
    <definedName name="Dividend_paid">#REF!</definedName>
    <definedName name="dividendos" localSheetId="0">#REF!</definedName>
    <definedName name="dividendos">#REF!</definedName>
    <definedName name="DividendPaid" localSheetId="0">#REF!</definedName>
    <definedName name="DividendPaid">#REF!</definedName>
    <definedName name="Dividends" localSheetId="0">#REF!</definedName>
    <definedName name="Dividends">#REF!</definedName>
    <definedName name="DivisPaid" localSheetId="0">#REF!</definedName>
    <definedName name="DivisPaid">#REF!</definedName>
    <definedName name="DIVP00" localSheetId="0">#REF!</definedName>
    <definedName name="DIVP00">#REF!</definedName>
    <definedName name="DIVP01" localSheetId="0">#REF!</definedName>
    <definedName name="DIVP01">#REF!</definedName>
    <definedName name="DIVP86" localSheetId="0">#REF!</definedName>
    <definedName name="DIVP86">#REF!</definedName>
    <definedName name="DIVP87" localSheetId="0">#REF!</definedName>
    <definedName name="DIVP87">#REF!</definedName>
    <definedName name="DIVP88" localSheetId="0">#REF!</definedName>
    <definedName name="DIVP88">#REF!</definedName>
    <definedName name="DIVP89" localSheetId="0">#REF!</definedName>
    <definedName name="DIVP89">#REF!</definedName>
    <definedName name="DIVP90" localSheetId="0">#REF!</definedName>
    <definedName name="DIVP90">#REF!</definedName>
    <definedName name="DIVP91" localSheetId="0">#REF!</definedName>
    <definedName name="DIVP91">#REF!</definedName>
    <definedName name="DIVP92" localSheetId="0">#REF!</definedName>
    <definedName name="DIVP92">#REF!</definedName>
    <definedName name="DIVP93" localSheetId="0">#REF!</definedName>
    <definedName name="DIVP93">#REF!</definedName>
    <definedName name="DIVP94" localSheetId="0">#REF!</definedName>
    <definedName name="DIVP94">#REF!</definedName>
    <definedName name="DIVP95" localSheetId="0">#REF!</definedName>
    <definedName name="DIVP95">#REF!</definedName>
    <definedName name="DIVP96" localSheetId="0">#REF!</definedName>
    <definedName name="DIVP96">#REF!</definedName>
    <definedName name="DIVP97" localSheetId="0">#REF!</definedName>
    <definedName name="DIVP97">#REF!</definedName>
    <definedName name="DIVP98" localSheetId="0">#REF!</definedName>
    <definedName name="DIVP98">#REF!</definedName>
    <definedName name="DIVP99" localSheetId="0">#REF!</definedName>
    <definedName name="DIVP99">#REF!</definedName>
    <definedName name="DIVQA" localSheetId="0">#REF!</definedName>
    <definedName name="DIVQA">#REF!</definedName>
    <definedName name="DIVQB" localSheetId="0">#REF!</definedName>
    <definedName name="DIVQB">#REF!</definedName>
    <definedName name="DIVS00" localSheetId="0">#REF!</definedName>
    <definedName name="DIVS00">#REF!</definedName>
    <definedName name="DIVS01" localSheetId="0">#REF!</definedName>
    <definedName name="DIVS01">#REF!</definedName>
    <definedName name="divs2001" localSheetId="0">#REF!</definedName>
    <definedName name="divs2001">#REF!</definedName>
    <definedName name="divs2002" localSheetId="0">#REF!</definedName>
    <definedName name="divs2002">#REF!</definedName>
    <definedName name="divs2003" localSheetId="0">#REF!</definedName>
    <definedName name="divs2003">#REF!</definedName>
    <definedName name="divs2004" localSheetId="0">#REF!</definedName>
    <definedName name="divs2004">#REF!</definedName>
    <definedName name="DIVS86" localSheetId="0">#REF!</definedName>
    <definedName name="DIVS86">#REF!</definedName>
    <definedName name="DIVS87" localSheetId="0">#REF!</definedName>
    <definedName name="DIVS87">#REF!</definedName>
    <definedName name="DIVS88" localSheetId="0">#REF!</definedName>
    <definedName name="DIVS88">#REF!</definedName>
    <definedName name="DIVS89" localSheetId="0">#REF!</definedName>
    <definedName name="DIVS89">#REF!</definedName>
    <definedName name="DIVS90" localSheetId="0">#REF!</definedName>
    <definedName name="DIVS90">#REF!</definedName>
    <definedName name="DIVS91" localSheetId="0">#REF!</definedName>
    <definedName name="DIVS91">#REF!</definedName>
    <definedName name="DIVS92" localSheetId="0">#REF!</definedName>
    <definedName name="DIVS92">#REF!</definedName>
    <definedName name="DIVS93" localSheetId="0">#REF!</definedName>
    <definedName name="DIVS93">#REF!</definedName>
    <definedName name="DIVS94" localSheetId="0">#REF!</definedName>
    <definedName name="DIVS94">#REF!</definedName>
    <definedName name="DIVS95" localSheetId="0">#REF!</definedName>
    <definedName name="DIVS95">#REF!</definedName>
    <definedName name="DIVS96" localSheetId="0">#REF!</definedName>
    <definedName name="DIVS96">#REF!</definedName>
    <definedName name="DIVS97" localSheetId="0">#REF!</definedName>
    <definedName name="DIVS97">#REF!</definedName>
    <definedName name="DIVS98" localSheetId="0">#REF!</definedName>
    <definedName name="DIVS98">#REF!</definedName>
    <definedName name="DIVS99" localSheetId="0">#REF!</definedName>
    <definedName name="DIVS99">#REF!</definedName>
    <definedName name="DLD" localSheetId="0">#REF!</definedName>
    <definedName name="DLD">#REF!</definedName>
    <definedName name="DnA_fore" localSheetId="0">#REF!</definedName>
    <definedName name="DnA_fore">#REF!</definedName>
    <definedName name="DnA_growth_fore" localSheetId="0">#REF!</definedName>
    <definedName name="DnA_growth_fore">#REF!</definedName>
    <definedName name="DoCoMo" localSheetId="5" hidden="1">{"test2",#N/A,TRUE,"Prices"}</definedName>
    <definedName name="DoCoMo" localSheetId="0" hidden="1">{"test2",#N/A,TRUE,"Prices"}</definedName>
    <definedName name="DoCoMo" localSheetId="4" hidden="1">{"test2",#N/A,TRUE,"Prices"}</definedName>
    <definedName name="DoCoMo" hidden="1">{"test2",#N/A,TRUE,"Prices"}</definedName>
    <definedName name="Dollars" localSheetId="0">#REF!,#REF!</definedName>
    <definedName name="Dollars">#REF!,#REF!</definedName>
    <definedName name="DOMLD" localSheetId="0">#REF!</definedName>
    <definedName name="DOMLD">#REF!</definedName>
    <definedName name="DownTrend" localSheetId="0">#REF!</definedName>
    <definedName name="DownTrend">#REF!</definedName>
    <definedName name="DPS" localSheetId="0">#REF!</definedName>
    <definedName name="DPS">#REF!</definedName>
    <definedName name="dps_mkt" localSheetId="0">#REF!</definedName>
    <definedName name="dps_mkt">#REF!</definedName>
    <definedName name="dps_over" localSheetId="0">#REF!</definedName>
    <definedName name="dps_over">#REF!</definedName>
    <definedName name="dps_sum_qtr" localSheetId="0">#REF!</definedName>
    <definedName name="dps_sum_qtr">#REF!</definedName>
    <definedName name="dps_year_actual" localSheetId="0">#REF!</definedName>
    <definedName name="dps_year_actual">#REF!</definedName>
    <definedName name="dps00" localSheetId="0">#REF!</definedName>
    <definedName name="dps00">#REF!</definedName>
    <definedName name="dps00e" localSheetId="0">#REF!</definedName>
    <definedName name="dps00e">#REF!</definedName>
    <definedName name="dps01e" localSheetId="0">#REF!</definedName>
    <definedName name="dps01e">#REF!</definedName>
    <definedName name="dps98e" localSheetId="0">#REF!</definedName>
    <definedName name="dps98e">#REF!</definedName>
    <definedName name="dps99e" localSheetId="0">#REF!</definedName>
    <definedName name="dps99e">#REF!</definedName>
    <definedName name="ds" localSheetId="0">#REF!</definedName>
    <definedName name="ds">#REF!</definedName>
    <definedName name="DSAFAHSDHFDH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AFAHSDHFDH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SDDE_Path" localSheetId="0">#REF!</definedName>
    <definedName name="DSDDE_Path">#REF!</definedName>
    <definedName name="DSLmult" localSheetId="0">#REF!</definedName>
    <definedName name="DSLmult">#REF!</definedName>
    <definedName name="DSLmult00" localSheetId="0">#REF!</definedName>
    <definedName name="DSLmult00">#REF!</definedName>
    <definedName name="DSLmult01" localSheetId="0">#REF!</definedName>
    <definedName name="DSLmult01">#REF!</definedName>
    <definedName name="DSR_cost" localSheetId="0">#REF!</definedName>
    <definedName name="DSR_cost">#REF!</definedName>
    <definedName name="DSR_solve" localSheetId="0">#REF!</definedName>
    <definedName name="DSR_solve">#REF!</definedName>
    <definedName name="DSR_table" localSheetId="0">#REF!</definedName>
    <definedName name="DSR_table">#REF!</definedName>
    <definedName name="dt" localSheetId="0">#REF!</definedName>
    <definedName name="dt">#REF!</definedName>
    <definedName name="DTABLE" localSheetId="0">#REF!</definedName>
    <definedName name="DTABLE">#REF!</definedName>
    <definedName name="dwayne" localSheetId="0">#REF!</definedName>
    <definedName name="dwayne">#REF!</definedName>
    <definedName name="E" localSheetId="0">#REF!</definedName>
    <definedName name="E">#REF!</definedName>
    <definedName name="E_ALL_000050.SZ" localSheetId="0">#REF!</definedName>
    <definedName name="E_ALL_000050.SZ">#REF!</definedName>
    <definedName name="E_ALL_000422.SZ" localSheetId="0">#REF!</definedName>
    <definedName name="E_ALL_000422.SZ">#REF!</definedName>
    <definedName name="E_ALL_000725.SZ" localSheetId="0">#REF!</definedName>
    <definedName name="E_ALL_000725.SZ">#REF!</definedName>
    <definedName name="E_ALL_002153.SZ" localSheetId="0">#REF!</definedName>
    <definedName name="E_ALL_002153.SZ">#REF!</definedName>
    <definedName name="E_ALL_002230.SZ" localSheetId="0">#REF!</definedName>
    <definedName name="E_ALL_002230.SZ">#REF!</definedName>
    <definedName name="E_ALL_002236.SZ" localSheetId="0">#REF!</definedName>
    <definedName name="E_ALL_002236.SZ">#REF!</definedName>
    <definedName name="E_ALL_002261.SZ" localSheetId="0">#REF!</definedName>
    <definedName name="E_ALL_002261.SZ">#REF!</definedName>
    <definedName name="E_ALL_002405.SZ" localSheetId="0">#REF!</definedName>
    <definedName name="E_ALL_002405.SZ">#REF!</definedName>
    <definedName name="E_ALL_002456.SZ" localSheetId="0">#REF!</definedName>
    <definedName name="E_ALL_002456.SZ">#REF!</definedName>
    <definedName name="E_ALL_0100.HK" localSheetId="0">#REF!</definedName>
    <definedName name="E_ALL_0100.HK">#REF!</definedName>
    <definedName name="E_ALL_0881.HK" localSheetId="0">#REF!</definedName>
    <definedName name="E_ALL_0881.HK">#REF!</definedName>
    <definedName name="E_ALL_1268.HK" localSheetId="0">#REF!</definedName>
    <definedName name="E_ALL_1268.HK">#REF!</definedName>
    <definedName name="E_ALL_1316.HK" localSheetId="0">#REF!</definedName>
    <definedName name="E_ALL_1316.HK">#REF!</definedName>
    <definedName name="E_ALL_1477.TW" localSheetId="0">#REF!</definedName>
    <definedName name="E_ALL_1477.TW">#REF!</definedName>
    <definedName name="E_ALL_2016.HK">#REF!</definedName>
    <definedName name="E_ALL_2333.HK" localSheetId="0">#REF!</definedName>
    <definedName name="E_ALL_2333.HK">#REF!</definedName>
    <definedName name="E_ALL_2513.HK">#REF!</definedName>
    <definedName name="E_ALL_2618.HK" localSheetId="0">#REF!</definedName>
    <definedName name="E_ALL_2618.HK">#REF!</definedName>
    <definedName name="E_ALL_300002.SZ" localSheetId="0">#REF!</definedName>
    <definedName name="E_ALL_300002.SZ">#REF!</definedName>
    <definedName name="E_ALL_300750.SZ" localSheetId="0">#REF!</definedName>
    <definedName name="E_ALL_300750.SZ">#REF!</definedName>
    <definedName name="E_ALL_3669.HK" localSheetId="0">#REF!</definedName>
    <definedName name="E_ALL_3669.HK">#REF!</definedName>
    <definedName name="E_ALL_3690.HK" localSheetId="0">#REF!</definedName>
    <definedName name="E_ALL_3690.HK">#REF!</definedName>
    <definedName name="E_ALL_3836.HK" localSheetId="0">#REF!</definedName>
    <definedName name="E_ALL_3836.HK">#REF!</definedName>
    <definedName name="E_ALL_600009.SS" localSheetId="0">#REF!</definedName>
    <definedName name="E_ALL_600009.SS">#REF!</definedName>
    <definedName name="E_ALL_600104.SS" localSheetId="0">#REF!</definedName>
    <definedName name="E_ALL_600104.SS">#REF!</definedName>
    <definedName name="E_ALL_600271.SS" localSheetId="0">#REF!</definedName>
    <definedName name="E_ALL_600271.SS">#REF!</definedName>
    <definedName name="E_ALL_600570.SS" localSheetId="0">#REF!</definedName>
    <definedName name="E_ALL_600570.SS">#REF!</definedName>
    <definedName name="E_ALL_600699.SS" localSheetId="0">#REF!</definedName>
    <definedName name="E_ALL_600699.SS">#REF!</definedName>
    <definedName name="E_ALL_600741.SS" localSheetId="0">#REF!</definedName>
    <definedName name="E_ALL_600741.SS">#REF!</definedName>
    <definedName name="E_ALL_601006.SS" localSheetId="0">#REF!</definedName>
    <definedName name="E_ALL_601006.SS">#REF!</definedName>
    <definedName name="E_ALL_7618.HK">#REF!</definedName>
    <definedName name="E_ALL_8044.TWO" localSheetId="0">#REF!</definedName>
    <definedName name="E_ALL_8044.TWO">#REF!</definedName>
    <definedName name="E_ALL_9988.HK" localSheetId="0">#REF!</definedName>
    <definedName name="E_ALL_9988.HK">#REF!</definedName>
    <definedName name="E_ALL_CDNS" localSheetId="0">#REF!</definedName>
    <definedName name="E_ALL_CDNS">#REF!</definedName>
    <definedName name="E_ALL_CMG" localSheetId="0">#REF!</definedName>
    <definedName name="E_ALL_CMG">#REF!</definedName>
    <definedName name="E_ALL_DADA" localSheetId="0">#REF!</definedName>
    <definedName name="E_ALL_DADA">#REF!</definedName>
    <definedName name="E_ALL_DAO" localSheetId="0">#REF!</definedName>
    <definedName name="E_ALL_DAO">#REF!</definedName>
    <definedName name="E_ALL_DIDIY" localSheetId="0">#REF!</definedName>
    <definedName name="E_ALL_DIDIY">#REF!</definedName>
    <definedName name="E_ALL_DNKN" localSheetId="0">#REF!</definedName>
    <definedName name="E_ALL_DNKN">#REF!</definedName>
    <definedName name="E_ALL_EDU" localSheetId="0">#REF!</definedName>
    <definedName name="E_ALL_EDU">#REF!</definedName>
    <definedName name="E_ALL_GSX" localSheetId="0">#REF!</definedName>
    <definedName name="E_ALL_GSX">#REF!</definedName>
    <definedName name="E_ALL_IQ" localSheetId="0">#REF!</definedName>
    <definedName name="E_ALL_IQ">#REF!</definedName>
    <definedName name="E_ALL_JD" localSheetId="0">#REF!</definedName>
    <definedName name="E_ALL_JD">#REF!</definedName>
    <definedName name="E_ALL_KEYWORDS_TYPE_ScalarContributed_EQTY_200006934" localSheetId="0">#REF!,#REF!</definedName>
    <definedName name="E_ALL_KEYWORDS_TYPE_ScalarContributed_EQTY_200006934">#REF!,#REF!</definedName>
    <definedName name="E_ALL_KEYWORDS_TYPE_ScalarContributed_EQTY_200007870" localSheetId="0">#REF!,#REF!</definedName>
    <definedName name="E_ALL_KEYWORDS_TYPE_ScalarContributed_EQTY_200007870">#REF!,#REF!</definedName>
    <definedName name="E_ALL_KEYWORDS_TYPE_ScalarContributed_EQTY_200009970" localSheetId="0">#REF!,#REF!</definedName>
    <definedName name="E_ALL_KEYWORDS_TYPE_ScalarContributed_EQTY_200009970">#REF!,#REF!</definedName>
    <definedName name="E_ALL_KEYWORDS_TYPE_ScalarContributed_EQTY_200011172" localSheetId="0">#REF!,#REF!</definedName>
    <definedName name="E_ALL_KEYWORDS_TYPE_ScalarContributed_EQTY_200011172">#REF!,#REF!</definedName>
    <definedName name="E_ALL_KEYWORDS_TYPE_ScalarContributed_EQTY_200012492" localSheetId="0">#REF!,#REF!</definedName>
    <definedName name="E_ALL_KEYWORDS_TYPE_ScalarContributed_EQTY_200012492">#REF!,#REF!</definedName>
    <definedName name="E_ALL_KEYWORDS_TYPE_ScalarContributed_EQTY_200012735" localSheetId="0">#REF!,#REF!</definedName>
    <definedName name="E_ALL_KEYWORDS_TYPE_ScalarContributed_EQTY_200012735">#REF!,#REF!</definedName>
    <definedName name="E_ALL_KEYWORDS_TYPE_ScalarContributed_EQTY_200012909" localSheetId="0">#REF!,#REF!</definedName>
    <definedName name="E_ALL_KEYWORDS_TYPE_ScalarContributed_EQTY_200012909">#REF!,#REF!</definedName>
    <definedName name="E_ALL_KEYWORDS_TYPE_ScalarContributed_EQTY_200012913" localSheetId="0">#REF!,#REF!</definedName>
    <definedName name="E_ALL_KEYWORDS_TYPE_ScalarContributed_EQTY_200012913">#REF!,#REF!</definedName>
    <definedName name="E_ALL_KEYWORDS_TYPE_ScalarContributed_EQTY_200013037" localSheetId="0">#REF!,#REF!</definedName>
    <definedName name="E_ALL_KEYWORDS_TYPE_ScalarContributed_EQTY_200013037">#REF!,#REF!</definedName>
    <definedName name="E_ALL_KEYWORDS_TYPE_ScalarContributed_EQTY_200013142" localSheetId="0">#REF!,#REF!</definedName>
    <definedName name="E_ALL_KEYWORDS_TYPE_ScalarContributed_EQTY_200013142">#REF!,#REF!</definedName>
    <definedName name="E_ALL_KEYWORDS_TYPE_ScalarContributed_EQTY_200016087" localSheetId="0">#REF!,#REF!</definedName>
    <definedName name="E_ALL_KEYWORDS_TYPE_ScalarContributed_EQTY_200016087">#REF!,#REF!</definedName>
    <definedName name="E_ALL_KEYWORDS_TYPE_ScalarContributed_EQTY_200019438" localSheetId="0">#REF!,#REF!</definedName>
    <definedName name="E_ALL_KEYWORDS_TYPE_ScalarContributed_EQTY_200019438">#REF!,#REF!</definedName>
    <definedName name="E_ALL_KEYWORDS_TYPE_ScalarContributed_EQTY_200019558" localSheetId="0">#REF!,#REF!</definedName>
    <definedName name="E_ALL_KEYWORDS_TYPE_ScalarContributed_EQTY_200019558">#REF!,#REF!</definedName>
    <definedName name="E_ALL_KEYWORDS_TYPE_ScalarContributed_ISSR_208002371" localSheetId="0">#REF!,#REF!,#REF!</definedName>
    <definedName name="E_ALL_KEYWORDS_TYPE_ScalarContributed_ISSR_208002371">#REF!,#REF!,#REF!</definedName>
    <definedName name="E_ALL_KEYWORDS_TYPE_ScalarContributed_ISSR_208010083" localSheetId="0">#REF!,#REF!</definedName>
    <definedName name="E_ALL_KEYWORDS_TYPE_ScalarContributed_ISSR_208010083">#REF!,#REF!</definedName>
    <definedName name="E_ALL_KEYWORDS_TYPE_ScalarContributed_ISSR_208014620" localSheetId="0">#REF!,#REF!</definedName>
    <definedName name="E_ALL_KEYWORDS_TYPE_ScalarContributed_ISSR_208014620">#REF!,#REF!</definedName>
    <definedName name="E_ALL_KEYWORDS_TYPE_ScalarContributed_ISSR_208018550" localSheetId="0">#REF!,#REF!</definedName>
    <definedName name="E_ALL_KEYWORDS_TYPE_ScalarContributed_ISSR_208018550">#REF!,#REF!</definedName>
    <definedName name="E_ALL_KEYWORDS_TYPE_Vector_EQTY_200007870" localSheetId="0">#REF!,#REF!,#REF!,#REF!,#REF!</definedName>
    <definedName name="E_ALL_KEYWORDS_TYPE_Vector_EQTY_200007870">#REF!,#REF!,#REF!,#REF!,#REF!</definedName>
    <definedName name="E_ALL_KEYWORDS_TYPE_Vector_EQTY_200009970" localSheetId="0">#REF!,#REF!,#REF!,#REF!,#REF!</definedName>
    <definedName name="E_ALL_KEYWORDS_TYPE_Vector_EQTY_200009970">#REF!,#REF!,#REF!,#REF!,#REF!</definedName>
    <definedName name="E_ALL_KEYWORDS_TYPE_Vector_EQTY_200011172" localSheetId="0">#REF!,#REF!,#REF!,#REF!,#REF!</definedName>
    <definedName name="E_ALL_KEYWORDS_TYPE_Vector_EQTY_200011172">#REF!,#REF!,#REF!,#REF!,#REF!</definedName>
    <definedName name="E_ALL_KEYWORDS_TYPE_Vector_EQTY_200012492" localSheetId="0">#REF!,#REF!,#REF!,#REF!,#REF!</definedName>
    <definedName name="E_ALL_KEYWORDS_TYPE_Vector_EQTY_200012492">#REF!,#REF!,#REF!,#REF!,#REF!</definedName>
    <definedName name="E_ALL_KEYWORDS_TYPE_Vector_EQTY_200012735" localSheetId="0">#REF!,#REF!,#REF!,#REF!,#REF!</definedName>
    <definedName name="E_ALL_KEYWORDS_TYPE_Vector_EQTY_200012735">#REF!,#REF!,#REF!,#REF!,#REF!</definedName>
    <definedName name="E_ALL_KEYWORDS_TYPE_Vector_EQTY_200012909" localSheetId="0">#REF!,#REF!,#REF!,#REF!,#REF!</definedName>
    <definedName name="E_ALL_KEYWORDS_TYPE_Vector_EQTY_200012909">#REF!,#REF!,#REF!,#REF!,#REF!</definedName>
    <definedName name="E_ALL_KEYWORDS_TYPE_Vector_EQTY_200012913" localSheetId="0">#REF!,#REF!,#REF!,#REF!,#REF!</definedName>
    <definedName name="E_ALL_KEYWORDS_TYPE_Vector_EQTY_200012913">#REF!,#REF!,#REF!,#REF!,#REF!</definedName>
    <definedName name="E_ALL_KEYWORDS_TYPE_Vector_EQTY_200013037" localSheetId="0">#REF!,#REF!,#REF!,#REF!,#REF!</definedName>
    <definedName name="E_ALL_KEYWORDS_TYPE_Vector_EQTY_200013037">#REF!,#REF!,#REF!,#REF!,#REF!</definedName>
    <definedName name="E_ALL_KEYWORDS_TYPE_Vector_EQTY_200013142" localSheetId="0">#REF!,#REF!,#REF!,#REF!,#REF!</definedName>
    <definedName name="E_ALL_KEYWORDS_TYPE_Vector_EQTY_200013142">#REF!,#REF!,#REF!,#REF!,#REF!</definedName>
    <definedName name="E_ALL_KEYWORDS_TYPE_Vector_EQTY_200016087" localSheetId="0">#REF!,#REF!,#REF!,#REF!,#REF!</definedName>
    <definedName name="E_ALL_KEYWORDS_TYPE_Vector_EQTY_200016087">#REF!,#REF!,#REF!,#REF!,#REF!</definedName>
    <definedName name="E_ALL_KEYWORDS_TYPE_Vector_EQTY_200017199" localSheetId="0">#REF!,#REF!,#REF!,#REF!,#REF!</definedName>
    <definedName name="E_ALL_KEYWORDS_TYPE_Vector_EQTY_200017199">#REF!,#REF!,#REF!,#REF!,#REF!</definedName>
    <definedName name="E_ALL_KEYWORDS_TYPE_Vector_EQTY_200018245" localSheetId="0">#REF!,#REF!,#REF!,#REF!,#REF!</definedName>
    <definedName name="E_ALL_KEYWORDS_TYPE_Vector_EQTY_200018245">#REF!,#REF!,#REF!,#REF!,#REF!</definedName>
    <definedName name="E_ALL_KEYWORDS_TYPE_Vector_EQTY_200019864" localSheetId="0">#REF!,#REF!,#REF!,#REF!,#REF!</definedName>
    <definedName name="E_ALL_KEYWORDS_TYPE_Vector_EQTY_200019864">#REF!,#REF!,#REF!,#REF!,#REF!</definedName>
    <definedName name="E_ALL_KEYWORDS_TYPE_Vector_ISSR_208000897" localSheetId="0">#REF!,#REF!,#REF!,#REF!,#REF!,#REF!,#REF!,#REF!,#REF!,#REF!,#REF!,#REF!</definedName>
    <definedName name="E_ALL_KEYWORDS_TYPE_Vector_ISSR_208000897">#REF!,#REF!,#REF!,#REF!,#REF!,#REF!,#REF!,#REF!,#REF!,#REF!,#REF!,#REF!</definedName>
    <definedName name="E_ALL_KEYWORDS_TYPE_Vector_ISSR_208002371" localSheetId="0">#REF!,#REF!,#REF!,#REF!,#REF!,#REF!,#REF!,#REF!,#REF!,#REF!,#REF!,#REF!,#REF!,#REF!,#REF!,#REF!,#REF!,#REF!,#REF!</definedName>
    <definedName name="E_ALL_KEYWORDS_TYPE_Vector_ISSR_208002371">#REF!,#REF!,#REF!,#REF!,#REF!,#REF!,#REF!,#REF!,#REF!,#REF!,#REF!,#REF!,#REF!,#REF!,#REF!,#REF!,#REF!,#REF!,#REF!</definedName>
    <definedName name="E_ALL_KEYWORDS_TYPE_Vector_ISSR_208006103" localSheetId="0">#REF!,#REF!,#REF!,#REF!,#REF!,#REF!,#REF!,#REF!,#REF!,#REF!,#REF!,#REF!,#REF!,#REF!</definedName>
    <definedName name="E_ALL_KEYWORDS_TYPE_Vector_ISSR_208006103">#REF!,#REF!,#REF!,#REF!,#REF!,#REF!,#REF!,#REF!,#REF!,#REF!,#REF!,#REF!,#REF!,#REF!</definedName>
    <definedName name="E_ALL_KEYWORDS_TYPE_Vector_ISSR_208007694" localSheetId="0">#REF!,#REF!,#REF!,#REF!,#REF!,#REF!,#REF!,#REF!,#REF!,#REF!,#REF!,#REF!,#REF!,#REF!,#REF!</definedName>
    <definedName name="E_ALL_KEYWORDS_TYPE_Vector_ISSR_208007694">#REF!,#REF!,#REF!,#REF!,#REF!,#REF!,#REF!,#REF!,#REF!,#REF!,#REF!,#REF!,#REF!,#REF!,#REF!</definedName>
    <definedName name="E_ALL_KEYWORDS_TYPE_Vector_ISSR_208008548" localSheetId="0">#REF!,#REF!,#REF!,#REF!,#REF!,#REF!,#REF!,#REF!,#REF!,#REF!,#REF!,#REF!,#REF!,#REF!,#REF!,#REF!</definedName>
    <definedName name="E_ALL_KEYWORDS_TYPE_Vector_ISSR_208008548">#REF!,#REF!,#REF!,#REF!,#REF!,#REF!,#REF!,#REF!,#REF!,#REF!,#REF!,#REF!,#REF!,#REF!,#REF!,#REF!</definedName>
    <definedName name="E_ALL_KEYWORDS_TYPE_Vector_ISSR_208009042" localSheetId="0">#REF!,#REF!,#REF!,#REF!,#REF!,#REF!,#REF!,#REF!,#REF!,#REF!,#REF!,#REF!,#REF!,#REF!,#REF!,#REF!,#REF!,#REF!</definedName>
    <definedName name="E_ALL_KEYWORDS_TYPE_Vector_ISSR_208009042">#REF!,#REF!,#REF!,#REF!,#REF!,#REF!,#REF!,#REF!,#REF!,#REF!,#REF!,#REF!,#REF!,#REF!,#REF!,#REF!,#REF!,#REF!</definedName>
    <definedName name="E_ALL_KEYWORDS_TYPE_Vector_ISSR_208009486" localSheetId="0">#REF!,#REF!,#REF!,#REF!,#REF!,#REF!,#REF!,#REF!,#REF!,#REF!,#REF!,#REF!,#REF!,#REF!,#REF!</definedName>
    <definedName name="E_ALL_KEYWORDS_TYPE_Vector_ISSR_208009486">#REF!,#REF!,#REF!,#REF!,#REF!,#REF!,#REF!,#REF!,#REF!,#REF!,#REF!,#REF!,#REF!,#REF!,#REF!</definedName>
    <definedName name="E_ALL_KEYWORDS_TYPE_Vector_ISSR_208009698" localSheetId="0">#REF!,#REF!,#REF!,#REF!,#REF!,#REF!,#REF!,#REF!,#REF!</definedName>
    <definedName name="E_ALL_KEYWORDS_TYPE_Vector_ISSR_208009698">#REF!,#REF!,#REF!,#REF!,#REF!,#REF!,#REF!,#REF!,#REF!</definedName>
    <definedName name="E_ALL_KEYWORDS_TYPE_Vector_ISSR_208009912" localSheetId="0">#REF!,#REF!,#REF!,#REF!,#REF!,#REF!,#REF!,#REF!,#REF!,#REF!,#REF!,#REF!,#REF!,#REF!,#REF!</definedName>
    <definedName name="E_ALL_KEYWORDS_TYPE_Vector_ISSR_208009912">#REF!,#REF!,#REF!,#REF!,#REF!,#REF!,#REF!,#REF!,#REF!,#REF!,#REF!,#REF!,#REF!,#REF!,#REF!</definedName>
    <definedName name="E_ALL_KEYWORDS_TYPE_Vector_ISSR_208009916" localSheetId="0">#REF!,#REF!,#REF!,#REF!,#REF!,#REF!,#REF!,#REF!,#REF!</definedName>
    <definedName name="E_ALL_KEYWORDS_TYPE_Vector_ISSR_208009916">#REF!,#REF!,#REF!,#REF!,#REF!,#REF!,#REF!,#REF!,#REF!</definedName>
    <definedName name="E_ALL_KEYWORDS_TYPE_Vector_ISSR_208010083" localSheetId="0">#REF!,#REF!,#REF!,#REF!,#REF!,#REF!,#REF!,#REF!,#REF!,#REF!,#REF!,#REF!,#REF!,#REF!,#REF!,#REF!,#REF!,#REF!,#REF!,#REF!,#REF!,#REF!,#REF!</definedName>
    <definedName name="E_ALL_KEYWORDS_TYPE_Vector_ISSR_208010083">#REF!,#REF!,#REF!,#REF!,#REF!,#REF!,#REF!,#REF!,#REF!,#REF!,#REF!,#REF!,#REF!,#REF!,#REF!,#REF!,#REF!,#REF!,#REF!,#REF!,#REF!,#REF!,#REF!</definedName>
    <definedName name="E_ALL_KEYWORDS_TYPE_Vector_ISSR_208013035" localSheetId="0">#REF!,#REF!,#REF!,#REF!,#REF!,#REF!,#REF!,#REF!,#REF!,#REF!,#REF!,#REF!,#REF!,#REF!,#REF!</definedName>
    <definedName name="E_ALL_KEYWORDS_TYPE_Vector_ISSR_208013035">#REF!,#REF!,#REF!,#REF!,#REF!,#REF!,#REF!,#REF!,#REF!,#REF!,#REF!,#REF!,#REF!,#REF!,#REF!</definedName>
    <definedName name="E_ALL_KEYWORDS_TYPE_Vector_ISSR_208013818" localSheetId="0">#REF!,#REF!,#REF!,#REF!,#REF!,#REF!,#REF!,#REF!,#REF!,#REF!,#REF!,#REF!,#REF!</definedName>
    <definedName name="E_ALL_KEYWORDS_TYPE_Vector_ISSR_208013818">#REF!,#REF!,#REF!,#REF!,#REF!,#REF!,#REF!,#REF!,#REF!,#REF!,#REF!,#REF!,#REF!</definedName>
    <definedName name="E_ALL_KEYWORDS_TYPE_Vector_ISSR_208014620" localSheetId="0">#REF!,#REF!,#REF!,#REF!,#REF!,#REF!,#REF!,#REF!,#REF!,#REF!,#REF!,#REF!</definedName>
    <definedName name="E_ALL_KEYWORDS_TYPE_Vector_ISSR_208014620">#REF!,#REF!,#REF!,#REF!,#REF!,#REF!,#REF!,#REF!,#REF!,#REF!,#REF!,#REF!</definedName>
    <definedName name="E_ALL_KEYWORDS_TYPE_Vector_ISSR_208018497" localSheetId="0">#REF!,#REF!,#REF!,#REF!,#REF!,#REF!,#REF!,#REF!,#REF!,#REF!,#REF!,#REF!,#REF!</definedName>
    <definedName name="E_ALL_KEYWORDS_TYPE_Vector_ISSR_208018497">#REF!,#REF!,#REF!,#REF!,#REF!,#REF!,#REF!,#REF!,#REF!,#REF!,#REF!,#REF!,#REF!</definedName>
    <definedName name="E_ALL_KEYWORDS_TYPE_Vector_ISSR_208018550" localSheetId="0">#REF!,#REF!,#REF!,#REF!,#REF!,#REF!,#REF!,#REF!,#REF!,#REF!,#REF!,#REF!,#REF!</definedName>
    <definedName name="E_ALL_KEYWORDS_TYPE_Vector_ISSR_208018550">#REF!,#REF!,#REF!,#REF!,#REF!,#REF!,#REF!,#REF!,#REF!,#REF!,#REF!,#REF!,#REF!</definedName>
    <definedName name="E_ALL_KEYWORDS_TYPE_Vector_ISSR_208020716" localSheetId="0">#REF!,#REF!,#REF!,#REF!,#REF!,#REF!,#REF!,#REF!,#REF!,#REF!,#REF!,#REF!,#REF!,#REF!</definedName>
    <definedName name="E_ALL_KEYWORDS_TYPE_Vector_ISSR_208020716">#REF!,#REF!,#REF!,#REF!,#REF!,#REF!,#REF!,#REF!,#REF!,#REF!,#REF!,#REF!,#REF!,#REF!</definedName>
    <definedName name="E_ALL_LAIX" localSheetId="0">#REF!</definedName>
    <definedName name="E_ALL_LAIX">#REF!</definedName>
    <definedName name="E_ALL_LI" localSheetId="0">#REF!</definedName>
    <definedName name="E_ALL_LI">#REF!</definedName>
    <definedName name="E_ALL_MCD" localSheetId="0">#REF!</definedName>
    <definedName name="E_ALL_MCD">#REF!</definedName>
    <definedName name="E_ALL_NIO" localSheetId="0">#REF!</definedName>
    <definedName name="E_ALL_NIO">#REF!</definedName>
    <definedName name="E_ALL_PDD" localSheetId="0">#REF!</definedName>
    <definedName name="E_ALL_PDD">#REF!</definedName>
    <definedName name="E_ALL_PERIODS_8044.TWO" localSheetId="0">#REF!</definedName>
    <definedName name="E_ALL_PERIODS_8044.TWO">#REF!</definedName>
    <definedName name="E_ALL_SECTION_KEYWORDS_EQTY_200006934_13A" localSheetId="0">#REF!</definedName>
    <definedName name="E_ALL_SECTION_KEYWORDS_EQTY_200006934_13A">#REF!</definedName>
    <definedName name="E_ALL_SECTION_KEYWORDS_EQTY_200019864_13K" localSheetId="0">#REF!</definedName>
    <definedName name="E_ALL_SECTION_KEYWORDS_EQTY_200019864_13K">#REF!</definedName>
    <definedName name="E_ALL_SECTION_KEYWORDS_ISSR_208000897_131O" localSheetId="0">#REF!,#REF!</definedName>
    <definedName name="E_ALL_SECTION_KEYWORDS_ISSR_208000897_131O">#REF!,#REF!</definedName>
    <definedName name="E_ALL_SECTION_KEYWORDS_ISSR_208002371_13168" localSheetId="0">#REF!</definedName>
    <definedName name="E_ALL_SECTION_KEYWORDS_ISSR_208002371_13168">#REF!</definedName>
    <definedName name="E_ALL_SECTION_KEYWORDS_ISSR_208002371_1319" localSheetId="0">#REF!</definedName>
    <definedName name="E_ALL_SECTION_KEYWORDS_ISSR_208002371_1319">#REF!</definedName>
    <definedName name="E_ALL_SECTION_KEYWORDS_ISSR_208009042_136E" localSheetId="0">#REF!,#REF!</definedName>
    <definedName name="E_ALL_SECTION_KEYWORDS_ISSR_208009042_136E">#REF!,#REF!</definedName>
    <definedName name="E_ALL_SECTION_KEYWORDS_ISSR_208013818_131O" localSheetId="0">#REF!,#REF!</definedName>
    <definedName name="E_ALL_SECTION_KEYWORDS_ISSR_208013818_131O">#REF!,#REF!</definedName>
    <definedName name="E_ALL_SECTION_KEYWORDS_ISSR_208014620_136E" localSheetId="0">#REF!,#REF!</definedName>
    <definedName name="E_ALL_SECTION_KEYWORDS_ISSR_208014620_136E">#REF!,#REF!</definedName>
    <definedName name="E_ALL_SECTION_KEYWORDS_ISSR_208014620_13V" localSheetId="0">#REF!,#REF!</definedName>
    <definedName name="E_ALL_SECTION_KEYWORDS_ISSR_208014620_13V">#REF!,#REF!</definedName>
    <definedName name="E_ALL_SECTION_KEYWORDS_ISSR_208018497_131O" localSheetId="0">#REF!,#REF!</definedName>
    <definedName name="E_ALL_SECTION_KEYWORDS_ISSR_208018497_131O">#REF!,#REF!</definedName>
    <definedName name="E_ALL_SECTION_KEYWORDS_ISSR_208018550_1314" localSheetId="0">#REF!</definedName>
    <definedName name="E_ALL_SECTION_KEYWORDS_ISSR_208018550_1314">#REF!</definedName>
    <definedName name="E_ALL_SECTION_KEYWORDS_ISSR_208018550_1319" localSheetId="0">#REF!</definedName>
    <definedName name="E_ALL_SECTION_KEYWORDS_ISSR_208018550_1319">#REF!</definedName>
    <definedName name="E_ALL_SECTION_KEYWORDS_ISSR_208018550_131E" localSheetId="0">#REF!</definedName>
    <definedName name="E_ALL_SECTION_KEYWORDS_ISSR_208018550_131E">#REF!</definedName>
    <definedName name="E_ALL_SECTION_KEYWORDS_ISSR_208018550_13V" localSheetId="0">#REF!,#REF!</definedName>
    <definedName name="E_ALL_SECTION_KEYWORDS_ISSR_208018550_13V">#REF!,#REF!</definedName>
    <definedName name="E_ALL_SECTION_KEYWORDS_ISSR_208020716_131O" localSheetId="0">#REF!,#REF!</definedName>
    <definedName name="E_ALL_SECTION_KEYWORDS_ISSR_208020716_131O">#REF!,#REF!</definedName>
    <definedName name="E_ALL_SECTIONS_EQTY_200007870" localSheetId="0">#REF!,#REF!,#REF!,#REF!,#REF!,#REF!,#REF!,#REF!</definedName>
    <definedName name="E_ALL_SECTIONS_EQTY_200007870">#REF!,#REF!,#REF!,#REF!,#REF!,#REF!,#REF!,#REF!</definedName>
    <definedName name="E_ALL_SECTIONS_EQTY_200009970" localSheetId="0">#REF!,#REF!,#REF!,#REF!,#REF!,#REF!,#REF!,#REF!</definedName>
    <definedName name="E_ALL_SECTIONS_EQTY_200009970">#REF!,#REF!,#REF!,#REF!,#REF!,#REF!,#REF!,#REF!</definedName>
    <definedName name="E_ALL_SECTIONS_EQTY_200011172" localSheetId="0">#REF!,#REF!,#REF!,#REF!,#REF!,#REF!,#REF!,#REF!</definedName>
    <definedName name="E_ALL_SECTIONS_EQTY_200011172">#REF!,#REF!,#REF!,#REF!,#REF!,#REF!,#REF!,#REF!</definedName>
    <definedName name="E_ALL_SECTIONS_EQTY_200012492" localSheetId="0">#REF!,#REF!,#REF!,#REF!,#REF!,#REF!,#REF!,#REF!</definedName>
    <definedName name="E_ALL_SECTIONS_EQTY_200012492">#REF!,#REF!,#REF!,#REF!,#REF!,#REF!,#REF!,#REF!</definedName>
    <definedName name="E_ALL_SECTIONS_EQTY_200012735" localSheetId="0">#REF!,#REF!,#REF!,#REF!,#REF!,#REF!,#REF!,#REF!</definedName>
    <definedName name="E_ALL_SECTIONS_EQTY_200012735">#REF!,#REF!,#REF!,#REF!,#REF!,#REF!,#REF!,#REF!</definedName>
    <definedName name="E_ALL_SECTIONS_EQTY_200012909" localSheetId="0">#REF!,#REF!,#REF!,#REF!,#REF!,#REF!,#REF!,#REF!</definedName>
    <definedName name="E_ALL_SECTIONS_EQTY_200012909">#REF!,#REF!,#REF!,#REF!,#REF!,#REF!,#REF!,#REF!</definedName>
    <definedName name="E_ALL_SECTIONS_EQTY_200012913" localSheetId="0">#REF!,#REF!,#REF!,#REF!,#REF!,#REF!,#REF!,#REF!</definedName>
    <definedName name="E_ALL_SECTIONS_EQTY_200012913">#REF!,#REF!,#REF!,#REF!,#REF!,#REF!,#REF!,#REF!</definedName>
    <definedName name="E_ALL_SECTIONS_EQTY_200013037" localSheetId="0">#REF!,#REF!,#REF!,#REF!,#REF!,#REF!,#REF!,#REF!</definedName>
    <definedName name="E_ALL_SECTIONS_EQTY_200013037">#REF!,#REF!,#REF!,#REF!,#REF!,#REF!,#REF!,#REF!</definedName>
    <definedName name="E_ALL_SECTIONS_EQTY_200013142" localSheetId="0">#REF!,#REF!,#REF!,#REF!,#REF!,#REF!,#REF!,#REF!</definedName>
    <definedName name="E_ALL_SECTIONS_EQTY_200013142">#REF!,#REF!,#REF!,#REF!,#REF!,#REF!,#REF!,#REF!</definedName>
    <definedName name="E_ALL_SECTIONS_EQTY_200016087" localSheetId="0">#REF!,#REF!,#REF!,#REF!,#REF!,#REF!,#REF!,#REF!</definedName>
    <definedName name="E_ALL_SECTIONS_EQTY_200016087">#REF!,#REF!,#REF!,#REF!,#REF!,#REF!,#REF!,#REF!</definedName>
    <definedName name="E_ALL_SECTIONS_EQTY_200018245" localSheetId="0">#REF!,#REF!,#REF!,#REF!,#REF!,#REF!,#REF!,#REF!</definedName>
    <definedName name="E_ALL_SECTIONS_EQTY_200018245">#REF!,#REF!,#REF!,#REF!,#REF!,#REF!,#REF!,#REF!</definedName>
    <definedName name="E_ALL_SECTIONS_ISSR_208006103" localSheetId="0">#REF!,#REF!,#REF!,#REF!,#REF!,#REF!,#REF!,#REF!,#REF!,#REF!</definedName>
    <definedName name="E_ALL_SECTIONS_ISSR_208006103">#REF!,#REF!,#REF!,#REF!,#REF!,#REF!,#REF!,#REF!,#REF!,#REF!</definedName>
    <definedName name="E_ALL_SECTIONS_ISSR_208007694" localSheetId="0">#REF!,#REF!,#REF!,#REF!,#REF!,#REF!,#REF!,#REF!,#REF!,#REF!</definedName>
    <definedName name="E_ALL_SECTIONS_ISSR_208007694">#REF!,#REF!,#REF!,#REF!,#REF!,#REF!,#REF!,#REF!,#REF!,#REF!</definedName>
    <definedName name="E_ALL_SECTIONS_ISSR_208008548" localSheetId="0">#REF!,#REF!,#REF!,#REF!,#REF!,#REF!,#REF!,#REF!,#REF!,#REF!</definedName>
    <definedName name="E_ALL_SECTIONS_ISSR_208008548">#REF!,#REF!,#REF!,#REF!,#REF!,#REF!,#REF!,#REF!,#REF!,#REF!</definedName>
    <definedName name="E_ALL_SECTIONS_ISSR_208009486" localSheetId="0">#REF!,#REF!,#REF!,#REF!,#REF!,#REF!,#REF!,#REF!,#REF!,#REF!</definedName>
    <definedName name="E_ALL_SECTIONS_ISSR_208009486">#REF!,#REF!,#REF!,#REF!,#REF!,#REF!,#REF!,#REF!,#REF!,#REF!</definedName>
    <definedName name="E_ALL_SECTIONS_ISSR_208009698" localSheetId="0">#REF!,#REF!,#REF!,#REF!,#REF!,#REF!,#REF!,#REF!,#REF!</definedName>
    <definedName name="E_ALL_SECTIONS_ISSR_208009698">#REF!,#REF!,#REF!,#REF!,#REF!,#REF!,#REF!,#REF!,#REF!</definedName>
    <definedName name="E_ALL_SECTIONS_ISSR_208009912" localSheetId="0">#REF!,#REF!,#REF!,#REF!,#REF!,#REF!,#REF!,#REF!,#REF!,#REF!</definedName>
    <definedName name="E_ALL_SECTIONS_ISSR_208009912">#REF!,#REF!,#REF!,#REF!,#REF!,#REF!,#REF!,#REF!,#REF!,#REF!</definedName>
    <definedName name="E_ALL_SECTIONS_ISSR_208009916" localSheetId="0">#REF!,#REF!,#REF!,#REF!,#REF!,#REF!,#REF!,#REF!,#REF!</definedName>
    <definedName name="E_ALL_SECTIONS_ISSR_208009916">#REF!,#REF!,#REF!,#REF!,#REF!,#REF!,#REF!,#REF!,#REF!</definedName>
    <definedName name="E_ALL_SECTIONS_ISSR_208010032" localSheetId="0">#REF!,#REF!,#REF!,#REF!,#REF!,#REF!,#REF!,#REF!,#REF!,#REF!,#REF!</definedName>
    <definedName name="E_ALL_SECTIONS_ISSR_208010032">#REF!,#REF!,#REF!,#REF!,#REF!,#REF!,#REF!,#REF!,#REF!,#REF!,#REF!</definedName>
    <definedName name="E_ALL_SECTIONS_ISSR_208010083" localSheetId="0">#REF!,#REF!,#REF!,#REF!,#REF!,#REF!,#REF!,#REF!,#REF!,#REF!,#REF!</definedName>
    <definedName name="E_ALL_SECTIONS_ISSR_208010083">#REF!,#REF!,#REF!,#REF!,#REF!,#REF!,#REF!,#REF!,#REF!,#REF!,#REF!</definedName>
    <definedName name="E_ALL_SECTIONS_ISSR_208013035" localSheetId="0">#REF!,#REF!,#REF!,#REF!,#REF!,#REF!,#REF!,#REF!,#REF!,#REF!</definedName>
    <definedName name="E_ALL_SECTIONS_ISSR_208013035">#REF!,#REF!,#REF!,#REF!,#REF!,#REF!,#REF!,#REF!,#REF!,#REF!</definedName>
    <definedName name="E_ALL_SFUN" localSheetId="0">#REF!</definedName>
    <definedName name="E_ALL_SFUN">#REF!</definedName>
    <definedName name="E_ALL_SOGO" localSheetId="0">#REF!</definedName>
    <definedName name="E_ALL_SOGO">#REF!</definedName>
    <definedName name="E_ALL_STG" localSheetId="0">#REF!</definedName>
    <definedName name="E_ALL_STG">#REF!</definedName>
    <definedName name="E_ALL_TCOM" localSheetId="0">#REF!</definedName>
    <definedName name="E_ALL_TCOM">#REF!</definedName>
    <definedName name="E_ALL_TSLA" localSheetId="0">#REF!</definedName>
    <definedName name="E_ALL_TSLA">#REF!</definedName>
    <definedName name="E_ALL_YMM" localSheetId="0">#REF!</definedName>
    <definedName name="E_ALL_YMM">#REF!</definedName>
    <definedName name="E_CURRENCY_EQTY_200007870_PRI" localSheetId="0">#REF!</definedName>
    <definedName name="E_CURRENCY_EQTY_200007870_PRI">#REF!</definedName>
    <definedName name="E_CURRENCY_EQTY_200007870_PUB" localSheetId="0">#REF!</definedName>
    <definedName name="E_CURRENCY_EQTY_200007870_PUB">#REF!</definedName>
    <definedName name="E_CURRENCY_EQTY_200007870_REP" localSheetId="0">#REF!</definedName>
    <definedName name="E_CURRENCY_EQTY_200007870_REP">#REF!</definedName>
    <definedName name="E_CURRENCY_EQTY_200009970_PRI" localSheetId="0">#REF!</definedName>
    <definedName name="E_CURRENCY_EQTY_200009970_PRI">#REF!</definedName>
    <definedName name="E_CURRENCY_EQTY_200009970_PUB" localSheetId="0">#REF!</definedName>
    <definedName name="E_CURRENCY_EQTY_200009970_PUB">#REF!</definedName>
    <definedName name="E_CURRENCY_EQTY_200009970_REP" localSheetId="0">#REF!</definedName>
    <definedName name="E_CURRENCY_EQTY_200009970_REP">#REF!</definedName>
    <definedName name="E_CURRENCY_EQTY_200011172_PRI" localSheetId="0">#REF!</definedName>
    <definedName name="E_CURRENCY_EQTY_200011172_PRI">#REF!</definedName>
    <definedName name="E_CURRENCY_EQTY_200011172_PUB" localSheetId="0">#REF!</definedName>
    <definedName name="E_CURRENCY_EQTY_200011172_PUB">#REF!</definedName>
    <definedName name="E_CURRENCY_EQTY_200011172_REP" localSheetId="0">#REF!</definedName>
    <definedName name="E_CURRENCY_EQTY_200011172_REP">#REF!</definedName>
    <definedName name="E_CURRENCY_EQTY_200012492_PRI" localSheetId="0">#REF!</definedName>
    <definedName name="E_CURRENCY_EQTY_200012492_PRI">#REF!</definedName>
    <definedName name="E_CURRENCY_EQTY_200012492_PUB" localSheetId="0">#REF!</definedName>
    <definedName name="E_CURRENCY_EQTY_200012492_PUB">#REF!</definedName>
    <definedName name="E_CURRENCY_EQTY_200012492_REP" localSheetId="0">#REF!</definedName>
    <definedName name="E_CURRENCY_EQTY_200012492_REP">#REF!</definedName>
    <definedName name="E_CURRENCY_EQTY_200012735_PRI" localSheetId="0">#REF!</definedName>
    <definedName name="E_CURRENCY_EQTY_200012735_PRI">#REF!</definedName>
    <definedName name="E_CURRENCY_EQTY_200012735_PUB" localSheetId="0">#REF!</definedName>
    <definedName name="E_CURRENCY_EQTY_200012735_PUB">#REF!</definedName>
    <definedName name="E_CURRENCY_EQTY_200012735_REP" localSheetId="0">#REF!</definedName>
    <definedName name="E_CURRENCY_EQTY_200012735_REP">#REF!</definedName>
    <definedName name="E_CURRENCY_EQTY_200012909_PRI" localSheetId="0">#REF!</definedName>
    <definedName name="E_CURRENCY_EQTY_200012909_PRI">#REF!</definedName>
    <definedName name="E_CURRENCY_EQTY_200012909_PUB" localSheetId="0">#REF!</definedName>
    <definedName name="E_CURRENCY_EQTY_200012909_PUB">#REF!</definedName>
    <definedName name="E_CURRENCY_EQTY_200012909_REP" localSheetId="0">#REF!</definedName>
    <definedName name="E_CURRENCY_EQTY_200012909_REP">#REF!</definedName>
    <definedName name="E_CURRENCY_EQTY_200012913_PRI" localSheetId="0">#REF!</definedName>
    <definedName name="E_CURRENCY_EQTY_200012913_PRI">#REF!</definedName>
    <definedName name="E_CURRENCY_EQTY_200012913_PUB" localSheetId="0">#REF!</definedName>
    <definedName name="E_CURRENCY_EQTY_200012913_PUB">#REF!</definedName>
    <definedName name="E_CURRENCY_EQTY_200012913_REP" localSheetId="0">#REF!</definedName>
    <definedName name="E_CURRENCY_EQTY_200012913_REP">#REF!</definedName>
    <definedName name="E_CURRENCY_EQTY_200013037_PRI" localSheetId="0">#REF!</definedName>
    <definedName name="E_CURRENCY_EQTY_200013037_PRI">#REF!</definedName>
    <definedName name="E_CURRENCY_EQTY_200013037_PUB" localSheetId="0">#REF!</definedName>
    <definedName name="E_CURRENCY_EQTY_200013037_PUB">#REF!</definedName>
    <definedName name="E_CURRENCY_EQTY_200013037_REP" localSheetId="0">#REF!</definedName>
    <definedName name="E_CURRENCY_EQTY_200013037_REP">#REF!</definedName>
    <definedName name="E_CURRENCY_EQTY_200013142_PRI" localSheetId="0">#REF!</definedName>
    <definedName name="E_CURRENCY_EQTY_200013142_PRI">#REF!</definedName>
    <definedName name="E_CURRENCY_EQTY_200013142_PUB" localSheetId="0">#REF!</definedName>
    <definedName name="E_CURRENCY_EQTY_200013142_PUB">#REF!</definedName>
    <definedName name="E_CURRENCY_EQTY_200013142_REP" localSheetId="0">#REF!</definedName>
    <definedName name="E_CURRENCY_EQTY_200013142_REP">#REF!</definedName>
    <definedName name="E_CURRENCY_EQTY_200016087_PRI" localSheetId="0">#REF!</definedName>
    <definedName name="E_CURRENCY_EQTY_200016087_PRI">#REF!</definedName>
    <definedName name="E_CURRENCY_EQTY_200016087_PUB" localSheetId="0">#REF!</definedName>
    <definedName name="E_CURRENCY_EQTY_200016087_PUB">#REF!</definedName>
    <definedName name="E_CURRENCY_EQTY_200016087_REP" localSheetId="0">#REF!</definedName>
    <definedName name="E_CURRENCY_EQTY_200016087_REP">#REF!</definedName>
    <definedName name="E_CURRENCY_EQTY_200018245_PRI" localSheetId="0">#REF!</definedName>
    <definedName name="E_CURRENCY_EQTY_200018245_PRI">#REF!</definedName>
    <definedName name="E_CURRENCY_EQTY_200018245_PUB" localSheetId="0">#REF!</definedName>
    <definedName name="E_CURRENCY_EQTY_200018245_PUB">#REF!</definedName>
    <definedName name="E_CURRENCY_EQTY_200018245_REP" localSheetId="0">#REF!</definedName>
    <definedName name="E_CURRENCY_EQTY_200018245_REP">#REF!</definedName>
    <definedName name="E_CURRENCY_ISSR_208006103_REP" localSheetId="0">#REF!</definedName>
    <definedName name="E_CURRENCY_ISSR_208006103_REP">#REF!</definedName>
    <definedName name="E_CURRENCY_ISSR_208007694_REP" localSheetId="0">#REF!</definedName>
    <definedName name="E_CURRENCY_ISSR_208007694_REP">#REF!</definedName>
    <definedName name="E_CURRENCY_ISSR_208008548_REP" localSheetId="0">#REF!</definedName>
    <definedName name="E_CURRENCY_ISSR_208008548_REP">#REF!</definedName>
    <definedName name="E_CURRENCY_ISSR_208009486_REP" localSheetId="0">#REF!</definedName>
    <definedName name="E_CURRENCY_ISSR_208009486_REP">#REF!</definedName>
    <definedName name="E_CURRENCY_ISSR_208009698_REP" localSheetId="0">#REF!</definedName>
    <definedName name="E_CURRENCY_ISSR_208009698_REP">#REF!</definedName>
    <definedName name="E_CURRENCY_ISSR_208009912_REP" localSheetId="0">#REF!</definedName>
    <definedName name="E_CURRENCY_ISSR_208009912_REP">#REF!</definedName>
    <definedName name="E_CURRENCY_ISSR_208009916_REP" localSheetId="0">#REF!</definedName>
    <definedName name="E_CURRENCY_ISSR_208009916_REP">#REF!</definedName>
    <definedName name="E_CURRENCY_ISSR_208010032_REP" localSheetId="0">#REF!</definedName>
    <definedName name="E_CURRENCY_ISSR_208010032_REP">#REF!</definedName>
    <definedName name="E_CURRENCY_ISSR_208010083_REP" localSheetId="0">#REF!</definedName>
    <definedName name="E_CURRENCY_ISSR_208010083_REP">#REF!</definedName>
    <definedName name="E_CURRENCY_ISSR_208013035_REP" localSheetId="0">#REF!</definedName>
    <definedName name="E_CURRENCY_ISSR_208013035_REP">#REF!</definedName>
    <definedName name="E_CURRENCY_ISSR_208015997_REP" localSheetId="0">#REF!</definedName>
    <definedName name="E_CURRENCY_ISSR_208015997_REP">#REF!</definedName>
    <definedName name="E_KEYWORD_ISSR_208010032_OP_AUSTRA" localSheetId="0">#REF!</definedName>
    <definedName name="E_KEYWORD_ISSR_208010032_OP_AUSTRA">#REF!</definedName>
    <definedName name="E_KEYWORD_ISSR_208010032_OP_AUSTRIA" localSheetId="0">#REF!</definedName>
    <definedName name="E_KEYWORD_ISSR_208010032_OP_AUSTRIA">#REF!</definedName>
    <definedName name="E_KEYWORD_ISSR_208010032_OP_BEL" localSheetId="0">#REF!</definedName>
    <definedName name="E_KEYWORD_ISSR_208010032_OP_BEL">#REF!</definedName>
    <definedName name="E_KEYWORD_ISSR_208010032_OP_BRAZIL" localSheetId="0">#REF!</definedName>
    <definedName name="E_KEYWORD_ISSR_208010032_OP_BRAZIL">#REF!</definedName>
    <definedName name="E_KEYWORD_ISSR_208010032_OP_CANADA" localSheetId="0">#REF!</definedName>
    <definedName name="E_KEYWORD_ISSR_208010032_OP_CANADA">#REF!</definedName>
    <definedName name="E_KEYWORD_ISSR_208010032_OP_CEE" localSheetId="0">#REF!</definedName>
    <definedName name="E_KEYWORD_ISSR_208010032_OP_CEE">#REF!</definedName>
    <definedName name="E_KEYWORD_ISSR_208010032_OP_CHINA" localSheetId="0">#REF!</definedName>
    <definedName name="E_KEYWORD_ISSR_208010032_OP_CHINA">#REF!</definedName>
    <definedName name="E_KEYWORD_ISSR_208010032_OP_CONS" localSheetId="0">#REF!</definedName>
    <definedName name="E_KEYWORD_ISSR_208010032_OP_CONS">#REF!</definedName>
    <definedName name="E_KEYWORD_ISSR_208010032_OP_DEN" localSheetId="0">#REF!</definedName>
    <definedName name="E_KEYWORD_ISSR_208010032_OP_DEN">#REF!</definedName>
    <definedName name="E_KEYWORD_ISSR_208010032_OP_EU_EX_UK" localSheetId="0">#REF!</definedName>
    <definedName name="E_KEYWORD_ISSR_208010032_OP_EU_EX_UK">#REF!</definedName>
    <definedName name="E_KEYWORD_ISSR_208010032_OP_FIN" localSheetId="0">#REF!</definedName>
    <definedName name="E_KEYWORD_ISSR_208010032_OP_FIN">#REF!</definedName>
    <definedName name="E_KEYWORD_ISSR_208010032_OP_FRA" localSheetId="0">#REF!</definedName>
    <definedName name="E_KEYWORD_ISSR_208010032_OP_FRA">#REF!</definedName>
    <definedName name="E_KEYWORD_ISSR_208010032_OP_GER" localSheetId="0">#REF!</definedName>
    <definedName name="E_KEYWORD_ISSR_208010032_OP_GER">#REF!</definedName>
    <definedName name="E_KEYWORD_ISSR_208010032_OP_GOV" localSheetId="0">#REF!</definedName>
    <definedName name="E_KEYWORD_ISSR_208010032_OP_GOV">#REF!</definedName>
    <definedName name="E_KEYWORD_ISSR_208010032_OP_GRE" localSheetId="0">#REF!</definedName>
    <definedName name="E_KEYWORD_ISSR_208010032_OP_GRE">#REF!</definedName>
    <definedName name="E_KEYWORD_ISSR_208010032_OP_ICE" localSheetId="0">#REF!</definedName>
    <definedName name="E_KEYWORD_ISSR_208010032_OP_ICE">#REF!</definedName>
    <definedName name="E_KEYWORD_ISSR_208010032_OP_IND" localSheetId="0">#REF!</definedName>
    <definedName name="E_KEYWORD_ISSR_208010032_OP_IND">#REF!</definedName>
    <definedName name="E_KEYWORD_ISSR_208010032_OP_INDIA" localSheetId="0">#REF!</definedName>
    <definedName name="E_KEYWORD_ISSR_208010032_OP_INDIA">#REF!</definedName>
    <definedName name="E_KEYWORD_ISSR_208010032_OP_IRE" localSheetId="0">#REF!</definedName>
    <definedName name="E_KEYWORD_ISSR_208010032_OP_IRE">#REF!</definedName>
    <definedName name="E_KEYWORD_ISSR_208010032_OP_ITA" localSheetId="0">#REF!</definedName>
    <definedName name="E_KEYWORD_ISSR_208010032_OP_ITA">#REF!</definedName>
    <definedName name="E_KEYWORD_ISSR_208010032_OP_JAPAN" localSheetId="0">#REF!</definedName>
    <definedName name="E_KEYWORD_ISSR_208010032_OP_JAPAN">#REF!</definedName>
    <definedName name="E_KEYWORD_ISSR_208010032_OP_ME" localSheetId="0">#REF!</definedName>
    <definedName name="E_KEYWORD_ISSR_208010032_OP_ME">#REF!</definedName>
    <definedName name="E_KEYWORD_ISSR_208010032_OP_NETH" localSheetId="0">#REF!</definedName>
    <definedName name="E_KEYWORD_ISSR_208010032_OP_NETH">#REF!</definedName>
    <definedName name="E_KEYWORD_ISSR_208010032_OP_NOR" localSheetId="0">#REF!</definedName>
    <definedName name="E_KEYWORD_ISSR_208010032_OP_NOR">#REF!</definedName>
    <definedName name="E_KEYWORD_ISSR_208010032_OP_NZ" localSheetId="0">#REF!</definedName>
    <definedName name="E_KEYWORD_ISSR_208010032_OP_NZ">#REF!</definedName>
    <definedName name="E_KEYWORD_ISSR_208010032_OP_OTH_AEJ" localSheetId="0">#REF!</definedName>
    <definedName name="E_KEYWORD_ISSR_208010032_OP_OTH_AEJ">#REF!</definedName>
    <definedName name="E_KEYWORD_ISSR_208010032_OP_OTH_AM" localSheetId="0">#REF!</definedName>
    <definedName name="E_KEYWORD_ISSR_208010032_OP_OTH_AM">#REF!</definedName>
    <definedName name="E_KEYWORD_ISSR_208010032_OP_OTH_EMEA" localSheetId="0">#REF!</definedName>
    <definedName name="E_KEYWORD_ISSR_208010032_OP_OTH_EMEA">#REF!</definedName>
    <definedName name="E_KEYWORD_ISSR_208010032_OP_OTHER" localSheetId="0">#REF!</definedName>
    <definedName name="E_KEYWORD_ISSR_208010032_OP_OTHER">#REF!</definedName>
    <definedName name="E_KEYWORD_ISSR_208010032_OP_POR" localSheetId="0">#REF!</definedName>
    <definedName name="E_KEYWORD_ISSR_208010032_OP_POR">#REF!</definedName>
    <definedName name="E_KEYWORD_ISSR_208010032_OP_RUSSIA" localSheetId="0">#REF!</definedName>
    <definedName name="E_KEYWORD_ISSR_208010032_OP_RUSSIA">#REF!</definedName>
    <definedName name="E_KEYWORD_ISSR_208010032_OP_SK" localSheetId="0">#REF!</definedName>
    <definedName name="E_KEYWORD_ISSR_208010032_OP_SK">#REF!</definedName>
    <definedName name="E_KEYWORD_ISSR_208010032_OP_SPA" localSheetId="0">#REF!</definedName>
    <definedName name="E_KEYWORD_ISSR_208010032_OP_SPA">#REF!</definedName>
    <definedName name="E_KEYWORD_ISSR_208010032_OP_SWE" localSheetId="0">#REF!</definedName>
    <definedName name="E_KEYWORD_ISSR_208010032_OP_SWE">#REF!</definedName>
    <definedName name="E_KEYWORD_ISSR_208010032_OP_SWIT" localSheetId="0">#REF!</definedName>
    <definedName name="E_KEYWORD_ISSR_208010032_OP_SWIT">#REF!</definedName>
    <definedName name="E_KEYWORD_ISSR_208010032_OP_TOT_AM" localSheetId="0">#REF!</definedName>
    <definedName name="E_KEYWORD_ISSR_208010032_OP_TOT_AM">#REF!</definedName>
    <definedName name="E_KEYWORD_ISSR_208010032_OP_TOT_ASIA" localSheetId="0">#REF!</definedName>
    <definedName name="E_KEYWORD_ISSR_208010032_OP_TOT_ASIA">#REF!</definedName>
    <definedName name="E_KEYWORD_ISSR_208010032_OP_TOT_EMEA" localSheetId="0">#REF!</definedName>
    <definedName name="E_KEYWORD_ISSR_208010032_OP_TOT_EMEA">#REF!</definedName>
    <definedName name="E_KEYWORD_ISSR_208010032_OP_UK" localSheetId="0">#REF!</definedName>
    <definedName name="E_KEYWORD_ISSR_208010032_OP_UK">#REF!</definedName>
    <definedName name="E_KEYWORD_ISSR_208010032_OP_US" localSheetId="0">#REF!</definedName>
    <definedName name="E_KEYWORD_ISSR_208010032_OP_US">#REF!</definedName>
    <definedName name="E_KEYWORD_ISSR_208010032_SALES_DEN" localSheetId="0">#REF!</definedName>
    <definedName name="E_KEYWORD_ISSR_208010032_SALES_DEN">#REF!</definedName>
    <definedName name="E_KEYWORD_ISSR_208010032_SALES_FIN" localSheetId="0">#REF!</definedName>
    <definedName name="E_KEYWORD_ISSR_208010032_SALES_FIN">#REF!</definedName>
    <definedName name="E_KEYWORD_ISSR_208010032_SALES_ICE" localSheetId="0">#REF!</definedName>
    <definedName name="E_KEYWORD_ISSR_208010032_SALES_ICE">#REF!</definedName>
    <definedName name="E_shr01AACB" localSheetId="0">#REF!</definedName>
    <definedName name="E_shr01AACB">#REF!</definedName>
    <definedName name="E_shr01AEN" localSheetId="0">#REF!</definedName>
    <definedName name="E_shr01AEN">#REF!</definedName>
    <definedName name="E_shr01AOL" localSheetId="0">#REF!</definedName>
    <definedName name="E_shr01AOL">#REF!</definedName>
    <definedName name="E_shr01BBI" localSheetId="0">#REF!</definedName>
    <definedName name="E_shr01BBI">#REF!</definedName>
    <definedName name="E_shr01CRWN" localSheetId="0">#REF!</definedName>
    <definedName name="E_shr01CRWN">#REF!</definedName>
    <definedName name="E_shr01DIS" localSheetId="0">#REF!</definedName>
    <definedName name="E_shr01DIS">#REF!</definedName>
    <definedName name="E_shr01FOX" localSheetId="0">#REF!</definedName>
    <definedName name="E_shr01FOX">#REF!</definedName>
    <definedName name="E_shr01HLYW" localSheetId="0">#REF!</definedName>
    <definedName name="E_shr01HLYW">#REF!</definedName>
    <definedName name="E_shr01IMAX" localSheetId="0">#REF!</definedName>
    <definedName name="E_shr01IMAX">#REF!</definedName>
    <definedName name="E_shr01MGM" localSheetId="0">#REF!</definedName>
    <definedName name="E_shr01MGM">#REF!</definedName>
    <definedName name="E_shr01NWS" localSheetId="0">#REF!</definedName>
    <definedName name="E_shr01NWS">#REF!</definedName>
    <definedName name="E_shr01NWSA" localSheetId="0">#REF!</definedName>
    <definedName name="E_shr01NWSA">#REF!</definedName>
    <definedName name="E_shr01NWSAexFOX" localSheetId="0">#REF!</definedName>
    <definedName name="E_shr01NWSAexFOX">#REF!</definedName>
    <definedName name="E_shr01RMG" localSheetId="0">#REF!</definedName>
    <definedName name="E_shr01RMG">#REF!</definedName>
    <definedName name="E_shr01USAI" localSheetId="0">#REF!</definedName>
    <definedName name="E_shr01USAI">#REF!</definedName>
    <definedName name="E_shr01V" localSheetId="0">#REF!</definedName>
    <definedName name="E_shr01V">#REF!</definedName>
    <definedName name="E_shr01VIAB" localSheetId="0">#REF!</definedName>
    <definedName name="E_shr01VIAB">#REF!</definedName>
    <definedName name="EA" localSheetId="0">#REF!</definedName>
    <definedName name="EA">#REF!</definedName>
    <definedName name="earniing" localSheetId="0">#REF!</definedName>
    <definedName name="earniing">#REF!</definedName>
    <definedName name="Earning_Per_Share" localSheetId="0">#REF!</definedName>
    <definedName name="Earning_Per_Share">#REF!</definedName>
    <definedName name="Earnings" localSheetId="0">#REF!</definedName>
    <definedName name="Earnings">#REF!</definedName>
    <definedName name="earningsforecast" localSheetId="0">#REF!</definedName>
    <definedName name="earningsforecast">#REF!</definedName>
    <definedName name="EB" localSheetId="0">#REF!</definedName>
    <definedName name="EB">#REF!</definedName>
    <definedName name="EBDIAT" localSheetId="0">#REF!</definedName>
    <definedName name="EBDIAT">#REF!</definedName>
    <definedName name="EBgrow02AACB" localSheetId="0">#REF!</definedName>
    <definedName name="EBgrow02AACB">#REF!</definedName>
    <definedName name="EBgrow02AEN" localSheetId="0">#REF!</definedName>
    <definedName name="EBgrow02AEN">#REF!</definedName>
    <definedName name="EBgrow02AOL" localSheetId="0">#REF!</definedName>
    <definedName name="EBgrow02AOL">#REF!</definedName>
    <definedName name="EBgrow02BBI" localSheetId="0">#REF!</definedName>
    <definedName name="EBgrow02BBI">#REF!</definedName>
    <definedName name="EBgrow02CRWN" localSheetId="0">#REF!</definedName>
    <definedName name="EBgrow02CRWN">#REF!</definedName>
    <definedName name="EBgrow02DIS" localSheetId="0">#REF!</definedName>
    <definedName name="EBgrow02DIS">#REF!</definedName>
    <definedName name="EBgrow02FOX" localSheetId="0">#REF!</definedName>
    <definedName name="EBgrow02FOX">#REF!</definedName>
    <definedName name="EBgrow02HLYW" localSheetId="0">#REF!</definedName>
    <definedName name="EBgrow02HLYW">#REF!</definedName>
    <definedName name="EBgrow02IMAX" localSheetId="0">#REF!</definedName>
    <definedName name="EBgrow02IMAX">#REF!</definedName>
    <definedName name="EBgrow02MGM" localSheetId="0">#REF!</definedName>
    <definedName name="EBgrow02MGM">#REF!</definedName>
    <definedName name="EBgrow02NWS" localSheetId="0">#REF!</definedName>
    <definedName name="EBgrow02NWS">#REF!</definedName>
    <definedName name="EBgrow02NWSA" localSheetId="0">#REF!</definedName>
    <definedName name="EBgrow02NWSA">#REF!</definedName>
    <definedName name="EBgrow02NWSAexFOX" localSheetId="0">#REF!</definedName>
    <definedName name="EBgrow02NWSAexFOX">#REF!</definedName>
    <definedName name="EBgrow02RMG" localSheetId="0">#REF!</definedName>
    <definedName name="EBgrow02RMG">#REF!</definedName>
    <definedName name="EBgrow02USAI" localSheetId="0">#REF!</definedName>
    <definedName name="EBgrow02USAI">#REF!</definedName>
    <definedName name="EBgrow02V" localSheetId="0">#REF!</definedName>
    <definedName name="EBgrow02V">#REF!</definedName>
    <definedName name="EBgrow02VIAB" localSheetId="0">#REF!</definedName>
    <definedName name="EBgrow02VIAB">#REF!</definedName>
    <definedName name="EBgrow03AOL" localSheetId="0">#REF!</definedName>
    <definedName name="EBgrow03AOL">#REF!</definedName>
    <definedName name="EBgrow03DIS" localSheetId="0">#REF!</definedName>
    <definedName name="EBgrow03DIS">#REF!</definedName>
    <definedName name="EBgrow03FOX" localSheetId="0">#REF!</definedName>
    <definedName name="EBgrow03FOX">#REF!</definedName>
    <definedName name="EBgrow03NWS" localSheetId="0">#REF!</definedName>
    <definedName name="EBgrow03NWS">#REF!</definedName>
    <definedName name="EBgrow03NWSA" localSheetId="0">#REF!</definedName>
    <definedName name="EBgrow03NWSA">#REF!</definedName>
    <definedName name="EBgrow03NWSAexFOX" localSheetId="0">#REF!</definedName>
    <definedName name="EBgrow03NWSAexFOX">#REF!</definedName>
    <definedName name="EBgrow03USAI" localSheetId="0">#REF!</definedName>
    <definedName name="EBgrow03USAI">#REF!</definedName>
    <definedName name="EBgrow03V" localSheetId="0">#REF!</definedName>
    <definedName name="EBgrow03V">#REF!</definedName>
    <definedName name="EBgrow03VIAB" localSheetId="0">#REF!</definedName>
    <definedName name="EBgrow03VIAB">#REF!</definedName>
    <definedName name="EBIT" localSheetId="0">#REF!</definedName>
    <definedName name="EBIT">#REF!</definedName>
    <definedName name="EBIT_fore" localSheetId="0">#REF!</definedName>
    <definedName name="EBIT_fore">#REF!</definedName>
    <definedName name="EBIT_margin" localSheetId="0">#REF!</definedName>
    <definedName name="EBIT_margin">#REF!</definedName>
    <definedName name="EBIT_margin_fore" localSheetId="0">#REF!</definedName>
    <definedName name="EBIT_margin_fore">#REF!</definedName>
    <definedName name="EBITA" localSheetId="0">#REF!</definedName>
    <definedName name="EBITA">#REF!</definedName>
    <definedName name="EBITA_fore" localSheetId="0">#REF!</definedName>
    <definedName name="EBITA_fore">#REF!</definedName>
    <definedName name="EBITD" localSheetId="0">#REF!</definedName>
    <definedName name="EBITD">#REF!</definedName>
    <definedName name="EBITDA" localSheetId="0">#REF!</definedName>
    <definedName name="EBITDA">#REF!</definedName>
    <definedName name="EBITDA_DCF" localSheetId="0">#REF!</definedName>
    <definedName name="EBITDA_DCF">#REF!</definedName>
    <definedName name="EBITDA_fore" localSheetId="0">#REF!</definedName>
    <definedName name="EBITDA_fore">#REF!</definedName>
    <definedName name="EBITDA_growth_avg" localSheetId="0">#REF!</definedName>
    <definedName name="EBITDA_growth_avg">#REF!</definedName>
    <definedName name="EBITDA_INT" localSheetId="0">#REF!</definedName>
    <definedName name="EBITDA_INT">#REF!</definedName>
    <definedName name="EBITDA_MAR" localSheetId="0">#REF!</definedName>
    <definedName name="EBITDA_MAR">#REF!</definedName>
    <definedName name="EBITDA_margin" localSheetId="0">#REF!</definedName>
    <definedName name="EBITDA_margin">#REF!</definedName>
    <definedName name="EBITDA_margin_fore" localSheetId="0">#REF!</definedName>
    <definedName name="EBITDA_margin_fore">#REF!</definedName>
    <definedName name="EBITDA_Share" localSheetId="0">#REF!</definedName>
    <definedName name="EBITDA_Share">#REF!</definedName>
    <definedName name="EBITDA00" localSheetId="0">#REF!</definedName>
    <definedName name="EBITDA00">#REF!</definedName>
    <definedName name="EBITDA00PF" localSheetId="0">#REF!</definedName>
    <definedName name="EBITDA00PF">#REF!</definedName>
    <definedName name="EBITDA01" localSheetId="0">#REF!</definedName>
    <definedName name="EBITDA01">#REF!</definedName>
    <definedName name="EBITDA01PF" localSheetId="0">#REF!</definedName>
    <definedName name="EBITDA01PF">#REF!</definedName>
    <definedName name="EBITDA02" localSheetId="0">#REF!</definedName>
    <definedName name="EBITDA02">#REF!</definedName>
    <definedName name="EBITDA02PF" localSheetId="0">#REF!</definedName>
    <definedName name="EBITDA02PF">#REF!</definedName>
    <definedName name="EBITDA03" localSheetId="0">#REF!</definedName>
    <definedName name="EBITDA03">#REF!</definedName>
    <definedName name="ebitda100" localSheetId="0">#REF!</definedName>
    <definedName name="ebitda100">#REF!</definedName>
    <definedName name="ebitda101" localSheetId="0">#REF!</definedName>
    <definedName name="ebitda101">#REF!</definedName>
    <definedName name="ebitda102" localSheetId="0">#REF!</definedName>
    <definedName name="ebitda102">#REF!</definedName>
    <definedName name="ebitda1998" localSheetId="0">#REF!</definedName>
    <definedName name="ebitda1998">#REF!</definedName>
    <definedName name="ebitda1999" localSheetId="0">#REF!</definedName>
    <definedName name="ebitda1999">#REF!</definedName>
    <definedName name="ebitda1q97" localSheetId="0">#REF!</definedName>
    <definedName name="ebitda1q97">#REF!</definedName>
    <definedName name="EBITDA93" localSheetId="0">#REF!</definedName>
    <definedName name="EBITDA93">#REF!</definedName>
    <definedName name="EBITDA94" localSheetId="0">#REF!</definedName>
    <definedName name="EBITDA94">#REF!</definedName>
    <definedName name="EBITDA95" localSheetId="0">#REF!</definedName>
    <definedName name="EBITDA95">#REF!</definedName>
    <definedName name="EBITDA99" localSheetId="0">#REF!</definedName>
    <definedName name="EBITDA99">#REF!</definedName>
    <definedName name="ebitdagrg2001" localSheetId="0">#REF!</definedName>
    <definedName name="ebitdagrg2001">#REF!</definedName>
    <definedName name="ebitdagrowth" localSheetId="0">#REF!</definedName>
    <definedName name="ebitdagrowth">#REF!</definedName>
    <definedName name="EBITDAMARG00" localSheetId="0">#REF!</definedName>
    <definedName name="EBITDAMARG00">#REF!</definedName>
    <definedName name="EBITDAMARG01" localSheetId="0">#REF!</definedName>
    <definedName name="EBITDAMARG01">#REF!</definedName>
    <definedName name="EBITDAMARG02" localSheetId="0">#REF!</definedName>
    <definedName name="EBITDAMARG02">#REF!</definedName>
    <definedName name="EBITDAMARG03" localSheetId="0">#REF!</definedName>
    <definedName name="EBITDAMARG03">#REF!</definedName>
    <definedName name="EBITDAMARG98" localSheetId="0">#REF!</definedName>
    <definedName name="EBITDAMARG98">#REF!</definedName>
    <definedName name="EBITDAMARG99" localSheetId="0">#REF!</definedName>
    <definedName name="EBITDAMARG99">#REF!</definedName>
    <definedName name="EBITDAMult01AACB" localSheetId="0">#REF!</definedName>
    <definedName name="EBITDAMult01AACB">#REF!</definedName>
    <definedName name="EBITDAMult01AEN" localSheetId="0">#REF!</definedName>
    <definedName name="EBITDAMult01AEN">#REF!</definedName>
    <definedName name="EBITDAMult01AOL" localSheetId="0">#REF!</definedName>
    <definedName name="EBITDAMult01AOL">#REF!</definedName>
    <definedName name="EBITDAMult01BBI" localSheetId="0">#REF!</definedName>
    <definedName name="EBITDAMult01BBI">#REF!</definedName>
    <definedName name="EBITDAMult01CRWN" localSheetId="0">#REF!</definedName>
    <definedName name="EBITDAMult01CRWN">#REF!</definedName>
    <definedName name="EBITDAMult01DIS" localSheetId="0">#REF!</definedName>
    <definedName name="EBITDAMult01DIS">#REF!</definedName>
    <definedName name="EBITDAMult01FOX" localSheetId="0">#REF!</definedName>
    <definedName name="EBITDAMult01FOX">#REF!</definedName>
    <definedName name="EBITDAMult01HLYW" localSheetId="0">#REF!</definedName>
    <definedName name="EBITDAMult01HLYW">#REF!</definedName>
    <definedName name="EBITDAMult01IMAX" localSheetId="0">#REF!</definedName>
    <definedName name="EBITDAMult01IMAX">#REF!</definedName>
    <definedName name="EBITDAMult01MGM" localSheetId="0">#REF!</definedName>
    <definedName name="EBITDAMult01MGM">#REF!</definedName>
    <definedName name="EBITDAMult01NWS" localSheetId="0">#REF!</definedName>
    <definedName name="EBITDAMult01NWS">#REF!</definedName>
    <definedName name="EBITDAMult01NWSA" localSheetId="0">#REF!</definedName>
    <definedName name="EBITDAMult01NWSA">#REF!</definedName>
    <definedName name="EBITDAMult01NWSAexFOX" localSheetId="0">#REF!</definedName>
    <definedName name="EBITDAMult01NWSAexFOX">#REF!</definedName>
    <definedName name="EBITDAMult01RMG" localSheetId="0">#REF!</definedName>
    <definedName name="EBITDAMult01RMG">#REF!</definedName>
    <definedName name="EBITDAMult01USAI" localSheetId="0">#REF!</definedName>
    <definedName name="EBITDAMult01USAI">#REF!</definedName>
    <definedName name="EBITDAMult01V" localSheetId="0">#REF!</definedName>
    <definedName name="EBITDAMult01V">#REF!</definedName>
    <definedName name="EBITDAMult01VIAB" localSheetId="0">#REF!</definedName>
    <definedName name="EBITDAMult01VIAB">#REF!</definedName>
    <definedName name="EBITDAMult02_AACB" localSheetId="0">#REF!</definedName>
    <definedName name="EBITDAMult02_AACB">#REF!</definedName>
    <definedName name="EBITDAMult02_AEN" localSheetId="0">#REF!</definedName>
    <definedName name="EBITDAMult02_AEN">#REF!</definedName>
    <definedName name="EBITDAMult02_MGM" localSheetId="0">#REF!</definedName>
    <definedName name="EBITDAMult02_MGM">#REF!</definedName>
    <definedName name="EBITDAMult02DIS" localSheetId="0">#REF!</definedName>
    <definedName name="EBITDAMult02DIS">#REF!</definedName>
    <definedName name="EBITDAMult02FOX" localSheetId="0">#REF!</definedName>
    <definedName name="EBITDAMult02FOX">#REF!</definedName>
    <definedName name="EBITDAMult02VIAB" localSheetId="0">#REF!</definedName>
    <definedName name="EBITDAMult02VIAB">#REF!</definedName>
    <definedName name="EBITDAMult03_AACB" localSheetId="0">#REF!</definedName>
    <definedName name="EBITDAMult03_AACB">#REF!</definedName>
    <definedName name="EBITDAMult03_AEN" localSheetId="0">#REF!</definedName>
    <definedName name="EBITDAMult03_AEN">#REF!</definedName>
    <definedName name="EBITDAMult03DIS" localSheetId="0">#REF!</definedName>
    <definedName name="EBITDAMult03DIS">#REF!</definedName>
    <definedName name="EBITDAMult03FOX" localSheetId="0">#REF!</definedName>
    <definedName name="EBITDAMult03FOX">#REF!</definedName>
    <definedName name="EBITDAMult03MGM" localSheetId="0">#REF!</definedName>
    <definedName name="EBITDAMult03MGM">#REF!</definedName>
    <definedName name="EBITDAMult03VIAB" localSheetId="0">#REF!</definedName>
    <definedName name="EBITDAMult03VIAB">#REF!</definedName>
    <definedName name="EBITDAval03MGM" localSheetId="0">#REF!</definedName>
    <definedName name="EBITDAval03MGM">#REF!</definedName>
    <definedName name="EBITDBreakingOutRandPD" localSheetId="0">#REF!</definedName>
    <definedName name="EBITDBreakingOutRandPD">#REF!</definedName>
    <definedName name="EBITDSUMMARY" localSheetId="0">#REF!</definedName>
    <definedName name="EBITDSUMMARY">#REF!</definedName>
    <definedName name="EBITDTreatingLeaseExpenseasDebtandInterestExpense" localSheetId="0">#REF!</definedName>
    <definedName name="EBITDTreatingLeaseExpenseasDebtandInterestExpense">#REF!</definedName>
    <definedName name="EBITDTreatingLeaseExpenseAsInterestExpenseandDebtandBreakingOutRandPD" localSheetId="0">#REF!</definedName>
    <definedName name="EBITDTreatingLeaseExpenseAsInterestExpenseandDebtandBreakingOutRandPD">#REF!</definedName>
    <definedName name="EBITrep01_AACB" localSheetId="0">#REF!</definedName>
    <definedName name="EBITrep01_AACB">#REF!</definedName>
    <definedName name="EBITrep01_AEN" localSheetId="0">#REF!</definedName>
    <definedName name="EBITrep01_AEN">#REF!</definedName>
    <definedName name="EBITrep01_AOL" localSheetId="0">#REF!</definedName>
    <definedName name="EBITrep01_AOL">#REF!</definedName>
    <definedName name="EBITrep01_BBI" localSheetId="0">#REF!</definedName>
    <definedName name="EBITrep01_BBI">#REF!</definedName>
    <definedName name="EBITrep01_CRWN" localSheetId="0">#REF!</definedName>
    <definedName name="EBITrep01_CRWN">#REF!</definedName>
    <definedName name="EBITrep01_DIS" localSheetId="0">#REF!</definedName>
    <definedName name="EBITrep01_DIS">#REF!</definedName>
    <definedName name="EBITrep01_FOX" localSheetId="0">#REF!</definedName>
    <definedName name="EBITrep01_FOX">#REF!</definedName>
    <definedName name="EBITrep01_HLYW" localSheetId="0">#REF!</definedName>
    <definedName name="EBITrep01_HLYW">#REF!</definedName>
    <definedName name="EBITrep01_IMAX" localSheetId="0">#REF!</definedName>
    <definedName name="EBITrep01_IMAX">#REF!</definedName>
    <definedName name="EBITrep01_MGM" localSheetId="0">#REF!</definedName>
    <definedName name="EBITrep01_MGM">#REF!</definedName>
    <definedName name="EBITrep01_NWS" localSheetId="0">#REF!</definedName>
    <definedName name="EBITrep01_NWS">#REF!</definedName>
    <definedName name="EBITrep01_NWSA" localSheetId="0">#REF!</definedName>
    <definedName name="EBITrep01_NWSA">#REF!</definedName>
    <definedName name="EBITrep01_NWSAexFOX" localSheetId="0">#REF!</definedName>
    <definedName name="EBITrep01_NWSAexFOX">#REF!</definedName>
    <definedName name="EBITrep01_RMG" localSheetId="0">#REF!</definedName>
    <definedName name="EBITrep01_RMG">#REF!</definedName>
    <definedName name="EBITrep01_USAI" localSheetId="0">#REF!</definedName>
    <definedName name="EBITrep01_USAI">#REF!</definedName>
    <definedName name="EBITrep01_V" localSheetId="0">#REF!</definedName>
    <definedName name="EBITrep01_V">#REF!</definedName>
    <definedName name="EBITrep01_VIAB" localSheetId="0">#REF!</definedName>
    <definedName name="EBITrep01_VIAB">#REF!</definedName>
    <definedName name="EBITval01_AACB" localSheetId="0">#REF!</definedName>
    <definedName name="EBITval01_AACB">#REF!</definedName>
    <definedName name="EBITval01_AEN" localSheetId="0">#REF!</definedName>
    <definedName name="EBITval01_AEN">#REF!</definedName>
    <definedName name="EBITval01_AOL" localSheetId="0">#REF!</definedName>
    <definedName name="EBITval01_AOL">#REF!</definedName>
    <definedName name="EBITval01_BBI" localSheetId="0">#REF!</definedName>
    <definedName name="EBITval01_BBI">#REF!</definedName>
    <definedName name="EBITval01_CRWN" localSheetId="0">#REF!</definedName>
    <definedName name="EBITval01_CRWN">#REF!</definedName>
    <definedName name="EBITval01_DIS" localSheetId="0">#REF!</definedName>
    <definedName name="EBITval01_DIS">#REF!</definedName>
    <definedName name="EBITval01_FOX" localSheetId="0">#REF!</definedName>
    <definedName name="EBITval01_FOX">#REF!</definedName>
    <definedName name="EBITval01_HLYW" localSheetId="0">#REF!</definedName>
    <definedName name="EBITval01_HLYW">#REF!</definedName>
    <definedName name="EBITval01_IMAX" localSheetId="0">#REF!</definedName>
    <definedName name="EBITval01_IMAX">#REF!</definedName>
    <definedName name="EBITval01_MGM" localSheetId="0">#REF!</definedName>
    <definedName name="EBITval01_MGM">#REF!</definedName>
    <definedName name="EBITval01_NWS" localSheetId="0">#REF!</definedName>
    <definedName name="EBITval01_NWS">#REF!</definedName>
    <definedName name="EBITval01_NWSA" localSheetId="0">#REF!</definedName>
    <definedName name="EBITval01_NWSA">#REF!</definedName>
    <definedName name="EBITval01_NWSAexFOX" localSheetId="0">#REF!</definedName>
    <definedName name="EBITval01_NWSAexFOX">#REF!</definedName>
    <definedName name="EBITval01_RMG" localSheetId="0">#REF!</definedName>
    <definedName name="EBITval01_RMG">#REF!</definedName>
    <definedName name="EBITval01_USAI" localSheetId="0">#REF!</definedName>
    <definedName name="EBITval01_USAI">#REF!</definedName>
    <definedName name="EBITval01_V" localSheetId="0">#REF!</definedName>
    <definedName name="EBITval01_V">#REF!</definedName>
    <definedName name="EBITval01_VIAB" localSheetId="0">#REF!</definedName>
    <definedName name="EBITval01_VIAB">#REF!</definedName>
    <definedName name="EC" localSheetId="0">#REF!</definedName>
    <definedName name="EC">#REF!</definedName>
    <definedName name="ecom_costs" localSheetId="0">#REF!</definedName>
    <definedName name="ecom_costs">#REF!</definedName>
    <definedName name="ecom_gm" localSheetId="0">#REF!</definedName>
    <definedName name="ecom_gm">#REF!</definedName>
    <definedName name="ecom_gp" localSheetId="0">#REF!</definedName>
    <definedName name="ecom_gp">#REF!</definedName>
    <definedName name="ecom_revs" localSheetId="0">#REF!</definedName>
    <definedName name="ecom_revs">#REF!</definedName>
    <definedName name="ED" localSheetId="0">#REF!</definedName>
    <definedName name="ED">#REF!</definedName>
    <definedName name="ED_Q" localSheetId="0">#REF!</definedName>
    <definedName name="ED_Q">#REF!</definedName>
    <definedName name="edGetFileName" localSheetId="0">#REF!</definedName>
    <definedName name="edGetFileName">#REF!</definedName>
    <definedName name="edl_Detailed" localSheetId="0">#REF!</definedName>
    <definedName name="edl_Detailed">#REF!</definedName>
    <definedName name="edps00" localSheetId="0">#REF!</definedName>
    <definedName name="edps00">#REF!</definedName>
    <definedName name="edps01" localSheetId="0">#REF!</definedName>
    <definedName name="edps01">#REF!</definedName>
    <definedName name="edps98" localSheetId="0">#REF!</definedName>
    <definedName name="edps98">#REF!</definedName>
    <definedName name="edps99" localSheetId="0">#REF!</definedName>
    <definedName name="edps99">#REF!</definedName>
    <definedName name="Edu_Price" localSheetId="0">#REF!</definedName>
    <definedName name="Edu_Price">#REF!</definedName>
    <definedName name="ee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">#REF!</definedName>
    <definedName name="eee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e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e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e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EEE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EEEE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eepsfd00" localSheetId="0">#REF!</definedName>
    <definedName name="eepsfd00">#REF!</definedName>
    <definedName name="eepsfd01" localSheetId="0">#REF!</definedName>
    <definedName name="eepsfd01">#REF!</definedName>
    <definedName name="eepsfd98" localSheetId="0">#REF!</definedName>
    <definedName name="eepsfd98">#REF!</definedName>
    <definedName name="eepsfd99" localSheetId="0">#REF!</definedName>
    <definedName name="eepsfd99">#REF!</definedName>
    <definedName name="EG_DPS" localSheetId="0">#REF!</definedName>
    <definedName name="EG_DPS">#REF!</definedName>
    <definedName name="EG_Net_Profit" localSheetId="0">#REF!</definedName>
    <definedName name="EG_Net_Profit">#REF!</definedName>
    <definedName name="ELEC" localSheetId="0">#REF!</definedName>
    <definedName name="ELEC">#REF!</definedName>
    <definedName name="Elim" localSheetId="0">#REF!</definedName>
    <definedName name="Elim">#REF!</definedName>
    <definedName name="ElimBalanceSheet" localSheetId="0">#REF!</definedName>
    <definedName name="ElimBalanceSheet">#REF!</definedName>
    <definedName name="ElimCashFlow" localSheetId="0">#REF!</definedName>
    <definedName name="ElimCashFlow">#REF!</definedName>
    <definedName name="Eliminated" localSheetId="0">#REF!</definedName>
    <definedName name="Eliminated">#REF!</definedName>
    <definedName name="ElimIncomeStatement" localSheetId="0">#REF!</definedName>
    <definedName name="ElimIncomeStatement">#REF!</definedName>
    <definedName name="Employees" localSheetId="0">#REF!</definedName>
    <definedName name="Employees">#REF!</definedName>
    <definedName name="end" localSheetId="0">#REF!</definedName>
    <definedName name="end">#REF!</definedName>
    <definedName name="enetinc00" localSheetId="0">#REF!</definedName>
    <definedName name="enetinc00">#REF!</definedName>
    <definedName name="enetinc01" localSheetId="0">#REF!</definedName>
    <definedName name="enetinc01">#REF!</definedName>
    <definedName name="enetinc98" localSheetId="0">#REF!</definedName>
    <definedName name="enetinc98">#REF!</definedName>
    <definedName name="enetinc99" localSheetId="0">#REF!</definedName>
    <definedName name="enetinc99">#REF!</definedName>
    <definedName name="entEBITDA01" localSheetId="0">#REF!</definedName>
    <definedName name="entEBITDA01">#REF!</definedName>
    <definedName name="enterprise_value" localSheetId="0">#REF!</definedName>
    <definedName name="enterprise_value">#REF!</definedName>
    <definedName name="eoy" localSheetId="0">#REF!</definedName>
    <definedName name="eoy">#REF!</definedName>
    <definedName name="epretax00" localSheetId="0">#REF!</definedName>
    <definedName name="epretax00">#REF!</definedName>
    <definedName name="epretax01" localSheetId="0">#REF!</definedName>
    <definedName name="epretax01">#REF!</definedName>
    <definedName name="epretax98" localSheetId="0">#REF!</definedName>
    <definedName name="epretax98">#REF!</definedName>
    <definedName name="epretax99" localSheetId="0">#REF!</definedName>
    <definedName name="epretax99">#REF!</definedName>
    <definedName name="EPS" localSheetId="0">#REF!</definedName>
    <definedName name="EPS">#REF!</definedName>
    <definedName name="eps_fiscal_yr_change_comment" localSheetId="0">#REF!</definedName>
    <definedName name="eps_fiscal_yr_change_comment">#REF!</definedName>
    <definedName name="EPS_growth_avg" localSheetId="0">#REF!</definedName>
    <definedName name="EPS_growth_avg">#REF!</definedName>
    <definedName name="eps00" localSheetId="0">#REF!</definedName>
    <definedName name="eps00">#REF!</definedName>
    <definedName name="EPS00PF" localSheetId="0">#REF!</definedName>
    <definedName name="EPS00PF">#REF!</definedName>
    <definedName name="EPS01_AACB" localSheetId="0">#REF!</definedName>
    <definedName name="EPS01_AACB">#REF!</definedName>
    <definedName name="EPS01_AEN" localSheetId="0">#REF!</definedName>
    <definedName name="EPS01_AEN">#REF!</definedName>
    <definedName name="EPS01_AOL" localSheetId="0">#REF!</definedName>
    <definedName name="EPS01_AOL">#REF!</definedName>
    <definedName name="EPS01_BBI" localSheetId="0">#REF!</definedName>
    <definedName name="EPS01_BBI">#REF!</definedName>
    <definedName name="EPS01_CRWN" localSheetId="0">#REF!</definedName>
    <definedName name="EPS01_CRWN">#REF!</definedName>
    <definedName name="EPS01_DIS" localSheetId="0">#REF!</definedName>
    <definedName name="EPS01_DIS">#REF!</definedName>
    <definedName name="EPS01_FOX" localSheetId="0">#REF!</definedName>
    <definedName name="EPS01_FOX">#REF!</definedName>
    <definedName name="EPS01_HLYW" localSheetId="0">#REF!</definedName>
    <definedName name="EPS01_HLYW">#REF!</definedName>
    <definedName name="EPS01_IMAX" localSheetId="0">#REF!</definedName>
    <definedName name="EPS01_IMAX">#REF!</definedName>
    <definedName name="EPS01_MGM" localSheetId="0">#REF!</definedName>
    <definedName name="EPS01_MGM">#REF!</definedName>
    <definedName name="EPS01_NWS" localSheetId="0">#REF!</definedName>
    <definedName name="EPS01_NWS">#REF!</definedName>
    <definedName name="EPS01_NWSA" localSheetId="0">#REF!</definedName>
    <definedName name="EPS01_NWSA">#REF!</definedName>
    <definedName name="EPS01_RMG" localSheetId="0">#REF!</definedName>
    <definedName name="EPS01_RMG">#REF!</definedName>
    <definedName name="EPS01_VIAB" localSheetId="0">#REF!</definedName>
    <definedName name="EPS01_VIAB">#REF!</definedName>
    <definedName name="EPS03MGM" localSheetId="0">#REF!</definedName>
    <definedName name="EPS03MGM">#REF!</definedName>
    <definedName name="EPS99PF" localSheetId="0">#REF!</definedName>
    <definedName name="EPS99PF">#REF!</definedName>
    <definedName name="EPSEstimate" localSheetId="0">#REF!</definedName>
    <definedName name="EPSEstimate">#REF!</definedName>
    <definedName name="epsfd00" localSheetId="0">#REF!</definedName>
    <definedName name="epsfd00">#REF!</definedName>
    <definedName name="epsfd00e" localSheetId="0">#REF!</definedName>
    <definedName name="epsfd00e">#REF!</definedName>
    <definedName name="epsfd01" localSheetId="0">#REF!</definedName>
    <definedName name="epsfd01">#REF!</definedName>
    <definedName name="epsfd98" localSheetId="0">#REF!</definedName>
    <definedName name="epsfd98">#REF!</definedName>
    <definedName name="epsfd98e" localSheetId="0">#REF!</definedName>
    <definedName name="epsfd98e">#REF!</definedName>
    <definedName name="epsfd99" localSheetId="0">#REF!</definedName>
    <definedName name="epsfd99">#REF!</definedName>
    <definedName name="epsfd99e" localSheetId="0">#REF!</definedName>
    <definedName name="epsfd99e">#REF!</definedName>
    <definedName name="EPSpg01_AACB" localSheetId="0">#REF!</definedName>
    <definedName name="EPSpg01_AACB">#REF!</definedName>
    <definedName name="EPSpg01_AEN" localSheetId="0">#REF!</definedName>
    <definedName name="EPSpg01_AEN">#REF!</definedName>
    <definedName name="EPSpg01_AOL" localSheetId="0">#REF!</definedName>
    <definedName name="EPSpg01_AOL">#REF!</definedName>
    <definedName name="EPSpg01_BBI" localSheetId="0">#REF!</definedName>
    <definedName name="EPSpg01_BBI">#REF!</definedName>
    <definedName name="EPSpg01_CRWN" localSheetId="0">#REF!</definedName>
    <definedName name="EPSpg01_CRWN">#REF!</definedName>
    <definedName name="EPSpg01_DIS" localSheetId="0">#REF!</definedName>
    <definedName name="EPSpg01_DIS">#REF!</definedName>
    <definedName name="EPSpg01_FOX" localSheetId="0">#REF!</definedName>
    <definedName name="EPSpg01_FOX">#REF!</definedName>
    <definedName name="EPSpg01_HLYW" localSheetId="0">#REF!</definedName>
    <definedName name="EPSpg01_HLYW">#REF!</definedName>
    <definedName name="EPSpg01_IMAX" localSheetId="0">#REF!</definedName>
    <definedName name="EPSpg01_IMAX">#REF!</definedName>
    <definedName name="EPSpg01_MGM" localSheetId="0">#REF!</definedName>
    <definedName name="EPSpg01_MGM">#REF!</definedName>
    <definedName name="EPSpg01_NWS" localSheetId="0">#REF!</definedName>
    <definedName name="EPSpg01_NWS">#REF!</definedName>
    <definedName name="EPSpg01_NWSA" localSheetId="0">#REF!</definedName>
    <definedName name="EPSpg01_NWSA">#REF!</definedName>
    <definedName name="EPSpg01_RMG" localSheetId="0">#REF!</definedName>
    <definedName name="EPSpg01_RMG">#REF!</definedName>
    <definedName name="EPSpg01_VIAB" localSheetId="0">#REF!</definedName>
    <definedName name="EPSpg01_VIAB">#REF!</definedName>
    <definedName name="EPSQ195" localSheetId="0">#REF!</definedName>
    <definedName name="EPSQ195">#REF!</definedName>
    <definedName name="EPSQ196" localSheetId="0">#REF!</definedName>
    <definedName name="EPSQ196">#REF!</definedName>
    <definedName name="EPSQ197" localSheetId="0">#REF!</definedName>
    <definedName name="EPSQ197">#REF!</definedName>
    <definedName name="EPSQ295" localSheetId="0">#REF!</definedName>
    <definedName name="EPSQ295">#REF!</definedName>
    <definedName name="EPSQ296" localSheetId="0">#REF!</definedName>
    <definedName name="EPSQ296">#REF!</definedName>
    <definedName name="EPSQ297" localSheetId="0">#REF!</definedName>
    <definedName name="EPSQ297">#REF!</definedName>
    <definedName name="EPSQ395" localSheetId="0">#REF!</definedName>
    <definedName name="EPSQ395">#REF!</definedName>
    <definedName name="EPSQ396" localSheetId="0">#REF!</definedName>
    <definedName name="EPSQ396">#REF!</definedName>
    <definedName name="EPSQ397" localSheetId="0">#REF!</definedName>
    <definedName name="EPSQ397">#REF!</definedName>
    <definedName name="EPSQ495" localSheetId="0">#REF!</definedName>
    <definedName name="EPSQ495">#REF!</definedName>
    <definedName name="EPSQ496" localSheetId="0">#REF!</definedName>
    <definedName name="EPSQ496">#REF!</definedName>
    <definedName name="EPSQ497" localSheetId="0">#REF!</definedName>
    <definedName name="EPSQ497">#REF!</definedName>
    <definedName name="EPSRegularAfterExtraordinaries" localSheetId="0">#REF!</definedName>
    <definedName name="EPSRegularAfterExtraordinaries">#REF!</definedName>
    <definedName name="EPSRegularBeforeExtraordinaries" localSheetId="0">#REF!</definedName>
    <definedName name="EPSRegularBeforeExtraordinaries">#REF!</definedName>
    <definedName name="EPSRegularExtraordinaries" localSheetId="0">#REF!</definedName>
    <definedName name="EPSRegularExtraordinaries">#REF!</definedName>
    <definedName name="EPSRegularNormalized" localSheetId="0">#REF!</definedName>
    <definedName name="EPSRegularNormalized">#REF!</definedName>
    <definedName name="EPSRegularNormalizedCalculated" localSheetId="0">#REF!</definedName>
    <definedName name="EPSRegularNormalizedCalculated">#REF!</definedName>
    <definedName name="EPSTable" localSheetId="0">#REF!</definedName>
    <definedName name="EPSTable">#REF!</definedName>
    <definedName name="EPSVAL" localSheetId="0">#REF!</definedName>
    <definedName name="EPSVAL">#REF!</definedName>
    <definedName name="EqGrwth" localSheetId="0">#REF!</definedName>
    <definedName name="EqGrwth">#REF!</definedName>
    <definedName name="EQIX" localSheetId="0">#REF!</definedName>
    <definedName name="EQIX">#REF!</definedName>
    <definedName name="EQUITY" localSheetId="0">#REF!</definedName>
    <definedName name="EQUITY">#REF!</definedName>
    <definedName name="Equity_Del_Item" localSheetId="0">#REF!</definedName>
    <definedName name="Equity_Del_Item">#REF!</definedName>
    <definedName name="Equity_increase" localSheetId="0">#REF!</definedName>
    <definedName name="Equity_increase">#REF!</definedName>
    <definedName name="Equity_Ins_Item" localSheetId="0">#REF!</definedName>
    <definedName name="Equity_Ins_Item">#REF!</definedName>
    <definedName name="equity1997" localSheetId="0">#REF!</definedName>
    <definedName name="equity1997">#REF!</definedName>
    <definedName name="equity1998" localSheetId="0">#REF!</definedName>
    <definedName name="equity1998">#REF!</definedName>
    <definedName name="equity1999" localSheetId="0">#REF!</definedName>
    <definedName name="equity1999">#REF!</definedName>
    <definedName name="equity2000" localSheetId="0">#REF!</definedName>
    <definedName name="equity2000">#REF!</definedName>
    <definedName name="equity2001" localSheetId="0">#REF!</definedName>
    <definedName name="equity2001">#REF!</definedName>
    <definedName name="equity2002" localSheetId="0">#REF!</definedName>
    <definedName name="equity2002">#REF!</definedName>
    <definedName name="equity2003" localSheetId="0">#REF!</definedName>
    <definedName name="equity2003">#REF!</definedName>
    <definedName name="EquityAdjustments">0</definedName>
    <definedName name="EquityBgn" localSheetId="0">#REF!</definedName>
    <definedName name="EquityBgn">#REF!</definedName>
    <definedName name="EquityCommonStock" localSheetId="0">#REF!</definedName>
    <definedName name="EquityCommonStock">#REF!</definedName>
    <definedName name="EquityEmployeeStockOwnershipPlan" localSheetId="0">#REF!</definedName>
    <definedName name="EquityEmployeeStockOwnershipPlan">#REF!</definedName>
    <definedName name="EquityIntlBgn" localSheetId="0">#REF!</definedName>
    <definedName name="EquityIntlBgn">#REF!</definedName>
    <definedName name="EquityLiabilitiesAssetsCheck" localSheetId="0">#REF!</definedName>
    <definedName name="EquityLiabilitiesAssetsCheck">#REF!</definedName>
    <definedName name="EquityLiabilitiesTotal" localSheetId="0">#REF!</definedName>
    <definedName name="EquityLiabilitiesTotal">#REF!</definedName>
    <definedName name="EquityNecessaryToFinanceEquity" localSheetId="0">#REF!</definedName>
    <definedName name="EquityNecessaryToFinanceEquity">#REF!</definedName>
    <definedName name="EquityOther" localSheetId="0">#REF!</definedName>
    <definedName name="EquityOther">#REF!</definedName>
    <definedName name="EquityPaidInCapital">0</definedName>
    <definedName name="EquityPreferredStock" localSheetId="0">#REF!</definedName>
    <definedName name="EquityPreferredStock">#REF!</definedName>
    <definedName name="EquityRetainedEarnings" localSheetId="0">#REF!</definedName>
    <definedName name="EquityRetainedEarnings">#REF!</definedName>
    <definedName name="EquityTotal" localSheetId="0">#REF!</definedName>
    <definedName name="EquityTotal">#REF!</definedName>
    <definedName name="EquityTreasuryStock">0</definedName>
    <definedName name="ER" localSheetId="0">#REF!</definedName>
    <definedName name="ER">#REF!</definedName>
    <definedName name="ERP" localSheetId="0">#REF!</definedName>
    <definedName name="ERP">#REF!</definedName>
    <definedName name="esnrc100c1_values" localSheetId="5" hidden="1">{"FTSE100","COMPANIES",TRUE}</definedName>
    <definedName name="esnrc100c1_values" localSheetId="0" hidden="1">{"FTSE100","COMPANIES",TRUE}</definedName>
    <definedName name="esnrc100c1_values" localSheetId="4" hidden="1">{"FTSE100","COMPANIES",TRUE}</definedName>
    <definedName name="esnrc100c1_values" hidden="1">{"FTSE100","COMPANIES",TRUE}</definedName>
    <definedName name="esnrc33c1_values" localSheetId="5" hidden="1">{"EUMOT","COMPANIES",TRUE}</definedName>
    <definedName name="esnrc33c1_values" localSheetId="0" hidden="1">{"EUMOT","COMPANIES",TRUE}</definedName>
    <definedName name="esnrc33c1_values" localSheetId="4" hidden="1">{"EUMOT","COMPANIES",TRUE}</definedName>
    <definedName name="esnrc33c1_values" hidden="1">{"EUMOT","COMPANIES",TRUE}</definedName>
    <definedName name="esnrc56c1_values" localSheetId="5" hidden="1">{"ASCONGRP","COMPANIES",TRUE}</definedName>
    <definedName name="esnrc56c1_values" localSheetId="0" hidden="1">{"ASCONGRP","COMPANIES",TRUE}</definedName>
    <definedName name="esnrc56c1_values" localSheetId="4" hidden="1">{"ASCONGRP","COMPANIES",TRUE}</definedName>
    <definedName name="esnrc56c1_values" hidden="1">{"ASCONGRP","COMPANIES",TRUE}</definedName>
    <definedName name="esnrc63c1_values" localSheetId="5" hidden="1">{"EUUTIGRP","COMPANIES",TRUE}</definedName>
    <definedName name="esnrc63c1_values" localSheetId="0" hidden="1">{"EUUTIGRP","COMPANIES",TRUE}</definedName>
    <definedName name="esnrc63c1_values" localSheetId="4" hidden="1">{"EUUTIGRP","COMPANIES",TRUE}</definedName>
    <definedName name="esnrc63c1_values" hidden="1">{"EUUTIGRP","COMPANIES",TRUE}</definedName>
    <definedName name="esnrc91c1_values" localSheetId="5" hidden="1">{"EUUTI","COMPANIES",TRUE}</definedName>
    <definedName name="esnrc91c1_values" localSheetId="0" hidden="1">{"EUUTI","COMPANIES",TRUE}</definedName>
    <definedName name="esnrc91c1_values" localSheetId="4" hidden="1">{"EUUTI","COMPANIES",TRUE}</definedName>
    <definedName name="esnrc91c1_values" hidden="1">{"EUUTI","COMPANIES",TRUE}</definedName>
    <definedName name="esnrc91c2_values" localSheetId="5" hidden="1">{"EUUTI","COMPANIES",TRUE}</definedName>
    <definedName name="esnrc91c2_values" localSheetId="0" hidden="1">{"EUUTI","COMPANIES",TRUE}</definedName>
    <definedName name="esnrc91c2_values" localSheetId="4" hidden="1">{"EUUTI","COMPANIES",TRUE}</definedName>
    <definedName name="esnrc91c2_values" hidden="1">{"EUUTI","COMPANIES",TRUE}</definedName>
    <definedName name="ETAX00" localSheetId="0">#REF!</definedName>
    <definedName name="ETAX00">#REF!</definedName>
    <definedName name="ETAX00PF" localSheetId="0">#REF!</definedName>
    <definedName name="ETAX00PF">#REF!</definedName>
    <definedName name="ETAX01" localSheetId="0">#REF!</definedName>
    <definedName name="ETAX01">#REF!</definedName>
    <definedName name="ETAX02" localSheetId="0">#REF!</definedName>
    <definedName name="ETAX02">#REF!</definedName>
    <definedName name="ETAX03" localSheetId="0">#REF!</definedName>
    <definedName name="ETAX03">#REF!</definedName>
    <definedName name="ETAX98" localSheetId="0">#REF!</definedName>
    <definedName name="ETAX98">#REF!</definedName>
    <definedName name="ETAX99" localSheetId="0">#REF!</definedName>
    <definedName name="ETAX99">#REF!</definedName>
    <definedName name="etaxrate00" localSheetId="0">#REF!</definedName>
    <definedName name="etaxrate00">#REF!</definedName>
    <definedName name="etaxrate01" localSheetId="0">#REF!</definedName>
    <definedName name="etaxrate01">#REF!</definedName>
    <definedName name="etaxrate98" localSheetId="0">#REF!</definedName>
    <definedName name="etaxrate98">#REF!</definedName>
    <definedName name="etaxrate99" localSheetId="0">#REF!</definedName>
    <definedName name="etaxrate99">#REF!</definedName>
    <definedName name="etc" localSheetId="0">#REF!</definedName>
    <definedName name="etc">#REF!</definedName>
    <definedName name="ETEN00" localSheetId="0">#REF!</definedName>
    <definedName name="ETEN00">#REF!</definedName>
    <definedName name="ETEN01" localSheetId="0">#REF!</definedName>
    <definedName name="ETEN01">#REF!</definedName>
    <definedName name="ETEN02" localSheetId="0">#REF!</definedName>
    <definedName name="ETEN02">#REF!</definedName>
    <definedName name="ETEN03" localSheetId="0">#REF!</definedName>
    <definedName name="ETEN03">#REF!</definedName>
    <definedName name="ETEN98" localSheetId="0">#REF!</definedName>
    <definedName name="ETEN98">#REF!</definedName>
    <definedName name="ETEN99" localSheetId="0">#REF!</definedName>
    <definedName name="ETEN99">#REF!</definedName>
    <definedName name="etotal93" localSheetId="0">#REF!</definedName>
    <definedName name="etotal93">#REF!</definedName>
    <definedName name="etotal94" localSheetId="0">#REF!</definedName>
    <definedName name="etotal94">#REF!</definedName>
    <definedName name="etotal95" localSheetId="0">#REF!</definedName>
    <definedName name="etotal95">#REF!</definedName>
    <definedName name="etotal96" localSheetId="0">#REF!</definedName>
    <definedName name="etotal96">#REF!</definedName>
    <definedName name="etotal97" localSheetId="0">#REF!</definedName>
    <definedName name="etotal97">#REF!</definedName>
    <definedName name="etotal98" localSheetId="0">#REF!</definedName>
    <definedName name="etotal98">#REF!</definedName>
    <definedName name="etotal99" localSheetId="0">#REF!</definedName>
    <definedName name="etotal99">#REF!</definedName>
    <definedName name="etotrev00" localSheetId="0">#REF!</definedName>
    <definedName name="etotrev00">#REF!</definedName>
    <definedName name="etotrev01" localSheetId="0">#REF!</definedName>
    <definedName name="etotrev01">#REF!</definedName>
    <definedName name="etotrev98" localSheetId="0">#REF!</definedName>
    <definedName name="etotrev98">#REF!</definedName>
    <definedName name="etotrev99" localSheetId="0">#REF!</definedName>
    <definedName name="etotrev99">#REF!</definedName>
    <definedName name="ETOW00" localSheetId="0">#REF!</definedName>
    <definedName name="ETOW00">#REF!</definedName>
    <definedName name="ETOW01" localSheetId="0">#REF!</definedName>
    <definedName name="ETOW01">#REF!</definedName>
    <definedName name="ETOW02" localSheetId="0">#REF!</definedName>
    <definedName name="ETOW02">#REF!</definedName>
    <definedName name="ETOW03" localSheetId="0">#REF!</definedName>
    <definedName name="ETOW03">#REF!</definedName>
    <definedName name="ETOW98" localSheetId="0">#REF!</definedName>
    <definedName name="ETOW98">#REF!</definedName>
    <definedName name="ETOW99" localSheetId="0">#REF!</definedName>
    <definedName name="ETOW99">#REF!</definedName>
    <definedName name="ETRADE" localSheetId="0">#REF!,#REF!</definedName>
    <definedName name="ETRADE">#REF!,#REF!</definedName>
    <definedName name="EU" localSheetId="0">#REF!</definedName>
    <definedName name="EU">#REF!</definedName>
    <definedName name="eurnew" localSheetId="0">#REF!</definedName>
    <definedName name="eurnew">#REF!</definedName>
    <definedName name="eurold" localSheetId="0">#REF!</definedName>
    <definedName name="eurold">#REF!</definedName>
    <definedName name="Europe_excl._Sweden" localSheetId="0">#REF!</definedName>
    <definedName name="Europe_excl._Sweden">#REF!</definedName>
    <definedName name="Europe_excl._Sweden_w" localSheetId="0">#REF!</definedName>
    <definedName name="Europe_excl._Sweden_w">#REF!</definedName>
    <definedName name="EV" localSheetId="0">#REF!</definedName>
    <definedName name="EV">#REF!</definedName>
    <definedName name="ev.Calculation" hidden="1">-4105</definedName>
    <definedName name="ev.Initialized" hidden="1">FALSE</definedName>
    <definedName name="EVA" localSheetId="0">#REF!</definedName>
    <definedName name="EVA">#REF!</definedName>
    <definedName name="EVA_TOTCAP" localSheetId="0">#REF!</definedName>
    <definedName name="EVA_TOTCAP">#REF!</definedName>
    <definedName name="ewrewre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wrewre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wrewre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wrewre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EX_EBITDA_INT" localSheetId="0">#REF!</definedName>
    <definedName name="EX_EBITDA_INT">#REF!</definedName>
    <definedName name="Excel_Version" localSheetId="0">#REF!</definedName>
    <definedName name="Excel_Version">#REF!</definedName>
    <definedName name="EXCEP_ITEMS" localSheetId="0">#REF!</definedName>
    <definedName name="EXCEP_ITEMS">#REF!</definedName>
    <definedName name="Except" localSheetId="0">#REF!</definedName>
    <definedName name="Except">#REF!</definedName>
    <definedName name="Exceptionals" localSheetId="0">#REF!</definedName>
    <definedName name="Exceptionals">#REF!</definedName>
    <definedName name="Excess_cash" localSheetId="0">#REF!</definedName>
    <definedName name="Excess_cash">#REF!</definedName>
    <definedName name="EXCHANGE" localSheetId="0">#REF!</definedName>
    <definedName name="EXCHANGE">#REF!</definedName>
    <definedName name="exchange_code" localSheetId="0">#REF!</definedName>
    <definedName name="exchange_code">#REF!</definedName>
    <definedName name="Exchange_Data" localSheetId="0">#REF!</definedName>
    <definedName name="Exchange_Data">#REF!</definedName>
    <definedName name="Exchange_Gain" localSheetId="0">#REF!</definedName>
    <definedName name="Exchange_Gain">#REF!</definedName>
    <definedName name="Exchange_Loss" localSheetId="0">#REF!</definedName>
    <definedName name="Exchange_Loss">#REF!</definedName>
    <definedName name="Excise___Commodity_Tax" localSheetId="0">#REF!</definedName>
    <definedName name="Excise___Commodity_Tax">#REF!</definedName>
    <definedName name="EXDATE" localSheetId="0">#REF!</definedName>
    <definedName name="EXDATE">#REF!</definedName>
    <definedName name="exds" localSheetId="0">#REF!</definedName>
    <definedName name="exds">#REF!</definedName>
    <definedName name="EXHAG" localSheetId="0">#REF!</definedName>
    <definedName name="EXHAG">#REF!</definedName>
    <definedName name="Exhibit11FullyDiluted" localSheetId="0">#REF!</definedName>
    <definedName name="Exhibit11FullyDiluted">#REF!</definedName>
    <definedName name="Exhibit11Primary" localSheetId="0">#REF!</definedName>
    <definedName name="Exhibit11Primary">#REF!</definedName>
    <definedName name="Exp___Cost_Fm_Related_Party" localSheetId="0">#REF!</definedName>
    <definedName name="Exp___Cost_Fm_Related_Party">#REF!</definedName>
    <definedName name="expansio_de_lineas" localSheetId="0">#REF!</definedName>
    <definedName name="expansio_de_lineas">#REF!</definedName>
    <definedName name="Expl_forecast_1st_yr" localSheetId="0">#REF!</definedName>
    <definedName name="Expl_forecast_1st_yr">#REF!</definedName>
    <definedName name="Expl_forecast_2nd_yr" localSheetId="0">#REF!</definedName>
    <definedName name="Expl_forecast_2nd_yr">#REF!</definedName>
    <definedName name="Expl_forecast_3rd_yr" localSheetId="0">#REF!</definedName>
    <definedName name="Expl_forecast_3rd_yr">#REF!</definedName>
    <definedName name="ExtFiles" localSheetId="0">#REF!</definedName>
    <definedName name="ExtFiles">#REF!</definedName>
    <definedName name="EXTRA_ITEMS" localSheetId="0">#REF!</definedName>
    <definedName name="EXTRA_ITEMS">#REF!</definedName>
    <definedName name="_xlnm.Extract" localSheetId="0">#REF!</definedName>
    <definedName name="_xlnm.Extract">#REF!</definedName>
    <definedName name="Extraordinary_Gain_Loss" localSheetId="0">#REF!</definedName>
    <definedName name="Extraordinary_Gain_Loss">#REF!</definedName>
    <definedName name="F" localSheetId="0">#REF!</definedName>
    <definedName name="F">#REF!</definedName>
    <definedName name="F_AFLCFM1" localSheetId="0">#REF!</definedName>
    <definedName name="F_AFLCFM1">#REF!</definedName>
    <definedName name="F_AFLCFM2" localSheetId="0">#REF!</definedName>
    <definedName name="F_AFLCFM2">#REF!</definedName>
    <definedName name="F_AFLPEM3" localSheetId="0">#REF!</definedName>
    <definedName name="F_AFLPEM3">#REF!</definedName>
    <definedName name="F_AFLPEM4" localSheetId="0">#REF!</definedName>
    <definedName name="F_AFLPEM4">#REF!</definedName>
    <definedName name="F_AFLPEMb" localSheetId="0">#REF!</definedName>
    <definedName name="F_AFLPEMb">#REF!</definedName>
    <definedName name="F_AFLSD1" localSheetId="0">#REF!</definedName>
    <definedName name="F_AFLSD1">#REF!</definedName>
    <definedName name="F_AFLSD2" localSheetId="0">#REF!</definedName>
    <definedName name="F_AFLSD2">#REF!</definedName>
    <definedName name="F_Book_value_per_share" localSheetId="0">#REF!</definedName>
    <definedName name="F_Book_value_per_share">#REF!</definedName>
    <definedName name="F_cableDCFval" localSheetId="0">#REF!</definedName>
    <definedName name="F_cableDCFval">#REF!</definedName>
    <definedName name="F_cableEARNINGS" localSheetId="0">#REF!</definedName>
    <definedName name="F_cableEARNINGS">#REF!</definedName>
    <definedName name="F_cashflow" localSheetId="0">#REF!</definedName>
    <definedName name="F_cashflow">#REF!</definedName>
    <definedName name="F_earnings" localSheetId="0">#REF!</definedName>
    <definedName name="F_earnings">#REF!</definedName>
    <definedName name="F_icableEARNIGNS" localSheetId="0">#REF!</definedName>
    <definedName name="F_icableEARNIGNS">#REF!</definedName>
    <definedName name="F_ModernTERMINAL" localSheetId="0">#REF!</definedName>
    <definedName name="F_ModernTERMINAL">#REF!</definedName>
    <definedName name="F_NAV" localSheetId="0">#REF!</definedName>
    <definedName name="F_NAV">#REF!</definedName>
    <definedName name="F_propertyDEV" localSheetId="0">#REF!</definedName>
    <definedName name="F_propertyDEV">#REF!</definedName>
    <definedName name="F1485\" localSheetId="0">#REF!</definedName>
    <definedName name="F1485\">#REF!</definedName>
    <definedName name="F92_F94" localSheetId="0">#REF!</definedName>
    <definedName name="F92_F94">#REF!</definedName>
    <definedName name="F93_F95" localSheetId="0">#REF!</definedName>
    <definedName name="F93_F95">#REF!</definedName>
    <definedName name="F94_F96" localSheetId="0">#REF!</definedName>
    <definedName name="F94_F96">#REF!</definedName>
    <definedName name="FA" localSheetId="0">#REF!</definedName>
    <definedName name="FA">#REF!</definedName>
    <definedName name="FA_ASSOC" localSheetId="0">#REF!</definedName>
    <definedName name="FA_ASSOC">#REF!</definedName>
    <definedName name="FA_INV" localSheetId="0">#REF!</definedName>
    <definedName name="FA_INV">#REF!</definedName>
    <definedName name="Factory_Overhead" localSheetId="0">#REF!</definedName>
    <definedName name="Factory_Overhead">#REF!</definedName>
    <definedName name="Factrs_driving_gwth" localSheetId="0">#REF!</definedName>
    <definedName name="Factrs_driving_gwth">#REF!</definedName>
    <definedName name="FAMERangeDJ_BALAL28" localSheetId="0">#REF!</definedName>
    <definedName name="FAMERangeDJ_BALAL28">#REF!</definedName>
    <definedName name="FAMERangeDJ_BALAM28" localSheetId="0">#REF!</definedName>
    <definedName name="FAMERangeDJ_BALAM28">#REF!</definedName>
    <definedName name="FAMERangeDJ_BALAN28" localSheetId="0">#REF!</definedName>
    <definedName name="FAMERangeDJ_BALAN28">#REF!</definedName>
    <definedName name="FAMERangeFame_Pricing_SheetB12" localSheetId="0">#REF!</definedName>
    <definedName name="FAMERangeFame_Pricing_SheetB12">#REF!</definedName>
    <definedName name="FAMERangeFame_Pricing_SheetB28" localSheetId="0">#REF!</definedName>
    <definedName name="FAMERangeFame_Pricing_SheetB28">#REF!</definedName>
    <definedName name="FAMERangeFame_Pricing_SheetB29" localSheetId="0">#REF!</definedName>
    <definedName name="FAMERangeFame_Pricing_SheetB29">#REF!</definedName>
    <definedName name="FAMERangeFame_Pricing_SheetB30" localSheetId="0">#REF!</definedName>
    <definedName name="FAMERangeFame_Pricing_SheetB30">#REF!</definedName>
    <definedName name="FAMERangeFame_Pricing_SheetB31" localSheetId="0">#REF!</definedName>
    <definedName name="FAMERangeFame_Pricing_SheetB31">#REF!</definedName>
    <definedName name="FAMERangeFame_Pricing_SheetB7" localSheetId="0">#REF!</definedName>
    <definedName name="FAMERangeFame_Pricing_SheetB7">#REF!</definedName>
    <definedName name="FAMERangeFame_Pricing_SheetD12" localSheetId="0">#REF!</definedName>
    <definedName name="FAMERangeFame_Pricing_SheetD12">#REF!</definedName>
    <definedName name="FAMERangeFame_Pricing_SheetD29" localSheetId="0">#REF!</definedName>
    <definedName name="FAMERangeFame_Pricing_SheetD29">#REF!</definedName>
    <definedName name="FAMERangeFame_Pricing_SheetF12" localSheetId="0">#REF!</definedName>
    <definedName name="FAMERangeFame_Pricing_SheetF12">#REF!</definedName>
    <definedName name="FAMERangeFame_Pricing_SheetF29" localSheetId="0">#REF!</definedName>
    <definedName name="FAMERangeFame_Pricing_SheetF29">#REF!</definedName>
    <definedName name="FAMERangeGCI_BALD62" localSheetId="0">#REF!</definedName>
    <definedName name="FAMERangeGCI_BALD62">#REF!</definedName>
    <definedName name="FAMERangeGCI_BALD63" localSheetId="0">#REF!</definedName>
    <definedName name="FAMERangeGCI_BALD63">#REF!</definedName>
    <definedName name="FAMERangeGCI_ISD88" localSheetId="0">#REF!</definedName>
    <definedName name="FAMERangeGCI_ISD88">#REF!</definedName>
    <definedName name="FAMERangeKRI_BALAL99" localSheetId="0">#REF!</definedName>
    <definedName name="FAMERangeKRI_BALAL99">#REF!</definedName>
    <definedName name="FAMERangeKRI_BALAM99" localSheetId="0">#REF!</definedName>
    <definedName name="FAMERangeKRI_BALAM99">#REF!</definedName>
    <definedName name="FAMERangeKRI_BALAN99" localSheetId="0">#REF!</definedName>
    <definedName name="FAMERangeKRI_BALAN99">#REF!</definedName>
    <definedName name="FAMERangePricesA5" localSheetId="0">#REF!</definedName>
    <definedName name="FAMERangePricesA5">#REF!</definedName>
    <definedName name="FAMERangeraw_dataB36" localSheetId="0">#REF!</definedName>
    <definedName name="FAMERangeraw_dataB36">#REF!</definedName>
    <definedName name="FAMERangeraw_dataB37" localSheetId="0">#REF!</definedName>
    <definedName name="FAMERangeraw_dataB37">#REF!</definedName>
    <definedName name="FAMERangeraw_dataB38" localSheetId="0">#REF!</definedName>
    <definedName name="FAMERangeraw_dataB38">#REF!</definedName>
    <definedName name="FAMERangeraw_dataB39" localSheetId="0">#REF!</definedName>
    <definedName name="FAMERangeraw_dataB39">#REF!</definedName>
    <definedName name="FAMERangeraw_dataB40" localSheetId="0">#REF!</definedName>
    <definedName name="FAMERangeraw_dataB40">#REF!</definedName>
    <definedName name="FAMERangeraw_dataB45" localSheetId="0">#REF!</definedName>
    <definedName name="FAMERangeraw_dataB45">#REF!</definedName>
    <definedName name="FAMERangeraw_dataB51" localSheetId="0">#REF!</definedName>
    <definedName name="FAMERangeraw_dataB51">#REF!</definedName>
    <definedName name="FAMERangeraw_dataB52" localSheetId="0">#REF!</definedName>
    <definedName name="FAMERangeraw_dataB52">#REF!</definedName>
    <definedName name="FAMERangeraw_dataB54" localSheetId="0">#REF!</definedName>
    <definedName name="FAMERangeraw_dataB54">#REF!</definedName>
    <definedName name="FAMERangeraw_dataB55" localSheetId="0">#REF!</definedName>
    <definedName name="FAMERangeraw_dataB55">#REF!</definedName>
    <definedName name="FAMERangeraw_dataB57" localSheetId="0">#REF!</definedName>
    <definedName name="FAMERangeraw_dataB57">#REF!</definedName>
    <definedName name="FAMERangeraw_dataB58" localSheetId="0">#REF!</definedName>
    <definedName name="FAMERangeraw_dataB58">#REF!</definedName>
    <definedName name="FAMERangeraw_dataB59" localSheetId="0">#REF!</definedName>
    <definedName name="FAMERangeraw_dataB59">#REF!</definedName>
    <definedName name="FAMERangeraw_dataB60" localSheetId="0">#REF!</definedName>
    <definedName name="FAMERangeraw_dataB60">#REF!</definedName>
    <definedName name="FAMERangeraw_dataB62" localSheetId="0">#REF!</definedName>
    <definedName name="FAMERangeraw_dataB62">#REF!</definedName>
    <definedName name="FAMERangeraw_dataB63" localSheetId="0">#REF!</definedName>
    <definedName name="FAMERangeraw_dataB63">#REF!</definedName>
    <definedName name="FAMERangeraw_dataB64" localSheetId="0">#REF!</definedName>
    <definedName name="FAMERangeraw_dataB64">#REF!</definedName>
    <definedName name="FAMERangeraw_dataB65" localSheetId="0">#REF!</definedName>
    <definedName name="FAMERangeraw_dataB65">#REF!</definedName>
    <definedName name="FAMERangeraw_dataB68" localSheetId="0">#REF!</definedName>
    <definedName name="FAMERangeraw_dataB68">#REF!</definedName>
    <definedName name="FAMERangeraw_dataC34" localSheetId="0">#REF!</definedName>
    <definedName name="FAMERangeraw_dataC34">#REF!</definedName>
    <definedName name="FAMERangeraw_dataC44" localSheetId="0">#REF!</definedName>
    <definedName name="FAMERangeraw_dataC44">#REF!</definedName>
    <definedName name="FAMERangeraw_dataC45" localSheetId="0">#REF!</definedName>
    <definedName name="FAMERangeraw_dataC45">#REF!</definedName>
    <definedName name="FAMERangeraw_dataC51" localSheetId="0">#REF!</definedName>
    <definedName name="FAMERangeraw_dataC51">#REF!</definedName>
    <definedName name="FAMERangeraw_dataC52" localSheetId="0">#REF!</definedName>
    <definedName name="FAMERangeraw_dataC52">#REF!</definedName>
    <definedName name="FAMERangeraw_dataC54" localSheetId="0">#REF!</definedName>
    <definedName name="FAMERangeraw_dataC54">#REF!</definedName>
    <definedName name="FAMERangeraw_dataC55" localSheetId="0">#REF!</definedName>
    <definedName name="FAMERangeraw_dataC55">#REF!</definedName>
    <definedName name="FAMERangeraw_dataC57" localSheetId="0">#REF!</definedName>
    <definedName name="FAMERangeraw_dataC57">#REF!</definedName>
    <definedName name="FAMERangeraw_dataC58" localSheetId="0">#REF!</definedName>
    <definedName name="FAMERangeraw_dataC58">#REF!</definedName>
    <definedName name="FAMERangeraw_dataC59" localSheetId="0">#REF!</definedName>
    <definedName name="FAMERangeraw_dataC59">#REF!</definedName>
    <definedName name="FAMERangeraw_dataC60" localSheetId="0">#REF!</definedName>
    <definedName name="FAMERangeraw_dataC60">#REF!</definedName>
    <definedName name="FAMERangeraw_dataC62" localSheetId="0">#REF!</definedName>
    <definedName name="FAMERangeraw_dataC62">#REF!</definedName>
    <definedName name="FAMERangeraw_dataC63" localSheetId="0">#REF!</definedName>
    <definedName name="FAMERangeraw_dataC63">#REF!</definedName>
    <definedName name="FAMERangeraw_dataC71" localSheetId="0">#REF!</definedName>
    <definedName name="FAMERangeraw_dataC71">#REF!</definedName>
    <definedName name="FAMERangeraw_dataD34" localSheetId="0">#REF!</definedName>
    <definedName name="FAMERangeraw_dataD34">#REF!</definedName>
    <definedName name="FAMERangeraw_dataD44" localSheetId="0">#REF!</definedName>
    <definedName name="FAMERangeraw_dataD44">#REF!</definedName>
    <definedName name="FAMERangeraw_dataD45" localSheetId="0">#REF!</definedName>
    <definedName name="FAMERangeraw_dataD45">#REF!</definedName>
    <definedName name="FAMERangeraw_dataD62" localSheetId="0">#REF!</definedName>
    <definedName name="FAMERangeraw_dataD62">#REF!</definedName>
    <definedName name="FAMERangeraw_dataD71" localSheetId="0">#REF!</definedName>
    <definedName name="FAMERangeraw_dataD71">#REF!</definedName>
    <definedName name="FAMERangeraw_dataE44" localSheetId="0">#REF!</definedName>
    <definedName name="FAMERangeraw_dataE44">#REF!</definedName>
    <definedName name="FAMERangeraw_dataE45" localSheetId="0">#REF!</definedName>
    <definedName name="FAMERangeraw_dataE45">#REF!</definedName>
    <definedName name="FAMERangeraw_dataE63" localSheetId="0">#REF!</definedName>
    <definedName name="FAMERangeraw_dataE63">#REF!</definedName>
    <definedName name="FAMERangeraw_dataE64" localSheetId="0">#REF!</definedName>
    <definedName name="FAMERangeraw_dataE64">#REF!</definedName>
    <definedName name="FAMERangeraw_dataE65" localSheetId="0">#REF!</definedName>
    <definedName name="FAMERangeraw_dataE65">#REF!</definedName>
    <definedName name="FAMERangeraw_dataE71" localSheetId="0">#REF!</definedName>
    <definedName name="FAMERangeraw_dataE71">#REF!</definedName>
    <definedName name="FAMERangeraw_dataG40" localSheetId="0">#REF!</definedName>
    <definedName name="FAMERangeraw_dataG40">#REF!</definedName>
    <definedName name="FAMERangeraw_dataG41" localSheetId="0">#REF!</definedName>
    <definedName name="FAMERangeraw_dataG41">#REF!</definedName>
    <definedName name="FAMERangeraw_dataH40" localSheetId="0">#REF!</definedName>
    <definedName name="FAMERangeraw_dataH40">#REF!</definedName>
    <definedName name="FAMERangeraw_dataH41" localSheetId="0">#REF!</definedName>
    <definedName name="FAMERangeraw_dataH41">#REF!</definedName>
    <definedName name="FAMERangeraw_dataI40" localSheetId="0">#REF!</definedName>
    <definedName name="FAMERangeraw_dataI40">#REF!</definedName>
    <definedName name="FAMERangeSheet1B28" localSheetId="0">#REF!</definedName>
    <definedName name="FAMERangeSheet1B28">#REF!</definedName>
    <definedName name="FAMERangeSheet1B4" localSheetId="0">#REF!</definedName>
    <definedName name="FAMERangeSheet1B4">#REF!</definedName>
    <definedName name="FAMERangeSheet1E21" localSheetId="0">#REF!</definedName>
    <definedName name="FAMERangeSheet1E21">#REF!</definedName>
    <definedName name="FAMERangeSheet1E4" localSheetId="0">#REF!</definedName>
    <definedName name="FAMERangeSheet1E4">#REF!</definedName>
    <definedName name="FAMERangeSheet1H21" localSheetId="0">#REF!</definedName>
    <definedName name="FAMERangeSheet1H21">#REF!</definedName>
    <definedName name="FAMERangeSheet1H4" localSheetId="0">#REF!</definedName>
    <definedName name="FAMERangeSheet1H4">#REF!</definedName>
    <definedName name="FAMERangeValuationC8" localSheetId="0">#REF!</definedName>
    <definedName name="FAMERangeValuationC8">#REF!</definedName>
    <definedName name="FAMERangeValuationO13" localSheetId="0">#REF!</definedName>
    <definedName name="FAMERangeValuationO13">#REF!</definedName>
    <definedName name="FAMERangeValuationS13" localSheetId="0">#REF!</definedName>
    <definedName name="FAMERangeValuationS13">#REF!</definedName>
    <definedName name="FAMERangeWeekly_PricesA4" localSheetId="0">#REF!</definedName>
    <definedName name="FAMERangeWeekly_PricesA4">#REF!</definedName>
    <definedName name="FAMERangeWeekly_PricesB4" localSheetId="0">#REF!</definedName>
    <definedName name="FAMERangeWeekly_PricesB4">#REF!</definedName>
    <definedName name="FAMERangeWeekly_PricesC4" localSheetId="0">#REF!</definedName>
    <definedName name="FAMERangeWeekly_PricesC4">#REF!</definedName>
    <definedName name="FAMERangeWeekly_PricesD4" localSheetId="0">#REF!</definedName>
    <definedName name="FAMERangeWeekly_PricesD4">#REF!</definedName>
    <definedName name="FAMERangeWeekly_PricesE4" localSheetId="0">#REF!</definedName>
    <definedName name="FAMERangeWeekly_PricesE4">#REF!</definedName>
    <definedName name="FAMERangeWeekly_PricesF4" localSheetId="0">#REF!</definedName>
    <definedName name="FAMERangeWeekly_PricesF4">#REF!</definedName>
    <definedName name="FAMERangeWeekly_PricesG4" localSheetId="0">#REF!</definedName>
    <definedName name="FAMERangeWeekly_PricesG4">#REF!</definedName>
    <definedName name="FAMERangeWeekly_PricesH4" localSheetId="0">#REF!</definedName>
    <definedName name="FAMERangeWeekly_PricesH4">#REF!</definedName>
    <definedName name="FAMERangeWeekly_PricesI4" localSheetId="0">#REF!</definedName>
    <definedName name="FAMERangeWeekly_PricesI4">#REF!</definedName>
    <definedName name="FAMERangeWeekly_PricesJ4" localSheetId="0">#REF!</definedName>
    <definedName name="FAMERangeWeekly_PricesJ4">#REF!</definedName>
    <definedName name="FAMERangeWeekly_PricesK4" localSheetId="0">#REF!</definedName>
    <definedName name="FAMERangeWeekly_PricesK4">#REF!</definedName>
    <definedName name="FAMERangeWeekly_PricesL4" localSheetId="0">#REF!</definedName>
    <definedName name="FAMERangeWeekly_PricesL4">#REF!</definedName>
    <definedName name="FAMERangeWeekly_PricesM4" localSheetId="0">#REF!</definedName>
    <definedName name="FAMERangeWeekly_PricesM4">#REF!</definedName>
    <definedName name="FAMERangeWeekly_PricesN4" localSheetId="0">#REF!</definedName>
    <definedName name="FAMERangeWeekly_PricesN4">#REF!</definedName>
    <definedName name="fasdf" hidden="1">#N/A</definedName>
    <definedName name="Faster_Faller" localSheetId="0">#REF!</definedName>
    <definedName name="Faster_Faller">#REF!</definedName>
    <definedName name="Faster_Riser" localSheetId="0">#REF!</definedName>
    <definedName name="Faster_Riser">#REF!</definedName>
    <definedName name="FASwatson" localSheetId="0">#REF!</definedName>
    <definedName name="FASwatson">#REF!</definedName>
    <definedName name="FCE" localSheetId="0">#REF!</definedName>
    <definedName name="FCE">#REF!</definedName>
    <definedName name="FCELLmkt" localSheetId="0">#REF!</definedName>
    <definedName name="FCELLmkt">#REF!</definedName>
    <definedName name="FCF" localSheetId="0">#REF!</definedName>
    <definedName name="FCF">#REF!</definedName>
    <definedName name="FCF_shr01_AACB" localSheetId="0">#REF!</definedName>
    <definedName name="FCF_shr01_AACB">#REF!</definedName>
    <definedName name="FCF_shr01_AEN" localSheetId="0">#REF!</definedName>
    <definedName name="FCF_shr01_AEN">#REF!</definedName>
    <definedName name="FCF_shr01_AOL" localSheetId="0">#REF!</definedName>
    <definedName name="FCF_shr01_AOL">#REF!</definedName>
    <definedName name="FCF_shr01_BBI" localSheetId="0">#REF!</definedName>
    <definedName name="FCF_shr01_BBI">#REF!</definedName>
    <definedName name="FCF_shr01_CRWN" localSheetId="0">#REF!</definedName>
    <definedName name="FCF_shr01_CRWN">#REF!</definedName>
    <definedName name="FCF_shr01_DIS" localSheetId="0">#REF!</definedName>
    <definedName name="FCF_shr01_DIS">#REF!</definedName>
    <definedName name="FCF_shr01_FOX" localSheetId="0">#REF!</definedName>
    <definedName name="FCF_shr01_FOX">#REF!</definedName>
    <definedName name="FCF_shr01_HLYW" localSheetId="0">#REF!</definedName>
    <definedName name="FCF_shr01_HLYW">#REF!</definedName>
    <definedName name="FCF_shr01_IMAX" localSheetId="0">#REF!</definedName>
    <definedName name="FCF_shr01_IMAX">#REF!</definedName>
    <definedName name="FCF_shr01_MGM" localSheetId="0">#REF!</definedName>
    <definedName name="FCF_shr01_MGM">#REF!</definedName>
    <definedName name="FCF_shr01_NWS" localSheetId="0">#REF!</definedName>
    <definedName name="FCF_shr01_NWS">#REF!</definedName>
    <definedName name="FCF_shr01_NWSA" localSheetId="0">#REF!</definedName>
    <definedName name="FCF_shr01_NWSA">#REF!</definedName>
    <definedName name="FCF_shr01_RMG" localSheetId="0">#REF!</definedName>
    <definedName name="FCF_shr01_RMG">#REF!</definedName>
    <definedName name="FCF_shr01_VIAB" localSheetId="0">#REF!</definedName>
    <definedName name="FCF_shr01_VIAB">#REF!</definedName>
    <definedName name="FCF_shr02_AACB" localSheetId="0">#REF!</definedName>
    <definedName name="FCF_shr02_AACB">#REF!</definedName>
    <definedName name="FCF_shr03_AACB" localSheetId="0">#REF!</definedName>
    <definedName name="FCF_shr03_AACB">#REF!</definedName>
    <definedName name="fcf00" localSheetId="0">#REF!</definedName>
    <definedName name="fcf00">#REF!</definedName>
    <definedName name="FCF00B" localSheetId="0">#REF!</definedName>
    <definedName name="FCF00B">#REF!</definedName>
    <definedName name="FCF00D" localSheetId="0">#REF!</definedName>
    <definedName name="FCF00D">#REF!</definedName>
    <definedName name="FCF00PFB" localSheetId="0">#REF!</definedName>
    <definedName name="FCF00PFB">#REF!</definedName>
    <definedName name="FCF00PFD" localSheetId="0">#REF!</definedName>
    <definedName name="FCF00PFD">#REF!</definedName>
    <definedName name="FCF01_AACB" localSheetId="0">#REF!</definedName>
    <definedName name="FCF01_AACB">#REF!</definedName>
    <definedName name="FCF01_AEN" localSheetId="0">#REF!</definedName>
    <definedName name="FCF01_AEN">#REF!</definedName>
    <definedName name="FCF01_AOL" localSheetId="0">#REF!</definedName>
    <definedName name="FCF01_AOL">#REF!</definedName>
    <definedName name="FCF01_BBI" localSheetId="0">#REF!</definedName>
    <definedName name="FCF01_BBI">#REF!</definedName>
    <definedName name="FCF01_CRWN" localSheetId="0">#REF!</definedName>
    <definedName name="FCF01_CRWN">#REF!</definedName>
    <definedName name="FCF01_DIS" localSheetId="0">#REF!</definedName>
    <definedName name="FCF01_DIS">#REF!</definedName>
    <definedName name="FCF01_FOX" localSheetId="0">#REF!</definedName>
    <definedName name="FCF01_FOX">#REF!</definedName>
    <definedName name="FCF01_HLYW" localSheetId="0">#REF!</definedName>
    <definedName name="FCF01_HLYW">#REF!</definedName>
    <definedName name="FCF01_IMAX" localSheetId="0">#REF!</definedName>
    <definedName name="FCF01_IMAX">#REF!</definedName>
    <definedName name="FCF01_MGM" localSheetId="0">#REF!</definedName>
    <definedName name="FCF01_MGM">#REF!</definedName>
    <definedName name="FCF01_NWS" localSheetId="0">#REF!</definedName>
    <definedName name="FCF01_NWS">#REF!</definedName>
    <definedName name="FCF01_NWSA" localSheetId="0">#REF!</definedName>
    <definedName name="FCF01_NWSA">#REF!</definedName>
    <definedName name="FCF01_RMG" localSheetId="0">#REF!</definedName>
    <definedName name="FCF01_RMG">#REF!</definedName>
    <definedName name="FCF01_VIAB" localSheetId="0">#REF!</definedName>
    <definedName name="FCF01_VIAB">#REF!</definedName>
    <definedName name="FCF01B" localSheetId="0">#REF!</definedName>
    <definedName name="FCF01B">#REF!</definedName>
    <definedName name="FCF01D" localSheetId="0">#REF!</definedName>
    <definedName name="FCF01D">#REF!</definedName>
    <definedName name="FCF02B" localSheetId="0">#REF!</definedName>
    <definedName name="FCF02B">#REF!</definedName>
    <definedName name="FCF02C" localSheetId="0">#REF!</definedName>
    <definedName name="FCF02C">#REF!</definedName>
    <definedName name="FCF02D" localSheetId="0">#REF!</definedName>
    <definedName name="FCF02D">#REF!</definedName>
    <definedName name="FCF03B" localSheetId="0">#REF!</definedName>
    <definedName name="FCF03B">#REF!</definedName>
    <definedName name="FCF03D" localSheetId="0">#REF!</definedName>
    <definedName name="FCF03D">#REF!</definedName>
    <definedName name="FCF93B" localSheetId="0">#REF!</definedName>
    <definedName name="FCF93B">#REF!</definedName>
    <definedName name="FCF94B" localSheetId="0">#REF!</definedName>
    <definedName name="FCF94B">#REF!</definedName>
    <definedName name="FCF95B" localSheetId="0">#REF!</definedName>
    <definedName name="FCF95B">#REF!</definedName>
    <definedName name="FCF96B" localSheetId="0">#REF!</definedName>
    <definedName name="FCF96B">#REF!</definedName>
    <definedName name="FCF97B" localSheetId="0">#REF!</definedName>
    <definedName name="FCF97B">#REF!</definedName>
    <definedName name="FCF98B" localSheetId="0">#REF!</definedName>
    <definedName name="FCF98B">#REF!</definedName>
    <definedName name="FCF98D" localSheetId="0">#REF!</definedName>
    <definedName name="FCF98D">#REF!</definedName>
    <definedName name="FCF99B" localSheetId="0">#REF!</definedName>
    <definedName name="FCF99B">#REF!</definedName>
    <definedName name="FCF99D" localSheetId="0">#REF!</definedName>
    <definedName name="FCF99D">#REF!</definedName>
    <definedName name="FCF99PFB" localSheetId="0">#REF!</definedName>
    <definedName name="FCF99PFB">#REF!</definedName>
    <definedName name="FD_EPS" localSheetId="0">#REF!</definedName>
    <definedName name="FD_EPS">#REF!</definedName>
    <definedName name="fd_page" localSheetId="0">#REF!</definedName>
    <definedName name="fd_page">#REF!</definedName>
    <definedName name="fdfs">#N/A</definedName>
    <definedName name="fdfs1">#N/A</definedName>
    <definedName name="fds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s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s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DSH00" localSheetId="0">#REF!</definedName>
    <definedName name="FDSH00">#REF!</definedName>
    <definedName name="FDSH00PF" localSheetId="0">#REF!</definedName>
    <definedName name="FDSH00PF">#REF!</definedName>
    <definedName name="FDSH01" localSheetId="0">#REF!</definedName>
    <definedName name="FDSH01">#REF!</definedName>
    <definedName name="FDSH02" localSheetId="0">#REF!</definedName>
    <definedName name="FDSH02">#REF!</definedName>
    <definedName name="FDSH03" localSheetId="0">#REF!</definedName>
    <definedName name="FDSH03">#REF!</definedName>
    <definedName name="FDSH98" localSheetId="0">#REF!</definedName>
    <definedName name="FDSH98">#REF!</definedName>
    <definedName name="FDSH99" localSheetId="0">#REF!</definedName>
    <definedName name="FDSH99">#REF!</definedName>
    <definedName name="FDSHARES" localSheetId="0">#REF!</definedName>
    <definedName name="FDSHARES">#REF!</definedName>
    <definedName name="fdso" localSheetId="0">#REF!</definedName>
    <definedName name="fdso">#REF!</definedName>
    <definedName name="FDSO00" localSheetId="0">#REF!</definedName>
    <definedName name="FDSO00">#REF!</definedName>
    <definedName name="FDSO02" localSheetId="0">#REF!</definedName>
    <definedName name="FDSO02">#REF!</definedName>
    <definedName name="FDSO93" localSheetId="0">#REF!</definedName>
    <definedName name="FDSO93">#REF!</definedName>
    <definedName name="FDSO94" localSheetId="0">#REF!</definedName>
    <definedName name="FDSO94">#REF!</definedName>
    <definedName name="FDSO95" localSheetId="0">#REF!</definedName>
    <definedName name="FDSO95">#REF!</definedName>
    <definedName name="FDSO97" localSheetId="0">#REF!</definedName>
    <definedName name="FDSO97">#REF!</definedName>
    <definedName name="FDSO98" localSheetId="0">#REF!</definedName>
    <definedName name="FDSO98">#REF!</definedName>
    <definedName name="FDSO99" localSheetId="0">#REF!</definedName>
    <definedName name="FDSO99">#REF!</definedName>
    <definedName name="FEuropeTEU" localSheetId="0">#REF!</definedName>
    <definedName name="FEuropeTEU">#REF!</definedName>
    <definedName name="ff" localSheetId="5" hidden="1">{#N/A,#N/A,FALSE,"Tar-Ass";#N/A,#N/A,FALSE,"Tar-IS";#N/A,#N/A,FALSE,"Tar-BS";#N/A,#N/A,FALSE,"Tar-Adg BS";#N/A,#N/A,FALSE,"Tar-CF"}</definedName>
    <definedName name="ff" localSheetId="0" hidden="1">{#N/A,#N/A,FALSE,"Tar-Ass";#N/A,#N/A,FALSE,"Tar-IS";#N/A,#N/A,FALSE,"Tar-BS";#N/A,#N/A,FALSE,"Tar-Adg BS";#N/A,#N/A,FALSE,"Tar-CF"}</definedName>
    <definedName name="ff" localSheetId="4" hidden="1">{#N/A,#N/A,FALSE,"Tar-Ass";#N/A,#N/A,FALSE,"Tar-IS";#N/A,#N/A,FALSE,"Tar-BS";#N/A,#N/A,FALSE,"Tar-Adg BS";#N/A,#N/A,FALSE,"Tar-CF"}</definedName>
    <definedName name="ff" hidden="1">{#N/A,#N/A,FALSE,"Tar-Ass";#N/A,#N/A,FALSE,"Tar-IS";#N/A,#N/A,FALSE,"Tar-BS";#N/A,#N/A,FALSE,"Tar-Adg BS";#N/A,#N/A,FALSE,"Tar-CF"}</definedName>
    <definedName name="fff">#N/A</definedName>
    <definedName name="FHGF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HG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IGrwth" localSheetId="0">#REF!</definedName>
    <definedName name="FIGrwth">#REF!</definedName>
    <definedName name="file" localSheetId="0">#REF!</definedName>
    <definedName name="file">#REF!</definedName>
    <definedName name="file1" localSheetId="0">#REF!</definedName>
    <definedName name="file1">#REF!</definedName>
    <definedName name="FILL" localSheetId="0">#REF!</definedName>
    <definedName name="FILL">#REF!</definedName>
    <definedName name="financials" localSheetId="0">#REF!</definedName>
    <definedName name="financials">#REF!</definedName>
    <definedName name="FinancialsDate" localSheetId="0">#REF!</definedName>
    <definedName name="FinancialsDate">#REF!</definedName>
    <definedName name="FINCopyDirection">1</definedName>
    <definedName name="FINCriteriaRange" localSheetId="0">#REF!</definedName>
    <definedName name="FINCriteriaRange">#REF!</definedName>
    <definedName name="FINCriteriaType">1</definedName>
    <definedName name="FINDB" localSheetId="0">#REF!</definedName>
    <definedName name="FINDB">#REF!</definedName>
    <definedName name="FINExtractRange" localSheetId="0">#REF!</definedName>
    <definedName name="FINExtractRange">#REF!</definedName>
    <definedName name="Finish_Goods_Beg" localSheetId="0">#REF!</definedName>
    <definedName name="Finish_Goods_Beg">#REF!</definedName>
    <definedName name="Finish_Goods_End" localSheetId="0">#REF!</definedName>
    <definedName name="Finish_Goods_End">#REF!</definedName>
    <definedName name="FINOptions" localSheetId="0">"0,0,1,1,1,0,0,-1,0,0,2,0,"</definedName>
    <definedName name="FINOptions">"0,0,1,1,1,0,1,-1,0,0,2,0,"</definedName>
    <definedName name="FirmValue" localSheetId="0">#REF!</definedName>
    <definedName name="FirmValue">#REF!</definedName>
    <definedName name="Fiscal" localSheetId="0">#REF!</definedName>
    <definedName name="Fiscal">#REF!</definedName>
    <definedName name="FiscalPE" localSheetId="0">#REF!</definedName>
    <definedName name="FiscalPE">#REF!</definedName>
    <definedName name="FiscalYear" localSheetId="0">#REF!</definedName>
    <definedName name="FiscalYear">#REF!</definedName>
    <definedName name="five" localSheetId="0">#REF!,#REF!,#REF!,#REF!</definedName>
    <definedName name="five">#REF!,#REF!,#REF!,#REF!</definedName>
    <definedName name="five_year_growth" localSheetId="0">#REF!</definedName>
    <definedName name="five_year_growth">#REF!</definedName>
    <definedName name="Fixed_asset_turns" localSheetId="0">#REF!</definedName>
    <definedName name="Fixed_asset_turns">#REF!</definedName>
    <definedName name="Fixed_asset_turns_fore" localSheetId="0">#REF!</definedName>
    <definedName name="Fixed_asset_turns_fore">#REF!</definedName>
    <definedName name="Fixed_assets" localSheetId="0">#REF!</definedName>
    <definedName name="Fixed_assets">#REF!</definedName>
    <definedName name="Fixed_line" localSheetId="0">#REF!</definedName>
    <definedName name="Fixed_line">#REF!</definedName>
    <definedName name="fixedev" localSheetId="0">#REF!</definedName>
    <definedName name="fixedev">#REF!</definedName>
    <definedName name="Flag_index" localSheetId="0">#REF!</definedName>
    <definedName name="Flag_index">#REF!</definedName>
    <definedName name="Flag_index_all" localSheetId="0">#REF!</definedName>
    <definedName name="Flag_index_all">#REF!</definedName>
    <definedName name="FMannNAV" localSheetId="0">#REF!</definedName>
    <definedName name="FMannNAV">#REF!</definedName>
    <definedName name="footnote" localSheetId="0">#REF!</definedName>
    <definedName name="footnote">#REF!</definedName>
    <definedName name="Footnote_a" localSheetId="0">#REF!</definedName>
    <definedName name="Footnote_a">#REF!</definedName>
    <definedName name="Footnote1" localSheetId="0">#REF!</definedName>
    <definedName name="Footnote1">#REF!</definedName>
    <definedName name="Footnote10" localSheetId="0">#REF!</definedName>
    <definedName name="Footnote10">#REF!</definedName>
    <definedName name="Footnote2" localSheetId="0">#REF!</definedName>
    <definedName name="Footnote2">#REF!</definedName>
    <definedName name="Footnote3" localSheetId="0">#REF!</definedName>
    <definedName name="Footnote3">#REF!</definedName>
    <definedName name="Footnote4" localSheetId="0">#REF!</definedName>
    <definedName name="Footnote4">#REF!</definedName>
    <definedName name="Footnote5" localSheetId="0">#REF!</definedName>
    <definedName name="Footnote5">#REF!</definedName>
    <definedName name="Footnote6" localSheetId="0">#REF!</definedName>
    <definedName name="Footnote6">#REF!</definedName>
    <definedName name="Footnote7" localSheetId="0">#REF!</definedName>
    <definedName name="Footnote7">#REF!</definedName>
    <definedName name="Footnote8" localSheetId="0">#REF!</definedName>
    <definedName name="Footnote8">#REF!</definedName>
    <definedName name="Footnote9" localSheetId="0">#REF!</definedName>
    <definedName name="Footnote9">#REF!</definedName>
    <definedName name="Footnotes" localSheetId="0">#REF!</definedName>
    <definedName name="Footnotes">#REF!</definedName>
    <definedName name="FootwearGP" localSheetId="0">#REF!</definedName>
    <definedName name="FootwearGP">#REF!</definedName>
    <definedName name="FootwearSales" localSheetId="0">#REF!</definedName>
    <definedName name="FootwearSales">#REF!</definedName>
    <definedName name="force" localSheetId="0">#REF!</definedName>
    <definedName name="force">#REF!</definedName>
    <definedName name="FORDOC" localSheetId="0">#REF!</definedName>
    <definedName name="FORDOC">#REF!</definedName>
    <definedName name="FORDOC_CL" localSheetId="0">#REF!</definedName>
    <definedName name="FORDOC_CL">#REF!</definedName>
    <definedName name="FORDOC_CPCS" localSheetId="0">#REF!</definedName>
    <definedName name="FORDOC_CPCS">#REF!</definedName>
    <definedName name="FORDOC_ILD" localSheetId="0">#REF!</definedName>
    <definedName name="FORDOC_ILD">#REF!</definedName>
    <definedName name="FORDOC_IR" localSheetId="0">#REF!</definedName>
    <definedName name="FORDOC_IR">#REF!</definedName>
    <definedName name="FORDOC_LC" localSheetId="0">#REF!</definedName>
    <definedName name="FORDOC_LC">#REF!</definedName>
    <definedName name="FORDOC_LD" localSheetId="0">#REF!</definedName>
    <definedName name="FORDOC_LD">#REF!</definedName>
    <definedName name="FORDOC_P" localSheetId="0">#REF!</definedName>
    <definedName name="FORDOC_P">#REF!</definedName>
    <definedName name="forecast" localSheetId="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localSheetId="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print_range" localSheetId="0">#REF!</definedName>
    <definedName name="forecast_print_range">#REF!</definedName>
    <definedName name="forecast_print_title" localSheetId="0">#REF!</definedName>
    <definedName name="forecast_print_title">#REF!</definedName>
    <definedName name="Foreearn" localSheetId="0">#REF!</definedName>
    <definedName name="Foreearn">#REF!</definedName>
    <definedName name="Forex_differences" localSheetId="0">#REF!</definedName>
    <definedName name="Forex_differences">#REF!</definedName>
    <definedName name="FORM" localSheetId="0">#REF!</definedName>
    <definedName name="FORM">#REF!</definedName>
    <definedName name="Form10q_pg1" localSheetId="0">#REF!</definedName>
    <definedName name="Form10q_pg1">#REF!</definedName>
    <definedName name="Form10q_pg2" localSheetId="0">#REF!</definedName>
    <definedName name="Form10q_pg2">#REF!</definedName>
    <definedName name="Formats" localSheetId="0">#REF!</definedName>
    <definedName name="Formats">#REF!</definedName>
    <definedName name="FORTBONI" localSheetId="0">#REF!</definedName>
    <definedName name="FORTBONI">#REF!</definedName>
    <definedName name="four" localSheetId="0">#REF!,#REF!,#REF!,#REF!,#REF!,#REF!,#REF!,#REF!,#REF!</definedName>
    <definedName name="four">#REF!,#REF!,#REF!,#REF!,#REF!,#REF!,#REF!,#REF!,#REF!</definedName>
    <definedName name="FOXDEBT00" localSheetId="0">#REF!</definedName>
    <definedName name="FOXDEBT00">#REF!</definedName>
    <definedName name="FOXTEL_NonE00" localSheetId="0">#REF!</definedName>
    <definedName name="FOXTEL_NonE00">#REF!</definedName>
    <definedName name="FOXVALUE00" localSheetId="0">#REF!</definedName>
    <definedName name="FOXVALUE00">#REF!</definedName>
    <definedName name="FPAC_2002_KEY_INFO" localSheetId="0">#REF!</definedName>
    <definedName name="FPAC_2002_KEY_INFO">#REF!</definedName>
    <definedName name="fpcapex00" localSheetId="0">#REF!</definedName>
    <definedName name="fpcapex00">#REF!</definedName>
    <definedName name="fpcapex01" localSheetId="0">#REF!</definedName>
    <definedName name="fpcapex01">#REF!</definedName>
    <definedName name="fpcapex02" localSheetId="0">#REF!</definedName>
    <definedName name="fpcapex02">#REF!</definedName>
    <definedName name="fpcapex99" localSheetId="0">#REF!</definedName>
    <definedName name="fpcapex99">#REF!</definedName>
    <definedName name="FPORTearnbd" localSheetId="0">#REF!</definedName>
    <definedName name="FPORTearnbd">#REF!</definedName>
    <definedName name="FQUALearn" localSheetId="0">#REF!</definedName>
    <definedName name="FQUALearn">#REF!</definedName>
    <definedName name="France" localSheetId="0">#REF!</definedName>
    <definedName name="France">#REF!</definedName>
    <definedName name="France_w" localSheetId="0">#REF!</definedName>
    <definedName name="France_w">#REF!</definedName>
    <definedName name="fratios" localSheetId="0">#REF!</definedName>
    <definedName name="fratios">#REF!</definedName>
    <definedName name="free" localSheetId="0">#REF!</definedName>
    <definedName name="free">#REF!</definedName>
    <definedName name="FreeCashFlow" localSheetId="0">#REF!</definedName>
    <definedName name="FreeCashFlow">#REF!</definedName>
    <definedName name="FREEFLOAT" localSheetId="0">#REF!</definedName>
    <definedName name="FREEFLOAT">#REF!</definedName>
    <definedName name="Freight" localSheetId="0">#REF!</definedName>
    <definedName name="Freight">#REF!</definedName>
    <definedName name="Freq" localSheetId="0">#REF!</definedName>
    <definedName name="Freq">#REF!</definedName>
    <definedName name="FREQS" localSheetId="0">#REF!</definedName>
    <definedName name="FREQS">#REF!</definedName>
    <definedName name="FRINGE" localSheetId="0">#REF!</definedName>
    <definedName name="FRINGE">#REF!</definedName>
    <definedName name="FRINGE1" localSheetId="0">#REF!</definedName>
    <definedName name="FRINGE1">#REF!</definedName>
    <definedName name="FRONT" localSheetId="0">#REF!</definedName>
    <definedName name="FRONT">#REF!</definedName>
    <definedName name="FS" localSheetId="0">#REF!</definedName>
    <definedName name="FS">#REF!</definedName>
    <definedName name="fsdfasdfa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asdf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asdfa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sdfasdf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FTargets" localSheetId="0">#REF!</definedName>
    <definedName name="FTargets">#REF!</definedName>
    <definedName name="FTELCbd" localSheetId="0">#REF!</definedName>
    <definedName name="FTELCbd">#REF!</definedName>
    <definedName name="FUKteu" localSheetId="0">#REF!</definedName>
    <definedName name="FUKteu">#REF!</definedName>
    <definedName name="Funding_Switch" localSheetId="0">#REF!</definedName>
    <definedName name="Funding_Switch">#REF!</definedName>
    <definedName name="Funding_Switch2" localSheetId="0">#REF!</definedName>
    <definedName name="Funding_Switch2">#REF!</definedName>
    <definedName name="FundsFromOperations" localSheetId="0">#REF!</definedName>
    <definedName name="FundsFromOperations">#REF!</definedName>
    <definedName name="FVPEbank" localSheetId="0">#REF!</definedName>
    <definedName name="FVPEbank">#REF!</definedName>
    <definedName name="fx" localSheetId="0">#REF!</definedName>
    <definedName name="fx">#REF!</definedName>
    <definedName name="FX_liab" localSheetId="0">#REF!</definedName>
    <definedName name="FX_liab">#REF!</definedName>
    <definedName name="fxlookup" localSheetId="0">#REF!</definedName>
    <definedName name="fxlookup">#REF!</definedName>
    <definedName name="fy_00" localSheetId="0">#REF!</definedName>
    <definedName name="fy_00">#REF!</definedName>
    <definedName name="FY_93" localSheetId="0">#REF!</definedName>
    <definedName name="FY_93">#REF!</definedName>
    <definedName name="FY_94" localSheetId="0">#REF!</definedName>
    <definedName name="FY_94">#REF!</definedName>
    <definedName name="FY_95" localSheetId="0">#REF!</definedName>
    <definedName name="FY_95">#REF!</definedName>
    <definedName name="FY_96" localSheetId="0">#REF!</definedName>
    <definedName name="FY_96">#REF!</definedName>
    <definedName name="FY_97" localSheetId="0">#REF!</definedName>
    <definedName name="FY_97">#REF!</definedName>
    <definedName name="fy_98" localSheetId="0">#REF!</definedName>
    <definedName name="fy_98">#REF!</definedName>
    <definedName name="fy_99" localSheetId="0">#REF!</definedName>
    <definedName name="fy_99">#REF!</definedName>
    <definedName name="fy00_rev" localSheetId="0">#REF!</definedName>
    <definedName name="fy00_rev">#REF!</definedName>
    <definedName name="fy95_rev" localSheetId="0">#REF!</definedName>
    <definedName name="fy95_rev">#REF!</definedName>
    <definedName name="fy96_rev" localSheetId="0">#REF!</definedName>
    <definedName name="fy96_rev">#REF!</definedName>
    <definedName name="fy96_shares" localSheetId="0">#REF!</definedName>
    <definedName name="fy96_shares">#REF!</definedName>
    <definedName name="fy97_ni" localSheetId="0">#REF!</definedName>
    <definedName name="fy97_ni">#REF!</definedName>
    <definedName name="fy97_rev" localSheetId="0">#REF!</definedName>
    <definedName name="fy97_rev">#REF!</definedName>
    <definedName name="fy97_shares" localSheetId="0">#REF!</definedName>
    <definedName name="fy97_shares">#REF!</definedName>
    <definedName name="fy98_eps" localSheetId="0">#REF!</definedName>
    <definedName name="fy98_eps">#REF!</definedName>
    <definedName name="fy98_ni" localSheetId="0">#REF!</definedName>
    <definedName name="fy98_ni">#REF!</definedName>
    <definedName name="fy98_shares" localSheetId="0">#REF!</definedName>
    <definedName name="fy98_shares">#REF!</definedName>
    <definedName name="fy99_eps" localSheetId="0">#REF!</definedName>
    <definedName name="fy99_eps">#REF!</definedName>
    <definedName name="fy99_ni" localSheetId="0">#REF!</definedName>
    <definedName name="fy99_ni">#REF!</definedName>
    <definedName name="fy99_rev" localSheetId="0">#REF!</definedName>
    <definedName name="fy99_rev">#REF!</definedName>
    <definedName name="fy99_shares" localSheetId="0">#REF!</definedName>
    <definedName name="fy99_shares">#REF!</definedName>
    <definedName name="FYE" localSheetId="0">#REF!</definedName>
    <definedName name="FYE">#REF!</definedName>
    <definedName name="g" localSheetId="0">#REF!</definedName>
    <definedName name="g">#REF!</definedName>
    <definedName name="G_A" localSheetId="0">#REF!</definedName>
    <definedName name="G_A">#REF!</definedName>
    <definedName name="GA" localSheetId="0">#REF!,#REF!,#REF!,#REF!,#REF!,#REF!</definedName>
    <definedName name="GA">#REF!,#REF!,#REF!,#REF!,#REF!,#REF!</definedName>
    <definedName name="GA_2" localSheetId="0">#REF!,#REF!,#REF!,#REF!,#REF!,#REF!</definedName>
    <definedName name="GA_2">#REF!,#REF!,#REF!,#REF!,#REF!,#REF!</definedName>
    <definedName name="GA_3" localSheetId="0">#REF!,#REF!,#REF!</definedName>
    <definedName name="GA_3">#REF!,#REF!,#REF!</definedName>
    <definedName name="Gain_Disposal_Ast_Related_Pty" localSheetId="0">#REF!</definedName>
    <definedName name="Gain_Disposal_Ast_Related_Pty">#REF!</definedName>
    <definedName name="Gain_Disposal_Fix_Asst" localSheetId="0">#REF!</definedName>
    <definedName name="Gain_Disposal_Fix_Asst">#REF!</definedName>
    <definedName name="Gain_Disposal_Invest" localSheetId="0">#REF!</definedName>
    <definedName name="Gain_Disposal_Invest">#REF!</definedName>
    <definedName name="gbpnew" localSheetId="0">#REF!</definedName>
    <definedName name="gbpnew">#REF!</definedName>
    <definedName name="gbpold" localSheetId="0">#REF!</definedName>
    <definedName name="gbpold">#REF!</definedName>
    <definedName name="GDR_EXRATE" localSheetId="0">#REF!</definedName>
    <definedName name="GDR_EXRATE">#REF!</definedName>
    <definedName name="GeneralCompanyName" localSheetId="0">#REF!</definedName>
    <definedName name="GeneralCompanyName">#REF!</definedName>
    <definedName name="GeneralDate" localSheetId="0">#REF!</definedName>
    <definedName name="GeneralDate">#REF!</definedName>
    <definedName name="GeneralPegBegin" localSheetId="0">#REF!</definedName>
    <definedName name="GeneralPegBegin">#REF!</definedName>
    <definedName name="GeneralPegBeginAnnual" localSheetId="0">#REF!</definedName>
    <definedName name="GeneralPegBeginAnnual">#REF!</definedName>
    <definedName name="GeneralPegEnd" localSheetId="0">#REF!</definedName>
    <definedName name="GeneralPegEnd">#REF!</definedName>
    <definedName name="GeneralPegEndAnnual" localSheetId="0">#REF!</definedName>
    <definedName name="GeneralPegEndAnnual">#REF!</definedName>
    <definedName name="GeneralTicker" localSheetId="0">#REF!</definedName>
    <definedName name="GeneralTicker">#REF!</definedName>
    <definedName name="GeneralZeroLine" localSheetId="0">#REF!</definedName>
    <definedName name="GeneralZeroLine">#REF!</definedName>
    <definedName name="GEOG" localSheetId="0">#REF!</definedName>
    <definedName name="GEOG">#REF!</definedName>
    <definedName name="Germany" localSheetId="0">#REF!</definedName>
    <definedName name="Germany">#REF!</definedName>
    <definedName name="Germany_w" localSheetId="0">#REF!</definedName>
    <definedName name="Germany_w">#REF!</definedName>
    <definedName name="GetDataC" localSheetId="0">#REF!</definedName>
    <definedName name="GetDataC">#REF!</definedName>
    <definedName name="GetDataI" localSheetId="0">#REF!</definedName>
    <definedName name="GetDataI">#REF!</definedName>
    <definedName name="GetDataM" localSheetId="0">#REF!</definedName>
    <definedName name="GetDataM">#REF!</definedName>
    <definedName name="GetDataP" localSheetId="0">#REF!</definedName>
    <definedName name="GetDataP">#REF!</definedName>
    <definedName name="GFD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D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F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lobal_Tables" localSheetId="0">#REF!,#REF!,#REF!</definedName>
    <definedName name="Global_Tables">#REF!,#REF!,#REF!</definedName>
    <definedName name="gls_ACT_EST_ROW" localSheetId="0" hidden="1">#REF!</definedName>
    <definedName name="gls_ACT_EST_ROW" hidden="1">#REF!</definedName>
    <definedName name="gls_ACT_FORM_OFFSET" localSheetId="0" hidden="1">#REF!</definedName>
    <definedName name="gls_ACT_FORM_OFFSET" hidden="1">#REF!</definedName>
    <definedName name="gls_ADMIN" localSheetId="0" hidden="1">#REF!</definedName>
    <definedName name="gls_ADMIN" hidden="1">#REF!</definedName>
    <definedName name="gls_ALLOW_BOTH_PC" localSheetId="0" hidden="1">#REF!</definedName>
    <definedName name="gls_ALLOW_BOTH_PC" hidden="1">#REF!</definedName>
    <definedName name="gls_ALLOW_PARENT_OR_CONSOLIDATED" localSheetId="0" hidden="1">#REF!</definedName>
    <definedName name="gls_ALLOW_PARENT_OR_CONSOLIDATED" hidden="1">#REF!</definedName>
    <definedName name="gls_ALLOW_PUBLISH" localSheetId="0" hidden="1">#REF!</definedName>
    <definedName name="gls_ALLOW_PUBLISH" hidden="1">#REF!</definedName>
    <definedName name="gls_AnalystEmpNoHeading" localSheetId="0" hidden="1">#REF!</definedName>
    <definedName name="gls_AnalystEmpNoHeading" hidden="1">#REF!</definedName>
    <definedName name="gls_AnalystNameHeading" localSheetId="0" hidden="1">#REF!</definedName>
    <definedName name="gls_AnalystNameHeading" hidden="1">#REF!</definedName>
    <definedName name="gls_CF_BEGINS" localSheetId="0" hidden="1">#REF!</definedName>
    <definedName name="gls_CF_BEGINS" hidden="1">#REF!</definedName>
    <definedName name="gls_CFD_CHANGEACT" localSheetId="0" hidden="1">#REF!</definedName>
    <definedName name="gls_CFD_CHANGEACT" hidden="1">#REF!</definedName>
    <definedName name="gls_CFD_CHANGEEST" localSheetId="0" hidden="1">#REF!</definedName>
    <definedName name="gls_CFD_CHANGEEST" hidden="1">#REF!</definedName>
    <definedName name="gls_CFD_FIRSTAVAIL" localSheetId="0" hidden="1">#REF!</definedName>
    <definedName name="gls_CFD_FIRSTAVAIL" hidden="1">#REF!</definedName>
    <definedName name="gls_CFD_LISTAVAIL" localSheetId="0" hidden="1">#REF!</definedName>
    <definedName name="gls_CFD_LISTAVAIL" hidden="1">#REF!</definedName>
    <definedName name="gls_CFD_SELECTED" localSheetId="0" hidden="1">#REF!</definedName>
    <definedName name="gls_CFD_SELECTED" hidden="1">#REF!</definedName>
    <definedName name="gls_CHANGED_NAMES" localSheetId="0" hidden="1">#REF!</definedName>
    <definedName name="gls_CHANGED_NAMES" hidden="1">#REF!</definedName>
    <definedName name="gls_CHG_KEY_USER" localSheetId="0" hidden="1">#REF!</definedName>
    <definedName name="gls_CHG_KEY_USER" hidden="1">#REF!</definedName>
    <definedName name="gls_CHG_SEL_ONLY" localSheetId="0" hidden="1">#REF!</definedName>
    <definedName name="gls_CHG_SEL_ONLY" hidden="1">#REF!</definedName>
    <definedName name="gls_COMPANY_WORKBOOK_ID" localSheetId="0" hidden="1">#REF!</definedName>
    <definedName name="gls_COMPANY_WORKBOOK_ID" hidden="1">#REF!</definedName>
    <definedName name="gls_DELETED_PERIODS" localSheetId="0" hidden="1">#REF!</definedName>
    <definedName name="gls_DELETED_PERIODS" hidden="1">#REF!</definedName>
    <definedName name="gls_EST_FORM_OFFSET" localSheetId="0" hidden="1">#REF!</definedName>
    <definedName name="gls_EST_FORM_OFFSET" hidden="1">#REF!</definedName>
    <definedName name="gls_EXC_NOT_EXT" localSheetId="0" hidden="1">#REF!</definedName>
    <definedName name="gls_EXC_NOT_EXT" hidden="1">#REF!</definedName>
    <definedName name="gls_EXISTING_PERIODS" localSheetId="0" hidden="1">#REF!</definedName>
    <definedName name="gls_EXISTING_PERIODS" hidden="1">#REF!</definedName>
    <definedName name="gls_EXT_BELOW_PBT" localSheetId="0" hidden="1">#REF!</definedName>
    <definedName name="gls_EXT_BELOW_PBT" hidden="1">#REF!</definedName>
    <definedName name="gls_EXT_LINK_GLOSS" localSheetId="0" hidden="1">#REF!</definedName>
    <definedName name="gls_EXT_LINK_GLOSS" hidden="1">#REF!</definedName>
    <definedName name="gls_EXTERNAL_COL_REF" localSheetId="0" hidden="1">#REF!</definedName>
    <definedName name="gls_EXTERNAL_COL_REF" hidden="1">#REF!</definedName>
    <definedName name="gls_FIRST_ITEM" localSheetId="0" hidden="1">#REF!</definedName>
    <definedName name="gls_FIRST_ITEM" hidden="1">#REF!</definedName>
    <definedName name="gls_FIRST_PK" localSheetId="0" hidden="1">#REF!</definedName>
    <definedName name="gls_FIRST_PK" hidden="1">#REF!</definedName>
    <definedName name="gls_FIRST_ROWMULT" localSheetId="0" hidden="1">#REF!</definedName>
    <definedName name="gls_FIRST_ROWMULT" hidden="1">#REF!</definedName>
    <definedName name="gls_FIRST_UNITS" localSheetId="0" hidden="1">#REF!</definedName>
    <definedName name="gls_FIRST_UNITS" hidden="1">#REF!</definedName>
    <definedName name="gls_FIXED_NAMES" localSheetId="0" hidden="1">#REF!</definedName>
    <definedName name="gls_FIXED_NAMES" hidden="1">#REF!</definedName>
    <definedName name="gls_FONT_STATUS" localSheetId="0" hidden="1">#REF!</definedName>
    <definedName name="gls_FONT_STATUS" hidden="1">#REF!</definedName>
    <definedName name="gls_GenAccountingConvention" localSheetId="0" hidden="1">#REF!</definedName>
    <definedName name="gls_GenAccountingConvention" hidden="1">#REF!</definedName>
    <definedName name="gls_GenAdditionalInfo" localSheetId="0" hidden="1">#REF!</definedName>
    <definedName name="gls_GenAdditionalInfo" hidden="1">#REF!</definedName>
    <definedName name="gls_GenComments" localSheetId="0" hidden="1">#REF!</definedName>
    <definedName name="gls_GenComments" hidden="1">#REF!</definedName>
    <definedName name="gls_GenCompany" localSheetId="0" hidden="1">#REF!</definedName>
    <definedName name="gls_GenCompany" hidden="1">#REF!</definedName>
    <definedName name="gls_GenCompanyInfo" localSheetId="0" hidden="1">#REF!</definedName>
    <definedName name="gls_GenCompanyInfo" hidden="1">#REF!</definedName>
    <definedName name="gls_GenCountry" localSheetId="0" hidden="1">#REF!</definedName>
    <definedName name="gls_GenCountry" hidden="1">#REF!</definedName>
    <definedName name="gls_GenCurrency" localSheetId="0" hidden="1">#REF!</definedName>
    <definedName name="gls_GenCurrency" hidden="1">#REF!</definedName>
    <definedName name="gls_GenCurrencyMultiplier" localSheetId="0" hidden="1">#REF!</definedName>
    <definedName name="gls_GenCurrencyMultiplier" hidden="1">#REF!</definedName>
    <definedName name="gls_GenEnterCompInfo" localSheetId="0" hidden="1">#REF!</definedName>
    <definedName name="gls_GenEnterCompInfo" hidden="1">#REF!</definedName>
    <definedName name="gls_GenEPSComment" localSheetId="0" hidden="1">#REF!</definedName>
    <definedName name="gls_GenEPSComment" hidden="1">#REF!</definedName>
    <definedName name="gls_GenHomeRegion" localSheetId="0" hidden="1">#REF!</definedName>
    <definedName name="gls_GenHomeRegion" hidden="1">#REF!</definedName>
    <definedName name="gls_GenLastPublished" localSheetId="0" hidden="1">#REF!</definedName>
    <definedName name="gls_GenLastPublished" hidden="1">#REF!</definedName>
    <definedName name="gls_GenLastRecRevised" localSheetId="0" hidden="1">#REF!</definedName>
    <definedName name="gls_GenLastRecRevised" hidden="1">#REF!</definedName>
    <definedName name="gls_GenMainInfo" localSheetId="0" hidden="1">#REF!</definedName>
    <definedName name="gls_GenMainInfo" hidden="1">#REF!</definedName>
    <definedName name="gls_GenNoteComment" localSheetId="0" hidden="1">#REF!</definedName>
    <definedName name="gls_GenNoteComment" hidden="1">#REF!</definedName>
    <definedName name="gls_GenProfile" localSheetId="0" hidden="1">#REF!</definedName>
    <definedName name="gls_GenProfile" hidden="1">#REF!</definedName>
    <definedName name="gls_GenRecComment" localSheetId="0" hidden="1">#REF!</definedName>
    <definedName name="gls_GenRecComment" hidden="1">#REF!</definedName>
    <definedName name="gls_GenSaleslineInfo" localSheetId="0" hidden="1">#REF!</definedName>
    <definedName name="gls_GenSaleslineInfo" hidden="1">#REF!</definedName>
    <definedName name="gls_GenSalesSplitByRegion" localSheetId="0" hidden="1">#REF!</definedName>
    <definedName name="gls_GenSalesSplitByRegion" hidden="1">#REF!</definedName>
    <definedName name="gls_GenSalesSplitHeading" localSheetId="0" hidden="1">#REF!</definedName>
    <definedName name="gls_GenSalesSplitHeading" hidden="1">#REF!</definedName>
    <definedName name="gls_GenSheetVersion" localSheetId="0" hidden="1">#REF!</definedName>
    <definedName name="gls_GenSheetVersion" hidden="1">#REF!</definedName>
    <definedName name="gls_genStockCore" localSheetId="0" hidden="1">#REF!</definedName>
    <definedName name="gls_genStockCore" hidden="1">#REF!</definedName>
    <definedName name="gls_genStockRec" localSheetId="0" hidden="1">#REF!</definedName>
    <definedName name="gls_genStockRec" hidden="1">#REF!</definedName>
    <definedName name="gls_GLOSS_MONTHS" localSheetId="0" hidden="1">#REF!</definedName>
    <definedName name="gls_GLOSS_MONTHS" hidden="1">#REF!</definedName>
    <definedName name="gls_GW_IN" localSheetId="0" hidden="1">#REF!</definedName>
    <definedName name="gls_GW_IN" hidden="1">#REF!</definedName>
    <definedName name="gls_IIAA_IN" localSheetId="0" hidden="1">#REF!</definedName>
    <definedName name="gls_IIAA_IN" hidden="1">#REF!</definedName>
    <definedName name="gls_InterimValue" localSheetId="0" hidden="1">#REF!</definedName>
    <definedName name="gls_InterimValue" hidden="1">#REF!</definedName>
    <definedName name="gls_IssuedStockClassHeading" localSheetId="0" hidden="1">#REF!</definedName>
    <definedName name="gls_IssuedStockClassHeading" hidden="1">#REF!</definedName>
    <definedName name="gls_IssuedStockCodeHeading" localSheetId="0" hidden="1">#REF!</definedName>
    <definedName name="gls_IssuedStockCodeHeading" hidden="1">#REF!</definedName>
    <definedName name="gls_IssuedStockFreeFloatHeading" localSheetId="0" hidden="1">#REF!</definedName>
    <definedName name="gls_IssuedStockFreeFloatHeading" hidden="1">#REF!</definedName>
    <definedName name="gls_KEY_DATA" localSheetId="0" hidden="1">#REF!</definedName>
    <definedName name="gls_KEY_DATA" hidden="1">#REF!</definedName>
    <definedName name="gls_KEY_VALUE" localSheetId="0" hidden="1">#REF!</definedName>
    <definedName name="gls_KEY_VALUE" hidden="1">#REF!</definedName>
    <definedName name="gls_LANGUAGE" localSheetId="0" hidden="1">#REF!</definedName>
    <definedName name="gls_LANGUAGE" hidden="1">#REF!</definedName>
    <definedName name="gls_NEXT_PK" localSheetId="0" hidden="1">#REF!</definedName>
    <definedName name="gls_NEXT_PK" hidden="1">#REF!</definedName>
    <definedName name="gls_PERIOD_CODE" localSheetId="0" hidden="1">#REF!</definedName>
    <definedName name="gls_PERIOD_CODE" hidden="1">#REF!</definedName>
    <definedName name="gls_PERIOD_INDICATOR" localSheetId="0" hidden="1">#REF!</definedName>
    <definedName name="gls_PERIOD_INDICATOR" hidden="1">#REF!</definedName>
    <definedName name="gls_PERIOD_PARENT_OR_CONSOL" localSheetId="0" hidden="1">#REF!</definedName>
    <definedName name="gls_PERIOD_PARENT_OR_CONSOL" hidden="1">#REF!</definedName>
    <definedName name="gls_PERIOD_TYPE" localSheetId="0" hidden="1">#REF!</definedName>
    <definedName name="gls_PERIOD_TYPE" hidden="1">#REF!</definedName>
    <definedName name="gls_PrincipalStockClass" localSheetId="0" hidden="1">#REF!</definedName>
    <definedName name="gls_PrincipalStockClass" hidden="1">#REF!</definedName>
    <definedName name="gls_PROFILE_NAME" localSheetId="0" hidden="1">#REF!</definedName>
    <definedName name="gls_PROFILE_NAME" hidden="1">#REF!</definedName>
    <definedName name="gls_SASS5HistEPSGrowth" localSheetId="0" hidden="1">#REF!</definedName>
    <definedName name="gls_SASS5HistEPSGrowth" hidden="1">#REF!</definedName>
    <definedName name="gls_SASS5ProjEPSGrowth" localSheetId="0" hidden="1">#REF!</definedName>
    <definedName name="gls_SASS5ProjEPSGrowth" hidden="1">#REF!</definedName>
    <definedName name="gls_SASSDirectorHoldings" localSheetId="0" hidden="1">#REF!</definedName>
    <definedName name="gls_SASSDirectorHoldings" hidden="1">#REF!</definedName>
    <definedName name="gls_SASSEPS45AGR" localSheetId="0" hidden="1">#REF!</definedName>
    <definedName name="gls_SASSEPS45AGR" hidden="1">#REF!</definedName>
    <definedName name="gls_SASSIsInterimLastAnnounce" localSheetId="0" hidden="1">#REF!</definedName>
    <definedName name="gls_SASSIsInterimLastAnnounce" hidden="1">#REF!</definedName>
    <definedName name="gls_SASSLastAnnounce" localSheetId="0" hidden="1">#REF!</definedName>
    <definedName name="gls_SASSLastAnnounce" hidden="1">#REF!</definedName>
    <definedName name="gls_SASSNETDIV45AGR" localSheetId="0" hidden="1">#REF!</definedName>
    <definedName name="gls_SASSNETDIV45AGR" hidden="1">#REF!</definedName>
    <definedName name="gls_SaveBeforePublish" localSheetId="0" hidden="1">#REF!</definedName>
    <definedName name="gls_SaveBeforePublish" hidden="1">#REF!</definedName>
    <definedName name="gls_SaveWkbForNewPeriodCodes" localSheetId="0" hidden="1">#REF!</definedName>
    <definedName name="gls_SaveWkbForNewPeriodCodes" hidden="1">#REF!</definedName>
    <definedName name="gls_ShareholderClassHeading" localSheetId="0" hidden="1">#REF!</definedName>
    <definedName name="gls_ShareholderClassHeading" hidden="1">#REF!</definedName>
    <definedName name="gls_ShareholderHolding" localSheetId="0" hidden="1">#REF!</definedName>
    <definedName name="gls_ShareholderHolding" hidden="1">#REF!</definedName>
    <definedName name="gls_ShareholderHoldingHeading" localSheetId="0" hidden="1">#REF!</definedName>
    <definedName name="gls_ShareholderHoldingHeading" hidden="1">#REF!</definedName>
    <definedName name="gls_ShareholderName" localSheetId="0" hidden="1">#REF!</definedName>
    <definedName name="gls_ShareholderName" hidden="1">#REF!</definedName>
    <definedName name="gls_ShareholderNameHeading" localSheetId="0" hidden="1">#REF!</definedName>
    <definedName name="gls_ShareholderNameHeading" hidden="1">#REF!</definedName>
    <definedName name="gls_ShareholdingName" localSheetId="0" hidden="1">#REF!</definedName>
    <definedName name="gls_ShareholdingName" hidden="1">#REF!</definedName>
    <definedName name="gls_SHOW_CONTROL_VALUE" localSheetId="0" hidden="1">#REF!</definedName>
    <definedName name="gls_SHOW_CONTROL_VALUE" hidden="1">#REF!</definedName>
    <definedName name="gls_SHOW_KEY_VAL_COLUMN" localSheetId="0" hidden="1">#REF!</definedName>
    <definedName name="gls_SHOW_KEY_VAL_COLUMN" hidden="1">#REF!</definedName>
    <definedName name="gls_SHOW_KEY_VALUES" localSheetId="0" hidden="1">#REF!</definedName>
    <definedName name="gls_SHOW_KEY_VALUES" hidden="1">#REF!</definedName>
    <definedName name="gls_SHOW_LINKED_ITEMS" localSheetId="0" hidden="1">#REF!</definedName>
    <definedName name="gls_SHOW_LINKED_ITEMS" hidden="1">#REF!</definedName>
    <definedName name="gls_SHOW_LOCAL_NAMES" localSheetId="0" hidden="1">#REF!</definedName>
    <definedName name="gls_SHOW_LOCAL_NAMES" hidden="1">#REF!</definedName>
    <definedName name="gls_SHOW_MULTIPLIERS" localSheetId="0" hidden="1">#REF!</definedName>
    <definedName name="gls_SHOW_MULTIPLIERS" hidden="1">#REF!</definedName>
    <definedName name="gls_SHOW_PK_COLUMN" localSheetId="0" hidden="1">#REF!</definedName>
    <definedName name="gls_SHOW_PK_COLUMN" hidden="1">#REF!</definedName>
    <definedName name="gls_SHOW_STATUS_INFORMATION" localSheetId="0" hidden="1">#REF!</definedName>
    <definedName name="gls_SHOW_STATUS_INFORMATION" hidden="1">#REF!</definedName>
    <definedName name="gls_SHOW_UNITS" localSheetId="0" hidden="1">#REF!</definedName>
    <definedName name="gls_SHOW_UNITS" hidden="1">#REF!</definedName>
    <definedName name="gls_SPARE_YEARS" localSheetId="0" hidden="1">#REF!</definedName>
    <definedName name="gls_SPARE_YEARS" hidden="1">#REF!</definedName>
    <definedName name="gls_SPECIAL_DIALOG" localSheetId="0" hidden="1">#REF!</definedName>
    <definedName name="gls_SPECIAL_DIALOG" hidden="1">#REF!</definedName>
    <definedName name="gls_START_FORMULA_OVERRIDEABLE" localSheetId="0" hidden="1">#REF!</definedName>
    <definedName name="gls_START_FORMULA_OVERRIDEABLE" hidden="1">#REF!</definedName>
    <definedName name="gls_START_LOCAL_NAMES" localSheetId="0" hidden="1">#REF!</definedName>
    <definedName name="gls_START_LOCAL_NAMES" hidden="1">#REF!</definedName>
    <definedName name="gls_START_PERIOD_CURRENCY" localSheetId="0" hidden="1">#REF!</definedName>
    <definedName name="gls_START_PERIOD_CURRENCY" hidden="1">#REF!</definedName>
    <definedName name="gls_START_STATUS" localSheetId="0" hidden="1">#REF!</definedName>
    <definedName name="gls_START_STATUS" hidden="1">#REF!</definedName>
    <definedName name="gls_START_USER_STATUS" localSheetId="0" hidden="1">#REF!</definedName>
    <definedName name="gls_START_USER_STATUS" hidden="1">#REF!</definedName>
    <definedName name="gls_START_VALIDATION" localSheetId="0" hidden="1">#REF!</definedName>
    <definedName name="gls_START_VALIDATION" hidden="1">#REF!</definedName>
    <definedName name="gls_START_WHAT" localSheetId="0" hidden="1">#REF!</definedName>
    <definedName name="gls_START_WHAT" hidden="1">#REF!</definedName>
    <definedName name="gls_START_YEAR" localSheetId="0" hidden="1">#REF!</definedName>
    <definedName name="gls_START_YEAR" hidden="1">#REF!</definedName>
    <definedName name="gls_StockTicker" localSheetId="0" hidden="1">#REF!</definedName>
    <definedName name="gls_StockTicker" hidden="1">#REF!</definedName>
    <definedName name="gls_TEMP_PERIOD_CODE" localSheetId="0" hidden="1">#REF!</definedName>
    <definedName name="gls_TEMP_PERIOD_CODE" hidden="1">#REF!</definedName>
    <definedName name="gls_THISWORKBOOK_NAME" localSheetId="0" hidden="1">#REF!</definedName>
    <definedName name="gls_THISWORKBOOK_NAME" hidden="1">#REF!</definedName>
    <definedName name="gls_UNUSUAL_POS" localSheetId="0" hidden="1">#REF!</definedName>
    <definedName name="gls_UNUSUAL_POS" hidden="1">#REF!</definedName>
    <definedName name="gls_USER_CELL_FORMAT" localSheetId="0" hidden="1">#REF!</definedName>
    <definedName name="gls_USER_CELL_FORMAT" hidden="1">#REF!</definedName>
    <definedName name="gls_USING_CONSOLIDATED" localSheetId="0" hidden="1">#REF!</definedName>
    <definedName name="gls_USING_CONSOLIDATED" hidden="1">#REF!</definedName>
    <definedName name="gls_YEAR_AE_CONTROL" localSheetId="0" hidden="1">#REF!</definedName>
    <definedName name="gls_YEAR_AE_CONTROL" hidden="1">#REF!</definedName>
    <definedName name="gls_YEAR_END_ROW" localSheetId="0" hidden="1">#REF!</definedName>
    <definedName name="gls_YEAR_END_ROW" hidden="1">#REF!</definedName>
    <definedName name="gls_YetToRunStartupWizard" localSheetId="0" hidden="1">#REF!</definedName>
    <definedName name="gls_YetToRunStartupWizard" hidden="1">#REF!</definedName>
    <definedName name="GMV" localSheetId="0">#REF!</definedName>
    <definedName name="GMV">#REF!</definedName>
    <definedName name="GoDMnetinc" localSheetId="0">#REF!</definedName>
    <definedName name="GoDMnetinc">#REF!</definedName>
    <definedName name="Goodwill" localSheetId="0">#REF!</definedName>
    <definedName name="Goodwill">#REF!</definedName>
    <definedName name="Goodwill_growth_fore" localSheetId="0">#REF!</definedName>
    <definedName name="Goodwill_growth_fore">#REF!</definedName>
    <definedName name="gop00" localSheetId="0">#REF!</definedName>
    <definedName name="gop00">#REF!</definedName>
    <definedName name="gp" localSheetId="0">#REF!</definedName>
    <definedName name="gp">#REF!</definedName>
    <definedName name="GPROFIT" localSheetId="0">#REF!</definedName>
    <definedName name="GPROFIT">#REF!</definedName>
    <definedName name="gradys" localSheetId="0">#REF!</definedName>
    <definedName name="gradys">#REF!</definedName>
    <definedName name="Graph_CoC" localSheetId="0">OFFSET(#REF!,0,0,1,#REF!)</definedName>
    <definedName name="Graph_CoC">OFFSET(#REF!,0,0,1,#REF!)</definedName>
    <definedName name="Graph_Frequency" localSheetId="0">OFFSET(#REF!,0,MATCH(99.9999,#REF!,-1)-1,1,COUNT(#REF!)-(MATCH(99.9999,#REF!,-1)-1))</definedName>
    <definedName name="Graph_Frequency">OFFSET(#REF!,0,MATCH(99.9999,#REF!,-1)-1,1,COUNT(#REF!)-(MATCH(99.9999,#REF!,-1)-1))</definedName>
    <definedName name="Graph_Frequency_Titles" localSheetId="0">OFFSET(#REF!,-1,MATCH(99.9999,#REF!,-1)-1,1,COUNT(#REF!)-(MATCH(99.9999,#REF!,-1)-1))</definedName>
    <definedName name="Graph_Frequency_Titles">OFFSET(#REF!,-1,MATCH(99.9999,#REF!,-1)-1,1,COUNT(#REF!)-(MATCH(99.9999,#REF!,-1)-1))</definedName>
    <definedName name="Graph_MarginalROE" localSheetId="0">OFFSET(#REF!,0,0,1,#REF!)</definedName>
    <definedName name="Graph_MarginalROE">OFFSET(#REF!,0,0,1,#REF!)</definedName>
    <definedName name="Graph_Phase" localSheetId="0">OFFSET(#REF!,0,0,1,#REF!)</definedName>
    <definedName name="Graph_Phase">OFFSET(#REF!,0,0,1,#REF!)</definedName>
    <definedName name="Graph_PVRI" localSheetId="0">OFFSET(#REF!,0,0,1,#REF!)</definedName>
    <definedName name="Graph_PVRI">OFFSET(#REF!,0,0,1,#REF!)</definedName>
    <definedName name="Graph_ROE" localSheetId="0">OFFSET(#REF!,0,0,1,#REF!)</definedName>
    <definedName name="Graph_ROE">OFFSET(#REF!,0,0,1,#REF!)</definedName>
    <definedName name="GRAPH1" localSheetId="0">#REF!</definedName>
    <definedName name="GRAPH1">#REF!</definedName>
    <definedName name="GRAPH2" localSheetId="0">#REF!</definedName>
    <definedName name="GRAPH2">#REF!</definedName>
    <definedName name="Gross_Capex" localSheetId="0">#REF!</definedName>
    <definedName name="Gross_Capex">#REF!</definedName>
    <definedName name="Gross_inc_growth" localSheetId="0">#REF!</definedName>
    <definedName name="Gross_inc_growth">#REF!</definedName>
    <definedName name="Gross_income" localSheetId="0">#REF!</definedName>
    <definedName name="Gross_income">#REF!</definedName>
    <definedName name="Gross_income_fore" localSheetId="0">#REF!</definedName>
    <definedName name="Gross_income_fore">#REF!</definedName>
    <definedName name="Gross_income_growth_avg" localSheetId="0">#REF!</definedName>
    <definedName name="Gross_income_growth_avg">#REF!</definedName>
    <definedName name="Gross_margin_fore" localSheetId="0">#REF!</definedName>
    <definedName name="Gross_margin_fore">#REF!</definedName>
    <definedName name="Gross_Profit" localSheetId="0">#REF!</definedName>
    <definedName name="Gross_Profit">#REF!</definedName>
    <definedName name="Gross_Sales" localSheetId="0">#REF!</definedName>
    <definedName name="Gross_Sales">#REF!</definedName>
    <definedName name="GrossProfit" localSheetId="0">#REF!</definedName>
    <definedName name="GrossProfit">#REF!</definedName>
    <definedName name="Group7" localSheetId="5">{"Mcp08.PrintRep",""}</definedName>
    <definedName name="Group7" localSheetId="0">{"Mcp08.PrintRep",""}</definedName>
    <definedName name="Group7" localSheetId="4">{"Mcp08.PrintRep",""}</definedName>
    <definedName name="Group7">{"Mcp08.PrintRep",""}</definedName>
    <definedName name="growth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">#REF!</definedName>
    <definedName name="Growth_97" localSheetId="0">#REF!</definedName>
    <definedName name="Growth_97">#REF!</definedName>
    <definedName name="Growth_98" localSheetId="0">#REF!</definedName>
    <definedName name="Growth_98">#REF!</definedName>
    <definedName name="Growth_99" localSheetId="0">#REF!</definedName>
    <definedName name="Growth_99">#REF!</definedName>
    <definedName name="growth_margin" localSheetId="0">#REF!=#REF!</definedName>
    <definedName name="growth_margin">#REF!=#REF!</definedName>
    <definedName name="Growth_Metrics" localSheetId="0">#REF!</definedName>
    <definedName name="Growth_Metrics">#REF!</definedName>
    <definedName name="growth_metrics_graph" localSheetId="0">#REF!</definedName>
    <definedName name="growth_metrics_graph">#REF!</definedName>
    <definedName name="growth2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0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0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0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2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3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owth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3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3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3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rwoth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GS_Camelot" localSheetId="0">#REF!</definedName>
    <definedName name="GS_Camelot">#REF!</definedName>
    <definedName name="gsass" localSheetId="0">#REF!</definedName>
    <definedName name="gsass">#REF!</definedName>
    <definedName name="GSCAMELOT" localSheetId="0">#REF!</definedName>
    <definedName name="GSCAMELOT">#REF!</definedName>
    <definedName name="H" localSheetId="0">#REF!</definedName>
    <definedName name="H">#REF!</definedName>
    <definedName name="Handset_revs" localSheetId="0">#REF!</definedName>
    <definedName name="Handset_revs">#REF!</definedName>
    <definedName name="HEAD" localSheetId="0">#REF!</definedName>
    <definedName name="HEAD">#REF!</definedName>
    <definedName name="head1" localSheetId="0">#REF!</definedName>
    <definedName name="head1">#REF!</definedName>
    <definedName name="heading" localSheetId="0">#REF!</definedName>
    <definedName name="heading">#REF!</definedName>
    <definedName name="Held" localSheetId="0">#REF!</definedName>
    <definedName name="Held">#REF!</definedName>
    <definedName name="hello" localSheetId="0">#REF!</definedName>
    <definedName name="hello">#REF!</definedName>
    <definedName name="HG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G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Hide" localSheetId="0">#REF!,#REF!,#REF!</definedName>
    <definedName name="Hide">#REF!,#REF!,#REF!</definedName>
    <definedName name="hidebs" localSheetId="0">#REF!</definedName>
    <definedName name="hidebs">#REF!</definedName>
    <definedName name="High" localSheetId="0">#REF!</definedName>
    <definedName name="High">#REF!</definedName>
    <definedName name="HistoricalCashFlowCapitalExpenditureWireless" localSheetId="0">#REF!</definedName>
    <definedName name="HistoricalCashFlowCapitalExpenditureWireless">#REF!</definedName>
    <definedName name="HistoricalCellularIncomeOperatingCashFlow" localSheetId="0">#REF!</definedName>
    <definedName name="HistoricalCellularIncomeOperatingCashFlow">#REF!</definedName>
    <definedName name="HistoricalHomeCell" localSheetId="0">#REF!</definedName>
    <definedName name="HistoricalHomeCell">#REF!</definedName>
    <definedName name="HistoricalRevenuesCellularEquipment" localSheetId="0">#REF!</definedName>
    <definedName name="HistoricalRevenuesCellularEquipment">#REF!</definedName>
    <definedName name="HistoricalRevenuesCellularService" localSheetId="0">#REF!</definedName>
    <definedName name="HistoricalRevenuesCellularService">#REF!</definedName>
    <definedName name="HistoricalStatsAverageMonthlyRevenueGiven" localSheetId="0">#REF!</definedName>
    <definedName name="HistoricalStatsAverageMonthlyRevenueGiven">#REF!</definedName>
    <definedName name="HistoricalStatsPenetration" localSheetId="0">#REF!</definedName>
    <definedName name="HistoricalStatsPenetration">#REF!</definedName>
    <definedName name="HistoricalStatsPOPS" localSheetId="0">#REF!</definedName>
    <definedName name="HistoricalStatsPOPS">#REF!</definedName>
    <definedName name="HistoricalStatsPOPSMSA" localSheetId="0">#REF!</definedName>
    <definedName name="HistoricalStatsPOPSMSA">#REF!</definedName>
    <definedName name="HistoricalStatsPOPSRSA" localSheetId="0">#REF!</definedName>
    <definedName name="HistoricalStatsPOPSRSA">#REF!</definedName>
    <definedName name="HistoricalStatsProportionatePOPS" localSheetId="0">#REF!</definedName>
    <definedName name="HistoricalStatsProportionatePOPS">#REF!</definedName>
    <definedName name="HistoricalStatsSubscribersEnding" localSheetId="0">#REF!</definedName>
    <definedName name="HistoricalStatsSubscribersEnding">#REF!</definedName>
    <definedName name="HistoricalStatsSubscribersEndingIncludingResellers" localSheetId="0">#REF!</definedName>
    <definedName name="HistoricalStatsSubscribersEndingIncludingResellers">#REF!</definedName>
    <definedName name="HistoryEnd" localSheetId="0">#REF!</definedName>
    <definedName name="HistoryEnd">#REF!</definedName>
    <definedName name="HistoryStart" localSheetId="0">#REF!</definedName>
    <definedName name="HistoryStart">#REF!</definedName>
    <definedName name="hjh" localSheetId="0">#REF!</definedName>
    <definedName name="hjh">#REF!</definedName>
    <definedName name="hjhjhj" localSheetId="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0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localSheetId="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KCelluarA" localSheetId="0">#REF!</definedName>
    <definedName name="HKCelluarA">#REF!</definedName>
    <definedName name="HKCellularB" localSheetId="0">#REF!</definedName>
    <definedName name="HKCellularB">#REF!</definedName>
    <definedName name="hkdnew" localSheetId="0">#REF!</definedName>
    <definedName name="hkdnew">#REF!</definedName>
    <definedName name="hkdold" localSheetId="0">#REF!</definedName>
    <definedName name="hkdold">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d" localSheetId="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0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localSheetId="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localSheetId="0">#REF!</definedName>
    <definedName name="HOME">#REF!</definedName>
    <definedName name="Horizon_Year" localSheetId="0">#REF!</definedName>
    <definedName name="Horizon_Year">#REF!</definedName>
    <definedName name="Horizon_Year_2" localSheetId="0">#REF!</definedName>
    <definedName name="Horizon_Year_2">#REF!</definedName>
    <definedName name="Households" localSheetId="0">#REF!</definedName>
    <definedName name="Households">#REF!</definedName>
    <definedName name="houy" localSheetId="5" hidden="1">{#N/A,#N/A,FALSE,"AD_Purchase";#N/A,#N/A,FALSE,"Credit";#N/A,#N/A,FALSE,"PF Acquisition";#N/A,#N/A,FALSE,"PF Offering"}</definedName>
    <definedName name="houy" localSheetId="0" hidden="1">{#N/A,#N/A,FALSE,"AD_Purchase";#N/A,#N/A,FALSE,"Credit";#N/A,#N/A,FALSE,"PF Acquisition";#N/A,#N/A,FALSE,"PF Offering"}</definedName>
    <definedName name="houy" localSheetId="4" hidden="1">{#N/A,#N/A,FALSE,"AD_Purchase";#N/A,#N/A,FALSE,"Credit";#N/A,#N/A,FALSE,"PF Acquisition";#N/A,#N/A,FALSE,"PF Offering"}</definedName>
    <definedName name="houy" hidden="1">{#N/A,#N/A,FALSE,"AD_Purchase";#N/A,#N/A,FALSE,"Credit";#N/A,#N/A,FALSE,"PF Acquisition";#N/A,#N/A,FALSE,"PF Offering"}</definedName>
    <definedName name="hscurrent" localSheetId="0">#REF!</definedName>
    <definedName name="hscurrent">#REF!</definedName>
    <definedName name="hsi_dpsg" localSheetId="0">#REF!</definedName>
    <definedName name="hsi_dpsg">#REF!</definedName>
    <definedName name="hsi_epsg" localSheetId="0">#REF!</definedName>
    <definedName name="hsi_epsg">#REF!</definedName>
    <definedName name="hsprevious" localSheetId="0">#REF!</definedName>
    <definedName name="hsprevious">#REF!</definedName>
    <definedName name="HTML_CodePage" localSheetId="0" hidden="1">949</definedName>
    <definedName name="HTML_CodePage" hidden="1">1252</definedName>
    <definedName name="HTML_Control" localSheetId="5" hidden="1">{"'Check Request'!$A$1:$BF$37"}</definedName>
    <definedName name="HTML_Control" localSheetId="0" hidden="1">{"'Sheet1'!$A$1:$J$23"}</definedName>
    <definedName name="HTML_Control" localSheetId="4" hidden="1">{"'Check Request'!$A$1:$BF$37"}</definedName>
    <definedName name="HTML_Control" hidden="1">{"'Check Request'!$A$1:$BF$37"}</definedName>
    <definedName name="HTML_Description" hidden="1">""</definedName>
    <definedName name="HTML_Email" hidden="1">""</definedName>
    <definedName name="HTML_Header" localSheetId="0" hidden="1">"Sheet1"</definedName>
    <definedName name="HTML_Header" hidden="1">"Check Request"</definedName>
    <definedName name="HTML_LastUpdate" localSheetId="0" hidden="1">"01-05-21"</definedName>
    <definedName name="HTML_LastUpdate" hidden="1">"3/9/99"</definedName>
    <definedName name="HTML_LineAfter" hidden="1">FALSE</definedName>
    <definedName name="HTML_LineBefore" hidden="1">FALSE</definedName>
    <definedName name="HTML_Name" localSheetId="0" hidden="1">"Carrefour"</definedName>
    <definedName name="HTML_Name" hidden="1">"a12604"</definedName>
    <definedName name="HTML_OBDlg2" hidden="1">TRUE</definedName>
    <definedName name="HTML_OBDlg4" hidden="1">TRUE</definedName>
    <definedName name="HTML_OS" hidden="1">0</definedName>
    <definedName name="HTML_PathFile" localSheetId="0" hidden="1">"C:\My Documents\Facades\Yatap\MyHTML.htm"</definedName>
    <definedName name="HTML_PathFile" hidden="1">"C:\InetPub\wwwroot\jenny\CHECK_REQUEST_FORM1.htm"</definedName>
    <definedName name="HTML_Title" localSheetId="0" hidden="1">"area data"</definedName>
    <definedName name="HTML_Title" hidden="1">""</definedName>
    <definedName name="hul" localSheetId="5" hidden="1">{"'Check Request'!$A$1:$BF$37"}</definedName>
    <definedName name="hul" localSheetId="0" hidden="1">{"'Check Request'!$A$1:$BF$37"}</definedName>
    <definedName name="hul" localSheetId="4" hidden="1">{"'Check Request'!$A$1:$BF$37"}</definedName>
    <definedName name="hul" hidden="1">{"'Check Request'!$A$1:$BF$37"}</definedName>
    <definedName name="HUSI" localSheetId="5" hidden="1">{"'Check Request'!$A$1:$BF$37"}</definedName>
    <definedName name="HUSI" localSheetId="0" hidden="1">{"'Check Request'!$A$1:$BF$37"}</definedName>
    <definedName name="HUSI" localSheetId="4" hidden="1">{"'Check Request'!$A$1:$BF$37"}</definedName>
    <definedName name="HUSI" hidden="1">{"'Check Request'!$A$1:$BF$37"}</definedName>
    <definedName name="I" localSheetId="5">{"Qtr Op Mgd Q3",#N/A,FALSE,"Qtr-Op (Mng)";"Qtr Op Rpt Q3",#N/A,FALSE,"Qtr-Op (Rpt)";"Operating Vs Reported",#N/A,FALSE,"Rpt-Op Inc"}</definedName>
    <definedName name="I" localSheetId="0">{"Qtr Op Mgd Q3",#N/A,FALSE,"Qtr-Op (Mng)";"Qtr Op Rpt Q3",#N/A,FALSE,"Qtr-Op (Rpt)";"Operating Vs Reported",#N/A,FALSE,"Rpt-Op Inc"}</definedName>
    <definedName name="I" localSheetId="4">{"Qtr Op Mgd Q3",#N/A,FALSE,"Qtr-Op (Mng)";"Qtr Op Rpt Q3",#N/A,FALSE,"Qtr-Op (Rpt)";"Operating Vs Reported",#N/A,FALSE,"Rpt-Op Inc"}</definedName>
    <definedName name="I">{"Qtr Op Mgd Q3",#N/A,FALSE,"Qtr-Op (Mng)";"Qtr Op Rpt Q3",#N/A,FALSE,"Qtr-Op (Rpt)";"Operating Vs Reported",#N/A,FALSE,"Rpt-Op Inc"}</definedName>
    <definedName name="i_an_new_business" localSheetId="0">#REF!</definedName>
    <definedName name="i_an_new_business">#REF!</definedName>
    <definedName name="i_claims_ratio" localSheetId="0">#REF!</definedName>
    <definedName name="i_claims_ratio">#REF!</definedName>
    <definedName name="i_combined_ratio" localSheetId="0">#REF!</definedName>
    <definedName name="i_combined_ratio">#REF!</definedName>
    <definedName name="i_embedded_value" localSheetId="0">#REF!</definedName>
    <definedName name="i_embedded_value">#REF!</definedName>
    <definedName name="i_expense_ratio" localSheetId="0">#REF!</definedName>
    <definedName name="i_expense_ratio">#REF!</definedName>
    <definedName name="i_solvency_ratio" localSheetId="0">#REF!</definedName>
    <definedName name="i_solvency_ratio">#REF!</definedName>
    <definedName name="IB" localSheetId="0">#REF!</definedName>
    <definedName name="IB">#REF!</definedName>
    <definedName name="IB_all" localSheetId="0">#REF!</definedName>
    <definedName name="IB_all">#REF!</definedName>
    <definedName name="IBESDate" localSheetId="0">#REF!</definedName>
    <definedName name="IBESDate">#REF!</definedName>
    <definedName name="IC_1" localSheetId="0">#REF!</definedName>
    <definedName name="IC_1">#REF!</definedName>
    <definedName name="IC_2" localSheetId="0">#REF!</definedName>
    <definedName name="IC_2">#REF!</definedName>
    <definedName name="IC_Assembly_Test" localSheetId="5" hidden="1">{#N/A,#N/A,FALSE,"Const";#N/A,#N/A,FALSE,"P&amp;L";#N/A,#N/A,FALSE,"Sale"}</definedName>
    <definedName name="IC_Assembly_Test" localSheetId="0" hidden="1">{#N/A,#N/A,FALSE,"Const";#N/A,#N/A,FALSE,"P&amp;L";#N/A,#N/A,FALSE,"Sale"}</definedName>
    <definedName name="IC_Assembly_Test" localSheetId="4" hidden="1">{#N/A,#N/A,FALSE,"Const";#N/A,#N/A,FALSE,"P&amp;L";#N/A,#N/A,FALSE,"Sale"}</definedName>
    <definedName name="IC_Assembly_Test" hidden="1">{#N/A,#N/A,FALSE,"Const";#N/A,#N/A,FALSE,"P&amp;L";#N/A,#N/A,FALSE,"Sale"}</definedName>
    <definedName name="IC_P" localSheetId="0">#REF!</definedName>
    <definedName name="IC_P">#REF!</definedName>
    <definedName name="IC_P1" localSheetId="0">#REF!</definedName>
    <definedName name="IC_P1">#REF!</definedName>
    <definedName name="IC_P2" localSheetId="0">#REF!</definedName>
    <definedName name="IC_P2">#REF!</definedName>
    <definedName name="IC_P3" localSheetId="0">#REF!</definedName>
    <definedName name="IC_P3">#REF!</definedName>
    <definedName name="ICP">0</definedName>
    <definedName name="idrnew" localSheetId="0">#REF!</definedName>
    <definedName name="idrnew">#REF!</definedName>
    <definedName name="idrold" localSheetId="0">#REF!</definedName>
    <definedName name="idrold">#REF!</definedName>
    <definedName name="IDS" localSheetId="0">#REF!</definedName>
    <definedName name="IDS">#REF!</definedName>
    <definedName name="iiiiii" localSheetId="5" hidden="1">{#N/A,#N/A,FALSE,"PERSONAL";#N/A,#N/A,FALSE,"explotación";#N/A,#N/A,FALSE,"generales"}</definedName>
    <definedName name="iiiiii" localSheetId="0" hidden="1">{#N/A,#N/A,FALSE,"PERSONAL";#N/A,#N/A,FALSE,"explotación";#N/A,#N/A,FALSE,"generales"}</definedName>
    <definedName name="iiiiii" localSheetId="4" hidden="1">{#N/A,#N/A,FALSE,"PERSONAL";#N/A,#N/A,FALSE,"explotación";#N/A,#N/A,FALSE,"generales"}</definedName>
    <definedName name="iiiiii" hidden="1">{#N/A,#N/A,FALSE,"PERSONAL";#N/A,#N/A,FALSE,"explotación";#N/A,#N/A,FALSE,"generales"}</definedName>
    <definedName name="Img_base_graf" hidden="1">"IMG_12"</definedName>
    <definedName name="Img_ML_1a9i6f1a" hidden="1">"IMG_18"</definedName>
    <definedName name="Img_ML_1k4g9u7k" hidden="1">"IMG_18"</definedName>
    <definedName name="Img_ML_1y7a6c1t" hidden="1">"IMG_11"</definedName>
    <definedName name="Img_ML_2b1a1a6f" hidden="1">"IMG_11"</definedName>
    <definedName name="Img_ML_2b2b8h8h" hidden="1">"IMG_12"</definedName>
    <definedName name="Img_ML_2b4d2b3c" hidden="1">"IMG_18"</definedName>
    <definedName name="Img_ML_2b5e9i4d" hidden="1">"IMG_4"</definedName>
    <definedName name="Img_ML_2e1r5p2m" hidden="1">"IMG_18"</definedName>
    <definedName name="Img_ML_2i4d6c2r" hidden="1">"IMG_11"</definedName>
    <definedName name="Img_ML_2j4h5d5y" hidden="1">"IMG_11"</definedName>
    <definedName name="Img_ML_2j6i5k6b" hidden="1">"IMG_18"</definedName>
    <definedName name="Img_ML_2m9t4m5q" hidden="1">"IMG_10"</definedName>
    <definedName name="Img_ML_3b3j3x9k" hidden="1">"IMG_11"</definedName>
    <definedName name="Img_ML_3b5m6a3d" hidden="1">"IMG_18"</definedName>
    <definedName name="Img_ML_3c6e9c4g" hidden="1">"IMG_18"</definedName>
    <definedName name="Img_ML_3c7g1a7g" hidden="1">"IMG_12"</definedName>
    <definedName name="Img_ML_3c9i9i4d" hidden="1">"IMG_11"</definedName>
    <definedName name="Img_ML_3e2q4k7i" hidden="1">"IMG_11"</definedName>
    <definedName name="Img_ML_3h2n3p4v" hidden="1">"IMG_10"</definedName>
    <definedName name="Img_ML_3p5d9q5j" hidden="1">"IMG_11"</definedName>
    <definedName name="Img_ML_3y1j4m2m" hidden="1">"IMG_18"</definedName>
    <definedName name="Img_ML_4d2b6f6f" hidden="1">"IMG_12"</definedName>
    <definedName name="Img_ML_4d2v5j7l" hidden="1">"IMG_11"</definedName>
    <definedName name="Img_ML_4d4d7g3c" hidden="1">"IMG_11"</definedName>
    <definedName name="Img_ML_4k8k7q4x" hidden="1">"IMG_6"</definedName>
    <definedName name="Img_ML_4k8r9t3l" hidden="1">"IMG_18"</definedName>
    <definedName name="Img_ML_4m3p5r8j" hidden="1">"IMG_18"</definedName>
    <definedName name="Img_ML_4s4r5e3c" hidden="1">"IMG_18"</definedName>
    <definedName name="Img_ML_5d3i8b5s" hidden="1">"IMG_18"</definedName>
    <definedName name="Img_ML_5e1a1a7g" hidden="1">"IMG_18"</definedName>
    <definedName name="Img_ML_5e6f9i8h" hidden="1">"IMG_4"</definedName>
    <definedName name="Img_ML_5e7g5e5e" hidden="1">"IMG_12"</definedName>
    <definedName name="Img_ML_5e7s6t2u" hidden="1">"IMG_6"</definedName>
    <definedName name="Img_ML_5e9i9i2b" hidden="1">"IMG_12"</definedName>
    <definedName name="Img_ML_5e9m1k3s" hidden="1">"IMG_11"</definedName>
    <definedName name="Img_ML_5f9d1i5x" hidden="1">"IMG_18"</definedName>
    <definedName name="Img_ML_5f9x9u4u" hidden="1">"IMG_6"</definedName>
    <definedName name="Img_ML_5h6q3g8u" hidden="1">"IMG_11"</definedName>
    <definedName name="Img_ML_5k1g6v5e" hidden="1">"IMG_11"</definedName>
    <definedName name="Img_ML_5k7e4n8n" hidden="1">"IMG_18"</definedName>
    <definedName name="Img_ML_5k8u7s9i" hidden="1">"IMG_18"</definedName>
    <definedName name="Img_ML_6a6y1x1h" hidden="1">"IMG_18"</definedName>
    <definedName name="Img_ML_6f2p1m9g" hidden="1">"IMG_11"</definedName>
    <definedName name="Img_ML_6f9i2b5e" hidden="1">"IMG_18"</definedName>
    <definedName name="Img_ML_6p2b6u6k" hidden="1">"IMG_18"</definedName>
    <definedName name="Img_ML_6r9u1n9k" hidden="1">"IMG_18"</definedName>
    <definedName name="Img_ML_6y9f7y3n" hidden="1">"IMG_13"</definedName>
    <definedName name="Img_ML_7g5e5e2b" hidden="1">"IMG_12"</definedName>
    <definedName name="Img_ML_7m5m4k3b" hidden="1">"IMG_18"</definedName>
    <definedName name="Img_ML_7n6h3t1t" hidden="1">"IMG_18"</definedName>
    <definedName name="Img_ML_7s4w7c6r" hidden="1">"IMG_18"</definedName>
    <definedName name="Img_ML_8b9j5t1p" hidden="1">"IMG_11"</definedName>
    <definedName name="Img_ML_8c2q5i2r" hidden="1">"IMG_18"</definedName>
    <definedName name="Img_ML_8g3e4a7v" hidden="1">"IMG_11"</definedName>
    <definedName name="Img_ML_8h3m3i1m" hidden="1">"IMG_18"</definedName>
    <definedName name="Img_ML_8h5e9i3c" hidden="1">"IMG_12"</definedName>
    <definedName name="Img_ML_8h7g3c9i" hidden="1">"IMG_12"</definedName>
    <definedName name="Img_ML_8h7g4d4d" hidden="1">"IMG_12"</definedName>
    <definedName name="Img_ML_8i9u7w8k" hidden="1">"IMG_18"</definedName>
    <definedName name="Img_ML_8j3w6p4c" hidden="1">"IMG_18"</definedName>
    <definedName name="Img_ML_8k7v5o9j" hidden="1">"IMG_11"</definedName>
    <definedName name="Img_ML_8r1k8t4y" hidden="1">"IMG_18"</definedName>
    <definedName name="Img_ML_8r9f4n4f" hidden="1">"IMG_18"</definedName>
    <definedName name="Img_ML_8s3q3c1i" hidden="1">"IMG_6"</definedName>
    <definedName name="Img_ML_8t3m5u6f" hidden="1">"IMG_18"</definedName>
    <definedName name="Img_ML_9h6h8h8e" hidden="1">"IMG_18"</definedName>
    <definedName name="Img_ML_9j3t2m3v" hidden="1">"IMG_11"</definedName>
    <definedName name="Img_ML_9n1s4m5f" hidden="1">"IMG_18"</definedName>
    <definedName name="Img_ML_9u2c1d4e" hidden="1">"IMG_11"</definedName>
    <definedName name="Img_ML_9v6s2g1u" hidden="1">"IMG_11"</definedName>
    <definedName name="Implied_Intrinsic_Value" localSheetId="0">#REF!</definedName>
    <definedName name="Implied_Intrinsic_Value">#REF!</definedName>
    <definedName name="Impresión" localSheetId="0">#REF!,#REF!,#REF!</definedName>
    <definedName name="Impresión">#REF!,#REF!,#REF!</definedName>
    <definedName name="imprimir" localSheetId="0">#REF!</definedName>
    <definedName name="imprimir">#REF!</definedName>
    <definedName name="In_store_TR" localSheetId="0">#REF!</definedName>
    <definedName name="In_store_TR">#REF!</definedName>
    <definedName name="INC" localSheetId="0">#REF!</definedName>
    <definedName name="inc">#REF!</definedName>
    <definedName name="Inc_cap_RnD_fore" localSheetId="0">#REF!</definedName>
    <definedName name="Inc_cap_RnD_fore">#REF!</definedName>
    <definedName name="income" localSheetId="0">#REF!</definedName>
    <definedName name="income">#REF!</definedName>
    <definedName name="Income_before_taxes" localSheetId="0">#REF!</definedName>
    <definedName name="Income_before_taxes">#REF!</definedName>
    <definedName name="Income_equivalents" localSheetId="0">#REF!</definedName>
    <definedName name="Income_equivalents">#REF!</definedName>
    <definedName name="Income_equivalents_fore" localSheetId="0">#REF!</definedName>
    <definedName name="Income_equivalents_fore">#REF!</definedName>
    <definedName name="Income_form_uncons_subs_fore" localSheetId="0">#REF!</definedName>
    <definedName name="Income_form_uncons_subs_fore">#REF!</definedName>
    <definedName name="Income_from_Unconsolidated_Subs" localSheetId="0">#REF!</definedName>
    <definedName name="Income_from_Unconsolidated_Subs">#REF!</definedName>
    <definedName name="Income_tax" localSheetId="0">#REF!</definedName>
    <definedName name="Income_tax">#REF!</definedName>
    <definedName name="Income_Tax_Exp" localSheetId="0">#REF!</definedName>
    <definedName name="Income_Tax_Exp">#REF!</definedName>
    <definedName name="Income_tax_fore" localSheetId="0">#REF!</definedName>
    <definedName name="Income_tax_fore">#REF!</definedName>
    <definedName name="Income_tax_growth_fore" localSheetId="0">#REF!</definedName>
    <definedName name="Income_tax_growth_fore">#REF!</definedName>
    <definedName name="Income_taxes_payable_growth_fore" localSheetId="0">#REF!</definedName>
    <definedName name="Income_taxes_payable_growth_fore">#REF!</definedName>
    <definedName name="IncomeCellularOperatingIncome" localSheetId="0">#REF!</definedName>
    <definedName name="IncomeCellularOperatingIncome">#REF!</definedName>
    <definedName name="IncomeEarningsBeforeExtraordinaries" localSheetId="0">#REF!</definedName>
    <definedName name="IncomeEarningsBeforeExtraordinaries">#REF!</definedName>
    <definedName name="IncomeEarningsBeforeTaxes" localSheetId="0">#REF!</definedName>
    <definedName name="IncomeEarningsBeforeTaxes">#REF!</definedName>
    <definedName name="IncomeEPSFullyDiluted">0</definedName>
    <definedName name="IncomeEPSPrimary">0</definedName>
    <definedName name="IncomeEPSRegular">0</definedName>
    <definedName name="IncomeIncomeTaxesPayableUMG" localSheetId="0">#REF!</definedName>
    <definedName name="IncomeIncomeTaxesPayableUMG">#REF!</definedName>
    <definedName name="IncomeNetIncome" localSheetId="0">#REF!</definedName>
    <definedName name="IncomeNetIncome">#REF!</definedName>
    <definedName name="IncomeOperatingCashFlow" localSheetId="0">#REF!</definedName>
    <definedName name="IncomeOperatingCashFlow">#REF!</definedName>
    <definedName name="IncomeOperatingIncome" localSheetId="0">#REF!</definedName>
    <definedName name="IncomeOperatingIncome">#REF!</definedName>
    <definedName name="Incr_customer_advance" localSheetId="0">#REF!</definedName>
    <definedName name="Incr_customer_advance">#REF!</definedName>
    <definedName name="Incr_inventories" localSheetId="0">#REF!</definedName>
    <definedName name="Incr_inventories">#REF!</definedName>
    <definedName name="Incr_payables_creditors" localSheetId="0">#REF!</definedName>
    <definedName name="Incr_payables_creditors">#REF!</definedName>
    <definedName name="Incr_receivables_debtors" localSheetId="0">#REF!</definedName>
    <definedName name="Incr_receivables_debtors">#REF!</definedName>
    <definedName name="Increase_cap_RnD_fore" localSheetId="0">#REF!</definedName>
    <definedName name="Increase_cap_RnD_fore">#REF!</definedName>
    <definedName name="Increase_Capitalized_R_D_net" localSheetId="0">#REF!</definedName>
    <definedName name="Increase_Capitalized_R_D_net">#REF!</definedName>
    <definedName name="Increase_in_other_liabilities" localSheetId="0">#REF!</definedName>
    <definedName name="Increase_in_other_liabilities">#REF!</definedName>
    <definedName name="Increase_net_other_assets" localSheetId="0">#REF!</definedName>
    <definedName name="Increase_net_other_assets">#REF!</definedName>
    <definedName name="Increased" localSheetId="0">#REF!</definedName>
    <definedName name="Increased">#REF!</definedName>
    <definedName name="index" localSheetId="0">#REF!</definedName>
    <definedName name="index">#REF!</definedName>
    <definedName name="Indirect_Labor_OH" localSheetId="0">#REF!</definedName>
    <definedName name="Indirect_Labor_OH">#REF!</definedName>
    <definedName name="Indirect_Material_OH" localSheetId="0">#REF!</definedName>
    <definedName name="Indirect_Material_OH">#REF!</definedName>
    <definedName name="INDUSTRY" localSheetId="0">#REF!</definedName>
    <definedName name="INDUSTRY">#REF!</definedName>
    <definedName name="INFLATE" localSheetId="0">#REF!</definedName>
    <definedName name="INFLATE">#REF!</definedName>
    <definedName name="INL_NonE00" localSheetId="0">#REF!</definedName>
    <definedName name="INL_NonE00">#REF!</definedName>
    <definedName name="InputAccDepreciation" localSheetId="0">#REF!</definedName>
    <definedName name="InputAccDepreciation">#REF!</definedName>
    <definedName name="InputAccessLinesBusiness" localSheetId="0">#REF!</definedName>
    <definedName name="InputAccessLinesBusiness">#REF!</definedName>
    <definedName name="InputAccessLinesOther" localSheetId="0">#REF!</definedName>
    <definedName name="InputAccessLinesOther">#REF!</definedName>
    <definedName name="InputAccessLinesResidence" localSheetId="0">#REF!</definedName>
    <definedName name="InputAccessLinesResidence">#REF!</definedName>
    <definedName name="InputAccountsAndNotesReceivableUMG" localSheetId="0">#REF!</definedName>
    <definedName name="InputAccountsAndNotesReceivableUMG">#REF!</definedName>
    <definedName name="InputAccountsNotesReceivable" localSheetId="0">#REF!</definedName>
    <definedName name="InputAccountsNotesReceivable">#REF!</definedName>
    <definedName name="InputAccountsPayable" localSheetId="0">#REF!</definedName>
    <definedName name="InputAccountsPayable">#REF!</definedName>
    <definedName name="InputAccountsPayableUMG" localSheetId="0">#REF!</definedName>
    <definedName name="InputAccountsPayableUMG">#REF!</definedName>
    <definedName name="InputAccumulatedDepreciation" localSheetId="0">#REF!</definedName>
    <definedName name="InputAccumulatedDepreciation">#REF!</definedName>
    <definedName name="InputAdvancedBilling" localSheetId="0">#REF!</definedName>
    <definedName name="InputAdvancedBilling">#REF!</definedName>
    <definedName name="InputCableRevenueUMG" localSheetId="0">#REF!</definedName>
    <definedName name="InputCableRevenueUMG">#REF!</definedName>
    <definedName name="InputCAPEX" localSheetId="0">#REF!</definedName>
    <definedName name="InputCAPEX">#REF!</definedName>
    <definedName name="InputCash" localSheetId="0">#REF!</definedName>
    <definedName name="InputCash">#REF!</definedName>
    <definedName name="InputCashUMG" localSheetId="0">#REF!</definedName>
    <definedName name="InputCashUMG">#REF!</definedName>
    <definedName name="InputCostOfSalesUMG" localSheetId="0">#REF!</definedName>
    <definedName name="InputCostOfSalesUMG">#REF!</definedName>
    <definedName name="InputCostOfServicesProducts" localSheetId="0">#REF!</definedName>
    <definedName name="InputCostOfServicesProducts">#REF!</definedName>
    <definedName name="InputCumulativeChangeInAcct." localSheetId="0">#REF!</definedName>
    <definedName name="InputCumulativeChangeInAcct.">#REF!</definedName>
    <definedName name="InputCumulativeChangeInAcctUMG" localSheetId="0">#REF!</definedName>
    <definedName name="InputCumulativeChangeInAcctUMG">#REF!</definedName>
    <definedName name="InputCurrentPortionOfRestructuring" localSheetId="0">#REF!</definedName>
    <definedName name="InputCurrentPortionOfRestructuring">#REF!</definedName>
    <definedName name="InputDeferredCreditsAndOther" localSheetId="0">#REF!</definedName>
    <definedName name="InputDeferredCreditsAndOther">#REF!</definedName>
    <definedName name="InputDeferredCreditsandOtherUMG" localSheetId="0">#REF!</definedName>
    <definedName name="InputDeferredCreditsandOtherUMG">#REF!</definedName>
    <definedName name="InputDeferredDirectoryCostsUMG" localSheetId="0">#REF!</definedName>
    <definedName name="InputDeferredDirectoryCostsUMG">#REF!</definedName>
    <definedName name="InputDeferredIncomeTaxes" localSheetId="0">#REF!</definedName>
    <definedName name="InputDeferredIncomeTaxes">#REF!</definedName>
    <definedName name="InputDeferredIncomeTaxesUMG" localSheetId="0">#REF!</definedName>
    <definedName name="InputDeferredIncomeTaxesUMG">#REF!</definedName>
    <definedName name="InputDeferredRevenueUMG" localSheetId="0">#REF!</definedName>
    <definedName name="InputDeferredRevenueUMG">#REF!</definedName>
    <definedName name="InputDeferredTaxAsset" localSheetId="0">#REF!</definedName>
    <definedName name="InputDeferredTaxAsset">#REF!</definedName>
    <definedName name="InputDeferredTaxAssetUMG" localSheetId="0">#REF!</definedName>
    <definedName name="InputDeferredTaxAssetUMG">#REF!</definedName>
    <definedName name="InputDepreciationAmortization" localSheetId="0">#REF!</definedName>
    <definedName name="InputDepreciationAmortization">#REF!</definedName>
    <definedName name="InputDepreciationAmortizationCommunications" localSheetId="0">#REF!</definedName>
    <definedName name="InputDepreciationAmortizationCommunications">#REF!</definedName>
    <definedName name="InputDepreciationAmortizationOther" localSheetId="0">#REF!</definedName>
    <definedName name="InputDepreciationAmortizationOther">#REF!</definedName>
    <definedName name="InputDepreciationAndAmortUMG" localSheetId="0">#REF!</definedName>
    <definedName name="InputDepreciationAndAmortUMG">#REF!</definedName>
    <definedName name="InputDirectoryAdvertising" localSheetId="0">#REF!</definedName>
    <definedName name="InputDirectoryAdvertising">#REF!</definedName>
    <definedName name="InputDiscontinuedOperations" localSheetId="0">#REF!</definedName>
    <definedName name="InputDiscontinuedOperations">#REF!</definedName>
    <definedName name="InputDiscontinuedOperationsUMG" localSheetId="0">#REF!</definedName>
    <definedName name="InputDiscontinuedOperationsUMG">#REF!</definedName>
    <definedName name="InputDividendDeclared" localSheetId="0">#REF!</definedName>
    <definedName name="InputDividendDeclared">#REF!</definedName>
    <definedName name="InputDividendDeclaredUMG" localSheetId="0">#REF!</definedName>
    <definedName name="InputDividendDeclaredUMG">#REF!</definedName>
    <definedName name="InputDividendsPayable" localSheetId="0">#REF!</definedName>
    <definedName name="InputDividendsPayable">#REF!</definedName>
    <definedName name="InputEarlyExtinguishmentOfDebt" localSheetId="0">#REF!</definedName>
    <definedName name="InputEarlyExtinguishmentOfDebt">#REF!</definedName>
    <definedName name="InputEarlyExtinguishmentOfDebtUMG" localSheetId="0">#REF!</definedName>
    <definedName name="InputEarlyExtinguishmentOfDebtUMG">#REF!</definedName>
    <definedName name="InputEmployeeCompensation" localSheetId="0">#REF!</definedName>
    <definedName name="InputEmployeeCompensation">#REF!</definedName>
    <definedName name="InputEmployeeCompensationUMG" localSheetId="0">#REF!</definedName>
    <definedName name="InputEmployeeCompensationUMG">#REF!</definedName>
    <definedName name="InputEmployeeRelatedCosts" localSheetId="0">#REF!</definedName>
    <definedName name="InputEmployeeRelatedCosts">#REF!</definedName>
    <definedName name="InputEmployeeRelatedCostsCommunications" localSheetId="0">#REF!</definedName>
    <definedName name="InputEmployeeRelatedCostsCommunications">#REF!</definedName>
    <definedName name="InputEmployeeRelatedCostsOther" localSheetId="0">#REF!</definedName>
    <definedName name="InputEmployeeRelatedCostsOther">#REF!</definedName>
    <definedName name="InputEmployeesTele" localSheetId="0">#REF!</definedName>
    <definedName name="InputEmployeesTele">#REF!</definedName>
    <definedName name="InputEmployeesTotal" localSheetId="0">#REF!</definedName>
    <definedName name="InputEmployeesTotal">#REF!</definedName>
    <definedName name="InputEPSGivenUMG" localSheetId="0">#REF!</definedName>
    <definedName name="InputEPSGivenUMG">#REF!</definedName>
    <definedName name="InputEquityLossesInUnconsolidatedVentures" localSheetId="0">#REF!</definedName>
    <definedName name="InputEquityLossesInUnconsolidatedVentures">#REF!</definedName>
    <definedName name="InputEquityLossesUMG" localSheetId="0">#REF!</definedName>
    <definedName name="InputEquityLossesUMG">#REF!</definedName>
    <definedName name="InputExtraordinaryGain" localSheetId="0">#REF!</definedName>
    <definedName name="InputExtraordinaryGain">#REF!</definedName>
    <definedName name="InputExtraordinaryGainUMG" localSheetId="0">#REF!</definedName>
    <definedName name="InputExtraordinaryGainUMG">#REF!</definedName>
    <definedName name="InputGainLossOnSale" localSheetId="0">#REF!</definedName>
    <definedName name="InputGainLossOnSale">#REF!</definedName>
    <definedName name="InputGainLossOnSaleUMG" localSheetId="0">#REF!</definedName>
    <definedName name="InputGainLossOnSaleUMG">#REF!</definedName>
    <definedName name="InputIncomeTaxes" localSheetId="0">#REF!</definedName>
    <definedName name="InputIncomeTaxes">#REF!</definedName>
    <definedName name="InputIncomeTaxesUMG" localSheetId="0">#REF!</definedName>
    <definedName name="InputIncomeTaxesUMG">#REF!</definedName>
    <definedName name="InputIntangibleAssetsUMG" localSheetId="0">#REF!</definedName>
    <definedName name="InputIntangibleAssetsUMG">#REF!</definedName>
    <definedName name="InputInterestExpense" localSheetId="0">#REF!</definedName>
    <definedName name="InputInterestExpense">#REF!</definedName>
    <definedName name="InputInterestExpenseUMG" localSheetId="0">#REF!</definedName>
    <definedName name="InputInterestExpenseUMG">#REF!</definedName>
    <definedName name="InputInternational" localSheetId="0">#REF!</definedName>
    <definedName name="InputInternational">#REF!</definedName>
    <definedName name="InputInternationalUMG" localSheetId="0">#REF!</definedName>
    <definedName name="InputInternationalUMG">#REF!</definedName>
    <definedName name="InputInventories" localSheetId="0">#REF!</definedName>
    <definedName name="InputInventories">#REF!</definedName>
    <definedName name="InputInventoriesAndSupplies" localSheetId="0">#REF!</definedName>
    <definedName name="InputInventoriesAndSupplies">#REF!</definedName>
    <definedName name="InputInvestmentInTimeWarnerUMG" localSheetId="0">#REF!</definedName>
    <definedName name="InputInvestmentInTimeWarnerUMG">#REF!</definedName>
    <definedName name="InputInvestments" localSheetId="0">#REF!</definedName>
    <definedName name="InputInvestments">#REF!</definedName>
    <definedName name="InputInvestmentTimeWarner" localSheetId="0">#REF!</definedName>
    <definedName name="InputInvestmentTimeWarner">#REF!</definedName>
    <definedName name="InputLESOPGuaranteeUMG" localSheetId="0">#REF!</definedName>
    <definedName name="InputLESOPGuaranteeUMG">#REF!</definedName>
    <definedName name="InputLocalService" localSheetId="0">#REF!</definedName>
    <definedName name="InputLocalService">#REF!</definedName>
    <definedName name="InputLongDistance" localSheetId="0">#REF!</definedName>
    <definedName name="InputLongDistance">#REF!</definedName>
    <definedName name="InputLongTermDebt" localSheetId="0">#REF!</definedName>
    <definedName name="InputLongTermDebt">#REF!</definedName>
    <definedName name="InputLongTermDebtUMG" localSheetId="0">#REF!</definedName>
    <definedName name="InputLongTermDebtUMG">#REF!</definedName>
    <definedName name="InputMediaGroupEquityUMG" localSheetId="0">#REF!</definedName>
    <definedName name="InputMediaGroupEquityUMG">#REF!</definedName>
    <definedName name="InputMinorityInterestExpenseUMG" localSheetId="0">#REF!</definedName>
    <definedName name="InputMinorityInterestExpenseUMG">#REF!</definedName>
    <definedName name="InputMinorityInterestsUMG" localSheetId="0">#REF!</definedName>
    <definedName name="InputMinorityInterestsUMG">#REF!</definedName>
    <definedName name="InputMiscellaneous" localSheetId="0">#REF!</definedName>
    <definedName name="InputMiscellaneous">#REF!</definedName>
    <definedName name="InputMOUInterstate" localSheetId="0">#REF!</definedName>
    <definedName name="InputMOUInterstate">#REF!</definedName>
    <definedName name="InputMOUIntrastate" localSheetId="0">#REF!</definedName>
    <definedName name="InputMOUIntrastate">#REF!</definedName>
    <definedName name="InputMultimediaRevenueUMG" localSheetId="0">#REF!</definedName>
    <definedName name="InputMultimediaRevenueUMG">#REF!</definedName>
    <definedName name="InputNetAssetsOfDiscontinuedumg" localSheetId="0">#REF!</definedName>
    <definedName name="InputNetAssetsOfDiscontinuedumg">#REF!</definedName>
    <definedName name="InputNetIncomeUMG" localSheetId="0">#REF!</definedName>
    <definedName name="InputNetIncomeUMG">#REF!</definedName>
    <definedName name="InputNetInvestmentInAssetsUMG" localSheetId="0">#REF!</definedName>
    <definedName name="InputNetInvestmentInAssetsUMG">#REF!</definedName>
    <definedName name="InputNetInvestmentInternationalUMG" localSheetId="0">#REF!</definedName>
    <definedName name="InputNetInvestmentInternationalUMG">#REF!</definedName>
    <definedName name="InputNetPPEUMG" localSheetId="0">#REF!</definedName>
    <definedName name="InputNetPPEUMG">#REF!</definedName>
    <definedName name="InputNetworkAccessInterstate" localSheetId="0">#REF!</definedName>
    <definedName name="InputNetworkAccessInterstate">#REF!</definedName>
    <definedName name="InputNetworkAccessIntrastate" localSheetId="0">#REF!</definedName>
    <definedName name="InputNetworkAccessIntrastate">#REF!</definedName>
    <definedName name="InputNonRecurringCharges" localSheetId="0">#REF!</definedName>
    <definedName name="InputNonRecurringCharges">#REF!</definedName>
    <definedName name="InputNonRecurringChargesUMG" localSheetId="0">#REF!</definedName>
    <definedName name="InputNonRecurringChargesUMG">#REF!</definedName>
    <definedName name="InputNormalizedEPSGiven" localSheetId="0">#REF!</definedName>
    <definedName name="InputNormalizedEPSGiven">#REF!</definedName>
    <definedName name="InputOperatingIncome" localSheetId="0">#REF!</definedName>
    <definedName name="InputOperatingIncome">#REF!</definedName>
    <definedName name="InputOperatingIncomeUMG" localSheetId="0">#REF!</definedName>
    <definedName name="InputOperatingIncomeUMG">#REF!</definedName>
    <definedName name="InputOperatingRestructuringCharge" localSheetId="0">#REF!</definedName>
    <definedName name="InputOperatingRestructuringCharge">#REF!</definedName>
    <definedName name="InputOpExDepreciation" localSheetId="0">#REF!</definedName>
    <definedName name="InputOpExDepreciation">#REF!</definedName>
    <definedName name="InputOtherAssets" localSheetId="0">#REF!</definedName>
    <definedName name="InputOtherAssets">#REF!</definedName>
    <definedName name="InputOtherAssetsUMG" localSheetId="0">#REF!</definedName>
    <definedName name="InputOtherAssetsUMG">#REF!</definedName>
    <definedName name="InputOtherCurrentLiabilities" localSheetId="0">#REF!</definedName>
    <definedName name="InputOtherCurrentLiabilities">#REF!</definedName>
    <definedName name="InputOtherCurrentLiabilitiesUMG" localSheetId="0">#REF!</definedName>
    <definedName name="InputOtherCurrentLiabilitiesUMG">#REF!</definedName>
    <definedName name="InputOtherIncomeExpense" localSheetId="0">#REF!</definedName>
    <definedName name="InputOtherIncomeExpense">#REF!</definedName>
    <definedName name="InputOtherIncomeNonRecurring" localSheetId="0">#REF!</definedName>
    <definedName name="InputOtherIncomeNonRecurring">#REF!</definedName>
    <definedName name="InputOtherIncomeRecurring" localSheetId="0">#REF!</definedName>
    <definedName name="InputOtherIncomeRecurring">#REF!</definedName>
    <definedName name="InputOtherIncomeUMG" localSheetId="0">#REF!</definedName>
    <definedName name="InputOtherIncomeUMG">#REF!</definedName>
    <definedName name="InputOtherOperatingExpenses" localSheetId="0">#REF!</definedName>
    <definedName name="InputOtherOperatingExpenses">#REF!</definedName>
    <definedName name="InputOtherOperatingExpensesCommunications" localSheetId="0">#REF!</definedName>
    <definedName name="InputOtherOperatingExpensesCommunications">#REF!</definedName>
    <definedName name="InputOtherOperatingExpensesOther" localSheetId="0">#REF!</definedName>
    <definedName name="InputOtherOperatingExpensesOther">#REF!</definedName>
    <definedName name="InputOtherServices" localSheetId="0">#REF!</definedName>
    <definedName name="InputOtherServices">#REF!</definedName>
    <definedName name="InputOtherServicesOther" localSheetId="0">#REF!</definedName>
    <definedName name="InputOtherServicesOther">#REF!</definedName>
    <definedName name="InputOutstandingCommonShares" localSheetId="0">#REF!</definedName>
    <definedName name="InputOutstandingCommonShares">#REF!</definedName>
    <definedName name="InputPagingAssets" localSheetId="0">#REF!</definedName>
    <definedName name="InputPagingAssets">#REF!</definedName>
    <definedName name="InputPagingAssetsUMG" localSheetId="0">#REF!</definedName>
    <definedName name="InputPagingAssetsUMG">#REF!</definedName>
    <definedName name="InputPagingRevenue" localSheetId="0">#REF!</definedName>
    <definedName name="InputPagingRevenue">#REF!</definedName>
    <definedName name="InputPartialSaleOfJointVentureAssets" localSheetId="0">#REF!</definedName>
    <definedName name="InputPartialSaleOfJointVentureAssets">#REF!</definedName>
    <definedName name="InputPartialSaleOfJointVentureUMG" localSheetId="0">#REF!</definedName>
    <definedName name="InputPartialSaleOfJointVentureUMG">#REF!</definedName>
    <definedName name="InputPostRetirementOtherThanPension" localSheetId="0">#REF!</definedName>
    <definedName name="InputPostRetirementOtherThanPension">#REF!</definedName>
    <definedName name="InputPostretirementOtherThanPensionUMG" localSheetId="0">#REF!</definedName>
    <definedName name="InputPostretirementOtherThanPensionUMG">#REF!</definedName>
    <definedName name="InputPPEGross" localSheetId="0">#REF!</definedName>
    <definedName name="InputPPEGross">#REF!</definedName>
    <definedName name="InputPPENet" localSheetId="0">#REF!</definedName>
    <definedName name="InputPPENet">#REF!</definedName>
    <definedName name="InputPreferredDividend" localSheetId="0">#REF!</definedName>
    <definedName name="InputPreferredDividend">#REF!</definedName>
    <definedName name="InputPreferredDividendUMG" localSheetId="0">#REF!</definedName>
    <definedName name="InputPreferredDividendUMG">#REF!</definedName>
    <definedName name="InputPreferredStockSubject" localSheetId="0">#REF!</definedName>
    <definedName name="InputPreferredStockSubject">#REF!</definedName>
    <definedName name="InputPreferredStockSubjectToMandatoryRedemptionUMG" localSheetId="0">#REF!</definedName>
    <definedName name="InputPreferredStockSubjectToMandatoryRedemptionUMG">#REF!</definedName>
    <definedName name="InputPrepaidAndOtherUMG" localSheetId="0">#REF!</definedName>
    <definedName name="InputPrepaidAndOtherUMG">#REF!</definedName>
    <definedName name="InputPrepaidOther" localSheetId="0">#REF!</definedName>
    <definedName name="InputPrepaidOther">#REF!</definedName>
    <definedName name="InputPublishing" localSheetId="0">#REF!</definedName>
    <definedName name="InputPublishing">#REF!</definedName>
    <definedName name="InputReceivableUMG" localSheetId="0">#REF!</definedName>
    <definedName name="InputReceivableUMG">#REF!</definedName>
    <definedName name="InputRestructuringCharge" localSheetId="0">#REF!</definedName>
    <definedName name="InputRestructuringCharge">#REF!</definedName>
    <definedName name="InputRestructuringChargeCommunications" localSheetId="0">#REF!</definedName>
    <definedName name="InputRestructuringChargeCommunications">#REF!</definedName>
    <definedName name="InputRestructuringChargeOther" localSheetId="0">#REF!</definedName>
    <definedName name="InputRestructuringChargeOther">#REF!</definedName>
    <definedName name="InputRestructuringChargeUMG" localSheetId="0">#REF!</definedName>
    <definedName name="InputRestructuringChargeUMG">#REF!</definedName>
    <definedName name="InputRevenue" localSheetId="0">#REF!</definedName>
    <definedName name="InputRevenue">#REF!</definedName>
    <definedName name="InputRevenuesCellular" localSheetId="0">#REF!</definedName>
    <definedName name="InputRevenuesCellular">#REF!</definedName>
    <definedName name="InputRevenuesOther" localSheetId="0">#REF!</definedName>
    <definedName name="InputRevenuesOther">#REF!</definedName>
    <definedName name="InputRuralTelephoneExchanges" localSheetId="0">#REF!</definedName>
    <definedName name="InputRuralTelephoneExchanges">#REF!</definedName>
    <definedName name="Inputs" localSheetId="0">#REF!</definedName>
    <definedName name="Inputs">#REF!</definedName>
    <definedName name="InputSellingGeneralAdministrative" localSheetId="0">#REF!</definedName>
    <definedName name="InputSellingGeneralAdministrative">#REF!</definedName>
    <definedName name="InputSGAUMG" localSheetId="0">#REF!</definedName>
    <definedName name="InputSGAUMG">#REF!</definedName>
    <definedName name="InputSharesOutstandingUMG" localSheetId="0">#REF!</definedName>
    <definedName name="InputSharesOutstandingUMG">#REF!</definedName>
    <definedName name="InputShortTermDebt" localSheetId="0">#REF!</definedName>
    <definedName name="InputShortTermDebt">#REF!</definedName>
    <definedName name="InputShortTermDebtUMG" localSheetId="0">#REF!</definedName>
    <definedName name="InputShortTermDebtUMG">#REF!</definedName>
    <definedName name="InputShortTermInvestments" localSheetId="0">#REF!</definedName>
    <definedName name="InputShortTermInvestments">#REF!</definedName>
    <definedName name="InputTaxableGains" localSheetId="0">#REF!</definedName>
    <definedName name="InputTaxableGains">#REF!</definedName>
    <definedName name="InputTaxableGainsUMG" localSheetId="0">#REF!</definedName>
    <definedName name="InputTaxableGainsUMG">#REF!</definedName>
    <definedName name="InputTaxesOtherThanIncomeTaxes" localSheetId="0">#REF!</definedName>
    <definedName name="InputTaxesOtherThanIncomeTaxes">#REF!</definedName>
    <definedName name="InputTaxesOtherThanIncomeTaxesCommunications" localSheetId="0">#REF!</definedName>
    <definedName name="InputTaxesOtherThanIncomeTaxesCommunications">#REF!</definedName>
    <definedName name="InputTaxesOtherThanIncomeTaxesOther" localSheetId="0">#REF!</definedName>
    <definedName name="InputTaxesOtherThanIncomeTaxesOther">#REF!</definedName>
    <definedName name="InputTaxesOtherThanIncomeTaxesUMG" localSheetId="0">#REF!</definedName>
    <definedName name="InputTaxesOtherThanIncomeTaxesUMG">#REF!</definedName>
    <definedName name="InputToll" localSheetId="0">#REF!</definedName>
    <definedName name="InputToll">#REF!</definedName>
    <definedName name="InputTotalAccessLines" localSheetId="0">#REF!</definedName>
    <definedName name="InputTotalAccessLines">#REF!</definedName>
    <definedName name="InputTotalAssets" localSheetId="0">#REF!</definedName>
    <definedName name="InputTotalAssets">#REF!</definedName>
    <definedName name="InputTotalIncomeTaxes" localSheetId="0">#REF!</definedName>
    <definedName name="InputTotalIncomeTaxes">#REF!</definedName>
    <definedName name="InputTotalMOU" localSheetId="0">#REF!</definedName>
    <definedName name="InputTotalMOU">#REF!</definedName>
    <definedName name="InputTotalOperatingExpensesUMG" localSheetId="0">#REF!</definedName>
    <definedName name="InputTotalOperatingExpensesUMG">#REF!</definedName>
    <definedName name="InputTotalRevenuesUMG" localSheetId="0">#REF!</definedName>
    <definedName name="InputTotalRevenuesUMG">#REF!</definedName>
    <definedName name="InputTotalShareholdersEquity" localSheetId="0">#REF!</definedName>
    <definedName name="InputTotalShareholdersEquity">#REF!</definedName>
    <definedName name="InputUnamortizedInvestmentTaxCredits" localSheetId="0">#REF!</definedName>
    <definedName name="InputUnamortizedInvestmentTaxCredits">#REF!</definedName>
    <definedName name="InputUnclassified" localSheetId="0">#REF!</definedName>
    <definedName name="InputUnclassified">#REF!</definedName>
    <definedName name="InputUnclassifiedUMG" localSheetId="0">#REF!</definedName>
    <definedName name="InputUnclassifiedUMG">#REF!</definedName>
    <definedName name="InputWeightedAverageShares" localSheetId="0">#REF!</definedName>
    <definedName name="InputWeightedAverageShares">#REF!</definedName>
    <definedName name="InputWeightedAvgSharesUMG" localSheetId="0">#REF!</definedName>
    <definedName name="InputWeightedAvgSharesUMG">#REF!</definedName>
    <definedName name="InputWirelessCommunications" localSheetId="0">#REF!</definedName>
    <definedName name="InputWirelessCommunications">#REF!</definedName>
    <definedName name="InputWirelessEquipmentRevenueUMG" localSheetId="0">#REF!</definedName>
    <definedName name="InputWirelessEquipmentRevenueUMG">#REF!</definedName>
    <definedName name="InputWirelessServiceRevenueUMG" localSheetId="0">#REF!</definedName>
    <definedName name="InputWirelessServiceRevenueUMG">#REF!</definedName>
    <definedName name="inrnew" localSheetId="0">#REF!</definedName>
    <definedName name="inrnew">#REF!</definedName>
    <definedName name="inrold" localSheetId="0">#REF!</definedName>
    <definedName name="inrold">#REF!</definedName>
    <definedName name="INSTAL" localSheetId="0">#REF!</definedName>
    <definedName name="INSTAL">#REF!</definedName>
    <definedName name="InstCap" localSheetId="0" hidden="1">#REF!,#REF!,#REF!,#REF!,#REF!,#REF!,#REF!,#REF!</definedName>
    <definedName name="InstCap" hidden="1">#REF!,#REF!,#REF!,#REF!,#REF!,#REF!,#REF!,#REF!</definedName>
    <definedName name="INT" localSheetId="0">#REF!</definedName>
    <definedName name="INT">#REF!</definedName>
    <definedName name="INT_COV" localSheetId="0">#REF!</definedName>
    <definedName name="INT_COV">#REF!</definedName>
    <definedName name="INT_EXP" localSheetId="0">#REF!</definedName>
    <definedName name="INT_EXP">#REF!</definedName>
    <definedName name="INT_INC" localSheetId="0">#REF!</definedName>
    <definedName name="INT_INC">#REF!</definedName>
    <definedName name="Intangibles" localSheetId="0">#REF!</definedName>
    <definedName name="Intangibles">#REF!</definedName>
    <definedName name="IntangiblesAmortisation" localSheetId="0">#REF!</definedName>
    <definedName name="IntangiblesAmortisation">#REF!</definedName>
    <definedName name="interco" localSheetId="0">#REF!</definedName>
    <definedName name="interco">#REF!</definedName>
    <definedName name="interest_01" localSheetId="0">#REF!</definedName>
    <definedName name="interest_01">#REF!</definedName>
    <definedName name="interest_02" localSheetId="0">#REF!</definedName>
    <definedName name="interest_02">#REF!</definedName>
    <definedName name="interest_03" localSheetId="0">#REF!</definedName>
    <definedName name="interest_03">#REF!</definedName>
    <definedName name="interest_97" localSheetId="0">#REF!</definedName>
    <definedName name="interest_97">#REF!</definedName>
    <definedName name="Interest_Exp" localSheetId="0">#REF!</definedName>
    <definedName name="Interest_Exp">#REF!</definedName>
    <definedName name="Interest_exp_growth_fore" localSheetId="0">#REF!</definedName>
    <definedName name="Interest_exp_growth_fore">#REF!</definedName>
    <definedName name="Interest_exp_inc_fore" localSheetId="0">#REF!</definedName>
    <definedName name="Interest_exp_inc_fore">#REF!</definedName>
    <definedName name="Interest_Exp_Related_Party" localSheetId="0">#REF!</definedName>
    <definedName name="Interest_Exp_Related_Party">#REF!</definedName>
    <definedName name="Interest_expense" localSheetId="0">#REF!</definedName>
    <definedName name="Interest_expense">#REF!</definedName>
    <definedName name="Interest_expense_income" localSheetId="0">#REF!</definedName>
    <definedName name="Interest_expense_income">#REF!</definedName>
    <definedName name="Interest_income" localSheetId="0">#REF!</definedName>
    <definedName name="Interest_income">#REF!</definedName>
    <definedName name="Interest_Income_Fm_Related_Pty" localSheetId="0">#REF!</definedName>
    <definedName name="Interest_Income_Fm_Related_Pty">#REF!</definedName>
    <definedName name="Interest_on_convertibles___options" localSheetId="0">#REF!</definedName>
    <definedName name="Interest_on_convertibles___options">#REF!</definedName>
    <definedName name="InterestExp" localSheetId="0">#REF!</definedName>
    <definedName name="InterestExp">#REF!</definedName>
    <definedName name="InterestExpense" localSheetId="0">#REF!</definedName>
    <definedName name="InterestExpense">#REF!</definedName>
    <definedName name="InterestIncome" localSheetId="0">#REF!</definedName>
    <definedName name="InterestIncome">#REF!</definedName>
    <definedName name="interl" localSheetId="0">#REF!</definedName>
    <definedName name="interl">#REF!</definedName>
    <definedName name="INTERNATIONAL" localSheetId="0">#REF!</definedName>
    <definedName name="INTERNATIONAL">#REF!</definedName>
    <definedName name="internl" localSheetId="0">#REF!</definedName>
    <definedName name="internl">#REF!</definedName>
    <definedName name="INTEXP00" localSheetId="0">#REF!</definedName>
    <definedName name="INTEXP00">#REF!</definedName>
    <definedName name="INTEXP00PF" localSheetId="0">#REF!</definedName>
    <definedName name="INTEXP00PF">#REF!</definedName>
    <definedName name="INTEXP01" localSheetId="0">#REF!</definedName>
    <definedName name="INTEXP01">#REF!</definedName>
    <definedName name="INTEXP02" localSheetId="0">#REF!</definedName>
    <definedName name="INTEXP02">#REF!</definedName>
    <definedName name="intexp03" localSheetId="0">#REF!</definedName>
    <definedName name="intexp03">#REF!</definedName>
    <definedName name="intexp04" localSheetId="0">#REF!</definedName>
    <definedName name="intexp04">#REF!</definedName>
    <definedName name="intexp1997" localSheetId="0">#REF!</definedName>
    <definedName name="intexp1997">#REF!</definedName>
    <definedName name="intexp1998" localSheetId="0">#REF!</definedName>
    <definedName name="intexp1998">#REF!</definedName>
    <definedName name="intexp1999" localSheetId="0">#REF!</definedName>
    <definedName name="intexp1999">#REF!</definedName>
    <definedName name="intexp2000" localSheetId="0">#REF!</definedName>
    <definedName name="intexp2000">#REF!</definedName>
    <definedName name="intexp2001" localSheetId="0">#REF!</definedName>
    <definedName name="intexp2001">#REF!</definedName>
    <definedName name="intexp2002" localSheetId="0">#REF!</definedName>
    <definedName name="intexp2002">#REF!</definedName>
    <definedName name="intexp2003" localSheetId="0">#REF!</definedName>
    <definedName name="intexp2003">#REF!</definedName>
    <definedName name="INTEXP93" localSheetId="0">#REF!</definedName>
    <definedName name="INTEXP93">#REF!</definedName>
    <definedName name="INTEXP94" localSheetId="0">#REF!</definedName>
    <definedName name="INTEXP94">#REF!</definedName>
    <definedName name="INTEXP95" localSheetId="0">#REF!</definedName>
    <definedName name="INTEXP95">#REF!</definedName>
    <definedName name="INTEXP96" localSheetId="0">#REF!</definedName>
    <definedName name="INTEXP96">#REF!</definedName>
    <definedName name="INTEXP97" localSheetId="0">#REF!</definedName>
    <definedName name="INTEXP97">#REF!</definedName>
    <definedName name="INTEXP98" localSheetId="0">#REF!</definedName>
    <definedName name="INTEXP98">#REF!</definedName>
    <definedName name="INTEXP99" localSheetId="0">#REF!</definedName>
    <definedName name="INTEXP99">#REF!</definedName>
    <definedName name="INTLD" localSheetId="0">#REF!</definedName>
    <definedName name="INTLD">#REF!</definedName>
    <definedName name="inv" localSheetId="0">#REF!</definedName>
    <definedName name="inv">#REF!</definedName>
    <definedName name="Inventories" localSheetId="0">#REF!</definedName>
    <definedName name="Inventories">#REF!</definedName>
    <definedName name="Inventory" localSheetId="0">#REF!</definedName>
    <definedName name="Inventory">#REF!</definedName>
    <definedName name="Inventory_growth_fore" localSheetId="0">#REF!</definedName>
    <definedName name="Inventory_growth_fore">#REF!</definedName>
    <definedName name="INVERSIONES" localSheetId="0">#REF!</definedName>
    <definedName name="INVERSIONES">#REF!</definedName>
    <definedName name="Invest_Income" localSheetId="0">#REF!</definedName>
    <definedName name="Invest_Income">#REF!</definedName>
    <definedName name="Invest_Loss" localSheetId="0">#REF!</definedName>
    <definedName name="Invest_Loss">#REF!</definedName>
    <definedName name="Invested_capital" localSheetId="0">#REF!</definedName>
    <definedName name="Invested_capital">#REF!</definedName>
    <definedName name="Invested_capital_DCF" localSheetId="0">#REF!</definedName>
    <definedName name="Invested_capital_DCF">#REF!</definedName>
    <definedName name="Invested_capital_growth_fore" localSheetId="0">#REF!</definedName>
    <definedName name="Invested_capital_growth_fore">#REF!</definedName>
    <definedName name="Invested_capital_turns" localSheetId="0">#REF!</definedName>
    <definedName name="Invested_capital_turns">#REF!</definedName>
    <definedName name="Invested_capital_turns_DCF" localSheetId="0">#REF!</definedName>
    <definedName name="Invested_capital_turns_DCF">#REF!</definedName>
    <definedName name="Invested_capital_turns_fore" localSheetId="0">#REF!</definedName>
    <definedName name="Invested_capital_turns_fore">#REF!</definedName>
    <definedName name="Investment_in_fixed_assets" localSheetId="0">#REF!</definedName>
    <definedName name="Investment_in_fixed_assets">#REF!</definedName>
    <definedName name="Investment_Intelligence" localSheetId="0">#REF!</definedName>
    <definedName name="Investment_Intelligence">#REF!</definedName>
    <definedName name="IO" localSheetId="5" hidden="1">{"'Check Request'!$A$1:$BF$37"}</definedName>
    <definedName name="IO" localSheetId="0" hidden="1">{"'Check Request'!$A$1:$BF$37"}</definedName>
    <definedName name="IO" localSheetId="4" hidden="1">{"'Check Request'!$A$1:$BF$37"}</definedName>
    <definedName name="IO" hidden="1">{"'Check Request'!$A$1:$BF$37"}</definedName>
    <definedName name="ios" localSheetId="0">#REF!</definedName>
    <definedName name="ios">#REF!</definedName>
    <definedName name="IPCCASE" localSheetId="0">#REF!</definedName>
    <definedName name="IPCCASE">#REF!</definedName>
    <definedName name="ipo_disc" localSheetId="0">#REF!</definedName>
    <definedName name="ipo_disc">#REF!</definedName>
    <definedName name="IQ_0_PCT_RISK_WEIGHT_TOTAL_THRIFT" hidden="1">"c25055"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DWELLING_UNITS_CONSTRUCTION_MORTGAGE_LOANS_ADJUSTED_NCOS_TOTAL_THRIFT" hidden="1">"c25200"</definedName>
    <definedName name="IQ_1_4_DWELLING_UNITS_CONSTRUCTION_MORTGAGE_LOANS_GVA_CHARGE_OFFS_THRIFT" hidden="1">"c25115"</definedName>
    <definedName name="IQ_1_4_DWELLING_UNITS_CONSTRUCTION_MORTGAGE_LOANS_GVA_RECOVERIES_THRIFT" hidden="1">"c25146"</definedName>
    <definedName name="IQ_1_4_DWELLING_UNITS_CONSTRUCTION_MORTGAGE_LOANS_SVA_PROVISIONS_TRANSFERS_FROM_GVA_TOTAL_THRIFT" hidden="1">"c25169"</definedName>
    <definedName name="IQ_1_4_DWELLING_UNITS_REVOLVING_OPEN_END_PML_ADJUSTED_NCOS_TOTAL_THRIFT" hidden="1">"c25203"</definedName>
    <definedName name="IQ_1_4_DWELLING_UNITS_REVOLVING_OPEN_END_PML_GVA_CHARGE_OFFS_THRIFT" hidden="1">"c25118"</definedName>
    <definedName name="IQ_1_4_DWELLING_UNITS_REVOLVING_OPEN_END_PML_GVA_RECOVERIES_THRIFT" hidden="1">"c25149"</definedName>
    <definedName name="IQ_1_4_DWELLING_UNITS_REVOLVING_OPEN_END_PML_SVA_PROVISIONS_TRANSFERS_FROM_GVA_TOTAL_THRIFT" hidden="1">"c25172"</definedName>
    <definedName name="IQ_1_4_DWELLING_UNITS_SECURED_FIRST_LIENS_IN_PROCESS_FORECLOSURE_THRIFT" hidden="1">"c25305"</definedName>
    <definedName name="IQ_1_4_DWELLING_UNITS_SECURED_FIRST_LIENS_PML_ADJUSTED_NCOS_TOTAL_THRIFT" hidden="1">"c25204"</definedName>
    <definedName name="IQ_1_4_DWELLING_UNITS_SECURED_FIRST_LIENS_PML_GVA_CHARGE_OFFS_THRIFT" hidden="1">"c25119"</definedName>
    <definedName name="IQ_1_4_DWELLING_UNITS_SECURED_FIRST_LIENS_PML_GVA_RECOVERIES_THRIFT" hidden="1">"c25150"</definedName>
    <definedName name="IQ_1_4_DWELLING_UNITS_SECURED_FIRST_LIENS_PML_SVA_PROVISIONS_TRANSFERS_FROM_GVA_TOTAL_THRIFT" hidden="1">"c25173"</definedName>
    <definedName name="IQ_1_4_DWELLING_UNITS_SECURED_JUNIOR_LIENS_IN_PROCESS_FORECLOSURE_THRIFT" hidden="1">"c25306"</definedName>
    <definedName name="IQ_1_4_DWELLING_UNITS_SECURED_JUNIOR_LIENS_PML_ADJUSTED_NCOS_TOTAL_THRIFT" hidden="1">"c25205"</definedName>
    <definedName name="IQ_1_4_DWELLING_UNITS_SECURED_JUNIOR_LIENS_PML_GVA_CHARGE_OFFS_THRIFT" hidden="1">"c25120"</definedName>
    <definedName name="IQ_1_4_DWELLING_UNITS_SECURED_JUNIOR_LIENS_PML_GVA_RECOVERIES_THRIFT" hidden="1">"c25151"</definedName>
    <definedName name="IQ_1_4_DWELLING_UNITS_SECURED_JUNIOR_LIENS_PML_SVA_PROVISIONS_TRANSFERS_FROM_GVA_TOTAL_THRIFT" hidden="1">"c25174"</definedName>
    <definedName name="IQ_1_4_DWELLING_UNITS_SECURED_REVOLVING_OPEN_END_LOANS_IN_PROCESS_FORECLOSURE_THRIFT" hidden="1">"c25304"</definedName>
    <definedName name="IQ_1_4_FAMILY_CONSTRUCTION_LOANS_GROSS_LOANS_THRIFT" hidden="1">"c25727"</definedName>
    <definedName name="IQ_1_4_FAMILY_CONSTRUCTION_LOANS_RISK_BASED_CAPITAL_THRIFT" hidden="1">"c25712"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100_PCT_RISK_WEIGHT_TOTAL_THRIFT" hidden="1">"c25073"</definedName>
    <definedName name="IQ_20_PCT_RISK_WEIGHT_TOTAL_THRIFT" hidden="1">"c25062"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50_PCT_RISK_WEIGHT_TOTAL_THRIFT" hidden="1">"c25069"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_CIQ_COL" hidden="1">"c11739"</definedName>
    <definedName name="IQ_ACCOUNTS_PAY" hidden="1">"c1343"</definedName>
    <definedName name="IQ_ACCOUNTS_PAYABLE_THRIFT" hidden="1">"c24910"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_PAYABLE_DEPOSITS_THRIFT" hidden="1">"c24907"</definedName>
    <definedName name="IQ_ACCRUED_INT_PAYABLE_THRIFT" hidden="1">"c24906"</definedName>
    <definedName name="IQ_ACCRUED_INT_RECEIVABLE_MBS_THRIFT" hidden="1">"c24836"</definedName>
    <definedName name="IQ_ACCRUED_INT_RECEIVABLE_THRIFT" hidden="1">"c24827"</definedName>
    <definedName name="IQ_ACCRUED_INTEREST_RECEIVABLE_FFIEC" hidden="1">"c12842"</definedName>
    <definedName name="IQ_ACCRUED_MORTGAGE_INT_RECEIVABLE_THRIFT" hidden="1">"c24849"</definedName>
    <definedName name="IQ_ACCRUED_NON_MORTGAGE_INT_RECEIVABLE_THRIFT" hidden="1">"c24866"</definedName>
    <definedName name="IQ_ACCRUED_TAXES_THRIFT" hidden="1">"c24909"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"c1340"</definedName>
    <definedName name="IQ_ACCUMULATED_GAINS_LOSSES_CASH_FLOW_HEDGES_THRIFT" hidden="1">"c24922"</definedName>
    <definedName name="IQ_ACCUMULATED_GAINS_LOSSES_CERTAIN_SEC_THRIFT" hidden="1">"c24921"</definedName>
    <definedName name="IQ_ACCUMULATED_LOSSES_GAINS_CASH_FLOW_HEDGES_ADJUSTED_ASSETS_THRIFT" hidden="1">"c25035"</definedName>
    <definedName name="IQ_ACCUMULATED_LOSSES_GAINS_CASH_FLOW_HEDGES_T1_THRIFT" hidden="1">"c25026"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"c16174"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CTUAL_THRIFT_INV_PERCENTAGE_MONTH_END_FIRST_MONTH_QUARTER_THRIFT" hidden="1">"c25584"</definedName>
    <definedName name="IQ_ACTUAL_THRIFT_INV_PERCENTAGE_MONTH_END_SECOND_MONTH_QUARTER_THRIFT" hidden="1">"c25585"</definedName>
    <definedName name="IQ_ACTUAL_THRIFT_INV_PERCENTAGE_MONTH_END_THIRD_MONTH_QUARTER_THRIFT" hidden="1">"c25586"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JUSTED_OPERATING_INCOME_AVG_ASSETS_THRIFT" hidden="1">"c25651"</definedName>
    <definedName name="IQ_ADJUSTED_TOTAL_ASSETS_ADJUSTED_ASSETS_THRIFT" hidden="1">"c25038"</definedName>
    <definedName name="IQ_ADJUSTMENTS_GVA_THRIFT" hidden="1">"c25095"</definedName>
    <definedName name="IQ_ADJUSTMENTS_SVA_THRIFT" hidden="1">"c25102"</definedName>
    <definedName name="IQ_ADJUSTMENTS_TVA_THRIFT" hidden="1">"c25109"</definedName>
    <definedName name="IQ_ADMIN_RATIO" hidden="1">"c2784"</definedName>
    <definedName name="IQ_ADVANCES_FROM_FHLB_THRIFT" hidden="1">"c24900"</definedName>
    <definedName name="IQ_ADVANCES_TAXES_INSURANCE_THRIFT" hidden="1">"c24850"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CM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_AMOUNTS_NETTED_THRIFT" hidden="1">"c25492"</definedName>
    <definedName name="IQ_AFS_SEC_INV_SEC_THRIFT" hidden="1">"c25670"</definedName>
    <definedName name="IQ_AFS_SEC_LEVEL_1_THRIFT" hidden="1">"c25488"</definedName>
    <definedName name="IQ_AFS_SEC_LEVEL_2_THRIFT" hidden="1">"c25489"</definedName>
    <definedName name="IQ_AFS_SEC_LEVEL_3_THRIFT" hidden="1">"c25490"</definedName>
    <definedName name="IQ_AFS_SEC_THRIFT" hidden="1">"c24933"</definedName>
    <definedName name="IQ_AFS_SEC_TIER_1_CAPITAL_THRIFT" hidden="1">"c25630"</definedName>
    <definedName name="IQ_AFS_SEC_TOTAL_AFTER_NETTING_THRIFT" hidden="1">"c25493"</definedName>
    <definedName name="IQ_AFS_SEC_TOTAL_BEFORE_NETTING_THRIFT" hidden="1">"c25491"</definedName>
    <definedName name="IQ_AFS_SECURITIES_TIER_1_FFIEC" hidden="1">"c13343"</definedName>
    <definedName name="IQ_AFTER_TAX_INCOME_FDIC" hidden="1">"c6583"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BANK_OVER_TOTAL" hidden="1">"c24684"</definedName>
    <definedName name="IQ_AGG_BANK_SHARES" hidden="1">"c24686"</definedName>
    <definedName name="IQ_AGG_BANK_VALUE" hidden="1">"c24685"</definedName>
    <definedName name="IQ_AGG_COMPANY_FOUNDATION_OVER_TOTAL" hidden="1">"c13769"</definedName>
    <definedName name="IQ_AGG_COMPANY_FOUNDATION_SHARES" hidden="1">"c13783"</definedName>
    <definedName name="IQ_AGG_COMPANY_FOUNDATION_VALUE" hidden="1">"c13776"</definedName>
    <definedName name="IQ_AGG_CORPORATE_OVER_TOTAL" hidden="1">"c13767"</definedName>
    <definedName name="IQ_AGG_CORPORATE_SHARES" hidden="1">"c13781"</definedName>
    <definedName name="IQ_AGG_CORPORATE_VALUE" hidden="1">"c13774"</definedName>
    <definedName name="IQ_AGG_ENDOWMENT_OVER_TOTAL" hidden="1">"c24678"</definedName>
    <definedName name="IQ_AGG_ENDOWMENT_SHARES" hidden="1">"c24680"</definedName>
    <definedName name="IQ_AGG_ENDOWMENT_VALUE" hidden="1">"c24679"</definedName>
    <definedName name="IQ_AGG_ESOP_OVER_TOTAL" hidden="1">"c13768"</definedName>
    <definedName name="IQ_AGG_ESOP_SHARES" hidden="1">"c13782"</definedName>
    <definedName name="IQ_AGG_ESOP_VALUE" hidden="1">"c13775"</definedName>
    <definedName name="IQ_AGG_FAMILY_OVER_TOTAL" hidden="1">"c24687"</definedName>
    <definedName name="IQ_AGG_FAMILY_SHARES" hidden="1">"c24689"</definedName>
    <definedName name="IQ_AGG_FAMILY_VALUE" hidden="1">"c24688"</definedName>
    <definedName name="IQ_AGG_FOUNDATION_SHARES" hidden="1">"c24731"</definedName>
    <definedName name="IQ_AGG_FOUNDATION_VALUE" hidden="1">"c24732"</definedName>
    <definedName name="IQ_AGG_HEDGEFUND_OVER_TOTAL" hidden="1">"c13771"</definedName>
    <definedName name="IQ_AGG_HEDGEFUND_SHARES" hidden="1">"c13785"</definedName>
    <definedName name="IQ_AGG_HEDGEFUND_VALUE" hidden="1">"c13778"</definedName>
    <definedName name="IQ_AGG_INSIDER_OVER_TOTAL" hidden="1">"c1581"</definedName>
    <definedName name="IQ_AGG_INSIDER_SHARES" hidden="1">"c13780"</definedName>
    <definedName name="IQ_AGG_INSIDER_VALUE" hidden="1">"c13773"</definedName>
    <definedName name="IQ_AGG_INSTITUTION_HEDGEFUND_OVER_TOTAL" hidden="1">"c24711"</definedName>
    <definedName name="IQ_AGG_INSTITUTION_HEDGEFUND_SHARES" hidden="1">"c24713"</definedName>
    <definedName name="IQ_AGG_INSTITUTION_HEDGEFUND_VALUE" hidden="1">"c24712"</definedName>
    <definedName name="IQ_AGG_INSTITUTION_SOVEREIGN_OVER_TOTAL" hidden="1">"c24717"</definedName>
    <definedName name="IQ_AGG_INSTITUTION_SOVEREIGN_SHARES" hidden="1">"c24719"</definedName>
    <definedName name="IQ_AGG_INSTITUTION_SOVEREIGN_VALUE" hidden="1">"c24718"</definedName>
    <definedName name="IQ_AGG_INSTITUTION_UNCLASSIFIED_OVER_TOTAL" hidden="1">"c24696"</definedName>
    <definedName name="IQ_AGG_INSTITUTION_UNCLASSIFIED_SHARES" hidden="1">"c24698"</definedName>
    <definedName name="IQ_AGG_INSTITUTION_UNCLASSIFIED_VALUE" hidden="1">"c24697"</definedName>
    <definedName name="IQ_AGG_INSTITUTION_VC_PE_OVER_TOTAL" hidden="1">"c24714"</definedName>
    <definedName name="IQ_AGG_INSTITUTION_VC_PE_SHARES" hidden="1">"c24716"</definedName>
    <definedName name="IQ_AGG_INSTITUTION_VC_PE_VALUE" hidden="1">"c24715"</definedName>
    <definedName name="IQ_AGG_INSTITUTIONAL_OVER_TOTAL" hidden="1">"c1580"</definedName>
    <definedName name="IQ_AGG_INSTITUTIONAL_SHARES" hidden="1">"c13779"</definedName>
    <definedName name="IQ_AGG_INSTITUTIONAL_VALUE" hidden="1">"c13772"</definedName>
    <definedName name="IQ_AGG_INSURANCE_OVER_TOTAL" hidden="1">"c24681"</definedName>
    <definedName name="IQ_AGG_INSURANCE_SHARES" hidden="1">"c24683"</definedName>
    <definedName name="IQ_AGG_INSURANCE_VALUE" hidden="1">"c24682"</definedName>
    <definedName name="IQ_AGG_INV_MANAGERS_OVER_TOTAL" hidden="1">"c26967"</definedName>
    <definedName name="IQ_AGG_INV_MANAGERS_SHARES" hidden="1">"c26968"</definedName>
    <definedName name="IQ_AGG_INV_MANAGERS_VALUE" hidden="1">"c26969"</definedName>
    <definedName name="IQ_AGG_MONEY_MANAGERS_OVER_TOTAL" hidden="1">"c24669"</definedName>
    <definedName name="IQ_AGG_MONEY_MANAGERS_SHARES" hidden="1">"c24671"</definedName>
    <definedName name="IQ_AGG_MONEY_MANAGERS_VALUE" hidden="1">"c24670"</definedName>
    <definedName name="IQ_AGG_OTHER_OVER_TOTAL" hidden="1">"c13770"</definedName>
    <definedName name="IQ_AGG_OTHER_SHARES" hidden="1">"c13784"</definedName>
    <definedName name="IQ_AGG_OTHER_VALUE" hidden="1">"c13777"</definedName>
    <definedName name="IQ_AGG_PENSION_OVER_TOTAL" hidden="1">"c24675"</definedName>
    <definedName name="IQ_AGG_PENSION_SHARES" hidden="1">"c24677"</definedName>
    <definedName name="IQ_AGG_PENSION_VALUE" hidden="1">"c24676"</definedName>
    <definedName name="IQ_AGG_REIT_OVER_TOTAL" hidden="1">"c24693"</definedName>
    <definedName name="IQ_AGG_REIT_SHARES" hidden="1">"c24695"</definedName>
    <definedName name="IQ_AGG_REIT_VALUE" hidden="1">"c24694"</definedName>
    <definedName name="IQ_AGG_SOVEREIGN_OVER_TOTAL" hidden="1">"c24690"</definedName>
    <definedName name="IQ_AGG_SOVEREIGN_SHARES" hidden="1">"c24692"</definedName>
    <definedName name="IQ_AGG_SOVEREIGN_VALUE" hidden="1">"c24691"</definedName>
    <definedName name="IQ_AGG_STATE_OVER_TOTAL" hidden="1">"c24705"</definedName>
    <definedName name="IQ_AGG_STATE_SHARES" hidden="1">"c24707"</definedName>
    <definedName name="IQ_AGG_STATE_VALUE" hidden="1">"c24706"</definedName>
    <definedName name="IQ_AGG_STRATEGIC_CORP_PRIVATE_OVER_TOTAL" hidden="1">"c24702"</definedName>
    <definedName name="IQ_AGG_STRATEGIC_CORP_PRIVATE_SHARES" hidden="1">"c24704"</definedName>
    <definedName name="IQ_AGG_STRATEGIC_CORP_PRIVATE_VALUE" hidden="1">"c24703"</definedName>
    <definedName name="IQ_AGG_STRATEGIC_CORP_PUBLIC_OVER_TOTAL" hidden="1">"c24699"</definedName>
    <definedName name="IQ_AGG_STRATEGIC_CORP_PUBLIC_SHARES" hidden="1">"c24701"</definedName>
    <definedName name="IQ_AGG_STRATEGIC_CORP_PUBLIC_VALUE" hidden="1">"c24700"</definedName>
    <definedName name="IQ_AGG_STRATEGIC_HEDGEFUND_OVER_TOTAL" hidden="1">"c24726"</definedName>
    <definedName name="IQ_AGG_STRATEGIC_HEDGEFUND_SHARES" hidden="1">"c24728"</definedName>
    <definedName name="IQ_AGG_STRATEGIC_HEDGEFUND_VALUE" hidden="1">"c24727"</definedName>
    <definedName name="IQ_AGG_STRATEGIC_OVER_TOTAL" hidden="1">"c24708"</definedName>
    <definedName name="IQ_AGG_STRATEGIC_SHARES" hidden="1">"c24710"</definedName>
    <definedName name="IQ_AGG_STRATEGIC_SWF_OVER_TOTAL" hidden="1">"c24723"</definedName>
    <definedName name="IQ_AGG_STRATEGIC_SWF_SHARES" hidden="1">"c24725"</definedName>
    <definedName name="IQ_AGG_STRATEGIC_SWF_VALUE" hidden="1">"c24724"</definedName>
    <definedName name="IQ_AGG_STRATEGIC_VALUE" hidden="1">"c24709"</definedName>
    <definedName name="IQ_AGG_STRATEGIC_VC_PE_OVER_TOTAL" hidden="1">"c24720"</definedName>
    <definedName name="IQ_AGG_STRATEGIC_VC_PE_SHARES" hidden="1">"c24722"</definedName>
    <definedName name="IQ_AGG_STRATEGIC_VC_PE_VALUE" hidden="1">"c24721"</definedName>
    <definedName name="IQ_AGG_VC_PE_OVER_TOTAL" hidden="1">"c24672"</definedName>
    <definedName name="IQ_AGG_VC_PE_SHARES" hidden="1">"c24674"</definedName>
    <definedName name="IQ_AGG_VC_PE_VALUE" hidden="1">"c24673"</definedName>
    <definedName name="IQ_AGGREGATE_AMT_ALL_EXTENSIONS_CREDIT_THRIFT" hidden="1">"c25589"</definedName>
    <definedName name="IQ_AGGREGATE_INV_IN_SERVICE_CORPORATIONS_THRIFT" hidden="1">"c25588"</definedName>
    <definedName name="IQ_AGRICULTURAL_GROSS_LOANS_FFIEC" hidden="1">"c13413"</definedName>
    <definedName name="IQ_AGRICULTURAL_LOANS_FOREIGN_FFIEC" hidden="1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IRCRAFT_RENT" hidden="1">"c17872"</definedName>
    <definedName name="IQ_ALL_OTHER_ASSETS_ELIGIBLE_100_PCT_RISK_WEIGHT_THRIFT" hidden="1">"c25072"</definedName>
    <definedName name="IQ_ALL_OTHER_DEPOSITS_FOREIGN_DEP_FFIEC" hidden="1">"c15347"</definedName>
    <definedName name="IQ_ALL_OTHER_FINANCIAL_ASSETS_AMOUNTS_NETTED_THRIFT" hidden="1">"c25516"</definedName>
    <definedName name="IQ_ALL_OTHER_FINANCIAL_ASSETS_LEVEL_1_THRIFT" hidden="1">"c25512"</definedName>
    <definedName name="IQ_ALL_OTHER_FINANCIAL_ASSETS_LEVEL_2_THRIFT" hidden="1">"c25513"</definedName>
    <definedName name="IQ_ALL_OTHER_FINANCIAL_ASSETS_LEVEL_3_THRIFT" hidden="1">"c25514"</definedName>
    <definedName name="IQ_ALL_OTHER_FINANCIAL_ASSETS_TOTAL_AFTER_NETTING_THRIFT" hidden="1">"c25517"</definedName>
    <definedName name="IQ_ALL_OTHER_FINANCIAL_ASSETS_TOTAL_BEFORE_NETTING_THRIFT" hidden="1">"c25515"</definedName>
    <definedName name="IQ_ALL_OTHER_FINANCIAL_LIABILITIES_AMOUNTS_NETTED_THRIFT" hidden="1">"c25558"</definedName>
    <definedName name="IQ_ALL_OTHER_FINANCIAL_LIABILITIES_LEVEL_1_THRIFT" hidden="1">"c25554"</definedName>
    <definedName name="IQ_ALL_OTHER_FINANCIAL_LIABILITIES_LEVEL_2_THRIFT" hidden="1">"c25555"</definedName>
    <definedName name="IQ_ALL_OTHER_FINANCIAL_LIABILITIES_LEVEL_3_THRIFT" hidden="1">"c25556"</definedName>
    <definedName name="IQ_ALL_OTHER_FINANCIAL_LIABILITIES_TOTAL_AFTER_NETTING_THRIFT" hidden="1">"c25559"</definedName>
    <definedName name="IQ_ALL_OTHER_FINANCIAL_LIABILITIES_TOTAL_BEFORE_NETTING_THRIFT" hidden="1">"c25557"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EXCL_CONSUMER_LL_REC_DOM_FFIEC" hidden="1">"c25857"</definedName>
    <definedName name="IQ_ALL_OTHER_LOANS_EXCL_CONSUMER_LL_REC_FFIEC" hidden="1">"c25853"</definedName>
    <definedName name="IQ_ALL_OTHER_LOANS_RECOV_FFIEC" hidden="1">"c13205"</definedName>
    <definedName name="IQ_ALL_OTHER_SEC_1_4_DOM_CHARGE_OFFS_FFIEC" hidden="1">"c25842"</definedName>
    <definedName name="IQ_ALL_OTHER_SEC_1_4_DOM_RECOV_FFIEC" hidden="1">"c25843"</definedName>
    <definedName name="IQ_ALL_OTHER_SEC_1_4_DUE_30_89_FFIEC" hidden="1">"c25835"</definedName>
    <definedName name="IQ_ALL_OTHER_SEC_1_4_DUE_90_FFIEC" hidden="1">"c25836"</definedName>
    <definedName name="IQ_ALL_OTHER_SEC_1_4_NON_ACCRUAL_FFIEC" hidden="1">"c25837"</definedName>
    <definedName name="IQ_ALL_OTHER_TRADING_LIABILITIES_DOM_FFIEC" hidden="1">"c12942"</definedName>
    <definedName name="IQ_ALL_OTHER_UNUSED_FFIEC" hidden="1">"c25861"</definedName>
    <definedName name="IQ_ALL_STATEMENTS_AP" hidden="1">"c25895"</definedName>
    <definedName name="IQ_ALL_STATEMENTS_AP_CO" hidden="1">"c25896"</definedName>
    <definedName name="IQ_ALL_STATEMENTS_INDUSTRY" hidden="1">"c25891"</definedName>
    <definedName name="IQ_ALL_STATEMENTS_INDUSTRY_CO" hidden="1">"c25892"</definedName>
    <definedName name="IQ_ALL_STATEMENTS_STANDARD" hidden="1">"c25893"</definedName>
    <definedName name="IQ_ALL_STATEMENTS_STANDARD_CO" hidden="1">"c25894"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_MORTGAGE_LL_LOSSES_THRIFT" hidden="1">"c24851"</definedName>
    <definedName name="IQ_ALLOW_NON_MORTGAGE_LOAN_LL_THRIFT" hidden="1">"c24867"</definedName>
    <definedName name="IQ_ALLOWABLE_T2_CAPITAL_FFIEC" hidden="1">"c13150"</definedName>
    <definedName name="IQ_ALLOWABLE_TIER_2_CAPITAL_T2_THRIFT" hidden="1">"c25046"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AMT_INCLUDED_IN_ALLOWANCE_LOAN_LEASE_LOSSES_PURCHASED_CREDIT_IMPAIRED_LOANS_THRIFT" hidden="1">"c25239"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LLOWANCES_LL_LOSSES_T2_THRIFT" hidden="1">"c25043"</definedName>
    <definedName name="IQ_ALPHA_SCORE_DATE" hidden="1">"c25923"</definedName>
    <definedName name="IQ_AMENDED_BALANCE_PREVIOUS_YR_FDIC" hidden="1">"c6499"</definedName>
    <definedName name="IQ_AMORT_EXP_IMPAIRMENT_OTHER_INTANGIBLE_ASSETS_FFIEC" hidden="1">"c13026"</definedName>
    <definedName name="IQ_AMORT_EXPENSE_FDIC" hidden="1">"c6677"</definedName>
    <definedName name="IQ_AMORT_LOAN_SERVICING_ASSETS_LIABILITIES_THRIFT" hidden="1">"c24767"</definedName>
    <definedName name="IQ_AMORTIZATION" hidden="1">"c1591"</definedName>
    <definedName name="IQ_AMORTIZED_COST_FDIC" hidden="1">"c6426"</definedName>
    <definedName name="IQ_AMOUNT_FINANCIAL_LOC_CONVEYED_FFIEC" hidden="1">"c13250"</definedName>
    <definedName name="IQ_AMOUNT_PERFORMANCE_LOC_CONVEYED_FFIEC" hidden="1">"c13252"</definedName>
    <definedName name="IQ_AMT_DIRECT_CREDIT_SUBSTITUTES_ASSETS_THRIFT" hidden="1">"c25616"</definedName>
    <definedName name="IQ_AMT_LOW_LEVEL_RECOURSE_RESIDUAL_INTERESTS_BEFORE_RISK_WEIGHTING_THRIFT" hidden="1">"c25074"</definedName>
    <definedName name="IQ_AMT_NONINTEREST_BEARING_TRANSACTION_ACCOUNTS_MORE_THAN_250000_THRIFT" hidden="1">"c25582"</definedName>
    <definedName name="IQ_AMT_OUT" hidden="1">"c2145"</definedName>
    <definedName name="IQ_AMT_RECOURSE_OBLIGATIONS_ASSETS_THRIFT" hidden="1">"c25617"</definedName>
    <definedName name="IQ_AMT_RECOURSE_OBLIGATIONS_LOANS_THRIFT" hidden="1">"c25618"</definedName>
    <definedName name="IQ_AMT_RECOURSE_OBLIGATIONS_LOANS_WHERE_RECOURSE_IS_120_DAYS_LESS_THRIFT" hidden="1">"c25619"</definedName>
    <definedName name="IQ_AMT_RECOURSE_OBLIGATIONS_LOANS_WHERE_RECOURSE_IS_GREATER_THAN_120_DAYS_THRIFT" hidden="1">"c25620"</definedName>
    <definedName name="IQ_AMT_THIS_QUARTER_TROUBLED_DEBT_RESTRUCTURED_THRIFT" hidden="1">"c25229"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OCI_THRIFT" hidden="1">"c24920"</definedName>
    <definedName name="IQ_AP" hidden="1">"c32"</definedName>
    <definedName name="IQ_AP_BNK" hidden="1">"c33"</definedName>
    <definedName name="IQ_AP_BR" hidden="1">"c34"</definedName>
    <definedName name="IQ_AP_CM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IC_THRIFT" hidden="1">"c24918"</definedName>
    <definedName name="IQ_APPLICABLE_INCOME_TAXES_AVG_ASSETS_THRIFT" hidden="1">"c25657"</definedName>
    <definedName name="IQ_APPLICABLE_INCOME_TAXES_FTE_FFIEC" hidden="1">"c13853"</definedName>
    <definedName name="IQ_AR" hidden="1">"c40"</definedName>
    <definedName name="IQ_AR_BR" hidden="1">"c41"</definedName>
    <definedName name="IQ_AR_CM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"c16134"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BACKED_SEC_INV_SEC_THRIFT" hidden="1">"c25674"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CM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CM" hidden="1">"c50"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EXCLUDED_PURPOSES_OTS_ASSESSMENT_COMPLEXITY_COMPONENT_MANAGED_ASSETS_THRIFT" hidden="1">"c25356"</definedName>
    <definedName name="IQ_ASSETS_EXCLUDED_PURPOSES_OTS_ASSESSMENT_COMPLEXITY_COMPONENT_NONMANAGED_ASSETS_THRIFT" hidden="1">"c25378"</definedName>
    <definedName name="IQ_ASSETS_FAIR_VALUE" hidden="1">"c13843"</definedName>
    <definedName name="IQ_ASSETS_HELD_FDIC" hidden="1">"c6305"</definedName>
    <definedName name="IQ_ASSETS_HFS_THRIFT" hidden="1">"c24934"</definedName>
    <definedName name="IQ_ASSETS_LEVEL_1" hidden="1">"c13839"</definedName>
    <definedName name="IQ_ASSETS_LEVEL_2" hidden="1">"c13840"</definedName>
    <definedName name="IQ_ASSETS_LEVEL_3" hidden="1">"c13841"</definedName>
    <definedName name="IQ_ASSETS_LOSS_SHARING_DEBT_SEC_FFIEC" hidden="1">"c25867"</definedName>
    <definedName name="IQ_ASSETS_LOSS_SHARING_FFIEC" hidden="1">"c25864"</definedName>
    <definedName name="IQ_ASSETS_LOSS_SHARING_LL_FFIEC" hidden="1">"c25865"</definedName>
    <definedName name="IQ_ASSETS_LOSS_SHARING_OREO_FFIEC" hidden="1">"c25866"</definedName>
    <definedName name="IQ_ASSETS_LOSS_SHARING_OTHER_FFIEC" hidden="1">"c25868"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NON_INCLUDABLE_SUBS_ADJUSTED_ASSETS_THRIFT" hidden="1">"c25031"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PER_EMPLOYEE_THRIFT" hidden="1">"c25783"</definedName>
    <definedName name="IQ_ASSETS_REPRICE_ASSETS_TOT_FFIEC" hidden="1">"c13454"</definedName>
    <definedName name="IQ_ASSETS_RISK_WEIGHT_THRIFT" hidden="1">"c25076"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HRIFT" hidden="1">"c24862"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AILABLE_SALE_SEC_FFIEC" hidden="1">"c12791"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DEPOSITS_ESCROWS_THRIFT" hidden="1">"c24950"</definedName>
    <definedName name="IQ_AVG_DEPOSITS_INV_EXCLUDING_NON_INT_EARNING_ITEMS_THRIFT" hidden="1">"c24947"</definedName>
    <definedName name="IQ_AVG_EARNING_ASSETS_AVG_ASSETS_THRIFT" hidden="1">"c25645"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_COL" hidden="1">"c11631"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BEARING_FUNDS_AVG_ASSETS_THRIFT" hidden="1">"c25646"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ARKETCAP_Z" hidden="1">"c25900"</definedName>
    <definedName name="IQ_AVG_MKTCAP" hidden="1">"c80"</definedName>
    <definedName name="IQ_AVG_MORTGAGE_LOANS_MBS_THRIFT" hidden="1">"c24948"</definedName>
    <definedName name="IQ_AVG_NON_MORTGAGE_LOANS_THRIFT" hidden="1">"c24949"</definedName>
    <definedName name="IQ_AVG_PORTFOLIO_DURATION" hidden="1">"c17693"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TOTAL_ASSETS_THRIFT" hidden="1">"c24946"</definedName>
    <definedName name="IQ_AVG_TOTAL_BORROWINGS_THRIFT" hidden="1">"c24951"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FC_UNUSED_UNUSED_UNUSED" hidden="1">"c8353"</definedName>
    <definedName name="IQ_BALANCE_GOODS_APR_UNUSED" hidden="1">"c7473"</definedName>
    <definedName name="IQ_BALANCE_GOODS_APR_UNUSED_UNUSED_UNUSED" hidden="1">"c7473"</definedName>
    <definedName name="IQ_BALANCE_GOODS_FC_UNUSED" hidden="1">"c7693"</definedName>
    <definedName name="IQ_BALANCE_GOODS_FC_UNUSED_UNUSED_UNUSED" hidden="1">"c7693"</definedName>
    <definedName name="IQ_BALANCE_GOODS_POP_FC_UNUSED" hidden="1">"c7913"</definedName>
    <definedName name="IQ_BALANCE_GOODS_POP_FC_UNUSED_UNUSED_UNUSED" hidden="1">"c7913"</definedName>
    <definedName name="IQ_BALANCE_GOODS_POP_UNUSED" hidden="1">"c7033"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FC_UNUSED_UNUSED_UNUSED" hidden="1">"c8133"</definedName>
    <definedName name="IQ_BALANCE_GOODS_YOY_UNUSED" hidden="1">"c7253"</definedName>
    <definedName name="IQ_BALANCE_GOODS_YOY_UNUSED_UNUSED_UNUSED" hidden="1">"c7253"</definedName>
    <definedName name="IQ_BALANCE_SERV_APR_FC_UNUSED" hidden="1">"c8355"</definedName>
    <definedName name="IQ_BALANCE_SERV_APR_FC_UNUSED_UNUSED_UNUSED" hidden="1">"c8355"</definedName>
    <definedName name="IQ_BALANCE_SERV_APR_UNUSED" hidden="1">"c7475"</definedName>
    <definedName name="IQ_BALANCE_SERV_APR_UNUSED_UNUSED_UNUSED" hidden="1">"c7475"</definedName>
    <definedName name="IQ_BALANCE_SERV_FC_UNUSED" hidden="1">"c7695"</definedName>
    <definedName name="IQ_BALANCE_SERV_FC_UNUSED_UNUSED_UNUSED" hidden="1">"c7695"</definedName>
    <definedName name="IQ_BALANCE_SERV_POP_FC_UNUSED" hidden="1">"c7915"</definedName>
    <definedName name="IQ_BALANCE_SERV_POP_FC_UNUSED_UNUSED_UNUSED" hidden="1">"c7915"</definedName>
    <definedName name="IQ_BALANCE_SERV_POP_UNUSED" hidden="1">"c7035"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FC_UNUSED_UNUSED_UNUSED" hidden="1">"c8135"</definedName>
    <definedName name="IQ_BALANCE_SERV_YOY_UNUSED" hidden="1">"c7255"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SHEET_AP" hidden="1">"c25883"</definedName>
    <definedName name="IQ_BALANCE_SHEET_AP_CO" hidden="1">"c25884"</definedName>
    <definedName name="IQ_BALANCE_SHEET_INDUSTRY" hidden="1">"c25879"</definedName>
    <definedName name="IQ_BALANCE_SHEET_INDUSTRY_CO" hidden="1">"c25880"</definedName>
    <definedName name="IQ_BALANCE_SHEET_STANDARD" hidden="1">"c25881"</definedName>
    <definedName name="IQ_BALANCE_SHEET_STANDARD_CO" hidden="1">"c25882"</definedName>
    <definedName name="IQ_BALANCE_TRADE_APR_FC_UNUSED" hidden="1">"c8357"</definedName>
    <definedName name="IQ_BALANCE_TRADE_APR_FC_UNUSED_UNUSED_UNUSED" hidden="1">"c8357"</definedName>
    <definedName name="IQ_BALANCE_TRADE_APR_UNUSED" hidden="1">"c7477"</definedName>
    <definedName name="IQ_BALANCE_TRADE_APR_UNUSED_UNUSED_UNUSED" hidden="1">"c7477"</definedName>
    <definedName name="IQ_BALANCE_TRADE_FC_UNUSED" hidden="1">"c7697"</definedName>
    <definedName name="IQ_BALANCE_TRADE_FC_UNUSED_UNUSED_UNUSED" hidden="1">"c7697"</definedName>
    <definedName name="IQ_BALANCE_TRADE_POP_FC_UNUSED" hidden="1">"c7917"</definedName>
    <definedName name="IQ_BALANCE_TRADE_POP_FC_UNUSED_UNUSED_UNUSED" hidden="1">"c7917"</definedName>
    <definedName name="IQ_BALANCE_TRADE_POP_UNUSED" hidden="1">"c7037"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FC_UNUSED_UNUSED_UNUSED" hidden="1">"c8137"</definedName>
    <definedName name="IQ_BALANCE_TRADE_YOY_UNUSED" hidden="1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LOAN_LIST" hidden="1">"c13507"</definedName>
    <definedName name="IQ_BANK_OWNED_LIFE_INSURANCE_THRIFT" hidden="1">"c24884"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 hidden="1">"c13386"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ASIC_WEIGHT_GUIDANCE" hidden="1">"c4141"</definedName>
    <definedName name="IQ_BEGINNING_BALANCE_GVA_THRIFT" hidden="1">"c25091"</definedName>
    <definedName name="IQ_BEGINNING_BALANCE_REPORTED_QUARTERLY_BALANCE_GVA_THRIFT" hidden="1">"c25090"</definedName>
    <definedName name="IQ_BEGINNING_BALANCE_REPORTED_QUARTERLY_BALANCE_SVA_THRIFT" hidden="1">"c25098"</definedName>
    <definedName name="IQ_BEGINNING_BALANCE_REPORTED_QUARTERLY_BALANCE_TVA_THRIFT" hidden="1">"c25105"</definedName>
    <definedName name="IQ_BEGINNING_BALANCE_SVA_THRIFT" hidden="1">"c25099"</definedName>
    <definedName name="IQ_BEGINNING_BALANCE_TVA_THRIFT" hidden="1">"c25106"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P" hidden="1">"c20560"</definedName>
    <definedName name="IQ_BOP_BALANCE_ON_CURRENT_ACCOUNT" hidden="1">"c20561"</definedName>
    <definedName name="IQ_BOP_BALANCE_ON_GOODS" hidden="1">"c20562"</definedName>
    <definedName name="IQ_BOP_BALANCE_ON_GOODS_SERVICES" hidden="1">"c20563"</definedName>
    <definedName name="IQ_BOP_BALANCE_ON_INCOME" hidden="1">"c20564"</definedName>
    <definedName name="IQ_BOP_BALANCE_ON_SERVICES" hidden="1">"c20565"</definedName>
    <definedName name="IQ_BOP_CAPITAL_TRANSACTION_NET" hidden="1">"c20566"</definedName>
    <definedName name="IQ_BOP_CURRENT_TRANSFER_GOVERNMENT_GRANTS" hidden="1">"c20567"</definedName>
    <definedName name="IQ_BOP_CURRENT_TRANSFER_GOVERNMENT_PENSIONS" hidden="1">"c20568"</definedName>
    <definedName name="IQ_BOP_CURRENT_TRANSFER_NET" hidden="1">"c20569"</definedName>
    <definedName name="IQ_BOP_CURRENT_TRANSFER_PRIVATE_TRANSFER" hidden="1">"c20570"</definedName>
    <definedName name="IQ_BOP_EXPORTS_AND_RECEIPTS" hidden="1">"c20571"</definedName>
    <definedName name="IQ_BOP_EXPORTS_GOODS" hidden="1">"c20572"</definedName>
    <definedName name="IQ_BOP_EXPORTS_GOODS_SERVICES" hidden="1">"c20573"</definedName>
    <definedName name="IQ_BOP_EXPORTS_SERVICES" hidden="1">"c20574"</definedName>
    <definedName name="IQ_BOP_EXPORTS_SERVICES_FARES" hidden="1">"c20575"</definedName>
    <definedName name="IQ_BOP_EXPORTS_SERVICES_GOVERNMENT_MISC" hidden="1">"c20576"</definedName>
    <definedName name="IQ_BOP_EXPORTS_SERVICES_MILITARY_SALES_CONTRACTS" hidden="1">"c20577"</definedName>
    <definedName name="IQ_BOP_EXPORTS_SERVICES_OTHER" hidden="1">"c20578"</definedName>
    <definedName name="IQ_BOP_EXPORTS_SERVICES_ROYALTIES" hidden="1">"c20579"</definedName>
    <definedName name="IQ_BOP_EXPORTS_SERVICES_TRANSPORTATION" hidden="1">"c20580"</definedName>
    <definedName name="IQ_BOP_EXPORTS_SERVICES_TRAVEL" hidden="1">"c20581"</definedName>
    <definedName name="IQ_BOP_FOREIGN_ASSETS" hidden="1">"c20582"</definedName>
    <definedName name="IQ_BOP_FOREIGN_ASSETS_OFFICIAL" hidden="1">"c20583"</definedName>
    <definedName name="IQ_BOP_FOREIGN_ASSETS_OFFICIAL_BANK_LIABILITIES" hidden="1">"c20584"</definedName>
    <definedName name="IQ_BOP_FOREIGN_ASSETS_OFFICIAL_GOVT_LIABILITIES" hidden="1">"c20585"</definedName>
    <definedName name="IQ_BOP_FOREIGN_ASSETS_OFFICIAL_GOVT_SECURITIES" hidden="1">"c20586"</definedName>
    <definedName name="IQ_BOP_FOREIGN_ASSETS_OFFICIAL_GOVT_SECURITIES_OTHER" hidden="1">"c20587"</definedName>
    <definedName name="IQ_BOP_FOREIGN_ASSETS_OFFICIAL_OTHER" hidden="1">"c20588"</definedName>
    <definedName name="IQ_BOP_FOREIGN_ASSETS_OFFICIAL_TREASURIES" hidden="1">"c20589"</definedName>
    <definedName name="IQ_BOP_FOREIGN_ASSETS_OTHER" hidden="1">"c20590"</definedName>
    <definedName name="IQ_BOP_FOREIGN_ASSETS_OTHER_BANK_LIABILITIES" hidden="1">"c20591"</definedName>
    <definedName name="IQ_BOP_FOREIGN_ASSETS_OTHER_CURRENCY" hidden="1">"c20592"</definedName>
    <definedName name="IQ_BOP_FOREIGN_ASSETS_OTHER_DIRECT_INVEST" hidden="1">"c20593"</definedName>
    <definedName name="IQ_BOP_FOREIGN_ASSETS_OTHER_LIABILITIES_TO_FOREIGNERS" hidden="1">"c20594"</definedName>
    <definedName name="IQ_BOP_FOREIGN_ASSETS_OTHER_SECURITIES" hidden="1">"c20595"</definedName>
    <definedName name="IQ_BOP_FOREIGN_ASSETS_OTHER_TREASURIES" hidden="1">"c20596"</definedName>
    <definedName name="IQ_BOP_IMPORTS_AND_PAYMENTS" hidden="1">"c20597"</definedName>
    <definedName name="IQ_BOP_IMPORTS_GOODS" hidden="1">"c20598"</definedName>
    <definedName name="IQ_BOP_IMPORTS_GOODS_SERVICES" hidden="1">"c20599"</definedName>
    <definedName name="IQ_BOP_IMPORTS_SERVICES" hidden="1">"c20600"</definedName>
    <definedName name="IQ_BOP_IMPORTS_SERVICES_DEF_EXPENDITURES" hidden="1">"c20601"</definedName>
    <definedName name="IQ_BOP_IMPORTS_SERVICES_FARES" hidden="1">"c20602"</definedName>
    <definedName name="IQ_BOP_IMPORTS_SERVICES_GOVERNMENT_MISC" hidden="1">"c20603"</definedName>
    <definedName name="IQ_BOP_IMPORTS_SERVICES_OTHER" hidden="1">"c20604"</definedName>
    <definedName name="IQ_BOP_IMPORTS_SERVICES_ROYALTIES" hidden="1">"c20605"</definedName>
    <definedName name="IQ_BOP_IMPORTS_SERVICES_TRANSPORTATION" hidden="1">"c20606"</definedName>
    <definedName name="IQ_BOP_IMPORTS_SERVICES_TRAVEL" hidden="1">"c20607"</definedName>
    <definedName name="IQ_BOP_PAYMENTS" hidden="1">"c20608"</definedName>
    <definedName name="IQ_BOP_PAYMENTS_DIRECT_INVEST" hidden="1">"c20609"</definedName>
    <definedName name="IQ_BOP_PAYMENTS_EMPLOYEE_COMPENSATION" hidden="1">"c20610"</definedName>
    <definedName name="IQ_BOP_PAYMENTS_FOREGN_OWNED_ASSETS" hidden="1">"c20611"</definedName>
    <definedName name="IQ_BOP_PAYMENTS_GOVT" hidden="1">"c20612"</definedName>
    <definedName name="IQ_BOP_PAYMENTS_OTHER" hidden="1">"c20613"</definedName>
    <definedName name="IQ_BOP_RECEIPTS" hidden="1">"c20614"</definedName>
    <definedName name="IQ_BOP_RECEIPTS_DIRECT_INVEST" hidden="1">"c20615"</definedName>
    <definedName name="IQ_BOP_RECEIPTS_EMPLOYEE_COMPENSATION" hidden="1">"c20616"</definedName>
    <definedName name="IQ_BOP_RECEIPTS_GOVT" hidden="1">"c20617"</definedName>
    <definedName name="IQ_BOP_RECEIPTS_OTHER" hidden="1">"c20618"</definedName>
    <definedName name="IQ_BOP_RECEIPTS_US_ASSETS_ABROAD" hidden="1">"c20619"</definedName>
    <definedName name="IQ_BOP_STATISTICAL_DISCREPANCY" hidden="1">"c20620"</definedName>
    <definedName name="IQ_BOP_US_ASSETS_ABROAD" hidden="1">"c20621"</definedName>
    <definedName name="IQ_BOP_US_GOVT_ASSETS" hidden="1">"c20622"</definedName>
    <definedName name="IQ_BOP_US_GOVT_ASSETS_FX" hidden="1">"c20623"</definedName>
    <definedName name="IQ_BOP_US_GOVT_ASSETS_US_CREDITS" hidden="1">"c20624"</definedName>
    <definedName name="IQ_BOP_US_GOVT_ASSETS_US_CREDITS_REPAYMENTS" hidden="1">"c20625"</definedName>
    <definedName name="IQ_BOP_US_PRIVATE_ASSETS" hidden="1">"c20626"</definedName>
    <definedName name="IQ_BOP_US_PRIVATE_ASSETS_CLAIMS_BANKS_BROKERS" hidden="1">"c20627"</definedName>
    <definedName name="IQ_BOP_US_PRIVATE_ASSETS_CLAIMS_ON_FOREIGNERS" hidden="1">"c20628"</definedName>
    <definedName name="IQ_BOP_US_PRIVATE_ASSETS_DIRECT_INVEST" hidden="1">"c20629"</definedName>
    <definedName name="IQ_BOP_US_PRIVATE_ASSETS_FOREIGN_SECURITIES" hidden="1">"c20630"</definedName>
    <definedName name="IQ_BOP_US_RESERVE_ASSETS" hidden="1">"c20631"</definedName>
    <definedName name="IQ_BOP_US_RESERVE_ASSETS_DRAWING_RIGHTS" hidden="1">"c20632"</definedName>
    <definedName name="IQ_BOP_US_RESERVE_ASSETS_FX" hidden="1">"c20633"</definedName>
    <definedName name="IQ_BOP_US_RESERVE_ASSETS_GOLD" hidden="1">"c20634"</definedName>
    <definedName name="IQ_BOP_US_RESERVE_ASSETS_IMF_RESERVES" hidden="1">"c20635"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_DEPOSITS_TOTAL_DEPOSITS_THRIFT" hidden="1">"c25781"</definedName>
    <definedName name="IQ_BROKER_ORIGINATED_DEPOSITS_FULLY_INSURED_100000_THROUGH_250000_THRIFT" hidden="1">"c24980"</definedName>
    <definedName name="IQ_BROKER_ORIGINATED_DEPOSITS_FULLY_INSURED_LESS_THAN_100000_THRIFT" hidden="1">"c24979"</definedName>
    <definedName name="IQ_BROKERED_DEPOSITS_FDIC" hidden="1">"c6486"</definedName>
    <definedName name="IQ_BUDGET_BALANCE_APR_FC_UNUSED" hidden="1">"c8359"</definedName>
    <definedName name="IQ_BUDGET_BALANCE_APR_FC_UNUSED_UNUSED_UNUSED" hidden="1">"c8359"</definedName>
    <definedName name="IQ_BUDGET_BALANCE_APR_UNUSED" hidden="1">"c7479"</definedName>
    <definedName name="IQ_BUDGET_BALANCE_APR_UNUSED_UNUSED_UNUSED" hidden="1">"c7479"</definedName>
    <definedName name="IQ_BUDGET_BALANCE_FC_UNUSED" hidden="1">"c7699"</definedName>
    <definedName name="IQ_BUDGET_BALANCE_FC_UNUSED_UNUSED_UNUSED" hidden="1">"c7699"</definedName>
    <definedName name="IQ_BUDGET_BALANCE_POP_FC_UNUSED" hidden="1">"c7919"</definedName>
    <definedName name="IQ_BUDGET_BALANCE_POP_FC_UNUSED_UNUSED_UNUSED" hidden="1">"c7919"</definedName>
    <definedName name="IQ_BUDGET_BALANCE_POP_UNUSED" hidden="1">"c7039"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UNUSED_UNUSED_UNUSED" hidden="1">"c6819"</definedName>
    <definedName name="IQ_BUDGET_BALANCE_YOY_FC_UNUSED" hidden="1">"c8139"</definedName>
    <definedName name="IQ_BUDGET_BALANCE_YOY_FC_UNUSED_UNUSED_UNUSED" hidden="1">"c8139"</definedName>
    <definedName name="IQ_BUDGET_BALANCE_YOY_UNUSED" hidden="1">"c7259"</definedName>
    <definedName name="IQ_BUDGET_BALANCE_YOY_UNUSED_UNUSED_UNUSED" hidden="1">"c7259"</definedName>
    <definedName name="IQ_BUDGET_RECEIPTS_APR_FC_UNUSED" hidden="1">"c8361"</definedName>
    <definedName name="IQ_BUDGET_RECEIPTS_APR_FC_UNUSED_UNUSED_UNUSED" hidden="1">"c8361"</definedName>
    <definedName name="IQ_BUDGET_RECEIPTS_APR_UNUSED" hidden="1">"c7481"</definedName>
    <definedName name="IQ_BUDGET_RECEIPTS_APR_UNUSED_UNUSED_UNUSED" hidden="1">"c7481"</definedName>
    <definedName name="IQ_BUDGET_RECEIPTS_FC_UNUSED" hidden="1">"c7701"</definedName>
    <definedName name="IQ_BUDGET_RECEIPTS_FC_UNUSED_UNUSED_UNUSED" hidden="1">"c7701"</definedName>
    <definedName name="IQ_BUDGET_RECEIPTS_POP_FC_UNUSED" hidden="1">"c7921"</definedName>
    <definedName name="IQ_BUDGET_RECEIPTS_POP_FC_UNUSED_UNUSED_UNUSED" hidden="1">"c7921"</definedName>
    <definedName name="IQ_BUDGET_RECEIPTS_POP_UNUSED" hidden="1">"c7041"</definedName>
    <definedName name="IQ_BUDGET_RECEIPTS_POP_UNUSED_UNUSED_UNUSED" hidden="1">"c7041"</definedName>
    <definedName name="IQ_BUDGET_RECEIPTS_UNUSED" hidden="1">"c6821"</definedName>
    <definedName name="IQ_BUDGET_RECEIPTS_UNUSED_UNUSED_UNUSED" hidden="1">"c6821"</definedName>
    <definedName name="IQ_BUDGET_RECEIPTS_YOY_FC_UNUSED" hidden="1">"c8141"</definedName>
    <definedName name="IQ_BUDGET_RECEIPTS_YOY_FC_UNUSED_UNUSED_UNUSED" hidden="1">"c8141"</definedName>
    <definedName name="IQ_BUDGET_RECEIPTS_YOY_UNUSED" hidden="1">"c7261"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_COL" hidden="1">"c11715"</definedName>
    <definedName name="IQ_BV_OVER_SHARES" hidden="1">"c1349"</definedName>
    <definedName name="IQ_BV_SHARE" hidden="1">"c100"</definedName>
    <definedName name="IQ_BV_SHARE_ACT_OR_EST_CIQ_COL" hidden="1">"c11719"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"c16151"</definedName>
    <definedName name="IQ_CABLE_ARPU_ANALOG" hidden="1">"c16146"</definedName>
    <definedName name="IQ_CABLE_ARPU_BASIC" hidden="1">"c16148"</definedName>
    <definedName name="IQ_CABLE_ARPU_BBAND" hidden="1">"c16150"</definedName>
    <definedName name="IQ_CABLE_ARPU_DIG" hidden="1">"c16147"</definedName>
    <definedName name="IQ_CABLE_ARPU_PHONE" hidden="1">"c16149"</definedName>
    <definedName name="IQ_CABLE_BASIC_PENETRATION" hidden="1">"c16130"</definedName>
    <definedName name="IQ_CABLE_BBAND_PENETRATION" hidden="1">"c16131"</definedName>
    <definedName name="IQ_CABLE_BBAND_PENETRATION_THP" hidden="1">"c16132"</definedName>
    <definedName name="IQ_CABLE_CHURN" hidden="1">"c16156"</definedName>
    <definedName name="IQ_CABLE_CHURN_BASIC" hidden="1">"c16153"</definedName>
    <definedName name="IQ_CABLE_CHURN_BBAND" hidden="1">"c16155"</definedName>
    <definedName name="IQ_CABLE_CHURN_DIG" hidden="1">"c16152"</definedName>
    <definedName name="IQ_CABLE_CHURN_PHONE" hidden="1">"c16154"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"c16145"</definedName>
    <definedName name="IQ_CABLE_OTHER_REV" hidden="1">"c16164"</definedName>
    <definedName name="IQ_CABLE_PHONE_PENETRATION" hidden="1">"c16133"</definedName>
    <definedName name="IQ_CABLE_PROGRAMMING_COSTS" hidden="1">"c16144"</definedName>
    <definedName name="IQ_CABLE_REV_ADVERT" hidden="1">"c16162"</definedName>
    <definedName name="IQ_CABLE_REV_ANALOG" hidden="1">"c16157"</definedName>
    <definedName name="IQ_CABLE_REV_BASIC" hidden="1">"c16159"</definedName>
    <definedName name="IQ_CABLE_REV_BBAND" hidden="1">"c16160"</definedName>
    <definedName name="IQ_CABLE_REV_COMMERCIAL" hidden="1">"c16163"</definedName>
    <definedName name="IQ_CABLE_REV_DIG" hidden="1">"c16158"</definedName>
    <definedName name="IQ_CABLE_REV_PHONE" hidden="1">"c16161"</definedName>
    <definedName name="IQ_CABLE_RGU" hidden="1">"c16143"</definedName>
    <definedName name="IQ_CABLE_SUBS_ANALOG" hidden="1">"c16135"</definedName>
    <definedName name="IQ_CABLE_SUBS_BASIC" hidden="1">"c16137"</definedName>
    <definedName name="IQ_CABLE_SUBS_BBAND" hidden="1">"c16138"</definedName>
    <definedName name="IQ_CABLE_SUBS_BUNDLED" hidden="1">"c16141"</definedName>
    <definedName name="IQ_CABLE_SUBS_BUS_PHONE" hidden="1">"c15773"</definedName>
    <definedName name="IQ_CABLE_SUBS_DIG" hidden="1">"c16136"</definedName>
    <definedName name="IQ_CABLE_SUBS_LONG_DIST_PHONE" hidden="1">"c15775"</definedName>
    <definedName name="IQ_CABLE_SUBS_NON_VIDEO" hidden="1">"c16140"</definedName>
    <definedName name="IQ_CABLE_SUBS_PHONE" hidden="1">"c16139"</definedName>
    <definedName name="IQ_CABLE_SUBS_RES_PHONE" hidden="1">"c15772"</definedName>
    <definedName name="IQ_CABLE_SUBS_SATELITE" hidden="1">"c15771"</definedName>
    <definedName name="IQ_CABLE_SUBS_TOTAL" hidden="1">"c16142"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"c16165"</definedName>
    <definedName name="IQ_CAL_Q" hidden="1">"c101"</definedName>
    <definedName name="IQ_CAL_Q_EST" hidden="1">"c6796"</definedName>
    <definedName name="IQ_CAL_Q_EST_CIQ_COL" hidden="1">"c11743"</definedName>
    <definedName name="IQ_CAL_Q_EST_REUT" hidden="1">"c6800"</definedName>
    <definedName name="IQ_CAL_Y" hidden="1">"c102"</definedName>
    <definedName name="IQ_CAL_Y_EST" hidden="1">"c6797"</definedName>
    <definedName name="IQ_CAL_Y_EST_CIQ_COL" hidden="1">"c11744"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CIQ_COL" hidden="1">"c11718"</definedName>
    <definedName name="IQ_CAPEX_BNK" hidden="1">"c110"</definedName>
    <definedName name="IQ_CAPEX_BR" hidden="1">"c111"</definedName>
    <definedName name="IQ_CAPEX_CM" hidden="1">"c111"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GUIDANCE_CIQ" hidden="1">"c4632"</definedName>
    <definedName name="IQ_CAPEX_LOW_GUIDANCE_CIQ_COL" hidden="1">"c11281"</definedName>
    <definedName name="IQ_CAPEX_PCT_REV" hidden="1">"c19144"</definedName>
    <definedName name="IQ_CAPEX_UTI" hidden="1">"c114"</definedName>
    <definedName name="IQ_CAPITAL_ALLOCATION_ADJUSTMENT_FOREIGN_FFIEC" hidden="1">"c15389"</definedName>
    <definedName name="IQ_CAPITAL_CONTRIBUTIONS_SAVINGS_ASSOCIATION_THRIFT" hidden="1">"c25014"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_THRIFT" hidden="1">"c24763"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RRYING_AMT_DEBT_SEC_COVERED_FDIC_LOSS_SHARING_AGREEMENTS_THRIFT" hidden="1">"c24944"</definedName>
    <definedName name="IQ_CARRYING_AMT_LOANS_LEASES_COVERED_FDIC_LOSS_SHARING_AGREEMENTS_THRIFT" hidden="1">"c24942"</definedName>
    <definedName name="IQ_CARRYING_AMT_OTHER_ASSETS_COVERED_FDIC_LOSS_SHARING_AGREEMENTS_THRIFT" hidden="1">"c24945"</definedName>
    <definedName name="IQ_CARRYING_AMT_RE_OWNED_COVERED_FDIC_LOSS_SHARING_AGREEMENTS_THRIFT" hidden="1">"c24943"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IVIDENDS_NET_INCOME_FDIC" hidden="1">"c6738"</definedName>
    <definedName name="IQ_CASH_DIVIDENDS_NET_INCOME_THRIFT" hidden="1">"c25634"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LIGIBLE_0_PCT_RISK_WEIGHT_THRIFT" hidden="1">"c25051"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_COL" hidden="1">"c11215"</definedName>
    <definedName name="IQ_CASH_FLOW_AP" hidden="1">"c25889"</definedName>
    <definedName name="IQ_CASH_FLOW_AP_CO" hidden="1">"c25890"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INDUSTRY" hidden="1">"c25885"</definedName>
    <definedName name="IQ_CASH_FLOW_INDUSTRY_CO" hidden="1">"c25886"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LOW_STANDARD" hidden="1">"c25887"</definedName>
    <definedName name="IQ_CASH_FLOW_STANDARD_CO" hidden="1">"c25888"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NON_INT_EARNING_DEPOSITS_THRIFT" hidden="1">"c24818"</definedName>
    <definedName name="IQ_CASH_OPER" hidden="1">"c122"</definedName>
    <definedName name="IQ_CASH_OPER_ACT_OR_EST" hidden="1">"c4164"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GUIDANCE_CIQ" hidden="1">"c4577"</definedName>
    <definedName name="IQ_CASH_OPER_GUIDANCE_CIQ_COL" hidden="1">"c11226"</definedName>
    <definedName name="IQ_CASH_OPER_HIGH_GUIDANCE_CIQ" hidden="1">"c4597"</definedName>
    <definedName name="IQ_CASH_OPER_HIGH_GUIDANCE_CIQ_COL" hidden="1">"c11246"</definedName>
    <definedName name="IQ_CASH_OPER_LOW_GUIDANCE_CIQ" hidden="1">"c4637"</definedName>
    <definedName name="IQ_CASH_OPER_LOW_GUIDANCE_CIQ_COL" hidden="1">"c11286"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ATASTROPHIC_LOSSES" hidden="1">"c17694"</definedName>
    <definedName name="IQ_CC_RELATED_DUE_90_FFIEC" hidden="1">"c25833"</definedName>
    <definedName name="IQ_CC_RELATED_LOANS_DUE_30_89_FFIEC" hidden="1">"c25832"</definedName>
    <definedName name="IQ_CC_RELATED_NON_ACCRUAL_FFIEC" hidden="1">"c25834"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_CIQ_COL" hidden="1">"c11708"</definedName>
    <definedName name="IQ_CFPS_EST" hidden="1">"c1667"</definedName>
    <definedName name="IQ_CFPS_GUIDANCE_CIQ" hidden="1">"c4782"</definedName>
    <definedName name="IQ_CFPS_GUIDANCE_CIQ_COL" hidden="1">"c11429"</definedName>
    <definedName name="IQ_CFPS_HIGH_EST" hidden="1">"c1669"</definedName>
    <definedName name="IQ_CFPS_HIGH_GUIDANCE_CIQ" hidden="1">"c4579"</definedName>
    <definedName name="IQ_CFPS_HIGH_GUIDANCE_CIQ_COL" hidden="1">"c11228"</definedName>
    <definedName name="IQ_CFPS_LOW_EST" hidden="1">"c1670"</definedName>
    <definedName name="IQ_CFPS_LOW_GUIDANCE_CIQ" hidden="1">"c4619"</definedName>
    <definedName name="IQ_CFPS_LOW_GUIDANCE_CIQ_COL" hidden="1">"c11268"</definedName>
    <definedName name="IQ_CFPS_MEDIAN_EST" hidden="1">"c1668"</definedName>
    <definedName name="IQ_CFPS_NUM_EST" hidden="1">"c1671"</definedName>
    <definedName name="IQ_CFPS_STDDEV_EST" hidden="1">"c1672"</definedName>
    <definedName name="IQ_CH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CM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CM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FC_UNUSED_UNUSED_UNUSED" hidden="1">"c8500"</definedName>
    <definedName name="IQ_CHANGE_INVENT_REAL_APR_UNUSED" hidden="1">"c7620"</definedName>
    <definedName name="IQ_CHANGE_INVENT_REAL_APR_UNUSED_UNUSED_UNUSED" hidden="1">"c7620"</definedName>
    <definedName name="IQ_CHANGE_INVENT_REAL_FC_UNUSED" hidden="1">"c7840"</definedName>
    <definedName name="IQ_CHANGE_INVENT_REAL_FC_UNUSED_UNUSED_UNUSED" hidden="1">"c7840"</definedName>
    <definedName name="IQ_CHANGE_INVENT_REAL_POP_FC_UNUSED" hidden="1">"c8060"</definedName>
    <definedName name="IQ_CHANGE_INVENT_REAL_POP_FC_UNUSED_UNUSED_UNUSED" hidden="1">"c8060"</definedName>
    <definedName name="IQ_CHANGE_INVENT_REAL_POP_UNUSED" hidden="1">"c7180"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FC_UNUSED_UNUSED_UNUSED" hidden="1">"c8280"</definedName>
    <definedName name="IQ_CHANGE_INVENT_REAL_YOY_UNUSED" hidden="1">"c7400"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CM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CM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GVA_THRIFT" hidden="1">"c25096"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SVA_THRIFT" hidden="1">"c25103"</definedName>
    <definedName name="IQ_CHARGE_OFFS_TOTAL_AVG_LOANS" hidden="1">"c165"</definedName>
    <definedName name="IQ_CHARGE_OFFS_TVA_THRIFT" hidden="1">"c25110"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IMS_DOMESTIC_DEPOSITORY_INSTITUTIONS_ELIGIBLE_20_PCT_RISK_WEIGHT_THRIFT" hidden="1">"c25060"</definedName>
    <definedName name="IQ_CLAIMS_FHLBS_ELIGIBLE_20_PCT_RISK_WEIGHT_THRIFT" hidden="1">"c25058"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AMILY_LOANS_TOTAL_LOANS_THRIFT" hidden="1">"c25742"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LOANS_GROSS_LOANS_THRIFT" hidden="1">"c25724"</definedName>
    <definedName name="IQ_CLOSED_END_LOANS_RISK_BASED_CAPITAL_THRIFT" hidden="1">"c25709"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D_PURCHASED_COMM_NON_MORTGAGE_LOANS_THRIFT" hidden="1">"c25339"</definedName>
    <definedName name="IQ_CLOSED_PURCHASED_CONSUMER_NON_MORTGAGE_LOANS_THRIFT" hidden="1">"c25341"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MO_FDIC" hidden="1">"c6406"</definedName>
    <definedName name="IQ_CMO_THRIFT" hidden="1">"c24903"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LLATERALIZED_MBS_ISSUED_GUARANTEED_FNMA_FHLMC_GNMA_THRIFT" hidden="1">"c24834"</definedName>
    <definedName name="IQ_COLLECTION_DOMESTIC_FDIC" hidden="1">"c6387"</definedName>
    <definedName name="IQ_COLLECTIVE_INV_FUNDS_COMMON_TRUST_FUNDS_DOMESTIC_EQUITY_MARKET_VALUE_FUNDED_ASSETS_THRIFT" hidden="1">"c25445"</definedName>
    <definedName name="IQ_COLLECTIVE_INV_FUNDS_COMMON_TRUST_FUNDS_DOMESTIC_EQUITY_NUMBER_FUNDS_THRIFT" hidden="1">"c25446"</definedName>
    <definedName name="IQ_COLLECTIVE_INV_FUNDS_COMMON_TRUST_FUNDS_INTERNATIONALGLOBAL_EQUITY_MARKET_VALUE_FUNDED_ASSETS_THRIFT" hidden="1">"c25447"</definedName>
    <definedName name="IQ_COLLECTIVE_INV_FUNDS_COMMON_TRUST_FUNDS_INTERNATIONALGLOBAL_EQUITY_NUMBER_FUNDS_THRIFT" hidden="1">"c25448"</definedName>
    <definedName name="IQ_COLLECTIVE_INV_FUNDS_COMMON_TRUST_FUNDS_MUNICIPAL_BOND_MARKET_VALUE_FUNDED_ASSETS_THRIFT" hidden="1">"c25453"</definedName>
    <definedName name="IQ_COLLECTIVE_INV_FUNDS_COMMON_TRUST_FUNDS_MUNICIPAL_BOND_NUMBER_FUNDS_THRIFT" hidden="1">"c25454"</definedName>
    <definedName name="IQ_COLLECTIVE_INV_FUNDS_COMMON_TRUST_FUNDS_SHORT_TERM_INVESTMENTSMONEY_MARKET_MARKET_VALUE_FUNDED_ASSETS_THRIFT" hidden="1">"c25455"</definedName>
    <definedName name="IQ_COLLECTIVE_INV_FUNDS_COMMON_TRUST_FUNDS_SHORT_TERM_INVESTMENTSMONEY_MARKET_NUMBER_FUNDS_THRIFT" hidden="1">"c25456"</definedName>
    <definedName name="IQ_COLLECTIVE_INV_FUNDS_COMMON_TRUST_FUNDS_SPECIALTYOTHER_MARKET_VALUE_FUNDED_ASSETS_THRIFT" hidden="1">"c25457"</definedName>
    <definedName name="IQ_COLLECTIVE_INV_FUNDS_COMMON_TRUST_FUNDS_SPECIALTYOTHER_NUMBER_FUNDS_THRIFT" hidden="1">"c25458"</definedName>
    <definedName name="IQ_COLLECTIVE_INV_FUNDS_COMMON_TRUST_FUNDS_STOCKBOND_BLEND_MARKET_VALUE_FUNDED_ASSETS_THRIFT" hidden="1">"c25449"</definedName>
    <definedName name="IQ_COLLECTIVE_INV_FUNDS_COMMON_TRUST_FUNDS_STOCKBOND_BLEND_NUMBER_FUNDS_THRIFT" hidden="1">"c25450"</definedName>
    <definedName name="IQ_COLLECTIVE_INV_FUNDS_COMMON_TRUST_FUNDS_TAXABLE_BOND_MARKET_VALUE_FUNDED_ASSETS_THRIFT" hidden="1">"c25451"</definedName>
    <definedName name="IQ_COLLECTIVE_INV_FUNDS_COMMON_TRUST_FUNDS_TAXABLE_BOND_NUMBER_FUNDS_THRIFT" hidden="1">"c25452"</definedName>
    <definedName name="IQ_COLLECTIVE_INV_FUNDS_COMMON_TRUST_FUNDS_TOTAL_COLLECTIVE_INV_FUNDS_MARKET_VALUE_FUNDED_ASSETS_THRIFT" hidden="1">"c25459"</definedName>
    <definedName name="IQ_COLLECTIVE_INV_FUNDS_COMMON_TRUST_FUNDS_TOTAL_COLLECTIVE_INV_FUNDS_NUMBER_FUNDS_THRIFT" hidden="1">"c25460"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LETTERS_CREDIT_THRIFT" hidden="1">"c25613"</definedName>
    <definedName name="IQ_COMM_LOANS_GROSS_LOANS_THRIFT" hidden="1">"c25732"</definedName>
    <definedName name="IQ_COMM_LOANS_NON_MORTGAGE_ADJUSTED_NCOS_TOTAL_THRIFT" hidden="1">"c25210"</definedName>
    <definedName name="IQ_COMM_LOANS_NON_MORTGAGE_GVA_CHARGE_OFFS_THRIFT" hidden="1">"c25125"</definedName>
    <definedName name="IQ_COMM_LOANS_NON_MORTGAGE_GVA_RECOVERIES_THRIFT" hidden="1">"c25156"</definedName>
    <definedName name="IQ_COMM_LOANS_NON_MORTGAGE_SVA_PROVISIONS_TRANSFERS_FROM_GVA_TOTAL_THRIFT" hidden="1">"c25179"</definedName>
    <definedName name="IQ_COMM_LOANS_RISK_BASED_CAPITAL_THRIFT" hidden="1">"c25717"</definedName>
    <definedName name="IQ_COMM_LOANS_THRIFT" hidden="1">"c24853"</definedName>
    <definedName name="IQ_COMM_LOANS_TOTAL_LOANS_THRIFT" hidden="1">"c25749"</definedName>
    <definedName name="IQ_COMM_NON_MORTGAGE_LOANS_DUE_30_89_THRIFT" hidden="1">"c25247"</definedName>
    <definedName name="IQ_COMM_NON_MORTGAGE_LOANS_DUE_90_THRIFT" hidden="1">"c25268"</definedName>
    <definedName name="IQ_COMM_NON_MORTGAGE_LOANS_NON_ACCRUAL_THRIFT" hidden="1">"c25289"</definedName>
    <definedName name="IQ_COMM_RE_FARM_LOANS_TOT_LOANS_FFIEC" hidden="1">"c13872"</definedName>
    <definedName name="IQ_COMM_RE_FARM_LOANS_TOTAL_LOANS_THRIFT" hidden="1">"c25743"</definedName>
    <definedName name="IQ_COMM_RE_LOANS_GROSS_LOANS_THRIFT" hidden="1">"c25725"</definedName>
    <definedName name="IQ_COMM_RE_LOANS_RISK_BASED_CAPITAL_THRIFT" hidden="1">"c25710"</definedName>
    <definedName name="IQ_COMM_RE_NONFARM_NONRES_TOT_LOANS_FFIEC" hidden="1">"c13871"</definedName>
    <definedName name="IQ_COMM_RE_NONFARM_NONRESIDENTIAL_TOTAL_LOANS_THRIFT" hidden="1">"c25746"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_UNUSED_FFIEC" hidden="1">"c25859"</definedName>
    <definedName name="IQ_COMMERCIAL_INDUSTRIAL_CHARGE_OFFS_FDIC" hidden="1">"c6598"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ET_FDIC" hidden="1">"c6317"</definedName>
    <definedName name="IQ_COMMERCIAL_INDUSTRIAL_LOANS_NON_ACCRUAL_FFIEC" hidden="1">"c13323"</definedName>
    <definedName name="IQ_COMMERCIAL_INDUSTRIAL_NET_CHARGE_OFFS_FDIC" hidden="1">"c6636"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ECOVERIES_FDIC" hidden="1">"c6617"</definedName>
    <definedName name="IQ_COMMERCIAL_INDUSTRIAL_RISK_BASED_FFIEC" hidden="1">"c13431"</definedName>
    <definedName name="IQ_COMMERCIAL_INDUSTRIAL_TOTAL_LOANS_FOREIGN_FDIC" hidden="1">"c6451"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CONSTRUCTION_LAND_DEV_FDIC" hidden="1">"c6526"</definedName>
    <definedName name="IQ_COMMERCIAL_RE_GROSS_LOANS_FFIEC" hidden="1">"c13400"</definedName>
    <definedName name="IQ_COMMERCIAL_RE_LOANS_FDIC" hidden="1">"c6312"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 hidden="1">"c13129"</definedName>
    <definedName name="IQ_COMMODITY_EXPOSURE_FFIEC" hidden="1">"c13061"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CM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CM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"c13596"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CM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DIVIDENDS_DECLARED_SAVINGS_ASSOCIATION_THRIFT" hidden="1">"c25011"</definedName>
    <definedName name="IQ_COMMON_STOCK_FFIEC" hidden="1">"c12876"</definedName>
    <definedName name="IQ_COMMON_STOCK_THRIFT" hidden="1">"c24917"</definedName>
    <definedName name="IQ_COMMON_TRUST_FUNDS_COLLECTIVE_INV_FUNDS_ALL_OTHER_ACCOUNTS_THRIFT" hidden="1">"c25430"</definedName>
    <definedName name="IQ_COMMON_TRUST_FUNDS_COLLECTIVE_INV_FUNDS_EMPLOYEE_BENEFIT_RETIREMENT_RELATED_ACCOUNTS_THRIFT" hidden="1">"c25414"</definedName>
    <definedName name="IQ_COMMON_TRUST_FUNDS_COLLECTIVE_INV_FUNDS_PERSONAL_TRUST_AGENCY_INV_MANAGEMENT_ACCOUNTS_THRIFT" hidden="1">"c25398"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MAIN_FAX" hidden="1">"c18016"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1_4_DWELLING_UNITS_THRIFT" hidden="1">"c24839"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LOANS_TOTAL_LOANS_THRIFT" hidden="1">"c25744"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GROSS_LOANS_THRIFT" hidden="1">"c25726"</definedName>
    <definedName name="IQ_CONSTRUCTION_LOANS_IN_PROCESS_FORECLOSURE_THRIFT" hidden="1">"c25303"</definedName>
    <definedName name="IQ_CONSTRUCTION_LOANS_RISK_BASED_CAPITAL_THRIFT" hidden="1">"c25711"</definedName>
    <definedName name="IQ_CONSTRUCTION_LOANS_TOTAL_LOANS" hidden="1">"c15711"</definedName>
    <definedName name="IQ_CONSTRUCTION_MORTGAGE_LOANS_30_89_DAYS_PAST_DUE_STILL_ACCRUING_THRIFT" hidden="1">"c25240"</definedName>
    <definedName name="IQ_CONSTRUCTION_MORTGAGE_LOANS_DUE_90_THRIFT" hidden="1">"c25261"</definedName>
    <definedName name="IQ_CONSTRUCTION_MORTGAGE_LOANS_FORECLOSED_DURING_QUARTER_THRIFT" hidden="1">"c25231"</definedName>
    <definedName name="IQ_CONSTRUCTION_MORTGAGE_LOANS_NON_ACCRUAL_THRIFT" hidden="1">"c25282"</definedName>
    <definedName name="IQ_CONSTRUCTION_MORTGAGE_LOANS_THRIFT" hidden="1">"c24838"</definedName>
    <definedName name="IQ_CONSTRUCTION_MULTIFAMILY_DWELLING_UNITS_THRIFT" hidden="1">"c24840"</definedName>
    <definedName name="IQ_CONSTRUCTION_NONRES_PROPERTY_THRIFT" hidden="1">"c24841"</definedName>
    <definedName name="IQ_CONSTRUCTION_RISK_BASED_FFIEC" hidden="1">"c13422"</definedName>
    <definedName name="IQ_CONSULTING_FFIEC" hidden="1">"c13055"</definedName>
    <definedName name="IQ_CONSUMER_AUTO_LOANS_DUE_90_THRIFT" hidden="1">"c25272"</definedName>
    <definedName name="IQ_CONSUMER_AUTO_LOANS_NON_MORTGAGE_ADJUSTED_NCOS_TOTAL_THRIFT" hidden="1">"c25214"</definedName>
    <definedName name="IQ_CONSUMER_AUTO_LOANS_NON_MORTGAGE_GVA_CHARGE_OFFS_THRIFT" hidden="1">"c25129"</definedName>
    <definedName name="IQ_CONSUMER_AUTO_LOANS_NON_MORTGAGE_GVA_RECOVERIES_THRIFT" hidden="1">"c25160"</definedName>
    <definedName name="IQ_CONSUMER_AUTO_LOANS_NON_MORTGAGE_LOANS_DUE_30_89_THRIFT" hidden="1">"c25251"</definedName>
    <definedName name="IQ_CONSUMER_AUTO_LOANS_NON_MORTGAGE_LOANS_NON_ACCRUAL_THRIFT" hidden="1">"c25293"</definedName>
    <definedName name="IQ_CONSUMER_AUTO_LOANS_NON_MORTGAGE_SVA_PROVISIONS_TRANSFERS_FROM_GVA_TOTAL_THRIFT" hidden="1">"c25183"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CREDIT_CARD_LINES_UNUSED_FFIEC" hidden="1">"c25862"</definedName>
    <definedName name="IQ_CONSUMER_CREDIT_CARDS_NON_MORTGAGE_ADJUSTED_NCOS_TOTAL_THRIFT" hidden="1">"c25216"</definedName>
    <definedName name="IQ_CONSUMER_CREDIT_CARDS_NON_MORTGAGE_GVA_CHARGE_OFFS_THRIFT" hidden="1">"c25131"</definedName>
    <definedName name="IQ_CONSUMER_CREDIT_CARDS_NON_MORTGAGE_GVA_RECOVERIES_THRIFT" hidden="1">"c25162"</definedName>
    <definedName name="IQ_CONSUMER_CREDIT_CARDS_NON_MORTGAGE_LOANS_DUE_30_89_THRIFT" hidden="1">"c25253"</definedName>
    <definedName name="IQ_CONSUMER_CREDIT_CARDS_NON_MORTGAGE_LOANS_DUE_90_THRIFT" hidden="1">"c25274"</definedName>
    <definedName name="IQ_CONSUMER_CREDIT_CARDS_NON_MORTGAGE_LOANS_NON_ACCRUAL_THRIFT" hidden="1">"c25295"</definedName>
    <definedName name="IQ_CONSUMER_CREDIT_CARDS_NON_MORTGAGE_SVA_PROVISIONS_TRANSFERS_FROM_GVA_TOTAL_THRIFT" hidden="1">"c25185"</definedName>
    <definedName name="IQ_CONSUMER_EDUCATION_LOANS_NON_MORTGAGE_ADJUSTED_NCOS_TOTAL_THRIFT" hidden="1">"c25213"</definedName>
    <definedName name="IQ_CONSUMER_EDUCATION_LOANS_NON_MORTGAGE_GVA_CHARGE_OFFS_THRIFT" hidden="1">"c25128"</definedName>
    <definedName name="IQ_CONSUMER_EDUCATION_LOANS_NON_MORTGAGE_GVA_RECOVERIES_THRIFT" hidden="1">"c25159"</definedName>
    <definedName name="IQ_CONSUMER_EDUCATION_LOANS_NON_MORTGAGE_SVA_PROVISIONS_TRANSFERS_FROM_GVA_TOTAL_THRIFT" hidden="1">"c25182"</definedName>
    <definedName name="IQ_CONSUMER_EDUCATION_NON_MORTGAGE_LOANS_DUE_30_89_THRIFT" hidden="1">"c25250"</definedName>
    <definedName name="IQ_CONSUMER_EDUCATION_NON_MORTGAGE_LOANS_DUE_90_THRIFT" hidden="1">"c25271"</definedName>
    <definedName name="IQ_CONSUMER_EDUCATION_NON_MORTGAGE_LOANS_NON_ACCRUAL_THRIFT" hidden="1">"c25292"</definedName>
    <definedName name="IQ_CONSUMER_HOME_IMPROVEMENT_LOANS_NON_MORTGAGE_ADJUSTED_NCOS_TOTAL_THRIFT" hidden="1">"c25212"</definedName>
    <definedName name="IQ_CONSUMER_HOME_IMPROVEMENT_LOANS_NON_MORTGAGE_GVA_CHARGE_OFFS_THRIFT" hidden="1">"c25127"</definedName>
    <definedName name="IQ_CONSUMER_HOME_IMPROVEMENT_LOANS_NON_MORTGAGE_GVA_RECOVERIES_THRIFT" hidden="1">"c25158"</definedName>
    <definedName name="IQ_CONSUMER_HOME_IMPROVEMENT_LOANS_NON_MORTGAGE_SVA_PROVISIONS_TRANSFERS_FROM_GVA_TOTAL_THRIFT" hidden="1">"c25181"</definedName>
    <definedName name="IQ_CONSUMER_HOME_IMPROVEMENT_NON_MORTGAGE_LOANS_DUE_30_89_THRIFT" hidden="1">"c25249"</definedName>
    <definedName name="IQ_CONSUMER_HOME_IMPROVEMENT_NON_MORTGAGE_LOANS_DUE_90_THRIFT" hidden="1">"c25270"</definedName>
    <definedName name="IQ_CONSUMER_HOME_IMPROVEMENT_NON_MORTGAGE_LOANS_NON_ACCRUAL_THRIFT" hidden="1">"c25291"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L_REC_FFIEC" hidden="1">"c25869"</definedName>
    <definedName name="IQ_CONSUMER_LOANS" hidden="1">"c223"</definedName>
    <definedName name="IQ_CONSUMER_LOANS_CHARGE_OFFS_FFIEC" hidden="1">"c25838"</definedName>
    <definedName name="IQ_CONSUMER_LOANS_DEPOSITS_NON_MORTGAGE_ADJUSTED_NCOS_TOTAL_THRIFT" hidden="1">"c25211"</definedName>
    <definedName name="IQ_CONSUMER_LOANS_DEPOSITS_NON_MORTGAGE_GVA_CHARGE_OFFS_THRIFT" hidden="1">"c25126"</definedName>
    <definedName name="IQ_CONSUMER_LOANS_DEPOSITS_NON_MORTGAGE_GVA_RECOVERIES_THRIFT" hidden="1">"c25157"</definedName>
    <definedName name="IQ_CONSUMER_LOANS_DEPOSITS_NON_MORTGAGE_LOANS_DUE_30_89_THRIFT" hidden="1">"c25248"</definedName>
    <definedName name="IQ_CONSUMER_LOANS_DEPOSITS_NON_MORTGAGE_LOANS_DUE_90_THRIFT" hidden="1">"c25269"</definedName>
    <definedName name="IQ_CONSUMER_LOANS_DEPOSITS_NON_MORTGAGE_LOANS_NON_ACCRUAL_THRIFT" hidden="1">"c25290"</definedName>
    <definedName name="IQ_CONSUMER_LOANS_DEPOSITS_NON_MORTGAGE_SVA_PROVISIONS_TRANSFERS_FROM_GVA_TOTAL_THRIFT" hidden="1">"c25180"</definedName>
    <definedName name="IQ_CONSUMER_LOANS_DEPOSITS_THRIFT" hidden="1">"c24859"</definedName>
    <definedName name="IQ_CONSUMER_LOANS_DUE_30_89_FFIEC" hidden="1">"c25829"</definedName>
    <definedName name="IQ_CONSUMER_LOANS_DUE_90_FFIEC" hidden="1">"c25830"</definedName>
    <definedName name="IQ_CONSUMER_LOANS_LL_REC_DOM_FFIEC" hidden="1">"c12911"</definedName>
    <definedName name="IQ_CONSUMER_LOANS_NON_ACCRUAL_FFIEC" hidden="1">"c25831"</definedName>
    <definedName name="IQ_CONSUMER_LOANS_RECOV_FFIEC" hidden="1">"c25839"</definedName>
    <definedName name="IQ_CONSUMER_LOANS_THRIFT" hidden="1">"c24858"</definedName>
    <definedName name="IQ_CONSUMER_LOANS_TOT_LOANS_FFIEC" hidden="1">"c13875"</definedName>
    <definedName name="IQ_CONSUMER_LOANS_TOTAL_LOANS" hidden="1">"c15712"</definedName>
    <definedName name="IQ_CONSUMER_LOANS_TOTAL_LOANS_THRIFT" hidden="1">"c25750"</definedName>
    <definedName name="IQ_CONSUMER_MOBILE_HOME_LOANS_NON_MORTGAGE_ADJUSTED_NCOS_TOTAL_THRIFT" hidden="1">"c25215"</definedName>
    <definedName name="IQ_CONSUMER_MOBILE_HOME_LOANS_NON_MORTGAGE_GVA_CHARGE_OFFS_THRIFT" hidden="1">"c25130"</definedName>
    <definedName name="IQ_CONSUMER_MOBILE_HOME_LOANS_NON_MORTGAGE_GVA_RECOVERIES_THRIFT" hidden="1">"c25161"</definedName>
    <definedName name="IQ_CONSUMER_MOBILE_HOME_LOANS_NON_MORTGAGE_LOANS_DUE_30_89_THRIFT" hidden="1">"c25252"</definedName>
    <definedName name="IQ_CONSUMER_MOBILE_HOME_LOANS_NON_MORTGAGE_LOANS_DUE_90_THRIFT" hidden="1">"c25273"</definedName>
    <definedName name="IQ_CONSUMER_MOBILE_HOME_LOANS_NON_MORTGAGE_LOANS_NON_ACCRUAL_THRIFT" hidden="1">"c25294"</definedName>
    <definedName name="IQ_CONSUMER_MOBILE_HOME_LOANS_NON_MORTGAGE_SVA_PROVISIONS_TRANSFERS_FROM_GVA_TOTAL_THRIFT" hidden="1">"c25184"</definedName>
    <definedName name="IQ_CONSUMER_OTHER_NON_MORTGAGE_ADJUSTED_NCOS_TOTAL_THRIFT" hidden="1">"c25217"</definedName>
    <definedName name="IQ_CONSUMER_OTHER_NON_MORTGAGE_GVA_RECOVERIES_THRIFT" hidden="1">"c25163"</definedName>
    <definedName name="IQ_CONSUMER_OTHER_NON_MORTGAGE_LOANS_DUE_30_89_THRIFT" hidden="1">"c25254"</definedName>
    <definedName name="IQ_CONSUMER_OTHER_NON_MORTGAGE_LOANS_DUE_90_THRIFT" hidden="1">"c25275"</definedName>
    <definedName name="IQ_CONSUMER_OTHER_NON_MORTGAGE_LOANS_GVA_CHARGE_OFFS_THRIFT" hidden="1">"c25132"</definedName>
    <definedName name="IQ_CONSUMER_OTHER_NON_MORTGAGE_LOANS_NON_ACCRUAL_THRIFT" hidden="1">"c25296"</definedName>
    <definedName name="IQ_CONSUMER_OTHER_NON_MORTGAGE_SVA_PROVISIONS_TRANSFERS_FROM_GVA_TOTAL_THRIFT" hidden="1">"c25186"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ASSETS_THRIFT" hidden="1">"c25622"</definedName>
    <definedName name="IQ_CONTINGENT_LIABILITIES" hidden="1">"c18873"</definedName>
    <definedName name="IQ_CONTINGENT_RENTAL" hidden="1">"c17746"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DEPOSITS_ASSETS_TOT_FFIEC" hidden="1">"c13442"</definedName>
    <definedName name="IQ_CORE_DEPOSITS_FFIEC" hidden="1">"c13862"</definedName>
    <definedName name="IQ_CORE_DEPOSITS_THRIFT" hidden="1">"c25089"</definedName>
    <definedName name="IQ_CORE_DEPOSITS_TOT_DEPOSITS_FFIEC" hidden="1">"c13911"</definedName>
    <definedName name="IQ_CORE_DEPOSITS_TOTAL_ASSETS_THRIFT" hidden="1">"c25699"</definedName>
    <definedName name="IQ_CORE_DEPOSITS_TOTAL_DEPOSITS_THRIFT" hidden="1">"c25782"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FC_UNUSED_UNUSED_UNUSED" hidden="1">"c8381"</definedName>
    <definedName name="IQ_CORP_GOODS_PRICE_INDEX_APR_UNUSED" hidden="1">"c7501"</definedName>
    <definedName name="IQ_CORP_GOODS_PRICE_INDEX_APR_UNUSED_UNUSED_UNUSED" hidden="1">"c7501"</definedName>
    <definedName name="IQ_CORP_GOODS_PRICE_INDEX_FC_UNUSED" hidden="1">"c7721"</definedName>
    <definedName name="IQ_CORP_GOODS_PRICE_INDEX_FC_UNUSED_UNUSED_UNUSED" hidden="1">"c7721"</definedName>
    <definedName name="IQ_CORP_GOODS_PRICE_INDEX_POP_FC_UNUSED" hidden="1">"c7941"</definedName>
    <definedName name="IQ_CORP_GOODS_PRICE_INDEX_POP_FC_UNUSED_UNUSED_UNUSED" hidden="1">"c7941"</definedName>
    <definedName name="IQ_CORP_GOODS_PRICE_INDEX_POP_UNUSED" hidden="1">"c7061"</definedName>
    <definedName name="IQ_CORP_GOODS_PRICE_INDEX_POP_UNUSED_UNUSED_UNUSED" hidden="1">"c7061"</definedName>
    <definedName name="IQ_CORP_GOODS_PRICE_INDEX_UNUSED" hidden="1">"c6841"</definedName>
    <definedName name="IQ_CORP_GOODS_PRICE_INDEX_UNUSED_UNUSED_UNUSED" hidden="1">"c6841"</definedName>
    <definedName name="IQ_CORP_GOODS_PRICE_INDEX_YOY_FC_UNUSED" hidden="1">"c8161"</definedName>
    <definedName name="IQ_CORP_GOODS_PRICE_INDEX_YOY_FC_UNUSED_UNUSED_UNUSED" hidden="1">"c8161"</definedName>
    <definedName name="IQ_CORP_GOODS_PRICE_INDEX_YOY_UNUSED" hidden="1">"c7281"</definedName>
    <definedName name="IQ_CORP_GOODS_PRICE_INDEX_YOY_UNUSED_UNUSED_UNUSED" hidden="1">"c7281"</definedName>
    <definedName name="IQ_CORP_PROFIT" hidden="1">"c20636"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FTER_TAXES" hidden="1">"c20637"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TAXES" hidden="1">"c20638"</definedName>
    <definedName name="IQ_CORP_PROFITS_YOY" hidden="1">"c7283"</definedName>
    <definedName name="IQ_CORP_PROFITS_YOY_FC" hidden="1">"c8163"</definedName>
    <definedName name="IQ_CORPORATE_MUNICIPAL_TRUSTEESHIPS_NUMBER_ISSUES_THRIFT" hidden="1">"c25441"</definedName>
    <definedName name="IQ_CORPORATE_MUNICIPAL_TRUSTEESHIPS_PRINCIPAL_AMT_OUTSTANDING_THRIFT" hidden="1">"c25440"</definedName>
    <definedName name="IQ_CORPORATE_OVER_TOTAL" hidden="1">"c24733"</definedName>
    <definedName name="IQ_CORPORATE_TRUST_AGENCY_ACCOUNTS_INC_THRIFT" hidden="1">"c24805"</definedName>
    <definedName name="IQ_CORPORATE_TRUST_AGENCY_ACCOUNTS_MANAGED_ASSETS_THRIFT" hidden="1">"c25352"</definedName>
    <definedName name="IQ_CORPORATE_TRUST_AGENCY_ACCOUNTS_NONMANAGED_ASSETS_THRIFT" hidden="1">"c25373"</definedName>
    <definedName name="IQ_CORPORATE_TRUST_AGENCY_ACCOUNTS_NUMBER_MANAGED_ACCOUNTS_THRIFT" hidden="1">"c25363"</definedName>
    <definedName name="IQ_CORPORATE_TRUST_AGENCY_ACCOUNTS_NUMBER_NONMANAGED_ACCOUNTS_THRIFT" hidden="1">"c25385"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ED_FUNDS_PURCHASED_THRIFT" hidden="1">"c25681"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BEARING_DEPOSITS_THRIFT" hidden="1">"c25680"</definedName>
    <definedName name="IQ_COST_INT_DEPOSITS_FFIEC" hidden="1">"c13489"</definedName>
    <definedName name="IQ_COST_OF_FUNDING_ASSETS_FDIC" hidden="1">"c6725"</definedName>
    <definedName name="IQ_COST_OTHER_BORROWED_FUNDS_THRIFT" hidden="1">"c25682"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"c16173"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PI_YOY_PCT" hidden="1">"c20639"</definedName>
    <definedName name="IQ_CPI_YOY_PCT_FC" hidden="1">"c20640"</definedName>
    <definedName name="IQ_CQ">5000</definedName>
    <definedName name="IQ_CREDIT_CARD_CHARGE_OFFS_FDIC" hidden="1">"c6652"</definedName>
    <definedName name="IQ_CREDIT_CARD_CHARGE_OFFS_RELATED_ACCRUED_INTEREST_THRIFT" hidden="1">"c25228"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FDIC" hidden="1">"c6525"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FDIC" hidden="1">"c6319"</definedName>
    <definedName name="IQ_CREDIT_CARD_LOANS_GROSS_LOANS_THRIFT" hidden="1">"c25734"</definedName>
    <definedName name="IQ_CREDIT_CARD_LOANS_NON_ACCRUAL_FFIEC" hidden="1">"c13324"</definedName>
    <definedName name="IQ_CREDIT_CARD_LOANS_OUTSTANDING_BUS_NON_MORTGAGE_COMM_LOANS_THRIFT" hidden="1">"c24856"</definedName>
    <definedName name="IQ_CREDIT_CARD_LOANS_RECOV_FFIEC" hidden="1">"c13202"</definedName>
    <definedName name="IQ_CREDIT_CARD_LOANS_RELATED_CHARGE_OFFS_FFIEC" hidden="1">"c25840"</definedName>
    <definedName name="IQ_CREDIT_CARD_LOANS_RELATED_RECOV_FFIEC" hidden="1">"c25841"</definedName>
    <definedName name="IQ_CREDIT_CARD_LOANS_RISK_BASED_CAPITAL_THRIFT" hidden="1">"c25719"</definedName>
    <definedName name="IQ_CREDIT_CARD_NET_CHARGE_OFFS_FDIC" hidden="1">"c6654"</definedName>
    <definedName name="IQ_CREDIT_CARD_RECOVERIES_FDIC" hidden="1">"c6653"</definedName>
    <definedName name="IQ_CREDIT_CARD_RELATED_LL_REC_FFIEC" hidden="1">"c25870"</definedName>
    <definedName name="IQ_CREDIT_CARD_RISK_BASED_FFIEC" hidden="1">"c13433"</definedName>
    <definedName name="IQ_CREDIT_CARDS_CONSUMER_LOANS_FFIEC" hidden="1">"c12822"</definedName>
    <definedName name="IQ_CREDIT_CARDS_CONSUMER_OPEN_END_LINES_CREDIT_THRIFT" hidden="1">"c25609"</definedName>
    <definedName name="IQ_CREDIT_CARDS_LL_REC_FFIEC" hidden="1">"c12889"</definedName>
    <definedName name="IQ_CREDIT_CARDS_LOANS_TRADING_DOM_FFIEC" hidden="1">"c12933"</definedName>
    <definedName name="IQ_CREDIT_CARDS_OTHER_OPEN_END_LINES_CREDIT_THRIFT" hidden="1">"c25610"</definedName>
    <definedName name="IQ_CREDIT_CARDS_THRIFT" hidden="1">"c24864"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_PROVISION_NET_CHARGE_OFFS_FDIC" hidden="1">"c6734"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_EFFECT_CHANGE_ACCOUNTING_FFIEC" hidden="1">"c25849"</definedName>
    <definedName name="IQ_CUMULATIVE_PREF_THRIFT" hidden="1">"c24915"</definedName>
    <definedName name="IQ_CUMULATIVE_PREFERREDS_T2_FFIEC" hidden="1">"c13145"</definedName>
    <definedName name="IQ_CUMULATIVE_SPLIT_FACTOR" hidden="1">"c2094"</definedName>
    <definedName name="IQ_CURR_ACCT_BALANCE" hidden="1">"c20641"</definedName>
    <definedName name="IQ_CURR_ACCT_BALANCE_APR_FC_UNUSED" hidden="1">"c8387"</definedName>
    <definedName name="IQ_CURR_ACCT_BALANCE_APR_FC_UNUSED_UNUSED_UNUSED" hidden="1">"c8387"</definedName>
    <definedName name="IQ_CURR_ACCT_BALANCE_APR_UNUSED" hidden="1">"c7507"</definedName>
    <definedName name="IQ_CURR_ACCT_BALANCE_APR_UNUSED_UNUSED_UNUSED" hidden="1">"c7507"</definedName>
    <definedName name="IQ_CURR_ACCT_BALANCE_FC_UNUSED" hidden="1">"c7727"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GDP" hidden="1">"c20642"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FC_UNUSED_UNUSED_UNUSED" hidden="1">"c7947"</definedName>
    <definedName name="IQ_CURR_ACCT_BALANCE_POP_UNUSED" hidden="1">"c7067"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FC_UNUSED_UNUSED_UNUSED" hidden="1">"c8167"</definedName>
    <definedName name="IQ_CURR_ACCT_BALANCE_YOY_UNUSED" hidden="1">"c7287"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CM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CM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DY_SAFEKEEPING_ACCOUNTS_INC_THRIFT" hidden="1">"c24809"</definedName>
    <definedName name="IQ_CUSTODY_SAFEKEEPING_ACCOUNTS_NONMANAGED_ASSETS_THRIFT" hidden="1">"c25377"</definedName>
    <definedName name="IQ_CUSTODY_SAFEKEEPING_ACCOUNTS_NUMBER_NONMANAGED_ACCOUNTS_THRIFT" hidden="1">"c25389"</definedName>
    <definedName name="IQ_CUSTOMER_LIAB_ACCEPTANCES_OUT_FFIEC" hidden="1">"c12835"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CM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CM" hidden="1">"c248"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CM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CM" hidden="1">"c260"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LESS_THAN_1YR_INV_SEC_THRIFT" hidden="1">"c25676"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BT_SECURITIES_OVER_1YR_INV_SEC_THRIFT" hidden="1">"c25677"</definedName>
    <definedName name="IQ_DECREASE_INT_EXPENSE_FFIEC" hidden="1">"c13064"</definedName>
    <definedName name="IQ_DEDUCTION_EQUITY_INV_OTHER_ASSETS_THRIFT" hidden="1">"c25047"</definedName>
    <definedName name="IQ_DEDUCTION_LOW_LEVEL_RECOURSE_RESIDUAL_INTERESTS_THRIFT" hidden="1">"c25048"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CM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CM" hidden="1">"c288"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CM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CM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CM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INCOME_TAXES_THRIFT" hidden="1">"c24911"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CONSOLIDATED_SUBSIDIARIES_THRIFT" hidden="1">"c25570"</definedName>
    <definedName name="IQ_DEMAND_DEPOSITS_FDIC" hidden="1">"c6489"</definedName>
    <definedName name="IQ_DEMAND_DEPOSITS_TOT_DEPOSITS_FFIEC" hidden="1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 hidden="1">"c13444"</definedName>
    <definedName name="IQ_DEPOSITS_ACQUIRED_NET_DISPOSITIONS_IN_BULK_TRANSACTIONS_THRIFT" hidden="1">"c25345"</definedName>
    <definedName name="IQ_DEPOSITS_AMOUNTS_NETTED_THRIFT" hidden="1">"c25534"</definedName>
    <definedName name="IQ_DEPOSITS_DOM_FFIEC" hidden="1">"c12850"</definedName>
    <definedName name="IQ_DEPOSITS_ESCROWS_THRIFT" hidden="1">"c24895"</definedName>
    <definedName name="IQ_DEPOSITS_EXCLUDING_RETIREMENT_ACCOUNTS_GREATER_THAN_250000_THRIFT" hidden="1">"c24986"</definedName>
    <definedName name="IQ_DEPOSITS_EXCLUDING_RETIREMENT_ACCOUNTS_LESS_THAN_250000_THRIFT" hidden="1">"c24985"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INV_SEC_GVA_CHARGE_OFFS_THRIFT" hidden="1">"c25112"</definedName>
    <definedName name="IQ_DEPOSITS_INV_SEC_GVA_RECOVERIES_THRIFT" hidden="1">"c25143"</definedName>
    <definedName name="IQ_DEPOSITS_INV_SEC_SVA_PROVISIONS_TRANSFERS_FROM_GVA_THRIFT" hidden="1">"c25166"</definedName>
    <definedName name="IQ_DEPOSITS_INV_SEC_TOTAL_THRIFT" hidden="1">"c25197"</definedName>
    <definedName name="IQ_DEPOSITS_LESS_100K_COMMERCIAL_BANK_SUBS_FFIEC" hidden="1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 hidden="1">"c13221"</definedName>
    <definedName name="IQ_DEPOSITS_LEVEL_1_THRIFT" hidden="1">"c25530"</definedName>
    <definedName name="IQ_DEPOSITS_LEVEL_2_FFIEC" hidden="1">"c13229"</definedName>
    <definedName name="IQ_DEPOSITS_LEVEL_2_THRIFT" hidden="1">"c25531"</definedName>
    <definedName name="IQ_DEPOSITS_LEVEL_3_FFIEC" hidden="1">"c13237"</definedName>
    <definedName name="IQ_DEPOSITS_LEVEL_3_THRIFT" hidden="1">"c25532"</definedName>
    <definedName name="IQ_DEPOSITS_MORE_100K_COMMERCIAL_BANK_SUBS_FFIEC" hidden="1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OSITS_THRIFT" hidden="1">"c24896"</definedName>
    <definedName name="IQ_DEPOSITS_TOTAL_AFTER_NETTING_THRIFT" hidden="1">"c25535"</definedName>
    <definedName name="IQ_DEPOSITS_TOTAL_BEFORE_NETTING_THRIFT" hidden="1">"c25533"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PRECIATION_RENTAL_ASSETS" hidden="1">"c26972"</definedName>
    <definedName name="IQ_DEPRECIATION_RENTAL_ASSETS_CF" hidden="1">"c26973"</definedName>
    <definedName name="IQ_DERIVATIVE_ASSETS_AMOUNTS_NETTED_THRIFT" hidden="1">"c25510"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1_THRIFT" hidden="1">"c25506"</definedName>
    <definedName name="IQ_DERIVATIVE_ASSETS_LEVEL_2_FFIEC" hidden="1">"c15438"</definedName>
    <definedName name="IQ_DERIVATIVE_ASSETS_LEVEL_2_THRIFT" hidden="1">"c25507"</definedName>
    <definedName name="IQ_DERIVATIVE_ASSETS_LEVEL_3_FFIEC" hidden="1">"c15451"</definedName>
    <definedName name="IQ_DERIVATIVE_ASSETS_LEVEL_3_THRIFT" hidden="1">"c25508"</definedName>
    <definedName name="IQ_DERIVATIVE_ASSETS_LT" hidden="1">"c17745"</definedName>
    <definedName name="IQ_DERIVATIVE_ASSETS_TOTAL_AFTER_NETTING_THRIFT" hidden="1">"c25511"</definedName>
    <definedName name="IQ_DERIVATIVE_ASSETS_TOTAL_BEFORE_NETTING_THRIFT" hidden="1">"c25509"</definedName>
    <definedName name="IQ_DERIVATIVE_LIAB_CURRENT" hidden="1">"c17873"</definedName>
    <definedName name="IQ_DERIVATIVE_LIAB_NON_CURRENT" hidden="1">"c17874"</definedName>
    <definedName name="IQ_DERIVATIVE_LIABILITIES_AMOUNTS_NETTED_THRIFT" hidden="1">"c25552"</definedName>
    <definedName name="IQ_DERIVATIVE_LIABILITIES_FAIR_VALUE_TOT_FFIEC" hidden="1">"c15407"</definedName>
    <definedName name="IQ_DERIVATIVE_LIABILITIES_LEVEL_1_FFIEC" hidden="1">"c15429"</definedName>
    <definedName name="IQ_DERIVATIVE_LIABILITIES_LEVEL_1_THRIFT" hidden="1">"c25548"</definedName>
    <definedName name="IQ_DERIVATIVE_LIABILITIES_LEVEL_2_FFIEC" hidden="1">"c15442"</definedName>
    <definedName name="IQ_DERIVATIVE_LIABILITIES_LEVEL_2_THRIFT" hidden="1">"c25549"</definedName>
    <definedName name="IQ_DERIVATIVE_LIABILITIES_LEVEL_3_FFIEC" hidden="1">"c15455"</definedName>
    <definedName name="IQ_DERIVATIVE_LIABILITIES_LEVEL_3_THRIFT" hidden="1">"c25550"</definedName>
    <definedName name="IQ_DERIVATIVE_LIABILITIES_TOTAL_AFTER_NETTING_THRIFT" hidden="1">"c25553"</definedName>
    <definedName name="IQ_DERIVATIVE_LIABILITIES_TOTAL_BEFORE_NETTING_THRIFT" hidden="1">"c25551"</definedName>
    <definedName name="IQ_DERIVATIVE_TRADING_ASSETS" hidden="1">"c17875"</definedName>
    <definedName name="IQ_DERIVATIVES_FDIC" hidden="1">"c6523"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FF_LASTCLOSE_TARGET_PRICE" hidden="1">"c1854"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_WEIGHT_GUIDANCE" hidden="1">"c4270"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ALLOWED_SERVICING_OTHER_ASSETS_ADJUSTED_ASSETS_THRIFT" hidden="1">"c25033"</definedName>
    <definedName name="IQ_DISALLOWED_SERVICING_OTHER_ASSETS_T1_THRIFT" hidden="1">"c25024"</definedName>
    <definedName name="IQ_DISBURSED_CONSTRUCTION_MORTGAGE_LOANS_1_4_DWELLING_UNITS_THRIFT" hidden="1">"c25317"</definedName>
    <definedName name="IQ_DISBURSED_CONSTRUCTION_MORTGAGE_LOANS_MULTIFAMILY_5_MORE_DWELLING_UNITS_THRIFT" hidden="1">"c25318"</definedName>
    <definedName name="IQ_DISBURSED_CONSTRUCTION_MORTGAGE_LOANS_NONRES_THRIFT" hidden="1">"c25319"</definedName>
    <definedName name="IQ_DISBURSED_PML_1_4_DWELLING_UNITS_THRIFT" hidden="1">"c25320"</definedName>
    <definedName name="IQ_DISBURSED_PML_HOME_EQUITY_JUNIOR_LIENS_THRIFT" hidden="1">"c25321"</definedName>
    <definedName name="IQ_DISBURSED_PML_LAND_THRIFT" hidden="1">"c25324"</definedName>
    <definedName name="IQ_DISBURSED_PML_MULTIFAMILY_5_MORE_DWELLING_UNITS_THRIFT" hidden="1">"c25322"</definedName>
    <definedName name="IQ_DISBURSED_PML_NONRES_EXCEPT_LAND_THRIFT" hidden="1">"c25323"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_COL" hidden="1">"c11450"</definedName>
    <definedName name="IQ_DISTRIBUTABLE_CASH_GUIDANCE_CIQ" hidden="1">"c4804"</definedName>
    <definedName name="IQ_DISTRIBUTABLE_CASH_GUIDANCE_CIQ_COL" hidden="1">"c11451"</definedName>
    <definedName name="IQ_DISTRIBUTABLE_CASH_HIGH_GUIDANCE_CIQ" hidden="1">"c4610"</definedName>
    <definedName name="IQ_DISTRIBUTABLE_CASH_HIGH_GUIDANCE_CIQ_COL" hidden="1">"c11259"</definedName>
    <definedName name="IQ_DISTRIBUTABLE_CASH_LOW_GUIDANCE_CIQ" hidden="1">"c4650"</definedName>
    <definedName name="IQ_DISTRIBUTABLE_CASH_LOW_GUIDANCE_CIQ_COL" hidden="1">"c11299"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_COL" hidden="1">"c11458"</definedName>
    <definedName name="IQ_DISTRIBUTABLE_CASH_SHARE_GUIDANCE_CIQ" hidden="1">"c4812"</definedName>
    <definedName name="IQ_DISTRIBUTABLE_CASH_SHARE_GUIDANCE_CIQ_COL" hidden="1">"c11459"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GUIDANCE_CIQ" hidden="1">"c4651"</definedName>
    <definedName name="IQ_DISTRIBUTABLE_CASH_SHARE_LOW_GUIDANCE_CIQ_COL" hidden="1">"c11300"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INCOME_FHLB_STOCK_THRIFT" hidden="1">"c24754"</definedName>
    <definedName name="IQ_DIVIDEND_INCOME_OTHER_EQUITY_INV_THRIFT" hidden="1">"c24755"</definedName>
    <definedName name="IQ_DIVIDEND_YIELD" hidden="1">"c332"</definedName>
    <definedName name="IQ_DIVIDENDS_DECLARED_COMMON_FDIC" hidden="1">"c6659"</definedName>
    <definedName name="IQ_DIVIDENDS_DECLARED_COMMON_FFIEC" hidden="1">"c12969"</definedName>
    <definedName name="IQ_DIVIDENDS_DECLARED_PREFERRED_FDIC" hidden="1">"c6658"</definedName>
    <definedName name="IQ_DIVIDENDS_DECLARED_PREFERRED_FFIEC" hidden="1">"c12968"</definedName>
    <definedName name="IQ_DIVIDENDS_FDIC" hidden="1">"c6660"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CIQ_COL" hidden="1">"c11709"</definedName>
    <definedName name="IQ_DPS_EST" hidden="1">"c1674"</definedName>
    <definedName name="IQ_DPS_GUIDANCE_CIQ" hidden="1">"c4827"</definedName>
    <definedName name="IQ_DPS_GUIDANCE_CIQ_COL" hidden="1">"c11474"</definedName>
    <definedName name="IQ_DPS_HIGH_EST" hidden="1">"c1676"</definedName>
    <definedName name="IQ_DPS_HIGH_GUIDANCE_CIQ" hidden="1">"c4580"</definedName>
    <definedName name="IQ_DPS_HIGH_GUIDANCE_CIQ_COL" hidden="1">"c11229"</definedName>
    <definedName name="IQ_DPS_LOW_EST" hidden="1">"c1677"</definedName>
    <definedName name="IQ_DPS_LOW_GUIDANCE_CIQ" hidden="1">"c4620"</definedName>
    <definedName name="IQ_DPS_LOW_GUIDANCE_CIQ_COL" hidden="1">"c11269"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FDIC" hidden="1">"c6360"</definedName>
    <definedName name="IQ_EARNING_ASSETS_QUARTERLY_AVG_FFIEC" hidden="1">"c13086"</definedName>
    <definedName name="IQ_EARNING_ASSETS_REPRICE_ASSETS_TOT_FFIEC" hidden="1">"c13451"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_PARENT_EXCL_EXTRA" hidden="1">"c25791"</definedName>
    <definedName name="IQ_EARNINGS_ANNOUNCE_DATE" hidden="1">"c1649"</definedName>
    <definedName name="IQ_EARNINGS_ANNOUNCE_DATE_REUT" hidden="1">"c5314"</definedName>
    <definedName name="IQ_EARNINGS_BEFORE_TAXES_AVG_ASSETS_THRIFT" hidden="1">"c25656"</definedName>
    <definedName name="IQ_EARNINGS_CO_FFIEC" hidden="1">"c13032"</definedName>
    <definedName name="IQ_EARNINGS_CO_THRIFT" hidden="1">"c24796"</definedName>
    <definedName name="IQ_EARNINGS_CONT_OPS_HOMEBUILDING_SALES" hidden="1">"c15817"</definedName>
    <definedName name="IQ_EARNINGS_COVERAGE_LOSSES_FFIEC" hidden="1">"c13351"</definedName>
    <definedName name="IQ_EARNINGS_COVERAGE_NET_CHARGE_OFFS_FDIC" hidden="1">"c6735"</definedName>
    <definedName name="IQ_EARNINGS_COVERAGE_NET_LOSSES_THRIFT" hidden="1">"c25641"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CIQ_COL" hidden="1">"c11710"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HIGH_EST" hidden="1">"c1683"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EST" hidden="1">"c1684"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_COL" hidden="1">"c11488"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_COL" hidden="1">"c11492"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_COL" hidden="1">"c11707"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REUT" hidden="1">"c3642"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_COL" hidden="1">"c11509"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CM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CM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_COL" hidden="1">"c11522"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_COL" hidden="1">"c11526"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UBTOTAL_AP" hidden="1">"c8982"</definedName>
    <definedName name="IQ_EBT_THRIFT" hidden="1">"c24794"</definedName>
    <definedName name="IQ_EBT_UTI" hidden="1">"c390"</definedName>
    <definedName name="IQ_ECO_METRIC_6825_UNUSED" hidden="1">"c6825"</definedName>
    <definedName name="IQ_ECO_METRIC_6825_UNUSED_UNUSED_UNUSED" hidden="1">"c6825"</definedName>
    <definedName name="IQ_ECO_METRIC_6839_UNUSED" hidden="1">"c6839"</definedName>
    <definedName name="IQ_ECO_METRIC_6839_UNUSED_UNUSED_UNUSED" hidden="1">"c6839"</definedName>
    <definedName name="IQ_ECO_METRIC_6896_UNUSED" hidden="1">"c6896"</definedName>
    <definedName name="IQ_ECO_METRIC_6896_UNUSED_UNUSED_UNUSED" hidden="1">"c6896"</definedName>
    <definedName name="IQ_ECO_METRIC_6897_UNUSED" hidden="1">"c6897"</definedName>
    <definedName name="IQ_ECO_METRIC_6897_UNUSED_UNUSED_UNUSED" hidden="1">"c6897"</definedName>
    <definedName name="IQ_ECO_METRIC_6927" hidden="1">"c6927"</definedName>
    <definedName name="IQ_ECO_METRIC_6988_UNUSED" hidden="1">"c6988"</definedName>
    <definedName name="IQ_ECO_METRIC_6988_UNUSED_UNUSED_UNUSED" hidden="1">"c6988"</definedName>
    <definedName name="IQ_ECO_METRIC_7045_UNUSED" hidden="1">"c7045"</definedName>
    <definedName name="IQ_ECO_METRIC_7045_UNUSED_UNUSED_UNUSED" hidden="1">"c7045"</definedName>
    <definedName name="IQ_ECO_METRIC_7059_UNUSED" hidden="1">"c7059"</definedName>
    <definedName name="IQ_ECO_METRIC_7059_UNUSED_UNUSED_UNUSED" hidden="1">"c7059"</definedName>
    <definedName name="IQ_ECO_METRIC_7116_UNUSED" hidden="1">"c7116"</definedName>
    <definedName name="IQ_ECO_METRIC_7116_UNUSED_UNUSED_UNUSED" hidden="1">"c7116"</definedName>
    <definedName name="IQ_ECO_METRIC_7117_UNUSED" hidden="1">"c7117"</definedName>
    <definedName name="IQ_ECO_METRIC_7117_UNUSED_UNUSED_UNUSED" hidden="1">"c7117"</definedName>
    <definedName name="IQ_ECO_METRIC_7147" hidden="1">"c7147"</definedName>
    <definedName name="IQ_ECO_METRIC_7208_UNUSED" hidden="1">"c7208"</definedName>
    <definedName name="IQ_ECO_METRIC_7208_UNUSED_UNUSED_UNUSED" hidden="1">"c7208"</definedName>
    <definedName name="IQ_ECO_METRIC_7265_UNUSED" hidden="1">"c7265"</definedName>
    <definedName name="IQ_ECO_METRIC_7265_UNUSED_UNUSED_UNUSED" hidden="1">"c7265"</definedName>
    <definedName name="IQ_ECO_METRIC_7279_UNUSED" hidden="1">"c7279"</definedName>
    <definedName name="IQ_ECO_METRIC_7279_UNUSED_UNUSED_UNUSED" hidden="1">"c7279"</definedName>
    <definedName name="IQ_ECO_METRIC_7336_UNUSED" hidden="1">"c7336"</definedName>
    <definedName name="IQ_ECO_METRIC_7336_UNUSED_UNUSED_UNUSED" hidden="1">"c7336"</definedName>
    <definedName name="IQ_ECO_METRIC_7337_UNUSED" hidden="1">"c7337"</definedName>
    <definedName name="IQ_ECO_METRIC_7337_UNUSED_UNUSED_UNUSED" hidden="1">"c7337"</definedName>
    <definedName name="IQ_ECO_METRIC_7367" hidden="1">"c7367"</definedName>
    <definedName name="IQ_ECO_METRIC_7428_UNUSED" hidden="1">"c7428"</definedName>
    <definedName name="IQ_ECO_METRIC_7428_UNUSED_UNUSED_UNUSED" hidden="1">"c7428"</definedName>
    <definedName name="IQ_ECO_METRIC_7556_UNUSED" hidden="1">"c7556"</definedName>
    <definedName name="IQ_ECO_METRIC_7556_UNUSED_UNUSED_UNUSED" hidden="1">"c7556"</definedName>
    <definedName name="IQ_ECO_METRIC_7557_UNUSED" hidden="1">"c7557"</definedName>
    <definedName name="IQ_ECO_METRIC_7557_UNUSED_UNUSED_UNUSED" hidden="1">"c7557"</definedName>
    <definedName name="IQ_ECO_METRIC_7587" hidden="1">"c7587"</definedName>
    <definedName name="IQ_ECO_METRIC_7648_UNUSED" hidden="1">"c7648"</definedName>
    <definedName name="IQ_ECO_METRIC_7648_UNUSED_UNUSED_UNUSED" hidden="1">"c7648"</definedName>
    <definedName name="IQ_ECO_METRIC_7704" hidden="1">"c7704"</definedName>
    <definedName name="IQ_ECO_METRIC_7705_UNUSED" hidden="1">"c7705"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19_UNUSED_UNUSED_UNUSED" hidden="1">"c7719"</definedName>
    <definedName name="IQ_ECO_METRIC_7776_UNUSED" hidden="1">"c7776"</definedName>
    <definedName name="IQ_ECO_METRIC_7776_UNUSED_UNUSED_UNUSED" hidden="1">"c7776"</definedName>
    <definedName name="IQ_ECO_METRIC_7777_UNUSED" hidden="1">"c7777"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39_UNUSED_UNUSED_UNUSED" hidden="1">"c7939"</definedName>
    <definedName name="IQ_ECO_METRIC_7996_UNUSED" hidden="1">"c7996"</definedName>
    <definedName name="IQ_ECO_METRIC_7996_UNUSED_UNUSED_UNUSED" hidden="1">"c7996"</definedName>
    <definedName name="IQ_ECO_METRIC_7997_UNUSED" hidden="1">"c7997"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159_UNUSED_UNUSED_UNUSED" hidden="1">"c8159"</definedName>
    <definedName name="IQ_ECO_METRIC_8216_UNUSED" hidden="1">"c8216"</definedName>
    <definedName name="IQ_ECO_METRIC_8216_UNUSED_UNUSED_UNUSED" hidden="1">"c8216"</definedName>
    <definedName name="IQ_ECO_METRIC_8217_UNUSED" hidden="1">"c8217"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6_UNUSED_UNUSED_UNUSED" hidden="1">"c8436"</definedName>
    <definedName name="IQ_ECO_METRIC_8437_UNUSED" hidden="1">"c8437"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"c16242"</definedName>
    <definedName name="IQ_ECS_NUM_SHAREHOLDERS_ABS" hidden="1">"c16243"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DUCATION_LOANS_THRIFT" hidden="1">"c24861"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MPLOYMENT_YOY" hidden="1">"c20643"</definedName>
    <definedName name="IQ_ENDING_BALANCE_GVA_THRIFT" hidden="1">"c25097"</definedName>
    <definedName name="IQ_ENDING_BALANCE_SVA_THRIFT" hidden="1">"c25104"</definedName>
    <definedName name="IQ_ENDING_BALANCE_TVA_THRIFT" hidden="1">"c25111"</definedName>
    <definedName name="IQ_ENERGY_CRUDE_STOCK" hidden="1">"c20644"</definedName>
    <definedName name="IQ_ENERGY_FUEL_OIL_STOCK" hidden="1">"c20645"</definedName>
    <definedName name="IQ_ENERGY_GASOLINE_AVERAGE" hidden="1">"c20646"</definedName>
    <definedName name="IQ_ENERGY_GASOLINE_STOCK" hidden="1">"c20647"</definedName>
    <definedName name="IQ_ENERGY_PROPANE_STOCK" hidden="1">"c20648"</definedName>
    <definedName name="IQ_ENERGY_WTI_SPOT" hidden="1">"c20649"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_COL" hidden="1">"c11705"</definedName>
    <definedName name="IQ_EPS_AP" hidden="1">"c8880"</definedName>
    <definedName name="IQ_EPS_AP_ABS" hidden="1">"c8899"</definedName>
    <definedName name="IQ_EPS_EST" hidden="1">"c399"</definedName>
    <definedName name="IQ_EPS_EST_REUT" hidden="1">"c5453"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EST" hidden="1">"c1737"</definedName>
    <definedName name="IQ_EPS_GW_EST_REUT" hidden="1">"c5389"</definedName>
    <definedName name="IQ_EPS_GW_GUIDANCE_CIQ" hidden="1">"c4897"</definedName>
    <definedName name="IQ_EPS_GW_GUIDANCE_CIQ_COL" hidden="1">"c11544"</definedName>
    <definedName name="IQ_EPS_GW_HIGH_EST" hidden="1">"c1739"</definedName>
    <definedName name="IQ_EPS_GW_HIGH_EST_REUT" hidden="1">"c5391"</definedName>
    <definedName name="IQ_EPS_GW_HIGH_GUIDANCE_CIQ" hidden="1">"c4898"</definedName>
    <definedName name="IQ_EPS_GW_HIGH_GUIDANCE_CIQ_COL" hidden="1">"c11545"</definedName>
    <definedName name="IQ_EPS_GW_LOW_EST" hidden="1">"c1740"</definedName>
    <definedName name="IQ_EPS_GW_LOW_EST_REUT" hidden="1">"c5392"</definedName>
    <definedName name="IQ_EPS_GW_LOW_GUIDANCE_CIQ" hidden="1">"c4618"</definedName>
    <definedName name="IQ_EPS_GW_LOW_GUIDANCE_CIQ_COL" hidden="1">"c11267"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ACT_OR_EST_CIQ_COL" hidden="1">"c11548"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_COL" hidden="1">"c11552"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TDDEV_EST" hidden="1">"c403"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KPRICE" hidden="1">"c17798"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BIDPRICE" hidden="1">"c17797"</definedName>
    <definedName name="IQ_EQUITY_CAPITAL_ASSETS_FDIC" hidden="1">"c6744"</definedName>
    <definedName name="IQ_EQUITY_CAPITAL_QUARTERLY_AVG_FFIEC" hidden="1">"c13092"</definedName>
    <definedName name="IQ_EQUITY_ENDING_FFIEC" hidden="1">"c12973"</definedName>
    <definedName name="IQ_EQUITY_FDIC" hidden="1">"c6353"</definedName>
    <definedName name="IQ_EQUITY_INDEX_EXPOSURE_FFIEC" hidden="1">"c13060"</definedName>
    <definedName name="IQ_EQUITY_INV_NOT_CARRIED_FV_ADJUSTED_NCOS_THRIFT" hidden="1">"c25226"</definedName>
    <definedName name="IQ_EQUITY_INV_NOT_CARRIED_FV_SVA_PROVISIONS_TRANSFERS_FROM_GVA_THRIFT" hidden="1">"c25195"</definedName>
    <definedName name="IQ_EQUITY_INV_NOT_SUBJECT_SFAS_NO115_GVA_CHARGE_OFFS_THRIFT" hidden="1">"c25141"</definedName>
    <definedName name="IQ_EQUITY_INV_NOT_SUBJECT_SFAS_NO115_GVA_RECOVERIES_THRIFT" hidden="1">"c25164"</definedName>
    <definedName name="IQ_EQUITY_LIST" hidden="1">"c15158"</definedName>
    <definedName name="IQ_EQUITY_METHOD" hidden="1">"c404"</definedName>
    <definedName name="IQ_EQUITY_MIDPRICE" hidden="1">"c17799"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FV_THRIFT" hidden="1">"c24823"</definedName>
    <definedName name="IQ_EQUITY_SEC_INVEST_SECURITIES_FFIEC" hidden="1">"c13463"</definedName>
    <definedName name="IQ_EQUITY_SECURITIES_FDIC" hidden="1">"c6304"</definedName>
    <definedName name="IQ_EQUITY_SECURITIES_QUARTERLY_AVG_FFIEC" hidden="1">"c15474"</definedName>
    <definedName name="IQ_EQUITY_SECURITIES_WITHOUT_FAIR_VALUES_FFIEC" hidden="1">"c12846"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CROWS_THRIFT" hidden="1">"c24897"</definedName>
    <definedName name="IQ_ESOP_DEBT" hidden="1">"c1597"</definedName>
    <definedName name="IQ_ESOP_DEBT_GUARANTEED_FFIEC" hidden="1">"c12971"</definedName>
    <definedName name="IQ_ESOP_OVER_TOTAL" hidden="1">"c24734"</definedName>
    <definedName name="IQ_EST_ACT_CFPS" hidden="1">"c1673"</definedName>
    <definedName name="IQ_EST_ACT_DISTRIBUTABLE_CASH_CIQ_COL" hidden="1">"c11568"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FFO_CIQ_COL" hidden="1">"c11579"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ASH_FLOW_DIFF_CIQ_COL" hidden="1">"c11213"</definedName>
    <definedName name="IQ_EST_CASH_FLOW_SURPRISE_PERCENT_CIQ_COL" hidden="1">"c11222"</definedName>
    <definedName name="IQ_EST_CASH_OPER_DIFF_CIQ_COL" hidden="1">"c11223"</definedName>
    <definedName name="IQ_EST_CASH_OPER_SURPRISE_PERCENT_CIQ_COL" hidden="1">"c11421"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_CIQ_COL" hidden="1">"c11448"</definedName>
    <definedName name="IQ_EST_DISTRIBUTABLE_CASH_GROWTH_1YR_CIQ_COL" hidden="1">"c11585"</definedName>
    <definedName name="IQ_EST_DISTRIBUTABLE_CASH_GROWTH_2YR_CIQ_COL" hidden="1">"c11586"</definedName>
    <definedName name="IQ_EST_DISTRIBUTABLE_CASH_GROWTH_Q_1YR_CIQ_COL" hidden="1">"c11587"</definedName>
    <definedName name="IQ_EST_DISTRIBUTABLE_CASH_SEQ_GROWTH_Q_CIQ_COL" hidden="1">"c11588"</definedName>
    <definedName name="IQ_EST_DISTRIBUTABLE_CASH_SHARE_DIFF_CIQ_COL" hidden="1">"c11456"</definedName>
    <definedName name="IQ_EST_DISTRIBUTABLE_CASH_SHARE_GROWTH_1YR_CIQ_COL" hidden="1">"c11589"</definedName>
    <definedName name="IQ_EST_DISTRIBUTABLE_CASH_SHARE_GROWTH_2YR_CIQ_COL" hidden="1">"c11590"</definedName>
    <definedName name="IQ_EST_DISTRIBUTABLE_CASH_SHARE_GROWTH_Q_1YR_CIQ_COL" hidden="1">"c11591"</definedName>
    <definedName name="IQ_EST_DISTRIBUTABLE_CASH_SHARE_SEQ_GROWTH_Q_CIQ_COL" hidden="1">"c11592"</definedName>
    <definedName name="IQ_EST_DISTRIBUTABLE_CASH_SHARE_SURPRISE_PERCENT_CIQ_COL" hidden="1">"c11465"</definedName>
    <definedName name="IQ_EST_DISTRIBUTABLE_CASH_SURPRISE_PERCENT_CIQ_COL" hidden="1">"c11467"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GW_DIFF_CIQ_COL" hidden="1">"c11476"</definedName>
    <definedName name="IQ_EST_EBIT_GW_SURPRISE_PERCENT_CIQ_COL" hidden="1">"c11485"</definedName>
    <definedName name="IQ_EST_EBIT_SBC_DIFF_CIQ_COL" hidden="1">"c11486"</definedName>
    <definedName name="IQ_EST_EBIT_SBC_GW_DIFF_CIQ_COL" hidden="1">"c11490"</definedName>
    <definedName name="IQ_EST_EBIT_SBC_GW_SURPRISE_PERCENT_CIQ_COL" hidden="1">"c11499"</definedName>
    <definedName name="IQ_EST_EBIT_SBC_SURPRISE_PERCENT_CIQ_COL" hidden="1">"c11505"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BC_DIFF_CIQ_COL" hidden="1">"c11507"</definedName>
    <definedName name="IQ_EST_EBITDA_SBC_SURPRISE_PERCENT_CIQ_COL" hidden="1">"c11516"</definedName>
    <definedName name="IQ_EST_EBITDA_SEQ_GROWTH_Q" hidden="1">"c1769"</definedName>
    <definedName name="IQ_EST_EBITDA_SURPRISE_PERCENT" hidden="1">"c1868"</definedName>
    <definedName name="IQ_EST_EBT_SBC_DIFF_CIQ_COL" hidden="1">"c11520"</definedName>
    <definedName name="IQ_EST_EBT_SBC_GW_DIFF_CIQ_COL" hidden="1">"c11524"</definedName>
    <definedName name="IQ_EST_EBT_SBC_GW_SURPRISE_PERCENT_CIQ_COL" hidden="1">"c11533"</definedName>
    <definedName name="IQ_EST_EBT_SBC_SURPRISE_PERCENT_CIQ_COL" hidden="1">"c11539"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_CIQ_COL" hidden="1">"c11546"</definedName>
    <definedName name="IQ_EST_EPS_SBC_GW_DIFF_CIQ_COL" hidden="1">"c11550"</definedName>
    <definedName name="IQ_EST_EPS_SBC_GW_SURPRISE_PERCENT_CIQ_COL" hidden="1">"c11559"</definedName>
    <definedName name="IQ_EST_EPS_SBC_SURPRISE_PERCENT_CIQ_COL" hidden="1">"c11565"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AIR_VALUE_MORT_SERVICING_ASSETS_FFIEC" hidden="1">"c12956"</definedName>
    <definedName name="IQ_EST_FFO_ADJ_DIFF_CIQ_COL" hidden="1">"c11605"</definedName>
    <definedName name="IQ_EST_FFO_ADJ_GROWTH_1YR_CIQ_COL" hidden="1">"c11593"</definedName>
    <definedName name="IQ_EST_FFO_ADJ_GROWTH_2YR_CIQ_COL" hidden="1">"c11594"</definedName>
    <definedName name="IQ_EST_FFO_ADJ_GROWTH_Q_1YR_CIQ_COL" hidden="1">"c11595"</definedName>
    <definedName name="IQ_EST_FFO_ADJ_SEQ_GROWTH_Q_CIQ_COL" hidden="1">"c11596"</definedName>
    <definedName name="IQ_EST_FFO_ADJ_SURPRISE_PERCENT_CIQ_COL" hidden="1">"c11614"</definedName>
    <definedName name="IQ_EST_FFO_DIFF" hidden="1">"c1869"</definedName>
    <definedName name="IQ_EST_FFO_DIFF_CIQ_COL" hidden="1">"c11616"</definedName>
    <definedName name="IQ_EST_FFO_GROWTH_1YR" hidden="1">"c1770"</definedName>
    <definedName name="IQ_EST_FFO_GROWTH_1YR_CIQ_COL" hidden="1">"c11597"</definedName>
    <definedName name="IQ_EST_FFO_GROWTH_2YR" hidden="1">"c1771"</definedName>
    <definedName name="IQ_EST_FFO_GROWTH_2YR_CIQ_COL" hidden="1">"c11598"</definedName>
    <definedName name="IQ_EST_FFO_GROWTH_Q_1YR" hidden="1">"c1772"</definedName>
    <definedName name="IQ_EST_FFO_GROWTH_Q_1YR_CIQ_COL" hidden="1">"c11599"</definedName>
    <definedName name="IQ_EST_FFO_SEQ_GROWTH_Q" hidden="1">"c1773"</definedName>
    <definedName name="IQ_EST_FFO_SEQ_GROWTH_Q_CIQ_COL" hidden="1">"c11600"</definedName>
    <definedName name="IQ_EST_FFO_SURPRISE_PERCENT" hidden="1">"c1870"</definedName>
    <definedName name="IQ_EST_FFO_SURPRISE_PERCENT_CIQ_COL" hidden="1">"c11629"</definedName>
    <definedName name="IQ_EST_MAINT_CAPEX_DIFF_CIQ_COL" hidden="1">"c11632"</definedName>
    <definedName name="IQ_EST_MAINT_CAPEX_GROWTH_1YR_CIQ_COL" hidden="1">"c11601"</definedName>
    <definedName name="IQ_EST_MAINT_CAPEX_GROWTH_2YR_CIQ_COL" hidden="1">"c11602"</definedName>
    <definedName name="IQ_EST_MAINT_CAPEX_GROWTH_Q_1YR_CIQ_COL" hidden="1">"c11603"</definedName>
    <definedName name="IQ_EST_MAINT_CAPEX_SEQ_GROWTH_Q_CIQ_COL" hidden="1">"c11604"</definedName>
    <definedName name="IQ_EST_MAINT_CAPEX_SURPRISE_PERCENT_CIQ_COL" hidden="1">"c11650"</definedName>
    <definedName name="IQ_EST_NAV_DIFF" hidden="1">"c1895"</definedName>
    <definedName name="IQ_EST_NAV_SURPRISE_PERCENT" hidden="1">"c1896"</definedName>
    <definedName name="IQ_EST_NEXT_EARNINGS_DATE" hidden="1">"c13591"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BC_DIFF_CIQ_COL" hidden="1">"c11657"</definedName>
    <definedName name="IQ_EST_NI_SBC_GW_DIFF_CIQ_COL" hidden="1">"c11661"</definedName>
    <definedName name="IQ_EST_NI_SBC_GW_SURPRISE_PERCENT_CIQ_COL" hidden="1">"c11670"</definedName>
    <definedName name="IQ_EST_NI_SBC_SURPRISE_PERCENT_CIQ_COL" hidden="1">"c11676"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ERIOD_ID" hidden="1">"c13923"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CURRING_PROFIT_SHARE_DIFF_CIQ_COL" hidden="1">"c11690"</definedName>
    <definedName name="IQ_EST_RECURRING_PROFIT_SHARE_SURPRISE_PERCENT_CIQ_COL" hidden="1">"c11700"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ESS_ALLOWANCE_LL_LOSSES_THRIFT" hidden="1">"c25078"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_USD" hidden="1">"c20650"</definedName>
    <definedName name="IQ_EXPORTS_APR_FC_UNUSED" hidden="1">"c8401"</definedName>
    <definedName name="IQ_EXPORTS_APR_FC_UNUSED_UNUSED_UNUSED" hidden="1">"c8401"</definedName>
    <definedName name="IQ_EXPORTS_APR_UNUSED" hidden="1">"c7521"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FC_UNUSED_UNUSED_UNUSED" hidden="1">"c8512"</definedName>
    <definedName name="IQ_EXPORTS_GOODS_REAL_SAAR_APR_UNUSED" hidden="1">"c7632"</definedName>
    <definedName name="IQ_EXPORTS_GOODS_REAL_SAAR_APR_UNUSED_UNUSED_UNUSED" hidden="1">"c7632"</definedName>
    <definedName name="IQ_EXPORTS_GOODS_REAL_SAAR_FC_UNUSED" hidden="1">"c7852"</definedName>
    <definedName name="IQ_EXPORTS_GOODS_REAL_SAAR_FC_UNUSED_UNUSED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FC_UNUSED_UNUSED_UNUSED" hidden="1">"c8072"</definedName>
    <definedName name="IQ_EXPORTS_GOODS_REAL_SAAR_POP_UNUSED" hidden="1">"c7192"</definedName>
    <definedName name="IQ_EXPORTS_GOODS_REAL_SAAR_POP_UNUSED_UNUSED_UNUSED" hidden="1">"c7192"</definedName>
    <definedName name="IQ_EXPORTS_GOODS_REAL_SAAR_UNUSED" hidden="1">"c6972"</definedName>
    <definedName name="IQ_EXPORTS_GOODS_REAL_SAAR_UNUSED_UNUSED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FC_UNUSED_UNUSED_UNUSED" hidden="1">"c8292"</definedName>
    <definedName name="IQ_EXPORTS_GOODS_REAL_SAAR_YOY_UNUSED" hidden="1">"c7412"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FC_UNUSED_UNUSED_UNUSED" hidden="1">"c7961"</definedName>
    <definedName name="IQ_EXPORTS_POP_UNUSED" hidden="1">"c7081"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FC_UNUSED_UNUSED_UNUSED" hidden="1">"c8516"</definedName>
    <definedName name="IQ_EXPORTS_SERVICES_REAL_SAAR_APR_UNUSED" hidden="1">"c7636"</definedName>
    <definedName name="IQ_EXPORTS_SERVICES_REAL_SAAR_APR_UNUSED_UNUSED_UNUSED" hidden="1">"c7636"</definedName>
    <definedName name="IQ_EXPORTS_SERVICES_REAL_SAAR_FC_UNUSED" hidden="1">"c7856"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FC_UNUSED_UNUSED_UNUSED" hidden="1">"c8076"</definedName>
    <definedName name="IQ_EXPORTS_SERVICES_REAL_SAAR_POP_UNUSED" hidden="1">"c7196"</definedName>
    <definedName name="IQ_EXPORTS_SERVICES_REAL_SAAR_POP_UNUSED_UNUSED_UNUSED" hidden="1">"c7196"</definedName>
    <definedName name="IQ_EXPORTS_SERVICES_REAL_SAAR_UNUSED" hidden="1">"c6976"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FC_UNUSED_UNUSED_UNUSED" hidden="1">"c8296"</definedName>
    <definedName name="IQ_EXPORTS_SERVICES_REAL_SAAR_YOY_UNUSED" hidden="1">"c7416"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FC_UNUSED_UNUSED_UNUSED" hidden="1">"c8181"</definedName>
    <definedName name="IQ_EXPORTS_YOY_UNUSED" hidden="1">"c7301"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CM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GAINS_FDIC" hidden="1">"c6586"</definedName>
    <definedName name="IQ_EXTRAORDINARY_ITEMS_AVG_ASSETS_THRIFT" hidden="1">"c25659"</definedName>
    <definedName name="IQ_EXTRAORDINARY_ITEMS_FFIEC" hidden="1">"c13033"</definedName>
    <definedName name="IQ_EXTRAORDINARY_ITEMS_THRIFT" hidden="1">"c24797"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_LOANS_FFIEC" hidden="1">"c13870"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_INFLOWS" hidden="1">"c20651"</definedName>
    <definedName name="IQ_FDI_NET" hidden="1">"c20652"</definedName>
    <definedName name="IQ_FDI_OUTFLOWS" hidden="1">"c20653"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PURCHASED_SEC_SOLD_REPURCHASE_THRIFT" hidden="1">"c24901"</definedName>
    <definedName name="IQ_FED_FUND_SOLD_SEC_PURCHASED_RESELL_FFIEC" hidden="1">"c15488"</definedName>
    <definedName name="IQ_FED_FUND_SOLD_SEC_PURCHASED_RESELL_THRIFT" hidden="1">"c24821"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FDIC" hidden="1">"c6343"</definedName>
    <definedName name="IQ_FED_FUNDS_PURCHASED_QUARTERLY_AVG_FFIEC" hidden="1">"c13090"</definedName>
    <definedName name="IQ_FED_FUNDS_PURCHASED_REPOS_TOTAL_ASSETS_THRIFT" hidden="1">"c25702"</definedName>
    <definedName name="IQ_FED_FUNDS_SOLD_DOM_FFIEC" hidden="1">"c12806"</definedName>
    <definedName name="IQ_FED_FUNDS_SOLD_FDIC" hidden="1">"c6307"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ERAL_FUNDS_PURCHASED_SEC_SOLD_UNDER_AGREEMENTS_REPURCHASE_AMOUNTS_NETTED_THRIFT" hidden="1">"c25528"</definedName>
    <definedName name="IQ_FEDERAL_FUNDS_PURCHASED_SEC_SOLD_UNDER_AGREEMENTS_REPURCHASE_LEVEL_1_THRIFT" hidden="1">"c25524"</definedName>
    <definedName name="IQ_FEDERAL_FUNDS_PURCHASED_SEC_SOLD_UNDER_AGREEMENTS_REPURCHASE_LEVEL_2_THRIFT" hidden="1">"c25525"</definedName>
    <definedName name="IQ_FEDERAL_FUNDS_PURCHASED_SEC_SOLD_UNDER_AGREEMENTS_REPURCHASE_LEVEL_3_THRIFT" hidden="1">"c25526"</definedName>
    <definedName name="IQ_FEDERAL_FUNDS_PURCHASED_SEC_SOLD_UNDER_AGREEMENTS_REPURCHASE_TOTAL_AFTER_NETTING_THRIFT" hidden="1">"c25529"</definedName>
    <definedName name="IQ_FEDERAL_FUNDS_PURCHASED_SEC_SOLD_UNDER_AGREEMENTS_REPURCHASE_TOTAL_BEFORE_NETTING_THRIFT" hidden="1">"c25527"</definedName>
    <definedName name="IQ_FEDERAL_FUNDS_SOLD_SEC_PURCHASED_UNDER_AGREEMENTS_RESELL_AMOUNTS_NETTED_THRIFT" hidden="1">"c25480"</definedName>
    <definedName name="IQ_FEDERAL_FUNDS_SOLD_SEC_PURCHASED_UNDER_AGREEMENTS_RESELL_LEVEL_1_THRIFT" hidden="1">"c25476"</definedName>
    <definedName name="IQ_FEDERAL_FUNDS_SOLD_SEC_PURCHASED_UNDER_AGREEMENTS_RESELL_LEVEL_2_THRIFT" hidden="1">"c25477"</definedName>
    <definedName name="IQ_FEDERAL_FUNDS_SOLD_SEC_PURCHASED_UNDER_AGREEMENTS_RESELL_LEVEL_3_THRIFT" hidden="1">"c25478"</definedName>
    <definedName name="IQ_FEDERAL_FUNDS_SOLD_SEC_PURCHASED_UNDER_AGREEMENTS_RESELL_TOTAL_AFTER_NETTING_THRIFT" hidden="1">"c25481"</definedName>
    <definedName name="IQ_FEDERAL_FUNDS_SOLD_SEC_PURCHASED_UNDER_AGREEMENTS_RESELL_TOTAL_BEFORE_NETTING_THRIFT" hidden="1">"c25479"</definedName>
    <definedName name="IQ_FEDERAL_INC_TAXES_THRIFT" hidden="1">"c24816"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_INCOME_COMM_LOANS_THRIFT" hidden="1">"c24751"</definedName>
    <definedName name="IQ_FEE_INCOME_CONSUMER_LOANS_THRIFT" hidden="1">"c24752"</definedName>
    <definedName name="IQ_FEE_INCOME_MORTGAGE_LOANS_THRIFT" hidden="1">"c24750"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DJ_ACT_OR_EST" hidden="1">"c4435"</definedName>
    <definedName name="IQ_FFO_ADJ_ACT_OR_EST_CIQ_COL" hidden="1">"c11607"</definedName>
    <definedName name="IQ_FFO_ADJ_GUIDANCE_CIQ" hidden="1">"c4961"</definedName>
    <definedName name="IQ_FFO_ADJ_GUIDANCE_CIQ_COL" hidden="1">"c11608"</definedName>
    <definedName name="IQ_FFO_ADJ_HIGH_GUIDANCE_CIQ" hidden="1">"c4614"</definedName>
    <definedName name="IQ_FFO_ADJ_HIGH_GUIDANCE_CIQ_COL" hidden="1">"c11263"</definedName>
    <definedName name="IQ_FFO_ADJ_LOW_GUIDANCE_CIQ" hidden="1">"c4654"</definedName>
    <definedName name="IQ_FFO_ADJ_LOW_GUIDANCE_CIQ_COL" hidden="1">"c11303"</definedName>
    <definedName name="IQ_FFO_DILUTED" hidden="1">"c16186"</definedName>
    <definedName name="IQ_FFO_EST" hidden="1">"c418"</definedName>
    <definedName name="IQ_FFO_EST_CIQ_COL" hidden="1">"c11617"</definedName>
    <definedName name="IQ_FFO_GUIDANCE_CIQ" hidden="1">"c4968"</definedName>
    <definedName name="IQ_FFO_GUIDANCE_CIQ_COL" hidden="1">"c11615"</definedName>
    <definedName name="IQ_FFO_HIGH_EST" hidden="1">"c419"</definedName>
    <definedName name="IQ_FFO_HIGH_EST_CIQ_COL" hidden="1">"c11624"</definedName>
    <definedName name="IQ_FFO_HIGH_GUIDANCE_CIQ" hidden="1">"c4596"</definedName>
    <definedName name="IQ_FFO_HIGH_GUIDANCE_CIQ_COL" hidden="1">"c11245"</definedName>
    <definedName name="IQ_FFO_LOW_EST" hidden="1">"c420"</definedName>
    <definedName name="IQ_FFO_LOW_EST_CIQ_COL" hidden="1">"c11625"</definedName>
    <definedName name="IQ_FFO_LOW_GUIDANCE_CIQ" hidden="1">"c4636"</definedName>
    <definedName name="IQ_FFO_LOW_GUIDANCE_CIQ_COL" hidden="1">"c11285"</definedName>
    <definedName name="IQ_FFO_MEDIAN_EST" hidden="1">"c1665"</definedName>
    <definedName name="IQ_FFO_MEDIAN_EST_CIQ_COL" hidden="1">"c11626"</definedName>
    <definedName name="IQ_FFO_NUM_EST" hidden="1">"c421"</definedName>
    <definedName name="IQ_FFO_NUM_EST_CIQ_COL" hidden="1">"c11627"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_COL" hidden="1">"c11618"</definedName>
    <definedName name="IQ_FFO_SHARE_GUIDANCE_CIQ" hidden="1">"c4976"</definedName>
    <definedName name="IQ_FFO_SHARE_GUIDANCE_CIQ_COL" hidden="1">"c11623"</definedName>
    <definedName name="IQ_FFO_SHARE_HIGH_GUIDANCE_CIQ" hidden="1">"c4615"</definedName>
    <definedName name="IQ_FFO_SHARE_HIGH_GUIDANCE_CIQ_COL" hidden="1">"c11264"</definedName>
    <definedName name="IQ_FFO_SHARE_LOW_GUIDANCE_CIQ" hidden="1">"c4655"</definedName>
    <definedName name="IQ_FFO_SHARE_LOW_GUIDANCE_CIQ_COL" hidden="1">"c11304"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_COL" hidden="1">"c11628"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HLB_STOCK_NOT_CARRIED_FV_THRIFT" hidden="1">"c24880"</definedName>
    <definedName name="IQ_FIDUCIARY_ACTIVITIES_FDIC" hidden="1">"c6571"</definedName>
    <definedName name="IQ_FIDUCIARY_ACTIVITIES_INCOME_ADJUSTED_OPERATING_INCOME_THRIFT" hidden="1">"c25689"</definedName>
    <definedName name="IQ_FIDUCIARY_INCOME_OPERATING_INC_FFIEC" hidden="1">"c13383"</definedName>
    <definedName name="IQ_FIDUCIARY_MANAGED_ASSETS_THRIFT" hidden="1">"c25438"</definedName>
    <definedName name="IQ_FIDUCIARY_RELATED_SERVICES_EXP_THRIFT" hidden="1">"c24812"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MINORITY_INT_REDEEM" hidden="1">"c25788"</definedName>
    <definedName name="IQ_FIN_DIV_MINORITY_INTEREST" hidden="1">"c25790"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_UNUSED_FFIEC" hidden="1">"c25860"</definedName>
    <definedName name="IQ_FIN_INSTANCE_ID" hidden="1">"c13921"</definedName>
    <definedName name="IQ_FIN_PERIOD_ID" hidden="1">"c13920"</definedName>
    <definedName name="IQ_FINANCIAL_ASSETS_CARRIED_FV_THROUGH_EARNINGS_THRIFT" hidden="1">"c24931"</definedName>
    <definedName name="IQ_FINANCIAL_ASSETS_HELD_TRADING_PURPOSES_THRIFT" hidden="1">"c24930"</definedName>
    <definedName name="IQ_FINANCIAL_LIABILITIES_CARRIED_FV_THROUGH_EARNINGS_THRIFT" hidden="1">"c24932"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BALANCE_PCT_GDP" hidden="1">"c20654"</definedName>
    <definedName name="IQ_FISCAL_Q" hidden="1">"c440"</definedName>
    <definedName name="IQ_FISCAL_Q_EST" hidden="1">"c6794"</definedName>
    <definedName name="IQ_FISCAL_Q_EST_CIQ_COL" hidden="1">"c11741"</definedName>
    <definedName name="IQ_FISCAL_Q_EST_REUT" hidden="1">"c6798"</definedName>
    <definedName name="IQ_FISCAL_Y" hidden="1">"c441"</definedName>
    <definedName name="IQ_FISCAL_Y_EST" hidden="1">"c6795"</definedName>
    <definedName name="IQ_FISCAL_Y_EST_CIQ_COL" hidden="1">"c11742"</definedName>
    <definedName name="IQ_FISCAL_Y_EST_REUT" hidden="1">"c6799"</definedName>
    <definedName name="IQ_FISCAL_YEAR_END_THRIFT" hidden="1">"c25020"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FC_UNUSED_UNUSED_UNUSED" hidden="1">"c8410"</definedName>
    <definedName name="IQ_FIXED_INVEST_APR_UNUSED" hidden="1">"c7530"</definedName>
    <definedName name="IQ_FIXED_INVEST_APR_UNUSED_UNUSED_UNUSED" hidden="1">"c7530"</definedName>
    <definedName name="IQ_FIXED_INVEST_FC_UNUSED" hidden="1">"c7750"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FC_UNUSED_UNUSED_UNUSED" hidden="1">"c7970"</definedName>
    <definedName name="IQ_FIXED_INVEST_POP_UNUSED" hidden="1">"c7090"</definedName>
    <definedName name="IQ_FIXED_INVEST_POP_UNUSED_UNUSED_UNUSED" hidden="1">"c7090"</definedName>
    <definedName name="IQ_FIXED_INVEST_REAL_APR_FC_UNUSED" hidden="1">"c8518"</definedName>
    <definedName name="IQ_FIXED_INVEST_REAL_APR_FC_UNUSED_UNUSED_UNUSED" hidden="1">"c8518"</definedName>
    <definedName name="IQ_FIXED_INVEST_REAL_APR_UNUSED" hidden="1">"c7638"</definedName>
    <definedName name="IQ_FIXED_INVEST_REAL_APR_UNUSED_UNUSED_UNUSED" hidden="1">"c7638"</definedName>
    <definedName name="IQ_FIXED_INVEST_REAL_FC_UNUSED" hidden="1">"c7858"</definedName>
    <definedName name="IQ_FIXED_INVEST_REAL_FC_UNUSED_UNUSED_UNUSED" hidden="1">"c7858"</definedName>
    <definedName name="IQ_FIXED_INVEST_REAL_POP_FC_UNUSED" hidden="1">"c8078"</definedName>
    <definedName name="IQ_FIXED_INVEST_REAL_POP_FC_UNUSED_UNUSED_UNUSED" hidden="1">"c8078"</definedName>
    <definedName name="IQ_FIXED_INVEST_REAL_POP_UNUSED" hidden="1">"c7198"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FC_UNUSED_UNUSED_UNUSED" hidden="1">"c8298"</definedName>
    <definedName name="IQ_FIXED_INVEST_REAL_YOY_UNUSED" hidden="1">"c7418"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FC_UNUSED_UNUSED_UNUSED" hidden="1">"c8190"</definedName>
    <definedName name="IQ_FIXED_INVEST_YOY_UNUSED" hidden="1">"c7310"</definedName>
    <definedName name="IQ_FIXED_INVEST_YOY_UNUSED_UNUSED_UNUSED" hidden="1">"c7310"</definedName>
    <definedName name="IQ_FIXED_RATE_DEBT" hidden="1">"c17894"</definedName>
    <definedName name="IQ_FIXED_RATE_DEBT_PCT" hidden="1">"c18008"</definedName>
    <definedName name="IQ_FLOAT" hidden="1">"c17421"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 hidden="1">"c13269"</definedName>
    <definedName name="IQ_FOREIGN_BANKS_DUE_90_FFIEC" hidden="1">"c13295"</definedName>
    <definedName name="IQ_FOREIGN_BANKS_LOAN_CHARG_OFFS_FDIC" hidden="1">"c6645"</definedName>
    <definedName name="IQ_FOREIGN_BANKS_NET_CHARGE_OFFS_FDIC" hidden="1">"c6647"</definedName>
    <definedName name="IQ_FOREIGN_BANKS_NON_ACCRUAL_FFIEC" hidden="1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NONTRANSACTION_ACCOUNTS_FDIC" hidden="1">"c6549"</definedName>
    <definedName name="IQ_FOREIGN_DEPOSITS_TOT_FFIEC" hidden="1">"c13486"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"c24735"</definedName>
    <definedName name="IQ_FOUNDATIONS_ENDOWMENT_ACCOUNTS_MANAGED_ASSETS_THRIFT" hidden="1">"c25354"</definedName>
    <definedName name="IQ_FOUNDATIONS_ENDOWMENT_ACCOUNTS_NONMANAGED_ASSETS_THRIFT" hidden="1">"c25375"</definedName>
    <definedName name="IQ_FOUNDATIONS_ENDOWMENT_ACCOUNTS_NUMBER_MANAGED_ACCOUNTS_THRIFT" hidden="1">"c25365"</definedName>
    <definedName name="IQ_FOUNDATIONS_ENDOWMENT_ACCOUNTS_NUMBER_NONMANAGED_ACCOUNTS_THRIFT" hidden="1">"c25387"</definedName>
    <definedName name="IQ_FOUNDATIONS_ENDOWMENTS_INC_THRIFT" hidden="1">"c24807"</definedName>
    <definedName name="IQ_FQ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BROKERED_TIME_DEPOSITS_THRIFT" hidden="1">"c25005"</definedName>
    <definedName name="IQ_FULLY_INSURED_DEPOSITS_FDIC" hidden="1">"c6487"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FFIEC" hidden="1">"c13125"</definedName>
    <definedName name="IQ_FX_CONTRACTS_SPOT_FDIC" hidden="1">"c6356"</definedName>
    <definedName name="IQ_FX_EXPOSURE_FFIEC" hidden="1">"c13059"</definedName>
    <definedName name="IQ_FX_RATE" hidden="1">"c20655"</definedName>
    <definedName name="IQ_FX_RATE_FC" hidden="1">"c20656"</definedName>
    <definedName name="IQ_FX_RESERVES" hidden="1">"c20657"</definedName>
    <definedName name="IQ_FX_RESERVES_PCT_GDP" hidden="1">"c20658"</definedName>
    <definedName name="IQ_FX_RESERVES_PCT_GDP_FC" hidden="1">"c20659"</definedName>
    <definedName name="IQ_FY">1000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CM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CM" hidden="1">"c454"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CM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CM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CM" hidden="1">"c1464"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CM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BARGAIN_PURCHASES_FFIEC" hidden="1">"c25844"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ASSETS_FDIC" hidden="1">"c6675"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_AVAILABLE_SALE_AVG_ASSETS_THRIFT" hidden="1">"c25655"</definedName>
    <definedName name="IQ_GAINS_SEC_HELD_MATURITY_AVG_ASSETS_THRIFT" hidden="1">"c25654"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NERAL_OBLIGATIONS_STATE_LOCAL_GOVERNMENTS_ELIGIBLE_20_PCT_RISK_WEIGHT_THRIFT" hidden="1">"c25059"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FFIEC" hidden="1">"c12836"</definedName>
    <definedName name="IQ_GOODWILL_IMPAIRMENT_FDIC" hidden="1">"c6678"</definedName>
    <definedName name="IQ_GOODWILL_IMPAIRMENT_FFIEC" hidden="1">"c13025"</definedName>
    <definedName name="IQ_GOODWILL_INTAN_FDIC" hidden="1">"c6333"</definedName>
    <definedName name="IQ_GOODWILL_INTANGIBLE_ASSETS_THRIFT" hidden="1">"c24887"</definedName>
    <definedName name="IQ_GOODWILL_NET" hidden="1">"c1380"</definedName>
    <definedName name="IQ_GOODWILL_OTHER_INTANGIBLE_ASSETS_ADJUSTED_ASSETS_THRIFT" hidden="1">"c25032"</definedName>
    <definedName name="IQ_GOODWILL_OTHER_INTANGIBLE_ASSETS_T1_THRIFT" hidden="1">"c25023"</definedName>
    <definedName name="IQ_GOODWILL_OTHER_INTANGIBLE_ASSETS_THRIFT" hidden="1">"c24890"</definedName>
    <definedName name="IQ_GOODWILL_OTHER_INTANGIBLES_EXP_THRIFT" hidden="1">"c24791"</definedName>
    <definedName name="IQ_GOVT_CAPITAL_TRANSFER_PAYMENTS" hidden="1">"c20660"</definedName>
    <definedName name="IQ_GOVT_CAPITAL_TRANSFER_RECEIPTS" hidden="1">"c20661"</definedName>
    <definedName name="IQ_GOVT_CONSUM_FIXED_CAPITAL" hidden="1">"c20663"</definedName>
    <definedName name="IQ_GOVT_CONTRIBUTIONS_SOCIAL_INSURANCE" hidden="1">"c20664"</definedName>
    <definedName name="IQ_GOVT_CURRENT_EXPENDITURES" hidden="1">"c20665"</definedName>
    <definedName name="IQ_GOVT_CURRENT_RECEIPTS" hidden="1">"c20666"</definedName>
    <definedName name="IQ_GOVT_ENTERPRISE_SURPLUS" hidden="1">"c20667"</definedName>
    <definedName name="IQ_GOVT_EXPENDITURES" hidden="1">"c20668"</definedName>
    <definedName name="IQ_GOVT_EXPENDITURES_FEDERAL" hidden="1">"c20669"</definedName>
    <definedName name="IQ_GOVT_GROSS_INVEST" hidden="1">"c20673"</definedName>
    <definedName name="IQ_GOVT_GROSS_INVEST_EQUIP" hidden="1">"c20674"</definedName>
    <definedName name="IQ_GOVT_GROSS_INVEST_FEDERAL" hidden="1">"c20676"</definedName>
    <definedName name="IQ_GOVT_GROSS_INVEST_FEDERAL_DEF_EQUIP" hidden="1">"c20679"</definedName>
    <definedName name="IQ_GOVT_GROSS_INVEST_FEDERAL_DEFENSE_STRUCTURES" hidden="1">"c20677"</definedName>
    <definedName name="IQ_GOVT_GROSS_INVEST_FEDERAL_EQUIP" hidden="1">"c20680"</definedName>
    <definedName name="IQ_GOVT_GROSS_INVEST_FEDERAL_NONDEF_EQUIP" hidden="1">"c20682"</definedName>
    <definedName name="IQ_GOVT_GROSS_INVEST_FEDERAL_NONDEFENSE_STRUCTURES" hidden="1">"c24741"</definedName>
    <definedName name="IQ_GOVT_GROSS_INVEST_FEDERAL_STRUCTURES" hidden="1">"c20683"</definedName>
    <definedName name="IQ_GOVT_GROSS_INVEST_STATE_LOCAL_EQUIP" hidden="1">"c20685"</definedName>
    <definedName name="IQ_GOVT_GROSS_INVEST_STATE_LOCAL_STRUCTURES" hidden="1">"c20686"</definedName>
    <definedName name="IQ_GOVT_GROSS_INVEST_STRUCTURES" hidden="1">"c20687"</definedName>
    <definedName name="IQ_GOVT_INTEREST_PAYMENTS" hidden="1">"c20688"</definedName>
    <definedName name="IQ_GOVT_INTEREST_PAYMENTS_PERSON" hidden="1">"c20689"</definedName>
    <definedName name="IQ_GOVT_INTEREST_PAYMENTS_WORLD" hidden="1">"c20690"</definedName>
    <definedName name="IQ_GOVT_NET_BORROWING" hidden="1">"c20691"</definedName>
    <definedName name="IQ_GOVT_NET_PURCHASE_NONPRODUCED_ASSETS" hidden="1">"c20692"</definedName>
    <definedName name="IQ_GOVT_NET_SAVING" hidden="1">"c20693"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AL_EXPENDITURES" hidden="1">"c20694"</definedName>
    <definedName name="IQ_GOVT_REAL_EXPENDITURES_FEDERAL" hidden="1">"c20695"</definedName>
    <definedName name="IQ_GOVT_REAL_GROSS_INVEST" hidden="1">"c20699"</definedName>
    <definedName name="IQ_GOVT_REAL_GROSS_INVEST_EQUIP" hidden="1">"c20700"</definedName>
    <definedName name="IQ_GOVT_REAL_GROSS_INVEST_FEDERAL" hidden="1">"c20701"</definedName>
    <definedName name="IQ_GOVT_REAL_GROSS_INVEST_FEDERAL_DEF_EQUIP" hidden="1">"c20704"</definedName>
    <definedName name="IQ_GOVT_REAL_GROSS_INVEST_FEDERAL_DEFENSE_STRUCTURES" hidden="1">"c20702"</definedName>
    <definedName name="IQ_GOVT_REAL_GROSS_INVEST_FEDERAL_EQUIP" hidden="1">"c20705"</definedName>
    <definedName name="IQ_GOVT_REAL_GROSS_INVEST_FEDERAL_NONDEF_EQUIP" hidden="1">"c20707"</definedName>
    <definedName name="IQ_GOVT_REAL_GROSS_INVEST_FEDERAL_NONDEFENSE_STRUCTURES" hidden="1">"c24742"</definedName>
    <definedName name="IQ_GOVT_REAL_GROSS_INVEST_FEDERAL_STRUCTURES" hidden="1">"c20708"</definedName>
    <definedName name="IQ_GOVT_REAL_GROSS_INVEST_STATE_LOCAL_EQUIP" hidden="1">"c20710"</definedName>
    <definedName name="IQ_GOVT_REAL_GROSS_INVEST_STATE_LOCAL_STRUCTURES" hidden="1">"c20711"</definedName>
    <definedName name="IQ_GOVT_REAL_GROSS_INVEST_STRUCTURES" hidden="1">"c20712"</definedName>
    <definedName name="IQ_GOVT_REAL_RECEIPTS_CONSUM_INVEST_RESIDUAL" hidden="1">"c20717"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ASSETS" hidden="1">"c20719"</definedName>
    <definedName name="IQ_GOVT_RECEIPTS_ASSETS_DIVIDENDS" hidden="1">"c20720"</definedName>
    <definedName name="IQ_GOVT_RECEIPTS_ASSETS_INTEREST" hidden="1">"c20721"</definedName>
    <definedName name="IQ_GOVT_RECEIPTS_ASSETS_RENT" hidden="1">"c20722"</definedName>
    <definedName name="IQ_GOVT_RECEIPTS_EXPENSITURES_OTHER" hidden="1">"c20728"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TRANSFER" hidden="1">"c20729"</definedName>
    <definedName name="IQ_GOVT_RECEIPTS_TRANSFER_BUSINESS" hidden="1">"c20730"</definedName>
    <definedName name="IQ_GOVT_RECEIPTS_TRANSFER_PERSONAL" hidden="1">"c20731"</definedName>
    <definedName name="IQ_GOVT_RECEIPTS_YOY" hidden="1">"c7317"</definedName>
    <definedName name="IQ_GOVT_RECEIPTS_YOY_FC" hidden="1">"c8197"</definedName>
    <definedName name="IQ_GOVT_SOCIAL_BENEFITS" hidden="1">"c20732"</definedName>
    <definedName name="IQ_GOVT_SOCIAL_BENEFITS_PERSONS" hidden="1">"c20733"</definedName>
    <definedName name="IQ_GOVT_SOCIAL_BENEFITS_WORLD" hidden="1">"c20734"</definedName>
    <definedName name="IQ_GOVT_SOCIAL_INSURANCE_FUNDS" hidden="1">"c20735"</definedName>
    <definedName name="IQ_GOVT_SUBSIDIES" hidden="1">"c20736"</definedName>
    <definedName name="IQ_GOVT_TAX_RECEIPTS" hidden="1">"c20737"</definedName>
    <definedName name="IQ_GOVT_TAX_RECEIPTS_CORPORATE" hidden="1">"c20738"</definedName>
    <definedName name="IQ_GOVT_TAX_RECEIPTS_CORPORATE_FED_RESERVE" hidden="1">"c20739"</definedName>
    <definedName name="IQ_GOVT_TAX_RECEIPTS_CORPORATE_OTHER" hidden="1">"c20740"</definedName>
    <definedName name="IQ_GOVT_TAX_RECEIPTS_CUSTOMS" hidden="1">"c20741"</definedName>
    <definedName name="IQ_GOVT_TAX_RECEIPTS_EXCISE" hidden="1">"c20742"</definedName>
    <definedName name="IQ_GOVT_TAX_RECEIPTS_PERSONAL" hidden="1">"c20743"</definedName>
    <definedName name="IQ_GOVT_TAX_RECEIPTS_PRODUCTION_IMPORTS" hidden="1">"c20744"</definedName>
    <definedName name="IQ_GOVT_TAX_RECEIPTS_WORLD" hidden="1">"c20745"</definedName>
    <definedName name="IQ_GOVT_TOTAL_EXPENDITURES" hidden="1">"c20746"</definedName>
    <definedName name="IQ_GOVT_TOTAL_RECEIPTS" hidden="1">"c20747"</definedName>
    <definedName name="IQ_GOVT_TRANSFER_PAYMENTS" hidden="1">"c20748"</definedName>
    <definedName name="IQ_GOVT_TRANSFER_PAYMENTS_OTHER" hidden="1">"c20749"</definedName>
    <definedName name="IQ_GOVT_TRANSFER_PAYMENTS_OTHER_STATE_LOCAL" hidden="1">"c20750"</definedName>
    <definedName name="IQ_GOVT_TRANSFER_PAYMENTS_OTHER_WORLD" hidden="1">"c20751"</definedName>
    <definedName name="IQ_GOVT_WAGE_ACCRUAL" hidden="1">"c20752"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GW" hidden="1">"c17750"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_AVG_LOANS_THRIFT" hidden="1">"c25636"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UARANTEED_PORTION_OTHER_LOANS_LEASES_EXCLUDE_REBOOKED_GNMA_LOANS_DUE_90_THRIFT" hidden="1">"c25280"</definedName>
    <definedName name="IQ_GUARANTEED_PORTION_OTHER_LOANS_LEASES_EXCLUDE_REBOOKED_GNMA_LOANS_NON_ACCRUAL_THRIFT" hidden="1">"c25301"</definedName>
    <definedName name="IQ_GUARTANTEED_PORTION_OTHER_LOANS_LEASES_EXCLUDE_REBOOKED_GNMA_LOANS_DUE_30_89_THRIFT" hidden="1">"c25259"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CM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CM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CM" hidden="1">"c1470"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"c24736"</definedName>
    <definedName name="IQ_HEDGING_ACTIVITIES" hidden="1">"c17899"</definedName>
    <definedName name="IQ_HEDGING_ACTIVITIES_PCT" hidden="1">"c18013"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INSTITUTION_TYPE" hidden="1">"c24729"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QUITY_ASSETS" hidden="1">"c26966"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EQUITY_LOANS_TOTAL_LOANS_THRIFT" hidden="1">"c25748"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MPROVEMENT_LOANS_NOT_SECURED_RE_THRIFT" hidden="1">"c24860"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30YR_MORTGAGE" hidden="1">"c20753"</definedName>
    <definedName name="IQ_HOUSING_COMPLETION" hidden="1">"c20754"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FC_UNUSED_UNUSED_UNUSED" hidden="1">"c8422"</definedName>
    <definedName name="IQ_HOUSING_COMPLETIONS_SINGLE_FAM_APR_UNUSED" hidden="1">"c7542"</definedName>
    <definedName name="IQ_HOUSING_COMPLETIONS_SINGLE_FAM_APR_UNUSED_UNUSED_UNUSED" hidden="1">"c7542"</definedName>
    <definedName name="IQ_HOUSING_COMPLETIONS_SINGLE_FAM_FC_UNUSED" hidden="1">"c7762"</definedName>
    <definedName name="IQ_HOUSING_COMPLETIONS_SINGLE_FAM_FC_UNUSED_UNUSED_UNUSED" hidden="1">"c7762"</definedName>
    <definedName name="IQ_HOUSING_COMPLETIONS_SINGLE_FAM_POP_FC_UNUSED" hidden="1">"c7982"</definedName>
    <definedName name="IQ_HOUSING_COMPLETIONS_SINGLE_FAM_POP_FC_UNUSED_UNUSED_UNUSED" hidden="1">"c7982"</definedName>
    <definedName name="IQ_HOUSING_COMPLETIONS_SINGLE_FAM_POP_UNUSED" hidden="1">"c7102"</definedName>
    <definedName name="IQ_HOUSING_COMPLETIONS_SINGLE_FAM_POP_UNUSED_UNUSED_UNUSED" hidden="1">"c7102"</definedName>
    <definedName name="IQ_HOUSING_COMPLETIONS_SINGLE_FAM_UNUSED" hidden="1">"c6882"</definedName>
    <definedName name="IQ_HOUSING_COMPLETIONS_SINGLE_FAM_UNUSED_UNUSED_UNUSED" hidden="1">"c6882"</definedName>
    <definedName name="IQ_HOUSING_COMPLETIONS_SINGLE_FAM_YOY_FC_UNUSED" hidden="1">"c8202"</definedName>
    <definedName name="IQ_HOUSING_COMPLETIONS_SINGLE_FAM_YOY_FC_UNUSED_UNUSED_UNUSED" hidden="1">"c8202"</definedName>
    <definedName name="IQ_HOUSING_COMPLETIONS_SINGLE_FAM_YOY_UNUSED" hidden="1">"c7322"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CONSTRUCTION_PERMITS" hidden="1">"c20755"</definedName>
    <definedName name="IQ_HOUSING_CONSTRUCTION_PRIVATE" hidden="1">"c20756"</definedName>
    <definedName name="IQ_HOUSING_EXISTING_HOME_SALES" hidden="1">"c20757"</definedName>
    <definedName name="IQ_HOUSING_HOMEOWNER_VACANCY" hidden="1">"c20758"</definedName>
    <definedName name="IQ_HOUSING_HOMEOWNERSHIP_RATE" hidden="1">"c20759"</definedName>
    <definedName name="IQ_HOUSING_MEDIAN_SALES_PRICE" hidden="1">"c20760"</definedName>
    <definedName name="IQ_HOUSING_NEW_HOME_SALES" hidden="1">"c20761"</definedName>
    <definedName name="IQ_HOUSING_PENDING_HOME_SALE_INDEX" hidden="1">"c20762"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RENTAL_VACANCY" hidden="1">"c20763"</definedName>
    <definedName name="IQ_HOUSING_START" hidden="1">"c20764"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_INV_SEC_THRIFT" hidden="1">"c25669"</definedName>
    <definedName name="IQ_HTM_SEC_TIER_1_CAPITAL_THRIFT" hidden="1">"c25629"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CHARGES_DEBT_EQUITY_SEC_THRIFT" hidden="1">"c24777"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FC_UNUSED_UNUSED_UNUSED" hidden="1">"c8523"</definedName>
    <definedName name="IQ_IMPORTS_GOODS_REAL_SAAR_APR_UNUSED" hidden="1">"c7643"</definedName>
    <definedName name="IQ_IMPORTS_GOODS_REAL_SAAR_APR_UNUSED_UNUSED_UNUSED" hidden="1">"c7643"</definedName>
    <definedName name="IQ_IMPORTS_GOODS_REAL_SAAR_FC_UNUSED" hidden="1">"c7863"</definedName>
    <definedName name="IQ_IMPORTS_GOODS_REAL_SAAR_FC_UNUSED_UNUSED_UNUSED" hidden="1">"c7863"</definedName>
    <definedName name="IQ_IMPORTS_GOODS_REAL_SAAR_POP_FC_UNUSED" hidden="1">"c8083"</definedName>
    <definedName name="IQ_IMPORTS_GOODS_REAL_SAAR_POP_FC_UNUSED_UNUSED_UNUSED" hidden="1">"c8083"</definedName>
    <definedName name="IQ_IMPORTS_GOODS_REAL_SAAR_POP_UNUSED" hidden="1">"c7203"</definedName>
    <definedName name="IQ_IMPORTS_GOODS_REAL_SAAR_POP_UNUSED_UNUSED_UNUSED" hidden="1">"c7203"</definedName>
    <definedName name="IQ_IMPORTS_GOODS_REAL_SAAR_UNUSED" hidden="1">"c6983"</definedName>
    <definedName name="IQ_IMPORTS_GOODS_REAL_SAAR_UNUSED_UNUSED_UNUSED" hidden="1">"c6983"</definedName>
    <definedName name="IQ_IMPORTS_GOODS_REAL_SAAR_YOY_FC_UNUSED" hidden="1">"c8303"</definedName>
    <definedName name="IQ_IMPORTS_GOODS_REAL_SAAR_YOY_FC_UNUSED_UNUSED_UNUSED" hidden="1">"c8303"</definedName>
    <definedName name="IQ_IMPORTS_GOODS_REAL_SAAR_YOY_UNUSED" hidden="1">"c7423"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FC_UNUSED_UNUSED_UNUSED" hidden="1">"c8429"</definedName>
    <definedName name="IQ_IMPORTS_GOODS_SERVICES_APR_UNUSED" hidden="1">"c7549"</definedName>
    <definedName name="IQ_IMPORTS_GOODS_SERVICES_APR_UNUSED_UNUSED_UNUSED" hidden="1">"c7549"</definedName>
    <definedName name="IQ_IMPORTS_GOODS_SERVICES_FC_UNUSED" hidden="1">"c7769"</definedName>
    <definedName name="IQ_IMPORTS_GOODS_SERVICES_FC_UNUSED_UNUSED_UNUSED" hidden="1">"c7769"</definedName>
    <definedName name="IQ_IMPORTS_GOODS_SERVICES_POP_FC_UNUSED" hidden="1">"c7989"</definedName>
    <definedName name="IQ_IMPORTS_GOODS_SERVICES_POP_FC_UNUSED_UNUSED_UNUSED" hidden="1">"c7989"</definedName>
    <definedName name="IQ_IMPORTS_GOODS_SERVICES_POP_UNUSED" hidden="1">"c7109"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FC_UNUSED_UNUSED_UNUSED" hidden="1">"c8524"</definedName>
    <definedName name="IQ_IMPORTS_GOODS_SERVICES_REAL_SAAR_APR_UNUSED" hidden="1">"c7644"</definedName>
    <definedName name="IQ_IMPORTS_GOODS_SERVICES_REAL_SAAR_APR_UNUSED_UNUSED_UNUSED" hidden="1">"c7644"</definedName>
    <definedName name="IQ_IMPORTS_GOODS_SERVICES_REAL_SAAR_FC_UNUSED" hidden="1">"c7864"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FC_UNUSED_UNUSED_UNUSED" hidden="1">"c8084"</definedName>
    <definedName name="IQ_IMPORTS_GOODS_SERVICES_REAL_SAAR_POP_UNUSED" hidden="1">"c7204"</definedName>
    <definedName name="IQ_IMPORTS_GOODS_SERVICES_REAL_SAAR_POP_UNUSED_UNUSED_UNUSED" hidden="1">"c7204"</definedName>
    <definedName name="IQ_IMPORTS_GOODS_SERVICES_REAL_SAAR_UNUSED" hidden="1">"c6984"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FC_UNUSED_UNUSED_UNUSED" hidden="1">"c8304"</definedName>
    <definedName name="IQ_IMPORTS_GOODS_SERVICES_REAL_SAAR_YOY_UNUSED" hidden="1">"c7424"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FC_UNUSED_UNUSED_UNUSED" hidden="1">"c8209"</definedName>
    <definedName name="IQ_IMPORTS_GOODS_SERVICES_YOY_UNUSED" hidden="1">"c7329"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ORTS_USD" hidden="1">"c20765"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CM" hidden="1">"c550"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BEFORE_EXTRAORDINARY_ITEMS_AVG_ASSETS_THRIFT" hidden="1">"c25658"</definedName>
    <definedName name="IQ_INCOME_CHECKS_FFIEC" hidden="1">"c13040"</definedName>
    <definedName name="IQ_INCOME_EARNED_FDIC" hidden="1">"c6359"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STATEMENT_AP" hidden="1">"c25877"</definedName>
    <definedName name="IQ_INCOME_STATEMENT_AP_CO" hidden="1">"c25878"</definedName>
    <definedName name="IQ_INCOME_STATEMENT_INDUSTRY" hidden="1">"c25873"</definedName>
    <definedName name="IQ_INCOME_STATEMENT_INDUSTRY_CO" hidden="1">"c25874"</definedName>
    <definedName name="IQ_INCOME_STATEMENT_STANDARD" hidden="1">"c25875"</definedName>
    <definedName name="IQ_INCOME_STATEMENT_STANDARD_CO" hidden="1">"c25876"</definedName>
    <definedName name="IQ_INCOME_TAX_FOREIGN_FFIEC" hidden="1">"c15391"</definedName>
    <definedName name="IQ_INCOME_TAXES_FDIC" hidden="1">"c6582"</definedName>
    <definedName name="IQ_INCOME_TAXES_FFIEC" hidden="1">"c13030"</definedName>
    <definedName name="IQ_INCOME_TAXES_PRETAX_NET_OPERATING_INCOME_THRIFT" hidden="1">"c25693"</definedName>
    <definedName name="IQ_INCOME_TAXES_THRIFT" hidden="1">"c24795"</definedName>
    <definedName name="IQ_INCREASE_INT_INCOME_FFIEC" hidden="1">"c13063"</definedName>
    <definedName name="IQ_IND_PROD_INDEX_GROWTH" hidden="1">"c20766"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GROSS_LOANS_FFIEC" hidden="1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 hidden="1">"c13432"</definedName>
    <definedName name="IQ_INDUSTRIAL_AUTO_SALES_DOMESTIC" hidden="1">"c20767"</definedName>
    <definedName name="IQ_INDUSTRIAL_AUTO_SALES_FOREIGN" hidden="1">"c20768"</definedName>
    <definedName name="IQ_INDUSTRIAL_AUTO_SALES_TOTAL" hidden="1">"c20769"</definedName>
    <definedName name="IQ_INDUSTRIAL_CAPACITY_UTILIZATION" hidden="1">"c20770"</definedName>
    <definedName name="IQ_INDUSTRIAL_IPI" hidden="1">"c20771"</definedName>
    <definedName name="IQ_INDUSTRIAL_MV_ASSEMBLIES_AUTO" hidden="1">"c20772"</definedName>
    <definedName name="IQ_INDUSTRIAL_MV_ASSEMBLIES_TOTAL" hidden="1">"c20773"</definedName>
    <definedName name="IQ_INDUSTRIAL_MV_ASSEMBLIES_TRUCKS" hidden="1">"c20774"</definedName>
    <definedName name="IQ_INDUSTRIAL_MV_ASSEMBLIES_TRUCKS_HEAVY" hidden="1">"c20775"</definedName>
    <definedName name="IQ_INDUSTRIAL_MV_ASSEMBLIES_TRUCKS_LIGHT" hidden="1">"c20776"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CPI_APPAREL" hidden="1">"c20777"</definedName>
    <definedName name="IQ_INFLATION_CPI_EDUCATION" hidden="1">"c20778"</definedName>
    <definedName name="IQ_INFLATION_CPI_FOOD" hidden="1">"c20779"</definedName>
    <definedName name="IQ_INFLATION_CPI_HOUSING" hidden="1">"c20780"</definedName>
    <definedName name="IQ_INFLATION_CPI_MEDICAL" hidden="1">"c20781"</definedName>
    <definedName name="IQ_INFLATION_CPI_OTHER" hidden="1">"c20782"</definedName>
    <definedName name="IQ_INFLATION_CPI_RECREATION" hidden="1">"c20783"</definedName>
    <definedName name="IQ_INFLATION_CPI_TRANSPORTATION" hidden="1">"c20784"</definedName>
    <definedName name="IQ_INFLATION_CPI_TRANSPORTATION_PUBLIC" hidden="1">"c20785"</definedName>
    <definedName name="IQ_INFLATION_CPI_URBAN_ALL" hidden="1">"c20786"</definedName>
    <definedName name="IQ_INFLATION_PPI_FINISHED_GOODS" hidden="1">"c20787"</definedName>
    <definedName name="IQ_INFLATION_PPI_FINISHED_GOODS_EX_FOOD_ENERGY" hidden="1">"c20788"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CM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"c24737"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_TYPE" hidden="1">"c24730"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"c24738"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REINSURANCE_UNDERWRITING_INCOME_FFIEC" hidden="1">"c13008"</definedName>
    <definedName name="IQ_INSURANCE_REV_OPERATING_INC_FFIEC" hidden="1">"c13387"</definedName>
    <definedName name="IQ_INSURANCE_UNDERWRITING_INCOME_FDIC" hidden="1">"c6671"</definedName>
    <definedName name="IQ_INSURED_GUARANTEED_AGENCY_US_SPONSORED_ENTERPRISE_THRIFT" hidden="1">"c24830"</definedName>
    <definedName name="IQ_INT_ADVANCES_FHLB_THRIFT" hidden="1">"c24759"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COMM_LOANS_LEASES_THRIFT" hidden="1">"c24748"</definedName>
    <definedName name="IQ_INT_CONSUMER_LOANS_LEASES_THRIFT" hidden="1">"c24749"</definedName>
    <definedName name="IQ_INT_DEMAND_NOTES_FDIC" hidden="1">"c6567"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EPOSITS_INV_SEC_THRIFT" hidden="1">"c24745"</definedName>
    <definedName name="IQ_INT_DEPOSITS_THRIFT" hidden="1">"c24757"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DOMESTIC_DEPOSITS_FDIC" hidden="1">"c6564"</definedName>
    <definedName name="IQ_INT_EARNING_DEPOSITS_FHLBS_THRIFT" hidden="1">"c24819"</definedName>
    <definedName name="IQ_INT_ESCROWS_THRIFT" hidden="1">"c24758"</definedName>
    <definedName name="IQ_INT_EXP_AVG_ASSETS_FFIEC" hidden="1">"c13357"</definedName>
    <definedName name="IQ_INT_EXP_AVG_ASSETS_THRIFT" hidden="1">"c25648"</definedName>
    <definedName name="IQ_INT_EXP_AVG_EARNING_ASSETS_THRIFT" hidden="1">"c25667"</definedName>
    <definedName name="IQ_INT_EXP_BR" hidden="1">"c586"</definedName>
    <definedName name="IQ_INT_EXP_CM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FULLY_INSURED_BROKERED_DEPOSITS_THRIFT" hidden="1">"c24982"</definedName>
    <definedName name="IQ_INT_EXP_INCL_CAP" hidden="1">"c2988"</definedName>
    <definedName name="IQ_INT_EXP_INS" hidden="1">"c589"</definedName>
    <definedName name="IQ_INT_EXP_LTD" hidden="1">"c2086"</definedName>
    <definedName name="IQ_INT_EXP_OTHER_BROKERED_DEPOSITS_THRIFT" hidden="1">"c24983"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FOREIGN_DEPOSITS_FDIC" hidden="1">"c6565"</definedName>
    <definedName name="IQ_INT_INC_AVG_ASSETS_FFIEC" hidden="1">"c13356"</definedName>
    <definedName name="IQ_INT_INC_BR" hidden="1">"c593"</definedName>
    <definedName name="IQ_INT_INC_CM" hidden="1">"c593"</definedName>
    <definedName name="IQ_INT_INC_DEPOSITORY_INST_FDIC" hidden="1">"c6558"</definedName>
    <definedName name="IQ_INT_INC_DOM_LOANS_FDIC" hidden="1">"c6555"</definedName>
    <definedName name="IQ_INT_INC_DUE_DEPOSITORY_INSTITUTIONS_FFIEC" hidden="1">"c12981"</definedName>
    <definedName name="IQ_INT_INC_EARNING_ASSETS_FFIEC" hidden="1">"c13375"</definedName>
    <definedName name="IQ_INT_INC_FED_FUNDS_FDIC" hidden="1">"c6561"</definedName>
    <definedName name="IQ_INT_INC_FED_FUNDS_SOLD_FFIEC" hidden="1">"c12987"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AVG_ASSETS_THRIFT" hidden="1">"c25647"</definedName>
    <definedName name="IQ_INT_INCOME_AVG_EARNING_ASSETS_THRIFT" hidden="1">"c25666"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MBS_THRIFT" hidden="1">"c24746"</definedName>
    <definedName name="IQ_INT_MORTGAGE_COLLATERALIZED_SEC_THRIFT" hidden="1">"c24761"</definedName>
    <definedName name="IQ_INT_MORTGAGE_LOANS_THRIFT" hidden="1">"c24747"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ONLY_STRIP_RECEIVABLES_OTHER_INSTRUMENTS_THRIFT" hidden="1">"c24891"</definedName>
    <definedName name="IQ_INT_OTHER_BORROWINGS_THRIFT" hidden="1">"c24762"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DEBT_THRIFT" hidden="1">"c24760"</definedName>
    <definedName name="IQ_INT_SUB_NOTES_FDIC" hidden="1">"c6568"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_YIELD_DEPOSITS_INV_SEC_THRIFT" hidden="1">"c25679"</definedName>
    <definedName name="IQ_INT_YIELD_MBS_THRIFT" hidden="1">"c25678"</definedName>
    <definedName name="IQ_INTANGIBLE_ASSETS_ADJUSTED_ASSETS_THRIFT" hidden="1">"c25036"</definedName>
    <definedName name="IQ_INTANGIBLE_ASSETS_T1_THRIFT" hidden="1">"c25027"</definedName>
    <definedName name="IQ_INTANGIBLES_NET" hidden="1">"c1407"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DEPOSITS_ALL_OTHER_ACCOUNTS_THRIFT" hidden="1">"c25424"</definedName>
    <definedName name="IQ_INTEREST_BEARING_DEPOSITS_DOMESTIC_FDIC" hidden="1">"c6478"</definedName>
    <definedName name="IQ_INTEREST_BEARING_DEPOSITS_EMPLOYEE_BENEFIT_RETIREMENT_RELATED_ACCOUNTS_THRIFT" hidden="1">"c25408"</definedName>
    <definedName name="IQ_INTEREST_BEARING_DEPOSITS_FDIC" hidden="1">"c6373"</definedName>
    <definedName name="IQ_INTEREST_BEARING_DEPOSITS_FOREIGN_FDIC" hidden="1">"c6485"</definedName>
    <definedName name="IQ_INTEREST_BEARING_DEPOSITS_PERSONAL_TRUST_AGENCY_INV_MANAGEMENT_AGENCY_ACCOUNTS_THRIFT_THRIFT" hidden="1">"c25392"</definedName>
    <definedName name="IQ_INTEREST_BEARING_TRANS_DOM_QUARTERLY_AVG_FFIEC" hidden="1">"c15484"</definedName>
    <definedName name="IQ_INTEREST_CASH_DEPOSITS" hidden="1">"c2255"</definedName>
    <definedName name="IQ_INTEREST_CREDITED_DEPOSITS_THRIFT" hidden="1">"c25344"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TRACO_INC_CREDITS_FIDUCIARY_RELATED_SERVICES_THRIFT" hidden="1">"c24814"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IN_UNREGISTERED_FUNDS_PRIVATE_EQUITY_INV_ALL_OTHER_ACCOUNTS_THRIFT" hidden="1">"c25433"</definedName>
    <definedName name="IQ_INV_IN_UNREGISTERED_FUNDS_PRIVATE_EQUITY_INV_EMPLOYEE_BENEFIT_RETIREMENT_RELATED_ACCOUNTS_THRIFT" hidden="1">"c25417"</definedName>
    <definedName name="IQ_INV_IN_UNREGISTERED_FUNDS_PRIVATE_EQUITY_INV_PERSONAL_TRUST_AGENCY_INV_MANAGEMENT_ACCOUNTS_THRIFT" hidden="1">"c25401"</definedName>
    <definedName name="IQ_INV_MANAGEMENT_INV_ADVISORY_AGENCY_ACCOUNTS_GROSS_LOSSES_MANAGED_ACCOUNTS_THRIFT" hidden="1">"c25463"</definedName>
    <definedName name="IQ_INV_MANAGEMENT_INV_ADVISORY_AGENCY_ACCOUNTS_GROSS_LOSSES_NONMANAGED_ACCOUNTS_THRIFT" hidden="1">"c25468"</definedName>
    <definedName name="IQ_INV_MANAGEMENT_INV_ADVISORY_AGENCY_ACCOUNTS_MANAGED_ASSETS_THRIFT" hidden="1">"c25353"</definedName>
    <definedName name="IQ_INV_MANAGEMENT_INV_ADVISORY_AGENCY_ACCOUNTS_NONMANAGED_ASSETS_THRIFT" hidden="1">"c25374"</definedName>
    <definedName name="IQ_INV_MANAGEMENT_INV_ADVISORY_AGENCY_ACCOUNTS_NUMBER_MANAGED_ACCOUNTS_THRIFT" hidden="1">"c25364"</definedName>
    <definedName name="IQ_INV_MANAGEMENT_INV_ADVISORY_AGENCY_ACCOUNTS_NUMBER_NONMANAGED_ACCOUNTS_THRIFT" hidden="1">"c25386"</definedName>
    <definedName name="IQ_INV_MANAGEMENT_INV_ADVISORY_AGENCY_ACCOUNTS_RECOVERIES_THRIFT" hidden="1">"c25473"</definedName>
    <definedName name="IQ_INV_METHOD" hidden="1">"c621"</definedName>
    <definedName name="IQ_INV_MGMT_ADVISORY_AGENCY_ACCOUNTS_INC_THRIFT" hidden="1">"c24806"</definedName>
    <definedName name="IQ_INV_NONCONTROLLING_INTERESTS_IN_SUBS_T1_THRIFT" hidden="1">"c25022"</definedName>
    <definedName name="IQ_INV_REL_ID" hidden="1">"c15220"</definedName>
    <definedName name="IQ_INV_REL_NAME" hidden="1">"c15219"</definedName>
    <definedName name="IQ_INV_SEC_TOTAL_ASSETS_THRIFT" hidden="1">"c25697"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CM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CM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PRD_SUPPLE" hidden="1">"c13813"</definedName>
    <definedName name="IQ_IRA_KEOGH_ACCOUNTS_FDIC" hidden="1">"c6496"</definedName>
    <definedName name="IQ_IRA_KEOGH_ACCOUNTS_GREATER_THAN_100000_INCLUDED_IN_TIME_DEPOSITS_THRIFT" hidden="1">"c25004"</definedName>
    <definedName name="IQ_IRA_KEOGH_ACCOUNTS_THRIFT" hidden="1">"c24994"</definedName>
    <definedName name="IQ_IRAS_HSAS_SIMILAR_ACCOUNTS_MANAGED_ASSETS_THRIFT" hidden="1">"c25351"</definedName>
    <definedName name="IQ_IRAS_HSAS_SIMILAR_ACCOUNTS_NONMANAGED_ASSETS_THRIFT" hidden="1">"c25372"</definedName>
    <definedName name="IQ_IRAS_HSAS_SIMILAR_ACCOUNTS_NUMBER_MANAGED_ACCOUNTS_THRIFT" hidden="1">"c25362"</definedName>
    <definedName name="IQ_IRAS_HSAS_SIMILAR_ACCOUNTS_NUMBER_NONMANAGED_ACCOUNTS_THRIFT" hidden="1">"c25384"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FC_UNUSED_UNUSED_UNUSED" hidden="1">"c8443"</definedName>
    <definedName name="IQ_ISM_SERVICES_APR_UNUSED" hidden="1">"c7563"</definedName>
    <definedName name="IQ_ISM_SERVICES_APR_UNUSED_UNUSED_UNUSED" hidden="1">"c7563"</definedName>
    <definedName name="IQ_ISM_SERVICES_FC_UNUSED" hidden="1">"c7783"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FC_UNUSED_UNUSED_UNUSED" hidden="1">"c8003"</definedName>
    <definedName name="IQ_ISM_SERVICES_POP_UNUSED" hidden="1">"c7123"</definedName>
    <definedName name="IQ_ISM_SERVICES_POP_UNUSED_UNUSED_UNUSED" hidden="1">"c7123"</definedName>
    <definedName name="IQ_ISM_SERVICES_UNUSED" hidden="1">"c6903"</definedName>
    <definedName name="IQ_ISM_SERVICES_UNUSED_UNUSED_UNUSED" hidden="1">"c6903"</definedName>
    <definedName name="IQ_ISM_SERVICES_YOY_FC_UNUSED" hidden="1">"c8223"</definedName>
    <definedName name="IQ_ISM_SERVICES_YOY_FC_UNUSED_UNUSED_UNUSED" hidden="1">"c8223"</definedName>
    <definedName name="IQ_ISM_SERVICES_YOY_UNUSED" hidden="1">"c7343"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FNMA_FHLMC_GNMA_THRIFT" hidden="1">"c24833"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ISSUES_IN_DEFAULT_PRINCIPAL_AMT_OUTSTANDING_THRIFT" hidden="1">"c25442"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KEY_PERSON_LIFE_INSURANCE_THRIFT" hidden="1">"c24885"</definedName>
    <definedName name="IQ_LABOR_BENEFITS_CIVILIANS" hidden="1">"c20789"</definedName>
    <definedName name="IQ_LABOR_BENEFITS_GOVT" hidden="1">"c20790"</definedName>
    <definedName name="IQ_LABOR_BENEFITS_PRIVATE_INDUSTRY" hidden="1">"c20791"</definedName>
    <definedName name="IQ_LABOR_COMP_CIVILIANS" hidden="1">"c20792"</definedName>
    <definedName name="IQ_LABOR_COMP_GOVT" hidden="1">"c20793"</definedName>
    <definedName name="IQ_LABOR_COMP_PRIVATE_INDUSTRY" hidden="1">"c20794"</definedName>
    <definedName name="IQ_LABOR_NONFARM_PAYROLL" hidden="1">"c20795"</definedName>
    <definedName name="IQ_LABOR_UNEMPLOYMENT_CLAIMS" hidden="1">"c20796"</definedName>
    <definedName name="IQ_LABOR_UNEMPLOYMENT_CLAIMS_4WEEK" hidden="1">"c20797"</definedName>
    <definedName name="IQ_LABOR_UNEMPLOYMENT_RATE" hidden="1">"c20798"</definedName>
    <definedName name="IQ_LABOR_UNEMPLOYMENT_RATE_PCT_INSURED" hidden="1">"c20799"</definedName>
    <definedName name="IQ_LABOR_WAGES_CIVILIANS" hidden="1">"c20800"</definedName>
    <definedName name="IQ_LABOR_WAGES_GOVT" hidden="1">"c20801"</definedName>
    <definedName name="IQ_LABOR_WAGES_PRIVATE_INDUSTRY" hidden="1">"c20802"</definedName>
    <definedName name="IQ_LAND" hidden="1">"c645"</definedName>
    <definedName name="IQ_LAND_LOANS_IN_PROCESS_FORECLOSURE_THRIFT" hidden="1">"c25309"</definedName>
    <definedName name="IQ_LAND_LOANS_TOTAL_LOANS_THRIFT" hidden="1">"c25747"</definedName>
    <definedName name="IQ_LAND_MINERAL_RIGHTS_TO_PPE_GROSS_COAL" hidden="1">"c15949"</definedName>
    <definedName name="IQ_LAND_MINERAL_RIGHTS_TO_PPE_NET_COAL" hidden="1">"c15950"</definedName>
    <definedName name="IQ_LAND_PML_ADJUSTED_NCOS_TOTAL_THRIFT" hidden="1">"c25208"</definedName>
    <definedName name="IQ_LAND_PML_GVA_CHARGE_OFFS_THRIFT" hidden="1">"c25123"</definedName>
    <definedName name="IQ_LAND_PML_GVA_RECOVERIES_THRIFT" hidden="1">"c25154"</definedName>
    <definedName name="IQ_LAND_PML_SVA_PROVISIONS_TRANSFERS_FROM_GVA_TOTAL_THRIFT" hidden="1">"c25177"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CHARGE_OFFS_FDIC" hidden="1">"c6602"</definedName>
    <definedName name="IQ_LEASE_FINANCING_RECEIVABLES_DOM_FFIEC" hidden="1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CEIVABLES_THRIFT" hidden="1">"c24857"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EXP_THRIFT" hidden="1">"c24789"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CM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TTERS_CREDIT_THRIFT" hidden="1">"c25612"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"c16172"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_LIQUID_ASSETS_THRIFT" hidden="1">"c25626"</definedName>
    <definedName name="IQ_LIQUID_ASSETS_NONCORE_FUNDING_FFIEC" hidden="1">"c13339"</definedName>
    <definedName name="IQ_LIQUID_ASSETS_TOTAL_ASSETS_THRIFT" hidden="1">"c25696"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L_ALLOWANCE_GROSS_LOANS_THRIFT" hidden="1">"c25637"</definedName>
    <definedName name="IQ_LL_ALLOWANCE_NET_LOANS_LOSSES_THRIFT" hidden="1">"c25642"</definedName>
    <definedName name="IQ_LL_ALLOWANCE_NONACCRUAL_ASSETS_THRIFT" hidden="1">"c25638"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COMMITMENTS_REVOLVING_FDIC" hidden="1">"c6524"</definedName>
    <definedName name="IQ_LOAN_LEASE_ALLOWANCE_PAST_DUE_NONACCRUAL_LOANS_THRIFT" hidden="1">"c25643"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GROSS_LOANS_THRIFT" hidden="1">"c25736"</definedName>
    <definedName name="IQ_LOAN_LOSS_ALLOWANCE_NON_PERF_ASSETS_FFIEC" hidden="1">"c13912"</definedName>
    <definedName name="IQ_LOAN_LOSS_ALLOWANCE_NONCURRENT_LOANS_FDIC" hidden="1">"c6740"</definedName>
    <definedName name="IQ_LOAN_LOSS_PROVISION_FOREIGN_FFIEC" hidden="1">"c15382"</definedName>
    <definedName name="IQ_LOAN_LOSSES_AVERAGE_LOANS_FFIEC" hidden="1">"c13350"</definedName>
    <definedName name="IQ_LOAN_LOSSES_FDIC" hidden="1">"c6580"</definedName>
    <definedName name="IQ_LOAN_RECOVERIES_AVG_LOANS_THRIFT" hidden="1">"c25644"</definedName>
    <definedName name="IQ_LOAN_SERVICE_REV" hidden="1">"c658"</definedName>
    <definedName name="IQ_LOAN_SERVICING_FEES_THRIFT" hidden="1">"c24790"</definedName>
    <definedName name="IQ_LOANS_AGRICULTURAL_PROD_LL_REC_FFIEC" hidden="1">"c12886"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CM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_LL_REC_DOM_FFIEC" hidden="1">"c25855"</definedName>
    <definedName name="IQ_LOANS_DEP_LL_REC_FFIEC" hidden="1">"c25851"</definedName>
    <definedName name="IQ_LOANS_DEP_OTHER_LL_REC_DOM_FFIEC" hidden="1">"c25854"</definedName>
    <definedName name="IQ_LOANS_DEP_OTHER_LL_REC_FFIEC" hidden="1">"c25850"</definedName>
    <definedName name="IQ_LOANS_DEPOSITORY_INST_US_LL_REC_FFIEC" hidden="1">"c12884"</definedName>
    <definedName name="IQ_LOANS_DEPOSITORY_INSTITUTIONS_FDIC" hidden="1">"c6382"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HELD_FOREIGN_FDIC" hidden="1">"c6315"</definedName>
    <definedName name="IQ_LOANS_INDIVIDUALS_FOREIGN_FFIEC" hidden="1">"c13480"</definedName>
    <definedName name="IQ_LOANS_INDIVIDUALS_GROSS_LOANS_THRIFT" hidden="1">"c25733"</definedName>
    <definedName name="IQ_LOANS_INDIVIDUALS_RISK_BASED_CAPITAL_THRIFT" hidden="1">"c25718"</definedName>
    <definedName name="IQ_LOANS_LEASES_AMOUNTS_NETTED_THRIFT" hidden="1">"c25498"</definedName>
    <definedName name="IQ_LOANS_LEASES_ASSETS_TOT_FFIEC" hidden="1">"c13437"</definedName>
    <definedName name="IQ_LOANS_LEASES_FAIR_VALUE_TOT_FFIEC" hidden="1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DUE_30_89_THRIFT" hidden="1">"c25257"</definedName>
    <definedName name="IQ_LOANS_LEASES_HFS_DUE_90_THRIFT" hidden="1">"c25278"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HFS_NON_ACCRUAL_THRIFT" hidden="1">"c25299"</definedName>
    <definedName name="IQ_LOANS_LEASES_LEVEL_1_FFIEC" hidden="1">"c13217"</definedName>
    <definedName name="IQ_LOANS_LEASES_LEVEL_1_THRIFT" hidden="1">"c25494"</definedName>
    <definedName name="IQ_LOANS_LEASES_LEVEL_2_FFIEC" hidden="1">"c13225"</definedName>
    <definedName name="IQ_LOANS_LEASES_LEVEL_2_THRIFT" hidden="1">"c25495"</definedName>
    <definedName name="IQ_LOANS_LEASES_LEVEL_3_FFIEC" hidden="1">"c13233"</definedName>
    <definedName name="IQ_LOANS_LEASES_LEVEL_3_THRIFT" hidden="1">"c25496"</definedName>
    <definedName name="IQ_LOANS_LEASES_NET_FDIC" hidden="1">"c6327"</definedName>
    <definedName name="IQ_LOANS_LEASES_NET_UNEARNED_FDIC" hidden="1">"c6325"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EASES_REPORTED_WHOLLY_PARTIALLY_GUARANT_US_GOVT_AGENCY_SPONS_ENTITY_DUE_30_89_THRIFT" hidden="1">"c25258"</definedName>
    <definedName name="IQ_LOANS_LEASES_REPORTED_WHOLLY_PARTIALLY_GUARANT_US_GOVT_AGENCY_SPONS_ENTITY_DUE_90_THRIFT" hidden="1">"c25279"</definedName>
    <definedName name="IQ_LOANS_LEASES_REPORTED_WHOLLY_PARTIALLY_GUARANT_US_GOVT_AGENCY_SPONS_ENTITY_NON_ACCRUAL_THRIFT" hidden="1">"c25300"</definedName>
    <definedName name="IQ_LOANS_LEASES_TOTAL_AFTER_NETTING_THRIFT" hidden="1">"c25499"</definedName>
    <definedName name="IQ_LOANS_LEASES_TOTAL_BEFORE_NETTING_THRIFT" hidden="1">"c25497"</definedName>
    <definedName name="IQ_LOANS_LOC_ASSETS_TOT_FFIEC" hidden="1">"c13441"</definedName>
    <definedName name="IQ_LOANS_NOT_SECURED_RE_FDIC" hidden="1">"c6381"</definedName>
    <definedName name="IQ_LOANS_PAST_DUE" hidden="1">"c667"</definedName>
    <definedName name="IQ_LOANS_PURCHASE_CARRY_LL_REC_DOM_FFIEC" hidden="1">"c25856"</definedName>
    <definedName name="IQ_LOANS_PURCHASE_CARRY_LL_REC_FFIEC" hidden="1">"c25852"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 hidden="1">"c12925"</definedName>
    <definedName name="IQ_LOANS_SECURED_FARM_100000_THROUGH_250000_THRIFT" hidden="1">"c24968"</definedName>
    <definedName name="IQ_LOANS_SECURED_FARM_250000_THROUGH_500000_THRIFT" hidden="1">"c24970"</definedName>
    <definedName name="IQ_LOANS_SECURED_FARM_LESS_THAN_EQUAL_100000_THRIFT" hidden="1">"c24966"</definedName>
    <definedName name="IQ_LOANS_SECURED_FARMLAND_TRADING_DOM_FFIEC" hidden="1">"c12926"</definedName>
    <definedName name="IQ_LOANS_SECURED_NON_US_FDIC" hidden="1">"c6380"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SECURED_RE_NET_CHARGE_OFFS_FDIC" hidden="1">"c6626"</definedName>
    <definedName name="IQ_LOANS_SERVICED_OTHERS_THRIFT" hidden="1">"c24935"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 hidden="1">"c13175"</definedName>
    <definedName name="IQ_LOANS_US_INST_RECOV_FFIEC" hidden="1">"c13197"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AVAIL_SALE_EQUITY_SEC_T1_FFIEC" hidden="1">"c13132"</definedName>
    <definedName name="IQ_LOSS_LOSS_EXP" hidden="1">"c672"</definedName>
    <definedName name="IQ_LOSS_RECOGNIZED_OCI_FFIEC" hidden="1">"c25847"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CM" hidden="1">"c676"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CM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CM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CM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CRO_SURVEY_BUSINESS_BAROMETER" hidden="1">"c20803"</definedName>
    <definedName name="IQ_MACRO_SURVEY_BUSINESS_CONDITION" hidden="1">"c20804"</definedName>
    <definedName name="IQ_MACRO_SURVEY_BUSINESS_CONDITIONS" hidden="1">"c20805"</definedName>
    <definedName name="IQ_MACRO_SURVEY_CONSUMER_COMFORT" hidden="1">"c20806"</definedName>
    <definedName name="IQ_MACRO_SURVEY_CONSUMER_CONFIDENCE" hidden="1">"c20807"</definedName>
    <definedName name="IQ_MACRO_SURVEY_CONSUMER_SENTIMENT" hidden="1">"c20808"</definedName>
    <definedName name="IQ_MACRO_SURVEY_ISM_NONMANUFACTURING" hidden="1">"c20809"</definedName>
    <definedName name="IQ_MACRO_SURVEY_ISM_PMI" hidden="1">"c20810"</definedName>
    <definedName name="IQ_MACRO_SURVEY_LEADING_INDICATOR" hidden="1">"c20811"</definedName>
    <definedName name="IQ_MACRO_SURVEY_PMAC_DIFFUSION" hidden="1">"c20812"</definedName>
    <definedName name="IQ_MAINT_CAPEX" hidden="1">"c2947"</definedName>
    <definedName name="IQ_MAINT_CAPEX_ACT_OR_EST" hidden="1">"c4458"</definedName>
    <definedName name="IQ_MAINT_CAPEX_ACT_OR_EST_CIQ_COL" hidden="1">"c11634"</definedName>
    <definedName name="IQ_MAINT_CAPEX_GUIDANCE_CIQ" hidden="1">"c4988"</definedName>
    <definedName name="IQ_MAINT_CAPEX_GUIDANCE_CIQ_COL" hidden="1">"c11635"</definedName>
    <definedName name="IQ_MAINT_CAPEX_HIGH_GUIDANCE_CIQ" hidden="1">"c4609"</definedName>
    <definedName name="IQ_MAINT_CAPEX_HIGH_GUIDANCE_CIQ_COL" hidden="1">"c11258"</definedName>
    <definedName name="IQ_MAINT_CAPEX_LOW_GUIDANCE_CIQ" hidden="1">"c4649"</definedName>
    <definedName name="IQ_MAINT_CAPEX_LOW_GUIDANCE_CIQ_COL" hidden="1">"c11298"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NUFACTURING_INV_APPAREL" hidden="1">"c20813"</definedName>
    <definedName name="IQ_MANUFACTURING_INV_BEVERAGE" hidden="1">"c20814"</definedName>
    <definedName name="IQ_MANUFACTURING_INV_CHEMICALS" hidden="1">"c20815"</definedName>
    <definedName name="IQ_MANUFACTURING_INV_COMPUTER" hidden="1">"c20816"</definedName>
    <definedName name="IQ_MANUFACTURING_INV_DUR" hidden="1">"c20817"</definedName>
    <definedName name="IQ_MANUFACTURING_INV_DUR_MISC" hidden="1">"c20818"</definedName>
    <definedName name="IQ_MANUFACTURING_INV_ELECTRIC" hidden="1">"c20819"</definedName>
    <definedName name="IQ_MANUFACTURING_INV_FAB_METALS" hidden="1">"c20820"</definedName>
    <definedName name="IQ_MANUFACTURING_INV_FOOD" hidden="1">"c20821"</definedName>
    <definedName name="IQ_MANUFACTURING_INV_FURNITURE" hidden="1">"c20822"</definedName>
    <definedName name="IQ_MANUFACTURING_INV_LEATHER" hidden="1">"c20823"</definedName>
    <definedName name="IQ_MANUFACTURING_INV_MACHINERY" hidden="1">"c20824"</definedName>
    <definedName name="IQ_MANUFACTURING_INV_MINERAL" hidden="1">"c20825"</definedName>
    <definedName name="IQ_MANUFACTURING_INV_NONDUR" hidden="1">"c20826"</definedName>
    <definedName name="IQ_MANUFACTURING_INV_PAPER" hidden="1">"c20827"</definedName>
    <definedName name="IQ_MANUFACTURING_INV_PETROLEUM" hidden="1">"c20828"</definedName>
    <definedName name="IQ_MANUFACTURING_INV_PLASTICS" hidden="1">"c20829"</definedName>
    <definedName name="IQ_MANUFACTURING_INV_PRIMARY_METALS" hidden="1">"c20830"</definedName>
    <definedName name="IQ_MANUFACTURING_INV_PRINTING" hidden="1">"c20831"</definedName>
    <definedName name="IQ_MANUFACTURING_INV_SALES_RATIO" hidden="1">"c20832"</definedName>
    <definedName name="IQ_MANUFACTURING_INV_TEXTILE_MILLS" hidden="1">"c20833"</definedName>
    <definedName name="IQ_MANUFACTURING_INV_TEXTILE_PRODUCTS" hidden="1">"c20834"</definedName>
    <definedName name="IQ_MANUFACTURING_INV_TOTAL" hidden="1">"c20835"</definedName>
    <definedName name="IQ_MANUFACTURING_INV_TRANSPORTATION" hidden="1">"c20836"</definedName>
    <definedName name="IQ_MANUFACTURING_INV_WOOD" hidden="1">"c20837"</definedName>
    <definedName name="IQ_MANUFACTURING_NEW_ORDERS" hidden="1">"c20838"</definedName>
    <definedName name="IQ_MANUFACTURING_NEW_ORDERS_COMPUTERS" hidden="1">"c20839"</definedName>
    <definedName name="IQ_MANUFACTURING_NEW_ORDERS_DUR" hidden="1">"c20840"</definedName>
    <definedName name="IQ_MANUFACTURING_NEW_ORDERS_ELECTRIC" hidden="1">"c20841"</definedName>
    <definedName name="IQ_MANUFACTURING_NEW_ORDERS_FAB_METALS" hidden="1">"c20842"</definedName>
    <definedName name="IQ_MANUFACTURING_NEW_ORDERS_FURNITURE" hidden="1">"c20843"</definedName>
    <definedName name="IQ_MANUFACTURING_NEW_ORDERS_MACHINERY" hidden="1">"c20844"</definedName>
    <definedName name="IQ_MANUFACTURING_NEW_ORDERS_METALS" hidden="1">"c20845"</definedName>
    <definedName name="IQ_MANUFACTURING_NEW_ORDERS_NONDUR" hidden="1">"c20846"</definedName>
    <definedName name="IQ_MANUFACTURING_NEW_ORDERS_TRANSPORTATION" hidden="1">"c20847"</definedName>
    <definedName name="IQ_MANUFACTURING_SHIPMENTS_APPAREL" hidden="1">"c20848"</definedName>
    <definedName name="IQ_MANUFACTURING_SHIPMENTS_BEVERAGE" hidden="1">"c20849"</definedName>
    <definedName name="IQ_MANUFACTURING_SHIPMENTS_CHEMICALS" hidden="1">"c20850"</definedName>
    <definedName name="IQ_MANUFACTURING_SHIPMENTS_DUR" hidden="1">"c20851"</definedName>
    <definedName name="IQ_MANUFACTURING_SHIPMENTS_DUR_COMPUTER" hidden="1">"c20852"</definedName>
    <definedName name="IQ_MANUFACTURING_SHIPMENTS_DUR_ELECTRIC" hidden="1">"c20853"</definedName>
    <definedName name="IQ_MANUFACTURING_SHIPMENTS_DUR_FAB_METALS" hidden="1">"c20854"</definedName>
    <definedName name="IQ_MANUFACTURING_SHIPMENTS_DUR_FURNITURE" hidden="1">"c20855"</definedName>
    <definedName name="IQ_MANUFACTURING_SHIPMENTS_DUR_MACHINERY" hidden="1">"c20856"</definedName>
    <definedName name="IQ_MANUFACTURING_SHIPMENTS_DUR_MINERALS" hidden="1">"c20857"</definedName>
    <definedName name="IQ_MANUFACTURING_SHIPMENTS_DUR_MISC" hidden="1">"c20858"</definedName>
    <definedName name="IQ_MANUFACTURING_SHIPMENTS_DUR_PRIM_METALS" hidden="1">"c20859"</definedName>
    <definedName name="IQ_MANUFACTURING_SHIPMENTS_DUR_TRANSPORTATION" hidden="1">"c20860"</definedName>
    <definedName name="IQ_MANUFACTURING_SHIPMENTS_DUR_WOOD" hidden="1">"c20861"</definedName>
    <definedName name="IQ_MANUFACTURING_SHIPMENTS_FOOD" hidden="1">"c20862"</definedName>
    <definedName name="IQ_MANUFACTURING_SHIPMENTS_LEATHER" hidden="1">"c20863"</definedName>
    <definedName name="IQ_MANUFACTURING_SHIPMENTS_NONDUR" hidden="1">"c20864"</definedName>
    <definedName name="IQ_MANUFACTURING_SHIPMENTS_PAPER" hidden="1">"c20865"</definedName>
    <definedName name="IQ_MANUFACTURING_SHIPMENTS_PETROLEUM" hidden="1">"c20866"</definedName>
    <definedName name="IQ_MANUFACTURING_SHIPMENTS_PLASTICS" hidden="1">"c20867"</definedName>
    <definedName name="IQ_MANUFACTURING_SHIPMENTS_PRINTING" hidden="1">"c20868"</definedName>
    <definedName name="IQ_MANUFACTURING_SHIPMENTS_TEXTILE_MILLS" hidden="1">"c20869"</definedName>
    <definedName name="IQ_MANUFACTURING_SHIPMENTS_TEXTILE_PRODUCTS" hidden="1">"c20870"</definedName>
    <definedName name="IQ_MANUFACTURING_SHIPMENTS_TOTAL" hidden="1">"c20871"</definedName>
    <definedName name="IQ_MANUFACTURING_UNFILLED_ORDERS" hidden="1">"c20872"</definedName>
    <definedName name="IQ_MANUFACTURING_UNFILLED_ORDERS_COMPUTERS" hidden="1">"c20873"</definedName>
    <definedName name="IQ_MANUFACTURING_UNFILLED_ORDERS_DUR" hidden="1">"c20874"</definedName>
    <definedName name="IQ_MANUFACTURING_UNFILLED_ORDERS_ELECTRIC" hidden="1">"c20875"</definedName>
    <definedName name="IQ_MANUFACTURING_UNFILLED_ORDERS_FAB_METALS" hidden="1">"c20876"</definedName>
    <definedName name="IQ_MANUFACTURING_UNFILLED_ORDERS_FURNITURE" hidden="1">"c20877"</definedName>
    <definedName name="IQ_MANUFACTURING_UNFILLED_ORDERS_MACHINERY" hidden="1">"c20878"</definedName>
    <definedName name="IQ_MANUFACTURING_UNFILLED_ORDERS_METALS" hidden="1">"c20879"</definedName>
    <definedName name="IQ_MANUFACTURING_UNFILLED_ORDERS_TRANSPORTATION" hidden="1">"c20880"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OTHER_PROF_SERVICES_THRIFT" hidden="1">"c24788"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FC_UNUSED_UNUSED_UNUSED" hidden="1">"c8460"</definedName>
    <definedName name="IQ_MEDIAN_NEW_HOME_SALES_APR_UNUSED" hidden="1">"c7580"</definedName>
    <definedName name="IQ_MEDIAN_NEW_HOME_SALES_APR_UNUSED_UNUSED_UNUSED" hidden="1">"c7580"</definedName>
    <definedName name="IQ_MEDIAN_NEW_HOME_SALES_FC_UNUSED" hidden="1">"c7800"</definedName>
    <definedName name="IQ_MEDIAN_NEW_HOME_SALES_FC_UNUSED_UNUSED_UNUSED" hidden="1">"c7800"</definedName>
    <definedName name="IQ_MEDIAN_NEW_HOME_SALES_POP_FC_UNUSED" hidden="1">"c8020"</definedName>
    <definedName name="IQ_MEDIAN_NEW_HOME_SALES_POP_FC_UNUSED_UNUSED_UNUSED" hidden="1">"c8020"</definedName>
    <definedName name="IQ_MEDIAN_NEW_HOME_SALES_POP_UNUSED" hidden="1">"c7140"</definedName>
    <definedName name="IQ_MEDIAN_NEW_HOME_SALES_POP_UNUSED_UNUSED_UNUSED" hidden="1">"c7140"</definedName>
    <definedName name="IQ_MEDIAN_NEW_HOME_SALES_UNUSED" hidden="1">"c6920"</definedName>
    <definedName name="IQ_MEDIAN_NEW_HOME_SALES_UNUSED_UNUSED_UNUSED" hidden="1">"c6920"</definedName>
    <definedName name="IQ_MEDIAN_NEW_HOME_SALES_YOY_FC_UNUSED" hidden="1">"c8240"</definedName>
    <definedName name="IQ_MEDIAN_NEW_HOME_SALES_YOY_FC_UNUSED_UNUSED_UNUSED" hidden="1">"c8240"</definedName>
    <definedName name="IQ_MEDIAN_NEW_HOME_SALES_YOY_UNUSED" hidden="1">"c7360"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MO_LOANS_SOLD_WITH_RECOURSE_120_DAYS_LESS_THRIFT" hidden="1">"c25337"</definedName>
    <definedName name="IQ_MEMO_LOANS_SOLD_WITH_RECOURSE_GREATER_THAN_120_DAYS_THRIFT" hidden="1">"c25338"</definedName>
    <definedName name="IQ_MEMO_REFINANCING_LOANS_THRIFT" hidden="1">"c25336"</definedName>
    <definedName name="IQ_MERGER" hidden="1">"c713"</definedName>
    <definedName name="IQ_MERGER_BNK" hidden="1">"c714"</definedName>
    <definedName name="IQ_MERGER_BR" hidden="1">"c715"</definedName>
    <definedName name="IQ_MERGER_CM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CM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ETRIC_NAME" hidden="1">"c18017"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IMUM_RENTAL" hidden="1">"c26970"</definedName>
    <definedName name="IQ_MINORITY_INT_AVG_ASSETS_FFIEC" hidden="1">"c13367"</definedName>
    <definedName name="IQ_MINORITY_INT_AVG_ASSETS_THRIFT" hidden="1">"c25660"</definedName>
    <definedName name="IQ_MINORITY_INT_BS_FFIEC" hidden="1">"c12874"</definedName>
    <definedName name="IQ_MINORITY_INT_FFIEC" hidden="1">"c13031"</definedName>
    <definedName name="IQ_MINORITY_INT_REDEEM" hidden="1">"c25787"</definedName>
    <definedName name="IQ_MINORITY_INT_REDEEM_TOT" hidden="1">"c25789"</definedName>
    <definedName name="IQ_MINORITY_INT_THRIFT" hidden="1">"c24926"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CM" hidden="1">"c729"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ISCELLANEOUS_ASSETS_ALL_OTHER_ACCOUNTS_THRIFT" hidden="1">"c25437"</definedName>
    <definedName name="IQ_MISCELLANEOUS_ASSETS_EMPLOYEE_BENEFIT_RETIREMENT_RELATED_ACCOUNTS_THRIFT" hidden="1">"c25421"</definedName>
    <definedName name="IQ_MISCELLANEOUS_ASSETS_PERSONAL_TRUST_AGENCY_INV_MANAGEMENT_ACCOUNTS_THRIFT" hidden="1">"c25405"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MDA_SAVINGS_TOTAL_DEPOSITS_THRIFT" hidden="1">"c25778"</definedName>
    <definedName name="IQ_MOBILE_HOME_LOANS_THRIFT" hidden="1">"c24863"</definedName>
    <definedName name="IQ_MONEY_MARKET_ACCOUNTS_COMMERCIAL_BANK_SUBS_FFIEC" hidden="1">"c12947"</definedName>
    <definedName name="IQ_MONEY_MARKET_ACCOUNTS_OTHER_INSTITUTIONS_FFIEC" hidden="1">"c12952"</definedName>
    <definedName name="IQ_MONEY_MARKET_DEPOSIT_ACCOUNTS_FDIC" hidden="1">"c6553"</definedName>
    <definedName name="IQ_MONEY_MARKET_DEPOSIT_ACCOUNTS_THRIFT" hidden="1">"c24999"</definedName>
    <definedName name="IQ_MONEY_MKT_DEPOSITS_TOTAL_DEPOSITS" hidden="1">"c15720"</definedName>
    <definedName name="IQ_MONEY_MKT_SAVINGS_ACCT_DEPOSITS_TOTAL_DEPOSITS" hidden="1">"c15722"</definedName>
    <definedName name="IQ_MONEY_SUPPLY_M1" hidden="1">"c20881"</definedName>
    <definedName name="IQ_MONEY_SUPPLY_M2" hidden="1">"c20882"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ASSET_BACKED_SEC_ELIGIBLE_20_PCT_RISK_WEIGHT_THRIFT" hidden="1">"c25057"</definedName>
    <definedName name="IQ_MORTGAGE_ASSET_BACKED_SEC_ELIGIBLE_50_PCT_RISK_WEIGHT_THRIFT" hidden="1">"c25066"</definedName>
    <definedName name="IQ_MORTGAGE_BACKED_SEC_ADJUSTED_NCOS_THRIFT" hidden="1">"c25198"</definedName>
    <definedName name="IQ_MORTGAGE_BACKED_SEC_GVA_CHARGE_OFFS_THRIFT" hidden="1">"c25113"</definedName>
    <definedName name="IQ_MORTGAGE_BACKED_SEC_GVA_RECOVERIES_THRIFT" hidden="1">"c25144"</definedName>
    <definedName name="IQ_MORTGAGE_BACKED_SEC_INV_SEC_THRIFT" hidden="1">"c25673"</definedName>
    <definedName name="IQ_MORTGAGE_BACKED_SEC_SVA_PROVISIONS_TRANSFERS_FROM_GVA_THRIFT" hidden="1">"c25167"</definedName>
    <definedName name="IQ_MORTGAGE_BACKED_SECURITIES_FDIC" hidden="1">"c6402"</definedName>
    <definedName name="IQ_MORTGAGE_DEBT_UNDER_CAPITAL_LEASES_FFIEC" hidden="1">"c15276"</definedName>
    <definedName name="IQ_MORTGAGE_LOAN_SERVICING_FEES_THRIFT" hidden="1">"c24766"</definedName>
    <definedName name="IQ_MORTGAGE_LOANS_ADJUSTED_NCOS_TOTAL_THRIFT" hidden="1">"c25199"</definedName>
    <definedName name="IQ_MORTGAGE_LOANS_CASH_REPAYMENT_PRINCIPAL_THRIFT" hidden="1">"c25334"</definedName>
    <definedName name="IQ_MORTGAGE_LOANS_DEBITS_LESS_CREDITS_OTHER_THAN_REPAYMENT_PRINCIPAL_THRIFT" hidden="1">"c25335"</definedName>
    <definedName name="IQ_MORTGAGE_LOANS_FORECLOSED_DURING_QUARTER_TOTAL_THRIFT" hidden="1">"c25236"</definedName>
    <definedName name="IQ_MORTGAGE_LOANS_GROSS_LOANS_THRIFT" hidden="1">"c25721"</definedName>
    <definedName name="IQ_MORTGAGE_LOANS_GVA_RECOVERIES_TOTAL_THRIFT" hidden="1">"c25145"</definedName>
    <definedName name="IQ_MORTGAGE_LOANS_PARTICIPATIONS_PURCHASED_FROM_ENTITIES_OTHER_THAN_FEDERALLY_INSURED_DEPOSITORY_INSTITUTIONS_THEIR_SUBSIDIARIES_THRIFT" hidden="1">"c25326"</definedName>
    <definedName name="IQ_MORTGAGE_LOANS_PARTICIPATIONS_PURCHASED_SECURED_1_4_DWELLING_UNITS_THRIFT" hidden="1">"c25325"</definedName>
    <definedName name="IQ_MORTGAGE_LOANS_PARTICIPATIONS_PURCHASED_SECURED_HOME_EQUITY_JUNIOR_LIENS_THRIFT" hidden="1">"c25327"</definedName>
    <definedName name="IQ_MORTGAGE_LOANS_PARTICIPATIONS_PURCHASED_SECURED_MULTIFAMILY_5_MORE_DWELLING_UNITS_THRIFT" hidden="1">"c25328"</definedName>
    <definedName name="IQ_MORTGAGE_LOANS_PARTICIPATIONS_PURCHASED_SECURED_NONRES_THRIFT" hidden="1">"c25329"</definedName>
    <definedName name="IQ_MORTGAGE_LOANS_PARTICIPATIONS_SOLD_SECURED_1_4_DWELLING_UNITS_THRIFT" hidden="1">"c25330"</definedName>
    <definedName name="IQ_MORTGAGE_LOANS_PARTICIPATIONS_SOLD_SECURED_HOME_EQUITY_JUNIOR_LIENS_THRIFT" hidden="1">"c25331"</definedName>
    <definedName name="IQ_MORTGAGE_LOANS_PARTICIPATIONS_SOLD_SECURED_MULTIFAMILY_5_MORE_DWELLING_UNITS_THRIFT" hidden="1">"c25332"</definedName>
    <definedName name="IQ_MORTGAGE_LOANS_PARTICIPATIONS_SOLD_SECURED_NONRES_THRIFT" hidden="1">"c25333"</definedName>
    <definedName name="IQ_MORTGAGE_LOANS_RISK_BASED_CAPITAL_THRIFT" hidden="1">"c25706"</definedName>
    <definedName name="IQ_MORTGAGE_LOANS_SECURED_NON_RES_PROPERTY_100000_THROUGH_250000_THRIFT" hidden="1">"c24954"</definedName>
    <definedName name="IQ_MORTGAGE_LOANS_SECURED_NON_RES_PROPERTY_250000_THROUGH_1000000_THRIFT" hidden="1">"c24956"</definedName>
    <definedName name="IQ_MORTGAGE_LOANS_SECURED_NON_RES_PROPERTY_LESS_THAN_EQUAL_100000_THRIFT" hidden="1">"c24952"</definedName>
    <definedName name="IQ_MORTGAGE_LOANS_SVA_PROVISIONS_TRANSFERS_FROM_GVA_TOTAL_THRIFT" hidden="1">"c25168"</definedName>
    <definedName name="IQ_MORTGAGE_LOANS_TOTAL_GVA_CHARGE_OFFS_THRIFT" hidden="1">"c25114"</definedName>
    <definedName name="IQ_MORTGAGE_LOANS_TOTAL_LOANS_THRIFT" hidden="1">"c25740"</definedName>
    <definedName name="IQ_MORTGAGE_SERV_RIGHTS" hidden="1">"c2242"</definedName>
    <definedName name="IQ_MORTGAGE_SERVICING_ASSETS_FFIEC" hidden="1">"c12838"</definedName>
    <definedName name="IQ_MORTGAGE_SERVICING_FDIC" hidden="1">"c6335"</definedName>
    <definedName name="IQ_MORTGAGE_SERVICING_RIGHTS_AMOUNTS_NETTED_THRIFT" hidden="1">"c25504"</definedName>
    <definedName name="IQ_MORTGAGE_SERVICING_RIGHTS_LEVEL_1_THRIFT" hidden="1">"c25500"</definedName>
    <definedName name="IQ_MORTGAGE_SERVICING_RIGHTS_LEVEL_2_THRIFT" hidden="1">"c25501"</definedName>
    <definedName name="IQ_MORTGAGE_SERVICING_RIGHTS_LEVEL_3_THRIFT" hidden="1">"c25502"</definedName>
    <definedName name="IQ_MORTGAGE_SERVICING_RIGHTS_TOTAL_AFTER_NETTING_THRIFT" hidden="1">"c25505"</definedName>
    <definedName name="IQ_MORTGAGE_SERVICING_RIGHTS_TOTAL_BEFORE_NETTING_THRIFT" hidden="1">"c25503"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5_MORE_DWELLING_UNITS_CONSTRUCTION_MORTGAGE_LOANS_ADJUSTED_NCOS_TOTAL_THRIFT" hidden="1">"c25201"</definedName>
    <definedName name="IQ_MULTIFAMILY_5_MORE_DWELLING_UNITS_CONSTRUCTION_MORTGAGE_LOANS_GVA_CHARGE_OFFS_THRIFT" hidden="1">"c25116"</definedName>
    <definedName name="IQ_MULTIFAMILY_5_MORE_DWELLING_UNITS_CONSTRUCTION_MORTGAGE_LOANS_GVA_RECOVERIES_THRIFT" hidden="1">"c25147"</definedName>
    <definedName name="IQ_MULTIFAMILY_5_MORE_DWELLING_UNITS_CONSTRUCTION_MORTGAGE_LOANS_SVA_PROVISIONS_TRANSFERS_FROM_GVA_TOTAL_THRIFT" hidden="1">"c25170"</definedName>
    <definedName name="IQ_MULTIFAMILY_5_MORE_DWELLING_UNITS_IN_PROCESS_FORECLOSURE_THRIFT" hidden="1">"c25307"</definedName>
    <definedName name="IQ_MULTIFAMILY_5_MORE_DWELLING_UNITS_PML_ADJUSTED_NCOS_TOTAL_THRIFT" hidden="1">"c25206"</definedName>
    <definedName name="IQ_MULTIFAMILY_5_MORE_DWELLING_UNITS_PML_GVA_CHARGE_OFFS_THRIFT" hidden="1">"c25121"</definedName>
    <definedName name="IQ_MULTIFAMILY_5_MORE_DWELLING_UNITS_PML_GVA_RECOVERIES_THRIFT" hidden="1">"c25152"</definedName>
    <definedName name="IQ_MULTIFAMILY_5_MORE_DWELLING_UNITS_PML_SVA_PROVISIONS_TRANSFERS_FROM_GVA_TOTAL_THRIFT" hidden="1">"c25175"</definedName>
    <definedName name="IQ_MULTIFAMILY_5_MORE_LOANS_TOTAL_LOANS_THRIFT" hidden="1">"c25745"</definedName>
    <definedName name="IQ_MULTIFAMILY_LOANS_GROSS_LOANS_FFIEC" hidden="1">"c13404"</definedName>
    <definedName name="IQ_MULTIFAMILY_LOANS_GROSS_LOANS_THRIFT" hidden="1">"c25729"</definedName>
    <definedName name="IQ_MULTIFAMILY_LOANS_RISK_BASED_CAPITAL_THRIFT" hidden="1">"c25714"</definedName>
    <definedName name="IQ_MULTIFAMILY_LOANS_RISK_BASED_FFIEC" hidden="1">"c13425"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NICIPAL_SEC_INV_SEC_THRIFT" hidden="1">"c25672"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MUTUAL_FUNDS_EQUITY_ALL_OTHER_ACCOUNTS_THRIFT" hidden="1">"c25428"</definedName>
    <definedName name="IQ_MUTUAL_FUNDS_EQUITY_EMPLOYEE_BENEFIT_RETIREMENT_RELATED_ACCOUNTS_THRIFT" hidden="1">"c25412"</definedName>
    <definedName name="IQ_MUTUAL_FUNDS_EQUITY_PERSONAL_TRUST_AGENCY_INV_MANAGEMENT_ACCOUNTS_THRIFT" hidden="1">"c25396"</definedName>
    <definedName name="IQ_MUTUAL_FUNDS_MONEY_MARKET_ALL_OTHER_ACCOUNTS_THRIFT" hidden="1">"c25427"</definedName>
    <definedName name="IQ_MUTUAL_FUNDS_MONEY_MARKET_EMPLOYEE_BENEFIT_RETIREMENT_RELATED_ACCOUNTS_THRIFT" hidden="1">"c25411"</definedName>
    <definedName name="IQ_MUTUAL_FUNDS_MONEY_MARKET_PERSONAL_TRUST_AGENCY_INV_MANAGEMENT_ACCOUNTS_THRIFT" hidden="1">"c25395"</definedName>
    <definedName name="IQ_MUTUAL_FUNDS_OTHER_ALL_OTHER_ACCOUNTS_THRIFT" hidden="1">"c25429"</definedName>
    <definedName name="IQ_MUTUAL_FUNDS_OTHER_EMPLOYEE_BENEFIT_RETIREMENT_RELATED_ACCOUNTS_THRIFT" hidden="1">"c25413"</definedName>
    <definedName name="IQ_MUTUAL_FUNDS_OTHER_PERSONAL_TRUST_AGENCY_INV_MANAGEMENT_ACCOUNTS_THRIFT" hidden="1">"c25397"</definedName>
    <definedName name="IQ_NAMES_REVISION_DATE_" hidden="1">43008.5038194444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RE" hidden="1">"c16011"</definedName>
    <definedName name="IQ_NAV_STDDEV_EST" hidden="1">"c1756"</definedName>
    <definedName name="IQ_NCLS_CLOSED_END_1_4_FAM_LOANS_TOT_LOANS_FFIEC" hidden="1">"c13891"</definedName>
    <definedName name="IQ_NCLS_CLOSED_END_1_4_FAMILY_LOANS_TOTAL_LOANS_THRIFT" hidden="1">"c25769"</definedName>
    <definedName name="IQ_NCLS_COMM_IND_LOANS_TOT_LOANS_FFIEC" hidden="1">"c13898"</definedName>
    <definedName name="IQ_NCLS_COMM_LOANS_TOTAL_LOANS_THRIFT" hidden="1">"c25775"</definedName>
    <definedName name="IQ_NCLS_COMM_RE_FARM_LOANS_TOT_LOANS_FFIEC" hidden="1">"c13897"</definedName>
    <definedName name="IQ_NCLS_COMM_RE_FARM_LOANS_TOTAL_LOANS_THRIFT" hidden="1">"c25771"</definedName>
    <definedName name="IQ_NCLS_COMM_RE_NONFARM_NONRES_TOT_LOANS_FFIEC" hidden="1">"c13896"</definedName>
    <definedName name="IQ_NCLS_COMM_RE_NONFARM_NONRESIDENTIAL_TOTAL_LOANS_THRIFT" hidden="1">"c25773"</definedName>
    <definedName name="IQ_NCLS_CONST_LAND_DEV_LOANS_TOT_LOANS_FFIEC" hidden="1">"c13890"</definedName>
    <definedName name="IQ_NCLS_CONSTRUCTION_LAND_DEVELOPMENT_LOANS_TOTAL_LOANS_THRIFT" hidden="1">"c25767"</definedName>
    <definedName name="IQ_NCLS_CONSUMER_LOANS_TOT_LOANS_FFIEC" hidden="1">"c13899"</definedName>
    <definedName name="IQ_NCLS_CONSUMER_LOANS_TOTAL_LOANS_THRIFT" hidden="1">"c25776"</definedName>
    <definedName name="IQ_NCLS_FARM_LOANS_TOT_LOANS_FFIEC" hidden="1">"c13895"</definedName>
    <definedName name="IQ_NCLS_HOME_EQUITY_LOANS_TOT_LOANS_FFIEC" hidden="1">"c13892"</definedName>
    <definedName name="IQ_NCLS_LAND_LOANS_TOTAL_LOANS_THRIFT" hidden="1">"c25772"</definedName>
    <definedName name="IQ_NCLS_MULTIFAM_5_LOANS_TOT_LOANS_FFIEC" hidden="1">"c13894"</definedName>
    <definedName name="IQ_NCLS_MULTIFAMILY_5_MORE_LOANS_TOTAL_LOANS_THRIFT" hidden="1">"c25770"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LS_TOTAL_1_4_FAMILY_LOANS_TOTAL_LOANS_THRIFT" hidden="1">"c25768"</definedName>
    <definedName name="IQ_NCLS_TOTAL_LOANS_TOTAL_LOANS_THRIFT" hidden="1">"c25765"</definedName>
    <definedName name="IQ_NCLS_TOTAL_MORTGAGE_LOANS_TOTAL_LOANS_THRIFT" hidden="1">"c25766"</definedName>
    <definedName name="IQ_NCLS_TOTAL_NON_RE_LOANS_TOTAL_LOANS_THRIFT" hidden="1">"c25774"</definedName>
    <definedName name="IQ_NCOS_CLOSED_END_1_4_FAM_LOANS_TOT_LOANS_FFIEC" hidden="1">"c13879"</definedName>
    <definedName name="IQ_NCOS_CLOSED_END_1_4_FAMILY_LOANS_TOTAL_LOANS_THRIFT" hidden="1">"c25757"</definedName>
    <definedName name="IQ_NCOS_COMM_IND_LOANS_TOT_LOANS_FFIEC" hidden="1">"c13886"</definedName>
    <definedName name="IQ_NCOS_COMM_LOANS_TOTAL_LOANS_THRIFT" hidden="1">"c25763"</definedName>
    <definedName name="IQ_NCOS_COMM_RE_FARM_LOANS_TOT_LOANS_FFIEC" hidden="1">"c13885"</definedName>
    <definedName name="IQ_NCOS_COMM_RE_FARM_LOANS_TOTAL_LOANS_THRIFT" hidden="1">"c25759"</definedName>
    <definedName name="IQ_NCOS_COMM_RE_NONFARM_NONRES_TOT_LOANS_FFIEC" hidden="1">"c13884"</definedName>
    <definedName name="IQ_NCOS_COMM_RE_NONFARM_NONRESIDENTIAL_TOTAL_LOANS_THRIFT" hidden="1">"c25761"</definedName>
    <definedName name="IQ_NCOS_CONST_LAND_DEV_LOANS_TOT_LOANS_FFIEC" hidden="1">"c13878"</definedName>
    <definedName name="IQ_NCOS_CONSTRUCTION_LAND_DEVELOPMENT_LOANS_TOTAL_LOANS_THRIFT" hidden="1">"c25755"</definedName>
    <definedName name="IQ_NCOS_CONSUMER_LOANS_TOT_LOANS_FFIEC" hidden="1">"c13887"</definedName>
    <definedName name="IQ_NCOS_CONSUMER_LOANS_TOTAL_LOANS_THRIFT" hidden="1">"c25764"</definedName>
    <definedName name="IQ_NCOS_FARM_LOANS_TOT_LOANS_FFIEC" hidden="1">"c13883"</definedName>
    <definedName name="IQ_NCOS_HOME_EQUITY_LOANS_TOT_LOANS_FFIEC" hidden="1">"c13880"</definedName>
    <definedName name="IQ_NCOS_LAND_LOANS_TOTAL_LOANS_THRIFT" hidden="1">"c25760"</definedName>
    <definedName name="IQ_NCOS_MULTIFAM_5_LOANS_TOT_LOANS_FFIEC" hidden="1">"c13882"</definedName>
    <definedName name="IQ_NCOS_MULTIFAMILY_5_MORE_LOANS_TOTAL_LOANS_THRIFT" hidden="1">"c25758"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COS_TOTAL_1_4_FAMILY_LOANS_TOTAL_LOANS_THRIFT" hidden="1">"c25756"</definedName>
    <definedName name="IQ_NCOS_TOTAL_LOANS_TOTAL_LOANS_THRIFT" hidden="1">"c25753"</definedName>
    <definedName name="IQ_NCOS_TOTAL_MORTGAGE_LOANS_TOTAL_LOANS_THRIFT" hidden="1">"c25754"</definedName>
    <definedName name="IQ_NCOS_TOTAL_NON_RE_LOANS_TOTAL_LOANS_THRIFT" hidden="1">"c25762"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CIQ_COL" hidden="1">"c11717"</definedName>
    <definedName name="IQ_NET_DEBT_EBITDA" hidden="1">"c750"</definedName>
    <definedName name="IQ_NET_DEBT_EBITDA_CAPEX" hidden="1">"c2949"</definedName>
    <definedName name="IQ_NET_DEBT_GUIDANCE_CIQ" hidden="1">"c5005"</definedName>
    <definedName name="IQ_NET_DEBT_GUIDANCE_CIQ_COL" hidden="1">"c11652"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CM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GUIDANCE_CIQ" hidden="1">"c4633"</definedName>
    <definedName name="IQ_NET_DEBT_LOW_GUIDANCE_CIQ_COL" hidden="1">"c11282"</definedName>
    <definedName name="IQ_NET_EARNED" hidden="1">"c2734"</definedName>
    <definedName name="IQ_NET_FED_FUNDS_PURCHASED_TOTAL_ASSETS_THRIFT" hidden="1">"c25704"</definedName>
    <definedName name="IQ_NET_FIDUCIARY_RELATED_SERVICES_INC_THRIFT" hidden="1">"c24815"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AFS_SEC_THRIFT" hidden="1">"c24770"</definedName>
    <definedName name="IQ_NET_GAIN_SALE_LOANS_HELD_INV_THRIFT" hidden="1">"c24774"</definedName>
    <definedName name="IQ_NET_GAIN_SALE_LOANS_LEASES_HFS_THRIFT" hidden="1">"c24771"</definedName>
    <definedName name="IQ_NET_GAIN_SALE_OTHER_ASSETS_HELD_INV_THRIFT" hidden="1">"c24775"</definedName>
    <definedName name="IQ_NET_GAIN_SALE_OTHER_ASSETS_HFS_THRIFT" hidden="1">"c24772"</definedName>
    <definedName name="IQ_NET_GAIN_SALE_PREMISES_FIXED_ASSETS_EXP_FFIEC" hidden="1">"c15372"</definedName>
    <definedName name="IQ_NET_GAIN_SALE_PREMISES_FIXED_ASSETS_INC_FFIEC" hidden="1">"c15369"</definedName>
    <definedName name="IQ_NET_GAIN_SALE_SEC_HTM_THRIFT" hidden="1">"c24773"</definedName>
    <definedName name="IQ_NET_GAINS_FIN_ASSETS_LIABILITIES_FV_THRIFT" hidden="1">"c24776"</definedName>
    <definedName name="IQ_NET_IMPAIR_LOSS_FFIEC" hidden="1">"c25848"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AVG_ASSETS_THRIFT" hidden="1">"c25661"</definedName>
    <definedName name="IQ_NET_INCOME_FDIC" hidden="1">"c6587"</definedName>
    <definedName name="IQ_NET_INCOME_HOMEBUILDING_SALES" hidden="1">"c15818"</definedName>
    <definedName name="IQ_NET_INCOME_LH_FFIEC" hidden="1">"c13110"</definedName>
    <definedName name="IQ_NET_INCOME_LOCOM_ADJUST_THRIFT" hidden="1">"c24779"</definedName>
    <definedName name="IQ_NET_INCOME_LOSS_ATTRIBUTABLE_SAVINGS_ASSOCIATION_THRIFT" hidden="1">"c25009"</definedName>
    <definedName name="IQ_NET_INCOME_PC_FFIEC" hidden="1">"c13103"</definedName>
    <definedName name="IQ_NET_INCOME_REPOSSESS_ASSETS_THRIFT" hidden="1">"c24778"</definedName>
    <definedName name="IQ_NET_INCOME_SALE_ASSETS_HFS_AFS_SEC_THRIFT" hidden="1">"c24769"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CM" hidden="1">"c765"</definedName>
    <definedName name="IQ_NET_INT_INC_FIN" hidden="1">"c766"</definedName>
    <definedName name="IQ_NET_INT_INC_TOTAL_REV" hidden="1">"c767"</definedName>
    <definedName name="IQ_NET_INT_INCOME_AFTER_PROVISION_THRIFT" hidden="1">"c25871"</definedName>
    <definedName name="IQ_NET_INT_INCOME_AVG_ASSET" hidden="1">"c15706"</definedName>
    <definedName name="IQ_NET_INT_INCOME_AVG_ASSETS_THRIFT" hidden="1">"c25649"</definedName>
    <definedName name="IQ_NET_INT_INCOME_AVG_EARNING_ASSETS_THRIFT" hidden="1">"c25668"</definedName>
    <definedName name="IQ_NET_INT_INCOME_FFIEC" hidden="1">"c13001"</definedName>
    <definedName name="IQ_NET_INT_INCOME_FTE_FFIEC" hidden="1">"c13036"</definedName>
    <definedName name="IQ_NET_INT_INCOME_THRIFT" hidden="1">"c24765"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_LOSSES_AVG_LOANS_THRIFT" hidden="1">"c25635"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CORE_DEPOSITS_THRIFT" hidden="1">"c25628"</definedName>
    <definedName name="IQ_NET_LOANS_DEPOSITS_FFIEC" hidden="1">"c13340"</definedName>
    <definedName name="IQ_NET_LOANS_EQUITY_FFIEC" hidden="1">"c13347"</definedName>
    <definedName name="IQ_NET_LOANS_EQUITY_THRIFT" hidden="1">"c25632"</definedName>
    <definedName name="IQ_NET_LOANS_LEASES_CORE_DEPOSITS_FDIC" hidden="1">"c6743"</definedName>
    <definedName name="IQ_NET_LOANS_LEASES_DEPOSITS_FDIC" hidden="1">"c6742"</definedName>
    <definedName name="IQ_NET_LOANS_LEASES_LETTERS_CREDIT_TOTAL_ASSETS_THRIFT" hidden="1">"c25698"</definedName>
    <definedName name="IQ_NET_LOANS_LEASES_TOTAL_ASSETS_THRIFT" hidden="1">"c25694"</definedName>
    <definedName name="IQ_NET_LOANS_TOTAL_DEPOSITS" hidden="1">"c779"</definedName>
    <definedName name="IQ_NET_LOANS_TOTAL_DEPOSITS_THRIFT" hidden="1">"c25627"</definedName>
    <definedName name="IQ_NET_LOSSES" hidden="1">"c15873"</definedName>
    <definedName name="IQ_NET_LOSSES_FIDUCIARY_RELATED_SERVICES_THRIFT" hidden="1">"c24813"</definedName>
    <definedName name="IQ_NET_NEW_CLIENT_ASSETS" hidden="1">"c20430"</definedName>
    <definedName name="IQ_NET_NONCORE_FUNDING_DEPENDENCE_SHORT_TERM_THRIFT" hidden="1">"c25624"</definedName>
    <definedName name="IQ_NET_NONCORE_FUNDING_DEPENDENCE_THRIFT" hidden="1">"c25623"</definedName>
    <definedName name="IQ_NET_NONINTEREST_INC_EXP_INTERNATIONAL_OPS_FFIEC" hidden="1">"c15387"</definedName>
    <definedName name="IQ_NET_OCCUPANCY_EXP_ADJUSTED_OPERATING_INCOME_THRIFT" hidden="1">"c25686"</definedName>
    <definedName name="IQ_NET_OPERATING_INCOME_ASSETS_FDIC" hidden="1">"c6729"</definedName>
    <definedName name="IQ_NET_PC_WRITTEN" hidden="1">"c1027"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PROVISION_LOSS_GVA_THRIFT" hidden="1">"c25092"</definedName>
    <definedName name="IQ_NET_PROVISION_LOSS_SVA_THRIFT" hidden="1">"c25100"</definedName>
    <definedName name="IQ_NET_PROVISION_LOSS_TVA_THRIFT" hidden="1">"c25107"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ADJUSTED_OPERATING_INCOME_THRIFT" hidden="1">"c25690"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BASIS_ACCOUNTING_ADJUSTMENTS_SAVINGS_ASSOCIATION_THRIFT" hidden="1">"c25015"</definedName>
    <definedName name="IQ_NEW_DEPOSITS_RECEIVED_LESS_DEPOSITS_WITHDRAWN_THRIFT" hidden="1">"c25343"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CIQ_COL" hidden="1">"c11712"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ANK_NONCONTROLLING_INT_THRIFT" hidden="1">"c24798"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COMPANY" hidden="1">"c25786"</definedName>
    <definedName name="IQ_NI_EST" hidden="1">"c1716"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EST" hidden="1">"c1723"</definedName>
    <definedName name="IQ_NI_GW_GUIDANCE_CIQ" hidden="1">"c5009"</definedName>
    <definedName name="IQ_NI_GW_GUIDANCE_CIQ_COL" hidden="1">"c11656"</definedName>
    <definedName name="IQ_NI_GW_HIGH_EST" hidden="1">"c1725"</definedName>
    <definedName name="IQ_NI_GW_HIGH_GUIDANCE_CIQ" hidden="1">"c4590"</definedName>
    <definedName name="IQ_NI_GW_HIGH_GUIDANCE_CIQ_COL" hidden="1">"c11239"</definedName>
    <definedName name="IQ_NI_GW_LOW_EST" hidden="1">"c1726"</definedName>
    <definedName name="IQ_NI_GW_LOW_GUIDANCE_CIQ" hidden="1">"c4630"</definedName>
    <definedName name="IQ_NI_GW_LOW_GUIDANCE_CIQ_COL" hidden="1">"c11279"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GUIDANCE_CIQ" hidden="1">"c4588"</definedName>
    <definedName name="IQ_NI_HIGH_GUIDANCE_CIQ_COL" hidden="1">"c11237"</definedName>
    <definedName name="IQ_NI_LOW_EST" hidden="1">"c1719"</definedName>
    <definedName name="IQ_NI_LOW_GUIDANCE_CIQ" hidden="1">"c4628"</definedName>
    <definedName name="IQ_NI_LOW_GUIDANCE_CIQ_COL" hidden="1">"c11277"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NCONTROLLING_INT_THRIFT" hidden="1">"c24799"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_COL" hidden="1">"c11659"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_COL" hidden="1">"c11663"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FAS" hidden="1">"c795"</definedName>
    <definedName name="IQ_NI_STDDEV_EST" hidden="1">"c1721"</definedName>
    <definedName name="IQ_NI_SUBTOTAL_AP" hidden="1">"c8983"</definedName>
    <definedName name="IQ_NI_THRIFT" hidden="1">"c24800"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M_DOMESTIC_PURCHASES" hidden="1">"c20883"</definedName>
    <definedName name="IQ_NOM_EXPORT" hidden="1">"c20884"</definedName>
    <definedName name="IQ_NOM_EXPORT_GOODS" hidden="1">"c20885"</definedName>
    <definedName name="IQ_NOM_EXPORT_INCOME" hidden="1">"c20886"</definedName>
    <definedName name="IQ_NOM_EXPORT_SERVICES" hidden="1">"c20887"</definedName>
    <definedName name="IQ_NOM_GDP" hidden="1">"c20888"</definedName>
    <definedName name="IQ_NOM_GDP_RESIDUAL" hidden="1">"c20889"</definedName>
    <definedName name="IQ_NOM_GNP" hidden="1">"c20890"</definedName>
    <definedName name="IQ_NOM_GOVT_CONSUM_INVEST" hidden="1">"c20891"</definedName>
    <definedName name="IQ_NOM_GOVT_CONSUM_INVEST_DEF" hidden="1">"c20892"</definedName>
    <definedName name="IQ_NOM_GOVT_CONSUM_INVEST_DEF_CONSUM" hidden="1">"c20893"</definedName>
    <definedName name="IQ_NOM_GOVT_CONSUM_INVEST_DEF_INVEST" hidden="1">"c20894"</definedName>
    <definedName name="IQ_NOM_GOVT_CONSUM_INVEST_FEDERAL" hidden="1">"c20895"</definedName>
    <definedName name="IQ_NOM_GOVT_CONSUM_INVEST_NONDEF" hidden="1">"c20896"</definedName>
    <definedName name="IQ_NOM_GOVT_CONSUM_INVEST_NONDEF_CONSUM" hidden="1">"c20897"</definedName>
    <definedName name="IQ_NOM_GOVT_CONSUM_INVEST_NONDEF_INVEST" hidden="1">"c20898"</definedName>
    <definedName name="IQ_NOM_GOVT_CONSUM_INVEST_STATE_LOCAL" hidden="1">"c20899"</definedName>
    <definedName name="IQ_NOM_GOVT_CONSUM_INVEST_STATE_LOCAL_CONSUM" hidden="1">"c20900"</definedName>
    <definedName name="IQ_NOM_GOVT_CONSUM_INVEST_STATE_LOCAL_INVEST" hidden="1">"c20901"</definedName>
    <definedName name="IQ_NOM_IMPORT" hidden="1">"c20902"</definedName>
    <definedName name="IQ_NOM_IMPORT_GOODS" hidden="1">"c20903"</definedName>
    <definedName name="IQ_NOM_IMPORT_INCOME" hidden="1">"c20904"</definedName>
    <definedName name="IQ_NOM_IMPORT_SERVICES" hidden="1">"c20905"</definedName>
    <definedName name="IQ_NOM_NET_DOMESTIC_PRODUCTION" hidden="1">"c20906"</definedName>
    <definedName name="IQ_NOM_NET_EXPORT" hidden="1">"c20907"</definedName>
    <definedName name="IQ_NOM_PCE" hidden="1">"c20908"</definedName>
    <definedName name="IQ_NOM_PCE_CLOTHING" hidden="1">"c20909"</definedName>
    <definedName name="IQ_NOM_PCE_DUR_GOODS" hidden="1">"c20910"</definedName>
    <definedName name="IQ_NOM_PCE_DUR_GOODS_OTHER" hidden="1">"c20911"</definedName>
    <definedName name="IQ_NOM_PCE_FINANCIAL" hidden="1">"c20912"</definedName>
    <definedName name="IQ_NOM_PCE_FOOD_ACCOMADATIONS" hidden="1">"c20913"</definedName>
    <definedName name="IQ_NOM_PCE_FOOD_BEVERAGE" hidden="1">"c20914"</definedName>
    <definedName name="IQ_NOM_PCE_FURNISHINGS" hidden="1">"c20915"</definedName>
    <definedName name="IQ_NOM_PCE_GAS" hidden="1">"c20916"</definedName>
    <definedName name="IQ_NOM_PCE_GOOD" hidden="1">"c20917"</definedName>
    <definedName name="IQ_NOM_PCE_HEALTH_CARE" hidden="1">"c20918"</definedName>
    <definedName name="IQ_NOM_PCE_HOUSEHOLD_CONSUM" hidden="1">"c20919"</definedName>
    <definedName name="IQ_NOM_PCE_HOUSEHOLD_CONSUM_OTHER" hidden="1">"c20920"</definedName>
    <definedName name="IQ_NOM_PCE_HOUSING" hidden="1">"c20921"</definedName>
    <definedName name="IQ_NOM_PCE_MOTOR_VEHICLE" hidden="1">"c20922"</definedName>
    <definedName name="IQ_NOM_PCE_NONDUR_GOODS" hidden="1">"c20923"</definedName>
    <definedName name="IQ_NOM_PCE_NONDUR_GOODS_OTHER" hidden="1">"c20924"</definedName>
    <definedName name="IQ_NOM_PCE_NONPROFIT_CONSUM" hidden="1">"c20925"</definedName>
    <definedName name="IQ_NOM_PCE_NONPROFIT_OUTPUT" hidden="1">"c20926"</definedName>
    <definedName name="IQ_NOM_PCE_NONPROFIT_RECEIPTS" hidden="1">"c20927"</definedName>
    <definedName name="IQ_NOM_PCE_RECREATION_GOODS" hidden="1">"c20928"</definedName>
    <definedName name="IQ_NOM_PCE_RECREATION_SERVICES" hidden="1">"c20929"</definedName>
    <definedName name="IQ_NOM_PCE_SERVICES" hidden="1">"c20930"</definedName>
    <definedName name="IQ_NOM_PCE_TRANSPORTATION" hidden="1">"c20931"</definedName>
    <definedName name="IQ_NOM_PRIVATE_INVEST" hidden="1">"c20932"</definedName>
    <definedName name="IQ_NOM_PRIVATE_INVEST_EQUIP" hidden="1">"c20933"</definedName>
    <definedName name="IQ_NOM_PRIVATE_INVEST_EQUIP_OTHER" hidden="1">"c20934"</definedName>
    <definedName name="IQ_NOM_PRIVATE_INVEST_FIXED" hidden="1">"c20935"</definedName>
    <definedName name="IQ_NOM_PRIVATE_INVEST_INDUSTRIAL_EQUIP" hidden="1">"c20936"</definedName>
    <definedName name="IQ_NOM_PRIVATE_INVEST_INFO_EQUIP" hidden="1">"c20937"</definedName>
    <definedName name="IQ_NOM_PRIVATE_INVEST_INFO_EQUIP_COMPUTERS" hidden="1">"c20938"</definedName>
    <definedName name="IQ_NOM_PRIVATE_INVEST_INFO_EQUIP_OTHER" hidden="1">"c20939"</definedName>
    <definedName name="IQ_NOM_PRIVATE_INVEST_INFO_EQUIP_SOFTWARE" hidden="1">"c20940"</definedName>
    <definedName name="IQ_NOM_PRIVATE_INVEST_NONRES" hidden="1">"c20941"</definedName>
    <definedName name="IQ_NOM_PRIVATE_INVEST_PRIVATE_INV_CHANGE" hidden="1">"c20942"</definedName>
    <definedName name="IQ_NOM_PRIVATE_INVEST_PRIVATE_INV_FARMS" hidden="1">"c20943"</definedName>
    <definedName name="IQ_NOM_PRIVATE_INVEST_PRIVATE_INV_NONFARMS" hidden="1">"c20944"</definedName>
    <definedName name="IQ_NOM_PRIVATE_INVEST_RES" hidden="1">"c20945"</definedName>
    <definedName name="IQ_NOM_PRIVATE_INVEST_STRUCTURES" hidden="1">"c20946"</definedName>
    <definedName name="IQ_NOM_PRIVATE_INVEST_TRANSPORTATION_EQUIP" hidden="1">"c20947"</definedName>
    <definedName name="IQ_NOM_SALES_TO_DOMESTIC_PURCHASES" hidden="1">"c20948"</definedName>
    <definedName name="IQ_NOMINAL_GDP" hidden="1">"c20949"</definedName>
    <definedName name="IQ_NOMINAL_GDP_FC" hidden="1">"c20950"</definedName>
    <definedName name="IQ_NOMINAL_GDP_PER_CAPITA" hidden="1">"c20951"</definedName>
    <definedName name="IQ_NOMINAL_GDP_PER_CAPITA_FC" hidden="1">"c20952"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"c11750"</definedName>
    <definedName name="IQ_NON_INT_BEARING_DEMAND_DEPOSITS_THRIFT" hidden="1">"c25007"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FTER_PROVISION_THRIFT" hidden="1">"c25872"</definedName>
    <definedName name="IQ_NON_INT_EXP_AVG_ASSETS_FFIEC" hidden="1">"c18878"</definedName>
    <definedName name="IQ_NON_INT_EXP_AVG_ASSETS_THRIFT" hidden="1">"c25784"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EXP_THRIFT" hidden="1">"c24793"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_INC_OPERATING_INC_FFIEC" hidden="1">"c13382"</definedName>
    <definedName name="IQ_NON_INT_INCOME_ADJUSTED_OPERATING_INCOME_THRIFT" hidden="1">"c25688"</definedName>
    <definedName name="IQ_NON_INT_INCOME_AVG_ASSET" hidden="1">"c15707"</definedName>
    <definedName name="IQ_NON_INT_INCOME_AVG_ASSETS_THRIFT" hidden="1">"c25650"</definedName>
    <definedName name="IQ_NON_INT_INCOME_FFIEC" hidden="1">"c13017"</definedName>
    <definedName name="IQ_NON_INT_INCOME_THRIFT" hidden="1">"c24781"</definedName>
    <definedName name="IQ_NON_INTEREST_BEARING_DEPOSITS_ALL_OTHER_ACCOUNTS_THRIFT" hidden="1">"c25423"</definedName>
    <definedName name="IQ_NON_INTEREST_BEARING_DEPOSITS_EMPLOYEE_BENEFIT_RETIREMENT_RELATED_ACCOUNTS_THRIFT" hidden="1">"c25407"</definedName>
    <definedName name="IQ_NON_INTEREST_BEARING_DEPOSITS_PERSONAL_TRUST_AGENCY_INV_MANAGEMENT_ACCOUNTS_THRIFT" hidden="1">"c25391"</definedName>
    <definedName name="IQ_NON_INTEREST_EXP" hidden="1">"c1400"</definedName>
    <definedName name="IQ_NON_INTEREST_INC" hidden="1">"c1401"</definedName>
    <definedName name="IQ_NON_MORTGAGE_AGRICULTURE_FARMERS_COMM_LOANS_100000_THROUGH_250000_THRIFT" hidden="1">"c24974"</definedName>
    <definedName name="IQ_NON_MORTGAGE_AGRICULTURE_FARMERS_COMM_LOANS_250000_THROUGH_500000_THRIFT" hidden="1">"c24976"</definedName>
    <definedName name="IQ_NON_MORTGAGE_AGRICULTURE_FARMERS_COMM_LOANS_LESS_THAN_EQUAL_100000_THRIFT" hidden="1">"c24972"</definedName>
    <definedName name="IQ_NON_MORTGAGE_LOANS_ADJUSTED_NCOS_TOTAL_TOTAL_THRIFT" hidden="1">"c25209"</definedName>
    <definedName name="IQ_NON_MORTGAGE_LOANS_GVA_CHARGE_OFFS_TOTAL_THRIFT" hidden="1">"c25124"</definedName>
    <definedName name="IQ_NON_MORTGAGE_LOANS_GVA_RECOVERIES_TOTAL_THRIFT" hidden="1">"c25155"</definedName>
    <definedName name="IQ_NON_MORTGAGE_LOANS_SVA_PROVISIONS_TRANSFERS_FROM_GVA_TOTAL_TOTAL_THRIFT" hidden="1">"c25178"</definedName>
    <definedName name="IQ_NON_MORTGAGE_NON_AGRICULTURE_COMM_LOANS_100000_THROUGH_250000_THRIFT" hidden="1">"c24961"</definedName>
    <definedName name="IQ_NON_MORTGAGE_NON_AGRICULTURE_COMM_LOANS_250000_THROUGH_1000000_THRIFT" hidden="1">"c24963"</definedName>
    <definedName name="IQ_NON_MORTGAGE_NON_AGRICULTURE_COMM_LOANS_LESS_THAN_EQUAL_100000_THRIFT" hidden="1">"c24959"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CORE_FUNDING_TOTAL_ASSETS_THRIFT" hidden="1">"c25700"</definedName>
    <definedName name="IQ_NONCUMULATIVE_PREF_THRIFT" hidden="1">"c24916"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LOANS_GROSS_LOANS_THRIFT" hidden="1">"c25730"</definedName>
    <definedName name="IQ_NONFARM_NONRES_LOANS_RISK_BASED_CAPITAL_THRIFT" hidden="1">"c25715"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CASH_FFIEC" hidden="1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FC_UNUSED_UNUSED_UNUSED" hidden="1">"c8468"</definedName>
    <definedName name="IQ_NONRES_FIXED_INVEST_PRIV_APR_UNUSED" hidden="1">"c7588"</definedName>
    <definedName name="IQ_NONRES_FIXED_INVEST_PRIV_APR_UNUSED_UNUSED_UNUSED" hidden="1">"c7588"</definedName>
    <definedName name="IQ_NONRES_FIXED_INVEST_PRIV_FC_UNUSED" hidden="1">"c7808"</definedName>
    <definedName name="IQ_NONRES_FIXED_INVEST_PRIV_FC_UNUSED_UNUSED_UNUSED" hidden="1">"c7808"</definedName>
    <definedName name="IQ_NONRES_FIXED_INVEST_PRIV_POP_FC_UNUSED" hidden="1">"c8028"</definedName>
    <definedName name="IQ_NONRES_FIXED_INVEST_PRIV_POP_FC_UNUSED_UNUSED_UNUSED" hidden="1">"c8028"</definedName>
    <definedName name="IQ_NONRES_FIXED_INVEST_PRIV_POP_UNUSED" hidden="1">"c7148"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FC_UNUSED_UNUSED_UNUSED" hidden="1">"c8248"</definedName>
    <definedName name="IQ_NONRES_FIXED_INVEST_PRIV_YOY_UNUSED" hidden="1">"c7368"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RES_PROPERTY_CONSTRUCTION_MORTGAGE_LOANS_GVA_CHARGE_OFFS_THRIFT" hidden="1">"c25117"</definedName>
    <definedName name="IQ_NONRES_PROPERTY_CONSTRUCTION_MORTGAGE_LOANS_GVA_RECOVERIES_THRIFT" hidden="1">"c25148"</definedName>
    <definedName name="IQ_NONRES_PROPERTY_DWELLING_UNITS_CONSTRUCTION_MORTGAGE_LOANS_ADJUSTED_NCOS_TOTAL_THRIFT" hidden="1">"c25202"</definedName>
    <definedName name="IQ_NONRES_PROPERTY_DWELLING_UNITS_CONSTRUCTION_MORTGAGE_LOANS_SVA_PROVISIONS_TRANSFERS_FROM_GVA_TOTAL_THRIFT" hidden="1">"c25171"</definedName>
    <definedName name="IQ_NONRES_PROPERTY_EXCEPT_LAND_IN_PROCESS_FORECLOSURE_THRIFT" hidden="1">"c25308"</definedName>
    <definedName name="IQ_NONRES_PROPERTY_EXCEPT_LAND_PML_ADJUSTED_NCOS_TOTAL_THRIFT" hidden="1">"c25207"</definedName>
    <definedName name="IQ_NONRES_PROPERTY_EXCEPT_LAND_PML_GVA_CHARGE_OFFS_THRIFT" hidden="1">"c25122"</definedName>
    <definedName name="IQ_NONRES_PROPERTY_EXCEPT_LAND_PML_GVA_RECOVERIES_THRIFT" hidden="1">"c25153"</definedName>
    <definedName name="IQ_NONRES_PROPERTY_EXCEPT_LAND_PML_SVA_PROVISIONS_TRANSFERS_FROM_GVA_TOTAL_THRIFT" hidden="1">"c25176"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OBLIGATIONS_FDIC_INC_COVERED_ASSETS_ELIGIBLE_0_PCT_RISK_WEIGHT_THRIFT" hidden="1">"c25053"</definedName>
    <definedName name="IQ_NOTES_PAY" hidden="1">"c1423"</definedName>
    <definedName name="IQ_NOTIONAL_AMOUNT_CREDIT_DERIVATIVES_FDIC" hidden="1">"c6507"</definedName>
    <definedName name="IQ_NOTIONAL_AMT_DERIVATIVES_BENEFICIARY_FFIEC" hidden="1">"c13118"</definedName>
    <definedName name="IQ_NOTIONAL_AMT_DERIVATIVES_GUARANTOR_FFIEC" hidden="1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_ACCOUNTS_EXCLUDING_RETIREMENT_ACCOUNTS_GREATER_THAN_250000_THRIFT" hidden="1">"c24989"</definedName>
    <definedName name="IQ_NUMBER_DEPOSIT_ACCOUNTS_EXCLUDING_RETIREMENT_ACCOUNTS_LESS_THAN_250000_THRIFT" hidden="1">"c24988"</definedName>
    <definedName name="IQ_NUMBER_DEPOSIT_ACCOUNTS_THRIFT" hidden="1">"c24987"</definedName>
    <definedName name="IQ_NUMBER_DEPOSITS_LESS_THAN_100K_FDIC" hidden="1">"c6495"</definedName>
    <definedName name="IQ_NUMBER_DEPOSITS_MORE_THAN_100K_FDIC" hidden="1">"c6493"</definedName>
    <definedName name="IQ_NUMBER_FIDUCIARY_MANAGED_ACCOUNTS_THRIFT" hidden="1">"c25439"</definedName>
    <definedName name="IQ_NUMBER_FTE_EMPLOYEES_THRIFT" hidden="1">"c24929"</definedName>
    <definedName name="IQ_NUMBER_ISSUES_IN_DEFAULT_THRIFT" hidden="1">"c25443"</definedName>
    <definedName name="IQ_NUMBER_LOANS_SECURED_FARM_100000_THROUGH_250000_THRIFT" hidden="1">"c24969"</definedName>
    <definedName name="IQ_NUMBER_LOANS_SECURED_FARM_250000_THROUGH_500000_THRIFT" hidden="1">"c24971"</definedName>
    <definedName name="IQ_NUMBER_LOANS_SECURED_FARM_LESS_THAN_EQUAL_100000_THRIFT" hidden="1">"c24967"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MORTGAGE_LOANS_SECURED_NON_RES_PROPERTY_100000_THROUGH_250000_THRIFT" hidden="1">"c24955"</definedName>
    <definedName name="IQ_NUMBER_MORTGAGE_LOANS_SECURED_NON_RES_PROPERTY_250000_THROUGH_1000000_THRIFT" hidden="1">"c24957"</definedName>
    <definedName name="IQ_NUMBER_MORTGAGE_LOANS_SECURED_NON_RES_PROPERTY_LESS_THAN_EQUAL_100000_THRIFT" hidden="1">"c24953"</definedName>
    <definedName name="IQ_NUMBER_MORTGAGE_LOANS_SECURED_NON_RES_PROPERTY_THRIFT" hidden="1">"c24958"</definedName>
    <definedName name="IQ_NUMBER_NON_MORTGAGE_AGRICULTURE_FARMERS_COMM_LOANS_100000_THROUGH_250000_THRIFT" hidden="1">"c24975"</definedName>
    <definedName name="IQ_NUMBER_NON_MORTGAGE_AGRICULTURE_FARMERS_COMM_LOANS_250000_THROUGH_500000_THRIFT" hidden="1">"c24977"</definedName>
    <definedName name="IQ_NUMBER_NON_MORTGAGE_AGRICULTURE_FARMERS_COMM_LOANS_LESS_THAN_EQUAL_100000_THRIFT" hidden="1">"c24973"</definedName>
    <definedName name="IQ_NUMBER_NON_MORTGAGE_LOANS_EXCEPT_CREDIT_CARD_LOANS_THRIFT" hidden="1">"c24965"</definedName>
    <definedName name="IQ_NUMBER_NON_MORTGAGE_NON_AGRICULTURE_COMM_LOANS_100000_THROUGH_250000_THRIFT" hidden="1">"c24962"</definedName>
    <definedName name="IQ_NUMBER_NON_MORTGAGE_NON_AGRICULTURE_COMM_LOANS_250000_THROUGH_1000000_THRIFT" hidden="1">"c24964"</definedName>
    <definedName name="IQ_NUMBER_NON_MORTGAGE_NON_AGRICULTURE_COMM_LOANS_LESS_THAN_EQUAL_100000_THRIFT" hidden="1">"c24960"</definedName>
    <definedName name="IQ_NUMBER_NONINTEREST_BEARING_TRANSACTION_ACCOUNTS_MORE_THAN_250000_THRIFT" hidden="1">"c25583"</definedName>
    <definedName name="IQ_NUMBER_RETIREMENT_DEPOSIT_ACCOUNTS_GREATER_THAN_250000_THRIFT" hidden="1">"c24993"</definedName>
    <definedName name="IQ_NUMBER_RETIREMENT_DEPOSIT_ACCOUNTS_LESS_THAN_250000_THRIFT" hidden="1">"c24992"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EXP_AVG_ASSETS_FFIEC" hidden="1">"c13372"</definedName>
    <definedName name="IQ_OCCUPANCY_EXP_AVG_ASSETS_THRIFT" hidden="1">"c25663"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ECD_LEAD_INDICATOR" hidden="1">"c20953"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FFICE_OCCUPANCY_EQUIP_EXP_THRIFT" hidden="1">"c24787"</definedName>
    <definedName name="IQ_OFFICE_PREMISES_EQUIPMENT_THRIFT" hidden="1">"c24882"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"c20387"</definedName>
    <definedName name="IQ_OG_EQUTY_RESERVES_NGL" hidden="1">"c20388"</definedName>
    <definedName name="IQ_OG_EQUTY_RESERVES_OIL" hidden="1">"c20389"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_END_LINES_CREDIT_THRIFT" hidden="1">"c25608"</definedName>
    <definedName name="IQ_OPENPRICE" hidden="1">"c848"</definedName>
    <definedName name="IQ_OPER_INC" hidden="1">"c849"</definedName>
    <definedName name="IQ_OPER_INC_BR" hidden="1">"c850"</definedName>
    <definedName name="IQ_OPER_INC_CM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_TOTAL_AGG_INT_VALUE_EXER" hidden="1">"c18441"</definedName>
    <definedName name="IQ_OPT_TOTAL_AGG_INT_VALUE_OUT" hidden="1">"c18437"</definedName>
    <definedName name="IQ_OPT_TOTAL_NUM_EXER" hidden="1">"c18439"</definedName>
    <definedName name="IQ_OPT_TOTAL_NUM_OUT" hidden="1">"c18435"</definedName>
    <definedName name="IQ_OPT_TOTAL_PLAN_NAME" hidden="1">"c18467"</definedName>
    <definedName name="IQ_OPT_TOTAL_PRICE_HIGH" hidden="1">"c18432"</definedName>
    <definedName name="IQ_OPT_TOTAL_PRICE_LOW" hidden="1">"c18431"</definedName>
    <definedName name="IQ_OPT_TOTAL_PRICE_RANGE" hidden="1">"c18433"</definedName>
    <definedName name="IQ_OPT_TOTAL_WTD_LIFE_EXER" hidden="1">"c18440"</definedName>
    <definedName name="IQ_OPT_TOTAL_WTD_LIFE_OUT" hidden="1">"c18436"</definedName>
    <definedName name="IQ_OPT_TOTAL_WTD_PRICE_EXER" hidden="1">"c18438"</definedName>
    <definedName name="IQ_OPT_TOTAL_WTD_PRICE_OUT" hidden="1">"c18434"</definedName>
    <definedName name="IQ_OPT_TRANCHE_AGG_INT_VALUE_EXER" hidden="1">"c18430"</definedName>
    <definedName name="IQ_OPT_TRANCHE_AGG_INT_VALUE_OUT" hidden="1">"c18426"</definedName>
    <definedName name="IQ_OPT_TRANCHE_CLASS_NAME" hidden="1">"c18419"</definedName>
    <definedName name="IQ_OPT_TRANCHE_NUM_EXER" hidden="1">"c18428"</definedName>
    <definedName name="IQ_OPT_TRANCHE_NUM_OUT" hidden="1">"c18424"</definedName>
    <definedName name="IQ_OPT_TRANCHE_PLAN_NAME" hidden="1">"c18418"</definedName>
    <definedName name="IQ_OPT_TRANCHE_PLAN_RANK" hidden="1">"c18466"</definedName>
    <definedName name="IQ_OPT_TRANCHE_PRICE_HIGH" hidden="1">"c18421"</definedName>
    <definedName name="IQ_OPT_TRANCHE_PRICE_LOW" hidden="1">"c18420"</definedName>
    <definedName name="IQ_OPT_TRANCHE_PRICE_RANGE" hidden="1">"c18422"</definedName>
    <definedName name="IQ_OPT_TRANCHE_WTD_LIFE_EXER" hidden="1">"c18429"</definedName>
    <definedName name="IQ_OPT_TRANCHE_WTD_LIFE_OUT" hidden="1">"c18425"</definedName>
    <definedName name="IQ_OPT_TRANCHE_WTD_PRICE_EXER" hidden="1">"c18427"</definedName>
    <definedName name="IQ_OPT_TRANCHE_WTD_PRICE_OUT" hidden="1">"c18423"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 hidden="1">"c12831"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REO_OTHER_FFIEC" hidden="1">"c12833"</definedName>
    <definedName name="IQ_ORGANIC_GROWTH_RATE" hidden="1">"c20429"</definedName>
    <definedName name="IQ_OTHER_ACCRUED_INT_PAYABLE_THRIFT" hidden="1">"c24908"</definedName>
    <definedName name="IQ_OTHER_ADDITIONS_ADJUSTED_ASSETS_THRIFT" hidden="1">"c25037"</definedName>
    <definedName name="IQ_OTHER_ADDITIONS_T1_FFIEC" hidden="1">"c13142"</definedName>
    <definedName name="IQ_OTHER_ADDITIONS_T1_THRIFT" hidden="1">"c25028"</definedName>
    <definedName name="IQ_OTHER_ADDITIONS_T2_FFIEC" hidden="1">"c13148"</definedName>
    <definedName name="IQ_OTHER_ADDITIONS_T2_THRIFT" hidden="1">"c25044"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DJUSTMENTS_SAVINGS_ASSOCIATION_THRIFT" hidden="1">"c25018"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CM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OCI_THRIFT" hidden="1">"c24923"</definedName>
    <definedName name="IQ_OTHER_ASSETS" hidden="1">"c860"</definedName>
    <definedName name="IQ_OTHER_ASSETS_ADJUSTED_NCOS_TOTAL_THRIFT" hidden="1">"c25227"</definedName>
    <definedName name="IQ_OTHER_ASSETS_BNK" hidden="1">"c861"</definedName>
    <definedName name="IQ_OTHER_ASSETS_BR" hidden="1">"c862"</definedName>
    <definedName name="IQ_OTHER_ASSETS_CM" hidden="1">"c862"</definedName>
    <definedName name="IQ_OTHER_ASSETS_FDIC" hidden="1">"c6338"</definedName>
    <definedName name="IQ_OTHER_ASSETS_FFIEC" hidden="1">"c12848"</definedName>
    <definedName name="IQ_OTHER_ASSETS_FIN" hidden="1">"c863"</definedName>
    <definedName name="IQ_OTHER_ASSETS_GVA_CHARGE_OFFS_THRIFT" hidden="1">"c25142"</definedName>
    <definedName name="IQ_OTHER_ASSETS_GVA_RECOVERIES_THRIFT" hidden="1">"c25165"</definedName>
    <definedName name="IQ_OTHER_ASSETS_GVA_THRIFT" hidden="1">"c24893"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SVA_PROVISIONS_TRANSFERS_FROM_GVA_TOTAL_THRIFT" hidden="1">"c25196"</definedName>
    <definedName name="IQ_OTHER_ASSETS_THRIFT" hidden="1">"c24892"</definedName>
    <definedName name="IQ_OTHER_ASSETS_TOTAL_FFIEC" hidden="1">"c12841"</definedName>
    <definedName name="IQ_OTHER_ASSETS_UTI" hidden="1">"c866"</definedName>
    <definedName name="IQ_OTHER_BALANCE_CHANGES_OTHER_MORTGAGE_BACKED_SEC_THRIFT" hidden="1">"c25316"</definedName>
    <definedName name="IQ_OTHER_BALANCE_CHANGES_PASS_THROUGH_MORTGAGE_BACKED_SEC_THRIFT" hidden="1">"c25313"</definedName>
    <definedName name="IQ_OTHER_BANK_OWNED_LIFE_INSURANCE_THRIFT" hidden="1">"c24886"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BORROWINGS_AMOUNTS_NETTED_THRIFT" hidden="1">"c25546"</definedName>
    <definedName name="IQ_OTHER_BORROWINGS_LESS_THAN_1_YR_TOTAL_ASSETS_THRIFT" hidden="1">"c25705"</definedName>
    <definedName name="IQ_OTHER_BORROWINGS_LEVEL_1_THRIFT" hidden="1">"c25542"</definedName>
    <definedName name="IQ_OTHER_BORROWINGS_LEVEL_2_THRIFT" hidden="1">"c25543"</definedName>
    <definedName name="IQ_OTHER_BORROWINGS_LEVEL_3_THRIFT" hidden="1">"c25544"</definedName>
    <definedName name="IQ_OTHER_BORROWINGS_THRIFT" hidden="1">"c24904"</definedName>
    <definedName name="IQ_OTHER_BORROWINGS_TOTAL_AFTER_NETTING_THRIFT" hidden="1">"c25547"</definedName>
    <definedName name="IQ_OTHER_BORROWINGS_TOTAL_BEFORE_NETTING_THRIFT" hidden="1">"c25545"</definedName>
    <definedName name="IQ_OTHER_BROKERED_TIME_DEPOSITS_THRIFT" hidden="1">"c25006"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CM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CM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MON_PREFERRED_STOCKS_ALL_OTHER_ACCOUNTS_THRIFT" hidden="1">"c25434"</definedName>
    <definedName name="IQ_OTHER_COMMON_PREFERRED_STOCKS_EMPLOYEE_BENEFIT_RETIREMENT_RELATED_ACCOUNTS_THRIFT" hidden="1">"c25418"</definedName>
    <definedName name="IQ_OTHER_COMMON_PREFERRED_STOCKS_PERSONAL_TRUST_AGENCY_INV_MANAGEMENT_ACCOUNTS_THRIFT" hidden="1">"c25402"</definedName>
    <definedName name="IQ_OTHER_COMPREHENSIVE_INCOME_FDIC" hidden="1">"c6503"</definedName>
    <definedName name="IQ_OTHER_COMPREHENSIVE_INCOME_FFIEC" hidden="1">"c12970"</definedName>
    <definedName name="IQ_OTHER_COMPREHENSIVE_INCOME_SAVINGS_ASSOCIATION_THRIFT" hidden="1">"c25016"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GROSS_LOANS_THRIFT" hidden="1">"c25728"</definedName>
    <definedName name="IQ_OTHER_CONSTRUCTION_LOANS_NON_ACCRUAL_FFIEC" hidden="1">"c13312"</definedName>
    <definedName name="IQ_OTHER_CONSTRUCTION_LOANS_RISK_BASED_CAPITAL_THRIFT" hidden="1">"c25713"</definedName>
    <definedName name="IQ_OTHER_CONSTRUCTION_LOANS_UNUSED_FFIEC" hidden="1">"c13245"</definedName>
    <definedName name="IQ_OTHER_CONSTRUCTION_RISK_BASED_FFIEC" hidden="1">"c13424"</definedName>
    <definedName name="IQ_OTHER_CONSUMER_INC_LEASE_RECEIVABLES_THRIFT" hidden="1">"c24865"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ONTINGENT_LIABILITIES_THRIFT" hidden="1">"c25621"</definedName>
    <definedName name="IQ_OTHER_CREDIT_CARD_LINES_UNUSED_FFIEC" hidden="1">"c25863"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ADJUSTED_ASSETS_THRIFT" hidden="1">"c25034"</definedName>
    <definedName name="IQ_OTHER_DEDUCTIONS_LEVERAGE_RATIO_FFIEC" hidden="1">"c13158"</definedName>
    <definedName name="IQ_OTHER_DEDUCTIONS_T1_THRIFT" hidden="1">"c25025"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LIGIBLE_0_PCT_RISK_WEIGHT_THRIFT" hidden="1">"c25054"</definedName>
    <definedName name="IQ_OTHER_ELIGIBLE_20_PCT_RISK_WEIGHT_THRIFT" hidden="1">"c25061"</definedName>
    <definedName name="IQ_OTHER_ELIGIBLE_50_PCT_RISK_WEIGHT_THRIFT" hidden="1">"c25068"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ONENTS_THRIFT" hidden="1">"c24924"</definedName>
    <definedName name="IQ_OTHER_EQUITY_CAPITAL_COMPS_FFIEC" hidden="1">"c12880"</definedName>
    <definedName name="IQ_OTHER_EQUITY_CM" hidden="1">"c888"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INSTRUMENTS_T2_THRIFT" hidden="1">"c25042"</definedName>
    <definedName name="IQ_OTHER_EQUITY_INV_NOT_CARRIED_FV_THRIFT" hidden="1">"c24881"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EES_CHARGES_THRIFT" hidden="1">"c24768"</definedName>
    <definedName name="IQ_OTHER_FIDUCIARY_ACCOUNTS_INC_THRIFT" hidden="1">"c24808"</definedName>
    <definedName name="IQ_OTHER_FIDUCIARY_ACCOUNTS_MANAGED_ASSETS_THRIFT" hidden="1">"c25355"</definedName>
    <definedName name="IQ_OTHER_FIDUCIARY_ACCOUNTS_NONMANAGED_ASSETS_THRIFT" hidden="1">"c25376"</definedName>
    <definedName name="IQ_OTHER_FIDUCIARY_ACCOUNTS_NUMBER_MANAGED_ACCOUNTS_THRIFT" hidden="1">"c25366"</definedName>
    <definedName name="IQ_OTHER_FIDUCIARY_ACCOUNTS_NUMBER_NONMANAGED_ACCOUNTS_THRIFT" hidden="1">"c25388"</definedName>
    <definedName name="IQ_OTHER_FIDUCIARY_ACCOUNTS_RELATED_SERVICES_GROSS_LOSSES_MANAGED_ACCOUNTS_THRIFT" hidden="1">"c25464"</definedName>
    <definedName name="IQ_OTHER_FIDUCIARY_ACCOUNTS_RELATED_SERVICES_GROSS_LOSSES_NONMANAGED_ACCOUNTS_THRIFT" hidden="1">"c25469"</definedName>
    <definedName name="IQ_OTHER_FIDUCIARY_ACCOUNTS_RELATED_SERVICES_RECOVERIES_THRIFT" hidden="1">"c25474"</definedName>
    <definedName name="IQ_OTHER_FIDUCIARY_RELATED_SERVICES_INC_THRIFT" hidden="1">"c24810"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CM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CM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SURANCE_PREMIUMS_FFIEC" hidden="1">"c13071"</definedName>
    <definedName name="IQ_OTHER_INT_EARNING_DEPOSITS_THRIFT" hidden="1">"c24820"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CM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TANGIBLE_FDIC" hidden="1">"c6337"</definedName>
    <definedName name="IQ_OTHER_INV" hidden="1">"c914"</definedName>
    <definedName name="IQ_OTHER_INV_SEC_INV_SEC_THRIFT" hidden="1">"c25675"</definedName>
    <definedName name="IQ_OTHER_INV_SEC_THRIFT" hidden="1">"c24826"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CM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CM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CM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CM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DEFERRED_INCOME_THRIFT" hidden="1">"c24912"</definedName>
    <definedName name="IQ_OTHER_LIABILITIES_FDIC" hidden="1">"c6347"</definedName>
    <definedName name="IQ_OTHER_LIABILITIES_FFIEC" hidden="1">"c12872"</definedName>
    <definedName name="IQ_OTHER_LIABILITIES_THRIFT" hidden="1">"c24905"</definedName>
    <definedName name="IQ_OTHER_LIABILITIES_TOTAL_FFIEC" hidden="1">"c12869"</definedName>
    <definedName name="IQ_OTHER_LINES_CREDIT_THRIFT" hidden="1">"c25611"</definedName>
    <definedName name="IQ_OTHER_LL_REC_FFIEC" hidden="1">"c12894"</definedName>
    <definedName name="IQ_OTHER_LOANS" hidden="1">"c945"</definedName>
    <definedName name="IQ_OTHER_LOANS_CHARGE_OFFS_FDIC" hidden="1">"c6601"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FOREIGN_FDIC" hidden="1">"c6446"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EASES_FDIC" hidden="1">"c6322"</definedName>
    <definedName name="IQ_OTHER_LOANS_LEASES_GROSS_LOANS_THRIFT" hidden="1">"c25735"</definedName>
    <definedName name="IQ_OTHER_LOANS_LEASES_RISK_BASED_CAPITAL_THRIFT" hidden="1">"c25720"</definedName>
    <definedName name="IQ_OTHER_LOANS_LL_REC_DOM_FFIEC" hidden="1">"c12914"</definedName>
    <definedName name="IQ_OTHER_LOANS_NET_CHARGE_OFFS_FDIC" hidden="1">"c6639"</definedName>
    <definedName name="IQ_OTHER_LOANS_NON_ACCRUAL_FFIEC" hidden="1">"c13327"</definedName>
    <definedName name="IQ_OTHER_LOANS_RECOVERIES_FDIC" hidden="1">"c6620"</definedName>
    <definedName name="IQ_OTHER_LOANS_RISK_BASED_FFIEC" hidden="1">"c13435"</definedName>
    <definedName name="IQ_OTHER_LOANS_TOTAL_FDIC" hidden="1">"c6432"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CM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EXCLUDING_BONDS_THRIFT" hidden="1">"c24832"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HRIFT" hidden="1">"c24835"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_NINT_INCOME_THRIFT" hidden="1">"c24780"</definedName>
    <definedName name="IQ_OTHER_NON_INT_ALLOCATIONS_FFIEC" hidden="1">"c13065"</definedName>
    <definedName name="IQ_OTHER_NON_INT_EXP" hidden="1">"c953"</definedName>
    <definedName name="IQ_OTHER_NON_INT_EXP_FDIC" hidden="1">"c6578"</definedName>
    <definedName name="IQ_OTHER_NON_INT_EXP_FFIEC" hidden="1">"c13027"</definedName>
    <definedName name="IQ_OTHER_NON_INT_EXP_THRIFT" hidden="1">"c24792"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INT_INC_OPERATING_INC_FFIEC" hidden="1">"c13392"</definedName>
    <definedName name="IQ_OTHER_NON_INT_INCOME_ADJUSTED_OPERATING_INCOME_THRIFT" hidden="1">"c25691"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CM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CM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NOTES_BONDS_ALL_OTHER_ACCOUNTS_THRIFT" hidden="1">"c25432"</definedName>
    <definedName name="IQ_OTHER_NOTES_BONDS_EMPLOYEE_BENEFIT_RETIREMENT_RELATED_ACCOUNTS_THRIFT" hidden="1">"c25416"</definedName>
    <definedName name="IQ_OTHER_NOTES_BONDS_PERSONAL_TRUST_AGENCY_INV_MANAGEMENT_ACCOUNTS_THRIFT" hidden="1">"c25400"</definedName>
    <definedName name="IQ_OTHER_OFF_BS_ITEMS_FFIEC" hidden="1">"c13126"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CM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CM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CM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CM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ERATING_EXPENSES_ADJUSTED_OPERATING_INCOME_THRIFT" hidden="1">"c25687"</definedName>
    <definedName name="IQ_OTHER_OPERATING_EXPENSES_AVG_ASSETS_THRIFT" hidden="1">"c25664"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"c24739"</definedName>
    <definedName name="IQ_OTHER_PASS_THROUGH_THRIFT" hidden="1">"c24831"</definedName>
    <definedName name="IQ_OTHER_PC_WRITTEN" hidden="1">"c1006"</definedName>
    <definedName name="IQ_OTHER_PML_SECURED_FIRST_LIEN_1_4_DWELLING_UNITS_DUE_30_89_THRIFT" hidden="1">"c25242"</definedName>
    <definedName name="IQ_OTHER_PML_SECURED_FIRST_LIEN_1_4_DWELLING_UNITS_DUE_90_THRIFT" hidden="1">"c25263"</definedName>
    <definedName name="IQ_OTHER_PML_SECURED_FIRST_LIEN_1_4_DWELLING_UNITS_NON_ACCRUAL_THRIFT" hidden="1">"c25284"</definedName>
    <definedName name="IQ_OTHER_PML_SECURED_JUNIOR_LIEN_1_4_DWELLING_UNITS_DUE_30_89_THRIFT" hidden="1">"c25243"</definedName>
    <definedName name="IQ_OTHER_PML_SECURED_JUNIOR_LIEN_1_4_DWELLING_UNITS_DUE_90_THRIFT" hidden="1">"c25264"</definedName>
    <definedName name="IQ_OTHER_PML_SECURED_JUNIOR_LIEN_1_4_DWELLING_UNITS_NON_ACCRUAL_THRIFT" hidden="1">"c25285"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NTAL" hidden="1">"c26971"</definedName>
    <definedName name="IQ_OTHER_REPOSSESSED_ASSETS_ADJUSTED_NCOS_TOTAL_THRIFT" hidden="1">"c25224"</definedName>
    <definedName name="IQ_OTHER_REPOSSESSED_ASSETS_GVA_CHARGE_OFFS_THRIFT" hidden="1">"c25139"</definedName>
    <definedName name="IQ_OTHER_REPOSSESSED_ASSETS_SVA_PROVISIONS_TRANSFERS_FROM_GVA_TOTAL_THRIFT" hidden="1">"c25193"</definedName>
    <definedName name="IQ_OTHER_RESIDUAL_INTERESTS_THRIFT" hidden="1">"c24940"</definedName>
    <definedName name="IQ_OTHER_REV" hidden="1">"c1010"</definedName>
    <definedName name="IQ_OTHER_REV_BR" hidden="1">"c1011"</definedName>
    <definedName name="IQ_OTHER_REV_CM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CM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ERVICE_CHARGES_COMM_FEE_DOM_FFIEC" hidden="1">"c25822"</definedName>
    <definedName name="IQ_OTHER_SHORT_TERM_OBLIGATIONS_ALL_OTHER_ACCOUNTS_THRIFT" hidden="1">"c25431"</definedName>
    <definedName name="IQ_OTHER_SHORT_TERM_OBLIGATIONS_EMPLOYEE_BENEFIT_RETIREMENT_RELATED_ACCOUNTS_THRIFT" hidden="1">"c25415"</definedName>
    <definedName name="IQ_OTHER_SHORT_TERM_OBLIGATIONS_PERSONAL_TRUST_AGENCY_INV_MANAGEMENT_ACCOUNTS_THRIFT" hidden="1">"c25399"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EMP_IMPAIR_LOSS_HTM_AFS_FFIEC" hidden="1">"c25845"</definedName>
    <definedName name="IQ_OTHER_TIME_DEPOSITS_THRIFT" hidden="1">"c25569"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CM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CM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ALANCE_CONTRACTUAL_PURCHASED_CREDIT_IMPAIRED_LOANS_THRIFT" hidden="1">"c25237"</definedName>
    <definedName name="IQ_OUTSTANDING_BS_DATE" hidden="1">"c2128"</definedName>
    <definedName name="IQ_OUTSTANDING_CHECKS_DRAWN_AGAINST_FHLBS_FEDERAL_RESERVE_BANKS_THRIFT" hidden="1">"c25571"</definedName>
    <definedName name="IQ_OUTSTANDING_COMMITMENTS_LOANS_CLOSED_LOANS_IN_PROCESS_MORTGAGE_CONSTRUCTION_LOANS_THRIFT" hidden="1">"c25591"</definedName>
    <definedName name="IQ_OUTSTANDING_COMMITMENTS_LOANS_CLOSED_LOANS_IN_PROCESS_NON_MORTGAGE_LOANS_THRIFT" hidden="1">"c25593"</definedName>
    <definedName name="IQ_OUTSTANDING_COMMITMENTS_LOANS_CLOSED_LOANS_IN_PROCESS_OTHER_MORTGAGE_LOANS_THRIFT" hidden="1">"c25592"</definedName>
    <definedName name="IQ_OUTSTANDING_COMMITMENTS_ORIGINATE_MORTGAGE_LOANS_SECURED_1_4_DWELLING_UNITS_THRIFT" hidden="1">"c25595"</definedName>
    <definedName name="IQ_OUTSTANDING_COMMITMENTS_ORIGINATE_MORTGAGE_LOANS_SECURED_ALL_OTHER_RE_THRIFT" hidden="1">"c25597"</definedName>
    <definedName name="IQ_OUTSTANDING_COMMITMENTS_ORIGINATE_MORTGAGE_LOANS_SECURED_MULTIFAMILY_5_MORE_DWELLING_UNITS_THRIFT" hidden="1">"c25596"</definedName>
    <definedName name="IQ_OUTSTANDING_COMMITMENTS_ORIGINATE_MORTGAGE_LOANS_SECURED_RE_THRIFT" hidden="1">"c25594"</definedName>
    <definedName name="IQ_OUTSTANDING_COMMITMENTS_ORIGINATE_NON_MORTGAGE_LOANS_THRIFT" hidden="1">"c25598"</definedName>
    <definedName name="IQ_OUTSTANDING_COMMITMENTS_PURCHASE_INV_SEC_THRIFT" hidden="1">"c25603"</definedName>
    <definedName name="IQ_OUTSTANDING_COMMITMENTS_PURCHASE_LOANS_THRIFT" hidden="1">"c25599"</definedName>
    <definedName name="IQ_OUTSTANDING_COMMITMENTS_PURCHASE_MORTGAGE_BACKED_SEC_THRIFT" hidden="1">"c25601"</definedName>
    <definedName name="IQ_OUTSTANDING_COMMITMENTS_SELL_INV_SEC_THRIFT" hidden="1">"c25604"</definedName>
    <definedName name="IQ_OUTSTANDING_COMMITMENTS_SELL_LOANS_THRIFT" hidden="1">"c25600"</definedName>
    <definedName name="IQ_OUTSTANDING_COMMITMENTS_SELL_MORTGAGE_BACKED_SEC_THRIFT" hidden="1">"c25602"</definedName>
    <definedName name="IQ_OUTSTANDING_COMMITMENTS_UNDISBURSED_BALANCE_LOANS_CLOSED_THRIFT" hidden="1">"c25590"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DJUSTED_OPERATING_INCOME_THRIFT" hidden="1">"c25684"</definedName>
    <definedName name="IQ_OVERHEAD_EXP_AVG_ASSETS_FFIEC" hidden="1">"c13361"</definedName>
    <definedName name="IQ_OVERHEAD_EXP_AVG_ASSETS_THRIFT" hidden="1">"c25652"</definedName>
    <definedName name="IQ_OVERHEAD_EXP_REV_FFIEC" hidden="1">"c13494"</definedName>
    <definedName name="IQ_OVERHEAD_EXP_REVENUES_THRIFT" hidden="1">"c25683"</definedName>
    <definedName name="IQ_OVERHEAD_LESS_NON_INT_INCOME_ADJUSTED_OPERATING_INCOME_THRIFT" hidden="1">"c25692"</definedName>
    <definedName name="IQ_OVERHEAD_LESS_NON_INT_INCOME_AVG_ASSETS_THRIFT" hidden="1">"c25665"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S_THROUGH_MBS_THRIFT" hidden="1">"c24829"</definedName>
    <definedName name="IQ_PASSBOOK_ACCOUNTS_INC_NONDEMAND_ESCROWS_THRIFT" hidden="1">"c25000"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 hidden="1">"c13416"</definedName>
    <definedName name="IQ_PAST_DUE_LOANS_GROSS_LOANS_THRIFT" hidden="1">"c25737"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"c20392"</definedName>
    <definedName name="IQ_PC_GAAP_COMBINED_RATIO_EXCL_CL" hidden="1">"c20393"</definedName>
    <definedName name="IQ_PC_GAAP_EXPENSE_RATIO" hidden="1">"c20391"</definedName>
    <definedName name="IQ_PC_GAAP_LOSS" hidden="1">"c20390"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ASSETS_TEST_THRIFT" hidden="1">"c25587"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FFIEC" hidden="1">"c13645"</definedName>
    <definedName name="IQ_PERIODDATE_IS" hidden="1">"c1034"</definedName>
    <definedName name="IQ_PERIODDATE_THRIFT" hidden="1">"c25897"</definedName>
    <definedName name="IQ_PERIODLENGTH_AP" hidden="1">"c11746"</definedName>
    <definedName name="IQ_PERIODLENGTH_CF" hidden="1">"c1502"</definedName>
    <definedName name="IQ_PERIODLENGTH_IS" hidden="1">"c1503"</definedName>
    <definedName name="IQ_PERMANENT_1_4_DWELLING_UNITS_ALL_OTHER_SECURED_FIRST_LIENS_THRIFT" hidden="1">"c24844"</definedName>
    <definedName name="IQ_PERMANENT_1_4_DWELLING_UNITS_ALL_OTHER_SECURED_JUNIOR_LIENS_THRIFT" hidden="1">"c24845"</definedName>
    <definedName name="IQ_PERMANENT_1_4_DWELLING_UNITS_REVOLVING_OPEN_END_LOANS_THRIFT" hidden="1">"c24843"</definedName>
    <definedName name="IQ_PERMANENT_LAND_THRIFT" hidden="1">"c24848"</definedName>
    <definedName name="IQ_PERMANENT_LOANS_SECURED_1_4_DWELLING_UNITS_FORECLOSED_DURING_QUARTER_THRIFT" hidden="1">"c25232"</definedName>
    <definedName name="IQ_PERMANENT_LOANS_SECURED_LAND_FORECLOSED_DURING_QUARTER_THRIFT" hidden="1">"c25235"</definedName>
    <definedName name="IQ_PERMANENT_LOANS_SECURED_MULTIFAMILY_5_MORE_DWELLING_UNITS_FORECLOSED_DURING_QUARTER_THRIFT" hidden="1">"c25233"</definedName>
    <definedName name="IQ_PERMANENT_LOANS_SECURED_NONRES_EXCEPT_LAND_FORECLOSED_DURING_QUARTER_THRIFT" hidden="1">"c25234"</definedName>
    <definedName name="IQ_PERMANENT_MORTGAGE_LOANS_THRIFT" hidden="1">"c24842"</definedName>
    <definedName name="IQ_PERMANENT_MULTIFAMILY_5_MORE_DWELLING_UNITS_THRIFT" hidden="1">"c24846"</definedName>
    <definedName name="IQ_PERMANENT_NONRES_PROPERTY_EXCEPT_LAND_THRIFT" hidden="1">"c24847"</definedName>
    <definedName name="IQ_PERPETUAL_PREF_STOCK_THRIFT" hidden="1">"c24914"</definedName>
    <definedName name="IQ_PERSON_INCOME" hidden="1">"c20954"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CURRENT_TAXES" hidden="1">"c20956"</definedName>
    <definedName name="IQ_PERSONAL_DISPOSABLE_INCOME" hidden="1">"c20957"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ASSETS" hidden="1">"c20958"</definedName>
    <definedName name="IQ_PERSONAL_INCOME_ASSETS_DIVIDEND" hidden="1">"c20959"</definedName>
    <definedName name="IQ_PERSONAL_INCOME_ASSETS_INTEREST" hidden="1">"c20960"</definedName>
    <definedName name="IQ_PERSONAL_INCOME_CHAINED_DOLLARS" hidden="1">"c20961"</definedName>
    <definedName name="IQ_PERSONAL_INCOME_COMPENSATION" hidden="1">"c20962"</definedName>
    <definedName name="IQ_PERSONAL_INCOME_EMPLOYER_GOVT_INSURANCE_CONTRIBUTION" hidden="1">"c20963"</definedName>
    <definedName name="IQ_PERSONAL_INCOME_EMPLOYER_PENSION_CONTRIBUTION" hidden="1">"c20964"</definedName>
    <definedName name="IQ_PERSONAL_INCOME_EX_TRANSFER_RECEIPTS" hidden="1">"c20965"</definedName>
    <definedName name="IQ_PERSONAL_INCOME_FC" hidden="1">"c7823"</definedName>
    <definedName name="IQ_PERSONAL_INCOME_GOVT_CONTRIBUTION_SOCIAL_INS" hidden="1">"c20966"</definedName>
    <definedName name="IQ_PERSONAL_INCOME_GOVT_SOCIAL_BENEFITS" hidden="1">"c20967"</definedName>
    <definedName name="IQ_PERSONAL_INCOME_GOVT_SOCIAL_BENEFITS_FAMILY" hidden="1">"c20968"</definedName>
    <definedName name="IQ_PERSONAL_INCOME_GOVT_SOCIAL_BENEFITS_OTHER" hidden="1">"c20969"</definedName>
    <definedName name="IQ_PERSONAL_INCOME_GOVT_SOCIAL_BENEFITS_UNEMPLOYMENT" hidden="1">"c20970"</definedName>
    <definedName name="IQ_PERSONAL_INCOME_GOVT_SOCIAL_BENEFITS_VETERANS" hidden="1">"c20971"</definedName>
    <definedName name="IQ_PERSONAL_INCOME_GOVT_SOCIAL_BENEFITS_WELFARE" hidden="1">"c20972"</definedName>
    <definedName name="IQ_PERSONAL_INCOME_PCT_CHANGE" hidden="1">"c20973"</definedName>
    <definedName name="IQ_PERSONAL_INCOME_PCT_CHANGE_CHAINED_DOLLARS" hidden="1">"c20974"</definedName>
    <definedName name="IQ_PERSONAL_INCOME_PER_CAPITA" hidden="1">"c20975"</definedName>
    <definedName name="IQ_PERSONAL_INCOME_PER_CAPITA_CHAINED_DOLLARS" hidden="1">"c20976"</definedName>
    <definedName name="IQ_PERSONAL_INCOME_POP" hidden="1">"c7163"</definedName>
    <definedName name="IQ_PERSONAL_INCOME_POP_FC" hidden="1">"c8043"</definedName>
    <definedName name="IQ_PERSONAL_INCOME_PROPIETOR" hidden="1">"c20977"</definedName>
    <definedName name="IQ_PERSONAL_INCOME_PROPIETOR_FARM" hidden="1">"c20978"</definedName>
    <definedName name="IQ_PERSONAL_INCOME_PROPIETOR_NONFARM" hidden="1">"c20979"</definedName>
    <definedName name="IQ_PERSONAL_INCOME_RENTAL" hidden="1">"c20980"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TRANSFER_RECEIPTS" hidden="1">"c20981"</definedName>
    <definedName name="IQ_PERSONAL_INCOME_TRANSFER_RECEIPTS_OTHER" hidden="1">"c20982"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WAGE_SUPPLEMENTS" hidden="1">"c20983"</definedName>
    <definedName name="IQ_PERSONAL_INCOME_WAGES" hidden="1">"c20984"</definedName>
    <definedName name="IQ_PERSONAL_INCOME_WAGES_GOVT" hidden="1">"c20985"</definedName>
    <definedName name="IQ_PERSONAL_INCOME_WAGES_PRIVATE_INDUSTRY" hidden="1">"c20986"</definedName>
    <definedName name="IQ_PERSONAL_INCOME_YOY" hidden="1">"c7383"</definedName>
    <definedName name="IQ_PERSONAL_INCOME_YOY_FC" hidden="1">"c8263"</definedName>
    <definedName name="IQ_PERSONAL_INTEREST_PAYMENTS" hidden="1">"c20987"</definedName>
    <definedName name="IQ_PERSONAL_OUTLAYS" hidden="1">"c20988"</definedName>
    <definedName name="IQ_PERSONAL_SAVINGS" hidden="1">"c20989"</definedName>
    <definedName name="IQ_PERSONAL_SAVINGS_PCT_INCOME" hidden="1">"c20990"</definedName>
    <definedName name="IQ_PERSONAL_TRANSFER_PAYMENTS" hidden="1">"c20991"</definedName>
    <definedName name="IQ_PERSONAL_TRANSFER_PAYMENTS_GOVT" hidden="1">"c20992"</definedName>
    <definedName name="IQ_PERSONAL_TRANSFER_PAYMENTS_WORLD" hidden="1">"c20993"</definedName>
    <definedName name="IQ_PERSONAL_TRUST_AGENCY_ACCOUNTS_GROSS_LOSSES_MANAGED_ACCOUNTS_THRIFT" hidden="1">"c25461"</definedName>
    <definedName name="IQ_PERSONAL_TRUST_AGENCY_ACCOUNTS_GROSS_LOSSES_NONMANAGED_ACCOUNTS_THRIFT" hidden="1">"c25466"</definedName>
    <definedName name="IQ_PERSONAL_TRUST_AGENCY_ACCOUNTS_INC_THRIFT" hidden="1">"c24801"</definedName>
    <definedName name="IQ_PERSONAL_TRUST_AGENCY_ACCOUNTS_MANAGED_ASSETS_THRIFT" hidden="1">"c25347"</definedName>
    <definedName name="IQ_PERSONAL_TRUST_AGENCY_ACCOUNTS_NONMANAGED_ASSETS_THRIFT" hidden="1">"c25368"</definedName>
    <definedName name="IQ_PERSONAL_TRUST_AGENCY_ACCOUNTS_NUMBER_MANAGED_ACCOUNTS_THRIFT" hidden="1">"c25358"</definedName>
    <definedName name="IQ_PERSONAL_TRUST_AGENCY_ACCOUNTS_NUMBER_NONMANAGED_ACCOUNTS_THRIFT" hidden="1">"c25380"</definedName>
    <definedName name="IQ_PERSONAL_TRUST_AGENCY_ACCOUNTS_RECOVERIES_THRIFT" hidden="1">"c25471"</definedName>
    <definedName name="IQ_PERSONNEL_EXP_ADJUSTED_OPERATING_INCOME_THRIFT" hidden="1">"c25685"</definedName>
    <definedName name="IQ_PERSONNEL_EXP_AVG_ASSETS_FFIEC" hidden="1">"c13371"</definedName>
    <definedName name="IQ_PERSONNEL_EXP_AVG_ASSETS_THRIFT" hidden="1">"c25662"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LOANS_THRIFT" hidden="1">"c24936"</definedName>
    <definedName name="IQ_PLEDGED_SEC_INVEST_SECURITIES_FFIEC" hidden="1">"c13467"</definedName>
    <definedName name="IQ_PLEDGED_SECURITIES_FDIC" hidden="1">"c6401"</definedName>
    <definedName name="IQ_PLEDGED_SECURITIES_FFIEC" hidden="1">"c24743"</definedName>
    <definedName name="IQ_PLEDGED_TRADING_ASSETS_THRIFT" hidden="1">"c24937"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L_SECURED_LAND_DUE_30_89_THRIFT" hidden="1">"c25246"</definedName>
    <definedName name="IQ_PML_SECURED_LAND_DUE_90_THRIFT" hidden="1">"c25267"</definedName>
    <definedName name="IQ_PML_SECURED_LAND_NON_ACCRUAL_THRIFT" hidden="1">"c25288"</definedName>
    <definedName name="IQ_PML_SECURED_MULTIFAMILY_5_MORE_DWELLING_UNITS_DUE_30_89_THRIFT" hidden="1">"c25244"</definedName>
    <definedName name="IQ_PML_SECURED_MULTIFAMILY_5_MORE_DWELLING_UNITS_DUE_90_THRIFT" hidden="1">"c25265"</definedName>
    <definedName name="IQ_PML_SECURED_MULTIFAMILY_5_MORE_DWELLING_UNITS_NON_ACCRUAL_THRIFT" hidden="1">"c25286"</definedName>
    <definedName name="IQ_PML_SECURED_NONRES_PROPERTY_EXCEPT_LAND_DUE_30_89_THRIFT" hidden="1">"c25245"</definedName>
    <definedName name="IQ_PML_SECURED_NONRES_PROPERTY_EXCEPT_LAND_DUE_90_THRIFT" hidden="1">"c25266"</definedName>
    <definedName name="IQ_PML_SECURED_NONRES_PROPERTY_EXCEPT_LAND_NON_ACCRUAL_THRIFT" hidden="1">"c25287"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PULATION" hidden="1">"c20994"</definedName>
    <definedName name="IQ_POPULATION_FC" hidden="1">"c20995"</definedName>
    <definedName name="IQ_PORTFOLIO_INVESTMENT_NET" hidden="1">"c20996"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"c16170"</definedName>
    <definedName name="IQ_POSTPAID_SUBS" hidden="1">"c16167"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CIQ_COL" hidden="1">"c11711"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CM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CM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CM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DEPOSITS_THRIFT" hidden="1">"c24996"</definedName>
    <definedName name="IQ_PREFERRED_FDIC" hidden="1">"c6349"</definedName>
    <definedName name="IQ_PREFERRED_LIST" hidden="1">"c13506"</definedName>
    <definedName name="IQ_PREFERRED_STOCK_DIVIDENDS_DECLARED_SAVINGS_ASSOCIATION_THRIFT" hidden="1">"c25010"</definedName>
    <definedName name="IQ_PREMISES_EQUIPMENT_FDIC" hidden="1">"c6577"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"c16169"</definedName>
    <definedName name="IQ_PREPAID_EXP" hidden="1">"c1068"</definedName>
    <definedName name="IQ_PREPAID_EXPEN" hidden="1">"c1418"</definedName>
    <definedName name="IQ_PREPAID_SUBS" hidden="1">"c16166"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OPERATING_INC_AVG_ASSETS_FFIEC" hidden="1">"c13365"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_CIQ_COL" hidden="1">"c11677"</definedName>
    <definedName name="IQ_PRICE_VOLATILITY_HIGH_CIQ_COL" hidden="1">"c11678"</definedName>
    <definedName name="IQ_PRICE_VOLATILITY_LOW_CIQ_COL" hidden="1">"c11679"</definedName>
    <definedName name="IQ_PRICE_VOLATILITY_MEDIAN_CIQ_COL" hidden="1">"c11680"</definedName>
    <definedName name="IQ_PRICE_VOLATILITY_NUM_CIQ_COL" hidden="1">"c11681"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OR_PERIOD_ADJUSTMENTS_SAVINGS_ASSOCIATION_THRIFT" hidden="1">"c25017"</definedName>
    <definedName name="IQ_PRIVATE_CONST_TOTAL_APR_FC_UNUSED" hidden="1">"c8559"</definedName>
    <definedName name="IQ_PRIVATE_CONST_TOTAL_APR_FC_UNUSED_UNUSED_UNUSED" hidden="1">"c8559"</definedName>
    <definedName name="IQ_PRIVATE_CONST_TOTAL_APR_UNUSED" hidden="1">"c7679"</definedName>
    <definedName name="IQ_PRIVATE_CONST_TOTAL_APR_UNUSED_UNUSED_UNUSED" hidden="1">"c7679"</definedName>
    <definedName name="IQ_PRIVATE_CONST_TOTAL_FC_UNUSED" hidden="1">"c7899"</definedName>
    <definedName name="IQ_PRIVATE_CONST_TOTAL_FC_UNUSED_UNUSED_UNUSED" hidden="1">"c7899"</definedName>
    <definedName name="IQ_PRIVATE_CONST_TOTAL_POP_FC_UNUSED" hidden="1">"c8119"</definedName>
    <definedName name="IQ_PRIVATE_CONST_TOTAL_POP_FC_UNUSED_UNUSED_UNUSED" hidden="1">"c8119"</definedName>
    <definedName name="IQ_PRIVATE_CONST_TOTAL_POP_UNUSED" hidden="1">"c7239"</definedName>
    <definedName name="IQ_PRIVATE_CONST_TOTAL_POP_UNUSED_UNUSED_UNUSED" hidden="1">"c7239"</definedName>
    <definedName name="IQ_PRIVATE_CONST_TOTAL_UNUSED" hidden="1">"c7019"</definedName>
    <definedName name="IQ_PRIVATE_CONST_TOTAL_UNUSED_UNUSED_UNUSED" hidden="1">"c7019"</definedName>
    <definedName name="IQ_PRIVATE_CONST_TOTAL_YOY_FC_UNUSED" hidden="1">"c8339"</definedName>
    <definedName name="IQ_PRIVATE_CONST_TOTAL_YOY_FC_UNUSED_UNUSED_UNUSED" hidden="1">"c8339"</definedName>
    <definedName name="IQ_PRIVATE_CONST_TOTAL_YOY_UNUSED" hidden="1">"c7459"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FC_UNUSED_UNUSED_UNUSED" hidden="1">"c8535"</definedName>
    <definedName name="IQ_PRIVATE_RES_CONST_REAL_APR_UNUSED" hidden="1">"c7655"</definedName>
    <definedName name="IQ_PRIVATE_RES_CONST_REAL_APR_UNUSED_UNUSED_UNUSED" hidden="1">"c7655"</definedName>
    <definedName name="IQ_PRIVATE_RES_CONST_REAL_FC_UNUSED" hidden="1">"c7875"</definedName>
    <definedName name="IQ_PRIVATE_RES_CONST_REAL_FC_UNUSED_UNUSED_UNUSED" hidden="1">"c7875"</definedName>
    <definedName name="IQ_PRIVATE_RES_CONST_REAL_POP_FC_UNUSED" hidden="1">"c8095"</definedName>
    <definedName name="IQ_PRIVATE_RES_CONST_REAL_POP_FC_UNUSED_UNUSED_UNUSED" hidden="1">"c8095"</definedName>
    <definedName name="IQ_PRIVATE_RES_CONST_REAL_POP_UNUSED" hidden="1">"c7215"</definedName>
    <definedName name="IQ_PRIVATE_RES_CONST_REAL_POP_UNUSED_UNUSED_UNUSED" hidden="1">"c7215"</definedName>
    <definedName name="IQ_PRIVATE_RES_CONST_REAL_UNUSED" hidden="1">"c6995"</definedName>
    <definedName name="IQ_PRIVATE_RES_CONST_REAL_UNUSED_UNUSED_UNUSED" hidden="1">"c6995"</definedName>
    <definedName name="IQ_PRIVATE_RES_CONST_REAL_YOY_FC_UNUSED" hidden="1">"c8315"</definedName>
    <definedName name="IQ_PRIVATE_RES_CONST_REAL_YOY_FC_UNUSED_UNUSED_UNUSED" hidden="1">"c8315"</definedName>
    <definedName name="IQ_PRIVATE_RES_CONST_REAL_YOY_UNUSED" hidden="1">"c7435"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AVG_LOANS_THRIFT" hidden="1">"c25639"</definedName>
    <definedName name="IQ_PROVISION_LL_FFIEC" hidden="1">"c13019"</definedName>
    <definedName name="IQ_PROVISION_LL_INT_BEARING_ASSETS_THRIFT" hidden="1">"c24783"</definedName>
    <definedName name="IQ_PROVISION_LL_NET_LOSSES_THRIFT" hidden="1">"c25640"</definedName>
    <definedName name="IQ_PROVISION_LL_NON_INT_BEARING_ASSETS_THRIFT" hidden="1">"c24784"</definedName>
    <definedName name="IQ_PROVISION_LOAN_LL_AVG_ASSETS_THRIFT" hidden="1">"c25785"</definedName>
    <definedName name="IQ_PROVISION_LOAN_LOSS_AVG_ASSETS_FFIEC" hidden="1">"c18879"</definedName>
    <definedName name="IQ_PROVISION_LOAN_LOSSES_AVG_ASSETS_THRIFT" hidden="1">"c25653"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FC_UNUSED_UNUSED_UNUSED" hidden="1">"c8491"</definedName>
    <definedName name="IQ_PURCHASES_EQUIP_NONRES_SAAR_APR_UNUSED" hidden="1">"c7611"</definedName>
    <definedName name="IQ_PURCHASES_EQUIP_NONRES_SAAR_APR_UNUSED_UNUSED_UNUSED" hidden="1">"c7611"</definedName>
    <definedName name="IQ_PURCHASES_EQUIP_NONRES_SAAR_FC_UNUSED" hidden="1">"c7831"</definedName>
    <definedName name="IQ_PURCHASES_EQUIP_NONRES_SAAR_FC_UNUSED_UNUSED_UNUSED" hidden="1">"c7831"</definedName>
    <definedName name="IQ_PURCHASES_EQUIP_NONRES_SAAR_POP_FC_UNUSED" hidden="1">"c8051"</definedName>
    <definedName name="IQ_PURCHASES_EQUIP_NONRES_SAAR_POP_FC_UNUSED_UNUSED_UNUSED" hidden="1">"c8051"</definedName>
    <definedName name="IQ_PURCHASES_EQUIP_NONRES_SAAR_POP_UNUSED" hidden="1">"c7171"</definedName>
    <definedName name="IQ_PURCHASES_EQUIP_NONRES_SAAR_POP_UNUSED_UNUSED_UNUSED" hidden="1">"c7171"</definedName>
    <definedName name="IQ_PURCHASES_EQUIP_NONRES_SAAR_UNUSED" hidden="1">"c6951"</definedName>
    <definedName name="IQ_PURCHASES_EQUIP_NONRES_SAAR_UNUSED_UNUSED_UNUSED" hidden="1">"c6951"</definedName>
    <definedName name="IQ_PURCHASES_EQUIP_NONRES_SAAR_YOY_FC_UNUSED" hidden="1">"c8271"</definedName>
    <definedName name="IQ_PURCHASES_EQUIP_NONRES_SAAR_YOY_FC_UNUSED_UNUSED_UNUSED" hidden="1">"c8271"</definedName>
    <definedName name="IQ_PURCHASES_EQUIP_NONRES_SAAR_YOY_UNUSED" hidden="1">"c7391"</definedName>
    <definedName name="IQ_PURCHASES_EQUIP_NONRES_SAAR_YOY_UNUSED_UNUSED_UNUSED" hidden="1">"c7391"</definedName>
    <definedName name="IQ_PURCHASES_OTHER_MORTGAGE_BACKED_SEC_THRIFT" hidden="1">"c25314"</definedName>
    <definedName name="IQ_PURCHASES_PASS_THROUGH_MORTGAGE_BACKED_SEC_THRIFT" hidden="1">"c25311"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MULTIFAMILY_RES_MORTGAGE_LOANS_ELIGIBLE_50_PCT_RISK_WEIGHT_THRIFT" hidden="1">"c25065"</definedName>
    <definedName name="IQ_QUALIFYING_SINGLE_FAMILY_RES_MORTGAGE_LOANS_ELIGIBLE_50_PCT_RISK_WEIGHT_THRIFT" hidden="1">"c25064"</definedName>
    <definedName name="IQ_QUALIFYING_SUB_DEBT_REDEEM_PREF_T2_FFIEC" hidden="1">"c13144"</definedName>
    <definedName name="IQ_QUALIFYING_SUB_DEBT_REDEEMABLE_PREFERRED_T2_THRIFT" hidden="1">"c25041"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DWELLING_UNITS_REPOSSESSED_ASSETS_ADJUSTED_NCOS_TOTAL_THRIFT" hidden="1">"c25220"</definedName>
    <definedName name="IQ_RE_1_4_DWELLING_UNITS_REPOSSESSED_ASSETS_GVA_CHARGE_OFFS_THRIFT" hidden="1">"c25135"</definedName>
    <definedName name="IQ_RE_1_4_DWELLING_UNITS_REPOSSESSED_ASSETS_SVA_PROVISIONS_TRANSFERS_FROM_GVA_TOTAL_THRIFT" hidden="1">"c25189"</definedName>
    <definedName name="IQ_RE_1_4_RISK_BASED_FFIEC" hidden="1">"c13418"</definedName>
    <definedName name="IQ_RE_ACQ_SATISFACTION_DEBTS_FFIEC" hidden="1">"c12832"</definedName>
    <definedName name="IQ_RE_ALL_OTHER_ACCOUNTS_THRIFT" hidden="1">"c25436"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CONSTRUCTION_REPOSSESSED_ASSETS_ADJUSTED_NCOS_TOTAL_THRIFT" hidden="1">"c25219"</definedName>
    <definedName name="IQ_RE_CONSTRUCTION_REPOSSESSED_ASSETS_GVA_CHARGE_OFFS_THRIFT" hidden="1">"c25134"</definedName>
    <definedName name="IQ_RE_CONSTRUCTION_REPOSSESSED_ASSETS_SVA_PROVISIONS_TRANSFERS_FROM_GVA_TOTAL_THRIFT" hidden="1">"c25188"</definedName>
    <definedName name="IQ_RE_DEPR_AMORT" hidden="1">"c8750"</definedName>
    <definedName name="IQ_RE_DEPRECIATION" hidden="1">"c16045"</definedName>
    <definedName name="IQ_RE_EMPLOYEE_BENEFIT_RETIREMENT_RELATED_ACCOUNTS_THRIFT" hidden="1">"c25420"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FOREIGN_FFIEC" hidden="1">"c13479"</definedName>
    <definedName name="IQ_RE_GAIN_LOSS_SALE_ASSETS" hidden="1">"c8751"</definedName>
    <definedName name="IQ_RE_HELD_INV_ADJUSTED_NCOS_THRIFT" hidden="1">"c25225"</definedName>
    <definedName name="IQ_RE_HELD_INV_GVA_CHARGE_OFFS_THRIFT" hidden="1">"c25140"</definedName>
    <definedName name="IQ_RE_HELD_INV_SVA_PROVISIONS_TRANSFERS_FROM_GVA_THRIFT" hidden="1">"c25194"</definedName>
    <definedName name="IQ_RE_HELD_INV_THRIFT" hidden="1">"c24878"</definedName>
    <definedName name="IQ_RE_INVEST_FDIC" hidden="1">"c6331"</definedName>
    <definedName name="IQ_RE_LAND_REPOSSESSED_ASSETS_ADJUSTED_NCOS_TOTAL_THRIFT" hidden="1">"c25223"</definedName>
    <definedName name="IQ_RE_LAND_REPOSSESSED_ASSETS_GVA_CHARGE_OFFS_THRIFT" hidden="1">"c25138"</definedName>
    <definedName name="IQ_RE_LAND_REPOSSESSED_ASSETS_SVA_PROVISIONS_TRANSFERS_FROM_GVA_TOTAL_THRIFT" hidden="1">"c25192"</definedName>
    <definedName name="IQ_RE_LOANS_1_4_GROSS_LOANS_FFIEC" hidden="1">"c13397"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DUE_30_89_FFIEC" hidden="1">"c25826"</definedName>
    <definedName name="IQ_RE_LOANS_DUE_90_FFIEC" hidden="1">"c25827"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 hidden="1">"c13396"</definedName>
    <definedName name="IQ_RE_LOANS_NON_ACCRUAL_FFIEC" hidden="1">"c25828"</definedName>
    <definedName name="IQ_RE_LOANS_SECURED_1_4_FAMILY_GROSS_LOANS_THRIFT" hidden="1">"c25722"</definedName>
    <definedName name="IQ_RE_LOANS_SECURED_1_4_FAMILY_RISK_BASED_CAPITAL_THRIFT" hidden="1">"c25707"</definedName>
    <definedName name="IQ_RE_LOANS_SECURED_LAND_GROSS_LOANS_THRIFT" hidden="1">"c25731"</definedName>
    <definedName name="IQ_RE_LOANS_SECURED_LAND_RISK_BASED_CAPITAL_THRIFT" hidden="1">"c25716"</definedName>
    <definedName name="IQ_RE_MAINT_CAPEX" hidden="1">"c8755"</definedName>
    <definedName name="IQ_RE_MINORITY_INTEREST" hidden="1">"c8752"</definedName>
    <definedName name="IQ_RE_MORTGAGES_ALL_OTHER_ACCOUNTS_THRIFT" hidden="1">"c25435"</definedName>
    <definedName name="IQ_RE_MORTGAGES_EMPLOYEE_BENEFIT_RETIREMENT_RELATED_ACCOUNTS_THRIFT" hidden="1">"c25419"</definedName>
    <definedName name="IQ_RE_MORTGAGES_PERSONAL_TRUST_AGENCY_INV_MANAGEMENT_ACCOUNTS_THRIFT" hidden="1">"c25403"</definedName>
    <definedName name="IQ_RE_MULTIFAMILY_5_MORE_DWELLING_UNITS_REPOSSESSED_ASSETS_ADJUSTED_NCOS_TOTAL_THRIFT" hidden="1">"c25221"</definedName>
    <definedName name="IQ_RE_MULTIFAMILY_5_MORE_DWELLING_UNITS_REPOSSESSED_ASSETS_GVA_CHARGE_OFFS_THRIFT" hidden="1">"c25136"</definedName>
    <definedName name="IQ_RE_MULTIFAMILY_5_MORE_DWELLING_UNITS_REPOSSESSED_ASSETS_SVA_PROVISIONS_TRANSFERS_FROM_GVA_TOTAL_THRIFT" hidden="1">"c25190"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NONRES_EXCEPT_LAND_REPOSSESSED_ASSETS_ADJUSTED_NCOS_TOTAL_THRIFT" hidden="1">"c25222"</definedName>
    <definedName name="IQ_RE_NONRES_EXCEPT_LAND_REPOSSESSED_ASSETS_GVA_CHARGE_OFFS_THRIFT" hidden="1">"c25137"</definedName>
    <definedName name="IQ_RE_NONRES_EXCEPT_LAND_REPOSSESSED_ASSETS_SVA_PROVISIONS_TRANSFERS_FROM_GVA_TOTAL_THRIFT" hidden="1">"c25191"</definedName>
    <definedName name="IQ_RE_OTHER_ITEMS" hidden="1">"c8753"</definedName>
    <definedName name="IQ_RE_PERSONAL_TRUST_AGENCY_INV_MANAGEMENT_ACCOUNTS_THRIFT" hidden="1">"c25404"</definedName>
    <definedName name="IQ_RE_RENTAL_EXPENSE" hidden="1">"c16036"</definedName>
    <definedName name="IQ_RE_RISK_BASED_FFIEC" hidden="1">"c13417"</definedName>
    <definedName name="IQ_REAL_DOMESTIC_PURCHASES" hidden="1">"c20997"</definedName>
    <definedName name="IQ_REAL_ESTATE" hidden="1">"c1093"</definedName>
    <definedName name="IQ_REAL_ESTATE_ASSETS" hidden="1">"c1094"</definedName>
    <definedName name="IQ_REAL_EXPORT" hidden="1">"c20998"</definedName>
    <definedName name="IQ_REAL_EXPORT_GOODS" hidden="1">"c20999"</definedName>
    <definedName name="IQ_REAL_EXPORT_INCOME" hidden="1">"c21000"</definedName>
    <definedName name="IQ_REAL_EXPORT_SERVICES" hidden="1">"c21001"</definedName>
    <definedName name="IQ_REAL_FIXED_INVESTMENT" hidden="1">"c21002"</definedName>
    <definedName name="IQ_REAL_GDP" hidden="1">"c21003"</definedName>
    <definedName name="IQ_REAL_GDP_FC" hidden="1">"c21004"</definedName>
    <definedName name="IQ_REAL_GDP_GROWTH" hidden="1">"c21005"</definedName>
    <definedName name="IQ_REAL_GDP_GROWTH_FC" hidden="1">"c21006"</definedName>
    <definedName name="IQ_REAL_GDP_USD" hidden="1">"c21007"</definedName>
    <definedName name="IQ_REAL_GDP_USD_FC" hidden="1">"c21008"</definedName>
    <definedName name="IQ_REAL_GNP" hidden="1">"c21009"</definedName>
    <definedName name="IQ_REAL_GOVT_CONSUM_INVEST" hidden="1">"c21010"</definedName>
    <definedName name="IQ_REAL_GOVT_CONSUM_INVEST_DEF" hidden="1">"c21011"</definedName>
    <definedName name="IQ_REAL_GOVT_CONSUM_INVEST_DEF_CONSUM" hidden="1">"c21012"</definedName>
    <definedName name="IQ_REAL_GOVT_CONSUM_INVEST_DEF_INVEST" hidden="1">"c21013"</definedName>
    <definedName name="IQ_REAL_GOVT_CONSUM_INVEST_FEDERAL" hidden="1">"c21014"</definedName>
    <definedName name="IQ_REAL_GOVT_CONSUM_INVEST_NONDEF" hidden="1">"c21015"</definedName>
    <definedName name="IQ_REAL_GOVT_CONSUM_INVEST_NONDEF_CONSUM" hidden="1">"c21016"</definedName>
    <definedName name="IQ_REAL_GOVT_CONSUM_INVEST_NONDEF_INVEST" hidden="1">"c21017"</definedName>
    <definedName name="IQ_REAL_GOVT_CONSUM_INVEST_STATE_LOCAL" hidden="1">"c21018"</definedName>
    <definedName name="IQ_REAL_GOVT_CONSUM_INVEST_STATE_LOCAL_CONSUM" hidden="1">"c21019"</definedName>
    <definedName name="IQ_REAL_GOVT_CONSUM_INVEST_STATE_LOCAL_INVEST" hidden="1">"c21020"</definedName>
    <definedName name="IQ_REAL_IMPORT" hidden="1">"c21021"</definedName>
    <definedName name="IQ_REAL_IMPORT_GOODS" hidden="1">"c21022"</definedName>
    <definedName name="IQ_REAL_IMPORT_INCOME" hidden="1">"c21023"</definedName>
    <definedName name="IQ_REAL_IMPORT_SERVICES" hidden="1">"c21024"</definedName>
    <definedName name="IQ_REAL_NET_DOMESTIC_PRODUCTION" hidden="1">"c21025"</definedName>
    <definedName name="IQ_REAL_NET_EXPORT" hidden="1">"c21026"</definedName>
    <definedName name="IQ_REAL_PCE" hidden="1">"c21027"</definedName>
    <definedName name="IQ_REAL_PCE_CLOTHING" hidden="1">"c21028"</definedName>
    <definedName name="IQ_REAL_PCE_DUR_GOODS" hidden="1">"c21029"</definedName>
    <definedName name="IQ_REAL_PCE_DUR_GOODS_OTHER" hidden="1">"c21030"</definedName>
    <definedName name="IQ_REAL_PCE_FINANCIAL" hidden="1">"c21031"</definedName>
    <definedName name="IQ_REAL_PCE_FOOD_ACCOMADATIONS" hidden="1">"c21032"</definedName>
    <definedName name="IQ_REAL_PCE_FOOD_BEVERAGE" hidden="1">"c21033"</definedName>
    <definedName name="IQ_REAL_PCE_FURNISHINGS" hidden="1">"c21034"</definedName>
    <definedName name="IQ_REAL_PCE_GAS" hidden="1">"c21035"</definedName>
    <definedName name="IQ_REAL_PCE_GOOD" hidden="1">"c21036"</definedName>
    <definedName name="IQ_REAL_PCE_HEALTH_CARE" hidden="1">"c21037"</definedName>
    <definedName name="IQ_REAL_PCE_HOUSEHOLD_CONSUM" hidden="1">"c21038"</definedName>
    <definedName name="IQ_REAL_PCE_HOUSEHOLD_CONSUM_OTHER" hidden="1">"c21039"</definedName>
    <definedName name="IQ_REAL_PCE_HOUSING" hidden="1">"c21040"</definedName>
    <definedName name="IQ_REAL_PCE_MOTOR_VEHICLE" hidden="1">"c21041"</definedName>
    <definedName name="IQ_REAL_PCE_NONDUR_GOODS" hidden="1">"c21042"</definedName>
    <definedName name="IQ_REAL_PCE_NONDUR_GOODS_OTHER" hidden="1">"c21043"</definedName>
    <definedName name="IQ_REAL_PCE_NONPROFIT_CONSUM" hidden="1">"c21044"</definedName>
    <definedName name="IQ_REAL_PCE_NONPROFIT_OUTPUT" hidden="1">"c21045"</definedName>
    <definedName name="IQ_REAL_PCE_NONPROFIT_RECEIPTS" hidden="1">"c21046"</definedName>
    <definedName name="IQ_REAL_PCE_RECREATION_GOODS" hidden="1">"c21047"</definedName>
    <definedName name="IQ_REAL_PCE_RECREATION_SERVICES" hidden="1">"c21048"</definedName>
    <definedName name="IQ_REAL_PCE_SERVICES" hidden="1">"c21049"</definedName>
    <definedName name="IQ_REAL_PCE_TRANSPORTATION" hidden="1">"c21050"</definedName>
    <definedName name="IQ_REAL_PRIVATE_CONSUM_GROWTH" hidden="1">"c21051"</definedName>
    <definedName name="IQ_REAL_PRIVATE_INVEST" hidden="1">"c21052"</definedName>
    <definedName name="IQ_REAL_PRIVATE_INVEST_EQUIP" hidden="1">"c21053"</definedName>
    <definedName name="IQ_REAL_PRIVATE_INVEST_EQUIP_OTHER" hidden="1">"c21054"</definedName>
    <definedName name="IQ_REAL_PRIVATE_INVEST_FIXED" hidden="1">"c21055"</definedName>
    <definedName name="IQ_REAL_PRIVATE_INVEST_INDUSTRIAL_EQUIP" hidden="1">"c21056"</definedName>
    <definedName name="IQ_REAL_PRIVATE_INVEST_INFO_EQUIP" hidden="1">"c21057"</definedName>
    <definedName name="IQ_REAL_PRIVATE_INVEST_INFO_EQUIP_COMPUTERS" hidden="1">"c21058"</definedName>
    <definedName name="IQ_REAL_PRIVATE_INVEST_INFO_EQUIP_OTHER" hidden="1">"c21059"</definedName>
    <definedName name="IQ_REAL_PRIVATE_INVEST_INFO_EQUIP_SOFTWARE" hidden="1">"c21060"</definedName>
    <definedName name="IQ_REAL_PRIVATE_INVEST_NONRES" hidden="1">"c21061"</definedName>
    <definedName name="IQ_REAL_PRIVATE_INVEST_PRIVATE_INV_CHANGE" hidden="1">"c21062"</definedName>
    <definedName name="IQ_REAL_PRIVATE_INVEST_PRIVATE_INV_FARMS" hidden="1">"c21063"</definedName>
    <definedName name="IQ_REAL_PRIVATE_INVEST_PRIVATE_INV_NONFARMS" hidden="1">"c21064"</definedName>
    <definedName name="IQ_REAL_PRIVATE_INVEST_RES" hidden="1">"c21065"</definedName>
    <definedName name="IQ_REAL_PRIVATE_INVEST_STRUCTURES" hidden="1">"c21066"</definedName>
    <definedName name="IQ_REAL_PRIVATE_INVEST_TRANSPORTATION_EQUIP" hidden="1">"c21067"</definedName>
    <definedName name="IQ_REAL_SALES_TO_DOMESTIC_PURCHASES" hidden="1">"c21068"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BOOKED_GNMA_LOANS_REPURCHASED_ELIGIBLE_REPURCHASE_DUE_30_89_THRIFT" hidden="1">"c25260"</definedName>
    <definedName name="IQ_REBOOKED_GNMA_LOANS_REPURCHASED_ELIGIBLE_REPURCHASE_DUE_90_THRIFT" hidden="1">"c25281"</definedName>
    <definedName name="IQ_REBOOKED_GNMA_LOANS_REPURCHASED_ELIGIBLE_REPURCHASE_NON_ACCRUAL_THRIFT" hidden="1">"c25302"</definedName>
    <definedName name="IQ_RECENT_FUNDS" hidden="1">"c18908"</definedName>
    <definedName name="IQ_RECENT_FUNDS_ID" hidden="1">"c18909"</definedName>
    <definedName name="IQ_RECIPROCAL_BROKERED_DEPOSITS_THRIFT" hidden="1">"c24997"</definedName>
    <definedName name="IQ_RECORDED_INV_PURCHASED_CREDIT_IMPAIRED_LOANS_THRIFT" hidden="1">"c25238"</definedName>
    <definedName name="IQ_RECOVERIES_1_4_FAMILY_LOANS_FDIC" hidden="1">"c6707"</definedName>
    <definedName name="IQ_RECOVERIES_AUTO_LOANS_FDIC" hidden="1">"c6701"</definedName>
    <definedName name="IQ_RECOVERIES_AVG_LOANS_FFIEC" hidden="1">"c13476"</definedName>
    <definedName name="IQ_RECOVERIES_CL_LOANS_FDIC" hidden="1">"c6702"</definedName>
    <definedName name="IQ_RECOVERIES_CREDIT_CARDS_RECEIVABLES_FDIC" hidden="1">"c6704"</definedName>
    <definedName name="IQ_RECOVERIES_GVA_THRIFT" hidden="1">"c25094"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OVERIES_TVA_THRIFT" hidden="1">"c25108"</definedName>
    <definedName name="IQ_RECURRING_PROFIT_ACT_OR_EST" hidden="1">"c4507"</definedName>
    <definedName name="IQ_RECURRING_PROFIT_ACT_OR_EST_CIQ_COL" hidden="1">"c11692"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SHARE_ACT_OR_EST" hidden="1">"c4508"</definedName>
    <definedName name="IQ_RECURRING_PROFIT_SHARE_ACT_OR_EST_CIQ_COL" hidden="1">"c11693"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LATED_PLANS_FDIC" hidden="1">"c6320"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OSSESS_1_4_DWELLING_UNITS_RE_THRIFT" hidden="1">"c24871"</definedName>
    <definedName name="IQ_REPOSSESS_ASSETS_THRIFT" hidden="1">"c24869"</definedName>
    <definedName name="IQ_REPOSSESS_CONSTRUCTION_RE_THRIFT" hidden="1">"c24870"</definedName>
    <definedName name="IQ_REPOSSESS_GVA_THRIFT" hidden="1">"c24877"</definedName>
    <definedName name="IQ_REPOSSESS_LAND_THRIFT" hidden="1">"c24874"</definedName>
    <definedName name="IQ_REPOSSESS_MULTIFAMILY_5_MORE_DWELLING_UNITS_RE_THRIFT" hidden="1">"c24872"</definedName>
    <definedName name="IQ_REPOSSESS_NONRES_EXCEPT_LAND_RE_THRIFT" hidden="1">"c24873"</definedName>
    <definedName name="IQ_REPOSSESS_OTHER_ASSETS_THRIFT" hidden="1">"c24876"</definedName>
    <definedName name="IQ_REPOSSESS_US_GOVT_GUARANTEED_INSURED_RE_OWNED_THRIFT" hidden="1">"c24875"</definedName>
    <definedName name="IQ_REPOSSESSED_ASSETS_TOTAL_ADJUSTED_NCOS_TOTAL_THRIFT" hidden="1">"c25218"</definedName>
    <definedName name="IQ_REPOSSESSED_ASSETS_TOTAL_GVA_CHARGE_OFFS_THRIFT" hidden="1">"c25133"</definedName>
    <definedName name="IQ_REPOSSESSED_ASSETS_TOTAL_SVA_PROVISIONS_TRANSFERS_FROM_GVA_TOTAL_THRIFT" hidden="1">"c25187"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FC_UNUSED_UNUSED_UNUSED" hidden="1">"c8536"</definedName>
    <definedName name="IQ_RES_CONST_REAL_APR_UNUSED" hidden="1">"c7656"</definedName>
    <definedName name="IQ_RES_CONST_REAL_APR_UNUSED_UNUSED_UNUSED" hidden="1">"c7656"</definedName>
    <definedName name="IQ_RES_CONST_REAL_FC_UNUSED" hidden="1">"c7876"</definedName>
    <definedName name="IQ_RES_CONST_REAL_FC_UNUSED_UNUSED_UNUSED" hidden="1">"c7876"</definedName>
    <definedName name="IQ_RES_CONST_REAL_POP_FC_UNUSED" hidden="1">"c8096"</definedName>
    <definedName name="IQ_RES_CONST_REAL_POP_FC_UNUSED_UNUSED_UNUSED" hidden="1">"c8096"</definedName>
    <definedName name="IQ_RES_CONST_REAL_POP_UNUSED" hidden="1">"c7216"</definedName>
    <definedName name="IQ_RES_CONST_REAL_POP_UNUSED_UNUSED_UNUSED" hidden="1">"c7216"</definedName>
    <definedName name="IQ_RES_CONST_REAL_SAAR_APR_FC_UNUSED" hidden="1">"c8537"</definedName>
    <definedName name="IQ_RES_CONST_REAL_SAAR_APR_FC_UNUSED_UNUSED_UNUSED" hidden="1">"c8537"</definedName>
    <definedName name="IQ_RES_CONST_REAL_SAAR_APR_UNUSED" hidden="1">"c7657"</definedName>
    <definedName name="IQ_RES_CONST_REAL_SAAR_APR_UNUSED_UNUSED_UNUSED" hidden="1">"c7657"</definedName>
    <definedName name="IQ_RES_CONST_REAL_SAAR_FC_UNUSED" hidden="1">"c7877"</definedName>
    <definedName name="IQ_RES_CONST_REAL_SAAR_FC_UNUSED_UNUSED_UNUSED" hidden="1">"c7877"</definedName>
    <definedName name="IQ_RES_CONST_REAL_SAAR_POP_FC_UNUSED" hidden="1">"c8097"</definedName>
    <definedName name="IQ_RES_CONST_REAL_SAAR_POP_FC_UNUSED_UNUSED_UNUSED" hidden="1">"c8097"</definedName>
    <definedName name="IQ_RES_CONST_REAL_SAAR_POP_UNUSED" hidden="1">"c7217"</definedName>
    <definedName name="IQ_RES_CONST_REAL_SAAR_POP_UNUSED_UNUSED_UNUSED" hidden="1">"c7217"</definedName>
    <definedName name="IQ_RES_CONST_REAL_SAAR_UNUSED" hidden="1">"c6997"</definedName>
    <definedName name="IQ_RES_CONST_REAL_SAAR_UNUSED_UNUSED_UNUSED" hidden="1">"c6997"</definedName>
    <definedName name="IQ_RES_CONST_REAL_SAAR_YOY_FC_UNUSED" hidden="1">"c8317"</definedName>
    <definedName name="IQ_RES_CONST_REAL_SAAR_YOY_FC_UNUSED_UNUSED_UNUSED" hidden="1">"c8317"</definedName>
    <definedName name="IQ_RES_CONST_REAL_SAAR_YOY_UNUSED" hidden="1">"c7437"</definedName>
    <definedName name="IQ_RES_CONST_REAL_SAAR_YOY_UNUSED_UNUSED_UNUSED" hidden="1">"c7437"</definedName>
    <definedName name="IQ_RES_CONST_REAL_UNUSED" hidden="1">"c6996"</definedName>
    <definedName name="IQ_RES_CONST_REAL_UNUSED_UNUSED_UNUSED" hidden="1">"c6996"</definedName>
    <definedName name="IQ_RES_CONST_REAL_YOY_FC_UNUSED" hidden="1">"c8316"</definedName>
    <definedName name="IQ_RES_CONST_REAL_YOY_FC_UNUSED_UNUSED_UNUSED" hidden="1">"c8316"</definedName>
    <definedName name="IQ_RES_CONST_REAL_YOY_UNUSED" hidden="1">"c7436"</definedName>
    <definedName name="IQ_RES_CONST_REAL_YOY_UNUSED_UNUSED_UNUSED" hidden="1">"c7436"</definedName>
    <definedName name="IQ_RES_CONST_SAAR_APR_FC_UNUSED" hidden="1">"c8540"</definedName>
    <definedName name="IQ_RES_CONST_SAAR_APR_FC_UNUSED_UNUSED_UNUSED" hidden="1">"c8540"</definedName>
    <definedName name="IQ_RES_CONST_SAAR_APR_UNUSED" hidden="1">"c7660"</definedName>
    <definedName name="IQ_RES_CONST_SAAR_APR_UNUSED_UNUSED_UNUSED" hidden="1">"c7660"</definedName>
    <definedName name="IQ_RES_CONST_SAAR_FC_UNUSED" hidden="1">"c7880"</definedName>
    <definedName name="IQ_RES_CONST_SAAR_FC_UNUSED_UNUSED_UNUSED" hidden="1">"c7880"</definedName>
    <definedName name="IQ_RES_CONST_SAAR_POP_FC_UNUSED" hidden="1">"c8100"</definedName>
    <definedName name="IQ_RES_CONST_SAAR_POP_FC_UNUSED_UNUSED_UNUSED" hidden="1">"c8100"</definedName>
    <definedName name="IQ_RES_CONST_SAAR_POP_UNUSED" hidden="1">"c7220"</definedName>
    <definedName name="IQ_RES_CONST_SAAR_POP_UNUSED_UNUSED_UNUSED" hidden="1">"c7220"</definedName>
    <definedName name="IQ_RES_CONST_SAAR_UNUSED" hidden="1">"c7000"</definedName>
    <definedName name="IQ_RES_CONST_SAAR_UNUSED_UNUSED_UNUSED" hidden="1">"c7000"</definedName>
    <definedName name="IQ_RES_CONST_SAAR_YOY_FC_UNUSED" hidden="1">"c8320"</definedName>
    <definedName name="IQ_RES_CONST_SAAR_YOY_FC_UNUSED_UNUSED_UNUSED" hidden="1">"c8320"</definedName>
    <definedName name="IQ_RES_CONST_SAAR_YOY_UNUSED" hidden="1">"c7440"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IDUAL_INTERESTS_INT_ONLY_STRIPS_THRIFT" hidden="1">"c24939"</definedName>
    <definedName name="IQ_RESIDUAL_INTERESTS_THRIFT" hidden="1">"c24938"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CM" hidden="1">"c1106"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NV_BUILDING_MATERIAL" hidden="1">"c21069"</definedName>
    <definedName name="IQ_RETAIL_INV_CLOTHING" hidden="1">"c21070"</definedName>
    <definedName name="IQ_RETAIL_INV_DEPT_STORE" hidden="1">"c21071"</definedName>
    <definedName name="IQ_RETAIL_INV_FOOD" hidden="1">"c21072"</definedName>
    <definedName name="IQ_RETAIL_INV_FURNITURE" hidden="1">"c21073"</definedName>
    <definedName name="IQ_RETAIL_INV_GENERAL" hidden="1">"c21074"</definedName>
    <definedName name="IQ_RETAIL_INV_MOTOR_VEHICLE" hidden="1">"c21075"</definedName>
    <definedName name="IQ_RETAIL_INV_SALES_RATIO_BUILDING" hidden="1">"c21076"</definedName>
    <definedName name="IQ_RETAIL_INV_SALES_RATIO_CLOTHING" hidden="1">"c21077"</definedName>
    <definedName name="IQ_RETAIL_INV_SALES_RATIO_DEPT_STORE" hidden="1">"c21078"</definedName>
    <definedName name="IQ_RETAIL_INV_SALES_RATIO_FOOD" hidden="1">"c21079"</definedName>
    <definedName name="IQ_RETAIL_INV_SALES_RATIO_FURNITURE" hidden="1">"c21080"</definedName>
    <definedName name="IQ_RETAIL_INV_SALES_RATIO_GENERAL" hidden="1">"c21081"</definedName>
    <definedName name="IQ_RETAIL_INV_SALES_RATIO_MV" hidden="1">"c21082"</definedName>
    <definedName name="IQ_RETAIL_INV_SALES_RATIO_TOTAL" hidden="1">"c21083"</definedName>
    <definedName name="IQ_RETAIL_INV_SALES_RATIO_TOTAL_EX_MV" hidden="1">"c21084"</definedName>
    <definedName name="IQ_RETAIL_INV_TOTAL" hidden="1">"c21085"</definedName>
    <definedName name="IQ_RETAIL_INV_TOTAL_EX_MOTOR_VEHICLE" hidden="1">"c21086"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BUILDING_MATERIAL" hidden="1">"c21087"</definedName>
    <definedName name="IQ_RETAIL_SALES_CATALOG" hidden="1">"c16128"</definedName>
    <definedName name="IQ_RETAIL_SALES_CLOTHING" hidden="1">"c21088"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FOODSTUFF" hidden="1">"c21089"</definedName>
    <definedName name="IQ_RETAIL_SALES_FURNITURE" hidden="1">"c21090"</definedName>
    <definedName name="IQ_RETAIL_SALES_GAS" hidden="1">"c21091"</definedName>
    <definedName name="IQ_RETAIL_SALES_GENERAL" hidden="1">"c21092"</definedName>
    <definedName name="IQ_RETAIL_SALES_HEALTH" hidden="1">"c21093"</definedName>
    <definedName name="IQ_RETAIL_SALES_MISC" hidden="1">"c21094"</definedName>
    <definedName name="IQ_RETAIL_SALES_MOTOR_VEHICLE" hidden="1">"c21095"</definedName>
    <definedName name="IQ_RETAIL_SALES_NONSTORES" hidden="1">"c21096"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PORTING_GOODS" hidden="1">"c21097"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TOTAL" hidden="1">"c21098"</definedName>
    <definedName name="IQ_RETAIL_SALES_TOTAL_EX_MOTOR_VEHICLE" hidden="1">"c21099"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LES_YOY_PCT" hidden="1">"c21100"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AINED_EARNINGS_EQUITY_FFIEC" hidden="1">"c13348"</definedName>
    <definedName name="IQ_RETAINED_EARNINGS_EQUITY_THRIFT" hidden="1">"c25633"</definedName>
    <definedName name="IQ_RETAINED_EARNINGS_FFIEC" hidden="1">"c12878"</definedName>
    <definedName name="IQ_RETAINED_EARNINGS_THRIFT" hidden="1">"c24919"</definedName>
    <definedName name="IQ_RETIREMENT_DEFINED_BENEFIT_INC_THRIFT" hidden="1">"c24803"</definedName>
    <definedName name="IQ_RETIREMENT_DEFINED_CONT_INC_THRIFT" hidden="1">"c24802"</definedName>
    <definedName name="IQ_RETIREMENT_DEPOSITS_LESS_THAN_250000_THRIFT" hidden="1">"c24990"</definedName>
    <definedName name="IQ_RETIREMENT_DEPOSITS_WITH_BALANCES_GREATER_THAN_250000_THRIFT" hidden="1">"c24991"</definedName>
    <definedName name="IQ_RETIREMENT_OTHER_RETIREMENT_ACCOUNTS_INC_THRIFT" hidden="1">"c24804"</definedName>
    <definedName name="IQ_RETIREMENT_RELATED_EMPLOYEE_BENEFIT_ACCOUNTS_GROSS_LOSSES_MANAGED_ACCOUNTS_THRIFT" hidden="1">"c25462"</definedName>
    <definedName name="IQ_RETIREMENT_RELATED_EMPLOYEE_BENEFIT_ACCOUNTS_GROSS_LOSSES_NONMANAGED_ACCOUNTS_THRIFT" hidden="1">"c25467"</definedName>
    <definedName name="IQ_RETIREMENT_RELATED_EMPLOYEE_BENEFIT_ACCOUNTS_RECOVERIES_THRIFT" hidden="1">"c25472"</definedName>
    <definedName name="IQ_RETIREMENT_RELATED_TRUST_AGENCY_ACCOUNTS_EMPLOYEE_BENEFIT_DEFINED_BENEFIT_MANAGED_ASSETS_THRIFT" hidden="1">"c25349"</definedName>
    <definedName name="IQ_RETIREMENT_RELATED_TRUST_AGENCY_ACCOUNTS_EMPLOYEE_BENEFIT_DEFINED_BENEFIT_NONMANAGED_ASSETS_THRIFT" hidden="1">"c25370"</definedName>
    <definedName name="IQ_RETIREMENT_RELATED_TRUST_AGENCY_ACCOUNTS_EMPLOYEE_BENEFIT_DEFINED_BENEFIT_NUMBER_MANAGED_ACCOUNTS_THRIFT" hidden="1">"c25360"</definedName>
    <definedName name="IQ_RETIREMENT_RELATED_TRUST_AGENCY_ACCOUNTS_EMPLOYEE_BENEFIT_DEFINED_BENEFIT_NUMBER_NONMANAGED_ACCOUNTS_THRIFT" hidden="1">"c25382"</definedName>
    <definedName name="IQ_RETIREMENT_RELATED_TRUST_AGENCY_ACCOUNTS_EMPLOYEE_BENEFIT_DEFINED_CONTRIBUTION_MANAGED_ASSETS_THRIFT" hidden="1">"c25348"</definedName>
    <definedName name="IQ_RETIREMENT_RELATED_TRUST_AGENCY_ACCOUNTS_EMPLOYEE_BENEFIT_DEFINED_CONTRIBUTION_NONMANAGED_ASSETS_THRIFT" hidden="1">"c25369"</definedName>
    <definedName name="IQ_RETIREMENT_RELATED_TRUST_AGENCY_ACCOUNTS_EMPLOYEE_BENEFIT_DEFINED_CONTRIBUTION_NUMBER_MANAGED_ACCOUNTS_THRIFT" hidden="1">"c25359"</definedName>
    <definedName name="IQ_RETIREMENT_RELATED_TRUST_AGENCY_ACCOUNTS_EMPLOYEE_BENEFIT_DEFINED_CONTRIBUTION_NUMBER_NONMANAGED_ACCOUNTS_THRIFT" hidden="1">"c25381"</definedName>
    <definedName name="IQ_RETIREMENT_RELATED_TRUST_AGENCY_ACCOUNTS_EMPLOYEE_BENEFIT_OTHER_MANAGED_ASSETS_THRIFT" hidden="1">"c25350"</definedName>
    <definedName name="IQ_RETIREMENT_RELATED_TRUST_AGENCY_ACCOUNTS_EMPLOYEE_BENEFIT_OTHER_NONMANAGED_ASSETS_THRIFT" hidden="1">"c25371"</definedName>
    <definedName name="IQ_RETIREMENT_RELATED_TRUST_AGENCY_ACCOUNTS_EMPLOYEE_BENEFIT_OTHER_NUMBER_MANAGED_ACCOUNTS_THRIFT" hidden="1">"c25361"</definedName>
    <definedName name="IQ_RETIREMENT_RELATED_TRUST_AGENCY_ACCOUNTS_EMPLOYEE_BENEFIT_OTHER_NUMBER_NONMANAGED_ACCOUNTS_THRIFT" hidden="1">"c25383"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CM" hidden="1">"c1115"</definedName>
    <definedName name="IQ_RETURN_ASSETS_FDIC" hidden="1">"c6730"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GUIDANCE_CIQ" hidden="1">"c4595"</definedName>
    <definedName name="IQ_RETURN_ASSETS_HIGH_GUIDANCE_CIQ_COL" hidden="1">"c11244"</definedName>
    <definedName name="IQ_RETURN_ASSETS_LOW_GUIDANCE_CIQ" hidden="1">"c4635"</definedName>
    <definedName name="IQ_RETURN_ASSETS_LOW_GUIDANCE_CIQ_COL" hidden="1">"c11284"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CM" hidden="1">"c1120"</definedName>
    <definedName name="IQ_RETURN_EQUITY_FDIC" hidden="1">"c6732"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GUIDANCE_CIQ" hidden="1">"c4594"</definedName>
    <definedName name="IQ_RETURN_EQUITY_HIGH_GUIDANCE_CIQ_COL" hidden="1">"c11243"</definedName>
    <definedName name="IQ_RETURN_EQUITY_LOW_GUIDANCE_CIQ" hidden="1">"c4634"</definedName>
    <definedName name="IQ_RETURN_EQUITY_LOW_GUIDANCE_CIQ_COL" hidden="1">"c11283"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_CIQ_COL" hidden="1">"c11706"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BEFORE_LL_THRIFT" hidden="1">"c24782"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REUT" hidden="1">"c3634"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REUT" hidden="1">"c3636"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REUT" hidden="1">"c3637"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40689.9555208333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GROSS_LOANS_THRIFT" hidden="1">"c25723"</definedName>
    <definedName name="IQ_REVOLVING_LOANS_RISK_BASED_CAPITAL_THRIFT" hidden="1">"c25708"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OPEN_END_PML_SECURED_1_4_DWELLING_UNITS_DUE_30_89_THRIFT" hidden="1">"c25241"</definedName>
    <definedName name="IQ_REVOLVING_OPEN_END_PML_SECURED_1_4_DWELLING_UNITS_DUE_90_THRIFT" hidden="1">"c25262"</definedName>
    <definedName name="IQ_REVOLVING_OPEN_END_PML_SECURED_1_4_DWELLING_UNITS_NON_ACCRUAL_THRIFT" hidden="1">"c25283"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BEFORE_EXCESS_ALLOWANCE_LL_LOSSES_THRIFT" hidden="1">"c25077"</definedName>
    <definedName name="IQ_RISK_WEIGHTED_ASSETS_FDIC" hidden="1">"c6370"</definedName>
    <definedName name="IQ_RISK_WEIGHTED_ASSETS_LOW_LEVEL_RECOURSE_RESIDUAL_INTERESTS_THRIFT" hidden="1">"c25075"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EMPLOYEE_BENEFITS_THRIFT" hidden="1">"c24786"</definedName>
    <definedName name="IQ_SALARIES_OTHER_BENEFITS" hidden="1">"c16176"</definedName>
    <definedName name="IQ_SALARY" hidden="1">"c1130"</definedName>
    <definedName name="IQ_SALARY_FDIC" hidden="1">"c6576"</definedName>
    <definedName name="IQ_SALE_COMMON_GROSS_FFIEC" hidden="1">"c12963"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CM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CM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CEEDS_RENTAL_ASSETS" hidden="1">"c26974"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CM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COMM_NON_MORTGAGE_LOANS_THRIFT" hidden="1">"c25340"</definedName>
    <definedName name="IQ_SALES_CONSUMER_NON_MORTGAGE_LOANS_THRIFT" hidden="1">"c25342"</definedName>
    <definedName name="IQ_SALES_MARKETING" hidden="1">"c2240"</definedName>
    <definedName name="IQ_SALES_OTHER_MORTGAGE_BACKED_SEC_THRIFT" hidden="1">"c25315"</definedName>
    <definedName name="IQ_SALES_PASS_THROUGH_MORTGAGE_BACKED_SEC_THRIFT" hidden="1">"c25312"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ASSOCIATION_EQUITY_CAPITAL_BEGINNING_BALANCE_FROM_PRIOR_QTR_THRIFT" hidden="1">"c25008"</definedName>
    <definedName name="IQ_SAVINGS_ASSOCIATION_EQUITY_CAPITAL_ENDING_BALANCE_THRIFT" hidden="1">"c25019"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ACKED_NON_MORTGAGE_LOANS_THRIFT" hidden="1">"c24825"</definedName>
    <definedName name="IQ_SEC_BACKED_US_GOVT_ELIGIBLE_0_PCT_RISK_WEIGHT_THRIFT" hidden="1">"c25052"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RISK_WEIGHTED_100_PCT_MORE_UNDER_RATINGS_THRIFT" hidden="1">"c25071"</definedName>
    <definedName name="IQ_SEC_SOLD_REPURCHASE_FFIEC" hidden="1">"c12857"</definedName>
    <definedName name="IQ_SEC_SOLD_UNDER_AGREEMENTS_REPURCHASE_THRIFT" hidden="1">"c25574"</definedName>
    <definedName name="IQ_SECOND_LIEN_BONDS_NOTES" hidden="1">"c17893"</definedName>
    <definedName name="IQ_SECOND_LIEN_BONDS_NOTES_PCT" hidden="1">"c18007"</definedName>
    <definedName name="IQ_SECOND_LIEN_DEBT" hidden="1">"c17898"</definedName>
    <definedName name="IQ_SECOND_LIEN_DEBT_PCT" hidden="1">"c18012"</definedName>
    <definedName name="IQ_SECOND_LIEN_LOANS" hidden="1">"c17892"</definedName>
    <definedName name="IQ_SECOND_LIEN_LOANS_PCT" hidden="1">"c18006"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COMMERCIAL_LOANS_THRIFT" hidden="1">"c24854"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FARMLAND_NET_CHARGE_OFFS_FDIC" hidden="1">"c6631"</definedName>
    <definedName name="IQ_SECURED_FARMLAND_RECOVERIES_FDIC" hidden="1">"c6612"</definedName>
    <definedName name="IQ_SECURED_FED_FUNDS_PURCHASED_TOTAL_ASSETS_THRIFT" hidden="1">"c25703"</definedName>
    <definedName name="IQ_SECURED_FEDERAL_FUNDS_PURCHASED_THRIFT" hidden="1">"c25573"</definedName>
    <definedName name="IQ_SECURED_MULTI_RES_LL_REC_DOM_FFIEC" hidden="1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AFS_AMORT_COST_FFIEC" hidden="1">"c20488"</definedName>
    <definedName name="IQ_SECURITIES_AFS_FAIR_VAL_FFIEC" hidden="1">"c20453"</definedName>
    <definedName name="IQ_SECURITIES_GAINS_FDIC" hidden="1">"c6584"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STATES_FDIC" hidden="1">"c6300"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DIC" hidden="1">"c6532"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FDIC" hidden="1">"c6529"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IZED_DEBT" hidden="1">"c17897"</definedName>
    <definedName name="IQ_SECURITIZED_DEBT_PCT" hidden="1">"c18011"</definedName>
    <definedName name="IQ_SECURITY_ACTIVE_STATUS" hidden="1">"c15160"</definedName>
    <definedName name="IQ_SECURITY_BORROW" hidden="1">"c1152"</definedName>
    <definedName name="IQ_SECURITY_FEATURES" hidden="1">"c17681"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COMM_FEE_DOM_FFIEC" hidden="1">"c25821"</definedName>
    <definedName name="IQ_SERVICE_CHARGES_DEPOSIT_ACCOUNTS_DOM_FFIEC" hidden="1">"c13003"</definedName>
    <definedName name="IQ_SERVICE_CHARGES_FDIC" hidden="1">"c6572"</definedName>
    <definedName name="IQ_SERVICE_CHARGES_OPERATING_INC_FFIEC" hidden="1">"c13384"</definedName>
    <definedName name="IQ_SERVICE_FEE" hidden="1">"c8951"</definedName>
    <definedName name="IQ_SERVICING_ASSETS_MORTGAGE_LOANS_THRIFT" hidden="1">"c24888"</definedName>
    <definedName name="IQ_SERVICING_ASSETS_NON_MORTGAGE_LOANS_THRIFT" hidden="1">"c24889"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"c83"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BUSINESS_DESCRIPTION" hidden="1">"c24668"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POSITIONS_FFIEC" hidden="1">"c12859"</definedName>
    <definedName name="IQ_SHORT_SCORE_DX" hidden="1">"c17439"</definedName>
    <definedName name="IQ_SHORT_TERM_INV_SHORT_TERM_NONCORE_FUNDING_THRIFT" hidden="1">"c25625"</definedName>
    <definedName name="IQ_SHORT_TERM_INV_TOTAL_ASSETS_THRIFT" hidden="1">"c25695"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STARS_DESCRIPTION" hidden="1">"c17408"</definedName>
    <definedName name="IQ_SP_STARS_VALUE" hidden="1">"c17407"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CM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ECURED_BONDS_NOTES" hidden="1">"c17889"</definedName>
    <definedName name="IQ_SR_SECURED_BONDS_NOTES_PCT" hidden="1">"c18003"</definedName>
    <definedName name="IQ_SR_SECURED_LOANS" hidden="1">"c17888"</definedName>
    <definedName name="IQ_SR_SECURED_LOANS_PCT" hidden="1">"c18002"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R_UNSECURED_BONDS_NOTES" hidden="1">"c17891"</definedName>
    <definedName name="IQ_SR_UNSECURED_BONDS_NOTES_PCT" hidden="1">"c18005"</definedName>
    <definedName name="IQ_ST_DEBT" hidden="1">"c1176"</definedName>
    <definedName name="IQ_ST_DEBT_BNK" hidden="1">"c1177"</definedName>
    <definedName name="IQ_ST_DEBT_BR" hidden="1">"c1178"</definedName>
    <definedName name="IQ_ST_DEBT_CM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CM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CM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ETTERS_CREDIT_THRIFT" hidden="1">"c25614"</definedName>
    <definedName name="IQ_STANDBY_LOC_FHLB_BANK_BEHALF_OFF_BS_FFIEC" hidden="1">"c15412"</definedName>
    <definedName name="IQ_STATE" hidden="1">"c1200"</definedName>
    <definedName name="IQ_STATE_COUNTY_MUNICIPAL_OBLIGATIONS_ALL_OTHER_ACCOUNTS_THRIFT" hidden="1">"c25426"</definedName>
    <definedName name="IQ_STATE_COUNTY_MUNICIPAL_OBLIGATIONS_EMPLOYEE_BENEFIT_RETIREMENT_RELATED_ACCOUNTS_THRIFT" hidden="1">"c25410"</definedName>
    <definedName name="IQ_STATE_COUNTY_MUNICIPAL_OBLIGATIONS_PERSONAL_TRUST_AGENCY_INV_MANAGEMENT_ACCOUNTS_THRIFT" hidden="1">"c25394"</definedName>
    <definedName name="IQ_STATE_LOCAL_OTHER_INC_TAXES_THRIFT" hidden="1">"c24817"</definedName>
    <definedName name="IQ_STATE_LOCAL_REVENUE_BONDS_ELIGIBLE_50_PCT_RISK_WEIGHT_THRIFT" hidden="1">"c25067"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_MUNI_OBLIGATIONS_THRIFT" hidden="1">"c24824"</definedName>
    <definedName name="IQ_STATE_OF_INC" hidden="1">"c18104"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ISSUED_SAVINGS_ASSOCIATION_THRIFT" hidden="1">"c25012"</definedName>
    <definedName name="IQ_STOCK_MARKET_INDEX" hidden="1">"c21101"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OCK_RETIRED_SAVINGS_ASSOCIATION_THRIFT" hidden="1">"c25013"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ENTURES_THRIFT" hidden="1">"c24902"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ORDINATED_DEBENTURES_AMOUNTS_NETTED_THRIFT" hidden="1">"c25540"</definedName>
    <definedName name="IQ_SUBORDINATED_DEBENTURES_LEVEL_1_THRIFT" hidden="1">"c25536"</definedName>
    <definedName name="IQ_SUBORDINATED_DEBENTURES_LEVEL_2_THRIFT" hidden="1">"c25537"</definedName>
    <definedName name="IQ_SUBORDINATED_DEBENTURES_LEVEL_3_THRIFT" hidden="1">"c25538"</definedName>
    <definedName name="IQ_SUBORDINATED_DEBENTURES_TOTAL_AFTER_NETTING_THRIFT" hidden="1">"c25541"</definedName>
    <definedName name="IQ_SUBORDINATED_DEBENTURES_TOTAL_BEFORE_NETTING_THRIFT" hidden="1">"c25539"</definedName>
    <definedName name="IQ_SUBORDINATED_DEBENTURES_WITH_REMAINING_MATURITY_ONE_YEAR_LESS_THRIFT" hidden="1">"c25577"</definedName>
    <definedName name="IQ_SUBORDINATED_DEBENTURES_WITH_REMAINING_MATURITY_OVER_ONE_YEAR_THRIFT" hidden="1">"c25578"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ASSETS_THRIFT" hidden="1">"c25088"</definedName>
    <definedName name="IQ_TANGIBLE_COMMON_EQUITY_FFIEC" hidden="1">"c13914"</definedName>
    <definedName name="IQ_TANGIBLE_COMMON_EQUITY_THRIFT" hidden="1">"c25086"</definedName>
    <definedName name="IQ_TANGIBLE_EQUITY_ASSETS_FFIEC" hidden="1">"c13346"</definedName>
    <definedName name="IQ_TANGIBLE_EQUITY_FFIEC" hidden="1">"c13915"</definedName>
    <definedName name="IQ_TANGIBLE_EQUITY_RATIO_THRIFT" hidden="1">"c25084"</definedName>
    <definedName name="IQ_TANGIBLE_EQUITY_THRIFT" hidden="1">"c25087"</definedName>
    <definedName name="IQ_TANGIBLE_TIER_1_LEVERAGE_FFIEC" hidden="1">"c13345"</definedName>
    <definedName name="IQ_TANGIBLE_TIER_1_LEVERAGE_RATIO_THRIFT" hidden="1">"c25631"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RP_INIT_INVEST_AMT" hidden="1">"c17863"</definedName>
    <definedName name="IQ_TARP_INIT_INVEST_DATE_ANN" hidden="1">"c17861"</definedName>
    <definedName name="IQ_TARP_INIT_INVEST_DATE_CLOSED" hidden="1">"c17862"</definedName>
    <definedName name="IQ_TARP_INVESTOR_STATUS" hidden="1">"c17865"</definedName>
    <definedName name="IQ_TARP_REMAINING_AMT" hidden="1">"c17869"</definedName>
    <definedName name="IQ_TARP_REMAINING_SEC_DES" hidden="1">"c17870"</definedName>
    <definedName name="IQ_TARP_REPAYMENT_DISP" hidden="1">"c17866"</definedName>
    <definedName name="IQ_TARP_REPAYMENT_DISP_AMT" hidden="1">"c17868"</definedName>
    <definedName name="IQ_TARP_REPAYMENT_DISP_DATE" hidden="1">"c17867"</definedName>
    <definedName name="IQ_TARP_ROUND" hidden="1">"c17859"</definedName>
    <definedName name="IQ_TARP_STATUS" hidden="1">"c17864"</definedName>
    <definedName name="IQ_TARP_TR_AMT" hidden="1">"c17857"</definedName>
    <definedName name="IQ_TARP_TR_DATE" hidden="1">"c17856"</definedName>
    <definedName name="IQ_TARP_TR_TYPE" hidden="1">"c17858"</definedName>
    <definedName name="IQ_TARP_TRANSACTION_ID" hidden="1">"c17871"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 hidden="1">"c13139"</definedName>
    <definedName name="IQ_TIER_1_CAPITAL_FFIEC" hidden="1">"c13143"</definedName>
    <definedName name="IQ_TIER_1_CAPITAL_RATIO_THRIFT" hidden="1">"c25081"</definedName>
    <definedName name="IQ_TIER_1_CAPITAL_REQUIREMENT_ADJUSTED_ASSETS_THRIFT" hidden="1">"c25039"</definedName>
    <definedName name="IQ_TIER_1_CAPITAL_T1_THRIFT" hidden="1">"c25029"</definedName>
    <definedName name="IQ_TIER_1_LEVERAGE_RATIO_FFIEC" hidden="1">"c13160"</definedName>
    <definedName name="IQ_TIER_1_RISK_BASED_CAPITAL_RATIO_FDIC" hidden="1">"c6746"</definedName>
    <definedName name="IQ_TIER_1_RISK_BASED_CAPITAL_RATIO_FFIEC" hidden="1">"c13161"</definedName>
    <definedName name="IQ_TIER_1_RISK_BASED_CAPITAL_RATIO_THRIFT" hidden="1">"c25083"</definedName>
    <definedName name="IQ_TIER_2_CAPITAL_FFIEC" hidden="1">"c13149"</definedName>
    <definedName name="IQ_TIER_2_CAPITAL_T2_THRIFT" hidden="1">"c25045"</definedName>
    <definedName name="IQ_TIER_3_CAPITAL_ALLOCATED_MARKET_RISK_FFIEC" hidden="1">"c13151"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100000_MORE_TOTAL_ASSETS_THRIFT" hidden="1">"c25701"</definedName>
    <definedName name="IQ_TIME_DEPOSITS_100000_THROUGH_250000_THRIFT" hidden="1">"c25002"</definedName>
    <definedName name="IQ_TIME_DEPOSITS_GREATER_100000_TOTAL_DEPOSITS_THRIFT" hidden="1">"c25779"</definedName>
    <definedName name="IQ_TIME_DEPOSITS_GREATER_THAN_250000_THRIFT" hidden="1">"c25003"</definedName>
    <definedName name="IQ_TIME_DEPOSITS_LESS_100K_OTHER_INSTITUTIONS_FFIEC" hidden="1">"c12953"</definedName>
    <definedName name="IQ_TIME_DEPOSITS_LESS_100K_TOT_DEPOSITS_FFIEC" hidden="1">"c13907"</definedName>
    <definedName name="IQ_TIME_DEPOSITS_LESS_THAN_100K_FDIC" hidden="1">"c6465"</definedName>
    <definedName name="IQ_TIME_DEPOSITS_MORE_100K_OTHER_INSTITUTIONS_FFIEC" hidden="1">"c12954"</definedName>
    <definedName name="IQ_TIME_DEPOSITS_MORE_100K_TOT_DEPOSITS_FFIEC" hidden="1">"c13906"</definedName>
    <definedName name="IQ_TIME_DEPOSITS_MORE_THAN_100K_FDIC" hidden="1">"c6470"</definedName>
    <definedName name="IQ_TIME_DEPOSITS_THRIFT" hidden="1">"c25001"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1_4_FAMILY_LOANS_TOTAL_LOANS_THRIFT" hidden="1">"c25741"</definedName>
    <definedName name="IQ_TOTAL_ALLOWABLE_EXCLUSIONS_THRIFT" hidden="1">"c25567"</definedName>
    <definedName name="IQ_TOTAL_AR_BR" hidden="1">"c1231"</definedName>
    <definedName name="IQ_TOTAL_AR_CM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ADJUSTED_ASSETS_THRIFT" hidden="1">"c25030"</definedName>
    <definedName name="IQ_TOTAL_ASSETS_BNK_SUBTOTAL_AP" hidden="1">"c13644"</definedName>
    <definedName name="IQ_TOTAL_ASSETS_FAIR_VALUE_TOT_FFIEC" hidden="1">"c15405"</definedName>
    <definedName name="IQ_TOTAL_ASSETS_FDIC" hidden="1">"c6339"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MANAGED_PROP_MUTUAL_FUNDS_ANNUITIES_THRIFT" hidden="1">"c24941"</definedName>
    <definedName name="IQ_TOTAL_ASSETS_MEASURED_FV_RECURRING_BASIS_AMOUNTS_NETTED_THRIFT" hidden="1">"c25522"</definedName>
    <definedName name="IQ_TOTAL_ASSETS_MEASURED_FV_RECURRING_BASIS_LEVEL_1_THRIFT" hidden="1">"c25518"</definedName>
    <definedName name="IQ_TOTAL_ASSETS_MEASURED_FV_RECURRING_BASIS_LEVEL_2_THRIFT" hidden="1">"c25519"</definedName>
    <definedName name="IQ_TOTAL_ASSETS_MEASURED_FV_RECURRING_BASIS_LEVEL_3_THRIFT" hidden="1">"c25520"</definedName>
    <definedName name="IQ_TOTAL_ASSETS_MEASURED_FV_RECURRING_BASIS_TOTAL_AFTER_NETTING_THRIFT" hidden="1">"c25523"</definedName>
    <definedName name="IQ_TOTAL_ASSETS_MEASURED_FV_RECURRING_BASIS_TOTAL_BEFORE_NETTING_THRIFT" hidden="1">"c25521"</definedName>
    <definedName name="IQ_TOTAL_ASSETS_PC_FFIEC" hidden="1">"c13099"</definedName>
    <definedName name="IQ_TOTAL_ASSETS_SUBTOTAL_AP" hidden="1">"c8985"</definedName>
    <definedName name="IQ_TOTAL_ASSETS_THRIFT" hidden="1">"c24894"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ORROWINGS_THRIFT" hidden="1">"c24899"</definedName>
    <definedName name="IQ_TOTAL_BROKER_ORIGINATED_DEPOSITS_FULLY_INSURED_THRIFT" hidden="1">"c24978"</definedName>
    <definedName name="IQ_TOTAL_BROKER_ORIGINATED_DEPOSITS_OTHER_THRIFT" hidden="1">"c24981"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EPOSITS_INV_SEC_THRIFT" hidden="1">"c24828"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"c16171"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HRIFT" hidden="1">"c25085"</definedName>
    <definedName name="IQ_TOTAL_COMMON_EQUITY_TOTAL_ASSETS_FFIEC" hidden="1">"c13864"</definedName>
    <definedName name="IQ_TOTAL_COMMON_EQUITY_TOTAL_ASSETS_THRIFT" hidden="1">"c25739"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AILY_AVERAGE_ALLOWABLE_EXCLUSIONS_THRIFT" hidden="1">"c25580"</definedName>
    <definedName name="IQ_TOTAL_DAILY_AVERAGE_FOREIGN_DEPOSITS_THRIFT" hidden="1">"c25581"</definedName>
    <definedName name="IQ_TOTAL_DAILY_AVERAGE_GROSS_DEPOSIT_LIABILITIES_BEFORE_EXCLUSIONS_THRIFT" hidden="1">"c25579"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CM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CM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FFIEC" hidden="1">"c13623"</definedName>
    <definedName name="IQ_TOTAL_DEPOSITS_SUPPLE" hidden="1">"c15253"</definedName>
    <definedName name="IQ_TOTAL_DEPOSITS_THRIFT" hidden="1">"c24984"</definedName>
    <definedName name="IQ_TOTAL_DIV_PAID_CF" hidden="1">"c1266"</definedName>
    <definedName name="IQ_TOTAL_DIVIDEND_INCOME_THRIFT" hidden="1">"c24756"</definedName>
    <definedName name="IQ_TOTAL_EARNING_ASSETS_QUARTERLY_AVG_FFIEC" hidden="1">"c25823"</definedName>
    <definedName name="IQ_TOTAL_ELIGIBLE_0_PCT_RISK_WEIGHT_THRIFT" hidden="1">"c25050"</definedName>
    <definedName name="IQ_TOTAL_ELIGIBLE_100_PCT_RISK_WEIGHT_THRIFT" hidden="1">"c25070"</definedName>
    <definedName name="IQ_TOTAL_ELIGIBLE_20_PCT_RISK_WEIGHT_THRIFT" hidden="1">"c25056"</definedName>
    <definedName name="IQ_TOTAL_ELIGIBLE_50_PCT_RISK_WEIGHT_THRIFT" hidden="1">"c25063"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INC_MINORITY_INT_THRIFT" hidden="1">"c24927"</definedName>
    <definedName name="IQ_TOTAL_EQUITY_CAPITAL_T1_FFIEC" hidden="1">"c13130"</definedName>
    <definedName name="IQ_TOTAL_EQUITY_CAPITAL_T1_THRIFT" hidden="1">"c25021"</definedName>
    <definedName name="IQ_TOTAL_EQUITY_CAPITAL_THRIFT" hidden="1">"c24925"</definedName>
    <definedName name="IQ_TOTAL_EQUITY_FFIEC" hidden="1">"c12881"</definedName>
    <definedName name="IQ_TOTAL_EQUITY_INCL_MINORITY_INTEREST_FFIEC" hidden="1">"c15278"</definedName>
    <definedName name="IQ_TOTAL_EQUITY_INV_NOT_CARRIED_FV_THRIFT" hidden="1">"c24879"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EQUITY_TOTAL_ASSETS_THRIFT" hidden="1">"c25738"</definedName>
    <definedName name="IQ_TOTAL_FIDUCIARY_ACCOUNTS_MANAGED_ASSETS_THRIFT" hidden="1">"c25346"</definedName>
    <definedName name="IQ_TOTAL_FIDUCIARY_ACCOUNTS_NONMANAGED_ASSETS_THRIFT" hidden="1">"c25367"</definedName>
    <definedName name="IQ_TOTAL_FIDUCIARY_ACCOUNTS_NUMBER_MANAGED_ACCOUNTS_THRIFT" hidden="1">"c25357"</definedName>
    <definedName name="IQ_TOTAL_FIDUCIARY_ACCOUNTS_NUMBER_NONMANAGED_ACCOUNTS_THRIFT" hidden="1">"c25379"</definedName>
    <definedName name="IQ_TOTAL_FOREIGN_DEPOSITS_FFIEC" hidden="1">"c15348"</definedName>
    <definedName name="IQ_TOTAL_FOREIGN_DEPOSITS_INCLUDED_IN_TOTAL_ALLOWABLE_EXCLUSIONS_THRIFT" hidden="1">"c25568"</definedName>
    <definedName name="IQ_TOTAL_FOREIGN_LOANS_QUARTERLY_AVG_FFIEC" hidden="1">"c15482"</definedName>
    <definedName name="IQ_TOTAL_GROSS_DEPOSIT_LIABILITIES_BEFORE_EXCLUSIONS_THRIFT" hidden="1">"c25566"</definedName>
    <definedName name="IQ_TOTAL_GROSS_FIDUCIARY_RELATED_SERVICES_INC_THRIFT" hidden="1">"c24811"</definedName>
    <definedName name="IQ_TOTAL_GROSS_LOSSES_MANAGED_ACCOUNTS_THRIFT" hidden="1">"c25465"</definedName>
    <definedName name="IQ_TOTAL_GROSS_LOSSES_NONMANAGED_ACCOUNTS_THRIFT" hidden="1">"c25470"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_THRIFT" hidden="1">"c24764"</definedName>
    <definedName name="IQ_TOTAL_INT_EXPENSE_FFIEC" hidden="1">"c13000"</definedName>
    <definedName name="IQ_TOTAL_INT_INCOME_FFIEC" hidden="1">"c12989"</definedName>
    <definedName name="IQ_TOTAL_INT_INCOME_THRIFT" hidden="1">"c24753"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EASES_TOTAL_LOANS_THRIFT" hidden="1">"c25751"</definedName>
    <definedName name="IQ_TOTAL_LIAB" hidden="1">"c1276"</definedName>
    <definedName name="IQ_TOTAL_LIAB_BNK" hidden="1">"c1277"</definedName>
    <definedName name="IQ_TOTAL_LIAB_BR" hidden="1">"c1278"</definedName>
    <definedName name="IQ_TOTAL_LIAB_CM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EQUITY_THRIFT" hidden="1">"c24928"</definedName>
    <definedName name="IQ_TOTAL_LIABILITIES_FAIR_VALUE_TOT_FFIEC" hidden="1">"c15411"</definedName>
    <definedName name="IQ_TOTAL_LIABILITIES_FDIC" hidden="1">"c6348"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IABILITIES_MEASURED_FV_RECURRING_BASIS_AMOUNTS_NETTED_THRIFT" hidden="1">"c25564"</definedName>
    <definedName name="IQ_TOTAL_LIABILITIES_MEASURED_FV_RECURRING_BASIS_LEVEL_1_THRIFT" hidden="1">"c25560"</definedName>
    <definedName name="IQ_TOTAL_LIABILITIES_MEASURED_FV_RECURRING_BASIS_LEVEL_2_THRIFT" hidden="1">"c25561"</definedName>
    <definedName name="IQ_TOTAL_LIABILITIES_MEASURED_FV_RECURRING_BASIS_LEVEL_3_THRIFT" hidden="1">"c25562"</definedName>
    <definedName name="IQ_TOTAL_LIABILITIES_MEASURED_FV_RECURRING_BASIS_TOTAL_AFTER_NETTING_THRIFT" hidden="1">"c25565"</definedName>
    <definedName name="IQ_TOTAL_LIABILITIES_MEASURED_FV_RECURRING_BASIS_TOTAL_BEFORE_NETTING_THRIFT" hidden="1">"c25563"</definedName>
    <definedName name="IQ_TOTAL_LIABILITIES_THRIFT" hidden="1">"c24913"</definedName>
    <definedName name="IQ_TOTAL_LL_DOMESTIC_QUARTERLY_AVG_FFIEC" hidden="1">"c25825"</definedName>
    <definedName name="IQ_TOTAL_LL_FOREIGN_QUARTERLY_AVG_FFIEC" hidden="1">"c25824"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IN_PROCESS_FORECLOSURE_THRIFT" hidden="1">"c25310"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MANAGED_ASSETS_ALL_OTHER_ACCOUNTS_THRIFT" hidden="1">"c25422"</definedName>
    <definedName name="IQ_TOTAL_MANAGED_ASSETS_EMPLOYEE_BENEFIT_RETIREMENT_RELATED_ACCOUNTS_THRIFT" hidden="1">"c25406"</definedName>
    <definedName name="IQ_TOTAL_MANAGED_ASSETS_PERSONAL_TRUST_AGENCY_INV_MANAGEMENT_ACCOUNTS_THRIFT" hidden="1">"c25390"</definedName>
    <definedName name="IQ_TOTAL_MBS_THRIFT" hidden="1">"c24837"</definedName>
    <definedName name="IQ_TOTAL_MORTGAGE_LOANS_THRIFT" hidden="1">"c24852"</definedName>
    <definedName name="IQ_TOTAL_MORTGAGE_NON_MORTGAGE_LOANS_DUE_30_89_THRIFT" hidden="1">"c25255"</definedName>
    <definedName name="IQ_TOTAL_MORTGAGE_NON_MORTGAGE_LOANS_DUE_90_THRIFT" hidden="1">"c25276"</definedName>
    <definedName name="IQ_TOTAL_MORTGAGE_NON_MORTGAGE_LOANS_NON_ACCRUAL_THRIFT" hidden="1">"c25297"</definedName>
    <definedName name="IQ_TOTAL_NON_MORTGAGE_LOANS_THRIFT" hidden="1">"c24868"</definedName>
    <definedName name="IQ_TOTAL_NON_RE_LOANS_TOTAL_LOANS_THRIFT" hidden="1">"c25752"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CM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ASSETS_THRIFT" hidden="1">"c24883"</definedName>
    <definedName name="IQ_TOTAL_OTHER_OPER" hidden="1">"c1289"</definedName>
    <definedName name="IQ_TOTAL_OTHER_TEMP_IMPAIR_LOSS_FFIEC" hidden="1">"c25846"</definedName>
    <definedName name="IQ_TOTAL_OTHER_UNUSED_FFIEC" hidden="1">"c25858"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AMT_ASSETS_COVERED_RECOURSE_OBLIGATIONS_DIRECT_CREDIT_SUBSTITUTES_THRIFT" hidden="1">"c25615"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COVERIES_THRIFT" hidden="1">"c25475"</definedName>
    <definedName name="IQ_TOTAL_RENTAL_REVENUE" hidden="1">"c16022"</definedName>
    <definedName name="IQ_TOTAL_RESERVES" hidden="1">"c21102"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CM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EVENUE_THRIFT" hidden="1">"c24785"</definedName>
    <definedName name="IQ_TOTAL_RISK_BASED_CAPITAL_FFIEC" hidden="1">"c13153"</definedName>
    <definedName name="IQ_TOTAL_RISK_BASED_CAPITAL_RATIO_FDIC" hidden="1">"c6747"</definedName>
    <definedName name="IQ_TOTAL_RISK_BASED_CAPITAL_RATIO_FFIEC" hidden="1">"c13162"</definedName>
    <definedName name="IQ_TOTAL_RISK_BASED_CAPITAL_RATIO_THRIFT" hidden="1">"c25082"</definedName>
    <definedName name="IQ_TOTAL_RISK_BASED_CAPITAL_REQUIREMENT_THRIFT" hidden="1">"c25080"</definedName>
    <definedName name="IQ_TOTAL_RISK_BASED_CAPITAL_THRIFT" hidden="1">"c25049"</definedName>
    <definedName name="IQ_TOTAL_RISK_WEIGHTED_ASSETS_FFIEC" hidden="1">"c13858"</definedName>
    <definedName name="IQ_TOTAL_RISK_WEIGHTED_ASSETS_THRIFT" hidden="1">"c25079"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R_SECURED" hidden="1">"c17890"</definedName>
    <definedName name="IQ_TOTAL_SR_SECURED_EBITDA" hidden="1">"c17901"</definedName>
    <definedName name="IQ_TOTAL_SR_SECURED_EBITDA_CAPEX" hidden="1">"c17902"</definedName>
    <definedName name="IQ_TOTAL_SR_SECURED_PCT" hidden="1">"c18004"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"c16168"</definedName>
    <definedName name="IQ_TOTAL_TIME_DEPOSITS_FDIC" hidden="1">"c6497"</definedName>
    <definedName name="IQ_TOTAL_TIME_DEPOSITS_TOTAL_DEPOSITS_THRIFT" hidden="1">"c25780"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CM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_FWD" hidden="1">"c17878"</definedName>
    <definedName name="IQ_TR_IMPLIED_EV_EBITDA" hidden="1">"c2303"</definedName>
    <definedName name="IQ_TR_IMPLIED_EV_EBITDA_FINAL" hidden="1">"c16251"</definedName>
    <definedName name="IQ_TR_IMPLIED_EV_EBITDA_FWD" hidden="1">"c17877"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MPLIED_EV_REV_FWD" hidden="1">"c17876"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FFER_PRICE_BV_FWD" hidden="1">"c17880"</definedName>
    <definedName name="IQ_TR_OFFER_PRICE_EARNINGS_FWD" hidden="1">"c17879"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MAIN_MONETARY_VALUE" hidden="1">"c18099"</definedName>
    <definedName name="IQ_TR_REMAIN_NUMBER_SHARES" hidden="1">"c18101"</definedName>
    <definedName name="IQ_TR_REMAIN_PCT_SHARES" hidden="1">"c18100"</definedName>
    <definedName name="IQ_TR_RENEWAL_BUYBACK" hidden="1">"c2413"</definedName>
    <definedName name="IQ_TR_ROUND_NUMBER" hidden="1">"c2295"</definedName>
    <definedName name="IQ_TR_SEC_FEES" hidden="1">"c13642"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DILUT_EPS_EXCL" hidden="1">"c17703"</definedName>
    <definedName name="IQ_TR_SELLER_EARNING_CO" hidden="1">"c17702"</definedName>
    <definedName name="IQ_TR_SELLER_EBIT" hidden="1">"c17700"</definedName>
    <definedName name="IQ_TR_SELLER_EBITDA" hidden="1">"c17699"</definedName>
    <definedName name="IQ_TR_SELLER_ID" hidden="1">"c2406"</definedName>
    <definedName name="IQ_TR_SELLER_MIN_INT" hidden="1">"c17707"</definedName>
    <definedName name="IQ_TR_SELLER_NET_DEBT" hidden="1">"c17709"</definedName>
    <definedName name="IQ_TR_SELLER_NI" hidden="1">"c17701"</definedName>
    <definedName name="IQ_TR_SELLER_TOTAL_ASSETS" hidden="1">"c17710"</definedName>
    <definedName name="IQ_TR_SELLER_TOTAL_CASH_ST_INVEST" hidden="1">"c17708"</definedName>
    <definedName name="IQ_TR_SELLER_TOTAL_COMMON_EQ" hidden="1">"c17704"</definedName>
    <definedName name="IQ_TR_SELLER_TOTAL_DEBT" hidden="1">"c17705"</definedName>
    <definedName name="IQ_TR_SELLER_TOTAL_PREF" hidden="1">"c17706"</definedName>
    <definedName name="IQ_TR_SELLER_TOTAL_REV" hidden="1">"c17698"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HELF_EXP_EXPIRATION_DATE" hidden="1">"c18102"</definedName>
    <definedName name="IQ_TR_SHELF_EXPIRED_DATE" hidden="1">"c18103"</definedName>
    <definedName name="IQ_TR_SPECIAL_COMMITTEE" hidden="1">"c2362"</definedName>
    <definedName name="IQ_TR_SPIN_DEF_AGRMT_DATE" hidden="1">"c17696"</definedName>
    <definedName name="IQ_TR_SPIN_DIST_RATIO_FINAL" hidden="1">"c17734"</definedName>
    <definedName name="IQ_TR_SPIN_DIST_RATIO_OFFER" hidden="1">"c17728"</definedName>
    <definedName name="IQ_TR_SPIN_DIST_SHARES_FINAL" hidden="1">"c17852"</definedName>
    <definedName name="IQ_TR_SPIN_DIST_SHARES_OFFER" hidden="1">"c17729"</definedName>
    <definedName name="IQ_TR_SPIN_DIST_VALUE" hidden="1">"c17711"</definedName>
    <definedName name="IQ_TR_SPIN_DIST_VALUE_FINAL" hidden="1">"c17722"</definedName>
    <definedName name="IQ_TR_SPIN_DIST_VALUE_OFFER" hidden="1">"c17712"</definedName>
    <definedName name="IQ_TR_SPIN_IMPLIED_EQ_BV_OFFER" hidden="1">"c17721"</definedName>
    <definedName name="IQ_TR_SPIN_IMPLIED_EQ_NI_LTM_OFFER" hidden="1">"c17720"</definedName>
    <definedName name="IQ_TR_SPIN_IMPLIED_EQ_OFFER" hidden="1">"c17714"</definedName>
    <definedName name="IQ_TR_SPIN_IMPLIED_EV_EBIT_OFFER" hidden="1">"c17719"</definedName>
    <definedName name="IQ_TR_SPIN_IMPLIED_EV_EBITDA_OFFER" hidden="1">"c17718"</definedName>
    <definedName name="IQ_TR_SPIN_IMPLIED_EV_OFFER" hidden="1">"c17716"</definedName>
    <definedName name="IQ_TR_SPIN_IMPLIED_EV_REV_OFFER" hidden="1">"c17717"</definedName>
    <definedName name="IQ_TR_SPIN_NET_ASSUM_LIAB_OFFER" hidden="1">"c17715"</definedName>
    <definedName name="IQ_TR_SPIN_PARENT_SHARES_OUT_FINAL" hidden="1">"c17733"</definedName>
    <definedName name="IQ_TR_SPIN_PARENT_SHARES_OUT_OFFER" hidden="1">"c17727"</definedName>
    <definedName name="IQ_TR_SPIN_PCT_DIST_FINAL" hidden="1">"c17723"</definedName>
    <definedName name="IQ_TR_SPIN_PCT_DIST_OFFER" hidden="1">"c17713"</definedName>
    <definedName name="IQ_TR_SPIN_RECORD_DATE" hidden="1">"c17697"</definedName>
    <definedName name="IQ_TR_SPIN_SECURITY_CIQID" hidden="1">"c17724"</definedName>
    <definedName name="IQ_TR_SPIN_SECURITY_PCT_DIST_FINAL" hidden="1">"c17732"</definedName>
    <definedName name="IQ_TR_SPIN_SECURITY_PCT_DIST_OFFER" hidden="1">"c17726"</definedName>
    <definedName name="IQ_TR_SPIN_SECURITY_PRICE_FINAL" hidden="1">"c17731"</definedName>
    <definedName name="IQ_TR_SPIN_SECURITY_PRICE_OFFER" hidden="1">"c17725"</definedName>
    <definedName name="IQ_TR_SPIN_VALUE_CONSID_FINAL" hidden="1">"c17853"</definedName>
    <definedName name="IQ_TR_SPIN_VALUE_CONSID_OFFER" hidden="1">"c17730"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BV_SHARE_EST" hidden="1">"c17885"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_EST" hidden="1">"c17883"</definedName>
    <definedName name="IQ_TR_TARGET_EBITDA" hidden="1">"c2334"</definedName>
    <definedName name="IQ_TR_TARGET_EBITDA_EQ_INC" hidden="1">"c3608"</definedName>
    <definedName name="IQ_TR_TARGET_EBITDA_EST" hidden="1">"c17882"</definedName>
    <definedName name="IQ_TR_TARGET_EPS_EST" hidden="1">"c17884"</definedName>
    <definedName name="IQ_TR_TARGET_EST_CURRENCY" hidden="1">"c17886"</definedName>
    <definedName name="IQ_TR_TARGET_EST_DATE" hidden="1">"c17887"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REVENUE_EST" hidden="1">"c17881"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"c13640"</definedName>
    <definedName name="IQ_TR_TERM_FEE_PCT" hidden="1">"c13641"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BALANCE_USD" hidden="1">"c21103"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AIR_VALUE_TOT_FFIEC" hidden="1">"c13210"</definedName>
    <definedName name="IQ_TRADING_ASSETS_FDIC" hidden="1">"c6328"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DIC" hidden="1">"c6344"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DING_SEC_AMOUNTS_NETTED_THRIFT" hidden="1">"c25486"</definedName>
    <definedName name="IQ_TRADING_SEC_LEVEL_1_THRIFT" hidden="1">"c25482"</definedName>
    <definedName name="IQ_TRADING_SEC_LEVEL_2_THRIFT" hidden="1">"c25483"</definedName>
    <definedName name="IQ_TRADING_SEC_LEVEL_3_THRIFT" hidden="1">"c25484"</definedName>
    <definedName name="IQ_TRADING_SEC_TOTAL_AFTER_NETTING_THRIFT" hidden="1">"c25487"</definedName>
    <definedName name="IQ_TRADING_SEC_TOTAL_BEFORE_NETTING_THRIFT" hidden="1">"c25485"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ANSACTION_ACCOUNTS_INC_DEMAND_DEPOSITS_THRIFT" hidden="1">"c24998"</definedName>
    <definedName name="IQ_TRANSACTION_ACCOUNTS_TOTAL_DEPOSITS_THRIFT" hidden="1">"c25777"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ANSFER_AGENT_REGISTRAR_PAYING_AGENT_OTHER_CORPORATE_AGENCY_NUMBER_ISSUES_THRIFT" hidden="1">"c25444"</definedName>
    <definedName name="IQ_TRANSFERS_GVA_THRIFT" hidden="1">"c25093"</definedName>
    <definedName name="IQ_TRANSFERS_SVA_THRIFT" hidden="1">"c25101"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CM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EASURY_STOCK_TRANSACTIONS_FFIEC" hidden="1">"c15352"</definedName>
    <definedName name="IQ_TROUBLED_DEBT_RESTRUCTURED_DUE_30_89_THRIFT" hidden="1">"c25256"</definedName>
    <definedName name="IQ_TROUBLED_DEBT_RESTRUCTURED_DUE_90_THRIFT" hidden="1">"c25277"</definedName>
    <definedName name="IQ_TROUBLED_DEBT_RESTRUCTURED_NON_ACCRUAL_THRIFT" hidden="1">"c25298"</definedName>
    <definedName name="IQ_TROUBLED_DEBT_RESTRUCTURED_THRIFT" hidden="1">"c25230"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MORTIZED_YIELD_ADJUSTMENTS_THRIFT" hidden="1">"c24898"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SECURITIZED" hidden="1">"c17900"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CM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_RATE" hidden="1">"c21104"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NSURED_DEPOSITS_THRIFT" hidden="1">"c24995"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ALIZED_GAINS_AFS_EQUITY_SEC_T2_THRIFT" hidden="1">"c25040"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ERCIAL_LOANS_THRIFT" hidden="1">"c24855"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SECURED_FEDERAL_FUNDS_PURCHASED_THRIFT" hidden="1">"c25572"</definedName>
    <definedName name="IQ_UNSECURED_OTHER_BORROWINGS_WITH_REMAINING_MATURITY_ONE_YEAR_LESS_THRIFT" hidden="1">"c25575"</definedName>
    <definedName name="IQ_UNSECURED_OTHER_BORROWINGS_WITH_REMAINING_MATURITY_OVER_ONE_YEAR_THRIFT" hidden="1">"c25576"</definedName>
    <definedName name="IQ_UNUSED_LINES_CREDIT_COMM_LINES_THRIFT" hidden="1">"c25607"</definedName>
    <definedName name="IQ_UNUSED_LINES_CREDIT_REVOLVING_OPEN_END_LOANS_1_4_DWELLING_UNITS_THRIFT" hidden="1">"c25606"</definedName>
    <definedName name="IQ_UNUSED_LINES_CREDIT_THRIFT" hidden="1">"c25605"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AGENCY_SPONSORED_ENTERPRISE_SEC_THRIFT" hidden="1">"c24822"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AGENCY_SPONSORED_ENTERPRISE_SEC_INV_SEC_THRIFT" hidden="1">"c25671"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DIC" hidden="1">"c6298"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_TREASURY_US_GOVT_AGENCY_OBLIGATIONS_ALL_OTHER_ACCOUNTS_THRIFT" hidden="1">"c25425"</definedName>
    <definedName name="IQ_US_TREASURY_US_GOVT_AGENCY_OBLIGATIONS_EMPLOYEE_BENEFIT_RETIREMENT_RELATED_ACCOUNTS_THRIFT" hidden="1">"c25409"</definedName>
    <definedName name="IQ_US_TREASURY_US_GOVT_AGENCY_OBLIGATIONS_PERSONAL_TRUST_AGENCY_INV_MANAGEMENT_ACCOUNTS_THRIFT" hidden="1">"c25393"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DEBT" hidden="1">"c17895"</definedName>
    <definedName name="IQ_VARIABLE_RATE_DEBT_PCT" hidden="1">"c18009"</definedName>
    <definedName name="IQ_VARIABLE_RATE_PREFERREDS_INT_SENSITIVITY_FFIEC" hidden="1">"c13096"</definedName>
    <definedName name="IQ_VC_REV_OPERATING_INC_FFIEC" hidden="1">"c13388"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_TOTAL_AGG_INT_VALUE_EXER" hidden="1">"c18465"</definedName>
    <definedName name="IQ_WAR_TOTAL_AGG_INT_VALUE_OUT" hidden="1">"c18461"</definedName>
    <definedName name="IQ_WAR_TOTAL_NUM_EXER" hidden="1">"c18463"</definedName>
    <definedName name="IQ_WAR_TOTAL_NUM_OUT" hidden="1">"c18459"</definedName>
    <definedName name="IQ_WAR_TOTAL_PLAN_NAME" hidden="1">"c18469"</definedName>
    <definedName name="IQ_WAR_TOTAL_PRICE_HIGH" hidden="1">"c18456"</definedName>
    <definedName name="IQ_WAR_TOTAL_PRICE_LOW" hidden="1">"c18455"</definedName>
    <definedName name="IQ_WAR_TOTAL_PRICE_RANGE" hidden="1">"c18457"</definedName>
    <definedName name="IQ_WAR_TOTAL_WTD_LIFE_EXER" hidden="1">"c18464"</definedName>
    <definedName name="IQ_WAR_TOTAL_WTD_LIFE_OUT" hidden="1">"c18460"</definedName>
    <definedName name="IQ_WAR_TOTAL_WTD_PRICE_EXER" hidden="1">"c18462"</definedName>
    <definedName name="IQ_WAR_TOTAL_WTD_PRICE_OUT" hidden="1">"c18458"</definedName>
    <definedName name="IQ_WAR_TRANCHE_AGG_INT_VALUE_EXER" hidden="1">"c18454"</definedName>
    <definedName name="IQ_WAR_TRANCHE_AGG_INT_VALUE_OUT" hidden="1">"c18450"</definedName>
    <definedName name="IQ_WAR_TRANCHE_CLASS_NAME" hidden="1">"c18443"</definedName>
    <definedName name="IQ_WAR_TRANCHE_NUM_EXER" hidden="1">"c18452"</definedName>
    <definedName name="IQ_WAR_TRANCHE_NUM_OUT" hidden="1">"c18448"</definedName>
    <definedName name="IQ_WAR_TRANCHE_PLAN_NAME" hidden="1">"c18442"</definedName>
    <definedName name="IQ_WAR_TRANCHE_PLAN_RANK" hidden="1">"c18468"</definedName>
    <definedName name="IQ_WAR_TRANCHE_PRICE_HIGH" hidden="1">"c18445"</definedName>
    <definedName name="IQ_WAR_TRANCHE_PRICE_LOW" hidden="1">"c18444"</definedName>
    <definedName name="IQ_WAR_TRANCHE_PRICE_RANGE" hidden="1">"c18446"</definedName>
    <definedName name="IQ_WAR_TRANCHE_WTD_LIFE_EXER" hidden="1">"c18453"</definedName>
    <definedName name="IQ_WAR_TRANCHE_WTD_LIFE_OUT" hidden="1">"c18449"</definedName>
    <definedName name="IQ_WAR_TRANCHE_WTD_PRICE_EXER" hidden="1">"c18451"</definedName>
    <definedName name="IQ_WAR_TRANCHE_WTD_PRICE_OUT" hidden="1">"c18447"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HOLESALE_INV_ALCOHOL" hidden="1">"c21105"</definedName>
    <definedName name="IQ_WHOLESALE_INV_APPAREL" hidden="1">"c21106"</definedName>
    <definedName name="IQ_WHOLESALE_INV_CHEMICALS" hidden="1">"c21107"</definedName>
    <definedName name="IQ_WHOLESALE_INV_COMPUTER" hidden="1">"c21108"</definedName>
    <definedName name="IQ_WHOLESALE_INV_DRUGS" hidden="1">"c21109"</definedName>
    <definedName name="IQ_WHOLESALE_INV_DUR" hidden="1">"c21110"</definedName>
    <definedName name="IQ_WHOLESALE_INV_DUR_MISC" hidden="1">"c21111"</definedName>
    <definedName name="IQ_WHOLESALE_INV_ELECTRIC" hidden="1">"c21112"</definedName>
    <definedName name="IQ_WHOLESALE_INV_EQUIP" hidden="1">"c21113"</definedName>
    <definedName name="IQ_WHOLESALE_INV_FARM_PRODUCT" hidden="1">"c21114"</definedName>
    <definedName name="IQ_WHOLESALE_INV_FURNITURE" hidden="1">"c21115"</definedName>
    <definedName name="IQ_WHOLESALE_INV_GROCERIES" hidden="1">"c21116"</definedName>
    <definedName name="IQ_WHOLESALE_INV_HARDWARE" hidden="1">"c21117"</definedName>
    <definedName name="IQ_WHOLESALE_INV_LUMBER" hidden="1">"c21118"</definedName>
    <definedName name="IQ_WHOLESALE_INV_MACHINERY" hidden="1">"c21119"</definedName>
    <definedName name="IQ_WHOLESALE_INV_METALS_MINERALS" hidden="1">"c21120"</definedName>
    <definedName name="IQ_WHOLESALE_INV_MOTOR_VEHICLE" hidden="1">"c21121"</definedName>
    <definedName name="IQ_WHOLESALE_INV_NONDUR" hidden="1">"c21122"</definedName>
    <definedName name="IQ_WHOLESALE_INV_NONDUR_MISC" hidden="1">"c21123"</definedName>
    <definedName name="IQ_WHOLESALE_INV_PAPER" hidden="1">"c21124"</definedName>
    <definedName name="IQ_WHOLESALE_INV_PETROLEUM" hidden="1">"c21125"</definedName>
    <definedName name="IQ_WHOLESALE_INV_SALES_RATIO_ALCOHOL" hidden="1">"c21126"</definedName>
    <definedName name="IQ_WHOLESALE_INV_SALES_RATIO_APPAREL" hidden="1">"c21127"</definedName>
    <definedName name="IQ_WHOLESALE_INV_SALES_RATIO_CHEMICALS" hidden="1">"c21128"</definedName>
    <definedName name="IQ_WHOLESALE_INV_SALES_RATIO_COMPUTER" hidden="1">"c21129"</definedName>
    <definedName name="IQ_WHOLESALE_INV_SALES_RATIO_DRUGS" hidden="1">"c21130"</definedName>
    <definedName name="IQ_WHOLESALE_INV_SALES_RATIO_DUR" hidden="1">"c21131"</definedName>
    <definedName name="IQ_WHOLESALE_INV_SALES_RATIO_DUR_MISC" hidden="1">"c21132"</definedName>
    <definedName name="IQ_WHOLESALE_INV_SALES_RATIO_ELECTRIC" hidden="1">"c21133"</definedName>
    <definedName name="IQ_WHOLESALE_INV_SALES_RATIO_EQUIP" hidden="1">"c21134"</definedName>
    <definedName name="IQ_WHOLESALE_INV_SALES_RATIO_FARM_PRODUCT" hidden="1">"c21135"</definedName>
    <definedName name="IQ_WHOLESALE_INV_SALES_RATIO_FURNITURE" hidden="1">"c21136"</definedName>
    <definedName name="IQ_WHOLESALE_INV_SALES_RATIO_GROCERIES" hidden="1">"c21137"</definedName>
    <definedName name="IQ_WHOLESALE_INV_SALES_RATIO_HARDWARE" hidden="1">"c21138"</definedName>
    <definedName name="IQ_WHOLESALE_INV_SALES_RATIO_LUMBER" hidden="1">"c21139"</definedName>
    <definedName name="IQ_WHOLESALE_INV_SALES_RATIO_MACHINERY" hidden="1">"c21140"</definedName>
    <definedName name="IQ_WHOLESALE_INV_SALES_RATIO_METALS_MINERALS" hidden="1">"c21141"</definedName>
    <definedName name="IQ_WHOLESALE_INV_SALES_RATIO_MOTOR_VEHICLE" hidden="1">"c21142"</definedName>
    <definedName name="IQ_WHOLESALE_INV_SALES_RATIO_NONDUR" hidden="1">"c21143"</definedName>
    <definedName name="IQ_WHOLESALE_INV_SALES_RATIO_NONDUR_MISC" hidden="1">"c21144"</definedName>
    <definedName name="IQ_WHOLESALE_INV_SALES_RATIO_PAPER" hidden="1">"c21145"</definedName>
    <definedName name="IQ_WHOLESALE_INV_SALES_RATIO_PETROLEUM" hidden="1">"c21146"</definedName>
    <definedName name="IQ_WHOLESALE_INV_SALES_RATIO_TOTAL" hidden="1">"c21147"</definedName>
    <definedName name="IQ_WHOLESALE_INV_TOTAL" hidden="1">"c21148"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LCOHOL" hidden="1">"c21149"</definedName>
    <definedName name="IQ_WHOLESALE_SALES_APPAREL" hidden="1">"c21150"</definedName>
    <definedName name="IQ_WHOLESALE_SALES_APR" hidden="1">"c7688"</definedName>
    <definedName name="IQ_WHOLESALE_SALES_APR_FC" hidden="1">"c8568"</definedName>
    <definedName name="IQ_WHOLESALE_SALES_CHEMICALS" hidden="1">"c21151"</definedName>
    <definedName name="IQ_WHOLESALE_SALES_COMPUTER" hidden="1">"c21152"</definedName>
    <definedName name="IQ_WHOLESALE_SALES_DRUGS" hidden="1">"c21153"</definedName>
    <definedName name="IQ_WHOLESALE_SALES_DUR" hidden="1">"c21154"</definedName>
    <definedName name="IQ_WHOLESALE_SALES_DUR_MISC" hidden="1">"c21155"</definedName>
    <definedName name="IQ_WHOLESALE_SALES_ELECTRIC" hidden="1">"c21156"</definedName>
    <definedName name="IQ_WHOLESALE_SALES_EQUIP" hidden="1">"c21157"</definedName>
    <definedName name="IQ_WHOLESALE_SALES_FARM_PRODUCT" hidden="1">"c21158"</definedName>
    <definedName name="IQ_WHOLESALE_SALES_FC" hidden="1">"c7908"</definedName>
    <definedName name="IQ_WHOLESALE_SALES_FURNITURE" hidden="1">"c21159"</definedName>
    <definedName name="IQ_WHOLESALE_SALES_GROCERIES" hidden="1">"c21160"</definedName>
    <definedName name="IQ_WHOLESALE_SALES_HARDWARE" hidden="1">"c21161"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LUMBER" hidden="1">"c21162"</definedName>
    <definedName name="IQ_WHOLESALE_SALES_MACHINERY" hidden="1">"c21163"</definedName>
    <definedName name="IQ_WHOLESALE_SALES_METALS_MINERALS" hidden="1">"c21164"</definedName>
    <definedName name="IQ_WHOLESALE_SALES_MOTOR_VEHICLE" hidden="1">"c21165"</definedName>
    <definedName name="IQ_WHOLESALE_SALES_NONDUR" hidden="1">"c21166"</definedName>
    <definedName name="IQ_WHOLESALE_SALES_NONDUR_MISC" hidden="1">"c21167"</definedName>
    <definedName name="IQ_WHOLESALE_SALES_PAPER" hidden="1">"c21168"</definedName>
    <definedName name="IQ_WHOLESALE_SALES_PETROLEUM" hidden="1">"c21169"</definedName>
    <definedName name="IQ_WHOLESALE_SALES_POP" hidden="1">"c7248"</definedName>
    <definedName name="IQ_WHOLESALE_SALES_POP_FC" hidden="1">"c8128"</definedName>
    <definedName name="IQ_WHOLESALE_SALES_TOTAL" hidden="1">"c21170"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"c2104"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_ZERO_COUPON_DEBT" hidden="1">"c17896"</definedName>
    <definedName name="IQ_ZERO_COUPON_DEBT_PCT" hidden="1">"c18010"</definedName>
    <definedName name="iQShowHideColumns" localSheetId="0" hidden="1">"iQShowQuarterlyAnnual"</definedName>
    <definedName name="iQShowHideColumns" hidden="1">"iQShowAnnual"</definedName>
    <definedName name="IRR" localSheetId="0">#REF!</definedName>
    <definedName name="IRR">#REF!</definedName>
    <definedName name="irrc" localSheetId="0">#REF!</definedName>
    <definedName name="irrc">#REF!</definedName>
    <definedName name="irrins" localSheetId="0">#REF!</definedName>
    <definedName name="irrins">#REF!</definedName>
    <definedName name="irritc" localSheetId="0">#REF!</definedName>
    <definedName name="irritc">#REF!</definedName>
    <definedName name="irrm" localSheetId="0">#REF!</definedName>
    <definedName name="irrm">#REF!</definedName>
    <definedName name="is" localSheetId="0">#REF!</definedName>
    <definedName name="is">#REF!</definedName>
    <definedName name="is_active" localSheetId="0">#REF!</definedName>
    <definedName name="is_active">#REF!</definedName>
    <definedName name="IS_divisional" localSheetId="0">#REF!</definedName>
    <definedName name="IS_divisional">#REF!</definedName>
    <definedName name="is_holdbin" localSheetId="0">#REF!</definedName>
    <definedName name="is_holdbin">#REF!</definedName>
    <definedName name="is_restricted" localSheetId="0">#REF!</definedName>
    <definedName name="is_restricted">#REF!</definedName>
    <definedName name="is_restricted_ext" localSheetId="0">#REF!</definedName>
    <definedName name="is_restricted_ext">#REF!</definedName>
    <definedName name="is_restricted_over" localSheetId="0">#REF!</definedName>
    <definedName name="is_restricted_over">#REF!</definedName>
    <definedName name="is_restricted_use_over" localSheetId="0">#REF!</definedName>
    <definedName name="is_restricted_use_over">#REF!</definedName>
    <definedName name="is_week_of_next_release_date" localSheetId="0">#REF!</definedName>
    <definedName name="is_week_of_next_release_date">#REF!</definedName>
    <definedName name="is00_10" localSheetId="0">#REF!</definedName>
    <definedName name="is00_10">#REF!</definedName>
    <definedName name="is01_02" localSheetId="0">#REF!</definedName>
    <definedName name="is01_02">#REF!</definedName>
    <definedName name="ISBgn" localSheetId="0">#REF!</definedName>
    <definedName name="ISBgn">#REF!</definedName>
    <definedName name="IsColHidden" hidden="1">FALSE</definedName>
    <definedName name="IsLTMColHidden" hidden="1">FALSE</definedName>
    <definedName name="iso_country_code" localSheetId="0">#REF!</definedName>
    <definedName name="iso_country_code">#REF!</definedName>
    <definedName name="iso_currency_code" localSheetId="0">#REF!</definedName>
    <definedName name="iso_currency_code">#REF!</definedName>
    <definedName name="isplines4q2000" localSheetId="0">#REF!</definedName>
    <definedName name="isplines4q2000">#REF!</definedName>
    <definedName name="isplinesadded2000" localSheetId="0">#REF!</definedName>
    <definedName name="isplinesadded2000">#REF!</definedName>
    <definedName name="ISsubsBgn" localSheetId="0">#REF!</definedName>
    <definedName name="ISsubsBgn">#REF!</definedName>
    <definedName name="Italy" localSheetId="0">#REF!</definedName>
    <definedName name="Italy">#REF!</definedName>
    <definedName name="Italy_w" localSheetId="0">#REF!</definedName>
    <definedName name="Italy_w">#REF!</definedName>
    <definedName name="ITCcal" localSheetId="0">#REF!,#REF!</definedName>
    <definedName name="ITCcal">#REF!,#REF!</definedName>
    <definedName name="ITChcread" localSheetId="0">#REF!,#REF!</definedName>
    <definedName name="ITChcread">#REF!,#REF!</definedName>
    <definedName name="IU" localSheetId="5" hidden="1">{"'Check Request'!$A$1:$BF$37"}</definedName>
    <definedName name="IU" localSheetId="0" hidden="1">{"'Check Request'!$A$1:$BF$37"}</definedName>
    <definedName name="IU" localSheetId="4" hidden="1">{"'Check Request'!$A$1:$BF$37"}</definedName>
    <definedName name="IU" hidden="1">{"'Check Request'!$A$1:$BF$37"}</definedName>
    <definedName name="jason" localSheetId="0">#REF!</definedName>
    <definedName name="jason">#REF!</definedName>
    <definedName name="JCC" localSheetId="0">#REF!</definedName>
    <definedName name="JCC">#REF!</definedName>
    <definedName name="jci_dpsg" localSheetId="0">#REF!</definedName>
    <definedName name="jci_dpsg">#REF!</definedName>
    <definedName name="jci_epsg" localSheetId="0">#REF!</definedName>
    <definedName name="jci_epsg">#REF!</definedName>
    <definedName name="JF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F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GJG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HJ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KJ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jpynew" localSheetId="0">#REF!</definedName>
    <definedName name="jpynew">#REF!</definedName>
    <definedName name="jpyold" localSheetId="0">#REF!</definedName>
    <definedName name="jpyold">#REF!</definedName>
    <definedName name="JSkyB_NonE00" localSheetId="0">#REF!</definedName>
    <definedName name="JSkyB_NonE00">#REF!</definedName>
    <definedName name="jtotal93" localSheetId="0">#REF!</definedName>
    <definedName name="jtotal93">#REF!</definedName>
    <definedName name="jtotal94" localSheetId="0">#REF!</definedName>
    <definedName name="jtotal94">#REF!</definedName>
    <definedName name="jtotal95" localSheetId="0">#REF!</definedName>
    <definedName name="jtotal95">#REF!</definedName>
    <definedName name="jtotal96" localSheetId="0">#REF!</definedName>
    <definedName name="jtotal96">#REF!</definedName>
    <definedName name="jtotal97" localSheetId="0">#REF!</definedName>
    <definedName name="jtotal97">#REF!</definedName>
    <definedName name="jtotal98" localSheetId="0">#REF!</definedName>
    <definedName name="jtotal98">#REF!</definedName>
    <definedName name="jtotal99" localSheetId="0">#REF!</definedName>
    <definedName name="jtotal99">#REF!</definedName>
    <definedName name="June" localSheetId="5" hidden="1">{"'Check Request'!$A$1:$BF$37"}</definedName>
    <definedName name="June" localSheetId="0" hidden="1">{"'Check Request'!$A$1:$BF$37"}</definedName>
    <definedName name="June" localSheetId="4" hidden="1">{"'Check Request'!$A$1:$BF$37"}</definedName>
    <definedName name="June" hidden="1">{"'Check Request'!$A$1:$BF$37"}</definedName>
    <definedName name="JUNK2" localSheetId="0">#REF!</definedName>
    <definedName name="JUNK2">#REF!</definedName>
    <definedName name="JUNK3" localSheetId="0">#REF!</definedName>
    <definedName name="JUNK3">#REF!</definedName>
    <definedName name="Kd" localSheetId="0">#REF!</definedName>
    <definedName name="Kd">#REF!</definedName>
    <definedName name="KDATE" localSheetId="0">#REF!</definedName>
    <definedName name="KDATE">#REF!</definedName>
    <definedName name="Ke" localSheetId="0">#REF!</definedName>
    <definedName name="Ke">#REF!</definedName>
    <definedName name="Key_1" localSheetId="0">#REF!</definedName>
    <definedName name="Key_1">#REF!</definedName>
    <definedName name="Key_10" localSheetId="0">#REF!</definedName>
    <definedName name="Key_10">#REF!</definedName>
    <definedName name="Key_11" localSheetId="0">#REF!</definedName>
    <definedName name="Key_11">#REF!</definedName>
    <definedName name="Key_2" localSheetId="0">#REF!</definedName>
    <definedName name="Key_2">#REF!</definedName>
    <definedName name="Key_3" localSheetId="0">#REF!</definedName>
    <definedName name="Key_3">#REF!</definedName>
    <definedName name="Key_4" localSheetId="0">#REF!</definedName>
    <definedName name="Key_4">#REF!</definedName>
    <definedName name="Key_5" localSheetId="0">#REF!</definedName>
    <definedName name="Key_5">#REF!</definedName>
    <definedName name="Key_6" localSheetId="0">#REF!</definedName>
    <definedName name="Key_6">#REF!</definedName>
    <definedName name="Key_7" localSheetId="0">#REF!</definedName>
    <definedName name="Key_7">#REF!</definedName>
    <definedName name="Key_8" localSheetId="0">#REF!</definedName>
    <definedName name="Key_8">#REF!</definedName>
    <definedName name="Key_9" localSheetId="0">#REF!</definedName>
    <definedName name="Key_9">#REF!</definedName>
    <definedName name="KFH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FH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KKK" localSheetId="0">#REF!</definedName>
    <definedName name="KKK">#REF!</definedName>
    <definedName name="klci_dpsg" localSheetId="0">#REF!</definedName>
    <definedName name="klci_dpsg">#REF!</definedName>
    <definedName name="klci_epsg" localSheetId="0">#REF!</definedName>
    <definedName name="klci_epsg">#REF!</definedName>
    <definedName name="klklklkl" localSheetId="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0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localSheetId="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ospi_dpsg" localSheetId="0">#REF!</definedName>
    <definedName name="kospi_dpsg">#REF!</definedName>
    <definedName name="kospi_epsg" localSheetId="0">#REF!</definedName>
    <definedName name="kospi_epsg">#REF!</definedName>
    <definedName name="kospifxfactor" localSheetId="0">#REF!</definedName>
    <definedName name="kospifxfactor">#REF!</definedName>
    <definedName name="kospinew" localSheetId="0">#REF!</definedName>
    <definedName name="kospinew">#REF!</definedName>
    <definedName name="kospiold" localSheetId="0">#REF!</definedName>
    <definedName name="kospiold">#REF!</definedName>
    <definedName name="krwnew" localSheetId="0">#REF!</definedName>
    <definedName name="krwnew">#REF!</definedName>
    <definedName name="krwold" localSheetId="0">#REF!</definedName>
    <definedName name="krwold">#REF!</definedName>
    <definedName name="KwhSales" localSheetId="0">#REF!</definedName>
    <definedName name="KwhSales">#REF!</definedName>
    <definedName name="L" localSheetId="0">#REF!</definedName>
    <definedName name="L">#REF!</definedName>
    <definedName name="L_ALL_000050.SZ" localSheetId="0">#REF!</definedName>
    <definedName name="L_ALL_000050.SZ">#REF!</definedName>
    <definedName name="L_ALL_000422.SZ" localSheetId="0">#REF!</definedName>
    <definedName name="L_ALL_000422.SZ">#REF!</definedName>
    <definedName name="L_ALL_000725.SZ" localSheetId="0">#REF!</definedName>
    <definedName name="L_ALL_000725.SZ">#REF!</definedName>
    <definedName name="L_ALL_002153.SZ" localSheetId="0">#REF!</definedName>
    <definedName name="L_ALL_002153.SZ">#REF!</definedName>
    <definedName name="L_ALL_002230.SZ" localSheetId="0">#REF!</definedName>
    <definedName name="L_ALL_002230.SZ">#REF!</definedName>
    <definedName name="L_ALL_002236.SZ" localSheetId="0">#REF!</definedName>
    <definedName name="L_ALL_002236.SZ">#REF!</definedName>
    <definedName name="L_ALL_002261.SZ" localSheetId="0">#REF!</definedName>
    <definedName name="L_ALL_002261.SZ">#REF!</definedName>
    <definedName name="L_ALL_002405.SZ" localSheetId="0">#REF!</definedName>
    <definedName name="L_ALL_002405.SZ">#REF!</definedName>
    <definedName name="L_ALL_002415.SZ_" localSheetId="0">#REF!</definedName>
    <definedName name="L_ALL_002415.SZ_">#REF!</definedName>
    <definedName name="L_ALL_002456.SZ" localSheetId="0">#REF!</definedName>
    <definedName name="L_ALL_002456.SZ">#REF!</definedName>
    <definedName name="L_ALL_0100.HK" localSheetId="0">#REF!</definedName>
    <definedName name="L_ALL_0100.HK">#REF!</definedName>
    <definedName name="L_ALL_0175.HK_" localSheetId="0">#REF!</definedName>
    <definedName name="L_ALL_0175.HK_">#REF!</definedName>
    <definedName name="L_ALL_0881.HK" localSheetId="0">#REF!</definedName>
    <definedName name="L_ALL_0881.HK">#REF!</definedName>
    <definedName name="L_ALL_0881.HK_" localSheetId="0">#REF!</definedName>
    <definedName name="L_ALL_0881.HK_">#REF!</definedName>
    <definedName name="L_ALL_1268.HK" localSheetId="0">#REF!</definedName>
    <definedName name="L_ALL_1268.HK">#REF!</definedName>
    <definedName name="L_ALL_1316.HK" localSheetId="0">#REF!</definedName>
    <definedName name="L_ALL_1316.HK">#REF!</definedName>
    <definedName name="L_ALL_1477.TW" localSheetId="0">#REF!</definedName>
    <definedName name="L_ALL_1477.TW">#REF!</definedName>
    <definedName name="L_ALL_2333.HK" localSheetId="0">#REF!</definedName>
    <definedName name="L_ALL_2333.HK">#REF!</definedName>
    <definedName name="L_ALL_2513.HK">#REF!</definedName>
    <definedName name="L_ALL_2618.HK" localSheetId="0">#REF!</definedName>
    <definedName name="L_ALL_2618.HK">#REF!</definedName>
    <definedName name="L_ALL_300002.SZ" localSheetId="0">#REF!</definedName>
    <definedName name="L_ALL_300002.SZ">#REF!</definedName>
    <definedName name="L_ALL_300750.SZ" localSheetId="0">#REF!</definedName>
    <definedName name="L_ALL_300750.SZ">#REF!</definedName>
    <definedName name="L_ALL_3669.HK" localSheetId="0">#REF!</definedName>
    <definedName name="L_ALL_3669.HK">#REF!</definedName>
    <definedName name="L_ALL_3690.HK" localSheetId="0">#REF!</definedName>
    <definedName name="L_ALL_3690.HK">#REF!</definedName>
    <definedName name="L_ALL_3836.HK" localSheetId="0">#REF!</definedName>
    <definedName name="L_ALL_3836.HK">#REF!</definedName>
    <definedName name="L_ALL_600009.SS" localSheetId="0">#REF!</definedName>
    <definedName name="L_ALL_600009.SS">#REF!</definedName>
    <definedName name="L_ALL_600104.SS" localSheetId="0">#REF!</definedName>
    <definedName name="L_ALL_600104.SS">#REF!</definedName>
    <definedName name="L_ALL_600104.SS_" localSheetId="0">#REF!</definedName>
    <definedName name="L_ALL_600104.SS_">#REF!</definedName>
    <definedName name="L_ALL_600271.SS" localSheetId="0">#REF!</definedName>
    <definedName name="L_ALL_600271.SS">#REF!</definedName>
    <definedName name="L_ALL_600570.SS" localSheetId="0">#REF!</definedName>
    <definedName name="L_ALL_600570.SS">#REF!</definedName>
    <definedName name="L_ALL_600699.SS" localSheetId="0">#REF!</definedName>
    <definedName name="L_ALL_600699.SS">#REF!</definedName>
    <definedName name="L_ALL_600741.SS" localSheetId="0">#REF!</definedName>
    <definedName name="L_ALL_600741.SS">#REF!</definedName>
    <definedName name="L_ALL_601006.SS" localSheetId="0">#REF!</definedName>
    <definedName name="L_ALL_601006.SS">#REF!</definedName>
    <definedName name="L_ALL_7618.HK">#REF!</definedName>
    <definedName name="L_ALL_8044.TWO" localSheetId="0">#REF!</definedName>
    <definedName name="L_ALL_8044.TWO">#REF!</definedName>
    <definedName name="L_ALL_CDNS" localSheetId="0">#REF!</definedName>
    <definedName name="L_ALL_CDNS">#REF!</definedName>
    <definedName name="L_ALL_CMG" localSheetId="0">#REF!</definedName>
    <definedName name="L_ALL_CMG">#REF!</definedName>
    <definedName name="L_ALL_DADA" localSheetId="0">#REF!</definedName>
    <definedName name="L_ALL_DADA">#REF!</definedName>
    <definedName name="L_ALL_DAO" localSheetId="0">#REF!</definedName>
    <definedName name="L_ALL_DAO">#REF!</definedName>
    <definedName name="L_ALL_DIDIY" localSheetId="0">#REF!</definedName>
    <definedName name="L_ALL_DIDIY">#REF!</definedName>
    <definedName name="L_ALL_DNKN" localSheetId="0">#REF!</definedName>
    <definedName name="L_ALL_DNKN">#REF!</definedName>
    <definedName name="L_ALL_EDU" localSheetId="0">#REF!</definedName>
    <definedName name="L_ALL_EDU">#REF!</definedName>
    <definedName name="L_ALL_EDU_" localSheetId="0">#REF!</definedName>
    <definedName name="L_ALL_EDU_">#REF!</definedName>
    <definedName name="L_ALL_GSX" localSheetId="0">#REF!</definedName>
    <definedName name="L_ALL_GSX">#REF!</definedName>
    <definedName name="L_ALL_IQ" localSheetId="0">#REF!</definedName>
    <definedName name="L_ALL_IQ">#REF!</definedName>
    <definedName name="L_ALL_JD" localSheetId="0">#REF!</definedName>
    <definedName name="L_ALL_JD">#REF!</definedName>
    <definedName name="L_ALL_KEYWORDS_TYPE_ScalarContributed_EQTY_200006934" localSheetId="0">#REF!,#REF!</definedName>
    <definedName name="L_ALL_KEYWORDS_TYPE_ScalarContributed_EQTY_200006934">#REF!,#REF!</definedName>
    <definedName name="L_ALL_KEYWORDS_TYPE_ScalarContributed_EQTY_200007870" localSheetId="0">#REF!,#REF!</definedName>
    <definedName name="L_ALL_KEYWORDS_TYPE_ScalarContributed_EQTY_200007870">#REF!,#REF!</definedName>
    <definedName name="L_ALL_KEYWORDS_TYPE_ScalarContributed_EQTY_200009970" localSheetId="0">#REF!,#REF!</definedName>
    <definedName name="L_ALL_KEYWORDS_TYPE_ScalarContributed_EQTY_200009970">#REF!,#REF!</definedName>
    <definedName name="L_ALL_KEYWORDS_TYPE_ScalarContributed_EQTY_200011172" localSheetId="0">#REF!,#REF!</definedName>
    <definedName name="L_ALL_KEYWORDS_TYPE_ScalarContributed_EQTY_200011172">#REF!,#REF!</definedName>
    <definedName name="L_ALL_KEYWORDS_TYPE_ScalarContributed_EQTY_200012492" localSheetId="0">#REF!,#REF!</definedName>
    <definedName name="L_ALL_KEYWORDS_TYPE_ScalarContributed_EQTY_200012492">#REF!,#REF!</definedName>
    <definedName name="L_ALL_KEYWORDS_TYPE_ScalarContributed_EQTY_200012735" localSheetId="0">#REF!,#REF!</definedName>
    <definedName name="L_ALL_KEYWORDS_TYPE_ScalarContributed_EQTY_200012735">#REF!,#REF!</definedName>
    <definedName name="L_ALL_KEYWORDS_TYPE_ScalarContributed_EQTY_200012909" localSheetId="0">#REF!,#REF!</definedName>
    <definedName name="L_ALL_KEYWORDS_TYPE_ScalarContributed_EQTY_200012909">#REF!,#REF!</definedName>
    <definedName name="L_ALL_KEYWORDS_TYPE_ScalarContributed_EQTY_200012913" localSheetId="0">#REF!,#REF!</definedName>
    <definedName name="L_ALL_KEYWORDS_TYPE_ScalarContributed_EQTY_200012913">#REF!,#REF!</definedName>
    <definedName name="L_ALL_KEYWORDS_TYPE_ScalarContributed_EQTY_200013037" localSheetId="0">#REF!,#REF!</definedName>
    <definedName name="L_ALL_KEYWORDS_TYPE_ScalarContributed_EQTY_200013037">#REF!,#REF!</definedName>
    <definedName name="L_ALL_KEYWORDS_TYPE_ScalarContributed_EQTY_200013142" localSheetId="0">#REF!,#REF!</definedName>
    <definedName name="L_ALL_KEYWORDS_TYPE_ScalarContributed_EQTY_200013142">#REF!,#REF!</definedName>
    <definedName name="L_ALL_KEYWORDS_TYPE_ScalarContributed_EQTY_200016087" localSheetId="0">#REF!,#REF!</definedName>
    <definedName name="L_ALL_KEYWORDS_TYPE_ScalarContributed_EQTY_200016087">#REF!,#REF!</definedName>
    <definedName name="L_ALL_KEYWORDS_TYPE_ScalarContributed_EQTY_200017199" localSheetId="0">#REF!,#REF!</definedName>
    <definedName name="L_ALL_KEYWORDS_TYPE_ScalarContributed_EQTY_200017199">#REF!,#REF!</definedName>
    <definedName name="L_ALL_KEYWORDS_TYPE_ScalarContributed_EQTY_200019438" localSheetId="0">#REF!,#REF!</definedName>
    <definedName name="L_ALL_KEYWORDS_TYPE_ScalarContributed_EQTY_200019438">#REF!,#REF!</definedName>
    <definedName name="L_ALL_KEYWORDS_TYPE_ScalarContributed_EQTY_200019558" localSheetId="0">#REF!,#REF!</definedName>
    <definedName name="L_ALL_KEYWORDS_TYPE_ScalarContributed_EQTY_200019558">#REF!,#REF!</definedName>
    <definedName name="L_ALL_KEYWORDS_TYPE_ScalarContributed_EQTY_200019592" localSheetId="0">#REF!,#REF!</definedName>
    <definedName name="L_ALL_KEYWORDS_TYPE_ScalarContributed_EQTY_200019592">#REF!,#REF!</definedName>
    <definedName name="L_ALL_KEYWORDS_TYPE_ScalarContributed_EQTY_200019860" localSheetId="0">#REF!,#REF!,#REF!</definedName>
    <definedName name="L_ALL_KEYWORDS_TYPE_ScalarContributed_EQTY_200019860">#REF!,#REF!,#REF!</definedName>
    <definedName name="L_ALL_KEYWORDS_TYPE_ScalarContributed_EQTY_200021259">#REF!,#REF!,#REF!</definedName>
    <definedName name="L_ALL_KEYWORDS_TYPE_ScalarContributed_ISSR_208002371" localSheetId="0">#REF!,#REF!,#REF!</definedName>
    <definedName name="L_ALL_KEYWORDS_TYPE_ScalarContributed_ISSR_208002371">#REF!,#REF!,#REF!</definedName>
    <definedName name="L_ALL_KEYWORDS_TYPE_ScalarContributed_ISSR_208010083" localSheetId="0">#REF!,#REF!</definedName>
    <definedName name="L_ALL_KEYWORDS_TYPE_ScalarContributed_ISSR_208010083">#REF!,#REF!</definedName>
    <definedName name="L_ALL_KEYWORDS_TYPE_ScalarContributed_ISSR_208014620" localSheetId="0">#REF!,#REF!</definedName>
    <definedName name="L_ALL_KEYWORDS_TYPE_ScalarContributed_ISSR_208014620">#REF!,#REF!</definedName>
    <definedName name="L_ALL_KEYWORDS_TYPE_ScalarContributed_ISSR_208018143" localSheetId="0">#REF!,#REF!</definedName>
    <definedName name="L_ALL_KEYWORDS_TYPE_ScalarContributed_ISSR_208018143">#REF!,#REF!</definedName>
    <definedName name="L_ALL_KEYWORDS_TYPE_ScalarContributed_ISSR_208018361" localSheetId="0">#REF!,#REF!,#REF!</definedName>
    <definedName name="L_ALL_KEYWORDS_TYPE_ScalarContributed_ISSR_208018361">#REF!,#REF!,#REF!</definedName>
    <definedName name="L_ALL_KEYWORDS_TYPE_ScalarContributed_ISSR_208018457" localSheetId="0">#REF!,#REF!,#REF!,#REF!</definedName>
    <definedName name="L_ALL_KEYWORDS_TYPE_ScalarContributed_ISSR_208018457">#REF!,#REF!,#REF!,#REF!</definedName>
    <definedName name="L_ALL_KEYWORDS_TYPE_ScalarContributed_ISSR_208018550" localSheetId="0">#REF!,#REF!</definedName>
    <definedName name="L_ALL_KEYWORDS_TYPE_ScalarContributed_ISSR_208018550">#REF!,#REF!</definedName>
    <definedName name="L_ALL_KEYWORDS_TYPE_Vector_EQTY_200006934" localSheetId="0">#REF!,#REF!,#REF!,#REF!,#REF!</definedName>
    <definedName name="L_ALL_KEYWORDS_TYPE_Vector_EQTY_200006934">#REF!,#REF!,#REF!,#REF!,#REF!</definedName>
    <definedName name="L_ALL_KEYWORDS_TYPE_Vector_EQTY_200007870" localSheetId="0">#REF!,#REF!,#REF!,#REF!,#REF!</definedName>
    <definedName name="L_ALL_KEYWORDS_TYPE_Vector_EQTY_200007870">#REF!,#REF!,#REF!,#REF!,#REF!</definedName>
    <definedName name="L_ALL_KEYWORDS_TYPE_Vector_EQTY_200009970" localSheetId="0">#REF!,#REF!,#REF!,#REF!,#REF!</definedName>
    <definedName name="L_ALL_KEYWORDS_TYPE_Vector_EQTY_200009970">#REF!,#REF!,#REF!,#REF!,#REF!</definedName>
    <definedName name="L_ALL_KEYWORDS_TYPE_Vector_EQTY_200011172" localSheetId="0">#REF!,#REF!,#REF!,#REF!,#REF!</definedName>
    <definedName name="L_ALL_KEYWORDS_TYPE_Vector_EQTY_200011172">#REF!,#REF!,#REF!,#REF!,#REF!</definedName>
    <definedName name="L_ALL_KEYWORDS_TYPE_Vector_EQTY_200012302" localSheetId="0">#REF!,#REF!,#REF!,#REF!,#REF!,#REF!,#REF!,#REF!</definedName>
    <definedName name="L_ALL_KEYWORDS_TYPE_Vector_EQTY_200012302">#REF!,#REF!,#REF!,#REF!,#REF!,#REF!,#REF!,#REF!</definedName>
    <definedName name="L_ALL_KEYWORDS_TYPE_Vector_EQTY_200012492" localSheetId="0">#REF!,#REF!,#REF!,#REF!,#REF!</definedName>
    <definedName name="L_ALL_KEYWORDS_TYPE_Vector_EQTY_200012492">#REF!,#REF!,#REF!,#REF!,#REF!</definedName>
    <definedName name="L_ALL_KEYWORDS_TYPE_Vector_EQTY_200012735" localSheetId="0">#REF!,#REF!,#REF!,#REF!,#REF!</definedName>
    <definedName name="L_ALL_KEYWORDS_TYPE_Vector_EQTY_200012735">#REF!,#REF!,#REF!,#REF!,#REF!</definedName>
    <definedName name="L_ALL_KEYWORDS_TYPE_Vector_EQTY_200012909" localSheetId="0">#REF!,#REF!,#REF!,#REF!,#REF!</definedName>
    <definedName name="L_ALL_KEYWORDS_TYPE_Vector_EQTY_200012909">#REF!,#REF!,#REF!,#REF!,#REF!</definedName>
    <definedName name="L_ALL_KEYWORDS_TYPE_Vector_EQTY_200012913" localSheetId="0">#REF!,#REF!,#REF!,#REF!,#REF!</definedName>
    <definedName name="L_ALL_KEYWORDS_TYPE_Vector_EQTY_200012913">#REF!,#REF!,#REF!,#REF!,#REF!</definedName>
    <definedName name="L_ALL_KEYWORDS_TYPE_Vector_EQTY_200013037" localSheetId="0">#REF!,#REF!,#REF!,#REF!,#REF!</definedName>
    <definedName name="L_ALL_KEYWORDS_TYPE_Vector_EQTY_200013037">#REF!,#REF!,#REF!,#REF!,#REF!</definedName>
    <definedName name="L_ALL_KEYWORDS_TYPE_Vector_EQTY_200013142" localSheetId="0">#REF!,#REF!,#REF!,#REF!,#REF!</definedName>
    <definedName name="L_ALL_KEYWORDS_TYPE_Vector_EQTY_200013142">#REF!,#REF!,#REF!,#REF!,#REF!</definedName>
    <definedName name="L_ALL_KEYWORDS_TYPE_Vector_EQTY_200016087" localSheetId="0">#REF!,#REF!,#REF!,#REF!,#REF!</definedName>
    <definedName name="L_ALL_KEYWORDS_TYPE_Vector_EQTY_200016087">#REF!,#REF!,#REF!,#REF!,#REF!</definedName>
    <definedName name="L_ALL_KEYWORDS_TYPE_Vector_EQTY_200017199" localSheetId="0">#REF!,#REF!,#REF!,#REF!,#REF!</definedName>
    <definedName name="L_ALL_KEYWORDS_TYPE_Vector_EQTY_200017199">#REF!,#REF!,#REF!,#REF!,#REF!</definedName>
    <definedName name="L_ALL_KEYWORDS_TYPE_Vector_EQTY_200018245" localSheetId="0">#REF!,#REF!,#REF!,#REF!,#REF!</definedName>
    <definedName name="L_ALL_KEYWORDS_TYPE_Vector_EQTY_200018245">#REF!,#REF!,#REF!,#REF!,#REF!</definedName>
    <definedName name="L_ALL_KEYWORDS_TYPE_Vector_EQTY_200019592" localSheetId="0">#REF!,#REF!,#REF!,#REF!,#REF!</definedName>
    <definedName name="L_ALL_KEYWORDS_TYPE_Vector_EQTY_200019592">#REF!,#REF!,#REF!,#REF!,#REF!</definedName>
    <definedName name="L_ALL_KEYWORDS_TYPE_Vector_EQTY_200019837" localSheetId="0">#REF!,#REF!,#REF!,#REF!,#REF!</definedName>
    <definedName name="L_ALL_KEYWORDS_TYPE_Vector_EQTY_200019837">#REF!,#REF!,#REF!,#REF!,#REF!</definedName>
    <definedName name="L_ALL_KEYWORDS_TYPE_Vector_EQTY_200019864" localSheetId="0">#REF!,#REF!,#REF!,#REF!,#REF!</definedName>
    <definedName name="L_ALL_KEYWORDS_TYPE_Vector_EQTY_200019864">#REF!,#REF!,#REF!,#REF!,#REF!</definedName>
    <definedName name="L_ALL_KEYWORDS_TYPE_Vector_ISSR_208000417" localSheetId="0">#REF!,#REF!,#REF!,#REF!,#REF!,#REF!,#REF!,#REF!,#REF!,#REF!,#REF!,#REF!</definedName>
    <definedName name="L_ALL_KEYWORDS_TYPE_Vector_ISSR_208000417">#REF!,#REF!,#REF!,#REF!,#REF!,#REF!,#REF!,#REF!,#REF!,#REF!,#REF!,#REF!</definedName>
    <definedName name="L_ALL_KEYWORDS_TYPE_Vector_ISSR_208000897" localSheetId="0">#REF!,#REF!,#REF!,#REF!,#REF!,#REF!,#REF!,#REF!,#REF!,#REF!,#REF!</definedName>
    <definedName name="L_ALL_KEYWORDS_TYPE_Vector_ISSR_208000897">#REF!,#REF!,#REF!,#REF!,#REF!,#REF!,#REF!,#REF!,#REF!,#REF!,#REF!</definedName>
    <definedName name="L_ALL_KEYWORDS_TYPE_Vector_ISSR_208002371" localSheetId="0">#REF!,#REF!,#REF!,#REF!,#REF!,#REF!,#REF!,#REF!,#REF!,#REF!,#REF!,#REF!,#REF!,#REF!,#REF!,#REF!,#REF!,#REF!,#REF!</definedName>
    <definedName name="L_ALL_KEYWORDS_TYPE_Vector_ISSR_208002371">#REF!,#REF!,#REF!,#REF!,#REF!,#REF!,#REF!,#REF!,#REF!,#REF!,#REF!,#REF!,#REF!,#REF!,#REF!,#REF!,#REF!,#REF!,#REF!</definedName>
    <definedName name="L_ALL_KEYWORDS_TYPE_Vector_ISSR_208006103" localSheetId="0">#REF!,#REF!,#REF!,#REF!,#REF!,#REF!,#REF!,#REF!,#REF!,#REF!,#REF!,#REF!,#REF!,#REF!</definedName>
    <definedName name="L_ALL_KEYWORDS_TYPE_Vector_ISSR_208006103">#REF!,#REF!,#REF!,#REF!,#REF!,#REF!,#REF!,#REF!,#REF!,#REF!,#REF!,#REF!,#REF!,#REF!</definedName>
    <definedName name="L_ALL_KEYWORDS_TYPE_Vector_ISSR_208007694" localSheetId="0">#REF!,#REF!,#REF!,#REF!,#REF!,#REF!,#REF!,#REF!,#REF!,#REF!,#REF!,#REF!,#REF!,#REF!,#REF!</definedName>
    <definedName name="L_ALL_KEYWORDS_TYPE_Vector_ISSR_208007694">#REF!,#REF!,#REF!,#REF!,#REF!,#REF!,#REF!,#REF!,#REF!,#REF!,#REF!,#REF!,#REF!,#REF!,#REF!</definedName>
    <definedName name="L_ALL_KEYWORDS_TYPE_Vector_ISSR_208008548" localSheetId="0">#REF!,#REF!,#REF!,#REF!,#REF!,#REF!,#REF!,#REF!,#REF!,#REF!,#REF!,#REF!,#REF!,#REF!,#REF!,#REF!</definedName>
    <definedName name="L_ALL_KEYWORDS_TYPE_Vector_ISSR_208008548">#REF!,#REF!,#REF!,#REF!,#REF!,#REF!,#REF!,#REF!,#REF!,#REF!,#REF!,#REF!,#REF!,#REF!,#REF!,#REF!</definedName>
    <definedName name="L_ALL_KEYWORDS_TYPE_Vector_ISSR_208009486" localSheetId="0">#REF!,#REF!,#REF!,#REF!,#REF!,#REF!,#REF!,#REF!,#REF!,#REF!,#REF!,#REF!,#REF!,#REF!,#REF!</definedName>
    <definedName name="L_ALL_KEYWORDS_TYPE_Vector_ISSR_208009486">#REF!,#REF!,#REF!,#REF!,#REF!,#REF!,#REF!,#REF!,#REF!,#REF!,#REF!,#REF!,#REF!,#REF!,#REF!</definedName>
    <definedName name="L_ALL_KEYWORDS_TYPE_Vector_ISSR_208009698" localSheetId="0">#REF!,#REF!,#REF!,#REF!,#REF!,#REF!,#REF!,#REF!,#REF!,#REF!,#REF!,#REF!,#REF!,#REF!</definedName>
    <definedName name="L_ALL_KEYWORDS_TYPE_Vector_ISSR_208009698">#REF!,#REF!,#REF!,#REF!,#REF!,#REF!,#REF!,#REF!,#REF!,#REF!,#REF!,#REF!,#REF!,#REF!</definedName>
    <definedName name="L_ALL_KEYWORDS_TYPE_Vector_ISSR_208009912" localSheetId="0">#REF!,#REF!,#REF!,#REF!,#REF!,#REF!,#REF!,#REF!,#REF!,#REF!,#REF!,#REF!,#REF!,#REF!,#REF!</definedName>
    <definedName name="L_ALL_KEYWORDS_TYPE_Vector_ISSR_208009912">#REF!,#REF!,#REF!,#REF!,#REF!,#REF!,#REF!,#REF!,#REF!,#REF!,#REF!,#REF!,#REF!,#REF!,#REF!</definedName>
    <definedName name="L_ALL_KEYWORDS_TYPE_Vector_ISSR_208009916" localSheetId="0">#REF!,#REF!,#REF!,#REF!,#REF!,#REF!,#REF!,#REF!,#REF!,#REF!,#REF!,#REF!,#REF!,#REF!</definedName>
    <definedName name="L_ALL_KEYWORDS_TYPE_Vector_ISSR_208009916">#REF!,#REF!,#REF!,#REF!,#REF!,#REF!,#REF!,#REF!,#REF!,#REF!,#REF!,#REF!,#REF!,#REF!</definedName>
    <definedName name="L_ALL_KEYWORDS_TYPE_Vector_ISSR_208010083" localSheetId="0">#REF!,#REF!,#REF!,#REF!,#REF!,#REF!,#REF!,#REF!,#REF!,#REF!,#REF!,#REF!,#REF!,#REF!,#REF!,#REF!,#REF!,#REF!,#REF!,#REF!,#REF!,#REF!,#REF!</definedName>
    <definedName name="L_ALL_KEYWORDS_TYPE_Vector_ISSR_208010083">#REF!,#REF!,#REF!,#REF!,#REF!,#REF!,#REF!,#REF!,#REF!,#REF!,#REF!,#REF!,#REF!,#REF!,#REF!,#REF!,#REF!,#REF!,#REF!,#REF!,#REF!,#REF!,#REF!</definedName>
    <definedName name="L_ALL_KEYWORDS_TYPE_Vector_ISSR_208013035" localSheetId="0">#REF!,#REF!,#REF!,#REF!,#REF!,#REF!,#REF!,#REF!,#REF!,#REF!,#REF!,#REF!,#REF!,#REF!,#REF!</definedName>
    <definedName name="L_ALL_KEYWORDS_TYPE_Vector_ISSR_208013035">#REF!,#REF!,#REF!,#REF!,#REF!,#REF!,#REF!,#REF!,#REF!,#REF!,#REF!,#REF!,#REF!,#REF!,#REF!</definedName>
    <definedName name="L_ALL_KEYWORDS_TYPE_Vector_ISSR_208014620" localSheetId="0">#REF!,#REF!,#REF!,#REF!,#REF!,#REF!,#REF!,#REF!,#REF!,#REF!,#REF!,#REF!</definedName>
    <definedName name="L_ALL_KEYWORDS_TYPE_Vector_ISSR_208014620">#REF!,#REF!,#REF!,#REF!,#REF!,#REF!,#REF!,#REF!,#REF!,#REF!,#REF!,#REF!</definedName>
    <definedName name="L_ALL_KEYWORDS_TYPE_Vector_ISSR_208015997" localSheetId="0">#REF!,#REF!,#REF!,#REF!,#REF!,#REF!,#REF!,#REF!,#REF!,#REF!,#REF!,#REF!,#REF!,#REF!</definedName>
    <definedName name="L_ALL_KEYWORDS_TYPE_Vector_ISSR_208015997">#REF!,#REF!,#REF!,#REF!,#REF!,#REF!,#REF!,#REF!,#REF!,#REF!,#REF!,#REF!,#REF!,#REF!</definedName>
    <definedName name="L_ALL_KEYWORDS_TYPE_Vector_ISSR_208018143" localSheetId="0">#REF!,#REF!,#REF!,#REF!,#REF!,#REF!,#REF!,#REF!,#REF!,#REF!,#REF!,#REF!,#REF!</definedName>
    <definedName name="L_ALL_KEYWORDS_TYPE_Vector_ISSR_208018143">#REF!,#REF!,#REF!,#REF!,#REF!,#REF!,#REF!,#REF!,#REF!,#REF!,#REF!,#REF!,#REF!</definedName>
    <definedName name="L_ALL_KEYWORDS_TYPE_Vector_ISSR_208018361" localSheetId="0">#REF!,#REF!,#REF!,#REF!,#REF!,#REF!,#REF!,#REF!,#REF!,#REF!,#REF!,#REF!,#REF!,#REF!,#REF!,#REF!,#REF!,#REF!,#REF!</definedName>
    <definedName name="L_ALL_KEYWORDS_TYPE_Vector_ISSR_208018361">#REF!,#REF!,#REF!,#REF!,#REF!,#REF!,#REF!,#REF!,#REF!,#REF!,#REF!,#REF!,#REF!,#REF!,#REF!,#REF!,#REF!,#REF!,#REF!</definedName>
    <definedName name="L_ALL_KEYWORDS_TYPE_Vector_ISSR_208018457" localSheetId="0">#REF!,#REF!,#REF!,#REF!,#REF!,#REF!,#REF!,#REF!,#REF!,#REF!,#REF!,#REF!,#REF!,#REF!,#REF!,#REF!,#REF!,#REF!,#REF!</definedName>
    <definedName name="L_ALL_KEYWORDS_TYPE_Vector_ISSR_208018457">#REF!,#REF!,#REF!,#REF!,#REF!,#REF!,#REF!,#REF!,#REF!,#REF!,#REF!,#REF!,#REF!,#REF!,#REF!,#REF!,#REF!,#REF!,#REF!</definedName>
    <definedName name="L_ALL_KEYWORDS_TYPE_Vector_ISSR_208018497" localSheetId="0">#REF!,#REF!,#REF!,#REF!,#REF!,#REF!,#REF!,#REF!,#REF!,#REF!,#REF!,#REF!,#REF!</definedName>
    <definedName name="L_ALL_KEYWORDS_TYPE_Vector_ISSR_208018497">#REF!,#REF!,#REF!,#REF!,#REF!,#REF!,#REF!,#REF!,#REF!,#REF!,#REF!,#REF!,#REF!</definedName>
    <definedName name="L_ALL_KEYWORDS_TYPE_Vector_ISSR_208018550" localSheetId="0">#REF!,#REF!,#REF!,#REF!,#REF!,#REF!,#REF!,#REF!,#REF!,#REF!,#REF!,#REF!,#REF!</definedName>
    <definedName name="L_ALL_KEYWORDS_TYPE_Vector_ISSR_208018550">#REF!,#REF!,#REF!,#REF!,#REF!,#REF!,#REF!,#REF!,#REF!,#REF!,#REF!,#REF!,#REF!</definedName>
    <definedName name="L_ALL_KEYWORDS_TYPE_Vector_ISSR_208020716" localSheetId="0">#REF!,#REF!,#REF!,#REF!,#REF!,#REF!,#REF!,#REF!,#REF!,#REF!,#REF!,#REF!,#REF!,#REF!</definedName>
    <definedName name="L_ALL_KEYWORDS_TYPE_Vector_ISSR_208020716">#REF!,#REF!,#REF!,#REF!,#REF!,#REF!,#REF!,#REF!,#REF!,#REF!,#REF!,#REF!,#REF!,#REF!</definedName>
    <definedName name="L_ALL_LAIX" localSheetId="0">#REF!</definedName>
    <definedName name="L_ALL_LAIX">#REF!</definedName>
    <definedName name="L_ALL_LI" localSheetId="0">#REF!</definedName>
    <definedName name="L_ALL_LI">#REF!</definedName>
    <definedName name="L_ALL_MCD" localSheetId="0">#REF!</definedName>
    <definedName name="L_ALL_MCD">#REF!</definedName>
    <definedName name="L_ALL_NIO" localSheetId="0">#REF!</definedName>
    <definedName name="L_ALL_NIO">#REF!</definedName>
    <definedName name="L_ALL_PDD" localSheetId="0">#REF!</definedName>
    <definedName name="L_ALL_PDD">#REF!</definedName>
    <definedName name="L_ALL_PERIODS_8044.TWO" localSheetId="0">#REF!</definedName>
    <definedName name="L_ALL_PERIODS_8044.TWO">#REF!</definedName>
    <definedName name="L_ALL_SECTION_KEYWORDS_EQTY_200019752_13A" localSheetId="0">#REF!</definedName>
    <definedName name="L_ALL_SECTION_KEYWORDS_EQTY_200019752_13A">#REF!</definedName>
    <definedName name="L_ALL_SECTION_KEYWORDS_EQTY_200019864_13K" localSheetId="0">#REF!</definedName>
    <definedName name="L_ALL_SECTION_KEYWORDS_EQTY_200019864_13K">#REF!</definedName>
    <definedName name="L_ALL_SECTION_KEYWORDS_EQTY_200021259_13A">#REF!</definedName>
    <definedName name="L_ALL_SECTION_KEYWORDS_ISSR_208000417_131O" localSheetId="0">#REF!,#REF!</definedName>
    <definedName name="L_ALL_SECTION_KEYWORDS_ISSR_208000417_131O">#REF!,#REF!</definedName>
    <definedName name="L_ALL_SECTION_KEYWORDS_ISSR_208000897_131O" localSheetId="0">#REF!,#REF!</definedName>
    <definedName name="L_ALL_SECTION_KEYWORDS_ISSR_208000897_131O">#REF!,#REF!</definedName>
    <definedName name="L_ALL_SECTION_KEYWORDS_ISSR_208000897_136E" localSheetId="0">#REF!,#REF!</definedName>
    <definedName name="L_ALL_SECTION_KEYWORDS_ISSR_208000897_136E">#REF!,#REF!</definedName>
    <definedName name="L_ALL_SECTION_KEYWORDS_ISSR_208002371_136E" localSheetId="0">#REF!,#REF!</definedName>
    <definedName name="L_ALL_SECTION_KEYWORDS_ISSR_208002371_136E">#REF!,#REF!</definedName>
    <definedName name="L_ALL_SECTION_KEYWORDS_ISSR_208002371_13V" localSheetId="0">#REF!,#REF!</definedName>
    <definedName name="L_ALL_SECTION_KEYWORDS_ISSR_208002371_13V">#REF!,#REF!</definedName>
    <definedName name="L_ALL_SECTION_KEYWORDS_ISSR_208009698_1316U" localSheetId="0">#REF!,#REF!</definedName>
    <definedName name="L_ALL_SECTION_KEYWORDS_ISSR_208009698_1316U">#REF!,#REF!</definedName>
    <definedName name="L_ALL_SECTION_KEYWORDS_ISSR_208009916_1316U" localSheetId="0">#REF!,#REF!</definedName>
    <definedName name="L_ALL_SECTION_KEYWORDS_ISSR_208009916_1316U">#REF!,#REF!</definedName>
    <definedName name="L_ALL_SECTION_KEYWORDS_ISSR_208010032_13178" localSheetId="0">#REF!,#REF!</definedName>
    <definedName name="L_ALL_SECTION_KEYWORDS_ISSR_208010032_13178">#REF!,#REF!</definedName>
    <definedName name="L_ALL_SECTION_KEYWORDS_ISSR_208010032_136E" localSheetId="0">#REF!,#REF!</definedName>
    <definedName name="L_ALL_SECTION_KEYWORDS_ISSR_208010032_136E">#REF!,#REF!</definedName>
    <definedName name="L_ALL_SECTION_KEYWORDS_ISSR_208014620_136E" localSheetId="0">#REF!,#REF!</definedName>
    <definedName name="L_ALL_SECTION_KEYWORDS_ISSR_208014620_136E">#REF!,#REF!</definedName>
    <definedName name="L_ALL_SECTION_KEYWORDS_ISSR_208014620_13V" localSheetId="0">#REF!,#REF!</definedName>
    <definedName name="L_ALL_SECTION_KEYWORDS_ISSR_208014620_13V">#REF!,#REF!</definedName>
    <definedName name="L_ALL_SECTION_KEYWORDS_ISSR_208015997_1316U" localSheetId="0">#REF!,#REF!</definedName>
    <definedName name="L_ALL_SECTION_KEYWORDS_ISSR_208015997_1316U">#REF!,#REF!</definedName>
    <definedName name="L_ALL_SECTION_KEYWORDS_ISSR_208018143_13V" localSheetId="0">#REF!,#REF!</definedName>
    <definedName name="L_ALL_SECTION_KEYWORDS_ISSR_208018143_13V">#REF!,#REF!</definedName>
    <definedName name="L_ALL_SECTION_KEYWORDS_ISSR_208018361_13168" localSheetId="0">#REF!</definedName>
    <definedName name="L_ALL_SECTION_KEYWORDS_ISSR_208018361_13168">#REF!</definedName>
    <definedName name="L_ALL_SECTION_KEYWORDS_ISSR_208018361_1319" localSheetId="0">#REF!</definedName>
    <definedName name="L_ALL_SECTION_KEYWORDS_ISSR_208018361_1319">#REF!</definedName>
    <definedName name="L_ALL_SECTION_KEYWORDS_ISSR_208018361_131P" localSheetId="0">#REF!,#REF!</definedName>
    <definedName name="L_ALL_SECTION_KEYWORDS_ISSR_208018361_131P">#REF!,#REF!</definedName>
    <definedName name="L_ALL_SECTION_KEYWORDS_ISSR_208018361_136E" localSheetId="0">#REF!,#REF!</definedName>
    <definedName name="L_ALL_SECTION_KEYWORDS_ISSR_208018361_136E">#REF!,#REF!</definedName>
    <definedName name="L_ALL_SECTION_KEYWORDS_ISSR_208018457_136E" localSheetId="0">#REF!,#REF!</definedName>
    <definedName name="L_ALL_SECTION_KEYWORDS_ISSR_208018457_136E">#REF!,#REF!</definedName>
    <definedName name="L_ALL_SECTION_KEYWORDS_ISSR_208018457_13V" localSheetId="0">#REF!,#REF!</definedName>
    <definedName name="L_ALL_SECTION_KEYWORDS_ISSR_208018457_13V">#REF!,#REF!</definedName>
    <definedName name="L_ALL_SECTION_KEYWORDS_ISSR_208018497_131O" localSheetId="0">#REF!,#REF!</definedName>
    <definedName name="L_ALL_SECTION_KEYWORDS_ISSR_208018497_131O">#REF!,#REF!</definedName>
    <definedName name="L_ALL_SECTION_KEYWORDS_ISSR_208018550_1314" localSheetId="0">#REF!</definedName>
    <definedName name="L_ALL_SECTION_KEYWORDS_ISSR_208018550_1314">#REF!</definedName>
    <definedName name="L_ALL_SECTION_KEYWORDS_ISSR_208018550_1319" localSheetId="0">#REF!</definedName>
    <definedName name="L_ALL_SECTION_KEYWORDS_ISSR_208018550_1319">#REF!</definedName>
    <definedName name="L_ALL_SECTION_KEYWORDS_ISSR_208018550_131E" localSheetId="0">#REF!</definedName>
    <definedName name="L_ALL_SECTION_KEYWORDS_ISSR_208018550_131E">#REF!</definedName>
    <definedName name="L_ALL_SECTION_KEYWORDS_ISSR_208018550_13V" localSheetId="0">#REF!,#REF!</definedName>
    <definedName name="L_ALL_SECTION_KEYWORDS_ISSR_208018550_13V">#REF!,#REF!</definedName>
    <definedName name="L_ALL_SECTION_KEYWORDS_ISSR_208020716_131O" localSheetId="0">#REF!,#REF!</definedName>
    <definedName name="L_ALL_SECTION_KEYWORDS_ISSR_208020716_131O">#REF!,#REF!</definedName>
    <definedName name="L_ALL_SECTIONS_EQTY_200007870" localSheetId="0">#REF!,#REF!,#REF!,#REF!,#REF!,#REF!,#REF!,#REF!</definedName>
    <definedName name="L_ALL_SECTIONS_EQTY_200007870">#REF!,#REF!,#REF!,#REF!,#REF!,#REF!,#REF!,#REF!</definedName>
    <definedName name="L_ALL_SECTIONS_EQTY_200009970" localSheetId="0">#REF!,#REF!,#REF!,#REF!,#REF!,#REF!,#REF!,#REF!</definedName>
    <definedName name="L_ALL_SECTIONS_EQTY_200009970">#REF!,#REF!,#REF!,#REF!,#REF!,#REF!,#REF!,#REF!</definedName>
    <definedName name="L_ALL_SECTIONS_EQTY_200011172" localSheetId="0">#REF!,#REF!,#REF!,#REF!,#REF!,#REF!,#REF!,#REF!</definedName>
    <definedName name="L_ALL_SECTIONS_EQTY_200011172">#REF!,#REF!,#REF!,#REF!,#REF!,#REF!,#REF!,#REF!</definedName>
    <definedName name="L_ALL_SECTIONS_EQTY_200012492" localSheetId="0">#REF!,#REF!,#REF!,#REF!,#REF!,#REF!,#REF!,#REF!</definedName>
    <definedName name="L_ALL_SECTIONS_EQTY_200012492">#REF!,#REF!,#REF!,#REF!,#REF!,#REF!,#REF!,#REF!</definedName>
    <definedName name="L_ALL_SECTIONS_EQTY_200012735" localSheetId="0">#REF!,#REF!,#REF!,#REF!,#REF!,#REF!,#REF!,#REF!</definedName>
    <definedName name="L_ALL_SECTIONS_EQTY_200012735">#REF!,#REF!,#REF!,#REF!,#REF!,#REF!,#REF!,#REF!</definedName>
    <definedName name="L_ALL_SECTIONS_EQTY_200012909" localSheetId="0">#REF!,#REF!,#REF!,#REF!,#REF!,#REF!,#REF!,#REF!</definedName>
    <definedName name="L_ALL_SECTIONS_EQTY_200012909">#REF!,#REF!,#REF!,#REF!,#REF!,#REF!,#REF!,#REF!</definedName>
    <definedName name="L_ALL_SECTIONS_EQTY_200012913" localSheetId="0">#REF!,#REF!,#REF!,#REF!,#REF!,#REF!,#REF!,#REF!</definedName>
    <definedName name="L_ALL_SECTIONS_EQTY_200012913">#REF!,#REF!,#REF!,#REF!,#REF!,#REF!,#REF!,#REF!</definedName>
    <definedName name="L_ALL_SECTIONS_EQTY_200013037" localSheetId="0">#REF!,#REF!,#REF!,#REF!,#REF!,#REF!,#REF!,#REF!</definedName>
    <definedName name="L_ALL_SECTIONS_EQTY_200013037">#REF!,#REF!,#REF!,#REF!,#REF!,#REF!,#REF!,#REF!</definedName>
    <definedName name="L_ALL_SECTIONS_EQTY_200013142" localSheetId="0">#REF!,#REF!,#REF!,#REF!,#REF!,#REF!,#REF!,#REF!</definedName>
    <definedName name="L_ALL_SECTIONS_EQTY_200013142">#REF!,#REF!,#REF!,#REF!,#REF!,#REF!,#REF!,#REF!</definedName>
    <definedName name="L_ALL_SECTIONS_EQTY_200016087" localSheetId="0">#REF!,#REF!,#REF!,#REF!,#REF!,#REF!,#REF!,#REF!</definedName>
    <definedName name="L_ALL_SECTIONS_EQTY_200016087">#REF!,#REF!,#REF!,#REF!,#REF!,#REF!,#REF!,#REF!</definedName>
    <definedName name="L_ALL_SECTIONS_EQTY_200018245" localSheetId="0">#REF!,#REF!,#REF!,#REF!,#REF!,#REF!,#REF!,#REF!</definedName>
    <definedName name="L_ALL_SECTIONS_EQTY_200018245">#REF!,#REF!,#REF!,#REF!,#REF!,#REF!,#REF!,#REF!</definedName>
    <definedName name="L_ALL_SECTIONS_ISSR_208006103" localSheetId="0">#REF!,#REF!,#REF!,#REF!,#REF!,#REF!,#REF!,#REF!,#REF!,#REF!</definedName>
    <definedName name="L_ALL_SECTIONS_ISSR_208006103">#REF!,#REF!,#REF!,#REF!,#REF!,#REF!,#REF!,#REF!,#REF!,#REF!</definedName>
    <definedName name="L_ALL_SECTIONS_ISSR_208007694" localSheetId="0">#REF!,#REF!,#REF!,#REF!,#REF!,#REF!,#REF!,#REF!,#REF!,#REF!</definedName>
    <definedName name="L_ALL_SECTIONS_ISSR_208007694">#REF!,#REF!,#REF!,#REF!,#REF!,#REF!,#REF!,#REF!,#REF!,#REF!</definedName>
    <definedName name="L_ALL_SECTIONS_ISSR_208008548" localSheetId="0">#REF!,#REF!,#REF!,#REF!,#REF!,#REF!,#REF!,#REF!,#REF!,#REF!</definedName>
    <definedName name="L_ALL_SECTIONS_ISSR_208008548">#REF!,#REF!,#REF!,#REF!,#REF!,#REF!,#REF!,#REF!,#REF!,#REF!</definedName>
    <definedName name="L_ALL_SECTIONS_ISSR_208009486" localSheetId="0">#REF!,#REF!,#REF!,#REF!,#REF!,#REF!,#REF!,#REF!,#REF!,#REF!</definedName>
    <definedName name="L_ALL_SECTIONS_ISSR_208009486">#REF!,#REF!,#REF!,#REF!,#REF!,#REF!,#REF!,#REF!,#REF!,#REF!</definedName>
    <definedName name="L_ALL_SECTIONS_ISSR_208009698" localSheetId="0">#REF!,#REF!,#REF!,#REF!,#REF!,#REF!,#REF!,#REF!,#REF!</definedName>
    <definedName name="L_ALL_SECTIONS_ISSR_208009698">#REF!,#REF!,#REF!,#REF!,#REF!,#REF!,#REF!,#REF!,#REF!</definedName>
    <definedName name="L_ALL_SECTIONS_ISSR_208009912" localSheetId="0">#REF!,#REF!,#REF!,#REF!,#REF!,#REF!,#REF!,#REF!,#REF!,#REF!</definedName>
    <definedName name="L_ALL_SECTIONS_ISSR_208009912">#REF!,#REF!,#REF!,#REF!,#REF!,#REF!,#REF!,#REF!,#REF!,#REF!</definedName>
    <definedName name="L_ALL_SECTIONS_ISSR_208009916" localSheetId="0">#REF!,#REF!,#REF!,#REF!,#REF!,#REF!,#REF!,#REF!,#REF!</definedName>
    <definedName name="L_ALL_SECTIONS_ISSR_208009916">#REF!,#REF!,#REF!,#REF!,#REF!,#REF!,#REF!,#REF!,#REF!</definedName>
    <definedName name="L_ALL_SECTIONS_ISSR_208010083" localSheetId="0">#REF!,#REF!,#REF!,#REF!,#REF!,#REF!,#REF!,#REF!,#REF!,#REF!,#REF!</definedName>
    <definedName name="L_ALL_SECTIONS_ISSR_208010083">#REF!,#REF!,#REF!,#REF!,#REF!,#REF!,#REF!,#REF!,#REF!,#REF!,#REF!</definedName>
    <definedName name="L_ALL_SECTIONS_ISSR_208013035" localSheetId="0">#REF!,#REF!,#REF!,#REF!,#REF!,#REF!,#REF!,#REF!,#REF!,#REF!</definedName>
    <definedName name="L_ALL_SECTIONS_ISSR_208013035">#REF!,#REF!,#REF!,#REF!,#REF!,#REF!,#REF!,#REF!,#REF!,#REF!</definedName>
    <definedName name="L_ALL_SFUN" localSheetId="0">#REF!</definedName>
    <definedName name="L_ALL_SFUN">#REF!</definedName>
    <definedName name="L_ALL_SOGO" localSheetId="0">#REF!</definedName>
    <definedName name="L_ALL_SOGO">#REF!</definedName>
    <definedName name="L_ALL_STG" localSheetId="0">#REF!</definedName>
    <definedName name="L_ALL_STG">#REF!</definedName>
    <definedName name="L_ALL_TCOM" localSheetId="0">#REF!</definedName>
    <definedName name="L_ALL_TCOM">#REF!</definedName>
    <definedName name="L_ALL_YMM" localSheetId="0">#REF!</definedName>
    <definedName name="L_ALL_YMM">#REF!</definedName>
    <definedName name="L_CURRENCY_EQTY_200007870_PRI" localSheetId="0">#REF!</definedName>
    <definedName name="L_CURRENCY_EQTY_200007870_PRI">#REF!</definedName>
    <definedName name="L_CURRENCY_EQTY_200007870_PUB" localSheetId="0">#REF!</definedName>
    <definedName name="L_CURRENCY_EQTY_200007870_PUB">#REF!</definedName>
    <definedName name="L_CURRENCY_EQTY_200007870_REP" localSheetId="0">#REF!</definedName>
    <definedName name="L_CURRENCY_EQTY_200007870_REP">#REF!</definedName>
    <definedName name="L_CURRENCY_EQTY_200009970_PRI" localSheetId="0">#REF!</definedName>
    <definedName name="L_CURRENCY_EQTY_200009970_PRI">#REF!</definedName>
    <definedName name="L_CURRENCY_EQTY_200009970_PUB" localSheetId="0">#REF!</definedName>
    <definedName name="L_CURRENCY_EQTY_200009970_PUB">#REF!</definedName>
    <definedName name="L_CURRENCY_EQTY_200009970_REP" localSheetId="0">#REF!</definedName>
    <definedName name="L_CURRENCY_EQTY_200009970_REP">#REF!</definedName>
    <definedName name="L_CURRENCY_EQTY_200011172_PRI" localSheetId="0">#REF!</definedName>
    <definedName name="L_CURRENCY_EQTY_200011172_PRI">#REF!</definedName>
    <definedName name="L_CURRENCY_EQTY_200011172_PUB" localSheetId="0">#REF!</definedName>
    <definedName name="L_CURRENCY_EQTY_200011172_PUB">#REF!</definedName>
    <definedName name="L_CURRENCY_EQTY_200011172_REP" localSheetId="0">#REF!</definedName>
    <definedName name="L_CURRENCY_EQTY_200011172_REP">#REF!</definedName>
    <definedName name="L_CURRENCY_EQTY_200012492_PRI" localSheetId="0">#REF!</definedName>
    <definedName name="L_CURRENCY_EQTY_200012492_PRI">#REF!</definedName>
    <definedName name="L_CURRENCY_EQTY_200012492_PUB" localSheetId="0">#REF!</definedName>
    <definedName name="L_CURRENCY_EQTY_200012492_PUB">#REF!</definedName>
    <definedName name="L_CURRENCY_EQTY_200012492_REP" localSheetId="0">#REF!</definedName>
    <definedName name="L_CURRENCY_EQTY_200012492_REP">#REF!</definedName>
    <definedName name="L_CURRENCY_EQTY_200012735_PRI" localSheetId="0">#REF!</definedName>
    <definedName name="L_CURRENCY_EQTY_200012735_PRI">#REF!</definedName>
    <definedName name="L_CURRENCY_EQTY_200012735_PUB" localSheetId="0">#REF!</definedName>
    <definedName name="L_CURRENCY_EQTY_200012735_PUB">#REF!</definedName>
    <definedName name="L_CURRENCY_EQTY_200012735_REP" localSheetId="0">#REF!</definedName>
    <definedName name="L_CURRENCY_EQTY_200012735_REP">#REF!</definedName>
    <definedName name="L_CURRENCY_EQTY_200012909_PRI" localSheetId="0">#REF!</definedName>
    <definedName name="L_CURRENCY_EQTY_200012909_PRI">#REF!</definedName>
    <definedName name="L_CURRENCY_EQTY_200012909_PUB" localSheetId="0">#REF!</definedName>
    <definedName name="L_CURRENCY_EQTY_200012909_PUB">#REF!</definedName>
    <definedName name="L_CURRENCY_EQTY_200012909_REP" localSheetId="0">#REF!</definedName>
    <definedName name="L_CURRENCY_EQTY_200012909_REP">#REF!</definedName>
    <definedName name="L_CURRENCY_EQTY_200012913_PRI" localSheetId="0">#REF!</definedName>
    <definedName name="L_CURRENCY_EQTY_200012913_PRI">#REF!</definedName>
    <definedName name="L_CURRENCY_EQTY_200012913_PUB" localSheetId="0">#REF!</definedName>
    <definedName name="L_CURRENCY_EQTY_200012913_PUB">#REF!</definedName>
    <definedName name="L_CURRENCY_EQTY_200012913_REP" localSheetId="0">#REF!</definedName>
    <definedName name="L_CURRENCY_EQTY_200012913_REP">#REF!</definedName>
    <definedName name="L_CURRENCY_EQTY_200013037_PRI" localSheetId="0">#REF!</definedName>
    <definedName name="L_CURRENCY_EQTY_200013037_PRI">#REF!</definedName>
    <definedName name="L_CURRENCY_EQTY_200013037_PUB" localSheetId="0">#REF!</definedName>
    <definedName name="L_CURRENCY_EQTY_200013037_PUB">#REF!</definedName>
    <definedName name="L_CURRENCY_EQTY_200013037_REP" localSheetId="0">#REF!</definedName>
    <definedName name="L_CURRENCY_EQTY_200013037_REP">#REF!</definedName>
    <definedName name="L_CURRENCY_EQTY_200013142_PRI" localSheetId="0">#REF!</definedName>
    <definedName name="L_CURRENCY_EQTY_200013142_PRI">#REF!</definedName>
    <definedName name="L_CURRENCY_EQTY_200013142_PUB" localSheetId="0">#REF!</definedName>
    <definedName name="L_CURRENCY_EQTY_200013142_PUB">#REF!</definedName>
    <definedName name="L_CURRENCY_EQTY_200013142_REP" localSheetId="0">#REF!</definedName>
    <definedName name="L_CURRENCY_EQTY_200013142_REP">#REF!</definedName>
    <definedName name="L_CURRENCY_EQTY_200016087_PRI" localSheetId="0">#REF!</definedName>
    <definedName name="L_CURRENCY_EQTY_200016087_PRI">#REF!</definedName>
    <definedName name="L_CURRENCY_EQTY_200016087_PUB" localSheetId="0">#REF!</definedName>
    <definedName name="L_CURRENCY_EQTY_200016087_PUB">#REF!</definedName>
    <definedName name="L_CURRENCY_EQTY_200016087_REP" localSheetId="0">#REF!</definedName>
    <definedName name="L_CURRENCY_EQTY_200016087_REP">#REF!</definedName>
    <definedName name="L_CURRENCY_EQTY_200018245_PRI" localSheetId="0">#REF!</definedName>
    <definedName name="L_CURRENCY_EQTY_200018245_PRI">#REF!</definedName>
    <definedName name="L_CURRENCY_EQTY_200018245_PUB" localSheetId="0">#REF!</definedName>
    <definedName name="L_CURRENCY_EQTY_200018245_PUB">#REF!</definedName>
    <definedName name="L_CURRENCY_EQTY_200018245_REP" localSheetId="0">#REF!</definedName>
    <definedName name="L_CURRENCY_EQTY_200018245_REP">#REF!</definedName>
    <definedName name="L_CURRENCY_ISSR_208006103_REP" localSheetId="0">#REF!</definedName>
    <definedName name="L_CURRENCY_ISSR_208006103_REP">#REF!</definedName>
    <definedName name="L_CURRENCY_ISSR_208007694_REP" localSheetId="0">#REF!</definedName>
    <definedName name="L_CURRENCY_ISSR_208007694_REP">#REF!</definedName>
    <definedName name="L_CURRENCY_ISSR_208008548_REP" localSheetId="0">#REF!</definedName>
    <definedName name="L_CURRENCY_ISSR_208008548_REP">#REF!</definedName>
    <definedName name="L_CURRENCY_ISSR_208009486_REP" localSheetId="0">#REF!</definedName>
    <definedName name="L_CURRENCY_ISSR_208009486_REP">#REF!</definedName>
    <definedName name="L_CURRENCY_ISSR_208009698_REP" localSheetId="0">#REF!</definedName>
    <definedName name="L_CURRENCY_ISSR_208009698_REP">#REF!</definedName>
    <definedName name="L_CURRENCY_ISSR_208009912_REP" localSheetId="0">#REF!</definedName>
    <definedName name="L_CURRENCY_ISSR_208009912_REP">#REF!</definedName>
    <definedName name="L_CURRENCY_ISSR_208009916_REP" localSheetId="0">#REF!</definedName>
    <definedName name="L_CURRENCY_ISSR_208009916_REP">#REF!</definedName>
    <definedName name="L_CURRENCY_ISSR_208010032_REP" localSheetId="0">#REF!</definedName>
    <definedName name="L_CURRENCY_ISSR_208010032_REP">#REF!</definedName>
    <definedName name="L_CURRENCY_ISSR_208010083_REP" localSheetId="0">#REF!</definedName>
    <definedName name="L_CURRENCY_ISSR_208010083_REP">#REF!</definedName>
    <definedName name="L_CURRENCY_ISSR_208013035_REP" localSheetId="0">#REF!</definedName>
    <definedName name="L_CURRENCY_ISSR_208013035_REP">#REF!</definedName>
    <definedName name="L_CURRENCY_ISSR_208015997_REP" localSheetId="0">#REF!</definedName>
    <definedName name="L_CURRENCY_ISSR_208015997_REP">#REF!</definedName>
    <definedName name="L_KEYWORD_ISSR_208010032_OP_AUSTRA" localSheetId="0">#REF!</definedName>
    <definedName name="L_KEYWORD_ISSR_208010032_OP_AUSTRA">#REF!</definedName>
    <definedName name="L_KEYWORD_ISSR_208010032_OP_AUSTRIA" localSheetId="0">#REF!</definedName>
    <definedName name="L_KEYWORD_ISSR_208010032_OP_AUSTRIA">#REF!</definedName>
    <definedName name="L_KEYWORD_ISSR_208010032_OP_BEL" localSheetId="0">#REF!</definedName>
    <definedName name="L_KEYWORD_ISSR_208010032_OP_BEL">#REF!</definedName>
    <definedName name="L_KEYWORD_ISSR_208010032_OP_BRAZIL" localSheetId="0">#REF!</definedName>
    <definedName name="L_KEYWORD_ISSR_208010032_OP_BRAZIL">#REF!</definedName>
    <definedName name="L_KEYWORD_ISSR_208010032_OP_CANADA" localSheetId="0">#REF!</definedName>
    <definedName name="L_KEYWORD_ISSR_208010032_OP_CANADA">#REF!</definedName>
    <definedName name="L_KEYWORD_ISSR_208010032_OP_CEE" localSheetId="0">#REF!</definedName>
    <definedName name="L_KEYWORD_ISSR_208010032_OP_CEE">#REF!</definedName>
    <definedName name="L_KEYWORD_ISSR_208010032_OP_CHINA" localSheetId="0">#REF!</definedName>
    <definedName name="L_KEYWORD_ISSR_208010032_OP_CHINA">#REF!</definedName>
    <definedName name="L_KEYWORD_ISSR_208010032_OP_CONS" localSheetId="0">#REF!</definedName>
    <definedName name="L_KEYWORD_ISSR_208010032_OP_CONS">#REF!</definedName>
    <definedName name="L_KEYWORD_ISSR_208010032_OP_DEN" localSheetId="0">#REF!</definedName>
    <definedName name="L_KEYWORD_ISSR_208010032_OP_DEN">#REF!</definedName>
    <definedName name="L_KEYWORD_ISSR_208010032_OP_EU_EX_UK" localSheetId="0">#REF!</definedName>
    <definedName name="L_KEYWORD_ISSR_208010032_OP_EU_EX_UK">#REF!</definedName>
    <definedName name="L_KEYWORD_ISSR_208010032_OP_FIN" localSheetId="0">#REF!</definedName>
    <definedName name="L_KEYWORD_ISSR_208010032_OP_FIN">#REF!</definedName>
    <definedName name="L_KEYWORD_ISSR_208010032_OP_FRA" localSheetId="0">#REF!</definedName>
    <definedName name="L_KEYWORD_ISSR_208010032_OP_FRA">#REF!</definedName>
    <definedName name="L_KEYWORD_ISSR_208010032_OP_GER" localSheetId="0">#REF!</definedName>
    <definedName name="L_KEYWORD_ISSR_208010032_OP_GER">#REF!</definedName>
    <definedName name="L_KEYWORD_ISSR_208010032_OP_GOV" localSheetId="0">#REF!</definedName>
    <definedName name="L_KEYWORD_ISSR_208010032_OP_GOV">#REF!</definedName>
    <definedName name="L_KEYWORD_ISSR_208010032_OP_GRE" localSheetId="0">#REF!</definedName>
    <definedName name="L_KEYWORD_ISSR_208010032_OP_GRE">#REF!</definedName>
    <definedName name="L_KEYWORD_ISSR_208010032_OP_ICE" localSheetId="0">#REF!</definedName>
    <definedName name="L_KEYWORD_ISSR_208010032_OP_ICE">#REF!</definedName>
    <definedName name="L_KEYWORD_ISSR_208010032_OP_IND" localSheetId="0">#REF!</definedName>
    <definedName name="L_KEYWORD_ISSR_208010032_OP_IND">#REF!</definedName>
    <definedName name="L_KEYWORD_ISSR_208010032_OP_INDIA" localSheetId="0">#REF!</definedName>
    <definedName name="L_KEYWORD_ISSR_208010032_OP_INDIA">#REF!</definedName>
    <definedName name="L_KEYWORD_ISSR_208010032_OP_IRE" localSheetId="0">#REF!</definedName>
    <definedName name="L_KEYWORD_ISSR_208010032_OP_IRE">#REF!</definedName>
    <definedName name="L_KEYWORD_ISSR_208010032_OP_ITA" localSheetId="0">#REF!</definedName>
    <definedName name="L_KEYWORD_ISSR_208010032_OP_ITA">#REF!</definedName>
    <definedName name="L_KEYWORD_ISSR_208010032_OP_JAPAN" localSheetId="0">#REF!</definedName>
    <definedName name="L_KEYWORD_ISSR_208010032_OP_JAPAN">#REF!</definedName>
    <definedName name="L_KEYWORD_ISSR_208010032_OP_ME" localSheetId="0">#REF!</definedName>
    <definedName name="L_KEYWORD_ISSR_208010032_OP_ME">#REF!</definedName>
    <definedName name="L_KEYWORD_ISSR_208010032_OP_NETH" localSheetId="0">#REF!</definedName>
    <definedName name="L_KEYWORD_ISSR_208010032_OP_NETH">#REF!</definedName>
    <definedName name="L_KEYWORD_ISSR_208010032_OP_NOR" localSheetId="0">#REF!</definedName>
    <definedName name="L_KEYWORD_ISSR_208010032_OP_NOR">#REF!</definedName>
    <definedName name="L_KEYWORD_ISSR_208010032_OP_NZ" localSheetId="0">#REF!</definedName>
    <definedName name="L_KEYWORD_ISSR_208010032_OP_NZ">#REF!</definedName>
    <definedName name="L_KEYWORD_ISSR_208010032_OP_OTH_AEJ" localSheetId="0">#REF!</definedName>
    <definedName name="L_KEYWORD_ISSR_208010032_OP_OTH_AEJ">#REF!</definedName>
    <definedName name="L_KEYWORD_ISSR_208010032_OP_OTH_AM" localSheetId="0">#REF!</definedName>
    <definedName name="L_KEYWORD_ISSR_208010032_OP_OTH_AM">#REF!</definedName>
    <definedName name="L_KEYWORD_ISSR_208010032_OP_OTH_EMEA" localSheetId="0">#REF!</definedName>
    <definedName name="L_KEYWORD_ISSR_208010032_OP_OTH_EMEA">#REF!</definedName>
    <definedName name="L_KEYWORD_ISSR_208010032_OP_OTHER" localSheetId="0">#REF!</definedName>
    <definedName name="L_KEYWORD_ISSR_208010032_OP_OTHER">#REF!</definedName>
    <definedName name="L_KEYWORD_ISSR_208010032_OP_POR" localSheetId="0">#REF!</definedName>
    <definedName name="L_KEYWORD_ISSR_208010032_OP_POR">#REF!</definedName>
    <definedName name="L_KEYWORD_ISSR_208010032_OP_RUSSIA" localSheetId="0">#REF!</definedName>
    <definedName name="L_KEYWORD_ISSR_208010032_OP_RUSSIA">#REF!</definedName>
    <definedName name="L_KEYWORD_ISSR_208010032_OP_SK" localSheetId="0">#REF!</definedName>
    <definedName name="L_KEYWORD_ISSR_208010032_OP_SK">#REF!</definedName>
    <definedName name="L_KEYWORD_ISSR_208010032_OP_SPA" localSheetId="0">#REF!</definedName>
    <definedName name="L_KEYWORD_ISSR_208010032_OP_SPA">#REF!</definedName>
    <definedName name="L_KEYWORD_ISSR_208010032_OP_SWE" localSheetId="0">#REF!</definedName>
    <definedName name="L_KEYWORD_ISSR_208010032_OP_SWE">#REF!</definedName>
    <definedName name="L_KEYWORD_ISSR_208010032_OP_SWIT" localSheetId="0">#REF!</definedName>
    <definedName name="L_KEYWORD_ISSR_208010032_OP_SWIT">#REF!</definedName>
    <definedName name="L_KEYWORD_ISSR_208010032_OP_TOT_AM" localSheetId="0">#REF!</definedName>
    <definedName name="L_KEYWORD_ISSR_208010032_OP_TOT_AM">#REF!</definedName>
    <definedName name="L_KEYWORD_ISSR_208010032_OP_TOT_ASIA" localSheetId="0">#REF!</definedName>
    <definedName name="L_KEYWORD_ISSR_208010032_OP_TOT_ASIA">#REF!</definedName>
    <definedName name="L_KEYWORD_ISSR_208010032_OP_TOT_EMEA" localSheetId="0">#REF!</definedName>
    <definedName name="L_KEYWORD_ISSR_208010032_OP_TOT_EMEA">#REF!</definedName>
    <definedName name="L_KEYWORD_ISSR_208010032_OP_UK" localSheetId="0">#REF!</definedName>
    <definedName name="L_KEYWORD_ISSR_208010032_OP_UK">#REF!</definedName>
    <definedName name="L_KEYWORD_ISSR_208010032_OP_US" localSheetId="0">#REF!</definedName>
    <definedName name="L_KEYWORD_ISSR_208010032_OP_US">#REF!</definedName>
    <definedName name="L_KEYWORD_ISSR_208010032_SALES_DEN" localSheetId="0">#REF!</definedName>
    <definedName name="L_KEYWORD_ISSR_208010032_SALES_DEN">#REF!</definedName>
    <definedName name="L_KEYWORD_ISSR_208010032_SALES_FIN" localSheetId="0">#REF!</definedName>
    <definedName name="L_KEYWORD_ISSR_208010032_SALES_FIN">#REF!</definedName>
    <definedName name="L_KEYWORD_ISSR_208010032_SALES_ICE" localSheetId="0">#REF!</definedName>
    <definedName name="L_KEYWORD_ISSR_208010032_SALES_ICE">#REF!</definedName>
    <definedName name="la" localSheetId="0">#REF!</definedName>
    <definedName name="la">#REF!</definedName>
    <definedName name="Labor_Cost" localSheetId="0">#REF!</definedName>
    <definedName name="Labor_Cost">#REF!</definedName>
    <definedName name="Labor_Cost_SG_A" localSheetId="0">#REF!</definedName>
    <definedName name="Labor_Cost_SG_A">#REF!</definedName>
    <definedName name="lah" localSheetId="0">#REF!</definedName>
    <definedName name="lah">#REF!</definedName>
    <definedName name="Last" localSheetId="0">#REF!</definedName>
    <definedName name="Last">#REF!</definedName>
    <definedName name="last_earnings_release_date" localSheetId="0">#REF!</definedName>
    <definedName name="last_earnings_release_date">#REF!</definedName>
    <definedName name="last_reported_qtr" localSheetId="0">#REF!</definedName>
    <definedName name="last_reported_qtr">#REF!</definedName>
    <definedName name="last_reported_year" localSheetId="0">#REF!</definedName>
    <definedName name="last_reported_year">#REF!</definedName>
    <definedName name="Last_Update" localSheetId="0">#REF!</definedName>
    <definedName name="Last_Update">#REF!</definedName>
    <definedName name="LastListUpdate">0</definedName>
    <definedName name="LatestFYE" localSheetId="0">#REF!</definedName>
    <definedName name="LatestFYE">#REF!</definedName>
    <definedName name="LatestQuarterDate" localSheetId="0">#REF!</definedName>
    <definedName name="LatestQuarterDate">#REF!</definedName>
    <definedName name="LatestShares" localSheetId="0">#REF!</definedName>
    <definedName name="LatestShares">#REF!</definedName>
    <definedName name="lbo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lbo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lbo" localSheetId="4" hidden="1">{#N/A,#N/A,FALSE,"Summary";#N/A,#N/A,FALSE,"Projections";#N/A,#N/A,FALSE,"Mkt Mults";#N/A,#N/A,FALSE,"DCF";#N/A,#N/A,FALSE,"Accr Dil";#N/A,#N/A,FALSE,"PIC LBO";#N/A,#N/A,FALSE,"MULT10_4";#N/A,#N/A,FALSE,"CBI LBO"}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_MODEL_PRINT" localSheetId="0">#REF!,#REF!,#REF!,#REF!,#REF!,#REF!,#REF!,#REF!</definedName>
    <definedName name="LBO_MODEL_PRINT">#REF!,#REF!,#REF!,#REF!,#REF!,#REF!,#REF!,#REF!</definedName>
    <definedName name="LBOcase" localSheetId="0">#REF!</definedName>
    <definedName name="LBOcase">#REF!</definedName>
    <definedName name="LCFMARG00" localSheetId="0">#REF!</definedName>
    <definedName name="LCFMARG00">#REF!</definedName>
    <definedName name="LCFMARG01" localSheetId="0">#REF!</definedName>
    <definedName name="LCFMARG01">#REF!</definedName>
    <definedName name="LCFMARG02" localSheetId="0">#REF!</definedName>
    <definedName name="LCFMARG02">#REF!</definedName>
    <definedName name="LCFMARG03" localSheetId="0">#REF!</definedName>
    <definedName name="LCFMARG03">#REF!</definedName>
    <definedName name="LCFMARG98" localSheetId="0">#REF!</definedName>
    <definedName name="LCFMARG98">#REF!</definedName>
    <definedName name="LCFMARG99" localSheetId="0">#REF!</definedName>
    <definedName name="LCFMARG99">#REF!</definedName>
    <definedName name="LdNciHcBgn" localSheetId="0">#REF!</definedName>
    <definedName name="LdNciHcBgn">#REF!</definedName>
    <definedName name="LdNiiHcBgn" localSheetId="0">#REF!</definedName>
    <definedName name="LdNiiHcBgn">#REF!</definedName>
    <definedName name="LEASE" localSheetId="0">#REF!</definedName>
    <definedName name="LEASE">#REF!</definedName>
    <definedName name="Legal" localSheetId="0">#REF!</definedName>
    <definedName name="Legal">#REF!</definedName>
    <definedName name="lessbbiebitda00" localSheetId="0">#REF!</definedName>
    <definedName name="lessbbiebitda00">#REF!</definedName>
    <definedName name="lessbbiebitda01" localSheetId="0">#REF!</definedName>
    <definedName name="lessbbiebitda01">#REF!</definedName>
    <definedName name="lessbbiebitda02" localSheetId="0">#REF!</definedName>
    <definedName name="lessbbiebitda02">#REF!</definedName>
    <definedName name="lessinfebitda00" localSheetId="0">#REF!</definedName>
    <definedName name="lessinfebitda00">#REF!</definedName>
    <definedName name="lessinfebitda01" localSheetId="0">#REF!</definedName>
    <definedName name="lessinfebitda01">#REF!</definedName>
    <definedName name="lessinfebitda02" localSheetId="0">#REF!</definedName>
    <definedName name="lessinfebitda02">#REF!</definedName>
    <definedName name="level" localSheetId="0">[0]!is1b,[0]!is1c,[0]!STATS2,[0]!STATS3</definedName>
    <definedName name="level">#REF!,#REF!,#REF!,#REF!</definedName>
    <definedName name="LEXP00" localSheetId="0">#REF!</definedName>
    <definedName name="LEXP00">#REF!</definedName>
    <definedName name="LEXP00PF" localSheetId="0">#REF!</definedName>
    <definedName name="LEXP00PF">#REF!</definedName>
    <definedName name="LEXP01" localSheetId="0">#REF!</definedName>
    <definedName name="LEXP01">#REF!</definedName>
    <definedName name="LEXP02" localSheetId="0">#REF!</definedName>
    <definedName name="LEXP02">#REF!</definedName>
    <definedName name="LEXP03" localSheetId="0">#REF!</definedName>
    <definedName name="LEXP03">#REF!</definedName>
    <definedName name="LEXP98" localSheetId="0">#REF!</definedName>
    <definedName name="LEXP98">#REF!</definedName>
    <definedName name="LEXP99" localSheetId="0">#REF!</definedName>
    <definedName name="LEXP99">#REF!</definedName>
    <definedName name="LFQ" localSheetId="0">#REF!</definedName>
    <definedName name="LFQ">#REF!</definedName>
    <definedName name="LFY" localSheetId="0">#REF!</definedName>
    <definedName name="LFY">#REF!</definedName>
    <definedName name="LFYPrice" localSheetId="0">#REF!</definedName>
    <definedName name="LFYPrice">#REF!</definedName>
    <definedName name="LiabilitiesCurrentAccountsPayable" localSheetId="0">#REF!</definedName>
    <definedName name="LiabilitiesCurrentAccountsPayable">#REF!</definedName>
    <definedName name="LiabilitiesCurrentAccruedLiabilities">0</definedName>
    <definedName name="LiabilitiesCurrentDebtCurrentPortion" localSheetId="0">#REF!</definedName>
    <definedName name="LiabilitiesCurrentDebtCurrentPortion">#REF!</definedName>
    <definedName name="LiabilitiesCurrentNotesPayable">0</definedName>
    <definedName name="LiabilitiesCurrentOther" localSheetId="0">#REF!+#REF!</definedName>
    <definedName name="LiabilitiesCurrentOther">#REF!+#REF!</definedName>
    <definedName name="LiabilitiesCurrentTotal" localSheetId="0">#REF!</definedName>
    <definedName name="LiabilitiesCurrentTotal">#REF!</definedName>
    <definedName name="LiabilitiesDebtLongTerm" localSheetId="0">#REF!</definedName>
    <definedName name="LiabilitiesDebtLongTerm">#REF!</definedName>
    <definedName name="LiabilitiesDeferredIncomeTaxes">0</definedName>
    <definedName name="LiabilitiesDeferredOther" localSheetId="0">#REF!</definedName>
    <definedName name="LiabilitiesDeferredOther">#REF!</definedName>
    <definedName name="LiabilitiesDeferredTotal" localSheetId="0">#REF!</definedName>
    <definedName name="LiabilitiesDeferredTotal">#REF!</definedName>
    <definedName name="LiabilitiesMinorityInterest" localSheetId="0">#REF!</definedName>
    <definedName name="LiabilitiesMinorityInterest">#REF!</definedName>
    <definedName name="LiabilitiesNecessaryToFinanceDebt" localSheetId="0">#REF!</definedName>
    <definedName name="LiabilitiesNecessaryToFinanceDebt">#REF!</definedName>
    <definedName name="LiabilitiesOther">0</definedName>
    <definedName name="LiabilitiesPostretirementBenefits" localSheetId="0">#REF!</definedName>
    <definedName name="LiabilitiesPostretirementBenefits">#REF!</definedName>
    <definedName name="LiabilitiesPreferredStock" localSheetId="0">#REF!</definedName>
    <definedName name="LiabilitiesPreferredStock">#REF!</definedName>
    <definedName name="LiabilitiesTotal" localSheetId="0">#REF!</definedName>
    <definedName name="LiabilitiesTotal">#REF!</definedName>
    <definedName name="LiabilitiesUnamortizedInvestmentTaxCredits">0</definedName>
    <definedName name="Liberalization" localSheetId="0">#REF!</definedName>
    <definedName name="Liberalization">#REF!</definedName>
    <definedName name="libor" localSheetId="0">#REF!</definedName>
    <definedName name="libor">#REF!</definedName>
    <definedName name="library" localSheetId="0">#REF!</definedName>
    <definedName name="library">#REF!</definedName>
    <definedName name="library_ds" localSheetId="0">#REF!</definedName>
    <definedName name="library_ds">#REF!</definedName>
    <definedName name="library_name" localSheetId="0">#REF!</definedName>
    <definedName name="library_name">#REF!</definedName>
    <definedName name="LicenseeSales" localSheetId="0">#REF!</definedName>
    <definedName name="LicenseeSales">#REF!</definedName>
    <definedName name="lin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n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n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n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NAGE" localSheetId="0">#REF!</definedName>
    <definedName name="LINAGE">#REF!</definedName>
    <definedName name="Linage_01" localSheetId="0">#REF!</definedName>
    <definedName name="Linage_01">#REF!</definedName>
    <definedName name="linage_02" localSheetId="0">#REF!</definedName>
    <definedName name="linage_02">#REF!</definedName>
    <definedName name="linage_03" localSheetId="0">#REF!</definedName>
    <definedName name="linage_03">#REF!</definedName>
    <definedName name="linage_04" localSheetId="0">#REF!</definedName>
    <definedName name="linage_04">#REF!</definedName>
    <definedName name="LINAGE00" localSheetId="0">#REF!</definedName>
    <definedName name="LINAGE00">#REF!</definedName>
    <definedName name="LINAGE98" localSheetId="0">#REF!</definedName>
    <definedName name="LINAGE98">#REF!</definedName>
    <definedName name="Line" localSheetId="0">#REF!</definedName>
    <definedName name="Line">#REF!</definedName>
    <definedName name="Links" localSheetId="0">#REF!</definedName>
    <definedName name="Links">#REF!</definedName>
    <definedName name="Lisa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s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sa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s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istOffset" hidden="1">1</definedName>
    <definedName name="ListSheetsMacroButton" localSheetId="0">#REF!</definedName>
    <definedName name="ListSheetsMacroButton">#REF!</definedName>
    <definedName name="LiveReqs" localSheetId="0">#REF!</definedName>
    <definedName name="LiveReqs">#REF!</definedName>
    <definedName name="lkj" localSheetId="0">#REF!</definedName>
    <definedName name="lkj">#REF!</definedName>
    <definedName name="ll" localSheetId="5" hidden="1">{"'Check Request'!$A$1:$BF$37"}</definedName>
    <definedName name="ll" localSheetId="0" hidden="1">{"'Check Request'!$A$1:$BF$37"}</definedName>
    <definedName name="ll" localSheetId="4" hidden="1">{"'Check Request'!$A$1:$BF$37"}</definedName>
    <definedName name="ll" hidden="1">{"'Check Request'!$A$1:$BF$37"}</definedName>
    <definedName name="lll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ll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ll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ll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llll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lmcaNAV01" localSheetId="0">#REF!</definedName>
    <definedName name="lmcaNAV01">#REF!</definedName>
    <definedName name="LnPrv89" localSheetId="0">#REF!</definedName>
    <definedName name="LnPrv89">#REF!</definedName>
    <definedName name="LnPrv90" localSheetId="0">#REF!</definedName>
    <definedName name="LnPrv90">#REF!</definedName>
    <definedName name="LnPrv91" localSheetId="0">#REF!</definedName>
    <definedName name="LnPrv91">#REF!</definedName>
    <definedName name="LnPrv92" localSheetId="0">#REF!</definedName>
    <definedName name="LnPrv92">#REF!</definedName>
    <definedName name="LnPrv93" localSheetId="0">#REF!</definedName>
    <definedName name="LnPrv93">#REF!</definedName>
    <definedName name="LnPrv94" localSheetId="0">#REF!</definedName>
    <definedName name="LnPrv94">#REF!</definedName>
    <definedName name="LnPrv95" localSheetId="0">#REF!</definedName>
    <definedName name="LnPrv95">#REF!</definedName>
    <definedName name="Load___Discharge" localSheetId="0">#REF!</definedName>
    <definedName name="Load___Discharge">#REF!</definedName>
    <definedName name="Loan_Loss_Provision_fore" localSheetId="0">#REF!</definedName>
    <definedName name="Loan_Loss_Provision_fore">#REF!</definedName>
    <definedName name="LoanAllow88" localSheetId="0">#REF!</definedName>
    <definedName name="LoanAllow88">#REF!</definedName>
    <definedName name="LoanAllow89" localSheetId="0">#REF!</definedName>
    <definedName name="LoanAllow89">#REF!</definedName>
    <definedName name="LoanAllow90" localSheetId="0">#REF!</definedName>
    <definedName name="LoanAllow90">#REF!</definedName>
    <definedName name="LoanAllow91" localSheetId="0">#REF!</definedName>
    <definedName name="LoanAllow91">#REF!</definedName>
    <definedName name="LoanAllow92" localSheetId="0">#REF!</definedName>
    <definedName name="LoanAllow92">#REF!</definedName>
    <definedName name="LoanAllow93" localSheetId="0">#REF!</definedName>
    <definedName name="LoanAllow93">#REF!</definedName>
    <definedName name="LoanAllow94" localSheetId="0">#REF!</definedName>
    <definedName name="LoanAllow94">#REF!</definedName>
    <definedName name="LoanAllow95" localSheetId="0">#REF!</definedName>
    <definedName name="LoanAllow95">#REF!</definedName>
    <definedName name="LoanBreakdown" localSheetId="0">#REF!</definedName>
    <definedName name="LoanBreakdown">#REF!</definedName>
    <definedName name="LOCAL" localSheetId="0">#REF!</definedName>
    <definedName name="LOCAL">#REF!</definedName>
    <definedName name="local_costs" localSheetId="0">#REF!</definedName>
    <definedName name="local_costs">#REF!</definedName>
    <definedName name="local_gm" localSheetId="0">#REF!</definedName>
    <definedName name="local_gm">#REF!</definedName>
    <definedName name="local_gp" localSheetId="0">#REF!</definedName>
    <definedName name="local_gp">#REF!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evs" localSheetId="0">#REF!</definedName>
    <definedName name="local_revs">#REF!</definedName>
    <definedName name="Location" localSheetId="0">#REF!</definedName>
    <definedName name="Location">#REF!</definedName>
    <definedName name="lola" localSheetId="5" hidden="1">{#N/A,#N/A,FALSE,"PERSONAL";#N/A,#N/A,FALSE,"explotación";#N/A,#N/A,FALSE,"generales"}</definedName>
    <definedName name="lola" localSheetId="0" hidden="1">{#N/A,#N/A,FALSE,"PERSONAL";#N/A,#N/A,FALSE,"explotación";#N/A,#N/A,FALSE,"generales"}</definedName>
    <definedName name="lola" localSheetId="4" hidden="1">{#N/A,#N/A,FALSE,"PERSONAL";#N/A,#N/A,FALSE,"explotación";#N/A,#N/A,FALSE,"generales"}</definedName>
    <definedName name="lola" hidden="1">{#N/A,#N/A,FALSE,"PERSONAL";#N/A,#N/A,FALSE,"explotación";#N/A,#N/A,FALSE,"generales"}</definedName>
    <definedName name="lolal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l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l" localSheetId="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localSheetId="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localSheetId="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localSheetId="0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localSheetId="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ng_term_debt" localSheetId="0">#REF!</definedName>
    <definedName name="Long_term_debt">#REF!</definedName>
    <definedName name="LongTermDebt" localSheetId="0">#REF!</definedName>
    <definedName name="LongTermDebt">#REF!</definedName>
    <definedName name="LongTermDebtUMG" localSheetId="0">#REF!</definedName>
    <definedName name="LongTermDebtUMG">#REF!</definedName>
    <definedName name="Loss_Disposal_Asst_Party" localSheetId="0">#REF!</definedName>
    <definedName name="Loss_Disposal_Asst_Party">#REF!</definedName>
    <definedName name="Loss_Disposal_Fix_Asst" localSheetId="0">#REF!</definedName>
    <definedName name="Loss_Disposal_Fix_Asst">#REF!</definedName>
    <definedName name="Loss_Disposal_Invest" localSheetId="0">#REF!</definedName>
    <definedName name="Loss_Disposal_Invest">#REF!</definedName>
    <definedName name="Loss_Inventory_Valuation" localSheetId="0">#REF!</definedName>
    <definedName name="Loss_Inventory_Valuation">#REF!</definedName>
    <definedName name="Loss_Revaluation_Asst" localSheetId="0">#REF!</definedName>
    <definedName name="Loss_Revaluation_Asst">#REF!</definedName>
    <definedName name="Low" localSheetId="0">#REF!</definedName>
    <definedName name="Low">#REF!</definedName>
    <definedName name="lptl">"ld"</definedName>
    <definedName name="LREV00" localSheetId="0">#REF!</definedName>
    <definedName name="LREV00">#REF!</definedName>
    <definedName name="LREV00PF" localSheetId="0">#REF!</definedName>
    <definedName name="LREV00PF">#REF!</definedName>
    <definedName name="LREV01" localSheetId="0">#REF!</definedName>
    <definedName name="LREV01">#REF!</definedName>
    <definedName name="LREV02" localSheetId="0">#REF!</definedName>
    <definedName name="LREV02">#REF!</definedName>
    <definedName name="LREV03" localSheetId="0">#REF!</definedName>
    <definedName name="LREV03">#REF!</definedName>
    <definedName name="LREV98" localSheetId="0">#REF!</definedName>
    <definedName name="LREV98">#REF!</definedName>
    <definedName name="LREV99" localSheetId="0">#REF!</definedName>
    <definedName name="LREV99">#REF!</definedName>
    <definedName name="lse" localSheetId="5" hidden="1">{#N/A,#N/A,FALSE,"Const";#N/A,#N/A,FALSE,"P&amp;L";#N/A,#N/A,FALSE,"Sale"}</definedName>
    <definedName name="lse" localSheetId="0" hidden="1">{#N/A,#N/A,FALSE,"Const";#N/A,#N/A,FALSE,"P&amp;L";#N/A,#N/A,FALSE,"Sale"}</definedName>
    <definedName name="lse" localSheetId="4" hidden="1">{#N/A,#N/A,FALSE,"Const";#N/A,#N/A,FALSE,"P&amp;L";#N/A,#N/A,FALSE,"Sale"}</definedName>
    <definedName name="lse" hidden="1">{#N/A,#N/A,FALSE,"Const";#N/A,#N/A,FALSE,"P&amp;L";#N/A,#N/A,FALSE,"Sale"}</definedName>
    <definedName name="LT_debt_growth_fore" localSheetId="0">#REF!</definedName>
    <definedName name="LT_debt_growth_fore">#REF!</definedName>
    <definedName name="LT_int_bearing_assets" localSheetId="0">#REF!</definedName>
    <definedName name="LT_int_bearing_assets">#REF!</definedName>
    <definedName name="LT_INV" localSheetId="0">#REF!</definedName>
    <definedName name="LT_INV">#REF!</definedName>
    <definedName name="ltd" localSheetId="0">#REF!</definedName>
    <definedName name="LTD">#REF!</definedName>
    <definedName name="ltdebt00" localSheetId="0">#REF!</definedName>
    <definedName name="ltdebt00">#REF!</definedName>
    <definedName name="ltdebt01" localSheetId="0">#REF!</definedName>
    <definedName name="ltdebt01">#REF!</definedName>
    <definedName name="ltdebt02" localSheetId="0">#REF!</definedName>
    <definedName name="ltdebt02">#REF!</definedName>
    <definedName name="ltdebt03" localSheetId="0">#REF!</definedName>
    <definedName name="ltdebt03">#REF!</definedName>
    <definedName name="ltdebt04" localSheetId="0">#REF!</definedName>
    <definedName name="ltdebt04">#REF!</definedName>
    <definedName name="LtDebtDmy" localSheetId="0" hidden="1">#REF!,#REF!,#REF!,#REF!,#REF!</definedName>
    <definedName name="LtDebtDmy" hidden="1">#REF!,#REF!,#REF!,#REF!,#REF!</definedName>
    <definedName name="LTL" localSheetId="0">#REF!</definedName>
    <definedName name="LTL">#REF!</definedName>
    <definedName name="LTL_CAP" localSheetId="0">#REF!</definedName>
    <definedName name="LTL_CAP">#REF!</definedName>
    <definedName name="LTL_DEBT" localSheetId="0">#REF!</definedName>
    <definedName name="LTL_DEBT">#REF!</definedName>
    <definedName name="LTL_TAX" localSheetId="0">#REF!</definedName>
    <definedName name="LTL_TAX">#REF!</definedName>
    <definedName name="LTM" localSheetId="0">#REF!</definedName>
    <definedName name="LTM">#REF!</definedName>
    <definedName name="LTMPE" localSheetId="0">#REF!</definedName>
    <definedName name="LTMPE">#REF!</definedName>
    <definedName name="LTMPrice" localSheetId="0">#REF!</definedName>
    <definedName name="LTMPrice">#REF!</definedName>
    <definedName name="lvlt" localSheetId="0">[0]!is1b,[0]!is1c,[0]!STATS2,[0]!STATS3</definedName>
    <definedName name="lvlt">#REF!,#REF!,#REF!,#REF!</definedName>
    <definedName name="M_3" localSheetId="0">#REF!</definedName>
    <definedName name="M_3">#REF!</definedName>
    <definedName name="M_PlaceofPath" hidden="1">"\\SNYCEQT0100\HOME\LZURLO\DATA\TELMEX\Models\tmx_vdf.xls"</definedName>
    <definedName name="M3..T3_">#N/A</definedName>
    <definedName name="Macau_costs" localSheetId="0">#REF!</definedName>
    <definedName name="Macau_costs">#REF!</definedName>
    <definedName name="Macau_revenues" localSheetId="0">#REF!</definedName>
    <definedName name="Macau_revenues">#REF!</definedName>
    <definedName name="macro" localSheetId="0">#REF!</definedName>
    <definedName name="macro">#REF!</definedName>
    <definedName name="Macro12" localSheetId="0">#REF!</definedName>
    <definedName name="Macro12">#REF!</definedName>
    <definedName name="macro2">#N/A</definedName>
    <definedName name="Macro3" localSheetId="0">#REF!</definedName>
    <definedName name="Macro3">#REF!</definedName>
    <definedName name="macroexcel" localSheetId="0">#REF!</definedName>
    <definedName name="macroexcel">#REF!</definedName>
    <definedName name="MACROS" localSheetId="0">#REF!</definedName>
    <definedName name="MACROS">#REF!</definedName>
    <definedName name="MAGAZINES" localSheetId="0">#REF!</definedName>
    <definedName name="MAGAZINES">#REF!</definedName>
    <definedName name="main_print" localSheetId="0">#REF!</definedName>
    <definedName name="main_print">#REF!</definedName>
    <definedName name="MainDialog.Auto_Open">#N/A</definedName>
    <definedName name="Margin_multiple" localSheetId="0">#REF!</definedName>
    <definedName name="Margin_multiple">#REF!</definedName>
    <definedName name="Market_capitalization" localSheetId="0">#REF!</definedName>
    <definedName name="Market_capitalization">#REF!</definedName>
    <definedName name="Marketing___Admin._costs" localSheetId="0">#REF!</definedName>
    <definedName name="Marketing___Admin._costs">#REF!</definedName>
    <definedName name="MarketValue" localSheetId="0">#REF!</definedName>
    <definedName name="MarketValue">#REF!</definedName>
    <definedName name="markval" localSheetId="0">#REF!</definedName>
    <definedName name="markval">#REF!</definedName>
    <definedName name="MARSEC_DISCOUNT" localSheetId="0">#REF!</definedName>
    <definedName name="MARSEC_DISCOUNT">#REF!</definedName>
    <definedName name="Massive" localSheetId="0">#REF!</definedName>
    <definedName name="Massive">#REF!</definedName>
    <definedName name="Master_RNK_index" localSheetId="0">#REF!</definedName>
    <definedName name="Master_RNK_index">#REF!</definedName>
    <definedName name="mat1q95eps" localSheetId="0">#REF!</definedName>
    <definedName name="mat1q95eps">#REF!</definedName>
    <definedName name="mat1q96eps" localSheetId="0">#REF!</definedName>
    <definedName name="mat1q96eps">#REF!</definedName>
    <definedName name="mat1q97eps" localSheetId="0">#REF!</definedName>
    <definedName name="mat1q97eps">#REF!</definedName>
    <definedName name="mat2q95eps" localSheetId="0">#REF!</definedName>
    <definedName name="mat2q95eps">#REF!</definedName>
    <definedName name="mat2q96eps" localSheetId="0">#REF!</definedName>
    <definedName name="mat2q96eps">#REF!</definedName>
    <definedName name="mat2q97eps" localSheetId="0">#REF!</definedName>
    <definedName name="mat2q97eps">#REF!</definedName>
    <definedName name="mat3q95eps" localSheetId="0">#REF!</definedName>
    <definedName name="mat3q95eps">#REF!</definedName>
    <definedName name="mat3q96eps" localSheetId="0">#REF!</definedName>
    <definedName name="mat3q96eps">#REF!</definedName>
    <definedName name="mat3q97eps" localSheetId="0">#REF!</definedName>
    <definedName name="mat3q97eps">#REF!</definedName>
    <definedName name="mat4q95eps" localSheetId="0">#REF!</definedName>
    <definedName name="mat4q95eps">#REF!</definedName>
    <definedName name="mat4q96eps" localSheetId="0">#REF!</definedName>
    <definedName name="mat4q96eps">#REF!</definedName>
    <definedName name="mat4q97eps" localSheetId="0">#REF!</definedName>
    <definedName name="mat4q97eps">#REF!</definedName>
    <definedName name="mat5YEARROE" localSheetId="0">#REF!</definedName>
    <definedName name="mat5YEARROE">#REF!</definedName>
    <definedName name="mat5YREPS" localSheetId="0">#REF!</definedName>
    <definedName name="mat5YREPS">#REF!</definedName>
    <definedName name="mat95bookvalshare" localSheetId="0">#REF!</definedName>
    <definedName name="mat95bookvalshare">#REF!</definedName>
    <definedName name="mat95casheps" localSheetId="0">#REF!</definedName>
    <definedName name="mat95casheps">#REF!</definedName>
    <definedName name="mat95roe" localSheetId="0">#REF!</definedName>
    <definedName name="mat95roe">#REF!</definedName>
    <definedName name="mat96bookvalshare" localSheetId="0">#REF!</definedName>
    <definedName name="mat96bookvalshare">#REF!</definedName>
    <definedName name="mat96casheps" localSheetId="0">#REF!</definedName>
    <definedName name="mat96casheps">#REF!</definedName>
    <definedName name="mat96roe" localSheetId="0">#REF!</definedName>
    <definedName name="mat96roe">#REF!</definedName>
    <definedName name="mat97bookvalshare" localSheetId="0">#REF!</definedName>
    <definedName name="mat97bookvalshare">#REF!</definedName>
    <definedName name="mat97casheps" localSheetId="0">#REF!</definedName>
    <definedName name="mat97casheps">#REF!</definedName>
    <definedName name="mat97roe" localSheetId="0">#REF!</definedName>
    <definedName name="mat97roe">#REF!</definedName>
    <definedName name="matcomments" localSheetId="0">#REF!</definedName>
    <definedName name="matcomments">#REF!</definedName>
    <definedName name="matNORMORE" localSheetId="0">#REF!</definedName>
    <definedName name="matNORMORE">#REF!</definedName>
    <definedName name="matNORMROE" localSheetId="0">#REF!</definedName>
    <definedName name="matNORMROE">#REF!</definedName>
    <definedName name="matROE" localSheetId="0">#REF!</definedName>
    <definedName name="matROE">#REF!</definedName>
    <definedName name="Mattel__Inc." localSheetId="0">#REF!</definedName>
    <definedName name="Mattel__Inc.">#REF!</definedName>
    <definedName name="MATURITY" localSheetId="0">#REF!</definedName>
    <definedName name="MATURITY">#REF!</definedName>
    <definedName name="mcapex96" localSheetId="0">#REF!</definedName>
    <definedName name="mcapex96">#REF!</definedName>
    <definedName name="MCAPX00" localSheetId="0">#REF!</definedName>
    <definedName name="MCAPX00">#REF!</definedName>
    <definedName name="MCAPX01" localSheetId="0">#REF!</definedName>
    <definedName name="MCAPX01">#REF!</definedName>
    <definedName name="MCAPX02" localSheetId="0">#REF!</definedName>
    <definedName name="MCAPX02">#REF!</definedName>
    <definedName name="MCAPX03" localSheetId="0">#REF!</definedName>
    <definedName name="MCAPX03">#REF!</definedName>
    <definedName name="MCAPX98" localSheetId="0">#REF!</definedName>
    <definedName name="MCAPX98">#REF!</definedName>
    <definedName name="MCAPX99" localSheetId="0">#REF!</definedName>
    <definedName name="MCAPX99">#REF!</definedName>
    <definedName name="MCFMARG94" localSheetId="0">#REF!</definedName>
    <definedName name="MCFMARG94">#REF!</definedName>
    <definedName name="MCFMARG95" localSheetId="0">#REF!</definedName>
    <definedName name="MCFMARG95">#REF!</definedName>
    <definedName name="MCFMARG96" localSheetId="0">#REF!</definedName>
    <definedName name="MCFMARG96">#REF!</definedName>
    <definedName name="MCFMARG97" localSheetId="0">#REF!</definedName>
    <definedName name="MCFMARG97">#REF!</definedName>
    <definedName name="MCFMARG98" localSheetId="0">#REF!</definedName>
    <definedName name="MCFMARG98">#REF!</definedName>
    <definedName name="mediametrics" localSheetId="0">#REF!</definedName>
    <definedName name="mediametrics">#REF!</definedName>
    <definedName name="mel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mel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mel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mel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MemFree" localSheetId="0">#REF!</definedName>
    <definedName name="MemFree">#REF!</definedName>
    <definedName name="MemTotal" localSheetId="0">#REF!</definedName>
    <definedName name="MemTotal">#REF!</definedName>
    <definedName name="merge" localSheetId="0">#REF!</definedName>
    <definedName name="merge">#REF!</definedName>
    <definedName name="MerrillPrintIt" hidden="1">#N/A</definedName>
    <definedName name="METROPAC" localSheetId="0">#REF!,#REF!</definedName>
    <definedName name="METROPAC">#REF!,#REF!</definedName>
    <definedName name="mex" localSheetId="0">#REF!</definedName>
    <definedName name="mex">#REF!</definedName>
    <definedName name="Mexico1" localSheetId="0">#REF!</definedName>
    <definedName name="Mexico1">#REF!</definedName>
    <definedName name="Mexico2" localSheetId="0">#REF!</definedName>
    <definedName name="Mexico2">#REF!</definedName>
    <definedName name="MexicoBalanceSheet" localSheetId="0">#REF!</definedName>
    <definedName name="MexicoBalanceSheet">#REF!</definedName>
    <definedName name="MexicoCashFlow" localSheetId="0">#REF!</definedName>
    <definedName name="MexicoCashFlow">#REF!</definedName>
    <definedName name="MexicoIncomeStatement" localSheetId="0">#REF!</definedName>
    <definedName name="MexicoIncomeStatement">#REF!</definedName>
    <definedName name="MFG" localSheetId="0">#REF!</definedName>
    <definedName name="MFG">#REF!</definedName>
    <definedName name="mgmt" localSheetId="0">#REF!</definedName>
    <definedName name="Mgmt">#REF!</definedName>
    <definedName name="mi00" localSheetId="0">#REF!</definedName>
    <definedName name="MI00">#REF!</definedName>
    <definedName name="MI00PF" localSheetId="0">#REF!</definedName>
    <definedName name="MI00PF">#REF!</definedName>
    <definedName name="MIN_INT" localSheetId="0">#REF!</definedName>
    <definedName name="MIN_INT">#REF!</definedName>
    <definedName name="minorities" localSheetId="0">#REF!</definedName>
    <definedName name="minorities">#REF!</definedName>
    <definedName name="Minority" localSheetId="0">#REF!</definedName>
    <definedName name="Minority">#REF!</definedName>
    <definedName name="Minority_interests" localSheetId="0">#REF!</definedName>
    <definedName name="Minority_interests">#REF!</definedName>
    <definedName name="MinorityInterestAboveTheLine" localSheetId="0">#REF!</definedName>
    <definedName name="MinorityInterestAboveTheLine">#REF!</definedName>
    <definedName name="MinorityInterestBalance" localSheetId="0">#REF!</definedName>
    <definedName name="MinorityInterestBalance">#REF!</definedName>
    <definedName name="MinorityInterestBelowTheLine" localSheetId="0">#REF!</definedName>
    <definedName name="MinorityInterestBelowTheLine">#REF!</definedName>
    <definedName name="MinutesOfUseInterstate" localSheetId="0">#REF!</definedName>
    <definedName name="MinutesOfUseInterstate">#REF!</definedName>
    <definedName name="MinutesOfUseIntrastate" localSheetId="0">#REF!</definedName>
    <definedName name="MinutesOfUseIntrastate">#REF!</definedName>
    <definedName name="Misc_Sales" localSheetId="0">#REF!</definedName>
    <definedName name="Misc_Sales">#REF!</definedName>
    <definedName name="Misc_Tax___Dues" localSheetId="0">#REF!</definedName>
    <definedName name="Misc_Tax___Dues">#REF!</definedName>
    <definedName name="Misc_Tax_SG_A" localSheetId="0">#REF!</definedName>
    <definedName name="Misc_Tax_SG_A">#REF!</definedName>
    <definedName name="MktCap_MGM" localSheetId="0">#REF!</definedName>
    <definedName name="MktCap_MGM">#REF!</definedName>
    <definedName name="mlgintexp1q01" localSheetId="0">#REF!</definedName>
    <definedName name="mlgintexp1q01">#REF!</definedName>
    <definedName name="mlgintexp2q01" localSheetId="0">#REF!</definedName>
    <definedName name="mlgintexp2q01">#REF!</definedName>
    <definedName name="mlgintexp3q01" localSheetId="0">#REF!</definedName>
    <definedName name="mlgintexp3q01">#REF!</definedName>
    <definedName name="mlgintexp4q01" localSheetId="0">#REF!</definedName>
    <definedName name="mlgintexp4q01">#REF!</definedName>
    <definedName name="mlgintexpfy01" localSheetId="0">#REF!</definedName>
    <definedName name="mlgintexpfy01">#REF!</definedName>
    <definedName name="mm" localSheetId="5" hidden="1">{#N/A,#N/A,FALSE,"Tar-Ass";#N/A,#N/A,FALSE,"Tar-IS";#N/A,#N/A,FALSE,"Tar-BS";#N/A,#N/A,FALSE,"Tar-Adg BS";#N/A,#N/A,FALSE,"Tar-CF"}</definedName>
    <definedName name="mm" localSheetId="0" hidden="1">{#N/A,#N/A,FALSE,"Tar-Ass";#N/A,#N/A,FALSE,"Tar-IS";#N/A,#N/A,FALSE,"Tar-BS";#N/A,#N/A,FALSE,"Tar-Adg BS";#N/A,#N/A,FALSE,"Tar-CF"}</definedName>
    <definedName name="mm" localSheetId="4" hidden="1">{#N/A,#N/A,FALSE,"Tar-Ass";#N/A,#N/A,FALSE,"Tar-IS";#N/A,#N/A,FALSE,"Tar-BS";#N/A,#N/A,FALSE,"Tar-Adg BS";#N/A,#N/A,FALSE,"Tar-CF"}</definedName>
    <definedName name="mm" hidden="1">{#N/A,#N/A,FALSE,"Tar-Ass";#N/A,#N/A,FALSE,"Tar-IS";#N/A,#N/A,FALSE,"Tar-BS";#N/A,#N/A,FALSE,"Tar-Adg BS";#N/A,#N/A,FALSE,"Tar-CF"}</definedName>
    <definedName name="mmmmm" localSheetId="5" hidden="1">{#N/A,#N/A,FALSE,"Cover";#N/A,#N/A,FALSE,"LUMI";#N/A,#N/A,FALSE,"COMD";#N/A,#N/A,FALSE,"Valuation";#N/A,#N/A,FALSE,"Assumptions";#N/A,#N/A,FALSE,"Pooling";#N/A,#N/A,FALSE,"BalanceSheet"}</definedName>
    <definedName name="mmmmm" localSheetId="0" hidden="1">{#N/A,#N/A,FALSE,"Cover";#N/A,#N/A,FALSE,"LUMI";#N/A,#N/A,FALSE,"COMD";#N/A,#N/A,FALSE,"Valuation";#N/A,#N/A,FALSE,"Assumptions";#N/A,#N/A,FALSE,"Pooling";#N/A,#N/A,FALSE,"BalanceSheet"}</definedName>
    <definedName name="mmmmm" localSheetId="4" hidden="1">{#N/A,#N/A,FALSE,"Cover";#N/A,#N/A,FALSE,"LUMI";#N/A,#N/A,FALSE,"COMD";#N/A,#N/A,FALSE,"Valuation";#N/A,#N/A,FALSE,"Assumptions";#N/A,#N/A,FALSE,"Pooling";#N/A,#N/A,FALSE,"BalanceSheet"}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dels" localSheetId="0">#REF!</definedName>
    <definedName name="models">#REF!</definedName>
    <definedName name="Modified_Projections" localSheetId="0">#REF!</definedName>
    <definedName name="Modified_Projections">#REF!</definedName>
    <definedName name="mom" localSheetId="5" hidden="1">{#N/A,#N/A,FALSE,"FRT, $0 G&amp;A"}</definedName>
    <definedName name="mom" localSheetId="0" hidden="1">{#N/A,#N/A,FALSE,"FRT, $0 G&amp;A"}</definedName>
    <definedName name="mom" localSheetId="4" hidden="1">{#N/A,#N/A,FALSE,"FRT, $0 G&amp;A"}</definedName>
    <definedName name="mom" hidden="1">{#N/A,#N/A,FALSE,"FRT, $0 G&amp;A"}</definedName>
    <definedName name="money" localSheetId="0">#REF!</definedName>
    <definedName name="money">#REF!</definedName>
    <definedName name="Month" localSheetId="0">#REF!</definedName>
    <definedName name="Month">#REF!</definedName>
    <definedName name="Month.Lookup" localSheetId="0">#REF!</definedName>
    <definedName name="Month.Lookup">#REF!</definedName>
    <definedName name="Month.Selected" localSheetId="0">#REF!</definedName>
    <definedName name="Month.Selected">#REF!</definedName>
    <definedName name="Monthlies_title">#N/A</definedName>
    <definedName name="mscp" localSheetId="0">#REF!</definedName>
    <definedName name="mscp">#REF!</definedName>
    <definedName name="MSTemporarySelectionFAVG" localSheetId="0">#REF!</definedName>
    <definedName name="MSTemporarySelectionFAVG">#REF!</definedName>
    <definedName name="multiplier" localSheetId="0">#REF!</definedName>
    <definedName name="multiplier">#REF!</definedName>
    <definedName name="mults" localSheetId="0">#REF!</definedName>
    <definedName name="mults">#REF!</definedName>
    <definedName name="MY_NPV" localSheetId="0">#REF!</definedName>
    <definedName name="MY_NPV">#REF!</definedName>
    <definedName name="MY_scen" localSheetId="0">#REF!</definedName>
    <definedName name="MY_scen">#REF!</definedName>
    <definedName name="MY_time" localSheetId="0">#REF!</definedName>
    <definedName name="MY_time">#REF!</definedName>
    <definedName name="N" localSheetId="0">#REF!</definedName>
    <definedName name="N">#REF!</definedName>
    <definedName name="N225current" localSheetId="0">#REF!</definedName>
    <definedName name="N225current">#REF!</definedName>
    <definedName name="N225previous" localSheetId="0">#REF!</definedName>
    <definedName name="N225previous">#REF!</definedName>
    <definedName name="N3_">#N/A</definedName>
    <definedName name="NAI_DISC" localSheetId="0">#REF!</definedName>
    <definedName name="NAI_DISC">#REF!</definedName>
    <definedName name="NAI_U1" localSheetId="0">#REF!</definedName>
    <definedName name="NAI_U1">#REF!</definedName>
    <definedName name="NAME" localSheetId="0">#REF!</definedName>
    <definedName name="NAME">#REF!</definedName>
    <definedName name="natsustROE" localSheetId="0">#REF!</definedName>
    <definedName name="natsustROE">#REF!</definedName>
    <definedName name="NAV" localSheetId="0">#REF!</definedName>
    <definedName name="NAV">#REF!</definedName>
    <definedName name="NAVdisc" localSheetId="0">#REF!</definedName>
    <definedName name="NAVdisc">#REF!</definedName>
    <definedName name="Nbr_of_employees__avg" localSheetId="0">#REF!</definedName>
    <definedName name="Nbr_of_employees__avg">#REF!</definedName>
    <definedName name="Nbr_of_employees__Y_E" localSheetId="0">#REF!</definedName>
    <definedName name="Nbr_of_employees__Y_E">#REF!</definedName>
    <definedName name="Nbr_of_employees_comp_units_Y_E" localSheetId="0">#REF!</definedName>
    <definedName name="Nbr_of_employees_comp_units_Y_E">#REF!</definedName>
    <definedName name="NBREV00" localSheetId="0">#REF!</definedName>
    <definedName name="NBREV00">#REF!</definedName>
    <definedName name="NBREV00PF" localSheetId="0">#REF!</definedName>
    <definedName name="NBREV00PF">#REF!</definedName>
    <definedName name="NBREV01" localSheetId="0">#REF!</definedName>
    <definedName name="NBREV01">#REF!</definedName>
    <definedName name="NBREV98" localSheetId="0">#REF!</definedName>
    <definedName name="NBREV98">#REF!</definedName>
    <definedName name="NBREV99" localSheetId="0">#REF!</definedName>
    <definedName name="NBREV99">#REF!</definedName>
    <definedName name="NBTOW00" localSheetId="0">#REF!</definedName>
    <definedName name="NBTOW00">#REF!</definedName>
    <definedName name="NBTOW01" localSheetId="0">#REF!</definedName>
    <definedName name="NBTOW01">#REF!</definedName>
    <definedName name="NBTOW02" localSheetId="0">#REF!</definedName>
    <definedName name="NBTOW02">#REF!</definedName>
    <definedName name="NBTOW03" localSheetId="0">#REF!</definedName>
    <definedName name="NBTOW03">#REF!</definedName>
    <definedName name="NBTOW98" localSheetId="0">#REF!</definedName>
    <definedName name="NBTOW98">#REF!</definedName>
    <definedName name="NBTOW99" localSheetId="0">#REF!</definedName>
    <definedName name="NBTOW99">#REF!</definedName>
    <definedName name="nck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_EQ" localSheetId="0">#REF!</definedName>
    <definedName name="ND_EQ">#REF!</definedName>
    <definedName name="NDEBT00" localSheetId="0">#REF!</definedName>
    <definedName name="NDEBT00">#REF!</definedName>
    <definedName name="NDEBT01" localSheetId="0">#REF!</definedName>
    <definedName name="NDEBT01">#REF!</definedName>
    <definedName name="NDEBT02" localSheetId="0">#REF!</definedName>
    <definedName name="NDEBT02">#REF!</definedName>
    <definedName name="NDEBT03" localSheetId="0">#REF!</definedName>
    <definedName name="NDEBT03">#REF!</definedName>
    <definedName name="NDEBT1Q00" localSheetId="0">#REF!</definedName>
    <definedName name="NDEBT1Q00">#REF!</definedName>
    <definedName name="NDEBT2Q00" localSheetId="0">#REF!</definedName>
    <definedName name="NDEBT2Q00">#REF!</definedName>
    <definedName name="NDEBT3Q00" localSheetId="0">#REF!</definedName>
    <definedName name="NDEBT3Q00">#REF!</definedName>
    <definedName name="NDEBT3Q00PFD" localSheetId="0">#REF!</definedName>
    <definedName name="NDEBT3Q00PFD">#REF!</definedName>
    <definedName name="NDEBT4Q00" localSheetId="0">#REF!</definedName>
    <definedName name="NDEBT4Q00">#REF!</definedName>
    <definedName name="NDEBT4Q00PFD" localSheetId="0">#REF!</definedName>
    <definedName name="NDEBT4Q00PFD">#REF!</definedName>
    <definedName name="NDEBT99" localSheetId="0">#REF!</definedName>
    <definedName name="NDEBT99">#REF!</definedName>
    <definedName name="NDEBTPFD00" localSheetId="0">#REF!</definedName>
    <definedName name="NDEBTPFD00">#REF!</definedName>
    <definedName name="NDEBTPFD01" localSheetId="0">#REF!</definedName>
    <definedName name="NDEBTPFD01">#REF!</definedName>
    <definedName name="NDEBTPFD02" localSheetId="0">#REF!</definedName>
    <definedName name="NDEBTPFD02">#REF!</definedName>
    <definedName name="NDEBTPFD03" localSheetId="0">#REF!</definedName>
    <definedName name="NDEBTPFD03">#REF!</definedName>
    <definedName name="NDEBTPFD1Q00" localSheetId="0">#REF!</definedName>
    <definedName name="NDEBTPFD1Q00">#REF!</definedName>
    <definedName name="NDEBTPFD2Q00" localSheetId="0">#REF!</definedName>
    <definedName name="NDEBTPFD2Q00">#REF!</definedName>
    <definedName name="NDEBTPFD99" localSheetId="0">#REF!</definedName>
    <definedName name="NDEBTPFD99">#REF!</definedName>
    <definedName name="ndolph" localSheetId="0">#REF!</definedName>
    <definedName name="ndolph">#REF!</definedName>
    <definedName name="ndxnew" localSheetId="0">#REF!</definedName>
    <definedName name="ndxnew">#REF!</definedName>
    <definedName name="ndxprevious" localSheetId="0">#REF!</definedName>
    <definedName name="ndxprevious">#REF!</definedName>
    <definedName name="NecessaryToFinanceDebt" localSheetId="0">#REF!</definedName>
    <definedName name="NecessaryToFinanceDebt">#REF!</definedName>
    <definedName name="NecessaryToFinanceDebtUMG" localSheetId="0">#REF!</definedName>
    <definedName name="NecessaryToFinanceDebtUMG">#REF!</definedName>
    <definedName name="NecessaryToFinanceEquity" localSheetId="0">#REF!</definedName>
    <definedName name="NecessaryToFinanceEquity">#REF!</definedName>
    <definedName name="Net_adj_for_capitalized_expenses" localSheetId="0">#REF!</definedName>
    <definedName name="Net_adj_for_capitalized_expenses">#REF!</definedName>
    <definedName name="NET_DEBT" localSheetId="0">#REF!</definedName>
    <definedName name="NET_DEBT">#REF!</definedName>
    <definedName name="Net_Income" localSheetId="0">#REF!</definedName>
    <definedName name="Net_Income">#REF!</definedName>
    <definedName name="Net_income_fore" localSheetId="0">#REF!</definedName>
    <definedName name="Net_income_fore">#REF!</definedName>
    <definedName name="Net_income_growth_avg" localSheetId="0">#REF!</definedName>
    <definedName name="Net_income_growth_avg">#REF!</definedName>
    <definedName name="NET_INT" localSheetId="0">#REF!</definedName>
    <definedName name="NET_INT">#REF!</definedName>
    <definedName name="Net_margin" localSheetId="0">#REF!</definedName>
    <definedName name="Net_margin">#REF!</definedName>
    <definedName name="Net_margin_fore" localSheetId="0">#REF!</definedName>
    <definedName name="Net_margin_fore">#REF!</definedName>
    <definedName name="Net_non_recurring_items" localSheetId="0">#REF!</definedName>
    <definedName name="Net_non_recurring_items">#REF!</definedName>
    <definedName name="Net_PPE_growth_fore" localSheetId="0">#REF!</definedName>
    <definedName name="Net_PPE_growth_fore">#REF!</definedName>
    <definedName name="net_profit_1997" localSheetId="0">#REF!</definedName>
    <definedName name="net_profit_1997">#REF!</definedName>
    <definedName name="Net_Profit_97" localSheetId="0">#REF!</definedName>
    <definedName name="Net_Profit_97">#REF!</definedName>
    <definedName name="net_profit_98" localSheetId="0">#REF!</definedName>
    <definedName name="net_profit_98">#REF!</definedName>
    <definedName name="Net_Profit_growth_1997" localSheetId="0">#REF!</definedName>
    <definedName name="Net_Profit_growth_1997">#REF!</definedName>
    <definedName name="Net_Profit_growth_97" localSheetId="0">#REF!</definedName>
    <definedName name="Net_Profit_growth_97">#REF!</definedName>
    <definedName name="Net_sales" localSheetId="0">#REF!</definedName>
    <definedName name="Net_sales">#REF!</definedName>
    <definedName name="Net_sales_DCF" localSheetId="0">#REF!</definedName>
    <definedName name="Net_sales_DCF">#REF!</definedName>
    <definedName name="Net_sales_fore" localSheetId="0">#REF!</definedName>
    <definedName name="Net_sales_fore">#REF!</definedName>
    <definedName name="Net_sales_growth_fore" localSheetId="0">#REF!</definedName>
    <definedName name="Net_sales_growth_fore">#REF!</definedName>
    <definedName name="Net_working_capital" localSheetId="0">#REF!</definedName>
    <definedName name="Net_working_capital">#REF!</definedName>
    <definedName name="Net_working_capital_turns" localSheetId="0">#REF!</definedName>
    <definedName name="Net_working_capital_turns">#REF!</definedName>
    <definedName name="NetCash" localSheetId="0">#REF!</definedName>
    <definedName name="NetCash">#REF!</definedName>
    <definedName name="NetCashFlowFromOperations" localSheetId="0">#REF!</definedName>
    <definedName name="NetCashFlowFromOperations">#REF!</definedName>
    <definedName name="NetCashFromInvesting" localSheetId="0">#REF!</definedName>
    <definedName name="NetCashFromInvesting">#REF!</definedName>
    <definedName name="netdebt" localSheetId="0">#REF!</definedName>
    <definedName name="netdebt">#REF!</definedName>
    <definedName name="NetDebt_02" localSheetId="0">#REF!</definedName>
    <definedName name="NetDebt_02">#REF!</definedName>
    <definedName name="NetDebt_95" localSheetId="0">#REF!</definedName>
    <definedName name="NetDebt_95">#REF!</definedName>
    <definedName name="NetDebt_96" localSheetId="0">#REF!</definedName>
    <definedName name="NetDebt_96">#REF!</definedName>
    <definedName name="NETDEBT01" localSheetId="0">#REF!</definedName>
    <definedName name="NETDEBT01">#REF!</definedName>
    <definedName name="NetDebt01AACB" localSheetId="0">#REF!</definedName>
    <definedName name="NetDebt01AACB">#REF!</definedName>
    <definedName name="NetDebt01AEN" localSheetId="0">#REF!</definedName>
    <definedName name="NetDebt01AEN">#REF!</definedName>
    <definedName name="NetDebt01AOL" localSheetId="0">#REF!</definedName>
    <definedName name="NetDebt01AOL">#REF!</definedName>
    <definedName name="NetDebt01BBI" localSheetId="0">#REF!</definedName>
    <definedName name="NetDebt01BBI">#REF!</definedName>
    <definedName name="NetDebt01CRWN" localSheetId="0">#REF!</definedName>
    <definedName name="NetDebt01CRWN">#REF!</definedName>
    <definedName name="NetDebt01DIS" localSheetId="0">#REF!</definedName>
    <definedName name="NetDebt01DIS">#REF!</definedName>
    <definedName name="NetDebt01FOX" localSheetId="0">#REF!</definedName>
    <definedName name="NetDebt01FOX">#REF!</definedName>
    <definedName name="NetDebt01HLYW" localSheetId="0">#REF!</definedName>
    <definedName name="NetDebt01HLYW">#REF!</definedName>
    <definedName name="NetDebt01IMAX" localSheetId="0">#REF!</definedName>
    <definedName name="NetDebt01IMAX">#REF!</definedName>
    <definedName name="NetDebt01MGM" localSheetId="0">#REF!</definedName>
    <definedName name="NetDebt01MGM">#REF!</definedName>
    <definedName name="NetDebt01NWS" localSheetId="0">#REF!</definedName>
    <definedName name="NetDebt01NWS">#REF!</definedName>
    <definedName name="NetDebt01NWSA" localSheetId="0">#REF!</definedName>
    <definedName name="NetDebt01NWSA">#REF!</definedName>
    <definedName name="NetDebt01NWSAexFOX" localSheetId="0">#REF!</definedName>
    <definedName name="NetDebt01NWSAexFOX">#REF!</definedName>
    <definedName name="NetDebt01RMG" localSheetId="0">#REF!</definedName>
    <definedName name="NetDebt01RMG">#REF!</definedName>
    <definedName name="NetDebt01USAI" localSheetId="0">#REF!</definedName>
    <definedName name="NetDebt01USAI">#REF!</definedName>
    <definedName name="NetDebt01V" localSheetId="0">#REF!</definedName>
    <definedName name="NetDebt01V">#REF!</definedName>
    <definedName name="NetDebt01VIAB" localSheetId="0">#REF!</definedName>
    <definedName name="NetDebt01VIAB">#REF!</definedName>
    <definedName name="netdebt2002" localSheetId="0">#REF!</definedName>
    <definedName name="netdebt2002">#REF!</definedName>
    <definedName name="NetDebt2003MGM" localSheetId="0">#REF!</definedName>
    <definedName name="NetDebt2003MGM">#REF!</definedName>
    <definedName name="NetDebtPerShare" localSheetId="0">#REF!</definedName>
    <definedName name="NetDebtPerShare">#REF!</definedName>
    <definedName name="netinc00" localSheetId="0">#REF!</definedName>
    <definedName name="netinc00">#REF!</definedName>
    <definedName name="netinc01" localSheetId="0">#REF!</definedName>
    <definedName name="netinc01">#REF!</definedName>
    <definedName name="NetInc01_AACB" localSheetId="0">#REF!</definedName>
    <definedName name="NetInc01_AACB">#REF!</definedName>
    <definedName name="NetInc01_AEN" localSheetId="0">#REF!</definedName>
    <definedName name="NetInc01_AEN">#REF!</definedName>
    <definedName name="NetInc01_AOL" localSheetId="0">#REF!</definedName>
    <definedName name="NetInc01_AOL">#REF!</definedName>
    <definedName name="NetInc01_BBI" localSheetId="0">#REF!</definedName>
    <definedName name="NetInc01_BBI">#REF!</definedName>
    <definedName name="NetInc01_CRWN" localSheetId="0">#REF!</definedName>
    <definedName name="NetInc01_CRWN">#REF!</definedName>
    <definedName name="NetInc01_DIS" localSheetId="0">#REF!</definedName>
    <definedName name="NetInc01_DIS">#REF!</definedName>
    <definedName name="NetInc01_FOX" localSheetId="0">#REF!</definedName>
    <definedName name="NetInc01_FOX">#REF!</definedName>
    <definedName name="NetInc01_HLYW" localSheetId="0">#REF!</definedName>
    <definedName name="NetInc01_HLYW">#REF!</definedName>
    <definedName name="NetInc01_IMAX" localSheetId="0">#REF!</definedName>
    <definedName name="NetInc01_IMAX">#REF!</definedName>
    <definedName name="NetInc01_MGM" localSheetId="0">#REF!</definedName>
    <definedName name="NetInc01_MGM">#REF!</definedName>
    <definedName name="NetInc01_NWS" localSheetId="0">#REF!</definedName>
    <definedName name="NetInc01_NWS">#REF!</definedName>
    <definedName name="NetInc01_NWSA" localSheetId="0">#REF!</definedName>
    <definedName name="NetInc01_NWSA">#REF!</definedName>
    <definedName name="NetInc01_RMG" localSheetId="0">#REF!</definedName>
    <definedName name="NetInc01_RMG">#REF!</definedName>
    <definedName name="NetInc01_VIAB" localSheetId="0">#REF!</definedName>
    <definedName name="NetInc01_VIAB">#REF!</definedName>
    <definedName name="NetInc02_AACB" localSheetId="0">#REF!</definedName>
    <definedName name="NetInc02_AACB">#REF!</definedName>
    <definedName name="NetInc03_AACB" localSheetId="0">#REF!</definedName>
    <definedName name="NetInc03_AACB">#REF!</definedName>
    <definedName name="Netinc94" localSheetId="0">#REF!</definedName>
    <definedName name="Netinc94">#REF!</definedName>
    <definedName name="Netinc95" localSheetId="0">#REF!</definedName>
    <definedName name="Netinc95">#REF!</definedName>
    <definedName name="Netinc96" localSheetId="0">#REF!</definedName>
    <definedName name="Netinc96">#REF!</definedName>
    <definedName name="netinc98" localSheetId="0">#REF!</definedName>
    <definedName name="netinc98">#REF!</definedName>
    <definedName name="netinc99" localSheetId="0">#REF!</definedName>
    <definedName name="netinc99">#REF!</definedName>
    <definedName name="NetIncome" localSheetId="0">#REF!</definedName>
    <definedName name="NetIncome">#REF!</definedName>
    <definedName name="NetIncome_00" localSheetId="0">#REF!</definedName>
    <definedName name="NetIncome_00">#REF!</definedName>
    <definedName name="NetIncome_01" localSheetId="0">#REF!</definedName>
    <definedName name="NetIncome_01">#REF!</definedName>
    <definedName name="NetIncome_02" localSheetId="0">#REF!</definedName>
    <definedName name="NetIncome_02">#REF!</definedName>
    <definedName name="NetIncome_03" localSheetId="0">#REF!</definedName>
    <definedName name="NetIncome_03">#REF!</definedName>
    <definedName name="NetIncome_04" localSheetId="0">#REF!</definedName>
    <definedName name="NetIncome_04">#REF!</definedName>
    <definedName name="NetIncome_05" localSheetId="0">#REF!</definedName>
    <definedName name="NetIncome_05">#REF!</definedName>
    <definedName name="NetIncome_06" localSheetId="0">#REF!</definedName>
    <definedName name="NetIncome_06">#REF!</definedName>
    <definedName name="NetIncome_07" localSheetId="0">#REF!</definedName>
    <definedName name="NetIncome_07">#REF!</definedName>
    <definedName name="NetIncome_08" localSheetId="0">#REF!</definedName>
    <definedName name="NetIncome_08">#REF!</definedName>
    <definedName name="NetIncome_96" localSheetId="0">#REF!</definedName>
    <definedName name="NetIncome_96">#REF!</definedName>
    <definedName name="NetIncome_97" localSheetId="0">#REF!</definedName>
    <definedName name="NetIncome_97">#REF!</definedName>
    <definedName name="NetIncome_98" localSheetId="0">#REF!</definedName>
    <definedName name="NetIncome_98">#REF!</definedName>
    <definedName name="NetIncome_99" localSheetId="0">#REF!</definedName>
    <definedName name="NetIncome_99">#REF!</definedName>
    <definedName name="NetIncomeBeforeExtraordinaries" localSheetId="0">#REF!</definedName>
    <definedName name="NetIncomeBeforeExtraordinaries">#REF!</definedName>
    <definedName name="NetIncomeCommonStock" localSheetId="0">#REF!</definedName>
    <definedName name="NetIncomeCommonStock">#REF!</definedName>
    <definedName name="NetIncomePostGW" localSheetId="0">#REF!</definedName>
    <definedName name="NetIncomePostGW">#REF!</definedName>
    <definedName name="NetIncomePreGW" localSheetId="0">#REF!</definedName>
    <definedName name="NetIncomePreGW">#REF!</definedName>
    <definedName name="NetIncometocommon" localSheetId="0">#REF!</definedName>
    <definedName name="NetIncometocommon">#REF!</definedName>
    <definedName name="NetIncPG01_AACB" localSheetId="0">#REF!</definedName>
    <definedName name="NetIncPG01_AACB">#REF!</definedName>
    <definedName name="NetIncPG01_AOL" localSheetId="0">#REF!</definedName>
    <definedName name="NetIncPG01_AOL">#REF!</definedName>
    <definedName name="NetIncPG01_BBI" localSheetId="0">#REF!</definedName>
    <definedName name="NetIncPG01_BBI">#REF!</definedName>
    <definedName name="NetIncPG01_CRWN" localSheetId="0">#REF!</definedName>
    <definedName name="NetIncPG01_CRWN">#REF!</definedName>
    <definedName name="NetIncPG01_DIS" localSheetId="0">#REF!</definedName>
    <definedName name="NetIncPG01_DIS">#REF!</definedName>
    <definedName name="NetIncPG01_HLYW" localSheetId="0">#REF!</definedName>
    <definedName name="NetIncPG01_HLYW">#REF!</definedName>
    <definedName name="NetIncPG01_IMAX" localSheetId="0">#REF!</definedName>
    <definedName name="NetIncPG01_IMAX">#REF!</definedName>
    <definedName name="NetIncPG01_MGM" localSheetId="0">#REF!</definedName>
    <definedName name="NetIncPG01_MGM">#REF!</definedName>
    <definedName name="NetIncPG01_RMG" localSheetId="0">#REF!</definedName>
    <definedName name="NetIncPG01_RMG">#REF!</definedName>
    <definedName name="NetIncPG01_VIAB" localSheetId="0">#REF!</definedName>
    <definedName name="NetIncPG01_VIAB">#REF!</definedName>
    <definedName name="NetIncPG02_AACB" localSheetId="0">#REF!</definedName>
    <definedName name="NetIncPG02_AACB">#REF!</definedName>
    <definedName name="NetIncPG03_AACB" localSheetId="0">#REF!</definedName>
    <definedName name="NetIncPG03_AACB">#REF!</definedName>
    <definedName name="netint02" localSheetId="0">#REF!</definedName>
    <definedName name="netint02">#REF!</definedName>
    <definedName name="netint03" localSheetId="0">#REF!</definedName>
    <definedName name="netint03">#REF!</definedName>
    <definedName name="netint96" localSheetId="0">#REF!</definedName>
    <definedName name="netint96">#REF!</definedName>
    <definedName name="NetInterest00" localSheetId="0">#REF!</definedName>
    <definedName name="NetInterest00">#REF!</definedName>
    <definedName name="NetInterest01" localSheetId="0">#REF!</definedName>
    <definedName name="NetInterest01">#REF!</definedName>
    <definedName name="NetInterest02" localSheetId="0">#REF!</definedName>
    <definedName name="NetInterest02">#REF!</definedName>
    <definedName name="netinterest03" localSheetId="0">#REF!</definedName>
    <definedName name="netinterest03">#REF!</definedName>
    <definedName name="NetInterest97" localSheetId="0">#REF!</definedName>
    <definedName name="NetInterest97">#REF!</definedName>
    <definedName name="NetInterest98" localSheetId="0">#REF!</definedName>
    <definedName name="NetInterest98">#REF!</definedName>
    <definedName name="NetInterest99" localSheetId="0">#REF!</definedName>
    <definedName name="NetInterest99">#REF!</definedName>
    <definedName name="NetProfit_00" localSheetId="0">#REF!</definedName>
    <definedName name="NetProfit_00">#REF!</definedName>
    <definedName name="NetProfit_01" localSheetId="0">#REF!</definedName>
    <definedName name="NetProfit_01">#REF!</definedName>
    <definedName name="NetProfit_92" localSheetId="0">#REF!</definedName>
    <definedName name="NetProfit_92">#REF!</definedName>
    <definedName name="NetProfit_93" localSheetId="0">#REF!</definedName>
    <definedName name="NetProfit_93">#REF!</definedName>
    <definedName name="NetProfit_94" localSheetId="0">#REF!</definedName>
    <definedName name="NetProfit_94">#REF!</definedName>
    <definedName name="NetProfit_95" localSheetId="0">#REF!</definedName>
    <definedName name="NetProfit_95">#REF!</definedName>
    <definedName name="NetProfit_96" localSheetId="0">#REF!</definedName>
    <definedName name="NetProfit_96">#REF!</definedName>
    <definedName name="NetProfit_97" localSheetId="0">#REF!</definedName>
    <definedName name="NetProfit_97">#REF!</definedName>
    <definedName name="NetProfit_98" localSheetId="0">#REF!</definedName>
    <definedName name="NetProfit_98">#REF!</definedName>
    <definedName name="NetProfit_99" localSheetId="0">#REF!</definedName>
    <definedName name="NetProfit_99">#REF!</definedName>
    <definedName name="NETSCREEN_DISCOUNT">50%</definedName>
    <definedName name="NETSCREEN_U" localSheetId="0">#REF!</definedName>
    <definedName name="NETSCREEN_U">#REF!</definedName>
    <definedName name="NetWC_turns_fore" localSheetId="0">#REF!</definedName>
    <definedName name="NetWC_turns_fore">#REF!</definedName>
    <definedName name="new_chart_index" localSheetId="0">#REF!</definedName>
    <definedName name="new_chart_index">#REF!</definedName>
    <definedName name="new_chart_range" localSheetId="0">#REF!</definedName>
    <definedName name="new_chart_range">#REF!</definedName>
    <definedName name="NewCo_EPS_DataTable_Horizontal" localSheetId="0">#REF!</definedName>
    <definedName name="NewCo_EPS_DataTable_Horizontal">#REF!</definedName>
    <definedName name="NewCo_EPS_DataTable_Vertical" localSheetId="0">#REF!</definedName>
    <definedName name="NewCo_EPS_DataTable_Vertical">#REF!</definedName>
    <definedName name="NewInvestor" localSheetId="0">#REF!</definedName>
    <definedName name="NewInvestor">#REF!</definedName>
    <definedName name="newlib_ds" localSheetId="0">#REF!</definedName>
    <definedName name="newlib_ds">#REF!</definedName>
    <definedName name="newlib_sedol" localSheetId="0">#REF!</definedName>
    <definedName name="newlib_sedol">#REF!</definedName>
    <definedName name="NewRange" hidden="1">#N/A</definedName>
    <definedName name="NEWSHRCAPITAL" localSheetId="0">#REF!</definedName>
    <definedName name="NEWSHRCAPITAL">#REF!</definedName>
    <definedName name="NEWSPAPERS" localSheetId="0">#REF!</definedName>
    <definedName name="NEWSPAPERS">#REF!</definedName>
    <definedName name="next_earnings_release_date" localSheetId="0">#REF!</definedName>
    <definedName name="next_earnings_release_date">#REF!</definedName>
    <definedName name="next_results_type" localSheetId="0">#REF!</definedName>
    <definedName name="next_results_type">#REF!</definedName>
    <definedName name="nihao" localSheetId="5" hidden="1">{"'Check Request'!$A$1:$BF$37"}</definedName>
    <definedName name="nihao" localSheetId="0" hidden="1">{"'Check Request'!$A$1:$BF$37"}</definedName>
    <definedName name="nihao" localSheetId="4" hidden="1">{"'Check Request'!$A$1:$BF$37"}</definedName>
    <definedName name="nihao" hidden="1">{"'Check Request'!$A$1:$BF$37"}</definedName>
    <definedName name="NIIhqBalanceSheet" localSheetId="0">#REF!</definedName>
    <definedName name="NIIhqBalanceSheet">#REF!</definedName>
    <definedName name="NIIhqCashFlow" localSheetId="0">#REF!</definedName>
    <definedName name="NIIhqCashFlow">#REF!</definedName>
    <definedName name="NIIhqIncomeStatement" localSheetId="0">#REF!</definedName>
    <definedName name="NIIhqIncomeStatement">#REF!</definedName>
    <definedName name="NINT00" localSheetId="0">#REF!</definedName>
    <definedName name="NINT00">#REF!</definedName>
    <definedName name="NINT00PF" localSheetId="0">#REF!</definedName>
    <definedName name="NINT00PF">#REF!</definedName>
    <definedName name="NINT01" localSheetId="0">#REF!</definedName>
    <definedName name="NINT01">#REF!</definedName>
    <definedName name="NINT02" localSheetId="0">#REF!</definedName>
    <definedName name="NINT02">#REF!</definedName>
    <definedName name="NINT03" localSheetId="0">#REF!</definedName>
    <definedName name="NINT03">#REF!</definedName>
    <definedName name="NINT98" localSheetId="0">#REF!</definedName>
    <definedName name="NINT98">#REF!</definedName>
    <definedName name="NINT99" localSheetId="0">#REF!</definedName>
    <definedName name="NINT99">#REF!</definedName>
    <definedName name="nio_00" localSheetId="0">#REF!</definedName>
    <definedName name="nio_00">#REF!</definedName>
    <definedName name="nio_95" localSheetId="0">#REF!</definedName>
    <definedName name="nio_95">#REF!</definedName>
    <definedName name="nio_96" localSheetId="0">#REF!</definedName>
    <definedName name="nio_96">#REF!</definedName>
    <definedName name="nio_97" localSheetId="0">#REF!</definedName>
    <definedName name="nio_97">#REF!</definedName>
    <definedName name="nio_98" localSheetId="0">#REF!</definedName>
    <definedName name="nio_98">#REF!</definedName>
    <definedName name="NKYcurrent" localSheetId="0">#REF!</definedName>
    <definedName name="NKYcurrent">#REF!</definedName>
    <definedName name="NKYprevious" localSheetId="0">#REF!</definedName>
    <definedName name="NKYprevious">#REF!</definedName>
    <definedName name="NL" localSheetId="0">#REF!</definedName>
    <definedName name="NL">#REF!</definedName>
    <definedName name="NLDIVEST" localSheetId="0">#REF!</definedName>
    <definedName name="NLDIVEST">#REF!</definedName>
    <definedName name="NM">"NM "</definedName>
    <definedName name="nmnmm" localSheetId="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" localSheetId="0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" localSheetId="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O_YEARS" localSheetId="0">#REF!</definedName>
    <definedName name="NO_YEARS">#REF!</definedName>
    <definedName name="nod" localSheetId="0">#REF!</definedName>
    <definedName name="nod">#REF!</definedName>
    <definedName name="nod_pd" localSheetId="0">#REF!</definedName>
    <definedName name="nod_pd">#REF!</definedName>
    <definedName name="nols" localSheetId="0">#REF!</definedName>
    <definedName name="nols">#REF!</definedName>
    <definedName name="Non_E_shr01AACB" localSheetId="0">#REF!</definedName>
    <definedName name="Non_E_shr01AACB">#REF!</definedName>
    <definedName name="Non_E_shr01AEN" localSheetId="0">#REF!</definedName>
    <definedName name="Non_E_shr01AEN">#REF!</definedName>
    <definedName name="Non_E_shr01AOL" localSheetId="0">#REF!</definedName>
    <definedName name="Non_E_shr01AOL">#REF!</definedName>
    <definedName name="Non_E_shr01BBI" localSheetId="0">#REF!</definedName>
    <definedName name="Non_E_shr01BBI">#REF!</definedName>
    <definedName name="Non_E_shr01CRWN" localSheetId="0">#REF!</definedName>
    <definedName name="Non_E_shr01CRWN">#REF!</definedName>
    <definedName name="Non_E_shr01DIS" localSheetId="0">#REF!</definedName>
    <definedName name="Non_E_shr01DIS">#REF!</definedName>
    <definedName name="Non_E_shr01FOX" localSheetId="0">#REF!</definedName>
    <definedName name="Non_E_shr01FOX">#REF!</definedName>
    <definedName name="Non_E_shr01HLYW" localSheetId="0">#REF!</definedName>
    <definedName name="Non_E_shr01HLYW">#REF!</definedName>
    <definedName name="Non_E_shr01IMAX" localSheetId="0">#REF!</definedName>
    <definedName name="Non_E_shr01IMAX">#REF!</definedName>
    <definedName name="Non_E_shr01MGM" localSheetId="0">#REF!</definedName>
    <definedName name="Non_E_shr01MGM">#REF!</definedName>
    <definedName name="Non_E_shr01NWS" localSheetId="0">#REF!</definedName>
    <definedName name="Non_E_shr01NWS">#REF!</definedName>
    <definedName name="Non_E_shr01NWSA" localSheetId="0">#REF!</definedName>
    <definedName name="Non_E_shr01NWSA">#REF!</definedName>
    <definedName name="Non_E_shr01NWSAexFOX" localSheetId="0">#REF!</definedName>
    <definedName name="Non_E_shr01NWSAexFOX">#REF!</definedName>
    <definedName name="Non_E_shr01RMG" localSheetId="0">#REF!</definedName>
    <definedName name="Non_E_shr01RMG">#REF!</definedName>
    <definedName name="Non_E_shr01USAI" localSheetId="0">#REF!</definedName>
    <definedName name="Non_E_shr01USAI">#REF!</definedName>
    <definedName name="Non_E_shr01V" localSheetId="0">#REF!</definedName>
    <definedName name="Non_E_shr01V">#REF!</definedName>
    <definedName name="Non_E_shr01VIAB" localSheetId="0">#REF!</definedName>
    <definedName name="Non_E_shr01VIAB">#REF!</definedName>
    <definedName name="Non_E01AACB" localSheetId="0">#REF!</definedName>
    <definedName name="Non_E01AACB">#REF!</definedName>
    <definedName name="Non_E01AEN" localSheetId="0">#REF!</definedName>
    <definedName name="Non_E01AEN">#REF!</definedName>
    <definedName name="Non_E01AOL" localSheetId="0">#REF!</definedName>
    <definedName name="Non_E01AOL">#REF!</definedName>
    <definedName name="Non_E01BBI" localSheetId="0">#REF!</definedName>
    <definedName name="Non_E01BBI">#REF!</definedName>
    <definedName name="Non_E01CRWN" localSheetId="0">#REF!</definedName>
    <definedName name="Non_E01CRWN">#REF!</definedName>
    <definedName name="Non_E01DIS" localSheetId="0">#REF!</definedName>
    <definedName name="Non_E01DIS">#REF!</definedName>
    <definedName name="Non_E01FOX" localSheetId="0">#REF!</definedName>
    <definedName name="Non_E01FOX">#REF!</definedName>
    <definedName name="Non_E01HLYW" localSheetId="0">#REF!</definedName>
    <definedName name="Non_E01HLYW">#REF!</definedName>
    <definedName name="Non_E01IMAX" localSheetId="0">#REF!</definedName>
    <definedName name="Non_E01IMAX">#REF!</definedName>
    <definedName name="Non_E01MGM" localSheetId="0">#REF!</definedName>
    <definedName name="Non_E01MGM">#REF!</definedName>
    <definedName name="Non_E01NWS" localSheetId="0">#REF!</definedName>
    <definedName name="Non_E01NWS">#REF!</definedName>
    <definedName name="Non_E01NWSA" localSheetId="0">#REF!</definedName>
    <definedName name="Non_E01NWSA">#REF!</definedName>
    <definedName name="Non_E01NWSAexFOX" localSheetId="0">#REF!</definedName>
    <definedName name="Non_E01NWSAexFOX">#REF!</definedName>
    <definedName name="Non_E01RMG" localSheetId="0">#REF!</definedName>
    <definedName name="Non_E01RMG">#REF!</definedName>
    <definedName name="Non_E01USAI" localSheetId="0">#REF!</definedName>
    <definedName name="Non_E01USAI">#REF!</definedName>
    <definedName name="Non_E01V" localSheetId="0">#REF!</definedName>
    <definedName name="Non_E01V">#REF!</definedName>
    <definedName name="Non_E01VIAB" localSheetId="0">#REF!</definedName>
    <definedName name="Non_E01VIAB">#REF!</definedName>
    <definedName name="Non_Opg_Income_Fm" localSheetId="0">#REF!</definedName>
    <definedName name="Non_Opg_Income_Fm">#REF!</definedName>
    <definedName name="Non_recurring_costs" localSheetId="0">#REF!</definedName>
    <definedName name="Non_recurring_costs">#REF!</definedName>
    <definedName name="Non_recurring_income" localSheetId="0">#REF!</definedName>
    <definedName name="Non_recurring_income">#REF!</definedName>
    <definedName name="Non_usage" localSheetId="0">#REF!</definedName>
    <definedName name="Non_usage">#REF!</definedName>
    <definedName name="NonE03MGM" localSheetId="0">#REF!</definedName>
    <definedName name="NonE03MGM">#REF!</definedName>
    <definedName name="none1" localSheetId="0">#REF!</definedName>
    <definedName name="none1">#REF!</definedName>
    <definedName name="none2" localSheetId="0">#REF!</definedName>
    <definedName name="none2">#REF!</definedName>
    <definedName name="none3" localSheetId="0">#REF!</definedName>
    <definedName name="none3">#REF!</definedName>
    <definedName name="none4" localSheetId="0">#REF!</definedName>
    <definedName name="none4">#REF!</definedName>
    <definedName name="none5" localSheetId="0">#REF!</definedName>
    <definedName name="none5">#REF!</definedName>
    <definedName name="none6" localSheetId="0">#REF!</definedName>
    <definedName name="none6">#REF!</definedName>
    <definedName name="none7" localSheetId="0">#REF!</definedName>
    <definedName name="none7">#REF!</definedName>
    <definedName name="nonebitda00" localSheetId="0">#REF!</definedName>
    <definedName name="nonebitda00">#REF!</definedName>
    <definedName name="nonebitda01" localSheetId="0">#REF!</definedName>
    <definedName name="nonebitda01">#REF!</definedName>
    <definedName name="nonebitda02" localSheetId="0">#REF!</definedName>
    <definedName name="nonebitda02">#REF!</definedName>
    <definedName name="nonebitda200" localSheetId="0">#REF!</definedName>
    <definedName name="nonebitda200">#REF!</definedName>
    <definedName name="nonebitda201" localSheetId="0">#REF!</definedName>
    <definedName name="nonebitda201">#REF!</definedName>
    <definedName name="nonebitda202" localSheetId="0">#REF!</definedName>
    <definedName name="nonebitda202">#REF!</definedName>
    <definedName name="nonepershare00" localSheetId="0">#REF!</definedName>
    <definedName name="nonepershare00">#REF!</definedName>
    <definedName name="nonepershare01" localSheetId="0">#REF!</definedName>
    <definedName name="nonepershare01">#REF!</definedName>
    <definedName name="nonepershare02" localSheetId="0">#REF!</definedName>
    <definedName name="nonepershare02">#REF!</definedName>
    <definedName name="NonOpOtherExExtraordinaries" localSheetId="0">#REF!</definedName>
    <definedName name="NonOpOtherExExtraordinaries">#REF!</definedName>
    <definedName name="NonOpOtherExIncomeTaxes" localSheetId="0">#REF!</definedName>
    <definedName name="NonOpOtherExIncomeTaxes">#REF!</definedName>
    <definedName name="NONREG" localSheetId="0">#REF!</definedName>
    <definedName name="NONREG">#REF!</definedName>
    <definedName name="NOPAT" localSheetId="0">#REF!</definedName>
    <definedName name="NOPAT">#REF!</definedName>
    <definedName name="NOPAT_DCF" localSheetId="0">#REF!</definedName>
    <definedName name="NOPAT_DCF">#REF!</definedName>
    <definedName name="NOPAT_fore" localSheetId="0">#REF!</definedName>
    <definedName name="NOPAT_fore">#REF!</definedName>
    <definedName name="NOPAT_growth_avg" localSheetId="0">#REF!</definedName>
    <definedName name="NOPAT_growth_avg">#REF!</definedName>
    <definedName name="NOPAT_margin" localSheetId="0">#REF!</definedName>
    <definedName name="NOPAT_margin">#REF!</definedName>
    <definedName name="NOPAT_margin_fore" localSheetId="0">#REF!</definedName>
    <definedName name="NOPAT_margin_fore">#REF!</definedName>
    <definedName name="NOPAT_Share" localSheetId="0">#REF!</definedName>
    <definedName name="NOPAT_Share">#REF!</definedName>
    <definedName name="NOPBT" localSheetId="0">#REF!</definedName>
    <definedName name="NOPBT">#REF!</definedName>
    <definedName name="NOPBT_fore" localSheetId="0">#REF!</definedName>
    <definedName name="NOPBT_fore">#REF!</definedName>
    <definedName name="Norm_forecast_11_15" localSheetId="0">#REF!</definedName>
    <definedName name="Norm_forecast_11_15">#REF!</definedName>
    <definedName name="Norm_forecast_16_25" localSheetId="0">#REF!</definedName>
    <definedName name="Norm_forecast_16_25">#REF!</definedName>
    <definedName name="Norm_forecast_4_5" localSheetId="0">#REF!</definedName>
    <definedName name="Norm_forecast_4_5">#REF!</definedName>
    <definedName name="Norm_forecast_6_10" localSheetId="0">#REF!</definedName>
    <definedName name="Norm_forecast_6_10">#REF!</definedName>
    <definedName name="Normalized_Income_Statement">"IS_Annual"</definedName>
    <definedName name="north" localSheetId="0">#REF!</definedName>
    <definedName name="north">#REF!</definedName>
    <definedName name="North_America" localSheetId="0">#REF!</definedName>
    <definedName name="North_America">#REF!</definedName>
    <definedName name="North_America_w" localSheetId="0">#REF!</definedName>
    <definedName name="North_America_w">#REF!</definedName>
    <definedName name="NOSH" localSheetId="0">#REF!</definedName>
    <definedName name="NOSH">#REF!</definedName>
    <definedName name="NoShares" localSheetId="0">#REF!</definedName>
    <definedName name="NoShares">#REF!</definedName>
    <definedName name="Notes" localSheetId="0">#REF!</definedName>
    <definedName name="Notes">#REF!</definedName>
    <definedName name="NP" localSheetId="0">#REF!</definedName>
    <definedName name="NP">#REF!</definedName>
    <definedName name="npat00" localSheetId="0">#REF!</definedName>
    <definedName name="npat00">#REF!</definedName>
    <definedName name="npat01" localSheetId="0">#REF!</definedName>
    <definedName name="npat01">#REF!</definedName>
    <definedName name="npat98" localSheetId="0">#REF!</definedName>
    <definedName name="npat98">#REF!</definedName>
    <definedName name="npat99" localSheetId="0">#REF!</definedName>
    <definedName name="npat99">#REF!</definedName>
    <definedName name="NPBT89" localSheetId="0">#REF!</definedName>
    <definedName name="NPBT89">#REF!</definedName>
    <definedName name="NPBT90" localSheetId="0">#REF!</definedName>
    <definedName name="NPBT90">#REF!</definedName>
    <definedName name="NPBT91" localSheetId="0">#REF!</definedName>
    <definedName name="NPBT91">#REF!</definedName>
    <definedName name="NPBT92" localSheetId="0">#REF!</definedName>
    <definedName name="NPBT92">#REF!</definedName>
    <definedName name="NPBT93" localSheetId="0">#REF!</definedName>
    <definedName name="NPBT93">#REF!</definedName>
    <definedName name="NPBT94" localSheetId="0">#REF!</definedName>
    <definedName name="NPBT94">#REF!</definedName>
    <definedName name="NPBT95" localSheetId="0">#REF!</definedName>
    <definedName name="NPBT95">#REF!</definedName>
    <definedName name="NPLvsNAL" localSheetId="0">#REF!</definedName>
    <definedName name="NPLvsNAL">#REF!</definedName>
    <definedName name="NPT_1" localSheetId="0">#REF!</definedName>
    <definedName name="NPT_1">#REF!</definedName>
    <definedName name="NPT_2" localSheetId="0">#REF!</definedName>
    <definedName name="NPT_2">#REF!</definedName>
    <definedName name="NPT_P" localSheetId="0">#REF!</definedName>
    <definedName name="NPT_P">#REF!</definedName>
    <definedName name="nr" localSheetId="0">#REF!</definedName>
    <definedName name="nr">#REF!</definedName>
    <definedName name="NSCASE" localSheetId="0">#REF!</definedName>
    <definedName name="NSCASE">#REF!</definedName>
    <definedName name="Number_of_Shares" localSheetId="0">#REF!</definedName>
    <definedName name="Number_of_Shares">#REF!</definedName>
    <definedName name="Number_ordinary_shares" localSheetId="0">#REF!</definedName>
    <definedName name="Number_ordinary_shares">#REF!</definedName>
    <definedName name="NumCUSIP" localSheetId="5">{1}</definedName>
    <definedName name="NumCUSIP" localSheetId="0">{1}</definedName>
    <definedName name="NumCUSIP" localSheetId="4">{1}</definedName>
    <definedName name="NumCUSIP">{1}</definedName>
    <definedName name="NumCUSIPMissing" localSheetId="5">{0}</definedName>
    <definedName name="NumCUSIPMissing" localSheetId="0">{0}</definedName>
    <definedName name="NumCUSIPMissing" localSheetId="4">{0}</definedName>
    <definedName name="NumCUSIPMissing">{0}</definedName>
    <definedName name="NumInst" localSheetId="5">{126}</definedName>
    <definedName name="NumInst" localSheetId="0">{126}</definedName>
    <definedName name="NumInst" localSheetId="4">{126}</definedName>
    <definedName name="NumInst">{126}</definedName>
    <definedName name="NWC" localSheetId="0">#REF!</definedName>
    <definedName name="NWC">#REF!</definedName>
    <definedName name="nwsBOOK00" localSheetId="0">#REF!</definedName>
    <definedName name="nwsBOOK00">#REF!</definedName>
    <definedName name="nwsBOOK01" localSheetId="0">#REF!</definedName>
    <definedName name="nwsBOOK01">#REF!</definedName>
    <definedName name="nwsBOOK02" localSheetId="0">#REF!</definedName>
    <definedName name="nwsBOOK02">#REF!</definedName>
    <definedName name="nwsBOOK03" localSheetId="0">#REF!</definedName>
    <definedName name="nwsBOOK03">#REF!</definedName>
    <definedName name="nwsBOOK98" localSheetId="0">#REF!</definedName>
    <definedName name="nwsBOOK98">#REF!</definedName>
    <definedName name="nwsBOOK99" localSheetId="0">#REF!</definedName>
    <definedName name="nwsBOOK99">#REF!</definedName>
    <definedName name="nwsFE00" localSheetId="0">#REF!</definedName>
    <definedName name="nwsFE00">#REF!</definedName>
    <definedName name="nwsFE01" localSheetId="0">#REF!</definedName>
    <definedName name="nwsFE01">#REF!</definedName>
    <definedName name="nwsFE02" localSheetId="0">#REF!</definedName>
    <definedName name="nwsFE02">#REF!</definedName>
    <definedName name="nwsFE03" localSheetId="0">#REF!</definedName>
    <definedName name="nwsFE03">#REF!</definedName>
    <definedName name="nwsFE98" localSheetId="0">#REF!</definedName>
    <definedName name="nwsFE98">#REF!</definedName>
    <definedName name="nwsFE99" localSheetId="0">#REF!</definedName>
    <definedName name="nwsFE99">#REF!</definedName>
    <definedName name="nwsFXNEWS00" localSheetId="0">#REF!</definedName>
    <definedName name="nwsFXNEWS00">#REF!</definedName>
    <definedName name="nwsFXNEWS01" localSheetId="0">#REF!</definedName>
    <definedName name="nwsFXNEWS01">#REF!</definedName>
    <definedName name="nwsFXNEWS02" localSheetId="0">#REF!</definedName>
    <definedName name="nwsFXNEWS02">#REF!</definedName>
    <definedName name="nwsFXNEWS98" localSheetId="0">#REF!</definedName>
    <definedName name="nwsFXNEWS98">#REF!</definedName>
    <definedName name="nwsFXNEWS99" localSheetId="0">#REF!</definedName>
    <definedName name="nwsFXNEWS99">#REF!</definedName>
    <definedName name="nwsMAG00" localSheetId="0">#REF!</definedName>
    <definedName name="nwsMAG00">#REF!</definedName>
    <definedName name="nwsMAG01" localSheetId="0">#REF!</definedName>
    <definedName name="nwsMAG01">#REF!</definedName>
    <definedName name="nwsMAG02" localSheetId="0">#REF!</definedName>
    <definedName name="nwsMAG02">#REF!</definedName>
    <definedName name="nwsMAG03" localSheetId="0">#REF!</definedName>
    <definedName name="nwsMAG03">#REF!</definedName>
    <definedName name="nwsMAG98" localSheetId="0">#REF!</definedName>
    <definedName name="nwsMAG98">#REF!</definedName>
    <definedName name="nwsMAG99" localSheetId="0">#REF!</definedName>
    <definedName name="nwsMAG99">#REF!</definedName>
    <definedName name="nwsNET00" localSheetId="0">#REF!</definedName>
    <definedName name="nwsNET00">#REF!</definedName>
    <definedName name="nwsNET01" localSheetId="0">#REF!</definedName>
    <definedName name="nwsNET01">#REF!</definedName>
    <definedName name="nwsNET02" localSheetId="0">#REF!</definedName>
    <definedName name="nwsNET02">#REF!</definedName>
    <definedName name="nwsNET98" localSheetId="0">#REF!</definedName>
    <definedName name="nwsNET98">#REF!</definedName>
    <definedName name="nwsNET99" localSheetId="0">#REF!</definedName>
    <definedName name="nwsNET99">#REF!</definedName>
    <definedName name="nwsNEWS00" localSheetId="0">#REF!</definedName>
    <definedName name="nwsNEWS00">#REF!</definedName>
    <definedName name="nwsNEWS01" localSheetId="0">#REF!</definedName>
    <definedName name="nwsNEWS01">#REF!</definedName>
    <definedName name="nwsNEWS02" localSheetId="0">#REF!</definedName>
    <definedName name="nwsNEWS02">#REF!</definedName>
    <definedName name="nwsNEWS03" localSheetId="0">#REF!</definedName>
    <definedName name="nwsNEWS03">#REF!</definedName>
    <definedName name="nwsNEWS98" localSheetId="0">#REF!</definedName>
    <definedName name="nwsNEWS98">#REF!</definedName>
    <definedName name="nwsNEWS99" localSheetId="0">#REF!</definedName>
    <definedName name="nwsNEWS99">#REF!</definedName>
    <definedName name="nwsOPINC00" localSheetId="0">#REF!</definedName>
    <definedName name="nwsOPINC00">#REF!</definedName>
    <definedName name="nwsOPINC01" localSheetId="0">#REF!</definedName>
    <definedName name="nwsOPINC01">#REF!</definedName>
    <definedName name="nwsOPINC02" localSheetId="0">#REF!</definedName>
    <definedName name="nwsOPINC02">#REF!</definedName>
    <definedName name="nwsOPINC03" localSheetId="0">#REF!</definedName>
    <definedName name="nwsOPINC03">#REF!</definedName>
    <definedName name="nwsOPINC98" localSheetId="0">#REF!</definedName>
    <definedName name="nwsOPINC98">#REF!</definedName>
    <definedName name="nwsOPINC99" localSheetId="0">#REF!</definedName>
    <definedName name="nwsOPINC99">#REF!</definedName>
    <definedName name="nwsOTHER00" localSheetId="0">#REF!</definedName>
    <definedName name="nwsOTHER00">#REF!</definedName>
    <definedName name="nwsOTHER01" localSheetId="0">#REF!</definedName>
    <definedName name="nwsOTHER01">#REF!</definedName>
    <definedName name="nwsOTHER02" localSheetId="0">#REF!</definedName>
    <definedName name="nwsOTHER02">#REF!</definedName>
    <definedName name="nwsOTHER03" localSheetId="0">#REF!</definedName>
    <definedName name="nwsOTHER03">#REF!</definedName>
    <definedName name="nwsOTHER98" localSheetId="0">#REF!</definedName>
    <definedName name="nwsOTHER98">#REF!</definedName>
    <definedName name="nwsOTHER99" localSheetId="0">#REF!</definedName>
    <definedName name="nwsOTHER99">#REF!</definedName>
    <definedName name="nwsPAC00" localSheetId="0">#REF!</definedName>
    <definedName name="nwsPAC00">#REF!</definedName>
    <definedName name="nwsPAC01" localSheetId="0">#REF!</definedName>
    <definedName name="nwsPAC01">#REF!</definedName>
    <definedName name="nwsPAC02" localSheetId="0">#REF!</definedName>
    <definedName name="nwsPAC02">#REF!</definedName>
    <definedName name="nwsPAC03" localSheetId="0">#REF!</definedName>
    <definedName name="nwsPAC03">#REF!</definedName>
    <definedName name="nwsPAC98" localSheetId="0">#REF!</definedName>
    <definedName name="nwsPAC98">#REF!</definedName>
    <definedName name="nwsPAC99" localSheetId="0">#REF!</definedName>
    <definedName name="nwsPAC99">#REF!</definedName>
    <definedName name="nwsSTAT00" localSheetId="0">#REF!</definedName>
    <definedName name="nwsSTAT00">#REF!</definedName>
    <definedName name="nwsSTAT01" localSheetId="0">#REF!</definedName>
    <definedName name="nwsSTAT01">#REF!</definedName>
    <definedName name="nwsSTAT02" localSheetId="0">#REF!</definedName>
    <definedName name="nwsSTAT02">#REF!</definedName>
    <definedName name="nwsSTAT03" localSheetId="0">#REF!</definedName>
    <definedName name="nwsSTAT03">#REF!</definedName>
    <definedName name="nwsSTAT98" localSheetId="0">#REF!</definedName>
    <definedName name="nwsSTAT98">#REF!</definedName>
    <definedName name="nwsSTAT99" localSheetId="0">#REF!</definedName>
    <definedName name="nwsSTAT99">#REF!</definedName>
    <definedName name="nwsTV00" localSheetId="0">#REF!</definedName>
    <definedName name="nwsTV00">#REF!</definedName>
    <definedName name="nwsTV01" localSheetId="0">#REF!</definedName>
    <definedName name="nwsTV01">#REF!</definedName>
    <definedName name="nwsTV99" localSheetId="0">#REF!</definedName>
    <definedName name="nwsTV99">#REF!</definedName>
    <definedName name="ny" localSheetId="0">#REF!</definedName>
    <definedName name="ny">#REF!</definedName>
    <definedName name="nzdnew" localSheetId="0">#REF!</definedName>
    <definedName name="nzdnew">#REF!</definedName>
    <definedName name="nzdold" localSheetId="0">#REF!</definedName>
    <definedName name="nzdold">#REF!</definedName>
    <definedName name="O" localSheetId="0">#REF!</definedName>
    <definedName name="O">#REF!</definedName>
    <definedName name="O_B_capital" localSheetId="0">#REF!</definedName>
    <definedName name="O_B_capital">#REF!</definedName>
    <definedName name="O_B_cargosdiferidos" localSheetId="0">#REF!</definedName>
    <definedName name="O_B_cargosdiferidos">#REF!</definedName>
    <definedName name="O_B_creddiversos" localSheetId="0">#REF!</definedName>
    <definedName name="O_B_creddiversos">#REF!</definedName>
    <definedName name="O_B_credporservic" localSheetId="0">#REF!</definedName>
    <definedName name="O_B_credporservic">#REF!</definedName>
    <definedName name="O_B_credsocvincu" localSheetId="0">#REF!</definedName>
    <definedName name="O_B_credsocvincu">#REF!</definedName>
    <definedName name="O_B_deudbancC" localSheetId="0">#REF!</definedName>
    <definedName name="O_B_deudbancC">#REF!</definedName>
    <definedName name="O_B_deudbancNC" localSheetId="0">#REF!</definedName>
    <definedName name="O_B_deudbancNC">#REF!</definedName>
    <definedName name="O_B_deudcomerC" localSheetId="0">#REF!</definedName>
    <definedName name="O_B_deudcomerC">#REF!</definedName>
    <definedName name="O_B_deudcomerNC" localSheetId="0">#REF!</definedName>
    <definedName name="O_B_deudcomerNC">#REF!</definedName>
    <definedName name="O_B_deuddocuC" localSheetId="0">#REF!</definedName>
    <definedName name="O_B_deuddocuC">#REF!</definedName>
    <definedName name="O_B_deuddocuNC" localSheetId="0">#REF!</definedName>
    <definedName name="O_B_deuddocuNC">#REF!</definedName>
    <definedName name="O_B_deudsocvinC" localSheetId="0">#REF!</definedName>
    <definedName name="O_B_deudsocvinC">#REF!</definedName>
    <definedName name="O_B_deudsocvinNC" localSheetId="0">#REF!</definedName>
    <definedName name="O_B_deudsocvinNC">#REF!</definedName>
    <definedName name="O_B_deudsocyfiscC" localSheetId="0">#REF!</definedName>
    <definedName name="O_B_deudsocyfiscC">#REF!</definedName>
    <definedName name="O_B_deudsocyfiscNC" localSheetId="0">#REF!</definedName>
    <definedName name="O_B_deudsocyfiscNC">#REF!</definedName>
    <definedName name="O_B_disponibilidades" localSheetId="0">#REF!</definedName>
    <definedName name="O_B_disponibilidades">#REF!</definedName>
    <definedName name="O_B_inverscorrient" localSheetId="0">#REF!</definedName>
    <definedName name="O_B_inverscorrient">#REF!</definedName>
    <definedName name="O_B_materiales" localSheetId="0">#REF!</definedName>
    <definedName name="O_B_materiales">#REF!</definedName>
    <definedName name="O_B_obraencurso" localSheetId="0">#REF!</definedName>
    <definedName name="O_B_obraencurso">#REF!</definedName>
    <definedName name="O_B_otrasdeudC" localSheetId="0">#REF!</definedName>
    <definedName name="O_B_otrasdeudC">#REF!</definedName>
    <definedName name="O_B_otrasdeudNC" localSheetId="0">#REF!</definedName>
    <definedName name="O_B_otrasdeudNC">#REF!</definedName>
    <definedName name="O_B_participensoc" localSheetId="0">#REF!</definedName>
    <definedName name="O_B_participensoc">#REF!</definedName>
    <definedName name="O_B_plantclasific" localSheetId="0">#REF!</definedName>
    <definedName name="O_B_plantclasific">#REF!</definedName>
    <definedName name="O_B_previsC" localSheetId="0">#REF!</definedName>
    <definedName name="O_B_previsC">#REF!</definedName>
    <definedName name="O_B_previsNC" localSheetId="0">#REF!</definedName>
    <definedName name="O_B_previsNC">#REF!</definedName>
    <definedName name="O_B_resacumulados" localSheetId="0">#REF!</definedName>
    <definedName name="O_B_resacumulados">#REF!</definedName>
    <definedName name="O_B_reservalegal" localSheetId="0">#REF!</definedName>
    <definedName name="O_B_reservalegal">#REF!</definedName>
    <definedName name="O_B_reservas" localSheetId="0">#REF!</definedName>
    <definedName name="O_B_reservas">#REF!</definedName>
    <definedName name="O_CF_adquisiciones" localSheetId="0">#REF!</definedName>
    <definedName name="O_CF_adquisiciones">#REF!</definedName>
    <definedName name="O_CF_amortdeubyc" localSheetId="0">#REF!</definedName>
    <definedName name="O_CF_amortdeubyc">#REF!</definedName>
    <definedName name="O_CF_amortizotrade" localSheetId="0">#REF!</definedName>
    <definedName name="O_CF_amortizotrade">#REF!</definedName>
    <definedName name="O_CF_cobranzatasa" localSheetId="0">#REF!</definedName>
    <definedName name="O_CF_cobranzatasa">#REF!</definedName>
    <definedName name="O_CF_deudabancycom" localSheetId="0">#REF!</definedName>
    <definedName name="O_CF_deudabancycom">#REF!</definedName>
    <definedName name="O_CF_gsgenerales" localSheetId="0">#REF!</definedName>
    <definedName name="O_CF_gsgenerales">#REF!</definedName>
    <definedName name="O_CF_impuestos" localSheetId="0">#REF!</definedName>
    <definedName name="O_CF_impuestos">#REF!</definedName>
    <definedName name="O_CF_inteyfeedeubyc" localSheetId="0">#REF!</definedName>
    <definedName name="O_CF_inteyfeedeubyc">#REF!</definedName>
    <definedName name="O_CF_inteyfeeotrade" localSheetId="0">#REF!</definedName>
    <definedName name="O_CF_inteyfeeotrade">#REF!</definedName>
    <definedName name="O_CF_inversiones" localSheetId="0">#REF!</definedName>
    <definedName name="O_CF_inversiones">#REF!</definedName>
    <definedName name="O_CF_movistar" localSheetId="0">#REF!</definedName>
    <definedName name="O_CF_movistar">#REF!</definedName>
    <definedName name="O_CF_otrasdeudas" localSheetId="0">#REF!</definedName>
    <definedName name="O_CF_otrasdeudas">#REF!</definedName>
    <definedName name="O_CF_otroscreditos" localSheetId="0">#REF!</definedName>
    <definedName name="O_CF_otroscreditos">#REF!</definedName>
    <definedName name="O_CF_otrosingreegr" localSheetId="0">#REF!</definedName>
    <definedName name="O_CF_otrosingreegr">#REF!</definedName>
    <definedName name="O_CF_otrosrdosfinan" localSheetId="0">#REF!</definedName>
    <definedName name="O_CF_otrosrdosfinan">#REF!</definedName>
    <definedName name="O_CF_persocargassoc" localSheetId="0">#REF!</definedName>
    <definedName name="O_CF_persocargassoc">#REF!</definedName>
    <definedName name="O_CF_persoindemniza" localSheetId="0">#REF!</definedName>
    <definedName name="O_CF_persoindemniza">#REF!</definedName>
    <definedName name="O_CF_persosalarios" localSheetId="0">#REF!</definedName>
    <definedName name="O_CF_persosalarios">#REF!</definedName>
    <definedName name="O_CF_persoviaticos" localSheetId="0">#REF!</definedName>
    <definedName name="O_CF_persoviaticos">#REF!</definedName>
    <definedName name="O_CF_previprovi" localSheetId="0">#REF!</definedName>
    <definedName name="O_CF_previprovi">#REF!</definedName>
    <definedName name="O_CF_startel" localSheetId="0">#REF!</definedName>
    <definedName name="O_CF_startel">#REF!</definedName>
    <definedName name="O_CF_tcp" localSheetId="0">#REF!</definedName>
    <definedName name="O_CF_tcp">#REF!</definedName>
    <definedName name="O_CF_telintar" localSheetId="0">#REF!</definedName>
    <definedName name="O_CF_telintar">#REF!</definedName>
    <definedName name="O_CF_telinver" localSheetId="0">#REF!</definedName>
    <definedName name="O_CF_telinver">#REF!</definedName>
    <definedName name="O_CF_tyssa" localSheetId="0">#REF!</definedName>
    <definedName name="O_CF_tyssa">#REF!</definedName>
    <definedName name="O_CR_amortizaciones" localSheetId="0">#REF!</definedName>
    <definedName name="O_CR_amortizaciones">#REF!</definedName>
    <definedName name="O_CR_amortizacionesvbles" localSheetId="0">#REF!</definedName>
    <definedName name="O_CR_amortizacionesvbles">#REF!</definedName>
    <definedName name="O_CR_gastosoperativos_filiales" localSheetId="0">#REF!</definedName>
    <definedName name="O_CR_gastosoperativos_filiales">#REF!</definedName>
    <definedName name="O_CR_gspersonal" localSheetId="0">#REF!</definedName>
    <definedName name="O_CR_gspersonal">#REF!</definedName>
    <definedName name="O_CR_impactivos" localSheetId="0">#REF!</definedName>
    <definedName name="O_CR_impactivos">#REF!</definedName>
    <definedName name="O_CR_impganancias" localSheetId="0">#REF!</definedName>
    <definedName name="O_CR_impganancias">#REF!</definedName>
    <definedName name="O_CR_otrosingresosegres" localSheetId="0">#REF!</definedName>
    <definedName name="O_CR_otrosingresosegres">#REF!</definedName>
    <definedName name="O_CR_rdoexposdevaluacion" localSheetId="0">#REF!</definedName>
    <definedName name="O_CR_rdoexposdevaluacion">#REF!</definedName>
    <definedName name="O_CR_rdofinancieros" localSheetId="0">#REF!</definedName>
    <definedName name="O_CR_rdofinancieros">#REF!</definedName>
    <definedName name="O_CR_ventas" localSheetId="0">#REF!</definedName>
    <definedName name="O_CR_ventas">#REF!</definedName>
    <definedName name="O_DO_altaslineas" localSheetId="0">#REF!</definedName>
    <definedName name="O_DO_altaslineas">#REF!</definedName>
    <definedName name="O_DO_altastups" localSheetId="0">#REF!</definedName>
    <definedName name="O_DO_altastups">#REF!</definedName>
    <definedName name="O_DO_bajaslineas" localSheetId="0">#REF!</definedName>
    <definedName name="O_DO_bajaslineas">#REF!</definedName>
    <definedName name="O_DO_bajastups" localSheetId="0">#REF!</definedName>
    <definedName name="O_DO_bajastups">#REF!</definedName>
    <definedName name="O_DO_desmonlineas" localSheetId="0">#REF!</definedName>
    <definedName name="O_DO_desmonlineas">#REF!</definedName>
    <definedName name="O_DO_expanlinadqui" localSheetId="0">#REF!</definedName>
    <definedName name="O_DO_expanlinadqui">#REF!</definedName>
    <definedName name="O_DO_expanslineas" localSheetId="0">#REF!</definedName>
    <definedName name="O_DO_expanslineas">#REF!</definedName>
    <definedName name="O_DO_ganalineas" localSheetId="0">#REF!</definedName>
    <definedName name="O_DO_ganalineas">#REF!</definedName>
    <definedName name="O_DO_ganalintb" localSheetId="0">#REF!</definedName>
    <definedName name="O_DO_ganalintb">#REF!</definedName>
    <definedName name="O_DO_ganalintups" localSheetId="0">#REF!</definedName>
    <definedName name="O_DO_ganalintups">#REF!</definedName>
    <definedName name="O_DO_lineasenserv" localSheetId="0">#REF!</definedName>
    <definedName name="O_DO_lineasenserv">#REF!</definedName>
    <definedName name="O_DO_lineasintal" localSheetId="0">#REF!</definedName>
    <definedName name="O_DO_lineasintal">#REF!</definedName>
    <definedName name="O_DO_lineasvacan" localSheetId="0">#REF!</definedName>
    <definedName name="O_DO_lineasvacan">#REF!</definedName>
    <definedName name="O_DO_lininstalATTD" localSheetId="0">#REF!</definedName>
    <definedName name="O_DO_lininstalATTD">#REF!</definedName>
    <definedName name="O_DO_lininstalTB" localSheetId="0">#REF!</definedName>
    <definedName name="O_DO_lininstalTB">#REF!</definedName>
    <definedName name="O_DO_linservlATTD" localSheetId="0">#REF!</definedName>
    <definedName name="O_DO_linservlATTD">#REF!</definedName>
    <definedName name="O_DO_linservlTB" localSheetId="0">#REF!</definedName>
    <definedName name="O_DO_linservlTB">#REF!</definedName>
    <definedName name="O_DO_petciopendi" localSheetId="0">#REF!</definedName>
    <definedName name="O_DO_petciopendi">#REF!</definedName>
    <definedName name="O_DO_peticionetas" localSheetId="0">#REF!</definedName>
    <definedName name="O_DO_peticionetas">#REF!</definedName>
    <definedName name="O_DO_poblacion" localSheetId="0">#REF!</definedName>
    <definedName name="O_DO_poblacion">#REF!</definedName>
    <definedName name="O_DO_tupservicio" localSheetId="0">#REF!</definedName>
    <definedName name="O_DO_tupservicio">#REF!</definedName>
    <definedName name="O_fecha" localSheetId="0">#REF!</definedName>
    <definedName name="O_fecha">#REF!</definedName>
    <definedName name="O_I_autofinanacia" localSheetId="0">#REF!</definedName>
    <definedName name="O_I_autofinanacia">#REF!</definedName>
    <definedName name="O_I_baiai" localSheetId="0">#REF!</definedName>
    <definedName name="O_I_baiai">#REF!</definedName>
    <definedName name="O_I_coberturainteres" localSheetId="0">#REF!</definedName>
    <definedName name="O_I_coberturainteres">#REF!</definedName>
    <definedName name="O_I_costocapiajeno" localSheetId="0">#REF!</definedName>
    <definedName name="O_I_costocapiajeno">#REF!</definedName>
    <definedName name="O_I_costoendeuda" localSheetId="0">#REF!</definedName>
    <definedName name="O_I_costoendeuda">#REF!</definedName>
    <definedName name="O_I_ingresosinparti" localSheetId="0">#REF!</definedName>
    <definedName name="O_I_ingresosinparti">#REF!</definedName>
    <definedName name="O_I_margenneto" localSheetId="0">#REF!</definedName>
    <definedName name="O_I_margenneto">#REF!</definedName>
    <definedName name="O_I_payout" localSheetId="0">#REF!</definedName>
    <definedName name="O_I_payout">#REF!</definedName>
    <definedName name="O_I_retorsobreacti" localSheetId="0">#REF!</definedName>
    <definedName name="O_I_retorsobreacti">#REF!</definedName>
    <definedName name="O_I_retorsobrepatne" localSheetId="0">#REF!</definedName>
    <definedName name="O_I_retorsobrepatne">#REF!</definedName>
    <definedName name="O_I_rotacionactivo" localSheetId="0">#REF!</definedName>
    <definedName name="O_I_rotacionactivo">#REF!</definedName>
    <definedName name="O_I_tasaamortiza" localSheetId="0">#REF!</definedName>
    <definedName name="O_I_tasaamortiza">#REF!</definedName>
    <definedName name="O_nombre" localSheetId="0">#REF!</definedName>
    <definedName name="O_nombre">#REF!</definedName>
    <definedName name="O_OAF_activtransf" localSheetId="0">#REF!</definedName>
    <definedName name="O_OAF_activtransf">#REF!</definedName>
    <definedName name="O_OAF_amortideuda" localSheetId="0">#REF!</definedName>
    <definedName name="O_OAF_amortideuda">#REF!</definedName>
    <definedName name="O_OAF_aportes" localSheetId="0">#REF!</definedName>
    <definedName name="O_OAF_aportes">#REF!</definedName>
    <definedName name="O_OAF_cargodifer" localSheetId="0">#REF!</definedName>
    <definedName name="O_OAF_cargodifer">#REF!</definedName>
    <definedName name="O_OAF_deudas" localSheetId="0">#REF!</definedName>
    <definedName name="O_OAF_deudas">#REF!</definedName>
    <definedName name="O_OAF_dividendos" localSheetId="0">#REF!</definedName>
    <definedName name="O_OAF_dividendos">#REF!</definedName>
    <definedName name="O_OAF_nuevinvers" localSheetId="0">#REF!</definedName>
    <definedName name="O_OAF_nuevinvers">#REF!</definedName>
    <definedName name="O_OAF_participsoc" localSheetId="0">#REF!</definedName>
    <definedName name="O_OAF_participsoc">#REF!</definedName>
    <definedName name="O_OAF_variaccaptrab" localSheetId="0">#REF!</definedName>
    <definedName name="O_OAF_variaccaptrab">#REF!</definedName>
    <definedName name="O_plan" localSheetId="0">#REF!</definedName>
    <definedName name="O_plan">#REF!</definedName>
    <definedName name="O_SP_aumentoreal" localSheetId="0">#REF!</definedName>
    <definedName name="O_SP_aumentoreal">#REF!</definedName>
    <definedName name="O_SP_costoinstxlinAT" localSheetId="0">#REF!</definedName>
    <definedName name="O_SP_costoinstxlinAT">#REF!</definedName>
    <definedName name="O_SP_costoinstxlinINM" localSheetId="0">#REF!</definedName>
    <definedName name="O_SP_costoinstxlinINM">#REF!</definedName>
    <definedName name="O_SP_costoinstxlinPE" localSheetId="0">#REF!</definedName>
    <definedName name="O_SP_costoinstxlinPE">#REF!</definedName>
    <definedName name="O_SP_costoinstxlinPI" localSheetId="0">#REF!</definedName>
    <definedName name="O_SP_costoinstxlinPI">#REF!</definedName>
    <definedName name="O_SP_costoinstxlinTOT" localSheetId="0">#REF!</definedName>
    <definedName name="O_SP_costoinstxlinTOT">#REF!</definedName>
    <definedName name="O_SP_costomedioempl" localSheetId="0">#REF!</definedName>
    <definedName name="O_SP_costomedioempl">#REF!</definedName>
    <definedName name="O_SP_crecim_pulsosexc_inerurb" localSheetId="0">#REF!</definedName>
    <definedName name="O_SP_crecim_pulsosexc_inerurb">#REF!</definedName>
    <definedName name="O_SP_cuotaabcom" localSheetId="0">#REF!</definedName>
    <definedName name="O_SP_cuotaabcom">#REF!</definedName>
    <definedName name="O_SP_cuotaabfam" localSheetId="0">#REF!</definedName>
    <definedName name="O_SP_cuotaabfam">#REF!</definedName>
    <definedName name="O_SP_cuotaabprof" localSheetId="0">#REF!</definedName>
    <definedName name="O_SP_cuotaabprof">#REF!</definedName>
    <definedName name="O_SP_cuotaconcom" localSheetId="0">#REF!</definedName>
    <definedName name="O_SP_cuotaconcom">#REF!</definedName>
    <definedName name="O_SP_cuotaconfam" localSheetId="0">#REF!</definedName>
    <definedName name="O_SP_cuotaconfam">#REF!</definedName>
    <definedName name="O_SP_devaluacarg" localSheetId="0">#REF!</definedName>
    <definedName name="O_SP_devaluacarg">#REF!</definedName>
    <definedName name="O_SP_diascreabono" localSheetId="0">#REF!</definedName>
    <definedName name="O_SP_diascreabono">#REF!</definedName>
    <definedName name="O_SP_diascreservmed" localSheetId="0">#REF!</definedName>
    <definedName name="O_SP_diascreservmed">#REF!</definedName>
    <definedName name="O_SP_diasdevabono" localSheetId="0">#REF!</definedName>
    <definedName name="O_SP_diasdevabono">#REF!</definedName>
    <definedName name="O_SP_diasdevservmed" localSheetId="0">#REF!</definedName>
    <definedName name="O_SP_diasdevservmed">#REF!</definedName>
    <definedName name="O_SP_digitalizacion" localSheetId="0">#REF!</definedName>
    <definedName name="O_SP_digitalizacion">#REF!</definedName>
    <definedName name="O_SP_emplaltas" localSheetId="0">#REF!</definedName>
    <definedName name="O_SP_emplaltas">#REF!</definedName>
    <definedName name="O_SP_emplbajasreg" localSheetId="0">#REF!</definedName>
    <definedName name="O_SP_emplbajasreg">#REF!</definedName>
    <definedName name="O_SP_emplbajastot" localSheetId="0">#REF!</definedName>
    <definedName name="O_SP_emplbajastot">#REF!</definedName>
    <definedName name="O_SP_empleados" localSheetId="0">#REF!</definedName>
    <definedName name="O_SP_empleados">#REF!</definedName>
    <definedName name="O_SP_gspersporlinser" localSheetId="0">#REF!</definedName>
    <definedName name="O_SP_gspersporlinser">#REF!</definedName>
    <definedName name="O_SP_horasextras" localSheetId="0">#REF!</definedName>
    <definedName name="O_SP_horasextras">#REF!</definedName>
    <definedName name="O_SP_indemniporbaja" localSheetId="0">#REF!</definedName>
    <definedName name="O_SP_indemniporbaja">#REF!</definedName>
    <definedName name="O_SP_inflacinter" localSheetId="0">#REF!</definedName>
    <definedName name="O_SP_inflacinter">#REF!</definedName>
    <definedName name="O_SP_inversiporlin" localSheetId="0">#REF!</definedName>
    <definedName name="O_SP_inversiporlin">#REF!</definedName>
    <definedName name="O_SP_ipcarg" localSheetId="0">#REF!</definedName>
    <definedName name="O_SP_ipcarg">#REF!</definedName>
    <definedName name="O_SP_ipmngarg" localSheetId="0">#REF!</definedName>
    <definedName name="O_SP_ipmngarg">#REF!</definedName>
    <definedName name="O_SP_libor" localSheetId="0">#REF!</definedName>
    <definedName name="O_SP_libor">#REF!</definedName>
    <definedName name="O_SP_niveltipocambio" localSheetId="0">#REF!</definedName>
    <definedName name="O_SP_niveltipocambio">#REF!</definedName>
    <definedName name="O_SP_payout" localSheetId="0">#REF!</definedName>
    <definedName name="O_SP_payout">#REF!</definedName>
    <definedName name="O_SP_pbi" localSheetId="0">#REF!</definedName>
    <definedName name="O_SP_pbi">#REF!</definedName>
    <definedName name="O_SP_precioptfo" localSheetId="0">#REF!</definedName>
    <definedName name="O_SP_precioptfo">#REF!</definedName>
    <definedName name="O_SP_previncobrables" localSheetId="0">#REF!</definedName>
    <definedName name="O_SP_previncobrables">#REF!</definedName>
    <definedName name="O_SP_productividad1" localSheetId="0">#REF!</definedName>
    <definedName name="O_SP_productividad1">#REF!</definedName>
    <definedName name="O_SP_productividad2" localSheetId="0">#REF!</definedName>
    <definedName name="O_SP_productividad2">#REF!</definedName>
    <definedName name="O_SP_productividad3" localSheetId="0">#REF!</definedName>
    <definedName name="O_SP_productividad3">#REF!</definedName>
    <definedName name="O_SP_pulsosexced" localSheetId="0">#REF!</definedName>
    <definedName name="O_SP_pulsosexced">#REF!</definedName>
    <definedName name="O_SP_pulsosportup" localSheetId="0">#REF!</definedName>
    <definedName name="O_SP_pulsosportup">#REF!</definedName>
    <definedName name="O_SP_reducciptfo" localSheetId="0">#REF!</definedName>
    <definedName name="O_SP_reducciptfo">#REF!</definedName>
    <definedName name="O_SP_salariomedio" localSheetId="0">#REF!</definedName>
    <definedName name="O_SP_salariomedio">#REF!</definedName>
    <definedName name="O_SP_tipocambio" localSheetId="0">#REF!</definedName>
    <definedName name="O_SP_tipocambio">#REF!</definedName>
    <definedName name="O_SP_tupsfactur" localSheetId="0">#REF!</definedName>
    <definedName name="O_SP_tupsfactur">#REF!</definedName>
    <definedName name="O_VS_contribfiscal" localSheetId="0">#REF!</definedName>
    <definedName name="O_VS_contribfiscal">#REF!</definedName>
    <definedName name="O_VS_gspersonal" localSheetId="0">#REF!</definedName>
    <definedName name="O_VS_gspersonal">#REF!</definedName>
    <definedName name="O_VS_inversionmater" localSheetId="0">#REF!</definedName>
    <definedName name="O_VS_inversionmater">#REF!</definedName>
    <definedName name="O_VS_planregularizacion" localSheetId="0">#REF!</definedName>
    <definedName name="O_VS_planregularizacion">#REF!</definedName>
    <definedName name="o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a">#REF!</definedName>
    <definedName name="oblig" localSheetId="0">#REF!</definedName>
    <definedName name="oblig">#REF!</definedName>
    <definedName name="OBS" localSheetId="0">#REF!</definedName>
    <definedName name="OBS">#REF!</definedName>
    <definedName name="OCAPXA00" localSheetId="0">#REF!</definedName>
    <definedName name="OCAPXA00">#REF!</definedName>
    <definedName name="OCAPXA01" localSheetId="0">#REF!</definedName>
    <definedName name="OCAPXA01">#REF!</definedName>
    <definedName name="OCAPXA02" localSheetId="0">#REF!</definedName>
    <definedName name="OCAPXA02">#REF!</definedName>
    <definedName name="OCAPXA03" localSheetId="0">#REF!</definedName>
    <definedName name="OCAPXA03">#REF!</definedName>
    <definedName name="OCAPXA98" localSheetId="0">#REF!</definedName>
    <definedName name="OCAPXA98">#REF!</definedName>
    <definedName name="OCAPXA99" localSheetId="0">#REF!</definedName>
    <definedName name="OCAPXA99">#REF!</definedName>
    <definedName name="OCAPXB00" localSheetId="0">#REF!</definedName>
    <definedName name="OCAPXB00">#REF!</definedName>
    <definedName name="OCAPXB01" localSheetId="0">#REF!</definedName>
    <definedName name="OCAPXB01">#REF!</definedName>
    <definedName name="OCAPXB02" localSheetId="0">#REF!</definedName>
    <definedName name="OCAPXB02">#REF!</definedName>
    <definedName name="OCAPXB03" localSheetId="0">#REF!</definedName>
    <definedName name="OCAPXB03">#REF!</definedName>
    <definedName name="OCAPXB98" localSheetId="0">#REF!</definedName>
    <definedName name="OCAPXB98">#REF!</definedName>
    <definedName name="OCAPXB99" localSheetId="0">#REF!</definedName>
    <definedName name="OCAPXB99">#REF!</definedName>
    <definedName name="OCAPXC00" localSheetId="0">#REF!</definedName>
    <definedName name="OCAPXC00">#REF!</definedName>
    <definedName name="OCAPXC02" localSheetId="0">#REF!</definedName>
    <definedName name="OCAPXC02">#REF!</definedName>
    <definedName name="OCAPXC03" localSheetId="0">#REF!</definedName>
    <definedName name="OCAPXC03">#REF!</definedName>
    <definedName name="OCCUP" localSheetId="0">#REF!</definedName>
    <definedName name="OCCUP">#REF!</definedName>
    <definedName name="OCCUP1" localSheetId="0">#REF!</definedName>
    <definedName name="OCCUP1">#REF!</definedName>
    <definedName name="OCF" localSheetId="0">#REF!</definedName>
    <definedName name="OCF">#REF!</definedName>
    <definedName name="OCF00" localSheetId="0">#REF!</definedName>
    <definedName name="OCF00">#REF!</definedName>
    <definedName name="OCF00PF" localSheetId="0">#REF!</definedName>
    <definedName name="OCF00PF">#REF!</definedName>
    <definedName name="OCF99PF" localSheetId="0">#REF!</definedName>
    <definedName name="OCF99PF">#REF!</definedName>
    <definedName name="OCFMARG00" localSheetId="0">#REF!</definedName>
    <definedName name="OCFMARG00">#REF!</definedName>
    <definedName name="OCFMARG00PF" localSheetId="0">#REF!</definedName>
    <definedName name="OCFMARG00PF">#REF!</definedName>
    <definedName name="OCFMARG01" localSheetId="0">#REF!</definedName>
    <definedName name="OCFMARG01">#REF!</definedName>
    <definedName name="OCFMARG02" localSheetId="0">#REF!</definedName>
    <definedName name="OCFMARG02">#REF!</definedName>
    <definedName name="OCFMARG93" localSheetId="0">#REF!</definedName>
    <definedName name="OCFMARG93">#REF!</definedName>
    <definedName name="OCFMARG94" localSheetId="0">#REF!</definedName>
    <definedName name="OCFMARG94">#REF!</definedName>
    <definedName name="OCFMARG95" localSheetId="0">#REF!</definedName>
    <definedName name="OCFMARG95">#REF!</definedName>
    <definedName name="OCFMARG96" localSheetId="0">#REF!</definedName>
    <definedName name="OCFMARG96">#REF!</definedName>
    <definedName name="OCFMARG97" localSheetId="0">#REF!</definedName>
    <definedName name="OCFMARG97">#REF!</definedName>
    <definedName name="OCFMARG98" localSheetId="0">#REF!</definedName>
    <definedName name="OCFMARG98">#REF!</definedName>
    <definedName name="OCFMARG99" localSheetId="0">#REF!</definedName>
    <definedName name="OCFMARG99">#REF!</definedName>
    <definedName name="OCFMARG99PF" localSheetId="0">#REF!</definedName>
    <definedName name="OCFMARG99PF">#REF!</definedName>
    <definedName name="OEXPA00" localSheetId="0">#REF!</definedName>
    <definedName name="OEXPA00">#REF!</definedName>
    <definedName name="OEXPA00PF" localSheetId="0">#REF!</definedName>
    <definedName name="OEXPA00PF">#REF!</definedName>
    <definedName name="OEXPA01" localSheetId="0">#REF!</definedName>
    <definedName name="OEXPA01">#REF!</definedName>
    <definedName name="OEXPA02" localSheetId="0">#REF!</definedName>
    <definedName name="OEXPA02">#REF!</definedName>
    <definedName name="OEXPA03" localSheetId="0">#REF!</definedName>
    <definedName name="OEXPA03">#REF!</definedName>
    <definedName name="OEXPA98" localSheetId="0">#REF!</definedName>
    <definedName name="OEXPA98">#REF!</definedName>
    <definedName name="OEXPA99" localSheetId="0">#REF!</definedName>
    <definedName name="OEXPA99">#REF!</definedName>
    <definedName name="OEXPB00" localSheetId="0">#REF!</definedName>
    <definedName name="OEXPB00">#REF!</definedName>
    <definedName name="OEXPB00PF" localSheetId="0">#REF!</definedName>
    <definedName name="OEXPB00PF">#REF!</definedName>
    <definedName name="OEXPB01" localSheetId="0">#REF!</definedName>
    <definedName name="OEXPB01">#REF!</definedName>
    <definedName name="OEXPB02" localSheetId="0">#REF!</definedName>
    <definedName name="OEXPB02">#REF!</definedName>
    <definedName name="OEXPB03" localSheetId="0">#REF!</definedName>
    <definedName name="OEXPB03">#REF!</definedName>
    <definedName name="OEXPB98" localSheetId="0">#REF!</definedName>
    <definedName name="OEXPB98">#REF!</definedName>
    <definedName name="OEXPB99" localSheetId="0">#REF!</definedName>
    <definedName name="OEXPB99">#REF!</definedName>
    <definedName name="Off_B_S_Income" localSheetId="0">#REF!</definedName>
    <definedName name="Off_B_S_Income">#REF!</definedName>
    <definedName name="Off_B_S_Income_DCF" localSheetId="0">#REF!</definedName>
    <definedName name="Off_B_S_Income_DCF">#REF!</definedName>
    <definedName name="Off_B_S_Income_fore" localSheetId="0">#REF!</definedName>
    <definedName name="Off_B_S_Income_fore">#REF!</definedName>
    <definedName name="Off_B_S_Income_growth_fore" localSheetId="0">#REF!</definedName>
    <definedName name="Off_B_S_Income_growth_fore">#REF!</definedName>
    <definedName name="Off_High_Cov" localSheetId="0">#REF!</definedName>
    <definedName name="Off_High_Cov">#REF!</definedName>
    <definedName name="official_ARPU" localSheetId="0">#REF!</definedName>
    <definedName name="official_ARPU">#REF!</definedName>
    <definedName name="OGA00" localSheetId="0">#REF!</definedName>
    <definedName name="OGA00">#REF!</definedName>
    <definedName name="OGA00PF" localSheetId="0">#REF!</definedName>
    <definedName name="OGA00PF">#REF!</definedName>
    <definedName name="OGA99PF" localSheetId="0">#REF!</definedName>
    <definedName name="OGA99PF">#REF!</definedName>
    <definedName name="OK" localSheetId="5" hidden="1">{#N/A,#N/A,FALSE,"Cover";#N/A,#N/A,FALSE,"LUMI";#N/A,#N/A,FALSE,"COMD";#N/A,#N/A,FALSE,"Valuation";#N/A,#N/A,FALSE,"Assumptions";#N/A,#N/A,FALSE,"Pooling";#N/A,#N/A,FALSE,"BalanceSheet"}</definedName>
    <definedName name="OK" localSheetId="0" hidden="1">{#N/A,#N/A,FALSE,"Cover";#N/A,#N/A,FALSE,"LUMI";#N/A,#N/A,FALSE,"COMD";#N/A,#N/A,FALSE,"Valuation";#N/A,#N/A,FALSE,"Assumptions";#N/A,#N/A,FALSE,"Pooling";#N/A,#N/A,FALSE,"BalanceSheet"}</definedName>
    <definedName name="OK" localSheetId="4" hidden="1">{#N/A,#N/A,FALSE,"Cover";#N/A,#N/A,FALSE,"LUMI";#N/A,#N/A,FALSE,"COMD";#N/A,#N/A,FALSE,"Valuation";#N/A,#N/A,FALSE,"Assumptions";#N/A,#N/A,FALSE,"Pooling";#N/A,#N/A,FALSE,"BalanceSheet"}</definedName>
    <definedName name="OK" hidden="1">{#N/A,#N/A,FALSE,"Cover";#N/A,#N/A,FALSE,"LUMI";#N/A,#N/A,FALSE,"COMD";#N/A,#N/A,FALSE,"Valuation";#N/A,#N/A,FALSE,"Assumptions";#N/A,#N/A,FALSE,"Pooling";#N/A,#N/A,FALSE,"BalanceSheet"}</definedName>
    <definedName name="OL_1" localSheetId="0">#REF!</definedName>
    <definedName name="OL_1">#REF!</definedName>
    <definedName name="OL_P" localSheetId="0">#REF!</definedName>
    <definedName name="OL_P">#REF!</definedName>
    <definedName name="OLcal" localSheetId="0">#REF!,#REF!</definedName>
    <definedName name="OLcal">#REF!,#REF!</definedName>
    <definedName name="OLhcread" localSheetId="0">#REF!,#REF!,#REF!</definedName>
    <definedName name="OLhcread">#REF!,#REF!,#REF!</definedName>
    <definedName name="olwrite" localSheetId="0">#REF!,#REF!,#REF!</definedName>
    <definedName name="olwrite">#REF!,#REF!,#REF!</definedName>
    <definedName name="one" localSheetId="0">#REF!</definedName>
    <definedName name="one">#REF!</definedName>
    <definedName name="onlineEBITDA01" localSheetId="0">#REF!</definedName>
    <definedName name="onlineEBITDA01">#REF!</definedName>
    <definedName name="oo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o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o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o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OP_nG" localSheetId="0">#REF!</definedName>
    <definedName name="OP_nG">#REF!</definedName>
    <definedName name="opcash1997" localSheetId="0">#REF!</definedName>
    <definedName name="opcash1997">#REF!</definedName>
    <definedName name="opcash1998" localSheetId="0">#REF!</definedName>
    <definedName name="opcash1998">#REF!</definedName>
    <definedName name="opcash2001" localSheetId="0">#REF!</definedName>
    <definedName name="opcash2001">#REF!</definedName>
    <definedName name="opcash2002" localSheetId="0">#REF!</definedName>
    <definedName name="opcash2002">#REF!</definedName>
    <definedName name="opcash2003" localSheetId="0">#REF!</definedName>
    <definedName name="opcash2003">#REF!</definedName>
    <definedName name="opcash2004" localSheetId="0">#REF!</definedName>
    <definedName name="opcash2004">#REF!</definedName>
    <definedName name="OpDay_printarea">#N/A</definedName>
    <definedName name="OPER_MARGIN" localSheetId="0">#REF!</definedName>
    <definedName name="OPER_MARGIN">#REF!</definedName>
    <definedName name="OPER_PROFIT" localSheetId="0">#REF!</definedName>
    <definedName name="OPER_PROFIT">#REF!</definedName>
    <definedName name="Operating" localSheetId="0">#REF!</definedName>
    <definedName name="Operating">#REF!</definedName>
    <definedName name="Operating_Expense" localSheetId="0">#REF!</definedName>
    <definedName name="Operating_Expense">#REF!</definedName>
    <definedName name="Operating_income_fore" localSheetId="0">#REF!</definedName>
    <definedName name="Operating_income_fore">#REF!</definedName>
    <definedName name="Operating_Lease_Expense" localSheetId="0">#REF!</definedName>
    <definedName name="Operating_Lease_Expense">#REF!</definedName>
    <definedName name="Operating_Lease_Expense_fore" localSheetId="0">#REF!</definedName>
    <definedName name="Operating_Lease_Expense_fore">#REF!</definedName>
    <definedName name="Operating_Metrics" localSheetId="0">#REF!</definedName>
    <definedName name="Operating_Metrics">#REF!</definedName>
    <definedName name="Operating_Sys" localSheetId="0">#REF!</definedName>
    <definedName name="Operating_Sys">#REF!</definedName>
    <definedName name="OperatingIncome" localSheetId="0">#REF!</definedName>
    <definedName name="OperatingIncome">#REF!</definedName>
    <definedName name="opex_customer_retention" localSheetId="0">#REF!</definedName>
    <definedName name="opex_customer_retention">#REF!</definedName>
    <definedName name="opex_network" localSheetId="0">#REF!</definedName>
    <definedName name="opex_network">#REF!</definedName>
    <definedName name="opex_other" localSheetId="0">#REF!</definedName>
    <definedName name="opex_other">#REF!</definedName>
    <definedName name="opex_rental" localSheetId="0">#REF!</definedName>
    <definedName name="opex_rental">#REF!</definedName>
    <definedName name="opex_salaries" localSheetId="0">#REF!</definedName>
    <definedName name="opex_salaries">#REF!</definedName>
    <definedName name="opex_sales_marketing" localSheetId="0">#REF!</definedName>
    <definedName name="opex_sales_marketing">#REF!</definedName>
    <definedName name="OpExAmortization">0</definedName>
    <definedName name="OpExBeforeDepreciationAmortizationExtraordinariesOther">0</definedName>
    <definedName name="OpExBeforeDepreciationAmortizationExtraordinariesTotal">0</definedName>
    <definedName name="OpExCellularDepreciationAmortization" localSheetId="0">#REF!</definedName>
    <definedName name="OpExCellularDepreciationAmortization">#REF!</definedName>
    <definedName name="OpExCellularExtraordinaries" localSheetId="0">#REF!</definedName>
    <definedName name="OpExCellularExtraordinaries">#REF!</definedName>
    <definedName name="OpExCostOfEquipment">0</definedName>
    <definedName name="OpExCostOfService" localSheetId="0">#REF!</definedName>
    <definedName name="OpExCostOfService">#REF!</definedName>
    <definedName name="OpExDepreciation">0</definedName>
    <definedName name="OpExDepreciationAmortization" localSheetId="0">#REF!</definedName>
    <definedName name="OpExDepreciationAmortization">#REF!</definedName>
    <definedName name="OpExExtraordinaries" localSheetId="0">#REF!</definedName>
    <definedName name="OpExExtraordinaries">#REF!</definedName>
    <definedName name="OpExGeneralAdministrative">0</definedName>
    <definedName name="OpExOperatingExtraordinaries" localSheetId="0">#REF!</definedName>
    <definedName name="OpExOperatingExtraordinaries">#REF!</definedName>
    <definedName name="OpExOther" localSheetId="0">#REF!</definedName>
    <definedName name="OpExOther">#REF!</definedName>
    <definedName name="OpExSellingGeneralAdministrative" localSheetId="0">#REF!</definedName>
    <definedName name="OpExSellingGeneralAdministrative">#REF!</definedName>
    <definedName name="OpExSellingMarketing">0</definedName>
    <definedName name="OpExTaxesOtherThanIncomeTaxes" localSheetId="0">#REF!</definedName>
    <definedName name="OpExTaxesOtherThanIncomeTaxes">#REF!</definedName>
    <definedName name="OpExTotal">0</definedName>
    <definedName name="Opg_Income" localSheetId="0">#REF!</definedName>
    <definedName name="Opg_Income">#REF!</definedName>
    <definedName name="opinc00" localSheetId="0">#REF!</definedName>
    <definedName name="opinc00">#REF!</definedName>
    <definedName name="OPINC00PF" localSheetId="0">#REF!</definedName>
    <definedName name="OPINC00PF">#REF!</definedName>
    <definedName name="opinc01" localSheetId="0">#REF!</definedName>
    <definedName name="opinc01">#REF!</definedName>
    <definedName name="opinc02" localSheetId="0">#REF!</definedName>
    <definedName name="opinc02">#REF!</definedName>
    <definedName name="opinc03" localSheetId="0">#REF!</definedName>
    <definedName name="opinc03">#REF!</definedName>
    <definedName name="opinc1998" localSheetId="0">#REF!</definedName>
    <definedName name="opinc1998">#REF!</definedName>
    <definedName name="opinc1999" localSheetId="0">#REF!</definedName>
    <definedName name="opinc1999">#REF!</definedName>
    <definedName name="opinc2000" localSheetId="0">#REF!</definedName>
    <definedName name="opinc2000">#REF!</definedName>
    <definedName name="opinc2001" localSheetId="0">#REF!</definedName>
    <definedName name="opinc2001">#REF!</definedName>
    <definedName name="OPINC93" localSheetId="0">#REF!</definedName>
    <definedName name="OPINC93">#REF!</definedName>
    <definedName name="OPINC94" localSheetId="0">#REF!</definedName>
    <definedName name="OPINC94">#REF!</definedName>
    <definedName name="OPINC95" localSheetId="0">#REF!</definedName>
    <definedName name="OPINC95">#REF!</definedName>
    <definedName name="OPINC96" localSheetId="0">#REF!</definedName>
    <definedName name="OPINC96">#REF!</definedName>
    <definedName name="OPINC97" localSheetId="0">#REF!</definedName>
    <definedName name="OPINC97">#REF!</definedName>
    <definedName name="opinc98" localSheetId="0">#REF!</definedName>
    <definedName name="opinc98">#REF!</definedName>
    <definedName name="opinc99" localSheetId="0">#REF!</definedName>
    <definedName name="opinc99">#REF!</definedName>
    <definedName name="OPINC99PF" localSheetId="0">#REF!</definedName>
    <definedName name="OPINC99PF">#REF!</definedName>
    <definedName name="OpInput1" localSheetId="0">#REF!</definedName>
    <definedName name="OpInput1">#REF!</definedName>
    <definedName name="OpInput2" localSheetId="0">#REF!</definedName>
    <definedName name="OpInput2">#REF!</definedName>
    <definedName name="OpInput3" localSheetId="0">#REF!</definedName>
    <definedName name="OpInput3">#REF!</definedName>
    <definedName name="OpInput4" localSheetId="0">#REF!</definedName>
    <definedName name="OpInput4">#REF!</definedName>
    <definedName name="OpInput5" localSheetId="0">#REF!</definedName>
    <definedName name="OpInput5">#REF!</definedName>
    <definedName name="OpInput6" localSheetId="0">#REF!</definedName>
    <definedName name="OpInput6">#REF!</definedName>
    <definedName name="OpInput7" localSheetId="0">#REF!</definedName>
    <definedName name="OpInput7">#REF!</definedName>
    <definedName name="OpInput8" localSheetId="0">#REF!</definedName>
    <definedName name="OpInput8">#REF!</definedName>
    <definedName name="OPMARG00" localSheetId="0">#REF!</definedName>
    <definedName name="OPMARG00">#REF!</definedName>
    <definedName name="OPMARG00PF" localSheetId="0">#REF!</definedName>
    <definedName name="OPMARG00PF">#REF!</definedName>
    <definedName name="OPMARG01" localSheetId="0">#REF!</definedName>
    <definedName name="OPMARG01">#REF!</definedName>
    <definedName name="OPMARG02" localSheetId="0">#REF!</definedName>
    <definedName name="OPMARG02">#REF!</definedName>
    <definedName name="OPMARG03" localSheetId="0">#REF!</definedName>
    <definedName name="OPMARG03">#REF!</definedName>
    <definedName name="OPMARG93" localSheetId="0">#REF!</definedName>
    <definedName name="OPMARG93">#REF!</definedName>
    <definedName name="OPMARG94" localSheetId="0">#REF!</definedName>
    <definedName name="OPMARG94">#REF!</definedName>
    <definedName name="OPMARG95" localSheetId="0">#REF!</definedName>
    <definedName name="OPMARG95">#REF!</definedName>
    <definedName name="OPMARG96" localSheetId="0">#REF!</definedName>
    <definedName name="OPMARG96">#REF!</definedName>
    <definedName name="OPMARG97" localSheetId="0">#REF!</definedName>
    <definedName name="OPMARG97">#REF!</definedName>
    <definedName name="OPMARG98" localSheetId="0">#REF!</definedName>
    <definedName name="OPMARG98">#REF!</definedName>
    <definedName name="OPMARG99" localSheetId="0">#REF!</definedName>
    <definedName name="OPMARG99">#REF!</definedName>
    <definedName name="OPMARG99PF" localSheetId="0">#REF!</definedName>
    <definedName name="OPMARG99PF">#REF!</definedName>
    <definedName name="option" localSheetId="0">#REF!</definedName>
    <definedName name="option">#REF!</definedName>
    <definedName name="options" localSheetId="0">#REF!</definedName>
    <definedName name="options">#REF!</definedName>
    <definedName name="Order_backlog" localSheetId="0">#REF!</definedName>
    <definedName name="Order_backlog">#REF!</definedName>
    <definedName name="Order_intake" localSheetId="0">#REF!</definedName>
    <definedName name="Order_intake">#REF!</definedName>
    <definedName name="Ordinary_Income" localSheetId="0">#REF!</definedName>
    <definedName name="Ordinary_Income">#REF!</definedName>
    <definedName name="OREVA00" localSheetId="0">#REF!</definedName>
    <definedName name="OREVA00">#REF!</definedName>
    <definedName name="OREVA00PF" localSheetId="0">#REF!</definedName>
    <definedName name="OREVA00PF">#REF!</definedName>
    <definedName name="OREVA01" localSheetId="0">#REF!</definedName>
    <definedName name="OREVA01">#REF!</definedName>
    <definedName name="OREVA02" localSheetId="0">#REF!</definedName>
    <definedName name="OREVA02">#REF!</definedName>
    <definedName name="OREVA03" localSheetId="0">#REF!</definedName>
    <definedName name="OREVA03">#REF!</definedName>
    <definedName name="OREVA98" localSheetId="0">#REF!</definedName>
    <definedName name="OREVA98">#REF!</definedName>
    <definedName name="OREVA99" localSheetId="0">#REF!</definedName>
    <definedName name="OREVA99">#REF!</definedName>
    <definedName name="OREVB00" localSheetId="0">#REF!</definedName>
    <definedName name="OREVB00">#REF!</definedName>
    <definedName name="OREVB00PF" localSheetId="0">#REF!</definedName>
    <definedName name="OREVB00PF">#REF!</definedName>
    <definedName name="OREVB01" localSheetId="0">#REF!</definedName>
    <definedName name="OREVB01">#REF!</definedName>
    <definedName name="OREVB02" localSheetId="0">#REF!</definedName>
    <definedName name="OREVB02">#REF!</definedName>
    <definedName name="OREVB03" localSheetId="0">#REF!</definedName>
    <definedName name="OREVB03">#REF!</definedName>
    <definedName name="OREVB98" localSheetId="0">#REF!</definedName>
    <definedName name="OREVB98">#REF!</definedName>
    <definedName name="OREVB99" localSheetId="0">#REF!</definedName>
    <definedName name="OREVB99">#REF!</definedName>
    <definedName name="OTHER" localSheetId="0">#REF!</definedName>
    <definedName name="OTHER">#REF!</definedName>
    <definedName name="Other_asset_turns" localSheetId="0">#REF!</definedName>
    <definedName name="Other_asset_turns">#REF!</definedName>
    <definedName name="Other_asset_turns_fore" localSheetId="0">#REF!</definedName>
    <definedName name="Other_asset_turns_fore">#REF!</definedName>
    <definedName name="Other_Cost_Of_Sale" localSheetId="0">#REF!</definedName>
    <definedName name="Other_Cost_Of_Sale">#REF!</definedName>
    <definedName name="Other_current_assets_growth_fore" localSheetId="0">#REF!</definedName>
    <definedName name="Other_current_assets_growth_fore">#REF!</definedName>
    <definedName name="Other_current_liabilities_growth_fore" localSheetId="0">#REF!</definedName>
    <definedName name="Other_current_liabilities_growth_fore">#REF!</definedName>
    <definedName name="Other_dividends" localSheetId="0">#REF!</definedName>
    <definedName name="Other_dividends">#REF!</definedName>
    <definedName name="Other_Europe" localSheetId="0">#REF!</definedName>
    <definedName name="Other_Europe">#REF!</definedName>
    <definedName name="Other_Europe_w" localSheetId="0">#REF!</definedName>
    <definedName name="Other_Europe_w">#REF!</definedName>
    <definedName name="Other_Expenses" localSheetId="0">#REF!</definedName>
    <definedName name="Other_Expenses">#REF!</definedName>
    <definedName name="Other_Expenses_fore" localSheetId="0">#REF!</definedName>
    <definedName name="Other_Expenses_fore">#REF!</definedName>
    <definedName name="Other_expenses_gains" localSheetId="0">#REF!</definedName>
    <definedName name="Other_expenses_gains">#REF!</definedName>
    <definedName name="Other_expenses_gains_fore" localSheetId="0">#REF!</definedName>
    <definedName name="Other_expenses_gains_fore">#REF!</definedName>
    <definedName name="Other_expenses_growth_fore" localSheetId="0">#REF!</definedName>
    <definedName name="Other_expenses_growth_fore">#REF!</definedName>
    <definedName name="Other_fixed_asset_turns_fore" localSheetId="0">#REF!</definedName>
    <definedName name="Other_fixed_asset_turns_fore">#REF!</definedName>
    <definedName name="Other_fixed_assets_growth_fore" localSheetId="0">#REF!</definedName>
    <definedName name="Other_fixed_assets_growth_fore">#REF!</definedName>
    <definedName name="Other_growth_fore" localSheetId="0">#REF!</definedName>
    <definedName name="Other_growth_fore">#REF!</definedName>
    <definedName name="OTHER_INC" localSheetId="0">#REF!</definedName>
    <definedName name="OTHER_INC">#REF!</definedName>
    <definedName name="Other_inc_exp_fore" localSheetId="0">#REF!</definedName>
    <definedName name="Other_inc_exp_fore">#REF!</definedName>
    <definedName name="Other_income" localSheetId="0">#REF!</definedName>
    <definedName name="Other_Income">#REF!</definedName>
    <definedName name="Other_income_growth_fore" localSheetId="0">#REF!</definedName>
    <definedName name="Other_income_growth_fore">#REF!</definedName>
    <definedName name="Other_Intangibles" localSheetId="0">#REF!</definedName>
    <definedName name="Other_Intangibles">#REF!</definedName>
    <definedName name="Other_investments" localSheetId="0">#REF!</definedName>
    <definedName name="Other_investments">#REF!</definedName>
    <definedName name="Other_liabilities_growth_fore" localSheetId="0">#REF!</definedName>
    <definedName name="Other_liabilities_growth_fore">#REF!</definedName>
    <definedName name="Other_long_term_liabilities" localSheetId="0">#REF!</definedName>
    <definedName name="Other_long_term_liabilities">#REF!</definedName>
    <definedName name="Other_LT_assets" localSheetId="0">#REF!</definedName>
    <definedName name="Other_LT_assets">#REF!</definedName>
    <definedName name="Other_Non_Operat_Income" localSheetId="0">#REF!</definedName>
    <definedName name="Other_Non_Operat_Income">#REF!</definedName>
    <definedName name="Other_Non_Opg_Exp" localSheetId="0">#REF!</definedName>
    <definedName name="Other_Non_Opg_Exp">#REF!</definedName>
    <definedName name="Other_OH" localSheetId="0">#REF!</definedName>
    <definedName name="Other_OH">#REF!</definedName>
    <definedName name="Other_Segment_Revenues" localSheetId="0">#REF!</definedName>
    <definedName name="Other_Segment_Revenues">#REF!</definedName>
    <definedName name="Other_SG_A_Expense" localSheetId="0">#REF!</definedName>
    <definedName name="Other_SG_A_Expense">#REF!</definedName>
    <definedName name="Other1" localSheetId="0">#REF!</definedName>
    <definedName name="Other1">#REF!</definedName>
    <definedName name="Other2007" localSheetId="5" hidden="1">{"'Check Request'!$A$1:$BF$37"}</definedName>
    <definedName name="Other2007" localSheetId="0" hidden="1">{"'Check Request'!$A$1:$BF$37"}</definedName>
    <definedName name="Other2007" localSheetId="4" hidden="1">{"'Check Request'!$A$1:$BF$37"}</definedName>
    <definedName name="Other2007" hidden="1">{"'Check Request'!$A$1:$BF$37"}</definedName>
    <definedName name="OtherCA" localSheetId="0">#REF!</definedName>
    <definedName name="OtherCA">#REF!</definedName>
    <definedName name="OtherExEquityIncome">0</definedName>
    <definedName name="OtherExGainOnSale">0</definedName>
    <definedName name="OtherExInterestExpense" localSheetId="0">#REF!</definedName>
    <definedName name="OtherExInterestExpense">#REF!</definedName>
    <definedName name="OtherExInterestExpenseNet" localSheetId="0">#REF!</definedName>
    <definedName name="OtherExInterestExpenseNet">#REF!</definedName>
    <definedName name="OtherExInterestIncome">0</definedName>
    <definedName name="OtherExMinorityInterest">0</definedName>
    <definedName name="OtherExOther" localSheetId="0">#REF!</definedName>
    <definedName name="OtherExOther">#REF!</definedName>
    <definedName name="OtherExTotal">0</definedName>
    <definedName name="OtherIntangibles" localSheetId="0">#REF!</definedName>
    <definedName name="OtherIntangibles">#REF!</definedName>
    <definedName name="OtherNonCashOpItems" localSheetId="0">#REF!</definedName>
    <definedName name="OtherNonCashOpItems">#REF!</definedName>
    <definedName name="OtherOperatingExpense" localSheetId="0">#REF!</definedName>
    <definedName name="OtherOperatingExpense">#REF!</definedName>
    <definedName name="OthrInc88" localSheetId="0">#REF!</definedName>
    <definedName name="OthrInc88">#REF!</definedName>
    <definedName name="OthrInc89" localSheetId="0">#REF!</definedName>
    <definedName name="OthrInc89">#REF!</definedName>
    <definedName name="OthrInc90" localSheetId="0">#REF!</definedName>
    <definedName name="OthrInc90">#REF!</definedName>
    <definedName name="OthrInc91" localSheetId="0">#REF!</definedName>
    <definedName name="OthrInc91">#REF!</definedName>
    <definedName name="OthrInc92" localSheetId="0">#REF!</definedName>
    <definedName name="OthrInc92">#REF!</definedName>
    <definedName name="OthrInc93" localSheetId="0">#REF!</definedName>
    <definedName name="OthrInc93">#REF!</definedName>
    <definedName name="OthrInc94" localSheetId="0">#REF!</definedName>
    <definedName name="OthrInc94">#REF!</definedName>
    <definedName name="OthrInc95" localSheetId="0">#REF!</definedName>
    <definedName name="OthrInc95">#REF!</definedName>
    <definedName name="OUTDOOR" localSheetId="0">#REF!</definedName>
    <definedName name="OUTDOOR">#REF!</definedName>
    <definedName name="OutputEV" localSheetId="0">#REF!,#REF!</definedName>
    <definedName name="OutputEV">#REF!,#REF!</definedName>
    <definedName name="OutputMarketCap" localSheetId="0">#REF!,#REF!</definedName>
    <definedName name="OutputMarketCap">#REF!,#REF!</definedName>
    <definedName name="OutstandingCommonShares" localSheetId="0">#REF!</definedName>
    <definedName name="OutstandingCommonShares">#REF!</definedName>
    <definedName name="OWN" localSheetId="0">#REF!</definedName>
    <definedName name="OWN">#REF!</definedName>
    <definedName name="P" localSheetId="0">#REF!</definedName>
    <definedName name="P">#REF!</definedName>
    <definedName name="p_am_good" localSheetId="0">#REF!</definedName>
    <definedName name="p_am_good">#REF!</definedName>
    <definedName name="p_cost_of_sales" localSheetId="0">#REF!</definedName>
    <definedName name="p_cost_of_sales">#REF!</definedName>
    <definedName name="p_ebit" localSheetId="0">#REF!</definedName>
    <definedName name="p_ebit">#REF!</definedName>
    <definedName name="p_exep_items" localSheetId="0">#REF!</definedName>
    <definedName name="p_exep_items">#REF!</definedName>
    <definedName name="p_extr_items" localSheetId="0">#REF!</definedName>
    <definedName name="p_extr_items">#REF!</definedName>
    <definedName name="p_gross_profit" localSheetId="0">#REF!</definedName>
    <definedName name="p_gross_profit">#REF!</definedName>
    <definedName name="p_interest" localSheetId="0">#REF!</definedName>
    <definedName name="p_interest">#REF!</definedName>
    <definedName name="p_min_intr" localSheetId="0">#REF!</definedName>
    <definedName name="p_min_intr">#REF!</definedName>
    <definedName name="p_n_op_prof" localSheetId="0">#REF!</definedName>
    <definedName name="p_n_op_prof">#REF!</definedName>
    <definedName name="p_net_prof" localSheetId="0">#REF!</definedName>
    <definedName name="p_net_prof">#REF!</definedName>
    <definedName name="p_net_sales" localSheetId="0">#REF!</definedName>
    <definedName name="p_net_sales">#REF!</definedName>
    <definedName name="p_op_prof" localSheetId="0">#REF!</definedName>
    <definedName name="p_op_prof">#REF!</definedName>
    <definedName name="p_oth_op_inc" localSheetId="0">#REF!</definedName>
    <definedName name="p_oth_op_inc">#REF!</definedName>
    <definedName name="p_pre_tax_prof" localSheetId="0">#REF!</definedName>
    <definedName name="p_pre_tax_prof">#REF!</definedName>
    <definedName name="P_Product" localSheetId="0">#REF!</definedName>
    <definedName name="P_Product">#REF!</definedName>
    <definedName name="p_tax" localSheetId="0">#REF!</definedName>
    <definedName name="p_tax">#REF!</definedName>
    <definedName name="p_tax_percent" localSheetId="0">#REF!</definedName>
    <definedName name="p_tax_percent">#REF!</definedName>
    <definedName name="P_Tear" localSheetId="0">#REF!</definedName>
    <definedName name="P_Tear">#REF!</definedName>
    <definedName name="Pacificmostrecent" localSheetId="0">#REF!</definedName>
    <definedName name="Pacificmostrecent">#REF!</definedName>
    <definedName name="Packing" localSheetId="0">#REF!</definedName>
    <definedName name="Packing">#REF!</definedName>
    <definedName name="Packing_OH" localSheetId="0">#REF!</definedName>
    <definedName name="Packing_OH">#REF!</definedName>
    <definedName name="Packing_SG_A" localSheetId="0">#REF!</definedName>
    <definedName name="Packing_SG_A">#REF!</definedName>
    <definedName name="PACLINK" localSheetId="0">#REF!</definedName>
    <definedName name="PACLINK">#REF!</definedName>
    <definedName name="page1" localSheetId="0">#REF!</definedName>
    <definedName name="page1">#REF!</definedName>
    <definedName name="Page10" localSheetId="0">#REF!</definedName>
    <definedName name="Page10">#REF!</definedName>
    <definedName name="Page12" localSheetId="0">#REF!</definedName>
    <definedName name="Page12">#REF!</definedName>
    <definedName name="page14" localSheetId="0">#REF!</definedName>
    <definedName name="page14">#REF!</definedName>
    <definedName name="page15" localSheetId="0">#REF!</definedName>
    <definedName name="page15">#REF!</definedName>
    <definedName name="Page16" localSheetId="0">#REF!</definedName>
    <definedName name="Page16">#REF!</definedName>
    <definedName name="page19" localSheetId="0">#REF!</definedName>
    <definedName name="page19">#REF!</definedName>
    <definedName name="Page1A" localSheetId="0">#REF!</definedName>
    <definedName name="Page1A">#REF!</definedName>
    <definedName name="PAGE2" localSheetId="0">#REF!</definedName>
    <definedName name="PAGE2">#REF!</definedName>
    <definedName name="PAGE3" localSheetId="0">#REF!</definedName>
    <definedName name="PAGE3">#REF!</definedName>
    <definedName name="PAGE4" localSheetId="0">#REF!</definedName>
    <definedName name="PAGE4">#REF!</definedName>
    <definedName name="PAGE5" localSheetId="0">#REF!</definedName>
    <definedName name="PAGE5">#REF!</definedName>
    <definedName name="Page6" localSheetId="0">#REF!</definedName>
    <definedName name="Page6">#REF!</definedName>
    <definedName name="Page6Print" localSheetId="0">#REF!</definedName>
    <definedName name="Page6Print">#REF!</definedName>
    <definedName name="PAGE7" localSheetId="0">#REF!</definedName>
    <definedName name="PAGE7">#REF!</definedName>
    <definedName name="Page7a" localSheetId="0">#REF!</definedName>
    <definedName name="Page7a">#REF!</definedName>
    <definedName name="PAGE8" localSheetId="0">#REF!</definedName>
    <definedName name="PAGE8">#REF!</definedName>
    <definedName name="Page9" localSheetId="0">#REF!</definedName>
    <definedName name="Page9">#REF!</definedName>
    <definedName name="PAGING" localSheetId="0">#REF!</definedName>
    <definedName name="PAGING">#REF!</definedName>
    <definedName name="Paid_tax" localSheetId="0">#REF!</definedName>
    <definedName name="Paid_tax">#REF!</definedName>
    <definedName name="PaidInCapital" localSheetId="0">#REF!</definedName>
    <definedName name="PaidInCapital">#REF!</definedName>
    <definedName name="Partial_year" localSheetId="0">#REF!</definedName>
    <definedName name="Partial_year">#REF!</definedName>
    <definedName name="Patent_Royalties" localSheetId="0">#REF!</definedName>
    <definedName name="Patent_Royalties">#REF!</definedName>
    <definedName name="Patent_Royalties_SG_A" localSheetId="0">#REF!</definedName>
    <definedName name="Patent_Royalties_SG_A">#REF!</definedName>
    <definedName name="PATHNAME" localSheetId="0">#REF!</definedName>
    <definedName name="PATHNAME">#REF!</definedName>
    <definedName name="pay" localSheetId="0">#REF!</definedName>
    <definedName name="pay">#REF!</definedName>
    <definedName name="PayingSubs" localSheetId="0">#REF!</definedName>
    <definedName name="PayingSubs">#REF!</definedName>
    <definedName name="Payout_ratio_on_underlying" localSheetId="0">#REF!</definedName>
    <definedName name="Payout_ratio_on_underlying">#REF!</definedName>
    <definedName name="pb_fee_comm" localSheetId="0">#REF!</definedName>
    <definedName name="pb_fee_comm">#REF!</definedName>
    <definedName name="pb_loan_loss_prov" localSheetId="0">#REF!</definedName>
    <definedName name="pb_loan_loss_prov">#REF!</definedName>
    <definedName name="pb_tot_inc_banks" localSheetId="0">#REF!</definedName>
    <definedName name="pb_tot_inc_banks">#REF!</definedName>
    <definedName name="pb_trad_inc" localSheetId="0">#REF!</definedName>
    <definedName name="pb_trad_inc">#REF!</definedName>
    <definedName name="pb_wd_sec" localSheetId="0">#REF!</definedName>
    <definedName name="pb_wd_sec">#REF!</definedName>
    <definedName name="pc" localSheetId="0">#REF!</definedName>
    <definedName name="pc">#REF!</definedName>
    <definedName name="PCENTER" localSheetId="0">#REF!</definedName>
    <definedName name="PCENTER">#REF!</definedName>
    <definedName name="PD" localSheetId="0">#REF!</definedName>
    <definedName name="PD">#REF!</definedName>
    <definedName name="pd_best" localSheetId="0">#REF!</definedName>
    <definedName name="pd_best">#REF!</definedName>
    <definedName name="pd_down" localSheetId="0">#REF!</definedName>
    <definedName name="pd_down">#REF!</definedName>
    <definedName name="PD_Q" localSheetId="0">#REF!</definedName>
    <definedName name="PD_Q">#REF!</definedName>
    <definedName name="PD_RNK_index" localSheetId="0">#REF!</definedName>
    <definedName name="PD_RNK_index">#REF!</definedName>
    <definedName name="pd_sd_per" localSheetId="0">#REF!</definedName>
    <definedName name="pd_sd_per">#REF!</definedName>
    <definedName name="PD_UD_index" localSheetId="0">#REF!</definedName>
    <definedName name="PD_UD_index">#REF!</definedName>
    <definedName name="pd_up" localSheetId="0">#REF!</definedName>
    <definedName name="pd_up">#REF!</definedName>
    <definedName name="pd_worst" localSheetId="0">#REF!</definedName>
    <definedName name="pd_worst">#REF!</definedName>
    <definedName name="Pension_provisions" localSheetId="0">#REF!</definedName>
    <definedName name="Pension_provisions">#REF!</definedName>
    <definedName name="percent" localSheetId="0">#REF!</definedName>
    <definedName name="percent">#REF!</definedName>
    <definedName name="percent_change" localSheetId="0">#REF!</definedName>
    <definedName name="percent_change">#REF!</definedName>
    <definedName name="perf" localSheetId="0">#REF!</definedName>
    <definedName name="perf">#REF!</definedName>
    <definedName name="Perf_97" localSheetId="0">#REF!</definedName>
    <definedName name="Perf_97">#REF!</definedName>
    <definedName name="Perf_98" localSheetId="0">#REF!</definedName>
    <definedName name="Perf_98">#REF!</definedName>
    <definedName name="Perf_99" localSheetId="0">#REF!</definedName>
    <definedName name="Perf_99">#REF!</definedName>
    <definedName name="Performance" localSheetId="0">#REF!</definedName>
    <definedName name="Performance">#REF!</definedName>
    <definedName name="PerformanceDPS" localSheetId="0">#REF!</definedName>
    <definedName name="PerformanceDPS">#REF!</definedName>
    <definedName name="Period" localSheetId="0">#REF!</definedName>
    <definedName name="Period">#REF!</definedName>
    <definedName name="Period2" localSheetId="0">#REF!</definedName>
    <definedName name="Period2">#REF!</definedName>
    <definedName name="Perpetuity" localSheetId="0">#REF!</definedName>
    <definedName name="Perpetuity">#REF!</definedName>
    <definedName name="personal_promedio" localSheetId="0">#REF!</definedName>
    <definedName name="personal_promedio">#REF!</definedName>
    <definedName name="PeruBalanceSheet" localSheetId="0">#REF!</definedName>
    <definedName name="PeruBalanceSheet">#REF!</definedName>
    <definedName name="PeruCashFlow" localSheetId="0">#REF!</definedName>
    <definedName name="PeruCashFlow">#REF!</definedName>
    <definedName name="PeruIncomeStatement" localSheetId="0">#REF!</definedName>
    <definedName name="PeruIncomeStatement">#REF!</definedName>
    <definedName name="pesos" localSheetId="0">#REF!,#REF!,#REF!</definedName>
    <definedName name="pesos">#REF!,#REF!,#REF!</definedName>
    <definedName name="PFD00" localSheetId="0">#REF!</definedName>
    <definedName name="PFD00">#REF!</definedName>
    <definedName name="PFDIV00" localSheetId="0">#REF!</definedName>
    <definedName name="PFDIV00">#REF!</definedName>
    <definedName name="PFDIV00PF" localSheetId="0">#REF!</definedName>
    <definedName name="PFDIV00PF">#REF!</definedName>
    <definedName name="PFDIV01" localSheetId="0">#REF!</definedName>
    <definedName name="PFDIV01">#REF!</definedName>
    <definedName name="PFDIV02" localSheetId="0">#REF!</definedName>
    <definedName name="PFDIV02">#REF!</definedName>
    <definedName name="PFDIV03" localSheetId="0">#REF!</definedName>
    <definedName name="PFDIV03">#REF!</definedName>
    <definedName name="PFDIV93" localSheetId="0">#REF!</definedName>
    <definedName name="PFDIV93">#REF!</definedName>
    <definedName name="PFDIV94" localSheetId="0">#REF!</definedName>
    <definedName name="PFDIV94">#REF!</definedName>
    <definedName name="PFDIV95" localSheetId="0">#REF!</definedName>
    <definedName name="PFDIV95">#REF!</definedName>
    <definedName name="PFDIV96" localSheetId="0">#REF!</definedName>
    <definedName name="PFDIV96">#REF!</definedName>
    <definedName name="PFDIV97" localSheetId="0">#REF!</definedName>
    <definedName name="PFDIV97">#REF!</definedName>
    <definedName name="PFDIV98" localSheetId="0">#REF!</definedName>
    <definedName name="PFDIV98">#REF!</definedName>
    <definedName name="PFDIV99" localSheetId="0">#REF!</definedName>
    <definedName name="PFDIV99">#REF!</definedName>
    <definedName name="PFNDEBT01" localSheetId="0">#REF!</definedName>
    <definedName name="PFNDEBT01">#REF!</definedName>
    <definedName name="PFNDEBT02" localSheetId="0">#REF!</definedName>
    <definedName name="PFNDEBT02">#REF!</definedName>
    <definedName name="PFNDEBT03" localSheetId="0">#REF!</definedName>
    <definedName name="PFNDEBT03">#REF!</definedName>
    <definedName name="PFQ" localSheetId="0">#REF!</definedName>
    <definedName name="PFQ">#REF!</definedName>
    <definedName name="PFSTOCK00" localSheetId="0">#REF!</definedName>
    <definedName name="PFSTOCK00">#REF!</definedName>
    <definedName name="PFSTOCK01" localSheetId="0">#REF!</definedName>
    <definedName name="PFSTOCK01">#REF!</definedName>
    <definedName name="PFSTOCK02" localSheetId="0">#REF!</definedName>
    <definedName name="PFSTOCK02">#REF!</definedName>
    <definedName name="PFSTOCK03" localSheetId="0">#REF!</definedName>
    <definedName name="PFSTOCK03">#REF!</definedName>
    <definedName name="PFSTOCK99" localSheetId="0">#REF!</definedName>
    <definedName name="PFSTOCK99">#REF!</definedName>
    <definedName name="PFY1Price" localSheetId="0">#REF!</definedName>
    <definedName name="PFY1Price">#REF!</definedName>
    <definedName name="PFY2Price" localSheetId="0">#REF!</definedName>
    <definedName name="PFY2Price">#REF!</definedName>
    <definedName name="PG1_D" localSheetId="0">#REF!</definedName>
    <definedName name="PG1_D">#REF!</definedName>
    <definedName name="PG1_S" localSheetId="0">#REF!</definedName>
    <definedName name="PG1_S">#REF!</definedName>
    <definedName name="PG10_D" localSheetId="0">#REF!</definedName>
    <definedName name="PG10_D">#REF!</definedName>
    <definedName name="PG10_S" localSheetId="0">#REF!</definedName>
    <definedName name="PG10_S">#REF!</definedName>
    <definedName name="PG11A_S" localSheetId="0">#REF!</definedName>
    <definedName name="PG11A_S">#REF!</definedName>
    <definedName name="PG11B_S" localSheetId="0">#REF!</definedName>
    <definedName name="PG11B_S">#REF!</definedName>
    <definedName name="PG12_S" localSheetId="0">#REF!</definedName>
    <definedName name="PG12_S">#REF!</definedName>
    <definedName name="PG13_S" localSheetId="0">#REF!</definedName>
    <definedName name="PG13_S">#REF!</definedName>
    <definedName name="PG14_D" localSheetId="0">#REF!</definedName>
    <definedName name="PG14_D">#REF!</definedName>
    <definedName name="PG14_O" localSheetId="0">#REF!</definedName>
    <definedName name="PG14_O">#REF!</definedName>
    <definedName name="PG14_S" localSheetId="0">#REF!</definedName>
    <definedName name="PG14_S">#REF!</definedName>
    <definedName name="PG15A_S" localSheetId="0">#REF!</definedName>
    <definedName name="PG15A_S">#REF!</definedName>
    <definedName name="PG15B_S" localSheetId="0">#REF!</definedName>
    <definedName name="PG15B_S">#REF!</definedName>
    <definedName name="PG16A_S" localSheetId="0">#REF!</definedName>
    <definedName name="PG16A_S">#REF!</definedName>
    <definedName name="PG16B_S" localSheetId="0">#REF!</definedName>
    <definedName name="PG16B_S">#REF!</definedName>
    <definedName name="PG17A_S" localSheetId="0">#REF!</definedName>
    <definedName name="PG17A_S">#REF!</definedName>
    <definedName name="PG17B_S" localSheetId="0">#REF!</definedName>
    <definedName name="PG17B_S">#REF!</definedName>
    <definedName name="PG18_S" localSheetId="0">#REF!</definedName>
    <definedName name="PG18_S">#REF!</definedName>
    <definedName name="PG19_D" localSheetId="0">#REF!</definedName>
    <definedName name="PG19_D">#REF!</definedName>
    <definedName name="PG19_O" localSheetId="0">#REF!</definedName>
    <definedName name="PG19_O">#REF!</definedName>
    <definedName name="PG19_S" localSheetId="0">#REF!</definedName>
    <definedName name="PG19_S">#REF!</definedName>
    <definedName name="PG2_D" localSheetId="0">#REF!</definedName>
    <definedName name="PG2_D">#REF!</definedName>
    <definedName name="PG2_S" localSheetId="0">#REF!</definedName>
    <definedName name="PG2_S">#REF!</definedName>
    <definedName name="PG20_D" localSheetId="0">#REF!</definedName>
    <definedName name="PG20_D">#REF!</definedName>
    <definedName name="PG20_S" localSheetId="0">#REF!</definedName>
    <definedName name="PG20_S">#REF!</definedName>
    <definedName name="PG21_D" localSheetId="0">#REF!</definedName>
    <definedName name="PG21_D">#REF!</definedName>
    <definedName name="PG21_S" localSheetId="0">#REF!</definedName>
    <definedName name="PG21_S">#REF!</definedName>
    <definedName name="PG22_D" localSheetId="0">#REF!</definedName>
    <definedName name="PG22_D">#REF!</definedName>
    <definedName name="PG22_S" localSheetId="0">#REF!</definedName>
    <definedName name="PG22_S">#REF!</definedName>
    <definedName name="PG23_D" localSheetId="0">#REF!</definedName>
    <definedName name="PG23_D">#REF!</definedName>
    <definedName name="PG23_O" localSheetId="0">#REF!</definedName>
    <definedName name="PG23_O">#REF!</definedName>
    <definedName name="PG23_S" localSheetId="0">#REF!</definedName>
    <definedName name="PG23_S">#REF!</definedName>
    <definedName name="PG24_D" localSheetId="0">#REF!</definedName>
    <definedName name="PG24_D">#REF!</definedName>
    <definedName name="PG24_O" localSheetId="0">#REF!</definedName>
    <definedName name="PG24_O">#REF!</definedName>
    <definedName name="PG24_S" localSheetId="0">#REF!</definedName>
    <definedName name="PG24_S">#REF!</definedName>
    <definedName name="PG25_D" localSheetId="0">#REF!</definedName>
    <definedName name="PG25_D">#REF!</definedName>
    <definedName name="PG25_O" localSheetId="0">#REF!</definedName>
    <definedName name="PG25_O">#REF!</definedName>
    <definedName name="PG25_S" localSheetId="0">#REF!</definedName>
    <definedName name="PG25_S">#REF!</definedName>
    <definedName name="PG26_D" localSheetId="0">#REF!</definedName>
    <definedName name="PG26_D">#REF!</definedName>
    <definedName name="PG26_O" localSheetId="0">#REF!</definedName>
    <definedName name="PG26_O">#REF!</definedName>
    <definedName name="PG26_S" localSheetId="0">#REF!</definedName>
    <definedName name="PG26_S">#REF!</definedName>
    <definedName name="PG27_O" localSheetId="0">#REF!</definedName>
    <definedName name="PG27_O">#REF!</definedName>
    <definedName name="PG27_S" localSheetId="0">#REF!</definedName>
    <definedName name="PG27_S">#REF!</definedName>
    <definedName name="PG28_D" localSheetId="0">#REF!</definedName>
    <definedName name="PG28_D">#REF!</definedName>
    <definedName name="PG28_S" localSheetId="0">#REF!</definedName>
    <definedName name="PG28_S">#REF!</definedName>
    <definedName name="PG29_D" localSheetId="0">#REF!</definedName>
    <definedName name="PG29_D">#REF!</definedName>
    <definedName name="PG29_S" localSheetId="0">#REF!</definedName>
    <definedName name="PG29_S">#REF!</definedName>
    <definedName name="PG3_D" localSheetId="0">#REF!</definedName>
    <definedName name="PG3_D">#REF!</definedName>
    <definedName name="PG3_S" localSheetId="0">#REF!</definedName>
    <definedName name="PG3_S">#REF!</definedName>
    <definedName name="PG30_D" localSheetId="0">#REF!</definedName>
    <definedName name="PG30_D">#REF!</definedName>
    <definedName name="PG30_S" localSheetId="0">#REF!</definedName>
    <definedName name="PG30_S">#REF!</definedName>
    <definedName name="PG31_D" localSheetId="0">#REF!</definedName>
    <definedName name="PG31_D">#REF!</definedName>
    <definedName name="PG31_S" localSheetId="0">#REF!</definedName>
    <definedName name="PG31_S">#REF!</definedName>
    <definedName name="PG32_S" localSheetId="0">#REF!</definedName>
    <definedName name="PG32_S">#REF!</definedName>
    <definedName name="PG33_D" localSheetId="0">#REF!</definedName>
    <definedName name="PG33_D">#REF!</definedName>
    <definedName name="PG33_O" localSheetId="0">#REF!</definedName>
    <definedName name="PG33_O">#REF!</definedName>
    <definedName name="PG33_S" localSheetId="0">#REF!</definedName>
    <definedName name="PG33_S">#REF!</definedName>
    <definedName name="PG34_O" localSheetId="0">#REF!</definedName>
    <definedName name="PG34_O">#REF!</definedName>
    <definedName name="PG34_S" localSheetId="0">#REF!</definedName>
    <definedName name="PG34_S">#REF!</definedName>
    <definedName name="PG35_0" localSheetId="0">#REF!</definedName>
    <definedName name="PG35_0">#REF!</definedName>
    <definedName name="PG35_O" localSheetId="0">#REF!</definedName>
    <definedName name="PG35_O">#REF!</definedName>
    <definedName name="PG35_S" localSheetId="0">#REF!</definedName>
    <definedName name="PG35_S">#REF!</definedName>
    <definedName name="PG4_D" localSheetId="0">#REF!</definedName>
    <definedName name="PG4_D">#REF!</definedName>
    <definedName name="PG4_S" localSheetId="0">#REF!</definedName>
    <definedName name="PG4_S">#REF!</definedName>
    <definedName name="PG5_D" localSheetId="0">#REF!</definedName>
    <definedName name="PG5_D">#REF!</definedName>
    <definedName name="PG5_S" localSheetId="0">#REF!</definedName>
    <definedName name="PG5_S">#REF!</definedName>
    <definedName name="PG6_D" localSheetId="0">#REF!</definedName>
    <definedName name="PG6_D">#REF!</definedName>
    <definedName name="PG6_S" localSheetId="0">#REF!</definedName>
    <definedName name="PG6_S">#REF!</definedName>
    <definedName name="PG7_D" localSheetId="0">#REF!</definedName>
    <definedName name="PG7_D">#REF!</definedName>
    <definedName name="PG7_S" localSheetId="0">#REF!</definedName>
    <definedName name="PG7_S">#REF!</definedName>
    <definedName name="PG8_O" localSheetId="0">#REF!</definedName>
    <definedName name="PG8_O">#REF!</definedName>
    <definedName name="PG8_S" localSheetId="0">#REF!</definedName>
    <definedName name="PG8_S">#REF!</definedName>
    <definedName name="PG9A_S" localSheetId="0">#REF!</definedName>
    <definedName name="PG9A_S">#REF!</definedName>
    <definedName name="PG9B_S" localSheetId="0">#REF!</definedName>
    <definedName name="PG9B_S">#REF!</definedName>
    <definedName name="pi_inv_inc" localSheetId="0">#REF!</definedName>
    <definedName name="pi_inv_inc">#REF!</definedName>
    <definedName name="pi_life_prof" localSheetId="0">#REF!</definedName>
    <definedName name="pi_life_prof">#REF!</definedName>
    <definedName name="pi_nl_claims" localSheetId="0">#REF!</definedName>
    <definedName name="pi_nl_claims">#REF!</definedName>
    <definedName name="pi_nl_prem_inc" localSheetId="0">#REF!</definedName>
    <definedName name="pi_nl_prem_inc">#REF!</definedName>
    <definedName name="pi_nl_prof" localSheetId="0">#REF!</definedName>
    <definedName name="pi_nl_prof">#REF!</definedName>
    <definedName name="pi_nl_uw_res" localSheetId="0">#REF!</definedName>
    <definedName name="pi_nl_uw_res">#REF!</definedName>
    <definedName name="Picture3" localSheetId="5">{"Mcp08.PrintRep",""}</definedName>
    <definedName name="Picture3" localSheetId="0">{"Mcp08.PrintRep",""}</definedName>
    <definedName name="Picture3" localSheetId="4">{"Mcp08.PrintRep",""}</definedName>
    <definedName name="Picture3">{"Mcp08.PrintRep",""}</definedName>
    <definedName name="pik" localSheetId="0">#REF!</definedName>
    <definedName name="pik">#REF!</definedName>
    <definedName name="PIK_IRR" localSheetId="0">#REF!</definedName>
    <definedName name="PIK_IRR">#REF!</definedName>
    <definedName name="PIKDIV00" localSheetId="0">#REF!</definedName>
    <definedName name="PIKDIV00">#REF!</definedName>
    <definedName name="PIKDIV01" localSheetId="0">#REF!</definedName>
    <definedName name="PIKDIV01">#REF!</definedName>
    <definedName name="PIKDIV02" localSheetId="0">#REF!</definedName>
    <definedName name="PIKDIV02">#REF!</definedName>
    <definedName name="PIKDIV03" localSheetId="0">#REF!</definedName>
    <definedName name="PIKDIV03">#REF!</definedName>
    <definedName name="PIKDIV97" localSheetId="0">#REF!</definedName>
    <definedName name="PIKDIV97">#REF!</definedName>
    <definedName name="PIKDIV99" localSheetId="0">#REF!</definedName>
    <definedName name="PIKDIV99">#REF!</definedName>
    <definedName name="PIKHcBgn" localSheetId="0">#REF!</definedName>
    <definedName name="PIKHcBgn">#REF!</definedName>
    <definedName name="PIPO" localSheetId="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IPO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IPO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kgGeneric" localSheetId="0">#REF!</definedName>
    <definedName name="PkgGeneric">#REF!</definedName>
    <definedName name="pl" localSheetId="0">#REF!</definedName>
    <definedName name="pl">#REF!</definedName>
    <definedName name="PL_ASSOC" localSheetId="0">#REF!</definedName>
    <definedName name="PL_ASSOC">#REF!</definedName>
    <definedName name="PLA" localSheetId="0">#REF!</definedName>
    <definedName name="PLA">#REF!</definedName>
    <definedName name="Plant____Eqipment" localSheetId="0">#REF!</definedName>
    <definedName name="Plant____Eqipment">#REF!</definedName>
    <definedName name="Players" localSheetId="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ayers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ayers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ayers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PLFULL" localSheetId="0">#REF!</definedName>
    <definedName name="PLFULL">#REF!</definedName>
    <definedName name="PLN" localSheetId="0">#REF!</definedName>
    <definedName name="PLN">#REF!</definedName>
    <definedName name="PLQ" localSheetId="0">#REF!</definedName>
    <definedName name="PLQ">#REF!</definedName>
    <definedName name="PLR" localSheetId="0">#REF!</definedName>
    <definedName name="PLR">#REF!</definedName>
    <definedName name="PNCASE" localSheetId="0">#REF!</definedName>
    <definedName name="PNCASE">#REF!</definedName>
    <definedName name="PNL_extraordinary_items" localSheetId="0">#REF!</definedName>
    <definedName name="PNL_extraordinary_items">#REF!</definedName>
    <definedName name="PNL_other_income" localSheetId="0">#REF!</definedName>
    <definedName name="PNL_other_income">#REF!</definedName>
    <definedName name="POOLING">#N/A</definedName>
    <definedName name="portInv" localSheetId="0">#REF!</definedName>
    <definedName name="portInv">#REF!</definedName>
    <definedName name="Post_tax_stock_gains_losses" localSheetId="0">#REF!</definedName>
    <definedName name="Post_tax_stock_gains_losses">#REF!</definedName>
    <definedName name="Power_Fuel_Water" localSheetId="0">#REF!</definedName>
    <definedName name="Power_Fuel_Water">#REF!</definedName>
    <definedName name="pp" localSheetId="0">#REF!</definedName>
    <definedName name="pp">#REF!</definedName>
    <definedName name="PPandE" localSheetId="0">#REF!</definedName>
    <definedName name="PPandE">#REF!</definedName>
    <definedName name="PPnE_turns_fore" localSheetId="0">#REF!</definedName>
    <definedName name="PPnE_turns_fore">#REF!</definedName>
    <definedName name="PPP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PP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PP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PP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RDATA" localSheetId="0">#REF!</definedName>
    <definedName name="PRDATA">#REF!</definedName>
    <definedName name="PRE_EPS" localSheetId="0">#REF!</definedName>
    <definedName name="PRE_EPS">#REF!</definedName>
    <definedName name="PRE_NP" localSheetId="0">#REF!</definedName>
    <definedName name="PRE_NP">#REF!</definedName>
    <definedName name="pre_or_net_profits" localSheetId="0">#REF!</definedName>
    <definedName name="pre_or_net_profits">#REF!</definedName>
    <definedName name="Pre_Tax_Income" localSheetId="0">#REF!</definedName>
    <definedName name="Pre_Tax_Income">#REF!</definedName>
    <definedName name="Preciou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reciou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recious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reciou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PREF_DIV" localSheetId="0">#REF!</definedName>
    <definedName name="PREF_DIV">#REF!</definedName>
    <definedName name="Preferred_stock" localSheetId="0">#REF!</definedName>
    <definedName name="Preferred_stock">#REF!</definedName>
    <definedName name="Preferred_stock_growth_fore" localSheetId="0">#REF!</definedName>
    <definedName name="Preferred_stock_growth_fore">#REF!</definedName>
    <definedName name="PreferredBook" localSheetId="0">#REF!</definedName>
    <definedName name="PreferredBook">#REF!</definedName>
    <definedName name="PreferredDividends" localSheetId="0">#REF!</definedName>
    <definedName name="PreferredDividends">#REF!</definedName>
    <definedName name="PreferredLiquidation" localSheetId="0">#REF!</definedName>
    <definedName name="PreferredLiquidation">#REF!</definedName>
    <definedName name="PreferredOutstanding" localSheetId="0">#REF!</definedName>
    <definedName name="PreferredOutstanding">#REF!</definedName>
    <definedName name="PREL00" localSheetId="0">#REF!</definedName>
    <definedName name="PREL00">#REF!</definedName>
    <definedName name="PREL01" localSheetId="0">#REF!</definedName>
    <definedName name="PREL01">#REF!</definedName>
    <definedName name="prel4" localSheetId="0">#REF!</definedName>
    <definedName name="prel4">#REF!</definedName>
    <definedName name="PREL86" localSheetId="0">#REF!</definedName>
    <definedName name="PREL86">#REF!</definedName>
    <definedName name="PREL87" localSheetId="0">#REF!</definedName>
    <definedName name="PREL87">#REF!</definedName>
    <definedName name="PREL88" localSheetId="0">#REF!</definedName>
    <definedName name="PREL88">#REF!</definedName>
    <definedName name="PREL89" localSheetId="0">#REF!</definedName>
    <definedName name="PREL89">#REF!</definedName>
    <definedName name="PREL90" localSheetId="0">#REF!</definedName>
    <definedName name="PREL90">#REF!</definedName>
    <definedName name="PREL91" localSheetId="0">#REF!</definedName>
    <definedName name="PREL91">#REF!</definedName>
    <definedName name="PREL92" localSheetId="0">#REF!</definedName>
    <definedName name="PREL92">#REF!</definedName>
    <definedName name="PREL93" localSheetId="0">#REF!</definedName>
    <definedName name="PREL93">#REF!</definedName>
    <definedName name="PREL94" localSheetId="0">#REF!</definedName>
    <definedName name="PREL94">#REF!</definedName>
    <definedName name="PREL95" localSheetId="0">#REF!</definedName>
    <definedName name="PREL95">#REF!</definedName>
    <definedName name="PREL98" localSheetId="0">#REF!</definedName>
    <definedName name="PREL98">#REF!</definedName>
    <definedName name="PREL99" localSheetId="0">#REF!</definedName>
    <definedName name="PREL99">#REF!</definedName>
    <definedName name="premium" localSheetId="0">#REF!</definedName>
    <definedName name="premium">#REF!</definedName>
    <definedName name="Premium_Paid_Valuation" localSheetId="0">#REF!</definedName>
    <definedName name="Premium_Paid_Valuation">#REF!</definedName>
    <definedName name="PremiumStart" localSheetId="0">#REF!</definedName>
    <definedName name="PremiumStart">#REF!</definedName>
    <definedName name="PRENL01" localSheetId="0">#REF!</definedName>
    <definedName name="PRENL01">#REF!</definedName>
    <definedName name="PRENL86" localSheetId="0">#REF!</definedName>
    <definedName name="PRENL86">#REF!</definedName>
    <definedName name="PRENL87" localSheetId="0">#REF!</definedName>
    <definedName name="PRENL87">#REF!</definedName>
    <definedName name="PRENL88" localSheetId="0">#REF!</definedName>
    <definedName name="PRENL88">#REF!</definedName>
    <definedName name="PRENL89" localSheetId="0">#REF!</definedName>
    <definedName name="PRENL89">#REF!</definedName>
    <definedName name="PRENL90" localSheetId="0">#REF!</definedName>
    <definedName name="PRENL90">#REF!</definedName>
    <definedName name="PRENL91" localSheetId="0">#REF!</definedName>
    <definedName name="PRENL91">#REF!</definedName>
    <definedName name="PRENL92" localSheetId="0">#REF!</definedName>
    <definedName name="PRENL92">#REF!</definedName>
    <definedName name="PRENL93" localSheetId="0">#REF!</definedName>
    <definedName name="PRENL93">#REF!</definedName>
    <definedName name="PRENL94" localSheetId="0">#REF!</definedName>
    <definedName name="PRENL94">#REF!</definedName>
    <definedName name="PRENL95" localSheetId="0">#REF!</definedName>
    <definedName name="PRENL95">#REF!</definedName>
    <definedName name="PRENL98" localSheetId="0">#REF!</definedName>
    <definedName name="PRENL98">#REF!</definedName>
    <definedName name="Preparer" localSheetId="0">#REF!</definedName>
    <definedName name="Preparer">#REF!</definedName>
    <definedName name="pres_otros_ingre_egre" localSheetId="0">#REF!</definedName>
    <definedName name="pres_otros_ingre_egre">#REF!</definedName>
    <definedName name="presactcor" localSheetId="0">#REF!</definedName>
    <definedName name="presactcor">#REF!</definedName>
    <definedName name="presactNOcor" localSheetId="0">#REF!</definedName>
    <definedName name="presactNOcor">#REF!</definedName>
    <definedName name="presacttransfer" localSheetId="0">#REF!</definedName>
    <definedName name="presacttransfer">#REF!</definedName>
    <definedName name="presamortdedeudas" localSheetId="0">#REF!</definedName>
    <definedName name="presamortdedeudas">#REF!</definedName>
    <definedName name="presamortfij" localSheetId="0">#REF!</definedName>
    <definedName name="presamortfij">#REF!</definedName>
    <definedName name="presamortfij100" localSheetId="0">#REF!</definedName>
    <definedName name="presamortfij100">#REF!</definedName>
    <definedName name="presamortvbles" localSheetId="0">#REF!</definedName>
    <definedName name="presamortvbles">#REF!</definedName>
    <definedName name="presamortvbles100" localSheetId="0">#REF!</definedName>
    <definedName name="presamortvbles100">#REF!</definedName>
    <definedName name="prescargos" localSheetId="0">#REF!</definedName>
    <definedName name="prescargos">#REF!</definedName>
    <definedName name="presdeudas" localSheetId="0">#REF!</definedName>
    <definedName name="presdeudas">#REF!</definedName>
    <definedName name="presdividendos" localSheetId="0">#REF!</definedName>
    <definedName name="presdividendos">#REF!</definedName>
    <definedName name="Present_Value_Oper_lease" localSheetId="0">#REF!</definedName>
    <definedName name="Present_Value_Oper_lease">#REF!</definedName>
    <definedName name="PresentationNormalA4" localSheetId="0">#REF!</definedName>
    <definedName name="PresentationNormalA4">#REF!</definedName>
    <definedName name="presgastos_filiales" localSheetId="0">#REF!</definedName>
    <definedName name="presgastos_filiales">#REF!</definedName>
    <definedName name="presgastos_personal_telefónica" localSheetId="0">#REF!</definedName>
    <definedName name="presgastos_personal_telefónica">#REF!</definedName>
    <definedName name="presgastosoperat_telefónica" localSheetId="0">#REF!</definedName>
    <definedName name="presgastosoperat_telefónica">#REF!</definedName>
    <definedName name="presgsexplot" localSheetId="0">#REF!</definedName>
    <definedName name="presgsexplot">#REF!</definedName>
    <definedName name="presgsexplot100" localSheetId="0">#REF!</definedName>
    <definedName name="presgsexplot100">#REF!</definedName>
    <definedName name="presgsgrales" localSheetId="0">#REF!</definedName>
    <definedName name="presgsgrales">#REF!</definedName>
    <definedName name="presgsgrales100" localSheetId="0">#REF!</definedName>
    <definedName name="presgsgrales100">#REF!</definedName>
    <definedName name="presimpactivos" localSheetId="0">#REF!</definedName>
    <definedName name="presimpactivos">#REF!</definedName>
    <definedName name="presimpactivos100" localSheetId="0">#REF!</definedName>
    <definedName name="presimpactivos100">#REF!</definedName>
    <definedName name="presimpganan" localSheetId="0">#REF!</definedName>
    <definedName name="presimpganan">#REF!</definedName>
    <definedName name="presimpganan100" localSheetId="0">#REF!</definedName>
    <definedName name="presimpganan100">#REF!</definedName>
    <definedName name="presmgexploac" localSheetId="0">#REF!</definedName>
    <definedName name="presmgexploac">#REF!</definedName>
    <definedName name="presmgexploac100" localSheetId="0">#REF!</definedName>
    <definedName name="presmgexploac100">#REF!</definedName>
    <definedName name="presmgoper" localSheetId="0">#REF!</definedName>
    <definedName name="presmgoper">#REF!</definedName>
    <definedName name="presmgoper100" localSheetId="0">#REF!</definedName>
    <definedName name="presmgoper100">#REF!</definedName>
    <definedName name="presnuevasinver" localSheetId="0">#REF!</definedName>
    <definedName name="presnuevasinver">#REF!</definedName>
    <definedName name="presotrosingregr" localSheetId="0">#REF!</definedName>
    <definedName name="presotrosingregr">#REF!</definedName>
    <definedName name="presotrosingregr100" localSheetId="0">#REF!</definedName>
    <definedName name="presotrosingregr100">#REF!</definedName>
    <definedName name="prespartensoc" localSheetId="0">#REF!</definedName>
    <definedName name="prespartensoc">#REF!</definedName>
    <definedName name="prespascor" localSheetId="0">#REF!</definedName>
    <definedName name="prespascor">#REF!</definedName>
    <definedName name="prespasNOcor" localSheetId="0">#REF!</definedName>
    <definedName name="prespasNOcor">#REF!</definedName>
    <definedName name="presPN" localSheetId="0">#REF!</definedName>
    <definedName name="presPN">#REF!</definedName>
    <definedName name="presrdoantimp" localSheetId="0">#REF!</definedName>
    <definedName name="presrdoantimp">#REF!</definedName>
    <definedName name="presrdoantimp100" localSheetId="0">#REF!</definedName>
    <definedName name="presrdoantimp100">#REF!</definedName>
    <definedName name="presrdoexpoinflac" localSheetId="0">#REF!</definedName>
    <definedName name="presrdoexpoinflac">#REF!</definedName>
    <definedName name="presrdoexpoinflac100" localSheetId="0">#REF!</definedName>
    <definedName name="presrdoexpoinflac100">#REF!</definedName>
    <definedName name="presrdoneto" localSheetId="0">#REF!</definedName>
    <definedName name="presrdoneto">#REF!</definedName>
    <definedName name="presrdoneto100" localSheetId="0">#REF!</definedName>
    <definedName name="presrdoneto100">#REF!</definedName>
    <definedName name="presrdos_exposic_devalua" localSheetId="0">#REF!</definedName>
    <definedName name="presrdos_exposic_devalua">#REF!</definedName>
    <definedName name="presrdosfinan" localSheetId="0">#REF!</definedName>
    <definedName name="presrdosfinan">#REF!</definedName>
    <definedName name="presrdosfinan100" localSheetId="0">#REF!</definedName>
    <definedName name="presrdosfinan100">#REF!</definedName>
    <definedName name="presrdosfinancnetos" localSheetId="0">#REF!</definedName>
    <definedName name="presrdosfinancnetos">#REF!</definedName>
    <definedName name="presvarcaptrab" localSheetId="0">#REF!</definedName>
    <definedName name="presvarcaptrab">#REF!</definedName>
    <definedName name="presventa_filiales" localSheetId="0">#REF!</definedName>
    <definedName name="presventa_filiales">#REF!</definedName>
    <definedName name="presventas" localSheetId="0">#REF!</definedName>
    <definedName name="presventas">#REF!</definedName>
    <definedName name="presventas_telefónica" localSheetId="0">#REF!</definedName>
    <definedName name="presventas_telefónica">#REF!</definedName>
    <definedName name="presventas100" localSheetId="0">#REF!</definedName>
    <definedName name="presventas100">#REF!</definedName>
    <definedName name="PRETAX" localSheetId="0">#REF!</definedName>
    <definedName name="PRETAX">#REF!</definedName>
    <definedName name="Pretax_income" localSheetId="0">#REF!</definedName>
    <definedName name="Pretax_income">#REF!</definedName>
    <definedName name="Pretax_income_fore" localSheetId="0">#REF!</definedName>
    <definedName name="Pretax_income_fore">#REF!</definedName>
    <definedName name="Pretax_profit" localSheetId="0">#REF!</definedName>
    <definedName name="Pretax_profit">#REF!</definedName>
    <definedName name="pretax00" localSheetId="0">#REF!</definedName>
    <definedName name="pretax00">#REF!</definedName>
    <definedName name="pretax01" localSheetId="0">#REF!</definedName>
    <definedName name="pretax01">#REF!</definedName>
    <definedName name="pretax98" localSheetId="0">#REF!</definedName>
    <definedName name="pretax98">#REF!</definedName>
    <definedName name="pretax98e" localSheetId="0">#REF!</definedName>
    <definedName name="pretax98e">#REF!</definedName>
    <definedName name="pretax99" localSheetId="0">#REF!</definedName>
    <definedName name="pretax99">#REF!</definedName>
    <definedName name="PREV_NETCASH" localSheetId="0">#REF!</definedName>
    <definedName name="PREV_NETCASH">#REF!</definedName>
    <definedName name="preventagastos_filiales" localSheetId="0">#REF!</definedName>
    <definedName name="preventagastos_filiales">#REF!</definedName>
    <definedName name="price" localSheetId="0">#REF!</definedName>
    <definedName name="Price">#REF!</definedName>
    <definedName name="price_assumpt" localSheetId="0">#REF!</definedName>
    <definedName name="price_assumpt">#REF!</definedName>
    <definedName name="Price_Gap" localSheetId="0">#REF!</definedName>
    <definedName name="Price_Gap">#REF!</definedName>
    <definedName name="Price_Implied_Cost_of_Equity" localSheetId="0">#REF!</definedName>
    <definedName name="Price_Implied_Cost_of_Equity">#REF!</definedName>
    <definedName name="Price_Input" localSheetId="0">#REF!</definedName>
    <definedName name="Price_Input">#REF!</definedName>
    <definedName name="Price_Perf_f" localSheetId="0">#REF!</definedName>
    <definedName name="Price_Perf_f">#REF!</definedName>
    <definedName name="price_target_12m" localSheetId="0">#REF!</definedName>
    <definedName name="price_target_12m">#REF!</definedName>
    <definedName name="price_target_date" localSheetId="0">#REF!</definedName>
    <definedName name="price_target_date">#REF!</definedName>
    <definedName name="pricedasof" localSheetId="0">#REF!</definedName>
    <definedName name="pricedasof">#REF!</definedName>
    <definedName name="PricePerShare" localSheetId="0">#REF!</definedName>
    <definedName name="PricePerShare">#REF!</definedName>
    <definedName name="primary_source_id" localSheetId="0">#REF!</definedName>
    <definedName name="primary_source_id">#REF!</definedName>
    <definedName name="print" localSheetId="0">#REF!,#REF!</definedName>
    <definedName name="print">#REF!,#REF!</definedName>
    <definedName name="Print_1" localSheetId="0">#REF!</definedName>
    <definedName name="Print_1">#REF!</definedName>
    <definedName name="Print_2" localSheetId="0">#REF!</definedName>
    <definedName name="Print_2">#REF!</definedName>
    <definedName name="_xlnm.Print_Area" localSheetId="0">#REF!</definedName>
    <definedName name="_xlnm.Print_Area" localSheetId="2">Revenue!$B$2:$I$4</definedName>
    <definedName name="_xlnm.Print_Area">#REF!</definedName>
    <definedName name="Print_Area_MI" localSheetId="0">#REF!</definedName>
    <definedName name="Print_Area_MI">#REF!</definedName>
    <definedName name="print_Breakdown" localSheetId="0">#REF!</definedName>
    <definedName name="print_Breakdown">#REF!</definedName>
    <definedName name="print_DCF" localSheetId="0">#REF!</definedName>
    <definedName name="print_DCF">#REF!</definedName>
    <definedName name="print_financials" localSheetId="0">#REF!</definedName>
    <definedName name="print_financials">#REF!</definedName>
    <definedName name="Print_Rank" localSheetId="0">#REF!</definedName>
    <definedName name="Print_Rank">#REF!</definedName>
    <definedName name="_xlnm.Print_Titles" localSheetId="0">#REF!</definedName>
    <definedName name="_xlnm.Print_Titles" localSheetId="1">Model!$2:$3</definedName>
    <definedName name="_xlnm.Print_Titles" localSheetId="2">Revenue!$2:$4</definedName>
    <definedName name="_xlnm.Print_Titles" localSheetId="3">'Y&amp;Q'!$2:$4</definedName>
    <definedName name="_xlnm.Print_Titles">#REF!</definedName>
    <definedName name="Print_Titles_MI" localSheetId="0">#REF!,#REF!</definedName>
    <definedName name="Print_Titles_MI">#REF!,#REF!</definedName>
    <definedName name="PrintAnnualFinancialswithMetrics" localSheetId="0">#REF!</definedName>
    <definedName name="PrintAnnualFinancialswithMetrics">#REF!</definedName>
    <definedName name="PrintManagerQuery" localSheetId="0">#REF!</definedName>
    <definedName name="PrintManagerQuery">#REF!</definedName>
    <definedName name="PrintQuarterltFinancials" localSheetId="0">#REF!</definedName>
    <definedName name="PrintQuarterltFinancials">#REF!</definedName>
    <definedName name="PrintSelectedSheetsMacroButton" localSheetId="0">#REF!</definedName>
    <definedName name="PrintSelectedSheetsMacroButton">#REF!</definedName>
    <definedName name="PrintShadingOff" localSheetId="0">#REF!</definedName>
    <definedName name="PrintShadingOff">#REF!</definedName>
    <definedName name="PrintShafingOn" localSheetId="0">#REF!</definedName>
    <definedName name="PrintShafingOn">#REF!</definedName>
    <definedName name="PrintValuation" localSheetId="0">#REF!</definedName>
    <definedName name="PrintValuation">#REF!</definedName>
    <definedName name="PROCEEDS" localSheetId="0">#REF!</definedName>
    <definedName name="PROCEEDS">#REF!</definedName>
    <definedName name="Prod" localSheetId="0">#REF!</definedName>
    <definedName name="Prod">#REF!</definedName>
    <definedName name="productividad_lininstal" localSheetId="0">#REF!</definedName>
    <definedName name="productividad_lininstal">#REF!</definedName>
    <definedName name="profit" localSheetId="0">#REF!</definedName>
    <definedName name="profit">#REF!</definedName>
    <definedName name="Profit_aft_net_finance" localSheetId="0">#REF!</definedName>
    <definedName name="Profit_aft_net_finance">#REF!</definedName>
    <definedName name="Profit_Loss" localSheetId="0">#REF!</definedName>
    <definedName name="Profit_Loss">#REF!</definedName>
    <definedName name="ProfitBeforeTax" localSheetId="0">#REF!</definedName>
    <definedName name="ProfitBeforeTax">#REF!</definedName>
    <definedName name="project" localSheetId="0">#REF!</definedName>
    <definedName name="project">#REF!</definedName>
    <definedName name="PROJECT_CORAL">"warrants"</definedName>
    <definedName name="PROJECT_JUNEAU" localSheetId="0">#REF!</definedName>
    <definedName name="PROJECT_JUNEAU">#REF!</definedName>
    <definedName name="ProjectedCellularRevenue" localSheetId="0">#REF!</definedName>
    <definedName name="ProjectedCellularRevenue">#REF!</definedName>
    <definedName name="ProjectedDepreciationAmortizationCommunications" localSheetId="0">#REF!</definedName>
    <definedName name="ProjectedDepreciationAmortizationCommunications">#REF!</definedName>
    <definedName name="ProjectedDepreciationAmortizationOther" localSheetId="0">#REF!</definedName>
    <definedName name="ProjectedDepreciationAmortizationOther">#REF!</definedName>
    <definedName name="ProjectedEmployeeRelatedCostsCommunications" localSheetId="0">#REF!</definedName>
    <definedName name="ProjectedEmployeeRelatedCostsCommunications">#REF!</definedName>
    <definedName name="ProjectedEmployeeRelatedCostsOther" localSheetId="0">#REF!</definedName>
    <definedName name="ProjectedEmployeeRelatedCostsOther">#REF!</definedName>
    <definedName name="ProjectedInterestExpense" localSheetId="0">#REF!</definedName>
    <definedName name="ProjectedInterestExpense">#REF!</definedName>
    <definedName name="ProjectedOtherOperatingExpensesCommunications" localSheetId="0">#REF!</definedName>
    <definedName name="ProjectedOtherOperatingExpensesCommunications">#REF!</definedName>
    <definedName name="ProjectedOtherOperatingExpensesOther" localSheetId="0">#REF!</definedName>
    <definedName name="ProjectedOtherOperatingExpensesOther">#REF!</definedName>
    <definedName name="ProjectedRestructuringChargeCommunications" localSheetId="0">#REF!</definedName>
    <definedName name="ProjectedRestructuringChargeCommunications">#REF!</definedName>
    <definedName name="ProjectedRestructuringChargeOther" localSheetId="0">#REF!</definedName>
    <definedName name="ProjectedRestructuringChargeOther">#REF!</definedName>
    <definedName name="ProjectedTaxesOtherThanIncomeTaxesCommunications" localSheetId="0">#REF!</definedName>
    <definedName name="ProjectedTaxesOtherThanIncomeTaxesCommunications">#REF!</definedName>
    <definedName name="ProjectedTaxesOtherThanIncomeTaxesOther" localSheetId="0">#REF!</definedName>
    <definedName name="ProjectedTaxesOtherThanIncomeTaxesOther">#REF!</definedName>
    <definedName name="Projections" localSheetId="0">#REF!</definedName>
    <definedName name="Projections">#REF!</definedName>
    <definedName name="Projections_27_pages_In_Order" localSheetId="0">#REF!,#REF!,#REF!,#REF!,#REF!,#REF!,#REF!,#REF!,#REF!</definedName>
    <definedName name="Projections_27_pages_In_Order">#REF!,#REF!,#REF!,#REF!,#REF!,#REF!,#REF!,#REF!,#REF!</definedName>
    <definedName name="ProjectName" localSheetId="5">{"Journal Communications"}</definedName>
    <definedName name="ProjectName" localSheetId="0">{"Client Name or Project Name"}</definedName>
    <definedName name="ProjectName" localSheetId="4">{"Journal Communications"}</definedName>
    <definedName name="ProjectName">{"Journal Communications"}</definedName>
    <definedName name="ProjectName2" localSheetId="5">{"Client Name or Project Name"}</definedName>
    <definedName name="ProjectName2" localSheetId="0">{"Client Name or Project Name"}</definedName>
    <definedName name="ProjectName2" localSheetId="4">{"Client Name or Project Name"}</definedName>
    <definedName name="ProjectName2">{"Client Name or Project Name"}</definedName>
    <definedName name="ProjName" localSheetId="5">{"Journal Communications"}</definedName>
    <definedName name="ProjName" localSheetId="0">{"Journal Communications"}</definedName>
    <definedName name="ProjName" localSheetId="4">{"Journal Communications"}</definedName>
    <definedName name="ProjName">{"Journal Communications"}</definedName>
    <definedName name="PropGrwth" localSheetId="0">#REF!</definedName>
    <definedName name="PropGrwth">#REF!</definedName>
    <definedName name="prov00" localSheetId="0">#REF!</definedName>
    <definedName name="prov00">#REF!</definedName>
    <definedName name="prov01" localSheetId="0">#REF!</definedName>
    <definedName name="prov01">#REF!</definedName>
    <definedName name="prov99" localSheetId="0">#REF!</definedName>
    <definedName name="prov99">#REF!</definedName>
    <definedName name="Provisions" localSheetId="0">#REF!</definedName>
    <definedName name="Provisions">#REF!</definedName>
    <definedName name="PrudentialNorms" localSheetId="0">#REF!</definedName>
    <definedName name="PrudentialNorms">#REF!</definedName>
    <definedName name="ps00_10" localSheetId="0">#REF!</definedName>
    <definedName name="ps00_10">#REF!</definedName>
    <definedName name="ps01_02" localSheetId="0">#REF!</definedName>
    <definedName name="ps01_02">#REF!</definedName>
    <definedName name="PsNciHcBgn" localSheetId="0">#REF!</definedName>
    <definedName name="PsNciHcBgn">#REF!</definedName>
    <definedName name="PsNiiHcBgn" localSheetId="0">#REF!</definedName>
    <definedName name="PsNiiHcBgn">#REF!</definedName>
    <definedName name="PTEPS00" localSheetId="0">#REF!</definedName>
    <definedName name="PTEPS00">#REF!</definedName>
    <definedName name="PTEPS00PF" localSheetId="0">#REF!</definedName>
    <definedName name="PTEPS00PF">#REF!</definedName>
    <definedName name="PTEPS01" localSheetId="0">#REF!</definedName>
    <definedName name="PTEPS01">#REF!</definedName>
    <definedName name="PTEPS02" localSheetId="0">#REF!</definedName>
    <definedName name="PTEPS02">#REF!</definedName>
    <definedName name="PTEPS03" localSheetId="0">#REF!</definedName>
    <definedName name="PTEPS03">#REF!</definedName>
    <definedName name="PTEPS98" localSheetId="0">#REF!</definedName>
    <definedName name="PTEPS98">#REF!</definedName>
    <definedName name="PTEPS99" localSheetId="0">#REF!</definedName>
    <definedName name="PTEPS99">#REF!</definedName>
    <definedName name="pubEBITDA01" localSheetId="0">#REF!</definedName>
    <definedName name="pubEBITDA01">#REF!</definedName>
    <definedName name="Purch_Fm_Related_Party" localSheetId="0">#REF!</definedName>
    <definedName name="Purch_Fm_Related_Party">#REF!</definedName>
    <definedName name="Purch_Merch" localSheetId="0">#REF!</definedName>
    <definedName name="Purch_Merch">#REF!</definedName>
    <definedName name="PURCHASE">#N/A</definedName>
    <definedName name="Purchases" localSheetId="0">#REF!</definedName>
    <definedName name="Purchases">#REF!</definedName>
    <definedName name="PV_CFPS" localSheetId="0">#REF!</definedName>
    <definedName name="PV_CFPS">#REF!</definedName>
    <definedName name="PV_DPS" localSheetId="0">#REF!</definedName>
    <definedName name="PV_DPS">#REF!</definedName>
    <definedName name="PV_EPS" localSheetId="0">#REF!</definedName>
    <definedName name="PV_EPS">#REF!</definedName>
    <definedName name="PV_NP" localSheetId="0">#REF!</definedName>
    <definedName name="PV_NP">#REF!</definedName>
    <definedName name="PV_PRETAX" localSheetId="0">#REF!</definedName>
    <definedName name="PV_PRETAX">#REF!</definedName>
    <definedName name="q" localSheetId="5" hidden="1">{"Qtr Op Mgd Q2",#N/A,FALSE,"Qtr-Op (Mng)";"Qtr Op Rpt Q2",#N/A,FALSE,"Qtr-Op (Rpt)";"Operating Vs Reported",#N/A,FALSE,"Rpt-Op Inc"}</definedName>
    <definedName name="q" localSheetId="0" hidden="1">{"Qtr Op Mgd Q2",#N/A,FALSE,"Qtr-Op (Mng)";"Qtr Op Rpt Q2",#N/A,FALSE,"Qtr-Op (Rpt)";"Operating Vs Reported",#N/A,FALSE,"Rpt-Op Inc"}</definedName>
    <definedName name="q" localSheetId="4" hidden="1">{"Qtr Op Mgd Q2",#N/A,FALSE,"Qtr-Op (Mng)";"Qtr Op Rpt Q2",#N/A,FALSE,"Qtr-Op (Rpt)";"Operating Vs Reported",#N/A,FALSE,"Rpt-Op Inc"}</definedName>
    <definedName name="q" hidden="1">{"Qtr Op Mgd Q2",#N/A,FALSE,"Qtr-Op (Mng)";"Qtr Op Rpt Q2",#N/A,FALSE,"Qtr-Op (Rpt)";"Operating Vs Reported",#N/A,FALSE,"Rpt-Op Inc"}</definedName>
    <definedName name="q_1993" localSheetId="0">#REF!</definedName>
    <definedName name="q_1993">#REF!</definedName>
    <definedName name="q_1994" localSheetId="0">#REF!</definedName>
    <definedName name="q_1994">#REF!</definedName>
    <definedName name="q_1995" localSheetId="0">#REF!</definedName>
    <definedName name="q_1995">#REF!</definedName>
    <definedName name="q_1996" localSheetId="0">#REF!</definedName>
    <definedName name="q_1996">#REF!</definedName>
    <definedName name="Q1_86" localSheetId="0">#REF!</definedName>
    <definedName name="Q1_86">#REF!</definedName>
    <definedName name="Q1_87" localSheetId="0">#REF!</definedName>
    <definedName name="Q1_87">#REF!</definedName>
    <definedName name="Q1_88" localSheetId="0">#REF!</definedName>
    <definedName name="Q1_88">#REF!</definedName>
    <definedName name="Q1_89" localSheetId="0">#REF!</definedName>
    <definedName name="Q1_89">#REF!</definedName>
    <definedName name="Q1_90" localSheetId="0">#REF!</definedName>
    <definedName name="Q1_90">#REF!</definedName>
    <definedName name="Q1_91" localSheetId="0">#REF!</definedName>
    <definedName name="Q1_91">#REF!</definedName>
    <definedName name="Q1_92" localSheetId="0">#REF!</definedName>
    <definedName name="Q1_92">#REF!</definedName>
    <definedName name="q1_93" localSheetId="0">#REF!</definedName>
    <definedName name="q1_93">#REF!</definedName>
    <definedName name="q1_94" localSheetId="0">#REF!</definedName>
    <definedName name="q1_94">#REF!</definedName>
    <definedName name="q1_95" localSheetId="0">#REF!</definedName>
    <definedName name="q1_95">#REF!</definedName>
    <definedName name="q1_96" localSheetId="0">#REF!</definedName>
    <definedName name="q1_96">#REF!</definedName>
    <definedName name="q1_98" localSheetId="0">#REF!</definedName>
    <definedName name="q1_98">#REF!</definedName>
    <definedName name="q1_99" localSheetId="0">#REF!</definedName>
    <definedName name="q1_99">#REF!</definedName>
    <definedName name="q197_rev" localSheetId="0">#REF!</definedName>
    <definedName name="q197_rev">#REF!</definedName>
    <definedName name="q198_ni" localSheetId="0">#REF!</definedName>
    <definedName name="q198_ni">#REF!</definedName>
    <definedName name="q198_rev" localSheetId="0">#REF!</definedName>
    <definedName name="q198_rev">#REF!</definedName>
    <definedName name="q198_shares" localSheetId="0">#REF!</definedName>
    <definedName name="q198_shares">#REF!</definedName>
    <definedName name="q199_ni" localSheetId="0">#REF!</definedName>
    <definedName name="q199_ni">#REF!</definedName>
    <definedName name="q199_rev" localSheetId="0">#REF!</definedName>
    <definedName name="q199_rev">#REF!</definedName>
    <definedName name="q199_shares" localSheetId="0">#REF!</definedName>
    <definedName name="q199_shares">#REF!</definedName>
    <definedName name="Q2_86" localSheetId="0">#REF!</definedName>
    <definedName name="Q2_86">#REF!</definedName>
    <definedName name="Q2_87" localSheetId="0">#REF!</definedName>
    <definedName name="Q2_87">#REF!</definedName>
    <definedName name="Q2_88" localSheetId="0">#REF!</definedName>
    <definedName name="Q2_88">#REF!</definedName>
    <definedName name="Q2_89" localSheetId="0">#REF!</definedName>
    <definedName name="Q2_89">#REF!</definedName>
    <definedName name="Q2_90" localSheetId="0">#REF!</definedName>
    <definedName name="Q2_90">#REF!</definedName>
    <definedName name="Q2_91" localSheetId="0">#REF!</definedName>
    <definedName name="Q2_91">#REF!</definedName>
    <definedName name="Q2_92" localSheetId="0">#REF!</definedName>
    <definedName name="Q2_92">#REF!</definedName>
    <definedName name="q2_93" localSheetId="0">#REF!</definedName>
    <definedName name="q2_93">#REF!</definedName>
    <definedName name="q2_94" localSheetId="0">#REF!</definedName>
    <definedName name="q2_94">#REF!</definedName>
    <definedName name="q2_95" localSheetId="0">#REF!</definedName>
    <definedName name="q2_95">#REF!</definedName>
    <definedName name="q2_96" localSheetId="0">#REF!</definedName>
    <definedName name="q2_96">#REF!</definedName>
    <definedName name="q2_98" localSheetId="0">#REF!</definedName>
    <definedName name="q2_98">#REF!</definedName>
    <definedName name="q2_99" localSheetId="0">#REF!</definedName>
    <definedName name="q2_99">#REF!</definedName>
    <definedName name="q297_rev" localSheetId="0">#REF!</definedName>
    <definedName name="q297_rev">#REF!</definedName>
    <definedName name="q298_ni" localSheetId="0">#REF!</definedName>
    <definedName name="q298_ni">#REF!</definedName>
    <definedName name="q298_rev" localSheetId="0">#REF!</definedName>
    <definedName name="q298_rev">#REF!</definedName>
    <definedName name="q298_shares" localSheetId="0">#REF!</definedName>
    <definedName name="q298_shares">#REF!</definedName>
    <definedName name="q299_ni" localSheetId="0">#REF!</definedName>
    <definedName name="q299_ni">#REF!</definedName>
    <definedName name="q299_rev" localSheetId="0">#REF!</definedName>
    <definedName name="q299_rev">#REF!</definedName>
    <definedName name="q299_shares" localSheetId="0">#REF!</definedName>
    <definedName name="q299_shares">#REF!</definedName>
    <definedName name="Q3_2001" localSheetId="0">#REF!</definedName>
    <definedName name="Q3_2001">#REF!</definedName>
    <definedName name="Q3_86" localSheetId="0">#REF!</definedName>
    <definedName name="Q3_86">#REF!</definedName>
    <definedName name="Q3_87" localSheetId="0">#REF!</definedName>
    <definedName name="Q3_87">#REF!</definedName>
    <definedName name="Q3_88" localSheetId="0">#REF!</definedName>
    <definedName name="Q3_88">#REF!</definedName>
    <definedName name="Q3_89" localSheetId="0">#REF!</definedName>
    <definedName name="Q3_89">#REF!</definedName>
    <definedName name="Q3_90" localSheetId="0">#REF!</definedName>
    <definedName name="Q3_90">#REF!</definedName>
    <definedName name="Q3_91" localSheetId="0">#REF!</definedName>
    <definedName name="Q3_91">#REF!</definedName>
    <definedName name="Q3_92" localSheetId="0">#REF!</definedName>
    <definedName name="Q3_92">#REF!</definedName>
    <definedName name="q3_93" localSheetId="0">#REF!</definedName>
    <definedName name="q3_93">#REF!</definedName>
    <definedName name="q3_94" localSheetId="0">#REF!</definedName>
    <definedName name="q3_94">#REF!</definedName>
    <definedName name="q3_95" localSheetId="0">#REF!</definedName>
    <definedName name="q3_95">#REF!</definedName>
    <definedName name="q3_96" localSheetId="0">#REF!</definedName>
    <definedName name="q3_96">#REF!</definedName>
    <definedName name="q3_98" localSheetId="0">#REF!</definedName>
    <definedName name="q3_98">#REF!</definedName>
    <definedName name="q3_98." localSheetId="0">#REF!</definedName>
    <definedName name="q3_98.">#REF!</definedName>
    <definedName name="q3_99" localSheetId="0">#REF!</definedName>
    <definedName name="q3_99">#REF!</definedName>
    <definedName name="q397_rev" localSheetId="0">#REF!</definedName>
    <definedName name="q397_rev">#REF!</definedName>
    <definedName name="q398_ni" localSheetId="0">#REF!</definedName>
    <definedName name="q398_ni">#REF!</definedName>
    <definedName name="q398_rev" localSheetId="0">#REF!</definedName>
    <definedName name="q398_rev">#REF!</definedName>
    <definedName name="q398_shares" localSheetId="0">#REF!</definedName>
    <definedName name="q398_shares">#REF!</definedName>
    <definedName name="q399_ni" localSheetId="0">#REF!</definedName>
    <definedName name="q399_ni">#REF!</definedName>
    <definedName name="q399_rev" localSheetId="0">#REF!</definedName>
    <definedName name="q399_rev">#REF!</definedName>
    <definedName name="q399_shares" localSheetId="0">#REF!</definedName>
    <definedName name="q399_shares">#REF!</definedName>
    <definedName name="Q4_2001" localSheetId="0">#REF!</definedName>
    <definedName name="Q4_2001">#REF!</definedName>
    <definedName name="Q4_86" localSheetId="0">#REF!</definedName>
    <definedName name="Q4_86">#REF!</definedName>
    <definedName name="Q4_87" localSheetId="0">#REF!</definedName>
    <definedName name="Q4_87">#REF!</definedName>
    <definedName name="Q4_88" localSheetId="0">#REF!</definedName>
    <definedName name="Q4_88">#REF!</definedName>
    <definedName name="Q4_89" localSheetId="0">#REF!</definedName>
    <definedName name="Q4_89">#REF!</definedName>
    <definedName name="Q4_90" localSheetId="0">#REF!</definedName>
    <definedName name="Q4_90">#REF!</definedName>
    <definedName name="Q4_91" localSheetId="0">#REF!</definedName>
    <definedName name="Q4_91">#REF!</definedName>
    <definedName name="Q4_92" localSheetId="0">#REF!</definedName>
    <definedName name="Q4_92">#REF!</definedName>
    <definedName name="q4_93" localSheetId="0">#REF!</definedName>
    <definedName name="q4_93">#REF!</definedName>
    <definedName name="q4_94" localSheetId="0">#REF!</definedName>
    <definedName name="q4_94">#REF!</definedName>
    <definedName name="q4_95" localSheetId="0">#REF!</definedName>
    <definedName name="q4_95">#REF!</definedName>
    <definedName name="q4_96" localSheetId="0">#REF!</definedName>
    <definedName name="q4_96">#REF!</definedName>
    <definedName name="q4_98" localSheetId="0">#REF!</definedName>
    <definedName name="q4_98">#REF!</definedName>
    <definedName name="q4_99" localSheetId="0">#REF!</definedName>
    <definedName name="q4_99">#REF!</definedName>
    <definedName name="q497_rev" localSheetId="0">#REF!</definedName>
    <definedName name="q497_rev">#REF!</definedName>
    <definedName name="q498_ni" localSheetId="0">#REF!</definedName>
    <definedName name="q498_ni">#REF!</definedName>
    <definedName name="q498_rev" localSheetId="0">#REF!</definedName>
    <definedName name="q498_rev">#REF!</definedName>
    <definedName name="q498_shares" localSheetId="0">#REF!</definedName>
    <definedName name="q498_shares">#REF!</definedName>
    <definedName name="q499_ni" localSheetId="0">#REF!</definedName>
    <definedName name="q499_ni">#REF!</definedName>
    <definedName name="q499_rev" localSheetId="0">#REF!</definedName>
    <definedName name="q499_rev">#REF!</definedName>
    <definedName name="q499_shares" localSheetId="0">#REF!</definedName>
    <definedName name="q499_shares">#REF!</definedName>
    <definedName name="Q4E1990" localSheetId="0">#REF!</definedName>
    <definedName name="Q4E1990">#REF!</definedName>
    <definedName name="Q4E1991" localSheetId="0">#REF!</definedName>
    <definedName name="Q4E1991">#REF!</definedName>
    <definedName name="Q4E1992" localSheetId="0">#REF!</definedName>
    <definedName name="Q4E1992">#REF!</definedName>
    <definedName name="Q4E1993" localSheetId="0">#REF!</definedName>
    <definedName name="Q4E1993">#REF!</definedName>
    <definedName name="Q4E1994" localSheetId="0">#REF!</definedName>
    <definedName name="Q4E1994">#REF!</definedName>
    <definedName name="Q4E1995" localSheetId="0">#REF!</definedName>
    <definedName name="Q4E1995">#REF!</definedName>
    <definedName name="QDATE" localSheetId="0">#REF!</definedName>
    <definedName name="QDATE">#REF!</definedName>
    <definedName name="qem_comment" localSheetId="0">#REF!</definedName>
    <definedName name="qem_comment">#REF!</definedName>
    <definedName name="qgq" hidden="1">#N/A</definedName>
    <definedName name="qpl" localSheetId="0">#REF!</definedName>
    <definedName name="qpl">#REF!</definedName>
    <definedName name="qpl_pg1" localSheetId="0">#REF!</definedName>
    <definedName name="qpl_pg1">#REF!</definedName>
    <definedName name="qpl_pg2" localSheetId="0">#REF!</definedName>
    <definedName name="qpl_pg2">#REF!</definedName>
    <definedName name="QQ" localSheetId="0">#REF!</definedName>
    <definedName name="QQ">#REF!</definedName>
    <definedName name="QQQQQ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ryEstimateSet" localSheetId="0">#REF!</definedName>
    <definedName name="qryEstimateSet">#REF!</definedName>
    <definedName name="qryTicker" localSheetId="0">#REF!</definedName>
    <definedName name="qryTicker">#REF!</definedName>
    <definedName name="QTD" localSheetId="5" hidden="1">{"'Check Request'!$A$1:$BF$37"}</definedName>
    <definedName name="QTD" localSheetId="0" hidden="1">{"'Check Request'!$A$1:$BF$37"}</definedName>
    <definedName name="QTD" localSheetId="4" hidden="1">{"'Check Request'!$A$1:$BF$37"}</definedName>
    <definedName name="QTD" hidden="1">{"'Check Request'!$A$1:$BF$37"}</definedName>
    <definedName name="qtr" localSheetId="0">#REF!</definedName>
    <definedName name="qtr">#REF!</definedName>
    <definedName name="Qtrcal" localSheetId="0">#REF!</definedName>
    <definedName name="Qtrcal">#REF!</definedName>
    <definedName name="QuanOpDmy" localSheetId="0">#REF!,#REF!,#REF!,#REF!,#REF!,#REF!</definedName>
    <definedName name="QuanOpDmy">#REF!,#REF!,#REF!,#REF!,#REF!,#REF!</definedName>
    <definedName name="Quarter" localSheetId="0">#REF!</definedName>
    <definedName name="Quarter">#REF!</definedName>
    <definedName name="QUARTER__" localSheetId="0">#REF!</definedName>
    <definedName name="QUARTER__">#REF!</definedName>
    <definedName name="QUARTERLY" localSheetId="0">#REF!</definedName>
    <definedName name="QUARTERLY">#REF!</definedName>
    <definedName name="Quarterly.Margin.Analysis" localSheetId="0">#REF!</definedName>
    <definedName name="Quarterly.Margin.Analysis">#REF!</definedName>
    <definedName name="Quarterly_Income_Statement" localSheetId="0">#REF!</definedName>
    <definedName name="Quarterly_Income_Statement">#REF!</definedName>
    <definedName name="QuarterlyDividend" localSheetId="0">#REF!</definedName>
    <definedName name="QuarterlyDividend">#REF!</definedName>
    <definedName name="quarters" localSheetId="0">#REF!</definedName>
    <definedName name="quarters">#REF!</definedName>
    <definedName name="QUEENS_NonE00" localSheetId="0">#REF!</definedName>
    <definedName name="QUEENS_NonE00">#REF!</definedName>
    <definedName name="Quoted_investments" localSheetId="0">#REF!</definedName>
    <definedName name="Quoted_investments">#REF!</definedName>
    <definedName name="r_bvps" localSheetId="0">#REF!</definedName>
    <definedName name="r_bvps">#REF!</definedName>
    <definedName name="r_calendar_is_actual" localSheetId="0">#REF!</definedName>
    <definedName name="r_calendar_is_actual">#REF!</definedName>
    <definedName name="r_ceps" localSheetId="0">#REF!</definedName>
    <definedName name="r_ceps">#REF!</definedName>
    <definedName name="R_D" localSheetId="0">#REF!</definedName>
    <definedName name="R_D">#REF!</definedName>
    <definedName name="R_D_amort_years" localSheetId="0">#REF!</definedName>
    <definedName name="R_D_amort_years">#REF!</definedName>
    <definedName name="R_D_Amortization" localSheetId="0">#REF!</definedName>
    <definedName name="R_D_Amortization">#REF!</definedName>
    <definedName name="R_D_Cost" localSheetId="0">#REF!</definedName>
    <definedName name="R_D_Cost">#REF!</definedName>
    <definedName name="R_D_Cost_SG_A" localSheetId="0">#REF!</definedName>
    <definedName name="R_D_Cost_SG_A">#REF!</definedName>
    <definedName name="R_D_expense" localSheetId="0">#REF!</definedName>
    <definedName name="R_D_expense">#REF!</definedName>
    <definedName name="r_eps_calendar" localSheetId="0">#REF!</definedName>
    <definedName name="r_eps_calendar">#REF!</definedName>
    <definedName name="r_eps_fiscal" localSheetId="0">#REF!</definedName>
    <definedName name="r_eps_fiscal">#REF!</definedName>
    <definedName name="r_eps_us_gaap" localSheetId="0">#REF!</definedName>
    <definedName name="r_eps_us_gaap">#REF!</definedName>
    <definedName name="r_fiscal_is_actual" localSheetId="0">#REF!</definedName>
    <definedName name="r_fiscal_is_actual">#REF!</definedName>
    <definedName name="r_roe" localSheetId="0">#REF!</definedName>
    <definedName name="r_roe">#REF!</definedName>
    <definedName name="r_sales_per_share" localSheetId="0">#REF!</definedName>
    <definedName name="r_sales_per_share">#REF!</definedName>
    <definedName name="radioEBITDA01" localSheetId="0">#REF!</definedName>
    <definedName name="radioEBITDA01">#REF!</definedName>
    <definedName name="RandD" localSheetId="0">#REF!</definedName>
    <definedName name="RandD">#REF!</definedName>
    <definedName name="Range_of_Institutions" localSheetId="0">#REF!</definedName>
    <definedName name="Range_of_Institutions">#REF!</definedName>
    <definedName name="RANGE4" localSheetId="0">#REF!</definedName>
    <definedName name="RANGE4">#REF!</definedName>
    <definedName name="RANGE5" localSheetId="0">#REF!</definedName>
    <definedName name="RANGE5">#REF!</definedName>
    <definedName name="Rank_1" localSheetId="0">#REF!</definedName>
    <definedName name="Rank_1">#REF!</definedName>
    <definedName name="Rank_10" localSheetId="0">#REF!</definedName>
    <definedName name="Rank_10">#REF!</definedName>
    <definedName name="Rank_11" localSheetId="0">#REF!</definedName>
    <definedName name="Rank_11">#REF!</definedName>
    <definedName name="Rank_2" localSheetId="0">#REF!</definedName>
    <definedName name="Rank_2">#REF!</definedName>
    <definedName name="Rank_3" localSheetId="0">#REF!</definedName>
    <definedName name="Rank_3">#REF!</definedName>
    <definedName name="Rank_4" localSheetId="0">#REF!</definedName>
    <definedName name="Rank_4">#REF!</definedName>
    <definedName name="Rank_5" localSheetId="0">#REF!</definedName>
    <definedName name="Rank_5">#REF!</definedName>
    <definedName name="Rank_6" localSheetId="0">#REF!</definedName>
    <definedName name="Rank_6">#REF!</definedName>
    <definedName name="Rank_7" localSheetId="0">#REF!</definedName>
    <definedName name="Rank_7">#REF!</definedName>
    <definedName name="Rank_8" localSheetId="0">#REF!</definedName>
    <definedName name="Rank_8">#REF!</definedName>
    <definedName name="Rank_9" localSheetId="0">#REF!</definedName>
    <definedName name="Rank_9">#REF!</definedName>
    <definedName name="RAT" localSheetId="0">#REF!</definedName>
    <definedName name="RAT">#REF!</definedName>
    <definedName name="rate" localSheetId="0">#REF!</definedName>
    <definedName name="rate">#REF!</definedName>
    <definedName name="Rate_Query" localSheetId="0">#REF!</definedName>
    <definedName name="Rate_Query">#REF!</definedName>
    <definedName name="RATES" localSheetId="0">#REF!</definedName>
    <definedName name="RATES">#REF!</definedName>
    <definedName name="RATES2" localSheetId="0">#REF!</definedName>
    <definedName name="RATES2">#REF!</definedName>
    <definedName name="RatingLCP" localSheetId="0">#REF!</definedName>
    <definedName name="RatingLCP">#REF!</definedName>
    <definedName name="ratio" localSheetId="0">#REF!</definedName>
    <definedName name="ratio">#REF!</definedName>
    <definedName name="ratio2" localSheetId="0">#REF!</definedName>
    <definedName name="ratio2">#REF!</definedName>
    <definedName name="RATIOFULL" localSheetId="0">#REF!</definedName>
    <definedName name="RATIOFULL">#REF!</definedName>
    <definedName name="RATIOS" localSheetId="0">#REF!</definedName>
    <definedName name="RATIOS">#REF!</definedName>
    <definedName name="Raw_Material_Cost" localSheetId="0">#REF!</definedName>
    <definedName name="Raw_Material_Cost">#REF!</definedName>
    <definedName name="rb" localSheetId="0">#REF!</definedName>
    <definedName name="rb">#REF!</definedName>
    <definedName name="reality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localSheetId="4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ality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rec" localSheetId="0">#REF!</definedName>
    <definedName name="rec">#REF!</definedName>
    <definedName name="Rec.Asset_Debt">0</definedName>
    <definedName name="rec_id" localSheetId="0">#REF!</definedName>
    <definedName name="rec_id">#REF!</definedName>
    <definedName name="rec_start_date" localSheetId="0">#REF!</definedName>
    <definedName name="rec_start_date">#REF!</definedName>
    <definedName name="recap" localSheetId="0">#REF!</definedName>
    <definedName name="recap">#REF!</definedName>
    <definedName name="Receivables" localSheetId="0">#REF!</definedName>
    <definedName name="Receivables">#REF!</definedName>
    <definedName name="RECONCILIATIONS" localSheetId="0">#REF!</definedName>
    <definedName name="RECONCILIATIONS">#REF!</definedName>
    <definedName name="_xlnm.Recorder" localSheetId="0">#REF!</definedName>
    <definedName name="_xlnm.Recorder">#REF!</definedName>
    <definedName name="RedefinePrintTableRange" hidden="1">#N/A</definedName>
    <definedName name="Region" localSheetId="0">#REF!</definedName>
    <definedName name="Region">#REF!</definedName>
    <definedName name="Rent" localSheetId="0">#REF!</definedName>
    <definedName name="Rent">#REF!</definedName>
    <definedName name="Rent_SG_A" localSheetId="0">#REF!</definedName>
    <definedName name="Rent_SG_A">#REF!</definedName>
    <definedName name="rental91" localSheetId="0">#REF!</definedName>
    <definedName name="rental91">#REF!</definedName>
    <definedName name="rep" localSheetId="0" hidden="1">{#N/A,#N/A,FALSE,"COVER";#N/A,#N/A,FALSE,"VALUATION";#N/A,#N/A,FALSE,"FORECAST";#N/A,#N/A,FALSE,"FY ANALYSIS ";#N/A,#N/A,FALSE," HY ANALYSIS"}</definedName>
    <definedName name="rep">#REF!,#REF!,#REF!,#REF!</definedName>
    <definedName name="Repair_Maint" localSheetId="0">#REF!</definedName>
    <definedName name="Repair_Maint">#REF!</definedName>
    <definedName name="Repay" localSheetId="0">#REF!</definedName>
    <definedName name="Repay">#REF!</definedName>
    <definedName name="Repay2" localSheetId="0">#REF!</definedName>
    <definedName name="Repay2">#REF!</definedName>
    <definedName name="Report" localSheetId="0">#REF!</definedName>
    <definedName name="Report">#REF!</definedName>
    <definedName name="report_bva" localSheetId="0">#REF!</definedName>
    <definedName name="report_bva">#REF!</definedName>
    <definedName name="Reported_net_income" localSheetId="0">#REF!</definedName>
    <definedName name="Reported_net_income">#REF!</definedName>
    <definedName name="REPORTED_PRETAX_PROFIT" localSheetId="0">#REF!</definedName>
    <definedName name="REPORTED_PRETAX_PROFIT">#REF!</definedName>
    <definedName name="ReportedNetIncome" localSheetId="0">#REF!</definedName>
    <definedName name="ReportedNetIncome">#REF!</definedName>
    <definedName name="ReportedPretaxIncome" localSheetId="0">#REF!</definedName>
    <definedName name="ReportedPretaxIncome">#REF!</definedName>
    <definedName name="ReportedTaxes" localSheetId="0">#REF!</definedName>
    <definedName name="ReportedTaxes">#REF!</definedName>
    <definedName name="ReportGroup" hidden="1">0</definedName>
    <definedName name="ReportPage1" localSheetId="5" hidden="1">{"Annual_Income",#N/A,FALSE,"Report Page";"Balance_Cash_Flow",#N/A,FALSE,"Report Page";"Quarterly_Income",#N/A,FALSE,"Report Page"}</definedName>
    <definedName name="ReportPage1" localSheetId="0" hidden="1">{"Annual_Income",#N/A,FALSE,"Report Page";"Balance_Cash_Flow",#N/A,FALSE,"Report Page";"Quarterly_Income",#N/A,FALSE,"Report Page"}</definedName>
    <definedName name="ReportPage1" localSheetId="4" hidden="1">{"Annual_Income",#N/A,FALSE,"Report Page";"Balance_Cash_Flow",#N/A,FALSE,"Report Page";"Quarterly_Income",#N/A,FALSE,"Report Page"}</definedName>
    <definedName name="ReportPage1" hidden="1">{"Annual_Income",#N/A,FALSE,"Report Page";"Balance_Cash_Flow",#N/A,FALSE,"Report Page";"Quarterly_Income",#N/A,FALSE,"Report Page"}</definedName>
    <definedName name="reqdetails" localSheetId="0">#REF!</definedName>
    <definedName name="reqdetails">#REF!</definedName>
    <definedName name="Required_cash_percent" localSheetId="0">#REF!</definedName>
    <definedName name="Required_cash_percent">#REF!</definedName>
    <definedName name="RESET" localSheetId="0">#REF!</definedName>
    <definedName name="RESET">#REF!</definedName>
    <definedName name="resincome" localSheetId="0">#REF!</definedName>
    <definedName name="resincome">#REF!</definedName>
    <definedName name="RestatedSales_01" localSheetId="0">#REF!</definedName>
    <definedName name="RestatedSales_01">#REF!</definedName>
    <definedName name="Restricted_equity" localSheetId="0">#REF!</definedName>
    <definedName name="Restricted_equity">#REF!</definedName>
    <definedName name="Restructuring" localSheetId="0">#REF!</definedName>
    <definedName name="Restructuring">#REF!</definedName>
    <definedName name="Restructuring_charges" localSheetId="0">#REF!</definedName>
    <definedName name="Restructuring_charges">#REF!</definedName>
    <definedName name="Restructuring_charges_growth_fore" localSheetId="0">#REF!</definedName>
    <definedName name="Restructuring_charges_growth_fore">#REF!</definedName>
    <definedName name="resultado" localSheetId="0">#REF!</definedName>
    <definedName name="resultado">#REF!</definedName>
    <definedName name="resultado_neto" localSheetId="0">#REF!</definedName>
    <definedName name="resultado_neto">#REF!</definedName>
    <definedName name="Results" localSheetId="0">#REF!</definedName>
    <definedName name="Results">#REF!</definedName>
    <definedName name="retail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retail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retail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retail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RetainedEarnings" localSheetId="0">#REF!</definedName>
    <definedName name="RetainedEarnings">#REF!</definedName>
    <definedName name="retire" localSheetId="0">#REF!</definedName>
    <definedName name="retire">#REF!</definedName>
    <definedName name="rev_92" localSheetId="0">#REF!</definedName>
    <definedName name="rev_92">#REF!</definedName>
    <definedName name="rev_93" localSheetId="0">#REF!</definedName>
    <definedName name="rev_93">#REF!</definedName>
    <definedName name="rev_94" localSheetId="0">#REF!</definedName>
    <definedName name="rev_94">#REF!</definedName>
    <definedName name="rev_95" localSheetId="0">#REF!</definedName>
    <definedName name="rev_95">#REF!</definedName>
    <definedName name="Rev_adv" localSheetId="0">#REF!</definedName>
    <definedName name="Rev_adv">#REF!</definedName>
    <definedName name="rev_cat_1" localSheetId="0">#REF!</definedName>
    <definedName name="rev_cat_1">#REF!</definedName>
    <definedName name="rev_cat_1a" localSheetId="0">#REF!</definedName>
    <definedName name="rev_cat_1a">#REF!</definedName>
    <definedName name="rev_cat_1ai" localSheetId="0">#REF!</definedName>
    <definedName name="rev_cat_1ai">#REF!</definedName>
    <definedName name="rev_cat_1aii" localSheetId="0">#REF!</definedName>
    <definedName name="rev_cat_1aii">#REF!</definedName>
    <definedName name="rev_cat_1b" localSheetId="0">#REF!</definedName>
    <definedName name="rev_cat_1b">#REF!</definedName>
    <definedName name="rev_cat_1bi" localSheetId="0">#REF!</definedName>
    <definedName name="rev_cat_1bi">#REF!</definedName>
    <definedName name="rev_cat_1bii" localSheetId="0">#REF!</definedName>
    <definedName name="rev_cat_1bii">#REF!</definedName>
    <definedName name="rev_cat_2" localSheetId="0">#REF!</definedName>
    <definedName name="rev_cat_2">#REF!</definedName>
    <definedName name="rev_cat_2a" localSheetId="0">#REF!</definedName>
    <definedName name="rev_cat_2a">#REF!</definedName>
    <definedName name="rev_cat_2ai" localSheetId="0">#REF!</definedName>
    <definedName name="rev_cat_2ai">#REF!</definedName>
    <definedName name="rev_cat_2aii" localSheetId="0">#REF!</definedName>
    <definedName name="rev_cat_2aii">#REF!</definedName>
    <definedName name="rev_cat_2b" localSheetId="0">#REF!</definedName>
    <definedName name="rev_cat_2b">#REF!</definedName>
    <definedName name="rev_cat_2bi" localSheetId="0">#REF!</definedName>
    <definedName name="rev_cat_2bi">#REF!</definedName>
    <definedName name="rev_cat_2bii" localSheetId="0">#REF!</definedName>
    <definedName name="rev_cat_2bii">#REF!</definedName>
    <definedName name="rev_cat_2c" localSheetId="0">#REF!</definedName>
    <definedName name="rev_cat_2c">#REF!</definedName>
    <definedName name="rev_cat_2ci" localSheetId="0">#REF!</definedName>
    <definedName name="rev_cat_2ci">#REF!</definedName>
    <definedName name="rev_cat_2cii" localSheetId="0">#REF!</definedName>
    <definedName name="rev_cat_2cii">#REF!</definedName>
    <definedName name="rev_cat_3" localSheetId="0">#REF!</definedName>
    <definedName name="rev_cat_3">#REF!</definedName>
    <definedName name="rev_cat_3a" localSheetId="0">#REF!</definedName>
    <definedName name="rev_cat_3a">#REF!</definedName>
    <definedName name="rev_cat_3b" localSheetId="0">#REF!</definedName>
    <definedName name="rev_cat_3b">#REF!</definedName>
    <definedName name="rev_cat_3c" localSheetId="0">#REF!</definedName>
    <definedName name="rev_cat_3c">#REF!</definedName>
    <definedName name="rev_cat_3d" localSheetId="0">#REF!</definedName>
    <definedName name="rev_cat_3d">#REF!</definedName>
    <definedName name="rev_cat_3e" localSheetId="0">#REF!</definedName>
    <definedName name="rev_cat_3e">#REF!</definedName>
    <definedName name="Rev_cd" localSheetId="0">#REF!</definedName>
    <definedName name="Rev_cd">#REF!</definedName>
    <definedName name="Rev_others" localSheetId="0">#REF!</definedName>
    <definedName name="Rev_others">#REF!</definedName>
    <definedName name="Rev_subs" localSheetId="0">#REF!</definedName>
    <definedName name="Rev_subs">#REF!</definedName>
    <definedName name="Rev_tot" localSheetId="0">#REF!</definedName>
    <definedName name="Rev_tot">#REF!</definedName>
    <definedName name="rev00" localSheetId="0">#REF!</definedName>
    <definedName name="rev00">#REF!</definedName>
    <definedName name="Rev01_AACB" localSheetId="0">#REF!</definedName>
    <definedName name="Rev01_AACB">#REF!</definedName>
    <definedName name="Rev01_AEN" localSheetId="0">#REF!</definedName>
    <definedName name="Rev01_AEN">#REF!</definedName>
    <definedName name="Rev01_AOL" localSheetId="0">#REF!</definedName>
    <definedName name="Rev01_AOL">#REF!</definedName>
    <definedName name="Rev01_BBI" localSheetId="0">#REF!</definedName>
    <definedName name="Rev01_BBI">#REF!</definedName>
    <definedName name="Rev01_CRWN" localSheetId="0">#REF!</definedName>
    <definedName name="Rev01_CRWN">#REF!</definedName>
    <definedName name="Rev01_DIS" localSheetId="0">#REF!</definedName>
    <definedName name="Rev01_DIS">#REF!</definedName>
    <definedName name="Rev01_FOX" localSheetId="0">#REF!</definedName>
    <definedName name="Rev01_FOX">#REF!</definedName>
    <definedName name="Rev01_HLYW" localSheetId="0">#REF!</definedName>
    <definedName name="Rev01_HLYW">#REF!</definedName>
    <definedName name="Rev01_IMAX" localSheetId="0">#REF!</definedName>
    <definedName name="Rev01_IMAX">#REF!</definedName>
    <definedName name="Rev01_MGM" localSheetId="0">#REF!</definedName>
    <definedName name="Rev01_MGM">#REF!</definedName>
    <definedName name="Rev01_NWS" localSheetId="0">#REF!</definedName>
    <definedName name="Rev01_NWS">#REF!</definedName>
    <definedName name="Rev01_NWSA" localSheetId="0">#REF!</definedName>
    <definedName name="Rev01_NWSA">#REF!</definedName>
    <definedName name="Rev01_RMG" localSheetId="0">#REF!</definedName>
    <definedName name="Rev01_RMG">#REF!</definedName>
    <definedName name="Rev01_USAI" localSheetId="0">#REF!</definedName>
    <definedName name="Rev01_USAI">#REF!</definedName>
    <definedName name="Rev01_V" localSheetId="0">#REF!</definedName>
    <definedName name="Rev01_V">#REF!</definedName>
    <definedName name="Rev01_VIAB" localSheetId="0">#REF!</definedName>
    <definedName name="Rev01_VIAB">#REF!</definedName>
    <definedName name="rev3q00" localSheetId="0">#REF!</definedName>
    <definedName name="rev3q00">#REF!</definedName>
    <definedName name="Revenue" localSheetId="0">#REF!</definedName>
    <definedName name="Revenue">#REF!</definedName>
    <definedName name="Revenue_2" localSheetId="0">#REF!</definedName>
    <definedName name="Revenue_2">#REF!</definedName>
    <definedName name="Revenue_Trends" localSheetId="0">#REF!</definedName>
    <definedName name="Revenue_Trends">#REF!</definedName>
    <definedName name="RevenuePFQ2" localSheetId="0">#REF!</definedName>
    <definedName name="RevenuePFQ2">#REF!</definedName>
    <definedName name="Revenues" localSheetId="0">#REF!</definedName>
    <definedName name="Revenues">#REF!</definedName>
    <definedName name="RevenuesCable" localSheetId="0">#REF!</definedName>
    <definedName name="RevenuesCable">#REF!</definedName>
    <definedName name="RevenuesCellularEquipment">0</definedName>
    <definedName name="RevenuesCellularIntersegmentSales" localSheetId="0">#REF!</definedName>
    <definedName name="RevenuesCellularIntersegmentSales">#REF!</definedName>
    <definedName name="RevenuesCellularOther">0</definedName>
    <definedName name="RevenuesCellularService">0</definedName>
    <definedName name="RevenuesCellularTotal">0</definedName>
    <definedName name="RevenuesCommunications" localSheetId="0">#REF!</definedName>
    <definedName name="RevenuesCommunications">#REF!</definedName>
    <definedName name="RevenuesDirectory" localSheetId="0">#REF!</definedName>
    <definedName name="RevenuesDirectory">#REF!</definedName>
    <definedName name="RevenuesLocalService" localSheetId="0">#REF!</definedName>
    <definedName name="RevenuesLocalService">#REF!</definedName>
    <definedName name="RevenuesNetworkAccessInterstate" localSheetId="0">#REF!</definedName>
    <definedName name="RevenuesNetworkAccessInterstate">#REF!</definedName>
    <definedName name="RevenuesNetworkAccessIntrastate" localSheetId="0">#REF!</definedName>
    <definedName name="RevenuesNetworkAccessIntrastate">#REF!</definedName>
    <definedName name="RevenuesNetworkAccessTotal" localSheetId="0">#REF!</definedName>
    <definedName name="RevenuesNetworkAccessTotal">#REF!</definedName>
    <definedName name="RevenuesOther" localSheetId="0">#REF!+#REF!</definedName>
    <definedName name="RevenuesOther">#REF!+#REF!</definedName>
    <definedName name="RevenuesOtherServices" localSheetId="0">#REF!</definedName>
    <definedName name="RevenuesOtherServices">#REF!</definedName>
    <definedName name="RevenuesPagingEquipment">0</definedName>
    <definedName name="RevenuesPagingOther">0</definedName>
    <definedName name="RevenuesPagingService">0</definedName>
    <definedName name="RevenuesPagingTotal">0</definedName>
    <definedName name="RevenuesPFQ2" localSheetId="0">#REF!</definedName>
    <definedName name="RevenuesPFQ2">#REF!</definedName>
    <definedName name="RevenuesToll" localSheetId="0">#REF!</definedName>
    <definedName name="RevenuesToll">#REF!</definedName>
    <definedName name="RevenuesTotal" localSheetId="0">#REF!</definedName>
    <definedName name="RevenuesTotal">#REF!</definedName>
    <definedName name="RevenuesTotalCalc" localSheetId="0">#REF!</definedName>
    <definedName name="RevenuesTotalCalc">#REF!</definedName>
    <definedName name="RevenuesWireless" localSheetId="0">#REF!</definedName>
    <definedName name="RevenuesWireless">#REF!</definedName>
    <definedName name="RevenuesWirelessEquipment">0</definedName>
    <definedName name="RevenuesWirelessOther">0</definedName>
    <definedName name="RevenuesWirelessService">0</definedName>
    <definedName name="RevenuesWirelessTotal" localSheetId="0">#REF!</definedName>
    <definedName name="RevenuesWirelessTotal">#REF!</definedName>
    <definedName name="RevenuesWirelineLocal" localSheetId="0">#REF!+#REF!</definedName>
    <definedName name="RevenuesWirelineLocal">#REF!+#REF!</definedName>
    <definedName name="RevenuesWirelineLocalService" localSheetId="0">#REF!</definedName>
    <definedName name="RevenuesWirelineLocalService">#REF!</definedName>
    <definedName name="RevenuesWirelineLongDistance" localSheetId="0">#REF!</definedName>
    <definedName name="RevenuesWirelineLongDistance">#REF!</definedName>
    <definedName name="RevenuesWirelineNetworkAccessTotal" localSheetId="0">#REF!</definedName>
    <definedName name="RevenuesWirelineNetworkAccessTotal">#REF!</definedName>
    <definedName name="RevGrowth02_AACB" localSheetId="0">#REF!</definedName>
    <definedName name="RevGrowth02_AACB">#REF!</definedName>
    <definedName name="RevGrowth02_AEN" localSheetId="0">#REF!</definedName>
    <definedName name="RevGrowth02_AEN">#REF!</definedName>
    <definedName name="RevGrowth02_AOL" localSheetId="0">#REF!</definedName>
    <definedName name="RevGrowth02_AOL">#REF!</definedName>
    <definedName name="RevGrowth02_BBI" localSheetId="0">#REF!</definedName>
    <definedName name="RevGrowth02_BBI">#REF!</definedName>
    <definedName name="RevGrowth02_CRWN" localSheetId="0">#REF!</definedName>
    <definedName name="RevGrowth02_CRWN">#REF!</definedName>
    <definedName name="RevGrowth02_DIS" localSheetId="0">#REF!</definedName>
    <definedName name="RevGrowth02_DIS">#REF!</definedName>
    <definedName name="RevGrowth02_FOX" localSheetId="0">#REF!</definedName>
    <definedName name="RevGrowth02_FOX">#REF!</definedName>
    <definedName name="RevGrowth02_HLYW" localSheetId="0">#REF!</definedName>
    <definedName name="RevGrowth02_HLYW">#REF!</definedName>
    <definedName name="RevGrowth02_IMAX" localSheetId="0">#REF!</definedName>
    <definedName name="RevGrowth02_IMAX">#REF!</definedName>
    <definedName name="RevGrowth02_MGM" localSheetId="0">#REF!</definedName>
    <definedName name="RevGrowth02_MGM">#REF!</definedName>
    <definedName name="RevGrowth02_NWS" localSheetId="0">#REF!</definedName>
    <definedName name="RevGrowth02_NWS">#REF!</definedName>
    <definedName name="RevGrowth02_NWSA" localSheetId="0">#REF!</definedName>
    <definedName name="RevGrowth02_NWSA">#REF!</definedName>
    <definedName name="RevGrowth02_RMG" localSheetId="0">#REF!</definedName>
    <definedName name="RevGrowth02_RMG">#REF!</definedName>
    <definedName name="RevGrowth02_USAI" localSheetId="0">#REF!</definedName>
    <definedName name="RevGrowth02_USAI">#REF!</definedName>
    <definedName name="RevGrowth02_V" localSheetId="0">#REF!</definedName>
    <definedName name="RevGrowth02_V">#REF!</definedName>
    <definedName name="RevGrowth02_VIAB" localSheetId="0">#REF!</definedName>
    <definedName name="RevGrowth02_VIAB">#REF!</definedName>
    <definedName name="Revlon" localSheetId="5" hidden="1">{"ASCONGRP","COMPANIES",TRUE}</definedName>
    <definedName name="Revlon" localSheetId="0" hidden="1">{"ASCONGRP","COMPANIES",TRUE}</definedName>
    <definedName name="Revlon" localSheetId="4" hidden="1">{"ASCONGRP","COMPANIES",TRUE}</definedName>
    <definedName name="Revlon" hidden="1">{"ASCONGRP","COMPANIES",TRUE}</definedName>
    <definedName name="REVQ191" localSheetId="0">#REF!</definedName>
    <definedName name="REVQ191">#REF!</definedName>
    <definedName name="REVQ192" localSheetId="0">#REF!</definedName>
    <definedName name="REVQ192">#REF!</definedName>
    <definedName name="REVQ193" localSheetId="0">#REF!</definedName>
    <definedName name="REVQ193">#REF!</definedName>
    <definedName name="REVQ194" localSheetId="0">#REF!</definedName>
    <definedName name="REVQ194">#REF!</definedName>
    <definedName name="REVQ195" localSheetId="0">#REF!</definedName>
    <definedName name="REVQ195">#REF!</definedName>
    <definedName name="REVQ196" localSheetId="0">#REF!</definedName>
    <definedName name="REVQ196">#REF!</definedName>
    <definedName name="REVQ197" localSheetId="0">#REF!</definedName>
    <definedName name="REVQ197">#REF!</definedName>
    <definedName name="REVQ291" localSheetId="0">#REF!</definedName>
    <definedName name="REVQ291">#REF!</definedName>
    <definedName name="REVQ292" localSheetId="0">#REF!</definedName>
    <definedName name="REVQ292">#REF!</definedName>
    <definedName name="REVQ293" localSheetId="0">#REF!</definedName>
    <definedName name="REVQ293">#REF!</definedName>
    <definedName name="REVQ294" localSheetId="0">#REF!</definedName>
    <definedName name="REVQ294">#REF!</definedName>
    <definedName name="REVQ295" localSheetId="0">#REF!</definedName>
    <definedName name="REVQ295">#REF!</definedName>
    <definedName name="REVQ296" localSheetId="0">#REF!</definedName>
    <definedName name="REVQ296">#REF!</definedName>
    <definedName name="REVQ297" localSheetId="0">#REF!</definedName>
    <definedName name="REVQ297">#REF!</definedName>
    <definedName name="REVQ391" localSheetId="0">#REF!</definedName>
    <definedName name="REVQ391">#REF!</definedName>
    <definedName name="REVQ392" localSheetId="0">#REF!</definedName>
    <definedName name="REVQ392">#REF!</definedName>
    <definedName name="REVQ393" localSheetId="0">#REF!</definedName>
    <definedName name="REVQ393">#REF!</definedName>
    <definedName name="REVQ394" localSheetId="0">#REF!</definedName>
    <definedName name="REVQ394">#REF!</definedName>
    <definedName name="REVQ395" localSheetId="0">#REF!</definedName>
    <definedName name="REVQ395">#REF!</definedName>
    <definedName name="REVQ396" localSheetId="0">#REF!</definedName>
    <definedName name="REVQ396">#REF!</definedName>
    <definedName name="REVQ397" localSheetId="0">#REF!</definedName>
    <definedName name="REVQ397">#REF!</definedName>
    <definedName name="REVQ490" localSheetId="0">#REF!</definedName>
    <definedName name="REVQ490">#REF!</definedName>
    <definedName name="REVQ491" localSheetId="0">#REF!</definedName>
    <definedName name="REVQ491">#REF!</definedName>
    <definedName name="REVQ492" localSheetId="0">#REF!</definedName>
    <definedName name="REVQ492">#REF!</definedName>
    <definedName name="REVQ493" localSheetId="0">#REF!</definedName>
    <definedName name="REVQ493">#REF!</definedName>
    <definedName name="REVQ494" localSheetId="0">#REF!</definedName>
    <definedName name="REVQ494">#REF!</definedName>
    <definedName name="REVQ495" localSheetId="0">#REF!</definedName>
    <definedName name="REVQ495">#REF!</definedName>
    <definedName name="REVQ496" localSheetId="0">#REF!</definedName>
    <definedName name="REVQ496">#REF!</definedName>
    <definedName name="REVQ497" localSheetId="0">#REF!</definedName>
    <definedName name="REVQ497">#REF!</definedName>
    <definedName name="revs_2001" localSheetId="0">#REF!</definedName>
    <definedName name="revs_2001">#REF!</definedName>
    <definedName name="revs_cellular_total" localSheetId="0">#REF!</definedName>
    <definedName name="revs_cellular_total">#REF!</definedName>
    <definedName name="revs_internet" localSheetId="0">#REF!</definedName>
    <definedName name="revs_internet">#REF!</definedName>
    <definedName name="revs_other" localSheetId="0">#REF!</definedName>
    <definedName name="revs_other">#REF!</definedName>
    <definedName name="Revs94" localSheetId="0">#REF!</definedName>
    <definedName name="Revs94">#REF!</definedName>
    <definedName name="Revs95" localSheetId="0">#REF!</definedName>
    <definedName name="Revs95">#REF!</definedName>
    <definedName name="Revs96" localSheetId="0">#REF!</definedName>
    <definedName name="Revs96">#REF!</definedName>
    <definedName name="RFRATE" localSheetId="0">#REF!</definedName>
    <definedName name="RFRATE">#REF!</definedName>
    <definedName name="right_border" localSheetId="0">#REF!</definedName>
    <definedName name="right_border">#REF!</definedName>
    <definedName name="rlw" localSheetId="0">[0]!is1b,[0]!is1c,[0]!STATS2,[0]!STATS3</definedName>
    <definedName name="rlw">#REF!,#REF!,#REF!,#REF!</definedName>
    <definedName name="RMB" localSheetId="0">#REF!</definedName>
    <definedName name="RMB">#REF!</definedName>
    <definedName name="RnD_expense" localSheetId="0">#REF!</definedName>
    <definedName name="RnD_expense">#REF!</definedName>
    <definedName name="RnD_expense_fore" localSheetId="0">#REF!</definedName>
    <definedName name="RnD_expense_fore">#REF!</definedName>
    <definedName name="RnD_expense_growth_fore" localSheetId="0">#REF!</definedName>
    <definedName name="RnD_expense_growth_fore">#REF!</definedName>
    <definedName name="RnD_expenses_fore" localSheetId="0">#REF!</definedName>
    <definedName name="RnD_expenses_fore">#REF!</definedName>
    <definedName name="RNK_index" localSheetId="0">#REF!</definedName>
    <definedName name="RNK_index">#REF!</definedName>
    <definedName name="ROA" localSheetId="0">#REF!</definedName>
    <definedName name="ROA">#REF!</definedName>
    <definedName name="ROAA" localSheetId="0">#REF!</definedName>
    <definedName name="ROAA">#REF!</definedName>
    <definedName name="ROAE" localSheetId="0">#REF!</definedName>
    <definedName name="ROAE">#REF!</definedName>
    <definedName name="roae90" localSheetId="0">#REF!</definedName>
    <definedName name="roae90">#REF!</definedName>
    <definedName name="roae91" localSheetId="0">#REF!</definedName>
    <definedName name="roae91">#REF!</definedName>
    <definedName name="ROCE" localSheetId="0">#REF!</definedName>
    <definedName name="ROCE">#REF!</definedName>
    <definedName name="roce01" localSheetId="0">#REF!</definedName>
    <definedName name="roce01">#REF!</definedName>
    <definedName name="roce02" localSheetId="0">#REF!</definedName>
    <definedName name="roce02">#REF!</definedName>
    <definedName name="roce03" localSheetId="0">#REF!</definedName>
    <definedName name="roce03">#REF!</definedName>
    <definedName name="roce04" localSheetId="0">#REF!</definedName>
    <definedName name="roce04">#REF!</definedName>
    <definedName name="ROE" localSheetId="0">#REF!</definedName>
    <definedName name="ROE">#REF!</definedName>
    <definedName name="roe_five_year_est_average" localSheetId="0">#REF!</definedName>
    <definedName name="roe_five_year_est_average">#REF!</definedName>
    <definedName name="roe_normalised" localSheetId="0">#REF!</definedName>
    <definedName name="roe_normalised">#REF!</definedName>
    <definedName name="round">1</definedName>
    <definedName name="row" localSheetId="0">#REF!</definedName>
    <definedName name="row">#REF!</definedName>
    <definedName name="RoW_w" localSheetId="0">#REF!</definedName>
    <definedName name="RoW_w">#REF!</definedName>
    <definedName name="rowheight" localSheetId="0">#REF!</definedName>
    <definedName name="rowheight">#REF!</definedName>
    <definedName name="Royalties" localSheetId="0">#REF!</definedName>
    <definedName name="Royalties">#REF!</definedName>
    <definedName name="Royalty" localSheetId="0">#REF!</definedName>
    <definedName name="Royalty">#REF!</definedName>
    <definedName name="rr" localSheetId="0">#REF!</definedName>
    <definedName name="rr">#REF!</definedName>
    <definedName name="rrr" localSheetId="5" hidden="1">{#N/A,#N/A,FALSE,"Const";#N/A,#N/A,FALSE,"P&amp;L";#N/A,#N/A,FALSE,"Sale"}</definedName>
    <definedName name="rrr" localSheetId="0" hidden="1">{#N/A,#N/A,FALSE,"Const";#N/A,#N/A,FALSE,"P&amp;L";#N/A,#N/A,FALSE,"Sale"}</definedName>
    <definedName name="rrr" localSheetId="4" hidden="1">{#N/A,#N/A,FALSE,"Const";#N/A,#N/A,FALSE,"P&amp;L";#N/A,#N/A,FALSE,"Sale"}</definedName>
    <definedName name="rrr" hidden="1">{#N/A,#N/A,FALSE,"Const";#N/A,#N/A,FALSE,"P&amp;L";#N/A,#N/A,FALSE,"Sale"}</definedName>
    <definedName name="rrrevenue" localSheetId="0">#REF!</definedName>
    <definedName name="rrrevenue">#REF!</definedName>
    <definedName name="rs" localSheetId="0">#REF!</definedName>
    <definedName name="rs">#REF!</definedName>
    <definedName name="RSA" localSheetId="0">#REF!</definedName>
    <definedName name="RSA">#REF!</definedName>
    <definedName name="RUN" localSheetId="0">#REF!</definedName>
    <definedName name="RUN">#REF!</definedName>
    <definedName name="RUNTIME" localSheetId="0">#REF!</definedName>
    <definedName name="RUNTIME">#REF!</definedName>
    <definedName name="Rupee" localSheetId="0">#REF!</definedName>
    <definedName name="Rupee">#REF!</definedName>
    <definedName name="rw" localSheetId="5" hidden="1">{#N/A,#N/A,FALSE,"Const";#N/A,#N/A,FALSE,"P&amp;L";#N/A,#N/A,FALSE,"Sale"}</definedName>
    <definedName name="rw" localSheetId="0" hidden="1">{#N/A,#N/A,FALSE,"Const";#N/A,#N/A,FALSE,"P&amp;L";#N/A,#N/A,FALSE,"Sale"}</definedName>
    <definedName name="rw" localSheetId="4" hidden="1">{#N/A,#N/A,FALSE,"Const";#N/A,#N/A,FALSE,"P&amp;L";#N/A,#N/A,FALSE,"Sale"}</definedName>
    <definedName name="rw" hidden="1">{#N/A,#N/A,FALSE,"Const";#N/A,#N/A,FALSE,"P&amp;L";#N/A,#N/A,FALSE,"Sale"}</definedName>
    <definedName name="s" localSheetId="0" hidden="1">{#N/A,#N/A,FALSE,"Const";#N/A,#N/A,FALSE,"P&amp;L";#N/A,#N/A,FALSE,"Sale"}</definedName>
    <definedName name="S">#REF!</definedName>
    <definedName name="S_M" localSheetId="0">#REF!</definedName>
    <definedName name="S_M">#REF!</definedName>
    <definedName name="Sa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a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a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a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ale_Commission" localSheetId="0">#REF!</definedName>
    <definedName name="Sale_Commission">#REF!</definedName>
    <definedName name="Sales" localSheetId="0">#REF!</definedName>
    <definedName name="Sales">#REF!</definedName>
    <definedName name="Sales_00" localSheetId="0">#REF!</definedName>
    <definedName name="Sales_00">#REF!</definedName>
    <definedName name="Sales_01" localSheetId="0">#REF!</definedName>
    <definedName name="Sales_01">#REF!</definedName>
    <definedName name="Sales_02" localSheetId="0">#REF!</definedName>
    <definedName name="Sales_02">#REF!</definedName>
    <definedName name="Sales_03" localSheetId="0">#REF!</definedName>
    <definedName name="Sales_03">#REF!</definedName>
    <definedName name="Sales_04" localSheetId="0">#REF!</definedName>
    <definedName name="Sales_04">#REF!</definedName>
    <definedName name="Sales_05" localSheetId="0">#REF!</definedName>
    <definedName name="Sales_05">#REF!</definedName>
    <definedName name="Sales_06" localSheetId="0">#REF!</definedName>
    <definedName name="Sales_06">#REF!</definedName>
    <definedName name="Sales_07" localSheetId="0">#REF!</definedName>
    <definedName name="Sales_07">#REF!</definedName>
    <definedName name="Sales_08" localSheetId="0">#REF!</definedName>
    <definedName name="Sales_08">#REF!</definedName>
    <definedName name="sales_1997" localSheetId="0">#REF!</definedName>
    <definedName name="sales_1997">#REF!</definedName>
    <definedName name="sales_2001" localSheetId="0">#REF!</definedName>
    <definedName name="sales_2001">#REF!</definedName>
    <definedName name="sales_2002" localSheetId="0">#REF!</definedName>
    <definedName name="sales_2002">#REF!</definedName>
    <definedName name="sales_2003" localSheetId="0">#REF!</definedName>
    <definedName name="sales_2003">#REF!</definedName>
    <definedName name="sales_2004" localSheetId="0">#REF!</definedName>
    <definedName name="sales_2004">#REF!</definedName>
    <definedName name="Sales_92" localSheetId="0">#REF!</definedName>
    <definedName name="Sales_92">#REF!</definedName>
    <definedName name="Sales_93" localSheetId="0">#REF!</definedName>
    <definedName name="Sales_93">#REF!</definedName>
    <definedName name="Sales_94" localSheetId="0">#REF!</definedName>
    <definedName name="Sales_94">#REF!</definedName>
    <definedName name="Sales_95" localSheetId="0">#REF!</definedName>
    <definedName name="Sales_95">#REF!</definedName>
    <definedName name="Sales_96" localSheetId="0">#REF!</definedName>
    <definedName name="Sales_96">#REF!</definedName>
    <definedName name="Sales_97" localSheetId="0">#REF!</definedName>
    <definedName name="Sales_97">#REF!</definedName>
    <definedName name="Sales_98" localSheetId="0">#REF!</definedName>
    <definedName name="Sales_98">#REF!</definedName>
    <definedName name="Sales_99" localSheetId="0">#REF!</definedName>
    <definedName name="Sales_99">#REF!</definedName>
    <definedName name="Sales_Disc___Return" localSheetId="0">#REF!</definedName>
    <definedName name="Sales_Disc___Return">#REF!</definedName>
    <definedName name="sales_eu_01" localSheetId="0">#REF!</definedName>
    <definedName name="sales_eu_01">#REF!</definedName>
    <definedName name="sales_eu_02" localSheetId="0">#REF!</definedName>
    <definedName name="sales_eu_02">#REF!</definedName>
    <definedName name="sales_eu_03" localSheetId="0">#REF!</definedName>
    <definedName name="sales_eu_03">#REF!</definedName>
    <definedName name="sales_eu_04" localSheetId="0">#REF!</definedName>
    <definedName name="sales_eu_04">#REF!</definedName>
    <definedName name="sales_growth_1997" localSheetId="0">#REF!</definedName>
    <definedName name="sales_growth_1997">#REF!</definedName>
    <definedName name="sales_growth_97" localSheetId="0">#REF!</definedName>
    <definedName name="sales_growth_97">#REF!</definedName>
    <definedName name="Sales_growth_avg" localSheetId="0">#REF!</definedName>
    <definedName name="Sales_growth_avg">#REF!</definedName>
    <definedName name="Sales_To_Related_Party" localSheetId="0">#REF!</definedName>
    <definedName name="Sales_To_Related_Party">#REF!</definedName>
    <definedName name="sales01" localSheetId="0">#REF!</definedName>
    <definedName name="sales01">#REF!</definedName>
    <definedName name="sales02" localSheetId="0">#REF!</definedName>
    <definedName name="sales02">#REF!</definedName>
    <definedName name="sales03" localSheetId="0">#REF!</definedName>
    <definedName name="sales03">#REF!</definedName>
    <definedName name="sales04" localSheetId="0">#REF!</definedName>
    <definedName name="sales04">#REF!</definedName>
    <definedName name="SaleUnit" localSheetId="0" hidden="1">#REF!,#REF!,#REF!,#REF!,#REF!,#REF!,#REF!,#REF!</definedName>
    <definedName name="SaleUnit" hidden="1">#REF!,#REF!,#REF!,#REF!,#REF!,#REF!,#REF!,#REF!</definedName>
    <definedName name="SaleValue" localSheetId="0" hidden="1">#REF!,#REF!,#REF!,#REF!,#REF!,#REF!,#REF!,#REF!</definedName>
    <definedName name="SaleValue" hidden="1">#REF!,#REF!,#REF!,#REF!,#REF!,#REF!,#REF!,#REF!</definedName>
    <definedName name="save" localSheetId="0">#REF!</definedName>
    <definedName name="save">#REF!</definedName>
    <definedName name="scenario" localSheetId="5" hidden="1">{"Print Summary",#N/A,FALSE,"Bal_Graphs";"Print Summary",#N/A,FALSE,"DCF";"Print Summary",#N/A,FALSE,"Graphs";"Print Summary",#N/A,FALSE,"Summary"}</definedName>
    <definedName name="Scenario" localSheetId="0">#REF!</definedName>
    <definedName name="scenario" localSheetId="4" hidden="1">{"Print Summary",#N/A,FALSE,"Bal_Graphs";"Print Summary",#N/A,FALSE,"DCF";"Print Summary",#N/A,FALSE,"Graphs";"Print Summary",#N/A,FALSE,"Summary"}</definedName>
    <definedName name="scenario" hidden="1">{"Print Summary",#N/A,FALSE,"Bal_Graphs";"Print Summary",#N/A,FALSE,"DCF";"Print Summary",#N/A,FALSE,"Graphs";"Print Summary",#N/A,FALSE,"Summary"}</definedName>
    <definedName name="ScenarioList" localSheetId="0">#REF!</definedName>
    <definedName name="ScenarioList">#REF!</definedName>
    <definedName name="SCFMARG00" localSheetId="0">#REF!</definedName>
    <definedName name="SCFMARG00">#REF!</definedName>
    <definedName name="SCFMARG01" localSheetId="0">#REF!</definedName>
    <definedName name="SCFMARG01">#REF!</definedName>
    <definedName name="SCFMARG02" localSheetId="0">#REF!</definedName>
    <definedName name="SCFMARG02">#REF!</definedName>
    <definedName name="SCFMARG03" localSheetId="0">#REF!</definedName>
    <definedName name="SCFMARG03">#REF!</definedName>
    <definedName name="SCFMARG98" localSheetId="0">#REF!</definedName>
    <definedName name="SCFMARG98">#REF!</definedName>
    <definedName name="SCFMARG99" localSheetId="0">#REF!</definedName>
    <definedName name="SCFMARG99">#REF!</definedName>
    <definedName name="Schedule" localSheetId="0">#REF!</definedName>
    <definedName name="Schedule">#REF!</definedName>
    <definedName name="Schematic" localSheetId="0">#REF!</definedName>
    <definedName name="Schematic">#REF!</definedName>
    <definedName name="Schroder_exceptionals" localSheetId="0">#REF!</definedName>
    <definedName name="Schroder_exceptionals">#REF!</definedName>
    <definedName name="Score_ED" localSheetId="0">#REF!</definedName>
    <definedName name="Score_ED">#REF!</definedName>
    <definedName name="Score_PD" localSheetId="0">#REF!</definedName>
    <definedName name="Score_PD">#REF!</definedName>
    <definedName name="Score_Val" localSheetId="0">#REF!</definedName>
    <definedName name="Score_Val">#REF!</definedName>
    <definedName name="sd" localSheetId="5" hidden="1">{#N/A,#N/A,FALSE,"IPO";#N/A,#N/A,FALSE,"DCF";#N/A,#N/A,FALSE,"LBO";#N/A,#N/A,FALSE,"MULT_VAL";#N/A,#N/A,FALSE,"Status Quo";#N/A,#N/A,FALSE,"Recap"}</definedName>
    <definedName name="sd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d" localSheetId="4" hidden="1">{#N/A,#N/A,FALSE,"IPO";#N/A,#N/A,FALSE,"DCF";#N/A,#N/A,FALSE,"LBO";#N/A,#N/A,FALSE,"MULT_VAL";#N/A,#N/A,FALSE,"Status Quo";#N/A,#N/A,FALSE,"Recap"}</definedName>
    <definedName name="sd" hidden="1">{#N/A,#N/A,FALSE,"IPO";#N/A,#N/A,FALSE,"DCF";#N/A,#N/A,FALSE,"LBO";#N/A,#N/A,FALSE,"MULT_VAL";#N/A,#N/A,FALSE,"Status Quo";#N/A,#N/A,FALSE,"Recap"}</definedName>
    <definedName name="SDAFADF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AFADF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dfg" localSheetId="5" hidden="1">{"Full annual",#N/A,FALSE,"Master"}</definedName>
    <definedName name="sdfg" localSheetId="0" hidden="1">{"Full annual",#N/A,FALSE,"Master"}</definedName>
    <definedName name="sdfg" localSheetId="4" hidden="1">{"Full annual",#N/A,FALSE,"Master"}</definedName>
    <definedName name="sdfg" hidden="1">{"Full annual",#N/A,FALSE,"Master"}</definedName>
    <definedName name="sds" hidden="1">#N/A</definedName>
    <definedName name="se" localSheetId="0" hidden="1">{#N/A,#N/A,FALSE,"Const";#N/A,#N/A,FALSE,"P&amp;L";#N/A,#N/A,FALSE,"Sale"}</definedName>
    <definedName name="SE">#REF!</definedName>
    <definedName name="SE4q93" localSheetId="0">#REF!</definedName>
    <definedName name="SE4q93">#REF!</definedName>
    <definedName name="SE4q94" localSheetId="0">#REF!</definedName>
    <definedName name="SE4q94">#REF!</definedName>
    <definedName name="sec_mkt_cap" localSheetId="0">#REF!</definedName>
    <definedName name="sec_mkt_cap">#REF!</definedName>
    <definedName name="sect_1_label" localSheetId="0">#REF!</definedName>
    <definedName name="sect_1_label">#REF!</definedName>
    <definedName name="sect_2_label" localSheetId="0">#REF!</definedName>
    <definedName name="sect_2_label">#REF!</definedName>
    <definedName name="sect_3_label" localSheetId="0">#REF!</definedName>
    <definedName name="sect_3_label">#REF!</definedName>
    <definedName name="sect_4_label" localSheetId="0">#REF!</definedName>
    <definedName name="sect_4_label">#REF!</definedName>
    <definedName name="sect_5_label" localSheetId="0">#REF!</definedName>
    <definedName name="sect_5_label">#REF!</definedName>
    <definedName name="Sector" localSheetId="0">#REF!</definedName>
    <definedName name="Sector">#REF!</definedName>
    <definedName name="Sector_index" localSheetId="0">#REF!</definedName>
    <definedName name="Sector_index">#REF!</definedName>
    <definedName name="security_id" localSheetId="0">#REF!</definedName>
    <definedName name="security_id">#REF!</definedName>
    <definedName name="Segment1_income" localSheetId="0">#REF!</definedName>
    <definedName name="Segment1_income">#REF!</definedName>
    <definedName name="Segment1_income_DCF" localSheetId="0">#REF!</definedName>
    <definedName name="Segment1_income_DCF">#REF!</definedName>
    <definedName name="Segment1_income_fore" localSheetId="0">#REF!</definedName>
    <definedName name="Segment1_income_fore">#REF!</definedName>
    <definedName name="Segment1_income_growth_fore" localSheetId="0">#REF!</definedName>
    <definedName name="Segment1_income_growth_fore">#REF!</definedName>
    <definedName name="Segment2_income" localSheetId="0">#REF!</definedName>
    <definedName name="Segment2_income">#REF!</definedName>
    <definedName name="Segment2_income_DCF" localSheetId="0">#REF!</definedName>
    <definedName name="Segment2_income_DCF">#REF!</definedName>
    <definedName name="Segment2_income_fore" localSheetId="0">#REF!</definedName>
    <definedName name="Segment2_income_fore">#REF!</definedName>
    <definedName name="Segment2_income_growth_fore" localSheetId="0">#REF!</definedName>
    <definedName name="Segment2_income_growth_fore">#REF!</definedName>
    <definedName name="select_dps_to_use" localSheetId="0">#REF!</definedName>
    <definedName name="select_dps_to_use">#REF!</definedName>
    <definedName name="select_mkt_cap_to_use" localSheetId="0">#REF!</definedName>
    <definedName name="select_mkt_cap_to_use">#REF!</definedName>
    <definedName name="select_tot_fd_shares_to_use" localSheetId="0">#REF!</definedName>
    <definedName name="select_tot_fd_shares_to_use">#REF!</definedName>
    <definedName name="select_tot_ud_shares_to_use" localSheetId="0">#REF!</definedName>
    <definedName name="select_tot_ud_shares_to_use">#REF!</definedName>
    <definedName name="seller" localSheetId="0">#REF!</definedName>
    <definedName name="seller">#REF!</definedName>
    <definedName name="Semi_Goods_Purch" localSheetId="0">#REF!</definedName>
    <definedName name="Semi_Goods_Purch">#REF!</definedName>
    <definedName name="SendVersion" localSheetId="0">#REF!</definedName>
    <definedName name="SendVersion">#REF!</definedName>
    <definedName name="SeniorRating" localSheetId="0">#REF!</definedName>
    <definedName name="SeniorRating">#REF!</definedName>
    <definedName name="sens" localSheetId="0">#REF!</definedName>
    <definedName name="sens">#REF!</definedName>
    <definedName name="Sensibilidades" localSheetId="0">#REF!</definedName>
    <definedName name="Sensibilidades">#REF!</definedName>
    <definedName name="Ser_Price" localSheetId="0">#REF!</definedName>
    <definedName name="Ser_Price">#REF!</definedName>
    <definedName name="sesn" localSheetId="0">#REF!</definedName>
    <definedName name="sesn">#REF!</definedName>
    <definedName name="set_dpsg" localSheetId="0">#REF!</definedName>
    <definedName name="set_dpsg">#REF!</definedName>
    <definedName name="set_epsg" localSheetId="0">#REF!</definedName>
    <definedName name="set_epsg">#REF!</definedName>
    <definedName name="Setup" localSheetId="0">#REF!</definedName>
    <definedName name="Setup">#REF!</definedName>
    <definedName name="SetupPDB">#N/A</definedName>
    <definedName name="SEV_NonE00" localSheetId="0">#REF!</definedName>
    <definedName name="SEV_NonE00">#REF!</definedName>
    <definedName name="seven" localSheetId="0">#REF!,#REF!,#REF!,#REF!,#REF!,#REF!,#REF!,#REF!,#REF!,#REF!,#REF!,#REF!,#REF!,#REF!,#REF!,#REF!,#REF!</definedName>
    <definedName name="seven">#REF!,#REF!,#REF!,#REF!,#REF!,#REF!,#REF!,#REF!,#REF!,#REF!,#REF!,#REF!,#REF!,#REF!,#REF!,#REF!,#REF!</definedName>
    <definedName name="SEXP00" localSheetId="0">#REF!</definedName>
    <definedName name="SEXP00">#REF!</definedName>
    <definedName name="SEXP00PF" localSheetId="0">#REF!</definedName>
    <definedName name="SEXP00PF">#REF!</definedName>
    <definedName name="SEXP01" localSheetId="0">#REF!</definedName>
    <definedName name="SEXP01">#REF!</definedName>
    <definedName name="SEXP02" localSheetId="0">#REF!</definedName>
    <definedName name="SEXP02">#REF!</definedName>
    <definedName name="SEXP03" localSheetId="0">#REF!</definedName>
    <definedName name="SEXP03">#REF!</definedName>
    <definedName name="SEXP98" localSheetId="0">#REF!</definedName>
    <definedName name="SEXP98">#REF!</definedName>
    <definedName name="SEXP99" localSheetId="0">#REF!</definedName>
    <definedName name="SEXP99">#REF!</definedName>
    <definedName name="sFormat" localSheetId="0">#REF!</definedName>
    <definedName name="sFormat">#REF!</definedName>
    <definedName name="sFreq" localSheetId="0">#REF!</definedName>
    <definedName name="sFreq">#REF!</definedName>
    <definedName name="SGA" localSheetId="0">#REF!</definedName>
    <definedName name="SGA">#REF!</definedName>
    <definedName name="SGA_fore" localSheetId="0">#REF!</definedName>
    <definedName name="SGA_fore">#REF!</definedName>
    <definedName name="SGA_growth" localSheetId="0">#REF!</definedName>
    <definedName name="SGA_growth">#REF!</definedName>
    <definedName name="SGA_growth_avg" localSheetId="0">#REF!</definedName>
    <definedName name="SGA_growth_avg">#REF!</definedName>
    <definedName name="SGA_growth_fore" localSheetId="0">#REF!</definedName>
    <definedName name="SGA_growth_fore">#REF!</definedName>
    <definedName name="SGA_margin_fore" localSheetId="0">#REF!</definedName>
    <definedName name="SGA_margin_fore">#REF!</definedName>
    <definedName name="SGandA" localSheetId="0">#REF!</definedName>
    <definedName name="SGandA">#REF!</definedName>
    <definedName name="sgdnew" localSheetId="0">#REF!</definedName>
    <definedName name="sgdnew">#REF!</definedName>
    <definedName name="sgdold" localSheetId="0">#REF!</definedName>
    <definedName name="sgdold">#REF!</definedName>
    <definedName name="SHAO01" localSheetId="0">#REF!</definedName>
    <definedName name="SHAO01">#REF!</definedName>
    <definedName name="SHAO86" localSheetId="0">#REF!</definedName>
    <definedName name="SHAO86">#REF!</definedName>
    <definedName name="SHAO87" localSheetId="0">#REF!</definedName>
    <definedName name="SHAO87">#REF!</definedName>
    <definedName name="SHAO88" localSheetId="0">#REF!</definedName>
    <definedName name="SHAO88">#REF!</definedName>
    <definedName name="SHAO89" localSheetId="0">#REF!</definedName>
    <definedName name="SHAO89">#REF!</definedName>
    <definedName name="SHAO90" localSheetId="0">#REF!</definedName>
    <definedName name="SHAO90">#REF!</definedName>
    <definedName name="SHAO91" localSheetId="0">#REF!</definedName>
    <definedName name="SHAO91">#REF!</definedName>
    <definedName name="SHAO92" localSheetId="0">#REF!</definedName>
    <definedName name="SHAO92">#REF!</definedName>
    <definedName name="SHAO93" localSheetId="0">#REF!</definedName>
    <definedName name="SHAO93">#REF!</definedName>
    <definedName name="SHAO94" localSheetId="0">#REF!</definedName>
    <definedName name="SHAO94">#REF!</definedName>
    <definedName name="SHAO95" localSheetId="0">#REF!</definedName>
    <definedName name="SHAO95">#REF!</definedName>
    <definedName name="SHAP00" localSheetId="0">#REF!</definedName>
    <definedName name="SHAP00">#REF!</definedName>
    <definedName name="SHAP01" localSheetId="0">#REF!</definedName>
    <definedName name="SHAP01">#REF!</definedName>
    <definedName name="SHAP86" localSheetId="0">#REF!</definedName>
    <definedName name="SHAP86">#REF!</definedName>
    <definedName name="SHAP87" localSheetId="0">#REF!</definedName>
    <definedName name="SHAP87">#REF!</definedName>
    <definedName name="SHAP88" localSheetId="0">#REF!</definedName>
    <definedName name="SHAP88">#REF!</definedName>
    <definedName name="SHAP89" localSheetId="0">#REF!</definedName>
    <definedName name="SHAP89">#REF!</definedName>
    <definedName name="SHAP90" localSheetId="0">#REF!</definedName>
    <definedName name="SHAP90">#REF!</definedName>
    <definedName name="SHAP91" localSheetId="0">#REF!</definedName>
    <definedName name="SHAP91">#REF!</definedName>
    <definedName name="SHAP92" localSheetId="0">#REF!</definedName>
    <definedName name="SHAP92">#REF!</definedName>
    <definedName name="SHAP93" localSheetId="0">#REF!</definedName>
    <definedName name="SHAP93">#REF!</definedName>
    <definedName name="SHAP94" localSheetId="0">#REF!</definedName>
    <definedName name="SHAP94">#REF!</definedName>
    <definedName name="SHAP95" localSheetId="0">#REF!</definedName>
    <definedName name="SHAP95">#REF!</definedName>
    <definedName name="SHAP96" localSheetId="0">#REF!</definedName>
    <definedName name="SHAP96">#REF!</definedName>
    <definedName name="SHAP97" localSheetId="0">#REF!</definedName>
    <definedName name="SHAP97">#REF!</definedName>
    <definedName name="SHAP98" localSheetId="0">#REF!</definedName>
    <definedName name="SHAP98">#REF!</definedName>
    <definedName name="SHAP99" localSheetId="0">#REF!</definedName>
    <definedName name="SHAP99">#REF!</definedName>
    <definedName name="Share_Data" localSheetId="0">#REF!</definedName>
    <definedName name="Share_Data">#REF!</definedName>
    <definedName name="SHARES" localSheetId="0">#REF!</definedName>
    <definedName name="SHARES">#REF!</definedName>
    <definedName name="shares_01" localSheetId="0">#REF!</definedName>
    <definedName name="shares_01">#REF!</definedName>
    <definedName name="shares_02" localSheetId="0">#REF!</definedName>
    <definedName name="shares_02">#REF!</definedName>
    <definedName name="shares_03" localSheetId="0">#REF!</definedName>
    <definedName name="shares_03">#REF!</definedName>
    <definedName name="shares_04" localSheetId="0">#REF!</definedName>
    <definedName name="shares_04">#REF!</definedName>
    <definedName name="shares_avg" localSheetId="0">#REF!</definedName>
    <definedName name="shares_avg">#REF!</definedName>
    <definedName name="Shares_DCF" localSheetId="0">#REF!</definedName>
    <definedName name="Shares_DCF">#REF!</definedName>
    <definedName name="shares_fd_actual" localSheetId="0">#REF!</definedName>
    <definedName name="shares_fd_actual">#REF!</definedName>
    <definedName name="shares_fd_mkt" localSheetId="0">#REF!</definedName>
    <definedName name="shares_fd_mkt">#REF!</definedName>
    <definedName name="shares_fd_over" localSheetId="0">#REF!</definedName>
    <definedName name="shares_fd_over">#REF!</definedName>
    <definedName name="shares_fd_use_over" localSheetId="0">#REF!</definedName>
    <definedName name="shares_fd_use_over">#REF!</definedName>
    <definedName name="Shares_fore" localSheetId="0">#REF!</definedName>
    <definedName name="Shares_fore">#REF!</definedName>
    <definedName name="Shares_growth" localSheetId="0">#REF!</definedName>
    <definedName name="Shares_growth">#REF!</definedName>
    <definedName name="Shares_growth_fore" localSheetId="0">#REF!</definedName>
    <definedName name="Shares_growth_fore">#REF!</definedName>
    <definedName name="shares_not_floating" localSheetId="0">#REF!</definedName>
    <definedName name="shares_not_floating">#REF!</definedName>
    <definedName name="shares_plc_00" localSheetId="0">#REF!</definedName>
    <definedName name="shares_plc_00">#REF!</definedName>
    <definedName name="shares_qtr" localSheetId="0">#REF!</definedName>
    <definedName name="shares_qtr">#REF!</definedName>
    <definedName name="Shares_repurchase_liability" localSheetId="0">#REF!</definedName>
    <definedName name="Shares_repurchase_liability">#REF!</definedName>
    <definedName name="shares_ud_actual" localSheetId="0">#REF!</definedName>
    <definedName name="shares_ud_actual">#REF!</definedName>
    <definedName name="shares_ud_mkt" localSheetId="0">#REF!</definedName>
    <definedName name="shares_ud_mkt">#REF!</definedName>
    <definedName name="shares_ud_over" localSheetId="0">#REF!</definedName>
    <definedName name="shares_ud_over">#REF!</definedName>
    <definedName name="shares_ud_use_over" localSheetId="0">#REF!</definedName>
    <definedName name="shares_ud_use_over">#REF!</definedName>
    <definedName name="sharesav00" localSheetId="0">#REF!</definedName>
    <definedName name="sharesav00">#REF!</definedName>
    <definedName name="sharesav01" localSheetId="0">#REF!</definedName>
    <definedName name="sharesav01">#REF!</definedName>
    <definedName name="sharesav99" localSheetId="0">#REF!</definedName>
    <definedName name="sharesav99">#REF!</definedName>
    <definedName name="SharesAverage" localSheetId="0">#REF!</definedName>
    <definedName name="SharesAverage">#REF!</definedName>
    <definedName name="SharesChanged" localSheetId="0">#REF!</definedName>
    <definedName name="SharesChanged">#REF!</definedName>
    <definedName name="SharesConvertibleSecurities">0</definedName>
    <definedName name="Sharesfd" localSheetId="0">#REF!</definedName>
    <definedName name="Sharesfd">#REF!</definedName>
    <definedName name="SharesFullyDiluted">0</definedName>
    <definedName name="SharesHeld" localSheetId="0">#REF!</definedName>
    <definedName name="SharesHeld">#REF!</definedName>
    <definedName name="SharesOptions">0</definedName>
    <definedName name="SharesOut2001MGM" localSheetId="0">#REF!</definedName>
    <definedName name="SharesOut2001MGM">#REF!</definedName>
    <definedName name="SharesOut2002_AACB" localSheetId="0">#REF!</definedName>
    <definedName name="SharesOut2002_AACB">#REF!</definedName>
    <definedName name="SharesOut2003_AACB" localSheetId="0">#REF!</definedName>
    <definedName name="SharesOut2003_AACB">#REF!</definedName>
    <definedName name="SharesOutstanding" localSheetId="0">#REF!</definedName>
    <definedName name="SharesOutstanding">#REF!</definedName>
    <definedName name="SharesOutstandingLatest" localSheetId="0">#REF!</definedName>
    <definedName name="SharesOutstandingLatest">#REF!</definedName>
    <definedName name="SharesOutstandingLatestDate" localSheetId="0">#REF!</definedName>
    <definedName name="SharesOutstandingLatestDate">#REF!</definedName>
    <definedName name="SharesOutstandingOther">0</definedName>
    <definedName name="SharesOutstandingSenior">0</definedName>
    <definedName name="SharesOutstandingSubordinate">0</definedName>
    <definedName name="SharesPrimary">0</definedName>
    <definedName name="SharesWarrants">0</definedName>
    <definedName name="shareswtd" localSheetId="0">#REF!</definedName>
    <definedName name="shareswtd">#REF!</definedName>
    <definedName name="SHAS00" localSheetId="0">#REF!</definedName>
    <definedName name="SHAS00">#REF!</definedName>
    <definedName name="SHAS01" localSheetId="0">#REF!</definedName>
    <definedName name="SHAS01">#REF!</definedName>
    <definedName name="SHAS86" localSheetId="0">#REF!</definedName>
    <definedName name="SHAS86">#REF!</definedName>
    <definedName name="SHAS87" localSheetId="0">#REF!</definedName>
    <definedName name="SHAS87">#REF!</definedName>
    <definedName name="SHAS88" localSheetId="0">#REF!</definedName>
    <definedName name="SHAS88">#REF!</definedName>
    <definedName name="SHAS89" localSheetId="0">#REF!</definedName>
    <definedName name="SHAS89">#REF!</definedName>
    <definedName name="SHAS90" localSheetId="0">#REF!</definedName>
    <definedName name="SHAS90">#REF!</definedName>
    <definedName name="SHAS91" localSheetId="0">#REF!</definedName>
    <definedName name="SHAS91">#REF!</definedName>
    <definedName name="SHAS92" localSheetId="0">#REF!</definedName>
    <definedName name="SHAS92">#REF!</definedName>
    <definedName name="SHAS93" localSheetId="0">#REF!</definedName>
    <definedName name="SHAS93">#REF!</definedName>
    <definedName name="SHAS94" localSheetId="0">#REF!</definedName>
    <definedName name="SHAS94">#REF!</definedName>
    <definedName name="SHAS95" localSheetId="0">#REF!</definedName>
    <definedName name="SHAS95">#REF!</definedName>
    <definedName name="SHAS96" localSheetId="0">#REF!</definedName>
    <definedName name="SHAS96">#REF!</definedName>
    <definedName name="SHAS97" localSheetId="0">#REF!</definedName>
    <definedName name="SHAS97">#REF!</definedName>
    <definedName name="SHAS98" localSheetId="0">#REF!</definedName>
    <definedName name="SHAS98">#REF!</definedName>
    <definedName name="SHAS99" localSheetId="0">#REF!</definedName>
    <definedName name="SHAS99">#REF!</definedName>
    <definedName name="SHDATE" localSheetId="0">#REF!</definedName>
    <definedName name="SHDATE">#REF!</definedName>
    <definedName name="sheq" localSheetId="0">#REF!</definedName>
    <definedName name="sheq">#REF!</definedName>
    <definedName name="SholdersEquity" localSheetId="0">#REF!</definedName>
    <definedName name="SholdersEquity">#REF!</definedName>
    <definedName name="Short_Flow_Data" localSheetId="0">#REF!</definedName>
    <definedName name="Short_Flow_Data">#REF!</definedName>
    <definedName name="Short_term_debt" localSheetId="0">#REF!</definedName>
    <definedName name="Short_term_debt">#REF!</definedName>
    <definedName name="ShowDetails" localSheetId="0">#REF!</definedName>
    <definedName name="ShowDetails">#REF!</definedName>
    <definedName name="SHRFULL" localSheetId="0">#REF!</definedName>
    <definedName name="SHRFULL">#REF!</definedName>
    <definedName name="shshryhasyhj" hidden="1">#N/A</definedName>
    <definedName name="shss" hidden="1">#N/A</definedName>
    <definedName name="SICcode" localSheetId="0">#REF!</definedName>
    <definedName name="SICcode">#REF!</definedName>
    <definedName name="singmscifxfactor" localSheetId="0">#REF!</definedName>
    <definedName name="singmscifxfactor">#REF!</definedName>
    <definedName name="singmscinew" localSheetId="0">#REF!</definedName>
    <definedName name="singmscinew">#REF!</definedName>
    <definedName name="singmsciold" localSheetId="0">#REF!</definedName>
    <definedName name="singmsciold">#REF!</definedName>
    <definedName name="SIVP98" localSheetId="0">#REF!</definedName>
    <definedName name="SIVP98">#REF!</definedName>
    <definedName name="SIX" localSheetId="0">#REF!</definedName>
    <definedName name="SIX">#REF!</definedName>
    <definedName name="siyuan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iyuan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iyuan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iyua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SKYLAT_NonE00" localSheetId="0">#REF!</definedName>
    <definedName name="SKYLAT_NonE00">#REF!</definedName>
    <definedName name="sls1q00" localSheetId="0">#REF!</definedName>
    <definedName name="sls1q00">#REF!</definedName>
    <definedName name="sls1q01" localSheetId="0">#REF!</definedName>
    <definedName name="sls1q01">#REF!</definedName>
    <definedName name="sls1q02" localSheetId="0">#REF!</definedName>
    <definedName name="sls1q02">#REF!</definedName>
    <definedName name="sls1q96" localSheetId="0">#REF!</definedName>
    <definedName name="sls1q96">#REF!</definedName>
    <definedName name="sls1q97" localSheetId="0">#REF!</definedName>
    <definedName name="sls1q97">#REF!</definedName>
    <definedName name="sls1q98" localSheetId="0">#REF!</definedName>
    <definedName name="sls1q98">#REF!</definedName>
    <definedName name="sls1q99" localSheetId="0">#REF!</definedName>
    <definedName name="sls1q99">#REF!</definedName>
    <definedName name="sls2q00" localSheetId="0">#REF!</definedName>
    <definedName name="sls2q00">#REF!</definedName>
    <definedName name="sls2q01" localSheetId="0">#REF!</definedName>
    <definedName name="sls2q01">#REF!</definedName>
    <definedName name="sls2q96" localSheetId="0">#REF!</definedName>
    <definedName name="sls2q96">#REF!</definedName>
    <definedName name="sls2q97" localSheetId="0">#REF!</definedName>
    <definedName name="sls2q97">#REF!</definedName>
    <definedName name="sls2q98" localSheetId="0">#REF!</definedName>
    <definedName name="sls2q98">#REF!</definedName>
    <definedName name="sls2q99" localSheetId="0">#REF!</definedName>
    <definedName name="sls2q99">#REF!</definedName>
    <definedName name="sls3q00" localSheetId="0">#REF!</definedName>
    <definedName name="sls3q00">#REF!</definedName>
    <definedName name="sls3q01" localSheetId="0">#REF!</definedName>
    <definedName name="sls3q01">#REF!</definedName>
    <definedName name="sls3q96" localSheetId="0">#REF!</definedName>
    <definedName name="sls3q96">#REF!</definedName>
    <definedName name="sls3q97" localSheetId="0">#REF!</definedName>
    <definedName name="sls3q97">#REF!</definedName>
    <definedName name="sls3q98" localSheetId="0">#REF!</definedName>
    <definedName name="sls3q98">#REF!</definedName>
    <definedName name="sls3q99" localSheetId="0">#REF!</definedName>
    <definedName name="sls3q99">#REF!</definedName>
    <definedName name="sls4q00" localSheetId="0">#REF!</definedName>
    <definedName name="sls4q00">#REF!</definedName>
    <definedName name="sls4q01" localSheetId="0">#REF!</definedName>
    <definedName name="sls4q01">#REF!</definedName>
    <definedName name="sls4q96" localSheetId="0">#REF!</definedName>
    <definedName name="sls4q96">#REF!</definedName>
    <definedName name="sls4q97" localSheetId="0">#REF!</definedName>
    <definedName name="sls4q97">#REF!</definedName>
    <definedName name="sls4q98" localSheetId="0">#REF!</definedName>
    <definedName name="sls4q98">#REF!</definedName>
    <definedName name="sls4q99" localSheetId="0">#REF!</definedName>
    <definedName name="sls4q99">#REF!</definedName>
    <definedName name="slsfy00" localSheetId="0">#REF!</definedName>
    <definedName name="slsfy00">#REF!</definedName>
    <definedName name="slsfy01" localSheetId="0">#REF!</definedName>
    <definedName name="slsfy01">#REF!</definedName>
    <definedName name="slsfy98" localSheetId="0">#REF!</definedName>
    <definedName name="slsfy98">#REF!</definedName>
    <definedName name="slsfy99" localSheetId="0">#REF!</definedName>
    <definedName name="slsfy99">#REF!</definedName>
    <definedName name="SMART_EARN" localSheetId="0">#REF!</definedName>
    <definedName name="SMART_EARN">#REF!</definedName>
    <definedName name="SMS_lic" localSheetId="0">#REF!</definedName>
    <definedName name="SMS_lic">#REF!</definedName>
    <definedName name="Snapshot" localSheetId="0">#REF!</definedName>
    <definedName name="Snapshot">#REF!</definedName>
    <definedName name="SO" localSheetId="0">#REF!</definedName>
    <definedName name="SO">#REF!</definedName>
    <definedName name="SOEXP00" localSheetId="0">#REF!</definedName>
    <definedName name="SOEXP00">#REF!</definedName>
    <definedName name="SOEXP00PF" localSheetId="0">#REF!</definedName>
    <definedName name="SOEXP00PF">#REF!</definedName>
    <definedName name="SOEXP01" localSheetId="0">#REF!</definedName>
    <definedName name="SOEXP01">#REF!</definedName>
    <definedName name="SOEXP98" localSheetId="0">#REF!</definedName>
    <definedName name="SOEXP98">#REF!</definedName>
    <definedName name="SOEXP99" localSheetId="0">#REF!</definedName>
    <definedName name="SOEXP99">#REF!</definedName>
    <definedName name="soho" localSheetId="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oho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oho" localSheetId="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oho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solver_cvg" hidden="1">0.0001</definedName>
    <definedName name="solver_drv" hidden="1">1</definedName>
    <definedName name="solver_est" hidden="1">1</definedName>
    <definedName name="solver_itr" hidden="1">100</definedName>
    <definedName name="solver_lin" localSheetId="0" hidden="1">2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localSheetId="0" hidden="1">1</definedName>
    <definedName name="solver_typ" hidden="1">3</definedName>
    <definedName name="solver_val" localSheetId="0" hidden="1">0</definedName>
    <definedName name="solver_val" hidden="1">0.1076</definedName>
    <definedName name="sort_start" localSheetId="0">#REF!</definedName>
    <definedName name="sort_start">#REF!</definedName>
    <definedName name="Source" localSheetId="0">#REF!</definedName>
    <definedName name="Source">#REF!</definedName>
    <definedName name="Source_F5" localSheetId="0">#REF!</definedName>
    <definedName name="Source_F5">#REF!</definedName>
    <definedName name="Source_HK" localSheetId="0">#REF!</definedName>
    <definedName name="Source_HK">#REF!</definedName>
    <definedName name="South_America" localSheetId="0">#REF!</definedName>
    <definedName name="South_America">#REF!</definedName>
    <definedName name="South_America_w" localSheetId="0">#REF!</definedName>
    <definedName name="South_America_w">#REF!</definedName>
    <definedName name="Special_Situations" localSheetId="0">#REF!</definedName>
    <definedName name="Special_Situations">#REF!</definedName>
    <definedName name="split" localSheetId="0">#REF!</definedName>
    <definedName name="split">#REF!</definedName>
    <definedName name="Sponsor_investment" localSheetId="0">#REF!</definedName>
    <definedName name="Sponsor_investment">#REF!</definedName>
    <definedName name="Sponsor_Switch" localSheetId="0">#REF!</definedName>
    <definedName name="Sponsor_Switch">#REF!</definedName>
    <definedName name="Sponsor_Switch2" localSheetId="0">#REF!</definedName>
    <definedName name="Sponsor_Switch2">#REF!</definedName>
    <definedName name="SREV00" localSheetId="0">#REF!</definedName>
    <definedName name="SREV00">#REF!</definedName>
    <definedName name="SREV00PF" localSheetId="0">#REF!</definedName>
    <definedName name="SREV00PF">#REF!</definedName>
    <definedName name="SREV01" localSheetId="0">#REF!</definedName>
    <definedName name="SREV01">#REF!</definedName>
    <definedName name="SREV02" localSheetId="0">#REF!</definedName>
    <definedName name="SREV02">#REF!</definedName>
    <definedName name="SREV03" localSheetId="0">#REF!</definedName>
    <definedName name="SREV03">#REF!</definedName>
    <definedName name="SREV98" localSheetId="0">#REF!</definedName>
    <definedName name="SREV98">#REF!</definedName>
    <definedName name="SREV99" localSheetId="0">#REF!</definedName>
    <definedName name="SREV99">#REF!</definedName>
    <definedName name="ss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">#REF!</definedName>
    <definedName name="ssad" localSheetId="0">#REF!</definedName>
    <definedName name="ssad">#REF!</definedName>
    <definedName name="ssdds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dds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dds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dds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sss" localSheetId="0">#REF!</definedName>
    <definedName name="sss">#REF!</definedName>
    <definedName name="ssy" hidden="1">#N/A</definedName>
    <definedName name="ST_debt_growth_fore" localSheetId="0">#REF!</definedName>
    <definedName name="ST_debt_growth_fore">#REF!</definedName>
    <definedName name="sTable" localSheetId="0">#REF!</definedName>
    <definedName name="sTable">#REF!</definedName>
    <definedName name="Staples" localSheetId="5" hidden="1">{#N/A,#N/A,FALSE,"FRT, $0 G&amp;A"}</definedName>
    <definedName name="Staples" localSheetId="0" hidden="1">{#N/A,#N/A,FALSE,"FRT, $0 G&amp;A"}</definedName>
    <definedName name="Staples" localSheetId="4" hidden="1">{#N/A,#N/A,FALSE,"FRT, $0 G&amp;A"}</definedName>
    <definedName name="Staples" hidden="1">{#N/A,#N/A,FALSE,"FRT, $0 G&amp;A"}</definedName>
    <definedName name="STAR_NonE00" localSheetId="0">#REF!</definedName>
    <definedName name="STAR_NonE00">#REF!</definedName>
    <definedName name="start" localSheetId="0">#REF!</definedName>
    <definedName name="start">#REF!</definedName>
    <definedName name="START_DETAIL" localSheetId="0">#REF!</definedName>
    <definedName name="START_DETAIL">#REF!</definedName>
    <definedName name="START_HEADER" localSheetId="0">#REF!</definedName>
    <definedName name="START_HEADER">#REF!</definedName>
    <definedName name="startExport" localSheetId="0">#REF!</definedName>
    <definedName name="startExport">#REF!</definedName>
    <definedName name="StartPosition" localSheetId="0">#REF!</definedName>
    <definedName name="StartPosition">#REF!</definedName>
    <definedName name="startup00" localSheetId="0">#REF!</definedName>
    <definedName name="startup00">#REF!</definedName>
    <definedName name="startup01" localSheetId="0">#REF!</definedName>
    <definedName name="startup01">#REF!</definedName>
    <definedName name="startup02" localSheetId="0">#REF!</definedName>
    <definedName name="startup02">#REF!</definedName>
    <definedName name="startup03" localSheetId="0">#REF!</definedName>
    <definedName name="startup03">#REF!</definedName>
    <definedName name="startup97" localSheetId="0">#REF!</definedName>
    <definedName name="startup97">#REF!</definedName>
    <definedName name="startup98" localSheetId="0">#REF!</definedName>
    <definedName name="startup98">#REF!</definedName>
    <definedName name="startup99" localSheetId="0">#REF!</definedName>
    <definedName name="startup99">#REF!</definedName>
    <definedName name="States" localSheetId="5">{"Client Name or Project Name"}</definedName>
    <definedName name="States" localSheetId="0">{"Client Name or Project Name"}</definedName>
    <definedName name="States" localSheetId="4">{"Client Name or Project Name"}</definedName>
    <definedName name="States">{"Client Name or Project Name"}</definedName>
    <definedName name="StatsAccessLinesBusiness" localSheetId="0">#REF!</definedName>
    <definedName name="StatsAccessLinesBusiness">#REF!</definedName>
    <definedName name="StatsAccessLinesDomesticInternationalTotal" localSheetId="0">#REF!</definedName>
    <definedName name="StatsAccessLinesDomesticInternationalTotal">#REF!</definedName>
    <definedName name="StatsAccessLinesDomesticInternationalTotalAverage">0</definedName>
    <definedName name="StatsAccessLinesInternational" localSheetId="0">#REF!</definedName>
    <definedName name="StatsAccessLinesInternational">#REF!</definedName>
    <definedName name="StatsAccessLinesOther" localSheetId="0">#REF!</definedName>
    <definedName name="StatsAccessLinesOther">#REF!</definedName>
    <definedName name="StatsAccessLinesResidential" localSheetId="0">#REF!</definedName>
    <definedName name="StatsAccessLinesResidential">#REF!</definedName>
    <definedName name="StatsAccessLinesTotal" localSheetId="0">#REF!</definedName>
    <definedName name="StatsAccessLinesTotal">#REF!</definedName>
    <definedName name="StatsAccessLinesTotalAverage">0</definedName>
    <definedName name="StatsAverageMonthlyRevenue">0</definedName>
    <definedName name="StatsDigitalization" localSheetId="0">#REF!</definedName>
    <definedName name="StatsDigitalization">#REF!</definedName>
    <definedName name="StatsEmployeesConsolidated" localSheetId="0">#REF!</definedName>
    <definedName name="StatsEmployeesConsolidated">#REF!</definedName>
    <definedName name="StatsEmployeesConsolidatedDomesticInternational" localSheetId="0">#REF!</definedName>
    <definedName name="StatsEmployeesConsolidatedDomesticInternational">#REF!</definedName>
    <definedName name="StatsEmployeesConsolidatedInternational">0</definedName>
    <definedName name="StatsEmployeesTelephone" localSheetId="0">#REF!</definedName>
    <definedName name="StatsEmployeesTelephone">#REF!</definedName>
    <definedName name="StatsEmployeesTelephoneDomesticInternational" localSheetId="0">#REF!</definedName>
    <definedName name="StatsEmployeesTelephoneDomesticInternational">#REF!</definedName>
    <definedName name="StatsEmployeesTelephoneInternational">0</definedName>
    <definedName name="StatsMinutesOfUseInterstate" localSheetId="0">#REF!</definedName>
    <definedName name="StatsMinutesOfUseInterstate">#REF!</definedName>
    <definedName name="StatsMinutesOfUseIntrastate" localSheetId="0">#REF!</definedName>
    <definedName name="StatsMinutesOfUseIntrastate">#REF!</definedName>
    <definedName name="StatsMinutesOfUseTotal" localSheetId="0">#REF!</definedName>
    <definedName name="StatsMinutesOfUseTotal">#REF!</definedName>
    <definedName name="StatsPagingAverageMonthlyRevenue">0</definedName>
    <definedName name="StatsPagingSubscribers">0</definedName>
    <definedName name="StatsPenetration">0</definedName>
    <definedName name="StatsPOPS">0</definedName>
    <definedName name="StatsProportionatePenetration">0</definedName>
    <definedName name="StatsProportionatePOPS">0</definedName>
    <definedName name="StatsProportionateSubscribersAverage">0</definedName>
    <definedName name="StatsProportionateSubscribersBeginning">0</definedName>
    <definedName name="StatsProportionateSubscribersEnding">0</definedName>
    <definedName name="StatsProportionateSubscribersNetAdds">0</definedName>
    <definedName name="StatsSubscribersAverage">0</definedName>
    <definedName name="StatsSubscribersBeginning">0</definedName>
    <definedName name="StatsSubscribersEnding">0</definedName>
    <definedName name="StatsSubscribersNetAdds">0</definedName>
    <definedName name="StatsTollMessages" localSheetId="0">#REF!</definedName>
    <definedName name="StatsTollMessages">#REF!</definedName>
    <definedName name="StatsWATSMessages" localSheetId="0">#REF!</definedName>
    <definedName name="StatsWATSMessages">#REF!</definedName>
    <definedName name="STD" localSheetId="0">#REF!</definedName>
    <definedName name="STD">#REF!</definedName>
    <definedName name="stdebt01" localSheetId="0">#REF!</definedName>
    <definedName name="stdebt01">#REF!</definedName>
    <definedName name="stdebt02" localSheetId="0">#REF!</definedName>
    <definedName name="stdebt02">#REF!</definedName>
    <definedName name="stdebt03" localSheetId="0">#REF!</definedName>
    <definedName name="stdebt03">#REF!</definedName>
    <definedName name="stdebt04" localSheetId="0">#REF!</definedName>
    <definedName name="stdebt04">#REF!</definedName>
    <definedName name="StDebtDmy" localSheetId="0" hidden="1">#REF!,#REF!,#REF!,#REF!,#REF!</definedName>
    <definedName name="StDebtDmy" hidden="1">#REF!,#REF!,#REF!,#REF!,#REF!</definedName>
    <definedName name="STEP" localSheetId="0">#REF!</definedName>
    <definedName name="STEP">#REF!</definedName>
    <definedName name="STLoans" localSheetId="0">#REF!</definedName>
    <definedName name="STLoans">#REF!</definedName>
    <definedName name="STOCK">#N/A</definedName>
    <definedName name="Stock_dividend">0</definedName>
    <definedName name="StockData" localSheetId="0">#REF!</definedName>
    <definedName name="StockData">#REF!</definedName>
    <definedName name="sTopic" localSheetId="0">#REF!</definedName>
    <definedName name="sTopic">#REF!</definedName>
    <definedName name="strengths" localSheetId="0">#REF!</definedName>
    <definedName name="strengths">#REF!</definedName>
    <definedName name="STRUCTURE" localSheetId="0">#REF!</definedName>
    <definedName name="STRUCTURE">#REF!</definedName>
    <definedName name="sty_beta" localSheetId="0">#REF!</definedName>
    <definedName name="sty_beta">#REF!</definedName>
    <definedName name="sty_div" localSheetId="0">#REF!</definedName>
    <definedName name="sty_div">#REF!</definedName>
    <definedName name="sty_evebitda" localSheetId="0">#REF!</definedName>
    <definedName name="sty_evebitda">#REF!</definedName>
    <definedName name="sty_evsales" localSheetId="0">#REF!</definedName>
    <definedName name="sty_evsales">#REF!</definedName>
    <definedName name="sty_gear" localSheetId="0">#REF!</definedName>
    <definedName name="sty_gear">#REF!</definedName>
    <definedName name="sty_mv" localSheetId="0">#REF!</definedName>
    <definedName name="sty_mv">#REF!</definedName>
    <definedName name="sty_pb" localSheetId="0">#REF!</definedName>
    <definedName name="sty_pb">#REF!</definedName>
    <definedName name="sty_pcf" localSheetId="0">#REF!</definedName>
    <definedName name="sty_pcf">#REF!</definedName>
    <definedName name="sty_pe" localSheetId="0">#REF!</definedName>
    <definedName name="sty_pe">#REF!</definedName>
    <definedName name="sty_peg" localSheetId="0">#REF!</definedName>
    <definedName name="sty_peg">#REF!</definedName>
    <definedName name="sty_roa" localSheetId="0">#REF!</definedName>
    <definedName name="sty_roa">#REF!</definedName>
    <definedName name="sty_roce" localSheetId="0">#REF!</definedName>
    <definedName name="sty_roce">#REF!</definedName>
    <definedName name="sty_roe" localSheetId="0">#REF!</definedName>
    <definedName name="sty_roe">#REF!</definedName>
    <definedName name="sty_vfo" localSheetId="0">#REF!</definedName>
    <definedName name="sty_vfo">#REF!</definedName>
    <definedName name="stylesDoneEditing" localSheetId="0">#REF!</definedName>
    <definedName name="stylesDoneEditing">#REF!</definedName>
    <definedName name="Sub_Contactor" localSheetId="0">#REF!</definedName>
    <definedName name="Sub_Contactor">#REF!</definedName>
    <definedName name="Sub_scene" localSheetId="0">#REF!</definedName>
    <definedName name="Sub_scene">#REF!</definedName>
    <definedName name="subdebt" localSheetId="0">#REF!</definedName>
    <definedName name="subdebt">#REF!</definedName>
    <definedName name="subdisc" localSheetId="0">#REF!</definedName>
    <definedName name="subdisc">#REF!</definedName>
    <definedName name="SubordinatedRating" localSheetId="0">#REF!</definedName>
    <definedName name="SubordinatedRating">#REF!</definedName>
    <definedName name="Subs_total" localSheetId="0">#REF!</definedName>
    <definedName name="Subs_total">#REF!</definedName>
    <definedName name="Sue" localSheetId="0" hidden="1">#REF!</definedName>
    <definedName name="Sue" hidden="1">#REF!</definedName>
    <definedName name="SUM" localSheetId="0">#REF!</definedName>
    <definedName name="sum">#REF!</definedName>
    <definedName name="Summary" localSheetId="0">#REF!</definedName>
    <definedName name="Summary">#REF!</definedName>
    <definedName name="Summary2" localSheetId="5" hidden="1">{#N/A,#N/A,FALSE,"FACTSHEETS";#N/A,#N/A,FALSE,"pump";#N/A,#N/A,FALSE,"filter"}</definedName>
    <definedName name="Summary2" localSheetId="0" hidden="1">{#N/A,#N/A,FALSE,"FACTSHEETS";#N/A,#N/A,FALSE,"pump";#N/A,#N/A,FALSE,"filter"}</definedName>
    <definedName name="Summary2" localSheetId="4" hidden="1">{#N/A,#N/A,FALSE,"FACTSHEETS";#N/A,#N/A,FALSE,"pump";#N/A,#N/A,FALSE,"filter"}</definedName>
    <definedName name="Summary2" hidden="1">{#N/A,#N/A,FALSE,"FACTSHEETS";#N/A,#N/A,FALSE,"pump";#N/A,#N/A,FALSE,"filter"}</definedName>
    <definedName name="SUMMOD" localSheetId="0">#REF!</definedName>
    <definedName name="SUMMOD">#REF!</definedName>
    <definedName name="sustroe" localSheetId="0">#REF!</definedName>
    <definedName name="sustroe">#REF!</definedName>
    <definedName name="sw_GDP" localSheetId="0">#REF!</definedName>
    <definedName name="sw_GDP">#REF!</definedName>
    <definedName name="Sweden" localSheetId="0">#REF!</definedName>
    <definedName name="Sweden">#REF!</definedName>
    <definedName name="Sweden_w" localSheetId="0">#REF!</definedName>
    <definedName name="Sweden_w">#REF!</definedName>
    <definedName name="switch" localSheetId="0">#REF!</definedName>
    <definedName name="switch">#REF!</definedName>
    <definedName name="Switch2" localSheetId="0">#REF!</definedName>
    <definedName name="Switch2">#REF!</definedName>
    <definedName name="Switch3" localSheetId="0">#REF!</definedName>
    <definedName name="Switch3">#REF!</definedName>
    <definedName name="sYesNo" localSheetId="0">#REF!</definedName>
    <definedName name="sYesNo">#REF!</definedName>
    <definedName name="SYN" localSheetId="0">#REF!</definedName>
    <definedName name="SYN">#REF!</definedName>
    <definedName name="SYNOFF" localSheetId="0">#REF!</definedName>
    <definedName name="SYNOFF">#REF!</definedName>
    <definedName name="SYNON" localSheetId="0">#REF!</definedName>
    <definedName name="SYNON">#REF!</definedName>
    <definedName name="System" localSheetId="0">#REF!</definedName>
    <definedName name="System">#REF!</definedName>
    <definedName name="T" localSheetId="0">#REF!</definedName>
    <definedName name="T">#REF!</definedName>
    <definedName name="t_ebdit" localSheetId="0">#REF!</definedName>
    <definedName name="t_ebdit">#REF!</definedName>
    <definedName name="t_ebitda" localSheetId="0">#REF!</definedName>
    <definedName name="t_ebitda">#REF!</definedName>
    <definedName name="t_free_cash_flow" localSheetId="0">#REF!</definedName>
    <definedName name="t_free_cash_flow">#REF!</definedName>
    <definedName name="t_tot_cash_earns" localSheetId="0">#REF!</definedName>
    <definedName name="t_tot_cash_earns">#REF!</definedName>
    <definedName name="t_tot_interest_payments" localSheetId="0">#REF!</definedName>
    <definedName name="t_tot_interest_payments">#REF!</definedName>
    <definedName name="t_tot_net_debt" localSheetId="0">#REF!</definedName>
    <definedName name="t_tot_net_debt">#REF!</definedName>
    <definedName name="T1Sumry" localSheetId="0">#REF!</definedName>
    <definedName name="T1Sumry">#REF!</definedName>
    <definedName name="T2_rpt0297" localSheetId="0">#REF!</definedName>
    <definedName name="T2_rpt0297">#REF!</definedName>
    <definedName name="T4f" localSheetId="0">#REF!</definedName>
    <definedName name="T4f">#REF!</definedName>
    <definedName name="T6_rpt0297" localSheetId="0">#REF!</definedName>
    <definedName name="T6_rpt0297">#REF!</definedName>
    <definedName name="TA" localSheetId="0">#REF!</definedName>
    <definedName name="TA">#REF!</definedName>
    <definedName name="TAB" localSheetId="0">#REF!</definedName>
    <definedName name="TAB">#REF!</definedName>
    <definedName name="tab1Camelot" localSheetId="0">#REF!</definedName>
    <definedName name="tab1Camelot">#REF!</definedName>
    <definedName name="Tab7SBI_Disct" localSheetId="0">#REF!</definedName>
    <definedName name="Tab7SBI_Disct">#REF!</definedName>
    <definedName name="tab8_Adjustng" localSheetId="0">#REF!</definedName>
    <definedName name="tab8_Adjustng">#REF!</definedName>
    <definedName name="tab9_Implied" localSheetId="0">#REF!</definedName>
    <definedName name="tab9_Implied">#REF!</definedName>
    <definedName name="Table" localSheetId="0">#REF!</definedName>
    <definedName name="Table">#REF!</definedName>
    <definedName name="table_name" localSheetId="0">#REF!</definedName>
    <definedName name="table_nam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3" localSheetId="0">#REF!</definedName>
    <definedName name="Table3">#REF!</definedName>
    <definedName name="TableContents" localSheetId="0">#REF!</definedName>
    <definedName name="TableContents">#REF!</definedName>
    <definedName name="TableName" localSheetId="0">#REF!</definedName>
    <definedName name="TableName">#REF!</definedName>
    <definedName name="take_up" localSheetId="0">#REF!</definedName>
    <definedName name="take_up">#REF!</definedName>
    <definedName name="TangibleBook" localSheetId="0">#REF!</definedName>
    <definedName name="TangibleBook">#REF!</definedName>
    <definedName name="target" localSheetId="0">#REF!</definedName>
    <definedName name="target">#REF!</definedName>
    <definedName name="Target_debt_to_capital" localSheetId="0">#REF!</definedName>
    <definedName name="Target_debt_to_capital">#REF!</definedName>
    <definedName name="tariff" localSheetId="0">#REF!</definedName>
    <definedName name="tariff">#REF!</definedName>
    <definedName name="TATCF00" localSheetId="0">#REF!</definedName>
    <definedName name="TATCF00">#REF!</definedName>
    <definedName name="TATCF00PF" localSheetId="0">#REF!</definedName>
    <definedName name="TATCF00PF">#REF!</definedName>
    <definedName name="TATCF01" localSheetId="0">#REF!</definedName>
    <definedName name="TATCF01">#REF!</definedName>
    <definedName name="TATCF02" localSheetId="0">#REF!</definedName>
    <definedName name="TATCF02">#REF!</definedName>
    <definedName name="TATCF03" localSheetId="0">#REF!</definedName>
    <definedName name="TATCF03">#REF!</definedName>
    <definedName name="TATCF93" localSheetId="0">#REF!</definedName>
    <definedName name="TATCF93">#REF!</definedName>
    <definedName name="TATCF94" localSheetId="0">#REF!</definedName>
    <definedName name="TATCF94">#REF!</definedName>
    <definedName name="TATCF95" localSheetId="0">#REF!</definedName>
    <definedName name="TATCF95">#REF!</definedName>
    <definedName name="TATCF96" localSheetId="0">#REF!</definedName>
    <definedName name="TATCF96">#REF!</definedName>
    <definedName name="TATCF97" localSheetId="0">#REF!</definedName>
    <definedName name="TATCF97">#REF!</definedName>
    <definedName name="TATCF98" localSheetId="0">#REF!</definedName>
    <definedName name="TATCF98">#REF!</definedName>
    <definedName name="TATCF99" localSheetId="0">#REF!</definedName>
    <definedName name="TATCF99">#REF!</definedName>
    <definedName name="TATCF99PF" localSheetId="0">#REF!</definedName>
    <definedName name="TATCF99PF">#REF!</definedName>
    <definedName name="TAX" localSheetId="0">#REF!</definedName>
    <definedName name="TAX">#REF!</definedName>
    <definedName name="Tax_expense" localSheetId="0">#REF!</definedName>
    <definedName name="Tax_expense">#REF!</definedName>
    <definedName name="TAX_RATE" localSheetId="0">#REF!</definedName>
    <definedName name="TAX_RATE">#REF!</definedName>
    <definedName name="Tax_rate_for_WACC" localSheetId="0">#REF!</definedName>
    <definedName name="Tax_rate_for_WACC">#REF!</definedName>
    <definedName name="tax00" localSheetId="0">#REF!</definedName>
    <definedName name="TAX00">#REF!</definedName>
    <definedName name="Taxes_paid" localSheetId="0">#REF!</definedName>
    <definedName name="Taxes_paid">#REF!</definedName>
    <definedName name="taxes00" localSheetId="0">#REF!</definedName>
    <definedName name="taxes00">#REF!</definedName>
    <definedName name="taxes96" localSheetId="0">#REF!</definedName>
    <definedName name="taxes96">#REF!</definedName>
    <definedName name="taxes97" localSheetId="0">#REF!</definedName>
    <definedName name="taxes97">#REF!</definedName>
    <definedName name="taxes98" localSheetId="0">#REF!</definedName>
    <definedName name="taxes98">#REF!</definedName>
    <definedName name="taxes99" localSheetId="0">#REF!</definedName>
    <definedName name="taxes99">#REF!</definedName>
    <definedName name="TaxesOtherthanIncomeTaxes" localSheetId="0">#REF!</definedName>
    <definedName name="TaxesOtherthanIncomeTaxes">#REF!</definedName>
    <definedName name="TaxPaid" localSheetId="0">#REF!</definedName>
    <definedName name="TaxPaid">#REF!</definedName>
    <definedName name="TAXR00" localSheetId="0">#REF!</definedName>
    <definedName name="TAXR00">#REF!</definedName>
    <definedName name="TAXR00PF" localSheetId="0">#REF!</definedName>
    <definedName name="TAXR00PF">#REF!</definedName>
    <definedName name="TAXR01" localSheetId="0">#REF!</definedName>
    <definedName name="TAXR01">#REF!</definedName>
    <definedName name="TAXR02" localSheetId="0">#REF!</definedName>
    <definedName name="TAXR02">#REF!</definedName>
    <definedName name="TAXR03" localSheetId="0">#REF!</definedName>
    <definedName name="TAXR03">#REF!</definedName>
    <definedName name="TAXR93" localSheetId="0">#REF!</definedName>
    <definedName name="TAXR93">#REF!</definedName>
    <definedName name="TAXR94" localSheetId="0">#REF!</definedName>
    <definedName name="TAXR94">#REF!</definedName>
    <definedName name="TAXR95" localSheetId="0">#REF!</definedName>
    <definedName name="TAXR95">#REF!</definedName>
    <definedName name="TAXR96" localSheetId="0">#REF!</definedName>
    <definedName name="TAXR96">#REF!</definedName>
    <definedName name="TAXR97" localSheetId="0">#REF!</definedName>
    <definedName name="TAXR97">#REF!</definedName>
    <definedName name="TAXR98" localSheetId="0">#REF!</definedName>
    <definedName name="TAXR98">#REF!</definedName>
    <definedName name="TAXR99" localSheetId="0">#REF!</definedName>
    <definedName name="TAXR99">#REF!</definedName>
    <definedName name="TAXR99PF" localSheetId="0">#REF!</definedName>
    <definedName name="TAXR99PF">#REF!</definedName>
    <definedName name="TaxRate" localSheetId="0">#REF!</definedName>
    <definedName name="TaxRate">#REF!</definedName>
    <definedName name="Taxrate_00" localSheetId="0">#REF!</definedName>
    <definedName name="Taxrate_00">#REF!</definedName>
    <definedName name="Taxrate_97" localSheetId="0">#REF!</definedName>
    <definedName name="Taxrate_97">#REF!</definedName>
    <definedName name="Taxrate_98" localSheetId="0">#REF!</definedName>
    <definedName name="Taxrate_98">#REF!</definedName>
    <definedName name="Taxrate_99" localSheetId="0">#REF!</definedName>
    <definedName name="Taxrate_99">#REF!</definedName>
    <definedName name="taxrate00" localSheetId="0">#REF!</definedName>
    <definedName name="taxrate00">#REF!</definedName>
    <definedName name="taxrate01" localSheetId="0">#REF!</definedName>
    <definedName name="taxrate01">#REF!</definedName>
    <definedName name="taxrate98" localSheetId="0">#REF!</definedName>
    <definedName name="taxrate98">#REF!</definedName>
    <definedName name="taxrate99" localSheetId="0">#REF!</definedName>
    <definedName name="taxrate99">#REF!</definedName>
    <definedName name="TDEBT00" localSheetId="0">#REF!</definedName>
    <definedName name="TDEBT00">#REF!</definedName>
    <definedName name="TDEBT01" localSheetId="0">#REF!</definedName>
    <definedName name="TDEBT01">#REF!</definedName>
    <definedName name="TDEBT02" localSheetId="0">#REF!</definedName>
    <definedName name="TDEBT02">#REF!</definedName>
    <definedName name="TDEBT03" localSheetId="0">#REF!</definedName>
    <definedName name="TDEBT03">#REF!</definedName>
    <definedName name="TDEBT99" localSheetId="0">#REF!</definedName>
    <definedName name="TDEBT99">#REF!</definedName>
    <definedName name="tech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ECH">#REF!</definedName>
    <definedName name="TECH_pac" localSheetId="0">#REF!</definedName>
    <definedName name="TECH_pac">#REF!</definedName>
    <definedName name="temp" localSheetId="0">#REF!</definedName>
    <definedName name="temp">#REF!</definedName>
    <definedName name="TENADD00" localSheetId="0">#REF!</definedName>
    <definedName name="TENADD00">#REF!</definedName>
    <definedName name="TENADD01" localSheetId="0">#REF!</definedName>
    <definedName name="TENADD01">#REF!</definedName>
    <definedName name="TENADD02" localSheetId="0">#REF!</definedName>
    <definedName name="TENADD02">#REF!</definedName>
    <definedName name="TENADD03" localSheetId="0">#REF!</definedName>
    <definedName name="TENADD03">#REF!</definedName>
    <definedName name="TENADD98" localSheetId="0">#REF!</definedName>
    <definedName name="TENADD98">#REF!</definedName>
    <definedName name="TENADD99" localSheetId="0">#REF!</definedName>
    <definedName name="TENADD99">#REF!</definedName>
    <definedName name="TEPS00" localSheetId="0">#REF!</definedName>
    <definedName name="TEPS00">#REF!</definedName>
    <definedName name="TEPS00PF" localSheetId="0">#REF!</definedName>
    <definedName name="TEPS00PF">#REF!</definedName>
    <definedName name="TEPS01" localSheetId="0">#REF!</definedName>
    <definedName name="TEPS01">#REF!</definedName>
    <definedName name="TEPS02" localSheetId="0">#REF!</definedName>
    <definedName name="TEPS02">#REF!</definedName>
    <definedName name="TEPS03" localSheetId="0">#REF!</definedName>
    <definedName name="TEPS03">#REF!</definedName>
    <definedName name="TEPS93" localSheetId="0">#REF!</definedName>
    <definedName name="TEPS93">#REF!</definedName>
    <definedName name="TEPS94" localSheetId="0">#REF!</definedName>
    <definedName name="TEPS94">#REF!</definedName>
    <definedName name="TEPS95" localSheetId="0">#REF!</definedName>
    <definedName name="TEPS95">#REF!</definedName>
    <definedName name="TEPS96" localSheetId="0">#REF!</definedName>
    <definedName name="TEPS96">#REF!</definedName>
    <definedName name="TEPS97" localSheetId="0">#REF!</definedName>
    <definedName name="TEPS97">#REF!</definedName>
    <definedName name="TEPS98" localSheetId="0">#REF!</definedName>
    <definedName name="TEPS98">#REF!</definedName>
    <definedName name="TEPS99" localSheetId="0">#REF!</definedName>
    <definedName name="TEPS99">#REF!</definedName>
    <definedName name="TEPS99PF" localSheetId="0">#REF!</definedName>
    <definedName name="TEPS99PF">#REF!</definedName>
    <definedName name="term_mult" localSheetId="0">#REF!</definedName>
    <definedName name="term_mult">#REF!</definedName>
    <definedName name="Terminal_dividend_payout" localSheetId="0">#REF!</definedName>
    <definedName name="Terminal_dividend_payout">#REF!</definedName>
    <definedName name="Terminal_ROE" localSheetId="0">#REF!</definedName>
    <definedName name="Terminal_ROE">#REF!</definedName>
    <definedName name="TerminalYear" localSheetId="0">#REF!</definedName>
    <definedName name="TerminalYear">#REF!</definedName>
    <definedName name="test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est">#REF!</definedName>
    <definedName name="test1" localSheetId="5" hidden="1">{#N/A,#N/A,TRUE,"MAIN FT TERM";#N/A,#N/A,TRUE,"MCI  FT TERM ";#N/A,#N/A,TRUE,"OC12 EQV"}</definedName>
    <definedName name="test1" localSheetId="0" hidden="1">{#N/A,#N/A,TRUE,"MAIN FT TERM";#N/A,#N/A,TRUE,"MCI  FT TERM ";#N/A,#N/A,TRUE,"OC12 EQV"}</definedName>
    <definedName name="test1" localSheetId="4" hidden="1">{#N/A,#N/A,TRUE,"MAIN FT TERM";#N/A,#N/A,TRUE,"MCI  FT TERM ";#N/A,#N/A,TRUE,"OC12 EQV"}</definedName>
    <definedName name="test1" hidden="1">{#N/A,#N/A,TRUE,"MAIN FT TERM";#N/A,#N/A,TRUE,"MCI  FT TERM ";#N/A,#N/A,TRUE,"OC12 EQV"}</definedName>
    <definedName name="TestAdd">"Test RefersTo1"</definedName>
    <definedName name="TEXP00" localSheetId="0">#REF!</definedName>
    <definedName name="TEXP00">#REF!</definedName>
    <definedName name="TEXP00PF" localSheetId="0">#REF!</definedName>
    <definedName name="TEXP00PF">#REF!</definedName>
    <definedName name="TEXP01" localSheetId="0">#REF!</definedName>
    <definedName name="TEXP01">#REF!</definedName>
    <definedName name="TEXP02" localSheetId="0">#REF!</definedName>
    <definedName name="TEXP02">#REF!</definedName>
    <definedName name="TEXP03" localSheetId="0">#REF!</definedName>
    <definedName name="TEXP03">#REF!</definedName>
    <definedName name="TEXP93" localSheetId="0">#REF!</definedName>
    <definedName name="TEXP93">#REF!</definedName>
    <definedName name="TEXP94" localSheetId="0">#REF!</definedName>
    <definedName name="TEXP94">#REF!</definedName>
    <definedName name="TEXP95" localSheetId="0">#REF!</definedName>
    <definedName name="TEXP95">#REF!</definedName>
    <definedName name="TEXP96" localSheetId="0">#REF!</definedName>
    <definedName name="TEXP96">#REF!</definedName>
    <definedName name="TEXP97" localSheetId="0">#REF!</definedName>
    <definedName name="TEXP97">#REF!</definedName>
    <definedName name="TEXP98" localSheetId="0">#REF!</definedName>
    <definedName name="TEXP98">#REF!</definedName>
    <definedName name="TEXP99" localSheetId="0">#REF!</definedName>
    <definedName name="TEXP99">#REF!</definedName>
    <definedName name="TEXP99PF" localSheetId="0">#REF!</definedName>
    <definedName name="TEXP99PF">#REF!</definedName>
    <definedName name="TextRefCopyRangeCount" hidden="1">44</definedName>
    <definedName name="textToday" localSheetId="0">#REF!</definedName>
    <definedName name="textToday">#REF!</definedName>
    <definedName name="TFCF00" localSheetId="0">#REF!</definedName>
    <definedName name="TFCF00">#REF!</definedName>
    <definedName name="TFCF00PF" localSheetId="0">#REF!</definedName>
    <definedName name="TFCF00PF">#REF!</definedName>
    <definedName name="TFCF01" localSheetId="0">#REF!</definedName>
    <definedName name="TFCF01">#REF!</definedName>
    <definedName name="TFCF02" localSheetId="0">#REF!</definedName>
    <definedName name="TFCF02">#REF!</definedName>
    <definedName name="TFCF03" localSheetId="0">#REF!</definedName>
    <definedName name="TFCF03">#REF!</definedName>
    <definedName name="TFCF93" localSheetId="0">#REF!</definedName>
    <definedName name="TFCF93">#REF!</definedName>
    <definedName name="TFCF94" localSheetId="0">#REF!</definedName>
    <definedName name="TFCF94">#REF!</definedName>
    <definedName name="TFCF95" localSheetId="0">#REF!</definedName>
    <definedName name="TFCF95">#REF!</definedName>
    <definedName name="TFCF96" localSheetId="0">#REF!</definedName>
    <definedName name="TFCF96">#REF!</definedName>
    <definedName name="TFCF97" localSheetId="0">#REF!</definedName>
    <definedName name="TFCF97">#REF!</definedName>
    <definedName name="TFCF98" localSheetId="0">#REF!</definedName>
    <definedName name="TFCF98">#REF!</definedName>
    <definedName name="TFCF99" localSheetId="0">#REF!</definedName>
    <definedName name="TFCF99">#REF!</definedName>
    <definedName name="TFCF99PF" localSheetId="0">#REF!</definedName>
    <definedName name="TFCF99PF">#REF!</definedName>
    <definedName name="TG" localSheetId="0">#REF!</definedName>
    <definedName name="TG">#REF!</definedName>
    <definedName name="thbnew" localSheetId="0">#REF!</definedName>
    <definedName name="thbnew">#REF!</definedName>
    <definedName name="thbold" localSheetId="0">#REF!</definedName>
    <definedName name="thbold">#REF!</definedName>
    <definedName name="the" localSheetId="0">[0]!is1b,[0]!is1c,[0]!STATS2,[0]!STATS3</definedName>
    <definedName name="the">#REF!,#REF!,#REF!,#REF!</definedName>
    <definedName name="the_caller">#N/A</definedName>
    <definedName name="three" localSheetId="0">#REF!,#REF!,#REF!,#REF!,#REF!,#REF!,#REF!,#REF!,#REF!,#REF!,#REF!,#REF!,#REF!</definedName>
    <definedName name="three">#REF!,#REF!,#REF!,#REF!,#REF!,#REF!,#REF!,#REF!,#REF!,#REF!,#REF!,#REF!,#REF!</definedName>
    <definedName name="threeg" localSheetId="0">#REF!</definedName>
    <definedName name="threeg">#REF!</definedName>
    <definedName name="THS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HSDLR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cker" localSheetId="0">#REF!</definedName>
    <definedName name="ticker">#REF!</definedName>
    <definedName name="Tigr_Exhibit00400428_a0e0_415d_9c1b_269d646b3614" localSheetId="0" hidden="1">#REF!</definedName>
    <definedName name="Tigr_Exhibit00400428_a0e0_415d_9c1b_269d646b3614" hidden="1">#REF!</definedName>
    <definedName name="Tigr_Exhibit00d43779_9baf_44e9_a854_8ff4c509d761" localSheetId="0" hidden="1">#REF!</definedName>
    <definedName name="Tigr_Exhibit00d43779_9baf_44e9_a854_8ff4c509d761" hidden="1">#REF!</definedName>
    <definedName name="Tigr_Exhibit025b11c3_9b32_41cc_85fa_54342a127dcf" localSheetId="0" hidden="1">#REF!</definedName>
    <definedName name="Tigr_Exhibit025b11c3_9b32_41cc_85fa_54342a127dcf" hidden="1">#REF!</definedName>
    <definedName name="Tigr_Exhibit02dc4966_9037_4ef6_9c78_e41b4888ba41" localSheetId="0" hidden="1">#REF!</definedName>
    <definedName name="Tigr_Exhibit02dc4966_9037_4ef6_9c78_e41b4888ba41" hidden="1">#REF!</definedName>
    <definedName name="Tigr_Exhibit02f15a3d_499d_4578_af5f_fdeb3398af1d" localSheetId="0" hidden="1">#REF!</definedName>
    <definedName name="Tigr_Exhibit02f15a3d_499d_4578_af5f_fdeb3398af1d" hidden="1">#REF!</definedName>
    <definedName name="Tigr_Exhibit0332db7e_6f8c_4655_a2c2_5ee6ff49e84f" localSheetId="0" hidden="1">#REF!</definedName>
    <definedName name="Tigr_Exhibit0332db7e_6f8c_4655_a2c2_5ee6ff49e84f" hidden="1">#REF!</definedName>
    <definedName name="Tigr_Exhibit03aa5c75_66a2_49ee_8354_5bd4979edafb" localSheetId="0" hidden="1">#REF!</definedName>
    <definedName name="Tigr_Exhibit03aa5c75_66a2_49ee_8354_5bd4979edafb" hidden="1">#REF!</definedName>
    <definedName name="Tigr_Exhibit045f9a33_e3e6_45c0_b090_2e711a82d03c" localSheetId="0" hidden="1">#REF!</definedName>
    <definedName name="Tigr_Exhibit045f9a33_e3e6_45c0_b090_2e711a82d03c" hidden="1">#REF!</definedName>
    <definedName name="Tigr_Exhibit04db926a_e324_48bf_804e_6e4d4057b84d" localSheetId="0" hidden="1">#REF!</definedName>
    <definedName name="Tigr_Exhibit04db926a_e324_48bf_804e_6e4d4057b84d" hidden="1">#REF!</definedName>
    <definedName name="Tigr_Exhibit04e75ee3_f0c2_4072_b38e_c184988a174a" localSheetId="0" hidden="1">#REF!</definedName>
    <definedName name="Tigr_Exhibit04e75ee3_f0c2_4072_b38e_c184988a174a" hidden="1">#REF!</definedName>
    <definedName name="Tigr_Exhibit04f11ee7_395f_4b13_b517_86371ca3b71b" localSheetId="0" hidden="1">#REF!</definedName>
    <definedName name="Tigr_Exhibit04f11ee7_395f_4b13_b517_86371ca3b71b" hidden="1">#REF!</definedName>
    <definedName name="Tigr_Exhibit055727d7_d63e_4a58_9e1f_befaec59b813" localSheetId="0" hidden="1">#REF!</definedName>
    <definedName name="Tigr_Exhibit055727d7_d63e_4a58_9e1f_befaec59b813" hidden="1">#REF!</definedName>
    <definedName name="Tigr_Exhibit0639132e_b03c_4071_b640_d90e5fbc3396" localSheetId="0" hidden="1">#REF!</definedName>
    <definedName name="Tigr_Exhibit0639132e_b03c_4071_b640_d90e5fbc3396" hidden="1">#REF!</definedName>
    <definedName name="Tigr_Exhibit083fba38_7952_404a_bb7a_84af32aa9b9e" localSheetId="0" hidden="1">#REF!</definedName>
    <definedName name="Tigr_Exhibit083fba38_7952_404a_bb7a_84af32aa9b9e" hidden="1">#REF!</definedName>
    <definedName name="Tigr_Exhibit08570759_300d_450b_b47d_26d5eda02822" localSheetId="0" hidden="1">#REF!</definedName>
    <definedName name="Tigr_Exhibit08570759_300d_450b_b47d_26d5eda02822" hidden="1">#REF!</definedName>
    <definedName name="Tigr_Exhibit08ce656f_3d2e_4942_b713_8527d8503af7" localSheetId="0" hidden="1">#REF!</definedName>
    <definedName name="Tigr_Exhibit08ce656f_3d2e_4942_b713_8527d8503af7" hidden="1">#REF!</definedName>
    <definedName name="Tigr_Exhibit0982b73a_f1bf_40c7_8368_3e79e7ec954e" localSheetId="0" hidden="1">#REF!</definedName>
    <definedName name="Tigr_Exhibit0982b73a_f1bf_40c7_8368_3e79e7ec954e" hidden="1">#REF!</definedName>
    <definedName name="Tigr_Exhibit098a6a8a_786a_4724_ab00_f7135d44b3d0" localSheetId="0" hidden="1">#REF!</definedName>
    <definedName name="Tigr_Exhibit098a6a8a_786a_4724_ab00_f7135d44b3d0" hidden="1">#REF!</definedName>
    <definedName name="Tigr_Exhibit0a7039fc_5bd3_4fbd_956a_a17c77a00af2" localSheetId="0" hidden="1">#REF!</definedName>
    <definedName name="Tigr_Exhibit0a7039fc_5bd3_4fbd_956a_a17c77a00af2" hidden="1">#REF!</definedName>
    <definedName name="Tigr_Exhibit0bd510a9_2162_498c_80dc_ec28c6429915" localSheetId="0" hidden="1">#REF!</definedName>
    <definedName name="Tigr_Exhibit0bd510a9_2162_498c_80dc_ec28c6429915" hidden="1">#REF!</definedName>
    <definedName name="Tigr_Exhibit0bde726a_2bd3_4bb1_ae42_e9ea3fda1688" localSheetId="0" hidden="1">#REF!</definedName>
    <definedName name="Tigr_Exhibit0bde726a_2bd3_4bb1_ae42_e9ea3fda1688" hidden="1">#REF!</definedName>
    <definedName name="Tigr_Exhibit0cd255ea_c92e_4c99_ac4c_473bc0ace31c" localSheetId="0" hidden="1">#REF!</definedName>
    <definedName name="Tigr_Exhibit0cd255ea_c92e_4c99_ac4c_473bc0ace31c" hidden="1">#REF!</definedName>
    <definedName name="Tigr_Exhibit0db646cd_d77f_4388_954e_77c97b080cec" localSheetId="0" hidden="1">#REF!</definedName>
    <definedName name="Tigr_Exhibit0db646cd_d77f_4388_954e_77c97b080cec" hidden="1">#REF!</definedName>
    <definedName name="Tigr_Exhibit0e4344df_f938_4b30_861e_b4e5fce3dca9" localSheetId="0" hidden="1">#REF!</definedName>
    <definedName name="Tigr_Exhibit0e4344df_f938_4b30_861e_b4e5fce3dca9" hidden="1">#REF!</definedName>
    <definedName name="Tigr_Exhibit0edc30dd_63f5_44a0_b22b_b5185ef92697" localSheetId="0" hidden="1">#REF!</definedName>
    <definedName name="Tigr_Exhibit0edc30dd_63f5_44a0_b22b_b5185ef92697" hidden="1">#REF!</definedName>
    <definedName name="Tigr_Exhibit1100d520_cacc_44c4_919b_3658a66f2aa0" localSheetId="0" hidden="1">#REF!</definedName>
    <definedName name="Tigr_Exhibit1100d520_cacc_44c4_919b_3658a66f2aa0" hidden="1">#REF!</definedName>
    <definedName name="Tigr_Exhibit116451fc_0f66_46cc_8993_8ef71088857a" localSheetId="0" hidden="1">#REF!</definedName>
    <definedName name="Tigr_Exhibit116451fc_0f66_46cc_8993_8ef71088857a" hidden="1">#REF!</definedName>
    <definedName name="Tigr_Exhibit119c46e9_3591_417e_a481_579532b77b35" localSheetId="0" hidden="1">#REF!</definedName>
    <definedName name="Tigr_Exhibit119c46e9_3591_417e_a481_579532b77b35" hidden="1">#REF!</definedName>
    <definedName name="Tigr_Exhibit14d170e3_b23e_4f70_bab5_079bd6b9a884" localSheetId="0" hidden="1">#REF!</definedName>
    <definedName name="Tigr_Exhibit14d170e3_b23e_4f70_bab5_079bd6b9a884" hidden="1">#REF!</definedName>
    <definedName name="Tigr_Exhibit162087cd_5525_46bd_a9d1_5ec0c5facce3" localSheetId="0" hidden="1">#REF!</definedName>
    <definedName name="Tigr_Exhibit162087cd_5525_46bd_a9d1_5ec0c5facce3" hidden="1">#REF!</definedName>
    <definedName name="Tigr_Exhibit165e1025_2135_4aa3_9ddf_98db54cdfa21" localSheetId="0" hidden="1">#REF!</definedName>
    <definedName name="Tigr_Exhibit165e1025_2135_4aa3_9ddf_98db54cdfa21" hidden="1">#REF!</definedName>
    <definedName name="Tigr_Exhibit1668692d_6273_4aa1_a8da_7cb4db0ea7a3" localSheetId="0" hidden="1">#REF!</definedName>
    <definedName name="Tigr_Exhibit1668692d_6273_4aa1_a8da_7cb4db0ea7a3" hidden="1">#REF!</definedName>
    <definedName name="Tigr_Exhibit16821e3b_f4e3_4609_9077_174524053e91" localSheetId="0" hidden="1">#REF!</definedName>
    <definedName name="Tigr_Exhibit16821e3b_f4e3_4609_9077_174524053e91" hidden="1">#REF!</definedName>
    <definedName name="Tigr_Exhibit17c023f7_874a_451a_8d1a_d75b1adb7617" localSheetId="0" hidden="1">#REF!</definedName>
    <definedName name="Tigr_Exhibit17c023f7_874a_451a_8d1a_d75b1adb7617" hidden="1">#REF!</definedName>
    <definedName name="Tigr_Exhibit18574d44_466e_46e5_81e7_0dcfd7432b6c" localSheetId="0" hidden="1">#REF!</definedName>
    <definedName name="Tigr_Exhibit18574d44_466e_46e5_81e7_0dcfd7432b6c" hidden="1">#REF!</definedName>
    <definedName name="Tigr_Exhibit185d84cf_fff8_4bac_a1c7_d7c889c18ec6" localSheetId="0" hidden="1">#REF!</definedName>
    <definedName name="Tigr_Exhibit185d84cf_fff8_4bac_a1c7_d7c889c18ec6" hidden="1">#REF!</definedName>
    <definedName name="Tigr_Exhibit1911bdc4_8878_4ab2_8041_973442cfc96b" localSheetId="0" hidden="1">#REF!</definedName>
    <definedName name="Tigr_Exhibit1911bdc4_8878_4ab2_8041_973442cfc96b" hidden="1">#REF!</definedName>
    <definedName name="Tigr_Exhibit194b9217_cdca_48c5_a9aa_54dc8a4351a6" localSheetId="0" hidden="1">#REF!</definedName>
    <definedName name="Tigr_Exhibit194b9217_cdca_48c5_a9aa_54dc8a4351a6" hidden="1">#REF!</definedName>
    <definedName name="Tigr_Exhibit19c27552_7b6a_4de3_b562_c67d0fcf7f5e" localSheetId="0" hidden="1">#REF!</definedName>
    <definedName name="Tigr_Exhibit19c27552_7b6a_4de3_b562_c67d0fcf7f5e" hidden="1">#REF!</definedName>
    <definedName name="Tigr_Exhibit1a0eac4e_597c_46da_96d0_abd9af4b4858" localSheetId="0" hidden="1">#REF!</definedName>
    <definedName name="Tigr_Exhibit1a0eac4e_597c_46da_96d0_abd9af4b4858" hidden="1">#REF!</definedName>
    <definedName name="Tigr_Exhibit1ce9642f_d9c5_417d_b3d2_6a5fc861d074" localSheetId="0" hidden="1">#REF!</definedName>
    <definedName name="Tigr_Exhibit1ce9642f_d9c5_417d_b3d2_6a5fc861d074" hidden="1">#REF!</definedName>
    <definedName name="Tigr_Exhibit1df2c6b8_ae46_4358_ad1a_d5623ff8f3ff" localSheetId="0" hidden="1">#REF!</definedName>
    <definedName name="Tigr_Exhibit1df2c6b8_ae46_4358_ad1a_d5623ff8f3ff" hidden="1">#REF!</definedName>
    <definedName name="Tigr_Exhibit1fb0c544_2473_4216_84ce_2cf0c7cac4c8" localSheetId="0" hidden="1">#REF!</definedName>
    <definedName name="Tigr_Exhibit1fb0c544_2473_4216_84ce_2cf0c7cac4c8" hidden="1">#REF!</definedName>
    <definedName name="Tigr_Exhibit1fbb9dce_3183_43d9_953c_1a6a0ba2d5d5" localSheetId="0" hidden="1">#REF!</definedName>
    <definedName name="Tigr_Exhibit1fbb9dce_3183_43d9_953c_1a6a0ba2d5d5" hidden="1">#REF!</definedName>
    <definedName name="Tigr_Exhibit2074cf22_1b10_41ef_a837_127f612b1c5f" localSheetId="0" hidden="1">#REF!</definedName>
    <definedName name="Tigr_Exhibit2074cf22_1b10_41ef_a837_127f612b1c5f" hidden="1">#REF!</definedName>
    <definedName name="Tigr_Exhibit21165c4f_b9f3_4da9_a90f_b5ab13d1332b" localSheetId="0" hidden="1">#REF!</definedName>
    <definedName name="Tigr_Exhibit21165c4f_b9f3_4da9_a90f_b5ab13d1332b" hidden="1">#REF!</definedName>
    <definedName name="Tigr_Exhibit2121b2d3_cfbf_4d9c_9a77_c1efd20064e0" localSheetId="0" hidden="1">#REF!</definedName>
    <definedName name="Tigr_Exhibit2121b2d3_cfbf_4d9c_9a77_c1efd20064e0" hidden="1">#REF!</definedName>
    <definedName name="Tigr_Exhibit2261f69b_2a95_4acc_8c3f_361ad244e3cb" localSheetId="0" hidden="1">#REF!</definedName>
    <definedName name="Tigr_Exhibit2261f69b_2a95_4acc_8c3f_361ad244e3cb" hidden="1">#REF!</definedName>
    <definedName name="Tigr_Exhibit232de40f_f0b4_4f98_b209_7765e9331084" localSheetId="0" hidden="1">#REF!</definedName>
    <definedName name="Tigr_Exhibit232de40f_f0b4_4f98_b209_7765e9331084" hidden="1">#REF!</definedName>
    <definedName name="Tigr_Exhibit2516a985_47de_4147_8c68_aea22d5ffd0c" localSheetId="0" hidden="1">#REF!</definedName>
    <definedName name="Tigr_Exhibit2516a985_47de_4147_8c68_aea22d5ffd0c" hidden="1">#REF!</definedName>
    <definedName name="Tigr_Exhibit27383d09_66a3_42b2_af98_c4f2888da1ef" localSheetId="0" hidden="1">#REF!</definedName>
    <definedName name="Tigr_Exhibit27383d09_66a3_42b2_af98_c4f2888da1ef" hidden="1">#REF!</definedName>
    <definedName name="Tigr_Exhibit27f867b0_fb39_486e_bf48_806f0a8c0acf" localSheetId="0" hidden="1">#REF!</definedName>
    <definedName name="Tigr_Exhibit27f867b0_fb39_486e_bf48_806f0a8c0acf" hidden="1">#REF!</definedName>
    <definedName name="Tigr_Exhibit282115e9_7540_4dab_8470_73e026c76da7" localSheetId="0" hidden="1">#REF!</definedName>
    <definedName name="Tigr_Exhibit282115e9_7540_4dab_8470_73e026c76da7" hidden="1">#REF!</definedName>
    <definedName name="Tigr_Exhibit2845dae5_833c_45ad_9c25_88bc4ea9278f" localSheetId="0" hidden="1">#REF!</definedName>
    <definedName name="Tigr_Exhibit2845dae5_833c_45ad_9c25_88bc4ea9278f" hidden="1">#REF!</definedName>
    <definedName name="Tigr_Exhibit29982a7d_4b5c_44d9_b5cd_e456b89201ee" localSheetId="0" hidden="1">#REF!</definedName>
    <definedName name="Tigr_Exhibit29982a7d_4b5c_44d9_b5cd_e456b89201ee" hidden="1">#REF!</definedName>
    <definedName name="Tigr_Exhibit29dc24f8_90ac_4a81_9ec5_08d1d2abb4a3" localSheetId="0" hidden="1">#REF!</definedName>
    <definedName name="Tigr_Exhibit29dc24f8_90ac_4a81_9ec5_08d1d2abb4a3" hidden="1">#REF!</definedName>
    <definedName name="Tigr_Exhibit2af9040f_2283_4568_9566_70c33380df7d" localSheetId="0" hidden="1">#REF!</definedName>
    <definedName name="Tigr_Exhibit2af9040f_2283_4568_9566_70c33380df7d" hidden="1">#REF!</definedName>
    <definedName name="Tigr_Exhibit2b7cafa2_530c_4bfe_b965_8b151b325566" localSheetId="0" hidden="1">#REF!</definedName>
    <definedName name="Tigr_Exhibit2b7cafa2_530c_4bfe_b965_8b151b325566" hidden="1">#REF!</definedName>
    <definedName name="Tigr_Exhibit2b816ec0_33c5_45bf_b5fa_3e18a9a2b010" localSheetId="0" hidden="1">#REF!</definedName>
    <definedName name="Tigr_Exhibit2b816ec0_33c5_45bf_b5fa_3e18a9a2b010" hidden="1">#REF!</definedName>
    <definedName name="Tigr_Exhibit2bb9ce48_bc6f_4116_b46d_65e18fa39f14" localSheetId="0" hidden="1">#REF!</definedName>
    <definedName name="Tigr_Exhibit2bb9ce48_bc6f_4116_b46d_65e18fa39f14" hidden="1">#REF!</definedName>
    <definedName name="Tigr_Exhibit2d8772e0_7224_47a3_a30e_f2c4af79dee6" localSheetId="0" hidden="1">#REF!</definedName>
    <definedName name="Tigr_Exhibit2d8772e0_7224_47a3_a30e_f2c4af79dee6" hidden="1">#REF!</definedName>
    <definedName name="Tigr_Exhibit2dd1d078_b4d9_4e41_9de5_eaad2c2b0889" localSheetId="0" hidden="1">#REF!</definedName>
    <definedName name="Tigr_Exhibit2dd1d078_b4d9_4e41_9de5_eaad2c2b0889" hidden="1">#REF!</definedName>
    <definedName name="Tigr_Exhibit2de745d6_d722_4381_a4a5_12e0ddb87583" localSheetId="0" hidden="1">#REF!</definedName>
    <definedName name="Tigr_Exhibit2de745d6_d722_4381_a4a5_12e0ddb87583" hidden="1">#REF!</definedName>
    <definedName name="Tigr_Exhibit2e223d80_3dde_44e5_9bae_3a280efe3913" localSheetId="0" hidden="1">#REF!</definedName>
    <definedName name="Tigr_Exhibit2e223d80_3dde_44e5_9bae_3a280efe3913" hidden="1">#REF!</definedName>
    <definedName name="Tigr_Exhibit2ecb11af_9721_4d4f_99ea_5d0a3f2d6ef6" localSheetId="0" hidden="1">#REF!</definedName>
    <definedName name="Tigr_Exhibit2ecb11af_9721_4d4f_99ea_5d0a3f2d6ef6" hidden="1">#REF!</definedName>
    <definedName name="Tigr_Exhibit2ee1458c_2f99_4d03_b668_d8232d7f64c2" localSheetId="0" hidden="1">#REF!</definedName>
    <definedName name="Tigr_Exhibit2ee1458c_2f99_4d03_b668_d8232d7f64c2" hidden="1">#REF!</definedName>
    <definedName name="Tigr_Exhibit2f3a9d15_98ef_41fc_8280_d0f1747e00db" localSheetId="0" hidden="1">#REF!</definedName>
    <definedName name="Tigr_Exhibit2f3a9d15_98ef_41fc_8280_d0f1747e00db" hidden="1">#REF!</definedName>
    <definedName name="Tigr_Exhibit2f8d8eac_a3d5_49f7_b973_4d38bb881f36" localSheetId="0" hidden="1">#REF!</definedName>
    <definedName name="Tigr_Exhibit2f8d8eac_a3d5_49f7_b973_4d38bb881f36" hidden="1">#REF!</definedName>
    <definedName name="Tigr_Exhibit2f98f5b6_901e_4b51_8adc_b92acc6ea693" localSheetId="0" hidden="1">#REF!</definedName>
    <definedName name="Tigr_Exhibit2f98f5b6_901e_4b51_8adc_b92acc6ea693" hidden="1">#REF!</definedName>
    <definedName name="Tigr_Exhibit31b91d07_1f8f_4088_a583_9357e81a697d" localSheetId="0" hidden="1">#REF!</definedName>
    <definedName name="Tigr_Exhibit31b91d07_1f8f_4088_a583_9357e81a697d" hidden="1">#REF!</definedName>
    <definedName name="Tigr_Exhibit31c7aa01_5d16_4d9f_8e5a_d2a1f32887d6" localSheetId="0" hidden="1">#REF!</definedName>
    <definedName name="Tigr_Exhibit31c7aa01_5d16_4d9f_8e5a_d2a1f32887d6" hidden="1">#REF!</definedName>
    <definedName name="Tigr_Exhibit34c5fed8_1f0f_46ab_a61a_c15d4d83118d" localSheetId="0" hidden="1">#REF!</definedName>
    <definedName name="Tigr_Exhibit34c5fed8_1f0f_46ab_a61a_c15d4d83118d" hidden="1">#REF!</definedName>
    <definedName name="Tigr_Exhibit354ec753_a4c1_4e9e_be14_6d1a1f123ae3" localSheetId="0" hidden="1">#REF!</definedName>
    <definedName name="Tigr_Exhibit354ec753_a4c1_4e9e_be14_6d1a1f123ae3" hidden="1">#REF!</definedName>
    <definedName name="Tigr_Exhibit355c20a2_e353_409f_9799_ab1fc2c97fbf" localSheetId="0" hidden="1">#REF!</definedName>
    <definedName name="Tigr_Exhibit355c20a2_e353_409f_9799_ab1fc2c97fbf" hidden="1">#REF!</definedName>
    <definedName name="Tigr_Exhibit36a6f353_636c_4c43_a369_de30ecb23a3b" localSheetId="0" hidden="1">#REF!</definedName>
    <definedName name="Tigr_Exhibit36a6f353_636c_4c43_a369_de30ecb23a3b" hidden="1">#REF!</definedName>
    <definedName name="Tigr_Exhibit37720d8b_81fd_4d42_b9ab_5aeedeca0f6e" localSheetId="0" hidden="1">#REF!</definedName>
    <definedName name="Tigr_Exhibit37720d8b_81fd_4d42_b9ab_5aeedeca0f6e" hidden="1">#REF!</definedName>
    <definedName name="Tigr_Exhibit3847e256_2a32_4b37_a4fe_cfbdce94e977" localSheetId="0" hidden="1">#REF!</definedName>
    <definedName name="Tigr_Exhibit3847e256_2a32_4b37_a4fe_cfbdce94e977" hidden="1">#REF!</definedName>
    <definedName name="Tigr_Exhibit3a74fb95_dba5_4046_bae6_44f953effba2" localSheetId="0" hidden="1">#REF!</definedName>
    <definedName name="Tigr_Exhibit3a74fb95_dba5_4046_bae6_44f953effba2" hidden="1">#REF!</definedName>
    <definedName name="Tigr_Exhibit3ad55eda_8681_472e_9f47_758aeb54722e" localSheetId="0" hidden="1">#REF!</definedName>
    <definedName name="Tigr_Exhibit3ad55eda_8681_472e_9f47_758aeb54722e" hidden="1">#REF!</definedName>
    <definedName name="Tigr_Exhibit3bbaf8df_292d_43d6_9e7c_2c9f8e255f55" localSheetId="0" hidden="1">#REF!</definedName>
    <definedName name="Tigr_Exhibit3bbaf8df_292d_43d6_9e7c_2c9f8e255f55" hidden="1">#REF!</definedName>
    <definedName name="Tigr_Exhibit3e09e4b0_a959_4073_8284_3a5dc1569699" localSheetId="0" hidden="1">#REF!</definedName>
    <definedName name="Tigr_Exhibit3e09e4b0_a959_4073_8284_3a5dc1569699" hidden="1">#REF!</definedName>
    <definedName name="Tigr_Exhibit4003d908_1075_4ed1_9dc3_1dc401c1cdc1" localSheetId="0" hidden="1">#REF!</definedName>
    <definedName name="Tigr_Exhibit4003d908_1075_4ed1_9dc3_1dc401c1cdc1" hidden="1">#REF!</definedName>
    <definedName name="Tigr_Exhibit40193033_d956_4f10_af99_83eb737441d2" localSheetId="0" hidden="1">#REF!</definedName>
    <definedName name="Tigr_Exhibit40193033_d956_4f10_af99_83eb737441d2" hidden="1">#REF!</definedName>
    <definedName name="Tigr_Exhibit41fb6e9e_8ba5_440f_889e_45e033e95d06" localSheetId="0" hidden="1">#REF!</definedName>
    <definedName name="Tigr_Exhibit41fb6e9e_8ba5_440f_889e_45e033e95d06" hidden="1">#REF!</definedName>
    <definedName name="Tigr_Exhibit4205ad55_9781_4289_bf12_fd12592939eb" localSheetId="0" hidden="1">#REF!</definedName>
    <definedName name="Tigr_Exhibit4205ad55_9781_4289_bf12_fd12592939eb" hidden="1">#REF!</definedName>
    <definedName name="Tigr_Exhibit43542f31_4c2c_4e8e_b644_897e248f39bf" localSheetId="0" hidden="1">#REF!</definedName>
    <definedName name="Tigr_Exhibit43542f31_4c2c_4e8e_b644_897e248f39bf" hidden="1">#REF!</definedName>
    <definedName name="Tigr_Exhibit43c51a53_c8bf_4a5a_a6c8_5bd6992ed679" localSheetId="0" hidden="1">#REF!</definedName>
    <definedName name="Tigr_Exhibit43c51a53_c8bf_4a5a_a6c8_5bd6992ed679" hidden="1">#REF!</definedName>
    <definedName name="Tigr_Exhibit44b9f3cd_9d29_4491_a424_75b28964250f" localSheetId="0" hidden="1">#REF!</definedName>
    <definedName name="Tigr_Exhibit44b9f3cd_9d29_4491_a424_75b28964250f" hidden="1">#REF!</definedName>
    <definedName name="Tigr_Exhibit4687e23b_6a2e_49c1_8839_6eeebf2286e7" localSheetId="0" hidden="1">#REF!</definedName>
    <definedName name="Tigr_Exhibit4687e23b_6a2e_49c1_8839_6eeebf2286e7" hidden="1">#REF!</definedName>
    <definedName name="Tigr_Exhibit46a5981a_2637_4fd9_b0ee_5d4da32cf041" localSheetId="0" hidden="1">#REF!</definedName>
    <definedName name="Tigr_Exhibit46a5981a_2637_4fd9_b0ee_5d4da32cf041" hidden="1">#REF!</definedName>
    <definedName name="Tigr_Exhibit46bcd751_2264_4eff_95ac_cf32a83f2f5f" localSheetId="0" hidden="1">#REF!</definedName>
    <definedName name="Tigr_Exhibit46bcd751_2264_4eff_95ac_cf32a83f2f5f" hidden="1">#REF!</definedName>
    <definedName name="Tigr_Exhibit46da0b89_e3f8_4af2_a6b7_374f4d72efdd" localSheetId="0" hidden="1">#REF!</definedName>
    <definedName name="Tigr_Exhibit46da0b89_e3f8_4af2_a6b7_374f4d72efdd" hidden="1">#REF!</definedName>
    <definedName name="Tigr_Exhibit48c03c34_bf41_44b4_9198_c2efd7f2cfd5" localSheetId="0" hidden="1">#REF!</definedName>
    <definedName name="Tigr_Exhibit48c03c34_bf41_44b4_9198_c2efd7f2cfd5" hidden="1">#REF!</definedName>
    <definedName name="Tigr_Exhibit48e98d7a_4b4a_42a6_a6fb_69777e55aa4a" localSheetId="0" hidden="1">#REF!</definedName>
    <definedName name="Tigr_Exhibit48e98d7a_4b4a_42a6_a6fb_69777e55aa4a" hidden="1">#REF!</definedName>
    <definedName name="Tigr_Exhibit49867ee3_795d_4502_a583_44f0691f7a00" localSheetId="0" hidden="1">#REF!</definedName>
    <definedName name="Tigr_Exhibit49867ee3_795d_4502_a583_44f0691f7a00" hidden="1">#REF!</definedName>
    <definedName name="Tigr_Exhibit49b0750c_6c2c_44cc_a7f7_e160ad867cce" localSheetId="0" hidden="1">#REF!</definedName>
    <definedName name="Tigr_Exhibit49b0750c_6c2c_44cc_a7f7_e160ad867cce" hidden="1">#REF!</definedName>
    <definedName name="Tigr_Exhibit4ae05ddc_d946_4999_9cd4_64b74fed78a5" localSheetId="0" hidden="1">#REF!</definedName>
    <definedName name="Tigr_Exhibit4ae05ddc_d946_4999_9cd4_64b74fed78a5" hidden="1">#REF!</definedName>
    <definedName name="Tigr_Exhibit4b3983e9_50f6_4630_b860_42a5d082e586" localSheetId="0" hidden="1">#REF!</definedName>
    <definedName name="Tigr_Exhibit4b3983e9_50f6_4630_b860_42a5d082e586" hidden="1">#REF!</definedName>
    <definedName name="Tigr_Exhibit4bbf09ad_f692_4db5_a93d_804bd350d5de" localSheetId="0" hidden="1">#REF!</definedName>
    <definedName name="Tigr_Exhibit4bbf09ad_f692_4db5_a93d_804bd350d5de" hidden="1">#REF!</definedName>
    <definedName name="Tigr_Exhibit4d82c099_0828_4e43_9ed4_b1824a69575e" localSheetId="0" hidden="1">#REF!</definedName>
    <definedName name="Tigr_Exhibit4d82c099_0828_4e43_9ed4_b1824a69575e" hidden="1">#REF!</definedName>
    <definedName name="Tigr_Exhibit506b4d61_252a_49d1_87df_71ee02dc7671" localSheetId="0" hidden="1">#REF!</definedName>
    <definedName name="Tigr_Exhibit506b4d61_252a_49d1_87df_71ee02dc7671" hidden="1">#REF!</definedName>
    <definedName name="Tigr_Exhibit50970383_b545_4790_a22f_d314d287a39d" localSheetId="0" hidden="1">#REF!</definedName>
    <definedName name="Tigr_Exhibit50970383_b545_4790_a22f_d314d287a39d" hidden="1">#REF!</definedName>
    <definedName name="Tigr_Exhibit51406118_e499_4bb8_bd92_b8ab9b0e92b1" localSheetId="0" hidden="1">#REF!</definedName>
    <definedName name="Tigr_Exhibit51406118_e499_4bb8_bd92_b8ab9b0e92b1" hidden="1">#REF!</definedName>
    <definedName name="Tigr_Exhibit514c3783_3c3f_45d5_b622_2a7f9040ec6d" localSheetId="0" hidden="1">#REF!</definedName>
    <definedName name="Tigr_Exhibit514c3783_3c3f_45d5_b622_2a7f9040ec6d" hidden="1">#REF!</definedName>
    <definedName name="Tigr_Exhibit52e39287_0be0_4a2b_93bb_14f1bf2f3828" localSheetId="0" hidden="1">#REF!</definedName>
    <definedName name="Tigr_Exhibit52e39287_0be0_4a2b_93bb_14f1bf2f3828" hidden="1">#REF!</definedName>
    <definedName name="Tigr_Exhibit535ebc32_15f9_4dcd_84e3_f7d11ac98e93" localSheetId="0" hidden="1">#REF!</definedName>
    <definedName name="Tigr_Exhibit535ebc32_15f9_4dcd_84e3_f7d11ac98e93" hidden="1">#REF!</definedName>
    <definedName name="Tigr_Exhibit566e889c_cdb8_429e_a8ca_4317e78d60b7" localSheetId="0" hidden="1">#REF!</definedName>
    <definedName name="Tigr_Exhibit566e889c_cdb8_429e_a8ca_4317e78d60b7" hidden="1">#REF!</definedName>
    <definedName name="Tigr_Exhibit5678f479_ab39_47b4_a564_13adce34de70" localSheetId="0" hidden="1">#REF!</definedName>
    <definedName name="Tigr_Exhibit5678f479_ab39_47b4_a564_13adce34de70" hidden="1">#REF!</definedName>
    <definedName name="Tigr_Exhibit56acfc98_cad0_43bb_86c0_c44efbc324eb" localSheetId="0" hidden="1">#REF!</definedName>
    <definedName name="Tigr_Exhibit56acfc98_cad0_43bb_86c0_c44efbc324eb" hidden="1">#REF!</definedName>
    <definedName name="Tigr_Exhibit56b33795_7bf8_4e87_b4e0_e52176a1d3c7" localSheetId="0" hidden="1">#REF!</definedName>
    <definedName name="Tigr_Exhibit56b33795_7bf8_4e87_b4e0_e52176a1d3c7" hidden="1">#REF!</definedName>
    <definedName name="Tigr_Exhibit5725e1f3_bf16_456d_8fa0_6f0ac10ec64f" localSheetId="0" hidden="1">#REF!</definedName>
    <definedName name="Tigr_Exhibit5725e1f3_bf16_456d_8fa0_6f0ac10ec64f" hidden="1">#REF!</definedName>
    <definedName name="Tigr_Exhibit573e68d1_fd37_4d1b_b71e_820ec476becf" localSheetId="0" hidden="1">#REF!</definedName>
    <definedName name="Tigr_Exhibit573e68d1_fd37_4d1b_b71e_820ec476becf" hidden="1">#REF!</definedName>
    <definedName name="Tigr_Exhibit58ae2035_7726_4748_bc2a_9c152ad68eb0" localSheetId="0" hidden="1">#REF!</definedName>
    <definedName name="Tigr_Exhibit58ae2035_7726_4748_bc2a_9c152ad68eb0" hidden="1">#REF!</definedName>
    <definedName name="Tigr_Exhibit5a01b379_a87a_4847_bdb0_a3363f3d9be1" localSheetId="0" hidden="1">#REF!</definedName>
    <definedName name="Tigr_Exhibit5a01b379_a87a_4847_bdb0_a3363f3d9be1" hidden="1">#REF!</definedName>
    <definedName name="Tigr_Exhibit5a0401e3_0694_46fb_82ca_7a278a815351" localSheetId="0" hidden="1">#REF!</definedName>
    <definedName name="Tigr_Exhibit5a0401e3_0694_46fb_82ca_7a278a815351" hidden="1">#REF!</definedName>
    <definedName name="Tigr_Exhibit5abffcdf_61af_4721_9b17_1ae3b657d4a0" localSheetId="0" hidden="1">#REF!</definedName>
    <definedName name="Tigr_Exhibit5abffcdf_61af_4721_9b17_1ae3b657d4a0" hidden="1">#REF!</definedName>
    <definedName name="Tigr_Exhibit5ad1876c_d341_45d5_a211_c9a4a5d82295" localSheetId="0" hidden="1">#REF!</definedName>
    <definedName name="Tigr_Exhibit5ad1876c_d341_45d5_a211_c9a4a5d82295" hidden="1">#REF!</definedName>
    <definedName name="Tigr_Exhibit5caceb31_173b_4571_add1_ce165c8c5e5e" localSheetId="0" hidden="1">#REF!</definedName>
    <definedName name="Tigr_Exhibit5caceb31_173b_4571_add1_ce165c8c5e5e" hidden="1">#REF!</definedName>
    <definedName name="Tigr_Exhibit5ddb12ee_2c7f_4be5_a6bc_3a2b84a90dd6" localSheetId="0" hidden="1">#REF!</definedName>
    <definedName name="Tigr_Exhibit5ddb12ee_2c7f_4be5_a6bc_3a2b84a90dd6" hidden="1">#REF!</definedName>
    <definedName name="Tigr_Exhibit5e78d0de_089d_4c3b_ac50_b788268f59e6" localSheetId="0" hidden="1">#REF!</definedName>
    <definedName name="Tigr_Exhibit5e78d0de_089d_4c3b_ac50_b788268f59e6" hidden="1">#REF!</definedName>
    <definedName name="Tigr_Exhibit5eadb992_fbc9_40b0_a178_6e518a0e7ee0" localSheetId="0" hidden="1">#REF!</definedName>
    <definedName name="Tigr_Exhibit5eadb992_fbc9_40b0_a178_6e518a0e7ee0" hidden="1">#REF!</definedName>
    <definedName name="Tigr_Exhibit5f9f7e54_2866_4444_8dbb_e0577eb0816d" localSheetId="0" hidden="1">#REF!</definedName>
    <definedName name="Tigr_Exhibit5f9f7e54_2866_4444_8dbb_e0577eb0816d" hidden="1">#REF!</definedName>
    <definedName name="Tigr_Exhibit616c3076_f29f_4e6d_87b5_6cffd4f179b8" localSheetId="0" hidden="1">#REF!</definedName>
    <definedName name="Tigr_Exhibit616c3076_f29f_4e6d_87b5_6cffd4f179b8" hidden="1">#REF!</definedName>
    <definedName name="Tigr_Exhibit61cdacf6_bbe7_45c4_823e_436f8a0411b1" localSheetId="0" hidden="1">#REF!</definedName>
    <definedName name="Tigr_Exhibit61cdacf6_bbe7_45c4_823e_436f8a0411b1" hidden="1">#REF!</definedName>
    <definedName name="Tigr_Exhibit63515a70_c5c7_49b7_ab11_be813b2365f2" localSheetId="0" hidden="1">#REF!</definedName>
    <definedName name="Tigr_Exhibit63515a70_c5c7_49b7_ab11_be813b2365f2" hidden="1">#REF!</definedName>
    <definedName name="Tigr_Exhibit645d2d4c_0e81_44b4_bb81_72ed51e05625" localSheetId="0" hidden="1">#REF!</definedName>
    <definedName name="Tigr_Exhibit645d2d4c_0e81_44b4_bb81_72ed51e05625" hidden="1">#REF!</definedName>
    <definedName name="Tigr_Exhibit646626fc_f4a0_4a27_8be0_57dea61980f2" localSheetId="0" hidden="1">#REF!</definedName>
    <definedName name="Tigr_Exhibit646626fc_f4a0_4a27_8be0_57dea61980f2" hidden="1">#REF!</definedName>
    <definedName name="Tigr_Exhibit651ebbb7_8578_4af1_ad22_b47d4f772e09" localSheetId="0" hidden="1">#REF!</definedName>
    <definedName name="Tigr_Exhibit651ebbb7_8578_4af1_ad22_b47d4f772e09" hidden="1">#REF!</definedName>
    <definedName name="Tigr_Exhibit65992179_7380_4f59_a2a2_037da20a8101" localSheetId="0" hidden="1">#REF!</definedName>
    <definedName name="Tigr_Exhibit65992179_7380_4f59_a2a2_037da20a8101" hidden="1">#REF!</definedName>
    <definedName name="Tigr_Exhibit65f7f58e_a91d_4fdf_97ad_b762ac06abee" localSheetId="0" hidden="1">#REF!</definedName>
    <definedName name="Tigr_Exhibit65f7f58e_a91d_4fdf_97ad_b762ac06abee" hidden="1">#REF!</definedName>
    <definedName name="Tigr_Exhibit67da071e_b153_4cf6_a88e_71d1f6a5fa10" localSheetId="0" hidden="1">#REF!</definedName>
    <definedName name="Tigr_Exhibit67da071e_b153_4cf6_a88e_71d1f6a5fa10" hidden="1">#REF!</definedName>
    <definedName name="Tigr_Exhibit68bcddc8_88a1_472c_baa4_a9d38c4f8896" localSheetId="0" hidden="1">#REF!</definedName>
    <definedName name="Tigr_Exhibit68bcddc8_88a1_472c_baa4_a9d38c4f8896" hidden="1">#REF!</definedName>
    <definedName name="Tigr_Exhibit68c3ac07_1db5_4ce4_a48a_436ca76c6afe" localSheetId="0" hidden="1">#REF!</definedName>
    <definedName name="Tigr_Exhibit68c3ac07_1db5_4ce4_a48a_436ca76c6afe" hidden="1">#REF!</definedName>
    <definedName name="Tigr_Exhibit6a8e4dcb_108d_4957_8a0d_ac2264d115b2" localSheetId="0" hidden="1">#REF!</definedName>
    <definedName name="Tigr_Exhibit6a8e4dcb_108d_4957_8a0d_ac2264d115b2" hidden="1">#REF!</definedName>
    <definedName name="Tigr_Exhibit6b0512bf_56e8_45f4_8fc9_2b59a0c67552" localSheetId="0" hidden="1">#REF!</definedName>
    <definedName name="Tigr_Exhibit6b0512bf_56e8_45f4_8fc9_2b59a0c67552" hidden="1">#REF!</definedName>
    <definedName name="Tigr_Exhibit6bc42c02_9bfa_433b_a15a_5ad6d4bdf0eb" localSheetId="0" hidden="1">#REF!</definedName>
    <definedName name="Tigr_Exhibit6bc42c02_9bfa_433b_a15a_5ad6d4bdf0eb" hidden="1">#REF!</definedName>
    <definedName name="Tigr_Exhibit6bf0b7f9_553b_4d4a_98bf_5a833381aea5" localSheetId="0" hidden="1">#REF!</definedName>
    <definedName name="Tigr_Exhibit6bf0b7f9_553b_4d4a_98bf_5a833381aea5" hidden="1">#REF!</definedName>
    <definedName name="Tigr_Exhibit6bf4950f_9850_4390_ae30_07a1d2ff2364" localSheetId="0" hidden="1">#REF!</definedName>
    <definedName name="Tigr_Exhibit6bf4950f_9850_4390_ae30_07a1d2ff2364" hidden="1">#REF!</definedName>
    <definedName name="Tigr_Exhibit6dc89c53_785f_4f29_af2b_8bf7f8d802c4" localSheetId="0" hidden="1">#REF!</definedName>
    <definedName name="Tigr_Exhibit6dc89c53_785f_4f29_af2b_8bf7f8d802c4" hidden="1">#REF!</definedName>
    <definedName name="Tigr_Exhibit6e6cbb3e_f661_4cb2_9f53_2015b6fd3d9d" localSheetId="0" hidden="1">#REF!</definedName>
    <definedName name="Tigr_Exhibit6e6cbb3e_f661_4cb2_9f53_2015b6fd3d9d" hidden="1">#REF!</definedName>
    <definedName name="Tigr_Exhibit6ed60b5e_4317_480c_9250_19e130bf45ca" localSheetId="0" hidden="1">#REF!</definedName>
    <definedName name="Tigr_Exhibit6ed60b5e_4317_480c_9250_19e130bf45ca" hidden="1">#REF!</definedName>
    <definedName name="Tigr_Exhibit6ffe68ea_519d_4321_863a_367f7828817b" localSheetId="0" hidden="1">#REF!</definedName>
    <definedName name="Tigr_Exhibit6ffe68ea_519d_4321_863a_367f7828817b" hidden="1">#REF!</definedName>
    <definedName name="Tigr_Exhibit705ca2f7_76fd_4cb8_a0c9_6471559bb6e7" localSheetId="0" hidden="1">#REF!</definedName>
    <definedName name="Tigr_Exhibit705ca2f7_76fd_4cb8_a0c9_6471559bb6e7" hidden="1">#REF!</definedName>
    <definedName name="Tigr_Exhibit70985f17_340f_4aa8_bf22_dcb7b18c9789" localSheetId="0" hidden="1">#REF!</definedName>
    <definedName name="Tigr_Exhibit70985f17_340f_4aa8_bf22_dcb7b18c9789" hidden="1">#REF!</definedName>
    <definedName name="Tigr_Exhibit71254e85_9f12_481c_b6ff_9e2d17125501" localSheetId="0" hidden="1">#REF!</definedName>
    <definedName name="Tigr_Exhibit71254e85_9f12_481c_b6ff_9e2d17125501" hidden="1">#REF!</definedName>
    <definedName name="Tigr_Exhibit721b8aaf_28f4_4547_ba27_bcc81f43ea4d" localSheetId="0" hidden="1">#REF!</definedName>
    <definedName name="Tigr_Exhibit721b8aaf_28f4_4547_ba27_bcc81f43ea4d" hidden="1">#REF!</definedName>
    <definedName name="Tigr_Exhibit72bf87e2_bbfa_4cae_b877_a1466a3b9549" localSheetId="0" hidden="1">#REF!</definedName>
    <definedName name="Tigr_Exhibit72bf87e2_bbfa_4cae_b877_a1466a3b9549" hidden="1">#REF!</definedName>
    <definedName name="Tigr_Exhibit7303dce6_18ce_41ee_b69d_d4747fe8fe5f" localSheetId="0" hidden="1">#REF!</definedName>
    <definedName name="Tigr_Exhibit7303dce6_18ce_41ee_b69d_d4747fe8fe5f" hidden="1">#REF!</definedName>
    <definedName name="Tigr_Exhibit73770a04_078b_4900_a283_d05c122d81b6" localSheetId="0" hidden="1">#REF!</definedName>
    <definedName name="Tigr_Exhibit73770a04_078b_4900_a283_d05c122d81b6" hidden="1">#REF!</definedName>
    <definedName name="Tigr_Exhibit74a68e8a_29b5_4e27_9b4a_c24c9433a0f0" localSheetId="0" hidden="1">#REF!</definedName>
    <definedName name="Tigr_Exhibit74a68e8a_29b5_4e27_9b4a_c24c9433a0f0" hidden="1">#REF!</definedName>
    <definedName name="Tigr_Exhibit76759b89_407e_40b5_80bc_f92bbded74d9" localSheetId="0" hidden="1">#REF!</definedName>
    <definedName name="Tigr_Exhibit76759b89_407e_40b5_80bc_f92bbded74d9" hidden="1">#REF!</definedName>
    <definedName name="Tigr_Exhibit76e318fd_65d9_4fe1_8f60_1da480ce8b56" localSheetId="0" hidden="1">#REF!</definedName>
    <definedName name="Tigr_Exhibit76e318fd_65d9_4fe1_8f60_1da480ce8b56" hidden="1">#REF!</definedName>
    <definedName name="Tigr_Exhibit7a36d32f_4b26_487b_a867_57c9ef8426f7" localSheetId="0" hidden="1">#REF!</definedName>
    <definedName name="Tigr_Exhibit7a36d32f_4b26_487b_a867_57c9ef8426f7" hidden="1">#REF!</definedName>
    <definedName name="Tigr_Exhibit7a980156_e170_4949_963a_430047be6505" localSheetId="0" hidden="1">#REF!</definedName>
    <definedName name="Tigr_Exhibit7a980156_e170_4949_963a_430047be6505" hidden="1">#REF!</definedName>
    <definedName name="Tigr_Exhibit7b3af380_2b1e_4fd0_baef_ca727d9f3155" localSheetId="0" hidden="1">#REF!</definedName>
    <definedName name="Tigr_Exhibit7b3af380_2b1e_4fd0_baef_ca727d9f3155" hidden="1">#REF!</definedName>
    <definedName name="Tigr_Exhibit7bc8ae20_5770_4c32_9245_13a8deaa0b06" localSheetId="0" hidden="1">#REF!</definedName>
    <definedName name="Tigr_Exhibit7bc8ae20_5770_4c32_9245_13a8deaa0b06" hidden="1">#REF!</definedName>
    <definedName name="Tigr_Exhibit7cbafb79_fb90_4d46_b5c1_f5daff51df90" localSheetId="0" hidden="1">#REF!</definedName>
    <definedName name="Tigr_Exhibit7cbafb79_fb90_4d46_b5c1_f5daff51df90" hidden="1">#REF!</definedName>
    <definedName name="Tigr_Exhibit7cd312fb_0b55_4700_9ac5_5da21d4ec13a" localSheetId="0" hidden="1">#REF!</definedName>
    <definedName name="Tigr_Exhibit7cd312fb_0b55_4700_9ac5_5da21d4ec13a" hidden="1">#REF!</definedName>
    <definedName name="Tigr_Exhibit7cd6a931_337c_4627_a2c0_fb4f15d96c0a" localSheetId="0" hidden="1">#REF!</definedName>
    <definedName name="Tigr_Exhibit7cd6a931_337c_4627_a2c0_fb4f15d96c0a" hidden="1">#REF!</definedName>
    <definedName name="Tigr_Exhibit7cf40a10_0b2b_452d_ac9a_5efbe4c6eec9" localSheetId="0" hidden="1">#REF!</definedName>
    <definedName name="Tigr_Exhibit7cf40a10_0b2b_452d_ac9a_5efbe4c6eec9" hidden="1">#REF!</definedName>
    <definedName name="Tigr_Exhibit7d652a73_fb5c_4daa_babf_eb2be571c2dc" localSheetId="0" hidden="1">#REF!</definedName>
    <definedName name="Tigr_Exhibit7d652a73_fb5c_4daa_babf_eb2be571c2dc" hidden="1">#REF!</definedName>
    <definedName name="Tigr_Exhibit7ddf37b7_be2f_4898_b57c_e557bc8e1155" localSheetId="0" hidden="1">#REF!</definedName>
    <definedName name="Tigr_Exhibit7ddf37b7_be2f_4898_b57c_e557bc8e1155" hidden="1">#REF!</definedName>
    <definedName name="Tigr_Exhibit7fc37e34_db4d_466c_9ce4_44a6c195a37f" localSheetId="0" hidden="1">#REF!</definedName>
    <definedName name="Tigr_Exhibit7fc37e34_db4d_466c_9ce4_44a6c195a37f" hidden="1">#REF!</definedName>
    <definedName name="Tigr_Exhibit80cb8b49_072a_4da4_9091_9d8a3741d9b0" localSheetId="0" hidden="1">#REF!</definedName>
    <definedName name="Tigr_Exhibit80cb8b49_072a_4da4_9091_9d8a3741d9b0" hidden="1">#REF!</definedName>
    <definedName name="Tigr_Exhibit8123412a_695f_4dd0_b47c_b9d4ab96a18f" localSheetId="0" hidden="1">#REF!</definedName>
    <definedName name="Tigr_Exhibit8123412a_695f_4dd0_b47c_b9d4ab96a18f" hidden="1">#REF!</definedName>
    <definedName name="Tigr_Exhibit83b8cceb_54b2_4706_8b13_0ba852435a1c" localSheetId="0" hidden="1">#REF!</definedName>
    <definedName name="Tigr_Exhibit83b8cceb_54b2_4706_8b13_0ba852435a1c" hidden="1">#REF!</definedName>
    <definedName name="Tigr_Exhibit83df5c3f_9750_4f59_abb3_5fd2225d6e67" localSheetId="0" hidden="1">#REF!</definedName>
    <definedName name="Tigr_Exhibit83df5c3f_9750_4f59_abb3_5fd2225d6e67" hidden="1">#REF!</definedName>
    <definedName name="Tigr_Exhibit85de87ce_5fe8_463e_9d12_57fd2f573e91" localSheetId="0" hidden="1">#REF!</definedName>
    <definedName name="Tigr_Exhibit85de87ce_5fe8_463e_9d12_57fd2f573e91" hidden="1">#REF!</definedName>
    <definedName name="Tigr_Exhibit86c52f19_7c56_4d89_99af_9d5ae3b12b3e" localSheetId="0" hidden="1">#REF!</definedName>
    <definedName name="Tigr_Exhibit86c52f19_7c56_4d89_99af_9d5ae3b12b3e" hidden="1">#REF!</definedName>
    <definedName name="Tigr_Exhibit86f6fea3_3fa3_4448_84a9_09d742c32f1e" localSheetId="0" hidden="1">#REF!</definedName>
    <definedName name="Tigr_Exhibit86f6fea3_3fa3_4448_84a9_09d742c32f1e" hidden="1">#REF!</definedName>
    <definedName name="Tigr_Exhibit897b865f_603c_4452_be49_d07fdf19c23d" localSheetId="0" hidden="1">#REF!</definedName>
    <definedName name="Tigr_Exhibit897b865f_603c_4452_be49_d07fdf19c23d" hidden="1">#REF!</definedName>
    <definedName name="Tigr_Exhibit8995e510_4857_4bc8_9a54_82c5d2e72640" localSheetId="0" hidden="1">#REF!</definedName>
    <definedName name="Tigr_Exhibit8995e510_4857_4bc8_9a54_82c5d2e72640" hidden="1">#REF!</definedName>
    <definedName name="Tigr_Exhibit8c9d9453_6995_4a99_adf3_1fc7168f1949" localSheetId="0" hidden="1">#REF!</definedName>
    <definedName name="Tigr_Exhibit8c9d9453_6995_4a99_adf3_1fc7168f1949" hidden="1">#REF!</definedName>
    <definedName name="Tigr_Exhibit8cf0eb35_0f5f_4b18_aba3_b9b35bad6830" localSheetId="0" hidden="1">#REF!</definedName>
    <definedName name="Tigr_Exhibit8cf0eb35_0f5f_4b18_aba3_b9b35bad6830" hidden="1">#REF!</definedName>
    <definedName name="Tigr_Exhibit8eb0535d_014a_4dec_acd9_43c7aed7422a" localSheetId="0" hidden="1">#REF!</definedName>
    <definedName name="Tigr_Exhibit8eb0535d_014a_4dec_acd9_43c7aed7422a" hidden="1">#REF!</definedName>
    <definedName name="Tigr_Exhibit8fb0805d_8dde_4a1d_981e_b80508978747" localSheetId="0" hidden="1">#REF!</definedName>
    <definedName name="Tigr_Exhibit8fb0805d_8dde_4a1d_981e_b80508978747" hidden="1">#REF!</definedName>
    <definedName name="Tigr_Exhibit9111fe06_213e_4723_8cd6_a64c2aefc123" localSheetId="0" hidden="1">#REF!</definedName>
    <definedName name="Tigr_Exhibit9111fe06_213e_4723_8cd6_a64c2aefc123" hidden="1">#REF!</definedName>
    <definedName name="Tigr_Exhibit9203a61c_90c3_4dd7_8e38_a4b5dc1c9c71" localSheetId="0" hidden="1">#REF!</definedName>
    <definedName name="Tigr_Exhibit9203a61c_90c3_4dd7_8e38_a4b5dc1c9c71" hidden="1">#REF!</definedName>
    <definedName name="Tigr_Exhibit9236f40e_90fe_4dca_83b7_81651a6e3883" localSheetId="0" hidden="1">#REF!</definedName>
    <definedName name="Tigr_Exhibit9236f40e_90fe_4dca_83b7_81651a6e3883" hidden="1">#REF!</definedName>
    <definedName name="Tigr_Exhibit93e5e62c_f0fb_4d8b_9cbd_58017d488380" localSheetId="0" hidden="1">#REF!</definedName>
    <definedName name="Tigr_Exhibit93e5e62c_f0fb_4d8b_9cbd_58017d488380" hidden="1">#REF!</definedName>
    <definedName name="Tigr_Exhibit93e66ff9_4a27_4a1c_ba47_7e156c45dde8" localSheetId="0" hidden="1">#REF!</definedName>
    <definedName name="Tigr_Exhibit93e66ff9_4a27_4a1c_ba47_7e156c45dde8" hidden="1">#REF!</definedName>
    <definedName name="Tigr_Exhibit97389a83_fa18_4280_b390_855d2b6f1151" localSheetId="0" hidden="1">#REF!</definedName>
    <definedName name="Tigr_Exhibit97389a83_fa18_4280_b390_855d2b6f1151" hidden="1">#REF!</definedName>
    <definedName name="Tigr_Exhibit9794e0e0_14f8_4c16_b921_904da9e9d483" localSheetId="0" hidden="1">#REF!</definedName>
    <definedName name="Tigr_Exhibit9794e0e0_14f8_4c16_b921_904da9e9d483" hidden="1">#REF!</definedName>
    <definedName name="Tigr_Exhibit988a2a98_c423_4721_9b87_807a3849b329" localSheetId="0" hidden="1">#REF!</definedName>
    <definedName name="Tigr_Exhibit988a2a98_c423_4721_9b87_807a3849b329" hidden="1">#REF!</definedName>
    <definedName name="Tigr_Exhibit9b60f733_be0b_4edb_84d6_e981fb87781a" localSheetId="0" hidden="1">#REF!</definedName>
    <definedName name="Tigr_Exhibit9b60f733_be0b_4edb_84d6_e981fb87781a" hidden="1">#REF!</definedName>
    <definedName name="Tigr_Exhibit9b76ebb7_27cc_496d_82b2_fb47f3f1507b" localSheetId="0" hidden="1">#REF!</definedName>
    <definedName name="Tigr_Exhibit9b76ebb7_27cc_496d_82b2_fb47f3f1507b" hidden="1">#REF!</definedName>
    <definedName name="Tigr_Exhibit9b9d4e4a_52b8_4fda_acf3_7bdaec77d368" localSheetId="0" hidden="1">#REF!</definedName>
    <definedName name="Tigr_Exhibit9b9d4e4a_52b8_4fda_acf3_7bdaec77d368" hidden="1">#REF!</definedName>
    <definedName name="Tigr_Exhibit9c5e2aab_4768_4432_86c6_7060d017f40d" localSheetId="0" hidden="1">#REF!</definedName>
    <definedName name="Tigr_Exhibit9c5e2aab_4768_4432_86c6_7060d017f40d" hidden="1">#REF!</definedName>
    <definedName name="Tigr_Exhibit9cfe0878_15c4_4942_b102_1ca19d759dc4" localSheetId="0" hidden="1">#REF!</definedName>
    <definedName name="Tigr_Exhibit9cfe0878_15c4_4942_b102_1ca19d759dc4" hidden="1">#REF!</definedName>
    <definedName name="Tigr_Exhibit9e9e4987_f004_4a2c_8c2e_ed32e75d1128" localSheetId="0" hidden="1">#REF!</definedName>
    <definedName name="Tigr_Exhibit9e9e4987_f004_4a2c_8c2e_ed32e75d1128" hidden="1">#REF!</definedName>
    <definedName name="Tigr_Exhibita041b09e_70f1_4091_971d_9fbf0d879648" localSheetId="0" hidden="1">#REF!</definedName>
    <definedName name="Tigr_Exhibita041b09e_70f1_4091_971d_9fbf0d879648" hidden="1">#REF!</definedName>
    <definedName name="Tigr_Exhibita0cb7d4e_5a2f_43c2_8589_649866e9cae6" localSheetId="0" hidden="1">#REF!</definedName>
    <definedName name="Tigr_Exhibita0cb7d4e_5a2f_43c2_8589_649866e9cae6" hidden="1">#REF!</definedName>
    <definedName name="Tigr_Exhibita2574a4e_eccc_46e3_ae3c_5b6e0beb3bfb" localSheetId="0" hidden="1">#REF!</definedName>
    <definedName name="Tigr_Exhibita2574a4e_eccc_46e3_ae3c_5b6e0beb3bfb" hidden="1">#REF!</definedName>
    <definedName name="Tigr_Exhibita36a24cb_0fce_4331_96b8_9cdd20c8a255" localSheetId="0" hidden="1">#REF!</definedName>
    <definedName name="Tigr_Exhibita36a24cb_0fce_4331_96b8_9cdd20c8a255" hidden="1">#REF!</definedName>
    <definedName name="Tigr_Exhibita5b5dcee_90df_4644_821b_bb43f73ff769" localSheetId="0" hidden="1">#REF!</definedName>
    <definedName name="Tigr_Exhibita5b5dcee_90df_4644_821b_bb43f73ff769" hidden="1">#REF!</definedName>
    <definedName name="Tigr_Exhibita6b393d3_6dc4_40d3_9993_b62b7303bd42" localSheetId="0" hidden="1">#REF!</definedName>
    <definedName name="Tigr_Exhibita6b393d3_6dc4_40d3_9993_b62b7303bd42" hidden="1">#REF!</definedName>
    <definedName name="Tigr_Exhibita8576a5b_14e7_476e_b64a_640c66f1c271" localSheetId="0" hidden="1">#REF!</definedName>
    <definedName name="Tigr_Exhibita8576a5b_14e7_476e_b64a_640c66f1c271" hidden="1">#REF!</definedName>
    <definedName name="Tigr_Exhibita8a99166_05e4_45e1_87a5_6631ae7cdb98" localSheetId="0" hidden="1">#REF!</definedName>
    <definedName name="Tigr_Exhibita8a99166_05e4_45e1_87a5_6631ae7cdb98" hidden="1">#REF!</definedName>
    <definedName name="Tigr_Exhibitaa369b83_5c2d_4559_bc2a_18bb2f1417af" localSheetId="0" hidden="1">#REF!</definedName>
    <definedName name="Tigr_Exhibitaa369b83_5c2d_4559_bc2a_18bb2f1417af" hidden="1">#REF!</definedName>
    <definedName name="Tigr_Exhibitaa9df66b_edbe_4ce3_93b7_ef2fe735960c" localSheetId="0" hidden="1">#REF!</definedName>
    <definedName name="Tigr_Exhibitaa9df66b_edbe_4ce3_93b7_ef2fe735960c" hidden="1">#REF!</definedName>
    <definedName name="Tigr_Exhibitabe68882_ec4c_4b5a_96ac_3a259ea90ff2" localSheetId="0" hidden="1">#REF!</definedName>
    <definedName name="Tigr_Exhibitabe68882_ec4c_4b5a_96ac_3a259ea90ff2" hidden="1">#REF!</definedName>
    <definedName name="Tigr_Exhibitacc67b60_e597_43bf_a131_c038a125fd71" localSheetId="0" hidden="1">#REF!</definedName>
    <definedName name="Tigr_Exhibitacc67b60_e597_43bf_a131_c038a125fd71" hidden="1">#REF!</definedName>
    <definedName name="Tigr_Exhibitadb66c44_afc0_426c_b435_d0eea22fafa1" localSheetId="0" hidden="1">#REF!</definedName>
    <definedName name="Tigr_Exhibitadb66c44_afc0_426c_b435_d0eea22fafa1" hidden="1">#REF!</definedName>
    <definedName name="Tigr_Exhibitb02a929a_1501_4c3c_92e8_2b60587e1ca7" localSheetId="0" hidden="1">#REF!</definedName>
    <definedName name="Tigr_Exhibitb02a929a_1501_4c3c_92e8_2b60587e1ca7" hidden="1">#REF!</definedName>
    <definedName name="Tigr_Exhibitb164369b_e616_460a_8363_ba1f1b34e394" localSheetId="0" hidden="1">#REF!</definedName>
    <definedName name="Tigr_Exhibitb164369b_e616_460a_8363_ba1f1b34e394" hidden="1">#REF!</definedName>
    <definedName name="Tigr_Exhibitb1864d0f_5ddf_40cf_857f_2f221aa1077a" localSheetId="0" hidden="1">#REF!</definedName>
    <definedName name="Tigr_Exhibitb1864d0f_5ddf_40cf_857f_2f221aa1077a" hidden="1">#REF!</definedName>
    <definedName name="Tigr_Exhibitb2021e48_6dc7_4936_80fa_19133aa82597" localSheetId="0" hidden="1">#REF!</definedName>
    <definedName name="Tigr_Exhibitb2021e48_6dc7_4936_80fa_19133aa82597" hidden="1">#REF!</definedName>
    <definedName name="Tigr_Exhibitb21d3ba2_f6a1_4654_8f10_8aacfd8fd04d" localSheetId="0" hidden="1">#REF!</definedName>
    <definedName name="Tigr_Exhibitb21d3ba2_f6a1_4654_8f10_8aacfd8fd04d" hidden="1">#REF!</definedName>
    <definedName name="Tigr_Exhibitb22ee715_8c74_4d69_a4d6_7820bf059a7a" localSheetId="0" hidden="1">#REF!</definedName>
    <definedName name="Tigr_Exhibitb22ee715_8c74_4d69_a4d6_7820bf059a7a" hidden="1">#REF!</definedName>
    <definedName name="Tigr_Exhibitb2f4f424_bff2_4670_9586_f75a795b4864" localSheetId="0" hidden="1">#REF!</definedName>
    <definedName name="Tigr_Exhibitb2f4f424_bff2_4670_9586_f75a795b4864" hidden="1">#REF!</definedName>
    <definedName name="Tigr_Exhibitb34fea93_d672_4c73_8c6c_e7aa9e3cde94" localSheetId="0" hidden="1">#REF!</definedName>
    <definedName name="Tigr_Exhibitb34fea93_d672_4c73_8c6c_e7aa9e3cde94" hidden="1">#REF!</definedName>
    <definedName name="Tigr_Exhibitb35f821d_0082_4caf_b2cb_16f549f4dcbb" localSheetId="0" hidden="1">#REF!</definedName>
    <definedName name="Tigr_Exhibitb35f821d_0082_4caf_b2cb_16f549f4dcbb" hidden="1">#REF!</definedName>
    <definedName name="Tigr_Exhibitb639d899_7981_4036_a49d_78140991d61f" localSheetId="0" hidden="1">#REF!</definedName>
    <definedName name="Tigr_Exhibitb639d899_7981_4036_a49d_78140991d61f" hidden="1">#REF!</definedName>
    <definedName name="Tigr_Exhibitb7002c3f_2e48_4371_87de_459a02b3fcc3" localSheetId="0" hidden="1">#REF!</definedName>
    <definedName name="Tigr_Exhibitb7002c3f_2e48_4371_87de_459a02b3fcc3" hidden="1">#REF!</definedName>
    <definedName name="Tigr_Exhibitbae8d664_a6d5_4121_a05e_04f7719b46cb" localSheetId="0" hidden="1">#REF!</definedName>
    <definedName name="Tigr_Exhibitbae8d664_a6d5_4121_a05e_04f7719b46cb" hidden="1">#REF!</definedName>
    <definedName name="Tigr_Exhibitbbf10790_cea4_499a_812d_d5bb7b91c3a2" localSheetId="0" hidden="1">#REF!</definedName>
    <definedName name="Tigr_Exhibitbbf10790_cea4_499a_812d_d5bb7b91c3a2" hidden="1">#REF!</definedName>
    <definedName name="Tigr_Exhibitbd1eb588_b0cc_4208_8e32_8319ab80a84b" localSheetId="0" hidden="1">#REF!</definedName>
    <definedName name="Tigr_Exhibitbd1eb588_b0cc_4208_8e32_8319ab80a84b" hidden="1">#REF!</definedName>
    <definedName name="Tigr_Exhibitbd659489_51f4_4712_9344_55ad2f1c94ae" localSheetId="0" hidden="1">#REF!</definedName>
    <definedName name="Tigr_Exhibitbd659489_51f4_4712_9344_55ad2f1c94ae" hidden="1">#REF!</definedName>
    <definedName name="Tigr_Exhibitbe546a2c_7dbc_4634_8146_acd891699815" localSheetId="0" hidden="1">#REF!</definedName>
    <definedName name="Tigr_Exhibitbe546a2c_7dbc_4634_8146_acd891699815" hidden="1">#REF!</definedName>
    <definedName name="Tigr_Exhibitbfa22bdc_f7a7_45b1_a332_cdd740ea57ae" localSheetId="0" hidden="1">#REF!</definedName>
    <definedName name="Tigr_Exhibitbfa22bdc_f7a7_45b1_a332_cdd740ea57ae" hidden="1">#REF!</definedName>
    <definedName name="Tigr_Exhibitc086fed5_c6ae_4ee3_8d78_a6535485a87d" localSheetId="0" hidden="1">#REF!</definedName>
    <definedName name="Tigr_Exhibitc086fed5_c6ae_4ee3_8d78_a6535485a87d" hidden="1">#REF!</definedName>
    <definedName name="Tigr_Exhibitc13afeeb_e7b4_4698_b3e8_1d85d7a54722" localSheetId="0" hidden="1">#REF!</definedName>
    <definedName name="Tigr_Exhibitc13afeeb_e7b4_4698_b3e8_1d85d7a54722" hidden="1">#REF!</definedName>
    <definedName name="Tigr_Exhibitc15afe61_9c69_487a_b302_f09e0ad220bd" localSheetId="0" hidden="1">#REF!</definedName>
    <definedName name="Tigr_Exhibitc15afe61_9c69_487a_b302_f09e0ad220bd" hidden="1">#REF!</definedName>
    <definedName name="Tigr_Exhibitc199f7b3_6411_4dcf_9acb_8bf021683d7f" localSheetId="0" hidden="1">#REF!</definedName>
    <definedName name="Tigr_Exhibitc199f7b3_6411_4dcf_9acb_8bf021683d7f" hidden="1">#REF!</definedName>
    <definedName name="Tigr_Exhibitc27b01d9_1ffa_430c_87fc_c4c196a9a5e4" localSheetId="0" hidden="1">#REF!</definedName>
    <definedName name="Tigr_Exhibitc27b01d9_1ffa_430c_87fc_c4c196a9a5e4" hidden="1">#REF!</definedName>
    <definedName name="Tigr_Exhibitc32f3a7d_9ed1_4ac5_b091_be983f84d6c1" localSheetId="0" hidden="1">#REF!</definedName>
    <definedName name="Tigr_Exhibitc32f3a7d_9ed1_4ac5_b091_be983f84d6c1" hidden="1">#REF!</definedName>
    <definedName name="Tigr_Exhibitc4a4ea34_a3bf_4e6d_bd9c_212d5163921b" localSheetId="0" hidden="1">#REF!</definedName>
    <definedName name="Tigr_Exhibitc4a4ea34_a3bf_4e6d_bd9c_212d5163921b" hidden="1">#REF!</definedName>
    <definedName name="Tigr_Exhibitc627732c_9d56_454b_a9b6_2e424a230692" localSheetId="0" hidden="1">#REF!</definedName>
    <definedName name="Tigr_Exhibitc627732c_9d56_454b_a9b6_2e424a230692" hidden="1">#REF!</definedName>
    <definedName name="Tigr_Exhibitc7d1694d_8a63_402d_bfd0_6a6e4ffaf8e6" localSheetId="0" hidden="1">#REF!</definedName>
    <definedName name="Tigr_Exhibitc7d1694d_8a63_402d_bfd0_6a6e4ffaf8e6" hidden="1">#REF!</definedName>
    <definedName name="Tigr_Exhibitc85da0c8_9e3e_4527_b669_676b9c377ab0" localSheetId="0" hidden="1">#REF!</definedName>
    <definedName name="Tigr_Exhibitc85da0c8_9e3e_4527_b669_676b9c377ab0" hidden="1">#REF!</definedName>
    <definedName name="Tigr_Exhibitc876db7c_f69c_46cc_ad29_4f9945bca61e" localSheetId="0" hidden="1">#REF!</definedName>
    <definedName name="Tigr_Exhibitc876db7c_f69c_46cc_ad29_4f9945bca61e" hidden="1">#REF!</definedName>
    <definedName name="Tigr_Exhibitc8928bb8_431c_4bf4_879c_352b3980b2e7" localSheetId="0" hidden="1">#REF!</definedName>
    <definedName name="Tigr_Exhibitc8928bb8_431c_4bf4_879c_352b3980b2e7" hidden="1">#REF!</definedName>
    <definedName name="Tigr_Exhibitc8c188a3_efb3_458f_a8ae_688200f91a6a" localSheetId="0" hidden="1">#REF!</definedName>
    <definedName name="Tigr_Exhibitc8c188a3_efb3_458f_a8ae_688200f91a6a" hidden="1">#REF!</definedName>
    <definedName name="Tigr_Exhibitc991769a_d749_44c3_86b1_55c02e61e0b6" localSheetId="0" hidden="1">#REF!</definedName>
    <definedName name="Tigr_Exhibitc991769a_d749_44c3_86b1_55c02e61e0b6" hidden="1">#REF!</definedName>
    <definedName name="Tigr_Exhibitcab71939_58ab_42b0_bf9a_e89cb98f78f0" localSheetId="0" hidden="1">#REF!</definedName>
    <definedName name="Tigr_Exhibitcab71939_58ab_42b0_bf9a_e89cb98f78f0" hidden="1">#REF!</definedName>
    <definedName name="Tigr_Exhibitcc3ff85a_35d0_4d99_b500_58484bd58b7f" localSheetId="0" hidden="1">#REF!</definedName>
    <definedName name="Tigr_Exhibitcc3ff85a_35d0_4d99_b500_58484bd58b7f" hidden="1">#REF!</definedName>
    <definedName name="Tigr_Exhibitcc8b9acb_23a0_4943_bf21_22a50a6de74e" localSheetId="0" hidden="1">#REF!</definedName>
    <definedName name="Tigr_Exhibitcc8b9acb_23a0_4943_bf21_22a50a6de74e" hidden="1">#REF!</definedName>
    <definedName name="Tigr_Exhibitcd25950e_37e6_4b3a_b339_7840d1eda958" localSheetId="0" hidden="1">#REF!</definedName>
    <definedName name="Tigr_Exhibitcd25950e_37e6_4b3a_b339_7840d1eda958" hidden="1">#REF!</definedName>
    <definedName name="Tigr_Exhibitcdb66a4b_6024_48da_a9d8_7063d4b08d11" localSheetId="0" hidden="1">#REF!</definedName>
    <definedName name="Tigr_Exhibitcdb66a4b_6024_48da_a9d8_7063d4b08d11" hidden="1">#REF!</definedName>
    <definedName name="Tigr_Exhibitce41d915_d46b_4cac_afd1_e8237e513905" localSheetId="0" hidden="1">#REF!</definedName>
    <definedName name="Tigr_Exhibitce41d915_d46b_4cac_afd1_e8237e513905" hidden="1">#REF!</definedName>
    <definedName name="Tigr_Exhibitcfe88003_4191_497e_a629_84140342cace" localSheetId="0" hidden="1">#REF!</definedName>
    <definedName name="Tigr_Exhibitcfe88003_4191_497e_a629_84140342cace" hidden="1">#REF!</definedName>
    <definedName name="Tigr_Exhibitd01a4f2c_c9f6_4b24_9ab0_d604d042a058" localSheetId="0" hidden="1">#REF!</definedName>
    <definedName name="Tigr_Exhibitd01a4f2c_c9f6_4b24_9ab0_d604d042a058" hidden="1">#REF!</definedName>
    <definedName name="Tigr_Exhibitd049700a_8937_496d_aea1_4a0b8c2b4ab2" localSheetId="0" hidden="1">#REF!</definedName>
    <definedName name="Tigr_Exhibitd049700a_8937_496d_aea1_4a0b8c2b4ab2" hidden="1">#REF!</definedName>
    <definedName name="Tigr_Exhibitd2b0ff0f_5327_43dd_82be_f86aba891847" localSheetId="0" hidden="1">#REF!</definedName>
    <definedName name="Tigr_Exhibitd2b0ff0f_5327_43dd_82be_f86aba891847" hidden="1">#REF!</definedName>
    <definedName name="Tigr_Exhibitd5366692_2beb_4c21_90f5_846593997659" localSheetId="0" hidden="1">#REF!</definedName>
    <definedName name="Tigr_Exhibitd5366692_2beb_4c21_90f5_846593997659" hidden="1">#REF!</definedName>
    <definedName name="Tigr_Exhibitd6b7a6f7_4941_48c3_a316_130c2019b764" localSheetId="0" hidden="1">#REF!</definedName>
    <definedName name="Tigr_Exhibitd6b7a6f7_4941_48c3_a316_130c2019b764" hidden="1">#REF!</definedName>
    <definedName name="Tigr_Exhibitd6d9cd19_7b68_48ec_a8a9_3455ce90ae59" localSheetId="0" hidden="1">#REF!</definedName>
    <definedName name="Tigr_Exhibitd6d9cd19_7b68_48ec_a8a9_3455ce90ae59" hidden="1">#REF!</definedName>
    <definedName name="Tigr_Exhibitd7d712dc_0148_4d7c_a316_1279b6cc8325" localSheetId="0" hidden="1">#REF!</definedName>
    <definedName name="Tigr_Exhibitd7d712dc_0148_4d7c_a316_1279b6cc8325" hidden="1">#REF!</definedName>
    <definedName name="Tigr_Exhibitd8038c55_43cd_4ac7_bfe6_773bc92a7406" localSheetId="0" hidden="1">#REF!</definedName>
    <definedName name="Tigr_Exhibitd8038c55_43cd_4ac7_bfe6_773bc92a7406" hidden="1">#REF!</definedName>
    <definedName name="Tigr_Exhibitd90ccbb9_5936_4d33_b254_b357c0e30144" localSheetId="0" hidden="1">#REF!</definedName>
    <definedName name="Tigr_Exhibitd90ccbb9_5936_4d33_b254_b357c0e30144" hidden="1">#REF!</definedName>
    <definedName name="Tigr_Exhibitd930d22c_1d61_4b9d_b8ff_93e0a13766c8" localSheetId="0" hidden="1">#REF!</definedName>
    <definedName name="Tigr_Exhibitd930d22c_1d61_4b9d_b8ff_93e0a13766c8" hidden="1">#REF!</definedName>
    <definedName name="Tigr_Exhibitdb1c5217_c7c3_4cf5_840b_eb9cbb0e2b3c" localSheetId="0" hidden="1">#REF!</definedName>
    <definedName name="Tigr_Exhibitdb1c5217_c7c3_4cf5_840b_eb9cbb0e2b3c" hidden="1">#REF!</definedName>
    <definedName name="Tigr_Exhibitdb41f672_c9ec_4014_82e2_679534230452" localSheetId="0" hidden="1">#REF!</definedName>
    <definedName name="Tigr_Exhibitdb41f672_c9ec_4014_82e2_679534230452" hidden="1">#REF!</definedName>
    <definedName name="Tigr_Exhibitdcc1eb0d_8551_47a4_a0c4_6fe3df77517e" localSheetId="0" hidden="1">#REF!</definedName>
    <definedName name="Tigr_Exhibitdcc1eb0d_8551_47a4_a0c4_6fe3df77517e" hidden="1">#REF!</definedName>
    <definedName name="Tigr_Exhibitde6e44d7_7700_4102_8fca_1389eb4b0ec3" localSheetId="0" hidden="1">#REF!</definedName>
    <definedName name="Tigr_Exhibitde6e44d7_7700_4102_8fca_1389eb4b0ec3" hidden="1">#REF!</definedName>
    <definedName name="Tigr_Exhibitdf33bf52_c8e9_43b0_b541_0db3e01e21b4" localSheetId="0" hidden="1">#REF!</definedName>
    <definedName name="Tigr_Exhibitdf33bf52_c8e9_43b0_b541_0db3e01e21b4" hidden="1">#REF!</definedName>
    <definedName name="Tigr_Exhibite0bd7b24_a257_4a05_a83f_d427e6c8a1c8" localSheetId="0" hidden="1">#REF!</definedName>
    <definedName name="Tigr_Exhibite0bd7b24_a257_4a05_a83f_d427e6c8a1c8" hidden="1">#REF!</definedName>
    <definedName name="Tigr_Exhibite291a57f_a430_4769_9d3d_2ed947406e56" localSheetId="0" hidden="1">#REF!</definedName>
    <definedName name="Tigr_Exhibite291a57f_a430_4769_9d3d_2ed947406e56" hidden="1">#REF!</definedName>
    <definedName name="Tigr_Exhibite31a6f13_7193_4d43_98dd_245189ae7542" localSheetId="0" hidden="1">#REF!</definedName>
    <definedName name="Tigr_Exhibite31a6f13_7193_4d43_98dd_245189ae7542" hidden="1">#REF!</definedName>
    <definedName name="Tigr_Exhibite3e1f550_28a2_4258_8760_7c9cc3409c62" localSheetId="0" hidden="1">#REF!</definedName>
    <definedName name="Tigr_Exhibite3e1f550_28a2_4258_8760_7c9cc3409c62" hidden="1">#REF!</definedName>
    <definedName name="Tigr_Exhibite3efd58b_343a_4ff3_86fc_d71f1144bcf0" localSheetId="0" hidden="1">#REF!</definedName>
    <definedName name="Tigr_Exhibite3efd58b_343a_4ff3_86fc_d71f1144bcf0" hidden="1">#REF!</definedName>
    <definedName name="Tigr_Exhibite507467c_89e9_460c_b20d_e26cfc718728" localSheetId="0" hidden="1">#REF!</definedName>
    <definedName name="Tigr_Exhibite507467c_89e9_460c_b20d_e26cfc718728" hidden="1">#REF!</definedName>
    <definedName name="Tigr_Exhibite55d534b_14a1_43da_aa69_22c8b079c4d4" localSheetId="0" hidden="1">#REF!</definedName>
    <definedName name="Tigr_Exhibite55d534b_14a1_43da_aa69_22c8b079c4d4" hidden="1">#REF!</definedName>
    <definedName name="Tigr_Exhibite64789bd_b82a_44f8_b312_a860361f2814" localSheetId="0" hidden="1">#REF!</definedName>
    <definedName name="Tigr_Exhibite64789bd_b82a_44f8_b312_a860361f2814" hidden="1">#REF!</definedName>
    <definedName name="Tigr_Exhibite64ecd04_d698_4a7c_85ae_699a5f1d902f" localSheetId="0" hidden="1">#REF!</definedName>
    <definedName name="Tigr_Exhibite64ecd04_d698_4a7c_85ae_699a5f1d902f" hidden="1">#REF!</definedName>
    <definedName name="Tigr_Exhibite6e20c9e_c9bf_4949_b6a4_f40eeae35e9f" localSheetId="0" hidden="1">#REF!</definedName>
    <definedName name="Tigr_Exhibite6e20c9e_c9bf_4949_b6a4_f40eeae35e9f" hidden="1">#REF!</definedName>
    <definedName name="Tigr_Exhibite7b89801_728e_47d7_b690_b69a16dec4d1" localSheetId="0" hidden="1">#REF!</definedName>
    <definedName name="Tigr_Exhibite7b89801_728e_47d7_b690_b69a16dec4d1" hidden="1">#REF!</definedName>
    <definedName name="Tigr_Exhibite7e8201f_4f83_449c_b516_acb0fe5a6ea8" localSheetId="0" hidden="1">#REF!</definedName>
    <definedName name="Tigr_Exhibite7e8201f_4f83_449c_b516_acb0fe5a6ea8" hidden="1">#REF!</definedName>
    <definedName name="Tigr_Exhibite8fd0ef3_ebbf_4b8b_a996_5252b8343fb5" localSheetId="0" hidden="1">#REF!</definedName>
    <definedName name="Tigr_Exhibite8fd0ef3_ebbf_4b8b_a996_5252b8343fb5" hidden="1">#REF!</definedName>
    <definedName name="Tigr_Exhibite93c0e99_0525_4caa_a79f_96a870a5bc3a" localSheetId="0" hidden="1">#REF!</definedName>
    <definedName name="Tigr_Exhibite93c0e99_0525_4caa_a79f_96a870a5bc3a" hidden="1">#REF!</definedName>
    <definedName name="Tigr_Exhibite9f6675d_4080_4c4e_bf15_64310b2eceb7" localSheetId="0" hidden="1">#REF!</definedName>
    <definedName name="Tigr_Exhibite9f6675d_4080_4c4e_bf15_64310b2eceb7" hidden="1">#REF!</definedName>
    <definedName name="Tigr_Exhibitea618776_1fb6_4b2d_83af_99277734fdb2" localSheetId="0" hidden="1">#REF!</definedName>
    <definedName name="Tigr_Exhibitea618776_1fb6_4b2d_83af_99277734fdb2" hidden="1">#REF!</definedName>
    <definedName name="Tigr_Exhibitea89a840_e6e7_411a_b305_5faa78e57bb3" localSheetId="0" hidden="1">#REF!</definedName>
    <definedName name="Tigr_Exhibitea89a840_e6e7_411a_b305_5faa78e57bb3" hidden="1">#REF!</definedName>
    <definedName name="Tigr_Exhibited86cd66_6765_4497_b935_05616bde1ad6" localSheetId="0" hidden="1">#REF!</definedName>
    <definedName name="Tigr_Exhibited86cd66_6765_4497_b935_05616bde1ad6" hidden="1">#REF!</definedName>
    <definedName name="Tigr_Exhibitee0f3b5c_8fe8_4eee_b472_1d32aba115e0" localSheetId="0" hidden="1">#REF!</definedName>
    <definedName name="Tigr_Exhibitee0f3b5c_8fe8_4eee_b472_1d32aba115e0" hidden="1">#REF!</definedName>
    <definedName name="Tigr_Exhibitee4f5936_29e2_4173_8da0_99b670ac48a0" localSheetId="0" hidden="1">#REF!</definedName>
    <definedName name="Tigr_Exhibitee4f5936_29e2_4173_8da0_99b670ac48a0" hidden="1">#REF!</definedName>
    <definedName name="Tigr_Exhibitee53a7a2_16c9_41e0_bfd8_bc23dae29183" localSheetId="0" hidden="1">#REF!</definedName>
    <definedName name="Tigr_Exhibitee53a7a2_16c9_41e0_bfd8_bc23dae29183" hidden="1">#REF!</definedName>
    <definedName name="Tigr_Exhibiteed13e9e_97ce_402f_bd35_5e60534235f6" localSheetId="0" hidden="1">#REF!</definedName>
    <definedName name="Tigr_Exhibiteed13e9e_97ce_402f_bd35_5e60534235f6" hidden="1">#REF!</definedName>
    <definedName name="Tigr_Exhibiteed96937_1f7b_4bfa_b20f_39027ea24409" localSheetId="0" hidden="1">#REF!</definedName>
    <definedName name="Tigr_Exhibiteed96937_1f7b_4bfa_b20f_39027ea24409" hidden="1">#REF!</definedName>
    <definedName name="Tigr_Exhibitf0848be4_7a46_4858_9a0b_21906822db79" localSheetId="0" hidden="1">#REF!</definedName>
    <definedName name="Tigr_Exhibitf0848be4_7a46_4858_9a0b_21906822db79" hidden="1">#REF!</definedName>
    <definedName name="Tigr_Exhibitf0d9ab78_1702_4544_9917_f5b1edaf6f35" localSheetId="0" hidden="1">#REF!</definedName>
    <definedName name="Tigr_Exhibitf0d9ab78_1702_4544_9917_f5b1edaf6f35" hidden="1">#REF!</definedName>
    <definedName name="Tigr_Exhibitf18433c9_a7db_4824_ab58_9d00cf5d3111" localSheetId="0" hidden="1">#REF!</definedName>
    <definedName name="Tigr_Exhibitf18433c9_a7db_4824_ab58_9d00cf5d3111" hidden="1">#REF!</definedName>
    <definedName name="Tigr_Exhibitf253b233_d518_4161_81ca_46a98486b7ef" localSheetId="0" hidden="1">#REF!</definedName>
    <definedName name="Tigr_Exhibitf253b233_d518_4161_81ca_46a98486b7ef" hidden="1">#REF!</definedName>
    <definedName name="Tigr_Exhibitf2cac8cf_8478_4210_bbd8_6069dda8384d" localSheetId="0" hidden="1">#REF!</definedName>
    <definedName name="Tigr_Exhibitf2cac8cf_8478_4210_bbd8_6069dda8384d" hidden="1">#REF!</definedName>
    <definedName name="Tigr_Exhibitf445c53c_aa0a_4098_8d16_261b944e87ab" localSheetId="0" hidden="1">#REF!</definedName>
    <definedName name="Tigr_Exhibitf445c53c_aa0a_4098_8d16_261b944e87ab" hidden="1">#REF!</definedName>
    <definedName name="Tigr_Exhibitf4cf5b2a_2bc9_4fbf_a232_35edd46ef3e4" localSheetId="0" hidden="1">#REF!</definedName>
    <definedName name="Tigr_Exhibitf4cf5b2a_2bc9_4fbf_a232_35edd46ef3e4" hidden="1">#REF!</definedName>
    <definedName name="Tigr_Exhibitf558570c_782a_42bf_a8c9_fb2706b084f6" localSheetId="0" hidden="1">#REF!</definedName>
    <definedName name="Tigr_Exhibitf558570c_782a_42bf_a8c9_fb2706b084f6" hidden="1">#REF!</definedName>
    <definedName name="Tigr_Exhibitf5a729f1_8c8d_4391_9d18_a4b71011d31c" localSheetId="0" hidden="1">#REF!</definedName>
    <definedName name="Tigr_Exhibitf5a729f1_8c8d_4391_9d18_a4b71011d31c" hidden="1">#REF!</definedName>
    <definedName name="Tigr_Exhibitf65aaf44_5571_41ad_993e_88417eb24685" localSheetId="0" hidden="1">#REF!</definedName>
    <definedName name="Tigr_Exhibitf65aaf44_5571_41ad_993e_88417eb24685" hidden="1">#REF!</definedName>
    <definedName name="Tigr_Exhibitf74da466_60b5_463c_92ca_c2f3bba4f447" localSheetId="0" hidden="1">#REF!</definedName>
    <definedName name="Tigr_Exhibitf74da466_60b5_463c_92ca_c2f3bba4f447" hidden="1">#REF!</definedName>
    <definedName name="Tigr_Exhibitf7edfdb6_40e5_45e5_99d7_6141c46416f1" localSheetId="0" hidden="1">#REF!</definedName>
    <definedName name="Tigr_Exhibitf7edfdb6_40e5_45e5_99d7_6141c46416f1" hidden="1">#REF!</definedName>
    <definedName name="Tigr_Exhibitfd57b33f_9755_417a_b2de_aa548356a7b6" localSheetId="0" hidden="1">#REF!</definedName>
    <definedName name="Tigr_Exhibitfd57b33f_9755_417a_b2de_aa548356a7b6" hidden="1">#REF!</definedName>
    <definedName name="Tigr_Exhibitfe317b57_df6c_4022_882e_966874264f4b" localSheetId="0" hidden="1">#REF!</definedName>
    <definedName name="Tigr_Exhibitfe317b57_df6c_4022_882e_966874264f4b" hidden="1">#REF!</definedName>
    <definedName name="Tigr_Exhibitffd5fa22_126f_4d88_a1cf_d0823c630436" localSheetId="0" hidden="1">#REF!</definedName>
    <definedName name="Tigr_Exhibitffd5fa22_126f_4d88_a1cf_d0823c630436" hidden="1">#REF!</definedName>
    <definedName name="tim" localSheetId="0">#REF!</definedName>
    <definedName name="tim">#REF!</definedName>
    <definedName name="time" localSheetId="0">#REF!</definedName>
    <definedName name="time">#REF!</definedName>
    <definedName name="timestamp" localSheetId="0">#REF!</definedName>
    <definedName name="timestamp">#REF!</definedName>
    <definedName name="TINT00" localSheetId="0">#REF!</definedName>
    <definedName name="TINT00">#REF!</definedName>
    <definedName name="TINT01" localSheetId="0">#REF!</definedName>
    <definedName name="TINT01">#REF!</definedName>
    <definedName name="TINT02" localSheetId="0">#REF!</definedName>
    <definedName name="TINT02">#REF!</definedName>
    <definedName name="TINT03" localSheetId="0">#REF!</definedName>
    <definedName name="TINT03">#REF!</definedName>
    <definedName name="TINT99" localSheetId="0">#REF!</definedName>
    <definedName name="TINT99">#REF!</definedName>
    <definedName name="Title" localSheetId="0">#REF!</definedName>
    <definedName name="Title">#REF!</definedName>
    <definedName name="Title_Date" localSheetId="0">#REF!</definedName>
    <definedName name="Title_Date">#REF!</definedName>
    <definedName name="Title_F5" localSheetId="0">#REF!</definedName>
    <definedName name="Title_F5">#REF!</definedName>
    <definedName name="Title_HK" localSheetId="0">#REF!</definedName>
    <definedName name="Title_HK">#REF!</definedName>
    <definedName name="tk" localSheetId="0">#REF!</definedName>
    <definedName name="tk">#REF!</definedName>
    <definedName name="TLBB" localSheetId="5" hidden="1">{"'Check Request'!$A$1:$BF$37"}</definedName>
    <definedName name="TLBB" localSheetId="0" hidden="1">{"'Check Request'!$A$1:$BF$37"}</definedName>
    <definedName name="TLBB" localSheetId="4" hidden="1">{"'Check Request'!$A$1:$BF$37"}</definedName>
    <definedName name="TLBB" hidden="1">{"'Check Request'!$A$1:$BF$37"}</definedName>
    <definedName name="todo" localSheetId="0">#REF!</definedName>
    <definedName name="todo">#REF!</definedName>
    <definedName name="TOG" localSheetId="0">#REF!</definedName>
    <definedName name="TOG">#REF!</definedName>
    <definedName name="Topics" localSheetId="0">#REF!</definedName>
    <definedName name="Topics">#REF!</definedName>
    <definedName name="ToSubs">#N/A</definedName>
    <definedName name="tot_debt" localSheetId="0">#REF!</definedName>
    <definedName name="tot_debt">#REF!</definedName>
    <definedName name="tot_fd_shares_actual" localSheetId="0">#REF!</definedName>
    <definedName name="tot_fd_shares_actual">#REF!</definedName>
    <definedName name="tot_fd_shares_over" localSheetId="0">#REF!</definedName>
    <definedName name="tot_fd_shares_over">#REF!</definedName>
    <definedName name="tot_fd_shares_sum_sec" localSheetId="0">#REF!</definedName>
    <definedName name="tot_fd_shares_sum_sec">#REF!</definedName>
    <definedName name="tot_mkt_cap_actual" localSheetId="0">#REF!</definedName>
    <definedName name="tot_mkt_cap_actual">#REF!</definedName>
    <definedName name="tot_mkt_cap_calc" localSheetId="0">#REF!</definedName>
    <definedName name="tot_mkt_cap_calc">#REF!</definedName>
    <definedName name="tot_mkt_cap_ext" localSheetId="0">#REF!</definedName>
    <definedName name="tot_mkt_cap_ext">#REF!</definedName>
    <definedName name="tot_ud_shares_actual" localSheetId="0">#REF!</definedName>
    <definedName name="tot_ud_shares_actual">#REF!</definedName>
    <definedName name="tot_ud_shares_over" localSheetId="0">#REF!</definedName>
    <definedName name="tot_ud_shares_over">#REF!</definedName>
    <definedName name="tot_ud_shares_sum_sec" localSheetId="0">#REF!</definedName>
    <definedName name="tot_ud_shares_sum_sec">#REF!</definedName>
    <definedName name="Total_amort_fore" localSheetId="0">#REF!</definedName>
    <definedName name="Total_amort_fore">#REF!</definedName>
    <definedName name="Total_Amortization" localSheetId="0">#REF!</definedName>
    <definedName name="Total_Amortization">#REF!</definedName>
    <definedName name="Total_Amortization_fore" localSheetId="0">#REF!</definedName>
    <definedName name="Total_Amortization_fore">#REF!</definedName>
    <definedName name="Total_COS" localSheetId="0">#REF!</definedName>
    <definedName name="Total_COS">#REF!</definedName>
    <definedName name="Total_COS_fore" localSheetId="0">#REF!</definedName>
    <definedName name="Total_COS_fore">#REF!</definedName>
    <definedName name="Total_COS_growth_fore" localSheetId="0">#REF!</definedName>
    <definedName name="Total_COS_growth_fore">#REF!</definedName>
    <definedName name="Total_COS_net_DnA_fore" localSheetId="0">#REF!</definedName>
    <definedName name="Total_COS_net_DnA_fore">#REF!</definedName>
    <definedName name="Total_Cost_Of_Sale" localSheetId="0">#REF!</definedName>
    <definedName name="Total_Cost_Of_Sale">#REF!</definedName>
    <definedName name="Total_debt" localSheetId="0">#REF!</definedName>
    <definedName name="Total_debt">#REF!</definedName>
    <definedName name="Total_debt_DCF" localSheetId="0">#REF!</definedName>
    <definedName name="Total_debt_DCF">#REF!</definedName>
    <definedName name="Total_debt_fore" localSheetId="0">#REF!</definedName>
    <definedName name="Total_debt_fore">#REF!</definedName>
    <definedName name="Total_debt_growth_fore" localSheetId="0">#REF!</definedName>
    <definedName name="Total_debt_growth_fore">#REF!</definedName>
    <definedName name="Total_Factory_OH" localSheetId="0">#REF!</definedName>
    <definedName name="Total_Factory_OH">#REF!</definedName>
    <definedName name="Total_Increase_in_EEs_fore" localSheetId="0">#REF!</definedName>
    <definedName name="Total_Increase_in_EEs_fore">#REF!</definedName>
    <definedName name="Total_Manufact_Cost" localSheetId="0">#REF!</definedName>
    <definedName name="Total_Manufact_Cost">#REF!</definedName>
    <definedName name="Total_Non_Operat_Income" localSheetId="0">#REF!</definedName>
    <definedName name="Total_Non_Operat_Income">#REF!</definedName>
    <definedName name="Total_Non_Opg_Exp" localSheetId="0">#REF!</definedName>
    <definedName name="Total_Non_Opg_Exp">#REF!</definedName>
    <definedName name="Total_other_assets" localSheetId="0">#REF!</definedName>
    <definedName name="Total_other_assets">#REF!</definedName>
    <definedName name="Total_Prod_Cost" localSheetId="0">#REF!</definedName>
    <definedName name="Total_Prod_Cost">#REF!</definedName>
    <definedName name="Total_SG_A_Exp" localSheetId="0">#REF!</definedName>
    <definedName name="Total_SG_A_Exp">#REF!</definedName>
    <definedName name="Total1993" localSheetId="0">#REF!</definedName>
    <definedName name="Total1993">#REF!</definedName>
    <definedName name="Total1994" localSheetId="0">#REF!</definedName>
    <definedName name="Total1994">#REF!</definedName>
    <definedName name="Total1995" localSheetId="0">#REF!</definedName>
    <definedName name="Total1995">#REF!</definedName>
    <definedName name="total93" localSheetId="0">#REF!</definedName>
    <definedName name="total93">#REF!</definedName>
    <definedName name="total94" localSheetId="0">#REF!</definedName>
    <definedName name="total94">#REF!</definedName>
    <definedName name="total95" localSheetId="0">#REF!</definedName>
    <definedName name="total95">#REF!</definedName>
    <definedName name="total96" localSheetId="0">#REF!</definedName>
    <definedName name="total96">#REF!</definedName>
    <definedName name="total97" localSheetId="0">#REF!</definedName>
    <definedName name="total97">#REF!</definedName>
    <definedName name="total98" localSheetId="0">#REF!</definedName>
    <definedName name="total98">#REF!</definedName>
    <definedName name="total99" localSheetId="0">#REF!</definedName>
    <definedName name="total99">#REF!</definedName>
    <definedName name="TotalAssets" localSheetId="0">#REF!</definedName>
    <definedName name="TotalAssets">#REF!</definedName>
    <definedName name="TotalAssetsUMG" localSheetId="0">#REF!</definedName>
    <definedName name="TotalAssetsUMG">#REF!</definedName>
    <definedName name="TotalCap" localSheetId="0">#REF!</definedName>
    <definedName name="TotalCap">#REF!</definedName>
    <definedName name="TotalDebt" localSheetId="0">#REF!</definedName>
    <definedName name="TotalDebt">#REF!</definedName>
    <definedName name="TotalDeferredCredits" localSheetId="0">#REF!</definedName>
    <definedName name="TotalDeferredCredits">#REF!</definedName>
    <definedName name="TotalDeferredCreditsUMG" localSheetId="0">#REF!</definedName>
    <definedName name="TotalDeferredCreditsUMG">#REF!</definedName>
    <definedName name="totalEBITDA00" localSheetId="0">#REF!</definedName>
    <definedName name="totalEBITDA00">#REF!</definedName>
    <definedName name="totalEBITDA01" localSheetId="0">#REF!</definedName>
    <definedName name="totalEBITDA01">#REF!</definedName>
    <definedName name="totalEBITDA02" localSheetId="0">#REF!</definedName>
    <definedName name="totalEBITDA02">#REF!</definedName>
    <definedName name="totalEBITDA99" localSheetId="0">#REF!</definedName>
    <definedName name="totalEBITDA99">#REF!</definedName>
    <definedName name="totalEBITDA99pf" localSheetId="0">#REF!</definedName>
    <definedName name="totalEBITDA99pf">#REF!</definedName>
    <definedName name="TotalEquity" localSheetId="0">#REF!</definedName>
    <definedName name="TotalEquity">#REF!</definedName>
    <definedName name="totalhd" localSheetId="0">#REF!</definedName>
    <definedName name="totalhd">#REF!</definedName>
    <definedName name="TotalReqs" localSheetId="0">#REF!</definedName>
    <definedName name="TotalReqs">#REF!</definedName>
    <definedName name="TotalRevenues" localSheetId="0">#REF!</definedName>
    <definedName name="TotalRevenues">#REF!</definedName>
    <definedName name="TotalRevenuesUMG" localSheetId="0">#REF!</definedName>
    <definedName name="TotalRevenuesUMG">#REF!</definedName>
    <definedName name="TotalSE" localSheetId="0">#REF!</definedName>
    <definedName name="TotalSE">#REF!</definedName>
    <definedName name="TotalSholdersEquity" localSheetId="0">#REF!</definedName>
    <definedName name="TotalSholdersEquity">#REF!</definedName>
    <definedName name="TotalTime" localSheetId="0">#REF!</definedName>
    <definedName name="TotalTime">#REF!</definedName>
    <definedName name="totass" localSheetId="0">#REF!</definedName>
    <definedName name="totass">#REF!</definedName>
    <definedName name="totcap" localSheetId="0">#REF!</definedName>
    <definedName name="totcap">#REF!</definedName>
    <definedName name="totdebt" localSheetId="0">#REF!</definedName>
    <definedName name="totdebt">#REF!</definedName>
    <definedName name="totinc00" localSheetId="0">#REF!</definedName>
    <definedName name="totinc00">#REF!</definedName>
    <definedName name="totinc01" localSheetId="0">#REF!</definedName>
    <definedName name="totinc01">#REF!</definedName>
    <definedName name="totinc98" localSheetId="0">#REF!</definedName>
    <definedName name="totinc98">#REF!</definedName>
    <definedName name="totinc99" localSheetId="0">#REF!</definedName>
    <definedName name="totinc99">#REF!</definedName>
    <definedName name="TotWeeklyStoreSales" localSheetId="0">#REF!</definedName>
    <definedName name="TotWeeklyStoreSales">#REF!</definedName>
    <definedName name="TowerBgn" localSheetId="0">#REF!</definedName>
    <definedName name="TowerBgn">#REF!</definedName>
    <definedName name="TPFREV00" localSheetId="0">#REF!</definedName>
    <definedName name="TPFREV00">#REF!</definedName>
    <definedName name="TPortBig5" localSheetId="0">#REF!</definedName>
    <definedName name="TPortBig5">#REF!</definedName>
    <definedName name="Trading" localSheetId="0">#REF!</definedName>
    <definedName name="Trading">#REF!</definedName>
    <definedName name="trailing_revs" localSheetId="0">#REF!</definedName>
    <definedName name="trailing_revs">#REF!</definedName>
    <definedName name="trans" localSheetId="0">#REF!</definedName>
    <definedName name="trans">#REF!</definedName>
    <definedName name="Trans_Other_Acct" localSheetId="0">#REF!</definedName>
    <definedName name="Trans_Other_Acct">#REF!</definedName>
    <definedName name="TRANSFROM" localSheetId="0">#REF!</definedName>
    <definedName name="TRANSFROM">#REF!</definedName>
    <definedName name="translations" localSheetId="0">#REF!</definedName>
    <definedName name="translations">#REF!</definedName>
    <definedName name="transpo_tax" localSheetId="0">#REF!</definedName>
    <definedName name="transpo_tax">#REF!</definedName>
    <definedName name="transsum" localSheetId="0">#REF!</definedName>
    <definedName name="transsum">#REF!</definedName>
    <definedName name="TRANSTO" localSheetId="0">#REF!</definedName>
    <definedName name="TRANSTO">#REF!</definedName>
    <definedName name="trc_CFPSGROWTH5YR" localSheetId="0">#REF!</definedName>
    <definedName name="trc_CFPSGROWTH5YR">#REF!</definedName>
    <definedName name="trc_CFPSGRWPRV5YR" localSheetId="0">#REF!</definedName>
    <definedName name="trc_CFPSGRWPRV5YR">#REF!</definedName>
    <definedName name="trc_CurFY" localSheetId="0">#REF!</definedName>
    <definedName name="trc_CurFY">#REF!</definedName>
    <definedName name="trc_DIVGROWTH5YR" localSheetId="0">#REF!</definedName>
    <definedName name="trc_DIVGROWTH5YR">#REF!</definedName>
    <definedName name="trc_DIVGRWPRV5YR" localSheetId="0">#REF!</definedName>
    <definedName name="trc_DIVGRWPRV5YR">#REF!</definedName>
    <definedName name="trc_DocID" localSheetId="0">#REF!</definedName>
    <definedName name="trc_DocID">#REF!</definedName>
    <definedName name="trc_EBITDAGROWTH5YR" localSheetId="0">#REF!</definedName>
    <definedName name="trc_EBITDAGROWTH5YR">#REF!</definedName>
    <definedName name="trc_EBITDAGRWPRV5YR" localSheetId="0">#REF!</definedName>
    <definedName name="trc_EBITDAGRWPRV5YR">#REF!</definedName>
    <definedName name="trc_EBITNXT5" localSheetId="0">#REF!</definedName>
    <definedName name="trc_EBITNXT5">#REF!</definedName>
    <definedName name="trc_EBITPRV5" localSheetId="0">#REF!</definedName>
    <definedName name="trc_EBITPRV5">#REF!</definedName>
    <definedName name="trc_EPSGRWPRV5YR" localSheetId="0">#REF!</definedName>
    <definedName name="trc_EPSGRWPRV5YR">#REF!</definedName>
    <definedName name="trc_Flavor" localSheetId="0">#REF!</definedName>
    <definedName name="trc_Flavor">#REF!</definedName>
    <definedName name="trc_NETGROWTH5YR" localSheetId="0">#REF!</definedName>
    <definedName name="trc_NETGROWTH5YR">#REF!</definedName>
    <definedName name="trc_NETGRWPRV5YR" localSheetId="0">#REF!</definedName>
    <definedName name="trc_NETGRWPRV5YR">#REF!</definedName>
    <definedName name="trc_QDType" localSheetId="0">#REF!</definedName>
    <definedName name="trc_QDType">#REF!</definedName>
    <definedName name="trc_RATING" localSheetId="0">#REF!</definedName>
    <definedName name="trc_RATING">#REF!</definedName>
    <definedName name="trc_ReleaseDate" localSheetId="0">#REF!</definedName>
    <definedName name="trc_ReleaseDate">#REF!</definedName>
    <definedName name="trc_REVGROWTH5YR" localSheetId="0">#REF!</definedName>
    <definedName name="trc_REVGROWTH5YR">#REF!</definedName>
    <definedName name="trc_REVGRWPRV5YR" localSheetId="0">#REF!</definedName>
    <definedName name="trc_REVGRWPRV5YR">#REF!</definedName>
    <definedName name="trc_RISK" localSheetId="0">#REF!</definedName>
    <definedName name="trc_RISK">#REF!</definedName>
    <definedName name="trc_SHARESOUT" localSheetId="0">#REF!</definedName>
    <definedName name="trc_SHARESOUT">#REF!</definedName>
    <definedName name="trc_SHROUTGROWTH5YR" localSheetId="0">#REF!</definedName>
    <definedName name="trc_SHROUTGROWTH5YR">#REF!</definedName>
    <definedName name="trc_SHROUTGRWPRV5YR" localSheetId="0">#REF!</definedName>
    <definedName name="trc_SHROUTGRWPRV5YR">#REF!</definedName>
    <definedName name="trc_submitter" localSheetId="0">#REF!</definedName>
    <definedName name="trc_submitter">#REF!</definedName>
    <definedName name="trc_submittername" localSheetId="0">#REF!</definedName>
    <definedName name="trc_submittername">#REF!</definedName>
    <definedName name="trc_TARGET" localSheetId="0">#REF!</definedName>
    <definedName name="trc_TARGET">#REF!</definedName>
    <definedName name="trc_TemplateID" localSheetId="0">#REF!</definedName>
    <definedName name="trc_TemplateID">#REF!</definedName>
    <definedName name="trc_TEV" localSheetId="0">#REF!</definedName>
    <definedName name="trc_TEV">#REF!</definedName>
    <definedName name="trc_Ticker" localSheetId="0">#REF!</definedName>
    <definedName name="trc_Ticker">#REF!</definedName>
    <definedName name="trc_Version" localSheetId="0">#REF!</definedName>
    <definedName name="trc_Version">#REF!</definedName>
    <definedName name="trc_XLS_DATASHEET_ProtectDate">36879.592337963</definedName>
    <definedName name="trc_Y1" localSheetId="0">#REF!</definedName>
    <definedName name="trc_Y1">#REF!</definedName>
    <definedName name="trc_Y1COMMONEQ" localSheetId="0">#REF!</definedName>
    <definedName name="trc_Y1COMMONEQ">#REF!</definedName>
    <definedName name="trc_Y1DILSHR" localSheetId="0">#REF!</definedName>
    <definedName name="trc_Y1DILSHR">#REF!</definedName>
    <definedName name="trc_Y1DPS" localSheetId="0">#REF!</definedName>
    <definedName name="trc_Y1DPS">#REF!</definedName>
    <definedName name="trc_Y1EBIT" localSheetId="0">#REF!</definedName>
    <definedName name="trc_Y1EBIT">#REF!</definedName>
    <definedName name="trc_Y1EBITDA" localSheetId="0">#REF!</definedName>
    <definedName name="trc_Y1EBITDA">#REF!</definedName>
    <definedName name="trc_Y1FREE_CFPS" localSheetId="0">#REF!</definedName>
    <definedName name="trc_Y1FREE_CFPS">#REF!</definedName>
    <definedName name="trc_Y1LTDEBT" localSheetId="0">#REF!</definedName>
    <definedName name="trc_Y1LTDEBT">#REF!</definedName>
    <definedName name="trc_Y1NETINC" localSheetId="0">#REF!</definedName>
    <definedName name="trc_Y1NETINC">#REF!</definedName>
    <definedName name="trc_Y1Q1" localSheetId="0">#REF!</definedName>
    <definedName name="trc_Y1Q1">#REF!</definedName>
    <definedName name="trc_Y1Q2" localSheetId="0">#REF!</definedName>
    <definedName name="trc_Y1Q2">#REF!</definedName>
    <definedName name="trc_Y1Q3" localSheetId="0">#REF!</definedName>
    <definedName name="trc_Y1Q3">#REF!</definedName>
    <definedName name="trc_Y1Q4" localSheetId="0">#REF!</definedName>
    <definedName name="trc_Y1Q4">#REF!</definedName>
    <definedName name="trc_Y1REVENUE" localSheetId="0">#REF!</definedName>
    <definedName name="trc_Y1REVENUE">#REF!</definedName>
    <definedName name="trc_Y1ROE" localSheetId="0">#REF!</definedName>
    <definedName name="trc_Y1ROE">#REF!</definedName>
    <definedName name="trc_Y1TAXRATE" localSheetId="0">#REF!</definedName>
    <definedName name="trc_Y1TAXRATE">#REF!</definedName>
    <definedName name="trc_Y1Total" localSheetId="0">#REF!</definedName>
    <definedName name="trc_Y1Total">#REF!</definedName>
    <definedName name="trc_Y2" localSheetId="0">#REF!</definedName>
    <definedName name="trc_Y2">#REF!</definedName>
    <definedName name="trc_Y2COMMONEQ" localSheetId="0">#REF!</definedName>
    <definedName name="trc_Y2COMMONEQ">#REF!</definedName>
    <definedName name="trc_Y2DILSHR" localSheetId="0">#REF!</definedName>
    <definedName name="trc_Y2DILSHR">#REF!</definedName>
    <definedName name="trc_Y2DPS" localSheetId="0">#REF!</definedName>
    <definedName name="trc_Y2DPS">#REF!</definedName>
    <definedName name="trc_Y2EBIT" localSheetId="0">#REF!</definedName>
    <definedName name="trc_Y2EBIT">#REF!</definedName>
    <definedName name="trc_Y2EBITDA" localSheetId="0">#REF!</definedName>
    <definedName name="trc_Y2EBITDA">#REF!</definedName>
    <definedName name="trc_Y2FREE_CFPS" localSheetId="0">#REF!</definedName>
    <definedName name="trc_Y2FREE_CFPS">#REF!</definedName>
    <definedName name="trc_Y2LTDEBT" localSheetId="0">#REF!</definedName>
    <definedName name="trc_Y2LTDEBT">#REF!</definedName>
    <definedName name="trc_Y2NETINC" localSheetId="0">#REF!</definedName>
    <definedName name="trc_Y2NETINC">#REF!</definedName>
    <definedName name="trc_Y2Q1" localSheetId="0">#REF!</definedName>
    <definedName name="trc_Y2Q1">#REF!</definedName>
    <definedName name="trc_Y2Q2" localSheetId="0">#REF!</definedName>
    <definedName name="trc_Y2Q2">#REF!</definedName>
    <definedName name="trc_Y2Q3" localSheetId="0">#REF!</definedName>
    <definedName name="trc_Y2Q3">#REF!</definedName>
    <definedName name="trc_Y2Q4" localSheetId="0">#REF!</definedName>
    <definedName name="trc_Y2Q4">#REF!</definedName>
    <definedName name="trc_Y2REVENUE" localSheetId="0">#REF!</definedName>
    <definedName name="trc_Y2REVENUE">#REF!</definedName>
    <definedName name="trc_Y2ROE" localSheetId="0">#REF!</definedName>
    <definedName name="trc_Y2ROE">#REF!</definedName>
    <definedName name="trc_Y2TAXRATE" localSheetId="0">#REF!</definedName>
    <definedName name="trc_Y2TAXRATE">#REF!</definedName>
    <definedName name="trc_Y2Total" localSheetId="0">#REF!</definedName>
    <definedName name="trc_Y2Total">#REF!</definedName>
    <definedName name="trc_Y3" localSheetId="0">#REF!</definedName>
    <definedName name="trc_Y3">#REF!</definedName>
    <definedName name="trc_Y3COMMONEQ" localSheetId="0">#REF!</definedName>
    <definedName name="trc_Y3COMMONEQ">#REF!</definedName>
    <definedName name="trc_Y3DILSHR" localSheetId="0">#REF!</definedName>
    <definedName name="trc_Y3DILSHR">#REF!</definedName>
    <definedName name="trc_Y3DPS" localSheetId="0">#REF!</definedName>
    <definedName name="trc_Y3DPS">#REF!</definedName>
    <definedName name="trc_Y3EBIT" localSheetId="0">#REF!</definedName>
    <definedName name="trc_Y3EBIT">#REF!</definedName>
    <definedName name="trc_Y3EBITDA" localSheetId="0">#REF!</definedName>
    <definedName name="trc_Y3EBITDA">#REF!</definedName>
    <definedName name="trc_Y3FREE_CFPS" localSheetId="0">#REF!</definedName>
    <definedName name="trc_Y3FREE_CFPS">#REF!</definedName>
    <definedName name="trc_Y3LTDEBT" localSheetId="0">#REF!</definedName>
    <definedName name="trc_Y3LTDEBT">#REF!</definedName>
    <definedName name="trc_Y3NETINC" localSheetId="0">#REF!</definedName>
    <definedName name="trc_Y3NETINC">#REF!</definedName>
    <definedName name="trc_Y3Q1" localSheetId="0">#REF!</definedName>
    <definedName name="trc_Y3Q1">#REF!</definedName>
    <definedName name="trc_Y3Q2" localSheetId="0">#REF!</definedName>
    <definedName name="trc_Y3Q2">#REF!</definedName>
    <definedName name="trc_Y3Q3" localSheetId="0">#REF!</definedName>
    <definedName name="trc_Y3Q3">#REF!</definedName>
    <definedName name="trc_Y3Q4" localSheetId="0">#REF!</definedName>
    <definedName name="trc_Y3Q4">#REF!</definedName>
    <definedName name="trc_Y3REVENUE" localSheetId="0">#REF!</definedName>
    <definedName name="trc_Y3REVENUE">#REF!</definedName>
    <definedName name="trc_Y3ROE" localSheetId="0">#REF!</definedName>
    <definedName name="trc_Y3ROE">#REF!</definedName>
    <definedName name="trc_Y3TAXRATE" localSheetId="0">#REF!</definedName>
    <definedName name="trc_Y3TAXRATE">#REF!</definedName>
    <definedName name="trc_Y3Total" localSheetId="0">#REF!</definedName>
    <definedName name="trc_Y3Total">#REF!</definedName>
    <definedName name="trc_Y4" localSheetId="0">#REF!</definedName>
    <definedName name="trc_Y4">#REF!</definedName>
    <definedName name="trc_Y4COMMONEQ" localSheetId="0">#REF!</definedName>
    <definedName name="trc_Y4COMMONEQ">#REF!</definedName>
    <definedName name="trc_Y4DILSHR" localSheetId="0">#REF!</definedName>
    <definedName name="trc_Y4DILSHR">#REF!</definedName>
    <definedName name="trc_Y4DPS" localSheetId="0">#REF!</definedName>
    <definedName name="trc_Y4DPS">#REF!</definedName>
    <definedName name="trc_Y4EBIT" localSheetId="0">#REF!</definedName>
    <definedName name="trc_Y4EBIT">#REF!</definedName>
    <definedName name="trc_Y4EBITDA" localSheetId="0">#REF!</definedName>
    <definedName name="trc_Y4EBITDA">#REF!</definedName>
    <definedName name="trc_Y4FREE_CFPS" localSheetId="0">#REF!</definedName>
    <definedName name="trc_Y4FREE_CFPS">#REF!</definedName>
    <definedName name="trc_Y4LTDEBT" localSheetId="0">#REF!</definedName>
    <definedName name="trc_Y4LTDEBT">#REF!</definedName>
    <definedName name="trc_Y4NETINC" localSheetId="0">#REF!</definedName>
    <definedName name="trc_Y4NETINC">#REF!</definedName>
    <definedName name="trc_Y4Q1" localSheetId="0">#REF!</definedName>
    <definedName name="trc_Y4Q1">#REF!</definedName>
    <definedName name="trc_Y4Q2" localSheetId="0">#REF!</definedName>
    <definedName name="trc_Y4Q2">#REF!</definedName>
    <definedName name="trc_Y4Q3" localSheetId="0">#REF!</definedName>
    <definedName name="trc_Y4Q3">#REF!</definedName>
    <definedName name="trc_Y4Q4" localSheetId="0">#REF!</definedName>
    <definedName name="trc_Y4Q4">#REF!</definedName>
    <definedName name="trc_Y4REVENUE" localSheetId="0">#REF!</definedName>
    <definedName name="trc_Y4REVENUE">#REF!</definedName>
    <definedName name="trc_Y4ROE" localSheetId="0">#REF!</definedName>
    <definedName name="trc_Y4ROE">#REF!</definedName>
    <definedName name="trc_Y4TAXRATE" localSheetId="0">#REF!</definedName>
    <definedName name="trc_Y4TAXRATE">#REF!</definedName>
    <definedName name="trc_Y4Total" localSheetId="0">#REF!</definedName>
    <definedName name="trc_Y4Total">#REF!</definedName>
    <definedName name="trev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rev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rev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rev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TREV00" localSheetId="0">#REF!</definedName>
    <definedName name="TREV00">#REF!</definedName>
    <definedName name="TREV00PF" localSheetId="0">#REF!</definedName>
    <definedName name="TREV00PF">#REF!</definedName>
    <definedName name="TREV01" localSheetId="0">#REF!</definedName>
    <definedName name="TREV01">#REF!</definedName>
    <definedName name="TREV02" localSheetId="0">#REF!</definedName>
    <definedName name="TREV02">#REF!</definedName>
    <definedName name="TREV03" localSheetId="0">#REF!</definedName>
    <definedName name="TREV03">#REF!</definedName>
    <definedName name="TREV93" localSheetId="0">#REF!</definedName>
    <definedName name="TREV93">#REF!</definedName>
    <definedName name="TREV94" localSheetId="0">#REF!</definedName>
    <definedName name="TREV94">#REF!</definedName>
    <definedName name="TREV95" localSheetId="0">#REF!</definedName>
    <definedName name="TREV95">#REF!</definedName>
    <definedName name="TREV96" localSheetId="0">#REF!</definedName>
    <definedName name="TREV96">#REF!</definedName>
    <definedName name="TREV97" localSheetId="0">#REF!</definedName>
    <definedName name="TREV97">#REF!</definedName>
    <definedName name="TREV98" localSheetId="0">#REF!</definedName>
    <definedName name="TREV98">#REF!</definedName>
    <definedName name="TREV99" localSheetId="0">#REF!</definedName>
    <definedName name="TREV99">#REF!</definedName>
    <definedName name="TREV99PF" localSheetId="0">#REF!</definedName>
    <definedName name="TREV99PF">#REF!</definedName>
    <definedName name="triz" localSheetId="5" hidden="1">{#N/A,#N/A,TRUE,"Val - sum";#N/A,#N/A,TRUE,"Val - Sum1";#N/A,#N/A,TRUE,"Val - sum2";#N/A,#N/A,TRUE,"Val - Sum3";#N/A,#N/A,TRUE,"Tar-DCF";#N/A,#N/A,TRUE,"Tar-Val LBO";#N/A,#N/A,TRUE,"Tar-Mult Val"}</definedName>
    <definedName name="triz" localSheetId="0" hidden="1">{#N/A,#N/A,TRUE,"Val - sum";#N/A,#N/A,TRUE,"Val - Sum1";#N/A,#N/A,TRUE,"Val - sum2";#N/A,#N/A,TRUE,"Val - Sum3";#N/A,#N/A,TRUE,"Tar-DCF";#N/A,#N/A,TRUE,"Tar-Val LBO";#N/A,#N/A,TRUE,"Tar-Mult Val"}</definedName>
    <definedName name="triz" localSheetId="4" hidden="1">{#N/A,#N/A,TRUE,"Val - sum";#N/A,#N/A,TRUE,"Val - Sum1";#N/A,#N/A,TRUE,"Val - sum2";#N/A,#N/A,TRUE,"Val - Sum3";#N/A,#N/A,TRUE,"Tar-DCF";#N/A,#N/A,TRUE,"Tar-Val LBO";#N/A,#N/A,TRUE,"Tar-Mult Val"}</definedName>
    <definedName name="triz" hidden="1">{#N/A,#N/A,TRUE,"Val - sum";#N/A,#N/A,TRUE,"Val - Sum1";#N/A,#N/A,TRUE,"Val - sum2";#N/A,#N/A,TRUE,"Val - Sum3";#N/A,#N/A,TRUE,"Tar-DCF";#N/A,#N/A,TRUE,"Tar-Val LBO";#N/A,#N/A,TRUE,"Tar-Mult Val"}</definedName>
    <definedName name="TRNR_2d4c52f13d9b42dea3647a7b56f037d2_3132_1" localSheetId="0" hidden="1">#REF!</definedName>
    <definedName name="TRNR_2d4c52f13d9b42dea3647a7b56f037d2_3132_1" hidden="1">#REF!</definedName>
    <definedName name="TRNR_73a9235cb6124f339f3aa5296f05e020_106_1" localSheetId="0" hidden="1">#REF!</definedName>
    <definedName name="TRNR_73a9235cb6124f339f3aa5296f05e020_106_1" hidden="1">#REF!</definedName>
    <definedName name="ts" localSheetId="0">#REF!</definedName>
    <definedName name="ts">#REF!</definedName>
    <definedName name="tse_dpsg" localSheetId="0">#REF!</definedName>
    <definedName name="tse_dpsg">#REF!</definedName>
    <definedName name="tse_epsg" localSheetId="0">#REF!</definedName>
    <definedName name="tse_epsg">#REF!</definedName>
    <definedName name="tshares" localSheetId="0">#REF!</definedName>
    <definedName name="tshares">#REF!</definedName>
    <definedName name="TSO" localSheetId="0">#REF!</definedName>
    <definedName name="TSO">#REF!</definedName>
    <definedName name="tssale" localSheetId="0">#REF!</definedName>
    <definedName name="tssale">#REF!</definedName>
    <definedName name="turn2q92" localSheetId="0">#REF!</definedName>
    <definedName name="turn2q92">#REF!</definedName>
    <definedName name="turn3q92" localSheetId="0">#REF!</definedName>
    <definedName name="turn3q92">#REF!</definedName>
    <definedName name="turn87" localSheetId="0">#REF!</definedName>
    <definedName name="turn87">#REF!</definedName>
    <definedName name="turn92" localSheetId="0">#REF!</definedName>
    <definedName name="turn92">#REF!</definedName>
    <definedName name="turnemoff">#N/A</definedName>
    <definedName name="Turnover" localSheetId="0">#REF!</definedName>
    <definedName name="Turnover">#REF!</definedName>
    <definedName name="TV" localSheetId="0">#REF!</definedName>
    <definedName name="TV">#REF!</definedName>
    <definedName name="tvEBITDA01" localSheetId="0">#REF!</definedName>
    <definedName name="tvEBITDA01">#REF!</definedName>
    <definedName name="TVEBITDA02" localSheetId="0">#REF!</definedName>
    <definedName name="TVEBITDA02">#REF!</definedName>
    <definedName name="TVMETH1" localSheetId="0">#REF!</definedName>
    <definedName name="TVMETH1">#REF!</definedName>
    <definedName name="TVMETH2" localSheetId="0">#REF!</definedName>
    <definedName name="TVMETH2">#REF!</definedName>
    <definedName name="TVMETH3" localSheetId="0">#REF!</definedName>
    <definedName name="TVMETH3">#REF!</definedName>
    <definedName name="TVMETH4" localSheetId="0">#REF!</definedName>
    <definedName name="TVMETH4">#REF!</definedName>
    <definedName name="TVMETH5" localSheetId="0">#REF!</definedName>
    <definedName name="TVMETH5">#REF!</definedName>
    <definedName name="twdnew" localSheetId="0">#REF!</definedName>
    <definedName name="twdnew">#REF!</definedName>
    <definedName name="twdold" localSheetId="0">#REF!</definedName>
    <definedName name="twdold">#REF!</definedName>
    <definedName name="two" localSheetId="0">#REF!,#REF!,#REF!,#REF!,#REF!,#REF!,#REF!,#REF!,#REF!,#REF!,#REF!</definedName>
    <definedName name="two">#REF!,#REF!,#REF!,#REF!,#REF!,#REF!,#REF!,#REF!,#REF!,#REF!,#REF!</definedName>
    <definedName name="type" localSheetId="0">#REF!</definedName>
    <definedName name="type">#REF!</definedName>
    <definedName name="U_D_PROFILE" localSheetId="0">#REF!</definedName>
    <definedName name="U_D_PROFILE">#REF!</definedName>
    <definedName name="UD_index" localSheetId="0">#REF!</definedName>
    <definedName name="UD_index">#REF!</definedName>
    <definedName name="UK" localSheetId="0">#REF!</definedName>
    <definedName name="uk">#REF!</definedName>
    <definedName name="UK_w" localSheetId="0">#REF!</definedName>
    <definedName name="UK_w">#REF!</definedName>
    <definedName name="Unearned_Income" localSheetId="0">#REF!</definedName>
    <definedName name="Unearned_Income">#REF!</definedName>
    <definedName name="UniqueRange_0" localSheetId="0">#REF!</definedName>
    <definedName name="UniqueRange_0">#REF!</definedName>
    <definedName name="UniqueRange_1" localSheetId="0">#REF!</definedName>
    <definedName name="UniqueRange_1">#REF!</definedName>
    <definedName name="UniqueRange_10" localSheetId="0">#REF!</definedName>
    <definedName name="UniqueRange_10">#REF!</definedName>
    <definedName name="UniqueRange_100" localSheetId="0">#REF!</definedName>
    <definedName name="UniqueRange_100">#REF!</definedName>
    <definedName name="UniqueRange_101" localSheetId="0">#REF!</definedName>
    <definedName name="UniqueRange_101">#REF!</definedName>
    <definedName name="UniqueRange_102" localSheetId="0">#REF!</definedName>
    <definedName name="UniqueRange_102">#REF!</definedName>
    <definedName name="UniqueRange_103" localSheetId="0">#REF!</definedName>
    <definedName name="UniqueRange_103">#REF!</definedName>
    <definedName name="UniqueRange_105" localSheetId="0">#REF!</definedName>
    <definedName name="UniqueRange_105">#REF!</definedName>
    <definedName name="UniqueRange_11" localSheetId="0">#REF!</definedName>
    <definedName name="UniqueRange_11">#REF!</definedName>
    <definedName name="UniqueRange_113" localSheetId="0">#REF!</definedName>
    <definedName name="UniqueRange_113">#REF!</definedName>
    <definedName name="UniqueRange_12" localSheetId="0">#REF!</definedName>
    <definedName name="UniqueRange_12">#REF!</definedName>
    <definedName name="UniqueRange_130" localSheetId="0">#REF!</definedName>
    <definedName name="UniqueRange_130">#REF!</definedName>
    <definedName name="UniqueRange_133" localSheetId="0">#REF!</definedName>
    <definedName name="UniqueRange_133">#REF!</definedName>
    <definedName name="UniqueRange_135" localSheetId="0">#REF!</definedName>
    <definedName name="UniqueRange_135">#REF!</definedName>
    <definedName name="UniqueRange_141" localSheetId="0">#REF!</definedName>
    <definedName name="UniqueRange_141">#REF!</definedName>
    <definedName name="UniqueRange_15" localSheetId="0">#REF!</definedName>
    <definedName name="UniqueRange_15">#REF!</definedName>
    <definedName name="UniqueRange_153" localSheetId="0">#REF!</definedName>
    <definedName name="UniqueRange_153">#REF!</definedName>
    <definedName name="UniqueRange_154" localSheetId="0">#REF!</definedName>
    <definedName name="UniqueRange_154">#REF!</definedName>
    <definedName name="UniqueRange_159" localSheetId="0">#REF!</definedName>
    <definedName name="UniqueRange_159">#REF!</definedName>
    <definedName name="UniqueRange_16" localSheetId="0">#REF!</definedName>
    <definedName name="UniqueRange_16">#REF!</definedName>
    <definedName name="UniqueRange_160" localSheetId="0">#REF!</definedName>
    <definedName name="UniqueRange_160">#REF!</definedName>
    <definedName name="UniqueRange_161" localSheetId="0">#REF!</definedName>
    <definedName name="UniqueRange_161">#REF!</definedName>
    <definedName name="UniqueRange_163" localSheetId="0">#REF!</definedName>
    <definedName name="UniqueRange_163">#REF!</definedName>
    <definedName name="UniqueRange_165" localSheetId="0">#REF!</definedName>
    <definedName name="UniqueRange_165">#REF!</definedName>
    <definedName name="UniqueRange_166" localSheetId="0">#REF!</definedName>
    <definedName name="UniqueRange_166">#REF!</definedName>
    <definedName name="UniqueRange_168" localSheetId="0">#REF!</definedName>
    <definedName name="UniqueRange_168">#REF!</definedName>
    <definedName name="UniqueRange_169" localSheetId="0">#REF!</definedName>
    <definedName name="UniqueRange_169">#REF!</definedName>
    <definedName name="UniqueRange_17" localSheetId="0">#REF!</definedName>
    <definedName name="UniqueRange_17">#REF!</definedName>
    <definedName name="UniqueRange_18" localSheetId="0">#REF!</definedName>
    <definedName name="UniqueRange_18">#REF!</definedName>
    <definedName name="UniqueRange_19" localSheetId="0">#REF!</definedName>
    <definedName name="UniqueRange_19">#REF!</definedName>
    <definedName name="UniqueRange_2" localSheetId="0">#REF!</definedName>
    <definedName name="UniqueRange_2">#REF!</definedName>
    <definedName name="UniqueRange_20" localSheetId="0">#REF!</definedName>
    <definedName name="UniqueRange_20">#REF!</definedName>
    <definedName name="UniqueRange_21" localSheetId="0">#REF!</definedName>
    <definedName name="UniqueRange_21">#REF!</definedName>
    <definedName name="UniqueRange_22" localSheetId="0">#REF!</definedName>
    <definedName name="UniqueRange_22">#REF!</definedName>
    <definedName name="UniqueRange_23" localSheetId="0">#REF!</definedName>
    <definedName name="UniqueRange_23">#REF!</definedName>
    <definedName name="UniqueRange_24" localSheetId="0">#REF!</definedName>
    <definedName name="UniqueRange_24">#REF!</definedName>
    <definedName name="UniqueRange_25" localSheetId="0">#REF!</definedName>
    <definedName name="UniqueRange_25">#REF!</definedName>
    <definedName name="UniqueRange_26" localSheetId="0">#REF!</definedName>
    <definedName name="UniqueRange_26">#REF!</definedName>
    <definedName name="UniqueRange_27" localSheetId="0">#REF!</definedName>
    <definedName name="UniqueRange_27">#REF!</definedName>
    <definedName name="UniqueRange_28" localSheetId="0">#REF!</definedName>
    <definedName name="UniqueRange_28">#REF!</definedName>
    <definedName name="UniqueRange_29" localSheetId="0">#REF!</definedName>
    <definedName name="UniqueRange_29">#REF!</definedName>
    <definedName name="UniqueRange_3" localSheetId="0">#REF!</definedName>
    <definedName name="UniqueRange_3">#REF!</definedName>
    <definedName name="UniqueRange_30" localSheetId="0">#REF!</definedName>
    <definedName name="UniqueRange_30">#REF!</definedName>
    <definedName name="UniqueRange_31" localSheetId="0">#REF!</definedName>
    <definedName name="UniqueRange_31">#REF!</definedName>
    <definedName name="UniqueRange_32" localSheetId="0">#REF!</definedName>
    <definedName name="UniqueRange_32">#REF!</definedName>
    <definedName name="UniqueRange_33" localSheetId="0">#REF!</definedName>
    <definedName name="UniqueRange_33">#REF!</definedName>
    <definedName name="UniqueRange_34" localSheetId="0">#REF!</definedName>
    <definedName name="UniqueRange_34">#REF!</definedName>
    <definedName name="UniqueRange_35" localSheetId="0">#REF!</definedName>
    <definedName name="UniqueRange_35">#REF!</definedName>
    <definedName name="UniqueRange_36" localSheetId="0">#REF!</definedName>
    <definedName name="UniqueRange_36">#REF!</definedName>
    <definedName name="UniqueRange_37" localSheetId="0">#REF!</definedName>
    <definedName name="UniqueRange_37">#REF!</definedName>
    <definedName name="UniqueRange_38" localSheetId="0">#REF!</definedName>
    <definedName name="UniqueRange_38">#REF!</definedName>
    <definedName name="UniqueRange_39" localSheetId="0">#REF!</definedName>
    <definedName name="UniqueRange_39">#REF!</definedName>
    <definedName name="UniqueRange_40" localSheetId="0">#REF!</definedName>
    <definedName name="UniqueRange_40">#REF!</definedName>
    <definedName name="UniqueRange_41" localSheetId="0">#REF!</definedName>
    <definedName name="UniqueRange_41">#REF!</definedName>
    <definedName name="UniqueRange_45" localSheetId="0">#REF!</definedName>
    <definedName name="UniqueRange_45">#REF!</definedName>
    <definedName name="UniqueRange_5" localSheetId="0">#REF!</definedName>
    <definedName name="UniqueRange_5">#REF!</definedName>
    <definedName name="UniqueRange_52" localSheetId="0">#REF!</definedName>
    <definedName name="UniqueRange_52">#REF!</definedName>
    <definedName name="UniqueRange_6" localSheetId="0">#REF!</definedName>
    <definedName name="UniqueRange_6">#REF!</definedName>
    <definedName name="UniqueRange_66" localSheetId="0">#REF!</definedName>
    <definedName name="UniqueRange_66">#REF!</definedName>
    <definedName name="UniqueRange_69" localSheetId="0">#REF!</definedName>
    <definedName name="UniqueRange_69">#REF!</definedName>
    <definedName name="UniqueRange_7" localSheetId="0">#REF!</definedName>
    <definedName name="UniqueRange_7">#REF!</definedName>
    <definedName name="UniqueRange_79" localSheetId="0">#REF!</definedName>
    <definedName name="UniqueRange_79">#REF!</definedName>
    <definedName name="UniqueRange_8" localSheetId="0">#REF!</definedName>
    <definedName name="UniqueRange_8">#REF!</definedName>
    <definedName name="UniqueRange_80" localSheetId="0">#REF!</definedName>
    <definedName name="UniqueRange_80">#REF!</definedName>
    <definedName name="UniqueRange_81" localSheetId="0">#REF!</definedName>
    <definedName name="UniqueRange_81">#REF!</definedName>
    <definedName name="UniqueRange_9" localSheetId="0">#REF!</definedName>
    <definedName name="UniqueRange_9">#REF!</definedName>
    <definedName name="UniqueRange_98" localSheetId="0">#REF!</definedName>
    <definedName name="UniqueRange_98">#REF!</definedName>
    <definedName name="UniqueRange_99" localSheetId="0">#REF!</definedName>
    <definedName name="UniqueRange_99">#REF!</definedName>
    <definedName name="UNITS" localSheetId="0">#REF!</definedName>
    <definedName name="Units">#REF!</definedName>
    <definedName name="Unrestricted_equity" localSheetId="0">#REF!</definedName>
    <definedName name="Unrestricted_equity">#REF!</definedName>
    <definedName name="Untaxed_reserves" localSheetId="0">#REF!</definedName>
    <definedName name="Untaxed_reserves">#REF!</definedName>
    <definedName name="update_date" localSheetId="0">#REF!</definedName>
    <definedName name="update_date">#REF!</definedName>
    <definedName name="update_id" localSheetId="0">#REF!</definedName>
    <definedName name="update_id">#REF!</definedName>
    <definedName name="upload_range" localSheetId="0">#REF!</definedName>
    <definedName name="upload_range">#REF!</definedName>
    <definedName name="upper_left1" localSheetId="0">#REF!</definedName>
    <definedName name="upper_left1">#REF!</definedName>
    <definedName name="upper_left2" localSheetId="0">#REF!</definedName>
    <definedName name="upper_left2">#REF!</definedName>
    <definedName name="UpTrend" localSheetId="0">#REF!</definedName>
    <definedName name="UpTrend">#REF!</definedName>
    <definedName name="us_gaap_eps_used_flag" localSheetId="0">#REF!</definedName>
    <definedName name="us_gaap_eps_used_flag">#REF!</definedName>
    <definedName name="US_Value_Tables" localSheetId="0">#REF!,#REF!</definedName>
    <definedName name="US_Value_Tables">#REF!,#REF!</definedName>
    <definedName name="Usage" localSheetId="0">#REF!</definedName>
    <definedName name="Usage">#REF!</definedName>
    <definedName name="USATODAY" localSheetId="0">#REF!</definedName>
    <definedName name="USATODAY">#REF!</definedName>
    <definedName name="Use_payout_ratios" localSheetId="0">#REF!</definedName>
    <definedName name="Use_payout_ratios">#REF!</definedName>
    <definedName name="USexchange" localSheetId="0">#REF!</definedName>
    <definedName name="USexchange">#REF!</definedName>
    <definedName name="USrate" localSheetId="0">#REF!</definedName>
    <definedName name="USrate">#REF!</definedName>
    <definedName name="ustotal93" localSheetId="0">#REF!</definedName>
    <definedName name="ustotal93">#REF!</definedName>
    <definedName name="ustotal94" localSheetId="0">#REF!</definedName>
    <definedName name="ustotal94">#REF!</definedName>
    <definedName name="ustotal95" localSheetId="0">#REF!</definedName>
    <definedName name="ustotal95">#REF!</definedName>
    <definedName name="ustotal96" localSheetId="0">#REF!</definedName>
    <definedName name="ustotal96">#REF!</definedName>
    <definedName name="ustotal97" localSheetId="0">#REF!</definedName>
    <definedName name="ustotal97">#REF!</definedName>
    <definedName name="ustotal98" localSheetId="0">#REF!</definedName>
    <definedName name="ustotal98">#REF!</definedName>
    <definedName name="ustotal99" localSheetId="0">#REF!</definedName>
    <definedName name="ustotal99">#REF!</definedName>
    <definedName name="UtilCap" localSheetId="0" hidden="1">#REF!,#REF!,#REF!,#REF!,#REF!,#REF!,#REF!,#REF!</definedName>
    <definedName name="UtilCap" hidden="1">#REF!,#REF!,#REF!,#REF!,#REF!,#REF!,#REF!,#REF!</definedName>
    <definedName name="UtilProd" localSheetId="0" hidden="1">#REF!,#REF!,#REF!,#REF!,#REF!,#REF!,#REF!,#REF!</definedName>
    <definedName name="UtilProd" hidden="1">#REF!,#REF!,#REF!,#REF!,#REF!,#REF!,#REF!,#REF!</definedName>
    <definedName name="UVSGA_NonE00" localSheetId="0">#REF!</definedName>
    <definedName name="UVSGA_NonE00">#REF!</definedName>
    <definedName name="V" localSheetId="0">#REF!</definedName>
    <definedName name="V">#REF!</definedName>
    <definedName name="V_ALL_000050.SZ" localSheetId="0">#REF!</definedName>
    <definedName name="V_ALL_000050.SZ">#REF!</definedName>
    <definedName name="V_ALL_000422.SZ" localSheetId="0">#REF!</definedName>
    <definedName name="V_ALL_000422.SZ">#REF!</definedName>
    <definedName name="V_ALL_000725.SZ" localSheetId="0">#REF!</definedName>
    <definedName name="V_ALL_000725.SZ">#REF!</definedName>
    <definedName name="V_ALL_002153.SZ" localSheetId="0">#REF!</definedName>
    <definedName name="V_ALL_002153.SZ">#REF!</definedName>
    <definedName name="V_ALL_002230.SZ" localSheetId="0">#REF!</definedName>
    <definedName name="V_ALL_002230.SZ">#REF!</definedName>
    <definedName name="V_ALL_002236.SZ" localSheetId="0">#REF!</definedName>
    <definedName name="V_ALL_002236.SZ">#REF!</definedName>
    <definedName name="V_ALL_002261.SZ" localSheetId="0">#REF!</definedName>
    <definedName name="V_ALL_002261.SZ">#REF!</definedName>
    <definedName name="V_ALL_002405.SZ" localSheetId="0">#REF!</definedName>
    <definedName name="V_ALL_002405.SZ">#REF!</definedName>
    <definedName name="V_ALL_002415.SZ_" localSheetId="0">#REF!</definedName>
    <definedName name="V_ALL_002415.SZ_">#REF!</definedName>
    <definedName name="V_ALL_002456.SZ" localSheetId="0">#REF!</definedName>
    <definedName name="V_ALL_002456.SZ">#REF!</definedName>
    <definedName name="V_ALL_0100.HK" localSheetId="0">#REF!</definedName>
    <definedName name="V_ALL_0100.HK">#REF!</definedName>
    <definedName name="V_ALL_0175.HK_" localSheetId="0">#REF!</definedName>
    <definedName name="V_ALL_0175.HK_">#REF!</definedName>
    <definedName name="V_ALL_0881.HK" localSheetId="0">#REF!</definedName>
    <definedName name="V_ALL_0881.HK">#REF!</definedName>
    <definedName name="V_ALL_0881.HK_" localSheetId="0">#REF!</definedName>
    <definedName name="V_ALL_0881.HK_">#REF!</definedName>
    <definedName name="V_ALL_1268.HK" localSheetId="0">#REF!</definedName>
    <definedName name="V_ALL_1268.HK">#REF!</definedName>
    <definedName name="V_ALL_1316.HK" localSheetId="0">#REF!</definedName>
    <definedName name="V_ALL_1316.HK">#REF!</definedName>
    <definedName name="V_ALL_1477.TW" localSheetId="0">#REF!</definedName>
    <definedName name="V_ALL_1477.TW">#REF!</definedName>
    <definedName name="V_ALL_2333.HK" localSheetId="0">#REF!</definedName>
    <definedName name="V_ALL_2333.HK">#REF!</definedName>
    <definedName name="V_ALL_2513.HK">#REF!</definedName>
    <definedName name="V_ALL_2618.HK" localSheetId="0">#REF!</definedName>
    <definedName name="V_ALL_2618.HK">#REF!</definedName>
    <definedName name="V_ALL_300002.SZ" localSheetId="0">#REF!</definedName>
    <definedName name="V_ALL_300002.SZ">#REF!</definedName>
    <definedName name="V_ALL_300750.SZ" localSheetId="0">#REF!</definedName>
    <definedName name="V_ALL_300750.SZ">#REF!</definedName>
    <definedName name="V_ALL_3669.HK" localSheetId="0">#REF!</definedName>
    <definedName name="V_ALL_3669.HK">#REF!</definedName>
    <definedName name="V_ALL_3690.HK" localSheetId="0">#REF!</definedName>
    <definedName name="V_ALL_3690.HK">#REF!</definedName>
    <definedName name="V_ALL_3836.HK" localSheetId="0">#REF!</definedName>
    <definedName name="V_ALL_3836.HK">#REF!</definedName>
    <definedName name="V_ALL_600009.SS" localSheetId="0">#REF!</definedName>
    <definedName name="V_ALL_600009.SS">#REF!</definedName>
    <definedName name="V_ALL_600104.SS" localSheetId="0">#REF!</definedName>
    <definedName name="V_ALL_600104.SS">#REF!</definedName>
    <definedName name="V_ALL_600104.SS_" localSheetId="0">#REF!</definedName>
    <definedName name="V_ALL_600104.SS_">#REF!</definedName>
    <definedName name="V_ALL_600271.SS" localSheetId="0">#REF!</definedName>
    <definedName name="V_ALL_600271.SS">#REF!</definedName>
    <definedName name="V_ALL_600570.SS" localSheetId="0">#REF!</definedName>
    <definedName name="V_ALL_600570.SS">#REF!</definedName>
    <definedName name="V_ALL_600699.SS" localSheetId="0">#REF!</definedName>
    <definedName name="V_ALL_600699.SS">#REF!</definedName>
    <definedName name="V_ALL_600741.SS" localSheetId="0">#REF!</definedName>
    <definedName name="V_ALL_600741.SS">#REF!</definedName>
    <definedName name="V_ALL_601006.SS" localSheetId="0">#REF!</definedName>
    <definedName name="V_ALL_601006.SS">#REF!</definedName>
    <definedName name="V_ALL_7618.HK">#REF!</definedName>
    <definedName name="V_ALL_8044.TWO" localSheetId="0">#REF!</definedName>
    <definedName name="V_ALL_8044.TWO">#REF!</definedName>
    <definedName name="V_ALL_CDNS" localSheetId="0">#REF!</definedName>
    <definedName name="V_ALL_CDNS">#REF!</definedName>
    <definedName name="V_ALL_CMG" localSheetId="0">#REF!</definedName>
    <definedName name="V_ALL_CMG">#REF!</definedName>
    <definedName name="V_ALL_DADA" localSheetId="0">#REF!</definedName>
    <definedName name="V_ALL_DADA">#REF!</definedName>
    <definedName name="V_ALL_DAO" localSheetId="0">#REF!</definedName>
    <definedName name="V_ALL_DAO">#REF!</definedName>
    <definedName name="V_ALL_DIDIY" localSheetId="0">#REF!</definedName>
    <definedName name="V_ALL_DIDIY">#REF!</definedName>
    <definedName name="V_ALL_DNKN" localSheetId="0">#REF!</definedName>
    <definedName name="V_ALL_DNKN">#REF!</definedName>
    <definedName name="V_ALL_EDU" localSheetId="0">#REF!</definedName>
    <definedName name="V_ALL_EDU">#REF!</definedName>
    <definedName name="V_ALL_EDU_" localSheetId="0">#REF!</definedName>
    <definedName name="V_ALL_EDU_">#REF!</definedName>
    <definedName name="V_ALL_GSX" localSheetId="0">#REF!</definedName>
    <definedName name="V_ALL_GSX">#REF!</definedName>
    <definedName name="V_ALL_IQ" localSheetId="0">#REF!</definedName>
    <definedName name="V_ALL_IQ">#REF!</definedName>
    <definedName name="V_ALL_JD" localSheetId="0">#REF!</definedName>
    <definedName name="V_ALL_JD">#REF!</definedName>
    <definedName name="V_ALL_KEYWORDS_TYPE_ScalarContributed_EQTY_200006934" localSheetId="0">#REF!,#REF!</definedName>
    <definedName name="V_ALL_KEYWORDS_TYPE_ScalarContributed_EQTY_200006934">#REF!,#REF!</definedName>
    <definedName name="V_ALL_KEYWORDS_TYPE_ScalarContributed_EQTY_200007870" localSheetId="0">#REF!,#REF!</definedName>
    <definedName name="V_ALL_KEYWORDS_TYPE_ScalarContributed_EQTY_200007870">#REF!,#REF!</definedName>
    <definedName name="V_ALL_KEYWORDS_TYPE_ScalarContributed_EQTY_200009970" localSheetId="0">#REF!,#REF!</definedName>
    <definedName name="V_ALL_KEYWORDS_TYPE_ScalarContributed_EQTY_200009970">#REF!,#REF!</definedName>
    <definedName name="V_ALL_KEYWORDS_TYPE_ScalarContributed_EQTY_200011172" localSheetId="0">#REF!,#REF!</definedName>
    <definedName name="V_ALL_KEYWORDS_TYPE_ScalarContributed_EQTY_200011172">#REF!,#REF!</definedName>
    <definedName name="V_ALL_KEYWORDS_TYPE_ScalarContributed_EQTY_200012492" localSheetId="0">#REF!,#REF!</definedName>
    <definedName name="V_ALL_KEYWORDS_TYPE_ScalarContributed_EQTY_200012492">#REF!,#REF!</definedName>
    <definedName name="V_ALL_KEYWORDS_TYPE_ScalarContributed_EQTY_200012735" localSheetId="0">#REF!,#REF!</definedName>
    <definedName name="V_ALL_KEYWORDS_TYPE_ScalarContributed_EQTY_200012735">#REF!,#REF!</definedName>
    <definedName name="V_ALL_KEYWORDS_TYPE_ScalarContributed_EQTY_200012909" localSheetId="0">#REF!,#REF!</definedName>
    <definedName name="V_ALL_KEYWORDS_TYPE_ScalarContributed_EQTY_200012909">#REF!,#REF!</definedName>
    <definedName name="V_ALL_KEYWORDS_TYPE_ScalarContributed_EQTY_200012913" localSheetId="0">#REF!,#REF!</definedName>
    <definedName name="V_ALL_KEYWORDS_TYPE_ScalarContributed_EQTY_200012913">#REF!,#REF!</definedName>
    <definedName name="V_ALL_KEYWORDS_TYPE_ScalarContributed_EQTY_200013037" localSheetId="0">#REF!,#REF!</definedName>
    <definedName name="V_ALL_KEYWORDS_TYPE_ScalarContributed_EQTY_200013037">#REF!,#REF!</definedName>
    <definedName name="V_ALL_KEYWORDS_TYPE_ScalarContributed_EQTY_200013142" localSheetId="0">#REF!,#REF!</definedName>
    <definedName name="V_ALL_KEYWORDS_TYPE_ScalarContributed_EQTY_200013142">#REF!,#REF!</definedName>
    <definedName name="V_ALL_KEYWORDS_TYPE_ScalarContributed_EQTY_200016087" localSheetId="0">#REF!,#REF!</definedName>
    <definedName name="V_ALL_KEYWORDS_TYPE_ScalarContributed_EQTY_200016087">#REF!,#REF!</definedName>
    <definedName name="V_ALL_KEYWORDS_TYPE_ScalarContributed_EQTY_200017199" localSheetId="0">#REF!,#REF!</definedName>
    <definedName name="V_ALL_KEYWORDS_TYPE_ScalarContributed_EQTY_200017199">#REF!,#REF!</definedName>
    <definedName name="V_ALL_KEYWORDS_TYPE_ScalarContributed_EQTY_200019438" localSheetId="0">#REF!,#REF!</definedName>
    <definedName name="V_ALL_KEYWORDS_TYPE_ScalarContributed_EQTY_200019438">#REF!,#REF!</definedName>
    <definedName name="V_ALL_KEYWORDS_TYPE_ScalarContributed_EQTY_200019558" localSheetId="0">#REF!,#REF!</definedName>
    <definedName name="V_ALL_KEYWORDS_TYPE_ScalarContributed_EQTY_200019558">#REF!,#REF!</definedName>
    <definedName name="V_ALL_KEYWORDS_TYPE_ScalarContributed_EQTY_200019592" localSheetId="0">#REF!,#REF!</definedName>
    <definedName name="V_ALL_KEYWORDS_TYPE_ScalarContributed_EQTY_200019592">#REF!,#REF!</definedName>
    <definedName name="V_ALL_KEYWORDS_TYPE_ScalarContributed_EQTY_200019860" localSheetId="0">#REF!,#REF!,#REF!</definedName>
    <definedName name="V_ALL_KEYWORDS_TYPE_ScalarContributed_EQTY_200019860">#REF!,#REF!,#REF!</definedName>
    <definedName name="V_ALL_KEYWORDS_TYPE_ScalarContributed_EQTY_200021259">#REF!,#REF!,#REF!</definedName>
    <definedName name="V_ALL_KEYWORDS_TYPE_ScalarContributed_ISSR_208002371" localSheetId="0">#REF!,#REF!,#REF!</definedName>
    <definedName name="V_ALL_KEYWORDS_TYPE_ScalarContributed_ISSR_208002371">#REF!,#REF!,#REF!</definedName>
    <definedName name="V_ALL_KEYWORDS_TYPE_ScalarContributed_ISSR_208010083" localSheetId="0">#REF!,#REF!</definedName>
    <definedName name="V_ALL_KEYWORDS_TYPE_ScalarContributed_ISSR_208010083">#REF!,#REF!</definedName>
    <definedName name="V_ALL_KEYWORDS_TYPE_ScalarContributed_ISSR_208014620" localSheetId="0">#REF!,#REF!</definedName>
    <definedName name="V_ALL_KEYWORDS_TYPE_ScalarContributed_ISSR_208014620">#REF!,#REF!</definedName>
    <definedName name="V_ALL_KEYWORDS_TYPE_ScalarContributed_ISSR_208018143" localSheetId="0">#REF!,#REF!</definedName>
    <definedName name="V_ALL_KEYWORDS_TYPE_ScalarContributed_ISSR_208018143">#REF!,#REF!</definedName>
    <definedName name="V_ALL_KEYWORDS_TYPE_ScalarContributed_ISSR_208018361" localSheetId="0">#REF!,#REF!,#REF!</definedName>
    <definedName name="V_ALL_KEYWORDS_TYPE_ScalarContributed_ISSR_208018361">#REF!,#REF!,#REF!</definedName>
    <definedName name="V_ALL_KEYWORDS_TYPE_ScalarContributed_ISSR_208018457" localSheetId="0">#REF!,#REF!,#REF!,#REF!</definedName>
    <definedName name="V_ALL_KEYWORDS_TYPE_ScalarContributed_ISSR_208018457">#REF!,#REF!,#REF!,#REF!</definedName>
    <definedName name="V_ALL_KEYWORDS_TYPE_ScalarContributed_ISSR_208018550" localSheetId="0">#REF!,#REF!</definedName>
    <definedName name="V_ALL_KEYWORDS_TYPE_ScalarContributed_ISSR_208018550">#REF!,#REF!</definedName>
    <definedName name="V_ALL_KEYWORDS_TYPE_Vector_EQTY_200006934" localSheetId="0">#REF!,#REF!,#REF!,#REF!,#REF!</definedName>
    <definedName name="V_ALL_KEYWORDS_TYPE_Vector_EQTY_200006934">#REF!,#REF!,#REF!,#REF!,#REF!</definedName>
    <definedName name="V_ALL_KEYWORDS_TYPE_Vector_EQTY_200007870" localSheetId="0">#REF!,#REF!,#REF!,#REF!,#REF!</definedName>
    <definedName name="V_ALL_KEYWORDS_TYPE_Vector_EQTY_200007870">#REF!,#REF!,#REF!,#REF!,#REF!</definedName>
    <definedName name="V_ALL_KEYWORDS_TYPE_Vector_EQTY_200009970" localSheetId="0">#REF!,#REF!,#REF!,#REF!,#REF!</definedName>
    <definedName name="V_ALL_KEYWORDS_TYPE_Vector_EQTY_200009970">#REF!,#REF!,#REF!,#REF!,#REF!</definedName>
    <definedName name="V_ALL_KEYWORDS_TYPE_Vector_EQTY_200011172" localSheetId="0">#REF!,#REF!,#REF!,#REF!,#REF!</definedName>
    <definedName name="V_ALL_KEYWORDS_TYPE_Vector_EQTY_200011172">#REF!,#REF!,#REF!,#REF!,#REF!</definedName>
    <definedName name="V_ALL_KEYWORDS_TYPE_Vector_EQTY_200012302" localSheetId="0">#REF!,#REF!,#REF!,#REF!,#REF!,#REF!,#REF!,#REF!</definedName>
    <definedName name="V_ALL_KEYWORDS_TYPE_Vector_EQTY_200012302">#REF!,#REF!,#REF!,#REF!,#REF!,#REF!,#REF!,#REF!</definedName>
    <definedName name="V_ALL_KEYWORDS_TYPE_Vector_EQTY_200012492" localSheetId="0">#REF!,#REF!,#REF!,#REF!,#REF!</definedName>
    <definedName name="V_ALL_KEYWORDS_TYPE_Vector_EQTY_200012492">#REF!,#REF!,#REF!,#REF!,#REF!</definedName>
    <definedName name="V_ALL_KEYWORDS_TYPE_Vector_EQTY_200012735" localSheetId="0">#REF!,#REF!,#REF!,#REF!,#REF!</definedName>
    <definedName name="V_ALL_KEYWORDS_TYPE_Vector_EQTY_200012735">#REF!,#REF!,#REF!,#REF!,#REF!</definedName>
    <definedName name="V_ALL_KEYWORDS_TYPE_Vector_EQTY_200012909" localSheetId="0">#REF!,#REF!,#REF!,#REF!,#REF!</definedName>
    <definedName name="V_ALL_KEYWORDS_TYPE_Vector_EQTY_200012909">#REF!,#REF!,#REF!,#REF!,#REF!</definedName>
    <definedName name="V_ALL_KEYWORDS_TYPE_Vector_EQTY_200012913" localSheetId="0">#REF!,#REF!,#REF!,#REF!,#REF!</definedName>
    <definedName name="V_ALL_KEYWORDS_TYPE_Vector_EQTY_200012913">#REF!,#REF!,#REF!,#REF!,#REF!</definedName>
    <definedName name="V_ALL_KEYWORDS_TYPE_Vector_EQTY_200013037" localSheetId="0">#REF!,#REF!,#REF!,#REF!,#REF!</definedName>
    <definedName name="V_ALL_KEYWORDS_TYPE_Vector_EQTY_200013037">#REF!,#REF!,#REF!,#REF!,#REF!</definedName>
    <definedName name="V_ALL_KEYWORDS_TYPE_Vector_EQTY_200013142" localSheetId="0">#REF!,#REF!,#REF!,#REF!,#REF!</definedName>
    <definedName name="V_ALL_KEYWORDS_TYPE_Vector_EQTY_200013142">#REF!,#REF!,#REF!,#REF!,#REF!</definedName>
    <definedName name="V_ALL_KEYWORDS_TYPE_Vector_EQTY_200016087" localSheetId="0">#REF!,#REF!,#REF!,#REF!,#REF!</definedName>
    <definedName name="V_ALL_KEYWORDS_TYPE_Vector_EQTY_200016087">#REF!,#REF!,#REF!,#REF!,#REF!</definedName>
    <definedName name="V_ALL_KEYWORDS_TYPE_Vector_EQTY_200017199" localSheetId="0">#REF!,#REF!,#REF!,#REF!,#REF!</definedName>
    <definedName name="V_ALL_KEYWORDS_TYPE_Vector_EQTY_200017199">#REF!,#REF!,#REF!,#REF!,#REF!</definedName>
    <definedName name="V_ALL_KEYWORDS_TYPE_Vector_EQTY_200018245" localSheetId="0">#REF!,#REF!,#REF!,#REF!,#REF!</definedName>
    <definedName name="V_ALL_KEYWORDS_TYPE_Vector_EQTY_200018245">#REF!,#REF!,#REF!,#REF!,#REF!</definedName>
    <definedName name="V_ALL_KEYWORDS_TYPE_Vector_EQTY_200019592" localSheetId="0">#REF!,#REF!,#REF!,#REF!,#REF!</definedName>
    <definedName name="V_ALL_KEYWORDS_TYPE_Vector_EQTY_200019592">#REF!,#REF!,#REF!,#REF!,#REF!</definedName>
    <definedName name="V_ALL_KEYWORDS_TYPE_Vector_EQTY_200019837" localSheetId="0">#REF!,#REF!,#REF!,#REF!,#REF!</definedName>
    <definedName name="V_ALL_KEYWORDS_TYPE_Vector_EQTY_200019837">#REF!,#REF!,#REF!,#REF!,#REF!</definedName>
    <definedName name="V_ALL_KEYWORDS_TYPE_Vector_EQTY_200019864" localSheetId="0">#REF!,#REF!,#REF!,#REF!,#REF!</definedName>
    <definedName name="V_ALL_KEYWORDS_TYPE_Vector_EQTY_200019864">#REF!,#REF!,#REF!,#REF!,#REF!</definedName>
    <definedName name="V_ALL_KEYWORDS_TYPE_Vector_ISSR_208000417" localSheetId="0">#REF!,#REF!,#REF!,#REF!,#REF!,#REF!,#REF!,#REF!,#REF!,#REF!,#REF!,#REF!</definedName>
    <definedName name="V_ALL_KEYWORDS_TYPE_Vector_ISSR_208000417">#REF!,#REF!,#REF!,#REF!,#REF!,#REF!,#REF!,#REF!,#REF!,#REF!,#REF!,#REF!</definedName>
    <definedName name="V_ALL_KEYWORDS_TYPE_Vector_ISSR_208000897" localSheetId="0">#REF!,#REF!,#REF!,#REF!,#REF!,#REF!,#REF!,#REF!,#REF!,#REF!,#REF!</definedName>
    <definedName name="V_ALL_KEYWORDS_TYPE_Vector_ISSR_208000897">#REF!,#REF!,#REF!,#REF!,#REF!,#REF!,#REF!,#REF!,#REF!,#REF!,#REF!</definedName>
    <definedName name="V_ALL_KEYWORDS_TYPE_Vector_ISSR_208002371" localSheetId="0">#REF!,#REF!,#REF!,#REF!,#REF!,#REF!,#REF!,#REF!,#REF!,#REF!,#REF!,#REF!,#REF!,#REF!,#REF!,#REF!,#REF!,#REF!,#REF!</definedName>
    <definedName name="V_ALL_KEYWORDS_TYPE_Vector_ISSR_208002371">#REF!,#REF!,#REF!,#REF!,#REF!,#REF!,#REF!,#REF!,#REF!,#REF!,#REF!,#REF!,#REF!,#REF!,#REF!,#REF!,#REF!,#REF!,#REF!</definedName>
    <definedName name="V_ALL_KEYWORDS_TYPE_Vector_ISSR_208006103" localSheetId="0">#REF!,#REF!,#REF!,#REF!,#REF!,#REF!,#REF!,#REF!,#REF!,#REF!,#REF!,#REF!,#REF!,#REF!</definedName>
    <definedName name="V_ALL_KEYWORDS_TYPE_Vector_ISSR_208006103">#REF!,#REF!,#REF!,#REF!,#REF!,#REF!,#REF!,#REF!,#REF!,#REF!,#REF!,#REF!,#REF!,#REF!</definedName>
    <definedName name="V_ALL_KEYWORDS_TYPE_Vector_ISSR_208007694" localSheetId="0">#REF!,#REF!,#REF!,#REF!,#REF!,#REF!,#REF!,#REF!,#REF!,#REF!,#REF!,#REF!,#REF!,#REF!,#REF!</definedName>
    <definedName name="V_ALL_KEYWORDS_TYPE_Vector_ISSR_208007694">#REF!,#REF!,#REF!,#REF!,#REF!,#REF!,#REF!,#REF!,#REF!,#REF!,#REF!,#REF!,#REF!,#REF!,#REF!</definedName>
    <definedName name="V_ALL_KEYWORDS_TYPE_Vector_ISSR_208008548" localSheetId="0">#REF!,#REF!,#REF!,#REF!,#REF!,#REF!,#REF!,#REF!,#REF!,#REF!,#REF!,#REF!,#REF!,#REF!,#REF!,#REF!</definedName>
    <definedName name="V_ALL_KEYWORDS_TYPE_Vector_ISSR_208008548">#REF!,#REF!,#REF!,#REF!,#REF!,#REF!,#REF!,#REF!,#REF!,#REF!,#REF!,#REF!,#REF!,#REF!,#REF!,#REF!</definedName>
    <definedName name="V_ALL_KEYWORDS_TYPE_Vector_ISSR_208009486" localSheetId="0">#REF!,#REF!,#REF!,#REF!,#REF!,#REF!,#REF!,#REF!,#REF!,#REF!,#REF!,#REF!,#REF!,#REF!,#REF!</definedName>
    <definedName name="V_ALL_KEYWORDS_TYPE_Vector_ISSR_208009486">#REF!,#REF!,#REF!,#REF!,#REF!,#REF!,#REF!,#REF!,#REF!,#REF!,#REF!,#REF!,#REF!,#REF!,#REF!</definedName>
    <definedName name="V_ALL_KEYWORDS_TYPE_Vector_ISSR_208009698" localSheetId="0">#REF!,#REF!,#REF!,#REF!,#REF!,#REF!,#REF!,#REF!,#REF!,#REF!,#REF!,#REF!,#REF!,#REF!</definedName>
    <definedName name="V_ALL_KEYWORDS_TYPE_Vector_ISSR_208009698">#REF!,#REF!,#REF!,#REF!,#REF!,#REF!,#REF!,#REF!,#REF!,#REF!,#REF!,#REF!,#REF!,#REF!</definedName>
    <definedName name="V_ALL_KEYWORDS_TYPE_Vector_ISSR_208009912" localSheetId="0">#REF!,#REF!,#REF!,#REF!,#REF!,#REF!,#REF!,#REF!,#REF!,#REF!,#REF!,#REF!,#REF!,#REF!,#REF!</definedName>
    <definedName name="V_ALL_KEYWORDS_TYPE_Vector_ISSR_208009912">#REF!,#REF!,#REF!,#REF!,#REF!,#REF!,#REF!,#REF!,#REF!,#REF!,#REF!,#REF!,#REF!,#REF!,#REF!</definedName>
    <definedName name="V_ALL_KEYWORDS_TYPE_Vector_ISSR_208009916" localSheetId="0">#REF!,#REF!,#REF!,#REF!,#REF!,#REF!,#REF!,#REF!,#REF!,#REF!,#REF!,#REF!,#REF!,#REF!</definedName>
    <definedName name="V_ALL_KEYWORDS_TYPE_Vector_ISSR_208009916">#REF!,#REF!,#REF!,#REF!,#REF!,#REF!,#REF!,#REF!,#REF!,#REF!,#REF!,#REF!,#REF!,#REF!</definedName>
    <definedName name="V_ALL_KEYWORDS_TYPE_Vector_ISSR_208010083" localSheetId="0">#REF!,#REF!,#REF!,#REF!,#REF!,#REF!,#REF!,#REF!,#REF!,#REF!,#REF!,#REF!,#REF!,#REF!,#REF!,#REF!,#REF!,#REF!,#REF!,#REF!,#REF!,#REF!,#REF!</definedName>
    <definedName name="V_ALL_KEYWORDS_TYPE_Vector_ISSR_208010083">#REF!,#REF!,#REF!,#REF!,#REF!,#REF!,#REF!,#REF!,#REF!,#REF!,#REF!,#REF!,#REF!,#REF!,#REF!,#REF!,#REF!,#REF!,#REF!,#REF!,#REF!,#REF!,#REF!</definedName>
    <definedName name="V_ALL_KEYWORDS_TYPE_Vector_ISSR_208013035" localSheetId="0">#REF!,#REF!,#REF!,#REF!,#REF!,#REF!,#REF!,#REF!,#REF!,#REF!,#REF!,#REF!,#REF!,#REF!,#REF!</definedName>
    <definedName name="V_ALL_KEYWORDS_TYPE_Vector_ISSR_208013035">#REF!,#REF!,#REF!,#REF!,#REF!,#REF!,#REF!,#REF!,#REF!,#REF!,#REF!,#REF!,#REF!,#REF!,#REF!</definedName>
    <definedName name="V_ALL_KEYWORDS_TYPE_Vector_ISSR_208014620" localSheetId="0">#REF!,#REF!,#REF!,#REF!,#REF!,#REF!,#REF!,#REF!,#REF!,#REF!,#REF!,#REF!</definedName>
    <definedName name="V_ALL_KEYWORDS_TYPE_Vector_ISSR_208014620">#REF!,#REF!,#REF!,#REF!,#REF!,#REF!,#REF!,#REF!,#REF!,#REF!,#REF!,#REF!</definedName>
    <definedName name="V_ALL_KEYWORDS_TYPE_Vector_ISSR_208015997" localSheetId="0">#REF!,#REF!,#REF!,#REF!,#REF!,#REF!,#REF!,#REF!,#REF!,#REF!,#REF!,#REF!,#REF!,#REF!</definedName>
    <definedName name="V_ALL_KEYWORDS_TYPE_Vector_ISSR_208015997">#REF!,#REF!,#REF!,#REF!,#REF!,#REF!,#REF!,#REF!,#REF!,#REF!,#REF!,#REF!,#REF!,#REF!</definedName>
    <definedName name="V_ALL_KEYWORDS_TYPE_Vector_ISSR_208018143" localSheetId="0">#REF!,#REF!,#REF!,#REF!,#REF!,#REF!,#REF!,#REF!,#REF!,#REF!,#REF!,#REF!,#REF!</definedName>
    <definedName name="V_ALL_KEYWORDS_TYPE_Vector_ISSR_208018143">#REF!,#REF!,#REF!,#REF!,#REF!,#REF!,#REF!,#REF!,#REF!,#REF!,#REF!,#REF!,#REF!</definedName>
    <definedName name="V_ALL_KEYWORDS_TYPE_Vector_ISSR_208018361" localSheetId="0">#REF!,#REF!,#REF!,#REF!,#REF!,#REF!,#REF!,#REF!,#REF!,#REF!,#REF!,#REF!,#REF!,#REF!,#REF!,#REF!,#REF!,#REF!,#REF!</definedName>
    <definedName name="V_ALL_KEYWORDS_TYPE_Vector_ISSR_208018361">#REF!,#REF!,#REF!,#REF!,#REF!,#REF!,#REF!,#REF!,#REF!,#REF!,#REF!,#REF!,#REF!,#REF!,#REF!,#REF!,#REF!,#REF!,#REF!</definedName>
    <definedName name="V_ALL_KEYWORDS_TYPE_Vector_ISSR_208018457" localSheetId="0">#REF!,#REF!,#REF!,#REF!,#REF!,#REF!,#REF!,#REF!,#REF!,#REF!,#REF!,#REF!,#REF!,#REF!,#REF!,#REF!,#REF!,#REF!,#REF!</definedName>
    <definedName name="V_ALL_KEYWORDS_TYPE_Vector_ISSR_208018457">#REF!,#REF!,#REF!,#REF!,#REF!,#REF!,#REF!,#REF!,#REF!,#REF!,#REF!,#REF!,#REF!,#REF!,#REF!,#REF!,#REF!,#REF!,#REF!</definedName>
    <definedName name="V_ALL_KEYWORDS_TYPE_Vector_ISSR_208018497" localSheetId="0">#REF!,#REF!,#REF!,#REF!,#REF!,#REF!,#REF!,#REF!,#REF!,#REF!,#REF!,#REF!,#REF!</definedName>
    <definedName name="V_ALL_KEYWORDS_TYPE_Vector_ISSR_208018497">#REF!,#REF!,#REF!,#REF!,#REF!,#REF!,#REF!,#REF!,#REF!,#REF!,#REF!,#REF!,#REF!</definedName>
    <definedName name="V_ALL_KEYWORDS_TYPE_Vector_ISSR_208018550" localSheetId="0">#REF!,#REF!,#REF!,#REF!,#REF!,#REF!,#REF!,#REF!,#REF!,#REF!,#REF!,#REF!,#REF!</definedName>
    <definedName name="V_ALL_KEYWORDS_TYPE_Vector_ISSR_208018550">#REF!,#REF!,#REF!,#REF!,#REF!,#REF!,#REF!,#REF!,#REF!,#REF!,#REF!,#REF!,#REF!</definedName>
    <definedName name="V_ALL_KEYWORDS_TYPE_Vector_ISSR_208020716" localSheetId="0">#REF!,#REF!,#REF!,#REF!,#REF!,#REF!,#REF!,#REF!,#REF!,#REF!,#REF!,#REF!,#REF!,#REF!</definedName>
    <definedName name="V_ALL_KEYWORDS_TYPE_Vector_ISSR_208020716">#REF!,#REF!,#REF!,#REF!,#REF!,#REF!,#REF!,#REF!,#REF!,#REF!,#REF!,#REF!,#REF!,#REF!</definedName>
    <definedName name="V_ALL_LAIX" localSheetId="0">#REF!</definedName>
    <definedName name="V_ALL_LAIX">#REF!</definedName>
    <definedName name="V_ALL_LI" localSheetId="0">#REF!</definedName>
    <definedName name="V_ALL_LI">#REF!</definedName>
    <definedName name="V_ALL_MCD" localSheetId="0">#REF!</definedName>
    <definedName name="V_ALL_MCD">#REF!</definedName>
    <definedName name="V_ALL_NIO" localSheetId="0">#REF!</definedName>
    <definedName name="V_ALL_NIO">#REF!</definedName>
    <definedName name="V_ALL_PDD" localSheetId="0">#REF!</definedName>
    <definedName name="V_ALL_PDD">#REF!</definedName>
    <definedName name="V_ALL_PERIODS_8044.TWO" localSheetId="0">#REF!</definedName>
    <definedName name="V_ALL_PERIODS_8044.TWO">#REF!</definedName>
    <definedName name="V_ALL_SECTION_KEYWORDS_EQTY_200019752_13A" localSheetId="0">#REF!</definedName>
    <definedName name="V_ALL_SECTION_KEYWORDS_EQTY_200019752_13A">#REF!</definedName>
    <definedName name="V_ALL_SECTION_KEYWORDS_EQTY_200019864_13K" localSheetId="0">#REF!</definedName>
    <definedName name="V_ALL_SECTION_KEYWORDS_EQTY_200019864_13K">#REF!</definedName>
    <definedName name="V_ALL_SECTION_KEYWORDS_EQTY_200021259_13A">#REF!</definedName>
    <definedName name="V_ALL_SECTION_KEYWORDS_ISSR_208000417_131O" localSheetId="0">#REF!,#REF!</definedName>
    <definedName name="V_ALL_SECTION_KEYWORDS_ISSR_208000417_131O">#REF!,#REF!</definedName>
    <definedName name="V_ALL_SECTION_KEYWORDS_ISSR_208000897_131O" localSheetId="0">#REF!,#REF!</definedName>
    <definedName name="V_ALL_SECTION_KEYWORDS_ISSR_208000897_131O">#REF!,#REF!</definedName>
    <definedName name="V_ALL_SECTION_KEYWORDS_ISSR_208000897_136E" localSheetId="0">#REF!,#REF!</definedName>
    <definedName name="V_ALL_SECTION_KEYWORDS_ISSR_208000897_136E">#REF!,#REF!</definedName>
    <definedName name="V_ALL_SECTION_KEYWORDS_ISSR_208002371_136E" localSheetId="0">#REF!,#REF!</definedName>
    <definedName name="V_ALL_SECTION_KEYWORDS_ISSR_208002371_136E">#REF!,#REF!</definedName>
    <definedName name="V_ALL_SECTION_KEYWORDS_ISSR_208002371_13V" localSheetId="0">#REF!,#REF!</definedName>
    <definedName name="V_ALL_SECTION_KEYWORDS_ISSR_208002371_13V">#REF!,#REF!</definedName>
    <definedName name="V_ALL_SECTION_KEYWORDS_ISSR_208009698_1316U" localSheetId="0">#REF!,#REF!</definedName>
    <definedName name="V_ALL_SECTION_KEYWORDS_ISSR_208009698_1316U">#REF!,#REF!</definedName>
    <definedName name="V_ALL_SECTION_KEYWORDS_ISSR_208009916_1316U" localSheetId="0">#REF!,#REF!</definedName>
    <definedName name="V_ALL_SECTION_KEYWORDS_ISSR_208009916_1316U">#REF!,#REF!</definedName>
    <definedName name="V_ALL_SECTION_KEYWORDS_ISSR_208010032_13178" localSheetId="0">#REF!,#REF!</definedName>
    <definedName name="V_ALL_SECTION_KEYWORDS_ISSR_208010032_13178">#REF!,#REF!</definedName>
    <definedName name="V_ALL_SECTION_KEYWORDS_ISSR_208010032_136E" localSheetId="0">#REF!,#REF!</definedName>
    <definedName name="V_ALL_SECTION_KEYWORDS_ISSR_208010032_136E">#REF!,#REF!</definedName>
    <definedName name="V_ALL_SECTION_KEYWORDS_ISSR_208014620_136E" localSheetId="0">#REF!,#REF!</definedName>
    <definedName name="V_ALL_SECTION_KEYWORDS_ISSR_208014620_136E">#REF!,#REF!</definedName>
    <definedName name="V_ALL_SECTION_KEYWORDS_ISSR_208014620_13V" localSheetId="0">#REF!,#REF!</definedName>
    <definedName name="V_ALL_SECTION_KEYWORDS_ISSR_208014620_13V">#REF!,#REF!</definedName>
    <definedName name="V_ALL_SECTION_KEYWORDS_ISSR_208015997_1316U" localSheetId="0">#REF!,#REF!</definedName>
    <definedName name="V_ALL_SECTION_KEYWORDS_ISSR_208015997_1316U">#REF!,#REF!</definedName>
    <definedName name="V_ALL_SECTION_KEYWORDS_ISSR_208018143_13V" localSheetId="0">#REF!,#REF!</definedName>
    <definedName name="V_ALL_SECTION_KEYWORDS_ISSR_208018143_13V">#REF!,#REF!</definedName>
    <definedName name="V_ALL_SECTION_KEYWORDS_ISSR_208018361_13168" localSheetId="0">#REF!</definedName>
    <definedName name="V_ALL_SECTION_KEYWORDS_ISSR_208018361_13168">#REF!</definedName>
    <definedName name="V_ALL_SECTION_KEYWORDS_ISSR_208018361_1319" localSheetId="0">#REF!</definedName>
    <definedName name="V_ALL_SECTION_KEYWORDS_ISSR_208018361_1319">#REF!</definedName>
    <definedName name="V_ALL_SECTION_KEYWORDS_ISSR_208018361_131P" localSheetId="0">#REF!,#REF!</definedName>
    <definedName name="V_ALL_SECTION_KEYWORDS_ISSR_208018361_131P">#REF!,#REF!</definedName>
    <definedName name="V_ALL_SECTION_KEYWORDS_ISSR_208018361_136E" localSheetId="0">#REF!,#REF!</definedName>
    <definedName name="V_ALL_SECTION_KEYWORDS_ISSR_208018361_136E">#REF!,#REF!</definedName>
    <definedName name="V_ALL_SECTION_KEYWORDS_ISSR_208018457_136E" localSheetId="0">#REF!,#REF!</definedName>
    <definedName name="V_ALL_SECTION_KEYWORDS_ISSR_208018457_136E">#REF!,#REF!</definedName>
    <definedName name="V_ALL_SECTION_KEYWORDS_ISSR_208018457_13V" localSheetId="0">#REF!,#REF!</definedName>
    <definedName name="V_ALL_SECTION_KEYWORDS_ISSR_208018457_13V">#REF!,#REF!</definedName>
    <definedName name="V_ALL_SECTION_KEYWORDS_ISSR_208018497_131O" localSheetId="0">#REF!,#REF!</definedName>
    <definedName name="V_ALL_SECTION_KEYWORDS_ISSR_208018497_131O">#REF!,#REF!</definedName>
    <definedName name="V_ALL_SECTION_KEYWORDS_ISSR_208018550_1314" localSheetId="0">#REF!</definedName>
    <definedName name="V_ALL_SECTION_KEYWORDS_ISSR_208018550_1314">#REF!</definedName>
    <definedName name="V_ALL_SECTION_KEYWORDS_ISSR_208018550_1319" localSheetId="0">#REF!</definedName>
    <definedName name="V_ALL_SECTION_KEYWORDS_ISSR_208018550_1319">#REF!</definedName>
    <definedName name="V_ALL_SECTION_KEYWORDS_ISSR_208018550_131E" localSheetId="0">#REF!</definedName>
    <definedName name="V_ALL_SECTION_KEYWORDS_ISSR_208018550_131E">#REF!</definedName>
    <definedName name="V_ALL_SECTION_KEYWORDS_ISSR_208018550_13V" localSheetId="0">#REF!,#REF!</definedName>
    <definedName name="V_ALL_SECTION_KEYWORDS_ISSR_208018550_13V">#REF!,#REF!</definedName>
    <definedName name="V_ALL_SECTION_KEYWORDS_ISSR_208020716_131O" localSheetId="0">#REF!,#REF!</definedName>
    <definedName name="V_ALL_SECTION_KEYWORDS_ISSR_208020716_131O">#REF!,#REF!</definedName>
    <definedName name="V_ALL_SECTIONS_EQTY_200007870" localSheetId="0">#REF!,#REF!,#REF!,#REF!,#REF!,#REF!,#REF!,#REF!</definedName>
    <definedName name="V_ALL_SECTIONS_EQTY_200007870">#REF!,#REF!,#REF!,#REF!,#REF!,#REF!,#REF!,#REF!</definedName>
    <definedName name="V_ALL_SECTIONS_EQTY_200009970" localSheetId="0">#REF!,#REF!,#REF!,#REF!,#REF!,#REF!,#REF!,#REF!</definedName>
    <definedName name="V_ALL_SECTIONS_EQTY_200009970">#REF!,#REF!,#REF!,#REF!,#REF!,#REF!,#REF!,#REF!</definedName>
    <definedName name="V_ALL_SECTIONS_EQTY_200011172" localSheetId="0">#REF!,#REF!,#REF!,#REF!,#REF!,#REF!,#REF!,#REF!</definedName>
    <definedName name="V_ALL_SECTIONS_EQTY_200011172">#REF!,#REF!,#REF!,#REF!,#REF!,#REF!,#REF!,#REF!</definedName>
    <definedName name="V_ALL_SECTIONS_EQTY_200012492" localSheetId="0">#REF!,#REF!,#REF!,#REF!,#REF!,#REF!,#REF!,#REF!</definedName>
    <definedName name="V_ALL_SECTIONS_EQTY_200012492">#REF!,#REF!,#REF!,#REF!,#REF!,#REF!,#REF!,#REF!</definedName>
    <definedName name="V_ALL_SECTIONS_EQTY_200012735" localSheetId="0">#REF!,#REF!,#REF!,#REF!,#REF!,#REF!,#REF!,#REF!</definedName>
    <definedName name="V_ALL_SECTIONS_EQTY_200012735">#REF!,#REF!,#REF!,#REF!,#REF!,#REF!,#REF!,#REF!</definedName>
    <definedName name="V_ALL_SECTIONS_EQTY_200012909" localSheetId="0">#REF!,#REF!,#REF!,#REF!,#REF!,#REF!,#REF!,#REF!</definedName>
    <definedName name="V_ALL_SECTIONS_EQTY_200012909">#REF!,#REF!,#REF!,#REF!,#REF!,#REF!,#REF!,#REF!</definedName>
    <definedName name="V_ALL_SECTIONS_EQTY_200012913" localSheetId="0">#REF!,#REF!,#REF!,#REF!,#REF!,#REF!,#REF!,#REF!</definedName>
    <definedName name="V_ALL_SECTIONS_EQTY_200012913">#REF!,#REF!,#REF!,#REF!,#REF!,#REF!,#REF!,#REF!</definedName>
    <definedName name="V_ALL_SECTIONS_EQTY_200013037" localSheetId="0">#REF!,#REF!,#REF!,#REF!,#REF!,#REF!,#REF!,#REF!</definedName>
    <definedName name="V_ALL_SECTIONS_EQTY_200013037">#REF!,#REF!,#REF!,#REF!,#REF!,#REF!,#REF!,#REF!</definedName>
    <definedName name="V_ALL_SECTIONS_EQTY_200013142" localSheetId="0">#REF!,#REF!,#REF!,#REF!,#REF!,#REF!,#REF!,#REF!</definedName>
    <definedName name="V_ALL_SECTIONS_EQTY_200013142">#REF!,#REF!,#REF!,#REF!,#REF!,#REF!,#REF!,#REF!</definedName>
    <definedName name="V_ALL_SECTIONS_EQTY_200016087" localSheetId="0">#REF!,#REF!,#REF!,#REF!,#REF!,#REF!,#REF!,#REF!</definedName>
    <definedName name="V_ALL_SECTIONS_EQTY_200016087">#REF!,#REF!,#REF!,#REF!,#REF!,#REF!,#REF!,#REF!</definedName>
    <definedName name="V_ALL_SECTIONS_EQTY_200018245" localSheetId="0">#REF!,#REF!,#REF!,#REF!,#REF!,#REF!,#REF!,#REF!</definedName>
    <definedName name="V_ALL_SECTIONS_EQTY_200018245">#REF!,#REF!,#REF!,#REF!,#REF!,#REF!,#REF!,#REF!</definedName>
    <definedName name="V_ALL_SECTIONS_ISSR_208006103" localSheetId="0">#REF!,#REF!,#REF!,#REF!,#REF!,#REF!,#REF!,#REF!,#REF!,#REF!</definedName>
    <definedName name="V_ALL_SECTIONS_ISSR_208006103">#REF!,#REF!,#REF!,#REF!,#REF!,#REF!,#REF!,#REF!,#REF!,#REF!</definedName>
    <definedName name="V_ALL_SECTIONS_ISSR_208007694" localSheetId="0">#REF!,#REF!,#REF!,#REF!,#REF!,#REF!,#REF!,#REF!,#REF!,#REF!</definedName>
    <definedName name="V_ALL_SECTIONS_ISSR_208007694">#REF!,#REF!,#REF!,#REF!,#REF!,#REF!,#REF!,#REF!,#REF!,#REF!</definedName>
    <definedName name="V_ALL_SECTIONS_ISSR_208008548" localSheetId="0">#REF!,#REF!,#REF!,#REF!,#REF!,#REF!,#REF!,#REF!,#REF!,#REF!</definedName>
    <definedName name="V_ALL_SECTIONS_ISSR_208008548">#REF!,#REF!,#REF!,#REF!,#REF!,#REF!,#REF!,#REF!,#REF!,#REF!</definedName>
    <definedName name="V_ALL_SECTIONS_ISSR_208009486" localSheetId="0">#REF!,#REF!,#REF!,#REF!,#REF!,#REF!,#REF!,#REF!,#REF!,#REF!</definedName>
    <definedName name="V_ALL_SECTIONS_ISSR_208009486">#REF!,#REF!,#REF!,#REF!,#REF!,#REF!,#REF!,#REF!,#REF!,#REF!</definedName>
    <definedName name="V_ALL_SECTIONS_ISSR_208009698" localSheetId="0">#REF!,#REF!,#REF!,#REF!,#REF!,#REF!,#REF!,#REF!,#REF!</definedName>
    <definedName name="V_ALL_SECTIONS_ISSR_208009698">#REF!,#REF!,#REF!,#REF!,#REF!,#REF!,#REF!,#REF!,#REF!</definedName>
    <definedName name="V_ALL_SECTIONS_ISSR_208009912" localSheetId="0">#REF!,#REF!,#REF!,#REF!,#REF!,#REF!,#REF!,#REF!,#REF!,#REF!</definedName>
    <definedName name="V_ALL_SECTIONS_ISSR_208009912">#REF!,#REF!,#REF!,#REF!,#REF!,#REF!,#REF!,#REF!,#REF!,#REF!</definedName>
    <definedName name="V_ALL_SECTIONS_ISSR_208009916" localSheetId="0">#REF!,#REF!,#REF!,#REF!,#REF!,#REF!,#REF!,#REF!,#REF!</definedName>
    <definedName name="V_ALL_SECTIONS_ISSR_208009916">#REF!,#REF!,#REF!,#REF!,#REF!,#REF!,#REF!,#REF!,#REF!</definedName>
    <definedName name="V_ALL_SECTIONS_ISSR_208010083" localSheetId="0">#REF!,#REF!,#REF!,#REF!,#REF!,#REF!,#REF!,#REF!,#REF!,#REF!,#REF!</definedName>
    <definedName name="V_ALL_SECTIONS_ISSR_208010083">#REF!,#REF!,#REF!,#REF!,#REF!,#REF!,#REF!,#REF!,#REF!,#REF!,#REF!</definedName>
    <definedName name="V_ALL_SECTIONS_ISSR_208013035" localSheetId="0">#REF!,#REF!,#REF!,#REF!,#REF!,#REF!,#REF!,#REF!,#REF!,#REF!</definedName>
    <definedName name="V_ALL_SECTIONS_ISSR_208013035">#REF!,#REF!,#REF!,#REF!,#REF!,#REF!,#REF!,#REF!,#REF!,#REF!</definedName>
    <definedName name="V_ALL_SFUN" localSheetId="0">#REF!</definedName>
    <definedName name="V_ALL_SFUN">#REF!</definedName>
    <definedName name="V_ALL_SOGO" localSheetId="0">#REF!</definedName>
    <definedName name="V_ALL_SOGO">#REF!</definedName>
    <definedName name="V_ALL_STG" localSheetId="0">#REF!</definedName>
    <definedName name="V_ALL_STG">#REF!</definedName>
    <definedName name="V_ALL_TCOM" localSheetId="0">#REF!</definedName>
    <definedName name="V_ALL_TCOM">#REF!</definedName>
    <definedName name="V_ALL_YMM" localSheetId="0">#REF!</definedName>
    <definedName name="V_ALL_YMM">#REF!</definedName>
    <definedName name="V_KEYWORD_ISSR_208010032_OP_AUSTRA" localSheetId="0">#REF!</definedName>
    <definedName name="V_KEYWORD_ISSR_208010032_OP_AUSTRA">#REF!</definedName>
    <definedName name="V_KEYWORD_ISSR_208010032_OP_AUSTRIA" localSheetId="0">#REF!</definedName>
    <definedName name="V_KEYWORD_ISSR_208010032_OP_AUSTRIA">#REF!</definedName>
    <definedName name="V_KEYWORD_ISSR_208010032_OP_BEL" localSheetId="0">#REF!</definedName>
    <definedName name="V_KEYWORD_ISSR_208010032_OP_BEL">#REF!</definedName>
    <definedName name="V_KEYWORD_ISSR_208010032_OP_BRAZIL" localSheetId="0">#REF!</definedName>
    <definedName name="V_KEYWORD_ISSR_208010032_OP_BRAZIL">#REF!</definedName>
    <definedName name="V_KEYWORD_ISSR_208010032_OP_CANADA" localSheetId="0">#REF!</definedName>
    <definedName name="V_KEYWORD_ISSR_208010032_OP_CANADA">#REF!</definedName>
    <definedName name="V_KEYWORD_ISSR_208010032_OP_CEE" localSheetId="0">#REF!</definedName>
    <definedName name="V_KEYWORD_ISSR_208010032_OP_CEE">#REF!</definedName>
    <definedName name="V_KEYWORD_ISSR_208010032_OP_CHINA" localSheetId="0">#REF!</definedName>
    <definedName name="V_KEYWORD_ISSR_208010032_OP_CHINA">#REF!</definedName>
    <definedName name="V_KEYWORD_ISSR_208010032_OP_CONS" localSheetId="0">#REF!</definedName>
    <definedName name="V_KEYWORD_ISSR_208010032_OP_CONS">#REF!</definedName>
    <definedName name="V_KEYWORD_ISSR_208010032_OP_DEN" localSheetId="0">#REF!</definedName>
    <definedName name="V_KEYWORD_ISSR_208010032_OP_DEN">#REF!</definedName>
    <definedName name="V_KEYWORD_ISSR_208010032_OP_EU_EX_UK" localSheetId="0">#REF!</definedName>
    <definedName name="V_KEYWORD_ISSR_208010032_OP_EU_EX_UK">#REF!</definedName>
    <definedName name="V_KEYWORD_ISSR_208010032_OP_FIN" localSheetId="0">#REF!</definedName>
    <definedName name="V_KEYWORD_ISSR_208010032_OP_FIN">#REF!</definedName>
    <definedName name="V_KEYWORD_ISSR_208010032_OP_FRA" localSheetId="0">#REF!</definedName>
    <definedName name="V_KEYWORD_ISSR_208010032_OP_FRA">#REF!</definedName>
    <definedName name="V_KEYWORD_ISSR_208010032_OP_GER" localSheetId="0">#REF!</definedName>
    <definedName name="V_KEYWORD_ISSR_208010032_OP_GER">#REF!</definedName>
    <definedName name="V_KEYWORD_ISSR_208010032_OP_GOV" localSheetId="0">#REF!</definedName>
    <definedName name="V_KEYWORD_ISSR_208010032_OP_GOV">#REF!</definedName>
    <definedName name="V_KEYWORD_ISSR_208010032_OP_GRE" localSheetId="0">#REF!</definedName>
    <definedName name="V_KEYWORD_ISSR_208010032_OP_GRE">#REF!</definedName>
    <definedName name="V_KEYWORD_ISSR_208010032_OP_ICE" localSheetId="0">#REF!</definedName>
    <definedName name="V_KEYWORD_ISSR_208010032_OP_ICE">#REF!</definedName>
    <definedName name="V_KEYWORD_ISSR_208010032_OP_IND" localSheetId="0">#REF!</definedName>
    <definedName name="V_KEYWORD_ISSR_208010032_OP_IND">#REF!</definedName>
    <definedName name="V_KEYWORD_ISSR_208010032_OP_INDIA" localSheetId="0">#REF!</definedName>
    <definedName name="V_KEYWORD_ISSR_208010032_OP_INDIA">#REF!</definedName>
    <definedName name="V_KEYWORD_ISSR_208010032_OP_IRE" localSheetId="0">#REF!</definedName>
    <definedName name="V_KEYWORD_ISSR_208010032_OP_IRE">#REF!</definedName>
    <definedName name="V_KEYWORD_ISSR_208010032_OP_ITA" localSheetId="0">#REF!</definedName>
    <definedName name="V_KEYWORD_ISSR_208010032_OP_ITA">#REF!</definedName>
    <definedName name="V_KEYWORD_ISSR_208010032_OP_JAPAN" localSheetId="0">#REF!</definedName>
    <definedName name="V_KEYWORD_ISSR_208010032_OP_JAPAN">#REF!</definedName>
    <definedName name="V_KEYWORD_ISSR_208010032_OP_ME" localSheetId="0">#REF!</definedName>
    <definedName name="V_KEYWORD_ISSR_208010032_OP_ME">#REF!</definedName>
    <definedName name="V_KEYWORD_ISSR_208010032_OP_NETH" localSheetId="0">#REF!</definedName>
    <definedName name="V_KEYWORD_ISSR_208010032_OP_NETH">#REF!</definedName>
    <definedName name="V_KEYWORD_ISSR_208010032_OP_NOR" localSheetId="0">#REF!</definedName>
    <definedName name="V_KEYWORD_ISSR_208010032_OP_NOR">#REF!</definedName>
    <definedName name="V_KEYWORD_ISSR_208010032_OP_NZ" localSheetId="0">#REF!</definedName>
    <definedName name="V_KEYWORD_ISSR_208010032_OP_NZ">#REF!</definedName>
    <definedName name="V_KEYWORD_ISSR_208010032_OP_OTH_AEJ" localSheetId="0">#REF!</definedName>
    <definedName name="V_KEYWORD_ISSR_208010032_OP_OTH_AEJ">#REF!</definedName>
    <definedName name="V_KEYWORD_ISSR_208010032_OP_OTH_AM" localSheetId="0">#REF!</definedName>
    <definedName name="V_KEYWORD_ISSR_208010032_OP_OTH_AM">#REF!</definedName>
    <definedName name="V_KEYWORD_ISSR_208010032_OP_OTH_EMEA" localSheetId="0">#REF!</definedName>
    <definedName name="V_KEYWORD_ISSR_208010032_OP_OTH_EMEA">#REF!</definedName>
    <definedName name="V_KEYWORD_ISSR_208010032_OP_OTHER" localSheetId="0">#REF!</definedName>
    <definedName name="V_KEYWORD_ISSR_208010032_OP_OTHER">#REF!</definedName>
    <definedName name="V_KEYWORD_ISSR_208010032_OP_POR" localSheetId="0">#REF!</definedName>
    <definedName name="V_KEYWORD_ISSR_208010032_OP_POR">#REF!</definedName>
    <definedName name="V_KEYWORD_ISSR_208010032_OP_RUSSIA" localSheetId="0">#REF!</definedName>
    <definedName name="V_KEYWORD_ISSR_208010032_OP_RUSSIA">#REF!</definedName>
    <definedName name="V_KEYWORD_ISSR_208010032_OP_SK" localSheetId="0">#REF!</definedName>
    <definedName name="V_KEYWORD_ISSR_208010032_OP_SK">#REF!</definedName>
    <definedName name="V_KEYWORD_ISSR_208010032_OP_SPA" localSheetId="0">#REF!</definedName>
    <definedName name="V_KEYWORD_ISSR_208010032_OP_SPA">#REF!</definedName>
    <definedName name="V_KEYWORD_ISSR_208010032_OP_SWE" localSheetId="0">#REF!</definedName>
    <definedName name="V_KEYWORD_ISSR_208010032_OP_SWE">#REF!</definedName>
    <definedName name="V_KEYWORD_ISSR_208010032_OP_SWIT" localSheetId="0">#REF!</definedName>
    <definedName name="V_KEYWORD_ISSR_208010032_OP_SWIT">#REF!</definedName>
    <definedName name="V_KEYWORD_ISSR_208010032_OP_TOT_AM" localSheetId="0">#REF!</definedName>
    <definedName name="V_KEYWORD_ISSR_208010032_OP_TOT_AM">#REF!</definedName>
    <definedName name="V_KEYWORD_ISSR_208010032_OP_TOT_ASIA" localSheetId="0">#REF!</definedName>
    <definedName name="V_KEYWORD_ISSR_208010032_OP_TOT_ASIA">#REF!</definedName>
    <definedName name="V_KEYWORD_ISSR_208010032_OP_TOT_EMEA" localSheetId="0">#REF!</definedName>
    <definedName name="V_KEYWORD_ISSR_208010032_OP_TOT_EMEA">#REF!</definedName>
    <definedName name="V_KEYWORD_ISSR_208010032_OP_UK" localSheetId="0">#REF!</definedName>
    <definedName name="V_KEYWORD_ISSR_208010032_OP_UK">#REF!</definedName>
    <definedName name="V_KEYWORD_ISSR_208010032_OP_US" localSheetId="0">#REF!</definedName>
    <definedName name="V_KEYWORD_ISSR_208010032_OP_US">#REF!</definedName>
    <definedName name="V_KEYWORD_ISSR_208010032_SALES_DEN" localSheetId="0">#REF!</definedName>
    <definedName name="V_KEYWORD_ISSR_208010032_SALES_DEN">#REF!</definedName>
    <definedName name="V_KEYWORD_ISSR_208010032_SALES_FIN" localSheetId="0">#REF!</definedName>
    <definedName name="V_KEYWORD_ISSR_208010032_SALES_FIN">#REF!</definedName>
    <definedName name="V_KEYWORD_ISSR_208010032_SALES_ICE" localSheetId="0">#REF!</definedName>
    <definedName name="V_KEYWORD_ISSR_208010032_SALES_ICE">#REF!</definedName>
    <definedName name="vaaaaaavavv" hidden="1">#N/A</definedName>
    <definedName name="VAL" localSheetId="0">#REF!</definedName>
    <definedName name="VAL">#REF!</definedName>
    <definedName name="VAL_Q" localSheetId="0">#REF!</definedName>
    <definedName name="VAL_Q">#REF!</definedName>
    <definedName name="val_UD_index" localSheetId="0">#REF!</definedName>
    <definedName name="val_UD_index">#REF!</definedName>
    <definedName name="VALID_FORMATS" localSheetId="0">#REF!</definedName>
    <definedName name="VALID_FORMATS">#REF!</definedName>
    <definedName name="validate_Equity_Data" localSheetId="0">#REF!</definedName>
    <definedName name="validate_Equity_Data">#REF!</definedName>
    <definedName name="valmat" localSheetId="0">#REF!</definedName>
    <definedName name="valmat">#REF!</definedName>
    <definedName name="valor" localSheetId="0">#REF!</definedName>
    <definedName name="valor">#REF!</definedName>
    <definedName name="valu" localSheetId="0">#REF!</definedName>
    <definedName name="valu">#REF!</definedName>
    <definedName name="Valuation" localSheetId="0">#REF!</definedName>
    <definedName name="Valuation">#REF!</definedName>
    <definedName name="ValuationAdjustmentsOther">0</definedName>
    <definedName name="ValuationAdjustmentsValue">0</definedName>
    <definedName name="ValuationCellularValue">0</definedName>
    <definedName name="ValuationDebtAdjustment">0</definedName>
    <definedName name="ValuationDebtNet">0</definedName>
    <definedName name="ValuationDebtTotal">0</definedName>
    <definedName name="ValuationFirmValue">0</definedName>
    <definedName name="ValuationInvestments">0</definedName>
    <definedName name="ValuationMarketCapitalization">0</definedName>
    <definedName name="ValuationOtherValue">0</definedName>
    <definedName name="ValuationPagingValue">0</definedName>
    <definedName name="ValuationPE_Yield" localSheetId="0">#REF!,#REF!,#REF!,#REF!,#REF!,#REF!</definedName>
    <definedName name="ValuationPE_Yield">#REF!,#REF!,#REF!,#REF!,#REF!,#REF!</definedName>
    <definedName name="ValuationTelephoneValue">0</definedName>
    <definedName name="ValuationWirelessValue">0</definedName>
    <definedName name="Value_of_Equity" localSheetId="0">#REF!</definedName>
    <definedName name="Value_of_Equity">#REF!</definedName>
    <definedName name="Value_RNK_index" localSheetId="0">#REF!</definedName>
    <definedName name="Value_RNK_index">#REF!</definedName>
    <definedName name="Value_Score" localSheetId="0">#REF!</definedName>
    <definedName name="Value_Score">#REF!</definedName>
    <definedName name="values_are_primary" localSheetId="0">#REF!</definedName>
    <definedName name="values_are_primary">#REF!</definedName>
    <definedName name="vcapex00" localSheetId="0">#REF!</definedName>
    <definedName name="vcapex00">#REF!</definedName>
    <definedName name="vcapex01" localSheetId="0">#REF!</definedName>
    <definedName name="vcapex01">#REF!</definedName>
    <definedName name="vcapex96" localSheetId="0">#REF!</definedName>
    <definedName name="vcapex96">#REF!</definedName>
    <definedName name="vcapex97" localSheetId="0">#REF!</definedName>
    <definedName name="vcapex97">#REF!</definedName>
    <definedName name="vcapex98" localSheetId="0">#REF!</definedName>
    <definedName name="vcapex98">#REF!</definedName>
    <definedName name="vcapex99" localSheetId="0">#REF!</definedName>
    <definedName name="vcapex99">#REF!</definedName>
    <definedName name="vco20_PkgIncr" localSheetId="0">#REF!</definedName>
    <definedName name="vco20_PkgIncr">#REF!</definedName>
    <definedName name="VendorHcBgn" localSheetId="0">#REF!</definedName>
    <definedName name="VendorHcBgn">#REF!</definedName>
    <definedName name="VENTAS" localSheetId="0">#REF!,#REF!,#REF!</definedName>
    <definedName name="VENTAS">#REF!,#REF!,#REF!</definedName>
    <definedName name="ventaspres" localSheetId="0">#REF!</definedName>
    <definedName name="ventaspres">#REF!</definedName>
    <definedName name="Version" localSheetId="0">#REF!</definedName>
    <definedName name="Version">#REF!</definedName>
    <definedName name="viabEBITDA00" localSheetId="0">#REF!</definedName>
    <definedName name="viabEBITDA00">#REF!</definedName>
    <definedName name="viabEBITDA01" localSheetId="0">#REF!</definedName>
    <definedName name="viabEBITDA01">#REF!</definedName>
    <definedName name="viabEBITDA02" localSheetId="0">#REF!</definedName>
    <definedName name="viabEBITDA02">#REF!</definedName>
    <definedName name="viabEBITDA03" localSheetId="0">#REF!</definedName>
    <definedName name="viabEBITDA03">#REF!</definedName>
    <definedName name="viabEBITDA04" localSheetId="0">#REF!</definedName>
    <definedName name="viabEBITDA04">#REF!</definedName>
    <definedName name="viabEBITDA05" localSheetId="0">#REF!</definedName>
    <definedName name="viabEBITDA05">#REF!</definedName>
    <definedName name="viabEBITDA98" localSheetId="0">#REF!</definedName>
    <definedName name="viabEBITDA98">#REF!</definedName>
    <definedName name="viabEBITDA99" localSheetId="0">#REF!</definedName>
    <definedName name="viabEBITDA99">#REF!</definedName>
    <definedName name="viabFE00" localSheetId="0">#REF!</definedName>
    <definedName name="viabFE00">#REF!</definedName>
    <definedName name="viabFE01" localSheetId="0">#REF!</definedName>
    <definedName name="viabFE01">#REF!</definedName>
    <definedName name="viabFE98" localSheetId="0">#REF!</definedName>
    <definedName name="viabFE98">#REF!</definedName>
    <definedName name="viabFE99" localSheetId="0">#REF!</definedName>
    <definedName name="viabFE99">#REF!</definedName>
    <definedName name="viabMUSIC00" localSheetId="0">#REF!</definedName>
    <definedName name="viabMUSIC00">#REF!</definedName>
    <definedName name="viabMUSIC01" localSheetId="0">#REF!</definedName>
    <definedName name="viabMUSIC01">#REF!</definedName>
    <definedName name="viabMUSIC98" localSheetId="0">#REF!</definedName>
    <definedName name="viabMUSIC98">#REF!</definedName>
    <definedName name="viabMUSIC99" localSheetId="0">#REF!</definedName>
    <definedName name="viabMUSIC99">#REF!</definedName>
    <definedName name="viabONLINE00" localSheetId="0">#REF!</definedName>
    <definedName name="viabONLINE00">#REF!</definedName>
    <definedName name="viabONLINE01" localSheetId="0">#REF!</definedName>
    <definedName name="viabONLINE01">#REF!</definedName>
    <definedName name="viabONLINE02" localSheetId="0">#REF!</definedName>
    <definedName name="viabONLINE02">#REF!</definedName>
    <definedName name="viabONLINE03" localSheetId="0">#REF!</definedName>
    <definedName name="viabONLINE03">#REF!</definedName>
    <definedName name="viabONLINE04" localSheetId="0">#REF!</definedName>
    <definedName name="viabONLINE04">#REF!</definedName>
    <definedName name="viabONLINE98" localSheetId="0">#REF!</definedName>
    <definedName name="viabONLINE98">#REF!</definedName>
    <definedName name="viabONLINE99" localSheetId="0">#REF!</definedName>
    <definedName name="viabONLINE99">#REF!</definedName>
    <definedName name="viabOTHER00" localSheetId="0">#REF!</definedName>
    <definedName name="viabOTHER00">#REF!</definedName>
    <definedName name="viabOTHER01" localSheetId="0">#REF!</definedName>
    <definedName name="viabOTHER01">#REF!</definedName>
    <definedName name="viabOTHER98" localSheetId="0">#REF!</definedName>
    <definedName name="viabOTHER98">#REF!</definedName>
    <definedName name="viabOTHER99" localSheetId="0">#REF!</definedName>
    <definedName name="viabOTHER99">#REF!</definedName>
    <definedName name="viabOVER00" localSheetId="0">#REF!</definedName>
    <definedName name="viabOVER00">#REF!</definedName>
    <definedName name="viabOVER01" localSheetId="0">#REF!</definedName>
    <definedName name="viabOVER01">#REF!</definedName>
    <definedName name="viabOVER98" localSheetId="0">#REF!</definedName>
    <definedName name="viabOVER98">#REF!</definedName>
    <definedName name="viabOVER99" localSheetId="0">#REF!</definedName>
    <definedName name="viabOVER99">#REF!</definedName>
    <definedName name="viabPARKS00" localSheetId="0">#REF!</definedName>
    <definedName name="viabPARKS00">#REF!</definedName>
    <definedName name="viabPARKS01" localSheetId="0">#REF!</definedName>
    <definedName name="viabPARKS01">#REF!</definedName>
    <definedName name="viabPARKS98" localSheetId="0">#REF!</definedName>
    <definedName name="viabPARKS98">#REF!</definedName>
    <definedName name="viabPARKS99" localSheetId="0">#REF!</definedName>
    <definedName name="viabPARKS99">#REF!</definedName>
    <definedName name="viabPUB00" localSheetId="0">#REF!</definedName>
    <definedName name="viabPUB00">#REF!</definedName>
    <definedName name="viabPUB01" localSheetId="0">#REF!</definedName>
    <definedName name="viabPUB01">#REF!</definedName>
    <definedName name="viabPUB98" localSheetId="0">#REF!</definedName>
    <definedName name="viabPUB98">#REF!</definedName>
    <definedName name="viabPUB99" localSheetId="0">#REF!</definedName>
    <definedName name="viabPUB99">#REF!</definedName>
    <definedName name="viabSHOW00" localSheetId="0">#REF!</definedName>
    <definedName name="viabSHOW00">#REF!</definedName>
    <definedName name="viabSHOW01" localSheetId="0">#REF!</definedName>
    <definedName name="viabSHOW01">#REF!</definedName>
    <definedName name="viabSHOW98" localSheetId="0">#REF!</definedName>
    <definedName name="viabSHOW98">#REF!</definedName>
    <definedName name="viabSHOW99" localSheetId="0">#REF!</definedName>
    <definedName name="viabSHOW99">#REF!</definedName>
    <definedName name="viabSPELL00" localSheetId="0">#REF!</definedName>
    <definedName name="viabSPELL00">#REF!</definedName>
    <definedName name="viabSPELL01" localSheetId="0">#REF!</definedName>
    <definedName name="viabSPELL01">#REF!</definedName>
    <definedName name="viabSPELL98" localSheetId="0">#REF!</definedName>
    <definedName name="viabSPELL98">#REF!</definedName>
    <definedName name="viabSPELL99" localSheetId="0">#REF!</definedName>
    <definedName name="viabSPELL99">#REF!</definedName>
    <definedName name="viabSTAT00" localSheetId="0">#REF!</definedName>
    <definedName name="viabSTAT00">#REF!</definedName>
    <definedName name="viabSTAT01" localSheetId="0">#REF!</definedName>
    <definedName name="viabSTAT01">#REF!</definedName>
    <definedName name="viabSTAT98" localSheetId="0">#REF!</definedName>
    <definedName name="viabSTAT98">#REF!</definedName>
    <definedName name="viabSTAT99" localSheetId="0">#REF!</definedName>
    <definedName name="viabSTAT99">#REF!</definedName>
    <definedName name="viabVIDEO00" localSheetId="0">#REF!</definedName>
    <definedName name="viabVIDEO00">#REF!</definedName>
    <definedName name="viabVIDEO01" localSheetId="0">#REF!</definedName>
    <definedName name="viabVIDEO01">#REF!</definedName>
    <definedName name="viabVIDEO98" localSheetId="0">#REF!</definedName>
    <definedName name="viabVIDEO98">#REF!</definedName>
    <definedName name="viabVIDEO99" localSheetId="0">#REF!</definedName>
    <definedName name="viabVIDEO99">#REF!</definedName>
    <definedName name="VIDEO" localSheetId="0">#REF!</definedName>
    <definedName name="VIDEO">#REF!</definedName>
    <definedName name="video00" localSheetId="0">#REF!</definedName>
    <definedName name="video00">#REF!</definedName>
    <definedName name="videoEBITDA01" localSheetId="0">#REF!</definedName>
    <definedName name="videoEBITDA01">#REF!</definedName>
    <definedName name="vital_stat" localSheetId="0">#REF!</definedName>
    <definedName name="vital_stat">#REF!</definedName>
    <definedName name="VOL" localSheetId="0">#REF!</definedName>
    <definedName name="VOL">#REF!</definedName>
    <definedName name="VOX_NonE00" localSheetId="0">#REF!</definedName>
    <definedName name="VOX_NonE00">#REF!</definedName>
    <definedName name="vv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vv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vv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vv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" localSheetId="5" hidden="1">{#N/A,#N/A,FALSE,"One Pager";#N/A,#N/A,FALSE,"Technical"}</definedName>
    <definedName name="w" localSheetId="0" hidden="1">{#N/A,#N/A,FALSE,"Const";#N/A,#N/A,FALSE,"P&amp;L";#N/A,#N/A,FALSE,"Sale"}</definedName>
    <definedName name="w" localSheetId="4" hidden="1">{#N/A,#N/A,FALSE,"One Pager";#N/A,#N/A,FALSE,"Technical"}</definedName>
    <definedName name="w" hidden="1">{#N/A,#N/A,FALSE,"One Pager";#N/A,#N/A,FALSE,"Technical"}</definedName>
    <definedName name="w.forecast" localSheetId="5" hidden="1">{#N/A,#N/A,FALSE,"model"}</definedName>
    <definedName name="w.forecast" localSheetId="0" hidden="1">{#N/A,#N/A,FALSE,"model"}</definedName>
    <definedName name="w.forecast" localSheetId="4" hidden="1">{#N/A,#N/A,FALSE,"model"}</definedName>
    <definedName name="w.forecast" hidden="1">{#N/A,#N/A,FALSE,"model"}</definedName>
    <definedName name="WACC" localSheetId="0">#REF!</definedName>
    <definedName name="WACC">#REF!</definedName>
    <definedName name="WACC_fore" localSheetId="0">#REF!</definedName>
    <definedName name="WACC_fore">#REF!</definedName>
    <definedName name="WACC_P" localSheetId="0">#REF!</definedName>
    <definedName name="WACC_P">#REF!</definedName>
    <definedName name="WACC_P_1" localSheetId="0">#REF!</definedName>
    <definedName name="WACC_P_1">#REF!</definedName>
    <definedName name="WACC_P_8" localSheetId="0">#REF!</definedName>
    <definedName name="WACC_P_8">#REF!</definedName>
    <definedName name="wacc1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localSheetId="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ges_incl_soc.costs" localSheetId="0">#REF!</definedName>
    <definedName name="Wages_incl_soc.costs">#REF!</definedName>
    <definedName name="warrant" localSheetId="0">#REF!</definedName>
    <definedName name="warrant">#REF!</definedName>
    <definedName name="WASOfullyDiluted" localSheetId="0">#REF!</definedName>
    <definedName name="WASOfullyDiluted">#REF!</definedName>
    <definedName name="WASOprimary" localSheetId="0">#REF!</definedName>
    <definedName name="WASOprimary">#REF!</definedName>
    <definedName name="watch_delta" localSheetId="0">#REF!</definedName>
    <definedName name="watch_delta">#REF!</definedName>
    <definedName name="watch_delta_sd" localSheetId="0">#REF!</definedName>
    <definedName name="watch_delta_sd">#REF!</definedName>
    <definedName name="watch_name" localSheetId="0">#REF!</definedName>
    <definedName name="watch_name">#REF!</definedName>
    <definedName name="watch_sd" localSheetId="0">#REF!</definedName>
    <definedName name="watch_sd">#REF!</definedName>
    <definedName name="watch_sign" localSheetId="0">#REF!</definedName>
    <definedName name="watch_sign">#REF!</definedName>
    <definedName name="wave1" localSheetId="0">#REF!</definedName>
    <definedName name="wave1">#REF!</definedName>
    <definedName name="wave2" localSheetId="0">#REF!</definedName>
    <definedName name="wave2">#REF!</definedName>
    <definedName name="wave3" localSheetId="0">#REF!</definedName>
    <definedName name="wave3">#REF!</definedName>
    <definedName name="wbh01m.BLinks">INDIRECT("FDSWMMA.XLM!mfs20.BHandler")</definedName>
    <definedName name="Wcapchgoth" localSheetId="0">#REF!</definedName>
    <definedName name="Wcapchgoth">#REF!</definedName>
    <definedName name="Wcapchng" localSheetId="0">#REF!</definedName>
    <definedName name="Wcapchng">#REF!</definedName>
    <definedName name="wdwdw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dwdw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dwdw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dwdw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eeks_in_qtr" localSheetId="0">#REF!</definedName>
    <definedName name="weeks_in_qtr">#REF!</definedName>
    <definedName name="weeks_in_year" localSheetId="0">#REF!</definedName>
    <definedName name="weeks_in_year">#REF!</definedName>
    <definedName name="wei_beta" localSheetId="0">#REF!</definedName>
    <definedName name="wei_beta">#REF!</definedName>
    <definedName name="wei_div" localSheetId="0">#REF!</definedName>
    <definedName name="wei_div">#REF!</definedName>
    <definedName name="wei_evebitda" localSheetId="0">#REF!</definedName>
    <definedName name="wei_evebitda">#REF!</definedName>
    <definedName name="wei_evsales" localSheetId="0">#REF!</definedName>
    <definedName name="wei_evsales">#REF!</definedName>
    <definedName name="wei_gear" localSheetId="0">#REF!</definedName>
    <definedName name="wei_gear">#REF!</definedName>
    <definedName name="wei_mv" localSheetId="0">#REF!</definedName>
    <definedName name="wei_mv">#REF!</definedName>
    <definedName name="wei_pb" localSheetId="0">#REF!</definedName>
    <definedName name="wei_pb">#REF!</definedName>
    <definedName name="wei_pcf" localSheetId="0">#REF!</definedName>
    <definedName name="wei_pcf">#REF!</definedName>
    <definedName name="wei_pe" localSheetId="0">#REF!</definedName>
    <definedName name="wei_pe">#REF!</definedName>
    <definedName name="wei_peg" localSheetId="0">#REF!</definedName>
    <definedName name="wei_peg">#REF!</definedName>
    <definedName name="wei_roa" localSheetId="0">#REF!</definedName>
    <definedName name="wei_roa">#REF!</definedName>
    <definedName name="wei_roce" localSheetId="0">#REF!</definedName>
    <definedName name="wei_roce">#REF!</definedName>
    <definedName name="wei_roe" localSheetId="0">#REF!</definedName>
    <definedName name="wei_roe">#REF!</definedName>
    <definedName name="wei_vfo" localSheetId="0">#REF!</definedName>
    <definedName name="wei_vfo">#REF!</definedName>
    <definedName name="wendy" localSheetId="5" hidden="1">{#N/A,#N/A,TRUE,"Financials";#N/A,#N/A,TRUE,"Operating Statistics";#N/A,#N/A,TRUE,"Capex &amp; Depreciation";#N/A,#N/A,TRUE,"Debt"}</definedName>
    <definedName name="wendy" localSheetId="0" hidden="1">{#N/A,#N/A,TRUE,"Financials";#N/A,#N/A,TRUE,"Operating Statistics";#N/A,#N/A,TRUE,"Capex &amp; Depreciation";#N/A,#N/A,TRUE,"Debt"}</definedName>
    <definedName name="wendy" localSheetId="4" hidden="1">{#N/A,#N/A,TRUE,"Financials";#N/A,#N/A,TRUE,"Operating Statistics";#N/A,#N/A,TRUE,"Capex &amp; Depreciation";#N/A,#N/A,TRUE,"Debt"}</definedName>
    <definedName name="wendy" hidden="1">{#N/A,#N/A,TRUE,"Financials";#N/A,#N/A,TRUE,"Operating Statistics";#N/A,#N/A,TRUE,"Capex &amp; Depreciation";#N/A,#N/A,TRUE,"Debt"}</definedName>
    <definedName name="wergqerrgqwergr" hidden="1">#N/A</definedName>
    <definedName name="west" localSheetId="0">#REF!</definedName>
    <definedName name="west">#REF!</definedName>
    <definedName name="WEuropeSales" localSheetId="0">#REF!</definedName>
    <definedName name="WEuropeSales">#REF!</definedName>
    <definedName name="WGT_PD1" localSheetId="0">#REF!</definedName>
    <definedName name="WGT_PD1">#REF!</definedName>
    <definedName name="WGT_PD2" localSheetId="0">#REF!</definedName>
    <definedName name="WGT_PD2">#REF!</definedName>
    <definedName name="WGT_PD3" localSheetId="0">#REF!</definedName>
    <definedName name="WGT_PD3">#REF!</definedName>
    <definedName name="whatisthis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hatisthis" localSheetId="4" hidden="1">{#N/A,#N/A,FALSE,"Summary";#N/A,#N/A,FALSE,"Projections";#N/A,#N/A,FALSE,"Mkt Mults";#N/A,#N/A,FALSE,"DCF";#N/A,#N/A,FALSE,"Accr Dil";#N/A,#N/A,FALSE,"PIC LBO";#N/A,#N/A,FALSE,"MULT10_4";#N/A,#N/A,FALSE,"CBI LBO"}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localSheetId="5" hidden="1">{#N/A,#N/A,FALSE,"IPO";#N/A,#N/A,FALSE,"DCF";#N/A,#N/A,FALSE,"LBO";#N/A,#N/A,FALSE,"MULT_VAL";#N/A,#N/A,FALSE,"Status Quo";#N/A,#N/A,FALSE,"Recap"}</definedName>
    <definedName name="whatisthissss" localSheetId="0" hidden="1">{#N/A,#N/A,FALSE,"IPO";#N/A,#N/A,FALSE,"DCF";#N/A,#N/A,FALSE,"LBO";#N/A,#N/A,FALSE,"MULT_VAL";#N/A,#N/A,FALSE,"Status Quo";#N/A,#N/A,FALSE,"Recap"}</definedName>
    <definedName name="whatisthissss" localSheetId="4" hidden="1">{#N/A,#N/A,FALSE,"IPO";#N/A,#N/A,FALSE,"DCF";#N/A,#N/A,FALSE,"LBO";#N/A,#N/A,FALSE,"MULT_VAL";#N/A,#N/A,FALSE,"Status Quo";#N/A,#N/A,FALSE,"Recap"}</definedName>
    <definedName name="whatisthissss" hidden="1">{#N/A,#N/A,FALSE,"IPO";#N/A,#N/A,FALSE,"DCF";#N/A,#N/A,FALSE,"LBO";#N/A,#N/A,FALSE,"MULT_VAL";#N/A,#N/A,FALSE,"Status Quo";#N/A,#N/A,FALSE,"Recap"}</definedName>
    <definedName name="whatisthisssss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localSheetId="4" hidden="1">{#N/A,#N/A,FALSE,"Summary";#N/A,#N/A,FALSE,"Projections";#N/A,#N/A,FALSE,"Mkt Mults";#N/A,#N/A,FALSE,"DCF";#N/A,#N/A,FALSE,"Accr Dil";#N/A,#N/A,FALSE,"PIC LBO";#N/A,#N/A,FALSE,"MULT10_4";#N/A,#N/A,FALSE,"CBI LBO"}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k" localSheetId="0">#REF!</definedName>
    <definedName name="wk">#REF!</definedName>
    <definedName name="wl_p1" localSheetId="0">#REF!</definedName>
    <definedName name="wl_p1">#REF!</definedName>
    <definedName name="wl_p3" localSheetId="0">#REF!</definedName>
    <definedName name="wl_p3">#REF!</definedName>
    <definedName name="wlessEUR" localSheetId="0">#REF!</definedName>
    <definedName name="wlessEUR">#REF!</definedName>
    <definedName name="wlessLA" localSheetId="0">#REF!</definedName>
    <definedName name="wlessLA">#REF!</definedName>
    <definedName name="wlessLA2" localSheetId="0">#REF!</definedName>
    <definedName name="wlessLA2">#REF!</definedName>
    <definedName name="Work_In_Progress_Beg" localSheetId="0">#REF!</definedName>
    <definedName name="Work_In_Progress_Beg">#REF!</definedName>
    <definedName name="Work_In_Progress_End" localSheetId="0">#REF!</definedName>
    <definedName name="Work_In_Progress_End">#REF!</definedName>
    <definedName name="workcap" localSheetId="0">#REF!</definedName>
    <definedName name="workcap">#REF!</definedName>
    <definedName name="WorkingCapitalChg" localSheetId="0">#REF!</definedName>
    <definedName name="WorkingCapitalChg">#REF!</definedName>
    <definedName name="WPI" localSheetId="0">#REF!</definedName>
    <definedName name="WPI">#REF!</definedName>
    <definedName name="Wrapper">#N/A</definedName>
    <definedName name="WrkBgn" localSheetId="0">#REF!</definedName>
    <definedName name="WrkBgn">#REF!</definedName>
    <definedName name="wrn.2._.pagers." localSheetId="5" hidden="1">{"Cover",#N/A,FALSE,"Cover";"Summary",#N/A,FALSE,"Summarpage"}</definedName>
    <definedName name="wrn.2._.pagers." localSheetId="0" hidden="1">{"Cover",#N/A,FALSE,"Cover";"Summary",#N/A,FALSE,"Summarpage"}</definedName>
    <definedName name="wrn.2._.pagers." localSheetId="4" hidden="1">{"Cover",#N/A,FALSE,"Cover";"Summary",#N/A,FALSE,"Summarpage"}</definedName>
    <definedName name="wrn.2._.pagers." hidden="1">{"Cover",#N/A,FALSE,"Cover";"Summary",#N/A,FALSE,"Summarpage"}</definedName>
    <definedName name="wrn.A." localSheetId="5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." localSheetId="0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." localSheetId="4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localSheetId="5" hidden="1">{#N/A,#N/A,FALSE,"A_D";#N/A,#N/A,FALSE,"WACC";#N/A,#N/A,FALSE,"DCF";#N/A,#N/A,FALSE,"A";#N/A,#N/A,FALSE,"LBO";#N/A,#N/A,FALSE,"C";#N/A,#N/A,FALSE,"impd";#N/A,#N/A,FALSE,"comps"}</definedName>
    <definedName name="wrn.A_VALUATION." localSheetId="0" hidden="1">{#N/A,#N/A,FALSE,"A_D";#N/A,#N/A,FALSE,"WACC";#N/A,#N/A,FALSE,"DCF";#N/A,#N/A,FALSE,"A";#N/A,#N/A,FALSE,"LBO";#N/A,#N/A,FALSE,"C";#N/A,#N/A,FALSE,"impd";#N/A,#N/A,FALSE,"comps"}</definedName>
    <definedName name="wrn.A_VALUATION." localSheetId="4" hidden="1">{#N/A,#N/A,FALSE,"A_D";#N/A,#N/A,FALSE,"WACC";#N/A,#N/A,FALSE,"DCF";#N/A,#N/A,FALSE,"A";#N/A,#N/A,FALSE,"LBO";#N/A,#N/A,FALSE,"C";#N/A,#N/A,FALSE,"impd";#N/A,#N/A,FALSE,"comps"}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localSheetId="5" hidden="1">{#N/A,#N/A,FALSE,"Debt Accr";#N/A,#N/A,FALSE,"Stock Accr";#N/A,#N/A,FALSE,"Debt Stock Accr"}</definedName>
    <definedName name="wrn.Accr_Dil." localSheetId="0" hidden="1">{#N/A,#N/A,FALSE,"Debt Accr";#N/A,#N/A,FALSE,"Stock Accr";#N/A,#N/A,FALSE,"Debt Stock Accr"}</definedName>
    <definedName name="wrn.Accr_Dil." localSheetId="4" hidden="1">{#N/A,#N/A,FALSE,"Debt Accr";#N/A,#N/A,FALSE,"Stock Accr";#N/A,#N/A,FALSE,"Debt Stock Accr"}</definedName>
    <definedName name="wrn.Accr_Dil." hidden="1">{#N/A,#N/A,FALSE,"Debt Accr";#N/A,#N/A,FALSE,"Stock Accr";#N/A,#N/A,FALSE,"Debt Stock Accr"}</definedName>
    <definedName name="wrn.AcqState." localSheetId="5" hidden="1">{#N/A,#N/A,TRUE,"Acq-Ass";#N/A,#N/A,TRUE,"Acq-IS";#N/A,#N/A,TRUE,"Acq-BS";#N/A,#N/A,TRUE,"Acq-CF"}</definedName>
    <definedName name="wrn.AcqState." localSheetId="0" hidden="1">{#N/A,#N/A,TRUE,"Acq-Ass";#N/A,#N/A,TRUE,"Acq-IS";#N/A,#N/A,TRUE,"Acq-BS";#N/A,#N/A,TRUE,"Acq-CF"}</definedName>
    <definedName name="wrn.AcqState." localSheetId="4" hidden="1">{#N/A,#N/A,TRUE,"Acq-Ass";#N/A,#N/A,TRUE,"Acq-IS";#N/A,#N/A,TRUE,"Acq-BS";#N/A,#N/A,TRUE,"Acq-CF"}</definedName>
    <definedName name="wrn.AcqState." hidden="1">{#N/A,#N/A,TRUE,"Acq-Ass";#N/A,#N/A,TRUE,"Acq-IS";#N/A,#N/A,TRUE,"Acq-BS";#N/A,#N/A,TRUE,"Acq-CF"}</definedName>
    <definedName name="wrn.Acquiror." localSheetId="5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0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localSheetId="4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Val." localSheetId="5" hidden="1">{#N/A,#N/A,FALSE,"Acq-Val";#N/A,#N/A,FALSE,"Acq-Mult Val"}</definedName>
    <definedName name="wrn.AcqVal." localSheetId="0" hidden="1">{#N/A,#N/A,FALSE,"Acq-Val";#N/A,#N/A,FALSE,"Acq-Mult Val"}</definedName>
    <definedName name="wrn.AcqVal." localSheetId="4" hidden="1">{#N/A,#N/A,FALSE,"Acq-Val";#N/A,#N/A,FALSE,"Acq-Mult Val"}</definedName>
    <definedName name="wrn.AcqVal." hidden="1">{#N/A,#N/A,FALSE,"Acq-Val";#N/A,#N/A,FALSE,"Acq-Mult Val"}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0" hidden="1">{#N/A,#N/A,FALSE,"Time Warner";#N/A,#N/A,FALSE,"Entertainment Group";#N/A,#N/A,FALSE,"EBITDA";#N/A,#N/A,FALSE,"Notes"}</definedName>
    <definedName name="wrn.All." localSheetId="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_.gulp._.sheets." localSheetId="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0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localSheetId="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PAGES." localSheetId="5" hidden="1">{#N/A,#N/A,FALSE,"puboff";#N/A,#N/A,FALSE,"financials";#N/A,#N/A,FALSE,"valuation";#N/A,#N/A,FALSE,"split"}</definedName>
    <definedName name="wrn.All._.Pages.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4" hidden="1">{#N/A,#N/A,FALSE,"puboff";#N/A,#N/A,FALSE,"financials";#N/A,#N/A,FALSE,"valuation";#N/A,#N/A,FALSE,"split"}</definedName>
    <definedName name="wrn.ALL._.PAGES." hidden="1">{#N/A,#N/A,FALSE,"puboff";#N/A,#N/A,FALSE,"financials";#N/A,#N/A,FALSE,"valuation";#N/A,#N/A,FALSE,"split"}</definedName>
    <definedName name="wrn.All._.Pages._London" localSheetId="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London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London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London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comb" localSheetId="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comb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comb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comb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localSheetId="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localSheetId="0" hidden="1">{#N/A,#N/A,TRUE,"MAIN FT TERM";#N/A,#N/A,TRUE,"MCI  FT TERM ";#N/A,#N/A,TRUE,"OC12 EQV"}</definedName>
    <definedName name="wrn.ALL._.SHEETS." localSheetId="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localSheetId="5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._.Worksheets." localSheetId="0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._.Worksheets." localSheetId="4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._Pages._comb" localSheetId="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Pages._comb" localSheetId="0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Pages._comb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Pages._comb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_Models." localSheetId="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0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localSheetId="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localSheetId="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0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localSheetId="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localSheetId="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0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localSheetId="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localSheetId="5" hidden="1">{#N/A,#N/A,FALSE,"AD_Purchase";#N/A,#N/A,FALSE,"Credit";#N/A,#N/A,FALSE,"PF Acquisition";#N/A,#N/A,FALSE,"PF Offering"}</definedName>
    <definedName name="wrn.AllModels." localSheetId="0" hidden="1">{#N/A,#N/A,FALSE,"AD_Purchase";#N/A,#N/A,FALSE,"Credit";#N/A,#N/A,FALSE,"PF Acquisition";#N/A,#N/A,FALSE,"PF Offering"}</definedName>
    <definedName name="wrn.AllModels." localSheetId="4" hidden="1">{#N/A,#N/A,FALSE,"AD_Purchase";#N/A,#N/A,FALSE,"Credit";#N/A,#N/A,FALSE,"PF Acquisition";#N/A,#N/A,FALSE,"PF Offering"}</definedName>
    <definedName name="wrn.AllModels." hidden="1">{#N/A,#N/A,FALSE,"AD_Purchase";#N/A,#N/A,FALSE,"Credit";#N/A,#N/A,FALSE,"PF Acquisition";#N/A,#N/A,FALSE,"PF Offering"}</definedName>
    <definedName name="wrn.allpages." localSheetId="5" hidden="1">{#N/A,#N/A,TRUE,"Historicals";#N/A,#N/A,TRUE,"Charts";#N/A,#N/A,TRUE,"Forecasts"}</definedName>
    <definedName name="wrn.allpages." localSheetId="0" hidden="1">{#N/A,#N/A,TRUE,"Historicals";#N/A,#N/A,TRUE,"Charts";#N/A,#N/A,TRUE,"Forecasts"}</definedName>
    <definedName name="wrn.allpages." localSheetId="4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nnual." localSheetId="5" hidden="1">{"Full annual",#N/A,FALSE,"Master"}</definedName>
    <definedName name="wrn.Annual." localSheetId="0" hidden="1">{"Full annual",#N/A,FALSE,"Master"}</definedName>
    <definedName name="wrn.Annual." localSheetId="4" hidden="1">{"Full annual",#N/A,FALSE,"Master"}</definedName>
    <definedName name="wrn.Annual." hidden="1">{"Full annual",#N/A,FALSE,"Master"}</definedName>
    <definedName name="wrn.Annual._.Operating._.Earnings." localSheetId="5" hidden="1">{"Annual 1996",#N/A,FALSE,"Ann-Op (Mng)";"Annual 1996",#N/A,FALSE,"Ann-Op (Rep)";"Operating Vs. Reported Earnings",#N/A,FALSE,"Rpt-Op Inc"}</definedName>
    <definedName name="wrn.Annual._.Operating._.Earnings." localSheetId="0" hidden="1">{"Annual 1996",#N/A,FALSE,"Ann-Op (Mng)";"Annual 1996",#N/A,FALSE,"Ann-Op (Rep)";"Operating Vs. Reported Earnings",#N/A,FALSE,"Rpt-Op Inc"}</definedName>
    <definedName name="wrn.Annual._.Operating._.Earnings." localSheetId="4" hidden="1">{"Annual 1996",#N/A,FALSE,"Ann-Op (Mng)";"Annual 1996",#N/A,FALSE,"Ann-Op (Rep)";"Operating Vs. Reported Earnings",#N/A,FALSE,"Rpt-Op Inc"}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1." localSheetId="5" hidden="1">{"Annual 1996",#N/A,FALSE,"Ann-Op (Mng)";"Annual 1996",#N/A,FALSE,"Ann-Op (Rep)";"Operating Vs. Reported Earnings",#N/A,FALSE,"Rpt-Op Inc"}</definedName>
    <definedName name="wrn.Annual._.Operating._.Earnings1." localSheetId="0" hidden="1">{"Annual 1996",#N/A,FALSE,"Ann-Op (Mng)";"Annual 1996",#N/A,FALSE,"Ann-Op (Rep)";"Operating Vs. Reported Earnings",#N/A,FALSE,"Rpt-Op Inc"}</definedName>
    <definedName name="wrn.Annual._.Operating._.Earnings1." localSheetId="4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RPU._.composition." localSheetId="5" hidden="1">{#N/A,#N/A,FALSE,"Additional ARPU"}</definedName>
    <definedName name="wrn.ARPU._.composition." localSheetId="0" hidden="1">{#N/A,#N/A,FALSE,"Additional ARPU"}</definedName>
    <definedName name="wrn.ARPU._.composition." localSheetId="4" hidden="1">{#N/A,#N/A,FALSE,"Additional ARPU"}</definedName>
    <definedName name="wrn.ARPU._.composition." hidden="1">{#N/A,#N/A,FALSE,"Additional ARPU"}</definedName>
    <definedName name="wrn.Asia." localSheetId="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0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BalShtSum." localSheetId="5" hidden="1">{"balshtsum",#N/A,FALSE,"BalSht"}</definedName>
    <definedName name="wrn.BalShtSum." localSheetId="0" hidden="1">{"balshtsum",#N/A,FALSE,"BalSht"}</definedName>
    <definedName name="wrn.BalShtSum." localSheetId="4" hidden="1">{"balshtsum",#N/A,FALSE,"BalSht"}</definedName>
    <definedName name="wrn.BalShtSum." hidden="1">{"balshtsum",#N/A,FALSE,"BalSht"}</definedName>
    <definedName name="wrn.basics." localSheetId="5" hidden="1">{#N/A,#N/A,FALSE,"TSUM";#N/A,#N/A,FALSE,"shares";#N/A,#N/A,FALSE,"earnout";#N/A,#N/A,FALSE,"Heaty";#N/A,#N/A,FALSE,"self-tend";#N/A,#N/A,FALSE,"self-sum"}</definedName>
    <definedName name="wrn.basics." localSheetId="0" hidden="1">{#N/A,#N/A,FALSE,"TSUM";#N/A,#N/A,FALSE,"shares";#N/A,#N/A,FALSE,"earnout";#N/A,#N/A,FALSE,"Heaty";#N/A,#N/A,FALSE,"self-tend";#N/A,#N/A,FALSE,"self-sum"}</definedName>
    <definedName name="wrn.basics." localSheetId="4" hidden="1">{#N/A,#N/A,FALSE,"TSUM";#N/A,#N/A,FALSE,"shares";#N/A,#N/A,FALSE,"earnout";#N/A,#N/A,FALSE,"Heaty";#N/A,#N/A,FALSE,"self-tend";#N/A,#N/A,FALSE,"self-sum"}</definedName>
    <definedName name="wrn.basics." hidden="1">{#N/A,#N/A,FALSE,"TSUM";#N/A,#N/A,FALSE,"shares";#N/A,#N/A,FALSE,"earnout";#N/A,#N/A,FALSE,"Heaty";#N/A,#N/A,FALSE,"self-tend";#N/A,#N/A,FALSE,"self-sum"}</definedName>
    <definedName name="wrn.BS._.Print." localSheetId="5" hidden="1">{"BalanceSheets1",#N/A,FALSE,"input"}</definedName>
    <definedName name="wrn.BS._.Print." localSheetId="0" hidden="1">{"BalanceSheets1",#N/A,FALSE,"input"}</definedName>
    <definedName name="wrn.BS._.Print." localSheetId="4" hidden="1">{"BalanceSheets1",#N/A,FALSE,"input"}</definedName>
    <definedName name="wrn.BS._.Print." hidden="1">{"BalanceSheets1",#N/A,FALSE,"input"}</definedName>
    <definedName name="wrn.bullshit1." localSheetId="5" hidden="1">{#N/A,#N/A,FALSE,"Sheet1";#N/A,#N/A,FALSE,"Summary";#N/A,#N/A,FALSE,"proj1";#N/A,#N/A,FALSE,"proj2"}</definedName>
    <definedName name="wrn.bullshit1." localSheetId="0" hidden="1">{#N/A,#N/A,FALSE,"Sheet1";#N/A,#N/A,FALSE,"Summary";#N/A,#N/A,FALSE,"proj1";#N/A,#N/A,FALSE,"proj2"}</definedName>
    <definedName name="wrn.bullshit1." localSheetId="4" hidden="1">{#N/A,#N/A,FALSE,"Sheet1";#N/A,#N/A,FALSE,"Summary";#N/A,#N/A,FALSE,"proj1";#N/A,#N/A,FALSE,"proj2"}</definedName>
    <definedName name="wrn.bullshit1." hidden="1">{#N/A,#N/A,FALSE,"Sheet1";#N/A,#N/A,FALSE,"Summary";#N/A,#N/A,FALSE,"proj1";#N/A,#N/A,FALSE,"proj2"}</definedName>
    <definedName name="wrn.CFSum." localSheetId="5" hidden="1">{"cfsum",#N/A,FALSE,"CashFlow"}</definedName>
    <definedName name="wrn.CFSum." localSheetId="0" hidden="1">{"cfsum",#N/A,FALSE,"CashFlow"}</definedName>
    <definedName name="wrn.CFSum." localSheetId="4" hidden="1">{"cfsum",#N/A,FALSE,"CashFlow"}</definedName>
    <definedName name="wrn.CFSum." hidden="1">{"cfsum",#N/A,FALSE,"CashFlow"}</definedName>
    <definedName name="wrn.client." localSheetId="5" hidden="1">{"multiple",#N/A,FALSE,"client";"margins",#N/A,FALSE,"client";"data",#N/A,FALSE,"client"}</definedName>
    <definedName name="wrn.Client." localSheetId="0" hidden="1">{#N/A,#N/A,FALSE,"Bal. Sht.";#N/A,#N/A,FALSE,"Ann. Inc.";#N/A,#N/A,FALSE,"Quart. Inc."}</definedName>
    <definedName name="wrn.client." localSheetId="4" hidden="1">{"multiple",#N/A,FALSE,"client";"margins",#N/A,FALSE,"client";"data",#N/A,FALSE,"client"}</definedName>
    <definedName name="wrn.client." hidden="1">{"multiple",#N/A,FALSE,"client";"margins",#N/A,FALSE,"client";"data",#N/A,FALSE,"client"}</definedName>
    <definedName name="wrn.Client._.cfbs." localSheetId="5" hidden="1">{"client cfbs",#N/A,FALSE,"Client"}</definedName>
    <definedName name="wrn.Client._.cfbs." localSheetId="0" hidden="1">{"client cfbs",#N/A,FALSE,"Client"}</definedName>
    <definedName name="wrn.Client._.cfbs." localSheetId="4" hidden="1">{"client cfbs",#N/A,FALSE,"Client"}</definedName>
    <definedName name="wrn.Client._.cfbs." hidden="1">{"client cfbs",#N/A,FALSE,"Client"}</definedName>
    <definedName name="wrn.Client._.is." localSheetId="5" hidden="1">{"Client is",#N/A,FALSE,"Client"}</definedName>
    <definedName name="wrn.Client._.is." localSheetId="0" hidden="1">{"Client is",#N/A,FALSE,"Client"}</definedName>
    <definedName name="wrn.Client._.is." localSheetId="4" hidden="1">{"Client is",#N/A,FALSE,"Client"}</definedName>
    <definedName name="wrn.Client._.is." hidden="1">{"Client is",#N/A,FALSE,"Client"}</definedName>
    <definedName name="wrn.Client._.stats." localSheetId="5" hidden="1">{"Client stats",#N/A,FALSE,"Client"}</definedName>
    <definedName name="wrn.Client._.stats." localSheetId="0" hidden="1">{"Client stats",#N/A,FALSE,"Client"}</definedName>
    <definedName name="wrn.Client._.stats." localSheetId="4" hidden="1">{"Client stats",#N/A,FALSE,"Client"}</definedName>
    <definedName name="wrn.Client._.stats." hidden="1">{"Client stats",#N/A,FALSE,"Client"}</definedName>
    <definedName name="wrn.Client2." localSheetId="5" hidden="1">{#N/A,#N/A,FALSE,"Inc. St.";#N/A,#N/A,FALSE,"Bal. Sht."}</definedName>
    <definedName name="wrn.Client2." localSheetId="0" hidden="1">{#N/A,#N/A,FALSE,"Inc. St.";#N/A,#N/A,FALSE,"Bal. Sht."}</definedName>
    <definedName name="wrn.Client2." localSheetId="4" hidden="1">{#N/A,#N/A,FALSE,"Inc. St.";#N/A,#N/A,FALSE,"Bal. Sht."}</definedName>
    <definedName name="wrn.Client2." hidden="1">{#N/A,#N/A,FALSE,"Inc. St.";#N/A,#N/A,FALSE,"Bal. Sht."}</definedName>
    <definedName name="wrn.Client3." localSheetId="5" hidden="1">{"data",#N/A,FALSE,"client (3)";"margins",#N/A,FALSE,"client (3)";"multiple",#N/A,FALSE,"client (3)"}</definedName>
    <definedName name="wrn.Client3." localSheetId="0" hidden="1">{"data",#N/A,FALSE,"client (3)";"margins",#N/A,FALSE,"client (3)";"multiple",#N/A,FALSE,"client (3)"}</definedName>
    <definedName name="wrn.Client3." localSheetId="4" hidden="1">{"data",#N/A,FALSE,"client (3)";"margins",#N/A,FALSE,"client (3)";"multiple",#N/A,FALSE,"client (3)"}</definedName>
    <definedName name="wrn.Client3." hidden="1">{"data",#N/A,FALSE,"client (3)";"margins",#N/A,FALSE,"client (3)";"multiple",#N/A,FALSE,"client (3)"}</definedName>
    <definedName name="wrn.client4." localSheetId="5" hidden="1">{"multiple",#N/A,FALSE,"client (4)";"margins",#N/A,FALSE,"client (4)";"data",#N/A,FALSE,"client (4)"}</definedName>
    <definedName name="wrn.client4." localSheetId="0" hidden="1">{"multiple",#N/A,FALSE,"client (4)";"margins",#N/A,FALSE,"client (4)";"data",#N/A,FALSE,"client (4)"}</definedName>
    <definedName name="wrn.client4." localSheetId="4" hidden="1">{"multiple",#N/A,FALSE,"client (4)";"margins",#N/A,FALSE,"client (4)";"data",#N/A,FALSE,"client (4)"}</definedName>
    <definedName name="wrn.client4." hidden="1">{"multiple",#N/A,FALSE,"client (4)";"margins",#N/A,FALSE,"client (4)";"data",#N/A,FALSE,"client (4)"}</definedName>
    <definedName name="wrn.Combination." localSheetId="5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0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localSheetId="4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oResults." localSheetId="5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0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localSheetId="4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localSheetId="5" hidden="1">{#N/A,#N/A,FALSE,"Combo-Ass ";#N/A,#N/A,FALSE,"Combo-IS";#N/A,#N/A,FALSE,"Combo-BS";#N/A,#N/A,FALSE,"Combo-CF"}</definedName>
    <definedName name="wrn.ComboState." localSheetId="0" hidden="1">{#N/A,#N/A,FALSE,"Combo-Ass ";#N/A,#N/A,FALSE,"Combo-IS";#N/A,#N/A,FALSE,"Combo-BS";#N/A,#N/A,FALSE,"Combo-CF"}</definedName>
    <definedName name="wrn.ComboState." localSheetId="4" hidden="1">{#N/A,#N/A,FALSE,"Combo-Ass ";#N/A,#N/A,FALSE,"Combo-IS";#N/A,#N/A,FALSE,"Combo-BS";#N/A,#N/A,FALSE,"Combo-CF"}</definedName>
    <definedName name="wrn.ComboState." hidden="1">{#N/A,#N/A,FALSE,"Combo-Ass ";#N/A,#N/A,FALSE,"Combo-IS";#N/A,#N/A,FALSE,"Combo-BS";#N/A,#N/A,FALSE,"Combo-CF"}</definedName>
    <definedName name="wrn.Complete." localSheetId="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0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Report." localSheetId="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5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0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NSOLIDATION." localSheetId="5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0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ribution." localSheetId="5" hidden="1">{#N/A,#N/A,FALSE,"Contribution Analysis"}</definedName>
    <definedName name="wrn.contribution." localSheetId="0" hidden="1">{#N/A,#N/A,FALSE,"Contribution Analysis"}</definedName>
    <definedName name="wrn.contribution." localSheetId="4" hidden="1">{#N/A,#N/A,FALSE,"Contribution Analysis"}</definedName>
    <definedName name="wrn.contribution." hidden="1">{#N/A,#N/A,FALSE,"Contribution Analysis"}</definedName>
    <definedName name="wrn.Cover." localSheetId="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0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5" hidden="1">{"orixcsc",#N/A,FALSE,"ORIX CSC";"orixcsc2",#N/A,FALSE,"ORIX CSC"}</definedName>
    <definedName name="wrn.csc." localSheetId="0" hidden="1">{"orixcsc",#N/A,FALSE,"ORIX CSC";"orixcsc2",#N/A,FALSE,"ORIX CSC"}</definedName>
    <definedName name="wrn.csc." localSheetId="4" hidden="1">{"orixcsc",#N/A,FALSE,"ORIX CSC";"orixcsc2",#N/A,FALSE,"ORIX CSC"}</definedName>
    <definedName name="wrn.csc." hidden="1">{"orixcsc",#N/A,FALSE,"ORIX CSC";"orixcsc2",#N/A,FALSE,"ORIX CSC"}</definedName>
    <definedName name="wrn.csc2." localSheetId="5" hidden="1">{#N/A,#N/A,FALSE,"ORIX CSC"}</definedName>
    <definedName name="wrn.csc2." localSheetId="0" hidden="1">{#N/A,#N/A,FALSE,"ORIX CSC"}</definedName>
    <definedName name="wrn.csc2." localSheetId="4" hidden="1">{#N/A,#N/A,FALSE,"ORIX CSC"}</definedName>
    <definedName name="wrn.csc2." hidden="1">{#N/A,#N/A,FALSE,"ORIX CSC"}</definedName>
    <definedName name="wrn.database." localSheetId="5" hidden="1">{"subs",#N/A,FALSE,"database ";"proportional",#N/A,FALSE,"database "}</definedName>
    <definedName name="wrn.database." localSheetId="0" hidden="1">{"subs",#N/A,FALSE,"database ";"proportional",#N/A,FALSE,"database "}</definedName>
    <definedName name="wrn.database." localSheetId="4" hidden="1">{"subs",#N/A,FALSE,"database ";"proportional",#N/A,FALSE,"database "}</definedName>
    <definedName name="wrn.database." hidden="1">{"subs",#N/A,FALSE,"database ";"proportional",#N/A,FALSE,"database "}</definedName>
    <definedName name="wrn.dcf." localSheetId="5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0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tail._.income._.and._.expense." localSheetId="5" hidden="1">{#N/A,#N/A,TRUE,"Assumptions";#N/A,#N/A,TRUE,"Revenue &amp; Direct Expense";#N/A,#N/A,TRUE,"Indirect Expense"}</definedName>
    <definedName name="wrn.Detail._.income._.and._.expense." localSheetId="0" hidden="1">{#N/A,#N/A,TRUE,"Assumptions";#N/A,#N/A,TRUE,"Revenue &amp; Direct Expense";#N/A,#N/A,TRUE,"Indirect Expense"}</definedName>
    <definedName name="wrn.Detail._.income._.and._.expense." localSheetId="4" hidden="1">{#N/A,#N/A,TRUE,"Assumptions";#N/A,#N/A,TRUE,"Revenue &amp; Direct Expense";#N/A,#N/A,TRUE,"Indirect Expense"}</definedName>
    <definedName name="wrn.Detail._.income._.and._.expense." hidden="1">{#N/A,#N/A,TRUE,"Assumptions";#N/A,#N/A,TRUE,"Revenue &amp; Direct Expense";#N/A,#N/A,TRUE,"Indirect Expense"}</definedName>
    <definedName name="wrn.dir." localSheetId="5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0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localSheetId="4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localSheetId="5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PS._.print." localSheetId="5" hidden="1">{"EPS1",#N/A,FALSE,"merger"}</definedName>
    <definedName name="wrn.EPS._.print." localSheetId="0" hidden="1">{"EPS1",#N/A,FALSE,"merger"}</definedName>
    <definedName name="wrn.EPS._.print." localSheetId="4" hidden="1">{"EPS1",#N/A,FALSE,"merger"}</definedName>
    <definedName name="wrn.EPS._.print." hidden="1">{"EPS1",#N/A,FALSE,"merger"}</definedName>
    <definedName name="wrn.Europe." localSheetId="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0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xternal." localSheetId="5" hidden="1">{"External_Annual_Income",#N/A,FALSE,"External";"External_Quarterly_Income",#N/A,FALSE,"External"}</definedName>
    <definedName name="wrn.External." localSheetId="0" hidden="1">{"External_Annual_Income",#N/A,FALSE,"External";"External_Quarterly_Income",#N/A,FALSE,"External"}</definedName>
    <definedName name="wrn.External." localSheetId="4" hidden="1">{"External_Annual_Income",#N/A,FALSE,"External";"External_Quarterly_Income",#N/A,FALSE,"External"}</definedName>
    <definedName name="wrn.External." hidden="1">{"External_Annual_Income",#N/A,FALSE,"External";"External_Quarterly_Income",#N/A,FALSE,"External"}</definedName>
    <definedName name="wrn.external.2" localSheetId="5" hidden="1">{"External_Annual_Income",#N/A,FALSE,"External";"External_Quarterly_Income",#N/A,FALSE,"External"}</definedName>
    <definedName name="wrn.external.2" localSheetId="0" hidden="1">{"External_Annual_Income",#N/A,FALSE,"External";"External_Quarterly_Income",#N/A,FALSE,"External"}</definedName>
    <definedName name="wrn.external.2" localSheetId="4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CB." localSheetId="5" hidden="1">{"FCB_ALL",#N/A,FALSE,"FCB"}</definedName>
    <definedName name="wrn.FCB." localSheetId="0" hidden="1">{"FCB_ALL",#N/A,FALSE,"FCB"}</definedName>
    <definedName name="wrn.FCB." localSheetId="4" hidden="1">{"FCB_ALL",#N/A,FALSE,"FCB"}</definedName>
    <definedName name="wrn.FCB." hidden="1">{"FCB_ALL",#N/A,FALSE,"FCB"}</definedName>
    <definedName name="wrn.fcb2" localSheetId="5" hidden="1">{"FCB_ALL",#N/A,FALSE,"FCB"}</definedName>
    <definedName name="wrn.fcb2" localSheetId="0" hidden="1">{"FCB_ALL",#N/A,FALSE,"FCB"}</definedName>
    <definedName name="wrn.fcb2" localSheetId="4" hidden="1">{"FCB_ALL",#N/A,FALSE,"FCB"}</definedName>
    <definedName name="wrn.fcb2" hidden="1">{"FCB_ALL",#N/A,FALSE,"FCB"}</definedName>
    <definedName name="wrn.Filter." localSheetId="5" hidden="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0" hidden="1">{#N/A,#N/A,FALSE,"Assump2";#N/A,#N/A,FALSE,"Income2";#N/A,#N/A,FALSE,"Balance2";#N/A,#N/A,FALSE,"DCF Filter";#N/A,#N/A,FALSE,"Trans Assump2";#N/A,#N/A,FALSE,"Combined Income2";#N/A,#N/A,FALSE,"Combined Balance2"}</definedName>
    <definedName name="wrn.Filter." localSheetId="4" hidden="1">{#N/A,#N/A,FALSE,"Assump2";#N/A,#N/A,FALSE,"Income2";#N/A,#N/A,FALSE,"Balance2";#N/A,#N/A,FALSE,"DCF Filter";#N/A,#N/A,FALSE,"Trans Assump2";#N/A,#N/A,FALSE,"Combined Income2";#N/A,#N/A,FALSE,"Combined Balance2"}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l._.Copy." localSheetId="5" hidden="1">{#N/A,#N/A,TRUE,"Assumptions";#N/A,#N/A,TRUE,"Financial  Statements";#N/A,#N/A,TRUE,"Unl. Free CF Valuation ";#N/A,#N/A,TRUE,"Funding Schedule";#N/A,#N/A,TRUE,"High Yield &amp; Equity Schedule"}</definedName>
    <definedName name="wrn.Final._.Copy." localSheetId="0" hidden="1">{#N/A,#N/A,TRUE,"Assumptions";#N/A,#N/A,TRUE,"Financial  Statements";#N/A,#N/A,TRUE,"Unl. Free CF Valuation ";#N/A,#N/A,TRUE,"Funding Schedule";#N/A,#N/A,TRUE,"High Yield &amp; Equity Schedule"}</definedName>
    <definedName name="wrn.Final._.Copy." localSheetId="4" hidden="1">{#N/A,#N/A,TRUE,"Assumptions";#N/A,#N/A,TRUE,"Financial  Statements";#N/A,#N/A,TRUE,"Unl. Free CF Valuation ";#N/A,#N/A,TRUE,"Funding Schedule";#N/A,#N/A,TRUE,"High Yield &amp; Equity Schedule"}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ncial." localSheetId="5" hidden="1">{"IncStmt",#N/A,FALSE,"IncStmt";"BalSht",#N/A,FALSE,"BalSht";"IncStmtDet",#N/A,FALSE,"IncStmt";"CashFlow",#N/A,FALSE,"CashFlow";"Ratio",#N/A,FALSE,"Ratio Analysis";"GrMarg",#N/A,FALSE,"IncStmt"}</definedName>
    <definedName name="wrn.Financial." localSheetId="0" hidden="1">{"IncStmt",#N/A,FALSE,"IncStmt";"BalSht",#N/A,FALSE,"BalSht";"IncStmtDet",#N/A,FALSE,"IncStmt";"CashFlow",#N/A,FALSE,"CashFlow";"Ratio",#N/A,FALSE,"Ratio Analysis";"GrMarg",#N/A,FALSE,"IncStmt"}</definedName>
    <definedName name="wrn.Financial." localSheetId="4" hidden="1">{"IncStmt",#N/A,FALSE,"IncStmt";"BalSht",#N/A,FALSE,"BalSht";"IncStmtDet",#N/A,FALSE,"IncStmt";"CashFlow",#N/A,FALSE,"CashFlow";"Ratio",#N/A,FALSE,"Ratio Analysis";"GrMarg",#N/A,FALSE,"IncStmt"}</definedName>
    <definedName name="wrn.Financial." hidden="1">{"IncStmt",#N/A,FALSE,"IncStmt";"BalSht",#N/A,FALSE,"BalSht";"IncStmtDet",#N/A,FALSE,"IncStmt";"CashFlow",#N/A,FALSE,"CashFlow";"Ratio",#N/A,FALSE,"Ratio Analysis";"GrMarg",#N/A,FALSE,"IncStmt"}</definedName>
    <definedName name="wrn.Financials." localSheetId="5" hidden="1">{"Overview",#N/A,FALSE,"Overview";"Overview",#N/A,FALSE,"Classic Qwest"}</definedName>
    <definedName name="wrn.Financials." localSheetId="0" hidden="1">{"Overview",#N/A,FALSE,"Overview";"Overview",#N/A,FALSE,"Classic Qwest"}</definedName>
    <definedName name="wrn.Financials." localSheetId="4" hidden="1">{"Overview",#N/A,FALSE,"Overview";"Overview",#N/A,FALSE,"Classic Qwest"}</definedName>
    <definedName name="wrn.Financials." hidden="1">{"Overview",#N/A,FALSE,"Overview";"Overview",#N/A,FALSE,"Classic Qwest"}</definedName>
    <definedName name="wrn.first2." localSheetId="5" hidden="1">{#N/A,#N/A,FALSE,"sum-don";#N/A,#N/A,FALSE,"inc-don"}</definedName>
    <definedName name="wrn.first2." localSheetId="0" hidden="1">{#N/A,#N/A,FALSE,"sum-don";#N/A,#N/A,FALSE,"inc-don"}</definedName>
    <definedName name="wrn.first2." localSheetId="4" hidden="1">{#N/A,#N/A,FALSE,"sum-don";#N/A,#N/A,FALSE,"inc-don"}</definedName>
    <definedName name="wrn.first2." hidden="1">{#N/A,#N/A,FALSE,"sum-don";#N/A,#N/A,FALSE,"inc-don"}</definedName>
    <definedName name="wrn.first3." localSheetId="5" hidden="1">{#N/A,#N/A,FALSE,"Summary";#N/A,#N/A,FALSE,"proj1";#N/A,#N/A,FALSE,"proj2"}</definedName>
    <definedName name="wrn.first3." localSheetId="0" hidden="1">{#N/A,#N/A,FALSE,"Summary";#N/A,#N/A,FALSE,"proj1";#N/A,#N/A,FALSE,"proj2"}</definedName>
    <definedName name="wrn.first3." localSheetId="4" hidden="1">{#N/A,#N/A,FALSE,"Summary";#N/A,#N/A,FALSE,"proj1";#N/A,#N/A,FALSE,"proj2"}</definedName>
    <definedName name="wrn.first3." hidden="1">{#N/A,#N/A,FALSE,"Summary";#N/A,#N/A,FALSE,"proj1";#N/A,#N/A,FALSE,"proj2"}</definedName>
    <definedName name="wrn.first4." localSheetId="5" hidden="1">{#N/A,#N/A,FALSE,"Summary";#N/A,#N/A,FALSE,"proj1";#N/A,#N/A,FALSE,"proj2";#N/A,#N/A,FALSE,"DCF"}</definedName>
    <definedName name="wrn.first4." localSheetId="0" hidden="1">{#N/A,#N/A,FALSE,"Summary";#N/A,#N/A,FALSE,"proj1";#N/A,#N/A,FALSE,"proj2";#N/A,#N/A,FALSE,"DCF"}</definedName>
    <definedName name="wrn.first4." localSheetId="4" hidden="1">{#N/A,#N/A,FALSE,"Summary";#N/A,#N/A,FALSE,"proj1";#N/A,#N/A,FALSE,"proj2";#N/A,#N/A,FALSE,"DCF"}</definedName>
    <definedName name="wrn.first4." hidden="1">{#N/A,#N/A,FALSE,"Summary";#N/A,#N/A,FALSE,"proj1";#N/A,#N/A,FALSE,"proj2";#N/A,#N/A,FALSE,"DCF"}</definedName>
    <definedName name="wrn.forecast." localSheetId="5" hidden="1">{#N/A,#N/A,FALSE,"model"}</definedName>
    <definedName name="wrn.forecast." localSheetId="0" hidden="1">{#N/A,#N/A,FALSE,"model"}</definedName>
    <definedName name="wrn.forecast." localSheetId="4" hidden="1">{#N/A,#N/A,FALSE,"model"}</definedName>
    <definedName name="wrn.forecast." hidden="1">{#N/A,#N/A,FALSE,"model"}</definedName>
    <definedName name="wrn.Forecast._.Q1." localSheetId="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localSheetId="0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localSheetId="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localSheetId="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0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localSheetId="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0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localSheetId="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localSheetId="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0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localSheetId="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assumptions." localSheetId="5" hidden="1">{#N/A,#N/A,FALSE,"model"}</definedName>
    <definedName name="wrn.forecastassumptions." localSheetId="0" hidden="1">{#N/A,#N/A,FALSE,"model"}</definedName>
    <definedName name="wrn.forecastassumptions." localSheetId="4" hidden="1">{#N/A,#N/A,FALSE,"model"}</definedName>
    <definedName name="wrn.forecastassumptions." hidden="1">{#N/A,#N/A,FALSE,"model"}</definedName>
    <definedName name="wrn.forecastROIC." localSheetId="5" hidden="1">{#N/A,#N/A,FALSE,"model"}</definedName>
    <definedName name="wrn.forecastROIC." localSheetId="0" hidden="1">{#N/A,#N/A,FALSE,"model"}</definedName>
    <definedName name="wrn.forecastROIC." localSheetId="4" hidden="1">{#N/A,#N/A,FALSE,"model"}</definedName>
    <definedName name="wrn.forecastROIC." hidden="1">{#N/A,#N/A,FALSE,"model"}</definedName>
    <definedName name="wrn.Full._.Financials." localSheetId="5" hidden="1">{#N/A,#N/A,TRUE,"Financials";#N/A,#N/A,TRUE,"Operating Statistics";#N/A,#N/A,TRUE,"Capex &amp; Depreciation";#N/A,#N/A,TRUE,"Debt"}</definedName>
    <definedName name="wrn.Full._.Financials." localSheetId="0" hidden="1">{#N/A,#N/A,TRUE,"Financials";#N/A,#N/A,TRUE,"Operating Statistics";#N/A,#N/A,TRUE,"Capex &amp; Depreciation";#N/A,#N/A,TRUE,"Debt"}</definedName>
    <definedName name="wrn.Full._.Financials." localSheetId="4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full._.financials1." localSheetId="5" hidden="1">{#N/A,#N/A,TRUE,"Financials";#N/A,#N/A,TRUE,"Operating Statistics";#N/A,#N/A,TRUE,"Capex &amp; Depreciation";#N/A,#N/A,TRUE,"Debt"}</definedName>
    <definedName name="wrn.full._.financials1." localSheetId="0" hidden="1">{#N/A,#N/A,TRUE,"Financials";#N/A,#N/A,TRUE,"Operating Statistics";#N/A,#N/A,TRUE,"Capex &amp; Depreciation";#N/A,#N/A,TRUE,"Debt"}</definedName>
    <definedName name="wrn.full._.financials1." localSheetId="4" hidden="1">{#N/A,#N/A,TRUE,"Financials";#N/A,#N/A,TRUE,"Operating Statistics";#N/A,#N/A,TRUE,"Capex &amp; Depreciation";#N/A,#N/A,TRUE,"Debt"}</definedName>
    <definedName name="wrn.full._.financials1." hidden="1">{#N/A,#N/A,TRUE,"Financials";#N/A,#N/A,TRUE,"Operating Statistics";#N/A,#N/A,TRUE,"Capex &amp; Depreciation";#N/A,#N/A,TRUE,"Debt"}</definedName>
    <definedName name="wrn.Full._.Model." localSheetId="5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0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localSheetId="4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Report." localSheetId="5" hidden="1">{#N/A,#N/A,FALSE,"COVER";#N/A,#N/A,FALSE,"VALUATION";#N/A,#N/A,FALSE,"FORECAST";#N/A,#N/A,FALSE,"FY ANALYSIS ";#N/A,#N/A,FALSE," HY ANALYSIS"}</definedName>
    <definedName name="wrn.Full._.report." localSheetId="0" hidden="1">{"Full annual",#N/A,FALSE,"Master";"P and L halfyearly",#N/A,FALSE,"Master";"Underlying halfyearly",#N/A,FALSE,"Master"}</definedName>
    <definedName name="wrn.Full._.Report." localSheetId="4" hidden="1">{#N/A,#N/A,FALSE,"COVER";#N/A,#N/A,FALSE,"VALUATION";#N/A,#N/A,FALSE,"FORECAST";#N/A,#N/A,FALSE,"FY ANALYSIS ";#N/A,#N/A,FALSE," HY ANALYSIS"}</definedName>
    <definedName name="wrn.Full._.Report." hidden="1">{#N/A,#N/A,FALSE,"COVER";#N/A,#N/A,FALSE,"VALUATION";#N/A,#N/A,FALSE,"FORECAST";#N/A,#N/A,FALSE,"FY ANALYSIS ";#N/A,#N/A,FALSE," HY ANALYSIS"}</definedName>
    <definedName name="wrn.gastos." localSheetId="5" hidden="1">{#N/A,#N/A,FALSE,"PERSONAL";#N/A,#N/A,FALSE,"explotación";#N/A,#N/A,FALSE,"generales"}</definedName>
    <definedName name="wrn.gastos." localSheetId="0" hidden="1">{#N/A,#N/A,FALSE,"PERSONAL";#N/A,#N/A,FALSE,"explotación";#N/A,#N/A,FALSE,"generales"}</definedName>
    <definedName name="wrn.gastos." localSheetId="4" hidden="1">{#N/A,#N/A,FALSE,"PERSONAL";#N/A,#N/A,FALSE,"explotación";#N/A,#N/A,FALSE,"generales"}</definedName>
    <definedName name="wrn.gastos." hidden="1">{#N/A,#N/A,FALSE,"PERSONAL";#N/A,#N/A,FALSE,"explotación";#N/A,#N/A,FALSE,"generales"}</definedName>
    <definedName name="wrn.HEAT." localSheetId="5" hidden="1">{#N/A,#N/A,FALSE,"Heat";#N/A,#N/A,FALSE,"DCF";#N/A,#N/A,FALSE,"LBO";#N/A,#N/A,FALSE,"A";#N/A,#N/A,FALSE,"C";#N/A,#N/A,FALSE,"impd";#N/A,#N/A,FALSE,"Accr-Dilu"}</definedName>
    <definedName name="wrn.HEAT." localSheetId="0" hidden="1">{#N/A,#N/A,FALSE,"Heat";#N/A,#N/A,FALSE,"DCF";#N/A,#N/A,FALSE,"LBO";#N/A,#N/A,FALSE,"A";#N/A,#N/A,FALSE,"C";#N/A,#N/A,FALSE,"impd";#N/A,#N/A,FALSE,"Accr-Dilu"}</definedName>
    <definedName name="wrn.HEAT." localSheetId="4" hidden="1">{#N/A,#N/A,FALSE,"Heat";#N/A,#N/A,FALSE,"DCF";#N/A,#N/A,FALSE,"LBO";#N/A,#N/A,FALSE,"A";#N/A,#N/A,FALSE,"C";#N/A,#N/A,FALSE,"impd";#N/A,#N/A,FALSE,"Accr-Dilu"}</definedName>
    <definedName name="wrn.HEAT." hidden="1">{#N/A,#N/A,FALSE,"Heat";#N/A,#N/A,FALSE,"DCF";#N/A,#N/A,FALSE,"LBO";#N/A,#N/A,FALSE,"A";#N/A,#N/A,FALSE,"C";#N/A,#N/A,FALSE,"impd";#N/A,#N/A,FALSE,"Accr-Dilu"}</definedName>
    <definedName name="wrn.history." localSheetId="5" hidden="1">{#N/A,#N/A,FALSE,"model"}</definedName>
    <definedName name="wrn.history." localSheetId="0" hidden="1">{#N/A,#N/A,FALSE,"model"}</definedName>
    <definedName name="wrn.history." localSheetId="4" hidden="1">{#N/A,#N/A,FALSE,"model"}</definedName>
    <definedName name="wrn.history." hidden="1">{#N/A,#N/A,FALSE,"model"}</definedName>
    <definedName name="wrn.histROIC." localSheetId="5" hidden="1">{#N/A,#N/A,FALSE,"model"}</definedName>
    <definedName name="wrn.histROIC." localSheetId="0" hidden="1">{#N/A,#N/A,FALSE,"model"}</definedName>
    <definedName name="wrn.histROIC." localSheetId="4" hidden="1">{#N/A,#N/A,FALSE,"model"}</definedName>
    <definedName name="wrn.histROIC." hidden="1">{#N/A,#N/A,FALSE,"model"}</definedName>
    <definedName name="wrn.Hydraulic." localSheetId="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0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localSheetId="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localSheetId="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0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localSheetId="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mport._.figures." localSheetId="5" hidden="1">{"reports",#N/A,FALSE,"Balance Sheet"}</definedName>
    <definedName name="wrn.Import._.figures." localSheetId="0" hidden="1">{"reports",#N/A,FALSE,"Balance Sheet"}</definedName>
    <definedName name="wrn.Import._.figures." localSheetId="4" hidden="1">{"reports",#N/A,FALSE,"Balance Sheet"}</definedName>
    <definedName name="wrn.Import._.figures." hidden="1">{"reports",#N/A,FALSE,"Balance Sheet"}</definedName>
    <definedName name="wrn.Income._.Statement." localSheetId="5" hidden="1">{#N/A,#N/A,FALSE,"Report Print"}</definedName>
    <definedName name="wrn.Income._.Statement." localSheetId="0" hidden="1">{#N/A,#N/A,FALSE,"Report Print"}</definedName>
    <definedName name="wrn.Income._.Statement." localSheetId="4" hidden="1">{#N/A,#N/A,FALSE,"Report Print"}</definedName>
    <definedName name="wrn.Income._.Statement." hidden="1">{#N/A,#N/A,FALSE,"Report Print"}</definedName>
    <definedName name="wrn.Income._.Stmt." localSheetId="5" hidden="1">{"Income Stmt",#N/A,FALSE,"Model"}</definedName>
    <definedName name="wrn.Income._.Stmt." localSheetId="0" hidden="1">{"Income Stmt",#N/A,FALSE,"Model"}</definedName>
    <definedName name="wrn.Income._.Stmt." localSheetId="4" hidden="1">{"Income Stmt",#N/A,FALSE,"Model"}</definedName>
    <definedName name="wrn.Income._.Stmt." hidden="1">{"Income Stmt",#N/A,FALSE,"Model"}</definedName>
    <definedName name="wrn.IncStmt." localSheetId="5" hidden="1">{"gr_margin",#N/A,FALSE,"IncStmt";"incstmt",#N/A,FALSE,"IncStmt";"incstmtdet",#N/A,FALSE,"IncStmt"}</definedName>
    <definedName name="wrn.IncStmt." localSheetId="0" hidden="1">{"gr_margin",#N/A,FALSE,"IncStmt";"incstmt",#N/A,FALSE,"IncStmt";"incstmtdet",#N/A,FALSE,"IncStmt"}</definedName>
    <definedName name="wrn.IncStmt." localSheetId="4" hidden="1">{"gr_margin",#N/A,FALSE,"IncStmt";"incstmt",#N/A,FALSE,"IncStmt";"incstmtdet",#N/A,FALSE,"IncStmt"}</definedName>
    <definedName name="wrn.IncStmt." hidden="1">{"gr_margin",#N/A,FALSE,"IncStmt";"incstmt",#N/A,FALSE,"IncStmt";"incstmtdet",#N/A,FALSE,"IncStmt"}</definedName>
    <definedName name="wrn.Industry.xls." localSheetId="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localSheetId="0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localSheetId="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.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." localSheetId="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5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0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localSheetId="4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localSheetId="5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puts._.and._.detail._.calculations." localSheetId="0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puts._.and._.detail._.calculations." localSheetId="4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ternal._.is." localSheetId="5" hidden="1">{"Internal is",#N/A,FALSE,"Model"}</definedName>
    <definedName name="wrn.Internal._.is." localSheetId="0" hidden="1">{"Internal is",#N/A,FALSE,"Model"}</definedName>
    <definedName name="wrn.Internal._.is." localSheetId="4" hidden="1">{"Internal is",#N/A,FALSE,"Model"}</definedName>
    <definedName name="wrn.Internal._.is." hidden="1">{"Internal is",#N/A,FALSE,"Model"}</definedName>
    <definedName name="wrn.international." localSheetId="5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0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4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PIX." localSheetId="5" hidden="1">{#N/A,#N/A,FALSE,"Report Print"}</definedName>
    <definedName name="wrn.IPIX." localSheetId="0" hidden="1">{#N/A,#N/A,FALSE,"Report Print"}</definedName>
    <definedName name="wrn.IPIX." localSheetId="4" hidden="1">{#N/A,#N/A,FALSE,"Report Print"}</definedName>
    <definedName name="wrn.IPIX." hidden="1">{#N/A,#N/A,FALSE,"Report Print"}</definedName>
    <definedName name="wrn.IPO._.Valuation." localSheetId="5" hidden="1">{"assumptions",#N/A,FALSE,"Scenario 1";"valuation",#N/A,FALSE,"Scenario 1"}</definedName>
    <definedName name="wrn.IPO._.Valuation." localSheetId="0" hidden="1">{"assumptions",#N/A,FALSE,"Scenario 1";"valuation",#N/A,FALSE,"Scenario 1"}</definedName>
    <definedName name="wrn.IPO._.Valuation." localSheetId="4" hidden="1">{"assumptions",#N/A,FALSE,"Scenario 1";"valuation",#N/A,FALSE,"Scenario 1"}</definedName>
    <definedName name="wrn.IPO._.Valuation." hidden="1">{"assumptions",#N/A,FALSE,"Scenario 1";"valuation",#N/A,FALSE,"Scenario 1"}</definedName>
    <definedName name="wrn.ipovalue." localSheetId="5" hidden="1">{#N/A,#N/A,FALSE,"puboff";#N/A,#N/A,FALSE,"valuation";#N/A,#N/A,FALSE,"finanalsis";#N/A,#N/A,FALSE,"split";#N/A,#N/A,FALSE,"ownership"}</definedName>
    <definedName name="wrn.ipovalue." localSheetId="0" hidden="1">{#N/A,#N/A,FALSE,"puboff";#N/A,#N/A,FALSE,"valuation";#N/A,#N/A,FALSE,"finanalsis";#N/A,#N/A,FALSE,"split";#N/A,#N/A,FALSE,"ownership"}</definedName>
    <definedName name="wrn.ipovalue." localSheetId="4" hidden="1">{#N/A,#N/A,FALSE,"puboff";#N/A,#N/A,FALSE,"valuation";#N/A,#N/A,FALSE,"finanalsis";#N/A,#N/A,FALSE,"split";#N/A,#N/A,FALSE,"ownership"}</definedName>
    <definedName name="wrn.ipovalue." hidden="1">{#N/A,#N/A,FALSE,"puboff";#N/A,#N/A,FALSE,"valuation";#N/A,#N/A,FALSE,"finanalsis";#N/A,#N/A,FALSE,"split";#N/A,#N/A,FALSE,"ownership"}</definedName>
    <definedName name="wrn.ISCG._.model." localSheetId="5" hidden="1">{#N/A,#N/A,FALSE,"Second";#N/A,#N/A,FALSE,"ownership";#N/A,#N/A,FALSE,"Valuation";#N/A,#N/A,FALSE,"Eqiv";#N/A,#N/A,FALSE,"Mults";#N/A,#N/A,FALSE,"ISCG Graphics"}</definedName>
    <definedName name="wrn.ISCG._.model." localSheetId="0" hidden="1">{#N/A,#N/A,FALSE,"Second";#N/A,#N/A,FALSE,"ownership";#N/A,#N/A,FALSE,"Valuation";#N/A,#N/A,FALSE,"Eqiv";#N/A,#N/A,FALSE,"Mults";#N/A,#N/A,FALSE,"ISCG Graphics"}</definedName>
    <definedName name="wrn.ISCG._.model." localSheetId="4" hidden="1">{#N/A,#N/A,FALSE,"Second";#N/A,#N/A,FALSE,"ownership";#N/A,#N/A,FALSE,"Valuation";#N/A,#N/A,FALSE,"Eqiv";#N/A,#N/A,FALSE,"Mults";#N/A,#N/A,FALSE,"ISCG Graphics"}</definedName>
    <definedName name="wrn.ISCG._.model." hidden="1">{#N/A,#N/A,FALSE,"Second";#N/A,#N/A,FALSE,"ownership";#N/A,#N/A,FALSE,"Valuation";#N/A,#N/A,FALSE,"Eqiv";#N/A,#N/A,FALSE,"Mults";#N/A,#N/A,FALSE,"ISCG Graphics"}</definedName>
    <definedName name="wrn.Kenngb." localSheetId="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localSheetId="4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_comb" localSheetId="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_comb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_comb" localSheetId="4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_comb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_London" localSheetId="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_London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_London" localSheetId="4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_London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comb" localSheetId="5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comb" localSheetId="0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comb" localSheetId="4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nngb.comb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LBO._.Summary." localSheetId="5" hidden="1">{"LBO Summary",#N/A,FALSE,"Summary"}</definedName>
    <definedName name="wrn.LBO._.Summary." localSheetId="0" hidden="1">{"LBO Summary",#N/A,FALSE,"Summary"}</definedName>
    <definedName name="wrn.LBO._.Summary." localSheetId="4" hidden="1">{"LBO Summary",#N/A,FALSE,"Summary"}</definedName>
    <definedName name="wrn.LBO._.Summary." hidden="1">{"LBO Summary",#N/A,FALSE,"Summary"}</definedName>
    <definedName name="wrn.Leases.xls." localSheetId="5" hidden="1">{#N/A,#N/A,FALSE,"Initial Year";#N/A,#N/A,FALSE,"Historical";#N/A,#N/A,FALSE,"balsheet";#N/A,#N/A,FALSE,"incstate";#N/A,#N/A,FALSE,"Fleet"}</definedName>
    <definedName name="wrn.Leases.xls." localSheetId="0" hidden="1">{#N/A,#N/A,FALSE,"Initial Year";#N/A,#N/A,FALSE,"Historical";#N/A,#N/A,FALSE,"balsheet";#N/A,#N/A,FALSE,"incstate";#N/A,#N/A,FALSE,"Fleet"}</definedName>
    <definedName name="wrn.Leases.xls." localSheetId="4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evel._.4." localSheetId="5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localSheetId="0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localSheetId="4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Level._.4." hidden="1">{#N/A,#N/A,FALSE,"Income";#N/A,#N/A,FALSE,"EPS";#N/A,#N/A,FALSE,"CashFlow";#N/A,#N/A,FALSE,"Quarterly";#N/A,#N/A,FALSE,"Dividend";#N/A,#N/A,FALSE,"DetailedRegional";#N/A,#N/A,FALSE,"Return On Equity";#N/A,#N/A,FALSE,"Financials &amp; Ratios";#N/A,#N/A,FALSE,"Other";#N/A,#N/A,FALSE,"Inventory"}</definedName>
    <definedName name="wrn.Main._.Report._.All._.Sections." localSheetId="5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0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4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localSheetId="5" hidden="1">{"Assumptions",#N/A,TRUE,"Assumptions";"Income",#N/A,TRUE,"Income";"Balance",#N/A,TRUE,"Balance"}</definedName>
    <definedName name="wrn.Maine." localSheetId="0" hidden="1">{"Assumptions",#N/A,TRUE,"Assumptions";"Income",#N/A,TRUE,"Income";"Balance",#N/A,TRUE,"Balance"}</definedName>
    <definedName name="wrn.Maine." localSheetId="4" hidden="1">{"Assumptions",#N/A,TRUE,"Assumptions";"Income",#N/A,TRUE,"Income";"Balance",#N/A,TRUE,"Balance"}</definedName>
    <definedName name="wrn.Maine." hidden="1">{"Assumptions",#N/A,TRUE,"Assumptions";"Income",#N/A,TRUE,"Income";"Balance",#N/A,TRUE,"Balance"}</definedName>
    <definedName name="wrn.Maine2." localSheetId="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0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localSheetId="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ster_Income." localSheetId="5" hidden="1">{"Annual_Income",#N/A,FALSE,"Master Model";"Quarterly_Income",#N/A,FALSE,"Master Model"}</definedName>
    <definedName name="wrn.Master_Income." localSheetId="0" hidden="1">{"Annual_Income",#N/A,FALSE,"Master Model";"Quarterly_Income",#N/A,FALSE,"Master Model"}</definedName>
    <definedName name="wrn.Master_Income." localSheetId="4" hidden="1">{"Annual_Income",#N/A,FALSE,"Master Model";"Quarterly_Income",#N/A,FALSE,"Master Model"}</definedName>
    <definedName name="wrn.Master_Income." hidden="1">{"Annual_Income",#N/A,FALSE,"Master Model";"Quarterly_Income",#N/A,FALSE,"Master Model"}</definedName>
    <definedName name="wrn.merge." localSheetId="5" hidden="1">{#N/A,#N/A,FALSE,"IPO";#N/A,#N/A,FALSE,"DCF";#N/A,#N/A,FALSE,"LBO";#N/A,#N/A,FALSE,"MULT_VAL";#N/A,#N/A,FALSE,"Status Quo";#N/A,#N/A,FALSE,"Recap"}</definedName>
    <definedName name="wrn.merge." localSheetId="0" hidden="1">{#N/A,#N/A,FALSE,"IPO";#N/A,#N/A,FALSE,"DCF";#N/A,#N/A,FALSE,"LBO";#N/A,#N/A,FALSE,"MULT_VAL";#N/A,#N/A,FALSE,"Status Quo";#N/A,#N/A,FALSE,"Recap"}</definedName>
    <definedName name="wrn.merge." localSheetId="4" hidden="1">{#N/A,#N/A,FALSE,"IPO";#N/A,#N/A,FALSE,"DCF";#N/A,#N/A,FALSE,"LBO";#N/A,#N/A,FALSE,"MULT_VAL";#N/A,#N/A,FALSE,"Status Quo";#N/A,#N/A,FALSE,"Recap"}</definedName>
    <definedName name="wrn.merge." hidden="1">{#N/A,#N/A,FALSE,"IPO";#N/A,#N/A,FALSE,"DCF";#N/A,#N/A,FALSE,"LBO";#N/A,#N/A,FALSE,"MULT_VAL";#N/A,#N/A,FALSE,"Status Quo";#N/A,#N/A,FALSE,"Recap"}</definedName>
    <definedName name="wrn.merger._.BS._.print." localSheetId="5" hidden="1">{"merger2",#N/A,FALSE,"merger"}</definedName>
    <definedName name="wrn.merger._.BS._.print." localSheetId="0" hidden="1">{"merger2",#N/A,FALSE,"merger"}</definedName>
    <definedName name="wrn.merger._.BS._.print." localSheetId="4" hidden="1">{"merger2",#N/A,FALSE,"merger"}</definedName>
    <definedName name="wrn.merger._.BS._.print." hidden="1">{"merger2",#N/A,FALSE,"merger"}</definedName>
    <definedName name="wrn.MODEL.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_.Level._.3." localSheetId="5" hidden="1">{"Income (All hidden)",#N/A,FALSE,"Income";"EPS (All Hidden)",#N/A,FALSE,"EPS";"EPS (All Hidden)",#N/A,FALSE,"CashFlow";"Quarterly (Last, Current and Next)",#N/A,FALSE,"Quarterly"}</definedName>
    <definedName name="wrn.Model._.Level._.3." localSheetId="0" hidden="1">{"Income (All hidden)",#N/A,FALSE,"Income";"EPS (All Hidden)",#N/A,FALSE,"EPS";"EPS (All Hidden)",#N/A,FALSE,"CashFlow";"Quarterly (Last, Current and Next)",#N/A,FALSE,"Quarterly"}</definedName>
    <definedName name="wrn.Model._.Level._.3." localSheetId="4" hidden="1">{"Income (All hidden)",#N/A,FALSE,"Income";"EPS (All Hidden)",#N/A,FALSE,"EPS";"EPS (All Hidden)",#N/A,FALSE,"CashFlow";"Quarterly (Last, Current and Next)",#N/A,FALSE,"Quarterly"}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1" localSheetId="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1" localSheetId="0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1" localSheetId="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1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_.Report." localSheetId="5" hidden="1">{#N/A,#N/A,FALSE,"Monthly";#N/A,#N/A,FALSE,"Hong Kong";#N/A,#N/A,FALSE,"New York";#N/A,#N/A,FALSE,"London";#N/A,#N/A,FALSE,"Singapore";#N/A,#N/A,FALSE,"Australia";#N/A,#N/A,FALSE,"Korea"}</definedName>
    <definedName name="wrn.Monthly._.Report." localSheetId="0" hidden="1">{#N/A,#N/A,FALSE,"Monthly";#N/A,#N/A,FALSE,"Hong Kong";#N/A,#N/A,FALSE,"New York";#N/A,#N/A,FALSE,"London";#N/A,#N/A,FALSE,"Singapore";#N/A,#N/A,FALSE,"Australia";#N/A,#N/A,FALSE,"Korea"}</definedName>
    <definedName name="wrn.Monthly._.Report." localSheetId="4" hidden="1">{#N/A,#N/A,FALSE,"Monthly";#N/A,#N/A,FALSE,"Hong Kong";#N/A,#N/A,FALSE,"New York";#N/A,#N/A,FALSE,"London";#N/A,#N/A,FALSE,"Singapore";#N/A,#N/A,FALSE,"Australia";#N/A,#N/A,FALSE,"Korea"}</definedName>
    <definedName name="wrn.Monthly._.Report." hidden="1">{#N/A,#N/A,FALSE,"Monthly";#N/A,#N/A,FALSE,"Hong Kong";#N/A,#N/A,FALSE,"New York";#N/A,#N/A,FALSE,"London";#N/A,#N/A,FALSE,"Singapore";#N/A,#N/A,FALSE,"Australia";#N/A,#N/A,FALSE,"Korea"}</definedName>
    <definedName name="wrn.newest." localSheetId="5" hidden="1">{#N/A,#N/A,TRUE,"TS";#N/A,#N/A,TRUE,"Combo";#N/A,#N/A,TRUE,"FAIR";#N/A,#N/A,TRUE,"RBC";#N/A,#N/A,TRUE,"xxxx"}</definedName>
    <definedName name="wrn.newest." localSheetId="0" hidden="1">{#N/A,#N/A,TRUE,"TS";#N/A,#N/A,TRUE,"Combo";#N/A,#N/A,TRUE,"FAIR";#N/A,#N/A,TRUE,"RBC";#N/A,#N/A,TRUE,"xxxx"}</definedName>
    <definedName name="wrn.newest." localSheetId="4" hidden="1">{#N/A,#N/A,TRUE,"TS";#N/A,#N/A,TRUE,"Combo";#N/A,#N/A,TRUE,"FAIR";#N/A,#N/A,TRUE,"RBC";#N/A,#N/A,TRUE,"xxxx"}</definedName>
    <definedName name="wrn.newest." hidden="1">{#N/A,#N/A,TRUE,"TS";#N/A,#N/A,TRUE,"Combo";#N/A,#N/A,TRUE,"FAIR";#N/A,#N/A,TRUE,"RBC";#N/A,#N/A,TRUE,"xxxx"}</definedName>
    <definedName name="wrn.no.1." localSheetId="5" hidden="1">{#N/A,#N/A,FALSE,"Const";#N/A,#N/A,FALSE,"P&amp;L";#N/A,#N/A,FALSE,"Sale"}</definedName>
    <definedName name="wrn.no.1." localSheetId="0" hidden="1">{#N/A,#N/A,FALSE,"Const";#N/A,#N/A,FALSE,"P&amp;L";#N/A,#N/A,FALSE,"Sale"}</definedName>
    <definedName name="wrn.no.1." localSheetId="4" hidden="1">{#N/A,#N/A,FALSE,"Const";#N/A,#N/A,FALSE,"P&amp;L";#N/A,#N/A,FALSE,"Sale"}</definedName>
    <definedName name="wrn.no.1." hidden="1">{#N/A,#N/A,FALSE,"Const";#N/A,#N/A,FALSE,"P&amp;L";#N/A,#N/A,FALSE,"Sale"}</definedName>
    <definedName name="wrn.One._.Pager._.plus._.Technicals." localSheetId="5" hidden="1">{#N/A,#N/A,FALSE,"One Pager";#N/A,#N/A,FALSE,"Technical"}</definedName>
    <definedName name="wrn.One._.Pager._.plus._.Technicals." localSheetId="0" hidden="1">{#N/A,#N/A,FALSE,"One Pager";#N/A,#N/A,FALSE,"Technical"}</definedName>
    <definedName name="wrn.One._.Pager._.plus._.Technicals." localSheetId="4" hidden="1">{#N/A,#N/A,FALSE,"One Pager";#N/A,#N/A,FALSE,"Technical"}</definedName>
    <definedName name="wrn.One._.Pager._.plus._.Technicals." hidden="1">{#N/A,#N/A,FALSE,"One Pager";#N/A,#N/A,FALSE,"Technical"}</definedName>
    <definedName name="wrn.Output." localSheetId="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0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localSheetId="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._.and._.L._.halfyearly." localSheetId="5" hidden="1">{"P and L halfyearly",#N/A,FALSE,"Master"}</definedName>
    <definedName name="wrn.P._.and._.L._.halfyearly." localSheetId="0" hidden="1">{"P and L halfyearly",#N/A,FALSE,"Master"}</definedName>
    <definedName name="wrn.P._.and._.L._.halfyearly." localSheetId="4" hidden="1">{"P and L halfyearly",#N/A,FALSE,"Master"}</definedName>
    <definedName name="wrn.P._.and._.L._.halfyearly." hidden="1">{"P and L halfyearly",#N/A,FALSE,"Master"}</definedName>
    <definedName name="wrn.packer._.1." localSheetId="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0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localSheetId="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L1._.print." localSheetId="5" hidden="1">{"PL11",#N/A,FALSE,"input"}</definedName>
    <definedName name="wrn.PL1._.print." localSheetId="0" hidden="1">{"PL11",#N/A,FALSE,"input"}</definedName>
    <definedName name="wrn.PL1._.print." localSheetId="4" hidden="1">{"PL11",#N/A,FALSE,"input"}</definedName>
    <definedName name="wrn.PL1._.print." hidden="1">{"PL11",#N/A,FALSE,"input"}</definedName>
    <definedName name="wrn.Portrait._.IS." localSheetId="5" hidden="1">{"Portrait letter is",#N/A,FALSE,"Model"}</definedName>
    <definedName name="wrn.Portrait._.IS." localSheetId="0" hidden="1">{"Portrait letter is",#N/A,FALSE,"Model"}</definedName>
    <definedName name="wrn.Portrait._.IS." localSheetId="4" hidden="1">{"Portrait letter is",#N/A,FALSE,"Model"}</definedName>
    <definedName name="wrn.Portrait._.IS." hidden="1">{"Portrait letter is",#N/A,FALSE,"Model"}</definedName>
    <definedName name="wrn.Portrait._.letter._.is." localSheetId="5" hidden="1">{"Portrait letter is",#N/A,FALSE,"Model"}</definedName>
    <definedName name="wrn.Portrait._.letter._.is." localSheetId="0" hidden="1">{"Portrait letter is",#N/A,FALSE,"Model"}</definedName>
    <definedName name="wrn.Portrait._.letter._.is." localSheetId="4" hidden="1">{"Portrait letter is",#N/A,FALSE,"Model"}</definedName>
    <definedName name="wrn.Portrait._.letter._.is." hidden="1">{"Portrait letter is",#N/A,FALSE,"Model"}</definedName>
    <definedName name="wrn.PrimeCo." localSheetId="5" hidden="1">{"print 1",#N/A,FALSE,"PrimeCo PCS";"print 2",#N/A,FALSE,"PrimeCo PCS";"valuation",#N/A,FALSE,"PrimeCo PCS"}</definedName>
    <definedName name="wrn.PrimeCo." localSheetId="0" hidden="1">{"print 1",#N/A,FALSE,"PrimeCo PCS";"print 2",#N/A,FALSE,"PrimeCo PCS";"valuation",#N/A,FALSE,"PrimeCo PCS"}</definedName>
    <definedName name="wrn.PrimeCo." localSheetId="4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nt." localSheetId="5" hidden="1">{#N/A,#N/A,TRUE,"Cover";#N/A,#N/A,TRUE,"Val Summary i";#N/A,#N/A,TRUE,"Value";#N/A,#N/A,TRUE,"Summary";#N/A,#N/A,TRUE,"Transactions"}</definedName>
    <definedName name="wrn.print." localSheetId="0" hidden="1">{#N/A,#N/A,TRUE,"Cover";#N/A,#N/A,TRUE,"Val Summary i";#N/A,#N/A,TRUE,"Value";#N/A,#N/A,TRUE,"Summary";#N/A,#N/A,TRUE,"Transactions"}</definedName>
    <definedName name="wrn.print." localSheetId="4" hidden="1">{#N/A,#N/A,TRUE,"Cover";#N/A,#N/A,TRUE,"Val Summary i";#N/A,#N/A,TRUE,"Value";#N/A,#N/A,TRUE,"Summary";#N/A,#N/A,TRUE,"Transactions"}</definedName>
    <definedName name="wrn.print." hidden="1">{#N/A,#N/A,TRUE,"Cover";#N/A,#N/A,TRUE,"Val Summary i";#N/A,#N/A,TRUE,"Value";#N/A,#N/A,TRUE,"Summary";#N/A,#N/A,TRUE,"Transactions"}</definedName>
    <definedName name="wrn.Print._.24." localSheetId="5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" localSheetId="0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" localSheetId="4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All._.A4." localSheetId="5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" localSheetId="0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" localSheetId="4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Letter." localSheetId="5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" localSheetId="0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" localSheetId="4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All._.Pages." localSheetId="5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localSheetId="0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localSheetId="4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Disk." localSheetId="5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0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localSheetId="4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Disk." hidden="1">{#N/A,#N/A,FALSE,"Intro";#N/A,#N/A,FALSE,"General Assumptions";#N/A,#N/A,FALSE,"Specific Assumptions";#N/A,#N/A,FALSE,"Value Growth";#N/A,#N/A,FALSE,"Dividend Yield";#N/A,#N/A,FALSE,"C Corporation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print._.graphs." localSheetId="5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output." localSheetId="5" hidden="1">{"free cash flow",#N/A,FALSE,"Presentation";"two way sensitivities",#N/A,FALSE,"Presentation";"assumptions",#N/A,FALSE,"Presentation";"valuation",#N/A,FALSE,"Presentation"}</definedName>
    <definedName name="wrn.print._.output." localSheetId="0" hidden="1">{"free cash flow",#N/A,FALSE,"Presentation";"two way sensitivities",#N/A,FALSE,"Presentation";"assumptions",#N/A,FALSE,"Presentation";"valuation",#N/A,FALSE,"Presentation"}</definedName>
    <definedName name="wrn.print._.output." localSheetId="4" hidden="1">{"free cash flow",#N/A,FALSE,"Presentation";"two way sensitivities",#N/A,FALSE,"Presentation";"assumptions",#N/A,FALSE,"Presentation";"valuation",#N/A,FALSE,"Presentation"}</definedName>
    <definedName name="wrn.print._.output." hidden="1">{"free cash flow",#N/A,FALSE,"Presentation";"two way sensitivities",#N/A,FALSE,"Presentation";"assumptions",#N/A,FALSE,"Presentation";"valuation",#N/A,FALSE,"Presentation"}</definedName>
    <definedName name="wrn.print._.pages." localSheetId="5" hidden="1">{#N/A,#N/A,FALSE,"Spain MKT";#N/A,#N/A,FALSE,"Assumptions";#N/A,#N/A,FALSE,"Adve";#N/A,#N/A,FALSE,"E-Commerce";#N/A,#N/A,FALSE,"Opex";#N/A,#N/A,FALSE,"P&amp;L";#N/A,#N/A,FALSE,"FCF &amp; DCF"}</definedName>
    <definedName name="wrn.print._.pages." localSheetId="0" hidden="1">{#N/A,#N/A,FALSE,"Spain MKT";#N/A,#N/A,FALSE,"Assumptions";#N/A,#N/A,FALSE,"Adve";#N/A,#N/A,FALSE,"E-Commerce";#N/A,#N/A,FALSE,"Opex";#N/A,#N/A,FALSE,"P&amp;L";#N/A,#N/A,FALSE,"FCF &amp; DCF"}</definedName>
    <definedName name="wrn.print._.pages." localSheetId="4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5" hidden="1">{"inputs raw data",#N/A,TRUE,"INPUT"}</definedName>
    <definedName name="wrn.print._.raw._.data._.entry." localSheetId="0" hidden="1">{"inputs raw data",#N/A,TRUE,"INPUT"}</definedName>
    <definedName name="wrn.print._.raw._.data._.entry." localSheetId="4" hidden="1">{"inputs raw data",#N/A,TRUE,"INPUT"}</definedName>
    <definedName name="wrn.print._.raw._.data._.entry." hidden="1">{"inputs raw data",#N/A,TRUE,"INPUT"}</definedName>
    <definedName name="wrn.Print._.Results._.A4." localSheetId="5" hidden="1">{"Valuation",#N/A,TRUE,"Valuation Summary";"Financial Statements",#N/A,TRUE,"Results";"Results",#N/A,TRUE,"Results";"Ratios",#N/A,TRUE,"Results"}</definedName>
    <definedName name="wrn.Print._.Results._.A4." localSheetId="0" hidden="1">{"Valuation",#N/A,TRUE,"Valuation Summary";"Financial Statements",#N/A,TRUE,"Results";"Results",#N/A,TRUE,"Results";"Ratios",#N/A,TRUE,"Results"}</definedName>
    <definedName name="wrn.Print._.Results._.A4." localSheetId="4" hidden="1">{"Valuation",#N/A,TRUE,"Valuation Summary";"Financial Statements",#N/A,TRUE,"Results";"Results",#N/A,TRUE,"Results";"Ratios",#N/A,TRUE,"Results"}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localSheetId="5" hidden="1">{"Valuation Letter",#N/A,TRUE,"Valuation Summary";"Financial Statements Letter",#N/A,TRUE,"Results";"Results Letter",#N/A,TRUE,"Results";"Ratios Letter",#N/A,TRUE,"Results"}</definedName>
    <definedName name="wrn.Print._.Results._.Letter." localSheetId="0" hidden="1">{"Valuation Letter",#N/A,TRUE,"Valuation Summary";"Financial Statements Letter",#N/A,TRUE,"Results";"Results Letter",#N/A,TRUE,"Results";"Ratios Letter",#N/A,TRUE,"Results"}</definedName>
    <definedName name="wrn.Print._.Results._.Letter." localSheetId="4" hidden="1">{"Valuation Letter",#N/A,TRUE,"Valuation Summary";"Financial Statements Letter",#N/A,TRUE,"Results";"Results Letter",#N/A,TRUE,"Results";"Ratios Letter",#N/A,TRUE,"Results"}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  <definedName name="wrn.print._.summary._.sheets." localSheetId="5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localSheetId="4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_model." localSheetId="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comb" localSheetId="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comb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comb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comb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combined" localSheetId="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combined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combined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combined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London" localSheetId="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London" localSheetId="0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London" localSheetId="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London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1." localSheetId="5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" localSheetId="0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" localSheetId="4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rint1." hidden="1">{"Title",#N/A,FALSE,"Title";"Info",#N/A,FALSE,"Title";"Contents",#N/A,FALSE,"Title";"Sec.1",#N/A,FALSE,"Title";"Output1",#N/A,FALSE,"Output";"Sec.2",#N/A,FALSE,"Title";"Graph1",#N/A,FALSE,"Output";"Graph2",#N/A,FALSE,"Output";"Sec.3",#N/A,FALSE,"Title";"Gap1",#N/A,FALSE,"Output";"Sec.4",#N/A,FALSE,"Title";"Model_all",#N/A,FALSE,"Autostrade S.p.A."}</definedName>
    <definedName name="wrn.Publish." localSheetId="5" hidden="1">{"Contents",#N/A,FALSE,"Comparisons";"ShareInfo",#N/A,FALSE,"Comparisons";"Profitability",#N/A,FALSE,"Comparisons";"FirmValue",#N/A,FALSE,"Comparisons";"Labour",#N/A,FALSE,"Comparisons";"Capital",#N/A,FALSE,"Comparisons"}</definedName>
    <definedName name="wrn.Publish." localSheetId="0" hidden="1">{"Contents",#N/A,FALSE,"Comparisons";"ShareInfo",#N/A,FALSE,"Comparisons";"Profitability",#N/A,FALSE,"Comparisons";"FirmValue",#N/A,FALSE,"Comparisons";"Labour",#N/A,FALSE,"Comparisons";"Capital",#N/A,FALSE,"Comparisons"}</definedName>
    <definedName name="wrn.Publish." localSheetId="4" hidden="1">{"Contents",#N/A,FALSE,"Comparisons";"ShareInfo",#N/A,FALSE,"Comparisons";"Profitability",#N/A,FALSE,"Comparisons";"FirmValue",#N/A,FALSE,"Comparisons";"Labour",#N/A,FALSE,"Comparisons";"Capital",#N/A,FALSE,"Comparisons"}</definedName>
    <definedName name="wrn.Publish." hidden="1">{"Contents",#N/A,FALSE,"Comparisons";"ShareInfo",#N/A,FALSE,"Comparisons";"Profitability",#N/A,FALSE,"Comparisons";"FirmValue",#N/A,FALSE,"Comparisons";"Labour",#N/A,FALSE,"Comparisons";"Capital",#N/A,FALSE,"Comparisons"}</definedName>
    <definedName name="wrn.Pulp." localSheetId="5" hidden="1">{"Pulp Production",#N/A,FALSE,"Pulp";"Pulp Earnings",#N/A,FALSE,"Pulp"}</definedName>
    <definedName name="wrn.Pulp." localSheetId="0" hidden="1">{"Pulp Production",#N/A,FALSE,"Pulp";"Pulp Earnings",#N/A,FALSE,"Pulp"}</definedName>
    <definedName name="wrn.Pulp." localSheetId="4" hidden="1">{"Pulp Production",#N/A,FALSE,"Pulp";"Pulp Earnings",#N/A,FALSE,"Pulp"}</definedName>
    <definedName name="wrn.Pulp." hidden="1">{"Pulp Production",#N/A,FALSE,"Pulp";"Pulp Earnings",#N/A,FALSE,"Pulp"}</definedName>
    <definedName name="wrn.Pump." localSheetId="5" hidden="1">{#N/A,#N/A,FALSE,"Assump";#N/A,#N/A,FALSE,"Income";#N/A,#N/A,FALSE,"Balance";#N/A,#N/A,FALSE,"DCF Pump";#N/A,#N/A,FALSE,"Trans Assump";#N/A,#N/A,FALSE,"Combined Income";#N/A,#N/A,FALSE,"Combined Balance"}</definedName>
    <definedName name="wrn.Pump." localSheetId="0" hidden="1">{#N/A,#N/A,FALSE,"Assump";#N/A,#N/A,FALSE,"Income";#N/A,#N/A,FALSE,"Balance";#N/A,#N/A,FALSE,"DCF Pump";#N/A,#N/A,FALSE,"Trans Assump";#N/A,#N/A,FALSE,"Combined Income";#N/A,#N/A,FALSE,"Combined Balance"}</definedName>
    <definedName name="wrn.Pump." localSheetId="4" hidden="1">{#N/A,#N/A,FALSE,"Assump";#N/A,#N/A,FALSE,"Income";#N/A,#N/A,FALSE,"Balance";#N/A,#N/A,FALSE,"DCF Pump";#N/A,#N/A,FALSE,"Trans Assump";#N/A,#N/A,FALSE,"Combined Income";#N/A,#N/A,FALSE,"Combined Balance"}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r._.Op._.Q1." localSheetId="5" hidden="1">{"Qtr Op Mgd Q1",#N/A,FALSE,"Qtr-Op (Mng)";"Qtr Op Rpt Q1",#N/A,FALSE,"Qtr-Op (Rpt)";"Operating Vs Reported",#N/A,FALSE,"Rpt-Op Inc"}</definedName>
    <definedName name="wrn.Qtr._.Op._.Q1." localSheetId="0" hidden="1">{"Qtr Op Mgd Q1",#N/A,FALSE,"Qtr-Op (Mng)";"Qtr Op Rpt Q1",#N/A,FALSE,"Qtr-Op (Rpt)";"Operating Vs Reported",#N/A,FALSE,"Rpt-Op Inc"}</definedName>
    <definedName name="wrn.Qtr._.Op._.Q1." localSheetId="4" hidden="1">{"Qtr Op Mgd Q1",#N/A,FALSE,"Qtr-Op (Mng)";"Qtr Op Rpt Q1",#N/A,FALSE,"Qtr-Op (Rpt)";"Operating Vs Reported",#N/A,FALSE,"Rpt-Op Inc"}</definedName>
    <definedName name="wrn.Qtr._.Op._.Q1." hidden="1">{"Qtr Op Mgd Q1",#N/A,FALSE,"Qtr-Op (Mng)";"Qtr Op Rpt Q1",#N/A,FALSE,"Qtr-Op (Rpt)";"Operating Vs Reported",#N/A,FALSE,"Rpt-Op Inc"}</definedName>
    <definedName name="wrn.Qtr._.Op._.Q2." localSheetId="5" hidden="1">{"Qtr Op Mgd Q2",#N/A,FALSE,"Qtr-Op (Mng)";"Qtr Op Rpt Q2",#N/A,FALSE,"Qtr-Op (Rpt)";"Operating Vs Reported",#N/A,FALSE,"Rpt-Op Inc"}</definedName>
    <definedName name="wrn.Qtr._.Op._.Q2." localSheetId="0" hidden="1">{"Qtr Op Mgd Q2",#N/A,FALSE,"Qtr-Op (Mng)";"Qtr Op Rpt Q2",#N/A,FALSE,"Qtr-Op (Rpt)";"Operating Vs Reported",#N/A,FALSE,"Rpt-Op Inc"}</definedName>
    <definedName name="wrn.Qtr._.Op._.Q2." localSheetId="4" hidden="1">{"Qtr Op Mgd Q2",#N/A,FALSE,"Qtr-Op (Mng)";"Qtr Op Rpt Q2",#N/A,FALSE,"Qtr-Op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3." localSheetId="5" hidden="1">{"Qtr Op Mgd Q3",#N/A,FALSE,"Qtr-Op (Mng)";"Qtr Op Rpt Q3",#N/A,FALSE,"Qtr-Op (Rpt)";"Operating Vs Reported",#N/A,FALSE,"Rpt-Op Inc"}</definedName>
    <definedName name="wrn.Qtr._.Op._.Q3." localSheetId="0" hidden="1">{"Qtr Op Mgd Q3",#N/A,FALSE,"Qtr-Op (Mng)";"Qtr Op Rpt Q3",#N/A,FALSE,"Qtr-Op (Rpt)";"Operating Vs Reported",#N/A,FALSE,"Rpt-Op Inc"}</definedName>
    <definedName name="wrn.Qtr._.Op._.Q3." localSheetId="4" hidden="1">{"Qtr Op Mgd Q3",#N/A,FALSE,"Qtr-Op (Mng)";"Qtr Op Rpt Q3",#N/A,FALSE,"Qtr-Op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4." localSheetId="5" hidden="1">{"Qtr Op Mgd Q3",#N/A,FALSE,"Qtr-Op (Mng)";"Qtr Op Rpt Q4",#N/A,FALSE,"Qtr-Op (Rpt)";"Operating Vs Reported",#N/A,FALSE,"Rpt-Op Inc"}</definedName>
    <definedName name="wrn.Qtr._.Op._.Q4." localSheetId="0" hidden="1">{"Qtr Op Mgd Q3",#N/A,FALSE,"Qtr-Op (Mng)";"Qtr Op Rpt Q4",#N/A,FALSE,"Qtr-Op (Rpt)";"Operating Vs Reported",#N/A,FALSE,"Rpt-Op Inc"}</definedName>
    <definedName name="wrn.Qtr._.Op._.Q4." localSheetId="4" hidden="1">{"Qtr Op Mgd Q3",#N/A,FALSE,"Qtr-Op (Mng)";"Qtr Op Rpt Q4",#N/A,FALSE,"Qtr-Op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Q2a." localSheetId="5" hidden="1">{"Qtr Op Mgd Q2",#N/A,FALSE,"Qtr-Op (Mng)";"Qtr Op Rpt Q2",#N/A,FALSE,"Qtr-Op (Rpt)";"Operating Vs Reported",#N/A,FALSE,"Rpt-Op Inc"}</definedName>
    <definedName name="wrn.Qtr._.Op._Q2a." localSheetId="0" hidden="1">{"Qtr Op Mgd Q2",#N/A,FALSE,"Qtr-Op (Mng)";"Qtr Op Rpt Q2",#N/A,FALSE,"Qtr-Op (Rpt)";"Operating Vs Reported",#N/A,FALSE,"Rpt-Op Inc"}</definedName>
    <definedName name="wrn.Qtr._.Op._Q2a." localSheetId="4" hidden="1">{"Qtr Op Mgd Q2",#N/A,FALSE,"Qtr-Op (Mng)";"Qtr Op Rpt Q2",#N/A,FALSE,"Qtr-Op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_.Op._.Q4." localSheetId="5" hidden="1">{"Qtr Op Mgd Q3",#N/A,FALSE,"Qtr-Op (Mng)";"Qtr Op Rpt Q4",#N/A,FALSE,"Qtr-Op (Rpt)";"Operating Vs Reported",#N/A,FALSE,"Rpt-Op Inc"}</definedName>
    <definedName name="wrn.Qtr_.Op._.Q4." localSheetId="0" hidden="1">{"Qtr Op Mgd Q3",#N/A,FALSE,"Qtr-Op (Mng)";"Qtr Op Rpt Q4",#N/A,FALSE,"Qtr-Op (Rpt)";"Operating Vs Reported",#N/A,FALSE,"Rpt-Op Inc"}</definedName>
    <definedName name="wrn.Qtr_.Op._.Q4." localSheetId="4" hidden="1">{"Qtr Op Mgd Q3",#N/A,FALSE,"Qtr-Op (Mng)";"Qtr Op Rpt Q4",#N/A,FALSE,"Qtr-Op (Rpt)";"Operating Vs Reported",#N/A,FALSE,"Rpt-Op Inc"}</definedName>
    <definedName name="wrn.Qtr_.Op._.Q4." hidden="1">{"Qtr Op Mgd Q3",#N/A,FALSE,"Qtr-Op (Mng)";"Qtr Op Rpt Q4",#N/A,FALSE,"Qtr-Op (Rpt)";"Operating Vs Reported",#N/A,FALSE,"Rpt-Op Inc"}</definedName>
    <definedName name="wrn.Relevant.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localSheetId="4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localSheetId="4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localSheetId="5" hidden="1">{#N/A,#N/A,FALSE,"AD_Purch";#N/A,#N/A,FALSE,"Projections";#N/A,#N/A,FALSE,"DCF";#N/A,#N/A,FALSE,"Mkt Val"}</definedName>
    <definedName name="wrn.RELEVANTSHEETS." localSheetId="0" hidden="1">{#N/A,#N/A,FALSE,"AD_Purch";#N/A,#N/A,FALSE,"Projections";#N/A,#N/A,FALSE,"DCF";#N/A,#N/A,FALSE,"Mkt Val"}</definedName>
    <definedName name="wrn.RELEVANTSHEETS." localSheetId="4" hidden="1">{#N/A,#N/A,FALSE,"AD_Purch";#N/A,#N/A,FALSE,"Projections";#N/A,#N/A,FALSE,"DCF";#N/A,#N/A,FALSE,"Mkt Val"}</definedName>
    <definedName name="wrn.RELEVANTSHEETS." hidden="1">{#N/A,#N/A,FALSE,"AD_Purch";#N/A,#N/A,FALSE,"Projections";#N/A,#N/A,FALSE,"DCF";#N/A,#N/A,FALSE,"Mkt Val"}</definedName>
    <definedName name="wrn.rep_page." localSheetId="5" hidden="1">{"Annual_Income",#N/A,FALSE,"Report Page";"Balance_Cash_Flow",#N/A,FALSE,"Report Page";"Quarterly_Income",#N/A,FALSE,"Report Page"}</definedName>
    <definedName name="wrn.rep_page." localSheetId="0" hidden="1">{"Annual_Income",#N/A,FALSE,"Report Page";"Balance_Cash_Flow",#N/A,FALSE,"Report Page";"Quarterly_Income",#N/A,FALSE,"Report Page"}</definedName>
    <definedName name="wrn.rep_page." localSheetId="4" hidden="1">{"Annual_Income",#N/A,FALSE,"Report Page";"Balance_Cash_Flow",#N/A,FALSE,"Report Page";"Quarterly_Income",#N/A,FALSE,"Report Page"}</definedName>
    <definedName name="wrn.rep_page." hidden="1">{"Annual_Income",#N/A,FALSE,"Report Page";"Balance_Cash_Flow",#N/A,FALSE,"Report Page";"Quarterly_Income",#N/A,FALSE,"Report Page"}</definedName>
    <definedName name="wrn.report." localSheetId="5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" localSheetId="0" hidden="1">{#N/A,#N/A,FALSE,"COVER";#N/A,#N/A,FALSE,"FORECAST";#N/A,#N/A,FALSE,"VALUATION";#N/A,#N/A,FALSE,"FY ANALYSIS ";#N/A,#N/A,FALSE," HY ANALYSIS"}</definedName>
    <definedName name="wrn.report." localSheetId="4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." hidden="1">{#N/A,#N/A,FALSE,"Temp Staf_Summary";#N/A,#N/A,FALSE,"ATC Services";#N/A,#N/A,FALSE,"Brannon &amp; Tully";#N/A,#N/A,FALSE,"Debbie";#N/A,#N/A,FALSE,"Alternative";#N/A,#N/A,FALSE,"Mid-States";#N/A,#N/A,FALSE,"United Temp."}</definedName>
    <definedName name="wrn.Report_Page." localSheetId="5" hidden="1">{"Annual_Income",#N/A,FALSE,"Report Page";"Balance_Cash_Flow",#N/A,FALSE,"Report Page";"Quarterly_Income",#N/A,FALSE,"Report Page"}</definedName>
    <definedName name="wrn.Report_Page." localSheetId="0" hidden="1">{"Annual_Income",#N/A,FALSE,"Report Page";"Balance_Cash_Flow",#N/A,FALSE,"Report Page";"Quarterly_Income",#N/A,FALSE,"Report Page"}</definedName>
    <definedName name="wrn.Report_Page." localSheetId="4" hidden="1">{"Annual_Income",#N/A,FALSE,"Report Page";"Balance_Cash_Flow",#N/A,FALSE,"Report Page";"Quarterly_Income",#N/A,FALSE,"Report Page"}</definedName>
    <definedName name="wrn.Report_Page." hidden="1">{"Annual_Income",#N/A,FALSE,"Report Page";"Balance_Cash_Flow",#N/A,FALSE,"Report Page";"Quarterly_Income",#N/A,FALSE,"Report Page"}</definedName>
    <definedName name="wrn.Report1." localSheetId="5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1." localSheetId="0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1." localSheetId="4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port1." hidden="1">{"Title",#N/A,TRUE,"Title";"Content",#N/A,TRUE,"Title";"Section1",#N/A,TRUE,"Title";"Output1",#N/A,TRUE,"Output";"Section2",#N/A,TRUE,"Title";"Graph1",#N/A,TRUE,"Output";"Section3",#N/A,TRUE,"Title";"Graph2",#N/A,TRUE,"Output";"Section4",#N/A,TRUE,"Title";"Gap1",#N/A,TRUE,"Output";"Section5",#N/A,TRUE,"Title";"Model_all",#N/A,TRUE,"Autostrade S.p.A."}</definedName>
    <definedName name="wrn.Revs." localSheetId="5" hidden="1">{"Base_rev",#N/A,FALSE,"Proj_IS_Base";"Projrev",#N/A,FALSE,"Proj_IS_wOTLC";"Delta",#N/A,FALSE,"Delta Rev_PV"}</definedName>
    <definedName name="wrn.Revs." localSheetId="0" hidden="1">{"Base_rev",#N/A,FALSE,"Proj_IS_Base";"Projrev",#N/A,FALSE,"Proj_IS_wOTLC";"Delta",#N/A,FALSE,"Delta Rev_PV"}</definedName>
    <definedName name="wrn.Revs." localSheetId="4" hidden="1">{"Base_rev",#N/A,FALSE,"Proj_IS_Base";"Projrev",#N/A,FALSE,"Proj_IS_wOTLC";"Delta",#N/A,FALSE,"Delta Rev_PV"}</definedName>
    <definedName name="wrn.Revs." hidden="1">{"Base_rev",#N/A,FALSE,"Proj_IS_Base";"Projrev",#N/A,FALSE,"Proj_IS_wOTLC";"Delta",#N/A,FALSE,"Delta Rev_PV"}</definedName>
    <definedName name="wrn.Riverwood_comp_model." localSheetId="5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0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localSheetId="4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STAND_ALONE_BOTH." localSheetId="5" hidden="1">{"FCB_ALL",#N/A,FALSE,"FCB";"GREY_ALL",#N/A,FALSE,"GREY"}</definedName>
    <definedName name="wrn.STAND_ALONE_BOTH." localSheetId="0" hidden="1">{"FCB_ALL",#N/A,FALSE,"FCB";"GREY_ALL",#N/A,FALSE,"GREY"}</definedName>
    <definedName name="wrn.STAND_ALONE_BOTH." localSheetId="4" hidden="1">{"FCB_ALL",#N/A,FALSE,"FCB";"GREY_ALL",#N/A,FALSE,"GREY"}</definedName>
    <definedName name="wrn.STAND_ALONE_BOTH." hidden="1">{"FCB_ALL",#N/A,FALSE,"FCB";"GREY_ALL",#N/A,FALSE,"GREY"}</definedName>
    <definedName name="wrn.sum." localSheetId="5" hidden="1">{"Opsys",#N/A,FALSE,"NPV_OPsys";"NT",#N/A,FALSE,"NPV_NT";"DevP",#N/A,FALSE,"NPV_DevPdt";"Office",#N/A,FALSE,"NPV_Office"}</definedName>
    <definedName name="wrn.sum." localSheetId="0" hidden="1">{"Opsys",#N/A,FALSE,"NPV_OPsys";"NT",#N/A,FALSE,"NPV_NT";"DevP",#N/A,FALSE,"NPV_DevPdt";"Office",#N/A,FALSE,"NPV_Office"}</definedName>
    <definedName name="wrn.sum." localSheetId="4" hidden="1">{"Opsys",#N/A,FALSE,"NPV_OPsys";"NT",#N/A,FALSE,"NPV_NT";"DevP",#N/A,FALSE,"NPV_DevPdt";"Office",#N/A,FALSE,"NPV_Office"}</definedName>
    <definedName name="wrn.sum." hidden="1">{"Opsys",#N/A,FALSE,"NPV_OPsys";"NT",#N/A,FALSE,"NPV_NT";"DevP",#N/A,FALSE,"NPV_DevPdt";"Office",#N/A,FALSE,"NPV_Office"}</definedName>
    <definedName name="wrn.Summary." localSheetId="5" hidden="1">{"Print Summary",#N/A,FALSE,"Bal_Graphs";"Print Summary",#N/A,FALSE,"DCF";"Print Summary",#N/A,FALSE,"Graphs";"Print Summary",#N/A,FALSE,"Summary"}</definedName>
    <definedName name="wrn.Summary." localSheetId="0" hidden="1">{"Print Summary",#N/A,FALSE,"Bal_Graphs";"Print Summary",#N/A,FALSE,"DCF";"Print Summary",#N/A,FALSE,"Graphs";"Print Summary",#N/A,FALSE,"Summary"}</definedName>
    <definedName name="wrn.Summary." localSheetId="4" hidden="1">{"Print Summary",#N/A,FALSE,"Bal_Graphs";"Print Summary",#N/A,FALSE,"DCF";"Print Summary",#N/A,FALSE,"Graphs";"Print Summary",#N/A,FALSE,"Summary"}</definedName>
    <definedName name="wrn.Summary." hidden="1">{"Print Summary",#N/A,FALSE,"Bal_Graphs";"Print Summary",#N/A,FALSE,"DCF";"Print Summary",#N/A,FALSE,"Graphs";"Print Summary",#N/A,FALSE,"Summary"}</definedName>
    <definedName name="wrn.Summary._.Report._.by._.Month." localSheetId="5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Month." localSheetId="0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Month." localSheetId="4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localSheetId="5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mmary._.Report._.by._.Year." localSheetId="0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mmary._.Report._.by._.Year." localSheetId="4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arget." localSheetId="5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0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localSheetId="4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LBO." localSheetId="5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0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localSheetId="4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localSheetId="5" hidden="1">{#N/A,#N/A,FALSE,"Tar-Ass";#N/A,#N/A,FALSE,"Tar-IS";#N/A,#N/A,FALSE,"Tar-BS";#N/A,#N/A,FALSE,"Tar-Adg BS";#N/A,#N/A,FALSE,"Tar-CF"}</definedName>
    <definedName name="wrn.TargetState." localSheetId="0" hidden="1">{#N/A,#N/A,FALSE,"Tar-Ass";#N/A,#N/A,FALSE,"Tar-IS";#N/A,#N/A,FALSE,"Tar-BS";#N/A,#N/A,FALSE,"Tar-Adg BS";#N/A,#N/A,FALSE,"Tar-CF"}</definedName>
    <definedName name="wrn.TargetState." localSheetId="4" hidden="1">{#N/A,#N/A,FALSE,"Tar-Ass";#N/A,#N/A,FALSE,"Tar-IS";#N/A,#N/A,FALSE,"Tar-BS";#N/A,#N/A,FALSE,"Tar-Adg BS";#N/A,#N/A,FALSE,"Tar-CF"}</definedName>
    <definedName name="wrn.TargetState." hidden="1">{#N/A,#N/A,FALSE,"Tar-Ass";#N/A,#N/A,FALSE,"Tar-IS";#N/A,#N/A,FALSE,"Tar-BS";#N/A,#N/A,FALSE,"Tar-Adg BS";#N/A,#N/A,FALSE,"Tar-CF"}</definedName>
    <definedName name="wrn.TargetVal." localSheetId="5" hidden="1">{#N/A,#N/A,TRUE,"Val - sum";#N/A,#N/A,TRUE,"Val - Sum1";#N/A,#N/A,TRUE,"Val - sum2";#N/A,#N/A,TRUE,"Val - Sum3";#N/A,#N/A,TRUE,"Tar-DCF";#N/A,#N/A,TRUE,"Tar-Val LBO";#N/A,#N/A,TRUE,"Tar-Mult Val"}</definedName>
    <definedName name="wrn.TargetVal." localSheetId="0" hidden="1">{#N/A,#N/A,TRUE,"Val - sum";#N/A,#N/A,TRUE,"Val - Sum1";#N/A,#N/A,TRUE,"Val - sum2";#N/A,#N/A,TRUE,"Val - Sum3";#N/A,#N/A,TRUE,"Tar-DCF";#N/A,#N/A,TRUE,"Tar-Val LBO";#N/A,#N/A,TRUE,"Tar-Mult Val"}</definedName>
    <definedName name="wrn.TargetVal." localSheetId="4" hidden="1">{#N/A,#N/A,TRUE,"Val - sum";#N/A,#N/A,TRUE,"Val - Sum1";#N/A,#N/A,TRUE,"Val - sum2";#N/A,#N/A,TRUE,"Val - Sum3";#N/A,#N/A,TRUE,"Tar-DCF";#N/A,#N/A,TRUE,"Tar-Val LBO";#N/A,#N/A,TRUE,"Tar-Mult Val"}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l2." localSheetId="5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0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localSheetId="4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localSheetId="5" hidden="1">{#N/A,#N/A,FALSE,"FS_Summary";#N/A,#N/A,FALSE,"Tomahawk";#N/A,#N/A,FALSE,"Medical Marketing";#N/A,#N/A,FALSE,"Epsilon";#N/A,#N/A,FALSE,"DIMAC";#N/A,#N/A,FALSE,"Direct";#N/A,#N/A,FALSE,"DIMAC(2)"}</definedName>
    <definedName name="wrn.telem." localSheetId="0" hidden="1">{#N/A,#N/A,FALSE,"FS_Summary";#N/A,#N/A,FALSE,"Tomahawk";#N/A,#N/A,FALSE,"Medical Marketing";#N/A,#N/A,FALSE,"Epsilon";#N/A,#N/A,FALSE,"DIMAC";#N/A,#N/A,FALSE,"Direct";#N/A,#N/A,FALSE,"DIMAC(2)"}</definedName>
    <definedName name="wrn.telem." localSheetId="4" hidden="1">{#N/A,#N/A,FALSE,"FS_Summary";#N/A,#N/A,FALSE,"Tomahawk";#N/A,#N/A,FALSE,"Medical Marketing";#N/A,#N/A,FALSE,"Epsilon";#N/A,#N/A,FALSE,"DIMAC";#N/A,#N/A,FALSE,"Direct";#N/A,#N/A,FALSE,"DIMAC(2)"}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st." localSheetId="5" hidden="1">{"test2",#N/A,TRUE,"Prices"}</definedName>
    <definedName name="wrn.test." localSheetId="0" hidden="1">{"test2",#N/A,TRUE,"Prices"}</definedName>
    <definedName name="wrn.test." localSheetId="4" hidden="1">{"test2",#N/A,TRUE,"Prices"}</definedName>
    <definedName name="wrn.test." hidden="1">{"test2",#N/A,TRUE,"Prices"}</definedName>
    <definedName name="wrn.TODO." localSheetId="5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DO." localSheetId="4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localSheetId="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0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localSheetId="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0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localSheetId="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ack." localSheetId="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localSheetId="0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localSheetId="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ransPrcd_123." localSheetId="5" hidden="1">{#N/A,#N/A,TRUE,"TransPrcd 1";#N/A,#N/A,TRUE,"TransPrcd 2";#N/A,#N/A,TRUE,"TransPrcd 3"}</definedName>
    <definedName name="wrn.TransPrcd_123." localSheetId="0" hidden="1">{#N/A,#N/A,TRUE,"TransPrcd 1";#N/A,#N/A,TRUE,"TransPrcd 2";#N/A,#N/A,TRUE,"TransPrcd 3"}</definedName>
    <definedName name="wrn.TransPrcd_123." localSheetId="4" hidden="1">{#N/A,#N/A,TRUE,"TransPrcd 1";#N/A,#N/A,TRUE,"TransPrcd 2";#N/A,#N/A,TRUE,"TransPrcd 3"}</definedName>
    <definedName name="wrn.TransPrcd_123." hidden="1">{#N/A,#N/A,TRUE,"TransPrcd 1";#N/A,#N/A,TRUE,"TransPrcd 2";#N/A,#N/A,TRUE,"TransPrcd 3"}</definedName>
    <definedName name="wrn.UK._.GAAP._.BS." localSheetId="5" hidden="1">{"UKGAAP balance sheet",#N/A,FALSE,"Balance Sheet"}</definedName>
    <definedName name="wrn.UK._.GAAP._.BS." localSheetId="0" hidden="1">{"UKGAAP balance sheet",#N/A,FALSE,"Balance Sheet"}</definedName>
    <definedName name="wrn.UK._.GAAP._.BS." localSheetId="4" hidden="1">{"UKGAAP balance sheet",#N/A,FALSE,"Balance Sheet"}</definedName>
    <definedName name="wrn.UK._.GAAP._.BS." hidden="1">{"UKGAAP balance sheet",#N/A,FALSE,"Balance Sheet"}</definedName>
    <definedName name="wrn.Underlying._.halfyearly." localSheetId="5" hidden="1">{"Underlying halfyearly",#N/A,FALSE,"Master"}</definedName>
    <definedName name="wrn.Underlying._.halfyearly." localSheetId="0" hidden="1">{"Underlying halfyearly",#N/A,FALSE,"Master"}</definedName>
    <definedName name="wrn.Underlying._.halfyearly." localSheetId="4" hidden="1">{"Underlying halfyearly",#N/A,FALSE,"Master"}</definedName>
    <definedName name="wrn.Underlying._.halfyearly." hidden="1">{"Underlying halfyearly",#N/A,FALSE,"Master"}</definedName>
    <definedName name="wrn.VALUATION." localSheetId="5" hidden="1">{#N/A,#N/A,FALSE,"Pooling";#N/A,#N/A,FALSE,"income";#N/A,#N/A,FALSE,"valuation"}</definedName>
    <definedName name="wrn.VALUATION." localSheetId="0" hidden="1">{#N/A,#N/A,FALSE,"Pooling";#N/A,#N/A,FALSE,"income";#N/A,#N/A,FALSE,"valuation"}</definedName>
    <definedName name="wrn.VALUATION." localSheetId="4" hidden="1">{#N/A,#N/A,FALSE,"Pooling";#N/A,#N/A,FALSE,"income";#N/A,#N/A,FALSE,"valuation"}</definedName>
    <definedName name="wrn.VALUATION." hidden="1">{#N/A,#N/A,FALSE,"Pooling";#N/A,#N/A,FALSE,"income";#N/A,#N/A,FALSE,"valuation"}</definedName>
    <definedName name="wrn.Variance._.3." localSheetId="5" hidden="1">{"Variance Q3",#N/A,FALSE,"Var"}</definedName>
    <definedName name="wrn.Variance._.3." localSheetId="0" hidden="1">{"Variance Q3",#N/A,FALSE,"Var"}</definedName>
    <definedName name="wrn.Variance._.3." localSheetId="4" hidden="1">{"Variance Q3",#N/A,FALSE,"Var"}</definedName>
    <definedName name="wrn.Variance._.3." hidden="1">{"Variance Q3",#N/A,FALSE,"Var"}</definedName>
    <definedName name="wrn.Variance._.Q1." localSheetId="5" hidden="1">{"Variance Q1",#N/A,FALSE,"Var"}</definedName>
    <definedName name="wrn.Variance._.Q1." localSheetId="0" hidden="1">{"Variance Q1",#N/A,FALSE,"Var"}</definedName>
    <definedName name="wrn.Variance._.Q1." localSheetId="4" hidden="1">{"Variance Q1",#N/A,FALSE,"Var"}</definedName>
    <definedName name="wrn.Variance._.Q1." hidden="1">{"Variance Q1",#N/A,FALSE,"Var"}</definedName>
    <definedName name="wrn.Variance._.Q2." localSheetId="5" hidden="1">{"Variance Q2",#N/A,FALSE,"Var"}</definedName>
    <definedName name="wrn.Variance._.Q2." localSheetId="0" hidden="1">{"Variance Q2",#N/A,FALSE,"Var"}</definedName>
    <definedName name="wrn.Variance._.Q2." localSheetId="4" hidden="1">{"Variance Q2",#N/A,FALSE,"Var"}</definedName>
    <definedName name="wrn.Variance._.Q2." hidden="1">{"Variance Q2",#N/A,FALSE,"Var"}</definedName>
    <definedName name="wrn.Variance._.Q3." localSheetId="5" hidden="1">{"Variance Q3",#N/A,FALSE,"Var"}</definedName>
    <definedName name="wrn.Variance._.Q3." localSheetId="0" hidden="1">{"Variance Q3",#N/A,FALSE,"Var"}</definedName>
    <definedName name="wrn.Variance._.Q3." localSheetId="4" hidden="1">{"Variance Q3",#N/A,FALSE,"Var"}</definedName>
    <definedName name="wrn.Variance._.Q3." hidden="1">{"Variance Q3",#N/A,FALSE,"Var"}</definedName>
    <definedName name="wrn.Variance._.Q4" localSheetId="5" hidden="1">{"Variance Q4",#N/A,FALSE,"Var"}</definedName>
    <definedName name="wrn.Variance._.Q4" localSheetId="0" hidden="1">{"Variance Q4",#N/A,FALSE,"Var"}</definedName>
    <definedName name="wrn.Variance._.Q4" localSheetId="4" hidden="1">{"Variance Q4",#N/A,FALSE,"Var"}</definedName>
    <definedName name="wrn.Variance._.Q4" hidden="1">{"Variance Q4",#N/A,FALSE,"Var"}</definedName>
    <definedName name="wrn.Variance._.Q4." localSheetId="5" hidden="1">{"Variance Q4",#N/A,FALSE,"Var"}</definedName>
    <definedName name="wrn.Variance._.Q4." localSheetId="0" hidden="1">{"Variance Q4",#N/A,FALSE,"Var"}</definedName>
    <definedName name="wrn.Variance._.Q4." localSheetId="4" hidden="1">{"Variance Q4",#N/A,FALSE,"Var"}</definedName>
    <definedName name="wrn.Variance._.Q4." hidden="1">{"Variance Q4",#N/A,FALSE,"Var"}</definedName>
    <definedName name="wrn.wicor." localSheetId="5" hidden="1">{#N/A,#N/A,FALSE,"FACTSHEETS";#N/A,#N/A,FALSE,"pump";#N/A,#N/A,FALSE,"filter"}</definedName>
    <definedName name="wrn.wicor." localSheetId="0" hidden="1">{#N/A,#N/A,FALSE,"FACTSHEETS";#N/A,#N/A,FALSE,"pump";#N/A,#N/A,FALSE,"filter"}</definedName>
    <definedName name="wrn.wicor." localSheetId="4" hidden="1">{#N/A,#N/A,FALSE,"FACTSHEETS";#N/A,#N/A,FALSE,"pump";#N/A,#N/A,FALSE,"filter"}</definedName>
    <definedName name="wrn.wicor." hidden="1">{#N/A,#N/A,FALSE,"FACTSHEETS";#N/A,#N/A,FALSE,"pump";#N/A,#N/A,FALSE,"filter"}</definedName>
    <definedName name="wrn.손익보고.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1.all" localSheetId="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.all" localSheetId="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.all" localSheetId="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1.all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n" localSheetId="5" hidden="1">{#N/A,#N/A,FALSE,"PERSONAL";#N/A,#N/A,FALSE,"explotación";#N/A,#N/A,FALSE,"generales"}</definedName>
    <definedName name="wrnn" localSheetId="0" hidden="1">{#N/A,#N/A,FALSE,"PERSONAL";#N/A,#N/A,FALSE,"explotación";#N/A,#N/A,FALSE,"generales"}</definedName>
    <definedName name="wrnn" localSheetId="4" hidden="1">{#N/A,#N/A,FALSE,"PERSONAL";#N/A,#N/A,FALSE,"explotación";#N/A,#N/A,FALSE,"generales"}</definedName>
    <definedName name="wrnn" hidden="1">{#N/A,#N/A,FALSE,"PERSONAL";#N/A,#N/A,FALSE,"explotación";#N/A,#N/A,FALSE,"generales"}</definedName>
    <definedName name="WSB" localSheetId="0">#REF!</definedName>
    <definedName name="WSB">#REF!</definedName>
    <definedName name="wvu.inputs._.raw._.data." localSheetId="5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5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5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5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0">#REF!</definedName>
    <definedName name="ww">#REF!</definedName>
    <definedName name="ww.Rele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localSheetId="4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PRT" localSheetId="0">#REF!</definedName>
    <definedName name="WWPRT">#REF!</definedName>
    <definedName name="WWW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5" hidden="1">{"EUUTI","COMPANIES",TRUE}</definedName>
    <definedName name="x" localSheetId="0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" localSheetId="4" hidden="1">{"EUUTI","COMPANIES",TRUE}</definedName>
    <definedName name="x" hidden="1">{"EUUTI","COMPANIES",TRUE}</definedName>
    <definedName name="xData1.2" localSheetId="0">#REF!</definedName>
    <definedName name="xData1.2">#REF!</definedName>
    <definedName name="xfhs" hidden="1">#N/A</definedName>
    <definedName name="XRATE" localSheetId="0">#REF!</definedName>
    <definedName name="XRATE">#REF!</definedName>
    <definedName name="XREF_COLUMN_1" localSheetId="0" hidden="1">#REF!</definedName>
    <definedName name="XREF_COLUMN_1" hidden="1">#REF!</definedName>
    <definedName name="XREF_COLUMN_2" localSheetId="0" hidden="1">#REF!</definedName>
    <definedName name="XREF_COLUMN_2" hidden="1">#REF!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_COLUMN_5" localSheetId="0" hidden="1">#REF!</definedName>
    <definedName name="XREF_COLUMN_5" hidden="1">#REF!</definedName>
    <definedName name="XREF_COLUMN_6" localSheetId="0" hidden="1">#REF!</definedName>
    <definedName name="XREF_COLUMN_6" hidden="1">#REF!</definedName>
    <definedName name="XREF_COLUMN_7" localSheetId="0" hidden="1">#REF!</definedName>
    <definedName name="XREF_COLUMN_7" hidden="1">#REF!</definedName>
    <definedName name="XREF_COLUMN_9" localSheetId="0" hidden="1">#REF!</definedName>
    <definedName name="XREF_COLUMN_9" hidden="1">#REF!</definedName>
    <definedName name="XRefActiveRow" localSheetId="0" hidden="1">#REF!</definedName>
    <definedName name="XRefActiveRow" hidden="1">#REF!</definedName>
    <definedName name="XRefColumnsCount" hidden="1">1</definedName>
    <definedName name="XRefCopy1" localSheetId="0" hidden="1">#REF!</definedName>
    <definedName name="XRefCopy1" hidden="1">#REF!</definedName>
    <definedName name="XRefCopy10" localSheetId="0" hidden="1">#REF!</definedName>
    <definedName name="XRefCopy10" hidden="1">#REF!</definedName>
    <definedName name="XRefCopy10Row" localSheetId="0" hidden="1">#REF!</definedName>
    <definedName name="XRefCopy10Row" hidden="1">#REF!</definedName>
    <definedName name="XRefCopy11" localSheetId="0" hidden="1">#REF!</definedName>
    <definedName name="XRefCopy11" hidden="1">#REF!</definedName>
    <definedName name="XRefCopy11Row" localSheetId="0" hidden="1">#REF!</definedName>
    <definedName name="XRefCopy11Row" hidden="1">#REF!</definedName>
    <definedName name="XRefCopy12" localSheetId="0" hidden="1">#REF!</definedName>
    <definedName name="XRefCopy12" hidden="1">#REF!</definedName>
    <definedName name="XRefCopy12Row" localSheetId="0" hidden="1">#REF!</definedName>
    <definedName name="XRefCopy12Row" hidden="1">#REF!</definedName>
    <definedName name="XRefCopy13" localSheetId="0" hidden="1">#REF!</definedName>
    <definedName name="XRefCopy13" hidden="1">#REF!</definedName>
    <definedName name="XRefCopy13Row" localSheetId="0" hidden="1">#REF!</definedName>
    <definedName name="XRefCopy13Row" hidden="1">#REF!</definedName>
    <definedName name="XRefCopy14" localSheetId="0" hidden="1">#REF!</definedName>
    <definedName name="XRefCopy14" hidden="1">#REF!</definedName>
    <definedName name="XRefCopy14Row" localSheetId="0" hidden="1">#REF!</definedName>
    <definedName name="XRefCopy14Row" hidden="1">#REF!</definedName>
    <definedName name="XRefCopy15" localSheetId="0" hidden="1">#REF!</definedName>
    <definedName name="XRefCopy15" hidden="1">#REF!</definedName>
    <definedName name="XRefCopy15Row" localSheetId="0" hidden="1">#REF!</definedName>
    <definedName name="XRefCopy15Row" hidden="1">#REF!</definedName>
    <definedName name="XRefCopy1Row" localSheetId="0" hidden="1">#REF!</definedName>
    <definedName name="XRefCopy1Row" hidden="1">#REF!</definedName>
    <definedName name="XRefCopy2" localSheetId="0" hidden="1">#REF!</definedName>
    <definedName name="XRefCopy2" hidden="1">#REF!</definedName>
    <definedName name="XRefCopy2Row" localSheetId="0" hidden="1">#REF!</definedName>
    <definedName name="XRefCopy2Row" hidden="1">#REF!</definedName>
    <definedName name="XRefCopy3" localSheetId="0" hidden="1">#REF!</definedName>
    <definedName name="XRefCopy3" hidden="1">#REF!</definedName>
    <definedName name="XRefCopy3Row" localSheetId="0" hidden="1">#REF!</definedName>
    <definedName name="XRefCopy3Row" hidden="1">#REF!</definedName>
    <definedName name="XRefCopy4" localSheetId="0" hidden="1">#REF!</definedName>
    <definedName name="XRefCopy4" hidden="1">#REF!</definedName>
    <definedName name="XRefCopy4Row" localSheetId="0" hidden="1">#REF!</definedName>
    <definedName name="XRefCopy4Row" hidden="1">#REF!</definedName>
    <definedName name="XRefCopy5" localSheetId="0" hidden="1">#REF!</definedName>
    <definedName name="XRefCopy5" hidden="1">#REF!</definedName>
    <definedName name="XRefCopy5Row" localSheetId="0" hidden="1">#REF!</definedName>
    <definedName name="XRefCopy5Row" hidden="1">#REF!</definedName>
    <definedName name="XRefCopy6" localSheetId="0" hidden="1">#REF!</definedName>
    <definedName name="XRefCopy6" hidden="1">#REF!</definedName>
    <definedName name="XRefCopy6Row" localSheetId="0" hidden="1">#REF!</definedName>
    <definedName name="XRefCopy6Row" hidden="1">#REF!</definedName>
    <definedName name="XRefCopy7" localSheetId="0" hidden="1">#REF!</definedName>
    <definedName name="XRefCopy7" hidden="1">#REF!</definedName>
    <definedName name="XRefCopy7Row" localSheetId="0" hidden="1">#REF!</definedName>
    <definedName name="XRefCopy7Row" hidden="1">#REF!</definedName>
    <definedName name="XRefCopy8" localSheetId="0" hidden="1">#REF!</definedName>
    <definedName name="XRefCopy8" hidden="1">#REF!</definedName>
    <definedName name="XRefCopy8Row" localSheetId="0" hidden="1">#REF!</definedName>
    <definedName name="XRefCopy8Row" hidden="1">#REF!</definedName>
    <definedName name="XRefCopy9" localSheetId="0" hidden="1">#REF!</definedName>
    <definedName name="XRefCopy9" hidden="1">#REF!</definedName>
    <definedName name="XRefCopy9Row" localSheetId="0" hidden="1">#REF!</definedName>
    <definedName name="XRefCopy9Row" hidden="1">#REF!</definedName>
    <definedName name="XRefCopyRangeCount" hidden="1">1</definedName>
    <definedName name="XRefPaste1" localSheetId="0" hidden="1">#REF!</definedName>
    <definedName name="XRefPaste1" hidden="1">#REF!</definedName>
    <definedName name="XRefPaste10" localSheetId="0" hidden="1">#REF!</definedName>
    <definedName name="XRefPaste10" hidden="1">#REF!</definedName>
    <definedName name="XRefPaste10Row" localSheetId="0" hidden="1">#REF!</definedName>
    <definedName name="XRefPaste10Row" hidden="1">#REF!</definedName>
    <definedName name="XRefPaste13Row" localSheetId="0" hidden="1">#REF!</definedName>
    <definedName name="XRefPaste13Row" hidden="1">#REF!</definedName>
    <definedName name="XRefPaste1Row" localSheetId="0" hidden="1">#REF!</definedName>
    <definedName name="XRefPaste1Row" hidden="1">#REF!</definedName>
    <definedName name="XRefPaste2" localSheetId="0" hidden="1">#REF!</definedName>
    <definedName name="XRefPaste2" hidden="1">#REF!</definedName>
    <definedName name="XRefPaste2Row" localSheetId="0" hidden="1">#REF!</definedName>
    <definedName name="XRefPaste2Row" hidden="1">#REF!</definedName>
    <definedName name="XRefPaste3" localSheetId="0" hidden="1">#REF!</definedName>
    <definedName name="XRefPaste3" hidden="1">#REF!</definedName>
    <definedName name="XRefPaste3Row" localSheetId="0" hidden="1">#REF!</definedName>
    <definedName name="XRefPaste3Row" hidden="1">#REF!</definedName>
    <definedName name="XRefPaste4" localSheetId="0" hidden="1">#REF!</definedName>
    <definedName name="XRefPaste4" hidden="1">#REF!</definedName>
    <definedName name="XRefPaste4Row" localSheetId="0" hidden="1">#REF!</definedName>
    <definedName name="XRefPaste4Row" hidden="1">#REF!</definedName>
    <definedName name="XRefPaste5" localSheetId="0" hidden="1">#REF!</definedName>
    <definedName name="XRefPaste5" hidden="1">#REF!</definedName>
    <definedName name="XRefPaste5Row" localSheetId="0" hidden="1">#REF!</definedName>
    <definedName name="XRefPaste5Row" hidden="1">#REF!</definedName>
    <definedName name="XRefPaste6" localSheetId="0" hidden="1">#REF!</definedName>
    <definedName name="XRefPaste6" hidden="1">#REF!</definedName>
    <definedName name="XRefPaste6Row" localSheetId="0" hidden="1">#REF!</definedName>
    <definedName name="XRefPaste6Row" hidden="1">#REF!</definedName>
    <definedName name="XRefPaste7" localSheetId="0" hidden="1">#REF!</definedName>
    <definedName name="XRefPaste7" hidden="1">#REF!</definedName>
    <definedName name="XRefPaste7Row" localSheetId="0" hidden="1">#REF!</definedName>
    <definedName name="XRefPaste7Row" hidden="1">#REF!</definedName>
    <definedName name="XRefPaste8" localSheetId="0" hidden="1">#REF!</definedName>
    <definedName name="XRefPaste8" hidden="1">#REF!</definedName>
    <definedName name="XRefPaste8Row" localSheetId="0" hidden="1">#REF!</definedName>
    <definedName name="XRefPaste8Row" hidden="1">#REF!</definedName>
    <definedName name="XRefPaste9" localSheetId="0" hidden="1">#REF!</definedName>
    <definedName name="XRefPaste9" hidden="1">#REF!</definedName>
    <definedName name="XRefPaste9Row" localSheetId="0" hidden="1">#REF!</definedName>
    <definedName name="XRefPaste9Row" hidden="1">#REF!</definedName>
    <definedName name="XRefPasteRangeCount" hidden="1">12</definedName>
    <definedName name="XSHDhc" localSheetId="0">#REF!,#REF!,#REF!</definedName>
    <definedName name="XSHDhc">#REF!,#REF!,#REF!</definedName>
    <definedName name="xx" localSheetId="0" hidden="1">{#N/A,#N/A,FALSE,"Const";#N/A,#N/A,FALSE,"P&amp;L";#N/A,#N/A,FALSE,"Sale"}</definedName>
    <definedName name="xx">#REF!,#REF!,#REF!</definedName>
    <definedName name="xxx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" localSheetId="0" hidden="1">{#N/A,#N/A,FALSE,"Const";#N/A,#N/A,FALSE,"P&amp;L";#N/A,#N/A,FALSE,"Sale"}</definedName>
    <definedName name="xxx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xx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z_ED" localSheetId="0">#REF!</definedName>
    <definedName name="xz_ED">#REF!</definedName>
    <definedName name="xz_PD" localSheetId="0">#REF!</definedName>
    <definedName name="xz_PD">#REF!</definedName>
    <definedName name="y" localSheetId="0">#REF!</definedName>
    <definedName name="Y">#REF!</definedName>
    <definedName name="Y1_C_Capex" localSheetId="0">#REF!</definedName>
    <definedName name="Y1_C_Capex">#REF!</definedName>
    <definedName name="Y1_C_CF" localSheetId="0">#REF!</definedName>
    <definedName name="Y1_C_CF">#REF!</definedName>
    <definedName name="Y1_C_Depr" localSheetId="0">#REF!</definedName>
    <definedName name="Y1_C_Depr">#REF!</definedName>
    <definedName name="Y1_C_EBITDA" localSheetId="0">#REF!</definedName>
    <definedName name="Y1_C_EBITDA">#REF!</definedName>
    <definedName name="Y1_C_EPS" localSheetId="0">#REF!</definedName>
    <definedName name="Y1_C_EPS">#REF!</definedName>
    <definedName name="Y1_C_FCF" localSheetId="0">#REF!</definedName>
    <definedName name="Y1_C_FCF">#REF!</definedName>
    <definedName name="Y1_C_ND" localSheetId="0">#REF!</definedName>
    <definedName name="Y1_C_ND">#REF!</definedName>
    <definedName name="Y1_C_NP" localSheetId="0">#REF!</definedName>
    <definedName name="Y1_C_NP">#REF!</definedName>
    <definedName name="Y1_C_OP" localSheetId="0">#REF!</definedName>
    <definedName name="Y1_C_OP">#REF!</definedName>
    <definedName name="Y1_C_RP" localSheetId="0">#REF!</definedName>
    <definedName name="Y1_C_RP">#REF!</definedName>
    <definedName name="Y1_C_S" localSheetId="0">#REF!</definedName>
    <definedName name="Y1_C_S">#REF!</definedName>
    <definedName name="Y1_C_SE" localSheetId="0">#REF!</definedName>
    <definedName name="Y1_C_SE">#REF!</definedName>
    <definedName name="Y1_C_SHR" localSheetId="0">#REF!</definedName>
    <definedName name="Y1_C_SHR">#REF!</definedName>
    <definedName name="Y1_Div" localSheetId="0">#REF!</definedName>
    <definedName name="Y1_Div">#REF!</definedName>
    <definedName name="Y1_FY1" localSheetId="0">#REF!</definedName>
    <definedName name="Y1_FY1">#REF!</definedName>
    <definedName name="Y4_C_Capex" localSheetId="0">#REF!</definedName>
    <definedName name="Y4_C_Capex">#REF!</definedName>
    <definedName name="Y4_C_CF" localSheetId="0">#REF!</definedName>
    <definedName name="Y4_C_CF">#REF!</definedName>
    <definedName name="Y4_C_Depr" localSheetId="0">#REF!</definedName>
    <definedName name="Y4_C_Depr">#REF!</definedName>
    <definedName name="Y4_C_EBITDA" localSheetId="0">#REF!</definedName>
    <definedName name="Y4_C_EBITDA">#REF!</definedName>
    <definedName name="Y4_C_EPS" localSheetId="0">#REF!</definedName>
    <definedName name="Y4_C_EPS">#REF!</definedName>
    <definedName name="Y4_C_EPS_D" localSheetId="0">#REF!</definedName>
    <definedName name="Y4_C_EPS_D">#REF!</definedName>
    <definedName name="Y4_C_FCF" localSheetId="0">#REF!</definedName>
    <definedName name="Y4_C_FCF">#REF!</definedName>
    <definedName name="Y4_C_ND" localSheetId="0">#REF!</definedName>
    <definedName name="Y4_C_ND">#REF!</definedName>
    <definedName name="Y4_C_NP" localSheetId="0">#REF!</definedName>
    <definedName name="Y4_C_NP">#REF!</definedName>
    <definedName name="Y4_C_OP" localSheetId="0">#REF!</definedName>
    <definedName name="Y4_C_OP">#REF!</definedName>
    <definedName name="Y4_C_RP" localSheetId="0">#REF!</definedName>
    <definedName name="Y4_C_RP">#REF!</definedName>
    <definedName name="Y4_C_S" localSheetId="0">#REF!</definedName>
    <definedName name="Y4_C_S">#REF!</definedName>
    <definedName name="Y4_C_SE" localSheetId="0">#REF!</definedName>
    <definedName name="Y4_C_SE">#REF!</definedName>
    <definedName name="Y4_C_SHR" localSheetId="0">#REF!</definedName>
    <definedName name="Y4_C_SHR">#REF!</definedName>
    <definedName name="Y4_FY1" localSheetId="0">#REF!</definedName>
    <definedName name="Y4_FY1">#REF!</definedName>
    <definedName name="Y4_P_Div" localSheetId="0">#REF!</definedName>
    <definedName name="Y4_P_Div">#REF!</definedName>
    <definedName name="yale" localSheetId="5" hidden="1">{"Opsys",#N/A,FALSE,"NPV_OPsys";"NT",#N/A,FALSE,"NPV_NT";"DevP",#N/A,FALSE,"NPV_DevPdt";"Office",#N/A,FALSE,"NPV_Office"}</definedName>
    <definedName name="yale" localSheetId="0" hidden="1">{"Opsys",#N/A,FALSE,"NPV_OPsys";"NT",#N/A,FALSE,"NPV_NT";"DevP",#N/A,FALSE,"NPV_DevPdt";"Office",#N/A,FALSE,"NPV_Office"}</definedName>
    <definedName name="yale" localSheetId="4" hidden="1">{"Opsys",#N/A,FALSE,"NPV_OPsys";"NT",#N/A,FALSE,"NPV_NT";"DevP",#N/A,FALSE,"NPV_DevPdt";"Office",#N/A,FALSE,"NPV_Office"}</definedName>
    <definedName name="yale" hidden="1">{"Opsys",#N/A,FALSE,"NPV_OPsys";"NT",#N/A,FALSE,"NPV_NT";"DevP",#N/A,FALSE,"NPV_DevPdt";"Office",#N/A,FALSE,"NPV_Office"}</definedName>
    <definedName name="Year" localSheetId="0">#REF!</definedName>
    <definedName name="Year">#REF!</definedName>
    <definedName name="year_end_month" localSheetId="0">#REF!</definedName>
    <definedName name="year_end_month">#REF!</definedName>
    <definedName name="Yearend" localSheetId="0">#REF!</definedName>
    <definedName name="Yearend">#REF!</definedName>
    <definedName name="YEARplus1" localSheetId="0">#REF!</definedName>
    <definedName name="YEARplus1">#REF!</definedName>
    <definedName name="YearPlus1PE" localSheetId="0">#REF!</definedName>
    <definedName name="YearPlus1PE">#REF!</definedName>
    <definedName name="Yearplus2" localSheetId="0">#REF!</definedName>
    <definedName name="Yearplus2">#REF!</definedName>
    <definedName name="YearPlus2PE" localSheetId="0">#REF!</definedName>
    <definedName name="YearPlus2PE">#REF!</definedName>
    <definedName name="YearPlus3" localSheetId="0">#REF!</definedName>
    <definedName name="YearPlus3">#REF!</definedName>
    <definedName name="YearQtr_title">#N/A</definedName>
    <definedName name="Years">"A1:v1"</definedName>
    <definedName name="yecash00" localSheetId="0">#REF!</definedName>
    <definedName name="yecash00">#REF!</definedName>
    <definedName name="yecash01" localSheetId="0">#REF!</definedName>
    <definedName name="yecash01">#REF!</definedName>
    <definedName name="yecash02" localSheetId="0">#REF!</definedName>
    <definedName name="yecash02">#REF!</definedName>
    <definedName name="yecash03" localSheetId="0">#REF!</definedName>
    <definedName name="yecash03">#REF!</definedName>
    <definedName name="yecash04" localSheetId="0">#REF!</definedName>
    <definedName name="yecash04">#REF!</definedName>
    <definedName name="yecash99" localSheetId="0">#REF!</definedName>
    <definedName name="yecash99">#REF!</definedName>
    <definedName name="YesNo" localSheetId="0">#REF!</definedName>
    <definedName name="YesNo">#REF!</definedName>
    <definedName name="yr" localSheetId="0">#REF!</definedName>
    <definedName name="yr">#REF!</definedName>
    <definedName name="yr_ago_rev" localSheetId="0">#REF!</definedName>
    <definedName name="yr_ago_rev">#REF!</definedName>
    <definedName name="Yr_check" localSheetId="0">#REF!</definedName>
    <definedName name="Yr_check">#REF!</definedName>
    <definedName name="yr_end_exch_rate_usd" localSheetId="0">#REF!</definedName>
    <definedName name="yr_end_exch_rate_usd">#REF!</definedName>
    <definedName name="Yr_Start" localSheetId="0">#REF!</definedName>
    <definedName name="Yr_Start">#REF!</definedName>
    <definedName name="YrCheck" localSheetId="0">#REF!</definedName>
    <definedName name="YrCheck">#REF!</definedName>
    <definedName name="yy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yy">#REF!</definedName>
    <definedName name="Z_69236D49_722D_40B7_A111_ABD2A8204911_.wvu.PrintTitles" localSheetId="0" hidden="1">#REF!</definedName>
    <definedName name="Z_69236D49_722D_40B7_A111_ABD2A8204911_.wvu.PrintTitles" hidden="1">#REF!</definedName>
    <definedName name="Z_69236D49_722D_40B7_A111_ABD2A8204911_.wvu.Rows" localSheetId="0" hidden="1">#REF!,#REF!</definedName>
    <definedName name="Z_69236D49_722D_40B7_A111_ABD2A8204911_.wvu.Rows" hidden="1">#REF!,#REF!</definedName>
    <definedName name="Z_B8A42129_8AFC_4C88_A4BF_631F42E72A3A_.wvu.Cols" localSheetId="0" hidden="1">#REF!,#REF!,#REF!,#REF!,#REF!</definedName>
    <definedName name="Z_B8A42129_8AFC_4C88_A4BF_631F42E72A3A_.wvu.Cols" hidden="1">#REF!,#REF!,#REF!,#REF!,#REF!</definedName>
    <definedName name="z_Back_Copy" localSheetId="0">#REF!</definedName>
    <definedName name="z_Back_Copy">#REF!</definedName>
    <definedName name="z_Back_First" localSheetId="0">#REF!</definedName>
    <definedName name="z_Back_First">#REF!</definedName>
    <definedName name="z_Back_One" localSheetId="0">#REF!</definedName>
    <definedName name="z_Back_One">#REF!</definedName>
    <definedName name="Z_Back_OneB" localSheetId="0">#REF!</definedName>
    <definedName name="Z_Back_OneB">#REF!</definedName>
    <definedName name="Z_Backc" localSheetId="0">#REF!</definedName>
    <definedName name="Z_Backc">#REF!</definedName>
    <definedName name="z_BackD" localSheetId="0">#REF!</definedName>
    <definedName name="z_BackD">#REF!</definedName>
    <definedName name="z_Col_End" localSheetId="0">#REF!</definedName>
    <definedName name="z_Col_End">#REF!</definedName>
    <definedName name="z_Col_S" localSheetId="0">#REF!</definedName>
    <definedName name="z_Col_S">#REF!</definedName>
    <definedName name="z_Col_W" localSheetId="0">#REF!</definedName>
    <definedName name="z_Col_W">#REF!</definedName>
    <definedName name="z_Count" localSheetId="0">#REF!</definedName>
    <definedName name="z_Count">#REF!</definedName>
    <definedName name="Z_Count1" localSheetId="0">#REF!</definedName>
    <definedName name="Z_Count1">#REF!</definedName>
    <definedName name="z_CountA" localSheetId="0">#REF!</definedName>
    <definedName name="z_CountA">#REF!</definedName>
    <definedName name="Z_CountA1" localSheetId="0">#REF!</definedName>
    <definedName name="Z_CountA1">#REF!</definedName>
    <definedName name="z_CountD" localSheetId="0">#REF!</definedName>
    <definedName name="z_CountD">#REF!</definedName>
    <definedName name="z_End2" localSheetId="0">#REF!</definedName>
    <definedName name="z_End2">#REF!</definedName>
    <definedName name="z_Forward" localSheetId="0">#REF!</definedName>
    <definedName name="z_Forward">#REF!</definedName>
    <definedName name="z_Forward_Copy" localSheetId="0">#REF!</definedName>
    <definedName name="z_Forward_Copy">#REF!</definedName>
    <definedName name="z_Forward_Cover" localSheetId="0">#REF!</definedName>
    <definedName name="z_Forward_Cover">#REF!</definedName>
    <definedName name="z_Forward_Range" localSheetId="0">#REF!</definedName>
    <definedName name="z_Forward_Range">#REF!</definedName>
    <definedName name="z_Homee" localSheetId="0">#REF!</definedName>
    <definedName name="z_Homee">#REF!</definedName>
    <definedName name="z_LTM_Col" localSheetId="0">#REF!,#REF!,#REF!,#REF!</definedName>
    <definedName name="z_LTM_Col">#REF!,#REF!,#REF!,#REF!</definedName>
    <definedName name="z_LTM_Col2" localSheetId="0">#REF!,#REF!</definedName>
    <definedName name="z_LTM_Col2">#REF!,#REF!</definedName>
    <definedName name="z_NO_Back" localSheetId="0">#REF!,#REF!</definedName>
    <definedName name="z_NO_Back">#REF!,#REF!</definedName>
    <definedName name="z_NO_Back2" localSheetId="0">#REF!</definedName>
    <definedName name="z_NO_Back2">#REF!</definedName>
    <definedName name="z_P2_1" localSheetId="0">#REF!</definedName>
    <definedName name="z_P2_1">#REF!</definedName>
    <definedName name="z_P2_2" localSheetId="0">#REF!</definedName>
    <definedName name="z_P2_2">#REF!</definedName>
    <definedName name="z_P2_All" localSheetId="0">#REF!,#REF!</definedName>
    <definedName name="z_P2_All">#REF!,#REF!</definedName>
    <definedName name="z_P3_All" localSheetId="0">#REF!,#REF!,#REF!,#REF!</definedName>
    <definedName name="z_P3_All">#REF!,#REF!,#REF!,#REF!</definedName>
    <definedName name="z_P5_All" localSheetId="0">#REF!,#REF!</definedName>
    <definedName name="z_P5_All">#REF!,#REF!</definedName>
    <definedName name="zadrout1993" localSheetId="0">#REF!</definedName>
    <definedName name="zadrout1993">#REF!</definedName>
    <definedName name="zadrout1994" localSheetId="0">#REF!</definedName>
    <definedName name="zadrout1994">#REF!</definedName>
    <definedName name="zadrout1995" localSheetId="0">#REF!</definedName>
    <definedName name="zadrout1995">#REF!</definedName>
    <definedName name="zadrout1996" localSheetId="0">#REF!</definedName>
    <definedName name="zadrout1996">#REF!</definedName>
    <definedName name="zadrout1997" localSheetId="0">#REF!</definedName>
    <definedName name="zadrout1997">#REF!</definedName>
    <definedName name="zadrout1998" localSheetId="0">#REF!</definedName>
    <definedName name="zadrout1998">#REF!</definedName>
    <definedName name="zadrout1999" localSheetId="0">#REF!</definedName>
    <definedName name="zadrout1999">#REF!</definedName>
    <definedName name="zadrout2000" localSheetId="0">#REF!</definedName>
    <definedName name="zadrout2000">#REF!</definedName>
    <definedName name="zadrout2001" localSheetId="0">#REF!</definedName>
    <definedName name="zadrout2001">#REF!</definedName>
    <definedName name="zadrout2003" localSheetId="0">#REF!</definedName>
    <definedName name="zadrout2003">#REF!</definedName>
    <definedName name="zadrout2004" localSheetId="0">#REF!</definedName>
    <definedName name="zadrout2004">#REF!</definedName>
    <definedName name="zaffl1997" localSheetId="0">#REF!</definedName>
    <definedName name="zaffl1997">#REF!</definedName>
    <definedName name="Zara_Stores_France_as_Percentage_of_Total_Stores" localSheetId="0">#REF!</definedName>
    <definedName name="Zara_Stores_France_as_Percentage_of_Total_Stores">#REF!</definedName>
    <definedName name="Zara_Stores_Germany_as_Percentage_of_Total_Stores" localSheetId="0">#REF!</definedName>
    <definedName name="Zara_Stores_Germany_as_Percentage_of_Total_Stores">#REF!</definedName>
    <definedName name="Zara_Stores_Spain_as_Percentage_of_Total_Stores" localSheetId="0">#REF!</definedName>
    <definedName name="Zara_Stores_Spain_as_Percentage_of_Total_Stores">#REF!</definedName>
    <definedName name="Zara_Stores_UK_as_Percentage_of_Total_Stores" localSheetId="0">#REF!</definedName>
    <definedName name="Zara_Stores_UK_as_Percentage_of_Total_Stores">#REF!</definedName>
    <definedName name="Zara_Stores_USA_as_Percentage_of_Total_Stores" localSheetId="0">#REF!</definedName>
    <definedName name="Zara_Stores_USA_as_Percentage_of_Total_Stores">#REF!</definedName>
    <definedName name="zbasefee1992" localSheetId="0">#REF!</definedName>
    <definedName name="zbasefee1992">#REF!</definedName>
    <definedName name="zbasefee1994" localSheetId="0">#REF!</definedName>
    <definedName name="zbasefee1994">#REF!</definedName>
    <definedName name="zbasefee1995" localSheetId="0">#REF!</definedName>
    <definedName name="zbasefee1995">#REF!</definedName>
    <definedName name="zbasefee1996" localSheetId="0">#REF!</definedName>
    <definedName name="zbasefee1996">#REF!</definedName>
    <definedName name="zbasefee1997" localSheetId="0">#REF!</definedName>
    <definedName name="zbasefee1997">#REF!</definedName>
    <definedName name="zbv1997" localSheetId="0">#REF!</definedName>
    <definedName name="zbv1997">#REF!</definedName>
    <definedName name="zbv1998" localSheetId="0">#REF!</definedName>
    <definedName name="zbv1998">#REF!</definedName>
    <definedName name="zbv1999" localSheetId="0">#REF!</definedName>
    <definedName name="zbv1999">#REF!</definedName>
    <definedName name="zbv2000" localSheetId="0">#REF!</definedName>
    <definedName name="zbv2000">#REF!</definedName>
    <definedName name="zbv2001" localSheetId="0">#REF!</definedName>
    <definedName name="zbv2001">#REF!</definedName>
    <definedName name="zbv2002" localSheetId="0">#REF!</definedName>
    <definedName name="zbv2002">#REF!</definedName>
    <definedName name="zbv2003" localSheetId="0">#REF!</definedName>
    <definedName name="zbv2003">#REF!</definedName>
    <definedName name="zdiscontribution1992" localSheetId="0">#REF!</definedName>
    <definedName name="zdiscontribution1992">#REF!</definedName>
    <definedName name="zdiscontribution1993" localSheetId="0">#REF!</definedName>
    <definedName name="zdiscontribution1993">#REF!</definedName>
    <definedName name="zdiscontribution1994" localSheetId="0">#REF!</definedName>
    <definedName name="zdiscontribution1994">#REF!</definedName>
    <definedName name="zdiscontribution1995" localSheetId="0">#REF!</definedName>
    <definedName name="zdiscontribution1995">#REF!</definedName>
    <definedName name="zdiscontribution1996" localSheetId="0">#REF!</definedName>
    <definedName name="zdiscontribution1996">#REF!</definedName>
    <definedName name="zdiscontribution1997" localSheetId="0">#REF!</definedName>
    <definedName name="zdiscontribution1997">#REF!</definedName>
    <definedName name="zdiscontribution1998" localSheetId="0">#REF!</definedName>
    <definedName name="zdiscontribution1998">#REF!</definedName>
    <definedName name="zdiscontribution1999" localSheetId="0">#REF!</definedName>
    <definedName name="zdiscontribution1999">#REF!</definedName>
    <definedName name="zdiscontribution2000" localSheetId="0">#REF!</definedName>
    <definedName name="zdiscontribution2000">#REF!</definedName>
    <definedName name="zdiscontribution2001" localSheetId="0">#REF!</definedName>
    <definedName name="zdiscontribution2001">#REF!</definedName>
    <definedName name="zdiscontribution2002" localSheetId="0">#REF!</definedName>
    <definedName name="zdiscontribution2002">#REF!</definedName>
    <definedName name="zdiscontribution2003" localSheetId="0">#REF!</definedName>
    <definedName name="zdiscontribution2003">#REF!</definedName>
    <definedName name="zdiscontribution2004" localSheetId="0">#REF!</definedName>
    <definedName name="zdiscontribution2004">#REF!</definedName>
    <definedName name="zdiseps1992" localSheetId="0">#REF!</definedName>
    <definedName name="zdiseps1992">#REF!</definedName>
    <definedName name="zdiseps1993" localSheetId="0">#REF!</definedName>
    <definedName name="zdiseps1993">#REF!</definedName>
    <definedName name="zdiseps1994" localSheetId="0">#REF!</definedName>
    <definedName name="zdiseps1994">#REF!</definedName>
    <definedName name="zdiseps1995" localSheetId="0">#REF!</definedName>
    <definedName name="zdiseps1995">#REF!</definedName>
    <definedName name="zdiseps1996" localSheetId="0">#REF!</definedName>
    <definedName name="zdiseps1996">#REF!</definedName>
    <definedName name="zdiseps1997" localSheetId="0">#REF!</definedName>
    <definedName name="zdiseps1997">#REF!</definedName>
    <definedName name="zdisGOOD00" localSheetId="0">#REF!</definedName>
    <definedName name="zdisGOOD00">#REF!</definedName>
    <definedName name="zebit2004" localSheetId="0">#REF!</definedName>
    <definedName name="zebit2004">#REF!</definedName>
    <definedName name="zebitd1990" localSheetId="0">#REF!</definedName>
    <definedName name="zebitd1990">#REF!</definedName>
    <definedName name="zebitd1991" localSheetId="0">#REF!</definedName>
    <definedName name="zebitd1991">#REF!</definedName>
    <definedName name="zebitd1992" localSheetId="0">#REF!</definedName>
    <definedName name="zebitd1992">#REF!</definedName>
    <definedName name="zebitd1997" localSheetId="0">#REF!</definedName>
    <definedName name="zebitd1997">#REF!</definedName>
    <definedName name="zebitd1998" localSheetId="0">#REF!</definedName>
    <definedName name="zebitd1998">#REF!</definedName>
    <definedName name="zebitda1998" localSheetId="0">#REF!</definedName>
    <definedName name="zebitda1998">#REF!</definedName>
    <definedName name="zebitdsh1997" localSheetId="0">#REF!</definedName>
    <definedName name="zebitdsh1997">#REF!</definedName>
    <definedName name="zebitdv1991" localSheetId="0">#REF!</definedName>
    <definedName name="zebitdv1991">#REF!</definedName>
    <definedName name="zebitdv1992" localSheetId="0">#REF!</definedName>
    <definedName name="zebitdv1992">#REF!</definedName>
    <definedName name="zebitdv1993" localSheetId="0">#REF!</definedName>
    <definedName name="zebitdv1993">#REF!</definedName>
    <definedName name="zebitdv1994" localSheetId="0">#REF!</definedName>
    <definedName name="zebitdv1994">#REF!</definedName>
    <definedName name="zebitdv1995" localSheetId="0">#REF!</definedName>
    <definedName name="zebitdv1995">#REF!</definedName>
    <definedName name="zebitdv1996" localSheetId="0">#REF!</definedName>
    <definedName name="zebitdv1996">#REF!</definedName>
    <definedName name="zebitdv1997" localSheetId="0">#REF!</definedName>
    <definedName name="zebitdv1997">#REF!</definedName>
    <definedName name="zeebitd1993" localSheetId="0">#REF!</definedName>
    <definedName name="zeebitd1993">#REF!</definedName>
    <definedName name="zenetdebt1993" localSheetId="0">#REF!</definedName>
    <definedName name="zenetdebt1993">#REF!</definedName>
    <definedName name="zenetinc1994" localSheetId="0">#REF!</definedName>
    <definedName name="zenetinc1994">#REF!</definedName>
    <definedName name="zerevs1993" localSheetId="0">#REF!</definedName>
    <definedName name="zerevs1993">#REF!</definedName>
    <definedName name="zerevs1994" localSheetId="0">#REF!</definedName>
    <definedName name="zerevs1994">#REF!</definedName>
    <definedName name="zero_line1" localSheetId="0">#REF!</definedName>
    <definedName name="zero_line1">#REF!</definedName>
    <definedName name="zesharesout1993" localSheetId="0">#REF!</definedName>
    <definedName name="zesharesout1993">#REF!</definedName>
    <definedName name="zexchgus2004" localSheetId="0">#REF!</definedName>
    <definedName name="zexchgus2004">#REF!</definedName>
    <definedName name="zfcf1989" localSheetId="0">#REF!</definedName>
    <definedName name="zfcf1989">#REF!</definedName>
    <definedName name="zfcf1990" localSheetId="0">#REF!</definedName>
    <definedName name="zfcf1990">#REF!</definedName>
    <definedName name="zfcf1991" localSheetId="0">#REF!</definedName>
    <definedName name="zfcf1991">#REF!</definedName>
    <definedName name="zfcf1992" localSheetId="0">#REF!</definedName>
    <definedName name="zfcf1992">#REF!</definedName>
    <definedName name="zfcf1993" localSheetId="0">#REF!</definedName>
    <definedName name="zfcf1993">#REF!</definedName>
    <definedName name="zfcf1994" localSheetId="0">#REF!</definedName>
    <definedName name="zfcf1994">#REF!</definedName>
    <definedName name="zfcf1995" localSheetId="0">#REF!</definedName>
    <definedName name="zfcf1995">#REF!</definedName>
    <definedName name="zfcf1996" localSheetId="0">#REF!</definedName>
    <definedName name="zfcf1996">#REF!</definedName>
    <definedName name="zfcf1997" localSheetId="0">#REF!</definedName>
    <definedName name="zfcf1997">#REF!</definedName>
    <definedName name="zfcf1998" localSheetId="0">#REF!</definedName>
    <definedName name="zfcf1998">#REF!</definedName>
    <definedName name="zincentivefee1992" localSheetId="0">#REF!</definedName>
    <definedName name="zincentivefee1992">#REF!</definedName>
    <definedName name="zincentivefee1993" localSheetId="0">#REF!</definedName>
    <definedName name="zincentivefee1993">#REF!</definedName>
    <definedName name="zincentivefee1994" localSheetId="0">#REF!</definedName>
    <definedName name="zincentivefee1994">#REF!</definedName>
    <definedName name="zincentivefee1995" localSheetId="0">#REF!</definedName>
    <definedName name="zincentivefee1995">#REF!</definedName>
    <definedName name="zincentivefee1996" localSheetId="0">#REF!</definedName>
    <definedName name="zincentivefee1996">#REF!</definedName>
    <definedName name="zincentivefee1997" localSheetId="0">#REF!</definedName>
    <definedName name="zincentivefee1997">#REF!</definedName>
    <definedName name="znetcashd192" localSheetId="0">#REF!</definedName>
    <definedName name="znetcashd192">#REF!</definedName>
    <definedName name="znetcashd1993" localSheetId="0">#REF!</definedName>
    <definedName name="znetcashd1993">#REF!</definedName>
    <definedName name="znetcashd1994" localSheetId="0">#REF!</definedName>
    <definedName name="znetcashd1994">#REF!</definedName>
    <definedName name="znetcashd1995" localSheetId="0">#REF!</definedName>
    <definedName name="znetcashd1995">#REF!</definedName>
    <definedName name="znetcashd1996" localSheetId="0">#REF!</definedName>
    <definedName name="znetcashd1996">#REF!</definedName>
    <definedName name="znetcashd1997" localSheetId="0">#REF!</definedName>
    <definedName name="znetcashd1997">#REF!</definedName>
    <definedName name="znetcashd1998" localSheetId="0">#REF!</definedName>
    <definedName name="znetcashd1998">#REF!</definedName>
    <definedName name="znetcashd1999" localSheetId="0">#REF!</definedName>
    <definedName name="znetcashd1999">#REF!</definedName>
    <definedName name="znetcashd2000" localSheetId="0">#REF!</definedName>
    <definedName name="znetcashd2000">#REF!</definedName>
    <definedName name="znetcashd2001" localSheetId="0">#REF!</definedName>
    <definedName name="znetcashd2001">#REF!</definedName>
    <definedName name="znetcashd2002" localSheetId="0">#REF!</definedName>
    <definedName name="znetcashd2002">#REF!</definedName>
    <definedName name="znetdebt1994" localSheetId="0">#REF!</definedName>
    <definedName name="znetdebt1994">#REF!</definedName>
    <definedName name="znetdebt1995" localSheetId="0">#REF!</definedName>
    <definedName name="znetdebt1995">#REF!</definedName>
    <definedName name="znetdebt1997" localSheetId="0">#REF!</definedName>
    <definedName name="znetdebt1997">#REF!</definedName>
    <definedName name="znetinc1999" localSheetId="0">#REF!</definedName>
    <definedName name="znetinc1999">#REF!</definedName>
    <definedName name="znetinc2000" localSheetId="0">#REF!</definedName>
    <definedName name="znetinc2000">#REF!</definedName>
    <definedName name="znetinc2001" localSheetId="0">#REF!</definedName>
    <definedName name="znetinc2001">#REF!</definedName>
    <definedName name="znetinc2002" localSheetId="0">#REF!</definedName>
    <definedName name="znetinc2002">#REF!</definedName>
    <definedName name="znetinc2003" localSheetId="0">#REF!</definedName>
    <definedName name="znetinc2003">#REF!</definedName>
    <definedName name="znetinc2004" localSheetId="0">#REF!</definedName>
    <definedName name="znetinc2004">#REF!</definedName>
    <definedName name="znon_E1993" localSheetId="0">#REF!</definedName>
    <definedName name="znon_E1993">#REF!</definedName>
    <definedName name="znon_E21999" localSheetId="0">#REF!</definedName>
    <definedName name="znon_E21999">#REF!</definedName>
    <definedName name="znon_E22000" localSheetId="0">#REF!</definedName>
    <definedName name="znon_E22000">#REF!</definedName>
    <definedName name="znon_E22001" localSheetId="0">#REF!</definedName>
    <definedName name="znon_E22001">#REF!</definedName>
    <definedName name="znon_E22002" localSheetId="0">#REF!</definedName>
    <definedName name="znon_E22002">#REF!</definedName>
    <definedName name="znon_E22003" localSheetId="0">#REF!</definedName>
    <definedName name="znon_E22003">#REF!</definedName>
    <definedName name="znon_E22004" localSheetId="0">#REF!</definedName>
    <definedName name="znon_E22004">#REF!</definedName>
    <definedName name="zocf1989" localSheetId="0">#REF!</definedName>
    <definedName name="zocf1989">#REF!</definedName>
    <definedName name="zocf1990" localSheetId="0">#REF!</definedName>
    <definedName name="zocf1990">#REF!</definedName>
    <definedName name="zocf1991" localSheetId="0">#REF!</definedName>
    <definedName name="zocf1991">#REF!</definedName>
    <definedName name="zocf1992" localSheetId="0">#REF!</definedName>
    <definedName name="zocf1992">#REF!</definedName>
    <definedName name="zocf1993" localSheetId="0">#REF!</definedName>
    <definedName name="zocf1993">#REF!</definedName>
    <definedName name="zocf1994" localSheetId="0">#REF!</definedName>
    <definedName name="zocf1994">#REF!</definedName>
    <definedName name="zocf1995" localSheetId="0">#REF!</definedName>
    <definedName name="zocf1995">#REF!</definedName>
    <definedName name="zocf1996" localSheetId="0">#REF!</definedName>
    <definedName name="zocf1996">#REF!</definedName>
    <definedName name="zocf1997" localSheetId="0">#REF!</definedName>
    <definedName name="zocf1997">#REF!</definedName>
    <definedName name="Zone2" localSheetId="0">#REF!</definedName>
    <definedName name="Zone2">#REF!</definedName>
    <definedName name="zpeps1990" localSheetId="0">#REF!</definedName>
    <definedName name="zpeps1990">#REF!</definedName>
    <definedName name="zpeps1991" localSheetId="0">#REF!</definedName>
    <definedName name="zpeps1991">#REF!</definedName>
    <definedName name="zpeps1992" localSheetId="0">#REF!</definedName>
    <definedName name="zpeps1992">#REF!</definedName>
    <definedName name="zpeps1993" localSheetId="0">#REF!</definedName>
    <definedName name="zpeps1993">#REF!</definedName>
    <definedName name="zpeps1994" localSheetId="0">#REF!</definedName>
    <definedName name="zpeps1994">#REF!</definedName>
    <definedName name="zpeps1995" localSheetId="0">#REF!</definedName>
    <definedName name="zpeps1995">#REF!</definedName>
    <definedName name="zpeps1996" localSheetId="0">#REF!</definedName>
    <definedName name="zpeps1996">#REF!</definedName>
    <definedName name="zpeps1997" localSheetId="0">#REF!</definedName>
    <definedName name="zpeps1997">#REF!</definedName>
    <definedName name="zpeps1998" localSheetId="0">#REF!</definedName>
    <definedName name="zpeps1998">#REF!</definedName>
    <definedName name="zpeps1999" localSheetId="0">#REF!</definedName>
    <definedName name="zpeps1999">#REF!</definedName>
    <definedName name="zpeps2000" localSheetId="0">#REF!</definedName>
    <definedName name="zpeps2000">#REF!</definedName>
    <definedName name="zpeps2001" localSheetId="0">#REF!</definedName>
    <definedName name="zpeps2001">#REF!</definedName>
    <definedName name="zpeps2002" localSheetId="0">#REF!</definedName>
    <definedName name="zpeps2002">#REF!</definedName>
    <definedName name="zpeps2003" localSheetId="0">#REF!</definedName>
    <definedName name="zpeps2003">#REF!</definedName>
    <definedName name="zpeps2004" localSheetId="0">#REF!</definedName>
    <definedName name="zpeps2004">#REF!</definedName>
    <definedName name="zpepsusa1993" localSheetId="0">#REF!</definedName>
    <definedName name="zpepsusa1993">#REF!</definedName>
    <definedName name="zpepsusa1994" localSheetId="0">#REF!</definedName>
    <definedName name="zpepsusa1994">#REF!</definedName>
    <definedName name="zpepsusa1995" localSheetId="0">#REF!</definedName>
    <definedName name="zpepsusa1995">#REF!</definedName>
    <definedName name="zpepsusa1996" localSheetId="0">#REF!</definedName>
    <definedName name="zpepsusa1996">#REF!</definedName>
    <definedName name="zpepsusa1997" localSheetId="0">#REF!</definedName>
    <definedName name="zpepsusa1997">#REF!</definedName>
    <definedName name="zpepsusa1998" localSheetId="0">#REF!</definedName>
    <definedName name="zpepsusa1998">#REF!</definedName>
    <definedName name="zpepsusa1999" localSheetId="0">#REF!</definedName>
    <definedName name="zpepsusa1999">#REF!</definedName>
    <definedName name="zpepsusa2000" localSheetId="0">#REF!</definedName>
    <definedName name="zpepsusa2000">#REF!</definedName>
    <definedName name="zpepsusa2001" localSheetId="0">#REF!</definedName>
    <definedName name="zpepsusa2001">#REF!</definedName>
    <definedName name="zpepsusa2002" localSheetId="0">#REF!</definedName>
    <definedName name="zpepsusa2002">#REF!</definedName>
    <definedName name="zpepsusa2003" localSheetId="0">#REF!</definedName>
    <definedName name="zpepsusa2003">#REF!</definedName>
    <definedName name="zpepsusus1993" localSheetId="0">#REF!</definedName>
    <definedName name="zpepsusus1993">#REF!</definedName>
    <definedName name="zpepsusus1994" localSheetId="0">#REF!</definedName>
    <definedName name="zpepsusus1994">#REF!</definedName>
    <definedName name="zpepsusus1995" localSheetId="0">#REF!</definedName>
    <definedName name="zpepsusus1995">#REF!</definedName>
    <definedName name="zpepsusus1996" localSheetId="0">#REF!</definedName>
    <definedName name="zpepsusus1996">#REF!</definedName>
    <definedName name="zpretax1999" localSheetId="0">#REF!</definedName>
    <definedName name="zpretax1999">#REF!</definedName>
    <definedName name="zpretax2000" localSheetId="0">#REF!</definedName>
    <definedName name="zpretax2000">#REF!</definedName>
    <definedName name="zpretax2001" localSheetId="0">#REF!</definedName>
    <definedName name="zpretax2001">#REF!</definedName>
    <definedName name="zpretax2002" localSheetId="0">#REF!</definedName>
    <definedName name="zpretax2002">#REF!</definedName>
    <definedName name="zpretax2003" localSheetId="0">#REF!</definedName>
    <definedName name="zpretax2003">#REF!</definedName>
    <definedName name="zpretax2004" localSheetId="0">#REF!</definedName>
    <definedName name="zpretax2004">#REF!</definedName>
    <definedName name="zpretaxincome1992" localSheetId="0">#REF!</definedName>
    <definedName name="zpretaxincome1992">#REF!</definedName>
    <definedName name="zpretaxincome1993" localSheetId="0">#REF!</definedName>
    <definedName name="zpretaxincome1993">#REF!</definedName>
    <definedName name="zpretaxincome1994" localSheetId="0">#REF!</definedName>
    <definedName name="zpretaxincome1994">#REF!</definedName>
    <definedName name="zpretaxincome1995" localSheetId="0">#REF!</definedName>
    <definedName name="zpretaxincome1995">#REF!</definedName>
    <definedName name="zpretaxincome1996" localSheetId="0">#REF!</definedName>
    <definedName name="zpretaxincome1996">#REF!</definedName>
    <definedName name="zpretaxincome1997" localSheetId="0">#REF!</definedName>
    <definedName name="zpretaxincome1997">#REF!</definedName>
    <definedName name="zroe1997" localSheetId="0">#REF!</definedName>
    <definedName name="zroe1997">#REF!</definedName>
    <definedName name="zroe1998" localSheetId="0">#REF!</definedName>
    <definedName name="zroe1998">#REF!</definedName>
    <definedName name="zroe1999" localSheetId="0">#REF!</definedName>
    <definedName name="zroe1999">#REF!</definedName>
    <definedName name="zroe2000" localSheetId="0">#REF!</definedName>
    <definedName name="zroe2000">#REF!</definedName>
    <definedName name="zroe2001" localSheetId="0">#REF!</definedName>
    <definedName name="zroe2001">#REF!</definedName>
    <definedName name="zroe2002" localSheetId="0">#REF!</definedName>
    <definedName name="zroe2002">#REF!</definedName>
    <definedName name="zroe2003" localSheetId="0">#REF!</definedName>
    <definedName name="zroe2003">#REF!</definedName>
    <definedName name="zroyalties1992" localSheetId="0">#REF!</definedName>
    <definedName name="zroyalties1992">#REF!</definedName>
    <definedName name="zroyalties1993" localSheetId="0">#REF!</definedName>
    <definedName name="zroyalties1993">#REF!</definedName>
    <definedName name="zroyalties1994" localSheetId="0">#REF!</definedName>
    <definedName name="zroyalties1994">#REF!</definedName>
    <definedName name="zroyalties1995" localSheetId="0">#REF!</definedName>
    <definedName name="zroyalties1995">#REF!</definedName>
    <definedName name="zroyalties1996" localSheetId="0">#REF!</definedName>
    <definedName name="zroyalties1996">#REF!</definedName>
    <definedName name="zroyalties1997" localSheetId="0">#REF!</definedName>
    <definedName name="zroyalties1997">#REF!</definedName>
    <definedName name="zsharesout1995" localSheetId="0">#REF!</definedName>
    <definedName name="zsharesout1995">#REF!</definedName>
    <definedName name="zsharesout1996" localSheetId="0">#REF!</definedName>
    <definedName name="zsharesout1996">#REF!</definedName>
    <definedName name="zsharesout1997" localSheetId="0">#REF!</definedName>
    <definedName name="zsharesout1997">#REF!</definedName>
    <definedName name="zsharesout1998" localSheetId="0">#REF!</definedName>
    <definedName name="zsharesout1998">#REF!</definedName>
    <definedName name="zsharesout1999" localSheetId="0">#REF!</definedName>
    <definedName name="zsharesout1999">#REF!</definedName>
    <definedName name="zsharesout2000" localSheetId="0">#REF!</definedName>
    <definedName name="zsharesout2000">#REF!</definedName>
    <definedName name="zsharesout2001" localSheetId="0">#REF!</definedName>
    <definedName name="zsharesout2001">#REF!</definedName>
    <definedName name="zsharesout2002" localSheetId="0">#REF!</definedName>
    <definedName name="zsharesout2002">#REF!</definedName>
    <definedName name="zsharesout2003" localSheetId="0">#REF!</definedName>
    <definedName name="zsharesout2003">#REF!</definedName>
    <definedName name="zsharesout2004" localSheetId="0">#REF!</definedName>
    <definedName name="zsharesout2004">#REF!</definedName>
    <definedName name="ztotalrevenues1992" localSheetId="0">#REF!</definedName>
    <definedName name="ztotalrevenues1992">#REF!</definedName>
    <definedName name="ztotalrevenues1993" localSheetId="0">#REF!</definedName>
    <definedName name="ztotalrevenues1993">#REF!</definedName>
    <definedName name="ztotalrevenues1994" localSheetId="0">#REF!</definedName>
    <definedName name="ztotalrevenues1994">#REF!</definedName>
    <definedName name="ztotalrevenues1995" localSheetId="0">#REF!</definedName>
    <definedName name="ztotalrevenues1995">#REF!</definedName>
    <definedName name="ztotalrevenues1996" localSheetId="0">#REF!</definedName>
    <definedName name="ztotalrevenues1996">#REF!</definedName>
    <definedName name="ztotalrevenues1997" localSheetId="0">#REF!</definedName>
    <definedName name="ztotalrevenues1997">#REF!</definedName>
    <definedName name="zxchgus1993" localSheetId="0">#REF!</definedName>
    <definedName name="zxchgus1993">#REF!</definedName>
    <definedName name="zxchgus1998\" localSheetId="0">#REF!</definedName>
    <definedName name="zxchgus1998\">#REF!</definedName>
    <definedName name="zxchgus1999" localSheetId="0">#REF!</definedName>
    <definedName name="zxchgus1999">#REF!</definedName>
    <definedName name="zxchgus2000" localSheetId="0">#REF!</definedName>
    <definedName name="zxchgus2000">#REF!</definedName>
    <definedName name="zxchgus2001" localSheetId="0">#REF!</definedName>
    <definedName name="zxchgus2001">#REF!</definedName>
    <definedName name="zxchgus2002" localSheetId="0">#REF!</definedName>
    <definedName name="zxchgus2002">#REF!</definedName>
    <definedName name="zxchgus2003" localSheetId="0">#REF!</definedName>
    <definedName name="zxchgus2003">#REF!</definedName>
    <definedName name="zxchgus2004" localSheetId="0">#REF!</definedName>
    <definedName name="zxchgus2004">#REF!</definedName>
    <definedName name="zxx" localSheetId="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zxx" localSheetId="0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zxx" localSheetId="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zxx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zz" localSheetId="5" hidden="1">{"EUMOT","COMPANIES",TRUE}</definedName>
    <definedName name="zz" localSheetId="0">#REF!</definedName>
    <definedName name="zz" localSheetId="4" hidden="1">{"EUMOT","COMPANIES",TRUE}</definedName>
    <definedName name="zz" hidden="1">{"EUMOT","COMPANIES",TRUE}</definedName>
    <definedName name="ZZZ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zzz.com" localSheetId="5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0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localSheetId="4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ㄷㅈㅅ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발화학피앤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개선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구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성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기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선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김영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ㄹㅇㅎㅇ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" localSheetId="0">#REF!,#REF!,#REF!</definedName>
    <definedName name="ㄴㅇㄹㄴㅇ">#REF!,#REF!,#REF!</definedName>
    <definedName name="ㄴㅇㄹㄴㅇ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ㄹㄴㅇ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ㅇㄻㄴㅇㄻ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ㄱㅈ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당조" localSheetId="0">#REF!</definedName>
    <definedName name="당조">#REF!</definedName>
    <definedName name="대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대일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홓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ㄹㅈ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ㄴㅇㄻ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목차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문성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ㄱㄷㅅㅂ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병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보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교ㄳ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세연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손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ㄴㄹ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ㄹ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ㄹ홍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ㅀㅇ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ㄴㄻ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ㅁㄻㄴ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ㅇㅈㄴㄹㄴㅇ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양식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없애버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여의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옳ㅇ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울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유승주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쇄영역" localSheetId="0">#REF!,#REF!,#REF!</definedName>
    <definedName name="인쇄영역">#REF!,#REF!,#REF!</definedName>
    <definedName name="인원현황2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인원현황3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산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일자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ㅈㄷㄱㅈㄷ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봉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인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정종구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종합어음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첨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최종분입니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토목법규" localSheetId="0">#REF!</definedName>
    <definedName name="토목법규">#REF!</definedName>
    <definedName name="팔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팔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평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하반기차입금계획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ㅎ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호ㅓㅏ호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홍성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회현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ㅏ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ㅓ24" localSheetId="0">#REF!</definedName>
    <definedName name="ㅓ24">#REF!</definedName>
    <definedName name="ㅗ허호ㅓ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ㅗ허호ㅓ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localSheetId="5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ㅣ니니니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餐补" localSheetId="0">#REF!</definedName>
    <definedName name="餐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Z30" i="6" l="1"/>
  <c r="Y30" i="6"/>
  <c r="X30" i="6"/>
  <c r="W30" i="6"/>
  <c r="U30" i="6"/>
  <c r="I30" i="6"/>
  <c r="H30" i="6"/>
  <c r="G30" i="6"/>
  <c r="F30" i="6"/>
  <c r="Z22" i="6"/>
  <c r="Y22" i="6"/>
  <c r="X22" i="6"/>
  <c r="W22" i="6"/>
  <c r="U22" i="6"/>
  <c r="H22" i="6"/>
  <c r="G22" i="6"/>
  <c r="F22" i="6"/>
  <c r="W21" i="6"/>
  <c r="U21" i="6"/>
  <c r="I21" i="6"/>
  <c r="H21" i="6"/>
  <c r="G21" i="6"/>
  <c r="F21" i="6"/>
  <c r="W20" i="6"/>
  <c r="U20" i="6"/>
  <c r="I20" i="6"/>
  <c r="H20" i="6"/>
  <c r="G20" i="6"/>
  <c r="F20" i="6"/>
  <c r="W19" i="6"/>
  <c r="U19" i="6"/>
  <c r="I19" i="6"/>
  <c r="H19" i="6"/>
  <c r="G19" i="6"/>
  <c r="F19" i="6"/>
  <c r="Z18" i="6"/>
  <c r="X18" i="6"/>
  <c r="W18" i="6"/>
  <c r="L18" i="6"/>
  <c r="K18" i="6"/>
  <c r="J18" i="6"/>
  <c r="I18" i="6"/>
  <c r="Z12" i="6"/>
  <c r="Y12" i="6"/>
  <c r="X12" i="6"/>
  <c r="W12" i="6"/>
  <c r="U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W7" i="6"/>
  <c r="U7" i="6"/>
  <c r="I7" i="6"/>
  <c r="H7" i="6"/>
  <c r="G7" i="6"/>
  <c r="F7" i="6"/>
  <c r="W5" i="6"/>
  <c r="U5" i="6"/>
  <c r="I5" i="6"/>
  <c r="H5" i="6"/>
  <c r="G5" i="6"/>
  <c r="F5" i="6"/>
  <c r="P113" i="4"/>
  <c r="P79" i="4"/>
  <c r="Q64" i="4"/>
  <c r="Q98" i="4" s="1"/>
  <c r="C48" i="4"/>
  <c r="J24" i="4" s="1"/>
  <c r="C46" i="4"/>
  <c r="C41" i="4"/>
  <c r="C33" i="4"/>
  <c r="H18" i="5" s="1"/>
  <c r="D18" i="5" s="1"/>
  <c r="F19" i="4"/>
  <c r="E19" i="4"/>
  <c r="E74" i="4" s="1"/>
  <c r="D19" i="4"/>
  <c r="C19" i="4"/>
  <c r="C108" i="4" s="1"/>
  <c r="F7" i="4"/>
  <c r="E7" i="4"/>
  <c r="M6" i="4"/>
  <c r="N6" i="4" s="1"/>
  <c r="L4" i="4"/>
  <c r="M4" i="4" s="1"/>
  <c r="N4" i="4" s="1"/>
  <c r="O4" i="4" s="1"/>
  <c r="P4" i="4" s="1"/>
  <c r="K3" i="4"/>
  <c r="J3" i="4"/>
  <c r="I3" i="4"/>
  <c r="H3" i="4"/>
  <c r="G3" i="4"/>
  <c r="F3" i="4"/>
  <c r="W166" i="3"/>
  <c r="U166" i="3"/>
  <c r="K166" i="3"/>
  <c r="L166" i="3" s="1"/>
  <c r="M166" i="3" s="1"/>
  <c r="N166" i="3" s="1"/>
  <c r="O166" i="3" s="1"/>
  <c r="P166" i="3" s="1"/>
  <c r="Q166" i="3" s="1"/>
  <c r="R166" i="3" s="1"/>
  <c r="S166" i="3" s="1"/>
  <c r="I166" i="3"/>
  <c r="I122" i="3" s="1"/>
  <c r="H166" i="3"/>
  <c r="G166" i="3"/>
  <c r="F166" i="3"/>
  <c r="W165" i="3"/>
  <c r="U165" i="3"/>
  <c r="K165" i="3"/>
  <c r="L165" i="3" s="1"/>
  <c r="M165" i="3" s="1"/>
  <c r="N165" i="3" s="1"/>
  <c r="O165" i="3" s="1"/>
  <c r="P165" i="3" s="1"/>
  <c r="Q165" i="3" s="1"/>
  <c r="R165" i="3" s="1"/>
  <c r="S165" i="3" s="1"/>
  <c r="I165" i="3"/>
  <c r="I121" i="3" s="1"/>
  <c r="X121" i="3" s="1"/>
  <c r="H165" i="3"/>
  <c r="G165" i="3"/>
  <c r="F165" i="3"/>
  <c r="X163" i="3"/>
  <c r="V163" i="3"/>
  <c r="X162" i="3"/>
  <c r="V162" i="3"/>
  <c r="I159" i="3"/>
  <c r="H159" i="3"/>
  <c r="I158" i="3"/>
  <c r="H158" i="3"/>
  <c r="I157" i="3"/>
  <c r="H157" i="3"/>
  <c r="I156" i="3"/>
  <c r="H156" i="3"/>
  <c r="V135" i="3"/>
  <c r="V134" i="3"/>
  <c r="V133" i="3"/>
  <c r="V132" i="3"/>
  <c r="V131" i="3"/>
  <c r="V130" i="3"/>
  <c r="V12" i="6" s="1"/>
  <c r="V129" i="3"/>
  <c r="V122" i="3"/>
  <c r="V121" i="3"/>
  <c r="W118" i="3"/>
  <c r="W7" i="2" s="1"/>
  <c r="W11" i="6" s="1"/>
  <c r="U118" i="3"/>
  <c r="U126" i="3" s="1"/>
  <c r="H118" i="3"/>
  <c r="H126" i="3" s="1"/>
  <c r="G118" i="3"/>
  <c r="G144" i="3" s="1"/>
  <c r="F118" i="3"/>
  <c r="F7" i="2" s="1"/>
  <c r="F11" i="6" s="1"/>
  <c r="W116" i="3"/>
  <c r="W115" i="3"/>
  <c r="H115" i="3"/>
  <c r="W114" i="3"/>
  <c r="H114" i="3"/>
  <c r="W113" i="3"/>
  <c r="U113" i="3"/>
  <c r="H113" i="3"/>
  <c r="G113" i="3"/>
  <c r="F113" i="3"/>
  <c r="W107" i="3"/>
  <c r="H107" i="3"/>
  <c r="G107" i="3"/>
  <c r="V104" i="3"/>
  <c r="V103" i="3"/>
  <c r="V102" i="3"/>
  <c r="V101" i="3"/>
  <c r="W98" i="3"/>
  <c r="U98" i="3"/>
  <c r="H98" i="3"/>
  <c r="G98" i="3"/>
  <c r="F98" i="3"/>
  <c r="W97" i="3"/>
  <c r="U97" i="3"/>
  <c r="H97" i="3"/>
  <c r="G97" i="3"/>
  <c r="F97" i="3"/>
  <c r="W96" i="3"/>
  <c r="U96" i="3"/>
  <c r="H96" i="3"/>
  <c r="G96" i="3"/>
  <c r="F96" i="3"/>
  <c r="W95" i="3"/>
  <c r="U95" i="3"/>
  <c r="H95" i="3"/>
  <c r="G95" i="3"/>
  <c r="F95" i="3"/>
  <c r="W94" i="3"/>
  <c r="U94" i="3"/>
  <c r="H94" i="3"/>
  <c r="G94" i="3"/>
  <c r="F94" i="3"/>
  <c r="W93" i="3"/>
  <c r="U93" i="3"/>
  <c r="H93" i="3"/>
  <c r="G93" i="3"/>
  <c r="F93" i="3"/>
  <c r="W80" i="3"/>
  <c r="H80" i="3"/>
  <c r="G80" i="3"/>
  <c r="F80" i="3"/>
  <c r="W76" i="3"/>
  <c r="H76" i="3"/>
  <c r="G76" i="3"/>
  <c r="W74" i="3"/>
  <c r="H74" i="3"/>
  <c r="G74" i="3"/>
  <c r="F74" i="3"/>
  <c r="H71" i="3"/>
  <c r="H69" i="3"/>
  <c r="G69" i="3"/>
  <c r="H67" i="3"/>
  <c r="G67" i="3"/>
  <c r="F67" i="3"/>
  <c r="M56" i="3"/>
  <c r="N56" i="3" s="1"/>
  <c r="O56" i="3" s="1"/>
  <c r="P56" i="3" s="1"/>
  <c r="Q56" i="3" s="1"/>
  <c r="R56" i="3" s="1"/>
  <c r="S56" i="3" s="1"/>
  <c r="J55" i="3"/>
  <c r="M52" i="3"/>
  <c r="N52" i="3" s="1"/>
  <c r="O52" i="3" s="1"/>
  <c r="P52" i="3" s="1"/>
  <c r="J51" i="3"/>
  <c r="J52" i="3" s="1"/>
  <c r="O42" i="3"/>
  <c r="I41" i="3"/>
  <c r="J41" i="3" s="1"/>
  <c r="K41" i="3" s="1"/>
  <c r="L41" i="3" s="1"/>
  <c r="L43" i="3" s="1"/>
  <c r="O40" i="3"/>
  <c r="P40" i="3" s="1"/>
  <c r="Q40" i="3" s="1"/>
  <c r="R40" i="3" s="1"/>
  <c r="S40" i="3" s="1"/>
  <c r="I35" i="3"/>
  <c r="H33" i="3"/>
  <c r="G33" i="3" s="1"/>
  <c r="G35" i="3" s="1"/>
  <c r="L32" i="3"/>
  <c r="M32" i="3" s="1"/>
  <c r="N32" i="3" s="1"/>
  <c r="O32" i="3" s="1"/>
  <c r="P32" i="3" s="1"/>
  <c r="Q32" i="3" s="1"/>
  <c r="R32" i="3" s="1"/>
  <c r="S32" i="3" s="1"/>
  <c r="W30" i="3"/>
  <c r="I30" i="3"/>
  <c r="H30" i="3"/>
  <c r="G30" i="3"/>
  <c r="Y29" i="3"/>
  <c r="Y7" i="6" s="1"/>
  <c r="X29" i="3"/>
  <c r="X7" i="6" s="1"/>
  <c r="V29" i="3"/>
  <c r="V7" i="6" s="1"/>
  <c r="W28" i="3"/>
  <c r="I28" i="3"/>
  <c r="H28" i="3"/>
  <c r="G28" i="3"/>
  <c r="Y27" i="3"/>
  <c r="Y5" i="6" s="1"/>
  <c r="X27" i="3"/>
  <c r="X5" i="6" s="1"/>
  <c r="V27" i="3"/>
  <c r="M18" i="3"/>
  <c r="N18" i="3" s="1"/>
  <c r="O18" i="3" s="1"/>
  <c r="P18" i="3" s="1"/>
  <c r="Q18" i="3" s="1"/>
  <c r="I18" i="3"/>
  <c r="M17" i="3"/>
  <c r="N17" i="3" s="1"/>
  <c r="O17" i="3" s="1"/>
  <c r="P17" i="3" s="1"/>
  <c r="Q17" i="3" s="1"/>
  <c r="R17" i="3" s="1"/>
  <c r="S17" i="3" s="1"/>
  <c r="I17" i="3"/>
  <c r="M16" i="3"/>
  <c r="N16" i="3" s="1"/>
  <c r="O16" i="3" s="1"/>
  <c r="P16" i="3" s="1"/>
  <c r="Q16" i="3" s="1"/>
  <c r="R16" i="3" s="1"/>
  <c r="S16" i="3" s="1"/>
  <c r="I16" i="3"/>
  <c r="I15" i="3"/>
  <c r="J12" i="3"/>
  <c r="J11" i="3"/>
  <c r="J10" i="3"/>
  <c r="W5" i="3"/>
  <c r="W9" i="6" s="1"/>
  <c r="U5" i="3"/>
  <c r="U9" i="6" s="1"/>
  <c r="I5" i="3"/>
  <c r="I9" i="6" s="1"/>
  <c r="H5" i="3"/>
  <c r="H62" i="3" s="1"/>
  <c r="G5" i="3"/>
  <c r="G62" i="3" s="1"/>
  <c r="F5" i="3"/>
  <c r="F4" i="2" s="1"/>
  <c r="C5" i="4" s="1"/>
  <c r="W292" i="2"/>
  <c r="U292" i="2"/>
  <c r="I292" i="2"/>
  <c r="H292" i="2"/>
  <c r="G292" i="2"/>
  <c r="F292" i="2"/>
  <c r="X291" i="2"/>
  <c r="V291" i="2"/>
  <c r="X290" i="2"/>
  <c r="V290" i="2"/>
  <c r="X289" i="2"/>
  <c r="V289" i="2"/>
  <c r="X288" i="2"/>
  <c r="V288" i="2"/>
  <c r="X287" i="2"/>
  <c r="V287" i="2"/>
  <c r="X286" i="2"/>
  <c r="V286" i="2"/>
  <c r="V285" i="2"/>
  <c r="V284" i="2"/>
  <c r="V283" i="2"/>
  <c r="S283" i="2"/>
  <c r="R283" i="2"/>
  <c r="Q283" i="2"/>
  <c r="P283" i="2"/>
  <c r="O283" i="2"/>
  <c r="N283" i="2"/>
  <c r="M283" i="2"/>
  <c r="L283" i="2"/>
  <c r="K283" i="2"/>
  <c r="J283" i="2"/>
  <c r="X283" i="2" s="1"/>
  <c r="X282" i="2"/>
  <c r="V282" i="2"/>
  <c r="X281" i="2"/>
  <c r="V281" i="2"/>
  <c r="X280" i="2"/>
  <c r="V280" i="2"/>
  <c r="V279" i="2"/>
  <c r="J279" i="2"/>
  <c r="J164" i="2" s="1"/>
  <c r="W276" i="2"/>
  <c r="U276" i="2"/>
  <c r="I276" i="2"/>
  <c r="H276" i="2"/>
  <c r="G276" i="2"/>
  <c r="F276" i="2"/>
  <c r="X275" i="2"/>
  <c r="V275" i="2"/>
  <c r="X274" i="2"/>
  <c r="V274" i="2"/>
  <c r="X273" i="2"/>
  <c r="V273" i="2"/>
  <c r="X272" i="2"/>
  <c r="V272" i="2"/>
  <c r="X271" i="2"/>
  <c r="V271" i="2"/>
  <c r="V270" i="2"/>
  <c r="X269" i="2"/>
  <c r="V269" i="2"/>
  <c r="X268" i="2"/>
  <c r="V268" i="2"/>
  <c r="X267" i="2"/>
  <c r="V267" i="2"/>
  <c r="V266" i="2"/>
  <c r="V265" i="2"/>
  <c r="V261" i="2"/>
  <c r="V260" i="2"/>
  <c r="V259" i="2"/>
  <c r="X258" i="2"/>
  <c r="V258" i="2"/>
  <c r="V257" i="2"/>
  <c r="V256" i="2"/>
  <c r="V255" i="2"/>
  <c r="V253" i="2"/>
  <c r="V252" i="2"/>
  <c r="X251" i="2"/>
  <c r="V251" i="2"/>
  <c r="X250" i="2"/>
  <c r="V250" i="2"/>
  <c r="V249" i="2"/>
  <c r="V248" i="2"/>
  <c r="X247" i="2"/>
  <c r="V247" i="2"/>
  <c r="V246" i="2"/>
  <c r="V245" i="2"/>
  <c r="I238" i="2"/>
  <c r="H238" i="2"/>
  <c r="G238" i="2"/>
  <c r="F238" i="2"/>
  <c r="E225" i="2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I219" i="2"/>
  <c r="J219" i="2" s="1"/>
  <c r="J215" i="2" s="1"/>
  <c r="H219" i="2"/>
  <c r="H220" i="2" s="1"/>
  <c r="G219" i="2"/>
  <c r="F219" i="2"/>
  <c r="I217" i="2"/>
  <c r="J214" i="2" s="1"/>
  <c r="H217" i="2"/>
  <c r="I214" i="2" s="1"/>
  <c r="G217" i="2"/>
  <c r="H214" i="2" s="1"/>
  <c r="F217" i="2"/>
  <c r="G214" i="2" s="1"/>
  <c r="I209" i="2"/>
  <c r="H209" i="2"/>
  <c r="G209" i="2"/>
  <c r="F209" i="2"/>
  <c r="F210" i="2" s="1"/>
  <c r="E196" i="2"/>
  <c r="E197" i="2" s="1"/>
  <c r="I190" i="2"/>
  <c r="J190" i="2" s="1"/>
  <c r="H190" i="2"/>
  <c r="G190" i="2"/>
  <c r="D20" i="4" s="1"/>
  <c r="F190" i="2"/>
  <c r="I188" i="2"/>
  <c r="J185" i="2" s="1"/>
  <c r="H188" i="2"/>
  <c r="I185" i="2" s="1"/>
  <c r="G188" i="2"/>
  <c r="H185" i="2" s="1"/>
  <c r="F188" i="2"/>
  <c r="G185" i="2" s="1"/>
  <c r="I181" i="2"/>
  <c r="I182" i="2" s="1"/>
  <c r="H181" i="2"/>
  <c r="H182" i="2" s="1"/>
  <c r="G181" i="2"/>
  <c r="G182" i="2" s="1"/>
  <c r="F181" i="2"/>
  <c r="F182" i="2" s="1"/>
  <c r="N179" i="2"/>
  <c r="O179" i="2" s="1"/>
  <c r="P179" i="2" s="1"/>
  <c r="Q179" i="2" s="1"/>
  <c r="R179" i="2" s="1"/>
  <c r="I178" i="2"/>
  <c r="H178" i="2"/>
  <c r="G178" i="2"/>
  <c r="F178" i="2"/>
  <c r="M176" i="2"/>
  <c r="N176" i="2" s="1"/>
  <c r="I175" i="2"/>
  <c r="H175" i="2"/>
  <c r="G175" i="2"/>
  <c r="F175" i="2"/>
  <c r="O173" i="2"/>
  <c r="P173" i="2" s="1"/>
  <c r="Q173" i="2" s="1"/>
  <c r="I172" i="2"/>
  <c r="H172" i="2"/>
  <c r="G172" i="2"/>
  <c r="F172" i="2"/>
  <c r="I171" i="2"/>
  <c r="H171" i="2"/>
  <c r="G171" i="2"/>
  <c r="F171" i="2"/>
  <c r="F195" i="2" s="1"/>
  <c r="I169" i="2"/>
  <c r="H169" i="2"/>
  <c r="G169" i="2"/>
  <c r="F169" i="2"/>
  <c r="X167" i="2"/>
  <c r="W167" i="2"/>
  <c r="I167" i="2"/>
  <c r="H167" i="2"/>
  <c r="G167" i="2"/>
  <c r="F167" i="2"/>
  <c r="J166" i="2"/>
  <c r="K166" i="2" s="1"/>
  <c r="L166" i="2" s="1"/>
  <c r="M166" i="2" s="1"/>
  <c r="N166" i="2" s="1"/>
  <c r="O166" i="2" s="1"/>
  <c r="P166" i="2" s="1"/>
  <c r="Q166" i="2" s="1"/>
  <c r="R166" i="2" s="1"/>
  <c r="S166" i="2" s="1"/>
  <c r="X159" i="2"/>
  <c r="W159" i="2"/>
  <c r="I159" i="2"/>
  <c r="H159" i="2"/>
  <c r="G159" i="2"/>
  <c r="F159" i="2"/>
  <c r="J158" i="2"/>
  <c r="J261" i="2" s="1"/>
  <c r="X261" i="2" s="1"/>
  <c r="J157" i="2"/>
  <c r="K157" i="2" s="1"/>
  <c r="L157" i="2" s="1"/>
  <c r="M157" i="2" s="1"/>
  <c r="N157" i="2" s="1"/>
  <c r="O157" i="2" s="1"/>
  <c r="P157" i="2" s="1"/>
  <c r="Q157" i="2" s="1"/>
  <c r="R157" i="2" s="1"/>
  <c r="S157" i="2" s="1"/>
  <c r="J156" i="2"/>
  <c r="X153" i="2"/>
  <c r="W153" i="2"/>
  <c r="I153" i="2"/>
  <c r="H153" i="2"/>
  <c r="G153" i="2"/>
  <c r="F153" i="2"/>
  <c r="J151" i="2"/>
  <c r="K151" i="2" s="1"/>
  <c r="L151" i="2" s="1"/>
  <c r="J150" i="2"/>
  <c r="K150" i="2" s="1"/>
  <c r="L150" i="2" s="1"/>
  <c r="M150" i="2" s="1"/>
  <c r="J149" i="2"/>
  <c r="J284" i="2" s="1"/>
  <c r="X284" i="2" s="1"/>
  <c r="J148" i="2"/>
  <c r="J260" i="2" s="1"/>
  <c r="X260" i="2" s="1"/>
  <c r="X142" i="2"/>
  <c r="W142" i="2"/>
  <c r="I142" i="2"/>
  <c r="H142" i="2"/>
  <c r="G142" i="2"/>
  <c r="F142" i="2"/>
  <c r="J141" i="2"/>
  <c r="J140" i="2"/>
  <c r="K140" i="2" s="1"/>
  <c r="L140" i="2" s="1"/>
  <c r="M140" i="2" s="1"/>
  <c r="N140" i="2" s="1"/>
  <c r="O140" i="2" s="1"/>
  <c r="P140" i="2" s="1"/>
  <c r="Q140" i="2" s="1"/>
  <c r="R140" i="2" s="1"/>
  <c r="S140" i="2" s="1"/>
  <c r="J139" i="2"/>
  <c r="J253" i="2" s="1"/>
  <c r="X253" i="2" s="1"/>
  <c r="J138" i="2"/>
  <c r="K138" i="2" s="1"/>
  <c r="L138" i="2" s="1"/>
  <c r="M138" i="2" s="1"/>
  <c r="N138" i="2" s="1"/>
  <c r="O138" i="2" s="1"/>
  <c r="P138" i="2" s="1"/>
  <c r="Q138" i="2" s="1"/>
  <c r="R138" i="2" s="1"/>
  <c r="S138" i="2" s="1"/>
  <c r="X133" i="2"/>
  <c r="W133" i="2"/>
  <c r="I133" i="2"/>
  <c r="H133" i="2"/>
  <c r="G133" i="2"/>
  <c r="F133" i="2"/>
  <c r="J132" i="2"/>
  <c r="J249" i="2" s="1"/>
  <c r="X249" i="2" s="1"/>
  <c r="J129" i="2"/>
  <c r="J257" i="2" s="1"/>
  <c r="X257" i="2" s="1"/>
  <c r="J128" i="2"/>
  <c r="K128" i="2" s="1"/>
  <c r="L128" i="2" s="1"/>
  <c r="M128" i="2" s="1"/>
  <c r="N128" i="2" s="1"/>
  <c r="O128" i="2" s="1"/>
  <c r="P128" i="2" s="1"/>
  <c r="Q128" i="2" s="1"/>
  <c r="R128" i="2" s="1"/>
  <c r="S128" i="2" s="1"/>
  <c r="I125" i="2"/>
  <c r="H125" i="2"/>
  <c r="G125" i="2"/>
  <c r="F125" i="2"/>
  <c r="I118" i="2"/>
  <c r="J118" i="2" s="1"/>
  <c r="H118" i="2"/>
  <c r="G118" i="2"/>
  <c r="F118" i="2"/>
  <c r="I115" i="2"/>
  <c r="H115" i="2"/>
  <c r="G115" i="2"/>
  <c r="F115" i="2"/>
  <c r="I113" i="2"/>
  <c r="I112" i="2"/>
  <c r="J112" i="2" s="1"/>
  <c r="H112" i="2"/>
  <c r="G112" i="2"/>
  <c r="W111" i="2"/>
  <c r="U111" i="2"/>
  <c r="I111" i="2"/>
  <c r="H111" i="2"/>
  <c r="H110" i="2" s="1"/>
  <c r="G111" i="2"/>
  <c r="G110" i="2" s="1"/>
  <c r="F111" i="2"/>
  <c r="F110" i="2" s="1"/>
  <c r="W110" i="2"/>
  <c r="U110" i="2"/>
  <c r="I110" i="2"/>
  <c r="V109" i="2"/>
  <c r="V108" i="2"/>
  <c r="J108" i="2"/>
  <c r="V107" i="2"/>
  <c r="O104" i="2"/>
  <c r="P104" i="2" s="1"/>
  <c r="Q104" i="2" s="1"/>
  <c r="R104" i="2" s="1"/>
  <c r="S104" i="2" s="1"/>
  <c r="W102" i="2"/>
  <c r="U102" i="2"/>
  <c r="I102" i="2"/>
  <c r="H102" i="2"/>
  <c r="G102" i="2"/>
  <c r="F102" i="2"/>
  <c r="W101" i="2"/>
  <c r="U101" i="2"/>
  <c r="V100" i="2"/>
  <c r="V99" i="2"/>
  <c r="V98" i="2"/>
  <c r="V97" i="2"/>
  <c r="V22" i="6" s="1"/>
  <c r="M94" i="2"/>
  <c r="N94" i="2" s="1"/>
  <c r="O94" i="2" s="1"/>
  <c r="P94" i="2" s="1"/>
  <c r="Q94" i="2" s="1"/>
  <c r="R94" i="2" s="1"/>
  <c r="S94" i="2" s="1"/>
  <c r="W92" i="2"/>
  <c r="U92" i="2"/>
  <c r="U91" i="2" s="1"/>
  <c r="I92" i="2"/>
  <c r="H92" i="2"/>
  <c r="H91" i="2" s="1"/>
  <c r="G92" i="2"/>
  <c r="F92" i="2"/>
  <c r="F91" i="2" s="1"/>
  <c r="V90" i="2"/>
  <c r="V89" i="2"/>
  <c r="V88" i="2"/>
  <c r="V87" i="2"/>
  <c r="M84" i="2"/>
  <c r="N84" i="2" s="1"/>
  <c r="O84" i="2" s="1"/>
  <c r="P84" i="2" s="1"/>
  <c r="Q84" i="2" s="1"/>
  <c r="R84" i="2" s="1"/>
  <c r="S84" i="2" s="1"/>
  <c r="W82" i="2"/>
  <c r="U82" i="2"/>
  <c r="I82" i="2"/>
  <c r="J82" i="2" s="1"/>
  <c r="J14" i="2" s="1"/>
  <c r="H82" i="2"/>
  <c r="I77" i="2" s="1"/>
  <c r="G82" i="2"/>
  <c r="G81" i="2" s="1"/>
  <c r="F82" i="2"/>
  <c r="F81" i="2" s="1"/>
  <c r="V80" i="2"/>
  <c r="V79" i="2"/>
  <c r="V78" i="2"/>
  <c r="V77" i="2"/>
  <c r="V76" i="2"/>
  <c r="J72" i="2"/>
  <c r="J66" i="2" s="1"/>
  <c r="J69" i="2" s="1"/>
  <c r="I72" i="2"/>
  <c r="I73" i="2" s="1"/>
  <c r="H72" i="2"/>
  <c r="H73" i="2" s="1"/>
  <c r="G72" i="2"/>
  <c r="G73" i="2" s="1"/>
  <c r="W69" i="2"/>
  <c r="U69" i="2"/>
  <c r="I69" i="2"/>
  <c r="H69" i="2"/>
  <c r="G69" i="2"/>
  <c r="F69" i="2"/>
  <c r="G71" i="2" s="1"/>
  <c r="X68" i="2"/>
  <c r="V68" i="2"/>
  <c r="X67" i="2"/>
  <c r="V67" i="2"/>
  <c r="X66" i="2"/>
  <c r="V66" i="2"/>
  <c r="I55" i="2"/>
  <c r="H55" i="2"/>
  <c r="W54" i="2"/>
  <c r="W55" i="2" s="1"/>
  <c r="V54" i="2"/>
  <c r="V55" i="2" s="1"/>
  <c r="U54" i="2"/>
  <c r="U55" i="2" s="1"/>
  <c r="K54" i="2"/>
  <c r="L54" i="2" s="1"/>
  <c r="J54" i="2"/>
  <c r="J55" i="2" s="1"/>
  <c r="J56" i="2" s="1"/>
  <c r="G54" i="2"/>
  <c r="G55" i="2" s="1"/>
  <c r="F54" i="2"/>
  <c r="F55" i="2" s="1"/>
  <c r="X48" i="2"/>
  <c r="W47" i="2"/>
  <c r="U47" i="2"/>
  <c r="S47" i="2"/>
  <c r="R47" i="2"/>
  <c r="Q47" i="2"/>
  <c r="P47" i="2"/>
  <c r="O47" i="2"/>
  <c r="N47" i="2"/>
  <c r="M47" i="2"/>
  <c r="L47" i="2"/>
  <c r="K47" i="2"/>
  <c r="J47" i="2"/>
  <c r="I47" i="2"/>
  <c r="H47" i="2"/>
  <c r="V47" i="2" s="1"/>
  <c r="G47" i="2"/>
  <c r="F47" i="2"/>
  <c r="X46" i="2"/>
  <c r="V46" i="2"/>
  <c r="W43" i="2"/>
  <c r="U43" i="2"/>
  <c r="I43" i="2"/>
  <c r="H43" i="2"/>
  <c r="G43" i="2"/>
  <c r="F43" i="2"/>
  <c r="Z42" i="2"/>
  <c r="X42" i="2"/>
  <c r="V42" i="2"/>
  <c r="X36" i="2"/>
  <c r="V36" i="2"/>
  <c r="V33" i="2"/>
  <c r="V30" i="6" s="1"/>
  <c r="X30" i="2"/>
  <c r="V30" i="2"/>
  <c r="X29" i="2"/>
  <c r="V29" i="2"/>
  <c r="K29" i="2"/>
  <c r="L29" i="2" s="1"/>
  <c r="M29" i="2" s="1"/>
  <c r="N29" i="2" s="1"/>
  <c r="O29" i="2" s="1"/>
  <c r="P29" i="2" s="1"/>
  <c r="Q29" i="2" s="1"/>
  <c r="R29" i="2" s="1"/>
  <c r="S29" i="2" s="1"/>
  <c r="X28" i="2"/>
  <c r="V28" i="2"/>
  <c r="X27" i="2"/>
  <c r="V27" i="2"/>
  <c r="V111" i="2" s="1"/>
  <c r="X17" i="2"/>
  <c r="V17" i="2"/>
  <c r="X16" i="2"/>
  <c r="V16" i="2"/>
  <c r="V21" i="6" s="1"/>
  <c r="X15" i="2"/>
  <c r="V15" i="2"/>
  <c r="V20" i="6" s="1"/>
  <c r="X14" i="2"/>
  <c r="V14" i="2"/>
  <c r="X13" i="2"/>
  <c r="V13" i="2"/>
  <c r="Y18" i="6" s="1"/>
  <c r="H7" i="2"/>
  <c r="H11" i="6" s="1"/>
  <c r="G7" i="2"/>
  <c r="J3" i="2"/>
  <c r="K3" i="2" s="1"/>
  <c r="BN20" i="1"/>
  <c r="I24" i="4" l="1"/>
  <c r="U7" i="2"/>
  <c r="U11" i="6" s="1"/>
  <c r="I4" i="2"/>
  <c r="J57" i="3"/>
  <c r="H6" i="6"/>
  <c r="Y5" i="3"/>
  <c r="Y6" i="3" s="1"/>
  <c r="J43" i="3"/>
  <c r="H140" i="3"/>
  <c r="G4" i="2"/>
  <c r="G119" i="2" s="1"/>
  <c r="U140" i="3"/>
  <c r="I6" i="6"/>
  <c r="H4" i="2"/>
  <c r="H93" i="2" s="1"/>
  <c r="X5" i="3"/>
  <c r="K51" i="3"/>
  <c r="L51" i="3" s="1"/>
  <c r="M51" i="3" s="1"/>
  <c r="N51" i="3" s="1"/>
  <c r="O51" i="3" s="1"/>
  <c r="U142" i="3"/>
  <c r="H143" i="3"/>
  <c r="U143" i="3"/>
  <c r="U4" i="2"/>
  <c r="U103" i="2" s="1"/>
  <c r="Y4" i="2"/>
  <c r="Y102" i="2" s="1"/>
  <c r="Y104" i="2" s="1"/>
  <c r="I43" i="3"/>
  <c r="G81" i="3"/>
  <c r="W119" i="3"/>
  <c r="U139" i="3"/>
  <c r="W4" i="2"/>
  <c r="W9" i="2" s="1"/>
  <c r="W19" i="2" s="1"/>
  <c r="K43" i="3"/>
  <c r="L44" i="3" s="1"/>
  <c r="X165" i="3"/>
  <c r="M41" i="3"/>
  <c r="H138" i="3"/>
  <c r="H141" i="3"/>
  <c r="H144" i="3"/>
  <c r="V166" i="3"/>
  <c r="I62" i="3"/>
  <c r="G75" i="3"/>
  <c r="W125" i="3"/>
  <c r="U138" i="3"/>
  <c r="U141" i="3"/>
  <c r="U144" i="3"/>
  <c r="X166" i="3"/>
  <c r="U62" i="3"/>
  <c r="W126" i="3"/>
  <c r="H139" i="3"/>
  <c r="H142" i="3"/>
  <c r="W59" i="2"/>
  <c r="W104" i="2"/>
  <c r="X161" i="2"/>
  <c r="G239" i="2"/>
  <c r="I79" i="2"/>
  <c r="J79" i="2" s="1"/>
  <c r="K79" i="2" s="1"/>
  <c r="L79" i="2" s="1"/>
  <c r="G104" i="2"/>
  <c r="I120" i="2"/>
  <c r="I83" i="2"/>
  <c r="F59" i="2"/>
  <c r="J71" i="2"/>
  <c r="U9" i="2"/>
  <c r="U14" i="6" s="1"/>
  <c r="X43" i="2"/>
  <c r="W84" i="2"/>
  <c r="I90" i="2"/>
  <c r="I103" i="2"/>
  <c r="W94" i="2"/>
  <c r="W161" i="2"/>
  <c r="I240" i="2"/>
  <c r="W58" i="2"/>
  <c r="I76" i="2"/>
  <c r="J76" i="2" s="1"/>
  <c r="I80" i="2"/>
  <c r="J80" i="2" s="1"/>
  <c r="V102" i="2"/>
  <c r="G144" i="2"/>
  <c r="I211" i="2"/>
  <c r="F144" i="2"/>
  <c r="I161" i="2"/>
  <c r="D18" i="4"/>
  <c r="D73" i="4" s="1"/>
  <c r="K190" i="2"/>
  <c r="J186" i="2"/>
  <c r="E198" i="2"/>
  <c r="E199" i="2" s="1"/>
  <c r="E200" i="2" s="1"/>
  <c r="E201" i="2" s="1"/>
  <c r="E202" i="2" s="1"/>
  <c r="F197" i="2"/>
  <c r="K112" i="2"/>
  <c r="K107" i="2" s="1"/>
  <c r="J107" i="2"/>
  <c r="J111" i="2" s="1"/>
  <c r="J27" i="2" s="1"/>
  <c r="J252" i="2" s="1"/>
  <c r="X252" i="2" s="1"/>
  <c r="X54" i="2"/>
  <c r="X55" i="2" s="1"/>
  <c r="W81" i="2"/>
  <c r="K82" i="2"/>
  <c r="L82" i="2" s="1"/>
  <c r="L14" i="2" s="1"/>
  <c r="V91" i="2"/>
  <c r="K132" i="2"/>
  <c r="K249" i="2" s="1"/>
  <c r="K158" i="2"/>
  <c r="K261" i="2" s="1"/>
  <c r="C20" i="4"/>
  <c r="G191" i="2"/>
  <c r="E108" i="4"/>
  <c r="X59" i="2"/>
  <c r="I220" i="2"/>
  <c r="H239" i="2"/>
  <c r="K279" i="2"/>
  <c r="G101" i="2"/>
  <c r="H104" i="2"/>
  <c r="I195" i="2"/>
  <c r="V69" i="2"/>
  <c r="F58" i="2"/>
  <c r="I56" i="2"/>
  <c r="F70" i="2"/>
  <c r="J77" i="2"/>
  <c r="H101" i="2"/>
  <c r="V101" i="2" s="1"/>
  <c r="K108" i="2"/>
  <c r="K149" i="2"/>
  <c r="K284" i="2" s="1"/>
  <c r="F161" i="2"/>
  <c r="H161" i="2"/>
  <c r="J13" i="2"/>
  <c r="M18" i="6" s="1"/>
  <c r="V43" i="2"/>
  <c r="V59" i="2" s="1"/>
  <c r="K129" i="2"/>
  <c r="L129" i="2" s="1"/>
  <c r="W144" i="2"/>
  <c r="G161" i="2"/>
  <c r="C74" i="4"/>
  <c r="K171" i="2"/>
  <c r="K125" i="2"/>
  <c r="L3" i="2"/>
  <c r="M285" i="2"/>
  <c r="N150" i="2"/>
  <c r="S179" i="2"/>
  <c r="X69" i="2"/>
  <c r="U93" i="2"/>
  <c r="G120" i="2"/>
  <c r="J19" i="6"/>
  <c r="K14" i="2"/>
  <c r="X21" i="6"/>
  <c r="X102" i="2"/>
  <c r="H56" i="2"/>
  <c r="W71" i="2"/>
  <c r="I119" i="2"/>
  <c r="G103" i="2"/>
  <c r="X111" i="2"/>
  <c r="G59" i="2"/>
  <c r="G56" i="2"/>
  <c r="J102" i="2"/>
  <c r="I104" i="2"/>
  <c r="H120" i="2"/>
  <c r="X58" i="2"/>
  <c r="H71" i="2"/>
  <c r="H70" i="2"/>
  <c r="I94" i="2"/>
  <c r="I93" i="2"/>
  <c r="I88" i="2"/>
  <c r="I87" i="2"/>
  <c r="J92" i="2"/>
  <c r="J171" i="2"/>
  <c r="J125" i="2"/>
  <c r="G9" i="2"/>
  <c r="H59" i="2"/>
  <c r="H58" i="2"/>
  <c r="H173" i="2"/>
  <c r="H119" i="2"/>
  <c r="H5" i="2"/>
  <c r="I58" i="2"/>
  <c r="I59" i="2"/>
  <c r="F5" i="4"/>
  <c r="I173" i="2"/>
  <c r="I5" i="2"/>
  <c r="X19" i="6"/>
  <c r="X82" i="2"/>
  <c r="M54" i="2"/>
  <c r="L55" i="2"/>
  <c r="U81" i="2"/>
  <c r="G91" i="2"/>
  <c r="H94" i="2"/>
  <c r="G94" i="2"/>
  <c r="G11" i="6"/>
  <c r="G179" i="2"/>
  <c r="G176" i="2"/>
  <c r="V58" i="2"/>
  <c r="U59" i="2"/>
  <c r="U58" i="2"/>
  <c r="K55" i="2"/>
  <c r="K56" i="2" s="1"/>
  <c r="I71" i="2"/>
  <c r="I70" i="2"/>
  <c r="I89" i="2"/>
  <c r="K164" i="2"/>
  <c r="O176" i="2"/>
  <c r="Q52" i="3"/>
  <c r="R52" i="3" s="1"/>
  <c r="S52" i="3" s="1"/>
  <c r="P51" i="3"/>
  <c r="X144" i="2"/>
  <c r="K265" i="2"/>
  <c r="K186" i="2"/>
  <c r="L190" i="2"/>
  <c r="W5" i="2"/>
  <c r="I78" i="2"/>
  <c r="J78" i="2" s="1"/>
  <c r="I84" i="2"/>
  <c r="V92" i="2"/>
  <c r="F103" i="2"/>
  <c r="F101" i="2"/>
  <c r="K118" i="2"/>
  <c r="J46" i="2"/>
  <c r="H179" i="2"/>
  <c r="X20" i="6"/>
  <c r="X92" i="2"/>
  <c r="X47" i="2"/>
  <c r="G84" i="2"/>
  <c r="W91" i="2"/>
  <c r="L132" i="2"/>
  <c r="I144" i="2"/>
  <c r="I228" i="2"/>
  <c r="I226" i="2"/>
  <c r="I224" i="2"/>
  <c r="I229" i="2"/>
  <c r="I225" i="2"/>
  <c r="I227" i="2"/>
  <c r="I197" i="2"/>
  <c r="I196" i="2"/>
  <c r="I199" i="2"/>
  <c r="R173" i="2"/>
  <c r="G227" i="2"/>
  <c r="C92" i="4"/>
  <c r="C64" i="4"/>
  <c r="C98" i="4" s="1"/>
  <c r="C56" i="4"/>
  <c r="F9" i="2"/>
  <c r="V19" i="6"/>
  <c r="V82" i="2"/>
  <c r="G58" i="2"/>
  <c r="H84" i="2"/>
  <c r="H81" i="2"/>
  <c r="F83" i="2"/>
  <c r="F93" i="2"/>
  <c r="V110" i="2"/>
  <c r="F119" i="2"/>
  <c r="K156" i="2"/>
  <c r="J159" i="2"/>
  <c r="H176" i="2"/>
  <c r="I97" i="2"/>
  <c r="I99" i="2"/>
  <c r="J99" i="2" s="1"/>
  <c r="I100" i="2"/>
  <c r="J100" i="2" s="1"/>
  <c r="K285" i="2"/>
  <c r="F196" i="2"/>
  <c r="V5" i="6"/>
  <c r="V5" i="3"/>
  <c r="V114" i="3"/>
  <c r="X28" i="3"/>
  <c r="K141" i="2"/>
  <c r="J270" i="2"/>
  <c r="X270" i="2" s="1"/>
  <c r="L285" i="2"/>
  <c r="M151" i="2"/>
  <c r="L279" i="2"/>
  <c r="F227" i="2"/>
  <c r="F225" i="2"/>
  <c r="F226" i="2"/>
  <c r="F228" i="2"/>
  <c r="F224" i="2"/>
  <c r="E20" i="4"/>
  <c r="H191" i="2"/>
  <c r="H196" i="2"/>
  <c r="V276" i="2"/>
  <c r="J285" i="2"/>
  <c r="X285" i="2" s="1"/>
  <c r="H103" i="2"/>
  <c r="H144" i="2"/>
  <c r="H228" i="2"/>
  <c r="H226" i="2"/>
  <c r="H224" i="2"/>
  <c r="H225" i="2"/>
  <c r="H197" i="2"/>
  <c r="H195" i="2"/>
  <c r="H227" i="2"/>
  <c r="G20" i="4"/>
  <c r="J265" i="2"/>
  <c r="I191" i="2"/>
  <c r="K219" i="2"/>
  <c r="H20" i="4" s="1"/>
  <c r="J266" i="2"/>
  <c r="X266" i="2" s="1"/>
  <c r="I239" i="2"/>
  <c r="C75" i="4"/>
  <c r="C109" i="4"/>
  <c r="G195" i="2"/>
  <c r="G197" i="2"/>
  <c r="G199" i="2"/>
  <c r="C18" i="4"/>
  <c r="H240" i="2"/>
  <c r="K139" i="2"/>
  <c r="K148" i="2"/>
  <c r="D109" i="4"/>
  <c r="D75" i="4"/>
  <c r="G225" i="2"/>
  <c r="J27" i="3"/>
  <c r="K10" i="3"/>
  <c r="V115" i="3"/>
  <c r="E18" i="4"/>
  <c r="H210" i="2"/>
  <c r="G240" i="2"/>
  <c r="F240" i="2"/>
  <c r="G228" i="2"/>
  <c r="G226" i="2"/>
  <c r="G224" i="2"/>
  <c r="F20" i="4"/>
  <c r="G196" i="2"/>
  <c r="F18" i="4"/>
  <c r="I210" i="2"/>
  <c r="G210" i="2"/>
  <c r="X279" i="2"/>
  <c r="V292" i="2"/>
  <c r="K12" i="3"/>
  <c r="V165" i="3"/>
  <c r="V116" i="3"/>
  <c r="D108" i="4"/>
  <c r="D74" i="4"/>
  <c r="F211" i="2"/>
  <c r="P42" i="3"/>
  <c r="Q42" i="3" s="1"/>
  <c r="R42" i="3" s="1"/>
  <c r="S42" i="3" s="1"/>
  <c r="K55" i="3"/>
  <c r="H75" i="3"/>
  <c r="H81" i="3"/>
  <c r="G211" i="2"/>
  <c r="F9" i="6"/>
  <c r="F62" i="3"/>
  <c r="F146" i="3"/>
  <c r="F148" i="3" s="1"/>
  <c r="F63" i="3"/>
  <c r="H211" i="2"/>
  <c r="G9" i="6"/>
  <c r="G146" i="3"/>
  <c r="G6" i="3"/>
  <c r="G63" i="3"/>
  <c r="H77" i="3"/>
  <c r="V113" i="3"/>
  <c r="F144" i="3"/>
  <c r="F143" i="3"/>
  <c r="F142" i="3"/>
  <c r="F141" i="3"/>
  <c r="F140" i="3"/>
  <c r="F139" i="3"/>
  <c r="F138" i="3"/>
  <c r="F126" i="3"/>
  <c r="F125" i="3"/>
  <c r="H9" i="6"/>
  <c r="I10" i="6" s="1"/>
  <c r="H146" i="3"/>
  <c r="H6" i="3"/>
  <c r="H63" i="3"/>
  <c r="H24" i="3"/>
  <c r="H23" i="3"/>
  <c r="H22" i="3"/>
  <c r="H21" i="3"/>
  <c r="H35" i="3"/>
  <c r="W146" i="3"/>
  <c r="N24" i="4"/>
  <c r="H24" i="4"/>
  <c r="L24" i="4"/>
  <c r="X30" i="3"/>
  <c r="W62" i="3"/>
  <c r="U63" i="3"/>
  <c r="W138" i="3"/>
  <c r="W139" i="3"/>
  <c r="W140" i="3"/>
  <c r="W141" i="3"/>
  <c r="W142" i="3"/>
  <c r="W143" i="3"/>
  <c r="W144" i="3"/>
  <c r="Y162" i="3"/>
  <c r="Y121" i="3" s="1"/>
  <c r="F108" i="4"/>
  <c r="F74" i="4"/>
  <c r="K24" i="4"/>
  <c r="C50" i="4"/>
  <c r="W6" i="3"/>
  <c r="I21" i="3"/>
  <c r="I22" i="3"/>
  <c r="I23" i="3"/>
  <c r="I24" i="3"/>
  <c r="I63" i="3"/>
  <c r="G119" i="3"/>
  <c r="G125" i="3"/>
  <c r="G126" i="3"/>
  <c r="M24" i="4"/>
  <c r="I6" i="3"/>
  <c r="K11" i="3"/>
  <c r="W63" i="3"/>
  <c r="I118" i="3"/>
  <c r="I126" i="3" s="1"/>
  <c r="V118" i="3"/>
  <c r="V125" i="3" s="1"/>
  <c r="H119" i="3"/>
  <c r="H125" i="3"/>
  <c r="U125" i="3"/>
  <c r="G138" i="3"/>
  <c r="G139" i="3"/>
  <c r="G140" i="3"/>
  <c r="G141" i="3"/>
  <c r="G142" i="3"/>
  <c r="G143" i="3"/>
  <c r="Y163" i="3"/>
  <c r="Y122" i="3" s="1"/>
  <c r="O24" i="4"/>
  <c r="X122" i="3"/>
  <c r="U146" i="3"/>
  <c r="U148" i="3" s="1"/>
  <c r="G24" i="4"/>
  <c r="F24" i="4" s="1"/>
  <c r="E24" i="4" s="1"/>
  <c r="D24" i="4" s="1"/>
  <c r="C24" i="4" s="1"/>
  <c r="P24" i="4"/>
  <c r="H8" i="6"/>
  <c r="I8" i="6"/>
  <c r="D107" i="4" l="1"/>
  <c r="Y69" i="2"/>
  <c r="Z69" i="2" s="1"/>
  <c r="Q51" i="3"/>
  <c r="R51" i="3" s="1"/>
  <c r="S51" i="3" s="1"/>
  <c r="U83" i="2"/>
  <c r="U70" i="2"/>
  <c r="W103" i="2"/>
  <c r="J44" i="3"/>
  <c r="G173" i="2"/>
  <c r="W70" i="2"/>
  <c r="Y9" i="6"/>
  <c r="W93" i="2"/>
  <c r="W83" i="2"/>
  <c r="G93" i="2"/>
  <c r="D5" i="4"/>
  <c r="D11" i="4" s="1"/>
  <c r="D64" i="4" s="1"/>
  <c r="D98" i="4" s="1"/>
  <c r="E5" i="4"/>
  <c r="E6" i="4" s="1"/>
  <c r="Y62" i="3"/>
  <c r="H83" i="2"/>
  <c r="G83" i="2"/>
  <c r="H9" i="2"/>
  <c r="H11" i="2" s="1"/>
  <c r="G70" i="2"/>
  <c r="Y63" i="3"/>
  <c r="Y5" i="2"/>
  <c r="X4" i="2"/>
  <c r="X93" i="2" s="1"/>
  <c r="X63" i="3"/>
  <c r="Y92" i="2"/>
  <c r="Y94" i="2" s="1"/>
  <c r="Y16" i="2"/>
  <c r="Y21" i="6" s="1"/>
  <c r="K44" i="3"/>
  <c r="Y82" i="2"/>
  <c r="I39" i="3"/>
  <c r="J39" i="3" s="1"/>
  <c r="X62" i="3"/>
  <c r="X9" i="6"/>
  <c r="X6" i="3"/>
  <c r="W11" i="2"/>
  <c r="M43" i="3"/>
  <c r="M44" i="3" s="1"/>
  <c r="N41" i="3"/>
  <c r="V63" i="3"/>
  <c r="Y118" i="3"/>
  <c r="Y146" i="3" s="1"/>
  <c r="Y148" i="3" s="1"/>
  <c r="W10" i="2"/>
  <c r="W14" i="6"/>
  <c r="W16" i="6" s="1"/>
  <c r="G229" i="2"/>
  <c r="K76" i="2"/>
  <c r="L76" i="2" s="1"/>
  <c r="L112" i="2"/>
  <c r="U19" i="2"/>
  <c r="U24" i="6" s="1"/>
  <c r="U11" i="2"/>
  <c r="H200" i="2"/>
  <c r="G200" i="2"/>
  <c r="F198" i="2"/>
  <c r="K77" i="2"/>
  <c r="L77" i="2" s="1"/>
  <c r="H198" i="2"/>
  <c r="G198" i="2"/>
  <c r="K257" i="2"/>
  <c r="K78" i="2"/>
  <c r="L78" i="2" s="1"/>
  <c r="H229" i="2"/>
  <c r="I198" i="2"/>
  <c r="M82" i="2"/>
  <c r="M79" i="2" s="1"/>
  <c r="I101" i="2"/>
  <c r="J101" i="2" s="1"/>
  <c r="K111" i="2"/>
  <c r="K27" i="2" s="1"/>
  <c r="K252" i="2" s="1"/>
  <c r="J292" i="2"/>
  <c r="K292" i="2"/>
  <c r="L108" i="2"/>
  <c r="H199" i="2"/>
  <c r="L149" i="2"/>
  <c r="M149" i="2" s="1"/>
  <c r="L158" i="2"/>
  <c r="X292" i="2"/>
  <c r="J89" i="2"/>
  <c r="V81" i="2"/>
  <c r="F200" i="2"/>
  <c r="Y111" i="2"/>
  <c r="Y27" i="2" s="1"/>
  <c r="I200" i="2"/>
  <c r="F229" i="2"/>
  <c r="K80" i="2"/>
  <c r="L80" i="2" s="1"/>
  <c r="H109" i="4"/>
  <c r="H75" i="4"/>
  <c r="W148" i="3"/>
  <c r="W147" i="3"/>
  <c r="E107" i="4"/>
  <c r="E73" i="4"/>
  <c r="C73" i="4"/>
  <c r="C107" i="4"/>
  <c r="J276" i="2"/>
  <c r="X265" i="2"/>
  <c r="X276" i="2" s="1"/>
  <c r="E203" i="2"/>
  <c r="F14" i="6"/>
  <c r="F19" i="2"/>
  <c r="Y46" i="2"/>
  <c r="Z46" i="2" s="1"/>
  <c r="J248" i="2"/>
  <c r="X248" i="2" s="1"/>
  <c r="P176" i="2"/>
  <c r="E92" i="4"/>
  <c r="E56" i="4"/>
  <c r="K92" i="2"/>
  <c r="J15" i="2"/>
  <c r="I81" i="2"/>
  <c r="J81" i="2" s="1"/>
  <c r="K81" i="2" s="1"/>
  <c r="L81" i="2" s="1"/>
  <c r="L19" i="6"/>
  <c r="V126" i="3"/>
  <c r="V144" i="3"/>
  <c r="V141" i="3"/>
  <c r="V140" i="3"/>
  <c r="V139" i="3"/>
  <c r="V138" i="3"/>
  <c r="V7" i="2"/>
  <c r="V11" i="6" s="1"/>
  <c r="L11" i="3"/>
  <c r="X118" i="3"/>
  <c r="X126" i="3" s="1"/>
  <c r="V142" i="3"/>
  <c r="G109" i="4"/>
  <c r="G75" i="4"/>
  <c r="Z71" i="2"/>
  <c r="Z13" i="2"/>
  <c r="L249" i="2"/>
  <c r="M132" i="2"/>
  <c r="L118" i="2"/>
  <c r="K46" i="2"/>
  <c r="K248" i="2" s="1"/>
  <c r="X84" i="2"/>
  <c r="G14" i="6"/>
  <c r="G10" i="2"/>
  <c r="G19" i="2"/>
  <c r="G11" i="2"/>
  <c r="J87" i="2"/>
  <c r="K19" i="6"/>
  <c r="X70" i="2"/>
  <c r="X71" i="2"/>
  <c r="L219" i="2"/>
  <c r="I20" i="4" s="1"/>
  <c r="K266" i="2"/>
  <c r="K215" i="2"/>
  <c r="E109" i="4"/>
  <c r="E75" i="4"/>
  <c r="K270" i="2"/>
  <c r="L141" i="2"/>
  <c r="V9" i="6"/>
  <c r="V146" i="3"/>
  <c r="V148" i="3" s="1"/>
  <c r="V4" i="2"/>
  <c r="V93" i="2" s="1"/>
  <c r="L261" i="2"/>
  <c r="M158" i="2"/>
  <c r="Y71" i="2"/>
  <c r="Y13" i="2"/>
  <c r="L164" i="2"/>
  <c r="H10" i="2"/>
  <c r="I91" i="2"/>
  <c r="J91" i="2" s="1"/>
  <c r="W24" i="6"/>
  <c r="W20" i="2"/>
  <c r="W32" i="2"/>
  <c r="W23" i="2"/>
  <c r="Z111" i="2"/>
  <c r="Z27" i="2" s="1"/>
  <c r="U36" i="6"/>
  <c r="U16" i="6"/>
  <c r="F107" i="4"/>
  <c r="F73" i="4"/>
  <c r="K27" i="3"/>
  <c r="L10" i="3"/>
  <c r="K253" i="2"/>
  <c r="L139" i="2"/>
  <c r="V143" i="3"/>
  <c r="L257" i="2"/>
  <c r="M129" i="2"/>
  <c r="Y84" i="2"/>
  <c r="Z82" i="2"/>
  <c r="Y14" i="2"/>
  <c r="S173" i="2"/>
  <c r="X94" i="2"/>
  <c r="M108" i="2"/>
  <c r="J229" i="2"/>
  <c r="J227" i="2"/>
  <c r="J225" i="2"/>
  <c r="J199" i="2"/>
  <c r="J197" i="2"/>
  <c r="J195" i="2"/>
  <c r="J228" i="2"/>
  <c r="J224" i="2"/>
  <c r="J200" i="2"/>
  <c r="J198" i="2"/>
  <c r="J196" i="2"/>
  <c r="J226" i="2"/>
  <c r="F199" i="2"/>
  <c r="J88" i="2"/>
  <c r="Z102" i="2"/>
  <c r="J16" i="2"/>
  <c r="K102" i="2"/>
  <c r="D92" i="4"/>
  <c r="D56" i="4"/>
  <c r="L125" i="2"/>
  <c r="L171" i="2"/>
  <c r="K230" i="2" s="1"/>
  <c r="M3" i="2"/>
  <c r="H147" i="3"/>
  <c r="H148" i="3"/>
  <c r="M279" i="2"/>
  <c r="N151" i="2"/>
  <c r="I22" i="6"/>
  <c r="F11" i="4"/>
  <c r="F64" i="4" s="1"/>
  <c r="F98" i="4" s="1"/>
  <c r="J97" i="2"/>
  <c r="L265" i="2"/>
  <c r="M190" i="2"/>
  <c r="L186" i="2"/>
  <c r="L107" i="2"/>
  <c r="L111" i="2" s="1"/>
  <c r="L27" i="2" s="1"/>
  <c r="L252" i="2" s="1"/>
  <c r="M112" i="2"/>
  <c r="L56" i="2"/>
  <c r="X103" i="2"/>
  <c r="X104" i="2"/>
  <c r="N285" i="2"/>
  <c r="O150" i="2"/>
  <c r="F109" i="4"/>
  <c r="F75" i="4"/>
  <c r="K260" i="2"/>
  <c r="L148" i="2"/>
  <c r="I125" i="3"/>
  <c r="I119" i="3"/>
  <c r="I146" i="3"/>
  <c r="I7" i="2"/>
  <c r="Z27" i="3"/>
  <c r="J121" i="3"/>
  <c r="J28" i="3"/>
  <c r="J5" i="6"/>
  <c r="J6" i="6" s="1"/>
  <c r="H10" i="6"/>
  <c r="G148" i="3"/>
  <c r="G147" i="3"/>
  <c r="K57" i="3"/>
  <c r="L55" i="3"/>
  <c r="L12" i="3"/>
  <c r="V62" i="3"/>
  <c r="K159" i="2"/>
  <c r="L156" i="2"/>
  <c r="N54" i="2"/>
  <c r="M55" i="2"/>
  <c r="M56" i="2" s="1"/>
  <c r="F56" i="4"/>
  <c r="F92" i="4"/>
  <c r="F6" i="4"/>
  <c r="K229" i="2"/>
  <c r="K227" i="2"/>
  <c r="K225" i="2"/>
  <c r="K228" i="2"/>
  <c r="K224" i="2"/>
  <c r="K200" i="2"/>
  <c r="K198" i="2"/>
  <c r="K196" i="2"/>
  <c r="K226" i="2"/>
  <c r="K199" i="2"/>
  <c r="K195" i="2"/>
  <c r="K197" i="2"/>
  <c r="J90" i="2"/>
  <c r="E11" i="4" l="1"/>
  <c r="E64" i="4" s="1"/>
  <c r="E98" i="4" s="1"/>
  <c r="Y147" i="3"/>
  <c r="Y15" i="2"/>
  <c r="Y20" i="6" s="1"/>
  <c r="Y7" i="2"/>
  <c r="X83" i="2"/>
  <c r="H19" i="2"/>
  <c r="H21" i="2" s="1"/>
  <c r="Z92" i="2"/>
  <c r="H14" i="6"/>
  <c r="H15" i="6" s="1"/>
  <c r="Y119" i="3"/>
  <c r="J46" i="3"/>
  <c r="K39" i="3"/>
  <c r="W36" i="6"/>
  <c r="N43" i="3"/>
  <c r="N44" i="3" s="1"/>
  <c r="O41" i="3"/>
  <c r="M81" i="2"/>
  <c r="M80" i="2"/>
  <c r="N80" i="2" s="1"/>
  <c r="M77" i="2"/>
  <c r="M76" i="2"/>
  <c r="M14" i="2"/>
  <c r="U20" i="2"/>
  <c r="N82" i="2"/>
  <c r="U32" i="2"/>
  <c r="U29" i="6" s="1"/>
  <c r="U23" i="2"/>
  <c r="W25" i="2" s="1"/>
  <c r="W21" i="2"/>
  <c r="N76" i="2"/>
  <c r="I98" i="2"/>
  <c r="M78" i="2"/>
  <c r="K201" i="2"/>
  <c r="L284" i="2"/>
  <c r="L292" i="2" s="1"/>
  <c r="K88" i="2"/>
  <c r="V83" i="2"/>
  <c r="K90" i="2"/>
  <c r="K276" i="2"/>
  <c r="K87" i="2"/>
  <c r="K101" i="2"/>
  <c r="K91" i="2"/>
  <c r="I75" i="4"/>
  <c r="I109" i="4"/>
  <c r="M171" i="2"/>
  <c r="I231" i="2" s="1"/>
  <c r="M125" i="2"/>
  <c r="N3" i="2"/>
  <c r="M164" i="2"/>
  <c r="L270" i="2"/>
  <c r="M141" i="2"/>
  <c r="G24" i="6"/>
  <c r="G23" i="2"/>
  <c r="G21" i="2"/>
  <c r="G32" i="2"/>
  <c r="G20" i="2"/>
  <c r="M265" i="2"/>
  <c r="M186" i="2"/>
  <c r="N190" i="2"/>
  <c r="L231" i="2"/>
  <c r="L229" i="2"/>
  <c r="L227" i="2"/>
  <c r="L225" i="2"/>
  <c r="L228" i="2"/>
  <c r="L224" i="2"/>
  <c r="L230" i="2"/>
  <c r="L226" i="2"/>
  <c r="L200" i="2"/>
  <c r="L196" i="2"/>
  <c r="L199" i="2"/>
  <c r="L195" i="2"/>
  <c r="L202" i="2"/>
  <c r="L198" i="2"/>
  <c r="L197" i="2"/>
  <c r="L201" i="2"/>
  <c r="I201" i="2"/>
  <c r="F201" i="2"/>
  <c r="F231" i="2"/>
  <c r="F230" i="2"/>
  <c r="H201" i="2"/>
  <c r="F202" i="2"/>
  <c r="G201" i="2"/>
  <c r="I230" i="2"/>
  <c r="H230" i="2"/>
  <c r="G230" i="2"/>
  <c r="K16" i="2"/>
  <c r="K21" i="6" s="1"/>
  <c r="L102" i="2"/>
  <c r="L101" i="2" s="1"/>
  <c r="J201" i="2"/>
  <c r="K99" i="2"/>
  <c r="M19" i="6"/>
  <c r="M12" i="3"/>
  <c r="Z5" i="6"/>
  <c r="Z28" i="3"/>
  <c r="L260" i="2"/>
  <c r="M148" i="2"/>
  <c r="N279" i="2"/>
  <c r="O151" i="2"/>
  <c r="M257" i="2"/>
  <c r="N129" i="2"/>
  <c r="W25" i="6"/>
  <c r="W24" i="2"/>
  <c r="H24" i="6"/>
  <c r="H23" i="2"/>
  <c r="H32" i="2"/>
  <c r="H20" i="2"/>
  <c r="K100" i="2"/>
  <c r="O82" i="2"/>
  <c r="O76" i="2" s="1"/>
  <c r="N14" i="2"/>
  <c r="G16" i="6"/>
  <c r="G36" i="6"/>
  <c r="M249" i="2"/>
  <c r="N132" i="2"/>
  <c r="M11" i="3"/>
  <c r="U25" i="6"/>
  <c r="U37" i="6" s="1"/>
  <c r="N81" i="2"/>
  <c r="O81" i="2" s="1"/>
  <c r="F24" i="6"/>
  <c r="F23" i="2"/>
  <c r="F32" i="2"/>
  <c r="Q176" i="2"/>
  <c r="N55" i="2"/>
  <c r="N56" i="2" s="1"/>
  <c r="O54" i="2"/>
  <c r="M55" i="3"/>
  <c r="L57" i="3"/>
  <c r="J21" i="6"/>
  <c r="Y19" i="6"/>
  <c r="L27" i="3"/>
  <c r="M10" i="3"/>
  <c r="W29" i="6"/>
  <c r="W35" i="2"/>
  <c r="V9" i="2"/>
  <c r="X5" i="2"/>
  <c r="V103" i="2"/>
  <c r="V70" i="2"/>
  <c r="J20" i="6"/>
  <c r="J181" i="2"/>
  <c r="N78" i="2"/>
  <c r="X119" i="3"/>
  <c r="X7" i="2"/>
  <c r="X146" i="3"/>
  <c r="X125" i="3"/>
  <c r="K58" i="3"/>
  <c r="M107" i="2"/>
  <c r="M111" i="2" s="1"/>
  <c r="M27" i="2" s="1"/>
  <c r="M252" i="2" s="1"/>
  <c r="N112" i="2"/>
  <c r="M284" i="2"/>
  <c r="M292" i="2" s="1"/>
  <c r="N149" i="2"/>
  <c r="N108" i="2"/>
  <c r="Z84" i="2"/>
  <c r="Z14" i="2"/>
  <c r="Z19" i="6" s="1"/>
  <c r="K5" i="6"/>
  <c r="K6" i="6" s="1"/>
  <c r="K121" i="3"/>
  <c r="K28" i="3"/>
  <c r="Y11" i="6"/>
  <c r="Y9" i="2"/>
  <c r="N77" i="2"/>
  <c r="Z94" i="2"/>
  <c r="Z15" i="2"/>
  <c r="Z20" i="6" s="1"/>
  <c r="H202" i="2"/>
  <c r="M139" i="2"/>
  <c r="L253" i="2"/>
  <c r="M261" i="2"/>
  <c r="N158" i="2"/>
  <c r="M219" i="2"/>
  <c r="J20" i="4" s="1"/>
  <c r="L266" i="2"/>
  <c r="L215" i="2"/>
  <c r="M118" i="2"/>
  <c r="L46" i="2"/>
  <c r="L248" i="2" s="1"/>
  <c r="L159" i="2"/>
  <c r="M156" i="2"/>
  <c r="I11" i="6"/>
  <c r="I179" i="2"/>
  <c r="I176" i="2"/>
  <c r="I9" i="2"/>
  <c r="O285" i="2"/>
  <c r="P150" i="2"/>
  <c r="Z104" i="2"/>
  <c r="Z16" i="2"/>
  <c r="Z21" i="6" s="1"/>
  <c r="J162" i="3"/>
  <c r="Z162" i="3" s="1"/>
  <c r="I148" i="3"/>
  <c r="I147" i="3"/>
  <c r="J22" i="6"/>
  <c r="K97" i="2"/>
  <c r="J98" i="2"/>
  <c r="J230" i="2"/>
  <c r="H36" i="6"/>
  <c r="H16" i="6"/>
  <c r="N79" i="2"/>
  <c r="L92" i="2"/>
  <c r="L87" i="2" s="1"/>
  <c r="K15" i="2"/>
  <c r="K89" i="2"/>
  <c r="E204" i="2"/>
  <c r="U35" i="2" l="1"/>
  <c r="U24" i="2"/>
  <c r="K46" i="3"/>
  <c r="L39" i="3"/>
  <c r="J33" i="3"/>
  <c r="J48" i="3" s="1"/>
  <c r="O43" i="3"/>
  <c r="O44" i="3" s="1"/>
  <c r="P41" i="3"/>
  <c r="L88" i="2"/>
  <c r="L89" i="2"/>
  <c r="G202" i="2"/>
  <c r="O79" i="2"/>
  <c r="L276" i="2"/>
  <c r="L100" i="2"/>
  <c r="G231" i="2"/>
  <c r="H231" i="2"/>
  <c r="J231" i="2"/>
  <c r="O78" i="2"/>
  <c r="J202" i="2"/>
  <c r="L99" i="2"/>
  <c r="O77" i="2"/>
  <c r="O80" i="2"/>
  <c r="J109" i="4"/>
  <c r="J75" i="4"/>
  <c r="O158" i="2"/>
  <c r="N261" i="2"/>
  <c r="R176" i="2"/>
  <c r="E205" i="2"/>
  <c r="Z165" i="3"/>
  <c r="Z121" i="3"/>
  <c r="M46" i="2"/>
  <c r="M248" i="2" s="1"/>
  <c r="N118" i="2"/>
  <c r="V14" i="6"/>
  <c r="V11" i="2"/>
  <c r="V19" i="2"/>
  <c r="L58" i="3"/>
  <c r="U31" i="6"/>
  <c r="U244" i="2"/>
  <c r="U262" i="2" s="1"/>
  <c r="U294" i="2" s="1"/>
  <c r="U37" i="2"/>
  <c r="U50" i="2"/>
  <c r="M270" i="2"/>
  <c r="N141" i="2"/>
  <c r="N242" i="2"/>
  <c r="N171" i="2"/>
  <c r="M203" i="2" s="1"/>
  <c r="N125" i="2"/>
  <c r="O3" i="2"/>
  <c r="N284" i="2"/>
  <c r="N292" i="2" s="1"/>
  <c r="O149" i="2"/>
  <c r="O108" i="2"/>
  <c r="H29" i="6"/>
  <c r="H35" i="2"/>
  <c r="H116" i="2"/>
  <c r="W27" i="6"/>
  <c r="W26" i="6"/>
  <c r="W37" i="6"/>
  <c r="O190" i="2"/>
  <c r="N265" i="2"/>
  <c r="N186" i="2"/>
  <c r="K22" i="6"/>
  <c r="L97" i="2"/>
  <c r="P285" i="2"/>
  <c r="Q150" i="2"/>
  <c r="W31" i="6"/>
  <c r="W244" i="2"/>
  <c r="W262" i="2" s="1"/>
  <c r="W294" i="2" s="1"/>
  <c r="W37" i="2"/>
  <c r="W50" i="2"/>
  <c r="N55" i="3"/>
  <c r="M57" i="3"/>
  <c r="K20" i="6"/>
  <c r="K181" i="2"/>
  <c r="M159" i="2"/>
  <c r="N156" i="2"/>
  <c r="M253" i="2"/>
  <c r="N139" i="2"/>
  <c r="X148" i="3"/>
  <c r="X147" i="3"/>
  <c r="P54" i="2"/>
  <c r="O55" i="2"/>
  <c r="O56" i="2" s="1"/>
  <c r="F29" i="6"/>
  <c r="F35" i="2"/>
  <c r="F116" i="2"/>
  <c r="N11" i="3"/>
  <c r="N19" i="6"/>
  <c r="N257" i="2"/>
  <c r="O129" i="2"/>
  <c r="M260" i="2"/>
  <c r="N148" i="2"/>
  <c r="M102" i="2"/>
  <c r="L16" i="2"/>
  <c r="L21" i="6" s="1"/>
  <c r="G29" i="6"/>
  <c r="G35" i="2"/>
  <c r="G116" i="2"/>
  <c r="M230" i="2"/>
  <c r="M228" i="2"/>
  <c r="M226" i="2"/>
  <c r="M224" i="2"/>
  <c r="M202" i="2"/>
  <c r="M200" i="2"/>
  <c r="M198" i="2"/>
  <c r="M196" i="2"/>
  <c r="M231" i="2"/>
  <c r="M227" i="2"/>
  <c r="M201" i="2"/>
  <c r="M199" i="2"/>
  <c r="M197" i="2"/>
  <c r="M195" i="2"/>
  <c r="M229" i="2"/>
  <c r="M225" i="2"/>
  <c r="K231" i="2"/>
  <c r="K202" i="2"/>
  <c r="I202" i="2"/>
  <c r="H25" i="6"/>
  <c r="E13" i="4"/>
  <c r="H25" i="2"/>
  <c r="H24" i="2"/>
  <c r="O279" i="2"/>
  <c r="P151" i="2"/>
  <c r="N12" i="3"/>
  <c r="K98" i="2"/>
  <c r="N164" i="2"/>
  <c r="L5" i="6"/>
  <c r="L6" i="6" s="1"/>
  <c r="L121" i="3"/>
  <c r="L162" i="3" s="1"/>
  <c r="L28" i="3"/>
  <c r="I14" i="6"/>
  <c r="I10" i="2"/>
  <c r="I11" i="2"/>
  <c r="I19" i="2"/>
  <c r="M88" i="2"/>
  <c r="K162" i="3"/>
  <c r="O112" i="2"/>
  <c r="N107" i="2"/>
  <c r="N111" i="2" s="1"/>
  <c r="N27" i="2" s="1"/>
  <c r="N252" i="2" s="1"/>
  <c r="X11" i="6"/>
  <c r="X9" i="2"/>
  <c r="F25" i="6"/>
  <c r="C13" i="4"/>
  <c r="P82" i="2"/>
  <c r="P76" i="2" s="1"/>
  <c r="O14" i="2"/>
  <c r="M92" i="2"/>
  <c r="M87" i="2" s="1"/>
  <c r="L15" i="2"/>
  <c r="L90" i="2"/>
  <c r="M90" i="2" s="1"/>
  <c r="M266" i="2"/>
  <c r="M276" i="2" s="1"/>
  <c r="M215" i="2"/>
  <c r="N219" i="2"/>
  <c r="K20" i="4" s="1"/>
  <c r="Y14" i="6"/>
  <c r="Y19" i="2"/>
  <c r="Y11" i="2"/>
  <c r="Y10" i="2"/>
  <c r="N10" i="3"/>
  <c r="M27" i="3"/>
  <c r="O132" i="2"/>
  <c r="N249" i="2"/>
  <c r="L91" i="2"/>
  <c r="G25" i="6"/>
  <c r="D13" i="4"/>
  <c r="G25" i="2"/>
  <c r="G24" i="2"/>
  <c r="J59" i="3" l="1"/>
  <c r="J34" i="3"/>
  <c r="J35" i="3"/>
  <c r="M39" i="3"/>
  <c r="L46" i="3"/>
  <c r="K33" i="3"/>
  <c r="K47" i="3"/>
  <c r="Q41" i="3"/>
  <c r="P43" i="3"/>
  <c r="P44" i="3" s="1"/>
  <c r="L98" i="2"/>
  <c r="M232" i="2"/>
  <c r="M91" i="2"/>
  <c r="M89" i="2"/>
  <c r="M99" i="2"/>
  <c r="O249" i="2"/>
  <c r="P132" i="2"/>
  <c r="F31" i="6"/>
  <c r="F244" i="2"/>
  <c r="F262" i="2" s="1"/>
  <c r="F294" i="2" s="1"/>
  <c r="F297" i="2" s="1"/>
  <c r="F50" i="2"/>
  <c r="F122" i="2"/>
  <c r="F37" i="2"/>
  <c r="F40" i="2" s="1"/>
  <c r="F39" i="2"/>
  <c r="M58" i="3"/>
  <c r="O261" i="2"/>
  <c r="P158" i="2"/>
  <c r="O19" i="6"/>
  <c r="M100" i="2"/>
  <c r="O12" i="3"/>
  <c r="E15" i="4"/>
  <c r="E16" i="4" s="1"/>
  <c r="E17" i="4" s="1"/>
  <c r="E21" i="4" s="1"/>
  <c r="E14" i="4"/>
  <c r="O55" i="3"/>
  <c r="N57" i="3"/>
  <c r="O265" i="2"/>
  <c r="O186" i="2"/>
  <c r="P190" i="2"/>
  <c r="O284" i="2"/>
  <c r="O292" i="2" s="1"/>
  <c r="P108" i="2"/>
  <c r="P149" i="2"/>
  <c r="N270" i="2"/>
  <c r="O141" i="2"/>
  <c r="V24" i="6"/>
  <c r="V32" i="2"/>
  <c r="V20" i="2"/>
  <c r="V23" i="2"/>
  <c r="S176" i="2"/>
  <c r="O156" i="2"/>
  <c r="N159" i="2"/>
  <c r="W32" i="6"/>
  <c r="W52" i="2"/>
  <c r="W60" i="2"/>
  <c r="W51" i="2"/>
  <c r="W61" i="2"/>
  <c r="L22" i="6"/>
  <c r="M97" i="2"/>
  <c r="K75" i="4"/>
  <c r="K109" i="4"/>
  <c r="X14" i="6"/>
  <c r="X10" i="2"/>
  <c r="X19" i="2"/>
  <c r="X11" i="2"/>
  <c r="Y24" i="6"/>
  <c r="Y23" i="2"/>
  <c r="Y32" i="2"/>
  <c r="Y20" i="2"/>
  <c r="Y21" i="2"/>
  <c r="M5" i="6"/>
  <c r="M6" i="6" s="1"/>
  <c r="M121" i="3"/>
  <c r="M28" i="3"/>
  <c r="Y16" i="6"/>
  <c r="Y36" i="6"/>
  <c r="Q82" i="2"/>
  <c r="P14" i="2"/>
  <c r="P112" i="2"/>
  <c r="O107" i="2"/>
  <c r="O111" i="2" s="1"/>
  <c r="O27" i="2" s="1"/>
  <c r="O252" i="2" s="1"/>
  <c r="P79" i="2"/>
  <c r="Q151" i="2"/>
  <c r="P279" i="2"/>
  <c r="G31" i="6"/>
  <c r="G244" i="2"/>
  <c r="G262" i="2" s="1"/>
  <c r="G294" i="2" s="1"/>
  <c r="G122" i="2"/>
  <c r="G50" i="2"/>
  <c r="G39" i="2"/>
  <c r="G37" i="2"/>
  <c r="G40" i="2" s="1"/>
  <c r="N260" i="2"/>
  <c r="O148" i="2"/>
  <c r="O11" i="3"/>
  <c r="P55" i="2"/>
  <c r="P56" i="2" s="1"/>
  <c r="Q54" i="2"/>
  <c r="H31" i="6"/>
  <c r="H244" i="2"/>
  <c r="H262" i="2" s="1"/>
  <c r="H294" i="2" s="1"/>
  <c r="H39" i="2"/>
  <c r="H122" i="2"/>
  <c r="H37" i="2"/>
  <c r="H50" i="2"/>
  <c r="O125" i="2"/>
  <c r="O242" i="2"/>
  <c r="O171" i="2"/>
  <c r="F233" i="2" s="1"/>
  <c r="P3" i="2"/>
  <c r="V36" i="6"/>
  <c r="V16" i="6"/>
  <c r="E206" i="2"/>
  <c r="P81" i="2"/>
  <c r="Q81" i="2" s="1"/>
  <c r="U32" i="6"/>
  <c r="U38" i="6" s="1"/>
  <c r="U51" i="2"/>
  <c r="U61" i="2"/>
  <c r="U60" i="2"/>
  <c r="N102" i="2"/>
  <c r="M16" i="2"/>
  <c r="M21" i="6" s="1"/>
  <c r="N253" i="2"/>
  <c r="O139" i="2"/>
  <c r="Q285" i="2"/>
  <c r="R150" i="2"/>
  <c r="I24" i="6"/>
  <c r="I32" i="2"/>
  <c r="I20" i="2"/>
  <c r="I21" i="2"/>
  <c r="I23" i="2"/>
  <c r="H37" i="6"/>
  <c r="H27" i="6"/>
  <c r="H26" i="6"/>
  <c r="D15" i="4"/>
  <c r="D16" i="4" s="1"/>
  <c r="D17" i="4" s="1"/>
  <c r="D21" i="4" s="1"/>
  <c r="D14" i="4"/>
  <c r="M101" i="2"/>
  <c r="L20" i="6"/>
  <c r="L181" i="2"/>
  <c r="C15" i="4"/>
  <c r="C16" i="4" s="1"/>
  <c r="C17" i="4" s="1"/>
  <c r="C21" i="4" s="1"/>
  <c r="O164" i="2"/>
  <c r="G26" i="6"/>
  <c r="G37" i="6"/>
  <c r="G27" i="6"/>
  <c r="O10" i="3"/>
  <c r="N27" i="3"/>
  <c r="N215" i="2"/>
  <c r="N266" i="2"/>
  <c r="O219" i="2"/>
  <c r="L20" i="4" s="1"/>
  <c r="N92" i="2"/>
  <c r="N89" i="2" s="1"/>
  <c r="M15" i="2"/>
  <c r="P77" i="2"/>
  <c r="I36" i="6"/>
  <c r="I15" i="6"/>
  <c r="I16" i="6"/>
  <c r="O257" i="2"/>
  <c r="P129" i="2"/>
  <c r="P78" i="2"/>
  <c r="P80" i="2"/>
  <c r="N232" i="2"/>
  <c r="N230" i="2"/>
  <c r="N228" i="2"/>
  <c r="N226" i="2"/>
  <c r="N224" i="2"/>
  <c r="N231" i="2"/>
  <c r="N227" i="2"/>
  <c r="N203" i="2"/>
  <c r="N201" i="2"/>
  <c r="N199" i="2"/>
  <c r="N197" i="2"/>
  <c r="N195" i="2"/>
  <c r="N229" i="2"/>
  <c r="N225" i="2"/>
  <c r="N202" i="2"/>
  <c r="N198" i="2"/>
  <c r="N200" i="2"/>
  <c r="N196" i="2"/>
  <c r="H203" i="2"/>
  <c r="K203" i="2"/>
  <c r="K233" i="2"/>
  <c r="L203" i="2"/>
  <c r="F232" i="2"/>
  <c r="G203" i="2"/>
  <c r="K232" i="2"/>
  <c r="I203" i="2"/>
  <c r="L232" i="2"/>
  <c r="G232" i="2"/>
  <c r="J232" i="2"/>
  <c r="H233" i="2"/>
  <c r="H232" i="2"/>
  <c r="J203" i="2"/>
  <c r="I232" i="2"/>
  <c r="F203" i="2"/>
  <c r="O118" i="2"/>
  <c r="N46" i="2"/>
  <c r="N248" i="2" s="1"/>
  <c r="N39" i="3" l="1"/>
  <c r="M46" i="3"/>
  <c r="M33" i="3" s="1"/>
  <c r="J29" i="3"/>
  <c r="J36" i="3"/>
  <c r="K48" i="3"/>
  <c r="K59" i="3"/>
  <c r="K35" i="3"/>
  <c r="K34" i="3"/>
  <c r="L33" i="3"/>
  <c r="L47" i="3"/>
  <c r="Q43" i="3"/>
  <c r="Q44" i="3" s="1"/>
  <c r="R41" i="3"/>
  <c r="J233" i="2"/>
  <c r="I233" i="2"/>
  <c r="N88" i="2"/>
  <c r="N100" i="2"/>
  <c r="G233" i="2"/>
  <c r="N204" i="2"/>
  <c r="N233" i="2"/>
  <c r="N101" i="2"/>
  <c r="G204" i="2"/>
  <c r="N276" i="2"/>
  <c r="Q80" i="2"/>
  <c r="Q78" i="2"/>
  <c r="Q77" i="2"/>
  <c r="Q79" i="2"/>
  <c r="L233" i="2"/>
  <c r="D23" i="4"/>
  <c r="D22" i="4"/>
  <c r="E23" i="4"/>
  <c r="E22" i="4"/>
  <c r="C23" i="4"/>
  <c r="C22" i="4"/>
  <c r="L109" i="4"/>
  <c r="L75" i="4"/>
  <c r="P242" i="2"/>
  <c r="P171" i="2"/>
  <c r="O205" i="2" s="1"/>
  <c r="P125" i="2"/>
  <c r="Q3" i="2"/>
  <c r="P19" i="6"/>
  <c r="Y25" i="6"/>
  <c r="Y25" i="2"/>
  <c r="Y24" i="2"/>
  <c r="X16" i="6"/>
  <c r="X36" i="6"/>
  <c r="M22" i="6"/>
  <c r="N97" i="2"/>
  <c r="O270" i="2"/>
  <c r="P141" i="2"/>
  <c r="P257" i="2"/>
  <c r="Q129" i="2"/>
  <c r="O102" i="2"/>
  <c r="O101" i="2" s="1"/>
  <c r="N16" i="2"/>
  <c r="N21" i="6" s="1"/>
  <c r="E207" i="2"/>
  <c r="O234" i="2"/>
  <c r="O232" i="2"/>
  <c r="O230" i="2"/>
  <c r="O228" i="2"/>
  <c r="O226" i="2"/>
  <c r="O224" i="2"/>
  <c r="O231" i="2"/>
  <c r="O227" i="2"/>
  <c r="O233" i="2"/>
  <c r="O229" i="2"/>
  <c r="O225" i="2"/>
  <c r="O203" i="2"/>
  <c r="O199" i="2"/>
  <c r="O202" i="2"/>
  <c r="O198" i="2"/>
  <c r="O195" i="2"/>
  <c r="O201" i="2"/>
  <c r="O197" i="2"/>
  <c r="O200" i="2"/>
  <c r="O196" i="2"/>
  <c r="O204" i="2"/>
  <c r="M204" i="2"/>
  <c r="J204" i="2"/>
  <c r="M233" i="2"/>
  <c r="K204" i="2"/>
  <c r="L204" i="2"/>
  <c r="H204" i="2"/>
  <c r="F204" i="2"/>
  <c r="K234" i="2"/>
  <c r="I204" i="2"/>
  <c r="R82" i="2"/>
  <c r="Q14" i="2"/>
  <c r="W34" i="6"/>
  <c r="W38" i="6"/>
  <c r="W33" i="6"/>
  <c r="P261" i="2"/>
  <c r="Q158" i="2"/>
  <c r="P249" i="2"/>
  <c r="Q132" i="2"/>
  <c r="M20" i="6"/>
  <c r="M181" i="2"/>
  <c r="N5" i="6"/>
  <c r="N6" i="6" s="1"/>
  <c r="N121" i="3"/>
  <c r="N162" i="3" s="1"/>
  <c r="N28" i="3"/>
  <c r="O253" i="2"/>
  <c r="P139" i="2"/>
  <c r="P11" i="3"/>
  <c r="G32" i="6"/>
  <c r="G60" i="2"/>
  <c r="G61" i="2"/>
  <c r="G51" i="2"/>
  <c r="G52" i="2"/>
  <c r="Q279" i="2"/>
  <c r="R151" i="2"/>
  <c r="V25" i="6"/>
  <c r="V37" i="6" s="1"/>
  <c r="V24" i="2"/>
  <c r="P284" i="2"/>
  <c r="P292" i="2" s="1"/>
  <c r="Q149" i="2"/>
  <c r="Q108" i="2"/>
  <c r="P12" i="3"/>
  <c r="H123" i="2"/>
  <c r="F123" i="2"/>
  <c r="G123" i="2"/>
  <c r="I29" i="6"/>
  <c r="I116" i="2"/>
  <c r="I35" i="2"/>
  <c r="M162" i="3"/>
  <c r="M35" i="3"/>
  <c r="M34" i="3"/>
  <c r="O159" i="2"/>
  <c r="P156" i="2"/>
  <c r="N58" i="3"/>
  <c r="F32" i="6"/>
  <c r="F61" i="2"/>
  <c r="F60" i="2"/>
  <c r="Q76" i="2"/>
  <c r="O92" i="2"/>
  <c r="O88" i="2" s="1"/>
  <c r="N15" i="2"/>
  <c r="O27" i="3"/>
  <c r="P10" i="3"/>
  <c r="R81" i="2"/>
  <c r="H32" i="6"/>
  <c r="H52" i="2"/>
  <c r="H51" i="2"/>
  <c r="H61" i="2"/>
  <c r="H60" i="2"/>
  <c r="P148" i="2"/>
  <c r="O260" i="2"/>
  <c r="X24" i="6"/>
  <c r="X21" i="2"/>
  <c r="X32" i="2"/>
  <c r="X23" i="2"/>
  <c r="X20" i="2"/>
  <c r="V29" i="6"/>
  <c r="V35" i="2"/>
  <c r="O57" i="3"/>
  <c r="O58" i="3" s="1"/>
  <c r="P55" i="3"/>
  <c r="M59" i="3"/>
  <c r="G295" i="2"/>
  <c r="G297" i="2" s="1"/>
  <c r="N99" i="2"/>
  <c r="R285" i="2"/>
  <c r="S150" i="2"/>
  <c r="S285" i="2" s="1"/>
  <c r="Q55" i="2"/>
  <c r="Q56" i="2" s="1"/>
  <c r="R54" i="2"/>
  <c r="P118" i="2"/>
  <c r="O46" i="2"/>
  <c r="O248" i="2" s="1"/>
  <c r="M98" i="2"/>
  <c r="O215" i="2"/>
  <c r="O266" i="2"/>
  <c r="O276" i="2" s="1"/>
  <c r="P219" i="2"/>
  <c r="P164" i="2"/>
  <c r="F13" i="4"/>
  <c r="I25" i="6"/>
  <c r="I25" i="2"/>
  <c r="I24" i="2"/>
  <c r="N90" i="2"/>
  <c r="V37" i="2"/>
  <c r="H40" i="2"/>
  <c r="P107" i="2"/>
  <c r="P111" i="2" s="1"/>
  <c r="P27" i="2" s="1"/>
  <c r="P252" i="2" s="1"/>
  <c r="Q112" i="2"/>
  <c r="N91" i="2"/>
  <c r="Y29" i="6"/>
  <c r="Y35" i="2"/>
  <c r="P265" i="2"/>
  <c r="Q190" i="2"/>
  <c r="P186" i="2"/>
  <c r="N87" i="2"/>
  <c r="L34" i="3" l="1"/>
  <c r="L59" i="3"/>
  <c r="L35" i="3"/>
  <c r="M36" i="3" s="1"/>
  <c r="L48" i="3"/>
  <c r="J9" i="3"/>
  <c r="J5" i="3"/>
  <c r="J63" i="3" s="1"/>
  <c r="J122" i="3"/>
  <c r="J7" i="6"/>
  <c r="J8" i="6" s="1"/>
  <c r="J30" i="3"/>
  <c r="Z29" i="3"/>
  <c r="K29" i="3"/>
  <c r="K36" i="3"/>
  <c r="N46" i="3"/>
  <c r="N33" i="3" s="1"/>
  <c r="O39" i="3"/>
  <c r="R43" i="3"/>
  <c r="R44" i="3" s="1"/>
  <c r="S41" i="3"/>
  <c r="S43" i="3" s="1"/>
  <c r="O91" i="2"/>
  <c r="H205" i="2"/>
  <c r="M234" i="2"/>
  <c r="O90" i="2"/>
  <c r="M205" i="2"/>
  <c r="O99" i="2"/>
  <c r="O87" i="2"/>
  <c r="P57" i="3"/>
  <c r="P58" i="3" s="1"/>
  <c r="Q55" i="3"/>
  <c r="M29" i="3"/>
  <c r="R14" i="2"/>
  <c r="S82" i="2"/>
  <c r="R129" i="2"/>
  <c r="Q257" i="2"/>
  <c r="E78" i="4"/>
  <c r="E112" i="4"/>
  <c r="S54" i="2"/>
  <c r="S55" i="2" s="1"/>
  <c r="R55" i="2"/>
  <c r="R56" i="2" s="1"/>
  <c r="O15" i="2"/>
  <c r="P92" i="2"/>
  <c r="Q12" i="3"/>
  <c r="Q249" i="2"/>
  <c r="R132" i="2"/>
  <c r="N98" i="2"/>
  <c r="N22" i="6"/>
  <c r="O97" i="2"/>
  <c r="I31" i="6"/>
  <c r="I244" i="2"/>
  <c r="I262" i="2" s="1"/>
  <c r="I294" i="2" s="1"/>
  <c r="I50" i="2"/>
  <c r="I39" i="2"/>
  <c r="J39" i="2" s="1"/>
  <c r="I37" i="2"/>
  <c r="I122" i="2"/>
  <c r="E208" i="2"/>
  <c r="O89" i="2"/>
  <c r="P89" i="2" s="1"/>
  <c r="Y37" i="6"/>
  <c r="Y26" i="6"/>
  <c r="Y27" i="6"/>
  <c r="Q242" i="2"/>
  <c r="Q171" i="2"/>
  <c r="P206" i="2" s="1"/>
  <c r="Q125" i="2"/>
  <c r="R3" i="2"/>
  <c r="Q265" i="2"/>
  <c r="Q186" i="2"/>
  <c r="R190" i="2"/>
  <c r="Q219" i="2"/>
  <c r="P266" i="2"/>
  <c r="P215" i="2"/>
  <c r="O5" i="6"/>
  <c r="O6" i="6" s="1"/>
  <c r="O121" i="3"/>
  <c r="O28" i="3"/>
  <c r="P102" i="2"/>
  <c r="O16" i="2"/>
  <c r="O21" i="6" s="1"/>
  <c r="O100" i="2"/>
  <c r="P100" i="2" s="1"/>
  <c r="C112" i="4"/>
  <c r="C78" i="4"/>
  <c r="Y31" i="6"/>
  <c r="Y50" i="2"/>
  <c r="Q164" i="2"/>
  <c r="X29" i="6"/>
  <c r="X35" i="2"/>
  <c r="V31" i="6"/>
  <c r="V244" i="2"/>
  <c r="V262" i="2" s="1"/>
  <c r="V294" i="2" s="1"/>
  <c r="V50" i="2"/>
  <c r="R112" i="2"/>
  <c r="Q107" i="2"/>
  <c r="Q111" i="2" s="1"/>
  <c r="Q27" i="2" s="1"/>
  <c r="Q252" i="2" s="1"/>
  <c r="Q156" i="2"/>
  <c r="P159" i="2"/>
  <c r="Q139" i="2"/>
  <c r="P253" i="2"/>
  <c r="M20" i="4"/>
  <c r="I37" i="6"/>
  <c r="I27" i="6"/>
  <c r="I26" i="6"/>
  <c r="Q118" i="2"/>
  <c r="P46" i="2"/>
  <c r="P248" i="2" s="1"/>
  <c r="Q148" i="2"/>
  <c r="P260" i="2"/>
  <c r="R79" i="2"/>
  <c r="R78" i="2"/>
  <c r="Q284" i="2"/>
  <c r="Q292" i="2" s="1"/>
  <c r="R149" i="2"/>
  <c r="R108" i="2"/>
  <c r="S151" i="2"/>
  <c r="S279" i="2" s="1"/>
  <c r="R279" i="2"/>
  <c r="G38" i="6"/>
  <c r="G33" i="6"/>
  <c r="G34" i="6"/>
  <c r="Q19" i="6"/>
  <c r="P270" i="2"/>
  <c r="Q141" i="2"/>
  <c r="P205" i="2"/>
  <c r="P233" i="2"/>
  <c r="P231" i="2"/>
  <c r="P229" i="2"/>
  <c r="P227" i="2"/>
  <c r="P225" i="2"/>
  <c r="P224" i="2"/>
  <c r="P203" i="2"/>
  <c r="P201" i="2"/>
  <c r="P199" i="2"/>
  <c r="P197" i="2"/>
  <c r="P195" i="2"/>
  <c r="P234" i="2"/>
  <c r="P230" i="2"/>
  <c r="P226" i="2"/>
  <c r="P204" i="2"/>
  <c r="P202" i="2"/>
  <c r="P200" i="2"/>
  <c r="P198" i="2"/>
  <c r="P196" i="2"/>
  <c r="P228" i="2"/>
  <c r="P232" i="2"/>
  <c r="I234" i="2"/>
  <c r="H234" i="2"/>
  <c r="N205" i="2"/>
  <c r="G234" i="2"/>
  <c r="G205" i="2"/>
  <c r="F235" i="2"/>
  <c r="I205" i="2"/>
  <c r="J205" i="2"/>
  <c r="L234" i="2"/>
  <c r="J234" i="2"/>
  <c r="K205" i="2"/>
  <c r="N234" i="2"/>
  <c r="F234" i="2"/>
  <c r="G235" i="2"/>
  <c r="F205" i="2"/>
  <c r="L205" i="2"/>
  <c r="D112" i="4"/>
  <c r="D78" i="4"/>
  <c r="H295" i="2"/>
  <c r="H297" i="2" s="1"/>
  <c r="U295" i="2"/>
  <c r="U297" i="2" s="1"/>
  <c r="P27" i="3"/>
  <c r="Q10" i="3"/>
  <c r="H34" i="6"/>
  <c r="H38" i="6"/>
  <c r="H33" i="6"/>
  <c r="R76" i="2"/>
  <c r="Q261" i="2"/>
  <c r="R158" i="2"/>
  <c r="F15" i="4"/>
  <c r="F16" i="4" s="1"/>
  <c r="F17" i="4" s="1"/>
  <c r="F21" i="4" s="1"/>
  <c r="F14" i="4"/>
  <c r="R80" i="2"/>
  <c r="X25" i="6"/>
  <c r="X24" i="2"/>
  <c r="X25" i="2"/>
  <c r="N20" i="6"/>
  <c r="N181" i="2"/>
  <c r="Q11" i="3"/>
  <c r="R77" i="2"/>
  <c r="S44" i="3" l="1"/>
  <c r="J21" i="3"/>
  <c r="J15" i="3"/>
  <c r="G7" i="4"/>
  <c r="Z7" i="6"/>
  <c r="Z30" i="3"/>
  <c r="Z5" i="3"/>
  <c r="Z63" i="3" s="1"/>
  <c r="K7" i="6"/>
  <c r="K8" i="6" s="1"/>
  <c r="K5" i="3"/>
  <c r="D14" i="5"/>
  <c r="K163" i="3"/>
  <c r="K30" i="3"/>
  <c r="K122" i="3"/>
  <c r="K118" i="3" s="1"/>
  <c r="K125" i="3" s="1"/>
  <c r="K9" i="3"/>
  <c r="O46" i="3"/>
  <c r="O33" i="3" s="1"/>
  <c r="P39" i="3"/>
  <c r="L36" i="3"/>
  <c r="L29" i="3"/>
  <c r="M30" i="3" s="1"/>
  <c r="N34" i="3"/>
  <c r="N59" i="3"/>
  <c r="N35" i="3"/>
  <c r="J4" i="2"/>
  <c r="J24" i="3"/>
  <c r="J9" i="6"/>
  <c r="J10" i="6" s="1"/>
  <c r="J22" i="3"/>
  <c r="J23" i="3"/>
  <c r="J62" i="3"/>
  <c r="J6" i="3"/>
  <c r="J146" i="3"/>
  <c r="J163" i="3"/>
  <c r="Z163" i="3" s="1"/>
  <c r="J118" i="3"/>
  <c r="J126" i="3" s="1"/>
  <c r="P90" i="2"/>
  <c r="P87" i="2"/>
  <c r="S79" i="2"/>
  <c r="S80" i="2"/>
  <c r="P276" i="2"/>
  <c r="N235" i="2"/>
  <c r="H235" i="2"/>
  <c r="P88" i="2"/>
  <c r="S77" i="2"/>
  <c r="S76" i="2"/>
  <c r="P91" i="2"/>
  <c r="I235" i="2"/>
  <c r="O98" i="2"/>
  <c r="N206" i="2"/>
  <c r="S78" i="2"/>
  <c r="F22" i="4"/>
  <c r="F23" i="4"/>
  <c r="Q260" i="2"/>
  <c r="R148" i="2"/>
  <c r="K119" i="3"/>
  <c r="K7" i="2"/>
  <c r="R219" i="2"/>
  <c r="O20" i="4" s="1"/>
  <c r="Q266" i="2"/>
  <c r="Q215" i="2"/>
  <c r="R242" i="2"/>
  <c r="R125" i="2"/>
  <c r="S3" i="2"/>
  <c r="R171" i="2"/>
  <c r="F207" i="2" s="1"/>
  <c r="I32" i="6"/>
  <c r="I61" i="2"/>
  <c r="I51" i="2"/>
  <c r="I60" i="2"/>
  <c r="I52" i="2"/>
  <c r="O20" i="6"/>
  <c r="O181" i="2"/>
  <c r="M7" i="6"/>
  <c r="M9" i="3"/>
  <c r="M122" i="3"/>
  <c r="M163" i="3" s="1"/>
  <c r="M5" i="3"/>
  <c r="Q270" i="2"/>
  <c r="Q276" i="2" s="1"/>
  <c r="R141" i="2"/>
  <c r="R284" i="2"/>
  <c r="S149" i="2"/>
  <c r="S284" i="2" s="1"/>
  <c r="S108" i="2"/>
  <c r="K126" i="3"/>
  <c r="R164" i="2"/>
  <c r="Q102" i="2"/>
  <c r="Q100" i="2" s="1"/>
  <c r="P16" i="2"/>
  <c r="P21" i="6" s="1"/>
  <c r="R265" i="2"/>
  <c r="S190" i="2"/>
  <c r="R186" i="2"/>
  <c r="Q46" i="2"/>
  <c r="Q248" i="2" s="1"/>
  <c r="R118" i="2"/>
  <c r="M109" i="4"/>
  <c r="M75" i="4"/>
  <c r="Q207" i="2"/>
  <c r="Q235" i="2"/>
  <c r="Q233" i="2"/>
  <c r="Q231" i="2"/>
  <c r="Q229" i="2"/>
  <c r="Q227" i="2"/>
  <c r="Q225" i="2"/>
  <c r="Q205" i="2"/>
  <c r="Q234" i="2"/>
  <c r="Q230" i="2"/>
  <c r="Q226" i="2"/>
  <c r="Q204" i="2"/>
  <c r="Q202" i="2"/>
  <c r="Q200" i="2"/>
  <c r="Q198" i="2"/>
  <c r="Q196" i="2"/>
  <c r="Q236" i="2"/>
  <c r="Q232" i="2"/>
  <c r="Q228" i="2"/>
  <c r="Q195" i="2"/>
  <c r="Q201" i="2"/>
  <c r="Q197" i="2"/>
  <c r="Q206" i="2"/>
  <c r="Q203" i="2"/>
  <c r="Q224" i="2"/>
  <c r="Q199" i="2"/>
  <c r="F206" i="2"/>
  <c r="M235" i="2"/>
  <c r="I206" i="2"/>
  <c r="K236" i="2"/>
  <c r="J206" i="2"/>
  <c r="O235" i="2"/>
  <c r="K206" i="2"/>
  <c r="K235" i="2"/>
  <c r="H206" i="2"/>
  <c r="L206" i="2"/>
  <c r="O206" i="2"/>
  <c r="M236" i="2"/>
  <c r="G206" i="2"/>
  <c r="M206" i="2"/>
  <c r="N207" i="2"/>
  <c r="I207" i="2"/>
  <c r="I123" i="2"/>
  <c r="P101" i="2"/>
  <c r="S129" i="2"/>
  <c r="S257" i="2" s="1"/>
  <c r="R257" i="2"/>
  <c r="Q57" i="3"/>
  <c r="Q58" i="3" s="1"/>
  <c r="R55" i="3"/>
  <c r="Q159" i="2"/>
  <c r="R156" i="2"/>
  <c r="M207" i="2"/>
  <c r="I40" i="2"/>
  <c r="J40" i="2" s="1"/>
  <c r="X37" i="2"/>
  <c r="K146" i="3"/>
  <c r="S14" i="2"/>
  <c r="O22" i="6"/>
  <c r="P97" i="2"/>
  <c r="W295" i="2"/>
  <c r="W297" i="2" s="1"/>
  <c r="I295" i="2"/>
  <c r="I297" i="2" s="1"/>
  <c r="R292" i="2"/>
  <c r="X31" i="6"/>
  <c r="X244" i="2"/>
  <c r="X50" i="2"/>
  <c r="Y32" i="6"/>
  <c r="Y61" i="2"/>
  <c r="Y51" i="2"/>
  <c r="Y60" i="2"/>
  <c r="Y52" i="2"/>
  <c r="N20" i="4"/>
  <c r="L207" i="2"/>
  <c r="G207" i="2"/>
  <c r="R249" i="2"/>
  <c r="S132" i="2"/>
  <c r="S249" i="2" s="1"/>
  <c r="S56" i="2"/>
  <c r="R19" i="6"/>
  <c r="V32" i="6"/>
  <c r="V38" i="6" s="1"/>
  <c r="V61" i="2"/>
  <c r="V51" i="2"/>
  <c r="V60" i="2"/>
  <c r="R12" i="3"/>
  <c r="R11" i="3"/>
  <c r="R261" i="2"/>
  <c r="S158" i="2"/>
  <c r="S261" i="2" s="1"/>
  <c r="Q27" i="3"/>
  <c r="R10" i="3"/>
  <c r="X26" i="6"/>
  <c r="X27" i="6"/>
  <c r="X37" i="6"/>
  <c r="P5" i="6"/>
  <c r="P6" i="6" s="1"/>
  <c r="P121" i="3"/>
  <c r="P162" i="3" s="1"/>
  <c r="P28" i="3"/>
  <c r="L235" i="2"/>
  <c r="J235" i="2"/>
  <c r="F236" i="2"/>
  <c r="P236" i="2"/>
  <c r="P235" i="2"/>
  <c r="S292" i="2"/>
  <c r="Q253" i="2"/>
  <c r="R139" i="2"/>
  <c r="S112" i="2"/>
  <c r="S107" i="2" s="1"/>
  <c r="R107" i="2"/>
  <c r="R111" i="2" s="1"/>
  <c r="R27" i="2" s="1"/>
  <c r="R252" i="2" s="1"/>
  <c r="O162" i="3"/>
  <c r="S81" i="2"/>
  <c r="J207" i="2"/>
  <c r="H207" i="2"/>
  <c r="Y39" i="2"/>
  <c r="Y36" i="2" s="1"/>
  <c r="K39" i="2"/>
  <c r="L39" i="2" s="1"/>
  <c r="M39" i="2" s="1"/>
  <c r="N39" i="2" s="1"/>
  <c r="O39" i="2" s="1"/>
  <c r="P39" i="2" s="1"/>
  <c r="Q39" i="2" s="1"/>
  <c r="R39" i="2" s="1"/>
  <c r="S39" i="2" s="1"/>
  <c r="P99" i="2"/>
  <c r="Q99" i="2" s="1"/>
  <c r="Q92" i="2"/>
  <c r="Q90" i="2" s="1"/>
  <c r="P15" i="2"/>
  <c r="J147" i="3" l="1"/>
  <c r="J148" i="3"/>
  <c r="J172" i="2"/>
  <c r="J130" i="2" s="1"/>
  <c r="J256" i="2" s="1"/>
  <c r="X256" i="2" s="1"/>
  <c r="J103" i="2"/>
  <c r="J5" i="2"/>
  <c r="J93" i="2"/>
  <c r="J70" i="2"/>
  <c r="J119" i="2"/>
  <c r="G5" i="4"/>
  <c r="G62" i="4" s="1"/>
  <c r="J83" i="2"/>
  <c r="Q39" i="3"/>
  <c r="P46" i="3"/>
  <c r="P33" i="3" s="1"/>
  <c r="N36" i="3"/>
  <c r="N29" i="3"/>
  <c r="O35" i="3"/>
  <c r="O34" i="3"/>
  <c r="K63" i="3"/>
  <c r="K22" i="3"/>
  <c r="K9" i="6"/>
  <c r="K10" i="6" s="1"/>
  <c r="K62" i="3"/>
  <c r="K24" i="3"/>
  <c r="K6" i="3"/>
  <c r="K4" i="2"/>
  <c r="K23" i="3"/>
  <c r="G8" i="4"/>
  <c r="K21" i="3"/>
  <c r="K15" i="3"/>
  <c r="H7" i="4"/>
  <c r="H8" i="4" s="1"/>
  <c r="H9" i="4" s="1"/>
  <c r="J119" i="3"/>
  <c r="J7" i="2"/>
  <c r="J125" i="3"/>
  <c r="Z166" i="3"/>
  <c r="Z122" i="3"/>
  <c r="Z118" i="3" s="1"/>
  <c r="Z146" i="3" s="1"/>
  <c r="L122" i="3"/>
  <c r="L118" i="3" s="1"/>
  <c r="L119" i="3" s="1"/>
  <c r="H14" i="5"/>
  <c r="H16" i="5" s="1"/>
  <c r="L9" i="3"/>
  <c r="M15" i="3" s="1"/>
  <c r="L30" i="3"/>
  <c r="L7" i="6"/>
  <c r="L8" i="6" s="1"/>
  <c r="L5" i="3"/>
  <c r="L146" i="3" s="1"/>
  <c r="Z9" i="6"/>
  <c r="Z6" i="3"/>
  <c r="Z62" i="3"/>
  <c r="Z4" i="2"/>
  <c r="S111" i="2"/>
  <c r="S27" i="2" s="1"/>
  <c r="S252" i="2" s="1"/>
  <c r="O236" i="2"/>
  <c r="P98" i="2"/>
  <c r="Q101" i="2"/>
  <c r="Q87" i="2"/>
  <c r="Y38" i="6"/>
  <c r="Y33" i="6"/>
  <c r="Y34" i="6"/>
  <c r="S156" i="2"/>
  <c r="S159" i="2" s="1"/>
  <c r="R159" i="2"/>
  <c r="Q88" i="2"/>
  <c r="S164" i="2"/>
  <c r="M9" i="6"/>
  <c r="M4" i="2"/>
  <c r="M22" i="3"/>
  <c r="M24" i="3"/>
  <c r="M23" i="3"/>
  <c r="M62" i="3"/>
  <c r="J7" i="4"/>
  <c r="M21" i="3"/>
  <c r="Q89" i="2"/>
  <c r="M63" i="3"/>
  <c r="S139" i="2"/>
  <c r="S253" i="2" s="1"/>
  <c r="R253" i="2"/>
  <c r="X32" i="6"/>
  <c r="X60" i="2"/>
  <c r="X61" i="2"/>
  <c r="X52" i="2"/>
  <c r="X51" i="2"/>
  <c r="Y40" i="2"/>
  <c r="K40" i="2"/>
  <c r="L40" i="2" s="1"/>
  <c r="M40" i="2" s="1"/>
  <c r="N40" i="2" s="1"/>
  <c r="O40" i="2" s="1"/>
  <c r="P40" i="2" s="1"/>
  <c r="Q40" i="2" s="1"/>
  <c r="R40" i="2" s="1"/>
  <c r="S40" i="2" s="1"/>
  <c r="S55" i="3"/>
  <c r="S57" i="3" s="1"/>
  <c r="R57" i="3"/>
  <c r="R58" i="3" s="1"/>
  <c r="O75" i="4"/>
  <c r="O109" i="4"/>
  <c r="I38" i="6"/>
  <c r="I33" i="6"/>
  <c r="I34" i="6"/>
  <c r="K11" i="6"/>
  <c r="K178" i="2"/>
  <c r="K147" i="2" s="1"/>
  <c r="K175" i="2"/>
  <c r="K131" i="2" s="1"/>
  <c r="F112" i="4"/>
  <c r="F78" i="4"/>
  <c r="J295" i="2"/>
  <c r="N109" i="4"/>
  <c r="N75" i="4"/>
  <c r="P22" i="6"/>
  <c r="Q97" i="2"/>
  <c r="Q98" i="2" s="1"/>
  <c r="R27" i="3"/>
  <c r="S10" i="3"/>
  <c r="R102" i="2"/>
  <c r="R100" i="2" s="1"/>
  <c r="Q16" i="2"/>
  <c r="Q21" i="6" s="1"/>
  <c r="R235" i="2"/>
  <c r="R233" i="2"/>
  <c r="R231" i="2"/>
  <c r="R229" i="2"/>
  <c r="R227" i="2"/>
  <c r="R225" i="2"/>
  <c r="R206" i="2"/>
  <c r="R234" i="2"/>
  <c r="R230" i="2"/>
  <c r="R226" i="2"/>
  <c r="R207" i="2"/>
  <c r="R236" i="2"/>
  <c r="R232" i="2"/>
  <c r="R228" i="2"/>
  <c r="R224" i="2"/>
  <c r="R202" i="2"/>
  <c r="R198" i="2"/>
  <c r="R201" i="2"/>
  <c r="R197" i="2"/>
  <c r="R205" i="2"/>
  <c r="R204" i="2"/>
  <c r="R200" i="2"/>
  <c r="R196" i="2"/>
  <c r="R199" i="2"/>
  <c r="R203" i="2"/>
  <c r="R195" i="2"/>
  <c r="G236" i="2"/>
  <c r="I236" i="2"/>
  <c r="H236" i="2"/>
  <c r="O207" i="2"/>
  <c r="J236" i="2"/>
  <c r="N236" i="2"/>
  <c r="K207" i="2"/>
  <c r="P207" i="2"/>
  <c r="L236" i="2"/>
  <c r="S219" i="2"/>
  <c r="R266" i="2"/>
  <c r="R215" i="2"/>
  <c r="P20" i="6"/>
  <c r="P181" i="2"/>
  <c r="R92" i="2"/>
  <c r="Q15" i="2"/>
  <c r="K148" i="3"/>
  <c r="K147" i="3"/>
  <c r="S11" i="3"/>
  <c r="Y43" i="2"/>
  <c r="Y37" i="2"/>
  <c r="Q5" i="6"/>
  <c r="Q6" i="6" s="1"/>
  <c r="Q121" i="3"/>
  <c r="Q28" i="3"/>
  <c r="S12" i="3"/>
  <c r="S19" i="6"/>
  <c r="Q91" i="2"/>
  <c r="S118" i="2"/>
  <c r="S46" i="2" s="1"/>
  <c r="S248" i="2" s="1"/>
  <c r="R46" i="2"/>
  <c r="R248" i="2" s="1"/>
  <c r="S265" i="2"/>
  <c r="S186" i="2"/>
  <c r="R270" i="2"/>
  <c r="S141" i="2"/>
  <c r="S270" i="2" s="1"/>
  <c r="M118" i="3"/>
  <c r="M146" i="3" s="1"/>
  <c r="S242" i="2"/>
  <c r="S171" i="2"/>
  <c r="S125" i="2"/>
  <c r="R260" i="2"/>
  <c r="S148" i="2"/>
  <c r="S260" i="2" s="1"/>
  <c r="L7" i="2" l="1"/>
  <c r="L125" i="3"/>
  <c r="M8" i="6"/>
  <c r="L126" i="3"/>
  <c r="L163" i="3"/>
  <c r="K83" i="2"/>
  <c r="K119" i="2"/>
  <c r="H5" i="4"/>
  <c r="K93" i="2"/>
  <c r="K172" i="2"/>
  <c r="K130" i="2" s="1"/>
  <c r="K256" i="2" s="1"/>
  <c r="K103" i="2"/>
  <c r="K9" i="2"/>
  <c r="K5" i="2"/>
  <c r="Q46" i="3"/>
  <c r="Q33" i="3" s="1"/>
  <c r="R39" i="3"/>
  <c r="L21" i="3"/>
  <c r="I7" i="4"/>
  <c r="I8" i="4" s="1"/>
  <c r="I9" i="4" s="1"/>
  <c r="L15" i="3"/>
  <c r="Z148" i="3"/>
  <c r="Z147" i="3"/>
  <c r="C86" i="4"/>
  <c r="H17" i="5"/>
  <c r="H10" i="5"/>
  <c r="O36" i="3"/>
  <c r="O29" i="3"/>
  <c r="G56" i="4"/>
  <c r="G6" i="4"/>
  <c r="G92" i="4"/>
  <c r="G11" i="4"/>
  <c r="G64" i="4" s="1"/>
  <c r="G98" i="4" s="1"/>
  <c r="J11" i="6"/>
  <c r="J175" i="2"/>
  <c r="J131" i="2" s="1"/>
  <c r="J255" i="2" s="1"/>
  <c r="J178" i="2"/>
  <c r="J147" i="2" s="1"/>
  <c r="K259" i="2" s="1"/>
  <c r="N30" i="3"/>
  <c r="N9" i="3"/>
  <c r="N5" i="3"/>
  <c r="N7" i="6"/>
  <c r="N8" i="6" s="1"/>
  <c r="N122" i="3"/>
  <c r="L63" i="3"/>
  <c r="L4" i="2"/>
  <c r="L22" i="3"/>
  <c r="L6" i="3"/>
  <c r="L23" i="3"/>
  <c r="L24" i="3"/>
  <c r="L9" i="6"/>
  <c r="L10" i="6" s="1"/>
  <c r="L62" i="3"/>
  <c r="M6" i="3"/>
  <c r="Z5" i="2"/>
  <c r="Z103" i="2"/>
  <c r="Z70" i="2"/>
  <c r="Z93" i="2"/>
  <c r="Z83" i="2"/>
  <c r="Z119" i="3"/>
  <c r="Z7" i="2"/>
  <c r="Z11" i="6" s="1"/>
  <c r="P34" i="3"/>
  <c r="P35" i="3"/>
  <c r="J9" i="2"/>
  <c r="S58" i="3"/>
  <c r="R101" i="2"/>
  <c r="R88" i="2"/>
  <c r="R91" i="2"/>
  <c r="R276" i="2"/>
  <c r="M148" i="3"/>
  <c r="M147" i="3"/>
  <c r="S208" i="2"/>
  <c r="S206" i="2"/>
  <c r="S236" i="2"/>
  <c r="S234" i="2"/>
  <c r="S232" i="2"/>
  <c r="S230" i="2"/>
  <c r="S228" i="2"/>
  <c r="S226" i="2"/>
  <c r="S224" i="2"/>
  <c r="S204" i="2"/>
  <c r="S202" i="2"/>
  <c r="S200" i="2"/>
  <c r="S198" i="2"/>
  <c r="S196" i="2"/>
  <c r="S237" i="2"/>
  <c r="S233" i="2"/>
  <c r="S229" i="2"/>
  <c r="S225" i="2"/>
  <c r="S203" i="2"/>
  <c r="S201" i="2"/>
  <c r="S199" i="2"/>
  <c r="S197" i="2"/>
  <c r="S195" i="2"/>
  <c r="S205" i="2"/>
  <c r="S227" i="2"/>
  <c r="S231" i="2"/>
  <c r="S235" i="2"/>
  <c r="S207" i="2"/>
  <c r="G237" i="2"/>
  <c r="F208" i="2"/>
  <c r="N208" i="2"/>
  <c r="N209" i="2" s="1"/>
  <c r="N237" i="2"/>
  <c r="N238" i="2" s="1"/>
  <c r="M237" i="2"/>
  <c r="M238" i="2" s="1"/>
  <c r="Q208" i="2"/>
  <c r="Q209" i="2" s="1"/>
  <c r="L237" i="2"/>
  <c r="L238" i="2" s="1"/>
  <c r="H208" i="2"/>
  <c r="O208" i="2"/>
  <c r="O209" i="2" s="1"/>
  <c r="K208" i="2"/>
  <c r="K209" i="2" s="1"/>
  <c r="G208" i="2"/>
  <c r="I208" i="2"/>
  <c r="O237" i="2"/>
  <c r="O238" i="2" s="1"/>
  <c r="J208" i="2"/>
  <c r="J209" i="2" s="1"/>
  <c r="L208" i="2"/>
  <c r="L209" i="2" s="1"/>
  <c r="Q237" i="2"/>
  <c r="Q238" i="2" s="1"/>
  <c r="K237" i="2"/>
  <c r="K238" i="2" s="1"/>
  <c r="M208" i="2"/>
  <c r="M209" i="2" s="1"/>
  <c r="J8" i="4"/>
  <c r="Q20" i="6"/>
  <c r="Q181" i="2"/>
  <c r="F237" i="2"/>
  <c r="R5" i="6"/>
  <c r="R6" i="6" s="1"/>
  <c r="R121" i="3"/>
  <c r="R162" i="3"/>
  <c r="R28" i="3"/>
  <c r="J5" i="4"/>
  <c r="J62" i="4" s="1"/>
  <c r="M5" i="2"/>
  <c r="M83" i="2"/>
  <c r="M93" i="2"/>
  <c r="M103" i="2"/>
  <c r="S102" i="2"/>
  <c r="S101" i="2" s="1"/>
  <c r="R16" i="2"/>
  <c r="R21" i="6" s="1"/>
  <c r="L148" i="3"/>
  <c r="L147" i="3"/>
  <c r="X38" i="6"/>
  <c r="X33" i="6"/>
  <c r="X34" i="6"/>
  <c r="R89" i="2"/>
  <c r="J237" i="2"/>
  <c r="J238" i="2" s="1"/>
  <c r="S92" i="2"/>
  <c r="S91" i="2" s="1"/>
  <c r="R15" i="2"/>
  <c r="P208" i="2"/>
  <c r="P209" i="2" s="1"/>
  <c r="Q22" i="6"/>
  <c r="R97" i="2"/>
  <c r="K153" i="2"/>
  <c r="K161" i="2" s="1"/>
  <c r="R87" i="2"/>
  <c r="L11" i="6"/>
  <c r="L175" i="2"/>
  <c r="L131" i="2" s="1"/>
  <c r="L255" i="2" s="1"/>
  <c r="L178" i="2"/>
  <c r="L147" i="2" s="1"/>
  <c r="S27" i="3"/>
  <c r="R208" i="2"/>
  <c r="R209" i="2" s="1"/>
  <c r="R90" i="2"/>
  <c r="M119" i="3"/>
  <c r="M7" i="2"/>
  <c r="M9" i="2" s="1"/>
  <c r="M125" i="3"/>
  <c r="M126" i="3"/>
  <c r="Q162" i="3"/>
  <c r="S266" i="2"/>
  <c r="S276" i="2" s="1"/>
  <c r="S215" i="2"/>
  <c r="P20" i="4"/>
  <c r="Y58" i="2"/>
  <c r="Y59" i="2"/>
  <c r="I237" i="2"/>
  <c r="H237" i="2"/>
  <c r="P237" i="2"/>
  <c r="P238" i="2" s="1"/>
  <c r="R237" i="2"/>
  <c r="R238" i="2" s="1"/>
  <c r="R99" i="2"/>
  <c r="J9" i="4" l="1"/>
  <c r="K255" i="2"/>
  <c r="H19" i="4" s="1"/>
  <c r="N163" i="3"/>
  <c r="N118" i="3"/>
  <c r="N146" i="3" s="1"/>
  <c r="X255" i="2"/>
  <c r="O30" i="3"/>
  <c r="O9" i="3"/>
  <c r="O7" i="6"/>
  <c r="O8" i="6" s="1"/>
  <c r="O5" i="3"/>
  <c r="O63" i="3" s="1"/>
  <c r="O122" i="3"/>
  <c r="O118" i="3" s="1"/>
  <c r="O7" i="2" s="1"/>
  <c r="S39" i="3"/>
  <c r="S46" i="3" s="1"/>
  <c r="S33" i="3" s="1"/>
  <c r="R46" i="3"/>
  <c r="R33" i="3" s="1"/>
  <c r="P29" i="3"/>
  <c r="P36" i="3"/>
  <c r="Q35" i="3"/>
  <c r="Q34" i="3"/>
  <c r="H62" i="4"/>
  <c r="H92" i="4"/>
  <c r="H56" i="4"/>
  <c r="H6" i="4"/>
  <c r="H11" i="4"/>
  <c r="H64" i="4" s="1"/>
  <c r="H98" i="4" s="1"/>
  <c r="J259" i="2"/>
  <c r="X259" i="2" s="1"/>
  <c r="J153" i="2"/>
  <c r="J161" i="2" s="1"/>
  <c r="Z9" i="2"/>
  <c r="N62" i="3"/>
  <c r="N6" i="3"/>
  <c r="N4" i="2"/>
  <c r="N22" i="3"/>
  <c r="N24" i="3"/>
  <c r="N63" i="3"/>
  <c r="N9" i="6"/>
  <c r="N10" i="6" s="1"/>
  <c r="N23" i="3"/>
  <c r="K7" i="4"/>
  <c r="K8" i="4" s="1"/>
  <c r="K9" i="4" s="1"/>
  <c r="N15" i="3"/>
  <c r="N21" i="3"/>
  <c r="G94" i="4"/>
  <c r="G95" i="4" s="1"/>
  <c r="G93" i="4"/>
  <c r="H19" i="5"/>
  <c r="H9" i="5"/>
  <c r="K11" i="2"/>
  <c r="K10" i="2"/>
  <c r="K14" i="6"/>
  <c r="G58" i="4"/>
  <c r="G59" i="4" s="1"/>
  <c r="G57" i="4"/>
  <c r="J19" i="2"/>
  <c r="J10" i="2"/>
  <c r="J11" i="2"/>
  <c r="J14" i="6"/>
  <c r="I5" i="4"/>
  <c r="L93" i="2"/>
  <c r="L172" i="2"/>
  <c r="L103" i="2"/>
  <c r="L9" i="2"/>
  <c r="M10" i="2" s="1"/>
  <c r="L5" i="2"/>
  <c r="L119" i="2"/>
  <c r="M119" i="2" s="1"/>
  <c r="N119" i="2" s="1"/>
  <c r="O119" i="2" s="1"/>
  <c r="P119" i="2" s="1"/>
  <c r="Q119" i="2" s="1"/>
  <c r="R119" i="2" s="1"/>
  <c r="S119" i="2" s="1"/>
  <c r="L83" i="2"/>
  <c r="M10" i="6"/>
  <c r="S100" i="2"/>
  <c r="S90" i="2"/>
  <c r="S89" i="2"/>
  <c r="S87" i="2"/>
  <c r="S99" i="2"/>
  <c r="S98" i="2" s="1"/>
  <c r="S238" i="2"/>
  <c r="S239" i="2" s="1"/>
  <c r="R216" i="2"/>
  <c r="R246" i="2" s="1"/>
  <c r="R239" i="2"/>
  <c r="L18" i="4"/>
  <c r="O210" i="2"/>
  <c r="O187" i="2"/>
  <c r="O245" i="2" s="1"/>
  <c r="M14" i="6"/>
  <c r="M11" i="2"/>
  <c r="R22" i="6"/>
  <c r="S97" i="2"/>
  <c r="L259" i="2"/>
  <c r="L153" i="2"/>
  <c r="L161" i="2" s="1"/>
  <c r="S15" i="2"/>
  <c r="R98" i="2"/>
  <c r="Q216" i="2"/>
  <c r="Q246" i="2" s="1"/>
  <c r="Q239" i="2"/>
  <c r="H18" i="4"/>
  <c r="K187" i="2"/>
  <c r="K245" i="2" s="1"/>
  <c r="K210" i="2"/>
  <c r="M239" i="2"/>
  <c r="M216" i="2"/>
  <c r="M246" i="2" s="1"/>
  <c r="N239" i="2"/>
  <c r="N216" i="2"/>
  <c r="N246" i="2" s="1"/>
  <c r="I18" i="4"/>
  <c r="L187" i="2"/>
  <c r="L245" i="2" s="1"/>
  <c r="L210" i="2"/>
  <c r="K18" i="4"/>
  <c r="N210" i="2"/>
  <c r="N187" i="2"/>
  <c r="N245" i="2" s="1"/>
  <c r="P109" i="4"/>
  <c r="P75" i="4"/>
  <c r="R20" i="4"/>
  <c r="J216" i="2"/>
  <c r="J239" i="2"/>
  <c r="P240" i="2"/>
  <c r="O240" i="2"/>
  <c r="L240" i="2"/>
  <c r="M240" i="2"/>
  <c r="K240" i="2"/>
  <c r="N240" i="2"/>
  <c r="S240" i="2"/>
  <c r="Q240" i="2"/>
  <c r="J240" i="2"/>
  <c r="R240" i="2"/>
  <c r="M18" i="4"/>
  <c r="P210" i="2"/>
  <c r="P187" i="2"/>
  <c r="P245" i="2" s="1"/>
  <c r="G18" i="4"/>
  <c r="J210" i="2"/>
  <c r="J187" i="2"/>
  <c r="J211" i="2"/>
  <c r="K211" i="2"/>
  <c r="Q211" i="2"/>
  <c r="P211" i="2"/>
  <c r="O211" i="2"/>
  <c r="R211" i="2"/>
  <c r="N211" i="2"/>
  <c r="M211" i="2"/>
  <c r="L211" i="2"/>
  <c r="M11" i="6"/>
  <c r="M178" i="2"/>
  <c r="M147" i="2" s="1"/>
  <c r="M175" i="2"/>
  <c r="M131" i="2" s="1"/>
  <c r="M255" i="2" s="1"/>
  <c r="O18" i="4"/>
  <c r="R210" i="2"/>
  <c r="R187" i="2"/>
  <c r="R245" i="2" s="1"/>
  <c r="O239" i="2"/>
  <c r="O216" i="2"/>
  <c r="O246" i="2" s="1"/>
  <c r="L239" i="2"/>
  <c r="L216" i="2"/>
  <c r="L246" i="2" s="1"/>
  <c r="S209" i="2"/>
  <c r="S211" i="2" s="1"/>
  <c r="R20" i="6"/>
  <c r="R181" i="2"/>
  <c r="J6" i="4"/>
  <c r="J11" i="4"/>
  <c r="J64" i="4" s="1"/>
  <c r="J98" i="4" s="1"/>
  <c r="K216" i="2"/>
  <c r="K246" i="2" s="1"/>
  <c r="K239" i="2"/>
  <c r="P216" i="2"/>
  <c r="P246" i="2" s="1"/>
  <c r="P239" i="2"/>
  <c r="O125" i="3"/>
  <c r="S5" i="6"/>
  <c r="S6" i="6" s="1"/>
  <c r="S28" i="3"/>
  <c r="S121" i="3"/>
  <c r="S162" i="3" s="1"/>
  <c r="S16" i="2"/>
  <c r="S21" i="6" s="1"/>
  <c r="S88" i="2"/>
  <c r="J18" i="4"/>
  <c r="M187" i="2"/>
  <c r="M245" i="2" s="1"/>
  <c r="M210" i="2"/>
  <c r="N18" i="4"/>
  <c r="Q210" i="2"/>
  <c r="Q187" i="2"/>
  <c r="Q245" i="2" s="1"/>
  <c r="H108" i="4" l="1"/>
  <c r="H74" i="4"/>
  <c r="O119" i="3"/>
  <c r="O126" i="3"/>
  <c r="G19" i="4"/>
  <c r="G74" i="4" s="1"/>
  <c r="S34" i="3"/>
  <c r="S35" i="3"/>
  <c r="L130" i="2"/>
  <c r="L256" i="2" s="1"/>
  <c r="M172" i="2"/>
  <c r="J32" i="2"/>
  <c r="J23" i="2"/>
  <c r="J24" i="6"/>
  <c r="J21" i="2"/>
  <c r="J20" i="2"/>
  <c r="H12" i="5"/>
  <c r="N5" i="2"/>
  <c r="N93" i="2"/>
  <c r="K5" i="4"/>
  <c r="N83" i="2"/>
  <c r="N103" i="2"/>
  <c r="O163" i="3"/>
  <c r="Q36" i="3"/>
  <c r="Q29" i="3"/>
  <c r="I6" i="4"/>
  <c r="I11" i="4"/>
  <c r="I64" i="4" s="1"/>
  <c r="I98" i="4" s="1"/>
  <c r="I62" i="4"/>
  <c r="O22" i="3"/>
  <c r="O62" i="3"/>
  <c r="O4" i="2"/>
  <c r="O24" i="3"/>
  <c r="O9" i="6"/>
  <c r="O10" i="6" s="1"/>
  <c r="O23" i="3"/>
  <c r="O6" i="3"/>
  <c r="O146" i="3"/>
  <c r="I19" i="4"/>
  <c r="I108" i="4" s="1"/>
  <c r="J15" i="6"/>
  <c r="J36" i="6"/>
  <c r="J16" i="6"/>
  <c r="K16" i="6"/>
  <c r="K36" i="6"/>
  <c r="K15" i="6"/>
  <c r="N147" i="3"/>
  <c r="N148" i="3"/>
  <c r="H58" i="4"/>
  <c r="H59" i="4" s="1"/>
  <c r="H60" i="4" s="1"/>
  <c r="H57" i="4"/>
  <c r="P122" i="3"/>
  <c r="P118" i="3" s="1"/>
  <c r="P125" i="3" s="1"/>
  <c r="P9" i="3"/>
  <c r="P7" i="6"/>
  <c r="P8" i="6" s="1"/>
  <c r="P5" i="3"/>
  <c r="P63" i="3" s="1"/>
  <c r="P30" i="3"/>
  <c r="N125" i="3"/>
  <c r="N7" i="2"/>
  <c r="N119" i="3"/>
  <c r="N126" i="3"/>
  <c r="L11" i="2"/>
  <c r="L14" i="6"/>
  <c r="L10" i="2"/>
  <c r="Z11" i="2"/>
  <c r="Z10" i="2"/>
  <c r="Z19" i="2"/>
  <c r="Z14" i="6"/>
  <c r="H93" i="4"/>
  <c r="H94" i="4"/>
  <c r="H95" i="4" s="1"/>
  <c r="H96" i="4" s="1"/>
  <c r="R35" i="3"/>
  <c r="R34" i="3"/>
  <c r="O15" i="3"/>
  <c r="O21" i="3"/>
  <c r="S216" i="2"/>
  <c r="S246" i="2" s="1"/>
  <c r="M107" i="4"/>
  <c r="M73" i="4"/>
  <c r="J246" i="2"/>
  <c r="X246" i="2" s="1"/>
  <c r="J217" i="2"/>
  <c r="S20" i="6"/>
  <c r="S181" i="2"/>
  <c r="N107" i="4"/>
  <c r="N73" i="4"/>
  <c r="O73" i="4"/>
  <c r="O107" i="4"/>
  <c r="H107" i="4"/>
  <c r="H73" i="4"/>
  <c r="I107" i="4"/>
  <c r="I73" i="4"/>
  <c r="M16" i="6"/>
  <c r="M36" i="6"/>
  <c r="M259" i="2"/>
  <c r="M153" i="2"/>
  <c r="M161" i="2" s="1"/>
  <c r="J245" i="2"/>
  <c r="J188" i="2"/>
  <c r="S22" i="6"/>
  <c r="J107" i="4"/>
  <c r="J73" i="4"/>
  <c r="O11" i="6"/>
  <c r="O178" i="2"/>
  <c r="O147" i="2" s="1"/>
  <c r="O175" i="2"/>
  <c r="O131" i="2" s="1"/>
  <c r="G107" i="4"/>
  <c r="G73" i="4"/>
  <c r="P18" i="4"/>
  <c r="S210" i="2"/>
  <c r="S187" i="2"/>
  <c r="S245" i="2" s="1"/>
  <c r="K107" i="4"/>
  <c r="K73" i="4"/>
  <c r="L107" i="4"/>
  <c r="R18" i="4"/>
  <c r="L73" i="4"/>
  <c r="P119" i="3" l="1"/>
  <c r="P126" i="3"/>
  <c r="G108" i="4"/>
  <c r="P146" i="3"/>
  <c r="J25" i="6"/>
  <c r="J25" i="2"/>
  <c r="J24" i="2"/>
  <c r="G13" i="4"/>
  <c r="R36" i="3"/>
  <c r="R29" i="3"/>
  <c r="P7" i="2"/>
  <c r="P178" i="2" s="1"/>
  <c r="P147" i="2" s="1"/>
  <c r="I74" i="4"/>
  <c r="N9" i="2"/>
  <c r="N11" i="6"/>
  <c r="N178" i="2"/>
  <c r="N147" i="2" s="1"/>
  <c r="N175" i="2"/>
  <c r="N131" i="2" s="1"/>
  <c r="N255" i="2" s="1"/>
  <c r="P21" i="3"/>
  <c r="P15" i="3"/>
  <c r="J115" i="2"/>
  <c r="J33" i="2" s="1"/>
  <c r="J30" i="6" s="1"/>
  <c r="J116" i="2"/>
  <c r="J29" i="6"/>
  <c r="L16" i="6"/>
  <c r="L15" i="6"/>
  <c r="L36" i="6"/>
  <c r="M130" i="2"/>
  <c r="M256" i="2" s="1"/>
  <c r="N172" i="2"/>
  <c r="N130" i="2" s="1"/>
  <c r="O103" i="2"/>
  <c r="O5" i="2"/>
  <c r="O83" i="2"/>
  <c r="O93" i="2"/>
  <c r="M15" i="6"/>
  <c r="Z20" i="2"/>
  <c r="Z21" i="2"/>
  <c r="Z24" i="6"/>
  <c r="Z32" i="2"/>
  <c r="Z23" i="2"/>
  <c r="O9" i="2"/>
  <c r="P163" i="3"/>
  <c r="O148" i="3"/>
  <c r="O147" i="3"/>
  <c r="K62" i="4"/>
  <c r="K6" i="4"/>
  <c r="K11" i="4"/>
  <c r="K64" i="4" s="1"/>
  <c r="K98" i="4" s="1"/>
  <c r="L5" i="4"/>
  <c r="S36" i="3"/>
  <c r="S29" i="3"/>
  <c r="Z16" i="6"/>
  <c r="Z36" i="6"/>
  <c r="J19" i="4"/>
  <c r="J108" i="4" s="1"/>
  <c r="P6" i="3"/>
  <c r="P4" i="2"/>
  <c r="P23" i="3"/>
  <c r="P9" i="6"/>
  <c r="P10" i="6" s="1"/>
  <c r="P22" i="3"/>
  <c r="P62" i="3"/>
  <c r="P24" i="3"/>
  <c r="Q7" i="6"/>
  <c r="Q8" i="6" s="1"/>
  <c r="Q30" i="3"/>
  <c r="Q9" i="3"/>
  <c r="Q122" i="3"/>
  <c r="Q5" i="3"/>
  <c r="K214" i="2"/>
  <c r="K217" i="2" s="1"/>
  <c r="J137" i="2"/>
  <c r="P107" i="4"/>
  <c r="P73" i="4"/>
  <c r="P11" i="6"/>
  <c r="O153" i="2"/>
  <c r="O161" i="2" s="1"/>
  <c r="O259" i="2"/>
  <c r="J136" i="2"/>
  <c r="J142" i="2" s="1"/>
  <c r="K185" i="2"/>
  <c r="K188" i="2" s="1"/>
  <c r="X245" i="2"/>
  <c r="X262" i="2" s="1"/>
  <c r="X294" i="2" s="1"/>
  <c r="P175" i="2" l="1"/>
  <c r="P131" i="2" s="1"/>
  <c r="P255" i="2" s="1"/>
  <c r="J35" i="2"/>
  <c r="J165" i="2" s="1"/>
  <c r="J167" i="2" s="1"/>
  <c r="P148" i="3"/>
  <c r="P147" i="3"/>
  <c r="N256" i="2"/>
  <c r="J36" i="2"/>
  <c r="J50" i="2"/>
  <c r="J122" i="2"/>
  <c r="J123" i="2" s="1"/>
  <c r="J31" i="6"/>
  <c r="J244" i="2"/>
  <c r="J262" i="2" s="1"/>
  <c r="J294" i="2" s="1"/>
  <c r="J297" i="2" s="1"/>
  <c r="R7" i="6"/>
  <c r="R8" i="6" s="1"/>
  <c r="R9" i="3"/>
  <c r="R122" i="3"/>
  <c r="R30" i="3"/>
  <c r="R5" i="3"/>
  <c r="J74" i="4"/>
  <c r="Q163" i="3"/>
  <c r="Q118" i="3"/>
  <c r="Q146" i="3" s="1"/>
  <c r="Z25" i="2"/>
  <c r="Z24" i="2"/>
  <c r="Z25" i="6"/>
  <c r="O172" i="2"/>
  <c r="N153" i="2"/>
  <c r="N161" i="2" s="1"/>
  <c r="N259" i="2"/>
  <c r="Z35" i="2"/>
  <c r="Z29" i="6"/>
  <c r="G100" i="4"/>
  <c r="G14" i="4"/>
  <c r="G66" i="4"/>
  <c r="G15" i="4"/>
  <c r="G16" i="4" s="1"/>
  <c r="G17" i="4" s="1"/>
  <c r="G21" i="4" s="1"/>
  <c r="Q62" i="3"/>
  <c r="Q6" i="3"/>
  <c r="Q4" i="2"/>
  <c r="Q24" i="3"/>
  <c r="Q23" i="3"/>
  <c r="Q9" i="6"/>
  <c r="Q10" i="6" s="1"/>
  <c r="Q63" i="3"/>
  <c r="Q22" i="3"/>
  <c r="S5" i="3"/>
  <c r="S9" i="3"/>
  <c r="S7" i="6"/>
  <c r="S8" i="6" s="1"/>
  <c r="S122" i="3"/>
  <c r="S118" i="3" s="1"/>
  <c r="S125" i="3" s="1"/>
  <c r="S30" i="3"/>
  <c r="N10" i="2"/>
  <c r="N11" i="2"/>
  <c r="N14" i="6"/>
  <c r="O14" i="6"/>
  <c r="O11" i="2"/>
  <c r="O10" i="2"/>
  <c r="Q21" i="3"/>
  <c r="Q15" i="3"/>
  <c r="P5" i="2"/>
  <c r="P9" i="2"/>
  <c r="P83" i="2"/>
  <c r="P103" i="2"/>
  <c r="P93" i="2"/>
  <c r="M5" i="4"/>
  <c r="L13" i="4"/>
  <c r="L11" i="4"/>
  <c r="L64" i="4" s="1"/>
  <c r="L98" i="4" s="1"/>
  <c r="O255" i="2"/>
  <c r="J27" i="6"/>
  <c r="J37" i="6"/>
  <c r="J26" i="6"/>
  <c r="S7" i="2"/>
  <c r="L214" i="2"/>
  <c r="L217" i="2" s="1"/>
  <c r="K137" i="2"/>
  <c r="P259" i="2"/>
  <c r="P153" i="2"/>
  <c r="P161" i="2" s="1"/>
  <c r="K136" i="2"/>
  <c r="K142" i="2" s="1"/>
  <c r="L185" i="2"/>
  <c r="L188" i="2" s="1"/>
  <c r="J127" i="2" l="1"/>
  <c r="L66" i="4"/>
  <c r="K19" i="4"/>
  <c r="K108" i="4" s="1"/>
  <c r="S146" i="3"/>
  <c r="S163" i="3"/>
  <c r="K74" i="4"/>
  <c r="Q148" i="3"/>
  <c r="Q147" i="3"/>
  <c r="R6" i="3"/>
  <c r="R22" i="3"/>
  <c r="R24" i="3"/>
  <c r="R4" i="2"/>
  <c r="R62" i="3"/>
  <c r="R9" i="6"/>
  <c r="R10" i="6" s="1"/>
  <c r="R23" i="3"/>
  <c r="N5" i="4"/>
  <c r="M11" i="4"/>
  <c r="M64" i="4" s="1"/>
  <c r="M98" i="4" s="1"/>
  <c r="M13" i="4"/>
  <c r="O36" i="6"/>
  <c r="O16" i="6"/>
  <c r="O15" i="6"/>
  <c r="Z50" i="2"/>
  <c r="Z31" i="6"/>
  <c r="P14" i="6"/>
  <c r="P11" i="2"/>
  <c r="P10" i="2"/>
  <c r="G23" i="4"/>
  <c r="G22" i="4"/>
  <c r="Q119" i="3"/>
  <c r="Q7" i="2"/>
  <c r="Q125" i="3"/>
  <c r="Q126" i="3"/>
  <c r="R118" i="3"/>
  <c r="R126" i="3" s="1"/>
  <c r="R21" i="3"/>
  <c r="R15" i="3"/>
  <c r="J52" i="2"/>
  <c r="J51" i="2"/>
  <c r="J61" i="2"/>
  <c r="J60" i="2"/>
  <c r="J32" i="6"/>
  <c r="R63" i="3"/>
  <c r="N15" i="6"/>
  <c r="N36" i="6"/>
  <c r="N16" i="6"/>
  <c r="S15" i="3"/>
  <c r="S21" i="3"/>
  <c r="S24" i="3"/>
  <c r="S9" i="6"/>
  <c r="S10" i="6" s="1"/>
  <c r="S22" i="3"/>
  <c r="S23" i="3"/>
  <c r="S63" i="3"/>
  <c r="S62" i="3"/>
  <c r="S6" i="3"/>
  <c r="S4" i="2"/>
  <c r="Q93" i="2"/>
  <c r="Q5" i="2"/>
  <c r="Q83" i="2"/>
  <c r="Q103" i="2"/>
  <c r="O130" i="2"/>
  <c r="O256" i="2" s="1"/>
  <c r="L19" i="4" s="1"/>
  <c r="P172" i="2"/>
  <c r="S126" i="3"/>
  <c r="L100" i="4"/>
  <c r="L15" i="4"/>
  <c r="L16" i="4" s="1"/>
  <c r="L17" i="4" s="1"/>
  <c r="Z37" i="6"/>
  <c r="Z26" i="6"/>
  <c r="Z27" i="6"/>
  <c r="R163" i="3"/>
  <c r="J37" i="2"/>
  <c r="Z36" i="2"/>
  <c r="J43" i="2"/>
  <c r="K295" i="2"/>
  <c r="M185" i="2"/>
  <c r="M188" i="2" s="1"/>
  <c r="L136" i="2"/>
  <c r="S11" i="6"/>
  <c r="S178" i="2"/>
  <c r="S147" i="2" s="1"/>
  <c r="S175" i="2"/>
  <c r="S131" i="2" s="1"/>
  <c r="S148" i="3"/>
  <c r="J133" i="2"/>
  <c r="J144" i="2" s="1"/>
  <c r="J169" i="2"/>
  <c r="C28" i="4" s="1"/>
  <c r="C85" i="4" s="1"/>
  <c r="K72" i="2"/>
  <c r="K66" i="2" s="1"/>
  <c r="M214" i="2"/>
  <c r="M217" i="2" s="1"/>
  <c r="L137" i="2"/>
  <c r="R146" i="3" l="1"/>
  <c r="S147" i="3" s="1"/>
  <c r="L21" i="4"/>
  <c r="J58" i="2"/>
  <c r="J59" i="2"/>
  <c r="P130" i="2"/>
  <c r="P256" i="2" s="1"/>
  <c r="M19" i="4" s="1"/>
  <c r="Q172" i="2"/>
  <c r="S93" i="2"/>
  <c r="S103" i="2"/>
  <c r="S83" i="2"/>
  <c r="S5" i="2"/>
  <c r="Q11" i="6"/>
  <c r="Q178" i="2"/>
  <c r="Q147" i="2" s="1"/>
  <c r="Q9" i="2"/>
  <c r="Q175" i="2"/>
  <c r="Q131" i="2" s="1"/>
  <c r="Q255" i="2" s="1"/>
  <c r="P36" i="6"/>
  <c r="P15" i="6"/>
  <c r="P16" i="6"/>
  <c r="M15" i="4"/>
  <c r="M16" i="4" s="1"/>
  <c r="M17" i="4" s="1"/>
  <c r="M21" i="4" s="1"/>
  <c r="M66" i="4"/>
  <c r="R147" i="3"/>
  <c r="R148" i="3"/>
  <c r="Z37" i="2"/>
  <c r="Z40" i="2" s="1"/>
  <c r="Z43" i="2"/>
  <c r="Z39" i="2"/>
  <c r="M100" i="4"/>
  <c r="G78" i="4"/>
  <c r="G112" i="4"/>
  <c r="Z61" i="2"/>
  <c r="Z51" i="2"/>
  <c r="Z52" i="2"/>
  <c r="Z32" i="6"/>
  <c r="Z60" i="2"/>
  <c r="N13" i="4"/>
  <c r="N11" i="4"/>
  <c r="N64" i="4" s="1"/>
  <c r="N98" i="4" s="1"/>
  <c r="O5" i="4"/>
  <c r="R83" i="2"/>
  <c r="R103" i="2"/>
  <c r="R93" i="2"/>
  <c r="R5" i="2"/>
  <c r="L108" i="4"/>
  <c r="L74" i="4"/>
  <c r="J38" i="6"/>
  <c r="J33" i="6"/>
  <c r="J34" i="6"/>
  <c r="S119" i="3"/>
  <c r="R7" i="2"/>
  <c r="R119" i="3"/>
  <c r="R125" i="3"/>
  <c r="S9" i="2"/>
  <c r="L142" i="2"/>
  <c r="D20" i="5"/>
  <c r="D16" i="5" s="1"/>
  <c r="C83" i="4"/>
  <c r="L22" i="4"/>
  <c r="L23" i="4"/>
  <c r="M136" i="2"/>
  <c r="N185" i="2"/>
  <c r="N188" i="2" s="1"/>
  <c r="N214" i="2"/>
  <c r="N217" i="2" s="1"/>
  <c r="M137" i="2"/>
  <c r="K69" i="2"/>
  <c r="K13" i="2"/>
  <c r="S153" i="2"/>
  <c r="S161" i="2" s="1"/>
  <c r="S11" i="2" l="1"/>
  <c r="S14" i="6"/>
  <c r="Z38" i="6"/>
  <c r="Z33" i="6"/>
  <c r="Z34" i="6"/>
  <c r="Q14" i="6"/>
  <c r="Q10" i="2"/>
  <c r="Q11" i="2"/>
  <c r="M23" i="4"/>
  <c r="M22" i="4"/>
  <c r="Q259" i="2"/>
  <c r="Q153" i="2"/>
  <c r="Q161" i="2" s="1"/>
  <c r="Q130" i="2"/>
  <c r="Q256" i="2" s="1"/>
  <c r="R172" i="2"/>
  <c r="M108" i="4"/>
  <c r="M74" i="4"/>
  <c r="Z58" i="2"/>
  <c r="Z59" i="2"/>
  <c r="R9" i="2"/>
  <c r="R178" i="2"/>
  <c r="R147" i="2" s="1"/>
  <c r="R175" i="2"/>
  <c r="R131" i="2" s="1"/>
  <c r="R11" i="6"/>
  <c r="P5" i="4"/>
  <c r="R5" i="4" s="1"/>
  <c r="O13" i="4"/>
  <c r="O15" i="4" s="1"/>
  <c r="O16" i="4" s="1"/>
  <c r="O11" i="4"/>
  <c r="O64" i="4" s="1"/>
  <c r="O98" i="4" s="1"/>
  <c r="N66" i="4"/>
  <c r="N100" i="4"/>
  <c r="N15" i="4"/>
  <c r="N16" i="4" s="1"/>
  <c r="N17" i="4" s="1"/>
  <c r="M142" i="2"/>
  <c r="O185" i="2"/>
  <c r="O188" i="2" s="1"/>
  <c r="N136" i="2"/>
  <c r="D17" i="5"/>
  <c r="D10" i="5"/>
  <c r="C117" i="4"/>
  <c r="N18" i="6"/>
  <c r="K19" i="2"/>
  <c r="K71" i="2"/>
  <c r="K70" i="2"/>
  <c r="O214" i="2"/>
  <c r="O217" i="2" s="1"/>
  <c r="N137" i="2"/>
  <c r="L78" i="4"/>
  <c r="L112" i="4"/>
  <c r="S259" i="2" l="1"/>
  <c r="R259" i="2"/>
  <c r="R153" i="2"/>
  <c r="R161" i="2" s="1"/>
  <c r="R14" i="6"/>
  <c r="R10" i="2"/>
  <c r="R11" i="2"/>
  <c r="S16" i="6"/>
  <c r="S36" i="6"/>
  <c r="R255" i="2"/>
  <c r="S255" i="2"/>
  <c r="M78" i="4"/>
  <c r="M112" i="4"/>
  <c r="P11" i="4"/>
  <c r="P64" i="4" s="1"/>
  <c r="P98" i="4" s="1"/>
  <c r="P13" i="4"/>
  <c r="Q15" i="6"/>
  <c r="Q16" i="6"/>
  <c r="Q36" i="6"/>
  <c r="S10" i="2"/>
  <c r="S172" i="2"/>
  <c r="S130" i="2" s="1"/>
  <c r="R130" i="2"/>
  <c r="R256" i="2" s="1"/>
  <c r="R13" i="4"/>
  <c r="R14" i="4" s="1"/>
  <c r="O17" i="4"/>
  <c r="N19" i="4"/>
  <c r="N21" i="4" s="1"/>
  <c r="O100" i="4"/>
  <c r="N142" i="2"/>
  <c r="D9" i="5"/>
  <c r="D19" i="5"/>
  <c r="K24" i="6"/>
  <c r="K32" i="2"/>
  <c r="K23" i="2"/>
  <c r="K20" i="2"/>
  <c r="K21" i="2"/>
  <c r="P185" i="2"/>
  <c r="P188" i="2" s="1"/>
  <c r="O136" i="2"/>
  <c r="P214" i="2"/>
  <c r="P217" i="2" s="1"/>
  <c r="O137" i="2"/>
  <c r="P15" i="4" l="1"/>
  <c r="P16" i="4" s="1"/>
  <c r="R16" i="4" s="1"/>
  <c r="R15" i="4" s="1"/>
  <c r="P100" i="4"/>
  <c r="R16" i="6"/>
  <c r="R15" i="6"/>
  <c r="R36" i="6"/>
  <c r="S15" i="6"/>
  <c r="O19" i="4"/>
  <c r="N23" i="4"/>
  <c r="N22" i="4"/>
  <c r="P17" i="4"/>
  <c r="S256" i="2"/>
  <c r="P19" i="4" s="1"/>
  <c r="N74" i="4"/>
  <c r="N108" i="4"/>
  <c r="K25" i="6"/>
  <c r="H13" i="4"/>
  <c r="K24" i="2"/>
  <c r="K25" i="2"/>
  <c r="P136" i="2"/>
  <c r="Q185" i="2"/>
  <c r="Q188" i="2" s="1"/>
  <c r="D12" i="5"/>
  <c r="K29" i="6"/>
  <c r="K116" i="2"/>
  <c r="K115" i="2"/>
  <c r="K33" i="2" s="1"/>
  <c r="K30" i="6" s="1"/>
  <c r="Q214" i="2"/>
  <c r="Q217" i="2" s="1"/>
  <c r="P137" i="2"/>
  <c r="O142" i="2"/>
  <c r="P21" i="4" l="1"/>
  <c r="P22" i="4" s="1"/>
  <c r="N112" i="4"/>
  <c r="N78" i="4"/>
  <c r="R17" i="4"/>
  <c r="O74" i="4"/>
  <c r="O108" i="4"/>
  <c r="R19" i="4"/>
  <c r="P23" i="4"/>
  <c r="P74" i="4"/>
  <c r="P108" i="4"/>
  <c r="O21" i="4"/>
  <c r="P142" i="2"/>
  <c r="R214" i="2"/>
  <c r="R217" i="2" s="1"/>
  <c r="Q137" i="2"/>
  <c r="H15" i="4"/>
  <c r="H16" i="4" s="1"/>
  <c r="H17" i="4" s="1"/>
  <c r="H21" i="4" s="1"/>
  <c r="H14" i="4"/>
  <c r="H100" i="4"/>
  <c r="H66" i="4"/>
  <c r="K35" i="2"/>
  <c r="P112" i="4"/>
  <c r="P78" i="4"/>
  <c r="K26" i="6"/>
  <c r="K37" i="6"/>
  <c r="K27" i="6"/>
  <c r="Q136" i="2"/>
  <c r="Q142" i="2" s="1"/>
  <c r="R185" i="2"/>
  <c r="R188" i="2" s="1"/>
  <c r="O23" i="4" l="1"/>
  <c r="O22" i="4"/>
  <c r="R21" i="4"/>
  <c r="R23" i="4" s="1"/>
  <c r="H22" i="4"/>
  <c r="H23" i="4"/>
  <c r="S185" i="2"/>
  <c r="S188" i="2" s="1"/>
  <c r="S136" i="2" s="1"/>
  <c r="R136" i="2"/>
  <c r="K31" i="6"/>
  <c r="K244" i="2"/>
  <c r="K262" i="2" s="1"/>
  <c r="K294" i="2" s="1"/>
  <c r="K36" i="2"/>
  <c r="K43" i="2" s="1"/>
  <c r="K50" i="2"/>
  <c r="K122" i="2"/>
  <c r="K165" i="2"/>
  <c r="S214" i="2"/>
  <c r="S217" i="2" s="1"/>
  <c r="S137" i="2" s="1"/>
  <c r="R137" i="2"/>
  <c r="O78" i="4" l="1"/>
  <c r="R22" i="4"/>
  <c r="O112" i="4"/>
  <c r="K167" i="2"/>
  <c r="K123" i="2"/>
  <c r="R142" i="2"/>
  <c r="K59" i="2"/>
  <c r="K58" i="2"/>
  <c r="K37" i="2"/>
  <c r="K32" i="6"/>
  <c r="K60" i="2"/>
  <c r="K52" i="2"/>
  <c r="K61" i="2"/>
  <c r="K51" i="2"/>
  <c r="S142" i="2"/>
  <c r="K297" i="2"/>
  <c r="K127" i="2"/>
  <c r="H112" i="4"/>
  <c r="H78" i="4"/>
  <c r="K133" i="2" l="1"/>
  <c r="K144" i="2" s="1"/>
  <c r="K169" i="2"/>
  <c r="L72" i="2"/>
  <c r="L66" i="2" s="1"/>
  <c r="K38" i="6"/>
  <c r="K33" i="6"/>
  <c r="K34" i="6"/>
  <c r="L295" i="2"/>
  <c r="L13" i="2" l="1"/>
  <c r="L69" i="2"/>
  <c r="L71" i="2" l="1"/>
  <c r="L70" i="2"/>
  <c r="O18" i="6"/>
  <c r="L19" i="2"/>
  <c r="L24" i="6" l="1"/>
  <c r="L23" i="2"/>
  <c r="L21" i="2"/>
  <c r="L32" i="2"/>
  <c r="L20" i="2"/>
  <c r="L29" i="6" l="1"/>
  <c r="L115" i="2"/>
  <c r="L33" i="2" s="1"/>
  <c r="L30" i="6" s="1"/>
  <c r="L116" i="2"/>
  <c r="L25" i="6"/>
  <c r="I13" i="4"/>
  <c r="L24" i="2"/>
  <c r="L25" i="2"/>
  <c r="L35" i="2" l="1"/>
  <c r="L26" i="6"/>
  <c r="L37" i="6"/>
  <c r="L27" i="6"/>
  <c r="I14" i="4"/>
  <c r="I15" i="4"/>
  <c r="I16" i="4" s="1"/>
  <c r="I17" i="4" s="1"/>
  <c r="I21" i="4" s="1"/>
  <c r="I66" i="4"/>
  <c r="L31" i="6"/>
  <c r="L244" i="2"/>
  <c r="L262" i="2" s="1"/>
  <c r="L294" i="2" s="1"/>
  <c r="L50" i="2"/>
  <c r="L36" i="2"/>
  <c r="L43" i="2" s="1"/>
  <c r="L122" i="2"/>
  <c r="L165" i="2"/>
  <c r="I23" i="4" l="1"/>
  <c r="I22" i="4"/>
  <c r="L32" i="6"/>
  <c r="L52" i="2"/>
  <c r="L61" i="2"/>
  <c r="L51" i="2"/>
  <c r="L60" i="2"/>
  <c r="L58" i="2"/>
  <c r="L59" i="2"/>
  <c r="L37" i="2"/>
  <c r="L297" i="2"/>
  <c r="L127" i="2"/>
  <c r="L167" i="2"/>
  <c r="L123" i="2"/>
  <c r="M295" i="2" l="1"/>
  <c r="I78" i="4"/>
  <c r="L169" i="2"/>
  <c r="L133" i="2"/>
  <c r="L144" i="2" s="1"/>
  <c r="M72" i="2"/>
  <c r="M66" i="2" s="1"/>
  <c r="L38" i="6"/>
  <c r="L33" i="6"/>
  <c r="L34" i="6"/>
  <c r="M69" i="2" l="1"/>
  <c r="M13" i="2"/>
  <c r="P18" i="6" l="1"/>
  <c r="M19" i="2"/>
  <c r="M71" i="2"/>
  <c r="M70" i="2"/>
  <c r="M24" i="6" l="1"/>
  <c r="M23" i="2"/>
  <c r="M21" i="2"/>
  <c r="M32" i="2"/>
  <c r="M20" i="2"/>
  <c r="M29" i="6" l="1"/>
  <c r="M116" i="2"/>
  <c r="M115" i="2" s="1"/>
  <c r="M33" i="2" s="1"/>
  <c r="M25" i="6"/>
  <c r="J13" i="4"/>
  <c r="M24" i="2"/>
  <c r="M25" i="2"/>
  <c r="M30" i="6" l="1"/>
  <c r="M35" i="2"/>
  <c r="M31" i="6" s="1"/>
  <c r="J15" i="4"/>
  <c r="J16" i="4" s="1"/>
  <c r="J14" i="4"/>
  <c r="J17" i="4"/>
  <c r="J21" i="4" s="1"/>
  <c r="J66" i="4"/>
  <c r="M36" i="2"/>
  <c r="M43" i="2" s="1"/>
  <c r="M165" i="2"/>
  <c r="M26" i="6"/>
  <c r="M37" i="6"/>
  <c r="M27" i="6"/>
  <c r="M50" i="2" l="1"/>
  <c r="M122" i="2"/>
  <c r="M123" i="2" s="1"/>
  <c r="M244" i="2"/>
  <c r="M262" i="2" s="1"/>
  <c r="M294" i="2" s="1"/>
  <c r="M297" i="2" s="1"/>
  <c r="M58" i="2"/>
  <c r="M59" i="2"/>
  <c r="M32" i="6"/>
  <c r="M60" i="2"/>
  <c r="M61" i="2"/>
  <c r="M51" i="2"/>
  <c r="M52" i="2"/>
  <c r="M37" i="2"/>
  <c r="M167" i="2"/>
  <c r="J22" i="4"/>
  <c r="J23" i="4"/>
  <c r="M127" i="2" l="1"/>
  <c r="M38" i="6"/>
  <c r="M33" i="6"/>
  <c r="M34" i="6"/>
  <c r="M133" i="2"/>
  <c r="M144" i="2" s="1"/>
  <c r="M169" i="2"/>
  <c r="N72" i="2"/>
  <c r="N66" i="2" s="1"/>
  <c r="J112" i="4"/>
  <c r="J78" i="4"/>
  <c r="N295" i="2"/>
  <c r="N69" i="2" l="1"/>
  <c r="N13" i="2"/>
  <c r="N71" i="2" l="1"/>
  <c r="N70" i="2"/>
  <c r="Q18" i="6"/>
  <c r="N19" i="2"/>
  <c r="N24" i="6" l="1"/>
  <c r="N23" i="2"/>
  <c r="N21" i="2"/>
  <c r="N32" i="2"/>
  <c r="N20" i="2"/>
  <c r="N29" i="6" l="1"/>
  <c r="N116" i="2"/>
  <c r="N115" i="2" s="1"/>
  <c r="N33" i="2" s="1"/>
  <c r="N30" i="6" s="1"/>
  <c r="N25" i="6"/>
  <c r="K13" i="4"/>
  <c r="N25" i="2"/>
  <c r="N24" i="2"/>
  <c r="K15" i="4" l="1"/>
  <c r="K16" i="4" s="1"/>
  <c r="K17" i="4" s="1"/>
  <c r="K21" i="4" s="1"/>
  <c r="K14" i="4"/>
  <c r="K100" i="4"/>
  <c r="K66" i="4"/>
  <c r="N37" i="6"/>
  <c r="N27" i="6"/>
  <c r="N26" i="6"/>
  <c r="N35" i="2"/>
  <c r="K23" i="4" l="1"/>
  <c r="K22" i="4"/>
  <c r="N31" i="6"/>
  <c r="N244" i="2"/>
  <c r="N262" i="2" s="1"/>
  <c r="N294" i="2" s="1"/>
  <c r="N122" i="2"/>
  <c r="N123" i="2" s="1"/>
  <c r="N50" i="2"/>
  <c r="N36" i="2"/>
  <c r="N43" i="2" s="1"/>
  <c r="N165" i="2"/>
  <c r="N32" i="6" l="1"/>
  <c r="N52" i="2"/>
  <c r="N60" i="2"/>
  <c r="N61" i="2"/>
  <c r="N51" i="2"/>
  <c r="N167" i="2"/>
  <c r="K112" i="4"/>
  <c r="K78" i="4"/>
  <c r="C27" i="4"/>
  <c r="N297" i="2"/>
  <c r="N127" i="2"/>
  <c r="N59" i="2"/>
  <c r="N58" i="2"/>
  <c r="N37" i="2"/>
  <c r="N133" i="2" l="1"/>
  <c r="N144" i="2" s="1"/>
  <c r="O72" i="2"/>
  <c r="O66" i="2" s="1"/>
  <c r="N169" i="2"/>
  <c r="O295" i="2"/>
  <c r="C121" i="4"/>
  <c r="C122" i="4" s="1"/>
  <c r="C88" i="4"/>
  <c r="C89" i="4" s="1"/>
  <c r="C29" i="4"/>
  <c r="N34" i="6"/>
  <c r="N33" i="6"/>
  <c r="N38" i="6"/>
  <c r="C30" i="4" l="1"/>
  <c r="C31" i="4"/>
  <c r="L114" i="4"/>
  <c r="L115" i="4" s="1"/>
  <c r="L111" i="4" s="1"/>
  <c r="L110" i="4" s="1"/>
  <c r="L106" i="4" s="1"/>
  <c r="K114" i="4"/>
  <c r="K115" i="4" s="1"/>
  <c r="K111" i="4" s="1"/>
  <c r="K110" i="4" s="1"/>
  <c r="K106" i="4" s="1"/>
  <c r="J114" i="4"/>
  <c r="J115" i="4" s="1"/>
  <c r="J111" i="4" s="1"/>
  <c r="J110" i="4" s="1"/>
  <c r="J106" i="4" s="1"/>
  <c r="H114" i="4"/>
  <c r="H115" i="4" s="1"/>
  <c r="H111" i="4" s="1"/>
  <c r="G114" i="4"/>
  <c r="G115" i="4" s="1"/>
  <c r="G111" i="4" s="1"/>
  <c r="G110" i="4" s="1"/>
  <c r="G106" i="4" s="1"/>
  <c r="N114" i="4"/>
  <c r="N115" i="4" s="1"/>
  <c r="N111" i="4" s="1"/>
  <c r="N110" i="4" s="1"/>
  <c r="N106" i="4" s="1"/>
  <c r="M114" i="4"/>
  <c r="M115" i="4" s="1"/>
  <c r="M111" i="4" s="1"/>
  <c r="M110" i="4" s="1"/>
  <c r="M106" i="4" s="1"/>
  <c r="I114" i="4"/>
  <c r="I115" i="4" s="1"/>
  <c r="I111" i="4" s="1"/>
  <c r="I110" i="4" s="1"/>
  <c r="I106" i="4" s="1"/>
  <c r="O114" i="4"/>
  <c r="O115" i="4" s="1"/>
  <c r="O111" i="4" s="1"/>
  <c r="O110" i="4" s="1"/>
  <c r="O106" i="4" s="1"/>
  <c r="P114" i="4"/>
  <c r="P115" i="4" s="1"/>
  <c r="P111" i="4" s="1"/>
  <c r="P110" i="4" s="1"/>
  <c r="P106" i="4" s="1"/>
  <c r="O80" i="4"/>
  <c r="O81" i="4" s="1"/>
  <c r="O77" i="4" s="1"/>
  <c r="O76" i="4" s="1"/>
  <c r="O72" i="4" s="1"/>
  <c r="I80" i="4"/>
  <c r="I81" i="4" s="1"/>
  <c r="I77" i="4" s="1"/>
  <c r="I76" i="4" s="1"/>
  <c r="I72" i="4" s="1"/>
  <c r="N80" i="4"/>
  <c r="N81" i="4" s="1"/>
  <c r="N77" i="4" s="1"/>
  <c r="N76" i="4" s="1"/>
  <c r="N72" i="4" s="1"/>
  <c r="H80" i="4"/>
  <c r="H81" i="4" s="1"/>
  <c r="H77" i="4" s="1"/>
  <c r="L80" i="4"/>
  <c r="L81" i="4" s="1"/>
  <c r="L77" i="4" s="1"/>
  <c r="L76" i="4" s="1"/>
  <c r="L72" i="4" s="1"/>
  <c r="J80" i="4"/>
  <c r="J81" i="4" s="1"/>
  <c r="J77" i="4" s="1"/>
  <c r="J76" i="4" s="1"/>
  <c r="J72" i="4" s="1"/>
  <c r="P80" i="4"/>
  <c r="P81" i="4" s="1"/>
  <c r="P77" i="4" s="1"/>
  <c r="P76" i="4" s="1"/>
  <c r="P72" i="4" s="1"/>
  <c r="M80" i="4"/>
  <c r="M81" i="4" s="1"/>
  <c r="M77" i="4" s="1"/>
  <c r="M76" i="4" s="1"/>
  <c r="M72" i="4" s="1"/>
  <c r="K80" i="4"/>
  <c r="K81" i="4" s="1"/>
  <c r="K77" i="4" s="1"/>
  <c r="K76" i="4" s="1"/>
  <c r="K72" i="4" s="1"/>
  <c r="G80" i="4"/>
  <c r="G81" i="4" s="1"/>
  <c r="G77" i="4" s="1"/>
  <c r="G76" i="4" s="1"/>
  <c r="G72" i="4" s="1"/>
  <c r="O69" i="2"/>
  <c r="O13" i="2"/>
  <c r="P104" i="4" l="1"/>
  <c r="P105" i="4" s="1"/>
  <c r="P102" i="4" s="1"/>
  <c r="H110" i="4"/>
  <c r="H106" i="4" s="1"/>
  <c r="G70" i="4"/>
  <c r="G71" i="4" s="1"/>
  <c r="G68" i="4" s="1"/>
  <c r="G69" i="4" s="1"/>
  <c r="J70" i="4"/>
  <c r="J71" i="4" s="1"/>
  <c r="J68" i="4" s="1"/>
  <c r="L104" i="4"/>
  <c r="L105" i="4" s="1"/>
  <c r="L102" i="4" s="1"/>
  <c r="R18" i="6"/>
  <c r="O19" i="2"/>
  <c r="O71" i="2"/>
  <c r="O70" i="2"/>
  <c r="O104" i="4"/>
  <c r="O105" i="4" s="1"/>
  <c r="O102" i="4" s="1"/>
  <c r="H76" i="4"/>
  <c r="H72" i="4" s="1"/>
  <c r="K104" i="4"/>
  <c r="K105" i="4" s="1"/>
  <c r="K102" i="4" s="1"/>
  <c r="N70" i="4"/>
  <c r="N71" i="4" s="1"/>
  <c r="N68" i="4" s="1"/>
  <c r="I70" i="4"/>
  <c r="I71" i="4" s="1"/>
  <c r="I68" i="4" s="1"/>
  <c r="N104" i="4"/>
  <c r="N105" i="4" s="1"/>
  <c r="N102" i="4" s="1"/>
  <c r="L70" i="4"/>
  <c r="L71" i="4" s="1"/>
  <c r="L68" i="4" s="1"/>
  <c r="J104" i="4"/>
  <c r="J105" i="4" s="1"/>
  <c r="J102" i="4" s="1"/>
  <c r="I104" i="4"/>
  <c r="I105" i="4" s="1"/>
  <c r="I102" i="4" s="1"/>
  <c r="K70" i="4"/>
  <c r="K71" i="4" s="1"/>
  <c r="K68" i="4" s="1"/>
  <c r="M104" i="4"/>
  <c r="M105" i="4" s="1"/>
  <c r="M102" i="4" s="1"/>
  <c r="M70" i="4"/>
  <c r="M71" i="4" s="1"/>
  <c r="M68" i="4" s="1"/>
  <c r="P70" i="4"/>
  <c r="P71" i="4" s="1"/>
  <c r="P68" i="4" s="1"/>
  <c r="O70" i="4"/>
  <c r="O71" i="4" s="1"/>
  <c r="O68" i="4" s="1"/>
  <c r="G104" i="4"/>
  <c r="G105" i="4" s="1"/>
  <c r="G102" i="4" s="1"/>
  <c r="G103" i="4" s="1"/>
  <c r="F10" i="5"/>
  <c r="C34" i="4"/>
  <c r="J92" i="4" l="1"/>
  <c r="O56" i="4"/>
  <c r="O69" i="4" s="1"/>
  <c r="J56" i="4"/>
  <c r="J69" i="4" s="1"/>
  <c r="K92" i="4"/>
  <c r="P56" i="4"/>
  <c r="P69" i="4" s="1"/>
  <c r="I56" i="4"/>
  <c r="I69" i="4" s="1"/>
  <c r="P92" i="4"/>
  <c r="O24" i="6"/>
  <c r="O32" i="2"/>
  <c r="O20" i="2"/>
  <c r="O23" i="2"/>
  <c r="O21" i="2"/>
  <c r="H70" i="4"/>
  <c r="H71" i="4" s="1"/>
  <c r="H68" i="4" s="1"/>
  <c r="H69" i="4" s="1"/>
  <c r="F9" i="5"/>
  <c r="O92" i="4"/>
  <c r="O93" i="4" s="1"/>
  <c r="M92" i="4"/>
  <c r="M103" i="4" s="1"/>
  <c r="K56" i="4"/>
  <c r="I92" i="4"/>
  <c r="I103" i="4" s="1"/>
  <c r="N92" i="4"/>
  <c r="N103" i="4"/>
  <c r="L56" i="4"/>
  <c r="N56" i="4"/>
  <c r="L92" i="4"/>
  <c r="H104" i="4"/>
  <c r="H105" i="4" s="1"/>
  <c r="H102" i="4" s="1"/>
  <c r="H103" i="4" s="1"/>
  <c r="M56" i="4"/>
  <c r="M69" i="4" s="1"/>
  <c r="L93" i="4" l="1"/>
  <c r="N57" i="4"/>
  <c r="L57" i="4"/>
  <c r="P57" i="4"/>
  <c r="O25" i="6"/>
  <c r="O25" i="2"/>
  <c r="O24" i="2"/>
  <c r="I58" i="4"/>
  <c r="I59" i="4" s="1"/>
  <c r="I60" i="4" s="1"/>
  <c r="I57" i="4"/>
  <c r="J58" i="4"/>
  <c r="J59" i="4" s="1"/>
  <c r="J57" i="4"/>
  <c r="K58" i="4"/>
  <c r="K59" i="4" s="1"/>
  <c r="K57" i="4"/>
  <c r="K69" i="4"/>
  <c r="F12" i="5"/>
  <c r="L103" i="4"/>
  <c r="N93" i="4"/>
  <c r="P93" i="4"/>
  <c r="K94" i="4"/>
  <c r="K95" i="4" s="1"/>
  <c r="K93" i="4"/>
  <c r="J93" i="4"/>
  <c r="J94" i="4"/>
  <c r="J95" i="4" s="1"/>
  <c r="L69" i="4"/>
  <c r="O29" i="6"/>
  <c r="O116" i="2"/>
  <c r="O115" i="2" s="1"/>
  <c r="O33" i="2" s="1"/>
  <c r="M93" i="4"/>
  <c r="O57" i="4"/>
  <c r="M57" i="4"/>
  <c r="N69" i="4"/>
  <c r="I94" i="4"/>
  <c r="I95" i="4" s="1"/>
  <c r="I96" i="4" s="1"/>
  <c r="I93" i="4"/>
  <c r="O103" i="4"/>
  <c r="P103" i="4"/>
  <c r="K103" i="4"/>
  <c r="J103" i="4"/>
  <c r="K96" i="4" l="1"/>
  <c r="J60" i="4"/>
  <c r="O30" i="6"/>
  <c r="O35" i="2"/>
  <c r="K60" i="4"/>
  <c r="J96" i="4"/>
  <c r="O26" i="6"/>
  <c r="O27" i="6"/>
  <c r="O37" i="6"/>
  <c r="O31" i="6" l="1"/>
  <c r="O244" i="2"/>
  <c r="O262" i="2" s="1"/>
  <c r="O294" i="2" s="1"/>
  <c r="O50" i="2"/>
  <c r="O122" i="2"/>
  <c r="O123" i="2" s="1"/>
  <c r="O36" i="2"/>
  <c r="O43" i="2" s="1"/>
  <c r="O165" i="2"/>
  <c r="O37" i="2" l="1"/>
  <c r="O58" i="2"/>
  <c r="O59" i="2"/>
  <c r="O32" i="6"/>
  <c r="O61" i="2"/>
  <c r="O51" i="2"/>
  <c r="O52" i="2"/>
  <c r="O60" i="2"/>
  <c r="O297" i="2"/>
  <c r="O127" i="2"/>
  <c r="O167" i="2"/>
  <c r="O34" i="6" l="1"/>
  <c r="O38" i="6"/>
  <c r="O33" i="6"/>
  <c r="O169" i="2"/>
  <c r="P72" i="2"/>
  <c r="P66" i="2" s="1"/>
  <c r="O133" i="2"/>
  <c r="O144" i="2" s="1"/>
  <c r="P295" i="2"/>
  <c r="P69" i="2" l="1"/>
  <c r="P13" i="2"/>
  <c r="S18" i="6" l="1"/>
  <c r="P19" i="2"/>
  <c r="P70" i="2"/>
  <c r="P71" i="2"/>
  <c r="P24" i="6" l="1"/>
  <c r="P20" i="2"/>
  <c r="P21" i="2"/>
  <c r="P32" i="2"/>
  <c r="P23" i="2"/>
  <c r="P25" i="6" l="1"/>
  <c r="P25" i="2"/>
  <c r="P24" i="2"/>
  <c r="P29" i="6"/>
  <c r="P116" i="2"/>
  <c r="P115" i="2" s="1"/>
  <c r="P33" i="2" s="1"/>
  <c r="P30" i="6" l="1"/>
  <c r="P35" i="2"/>
  <c r="P27" i="6"/>
  <c r="P37" i="6"/>
  <c r="P26" i="6"/>
  <c r="P31" i="6" l="1"/>
  <c r="P244" i="2"/>
  <c r="P262" i="2" s="1"/>
  <c r="P294" i="2" s="1"/>
  <c r="P122" i="2"/>
  <c r="P123" i="2" s="1"/>
  <c r="P50" i="2"/>
  <c r="P36" i="2"/>
  <c r="P43" i="2" s="1"/>
  <c r="P165" i="2"/>
  <c r="P58" i="2" l="1"/>
  <c r="P59" i="2"/>
  <c r="P37" i="2"/>
  <c r="P297" i="2"/>
  <c r="P127" i="2"/>
  <c r="P32" i="6"/>
  <c r="P60" i="2"/>
  <c r="P61" i="2"/>
  <c r="P51" i="2"/>
  <c r="P52" i="2"/>
  <c r="P167" i="2"/>
  <c r="Q295" i="2" l="1"/>
  <c r="P34" i="6"/>
  <c r="P38" i="6"/>
  <c r="P33" i="6"/>
  <c r="P133" i="2"/>
  <c r="P144" i="2" s="1"/>
  <c r="Q72" i="2"/>
  <c r="Q66" i="2" s="1"/>
  <c r="P169" i="2"/>
  <c r="Q69" i="2" l="1"/>
  <c r="Q13" i="2"/>
  <c r="Q19" i="2" s="1"/>
  <c r="Q24" i="6" l="1"/>
  <c r="Q23" i="2"/>
  <c r="Q21" i="2"/>
  <c r="Q32" i="2"/>
  <c r="Q20" i="2"/>
  <c r="Q71" i="2"/>
  <c r="Q70" i="2"/>
  <c r="Q25" i="6" l="1"/>
  <c r="Q24" i="2"/>
  <c r="Q25" i="2"/>
  <c r="Q29" i="6"/>
  <c r="Q116" i="2"/>
  <c r="Q115" i="2" s="1"/>
  <c r="Q33" i="2" s="1"/>
  <c r="Q30" i="6" l="1"/>
  <c r="Q35" i="2"/>
  <c r="Q37" i="6"/>
  <c r="Q26" i="6"/>
  <c r="Q27" i="6"/>
  <c r="Q31" i="6" l="1"/>
  <c r="Q244" i="2"/>
  <c r="Q262" i="2" s="1"/>
  <c r="Q294" i="2" s="1"/>
  <c r="Q50" i="2"/>
  <c r="Q122" i="2"/>
  <c r="Q123" i="2" s="1"/>
  <c r="Q36" i="2"/>
  <c r="Q43" i="2" s="1"/>
  <c r="Q37" i="2"/>
  <c r="Q165" i="2"/>
  <c r="Q32" i="6" l="1"/>
  <c r="Q60" i="2"/>
  <c r="Q52" i="2"/>
  <c r="Q51" i="2"/>
  <c r="Q61" i="2"/>
  <c r="Q59" i="2"/>
  <c r="Q58" i="2"/>
  <c r="Q297" i="2"/>
  <c r="Q127" i="2"/>
  <c r="Q167" i="2"/>
  <c r="Q133" i="2" l="1"/>
  <c r="Q144" i="2" s="1"/>
  <c r="R72" i="2"/>
  <c r="R66" i="2" s="1"/>
  <c r="Q169" i="2"/>
  <c r="R295" i="2"/>
  <c r="Q38" i="6"/>
  <c r="Q34" i="6"/>
  <c r="Q33" i="6"/>
  <c r="R69" i="2" l="1"/>
  <c r="R13" i="2"/>
  <c r="U18" i="6" l="1"/>
  <c r="R19" i="2"/>
  <c r="R70" i="2"/>
  <c r="R71" i="2"/>
  <c r="R24" i="6" l="1"/>
  <c r="R23" i="2"/>
  <c r="R21" i="2"/>
  <c r="R20" i="2"/>
  <c r="R32" i="2"/>
  <c r="R29" i="6" l="1"/>
  <c r="R116" i="2"/>
  <c r="R115" i="2" s="1"/>
  <c r="R33" i="2" s="1"/>
  <c r="R25" i="6"/>
  <c r="R24" i="2"/>
  <c r="R25" i="2"/>
  <c r="R30" i="6" l="1"/>
  <c r="R35" i="2"/>
  <c r="R26" i="6"/>
  <c r="R37" i="6"/>
  <c r="R27" i="6"/>
  <c r="R31" i="6" l="1"/>
  <c r="R244" i="2"/>
  <c r="R262" i="2" s="1"/>
  <c r="R294" i="2" s="1"/>
  <c r="R50" i="2"/>
  <c r="R122" i="2"/>
  <c r="R123" i="2" s="1"/>
  <c r="R36" i="2"/>
  <c r="R43" i="2" s="1"/>
  <c r="R165" i="2"/>
  <c r="R37" i="2" l="1"/>
  <c r="R32" i="6"/>
  <c r="R52" i="2"/>
  <c r="R61" i="2"/>
  <c r="R51" i="2"/>
  <c r="R60" i="2"/>
  <c r="R58" i="2"/>
  <c r="R59" i="2"/>
  <c r="R297" i="2"/>
  <c r="R127" i="2"/>
  <c r="R167" i="2"/>
  <c r="R169" i="2" l="1"/>
  <c r="R133" i="2"/>
  <c r="R144" i="2" s="1"/>
  <c r="S72" i="2"/>
  <c r="S66" i="2" s="1"/>
  <c r="S295" i="2"/>
  <c r="R38" i="6"/>
  <c r="R33" i="6"/>
  <c r="R34" i="6"/>
  <c r="S69" i="2" l="1"/>
  <c r="S13" i="2"/>
  <c r="V18" i="6" l="1"/>
  <c r="S19" i="2"/>
  <c r="S70" i="2"/>
  <c r="S71" i="2"/>
  <c r="S24" i="6" l="1"/>
  <c r="S23" i="2"/>
  <c r="S21" i="2"/>
  <c r="S32" i="2"/>
  <c r="S20" i="2"/>
  <c r="S25" i="6" l="1"/>
  <c r="S25" i="2"/>
  <c r="S24" i="2"/>
  <c r="S29" i="6"/>
  <c r="S116" i="2"/>
  <c r="S115" i="2" s="1"/>
  <c r="S33" i="2" s="1"/>
  <c r="S30" i="6" s="1"/>
  <c r="S35" i="2" l="1"/>
  <c r="S26" i="6"/>
  <c r="S37" i="6"/>
  <c r="S27" i="6"/>
  <c r="S31" i="6" l="1"/>
  <c r="S244" i="2"/>
  <c r="S262" i="2" s="1"/>
  <c r="S294" i="2" s="1"/>
  <c r="S122" i="2"/>
  <c r="S123" i="2" s="1"/>
  <c r="S50" i="2"/>
  <c r="S36" i="2"/>
  <c r="S43" i="2" s="1"/>
  <c r="S165" i="2"/>
  <c r="S167" i="2" s="1"/>
  <c r="S37" i="2" l="1"/>
  <c r="S58" i="2"/>
  <c r="S59" i="2"/>
  <c r="S32" i="6"/>
  <c r="S60" i="2"/>
  <c r="S61" i="2"/>
  <c r="S51" i="2"/>
  <c r="S52" i="2"/>
  <c r="S297" i="2"/>
  <c r="S127" i="2"/>
  <c r="S38" i="6" l="1"/>
  <c r="S33" i="6"/>
  <c r="S34" i="6"/>
  <c r="S133" i="2"/>
  <c r="S144" i="2" s="1"/>
  <c r="S169" i="2"/>
</calcChain>
</file>

<file path=xl/sharedStrings.xml><?xml version="1.0" encoding="utf-8"?>
<sst xmlns="http://schemas.openxmlformats.org/spreadsheetml/2006/main" count="605" uniqueCount="383">
  <si>
    <t>Ronald Keung, CFA</t>
  </si>
  <si>
    <t>+852 2978 0856</t>
  </si>
  <si>
    <t>ronald.keung@gs.com</t>
  </si>
  <si>
    <t>Goldman Sachs (Asia) L.L.C</t>
  </si>
  <si>
    <t>Key statistics</t>
  </si>
  <si>
    <t>Rating</t>
  </si>
  <si>
    <t>Neutral</t>
  </si>
  <si>
    <t>Zhipu</t>
  </si>
  <si>
    <t>2513.HK</t>
  </si>
  <si>
    <t>Currency</t>
  </si>
  <si>
    <t>HK$</t>
  </si>
  <si>
    <t>Target price (HK$)</t>
  </si>
  <si>
    <t>Colour coding</t>
  </si>
  <si>
    <t>Hard-coded</t>
  </si>
  <si>
    <t>Linked to the file</t>
  </si>
  <si>
    <t>Assumptions</t>
  </si>
  <si>
    <t>Source: Company data, Datastream, Goldman Sachs Research estimates.</t>
  </si>
  <si>
    <t xml:space="preserve"> </t>
  </si>
  <si>
    <t>December year-end (Rmb mn)</t>
  </si>
  <si>
    <t>1H24</t>
  </si>
  <si>
    <t>2H24</t>
  </si>
  <si>
    <t>1H25</t>
  </si>
  <si>
    <t>2H25</t>
  </si>
  <si>
    <t>1H26E</t>
  </si>
  <si>
    <t>2H26E</t>
  </si>
  <si>
    <t>Revenue</t>
  </si>
  <si>
    <t>yoy %</t>
  </si>
  <si>
    <t>Cost of sales</t>
  </si>
  <si>
    <t>Gross (loss)/profit</t>
  </si>
  <si>
    <t>margin %</t>
  </si>
  <si>
    <t>Other income</t>
  </si>
  <si>
    <t>Selling and distribution expenses</t>
  </si>
  <si>
    <t>Administrative expenses</t>
  </si>
  <si>
    <t>Research and development expenses</t>
  </si>
  <si>
    <t>Impairment losses on financial assets</t>
  </si>
  <si>
    <t>Operating profit</t>
  </si>
  <si>
    <t>Adj. operating profit - non-IFRS</t>
  </si>
  <si>
    <t>Finance costs</t>
  </si>
  <si>
    <t>Share of profits less losses of associates</t>
  </si>
  <si>
    <t>Changes in fair value of financial instruments</t>
  </si>
  <si>
    <t>Changes in the carrying amounts of financial instruments</t>
  </si>
  <si>
    <t>(Loss)/Profit before tax</t>
  </si>
  <si>
    <t>Income tax expense</t>
  </si>
  <si>
    <t>Net profit/(loss)</t>
  </si>
  <si>
    <t>Attributable to equity holders of the company</t>
  </si>
  <si>
    <t>Attributable to non-controlling interests</t>
  </si>
  <si>
    <t>Net profit attributable to equity holders of the company %</t>
  </si>
  <si>
    <t>Net profit attributable to non-controlling interests %</t>
  </si>
  <si>
    <t>Allocation of loss attributable to financial instruments</t>
  </si>
  <si>
    <t>Net profit attributable to ordinary equity shareholders</t>
  </si>
  <si>
    <t>Non-IFRS adjustments</t>
  </si>
  <si>
    <t>Add: share-based compensation expeneses</t>
  </si>
  <si>
    <t>Add: changes in the carrying amounts of financial instruments</t>
  </si>
  <si>
    <t>Others</t>
  </si>
  <si>
    <t>Adj. net profit/(loss) - non-IFRS</t>
  </si>
  <si>
    <t>Weighted average number of ordinary shares (mn)</t>
  </si>
  <si>
    <t>Diluted average number of ordinary shares (mn)</t>
  </si>
  <si>
    <t>EPS (Rmb) - basic</t>
  </si>
  <si>
    <t>EPS (Rmb) - diluted</t>
  </si>
  <si>
    <t>Adj. EPS (Rmb) - basic</t>
  </si>
  <si>
    <t>Adj. EPS (Rmb) - diluted</t>
  </si>
  <si>
    <t>Key P&amp;L assumptions</t>
  </si>
  <si>
    <t>Interest income</t>
  </si>
  <si>
    <t>Net (loss)/gain on disposal of PP&amp;E and intangible assets</t>
  </si>
  <si>
    <t>Total</t>
  </si>
  <si>
    <t>As % of revenue</t>
  </si>
  <si>
    <t>% yoy change</t>
  </si>
  <si>
    <t>Gross cash of previous yeaer</t>
  </si>
  <si>
    <t>Interest income % of cash</t>
  </si>
  <si>
    <t>Advertising and marketing expenses</t>
  </si>
  <si>
    <t>Payroll cost</t>
  </si>
  <si>
    <t>Technical service and consultation fees</t>
  </si>
  <si>
    <t>Computing service fees</t>
  </si>
  <si>
    <t>D&amp;A</t>
  </si>
  <si>
    <t>Professional service fees</t>
  </si>
  <si>
    <t>Transportation and travel expenses</t>
  </si>
  <si>
    <t>Technical service and consulatation fees</t>
  </si>
  <si>
    <t>Finance cost</t>
  </si>
  <si>
    <t>Interest on lease liabilities</t>
  </si>
  <si>
    <t>Interest on bank loans</t>
  </si>
  <si>
    <t>Transaction costs in relation to the financial instruments</t>
  </si>
  <si>
    <t>FX loss/(gain), net</t>
  </si>
  <si>
    <t>Interest % on lease liabilities</t>
  </si>
  <si>
    <t>Interest % on bank loans</t>
  </si>
  <si>
    <t>Income tax</t>
  </si>
  <si>
    <t>% of pretax profits</t>
  </si>
  <si>
    <t>Share-based compensation</t>
  </si>
  <si>
    <t>Share-based compensation as % of revenue</t>
  </si>
  <si>
    <t>Reported net loss - consolidated</t>
  </si>
  <si>
    <t>Cumulative loss</t>
  </si>
  <si>
    <t>Balance Sheet (Rmb mn)</t>
  </si>
  <si>
    <t>1H26</t>
  </si>
  <si>
    <t>2H26</t>
  </si>
  <si>
    <t>Current assets</t>
  </si>
  <si>
    <t>Cash at bank and on hand</t>
  </si>
  <si>
    <t>Time deposits</t>
  </si>
  <si>
    <t>Contract assets</t>
  </si>
  <si>
    <t>Trade receivables</t>
  </si>
  <si>
    <t>Inventories and contract costs</t>
  </si>
  <si>
    <t>Short-term investments measured at FVPL</t>
  </si>
  <si>
    <t xml:space="preserve">Total current assets      </t>
  </si>
  <si>
    <t>Non-current assets</t>
  </si>
  <si>
    <t>Property and equipment, net</t>
  </si>
  <si>
    <t>Intangible assets</t>
  </si>
  <si>
    <t>Goodwill</t>
  </si>
  <si>
    <t>Interests in associates</t>
  </si>
  <si>
    <t>Other non-current assets</t>
  </si>
  <si>
    <t xml:space="preserve">Total non-current assets   </t>
  </si>
  <si>
    <t xml:space="preserve">Total assets  </t>
  </si>
  <si>
    <t>Current liabilities</t>
  </si>
  <si>
    <t>Trade and other payables</t>
  </si>
  <si>
    <t>Contract liabilities</t>
  </si>
  <si>
    <t>Bank loans</t>
  </si>
  <si>
    <t>Lease liabilities</t>
  </si>
  <si>
    <t>Financial instruments issued to investors</t>
  </si>
  <si>
    <t>Convertible bonds</t>
  </si>
  <si>
    <t xml:space="preserve">Total current liabilities         </t>
  </si>
  <si>
    <t>Non-current liabilities</t>
  </si>
  <si>
    <t>Deferred income</t>
  </si>
  <si>
    <t xml:space="preserve">Total non-current liabilities      </t>
  </si>
  <si>
    <t xml:space="preserve">Total liabilities              </t>
  </si>
  <si>
    <t>Capital and reserves</t>
  </si>
  <si>
    <t>Share capital</t>
  </si>
  <si>
    <t>Reserves</t>
  </si>
  <si>
    <t>Non-controlling interests</t>
  </si>
  <si>
    <t>Total deficits</t>
  </si>
  <si>
    <t>Net cash</t>
  </si>
  <si>
    <t>Balance sheet assumptions</t>
  </si>
  <si>
    <t>Days sales outstanding</t>
  </si>
  <si>
    <t>Inventory days</t>
  </si>
  <si>
    <t>Trade and other payable</t>
  </si>
  <si>
    <t>AP turnover days</t>
  </si>
  <si>
    <t>Other payables, accruals and other liabilities</t>
  </si>
  <si>
    <t>% of OPEX</t>
  </si>
  <si>
    <t>Property and equipment</t>
  </si>
  <si>
    <t>Beginning balance</t>
  </si>
  <si>
    <t>Addition - capex</t>
  </si>
  <si>
    <t>Depreciation</t>
  </si>
  <si>
    <t>Ending balance</t>
  </si>
  <si>
    <t>Capex</t>
  </si>
  <si>
    <t>Year of usage</t>
  </si>
  <si>
    <t xml:space="preserve">Depreciation &amp; Amortization </t>
  </si>
  <si>
    <t>Y2022</t>
  </si>
  <si>
    <t>Y2023</t>
  </si>
  <si>
    <t>Y2024</t>
  </si>
  <si>
    <t>Y2025</t>
  </si>
  <si>
    <t>Y2026</t>
  </si>
  <si>
    <t>Y2027</t>
  </si>
  <si>
    <t>Y2028</t>
  </si>
  <si>
    <t>Y2029</t>
  </si>
  <si>
    <t>Y2030</t>
  </si>
  <si>
    <t>Y2031</t>
  </si>
  <si>
    <t>Y2032</t>
  </si>
  <si>
    <t>Y2033</t>
  </si>
  <si>
    <t>Y2034</t>
  </si>
  <si>
    <t>Y2035</t>
  </si>
  <si>
    <t>As % of capex</t>
  </si>
  <si>
    <t>Accumulated depreciation</t>
  </si>
  <si>
    <t>Addition</t>
  </si>
  <si>
    <t>Amortization</t>
  </si>
  <si>
    <t>As % of addition</t>
  </si>
  <si>
    <t>Accumulated amortization</t>
  </si>
  <si>
    <t>CONSOLIDATED STATEMENTS OF CASH FLOWS (Rmb mn)</t>
  </si>
  <si>
    <t>2026E</t>
  </si>
  <si>
    <t>2027E</t>
  </si>
  <si>
    <t>2028E</t>
  </si>
  <si>
    <t>2029E</t>
  </si>
  <si>
    <t>Cash flow from operating activities</t>
  </si>
  <si>
    <t>Net loss</t>
  </si>
  <si>
    <t>Depreciation of property and equipment</t>
  </si>
  <si>
    <t>Amortization of intangible assets</t>
  </si>
  <si>
    <t>Net loss/ (gain) on disposal of PP&amp;E and intangible assets</t>
  </si>
  <si>
    <t>Equity settled share-based transactions</t>
  </si>
  <si>
    <t xml:space="preserve">Changes in the carrying amounts of financial instruments </t>
  </si>
  <si>
    <t>Interest income from time deposits</t>
  </si>
  <si>
    <t>Changes in working capital</t>
  </si>
  <si>
    <t>(Increase)/decrease in inventories and contract costs</t>
  </si>
  <si>
    <t>(Increase)/decrease in trade and other receivables</t>
  </si>
  <si>
    <t>(Increase)/decrease in contract assets</t>
  </si>
  <si>
    <t>Increased in restricted cash</t>
  </si>
  <si>
    <t>Increased in trade and other payables</t>
  </si>
  <si>
    <t>Increase in contract liabilities</t>
  </si>
  <si>
    <t>(Increase)/decrease in deferred income</t>
  </si>
  <si>
    <t xml:space="preserve">Net cash used in operating activities                           </t>
  </si>
  <si>
    <t>Cash flow from investing activities</t>
  </si>
  <si>
    <t>Purchase of property and equipment</t>
  </si>
  <si>
    <t>Payments for the purchases of intangible assets</t>
  </si>
  <si>
    <t>Proceeds from disposal of PP&amp;E and intangible assets</t>
  </si>
  <si>
    <t>Payments for the purchases of wealth management products</t>
  </si>
  <si>
    <t>Proceeds from disposal of wealth management products</t>
  </si>
  <si>
    <t>Placement of time deposits</t>
  </si>
  <si>
    <t>Proceeds from maturity of time deposits</t>
  </si>
  <si>
    <t>Payments for the purchase of investments in equity securities</t>
  </si>
  <si>
    <t xml:space="preserve">Proceeds from disposal of investments in equity securities </t>
  </si>
  <si>
    <t>Payments for capital injections to associates</t>
  </si>
  <si>
    <t>Payments for the acquisition of a subsidiary, net of cash acquired</t>
  </si>
  <si>
    <t xml:space="preserve">Net cash used in investing activities                            </t>
  </si>
  <si>
    <t>Cash flow from financing activities</t>
  </si>
  <si>
    <t>Proceeds from issuance of financial instruments</t>
  </si>
  <si>
    <t>Payments of transaction costs for financial instruments</t>
  </si>
  <si>
    <t>Advanced capital injections received from equity shareholders</t>
  </si>
  <si>
    <t>Repayments of bank loans</t>
  </si>
  <si>
    <t>Proceeds from the issuance of convertible bonds</t>
  </si>
  <si>
    <t>Proceeds from bank loans</t>
  </si>
  <si>
    <t>Capital element of lease rentals paid</t>
  </si>
  <si>
    <t>Interest element of lease rentals paid</t>
  </si>
  <si>
    <t>Capital contribution from non-controlling interests</t>
  </si>
  <si>
    <t>Distribution to non-controlling equity holders on liquidation of a subsidiary</t>
  </si>
  <si>
    <t>Proceeds from financing of property and equipment</t>
  </si>
  <si>
    <t>Payments of interests on bank loans</t>
  </si>
  <si>
    <t>Payment of costs in connection with the proposed listing of the company's shares</t>
  </si>
  <si>
    <t xml:space="preserve">Net cash provided by financing activities                     </t>
  </si>
  <si>
    <t>Net (decrease)/ increase in cash and cash equivalents</t>
  </si>
  <si>
    <t>Cash and cash equivalents at beginning of year</t>
  </si>
  <si>
    <t>Effects of exchange rate changes, net</t>
  </si>
  <si>
    <t>Cash and cash equivalents at end of year</t>
  </si>
  <si>
    <t>Net cash provided by operating activities</t>
  </si>
  <si>
    <t>Capital expenditure</t>
  </si>
  <si>
    <t>Free cash flow</t>
  </si>
  <si>
    <t>USD/CNY</t>
  </si>
  <si>
    <t>December year-end. Rmb$ mn.</t>
  </si>
  <si>
    <t>2030E</t>
  </si>
  <si>
    <t xml:space="preserve">   yoy %</t>
  </si>
  <si>
    <t>By product lines:</t>
  </si>
  <si>
    <t>Open platform and API</t>
  </si>
  <si>
    <t>Enterprise-level agents</t>
  </si>
  <si>
    <t>Enterprise-level general-purpose large models</t>
  </si>
  <si>
    <t>Technical service and others</t>
  </si>
  <si>
    <t xml:space="preserve">   Open platform and API</t>
  </si>
  <si>
    <t xml:space="preserve">   Enterprise-level agents</t>
  </si>
  <si>
    <t xml:space="preserve">   Enterprise-level general-purpose large models</t>
  </si>
  <si>
    <t xml:space="preserve">   Technical service and others</t>
  </si>
  <si>
    <t>Revenue breakdown %</t>
  </si>
  <si>
    <t>By deployment methods:</t>
  </si>
  <si>
    <t>On-premise deployment</t>
  </si>
  <si>
    <t>a+b</t>
  </si>
  <si>
    <t>Cloud-based deployment</t>
  </si>
  <si>
    <t>Year- end ARR ($ mn)</t>
  </si>
  <si>
    <t>Year-end ARR (Rmb mn)</t>
  </si>
  <si>
    <t>a</t>
  </si>
  <si>
    <t>API / pay-as-you-go</t>
  </si>
  <si>
    <t>Daily token volume (bn)</t>
  </si>
  <si>
    <t>Blended API price (per 1M tokens)</t>
  </si>
  <si>
    <t>Realized price</t>
  </si>
  <si>
    <t>discount %</t>
  </si>
  <si>
    <t>Revenue from API</t>
  </si>
  <si>
    <t xml:space="preserve">   % of API</t>
  </si>
  <si>
    <t>b</t>
  </si>
  <si>
    <t>Subscription - coding plan</t>
  </si>
  <si>
    <t># of paid users (mn)</t>
  </si>
  <si>
    <t># of total users</t>
  </si>
  <si>
    <t>% of paid users</t>
  </si>
  <si>
    <t>Monthly price</t>
  </si>
  <si>
    <t>Revenue from coding plan subscription</t>
  </si>
  <si>
    <t>% of API</t>
  </si>
  <si>
    <t xml:space="preserve">   On-premise deployment</t>
  </si>
  <si>
    <t xml:space="preserve">   Cloud-based deployment</t>
  </si>
  <si>
    <t>Operating metrics</t>
  </si>
  <si>
    <t>Number of institutional customers</t>
  </si>
  <si>
    <t>8000+</t>
  </si>
  <si>
    <t>Implied ARPU</t>
  </si>
  <si>
    <t>On-premise deployment (Rmb mn)</t>
  </si>
  <si>
    <t>Cloud-based deployment (Rmb k)</t>
  </si>
  <si>
    <t>Token</t>
  </si>
  <si>
    <t>Token consumption volume (bn)</t>
  </si>
  <si>
    <t>Average daily token consumption volume (bn)</t>
  </si>
  <si>
    <t>On-premise deployment by industry:</t>
  </si>
  <si>
    <t>Internet and technology</t>
  </si>
  <si>
    <t>Public services</t>
  </si>
  <si>
    <t>Telecommunications</t>
  </si>
  <si>
    <t>Traditional corporate</t>
  </si>
  <si>
    <t>Consumer electronics</t>
  </si>
  <si>
    <t>On-premise deployment breakdown by industry:</t>
  </si>
  <si>
    <t>On-premise deployment by regions:</t>
  </si>
  <si>
    <t>Mainland China</t>
  </si>
  <si>
    <t>SEA</t>
  </si>
  <si>
    <t xml:space="preserve">Hong Kong </t>
  </si>
  <si>
    <t>On-premise deployment by regions yoy%</t>
  </si>
  <si>
    <t>On-premise deployment breakdown by regions:</t>
  </si>
  <si>
    <t>Breakdown</t>
  </si>
  <si>
    <t>Cost breakdown</t>
  </si>
  <si>
    <t>Computing service fee</t>
  </si>
  <si>
    <t>Provision for warranty</t>
  </si>
  <si>
    <t>Taxes and surcharges</t>
  </si>
  <si>
    <t>Cost breakdown %</t>
  </si>
  <si>
    <t>Gross profit</t>
  </si>
  <si>
    <t xml:space="preserve">   GPM</t>
  </si>
  <si>
    <t>Open platform and API GPM %</t>
  </si>
  <si>
    <t>Enterprise-level agents GPM %</t>
  </si>
  <si>
    <t>Enterprise-level general-purpose large models GPM %</t>
  </si>
  <si>
    <t>Technical service and others GPM %</t>
  </si>
  <si>
    <t>On-premise deployment GPM %</t>
  </si>
  <si>
    <t>Cloud-based deployment GPM %</t>
  </si>
  <si>
    <t>Total market TAM - US$ mn</t>
  </si>
  <si>
    <t>Total market TAM - Rmb mn</t>
  </si>
  <si>
    <t>(Rmb mn)</t>
  </si>
  <si>
    <t>2031-35E</t>
  </si>
  <si>
    <t>Amongst which: Open platform API revenue</t>
  </si>
  <si>
    <t>Implied % of China AI model revenue pool</t>
  </si>
  <si>
    <t>Incremental market share gain</t>
  </si>
  <si>
    <t>Training cost as % of revenue</t>
  </si>
  <si>
    <t>Non-GAAP operating profit</t>
  </si>
  <si>
    <t>Non-GAAP operating margin %</t>
  </si>
  <si>
    <t>Income tax rate %</t>
  </si>
  <si>
    <t>Income tax expenses</t>
  </si>
  <si>
    <t>NOPAT (adjusted)</t>
  </si>
  <si>
    <t>Depreciation &amp; amortization</t>
  </si>
  <si>
    <t>Change in working capital</t>
  </si>
  <si>
    <t>Capital expenditures</t>
  </si>
  <si>
    <t>Free cash flow (with terminal value), 12% WACC</t>
  </si>
  <si>
    <t>FCF margin</t>
  </si>
  <si>
    <t>Discount factor</t>
  </si>
  <si>
    <t>Firm value (discount to 2026E, Rmb mn)</t>
  </si>
  <si>
    <t>Net cash (2026E)</t>
  </si>
  <si>
    <t>Equity valuation (discount to 2026E, Rmb mn)</t>
  </si>
  <si>
    <t>Equity valuation (discount to 2026E, HK$ mn)</t>
  </si>
  <si>
    <t>Terminal value as % of total</t>
  </si>
  <si>
    <t>Shares outstanding (mn)</t>
  </si>
  <si>
    <t>Target Price (HK$)</t>
  </si>
  <si>
    <t>WACC calculation</t>
  </si>
  <si>
    <t>High-end</t>
  </si>
  <si>
    <t>Equity component</t>
  </si>
  <si>
    <t>Equity market premium</t>
  </si>
  <si>
    <t>Risk free rate</t>
  </si>
  <si>
    <t>Beta</t>
  </si>
  <si>
    <t>Cost of equity</t>
  </si>
  <si>
    <t>Debt component</t>
  </si>
  <si>
    <t>Cost of debt</t>
  </si>
  <si>
    <t>Tax rate</t>
  </si>
  <si>
    <t>After-tax cost of debt</t>
  </si>
  <si>
    <t>WACC</t>
  </si>
  <si>
    <t>Terminal growth rate</t>
  </si>
  <si>
    <t>Implied exit FCF multiple</t>
  </si>
  <si>
    <t>CNY/HKD</t>
  </si>
  <si>
    <t>Reverse DCF - bull case</t>
  </si>
  <si>
    <t>Amongst which: open platform API revenue</t>
  </si>
  <si>
    <t>Implied % of market penetration</t>
  </si>
  <si>
    <t>% of open platform API revenue</t>
  </si>
  <si>
    <t>Fixed cost - training cost</t>
  </si>
  <si>
    <t>Variable cost - all others</t>
  </si>
  <si>
    <t>Variable cost as % of revenue</t>
  </si>
  <si>
    <t>Income tax expenses/benefits</t>
  </si>
  <si>
    <t>Free cash flow - bull case</t>
  </si>
  <si>
    <t>Free cash flow - bull case + terminal</t>
  </si>
  <si>
    <t>Free cash flow - base case</t>
  </si>
  <si>
    <t>Weights</t>
  </si>
  <si>
    <t>Incremental present value by year</t>
  </si>
  <si>
    <t>Incremental FCF by year</t>
  </si>
  <si>
    <t>Firm value - bull case</t>
  </si>
  <si>
    <t>Equity valuation - bull case</t>
  </si>
  <si>
    <t>Firm value - base case</t>
  </si>
  <si>
    <t>Delta</t>
  </si>
  <si>
    <t>Reverse DCF - bear case</t>
  </si>
  <si>
    <t>Free cash flow - bear case</t>
  </si>
  <si>
    <t>Free cash flow - bear case + terminal</t>
  </si>
  <si>
    <t>Firm value - bear case</t>
  </si>
  <si>
    <t>Scenarios for valuation</t>
  </si>
  <si>
    <t>Bear case</t>
  </si>
  <si>
    <t>Base case</t>
  </si>
  <si>
    <t>Bull case</t>
  </si>
  <si>
    <t>2027E EV/Sales-based</t>
  </si>
  <si>
    <t>DCF-based</t>
  </si>
  <si>
    <t>DCF-based, mid-2028E ARR-implied</t>
  </si>
  <si>
    <t>Applying 8X EV/Sales multiple to 27E open API platform revenue of Rmb22bn. Bear case valuation implies Zhipu’s revenue pool share declines from 20% to 18% from 2027 to 2030E on higher competition.</t>
  </si>
  <si>
    <t>Assuming Zhipu's revenue pool share to expand from 20% in 2027 to 24% by 2030E, and 26% EBIT margin (by 2035E). Applying 12% WACC and 2% terminal growth rate (consistent with our coverage).</t>
  </si>
  <si>
    <t xml:space="preserve">Bull case valuation assumes Zhipu’s revenue pool share to expand from 20% in 2027 to 33% by 2030E. Implies 28X mid-2028E ARR, discounting back using 12% p.a. </t>
  </si>
  <si>
    <t>Valuation per share (HK$)</t>
  </si>
  <si>
    <t>Valuation (US$bn)</t>
  </si>
  <si>
    <t>Upside/downside</t>
  </si>
  <si>
    <t>ARR/Revenue (US$mn)</t>
  </si>
  <si>
    <t>Multiple</t>
  </si>
  <si>
    <t>EV/equity value (US$ mn)</t>
  </si>
  <si>
    <t>Equity value (HK$ mn)</t>
  </si>
  <si>
    <t>Share outstanding</t>
  </si>
  <si>
    <t>Current price</t>
  </si>
  <si>
    <t>Amongst which: Inference cost</t>
  </si>
  <si>
    <t>GP Margin %</t>
  </si>
  <si>
    <t>Amongst which: Training cost</t>
  </si>
  <si>
    <t>OP Margin %</t>
  </si>
  <si>
    <t>NP Margin %</t>
  </si>
  <si>
    <t>GPM</t>
  </si>
  <si>
    <t>Adj. OPM</t>
  </si>
  <si>
    <t>Adj. NPM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</si>
</sst>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(* #,##0.0_);_(* \(#,##0.0\);_(* &quot;-&quot;??_);_(@_)"/>
    <numFmt numFmtId="166" formatCode="0.0"/>
    <numFmt numFmtId="167" formatCode="0&quot;E&quot;"/>
    <numFmt numFmtId="168" formatCode="_(* #,##0_);_(* \(#,##0\);_(* &quot;-&quot;??_);_(@_)"/>
    <numFmt numFmtId="171" formatCode="_(* #,##0.000_);_(* \(#,##0.000\);_(* &quot;-&quot;_);_(@_)"/>
    <numFmt numFmtId="172" formatCode="0.0%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indexed="24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indexed="8"/>
      <name val="Arial"/>
      <family val="2"/>
    </font>
    <font>
      <b/>
      <sz val="12"/>
      <color indexed="2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9"/>
      <color indexed="31"/>
      <name val="Arial"/>
      <family val="2"/>
    </font>
    <font>
      <u/>
      <sz val="11"/>
      <color theme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24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8"/>
      <color indexed="24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53"/>
      <name val="Arial"/>
      <family val="2"/>
    </font>
    <font>
      <i/>
      <sz val="10"/>
      <name val="Arial"/>
      <family val="2"/>
    </font>
    <font>
      <sz val="10"/>
      <color theme="1"/>
      <name val="Times New Roman"/>
      <family val="2"/>
    </font>
    <font>
      <sz val="8"/>
      <color theme="1"/>
      <name val="Arial"/>
      <family val="2"/>
    </font>
    <font>
      <sz val="8"/>
      <color rgb="FF0000FF"/>
      <name val="Arial"/>
      <family val="2"/>
    </font>
    <font>
      <b/>
      <sz val="8"/>
      <name val="Arial"/>
      <family val="2"/>
    </font>
    <font>
      <b/>
      <sz val="8"/>
      <color rgb="FFFF0000"/>
      <name val="Arial"/>
      <family val="2"/>
    </font>
    <font>
      <b/>
      <sz val="8"/>
      <color theme="0"/>
      <name val="Arial"/>
      <family val="2"/>
    </font>
    <font>
      <b/>
      <sz val="8"/>
      <color theme="8"/>
      <name val="Arial"/>
      <family val="2"/>
    </font>
    <font>
      <sz val="8"/>
      <name val="Arial"/>
      <family val="2"/>
    </font>
    <font>
      <i/>
      <sz val="8"/>
      <color theme="1"/>
      <name val="Arial"/>
      <family val="2"/>
    </font>
    <font>
      <sz val="8"/>
      <color theme="8"/>
      <name val="Arial"/>
      <family val="2"/>
    </font>
    <font>
      <b/>
      <sz val="8"/>
      <color theme="1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i/>
      <u/>
      <sz val="8"/>
      <color theme="1"/>
      <name val="Arial"/>
      <family val="2"/>
    </font>
    <font>
      <i/>
      <sz val="8"/>
      <name val="Arial"/>
      <family val="2"/>
    </font>
    <font>
      <i/>
      <sz val="8"/>
      <color rgb="FFFF0000"/>
      <name val="Arial"/>
      <family val="2"/>
    </font>
    <font>
      <i/>
      <sz val="8"/>
      <color rgb="FF0000FF"/>
      <name val="Arial"/>
      <family val="2"/>
    </font>
    <font>
      <sz val="8"/>
      <color theme="9" tint="0.79998168889431442"/>
      <name val="Arial"/>
      <family val="2"/>
    </font>
    <font>
      <sz val="8"/>
      <color theme="0"/>
      <name val="Arial"/>
      <family val="2"/>
    </font>
    <font>
      <i/>
      <sz val="8"/>
      <color rgb="FF7030A0"/>
      <name val="Arial"/>
      <family val="2"/>
    </font>
    <font>
      <i/>
      <sz val="8"/>
      <color theme="6" tint="0.3999755851924192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0000FF"/>
      <name val="Arial"/>
      <family val="2"/>
    </font>
    <font>
      <sz val="11"/>
      <color indexed="8"/>
      <name val="Univers LT Std 55"/>
      <family val="2"/>
    </font>
    <font>
      <b/>
      <sz val="10"/>
      <color theme="8"/>
      <name val="Arial"/>
      <family val="2"/>
    </font>
    <font>
      <i/>
      <sz val="10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00355F"/>
        <bgColor rgb="FF000000"/>
      </patternFill>
    </fill>
    <fill>
      <patternFill patternType="solid">
        <fgColor rgb="FFD5ECFF"/>
        <bgColor rgb="FF000000"/>
      </patternFill>
    </fill>
    <fill>
      <patternFill patternType="solid">
        <fgColor rgb="FFFDE4D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-0.74999237037263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8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3" fontId="54" fillId="0" borderId="0" applyFont="0" applyFill="0" applyBorder="0" applyAlignment="0" applyProtection="0"/>
  </cellStyleXfs>
  <cellXfs count="341">
    <xf numFmtId="0" fontId="0" fillId="0" borderId="0" xfId="0"/>
    <xf numFmtId="14" fontId="3" fillId="0" borderId="0" xfId="0" applyNumberFormat="1" applyFont="1" applyAlignment="1">
      <alignment readingOrder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horizontal="left"/>
    </xf>
    <xf numFmtId="0" fontId="9" fillId="0" borderId="0" xfId="0" applyFont="1"/>
    <xf numFmtId="49" fontId="10" fillId="0" borderId="0" xfId="0" applyNumberFormat="1" applyFont="1"/>
    <xf numFmtId="0" fontId="10" fillId="0" borderId="0" xfId="0" quotePrefix="1" applyFont="1"/>
    <xf numFmtId="0" fontId="11" fillId="0" borderId="0" xfId="0" quotePrefix="1" applyFont="1"/>
    <xf numFmtId="0" fontId="12" fillId="0" borderId="0" xfId="3" applyFont="1" applyFill="1" applyBorder="1" applyAlignment="1" applyProtection="1"/>
    <xf numFmtId="0" fontId="13" fillId="2" borderId="1" xfId="0" applyFont="1" applyFill="1" applyBorder="1"/>
    <xf numFmtId="0" fontId="14" fillId="2" borderId="2" xfId="0" applyFont="1" applyFill="1" applyBorder="1"/>
    <xf numFmtId="0" fontId="13" fillId="2" borderId="2" xfId="0" applyFont="1" applyFill="1" applyBorder="1" applyAlignment="1">
      <alignment horizontal="right"/>
    </xf>
    <xf numFmtId="0" fontId="13" fillId="2" borderId="3" xfId="0" applyFont="1" applyFill="1" applyBorder="1" applyAlignment="1">
      <alignment horizontal="right"/>
    </xf>
    <xf numFmtId="0" fontId="9" fillId="0" borderId="4" xfId="0" applyFont="1" applyBorder="1" applyAlignment="1">
      <alignment horizontal="left"/>
    </xf>
    <xf numFmtId="0" fontId="15" fillId="0" borderId="5" xfId="0" applyFont="1" applyBorder="1"/>
    <xf numFmtId="0" fontId="16" fillId="0" borderId="5" xfId="0" applyFont="1" applyBorder="1" applyAlignment="1">
      <alignment horizontal="right"/>
    </xf>
    <xf numFmtId="0" fontId="16" fillId="0" borderId="6" xfId="0" applyFont="1" applyBorder="1" applyAlignment="1">
      <alignment horizontal="right"/>
    </xf>
    <xf numFmtId="0" fontId="4" fillId="0" borderId="7" xfId="0" applyFont="1" applyBorder="1" applyAlignment="1">
      <alignment horizontal="left"/>
    </xf>
    <xf numFmtId="0" fontId="15" fillId="0" borderId="0" xfId="0" applyFont="1"/>
    <xf numFmtId="0" fontId="17" fillId="0" borderId="0" xfId="0" applyFont="1" applyAlignment="1">
      <alignment horizontal="right"/>
    </xf>
    <xf numFmtId="0" fontId="17" fillId="0" borderId="8" xfId="0" applyFont="1" applyBorder="1" applyAlignment="1">
      <alignment horizontal="right"/>
    </xf>
    <xf numFmtId="0" fontId="15" fillId="0" borderId="7" xfId="0" applyFont="1" applyBorder="1"/>
    <xf numFmtId="0" fontId="6" fillId="0" borderId="0" xfId="0" applyFont="1" applyAlignment="1">
      <alignment horizontal="right"/>
    </xf>
    <xf numFmtId="0" fontId="6" fillId="0" borderId="8" xfId="0" applyFont="1" applyBorder="1"/>
    <xf numFmtId="0" fontId="9" fillId="0" borderId="7" xfId="0" applyFont="1" applyBorder="1" applyAlignment="1">
      <alignment horizontal="left"/>
    </xf>
    <xf numFmtId="0" fontId="18" fillId="0" borderId="0" xfId="0" applyFont="1" applyAlignment="1">
      <alignment horizontal="right"/>
    </xf>
    <xf numFmtId="164" fontId="18" fillId="0" borderId="8" xfId="1" applyNumberFormat="1" applyFont="1" applyFill="1" applyBorder="1" applyAlignment="1">
      <alignment horizontal="right"/>
    </xf>
    <xf numFmtId="0" fontId="19" fillId="0" borderId="0" xfId="0" applyFont="1" applyAlignment="1" applyProtection="1">
      <alignment horizontal="right"/>
      <protection locked="0"/>
    </xf>
    <xf numFmtId="164" fontId="19" fillId="0" borderId="8" xfId="1" applyNumberFormat="1" applyFont="1" applyFill="1" applyBorder="1" applyAlignment="1" applyProtection="1">
      <alignment horizontal="right"/>
      <protection locked="0"/>
    </xf>
    <xf numFmtId="0" fontId="20" fillId="0" borderId="9" xfId="0" applyFont="1" applyBorder="1"/>
    <xf numFmtId="0" fontId="15" fillId="0" borderId="10" xfId="0" applyFont="1" applyBorder="1"/>
    <xf numFmtId="0" fontId="3" fillId="0" borderId="11" xfId="0" applyFont="1" applyBorder="1"/>
    <xf numFmtId="0" fontId="13" fillId="2" borderId="1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2" xfId="0" applyFont="1" applyBorder="1" applyAlignment="1">
      <alignment horizontal="center"/>
    </xf>
    <xf numFmtId="0" fontId="21" fillId="0" borderId="12" xfId="0" applyFont="1" applyBorder="1" applyAlignment="1">
      <alignment horizontal="center"/>
    </xf>
    <xf numFmtId="0" fontId="22" fillId="0" borderId="12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Protection="1">
      <protection locked="0"/>
    </xf>
    <xf numFmtId="0" fontId="26" fillId="0" borderId="0" xfId="5" applyFont="1"/>
    <xf numFmtId="0" fontId="26" fillId="0" borderId="0" xfId="5" applyFont="1" applyAlignment="1">
      <alignment horizontal="right"/>
    </xf>
    <xf numFmtId="0" fontId="27" fillId="0" borderId="0" xfId="5" applyFont="1"/>
    <xf numFmtId="0" fontId="28" fillId="0" borderId="0" xfId="5" applyFont="1" applyAlignment="1">
      <alignment vertical="center"/>
    </xf>
    <xf numFmtId="166" fontId="29" fillId="0" borderId="0" xfId="5" applyNumberFormat="1" applyFont="1" applyAlignment="1">
      <alignment horizontal="left"/>
    </xf>
    <xf numFmtId="9" fontId="26" fillId="0" borderId="0" xfId="5" applyNumberFormat="1" applyFont="1" applyAlignment="1">
      <alignment horizontal="right"/>
    </xf>
    <xf numFmtId="0" fontId="30" fillId="2" borderId="0" xfId="5" applyFont="1" applyFill="1" applyAlignment="1">
      <alignment vertical="center"/>
    </xf>
    <xf numFmtId="0" fontId="30" fillId="2" borderId="0" xfId="5" applyFont="1" applyFill="1" applyAlignment="1">
      <alignment horizontal="right" vertical="center"/>
    </xf>
    <xf numFmtId="167" fontId="30" fillId="2" borderId="0" xfId="5" applyNumberFormat="1" applyFont="1" applyFill="1" applyAlignment="1">
      <alignment horizontal="right" vertical="center"/>
    </xf>
    <xf numFmtId="0" fontId="28" fillId="0" borderId="0" xfId="5" applyFont="1"/>
    <xf numFmtId="0" fontId="28" fillId="3" borderId="0" xfId="5" applyFont="1" applyFill="1"/>
    <xf numFmtId="168" fontId="31" fillId="3" borderId="0" xfId="5" applyNumberFormat="1" applyFont="1" applyFill="1" applyAlignment="1">
      <alignment horizontal="right"/>
    </xf>
    <xf numFmtId="168" fontId="28" fillId="0" borderId="0" xfId="5" applyNumberFormat="1" applyFont="1"/>
    <xf numFmtId="168" fontId="32" fillId="0" borderId="0" xfId="5" applyNumberFormat="1" applyFont="1"/>
    <xf numFmtId="0" fontId="26" fillId="3" borderId="0" xfId="5" applyFont="1" applyFill="1"/>
    <xf numFmtId="0" fontId="33" fillId="3" borderId="0" xfId="5" applyFont="1" applyFill="1"/>
    <xf numFmtId="168" fontId="26" fillId="3" borderId="0" xfId="5" applyNumberFormat="1" applyFont="1" applyFill="1" applyAlignment="1">
      <alignment horizontal="right"/>
    </xf>
    <xf numFmtId="9" fontId="26" fillId="3" borderId="0" xfId="2" applyFont="1" applyFill="1" applyAlignment="1">
      <alignment horizontal="right"/>
    </xf>
    <xf numFmtId="168" fontId="27" fillId="0" borderId="0" xfId="5" applyNumberFormat="1" applyFont="1"/>
    <xf numFmtId="9" fontId="26" fillId="3" borderId="0" xfId="2" applyFont="1" applyFill="1"/>
    <xf numFmtId="0" fontId="33" fillId="0" borderId="0" xfId="5" applyFont="1"/>
    <xf numFmtId="168" fontId="26" fillId="0" borderId="0" xfId="5" applyNumberFormat="1" applyFont="1" applyAlignment="1">
      <alignment horizontal="right"/>
    </xf>
    <xf numFmtId="9" fontId="26" fillId="0" borderId="0" xfId="2" applyFont="1" applyAlignment="1">
      <alignment horizontal="right"/>
    </xf>
    <xf numFmtId="168" fontId="26" fillId="0" borderId="0" xfId="5" applyNumberFormat="1" applyFont="1"/>
    <xf numFmtId="168" fontId="34" fillId="0" borderId="0" xfId="5" applyNumberFormat="1" applyFont="1" applyAlignment="1">
      <alignment horizontal="right"/>
    </xf>
    <xf numFmtId="168" fontId="34" fillId="0" borderId="0" xfId="5" applyNumberFormat="1" applyFont="1"/>
    <xf numFmtId="0" fontId="35" fillId="0" borderId="0" xfId="5" applyFont="1"/>
    <xf numFmtId="168" fontId="35" fillId="0" borderId="0" xfId="5" applyNumberFormat="1" applyFont="1" applyAlignment="1">
      <alignment horizontal="right"/>
    </xf>
    <xf numFmtId="168" fontId="36" fillId="0" borderId="0" xfId="5" applyNumberFormat="1" applyFont="1"/>
    <xf numFmtId="168" fontId="35" fillId="0" borderId="0" xfId="5" applyNumberFormat="1" applyFont="1"/>
    <xf numFmtId="168" fontId="27" fillId="0" borderId="0" xfId="5" applyNumberFormat="1" applyFont="1" applyAlignment="1">
      <alignment horizontal="right"/>
    </xf>
    <xf numFmtId="168" fontId="32" fillId="0" borderId="0" xfId="5" applyNumberFormat="1" applyFont="1" applyAlignment="1">
      <alignment horizontal="right"/>
    </xf>
    <xf numFmtId="168" fontId="37" fillId="0" borderId="0" xfId="5" applyNumberFormat="1" applyFont="1" applyAlignment="1">
      <alignment horizontal="right"/>
    </xf>
    <xf numFmtId="168" fontId="37" fillId="0" borderId="0" xfId="5" applyNumberFormat="1" applyFont="1"/>
    <xf numFmtId="168" fontId="28" fillId="0" borderId="0" xfId="5" applyNumberFormat="1" applyFont="1" applyAlignment="1">
      <alignment horizontal="right"/>
    </xf>
    <xf numFmtId="9" fontId="32" fillId="0" borderId="0" xfId="2" applyFont="1" applyFill="1" applyAlignment="1">
      <alignment horizontal="right"/>
    </xf>
    <xf numFmtId="9" fontId="26" fillId="0" borderId="0" xfId="2" applyFont="1" applyFill="1" applyAlignment="1">
      <alignment horizontal="right"/>
    </xf>
    <xf numFmtId="0" fontId="35" fillId="4" borderId="0" xfId="5" applyFont="1" applyFill="1"/>
    <xf numFmtId="0" fontId="26" fillId="4" borderId="0" xfId="5" applyFont="1" applyFill="1"/>
    <xf numFmtId="168" fontId="28" fillId="4" borderId="0" xfId="5" applyNumberFormat="1" applyFont="1" applyFill="1" applyAlignment="1">
      <alignment horizontal="right"/>
    </xf>
    <xf numFmtId="0" fontId="33" fillId="4" borderId="0" xfId="5" applyFont="1" applyFill="1"/>
    <xf numFmtId="168" fontId="27" fillId="4" borderId="0" xfId="5" applyNumberFormat="1" applyFont="1" applyFill="1" applyAlignment="1">
      <alignment horizontal="right"/>
    </xf>
    <xf numFmtId="9" fontId="32" fillId="4" borderId="0" xfId="2" applyFont="1" applyFill="1" applyAlignment="1">
      <alignment horizontal="right"/>
    </xf>
    <xf numFmtId="9" fontId="26" fillId="4" borderId="0" xfId="2" applyFont="1" applyFill="1" applyAlignment="1">
      <alignment horizontal="right"/>
    </xf>
    <xf numFmtId="9" fontId="37" fillId="0" borderId="0" xfId="2" applyFont="1" applyAlignment="1">
      <alignment horizontal="right"/>
    </xf>
    <xf numFmtId="0" fontId="38" fillId="0" borderId="0" xfId="5" applyFont="1"/>
    <xf numFmtId="0" fontId="32" fillId="0" borderId="0" xfId="5" applyFont="1"/>
    <xf numFmtId="0" fontId="28" fillId="4" borderId="0" xfId="5" applyFont="1" applyFill="1"/>
    <xf numFmtId="0" fontId="32" fillId="4" borderId="0" xfId="5" applyFont="1" applyFill="1"/>
    <xf numFmtId="9" fontId="28" fillId="0" borderId="0" xfId="2" applyFont="1" applyAlignment="1">
      <alignment horizontal="right"/>
    </xf>
    <xf numFmtId="9" fontId="28" fillId="0" borderId="0" xfId="2" applyFont="1"/>
    <xf numFmtId="0" fontId="39" fillId="0" borderId="0" xfId="5" applyFont="1"/>
    <xf numFmtId="9" fontId="32" fillId="0" borderId="0" xfId="2" applyFont="1" applyAlignment="1">
      <alignment horizontal="right"/>
    </xf>
    <xf numFmtId="9" fontId="32" fillId="0" borderId="0" xfId="2" applyFont="1" applyFill="1"/>
    <xf numFmtId="0" fontId="26" fillId="0" borderId="10" xfId="5" applyFont="1" applyBorder="1"/>
    <xf numFmtId="168" fontId="32" fillId="0" borderId="10" xfId="5" applyNumberFormat="1" applyFont="1" applyBorder="1" applyAlignment="1">
      <alignment horizontal="right"/>
    </xf>
    <xf numFmtId="168" fontId="32" fillId="0" borderId="5" xfId="5" applyNumberFormat="1" applyFont="1" applyBorder="1" applyAlignment="1">
      <alignment horizontal="right"/>
    </xf>
    <xf numFmtId="43" fontId="32" fillId="0" borderId="0" xfId="5" applyNumberFormat="1" applyFont="1" applyAlignment="1">
      <alignment horizontal="right"/>
    </xf>
    <xf numFmtId="168" fontId="32" fillId="0" borderId="0" xfId="2" applyNumberFormat="1" applyFont="1" applyAlignment="1">
      <alignment horizontal="right"/>
    </xf>
    <xf numFmtId="0" fontId="37" fillId="0" borderId="0" xfId="5" applyFont="1"/>
    <xf numFmtId="9" fontId="37" fillId="0" borderId="0" xfId="2" applyFont="1" applyFill="1" applyAlignment="1">
      <alignment horizontal="right"/>
    </xf>
    <xf numFmtId="0" fontId="40" fillId="0" borderId="0" xfId="5" applyFont="1"/>
    <xf numFmtId="43" fontId="39" fillId="0" borderId="0" xfId="5" applyNumberFormat="1" applyFont="1" applyAlignment="1">
      <alignment horizontal="right"/>
    </xf>
    <xf numFmtId="168" fontId="39" fillId="0" borderId="0" xfId="5" applyNumberFormat="1" applyFont="1" applyAlignment="1">
      <alignment horizontal="right"/>
    </xf>
    <xf numFmtId="168" fontId="41" fillId="0" borderId="0" xfId="5" applyNumberFormat="1" applyFont="1"/>
    <xf numFmtId="43" fontId="40" fillId="0" borderId="0" xfId="5" applyNumberFormat="1" applyFont="1" applyAlignment="1">
      <alignment horizontal="right"/>
    </xf>
    <xf numFmtId="168" fontId="33" fillId="0" borderId="0" xfId="5" applyNumberFormat="1" applyFont="1"/>
    <xf numFmtId="9" fontId="40" fillId="0" borderId="0" xfId="5" applyNumberFormat="1" applyFont="1" applyAlignment="1">
      <alignment horizontal="right"/>
    </xf>
    <xf numFmtId="0" fontId="26" fillId="0" borderId="0" xfId="0" applyFont="1"/>
    <xf numFmtId="0" fontId="32" fillId="0" borderId="0" xfId="0" applyFont="1" applyAlignment="1">
      <alignment vertical="center"/>
    </xf>
    <xf numFmtId="0" fontId="35" fillId="0" borderId="0" xfId="0" applyFont="1"/>
    <xf numFmtId="43" fontId="26" fillId="0" borderId="0" xfId="5" applyNumberFormat="1" applyFont="1" applyAlignment="1">
      <alignment horizontal="right"/>
    </xf>
    <xf numFmtId="37" fontId="35" fillId="0" borderId="0" xfId="5" applyNumberFormat="1" applyFont="1" applyAlignment="1">
      <alignment horizontal="right"/>
    </xf>
    <xf numFmtId="37" fontId="36" fillId="0" borderId="0" xfId="5" applyNumberFormat="1" applyFont="1"/>
    <xf numFmtId="37" fontId="35" fillId="0" borderId="0" xfId="5" applyNumberFormat="1" applyFont="1"/>
    <xf numFmtId="37" fontId="26" fillId="0" borderId="0" xfId="5" applyNumberFormat="1" applyFont="1" applyAlignment="1">
      <alignment horizontal="right"/>
    </xf>
    <xf numFmtId="37" fontId="27" fillId="0" borderId="0" xfId="5" applyNumberFormat="1" applyFont="1"/>
    <xf numFmtId="37" fontId="26" fillId="0" borderId="0" xfId="5" applyNumberFormat="1" applyFont="1"/>
    <xf numFmtId="0" fontId="42" fillId="0" borderId="0" xfId="5" applyFont="1"/>
    <xf numFmtId="0" fontId="40" fillId="0" borderId="0" xfId="0" applyFont="1"/>
    <xf numFmtId="41" fontId="40" fillId="0" borderId="0" xfId="5" applyNumberFormat="1" applyFont="1" applyAlignment="1">
      <alignment horizontal="right"/>
    </xf>
    <xf numFmtId="41" fontId="40" fillId="0" borderId="0" xfId="5" applyNumberFormat="1" applyFont="1"/>
    <xf numFmtId="37" fontId="40" fillId="0" borderId="0" xfId="5" applyNumberFormat="1" applyFont="1"/>
    <xf numFmtId="171" fontId="40" fillId="0" borderId="0" xfId="5" applyNumberFormat="1" applyFont="1" applyAlignment="1">
      <alignment horizontal="right"/>
    </xf>
    <xf numFmtId="0" fontId="28" fillId="0" borderId="0" xfId="0" applyFont="1" applyAlignment="1">
      <alignment vertical="center"/>
    </xf>
    <xf numFmtId="37" fontId="37" fillId="0" borderId="0" xfId="5" applyNumberFormat="1" applyFont="1" applyAlignment="1">
      <alignment horizontal="right"/>
    </xf>
    <xf numFmtId="1" fontId="37" fillId="0" borderId="0" xfId="2" applyNumberFormat="1" applyFont="1" applyAlignment="1">
      <alignment horizontal="right"/>
    </xf>
    <xf numFmtId="0" fontId="33" fillId="0" borderId="0" xfId="0" applyFont="1"/>
    <xf numFmtId="0" fontId="39" fillId="0" borderId="0" xfId="0" applyFont="1" applyAlignment="1">
      <alignment vertical="center"/>
    </xf>
    <xf numFmtId="37" fontId="33" fillId="0" borderId="0" xfId="5" applyNumberFormat="1" applyFont="1" applyAlignment="1">
      <alignment horizontal="right"/>
    </xf>
    <xf numFmtId="37" fontId="41" fillId="0" borderId="0" xfId="5" applyNumberFormat="1" applyFont="1"/>
    <xf numFmtId="37" fontId="33" fillId="0" borderId="0" xfId="5" applyNumberFormat="1" applyFont="1"/>
    <xf numFmtId="37" fontId="27" fillId="0" borderId="0" xfId="5" applyNumberFormat="1" applyFont="1" applyAlignment="1">
      <alignment horizontal="right"/>
    </xf>
    <xf numFmtId="0" fontId="26" fillId="0" borderId="0" xfId="5" applyFont="1" applyAlignment="1">
      <alignment horizontal="left" readingOrder="1"/>
    </xf>
    <xf numFmtId="0" fontId="43" fillId="0" borderId="0" xfId="5" applyFont="1"/>
    <xf numFmtId="37" fontId="31" fillId="0" borderId="0" xfId="5" applyNumberFormat="1" applyFont="1" applyAlignment="1">
      <alignment horizontal="right"/>
    </xf>
    <xf numFmtId="37" fontId="32" fillId="0" borderId="0" xfId="5" applyNumberFormat="1" applyFont="1" applyAlignment="1">
      <alignment horizontal="right"/>
    </xf>
    <xf numFmtId="0" fontId="37" fillId="0" borderId="0" xfId="5" applyFont="1" applyAlignment="1">
      <alignment horizontal="right"/>
    </xf>
    <xf numFmtId="43" fontId="26" fillId="0" borderId="0" xfId="1" applyFont="1" applyAlignment="1">
      <alignment horizontal="right"/>
    </xf>
    <xf numFmtId="0" fontId="35" fillId="5" borderId="0" xfId="5" applyFont="1" applyFill="1"/>
    <xf numFmtId="168" fontId="35" fillId="5" borderId="0" xfId="5" applyNumberFormat="1" applyFont="1" applyFill="1"/>
    <xf numFmtId="0" fontId="35" fillId="3" borderId="0" xfId="5" applyFont="1" applyFill="1"/>
    <xf numFmtId="0" fontId="26" fillId="3" borderId="0" xfId="5" applyFont="1" applyFill="1" applyAlignment="1">
      <alignment horizontal="right"/>
    </xf>
    <xf numFmtId="9" fontId="37" fillId="0" borderId="0" xfId="5" applyNumberFormat="1" applyFont="1" applyAlignment="1">
      <alignment horizontal="right"/>
    </xf>
    <xf numFmtId="2" fontId="37" fillId="0" borderId="0" xfId="5" applyNumberFormat="1" applyFont="1" applyAlignment="1">
      <alignment horizontal="right"/>
    </xf>
    <xf numFmtId="0" fontId="44" fillId="0" borderId="0" xfId="5" applyFont="1"/>
    <xf numFmtId="0" fontId="44" fillId="0" borderId="0" xfId="5" applyFont="1" applyAlignment="1">
      <alignment horizontal="right"/>
    </xf>
    <xf numFmtId="0" fontId="45" fillId="0" borderId="0" xfId="5" applyFont="1" applyAlignment="1">
      <alignment horizontal="right"/>
    </xf>
    <xf numFmtId="168" fontId="44" fillId="0" borderId="0" xfId="5" applyNumberFormat="1" applyFont="1"/>
    <xf numFmtId="168" fontId="44" fillId="0" borderId="0" xfId="5" applyNumberFormat="1" applyFont="1" applyAlignment="1">
      <alignment horizontal="right"/>
    </xf>
    <xf numFmtId="168" fontId="45" fillId="0" borderId="0" xfId="5" applyNumberFormat="1" applyFont="1" applyAlignment="1">
      <alignment horizontal="right"/>
    </xf>
    <xf numFmtId="9" fontId="45" fillId="0" borderId="0" xfId="5" applyNumberFormat="1" applyFont="1" applyAlignment="1">
      <alignment horizontal="right"/>
    </xf>
    <xf numFmtId="9" fontId="44" fillId="0" borderId="0" xfId="2" applyFont="1" applyAlignment="1">
      <alignment horizontal="right"/>
    </xf>
    <xf numFmtId="0" fontId="26" fillId="6" borderId="0" xfId="5" applyFont="1" applyFill="1"/>
    <xf numFmtId="0" fontId="26" fillId="6" borderId="0" xfId="5" applyFont="1" applyFill="1" applyAlignment="1">
      <alignment horizontal="right"/>
    </xf>
    <xf numFmtId="168" fontId="32" fillId="0" borderId="0" xfId="1" applyNumberFormat="1" applyFont="1"/>
    <xf numFmtId="168" fontId="32" fillId="0" borderId="0" xfId="1" applyNumberFormat="1" applyFont="1" applyAlignment="1">
      <alignment horizontal="right"/>
    </xf>
    <xf numFmtId="9" fontId="32" fillId="0" borderId="0" xfId="2" applyFont="1"/>
    <xf numFmtId="0" fontId="39" fillId="0" borderId="0" xfId="5" applyFont="1" applyAlignment="1">
      <alignment horizontal="right"/>
    </xf>
    <xf numFmtId="166" fontId="32" fillId="0" borderId="0" xfId="5" applyNumberFormat="1" applyFont="1"/>
    <xf numFmtId="166" fontId="32" fillId="0" borderId="0" xfId="5" applyNumberFormat="1" applyFont="1" applyAlignment="1">
      <alignment horizontal="right"/>
    </xf>
    <xf numFmtId="164" fontId="26" fillId="0" borderId="0" xfId="5" applyNumberFormat="1" applyFont="1" applyAlignment="1">
      <alignment horizontal="right"/>
    </xf>
    <xf numFmtId="9" fontId="39" fillId="0" borderId="0" xfId="2" applyFont="1"/>
    <xf numFmtId="9" fontId="39" fillId="0" borderId="0" xfId="2" applyFont="1" applyAlignment="1">
      <alignment horizontal="right"/>
    </xf>
    <xf numFmtId="168" fontId="28" fillId="0" borderId="0" xfId="1" applyNumberFormat="1" applyFont="1"/>
    <xf numFmtId="9" fontId="33" fillId="0" borderId="0" xfId="2" applyFont="1"/>
    <xf numFmtId="0" fontId="35" fillId="6" borderId="0" xfId="5" applyFont="1" applyFill="1"/>
    <xf numFmtId="0" fontId="35" fillId="6" borderId="0" xfId="5" applyFont="1" applyFill="1" applyAlignment="1">
      <alignment horizontal="right"/>
    </xf>
    <xf numFmtId="166" fontId="37" fillId="0" borderId="0" xfId="5" applyNumberFormat="1" applyFont="1" applyAlignment="1">
      <alignment horizontal="right"/>
    </xf>
    <xf numFmtId="9" fontId="40" fillId="0" borderId="0" xfId="2" applyFont="1" applyAlignment="1">
      <alignment horizontal="right"/>
    </xf>
    <xf numFmtId="1" fontId="32" fillId="0" borderId="0" xfId="5" applyNumberFormat="1" applyFont="1"/>
    <xf numFmtId="1" fontId="32" fillId="0" borderId="0" xfId="5" applyNumberFormat="1" applyFont="1" applyAlignment="1">
      <alignment horizontal="right"/>
    </xf>
    <xf numFmtId="9" fontId="41" fillId="0" borderId="0" xfId="2" applyFont="1" applyAlignment="1">
      <alignment horizontal="right"/>
    </xf>
    <xf numFmtId="0" fontId="32" fillId="0" borderId="0" xfId="5" applyFont="1" applyAlignment="1">
      <alignment horizontal="right"/>
    </xf>
    <xf numFmtId="164" fontId="27" fillId="0" borderId="0" xfId="5" applyNumberFormat="1" applyFont="1" applyAlignment="1">
      <alignment horizontal="right"/>
    </xf>
    <xf numFmtId="9" fontId="26" fillId="0" borderId="0" xfId="2" applyFont="1" applyFill="1"/>
    <xf numFmtId="9" fontId="26" fillId="0" borderId="0" xfId="2" applyFont="1"/>
    <xf numFmtId="9" fontId="28" fillId="0" borderId="0" xfId="2" applyFont="1" applyFill="1" applyAlignment="1">
      <alignment horizontal="right"/>
    </xf>
    <xf numFmtId="9" fontId="37" fillId="0" borderId="0" xfId="2" applyFont="1" applyFill="1"/>
    <xf numFmtId="0" fontId="46" fillId="0" borderId="0" xfId="0" applyFont="1"/>
    <xf numFmtId="0" fontId="47" fillId="0" borderId="0" xfId="0" applyFont="1"/>
    <xf numFmtId="0" fontId="48" fillId="0" borderId="0" xfId="0" applyFont="1"/>
    <xf numFmtId="3" fontId="46" fillId="0" borderId="0" xfId="0" applyNumberFormat="1" applyFont="1"/>
    <xf numFmtId="1" fontId="49" fillId="7" borderId="0" xfId="0" applyNumberFormat="1" applyFont="1" applyFill="1" applyAlignment="1">
      <alignment horizontal="left" vertical="center"/>
    </xf>
    <xf numFmtId="1" fontId="49" fillId="7" borderId="0" xfId="0" applyNumberFormat="1" applyFont="1" applyFill="1" applyAlignment="1">
      <alignment horizontal="right" vertical="center"/>
    </xf>
    <xf numFmtId="167" fontId="49" fillId="7" borderId="0" xfId="0" applyNumberFormat="1" applyFont="1" applyFill="1" applyAlignment="1">
      <alignment horizontal="right" vertical="center"/>
    </xf>
    <xf numFmtId="0" fontId="50" fillId="0" borderId="0" xfId="0" applyFont="1"/>
    <xf numFmtId="3" fontId="50" fillId="0" borderId="0" xfId="0" applyNumberFormat="1" applyFont="1"/>
    <xf numFmtId="0" fontId="51" fillId="0" borderId="0" xfId="0" applyFont="1" applyAlignment="1">
      <alignment horizontal="left" indent="2"/>
    </xf>
    <xf numFmtId="9" fontId="51" fillId="0" borderId="0" xfId="0" applyNumberFormat="1" applyFont="1"/>
    <xf numFmtId="9" fontId="47" fillId="0" borderId="0" xfId="0" applyNumberFormat="1" applyFont="1"/>
    <xf numFmtId="1" fontId="51" fillId="0" borderId="0" xfId="0" applyNumberFormat="1" applyFont="1"/>
    <xf numFmtId="3" fontId="51" fillId="0" borderId="0" xfId="0" applyNumberFormat="1" applyFont="1"/>
    <xf numFmtId="0" fontId="51" fillId="3" borderId="0" xfId="0" applyFont="1" applyFill="1" applyAlignment="1">
      <alignment horizontal="left" indent="2"/>
    </xf>
    <xf numFmtId="9" fontId="51" fillId="3" borderId="0" xfId="0" applyNumberFormat="1" applyFont="1" applyFill="1"/>
    <xf numFmtId="172" fontId="51" fillId="3" borderId="0" xfId="2" applyNumberFormat="1" applyFont="1" applyFill="1"/>
    <xf numFmtId="9" fontId="14" fillId="0" borderId="0" xfId="0" applyNumberFormat="1" applyFont="1"/>
    <xf numFmtId="172" fontId="14" fillId="0" borderId="0" xfId="2" applyNumberFormat="1" applyFont="1"/>
    <xf numFmtId="172" fontId="4" fillId="0" borderId="0" xfId="2" applyNumberFormat="1" applyFont="1"/>
    <xf numFmtId="0" fontId="14" fillId="0" borderId="0" xfId="0" applyFont="1"/>
    <xf numFmtId="0" fontId="47" fillId="0" borderId="0" xfId="0" applyFont="1" applyAlignment="1">
      <alignment horizontal="left"/>
    </xf>
    <xf numFmtId="172" fontId="47" fillId="0" borderId="0" xfId="2" applyNumberFormat="1" applyFont="1"/>
    <xf numFmtId="0" fontId="51" fillId="0" borderId="0" xfId="0" applyFont="1" applyAlignment="1">
      <alignment horizontal="left"/>
    </xf>
    <xf numFmtId="9" fontId="51" fillId="0" borderId="0" xfId="2" applyFont="1"/>
    <xf numFmtId="172" fontId="51" fillId="0" borderId="0" xfId="2" applyNumberFormat="1" applyFont="1"/>
    <xf numFmtId="168" fontId="50" fillId="0" borderId="0" xfId="1" applyNumberFormat="1" applyFont="1" applyFill="1" applyBorder="1"/>
    <xf numFmtId="0" fontId="51" fillId="0" borderId="0" xfId="0" applyFont="1"/>
    <xf numFmtId="9" fontId="47" fillId="0" borderId="0" xfId="2" applyFont="1"/>
    <xf numFmtId="9" fontId="4" fillId="0" borderId="0" xfId="2" applyFont="1"/>
    <xf numFmtId="168" fontId="51" fillId="0" borderId="0" xfId="1" applyNumberFormat="1" applyFont="1" applyFill="1" applyBorder="1"/>
    <xf numFmtId="168" fontId="51" fillId="0" borderId="0" xfId="0" applyNumberFormat="1" applyFont="1"/>
    <xf numFmtId="168" fontId="50" fillId="0" borderId="0" xfId="0" applyNumberFormat="1" applyFont="1"/>
    <xf numFmtId="9" fontId="50" fillId="0" borderId="0" xfId="0" applyNumberFormat="1" applyFont="1"/>
    <xf numFmtId="2" fontId="51" fillId="0" borderId="0" xfId="2" applyNumberFormat="1" applyFont="1" applyFill="1"/>
    <xf numFmtId="43" fontId="51" fillId="0" borderId="0" xfId="0" applyNumberFormat="1" applyFont="1"/>
    <xf numFmtId="0" fontId="52" fillId="7" borderId="0" xfId="0" applyFont="1" applyFill="1"/>
    <xf numFmtId="0" fontId="49" fillId="7" borderId="0" xfId="0" applyFont="1" applyFill="1" applyAlignment="1">
      <alignment horizontal="right" vertical="center"/>
    </xf>
    <xf numFmtId="0" fontId="49" fillId="0" borderId="0" xfId="0" applyFont="1" applyAlignment="1">
      <alignment horizontal="right" vertical="center"/>
    </xf>
    <xf numFmtId="168" fontId="51" fillId="0" borderId="0" xfId="1" applyNumberFormat="1" applyFont="1" applyFill="1" applyBorder="1" applyAlignment="1">
      <alignment horizontal="right"/>
    </xf>
    <xf numFmtId="43" fontId="46" fillId="0" borderId="0" xfId="0" applyNumberFormat="1" applyFont="1"/>
    <xf numFmtId="168" fontId="51" fillId="0" borderId="0" xfId="0" applyNumberFormat="1" applyFont="1" applyAlignment="1">
      <alignment horizontal="right"/>
    </xf>
    <xf numFmtId="0" fontId="51" fillId="0" borderId="0" xfId="0" applyFont="1" applyAlignment="1">
      <alignment horizontal="left" indent="1"/>
    </xf>
    <xf numFmtId="9" fontId="51" fillId="0" borderId="0" xfId="2" applyFont="1" applyAlignment="1">
      <alignment horizontal="right"/>
    </xf>
    <xf numFmtId="37" fontId="51" fillId="0" borderId="0" xfId="0" applyNumberFormat="1" applyFont="1" applyAlignment="1">
      <alignment horizontal="right"/>
    </xf>
    <xf numFmtId="9" fontId="51" fillId="0" borderId="0" xfId="2" applyFont="1" applyFill="1" applyBorder="1" applyAlignment="1">
      <alignment horizontal="right"/>
    </xf>
    <xf numFmtId="168" fontId="49" fillId="7" borderId="13" xfId="6" applyNumberFormat="1" applyFont="1" applyFill="1" applyBorder="1" applyAlignment="1">
      <alignment horizontal="left" vertical="center"/>
    </xf>
    <xf numFmtId="0" fontId="49" fillId="7" borderId="14" xfId="0" applyFont="1" applyFill="1" applyBorder="1" applyAlignment="1">
      <alignment horizontal="right" vertical="center"/>
    </xf>
    <xf numFmtId="0" fontId="9" fillId="0" borderId="0" xfId="7" applyFont="1" applyAlignment="1">
      <alignment horizontal="left" vertical="center"/>
    </xf>
    <xf numFmtId="0" fontId="4" fillId="0" borderId="0" xfId="7" applyAlignment="1">
      <alignment horizontal="left" vertical="center"/>
    </xf>
    <xf numFmtId="172" fontId="47" fillId="0" borderId="0" xfId="8" applyNumberFormat="1" applyFont="1" applyFill="1" applyBorder="1" applyAlignment="1">
      <alignment vertical="center"/>
    </xf>
    <xf numFmtId="0" fontId="4" fillId="0" borderId="15" xfId="7" applyBorder="1" applyAlignment="1">
      <alignment horizontal="left" vertical="center"/>
    </xf>
    <xf numFmtId="164" fontId="47" fillId="0" borderId="15" xfId="9" applyNumberFormat="1" applyFont="1" applyFill="1" applyBorder="1" applyAlignment="1">
      <alignment vertical="center"/>
    </xf>
    <xf numFmtId="164" fontId="47" fillId="0" borderId="0" xfId="9" applyNumberFormat="1" applyFont="1" applyFill="1" applyBorder="1" applyAlignment="1">
      <alignment vertical="center"/>
    </xf>
    <xf numFmtId="9" fontId="4" fillId="0" borderId="0" xfId="8" applyFont="1" applyFill="1" applyBorder="1" applyAlignment="1">
      <alignment vertical="center"/>
    </xf>
    <xf numFmtId="0" fontId="4" fillId="0" borderId="0" xfId="7" applyAlignment="1">
      <alignment vertical="center"/>
    </xf>
    <xf numFmtId="172" fontId="4" fillId="0" borderId="0" xfId="8" applyNumberFormat="1" applyFont="1" applyFill="1" applyBorder="1" applyAlignment="1">
      <alignment vertical="center"/>
    </xf>
    <xf numFmtId="172" fontId="47" fillId="0" borderId="15" xfId="8" applyNumberFormat="1" applyFont="1" applyFill="1" applyBorder="1" applyAlignment="1">
      <alignment vertical="center"/>
    </xf>
    <xf numFmtId="172" fontId="4" fillId="0" borderId="15" xfId="8" applyNumberFormat="1" applyFont="1" applyFill="1" applyBorder="1" applyAlignment="1">
      <alignment vertical="center"/>
    </xf>
    <xf numFmtId="10" fontId="51" fillId="0" borderId="0" xfId="0" applyNumberFormat="1" applyFont="1"/>
    <xf numFmtId="0" fontId="9" fillId="8" borderId="0" xfId="7" applyFont="1" applyFill="1" applyAlignment="1">
      <alignment horizontal="left" vertical="center"/>
    </xf>
    <xf numFmtId="9" fontId="50" fillId="8" borderId="0" xfId="2" applyFont="1" applyFill="1" applyBorder="1" applyAlignment="1">
      <alignment vertical="center"/>
    </xf>
    <xf numFmtId="9" fontId="50" fillId="0" borderId="0" xfId="2" applyFont="1" applyFill="1" applyBorder="1" applyAlignment="1">
      <alignment vertical="center"/>
    </xf>
    <xf numFmtId="9" fontId="47" fillId="0" borderId="0" xfId="8" applyFont="1" applyFill="1" applyBorder="1" applyAlignment="1">
      <alignment vertical="center"/>
    </xf>
    <xf numFmtId="168" fontId="4" fillId="0" borderId="15" xfId="9" applyNumberFormat="1" applyFont="1" applyFill="1" applyBorder="1" applyAlignment="1">
      <alignment vertical="center"/>
    </xf>
    <xf numFmtId="168" fontId="4" fillId="0" borderId="0" xfId="9" applyNumberFormat="1" applyFont="1" applyFill="1" applyBorder="1" applyAlignment="1">
      <alignment vertical="center"/>
    </xf>
    <xf numFmtId="0" fontId="51" fillId="9" borderId="0" xfId="0" applyFont="1" applyFill="1"/>
    <xf numFmtId="2" fontId="22" fillId="9" borderId="0" xfId="0" applyNumberFormat="1" applyFont="1" applyFill="1"/>
    <xf numFmtId="3" fontId="55" fillId="0" borderId="0" xfId="0" applyNumberFormat="1" applyFont="1"/>
    <xf numFmtId="168" fontId="51" fillId="0" borderId="0" xfId="2" applyNumberFormat="1" applyFont="1"/>
    <xf numFmtId="9" fontId="46" fillId="0" borderId="0" xfId="2" applyFont="1"/>
    <xf numFmtId="168" fontId="46" fillId="0" borderId="0" xfId="0" applyNumberFormat="1" applyFont="1"/>
    <xf numFmtId="0" fontId="56" fillId="0" borderId="0" xfId="0" applyFont="1"/>
    <xf numFmtId="168" fontId="47" fillId="0" borderId="0" xfId="0" applyNumberFormat="1" applyFont="1"/>
    <xf numFmtId="0" fontId="46" fillId="0" borderId="0" xfId="0" applyFont="1" applyAlignment="1">
      <alignment vertical="center"/>
    </xf>
    <xf numFmtId="0" fontId="46" fillId="10" borderId="0" xfId="0" applyFont="1" applyFill="1" applyAlignment="1">
      <alignment vertical="center"/>
    </xf>
    <xf numFmtId="0" fontId="13" fillId="11" borderId="16" xfId="0" applyFont="1" applyFill="1" applyBorder="1" applyAlignment="1">
      <alignment vertical="center" wrapText="1"/>
    </xf>
    <xf numFmtId="0" fontId="48" fillId="0" borderId="0" xfId="0" applyFont="1" applyAlignment="1">
      <alignment horizontal="center" vertical="center"/>
    </xf>
    <xf numFmtId="0" fontId="9" fillId="12" borderId="16" xfId="0" applyFont="1" applyFill="1" applyBorder="1" applyAlignment="1">
      <alignment horizontal="center" vertical="center" wrapText="1"/>
    </xf>
    <xf numFmtId="0" fontId="13" fillId="13" borderId="16" xfId="0" applyFont="1" applyFill="1" applyBorder="1" applyAlignment="1">
      <alignment horizontal="center" vertical="center" wrapText="1"/>
    </xf>
    <xf numFmtId="0" fontId="48" fillId="10" borderId="0" xfId="0" applyFont="1" applyFill="1" applyAlignment="1">
      <alignment horizontal="center" vertical="center"/>
    </xf>
    <xf numFmtId="0" fontId="9" fillId="14" borderId="16" xfId="0" applyFont="1" applyFill="1" applyBorder="1" applyAlignment="1">
      <alignment horizontal="center" vertical="center" wrapText="1"/>
    </xf>
    <xf numFmtId="0" fontId="46" fillId="0" borderId="17" xfId="0" applyFont="1" applyBorder="1" applyAlignment="1">
      <alignment vertical="center"/>
    </xf>
    <xf numFmtId="0" fontId="9" fillId="0" borderId="17" xfId="0" applyFont="1" applyBorder="1" applyAlignment="1">
      <alignment horizontal="center" vertical="center"/>
    </xf>
    <xf numFmtId="0" fontId="48" fillId="0" borderId="17" xfId="0" applyFont="1" applyBorder="1" applyAlignment="1">
      <alignment horizontal="left" vertical="center" wrapText="1" indent="1"/>
    </xf>
    <xf numFmtId="0" fontId="46" fillId="0" borderId="0" xfId="0" applyFont="1" applyAlignment="1">
      <alignment horizontal="center" vertical="center"/>
    </xf>
    <xf numFmtId="0" fontId="46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13" fillId="11" borderId="18" xfId="0" applyFont="1" applyFill="1" applyBorder="1" applyAlignment="1">
      <alignment vertical="center" wrapText="1"/>
    </xf>
    <xf numFmtId="1" fontId="9" fillId="12" borderId="18" xfId="0" applyNumberFormat="1" applyFont="1" applyFill="1" applyBorder="1" applyAlignment="1">
      <alignment horizontal="center" vertical="center"/>
    </xf>
    <xf numFmtId="1" fontId="13" fillId="14" borderId="18" xfId="0" applyNumberFormat="1" applyFont="1" applyFill="1" applyBorder="1" applyAlignment="1">
      <alignment horizontal="center" vertical="center"/>
    </xf>
    <xf numFmtId="1" fontId="13" fillId="15" borderId="18" xfId="0" applyNumberFormat="1" applyFont="1" applyFill="1" applyBorder="1" applyAlignment="1">
      <alignment horizontal="center" vertical="center"/>
    </xf>
    <xf numFmtId="0" fontId="13" fillId="11" borderId="0" xfId="0" applyFont="1" applyFill="1" applyAlignment="1">
      <alignment vertical="center" wrapText="1"/>
    </xf>
    <xf numFmtId="1" fontId="9" fillId="12" borderId="0" xfId="0" applyNumberFormat="1" applyFont="1" applyFill="1" applyAlignment="1">
      <alignment horizontal="center" vertical="center"/>
    </xf>
    <xf numFmtId="1" fontId="13" fillId="14" borderId="0" xfId="0" applyNumberFormat="1" applyFont="1" applyFill="1" applyAlignment="1">
      <alignment horizontal="center" vertical="center"/>
    </xf>
    <xf numFmtId="1" fontId="13" fillId="15" borderId="0" xfId="0" applyNumberFormat="1" applyFont="1" applyFill="1" applyAlignment="1">
      <alignment horizontal="center" vertical="center"/>
    </xf>
    <xf numFmtId="9" fontId="9" fillId="12" borderId="0" xfId="2" applyFont="1" applyFill="1" applyAlignment="1">
      <alignment horizontal="center" vertical="center"/>
    </xf>
    <xf numFmtId="9" fontId="46" fillId="0" borderId="0" xfId="2" applyFont="1" applyAlignment="1">
      <alignment vertical="center"/>
    </xf>
    <xf numFmtId="9" fontId="13" fillId="14" borderId="0" xfId="2" applyFont="1" applyFill="1" applyAlignment="1">
      <alignment horizontal="center" vertical="center"/>
    </xf>
    <xf numFmtId="9" fontId="46" fillId="10" borderId="0" xfId="2" applyFont="1" applyFill="1" applyAlignment="1">
      <alignment vertical="center"/>
    </xf>
    <xf numFmtId="9" fontId="13" fillId="15" borderId="0" xfId="2" applyFont="1" applyFill="1" applyAlignment="1">
      <alignment horizontal="center" vertical="center"/>
    </xf>
    <xf numFmtId="1" fontId="46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9" fontId="46" fillId="0" borderId="0" xfId="0" applyNumberFormat="1" applyFont="1" applyAlignment="1">
      <alignment vertical="center"/>
    </xf>
    <xf numFmtId="1" fontId="47" fillId="0" borderId="0" xfId="0" applyNumberFormat="1" applyFont="1" applyAlignment="1">
      <alignment horizontal="right" vertical="center"/>
    </xf>
    <xf numFmtId="0" fontId="46" fillId="0" borderId="0" xfId="0" applyFont="1" applyAlignment="1">
      <alignment horizontal="right" vertical="center"/>
    </xf>
    <xf numFmtId="2" fontId="46" fillId="0" borderId="0" xfId="0" applyNumberFormat="1" applyFont="1" applyAlignment="1">
      <alignment horizontal="right" vertical="center"/>
    </xf>
    <xf numFmtId="0" fontId="46" fillId="10" borderId="0" xfId="0" applyFont="1" applyFill="1" applyAlignment="1">
      <alignment horizontal="right" vertical="center"/>
    </xf>
    <xf numFmtId="2" fontId="46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0" fontId="47" fillId="0" borderId="0" xfId="0" applyFont="1" applyAlignment="1">
      <alignment vertical="center"/>
    </xf>
    <xf numFmtId="0" fontId="30" fillId="0" borderId="0" xfId="5" applyFont="1" applyAlignment="1">
      <alignment vertical="center"/>
    </xf>
    <xf numFmtId="0" fontId="30" fillId="0" borderId="0" xfId="5" applyFont="1" applyAlignment="1">
      <alignment horizontal="right" vertical="center"/>
    </xf>
    <xf numFmtId="168" fontId="28" fillId="3" borderId="0" xfId="5" applyNumberFormat="1" applyFont="1" applyFill="1" applyAlignment="1">
      <alignment horizontal="right"/>
    </xf>
    <xf numFmtId="0" fontId="26" fillId="0" borderId="19" xfId="5" applyFont="1" applyBorder="1"/>
    <xf numFmtId="0" fontId="26" fillId="0" borderId="20" xfId="5" applyFont="1" applyBorder="1"/>
    <xf numFmtId="43" fontId="32" fillId="0" borderId="20" xfId="5" applyNumberFormat="1" applyFont="1" applyBorder="1" applyAlignment="1">
      <alignment horizontal="right"/>
    </xf>
    <xf numFmtId="9" fontId="32" fillId="0" borderId="20" xfId="2" applyFont="1" applyBorder="1" applyAlignment="1">
      <alignment horizontal="right"/>
    </xf>
    <xf numFmtId="168" fontId="27" fillId="0" borderId="20" xfId="5" applyNumberFormat="1" applyFont="1" applyBorder="1"/>
    <xf numFmtId="0" fontId="26" fillId="0" borderId="21" xfId="5" applyFont="1" applyBorder="1"/>
    <xf numFmtId="9" fontId="26" fillId="0" borderId="0" xfId="2" applyFont="1" applyBorder="1" applyAlignment="1">
      <alignment horizontal="right"/>
    </xf>
    <xf numFmtId="0" fontId="26" fillId="0" borderId="22" xfId="5" applyFont="1" applyBorder="1"/>
    <xf numFmtId="0" fontId="26" fillId="0" borderId="23" xfId="5" applyFont="1" applyBorder="1"/>
    <xf numFmtId="37" fontId="26" fillId="0" borderId="23" xfId="5" applyNumberFormat="1" applyFont="1" applyBorder="1" applyAlignment="1">
      <alignment horizontal="right"/>
    </xf>
    <xf numFmtId="9" fontId="26" fillId="0" borderId="23" xfId="2" applyFont="1" applyBorder="1" applyAlignment="1">
      <alignment horizontal="right"/>
    </xf>
    <xf numFmtId="37" fontId="27" fillId="0" borderId="23" xfId="5" applyNumberFormat="1" applyFont="1" applyBorder="1"/>
    <xf numFmtId="168" fontId="32" fillId="0" borderId="0" xfId="5" applyNumberFormat="1" applyFont="1" applyFill="1"/>
    <xf numFmtId="0" fontId="32" fillId="0" borderId="0" xfId="5" applyFont="1" applyFill="1"/>
    <xf numFmtId="168" fontId="27" fillId="0" borderId="0" xfId="5" applyNumberFormat="1" applyFont="1" applyFill="1" applyAlignment="1">
      <alignment horizontal="right"/>
    </xf>
    <xf numFmtId="168" fontId="37" fillId="0" borderId="0" xfId="5" applyNumberFormat="1" applyFont="1" applyFill="1" applyAlignment="1">
      <alignment horizontal="right"/>
    </xf>
    <xf numFmtId="168" fontId="26" fillId="0" borderId="0" xfId="5" applyNumberFormat="1" applyFont="1" applyFill="1"/>
    <xf numFmtId="0" fontId="26" fillId="0" borderId="0" xfId="5" applyFont="1" applyFill="1"/>
    <xf numFmtId="168" fontId="32" fillId="0" borderId="0" xfId="5" applyNumberFormat="1" applyFont="1" applyFill="1" applyAlignment="1">
      <alignment horizontal="right"/>
    </xf>
    <xf numFmtId="168" fontId="28" fillId="0" borderId="0" xfId="5" applyNumberFormat="1" applyFont="1" applyFill="1" applyAlignment="1">
      <alignment horizontal="right"/>
    </xf>
    <xf numFmtId="168" fontId="26" fillId="0" borderId="0" xfId="5" applyNumberFormat="1" applyFont="1" applyFill="1" applyAlignment="1">
      <alignment horizontal="right"/>
    </xf>
    <xf numFmtId="168" fontId="27" fillId="0" borderId="0" xfId="5" applyNumberFormat="1" applyFont="1" applyFill="1"/>
    <xf numFmtId="9" fontId="37" fillId="0" borderId="0" xfId="5" applyNumberFormat="1" applyFont="1" applyFill="1"/>
    <xf numFmtId="168" fontId="32" fillId="0" borderId="0" xfId="2" applyNumberFormat="1" applyFont="1" applyFill="1" applyAlignment="1">
      <alignment horizontal="right"/>
    </xf>
    <xf numFmtId="43" fontId="32" fillId="0" borderId="0" xfId="5" applyNumberFormat="1" applyFont="1" applyFill="1" applyAlignment="1">
      <alignment horizontal="right"/>
    </xf>
    <xf numFmtId="168" fontId="35" fillId="0" borderId="0" xfId="5" applyNumberFormat="1" applyFont="1" applyFill="1" applyAlignment="1">
      <alignment horizontal="right"/>
    </xf>
    <xf numFmtId="168" fontId="36" fillId="0" borderId="0" xfId="5" applyNumberFormat="1" applyFont="1" applyFill="1"/>
    <xf numFmtId="168" fontId="35" fillId="0" borderId="0" xfId="5" applyNumberFormat="1" applyFont="1" applyFill="1"/>
    <xf numFmtId="0" fontId="35" fillId="0" borderId="0" xfId="5" applyFont="1" applyFill="1"/>
    <xf numFmtId="0" fontId="40" fillId="0" borderId="0" xfId="5" applyFont="1" applyFill="1"/>
    <xf numFmtId="0" fontId="32" fillId="0" borderId="0" xfId="0" applyFont="1" applyFill="1"/>
    <xf numFmtId="0" fontId="40" fillId="0" borderId="0" xfId="0" applyFont="1" applyFill="1"/>
    <xf numFmtId="41" fontId="32" fillId="0" borderId="0" xfId="5" applyNumberFormat="1" applyFont="1" applyFill="1" applyAlignment="1">
      <alignment horizontal="right"/>
    </xf>
    <xf numFmtId="41" fontId="40" fillId="0" borderId="0" xfId="5" applyNumberFormat="1" applyFont="1" applyFill="1"/>
    <xf numFmtId="37" fontId="40" fillId="0" borderId="0" xfId="5" applyNumberFormat="1" applyFont="1" applyFill="1"/>
    <xf numFmtId="168" fontId="51" fillId="0" borderId="0" xfId="0" applyNumberFormat="1" applyFont="1" applyFill="1" applyAlignment="1">
      <alignment horizontal="right"/>
    </xf>
    <xf numFmtId="0" fontId="51" fillId="0" borderId="0" xfId="0" applyFont="1" applyFill="1"/>
    <xf numFmtId="0" fontId="53" fillId="0" borderId="0" xfId="0" applyFont="1" applyFill="1"/>
    <xf numFmtId="43" fontId="51" fillId="0" borderId="0" xfId="0" applyNumberFormat="1" applyFont="1" applyFill="1"/>
    <xf numFmtId="9" fontId="51" fillId="0" borderId="0" xfId="2" applyFont="1" applyFill="1"/>
    <xf numFmtId="0" fontId="49" fillId="0" borderId="0" xfId="0" applyFont="1" applyFill="1" applyAlignment="1">
      <alignment horizontal="right" vertical="center"/>
    </xf>
    <xf numFmtId="1" fontId="46" fillId="0" borderId="0" xfId="0" applyNumberFormat="1" applyFont="1" applyFill="1" applyAlignment="1">
      <alignment vertical="center"/>
    </xf>
  </cellXfs>
  <cellStyles count="10">
    <cellStyle name="Comma" xfId="1" builtinId="3"/>
    <cellStyle name="Comma 2" xfId="6" xr:uid="{84BABEE8-2627-4710-B369-3A0188E691B7}"/>
    <cellStyle name="Comma 20" xfId="9" xr:uid="{2207EBB2-3F1D-4DDF-B358-862CD9DFBBCB}"/>
    <cellStyle name="Hyperlink" xfId="3" builtinId="8"/>
    <cellStyle name="Normal" xfId="0" builtinId="0"/>
    <cellStyle name="Normal 2" xfId="5" xr:uid="{DCADA8E0-1C45-4B97-AA5F-2C7C1EF19FE9}"/>
    <cellStyle name="Normal_Standard Template_reduced" xfId="7" xr:uid="{CA6E5DF2-2461-4AF3-8E9C-442223A75227}"/>
    <cellStyle name="Percent" xfId="2" builtinId="5"/>
    <cellStyle name="Percent 12" xfId="4" xr:uid="{FB85378C-603E-4E42-BCD5-B11DD941A6DD}"/>
    <cellStyle name="Percent 2 3" xfId="8" xr:uid="{08C0B210-BFBD-410E-B1FB-388E8D11A4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9525</xdr:rowOff>
    </xdr:to>
    <xdr:pic>
      <xdr:nvPicPr>
        <xdr:cNvPr id="2" name="TrinStgClass1" hidden="1">
          <a:extLst>
            <a:ext uri="{FF2B5EF4-FFF2-40B4-BE49-F238E27FC236}">
              <a16:creationId xmlns:a16="http://schemas.microsoft.com/office/drawing/2014/main" id="{5D37F5BA-3693-4E10-AE65-09A7FF2C8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  <a:effectLst/>
      </xdr:spPr>
    </xdr:pic>
    <xdr:clientData/>
  </xdr:twoCellAnchor>
  <xdr:twoCellAnchor editAs="oneCell">
    <xdr:from>
      <xdr:col>1</xdr:col>
      <xdr:colOff>19050</xdr:colOff>
      <xdr:row>1</xdr:row>
      <xdr:rowOff>57150</xdr:rowOff>
    </xdr:from>
    <xdr:to>
      <xdr:col>1</xdr:col>
      <xdr:colOff>609600</xdr:colOff>
      <xdr:row>6</xdr:row>
      <xdr:rowOff>56029</xdr:rowOff>
    </xdr:to>
    <xdr:pic>
      <xdr:nvPicPr>
        <xdr:cNvPr id="3" name="Picture 41">
          <a:extLst>
            <a:ext uri="{FF2B5EF4-FFF2-40B4-BE49-F238E27FC236}">
              <a16:creationId xmlns:a16="http://schemas.microsoft.com/office/drawing/2014/main" id="{480BC2F8-CBC3-46D0-A0A6-A0329EFD8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6700" y="238125"/>
          <a:ext cx="590550" cy="903754"/>
        </a:xfrm>
        <a:prstGeom prst="rect">
          <a:avLst/>
        </a:prstGeom>
        <a:noFill/>
      </xdr:spPr>
    </xdr:pic>
    <xdr:clientData/>
  </xdr:twoCellAnchor>
  <xdr:twoCellAnchor>
    <xdr:from>
      <xdr:col>1</xdr:col>
      <xdr:colOff>1681</xdr:colOff>
      <xdr:row>1</xdr:row>
      <xdr:rowOff>43143</xdr:rowOff>
    </xdr:from>
    <xdr:to>
      <xdr:col>14</xdr:col>
      <xdr:colOff>763681</xdr:colOff>
      <xdr:row>6</xdr:row>
      <xdr:rowOff>14568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46ED1F38-4464-4BC0-B0F6-2CC6F035A8DC}"/>
            </a:ext>
          </a:extLst>
        </xdr:cNvPr>
        <xdr:cNvSpPr>
          <a:spLocks noChangeArrowheads="1"/>
        </xdr:cNvSpPr>
      </xdr:nvSpPr>
      <xdr:spPr bwMode="auto">
        <a:xfrm>
          <a:off x="249331" y="224118"/>
          <a:ext cx="11601450" cy="876300"/>
        </a:xfrm>
        <a:prstGeom prst="rect">
          <a:avLst/>
        </a:prstGeom>
        <a:solidFill>
          <a:schemeClr val="accent1"/>
        </a:solidFill>
        <a:ln w="222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en-US" sz="2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</a:t>
          </a:r>
          <a:r>
            <a:rPr lang="en-US" sz="2000" b="0" i="0" u="none" strike="noStrike" baseline="0">
              <a:solidFill>
                <a:schemeClr val="bg1"/>
              </a:solidFill>
              <a:latin typeface="Arial"/>
              <a:cs typeface="Arial"/>
            </a:rPr>
            <a:t>Goldman Sachs Research:  Knowledge Atlas Technology (Zhipu)</a:t>
          </a:r>
        </a:p>
      </xdr:txBody>
    </xdr:sp>
    <xdr:clientData fLocksWithSheet="0"/>
  </xdr:twoCellAnchor>
  <xdr:twoCellAnchor editAs="oneCell">
    <xdr:from>
      <xdr:col>1</xdr:col>
      <xdr:colOff>70036</xdr:colOff>
      <xdr:row>1</xdr:row>
      <xdr:rowOff>130549</xdr:rowOff>
    </xdr:from>
    <xdr:to>
      <xdr:col>1</xdr:col>
      <xdr:colOff>683418</xdr:colOff>
      <xdr:row>5</xdr:row>
      <xdr:rowOff>131698</xdr:rowOff>
    </xdr:to>
    <xdr:pic>
      <xdr:nvPicPr>
        <xdr:cNvPr id="5" name="Picture 41">
          <a:extLst>
            <a:ext uri="{FF2B5EF4-FFF2-40B4-BE49-F238E27FC236}">
              <a16:creationId xmlns:a16="http://schemas.microsoft.com/office/drawing/2014/main" id="{47CEE740-27F0-4B16-A5C7-DE67D417A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17686" y="311524"/>
          <a:ext cx="775307" cy="7250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6" name="worksheetKey" descr="{&quot;key&quot;:&quot;worksheetKey&quot;,&quot;value&quot;:&quot;5c09d5f9-8d85-4613-a3f1-020d5506851a&quot;}" hidden="1">
          <a:extLst>
            <a:ext uri="{FF2B5EF4-FFF2-40B4-BE49-F238E27FC236}">
              <a16:creationId xmlns:a16="http://schemas.microsoft.com/office/drawing/2014/main" id="{364B7A6A-DD55-43BB-AE60-99D76AAC768F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nald.keung@gs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B3AA7-003E-4296-B456-7E6D0DE44DA9}">
  <sheetPr>
    <pageSetUpPr autoPageBreaks="0"/>
  </sheetPr>
  <dimension ref="A1:BN30"/>
  <sheetViews>
    <sheetView showGridLines="0" tabSelected="1" zoomScaleNormal="100" workbookViewId="0">
      <selection sqref="A1:B1"/>
    </sheetView>
  </sheetViews>
  <sheetFormatPr defaultColWidth="10.28515625" defaultRowHeight="14.25"/>
  <cols>
    <col min="1" max="1" width="3.7109375" style="4" customWidth="1"/>
    <col min="2" max="5" width="13.42578125" style="4" customWidth="1"/>
    <col min="6" max="6" width="7.42578125" style="4" customWidth="1"/>
    <col min="7" max="10" width="13.42578125" style="4" customWidth="1"/>
    <col min="11" max="11" width="7.42578125" style="4" customWidth="1"/>
    <col min="12" max="15" width="13.42578125" style="4" customWidth="1"/>
    <col min="16" max="16384" width="10.28515625" style="4"/>
  </cols>
  <sheetData>
    <row r="1" spans="1:1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5.75">
      <c r="A8" s="3"/>
      <c r="B8" s="5"/>
      <c r="C8" s="3"/>
      <c r="D8" s="3"/>
      <c r="E8" s="6"/>
      <c r="F8" s="6"/>
      <c r="G8" s="6"/>
      <c r="H8" s="3"/>
      <c r="I8" s="7"/>
      <c r="J8" s="7"/>
      <c r="K8" s="7"/>
      <c r="L8" s="3"/>
      <c r="M8" s="3"/>
      <c r="N8" s="3"/>
      <c r="O8" s="3"/>
    </row>
    <row r="9" spans="1:15" ht="15.75">
      <c r="A9" s="3"/>
      <c r="B9" s="8" t="s">
        <v>0</v>
      </c>
      <c r="C9" s="3"/>
      <c r="D9" s="9"/>
      <c r="E9" s="3"/>
      <c r="F9" s="10"/>
      <c r="G9" s="10"/>
      <c r="H9" s="10"/>
      <c r="I9" s="3"/>
      <c r="J9" s="10"/>
      <c r="K9" s="10"/>
      <c r="L9" s="10"/>
      <c r="M9" s="10"/>
      <c r="N9" s="10"/>
      <c r="O9" s="3"/>
    </row>
    <row r="10" spans="1:15">
      <c r="A10" s="3"/>
      <c r="B10" s="11" t="s">
        <v>1</v>
      </c>
      <c r="C10" s="12"/>
      <c r="D10" s="10"/>
      <c r="E10" s="12"/>
      <c r="F10" s="12"/>
      <c r="G10" s="12"/>
      <c r="H10" s="12"/>
      <c r="I10" s="10"/>
      <c r="J10" s="12"/>
      <c r="K10" s="12"/>
      <c r="L10" s="11"/>
      <c r="M10" s="13"/>
      <c r="N10" s="13"/>
      <c r="O10" s="3"/>
    </row>
    <row r="11" spans="1:15">
      <c r="A11" s="3"/>
      <c r="B11" s="14" t="s">
        <v>2</v>
      </c>
      <c r="C11" s="3"/>
      <c r="D11" s="3"/>
      <c r="E11" s="1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>
      <c r="A12" s="3"/>
      <c r="B12" s="10" t="s">
        <v>3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>
      <c r="A14" s="3"/>
      <c r="B14" s="15" t="s">
        <v>4</v>
      </c>
      <c r="C14" s="16"/>
      <c r="D14" s="17"/>
      <c r="E14" s="18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>
      <c r="A15" s="3"/>
      <c r="B15" s="19" t="s">
        <v>5</v>
      </c>
      <c r="C15" s="20"/>
      <c r="D15" s="21"/>
      <c r="E15" s="22" t="s">
        <v>6</v>
      </c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>
      <c r="A16" s="3"/>
      <c r="B16" s="23"/>
      <c r="C16" s="24"/>
      <c r="D16" s="25"/>
      <c r="E16" s="26" t="s">
        <v>7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66">
      <c r="A17" s="3"/>
      <c r="B17" s="23"/>
      <c r="C17" s="24"/>
      <c r="D17" s="25"/>
      <c r="E17" s="26" t="s">
        <v>8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66">
      <c r="A18" s="3"/>
      <c r="B18" s="27"/>
      <c r="C18" s="24"/>
      <c r="D18" s="28"/>
      <c r="E18" s="29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66">
      <c r="A19" s="3"/>
      <c r="B19" s="23" t="s">
        <v>9</v>
      </c>
      <c r="C19" s="24"/>
      <c r="D19" s="25"/>
      <c r="E19" s="26" t="s">
        <v>10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66">
      <c r="A20" s="3"/>
      <c r="B20" s="30" t="s">
        <v>11</v>
      </c>
      <c r="C20" s="24"/>
      <c r="D20" s="31"/>
      <c r="E20" s="32">
        <v>1880</v>
      </c>
      <c r="F20" s="3"/>
      <c r="G20" s="3"/>
      <c r="H20" s="3"/>
      <c r="I20" s="3"/>
      <c r="J20" s="3"/>
      <c r="K20" s="3"/>
      <c r="L20" s="3"/>
      <c r="M20" s="3"/>
      <c r="N20" s="3"/>
      <c r="O20" s="3"/>
      <c r="BN20" s="4" t="e">
        <f>#REF!+#REF!-#REF!</f>
        <v>#REF!</v>
      </c>
    </row>
    <row r="21" spans="1:66">
      <c r="A21" s="3"/>
      <c r="B21" s="30"/>
      <c r="C21" s="24"/>
      <c r="D21" s="33"/>
      <c r="E21" s="34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66">
      <c r="A22" s="3"/>
      <c r="B22" s="35"/>
      <c r="C22" s="36"/>
      <c r="D22" s="36"/>
      <c r="E22" s="37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66" ht="15.75">
      <c r="A23" s="3"/>
      <c r="F23" s="3"/>
      <c r="G23" s="7"/>
      <c r="H23" s="3"/>
      <c r="I23" s="7"/>
      <c r="J23" s="3"/>
      <c r="K23" s="3"/>
      <c r="L23" s="3"/>
      <c r="M23" s="3"/>
      <c r="N23" s="3"/>
      <c r="O23" s="3"/>
    </row>
    <row r="24" spans="1:66" ht="15.75">
      <c r="A24" s="3"/>
      <c r="F24" s="3"/>
      <c r="G24" s="7"/>
      <c r="H24" s="3"/>
      <c r="I24" s="7"/>
      <c r="J24" s="3"/>
      <c r="K24" s="3"/>
      <c r="L24" s="3"/>
      <c r="M24" s="3"/>
      <c r="N24" s="3"/>
      <c r="O24" s="3"/>
    </row>
    <row r="25" spans="1:66" ht="15.75">
      <c r="A25" s="3"/>
      <c r="B25" s="3"/>
      <c r="C25" s="7"/>
      <c r="D25" s="3"/>
      <c r="E25" s="3"/>
      <c r="F25" s="3"/>
      <c r="G25" s="7"/>
      <c r="H25" s="3"/>
      <c r="I25" s="7"/>
      <c r="J25" s="3"/>
      <c r="K25" s="3"/>
      <c r="L25" s="3"/>
      <c r="M25" s="3"/>
      <c r="N25" s="3"/>
      <c r="O25" s="3"/>
    </row>
    <row r="26" spans="1:66">
      <c r="A26" s="3"/>
      <c r="B26" s="38" t="s">
        <v>12</v>
      </c>
      <c r="C26" s="39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66">
      <c r="A27" s="40"/>
      <c r="B27" s="41" t="s">
        <v>13</v>
      </c>
      <c r="C27" s="41"/>
      <c r="D27" s="42" t="s">
        <v>14</v>
      </c>
      <c r="E27" s="42"/>
      <c r="F27" s="43" t="s">
        <v>15</v>
      </c>
      <c r="G27" s="43"/>
      <c r="J27" s="44"/>
      <c r="K27" s="44"/>
      <c r="L27" s="3"/>
      <c r="M27" s="3"/>
      <c r="N27" s="3"/>
      <c r="O27" s="3"/>
    </row>
    <row r="28" spans="1:6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6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66">
      <c r="A30" s="3"/>
      <c r="B30" s="45" t="s">
        <v>16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</sheetData>
  <mergeCells count="5">
    <mergeCell ref="A1:B1"/>
    <mergeCell ref="B26:C26"/>
    <mergeCell ref="B27:C27"/>
    <mergeCell ref="D27:E27"/>
    <mergeCell ref="F27:G27"/>
  </mergeCells>
  <hyperlinks>
    <hyperlink ref="B11" r:id="rId1" xr:uid="{3715F511-8D68-4A66-9950-51B0A48ED6C4}"/>
  </hyperlinks>
  <pageMargins left="0.7" right="0.7" top="0.75" bottom="0.75" header="0.3" footer="0.3"/>
  <pageSetup paperSize="9" orientation="portrait" horizontalDpi="300" verticalDpi="300" r:id="rId2"/>
  <customProperties>
    <customPr name="Qube.Worksheet.Visibility" r:id="rId3"/>
  </customPropertie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1C64-BE6E-423E-ADAF-4DCB14C9C93E}">
  <sheetPr>
    <pageSetUpPr fitToPage="1"/>
  </sheetPr>
  <dimension ref="A1:AD302"/>
  <sheetViews>
    <sheetView showGridLines="0" zoomScale="130" zoomScaleNormal="130" workbookViewId="0">
      <pane xSplit="5" ySplit="3" topLeftCell="G4" activePane="bottomRight" state="frozen"/>
      <selection activeCell="E20" sqref="E20"/>
      <selection pane="topRight" activeCell="E20" sqref="E20"/>
      <selection pane="bottomLeft" activeCell="E20" sqref="E20"/>
      <selection pane="bottomRight" activeCell="G4" sqref="G4"/>
    </sheetView>
  </sheetViews>
  <sheetFormatPr defaultColWidth="8" defaultRowHeight="11.85" customHeight="1"/>
  <cols>
    <col min="1" max="4" width="2.5703125" style="46" customWidth="1"/>
    <col min="5" max="5" width="36.140625" style="46" customWidth="1"/>
    <col min="6" max="6" width="8.28515625" style="121" hidden="1" customWidth="1"/>
    <col min="7" max="7" width="8.28515625" style="121" customWidth="1" collapsed="1"/>
    <col min="8" max="12" width="8.28515625" style="121" customWidth="1"/>
    <col min="13" max="19" width="8.28515625" style="121" hidden="1" customWidth="1"/>
    <col min="20" max="20" width="6.28515625" style="122" customWidth="1" collapsed="1"/>
    <col min="21" max="26" width="8.28515625" style="123" customWidth="1"/>
    <col min="27" max="16384" width="8" style="46"/>
  </cols>
  <sheetData>
    <row r="1" spans="1:26" ht="11.85" customHeight="1"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46"/>
      <c r="V1" s="46"/>
      <c r="W1" s="46"/>
      <c r="X1" s="46"/>
      <c r="Y1" s="46"/>
      <c r="Z1" s="46"/>
    </row>
    <row r="2" spans="1:26" ht="11.85" customHeight="1">
      <c r="B2" s="49"/>
      <c r="E2" s="50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 t="s">
        <v>17</v>
      </c>
      <c r="T2" s="48"/>
      <c r="U2" s="46"/>
      <c r="V2" s="46"/>
      <c r="W2" s="46"/>
      <c r="X2" s="46"/>
      <c r="Y2" s="46"/>
      <c r="Z2" s="46"/>
    </row>
    <row r="3" spans="1:26" ht="11.85" customHeight="1">
      <c r="A3" s="52" t="s">
        <v>18</v>
      </c>
      <c r="B3" s="52"/>
      <c r="C3" s="52"/>
      <c r="D3" s="52"/>
      <c r="E3" s="52"/>
      <c r="F3" s="53">
        <v>2022</v>
      </c>
      <c r="G3" s="53">
        <v>2023</v>
      </c>
      <c r="H3" s="53">
        <v>2024</v>
      </c>
      <c r="I3" s="53">
        <v>2025</v>
      </c>
      <c r="J3" s="54">
        <f>I3+1</f>
        <v>2026</v>
      </c>
      <c r="K3" s="54">
        <f t="shared" ref="K3:N3" si="0">J3+1</f>
        <v>2027</v>
      </c>
      <c r="L3" s="54">
        <f t="shared" si="0"/>
        <v>2028</v>
      </c>
      <c r="M3" s="54">
        <f t="shared" si="0"/>
        <v>2029</v>
      </c>
      <c r="N3" s="54">
        <f t="shared" si="0"/>
        <v>2030</v>
      </c>
      <c r="O3" s="54">
        <f>N3+1</f>
        <v>2031</v>
      </c>
      <c r="P3" s="54">
        <f t="shared" ref="P3:S3" si="1">O3+1</f>
        <v>2032</v>
      </c>
      <c r="Q3" s="54">
        <f t="shared" si="1"/>
        <v>2033</v>
      </c>
      <c r="R3" s="54">
        <f t="shared" si="1"/>
        <v>2034</v>
      </c>
      <c r="S3" s="54">
        <f t="shared" si="1"/>
        <v>2035</v>
      </c>
      <c r="T3" s="48"/>
      <c r="U3" s="53" t="s">
        <v>19</v>
      </c>
      <c r="V3" s="53" t="s">
        <v>20</v>
      </c>
      <c r="W3" s="53" t="s">
        <v>21</v>
      </c>
      <c r="X3" s="53" t="s">
        <v>22</v>
      </c>
      <c r="Y3" s="53" t="s">
        <v>23</v>
      </c>
      <c r="Z3" s="53" t="s">
        <v>24</v>
      </c>
    </row>
    <row r="4" spans="1:26" s="55" customFormat="1" ht="11.85" customHeight="1">
      <c r="B4" s="56" t="s">
        <v>25</v>
      </c>
      <c r="C4" s="56"/>
      <c r="D4" s="56"/>
      <c r="E4" s="56"/>
      <c r="F4" s="57">
        <f>Revenue!F5</f>
        <v>57.408999999999999</v>
      </c>
      <c r="G4" s="57">
        <f>Revenue!G5</f>
        <v>124.53800000000001</v>
      </c>
      <c r="H4" s="57">
        <f>Revenue!H5</f>
        <v>312.41399999999999</v>
      </c>
      <c r="I4" s="57">
        <f>Revenue!I5</f>
        <v>724.33400000000006</v>
      </c>
      <c r="J4" s="57">
        <f>Revenue!J5</f>
        <v>6339.2275799999998</v>
      </c>
      <c r="K4" s="57">
        <f>Revenue!K5</f>
        <v>23724.729436000001</v>
      </c>
      <c r="L4" s="57">
        <f>Revenue!L5</f>
        <v>58809.369362039986</v>
      </c>
      <c r="M4" s="57">
        <f>Revenue!M5</f>
        <v>120603.603734926</v>
      </c>
      <c r="N4" s="57">
        <f>Revenue!N5</f>
        <v>219595.56739605792</v>
      </c>
      <c r="O4" s="57">
        <f>Revenue!O5</f>
        <v>361500.18433607137</v>
      </c>
      <c r="P4" s="57">
        <f>Revenue!P5</f>
        <v>546175.78223727702</v>
      </c>
      <c r="Q4" s="57">
        <f>Revenue!Q5</f>
        <v>767895.92059799633</v>
      </c>
      <c r="R4" s="57">
        <f>Revenue!R5</f>
        <v>1017096.8599553651</v>
      </c>
      <c r="S4" s="57">
        <f>Revenue!S5</f>
        <v>1282827.1993614798</v>
      </c>
      <c r="T4" s="58"/>
      <c r="U4" s="57">
        <f>Revenue!U5</f>
        <v>44.909000000000006</v>
      </c>
      <c r="V4" s="57">
        <f>Revenue!V5</f>
        <v>267.505</v>
      </c>
      <c r="W4" s="57">
        <f>Revenue!W5</f>
        <v>190.87699999999998</v>
      </c>
      <c r="X4" s="57">
        <f>Revenue!X5</f>
        <v>533.45700000000011</v>
      </c>
      <c r="Y4" s="57">
        <f>Revenue!Y5</f>
        <v>1115.7647999999999</v>
      </c>
      <c r="Z4" s="57">
        <f>Revenue!Z5</f>
        <v>5223.4627799999998</v>
      </c>
    </row>
    <row r="5" spans="1:26" ht="11.85" customHeight="1">
      <c r="B5" s="60"/>
      <c r="C5" s="61" t="s">
        <v>26</v>
      </c>
      <c r="D5" s="60"/>
      <c r="E5" s="60"/>
      <c r="F5" s="62"/>
      <c r="G5" s="62"/>
      <c r="H5" s="63">
        <f>H4/G4-1</f>
        <v>1.50858372544926</v>
      </c>
      <c r="I5" s="63">
        <f>I4/H4-1</f>
        <v>1.3185068530859696</v>
      </c>
      <c r="J5" s="63">
        <f t="shared" ref="J5:S5" si="2">J4/I4-1</f>
        <v>7.7518017654838776</v>
      </c>
      <c r="K5" s="63">
        <f t="shared" si="2"/>
        <v>2.7425268515127206</v>
      </c>
      <c r="L5" s="63">
        <f t="shared" si="2"/>
        <v>1.4788214980779677</v>
      </c>
      <c r="M5" s="63">
        <f t="shared" si="2"/>
        <v>1.0507549229523399</v>
      </c>
      <c r="N5" s="63">
        <f t="shared" si="2"/>
        <v>0.82080435903644977</v>
      </c>
      <c r="O5" s="63">
        <f t="shared" si="2"/>
        <v>0.64620893136735003</v>
      </c>
      <c r="P5" s="63">
        <f t="shared" si="2"/>
        <v>0.51085893148403105</v>
      </c>
      <c r="Q5" s="63">
        <f t="shared" si="2"/>
        <v>0.4059501456701291</v>
      </c>
      <c r="R5" s="63">
        <f t="shared" si="2"/>
        <v>0.32452436934852358</v>
      </c>
      <c r="S5" s="63">
        <f t="shared" si="2"/>
        <v>0.26126355302854454</v>
      </c>
      <c r="T5" s="64"/>
      <c r="U5" s="65"/>
      <c r="V5" s="65"/>
      <c r="W5" s="63">
        <f t="shared" ref="W5:Z5" si="3">W4/U4-1</f>
        <v>3.2503061747088546</v>
      </c>
      <c r="X5" s="63">
        <f t="shared" si="3"/>
        <v>0.99419450103736429</v>
      </c>
      <c r="Y5" s="63">
        <f t="shared" si="3"/>
        <v>4.8454648805251548</v>
      </c>
      <c r="Z5" s="63">
        <f t="shared" si="3"/>
        <v>8.7917222569016786</v>
      </c>
    </row>
    <row r="6" spans="1:26" ht="11.85" customHeight="1">
      <c r="C6" s="66"/>
      <c r="F6" s="67"/>
      <c r="G6" s="67"/>
      <c r="H6" s="68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4"/>
      <c r="U6" s="69"/>
      <c r="V6" s="69"/>
      <c r="W6" s="69"/>
      <c r="X6" s="69"/>
      <c r="Y6" s="69"/>
      <c r="Z6" s="69"/>
    </row>
    <row r="7" spans="1:26" ht="11.85" customHeight="1">
      <c r="B7" s="46" t="s">
        <v>27</v>
      </c>
      <c r="F7" s="70">
        <f>Revenue!F118</f>
        <v>-26.048999999999999</v>
      </c>
      <c r="G7" s="70">
        <f>Revenue!G118</f>
        <v>-44.055999999999997</v>
      </c>
      <c r="H7" s="70">
        <f>Revenue!H118</f>
        <v>-136.52500000000001</v>
      </c>
      <c r="I7" s="70">
        <f>Revenue!I118</f>
        <v>-427.678</v>
      </c>
      <c r="J7" s="70">
        <f>Revenue!J118</f>
        <v>-4527.7267625999993</v>
      </c>
      <c r="K7" s="70">
        <f>Revenue!K118</f>
        <v>-17264.396893379999</v>
      </c>
      <c r="L7" s="70">
        <f>Revenue!L118</f>
        <v>-42438.455019297588</v>
      </c>
      <c r="M7" s="70">
        <f>Revenue!M118</f>
        <v>-85122.006587343538</v>
      </c>
      <c r="N7" s="70">
        <f>Revenue!N118</f>
        <v>-151139.52046936404</v>
      </c>
      <c r="O7" s="70">
        <f>Revenue!O118</f>
        <v>-242124.74750468443</v>
      </c>
      <c r="P7" s="70">
        <f>Revenue!P118</f>
        <v>-360911.26705888129</v>
      </c>
      <c r="Q7" s="70">
        <f>Revenue!Q118</f>
        <v>-500324.41142905835</v>
      </c>
      <c r="R7" s="70">
        <f>Revenue!R118</f>
        <v>-653146.30902402278</v>
      </c>
      <c r="S7" s="70">
        <f>Revenue!S118</f>
        <v>-811651.85623828112</v>
      </c>
      <c r="T7" s="71"/>
      <c r="U7" s="70">
        <f>Revenue!U118</f>
        <v>-22.95</v>
      </c>
      <c r="V7" s="70">
        <f>Revenue!V118</f>
        <v>-113.575</v>
      </c>
      <c r="W7" s="70">
        <f>Revenue!W118</f>
        <v>-95.453000000000003</v>
      </c>
      <c r="X7" s="70">
        <f>Revenue!X118</f>
        <v>-332.22500000000002</v>
      </c>
      <c r="Y7" s="70">
        <f>Revenue!Y118</f>
        <v>-735.384456</v>
      </c>
      <c r="Z7" s="70">
        <f>Revenue!Z118</f>
        <v>-3792.3423065999996</v>
      </c>
    </row>
    <row r="8" spans="1:26" ht="11.85" customHeight="1"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4"/>
      <c r="U8" s="69"/>
      <c r="V8" s="69"/>
      <c r="W8" s="69"/>
      <c r="X8" s="69"/>
      <c r="Y8" s="69"/>
      <c r="Z8" s="69"/>
    </row>
    <row r="9" spans="1:26" s="72" customFormat="1" ht="11.85" customHeight="1">
      <c r="B9" s="72" t="s">
        <v>28</v>
      </c>
      <c r="F9" s="73">
        <f>F4+F7</f>
        <v>31.36</v>
      </c>
      <c r="G9" s="73">
        <f>G4+G7</f>
        <v>80.482000000000014</v>
      </c>
      <c r="H9" s="73">
        <f>H4+H7</f>
        <v>175.88899999999998</v>
      </c>
      <c r="I9" s="73">
        <f t="shared" ref="I9:S9" si="4">I4+I7</f>
        <v>296.65600000000006</v>
      </c>
      <c r="J9" s="73">
        <f t="shared" si="4"/>
        <v>1811.5008174000004</v>
      </c>
      <c r="K9" s="73">
        <f t="shared" si="4"/>
        <v>6460.3325426200026</v>
      </c>
      <c r="L9" s="73">
        <f>L4+L7</f>
        <v>16370.914342742399</v>
      </c>
      <c r="M9" s="73">
        <f t="shared" si="4"/>
        <v>35481.597147582463</v>
      </c>
      <c r="N9" s="73">
        <f t="shared" si="4"/>
        <v>68456.046926693874</v>
      </c>
      <c r="O9" s="73">
        <f t="shared" si="4"/>
        <v>119375.43683138693</v>
      </c>
      <c r="P9" s="73">
        <f t="shared" si="4"/>
        <v>185264.51517839573</v>
      </c>
      <c r="Q9" s="73">
        <f t="shared" si="4"/>
        <v>267571.50916893798</v>
      </c>
      <c r="R9" s="73">
        <f t="shared" si="4"/>
        <v>363950.5509313423</v>
      </c>
      <c r="S9" s="73">
        <f t="shared" si="4"/>
        <v>471175.34312319872</v>
      </c>
      <c r="T9" s="74"/>
      <c r="U9" s="73">
        <f t="shared" ref="U9:Z9" si="5">U4+U7</f>
        <v>21.959000000000007</v>
      </c>
      <c r="V9" s="73">
        <f t="shared" si="5"/>
        <v>153.93</v>
      </c>
      <c r="W9" s="73">
        <f t="shared" si="5"/>
        <v>95.423999999999978</v>
      </c>
      <c r="X9" s="73">
        <f t="shared" si="5"/>
        <v>201.23200000000008</v>
      </c>
      <c r="Y9" s="73">
        <f t="shared" si="5"/>
        <v>380.38034399999992</v>
      </c>
      <c r="Z9" s="73">
        <f t="shared" si="5"/>
        <v>1431.1204734000003</v>
      </c>
    </row>
    <row r="10" spans="1:26" ht="11.85" customHeight="1">
      <c r="C10" s="66" t="s">
        <v>26</v>
      </c>
      <c r="F10" s="67"/>
      <c r="G10" s="68">
        <f>G9/F9-1</f>
        <v>1.5663903061224493</v>
      </c>
      <c r="H10" s="68">
        <f>H9/G9-1</f>
        <v>1.1854451927138983</v>
      </c>
      <c r="I10" s="68">
        <f t="shared" ref="I10:S10" si="6">I9/H9-1</f>
        <v>0.68660916828226948</v>
      </c>
      <c r="J10" s="68">
        <f t="shared" si="6"/>
        <v>5.1064020865918778</v>
      </c>
      <c r="K10" s="68">
        <f t="shared" si="6"/>
        <v>2.5662874013451171</v>
      </c>
      <c r="L10" s="68">
        <f t="shared" si="6"/>
        <v>1.5340668200499685</v>
      </c>
      <c r="M10" s="68">
        <f t="shared" si="6"/>
        <v>1.1673558608112971</v>
      </c>
      <c r="N10" s="68">
        <f t="shared" si="6"/>
        <v>0.92933950075463634</v>
      </c>
      <c r="O10" s="68">
        <f t="shared" si="6"/>
        <v>0.74382603423215587</v>
      </c>
      <c r="P10" s="68">
        <f t="shared" si="6"/>
        <v>0.55194837477390335</v>
      </c>
      <c r="Q10" s="68">
        <f t="shared" si="6"/>
        <v>0.44426745138585688</v>
      </c>
      <c r="R10" s="68">
        <f t="shared" si="6"/>
        <v>0.36019919333621209</v>
      </c>
      <c r="S10" s="68">
        <f t="shared" si="6"/>
        <v>0.29461362791585355</v>
      </c>
      <c r="T10" s="64"/>
      <c r="U10" s="68"/>
      <c r="V10" s="68"/>
      <c r="W10" s="68">
        <f t="shared" ref="W10:Z10" si="7">W9/U9-1</f>
        <v>3.3455530761874375</v>
      </c>
      <c r="X10" s="68">
        <f t="shared" si="7"/>
        <v>0.30729552393945347</v>
      </c>
      <c r="Y10" s="68">
        <f t="shared" si="7"/>
        <v>2.9862125251509055</v>
      </c>
      <c r="Z10" s="68">
        <f t="shared" si="7"/>
        <v>6.1117937176989727</v>
      </c>
    </row>
    <row r="11" spans="1:26" ht="11.85" customHeight="1">
      <c r="C11" s="66" t="s">
        <v>29</v>
      </c>
      <c r="F11" s="67"/>
      <c r="G11" s="68">
        <f>G9/G4</f>
        <v>0.64624451974497754</v>
      </c>
      <c r="H11" s="68">
        <f>H9/H4</f>
        <v>0.56299973752776755</v>
      </c>
      <c r="I11" s="68">
        <f t="shared" ref="I11:S11" si="8">I9/I4</f>
        <v>0.40955691711282372</v>
      </c>
      <c r="J11" s="68">
        <f t="shared" si="8"/>
        <v>0.28576049598143632</v>
      </c>
      <c r="K11" s="68">
        <f t="shared" si="8"/>
        <v>0.27230373943978758</v>
      </c>
      <c r="L11" s="68">
        <f t="shared" si="8"/>
        <v>0.27837255390311028</v>
      </c>
      <c r="M11" s="68">
        <f t="shared" si="8"/>
        <v>0.29420014036700987</v>
      </c>
      <c r="N11" s="68">
        <f t="shared" si="8"/>
        <v>0.31173692501373673</v>
      </c>
      <c r="O11" s="68">
        <f t="shared" si="8"/>
        <v>0.33022234013692414</v>
      </c>
      <c r="P11" s="68">
        <f t="shared" si="8"/>
        <v>0.33920309395540105</v>
      </c>
      <c r="Q11" s="68">
        <f t="shared" si="8"/>
        <v>0.34844762420481096</v>
      </c>
      <c r="R11" s="68">
        <f t="shared" si="8"/>
        <v>0.35783273477740768</v>
      </c>
      <c r="S11" s="68">
        <f t="shared" si="8"/>
        <v>0.36729447532584564</v>
      </c>
      <c r="T11" s="64"/>
      <c r="U11" s="68">
        <f t="shared" ref="U11:Z11" si="9">U9/U4</f>
        <v>0.48896657685541883</v>
      </c>
      <c r="V11" s="68">
        <f t="shared" si="9"/>
        <v>0.57542849666361384</v>
      </c>
      <c r="W11" s="68">
        <f t="shared" si="9"/>
        <v>0.49992403484966752</v>
      </c>
      <c r="X11" s="68">
        <f t="shared" si="9"/>
        <v>0.37722253152550261</v>
      </c>
      <c r="Y11" s="68">
        <f t="shared" si="9"/>
        <v>0.34091445078747773</v>
      </c>
      <c r="Z11" s="68">
        <f t="shared" si="9"/>
        <v>0.27397926120572458</v>
      </c>
    </row>
    <row r="12" spans="1:26" s="72" customFormat="1" ht="11.85" customHeight="1">
      <c r="C12" s="66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4"/>
      <c r="U12" s="75"/>
      <c r="V12" s="75"/>
      <c r="W12" s="75"/>
      <c r="X12" s="75"/>
      <c r="Y12" s="75"/>
      <c r="Z12" s="75"/>
    </row>
    <row r="13" spans="1:26" s="72" customFormat="1" ht="11.85" customHeight="1">
      <c r="B13" s="46" t="s">
        <v>30</v>
      </c>
      <c r="C13" s="66"/>
      <c r="F13" s="76">
        <v>1.784</v>
      </c>
      <c r="G13" s="76">
        <v>9.9649999999999999</v>
      </c>
      <c r="H13" s="76">
        <v>19.280999999999999</v>
      </c>
      <c r="I13" s="76">
        <v>14.839</v>
      </c>
      <c r="J13" s="67">
        <f t="shared" ref="J13:S13" si="10">J66</f>
        <v>33.148359999999997</v>
      </c>
      <c r="K13" s="67">
        <f t="shared" si="10"/>
        <v>432.8425603403233</v>
      </c>
      <c r="L13" s="67">
        <f t="shared" si="10"/>
        <v>199.21518926102965</v>
      </c>
      <c r="M13" s="67">
        <f t="shared" si="10"/>
        <v>414.59591886547685</v>
      </c>
      <c r="N13" s="67">
        <f t="shared" si="10"/>
        <v>560.09699019306174</v>
      </c>
      <c r="O13" s="67">
        <f t="shared" si="10"/>
        <v>913.91537423997067</v>
      </c>
      <c r="P13" s="67">
        <f t="shared" si="10"/>
        <v>1673.7569555995326</v>
      </c>
      <c r="Q13" s="67">
        <f t="shared" si="10"/>
        <v>2943.3991789278316</v>
      </c>
      <c r="R13" s="67">
        <f t="shared" si="10"/>
        <v>4958.4362612878958</v>
      </c>
      <c r="S13" s="67">
        <f t="shared" si="10"/>
        <v>7823.4091377107134</v>
      </c>
      <c r="T13" s="74"/>
      <c r="U13" s="76">
        <v>4.1740000000000004</v>
      </c>
      <c r="V13" s="69">
        <f>H13-U13</f>
        <v>15.106999999999999</v>
      </c>
      <c r="W13" s="76">
        <v>4.6139999999999999</v>
      </c>
      <c r="X13" s="69">
        <f>I13-W13</f>
        <v>10.225000000000001</v>
      </c>
      <c r="Y13" s="69">
        <f>Y69</f>
        <v>16.736471999999999</v>
      </c>
      <c r="Z13" s="69">
        <f>Z69</f>
        <v>16.411887999999998</v>
      </c>
    </row>
    <row r="14" spans="1:26" ht="11.85" customHeight="1">
      <c r="B14" s="46" t="s">
        <v>31</v>
      </c>
      <c r="F14" s="76">
        <v>-15.138999999999999</v>
      </c>
      <c r="G14" s="76">
        <v>-101.19799999999999</v>
      </c>
      <c r="H14" s="76">
        <v>-387.47500000000002</v>
      </c>
      <c r="I14" s="76">
        <v>-390.86900000000003</v>
      </c>
      <c r="J14" s="77">
        <f t="shared" ref="J14:S14" si="11">-J82</f>
        <v>-508.12970000000007</v>
      </c>
      <c r="K14" s="77">
        <f t="shared" si="11"/>
        <v>-736.78806500000007</v>
      </c>
      <c r="L14" s="77">
        <f t="shared" si="11"/>
        <v>-1105.1820975000001</v>
      </c>
      <c r="M14" s="77">
        <f t="shared" si="11"/>
        <v>-1602.514041375</v>
      </c>
      <c r="N14" s="77">
        <f t="shared" si="11"/>
        <v>-2251.5322281318749</v>
      </c>
      <c r="O14" s="77">
        <f t="shared" si="11"/>
        <v>-3072.2157252859433</v>
      </c>
      <c r="P14" s="77">
        <f t="shared" si="11"/>
        <v>-4080.0560939659977</v>
      </c>
      <c r="Q14" s="77">
        <f t="shared" si="11"/>
        <v>-5284.6722554289881</v>
      </c>
      <c r="R14" s="77">
        <f t="shared" si="11"/>
        <v>-6688.9180094777066</v>
      </c>
      <c r="S14" s="77">
        <f t="shared" si="11"/>
        <v>-8288.5623836213854</v>
      </c>
      <c r="T14" s="64"/>
      <c r="U14" s="76">
        <v>-144.19399999999999</v>
      </c>
      <c r="V14" s="69">
        <f t="shared" ref="V14:V17" si="12">H14-U14</f>
        <v>-243.28100000000003</v>
      </c>
      <c r="W14" s="76">
        <v>-208.57</v>
      </c>
      <c r="X14" s="69">
        <f>I14-W14</f>
        <v>-182.29900000000004</v>
      </c>
      <c r="Y14" s="69">
        <f>-Y82</f>
        <v>-245.468256</v>
      </c>
      <c r="Z14" s="69">
        <f>-Z82</f>
        <v>-262.66144400000007</v>
      </c>
    </row>
    <row r="15" spans="1:26" ht="11.85" customHeight="1">
      <c r="B15" s="46" t="s">
        <v>32</v>
      </c>
      <c r="F15" s="76">
        <v>-32.316000000000003</v>
      </c>
      <c r="G15" s="76">
        <v>-66.302000000000007</v>
      </c>
      <c r="H15" s="76">
        <v>-133.60300000000001</v>
      </c>
      <c r="I15" s="76">
        <v>-505.35700000000003</v>
      </c>
      <c r="J15" s="77">
        <f>-J92</f>
        <v>-656.96410000000003</v>
      </c>
      <c r="K15" s="77">
        <f t="shared" ref="K15:S15" si="13">-K92</f>
        <v>-952.59794499999998</v>
      </c>
      <c r="L15" s="77">
        <f t="shared" si="13"/>
        <v>-1428.8969175</v>
      </c>
      <c r="M15" s="77">
        <f t="shared" si="13"/>
        <v>-2071.900530375</v>
      </c>
      <c r="N15" s="77">
        <f t="shared" si="13"/>
        <v>-2911.0202451768751</v>
      </c>
      <c r="O15" s="77">
        <f t="shared" si="13"/>
        <v>-3972.0871245438461</v>
      </c>
      <c r="P15" s="77">
        <f t="shared" si="13"/>
        <v>-5275.1303057504556</v>
      </c>
      <c r="Q15" s="77">
        <f t="shared" si="13"/>
        <v>-6832.5861528717487</v>
      </c>
      <c r="R15" s="77">
        <f t="shared" si="13"/>
        <v>-8648.1443617059067</v>
      </c>
      <c r="S15" s="77">
        <f t="shared" si="13"/>
        <v>-10716.334681184115</v>
      </c>
      <c r="T15" s="64"/>
      <c r="U15" s="76">
        <v>-51.451999999999998</v>
      </c>
      <c r="V15" s="69">
        <f t="shared" si="12"/>
        <v>-82.15100000000001</v>
      </c>
      <c r="W15" s="76">
        <v>-185.16499999999999</v>
      </c>
      <c r="X15" s="69">
        <f>I15-W15</f>
        <v>-320.19200000000001</v>
      </c>
      <c r="Y15" s="69">
        <f>-Y92</f>
        <v>-334.72943999999995</v>
      </c>
      <c r="Z15" s="69">
        <f>-Z92</f>
        <v>-322.23466000000008</v>
      </c>
    </row>
    <row r="16" spans="1:26" ht="11.85" customHeight="1">
      <c r="B16" s="46" t="s">
        <v>33</v>
      </c>
      <c r="F16" s="76">
        <v>-84.376999999999995</v>
      </c>
      <c r="G16" s="76">
        <v>-528.88400000000001</v>
      </c>
      <c r="H16" s="76">
        <v>-2195.4360000000001</v>
      </c>
      <c r="I16" s="76">
        <v>-3180.4430000000002</v>
      </c>
      <c r="J16" s="77">
        <f t="shared" ref="J16:S16" si="14">-J102</f>
        <v>-5724.7974000000004</v>
      </c>
      <c r="K16" s="77">
        <f t="shared" si="14"/>
        <v>-10877.11506</v>
      </c>
      <c r="L16" s="77">
        <f t="shared" si="14"/>
        <v>-16304.795474940001</v>
      </c>
      <c r="M16" s="77">
        <f t="shared" si="14"/>
        <v>-26087.672759904002</v>
      </c>
      <c r="N16" s="77">
        <f t="shared" si="14"/>
        <v>-40435.892777851208</v>
      </c>
      <c r="O16" s="77">
        <f t="shared" si="14"/>
        <v>-56003.711497323922</v>
      </c>
      <c r="P16" s="77">
        <f t="shared" si="14"/>
        <v>-71096.711745852706</v>
      </c>
      <c r="Q16" s="77">
        <f t="shared" si="14"/>
        <v>-84509.106416707815</v>
      </c>
      <c r="R16" s="77">
        <f t="shared" si="14"/>
        <v>-95668.956464566174</v>
      </c>
      <c r="S16" s="77">
        <f t="shared" si="14"/>
        <v>-104512.45129671597</v>
      </c>
      <c r="T16" s="64"/>
      <c r="U16" s="76">
        <v>-859.21699999999998</v>
      </c>
      <c r="V16" s="69">
        <f t="shared" si="12"/>
        <v>-1336.2190000000001</v>
      </c>
      <c r="W16" s="76">
        <v>-1594.6610000000001</v>
      </c>
      <c r="X16" s="69">
        <f>I16-W16</f>
        <v>-1585.7820000000002</v>
      </c>
      <c r="Y16" s="69">
        <f>-Y102</f>
        <v>-2789.4119999999998</v>
      </c>
      <c r="Z16" s="69">
        <f>-Z102</f>
        <v>-2935.3854000000006</v>
      </c>
    </row>
    <row r="17" spans="2:26" ht="11.85" customHeight="1">
      <c r="B17" s="46" t="s">
        <v>34</v>
      </c>
      <c r="F17" s="76">
        <v>-3.1E-2</v>
      </c>
      <c r="G17" s="76">
        <v>-19.786000000000001</v>
      </c>
      <c r="H17" s="76">
        <v>-17.007999999999999</v>
      </c>
      <c r="I17" s="76">
        <v>-21.576000000000001</v>
      </c>
      <c r="J17" s="78">
        <v>0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  <c r="Q17" s="78">
        <v>0</v>
      </c>
      <c r="R17" s="78">
        <v>0</v>
      </c>
      <c r="S17" s="78">
        <v>0</v>
      </c>
      <c r="T17" s="64"/>
      <c r="U17" s="76">
        <v>-0.76300000000000001</v>
      </c>
      <c r="V17" s="69">
        <f t="shared" si="12"/>
        <v>-16.244999999999997</v>
      </c>
      <c r="W17" s="76">
        <v>-10.867000000000001</v>
      </c>
      <c r="X17" s="69">
        <f>I17-W17</f>
        <v>-10.709</v>
      </c>
      <c r="Y17" s="79">
        <v>0</v>
      </c>
      <c r="Z17" s="79">
        <v>0</v>
      </c>
    </row>
    <row r="18" spans="2:26" ht="11.85" customHeight="1"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64"/>
      <c r="U18" s="69"/>
      <c r="V18" s="69"/>
      <c r="W18" s="69"/>
      <c r="X18" s="69"/>
      <c r="Y18" s="69"/>
      <c r="Z18" s="69"/>
    </row>
    <row r="19" spans="2:26" s="72" customFormat="1" ht="11.85" customHeight="1">
      <c r="B19" s="72" t="s">
        <v>35</v>
      </c>
      <c r="F19" s="80">
        <f>F9+SUM(F13:F17)</f>
        <v>-98.719000000000008</v>
      </c>
      <c r="G19" s="80">
        <f t="shared" ref="G19:S19" si="15">G9+SUM(G13:G17)</f>
        <v>-625.72299999999996</v>
      </c>
      <c r="H19" s="80">
        <f t="shared" si="15"/>
        <v>-2538.3519999999999</v>
      </c>
      <c r="I19" s="80">
        <f t="shared" si="15"/>
        <v>-3786.7500000000005</v>
      </c>
      <c r="J19" s="80">
        <f t="shared" si="15"/>
        <v>-5045.2420226000004</v>
      </c>
      <c r="K19" s="80">
        <f t="shared" si="15"/>
        <v>-5673.3259670396747</v>
      </c>
      <c r="L19" s="80">
        <f t="shared" si="15"/>
        <v>-2268.7449579365712</v>
      </c>
      <c r="M19" s="80">
        <f t="shared" si="15"/>
        <v>6134.1057347939386</v>
      </c>
      <c r="N19" s="80">
        <f t="shared" si="15"/>
        <v>23417.698665726981</v>
      </c>
      <c r="O19" s="80">
        <f t="shared" si="15"/>
        <v>57241.337858473191</v>
      </c>
      <c r="P19" s="80">
        <f t="shared" si="15"/>
        <v>106486.3739884261</v>
      </c>
      <c r="Q19" s="80">
        <f t="shared" si="15"/>
        <v>173888.54352285725</v>
      </c>
      <c r="R19" s="80">
        <f t="shared" si="15"/>
        <v>257902.96835688042</v>
      </c>
      <c r="S19" s="80">
        <f t="shared" si="15"/>
        <v>355481.40389938798</v>
      </c>
      <c r="T19" s="74"/>
      <c r="U19" s="80">
        <f t="shared" ref="U19:Z19" si="16">U9+SUM(U13:U17)</f>
        <v>-1029.4929999999997</v>
      </c>
      <c r="V19" s="80">
        <f t="shared" si="16"/>
        <v>-1508.8589999999999</v>
      </c>
      <c r="W19" s="80">
        <f t="shared" si="16"/>
        <v>-1899.2250000000001</v>
      </c>
      <c r="X19" s="80">
        <f t="shared" si="16"/>
        <v>-1887.5250000000001</v>
      </c>
      <c r="Y19" s="80">
        <f t="shared" si="16"/>
        <v>-2972.4928799999998</v>
      </c>
      <c r="Z19" s="80">
        <f t="shared" si="16"/>
        <v>-2072.7491426000006</v>
      </c>
    </row>
    <row r="20" spans="2:26" ht="11.85" customHeight="1">
      <c r="C20" s="66" t="s">
        <v>29</v>
      </c>
      <c r="F20" s="76"/>
      <c r="G20" s="81">
        <f t="shared" ref="G20:S20" si="17">G19/G$4</f>
        <v>-5.0243540124299404</v>
      </c>
      <c r="H20" s="81">
        <f t="shared" si="17"/>
        <v>-8.1249623896496317</v>
      </c>
      <c r="I20" s="81">
        <f t="shared" si="17"/>
        <v>-5.2279059108091017</v>
      </c>
      <c r="J20" s="81">
        <f t="shared" si="17"/>
        <v>-0.79587646269673762</v>
      </c>
      <c r="K20" s="81">
        <f t="shared" si="17"/>
        <v>-0.23913132423044398</v>
      </c>
      <c r="L20" s="81">
        <f t="shared" si="17"/>
        <v>-3.8577950801849455E-2</v>
      </c>
      <c r="M20" s="81">
        <f t="shared" si="17"/>
        <v>5.0861711796573311E-2</v>
      </c>
      <c r="N20" s="81">
        <f t="shared" si="17"/>
        <v>0.10664012458635522</v>
      </c>
      <c r="O20" s="81">
        <f t="shared" si="17"/>
        <v>0.15834386907326817</v>
      </c>
      <c r="P20" s="81">
        <f t="shared" si="17"/>
        <v>0.19496722017265289</v>
      </c>
      <c r="Q20" s="81">
        <f t="shared" si="17"/>
        <v>0.22644806263255329</v>
      </c>
      <c r="R20" s="81">
        <f t="shared" si="17"/>
        <v>0.25356775594430447</v>
      </c>
      <c r="S20" s="81">
        <f t="shared" si="17"/>
        <v>0.27710778511425926</v>
      </c>
      <c r="T20" s="64"/>
      <c r="U20" s="81">
        <f t="shared" ref="U20:Z20" si="18">U19/U$4</f>
        <v>-22.923979603197569</v>
      </c>
      <c r="V20" s="81">
        <f t="shared" si="18"/>
        <v>-5.6404889628231247</v>
      </c>
      <c r="W20" s="81">
        <f t="shared" si="18"/>
        <v>-9.9499939751777333</v>
      </c>
      <c r="X20" s="81">
        <f t="shared" si="18"/>
        <v>-3.5382889342533694</v>
      </c>
      <c r="Y20" s="81">
        <f t="shared" si="18"/>
        <v>-2.6640855492125222</v>
      </c>
      <c r="Z20" s="81">
        <f t="shared" si="18"/>
        <v>-0.39681514541202506</v>
      </c>
    </row>
    <row r="21" spans="2:26" ht="11.85" customHeight="1">
      <c r="C21" s="66" t="s">
        <v>26</v>
      </c>
      <c r="F21" s="67"/>
      <c r="G21" s="82">
        <f>-(G19/F19-1)</f>
        <v>-5.3384252271599175</v>
      </c>
      <c r="H21" s="82">
        <f>-(H19/G19-1)</f>
        <v>-3.0566704436308081</v>
      </c>
      <c r="I21" s="82">
        <f t="shared" ref="I21:S21" si="19">I19/H19-1</f>
        <v>0.49181437405056538</v>
      </c>
      <c r="J21" s="82">
        <f t="shared" si="19"/>
        <v>0.33234093156400601</v>
      </c>
      <c r="K21" s="82">
        <f t="shared" si="19"/>
        <v>0.12449034984371266</v>
      </c>
      <c r="L21" s="82">
        <f t="shared" si="19"/>
        <v>-0.600103189713177</v>
      </c>
      <c r="M21" s="82">
        <f t="shared" si="19"/>
        <v>-3.7037440737159466</v>
      </c>
      <c r="N21" s="82">
        <f t="shared" si="19"/>
        <v>2.8176222709851357</v>
      </c>
      <c r="O21" s="82">
        <f t="shared" si="19"/>
        <v>1.4443622183186116</v>
      </c>
      <c r="P21" s="82">
        <f t="shared" si="19"/>
        <v>0.86030547105151878</v>
      </c>
      <c r="Q21" s="82">
        <f t="shared" si="19"/>
        <v>0.63296520493558184</v>
      </c>
      <c r="R21" s="82">
        <f t="shared" si="19"/>
        <v>0.48315100656978971</v>
      </c>
      <c r="S21" s="82">
        <f t="shared" si="19"/>
        <v>0.37835328598265949</v>
      </c>
      <c r="T21" s="64"/>
      <c r="U21" s="82"/>
      <c r="V21" s="82"/>
      <c r="W21" s="82">
        <f>-(W19/U19-1)</f>
        <v>-0.84481584624664818</v>
      </c>
      <c r="X21" s="82">
        <f>-(X19/V19-1)</f>
        <v>-0.25096181949406815</v>
      </c>
      <c r="Y21" s="82">
        <f t="shared" ref="Y21:Z21" si="20">-(Y19/W19-1)</f>
        <v>-0.56510833629506751</v>
      </c>
      <c r="Z21" s="82">
        <f t="shared" si="20"/>
        <v>-9.8130696335148038E-2</v>
      </c>
    </row>
    <row r="22" spans="2:26" ht="11.85" customHeight="1">
      <c r="C22" s="6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64"/>
      <c r="U22" s="69"/>
      <c r="V22" s="69"/>
      <c r="W22" s="69"/>
      <c r="X22" s="69"/>
      <c r="Y22" s="69"/>
      <c r="Z22" s="69"/>
    </row>
    <row r="23" spans="2:26" ht="11.85" customHeight="1">
      <c r="B23" s="83" t="s">
        <v>36</v>
      </c>
      <c r="C23" s="84"/>
      <c r="D23" s="84"/>
      <c r="E23" s="84"/>
      <c r="F23" s="85">
        <f t="shared" ref="F23:S23" si="21">F19+SUM(F46)</f>
        <v>-97.695000000000007</v>
      </c>
      <c r="G23" s="85">
        <f t="shared" si="21"/>
        <v>-620.221</v>
      </c>
      <c r="H23" s="85">
        <f t="shared" si="21"/>
        <v>-2514.7729999999997</v>
      </c>
      <c r="I23" s="85">
        <f t="shared" si="21"/>
        <v>-3228.4850000000006</v>
      </c>
      <c r="J23" s="85">
        <f>J19+SUM(J46)</f>
        <v>-4375.3240226000007</v>
      </c>
      <c r="K23" s="85">
        <f t="shared" si="21"/>
        <v>-4869.4243670396745</v>
      </c>
      <c r="L23" s="85">
        <f t="shared" si="21"/>
        <v>-1304.0630379365712</v>
      </c>
      <c r="M23" s="85">
        <f t="shared" si="21"/>
        <v>7195.2558467939389</v>
      </c>
      <c r="N23" s="85">
        <f t="shared" si="21"/>
        <v>24584.96378892698</v>
      </c>
      <c r="O23" s="85">
        <f t="shared" si="21"/>
        <v>58525.329493993195</v>
      </c>
      <c r="P23" s="85">
        <f t="shared" si="21"/>
        <v>107898.7647874981</v>
      </c>
      <c r="Q23" s="85">
        <f t="shared" si="21"/>
        <v>175442.17340183645</v>
      </c>
      <c r="R23" s="85">
        <f t="shared" si="21"/>
        <v>259611.96122375753</v>
      </c>
      <c r="S23" s="85">
        <f t="shared" si="21"/>
        <v>357361.29605295282</v>
      </c>
      <c r="T23" s="64"/>
      <c r="U23" s="85">
        <f>U19+SUM(U46)</f>
        <v>-1025.2759999999996</v>
      </c>
      <c r="V23" s="85">
        <f>V19+SUM(V46)</f>
        <v>-1489.4969999999998</v>
      </c>
      <c r="W23" s="85">
        <f>W19+SUM(W46)</f>
        <v>-1740.373</v>
      </c>
      <c r="X23" s="85">
        <f>X19+SUM(X46)</f>
        <v>-1488.1120000000001</v>
      </c>
      <c r="Y23" s="85">
        <f t="shared" ref="Y23:Z23" si="22">Y19+SUM(Y46)</f>
        <v>-2637.53388</v>
      </c>
      <c r="Z23" s="85">
        <f t="shared" si="22"/>
        <v>-1737.7901426000005</v>
      </c>
    </row>
    <row r="24" spans="2:26" ht="11.85" customHeight="1">
      <c r="B24" s="84"/>
      <c r="C24" s="86" t="s">
        <v>29</v>
      </c>
      <c r="D24" s="84"/>
      <c r="E24" s="84"/>
      <c r="F24" s="87"/>
      <c r="G24" s="88">
        <f t="shared" ref="G24:S24" si="23">G23/G$4</f>
        <v>-4.9801747257865063</v>
      </c>
      <c r="H24" s="88">
        <f t="shared" si="23"/>
        <v>-8.0494888193230771</v>
      </c>
      <c r="I24" s="88">
        <f t="shared" si="23"/>
        <v>-4.4571772138267711</v>
      </c>
      <c r="J24" s="88">
        <f t="shared" si="23"/>
        <v>-0.69019828794346594</v>
      </c>
      <c r="K24" s="88">
        <f t="shared" si="23"/>
        <v>-0.20524678185163159</v>
      </c>
      <c r="L24" s="88">
        <f t="shared" si="23"/>
        <v>-2.2174409487518022E-2</v>
      </c>
      <c r="M24" s="88">
        <f t="shared" si="23"/>
        <v>5.9660371862588386E-2</v>
      </c>
      <c r="N24" s="88">
        <f t="shared" si="23"/>
        <v>0.11195564683045746</v>
      </c>
      <c r="O24" s="88">
        <f t="shared" si="23"/>
        <v>0.16189571134377259</v>
      </c>
      <c r="P24" s="88">
        <f t="shared" si="23"/>
        <v>0.19755318396856944</v>
      </c>
      <c r="Q24" s="88">
        <f t="shared" si="23"/>
        <v>0.22847129239234851</v>
      </c>
      <c r="R24" s="88">
        <f t="shared" si="23"/>
        <v>0.25524802154550996</v>
      </c>
      <c r="S24" s="88">
        <f t="shared" si="23"/>
        <v>0.27857321409370445</v>
      </c>
      <c r="T24" s="64"/>
      <c r="U24" s="88">
        <f t="shared" ref="U24:Z24" si="24">U23/U$4</f>
        <v>-22.830078603397972</v>
      </c>
      <c r="V24" s="88">
        <f t="shared" si="24"/>
        <v>-5.5681090073082737</v>
      </c>
      <c r="W24" s="88">
        <f t="shared" si="24"/>
        <v>-9.1177721778946665</v>
      </c>
      <c r="X24" s="88">
        <f t="shared" si="24"/>
        <v>-2.7895631700399464</v>
      </c>
      <c r="Y24" s="88">
        <f t="shared" si="24"/>
        <v>-2.3638798069270512</v>
      </c>
      <c r="Z24" s="88">
        <f t="shared" si="24"/>
        <v>-0.33268929363367661</v>
      </c>
    </row>
    <row r="25" spans="2:26" ht="11.85" customHeight="1">
      <c r="B25" s="83"/>
      <c r="C25" s="86" t="s">
        <v>26</v>
      </c>
      <c r="D25" s="84"/>
      <c r="E25" s="84"/>
      <c r="F25" s="87"/>
      <c r="G25" s="89">
        <f>G23/F23-1</f>
        <v>5.348543937765494</v>
      </c>
      <c r="H25" s="89">
        <f>H23/G23-1</f>
        <v>3.0546402008316385</v>
      </c>
      <c r="I25" s="89">
        <f t="shared" ref="I25:S25" si="25">I23/H23-1</f>
        <v>0.28380772340088001</v>
      </c>
      <c r="J25" s="89">
        <f t="shared" si="25"/>
        <v>0.35522513581447646</v>
      </c>
      <c r="K25" s="89">
        <f t="shared" si="25"/>
        <v>0.11292885781429707</v>
      </c>
      <c r="L25" s="89">
        <f t="shared" si="25"/>
        <v>-0.73219359422367103</v>
      </c>
      <c r="M25" s="89">
        <f t="shared" si="25"/>
        <v>-6.5175675082234115</v>
      </c>
      <c r="N25" s="89">
        <f t="shared" si="25"/>
        <v>2.4168296878395985</v>
      </c>
      <c r="O25" s="89">
        <f t="shared" si="25"/>
        <v>1.3805334836552774</v>
      </c>
      <c r="P25" s="89">
        <f t="shared" si="25"/>
        <v>0.84362507174901769</v>
      </c>
      <c r="Q25" s="89">
        <f t="shared" si="25"/>
        <v>0.62598871031899339</v>
      </c>
      <c r="R25" s="89">
        <f t="shared" si="25"/>
        <v>0.47975800909133071</v>
      </c>
      <c r="S25" s="89">
        <f t="shared" si="25"/>
        <v>0.37652092133361248</v>
      </c>
      <c r="T25" s="64"/>
      <c r="U25" s="89"/>
      <c r="V25" s="89"/>
      <c r="W25" s="89">
        <f t="shared" ref="W25:Z25" si="26">W23/U23-1</f>
        <v>0.69746780379136997</v>
      </c>
      <c r="X25" s="89">
        <f t="shared" si="26"/>
        <v>-9.2984410173346799E-4</v>
      </c>
      <c r="Y25" s="89">
        <f t="shared" si="26"/>
        <v>0.51549919471285754</v>
      </c>
      <c r="Z25" s="89">
        <f t="shared" si="26"/>
        <v>0.16778182193275804</v>
      </c>
    </row>
    <row r="26" spans="2:26" ht="11.85" customHeight="1"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64"/>
      <c r="U26" s="69"/>
      <c r="V26" s="69"/>
      <c r="W26" s="69"/>
      <c r="X26" s="69"/>
      <c r="Y26" s="69"/>
      <c r="Z26" s="69"/>
    </row>
    <row r="27" spans="2:26" ht="11.85" customHeight="1">
      <c r="B27" s="46" t="s">
        <v>37</v>
      </c>
      <c r="F27" s="76">
        <v>-5.694</v>
      </c>
      <c r="G27" s="76">
        <v>-26.332000000000001</v>
      </c>
      <c r="H27" s="76">
        <v>-38.320999999999998</v>
      </c>
      <c r="I27" s="76">
        <v>-74.314999999999998</v>
      </c>
      <c r="J27" s="77">
        <f t="shared" ref="J27:S27" si="27">-J111</f>
        <v>-35.705665197387631</v>
      </c>
      <c r="K27" s="77">
        <f t="shared" si="27"/>
        <v>-35.705665197387631</v>
      </c>
      <c r="L27" s="77">
        <f t="shared" si="27"/>
        <v>-35.705665197387631</v>
      </c>
      <c r="M27" s="77">
        <f t="shared" si="27"/>
        <v>-35.705665197387631</v>
      </c>
      <c r="N27" s="77">
        <f t="shared" si="27"/>
        <v>-35.705665197387631</v>
      </c>
      <c r="O27" s="77">
        <f t="shared" si="27"/>
        <v>-35.705665197387631</v>
      </c>
      <c r="P27" s="77">
        <f t="shared" si="27"/>
        <v>-35.705665197387631</v>
      </c>
      <c r="Q27" s="77">
        <f t="shared" si="27"/>
        <v>-35.705665197387631</v>
      </c>
      <c r="R27" s="77">
        <f t="shared" si="27"/>
        <v>-35.705665197387631</v>
      </c>
      <c r="S27" s="77">
        <f t="shared" si="27"/>
        <v>-35.705665197387631</v>
      </c>
      <c r="T27" s="64"/>
      <c r="U27" s="64">
        <v>-12.212</v>
      </c>
      <c r="V27" s="69">
        <f>H27-U27</f>
        <v>-26.108999999999998</v>
      </c>
      <c r="W27" s="64">
        <v>-53.27</v>
      </c>
      <c r="X27" s="69">
        <f>I27-W27</f>
        <v>-21.044999999999995</v>
      </c>
      <c r="Y27" s="69">
        <f>-Y111</f>
        <v>-17.852832598693816</v>
      </c>
      <c r="Z27" s="69">
        <f>-Z111</f>
        <v>-17.852832598693816</v>
      </c>
    </row>
    <row r="28" spans="2:26" ht="11.85" customHeight="1">
      <c r="B28" s="46" t="s">
        <v>38</v>
      </c>
      <c r="F28" s="76">
        <v>0</v>
      </c>
      <c r="G28" s="76">
        <v>-0.45300000000000001</v>
      </c>
      <c r="H28" s="76">
        <v>21.254000000000001</v>
      </c>
      <c r="I28" s="76">
        <v>54.981999999999999</v>
      </c>
      <c r="J28" s="78">
        <v>0</v>
      </c>
      <c r="K28" s="78">
        <v>0</v>
      </c>
      <c r="L28" s="78">
        <v>0</v>
      </c>
      <c r="M28" s="78">
        <v>0</v>
      </c>
      <c r="N28" s="78">
        <v>0</v>
      </c>
      <c r="O28" s="78">
        <v>0</v>
      </c>
      <c r="P28" s="78">
        <v>0</v>
      </c>
      <c r="Q28" s="78">
        <v>0</v>
      </c>
      <c r="R28" s="78">
        <v>0</v>
      </c>
      <c r="S28" s="78">
        <v>0</v>
      </c>
      <c r="T28" s="64"/>
      <c r="U28" s="64">
        <v>0.32400000000000001</v>
      </c>
      <c r="V28" s="69">
        <f t="shared" ref="V28:V30" si="28">H28-U28</f>
        <v>20.93</v>
      </c>
      <c r="W28" s="64">
        <v>14.147</v>
      </c>
      <c r="X28" s="69">
        <f t="shared" ref="X28:X30" si="29">I28-W28</f>
        <v>40.835000000000001</v>
      </c>
      <c r="Y28" s="79">
        <v>0</v>
      </c>
      <c r="Z28" s="79">
        <v>0</v>
      </c>
    </row>
    <row r="29" spans="2:26" ht="11.85" customHeight="1">
      <c r="B29" s="46" t="s">
        <v>39</v>
      </c>
      <c r="F29" s="76">
        <v>5.9720000000000004</v>
      </c>
      <c r="G29" s="76">
        <v>26.001999999999999</v>
      </c>
      <c r="H29" s="76">
        <v>66.271000000000001</v>
      </c>
      <c r="I29" s="76">
        <v>25.277999999999999</v>
      </c>
      <c r="J29" s="78">
        <v>0</v>
      </c>
      <c r="K29" s="78">
        <f t="shared" ref="K29:S29" si="30">J29</f>
        <v>0</v>
      </c>
      <c r="L29" s="78">
        <f t="shared" si="30"/>
        <v>0</v>
      </c>
      <c r="M29" s="78">
        <f t="shared" si="30"/>
        <v>0</v>
      </c>
      <c r="N29" s="78">
        <f t="shared" si="30"/>
        <v>0</v>
      </c>
      <c r="O29" s="78">
        <f t="shared" si="30"/>
        <v>0</v>
      </c>
      <c r="P29" s="78">
        <f t="shared" si="30"/>
        <v>0</v>
      </c>
      <c r="Q29" s="78">
        <f t="shared" si="30"/>
        <v>0</v>
      </c>
      <c r="R29" s="78">
        <f t="shared" si="30"/>
        <v>0</v>
      </c>
      <c r="S29" s="78">
        <f t="shared" si="30"/>
        <v>0</v>
      </c>
      <c r="T29" s="64"/>
      <c r="U29" s="64">
        <v>7.0039999999999996</v>
      </c>
      <c r="V29" s="69">
        <f t="shared" si="28"/>
        <v>59.267000000000003</v>
      </c>
      <c r="W29" s="64">
        <v>9.7910000000000004</v>
      </c>
      <c r="X29" s="69">
        <f t="shared" si="29"/>
        <v>15.486999999999998</v>
      </c>
      <c r="Y29" s="79">
        <v>0</v>
      </c>
      <c r="Z29" s="79">
        <v>0</v>
      </c>
    </row>
    <row r="30" spans="2:26" ht="11.85" customHeight="1">
      <c r="B30" s="46" t="s">
        <v>40</v>
      </c>
      <c r="F30" s="76">
        <v>-45.209000000000003</v>
      </c>
      <c r="G30" s="76">
        <v>-161.471</v>
      </c>
      <c r="H30" s="76">
        <v>-468.85899999999998</v>
      </c>
      <c r="I30" s="76">
        <v>-937.36199999999997</v>
      </c>
      <c r="J30" s="78">
        <v>0</v>
      </c>
      <c r="K30" s="78">
        <v>0</v>
      </c>
      <c r="L30" s="78">
        <v>0</v>
      </c>
      <c r="M30" s="78">
        <v>0</v>
      </c>
      <c r="N30" s="78">
        <v>0</v>
      </c>
      <c r="O30" s="78">
        <v>0</v>
      </c>
      <c r="P30" s="78">
        <v>0</v>
      </c>
      <c r="Q30" s="78">
        <v>0</v>
      </c>
      <c r="R30" s="78">
        <v>0</v>
      </c>
      <c r="S30" s="78">
        <v>0</v>
      </c>
      <c r="T30" s="64"/>
      <c r="U30" s="64">
        <v>-201.17400000000001</v>
      </c>
      <c r="V30" s="69">
        <f t="shared" si="28"/>
        <v>-267.68499999999995</v>
      </c>
      <c r="W30" s="64">
        <v>-429.29500000000002</v>
      </c>
      <c r="X30" s="69">
        <f t="shared" si="29"/>
        <v>-508.06699999999995</v>
      </c>
      <c r="Y30" s="79">
        <v>0</v>
      </c>
      <c r="Z30" s="79">
        <v>0</v>
      </c>
    </row>
    <row r="31" spans="2:26" ht="11.85" customHeight="1"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64"/>
      <c r="U31" s="69"/>
      <c r="V31" s="69"/>
      <c r="W31" s="69"/>
      <c r="X31" s="69"/>
      <c r="Y31" s="69"/>
      <c r="Z31" s="69"/>
    </row>
    <row r="32" spans="2:26" s="72" customFormat="1" ht="11.85" customHeight="1">
      <c r="B32" s="72" t="s">
        <v>41</v>
      </c>
      <c r="F32" s="73">
        <f>SUM(F19,F27:F30)</f>
        <v>-143.65000000000003</v>
      </c>
      <c r="G32" s="73">
        <f t="shared" ref="G32:S32" si="31">SUM(G19,G27:G30)</f>
        <v>-787.97699999999998</v>
      </c>
      <c r="H32" s="73">
        <f t="shared" si="31"/>
        <v>-2958.0069999999996</v>
      </c>
      <c r="I32" s="73">
        <f>SUM(I19,I27:I30)</f>
        <v>-4718.1670000000004</v>
      </c>
      <c r="J32" s="73">
        <f>SUM(J19,J27:J30)</f>
        <v>-5080.9476877973884</v>
      </c>
      <c r="K32" s="73">
        <f t="shared" si="31"/>
        <v>-5709.0316322370627</v>
      </c>
      <c r="L32" s="73">
        <f t="shared" si="31"/>
        <v>-2304.4506231339587</v>
      </c>
      <c r="M32" s="73">
        <f t="shared" si="31"/>
        <v>6098.4000695965506</v>
      </c>
      <c r="N32" s="73">
        <f t="shared" si="31"/>
        <v>23381.993000529594</v>
      </c>
      <c r="O32" s="73">
        <f t="shared" si="31"/>
        <v>57205.6321932758</v>
      </c>
      <c r="P32" s="73">
        <f t="shared" si="31"/>
        <v>106450.66832322872</v>
      </c>
      <c r="Q32" s="73">
        <f t="shared" si="31"/>
        <v>173852.83785765985</v>
      </c>
      <c r="R32" s="73">
        <f t="shared" si="31"/>
        <v>257867.26269168302</v>
      </c>
      <c r="S32" s="73">
        <f t="shared" si="31"/>
        <v>355445.69823419058</v>
      </c>
      <c r="T32" s="74"/>
      <c r="U32" s="73">
        <f t="shared" ref="U32:Z32" si="32">SUM(U19,U27:U30)</f>
        <v>-1235.5509999999997</v>
      </c>
      <c r="V32" s="73">
        <f t="shared" si="32"/>
        <v>-1722.4559999999997</v>
      </c>
      <c r="W32" s="73">
        <f t="shared" si="32"/>
        <v>-2357.8520000000003</v>
      </c>
      <c r="X32" s="73">
        <f t="shared" si="32"/>
        <v>-2360.3150000000001</v>
      </c>
      <c r="Y32" s="73">
        <f t="shared" si="32"/>
        <v>-2990.3457125986938</v>
      </c>
      <c r="Z32" s="73">
        <f t="shared" si="32"/>
        <v>-2090.6019751986946</v>
      </c>
    </row>
    <row r="33" spans="2:26" ht="11.85" customHeight="1">
      <c r="B33" s="46" t="s">
        <v>42</v>
      </c>
      <c r="F33" s="76">
        <v>0</v>
      </c>
      <c r="G33" s="76">
        <v>0</v>
      </c>
      <c r="H33" s="76">
        <v>0</v>
      </c>
      <c r="I33" s="76">
        <v>0</v>
      </c>
      <c r="J33" s="77">
        <f>-J115</f>
        <v>0</v>
      </c>
      <c r="K33" s="77">
        <f t="shared" ref="K33:S33" si="33">-K115</f>
        <v>0</v>
      </c>
      <c r="L33" s="77">
        <f t="shared" si="33"/>
        <v>0</v>
      </c>
      <c r="M33" s="77">
        <f t="shared" si="33"/>
        <v>-1097.7120125273791</v>
      </c>
      <c r="N33" s="77">
        <f t="shared" si="33"/>
        <v>-4208.7587400953271</v>
      </c>
      <c r="O33" s="77">
        <f t="shared" si="33"/>
        <v>-10297.013794789644</v>
      </c>
      <c r="P33" s="77">
        <f t="shared" si="33"/>
        <v>-19161.120298181169</v>
      </c>
      <c r="Q33" s="77">
        <f t="shared" si="33"/>
        <v>-31293.510814378773</v>
      </c>
      <c r="R33" s="77">
        <f t="shared" si="33"/>
        <v>-46416.107284502941</v>
      </c>
      <c r="S33" s="77">
        <f t="shared" si="33"/>
        <v>-63980.225682154305</v>
      </c>
      <c r="T33" s="64"/>
      <c r="U33" s="76">
        <v>0</v>
      </c>
      <c r="V33" s="69">
        <f t="shared" ref="V33" si="34">H33-U33</f>
        <v>0</v>
      </c>
      <c r="W33" s="76">
        <v>0</v>
      </c>
      <c r="X33" s="76">
        <v>0</v>
      </c>
      <c r="Y33" s="76">
        <v>0</v>
      </c>
      <c r="Z33" s="76">
        <v>0</v>
      </c>
    </row>
    <row r="34" spans="2:26" ht="11.85" customHeight="1"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4"/>
      <c r="U34" s="69"/>
      <c r="V34" s="69"/>
      <c r="W34" s="69"/>
      <c r="X34" s="69"/>
      <c r="Y34" s="69"/>
      <c r="Z34" s="69"/>
    </row>
    <row r="35" spans="2:26" s="72" customFormat="1" ht="11.85" customHeight="1">
      <c r="B35" s="72" t="s">
        <v>43</v>
      </c>
      <c r="F35" s="73">
        <f>F32+F33</f>
        <v>-143.65000000000003</v>
      </c>
      <c r="G35" s="73">
        <f t="shared" ref="G35:S35" si="35">G32+G33</f>
        <v>-787.97699999999998</v>
      </c>
      <c r="H35" s="73">
        <f t="shared" si="35"/>
        <v>-2958.0069999999996</v>
      </c>
      <c r="I35" s="73">
        <f t="shared" si="35"/>
        <v>-4718.1670000000004</v>
      </c>
      <c r="J35" s="73">
        <f t="shared" si="35"/>
        <v>-5080.9476877973884</v>
      </c>
      <c r="K35" s="73">
        <f t="shared" si="35"/>
        <v>-5709.0316322370627</v>
      </c>
      <c r="L35" s="73">
        <f t="shared" si="35"/>
        <v>-2304.4506231339587</v>
      </c>
      <c r="M35" s="73">
        <f t="shared" si="35"/>
        <v>5000.6880570691719</v>
      </c>
      <c r="N35" s="73">
        <f t="shared" si="35"/>
        <v>19173.234260434267</v>
      </c>
      <c r="O35" s="73">
        <f t="shared" si="35"/>
        <v>46908.618398486156</v>
      </c>
      <c r="P35" s="73">
        <f t="shared" si="35"/>
        <v>87289.548025047552</v>
      </c>
      <c r="Q35" s="73">
        <f t="shared" si="35"/>
        <v>142559.32704328108</v>
      </c>
      <c r="R35" s="73">
        <f t="shared" si="35"/>
        <v>211451.15540718008</v>
      </c>
      <c r="S35" s="73">
        <f t="shared" si="35"/>
        <v>291465.47255203628</v>
      </c>
      <c r="T35" s="74"/>
      <c r="U35" s="73">
        <f t="shared" ref="U35:Z35" si="36">U32+U33</f>
        <v>-1235.5509999999997</v>
      </c>
      <c r="V35" s="73">
        <f t="shared" si="36"/>
        <v>-1722.4559999999997</v>
      </c>
      <c r="W35" s="73">
        <f t="shared" si="36"/>
        <v>-2357.8520000000003</v>
      </c>
      <c r="X35" s="73">
        <f t="shared" si="36"/>
        <v>-2360.3150000000001</v>
      </c>
      <c r="Y35" s="73">
        <f t="shared" si="36"/>
        <v>-2990.3457125986938</v>
      </c>
      <c r="Z35" s="73">
        <f t="shared" si="36"/>
        <v>-2090.6019751986946</v>
      </c>
    </row>
    <row r="36" spans="2:26" ht="11.85" customHeight="1">
      <c r="C36" s="46" t="s">
        <v>44</v>
      </c>
      <c r="F36" s="76">
        <v>-143.374</v>
      </c>
      <c r="G36" s="76">
        <v>-787.96</v>
      </c>
      <c r="H36" s="76">
        <v>-2956.491</v>
      </c>
      <c r="I36" s="76">
        <v>-4698.2030000000004</v>
      </c>
      <c r="J36" s="77">
        <f t="shared" ref="J36:R36" si="37">J35*J39</f>
        <v>-5059.4486523373916</v>
      </c>
      <c r="K36" s="77">
        <f t="shared" si="37"/>
        <v>-5684.8749825241593</v>
      </c>
      <c r="L36" s="77">
        <f t="shared" si="37"/>
        <v>-2294.6997914571134</v>
      </c>
      <c r="M36" s="77">
        <f t="shared" si="37"/>
        <v>4979.5286245244297</v>
      </c>
      <c r="N36" s="77">
        <f t="shared" si="37"/>
        <v>19092.106473144137</v>
      </c>
      <c r="O36" s="77">
        <f t="shared" si="37"/>
        <v>46710.133762883524</v>
      </c>
      <c r="P36" s="77">
        <f t="shared" si="37"/>
        <v>86920.199390975875</v>
      </c>
      <c r="Q36" s="77">
        <f t="shared" si="37"/>
        <v>141956.11515928205</v>
      </c>
      <c r="R36" s="77">
        <f t="shared" si="37"/>
        <v>210556.44123819264</v>
      </c>
      <c r="S36" s="77">
        <f>S35*S39</f>
        <v>290232.19346419798</v>
      </c>
      <c r="T36" s="64"/>
      <c r="U36" s="76">
        <v>-1235.5509999999999</v>
      </c>
      <c r="V36" s="69">
        <f t="shared" ref="V36" si="38">H36-U36</f>
        <v>-1720.94</v>
      </c>
      <c r="W36" s="76">
        <v>-2351.1729999999998</v>
      </c>
      <c r="X36" s="69">
        <f t="shared" ref="X36:X37" si="39">I36-W36</f>
        <v>-2347.0300000000007</v>
      </c>
      <c r="Y36" s="69">
        <f>Y35*Y39</f>
        <v>-2977.6926501262719</v>
      </c>
      <c r="Z36" s="69">
        <f>J36-Y36</f>
        <v>-2081.7560022111197</v>
      </c>
    </row>
    <row r="37" spans="2:26" ht="11.85" customHeight="1">
      <c r="C37" s="46" t="s">
        <v>45</v>
      </c>
      <c r="F37" s="67">
        <f>F35-F36</f>
        <v>-0.27600000000003888</v>
      </c>
      <c r="G37" s="67">
        <f t="shared" ref="G37:S37" si="40">G35-G36</f>
        <v>-1.6999999999939064E-2</v>
      </c>
      <c r="H37" s="67">
        <f t="shared" si="40"/>
        <v>-1.5159999999996217</v>
      </c>
      <c r="I37" s="67">
        <f t="shared" si="40"/>
        <v>-19.963999999999942</v>
      </c>
      <c r="J37" s="67">
        <f t="shared" si="40"/>
        <v>-21.499035459996776</v>
      </c>
      <c r="K37" s="67">
        <f t="shared" si="40"/>
        <v>-24.156649712903345</v>
      </c>
      <c r="L37" s="67">
        <f t="shared" si="40"/>
        <v>-9.7508316768453369</v>
      </c>
      <c r="M37" s="67">
        <f t="shared" si="40"/>
        <v>21.159432544742231</v>
      </c>
      <c r="N37" s="67">
        <f t="shared" si="40"/>
        <v>81.127787290130073</v>
      </c>
      <c r="O37" s="67">
        <f t="shared" si="40"/>
        <v>198.4846356026319</v>
      </c>
      <c r="P37" s="67">
        <f t="shared" si="40"/>
        <v>369.34863407167722</v>
      </c>
      <c r="Q37" s="67">
        <f t="shared" si="40"/>
        <v>603.21188399902894</v>
      </c>
      <c r="R37" s="67">
        <f t="shared" si="40"/>
        <v>894.71416898744064</v>
      </c>
      <c r="S37" s="67">
        <f t="shared" si="40"/>
        <v>1233.2790878383094</v>
      </c>
      <c r="T37" s="64"/>
      <c r="U37" s="67">
        <f t="shared" ref="U37:W37" si="41">U35-U36</f>
        <v>0</v>
      </c>
      <c r="V37" s="69">
        <f>H37-U37</f>
        <v>-1.5159999999996217</v>
      </c>
      <c r="W37" s="67">
        <f t="shared" si="41"/>
        <v>-6.6790000000005421</v>
      </c>
      <c r="X37" s="69">
        <f t="shared" si="39"/>
        <v>-13.2849999999994</v>
      </c>
      <c r="Y37" s="69">
        <f>Y35-Y36</f>
        <v>-12.65306247242188</v>
      </c>
      <c r="Z37" s="69">
        <f>Z35-Z36</f>
        <v>-8.8459729875748963</v>
      </c>
    </row>
    <row r="38" spans="2:26" ht="11.85" customHeight="1">
      <c r="F38" s="67"/>
      <c r="G38" s="67"/>
      <c r="H38" s="67"/>
      <c r="I38" s="78"/>
      <c r="J38" s="78"/>
      <c r="K38" s="78"/>
      <c r="L38" s="78"/>
      <c r="M38" s="78"/>
      <c r="N38" s="67"/>
      <c r="O38" s="67"/>
      <c r="P38" s="67"/>
      <c r="Q38" s="67"/>
      <c r="R38" s="67"/>
      <c r="S38" s="67"/>
      <c r="T38" s="64"/>
      <c r="U38" s="67"/>
      <c r="V38" s="69"/>
      <c r="W38" s="67"/>
      <c r="X38" s="67"/>
      <c r="Y38" s="67"/>
      <c r="Z38" s="67"/>
    </row>
    <row r="39" spans="2:26" ht="11.85" customHeight="1">
      <c r="B39" s="46" t="s">
        <v>46</v>
      </c>
      <c r="F39" s="68">
        <f>F36/F35</f>
        <v>0.99807866341802964</v>
      </c>
      <c r="G39" s="68">
        <f t="shared" ref="G39:I39" si="42">G36/G35</f>
        <v>0.99997842576623441</v>
      </c>
      <c r="H39" s="68">
        <f t="shared" si="42"/>
        <v>0.99948749276117343</v>
      </c>
      <c r="I39" s="68">
        <f t="shared" si="42"/>
        <v>0.99576869576680949</v>
      </c>
      <c r="J39" s="90">
        <f t="shared" ref="J39:S40" si="43">I39</f>
        <v>0.99576869576680949</v>
      </c>
      <c r="K39" s="90">
        <f t="shared" si="43"/>
        <v>0.99576869576680949</v>
      </c>
      <c r="L39" s="90">
        <f t="shared" si="43"/>
        <v>0.99576869576680949</v>
      </c>
      <c r="M39" s="90">
        <f t="shared" si="43"/>
        <v>0.99576869576680949</v>
      </c>
      <c r="N39" s="90">
        <f t="shared" si="43"/>
        <v>0.99576869576680949</v>
      </c>
      <c r="O39" s="90">
        <f t="shared" si="43"/>
        <v>0.99576869576680949</v>
      </c>
      <c r="P39" s="90">
        <f t="shared" si="43"/>
        <v>0.99576869576680949</v>
      </c>
      <c r="Q39" s="90">
        <f t="shared" si="43"/>
        <v>0.99576869576680949</v>
      </c>
      <c r="R39" s="90">
        <f t="shared" si="43"/>
        <v>0.99576869576680949</v>
      </c>
      <c r="S39" s="90">
        <f t="shared" si="43"/>
        <v>0.99576869576680949</v>
      </c>
      <c r="T39" s="64"/>
      <c r="U39" s="67"/>
      <c r="V39" s="69"/>
      <c r="W39" s="67"/>
      <c r="X39" s="67"/>
      <c r="Y39" s="90">
        <f>J39</f>
        <v>0.99576869576680949</v>
      </c>
      <c r="Z39" s="68">
        <f>Z36/Z35</f>
        <v>0.99576869576680938</v>
      </c>
    </row>
    <row r="40" spans="2:26" ht="11.85" customHeight="1">
      <c r="B40" s="46" t="s">
        <v>47</v>
      </c>
      <c r="F40" s="68">
        <f>F37/F35</f>
        <v>1.9213365819703363E-3</v>
      </c>
      <c r="G40" s="68">
        <f t="shared" ref="G40:H40" si="44">G37/G35</f>
        <v>2.1574233765629027E-5</v>
      </c>
      <c r="H40" s="68">
        <f t="shared" si="44"/>
        <v>5.1250723882655515E-4</v>
      </c>
      <c r="I40" s="68">
        <f>I37/I35</f>
        <v>4.2313042331905467E-3</v>
      </c>
      <c r="J40" s="90">
        <f t="shared" si="43"/>
        <v>4.2313042331905467E-3</v>
      </c>
      <c r="K40" s="90">
        <f t="shared" si="43"/>
        <v>4.2313042331905467E-3</v>
      </c>
      <c r="L40" s="90">
        <f t="shared" si="43"/>
        <v>4.2313042331905467E-3</v>
      </c>
      <c r="M40" s="90">
        <f t="shared" si="43"/>
        <v>4.2313042331905467E-3</v>
      </c>
      <c r="N40" s="90">
        <f t="shared" si="43"/>
        <v>4.2313042331905467E-3</v>
      </c>
      <c r="O40" s="90">
        <f t="shared" si="43"/>
        <v>4.2313042331905467E-3</v>
      </c>
      <c r="P40" s="90">
        <f t="shared" si="43"/>
        <v>4.2313042331905467E-3</v>
      </c>
      <c r="Q40" s="90">
        <f t="shared" si="43"/>
        <v>4.2313042331905467E-3</v>
      </c>
      <c r="R40" s="90">
        <f t="shared" si="43"/>
        <v>4.2313042331905467E-3</v>
      </c>
      <c r="S40" s="90">
        <f t="shared" si="43"/>
        <v>4.2313042331905467E-3</v>
      </c>
      <c r="T40" s="64"/>
      <c r="U40" s="67"/>
      <c r="V40" s="69"/>
      <c r="W40" s="67"/>
      <c r="X40" s="67"/>
      <c r="Y40" s="90">
        <f>J40</f>
        <v>4.2313042331905467E-3</v>
      </c>
      <c r="Z40" s="68">
        <f>Z37/Z35</f>
        <v>4.2313042331906144E-3</v>
      </c>
    </row>
    <row r="41" spans="2:26" ht="11.85" customHeight="1"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4"/>
      <c r="U41" s="69"/>
      <c r="V41" s="69"/>
      <c r="W41" s="69"/>
      <c r="X41" s="69"/>
      <c r="Y41" s="69"/>
      <c r="Z41" s="69"/>
    </row>
    <row r="42" spans="2:26" ht="11.85" customHeight="1">
      <c r="B42" s="46" t="s">
        <v>48</v>
      </c>
      <c r="F42" s="76">
        <v>39.482999999999997</v>
      </c>
      <c r="G42" s="76">
        <v>343.06</v>
      </c>
      <c r="H42" s="76">
        <v>1562.4490000000001</v>
      </c>
      <c r="I42" s="76">
        <v>2779.7269999999999</v>
      </c>
      <c r="J42" s="78">
        <v>1000</v>
      </c>
      <c r="K42" s="78">
        <v>1000</v>
      </c>
      <c r="L42" s="78">
        <v>1000</v>
      </c>
      <c r="M42" s="78">
        <v>1000</v>
      </c>
      <c r="N42" s="78">
        <v>1000</v>
      </c>
      <c r="O42" s="78">
        <v>1000</v>
      </c>
      <c r="P42" s="78">
        <v>1000</v>
      </c>
      <c r="Q42" s="78">
        <v>1000</v>
      </c>
      <c r="R42" s="78">
        <v>1000</v>
      </c>
      <c r="S42" s="78">
        <v>1000</v>
      </c>
      <c r="T42" s="64"/>
      <c r="U42" s="76">
        <v>647.97500000000002</v>
      </c>
      <c r="V42" s="69">
        <f>H42-U42</f>
        <v>914.47400000000005</v>
      </c>
      <c r="W42" s="76">
        <v>1357.8969999999999</v>
      </c>
      <c r="X42" s="69">
        <f>I42-W42</f>
        <v>1421.83</v>
      </c>
      <c r="Y42" s="79">
        <v>500</v>
      </c>
      <c r="Z42" s="69">
        <f>J42-Y42</f>
        <v>500</v>
      </c>
    </row>
    <row r="43" spans="2:26" ht="11.85" customHeight="1">
      <c r="B43" s="46" t="s">
        <v>49</v>
      </c>
      <c r="F43" s="67">
        <f>F36+F42</f>
        <v>-103.89099999999999</v>
      </c>
      <c r="G43" s="67">
        <f t="shared" ref="G43:S43" si="45">G36+G42</f>
        <v>-444.90000000000003</v>
      </c>
      <c r="H43" s="67">
        <f t="shared" si="45"/>
        <v>-1394.0419999999999</v>
      </c>
      <c r="I43" s="67">
        <f t="shared" si="45"/>
        <v>-1918.4760000000006</v>
      </c>
      <c r="J43" s="67">
        <f t="shared" si="45"/>
        <v>-4059.4486523373916</v>
      </c>
      <c r="K43" s="67">
        <f t="shared" si="45"/>
        <v>-4684.8749825241593</v>
      </c>
      <c r="L43" s="67">
        <f t="shared" si="45"/>
        <v>-1294.6997914571134</v>
      </c>
      <c r="M43" s="67">
        <f t="shared" si="45"/>
        <v>5979.5286245244297</v>
      </c>
      <c r="N43" s="67">
        <f t="shared" si="45"/>
        <v>20092.106473144137</v>
      </c>
      <c r="O43" s="67">
        <f t="shared" si="45"/>
        <v>47710.133762883524</v>
      </c>
      <c r="P43" s="67">
        <f t="shared" si="45"/>
        <v>87920.199390975875</v>
      </c>
      <c r="Q43" s="67">
        <f t="shared" si="45"/>
        <v>142956.11515928205</v>
      </c>
      <c r="R43" s="67">
        <f t="shared" si="45"/>
        <v>211556.44123819264</v>
      </c>
      <c r="S43" s="67">
        <f t="shared" si="45"/>
        <v>291232.19346419798</v>
      </c>
      <c r="T43" s="64"/>
      <c r="U43" s="67">
        <f t="shared" ref="U43:Z43" si="46">U36+U42</f>
        <v>-587.57599999999991</v>
      </c>
      <c r="V43" s="67">
        <f t="shared" si="46"/>
        <v>-806.46600000000001</v>
      </c>
      <c r="W43" s="67">
        <f t="shared" si="46"/>
        <v>-993.27599999999984</v>
      </c>
      <c r="X43" s="67">
        <f t="shared" si="46"/>
        <v>-925.20000000000073</v>
      </c>
      <c r="Y43" s="67">
        <f t="shared" si="46"/>
        <v>-2477.6926501262719</v>
      </c>
      <c r="Z43" s="67">
        <f t="shared" si="46"/>
        <v>-1581.7560022111197</v>
      </c>
    </row>
    <row r="44" spans="2:26" ht="11.85" customHeight="1"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4"/>
      <c r="U44" s="69"/>
      <c r="V44" s="69"/>
      <c r="W44" s="69"/>
      <c r="X44" s="69"/>
      <c r="Y44" s="69"/>
      <c r="Z44" s="69"/>
    </row>
    <row r="45" spans="2:26" ht="11.85" customHeight="1">
      <c r="B45" s="91" t="s">
        <v>50</v>
      </c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4"/>
      <c r="U45" s="69"/>
      <c r="V45" s="69"/>
      <c r="W45" s="69"/>
      <c r="X45" s="69"/>
      <c r="Y45" s="69"/>
      <c r="Z45" s="69"/>
    </row>
    <row r="46" spans="2:26" ht="11.85" customHeight="1">
      <c r="C46" s="46" t="s">
        <v>51</v>
      </c>
      <c r="F46" s="76">
        <v>1.024</v>
      </c>
      <c r="G46" s="76">
        <v>5.5019999999999998</v>
      </c>
      <c r="H46" s="76">
        <v>23.579000000000001</v>
      </c>
      <c r="I46" s="76">
        <v>558.26499999999999</v>
      </c>
      <c r="J46" s="67">
        <f>J118</f>
        <v>669.91800000000001</v>
      </c>
      <c r="K46" s="67">
        <f t="shared" ref="K46:S46" si="47">K118</f>
        <v>803.90160000000003</v>
      </c>
      <c r="L46" s="67">
        <f t="shared" si="47"/>
        <v>964.68191999999999</v>
      </c>
      <c r="M46" s="67">
        <f t="shared" si="47"/>
        <v>1061.150112</v>
      </c>
      <c r="N46" s="67">
        <f t="shared" si="47"/>
        <v>1167.2651232000001</v>
      </c>
      <c r="O46" s="67">
        <f t="shared" si="47"/>
        <v>1283.9916355200003</v>
      </c>
      <c r="P46" s="67">
        <f t="shared" si="47"/>
        <v>1412.3907990720004</v>
      </c>
      <c r="Q46" s="67">
        <f t="shared" si="47"/>
        <v>1553.6298789792006</v>
      </c>
      <c r="R46" s="67">
        <f t="shared" si="47"/>
        <v>1708.9928668771208</v>
      </c>
      <c r="S46" s="67">
        <f t="shared" si="47"/>
        <v>1879.8921535648331</v>
      </c>
      <c r="T46" s="64"/>
      <c r="U46" s="64">
        <v>4.2169999999999996</v>
      </c>
      <c r="V46" s="69">
        <f>H46-U46</f>
        <v>19.362000000000002</v>
      </c>
      <c r="W46" s="64">
        <v>158.852</v>
      </c>
      <c r="X46" s="69">
        <f t="shared" ref="X46:X47" si="48">I46-W46</f>
        <v>399.41300000000001</v>
      </c>
      <c r="Y46" s="79">
        <f>J46/2</f>
        <v>334.959</v>
      </c>
      <c r="Z46" s="69">
        <f>J46-Y46</f>
        <v>334.959</v>
      </c>
    </row>
    <row r="47" spans="2:26" ht="11.85" customHeight="1">
      <c r="C47" s="46" t="s">
        <v>52</v>
      </c>
      <c r="F47" s="77">
        <f>-F30</f>
        <v>45.209000000000003</v>
      </c>
      <c r="G47" s="77">
        <f t="shared" ref="G47:S47" si="49">-G30</f>
        <v>161.471</v>
      </c>
      <c r="H47" s="77">
        <f t="shared" si="49"/>
        <v>468.85899999999998</v>
      </c>
      <c r="I47" s="77">
        <f t="shared" si="49"/>
        <v>937.36199999999997</v>
      </c>
      <c r="J47" s="77">
        <f t="shared" si="49"/>
        <v>0</v>
      </c>
      <c r="K47" s="77">
        <f t="shared" si="49"/>
        <v>0</v>
      </c>
      <c r="L47" s="77">
        <f t="shared" si="49"/>
        <v>0</v>
      </c>
      <c r="M47" s="77">
        <f t="shared" si="49"/>
        <v>0</v>
      </c>
      <c r="N47" s="77">
        <f t="shared" si="49"/>
        <v>0</v>
      </c>
      <c r="O47" s="77">
        <f t="shared" si="49"/>
        <v>0</v>
      </c>
      <c r="P47" s="77">
        <f t="shared" si="49"/>
        <v>0</v>
      </c>
      <c r="Q47" s="77">
        <f t="shared" si="49"/>
        <v>0</v>
      </c>
      <c r="R47" s="77">
        <f t="shared" si="49"/>
        <v>0</v>
      </c>
      <c r="S47" s="77">
        <f t="shared" si="49"/>
        <v>0</v>
      </c>
      <c r="T47" s="64"/>
      <c r="U47" s="77">
        <f t="shared" ref="U47:W47" si="50">-U30</f>
        <v>201.17400000000001</v>
      </c>
      <c r="V47" s="69">
        <f>H47-U47</f>
        <v>267.68499999999995</v>
      </c>
      <c r="W47" s="77">
        <f t="shared" si="50"/>
        <v>429.29500000000002</v>
      </c>
      <c r="X47" s="69">
        <f t="shared" si="48"/>
        <v>508.06699999999995</v>
      </c>
      <c r="Y47" s="79">
        <v>0</v>
      </c>
      <c r="Z47" s="79">
        <v>0</v>
      </c>
    </row>
    <row r="48" spans="2:26" ht="11.85" customHeight="1">
      <c r="C48" s="46" t="s">
        <v>53</v>
      </c>
      <c r="F48" s="77"/>
      <c r="G48" s="77"/>
      <c r="H48" s="77"/>
      <c r="I48" s="76">
        <v>40.567999999999998</v>
      </c>
      <c r="J48" s="78">
        <v>0</v>
      </c>
      <c r="K48" s="78">
        <v>0</v>
      </c>
      <c r="L48" s="78">
        <v>0</v>
      </c>
      <c r="M48" s="78">
        <v>0</v>
      </c>
      <c r="N48" s="78">
        <v>0</v>
      </c>
      <c r="O48" s="78">
        <v>0</v>
      </c>
      <c r="P48" s="78">
        <v>0</v>
      </c>
      <c r="Q48" s="78">
        <v>0</v>
      </c>
      <c r="R48" s="78">
        <v>0</v>
      </c>
      <c r="S48" s="78">
        <v>0</v>
      </c>
      <c r="T48" s="64"/>
      <c r="U48" s="77"/>
      <c r="V48" s="77"/>
      <c r="W48" s="76">
        <v>17.731000000000002</v>
      </c>
      <c r="X48" s="69">
        <f>I48-W48</f>
        <v>22.836999999999996</v>
      </c>
      <c r="Y48" s="79">
        <v>0</v>
      </c>
      <c r="Z48" s="79">
        <v>0</v>
      </c>
    </row>
    <row r="49" spans="1:28" ht="11.85" customHeight="1"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64"/>
      <c r="U49" s="69"/>
      <c r="V49" s="69"/>
      <c r="W49" s="69"/>
      <c r="X49" s="69"/>
      <c r="Y49" s="69"/>
      <c r="Z49" s="69"/>
    </row>
    <row r="50" spans="1:28" s="92" customFormat="1" ht="11.85" customHeight="1">
      <c r="B50" s="93" t="s">
        <v>54</v>
      </c>
      <c r="C50" s="94"/>
      <c r="D50" s="94"/>
      <c r="E50" s="94"/>
      <c r="F50" s="85">
        <f t="shared" ref="F50:L50" si="51">F35+SUM(F46:F48)</f>
        <v>-97.41700000000003</v>
      </c>
      <c r="G50" s="85">
        <f t="shared" si="51"/>
        <v>-621.00399999999991</v>
      </c>
      <c r="H50" s="85">
        <f t="shared" si="51"/>
        <v>-2465.5689999999995</v>
      </c>
      <c r="I50" s="85">
        <f>I35+SUM(I46:I48)</f>
        <v>-3181.9720000000007</v>
      </c>
      <c r="J50" s="85">
        <f t="shared" si="51"/>
        <v>-4411.0296877973888</v>
      </c>
      <c r="K50" s="85">
        <f t="shared" si="51"/>
        <v>-4905.1300322370626</v>
      </c>
      <c r="L50" s="85">
        <f t="shared" si="51"/>
        <v>-1339.7687031339588</v>
      </c>
      <c r="M50" s="85">
        <f t="shared" ref="M50:S50" si="52">M35+SUM(M46:M47)</f>
        <v>6061.8381690691722</v>
      </c>
      <c r="N50" s="85">
        <f t="shared" si="52"/>
        <v>20340.499383634266</v>
      </c>
      <c r="O50" s="85">
        <f t="shared" si="52"/>
        <v>48192.610034006153</v>
      </c>
      <c r="P50" s="85">
        <f t="shared" si="52"/>
        <v>88701.938824119556</v>
      </c>
      <c r="Q50" s="85">
        <f t="shared" si="52"/>
        <v>144112.95692226029</v>
      </c>
      <c r="R50" s="85">
        <f t="shared" si="52"/>
        <v>213160.1482740572</v>
      </c>
      <c r="S50" s="85">
        <f t="shared" si="52"/>
        <v>293345.36470560113</v>
      </c>
      <c r="T50" s="58"/>
      <c r="U50" s="85">
        <f>U35+SUM(U46:U48)</f>
        <v>-1030.1599999999996</v>
      </c>
      <c r="V50" s="85">
        <f>V35+SUM(V46:V48)</f>
        <v>-1435.4089999999997</v>
      </c>
      <c r="W50" s="85">
        <f>W35+SUM(W46:W48)</f>
        <v>-1751.9740000000002</v>
      </c>
      <c r="X50" s="85">
        <f>X35+SUM(X46:X48)</f>
        <v>-1429.998</v>
      </c>
      <c r="Y50" s="85">
        <f t="shared" ref="Y50:Z50" si="53">Y35+SUM(Y46:Y48)</f>
        <v>-2655.386712598694</v>
      </c>
      <c r="Z50" s="85">
        <f t="shared" si="53"/>
        <v>-1755.6429751986946</v>
      </c>
    </row>
    <row r="51" spans="1:28" s="92" customFormat="1" ht="11.85" customHeight="1">
      <c r="B51" s="93"/>
      <c r="C51" s="86" t="s">
        <v>29</v>
      </c>
      <c r="D51" s="94"/>
      <c r="E51" s="94"/>
      <c r="F51" s="85"/>
      <c r="G51" s="88">
        <f>G50/G$4</f>
        <v>-4.9864619634167875</v>
      </c>
      <c r="H51" s="88">
        <f t="shared" ref="H51:S51" si="54">H50/H$4</f>
        <v>-7.8919926763845396</v>
      </c>
      <c r="I51" s="88">
        <f t="shared" si="54"/>
        <v>-4.392962362666947</v>
      </c>
      <c r="J51" s="88">
        <f t="shared" si="54"/>
        <v>-0.6958307825568536</v>
      </c>
      <c r="K51" s="88">
        <f t="shared" si="54"/>
        <v>-0.20675177963437585</v>
      </c>
      <c r="L51" s="88">
        <f t="shared" si="54"/>
        <v>-2.2781551947719862E-2</v>
      </c>
      <c r="M51" s="88">
        <f t="shared" si="54"/>
        <v>5.0262496155524944E-2</v>
      </c>
      <c r="N51" s="88">
        <f t="shared" si="54"/>
        <v>9.2627094548536903E-2</v>
      </c>
      <c r="O51" s="88">
        <f t="shared" si="54"/>
        <v>0.13331282284825485</v>
      </c>
      <c r="P51" s="88">
        <f t="shared" si="54"/>
        <v>0.16240547770311878</v>
      </c>
      <c r="Q51" s="88">
        <f t="shared" si="54"/>
        <v>0.18767251271504712</v>
      </c>
      <c r="R51" s="88">
        <f t="shared" si="54"/>
        <v>0.20957703898860885</v>
      </c>
      <c r="S51" s="88">
        <f t="shared" si="54"/>
        <v>0.22867098924283188</v>
      </c>
      <c r="T51" s="58"/>
      <c r="U51" s="88">
        <f t="shared" ref="U51:Z51" si="55">U50/U$4</f>
        <v>-22.938831859983512</v>
      </c>
      <c r="V51" s="88">
        <f t="shared" si="55"/>
        <v>-5.3659146558008253</v>
      </c>
      <c r="W51" s="88">
        <f t="shared" si="55"/>
        <v>-9.1785495371364831</v>
      </c>
      <c r="X51" s="88">
        <f t="shared" si="55"/>
        <v>-2.6806246801522891</v>
      </c>
      <c r="Y51" s="88">
        <f t="shared" si="55"/>
        <v>-2.3798803409093869</v>
      </c>
      <c r="Z51" s="88">
        <f t="shared" si="55"/>
        <v>-0.33610710923811632</v>
      </c>
    </row>
    <row r="52" spans="1:28" s="92" customFormat="1" ht="11.85" customHeight="1">
      <c r="B52" s="93"/>
      <c r="C52" s="86" t="s">
        <v>26</v>
      </c>
      <c r="D52" s="94"/>
      <c r="E52" s="94"/>
      <c r="F52" s="85"/>
      <c r="G52" s="89">
        <f>-(G50/F50-1)</f>
        <v>-5.3746984612541926</v>
      </c>
      <c r="H52" s="89">
        <f>-(H50/G50-1)</f>
        <v>-2.970294877327682</v>
      </c>
      <c r="I52" s="89">
        <f t="shared" ref="I52:S52" si="56">I50/H50-1</f>
        <v>0.29056294916102576</v>
      </c>
      <c r="J52" s="89">
        <f t="shared" si="56"/>
        <v>0.38625660056008915</v>
      </c>
      <c r="K52" s="89">
        <f t="shared" si="56"/>
        <v>0.11201474018788549</v>
      </c>
      <c r="L52" s="89">
        <f t="shared" si="56"/>
        <v>-0.72686377438949645</v>
      </c>
      <c r="M52" s="89">
        <f t="shared" si="56"/>
        <v>-5.5245408068493074</v>
      </c>
      <c r="N52" s="89">
        <f t="shared" si="56"/>
        <v>2.3555002321610408</v>
      </c>
      <c r="O52" s="89">
        <f t="shared" si="56"/>
        <v>1.3692933553431526</v>
      </c>
      <c r="P52" s="89">
        <f t="shared" si="56"/>
        <v>0.84057138141156496</v>
      </c>
      <c r="Q52" s="89">
        <f t="shared" si="56"/>
        <v>0.62468778960977511</v>
      </c>
      <c r="R52" s="89">
        <f t="shared" si="56"/>
        <v>0.4791185527408437</v>
      </c>
      <c r="S52" s="89">
        <f t="shared" si="56"/>
        <v>0.37617358160424463</v>
      </c>
      <c r="T52" s="58"/>
      <c r="U52" s="89"/>
      <c r="V52" s="89"/>
      <c r="W52" s="89">
        <f>-(W50/U50-1)</f>
        <v>-0.70068144754213013</v>
      </c>
      <c r="X52" s="89">
        <f>-(X50/V50-1)</f>
        <v>3.7696572893158864E-3</v>
      </c>
      <c r="Y52" s="89">
        <f t="shared" ref="Y52:Z52" si="57">-(Y50/W50-1)</f>
        <v>-0.51565417785805834</v>
      </c>
      <c r="Z52" s="89">
        <f t="shared" si="57"/>
        <v>-0.227724077375419</v>
      </c>
    </row>
    <row r="53" spans="1:28" s="92" customFormat="1" ht="11.85" customHeight="1">
      <c r="B53" s="55"/>
      <c r="C53" s="66"/>
      <c r="F53" s="80"/>
      <c r="G53" s="80"/>
      <c r="H53" s="80"/>
      <c r="I53" s="95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58"/>
      <c r="U53" s="59"/>
      <c r="V53" s="59"/>
      <c r="W53" s="311"/>
      <c r="X53" s="311"/>
      <c r="Y53" s="311"/>
      <c r="Z53" s="311"/>
      <c r="AA53" s="312"/>
      <c r="AB53" s="312"/>
    </row>
    <row r="54" spans="1:28" s="92" customFormat="1" ht="11.85" customHeight="1">
      <c r="B54" s="92" t="s">
        <v>55</v>
      </c>
      <c r="F54" s="76">
        <f>13.320289*10</f>
        <v>133.20289</v>
      </c>
      <c r="G54" s="76">
        <f>15.100831*10</f>
        <v>151.00830999999999</v>
      </c>
      <c r="H54" s="76">
        <v>159.87522999999999</v>
      </c>
      <c r="I54" s="76">
        <v>159.52222</v>
      </c>
      <c r="J54" s="78">
        <f>AVERAGE(Y54:Z54)</f>
        <v>455.73309</v>
      </c>
      <c r="K54" s="78">
        <f>Z54*1.01</f>
        <v>470.27932090000002</v>
      </c>
      <c r="L54" s="78">
        <f t="shared" ref="L54" si="58">K54*1.01</f>
        <v>474.98211410900001</v>
      </c>
      <c r="M54" s="78">
        <f>L54*1.01</f>
        <v>479.73193525009003</v>
      </c>
      <c r="N54" s="78">
        <f t="shared" ref="N54:S54" si="59">M54*1.01</f>
        <v>484.52925460259092</v>
      </c>
      <c r="O54" s="78">
        <f t="shared" si="59"/>
        <v>489.37454714861684</v>
      </c>
      <c r="P54" s="78">
        <f t="shared" si="59"/>
        <v>494.26829262010301</v>
      </c>
      <c r="Q54" s="78">
        <f t="shared" si="59"/>
        <v>499.21097554630404</v>
      </c>
      <c r="R54" s="78">
        <f t="shared" si="59"/>
        <v>504.20308530176709</v>
      </c>
      <c r="S54" s="78">
        <f t="shared" si="59"/>
        <v>509.24511615478474</v>
      </c>
      <c r="T54" s="96"/>
      <c r="U54" s="76">
        <f>H54</f>
        <v>159.87522999999999</v>
      </c>
      <c r="V54" s="76">
        <f>I54</f>
        <v>159.52222</v>
      </c>
      <c r="W54" s="313">
        <f>I54</f>
        <v>159.52222</v>
      </c>
      <c r="X54" s="313">
        <f>W54</f>
        <v>159.52222</v>
      </c>
      <c r="Y54" s="314">
        <v>445.84309000000002</v>
      </c>
      <c r="Z54" s="314">
        <v>465.62308999999999</v>
      </c>
      <c r="AA54" s="312"/>
      <c r="AB54" s="312"/>
    </row>
    <row r="55" spans="1:28" s="92" customFormat="1" ht="11.85" customHeight="1">
      <c r="B55" s="92" t="s">
        <v>56</v>
      </c>
      <c r="F55" s="76">
        <f>F54</f>
        <v>133.20289</v>
      </c>
      <c r="G55" s="76">
        <f t="shared" ref="G55:S55" si="60">G54</f>
        <v>151.00830999999999</v>
      </c>
      <c r="H55" s="76">
        <f t="shared" si="60"/>
        <v>159.87522999999999</v>
      </c>
      <c r="I55" s="76">
        <f t="shared" si="60"/>
        <v>159.52222</v>
      </c>
      <c r="J55" s="78">
        <f t="shared" si="60"/>
        <v>455.73309</v>
      </c>
      <c r="K55" s="78">
        <f t="shared" si="60"/>
        <v>470.27932090000002</v>
      </c>
      <c r="L55" s="78">
        <f t="shared" si="60"/>
        <v>474.98211410900001</v>
      </c>
      <c r="M55" s="78">
        <f t="shared" si="60"/>
        <v>479.73193525009003</v>
      </c>
      <c r="N55" s="78">
        <f t="shared" si="60"/>
        <v>484.52925460259092</v>
      </c>
      <c r="O55" s="78">
        <f t="shared" si="60"/>
        <v>489.37454714861684</v>
      </c>
      <c r="P55" s="78">
        <f t="shared" si="60"/>
        <v>494.26829262010301</v>
      </c>
      <c r="Q55" s="78">
        <f t="shared" si="60"/>
        <v>499.21097554630404</v>
      </c>
      <c r="R55" s="78">
        <f t="shared" si="60"/>
        <v>504.20308530176709</v>
      </c>
      <c r="S55" s="78">
        <f t="shared" si="60"/>
        <v>509.24511615478474</v>
      </c>
      <c r="T55" s="58"/>
      <c r="U55" s="76">
        <f t="shared" ref="U55:X55" si="61">U54</f>
        <v>159.87522999999999</v>
      </c>
      <c r="V55" s="76">
        <f t="shared" si="61"/>
        <v>159.52222</v>
      </c>
      <c r="W55" s="313">
        <f t="shared" si="61"/>
        <v>159.52222</v>
      </c>
      <c r="X55" s="313">
        <f t="shared" si="61"/>
        <v>159.52222</v>
      </c>
      <c r="Y55" s="314">
        <v>445.84309000000002</v>
      </c>
      <c r="Z55" s="314">
        <v>465.62308999999999</v>
      </c>
      <c r="AA55" s="312"/>
      <c r="AB55" s="312"/>
    </row>
    <row r="56" spans="1:28" s="92" customFormat="1" ht="11.85" customHeight="1">
      <c r="C56" s="97" t="s">
        <v>26</v>
      </c>
      <c r="F56" s="76"/>
      <c r="G56" s="98">
        <f>G55/F55-1</f>
        <v>0.13367142409597865</v>
      </c>
      <c r="H56" s="98">
        <f t="shared" ref="H56:S56" si="62">H55/G55-1</f>
        <v>5.8718093063885091E-2</v>
      </c>
      <c r="I56" s="98">
        <f>I55/H55-1</f>
        <v>-2.2080343527886015E-3</v>
      </c>
      <c r="J56" s="98">
        <f t="shared" si="62"/>
        <v>1.8568627618146238</v>
      </c>
      <c r="K56" s="98">
        <f t="shared" si="62"/>
        <v>3.1918311878560424E-2</v>
      </c>
      <c r="L56" s="98">
        <f t="shared" si="62"/>
        <v>1.0000000000000009E-2</v>
      </c>
      <c r="M56" s="98">
        <f t="shared" si="62"/>
        <v>1.0000000000000009E-2</v>
      </c>
      <c r="N56" s="98">
        <f t="shared" si="62"/>
        <v>1.0000000000000009E-2</v>
      </c>
      <c r="O56" s="98">
        <f t="shared" si="62"/>
        <v>1.0000000000000009E-2</v>
      </c>
      <c r="P56" s="98">
        <f t="shared" si="62"/>
        <v>1.0000000000000009E-2</v>
      </c>
      <c r="Q56" s="98">
        <f t="shared" si="62"/>
        <v>1.0000000000000009E-2</v>
      </c>
      <c r="R56" s="98">
        <f t="shared" si="62"/>
        <v>1.0000000000000009E-2</v>
      </c>
      <c r="S56" s="98">
        <f t="shared" si="62"/>
        <v>1.0000000000000009E-2</v>
      </c>
      <c r="T56" s="58"/>
      <c r="U56" s="99"/>
      <c r="V56" s="99"/>
      <c r="W56" s="99"/>
      <c r="X56" s="99"/>
      <c r="Y56" s="99"/>
      <c r="Z56" s="99"/>
      <c r="AA56" s="312"/>
      <c r="AB56" s="312"/>
    </row>
    <row r="57" spans="1:28" ht="11.85" customHeight="1"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4"/>
      <c r="U57" s="69"/>
      <c r="V57" s="69"/>
      <c r="W57" s="315"/>
      <c r="X57" s="315"/>
      <c r="Y57" s="315"/>
      <c r="Z57" s="315"/>
      <c r="AA57" s="316"/>
      <c r="AB57" s="316"/>
    </row>
    <row r="58" spans="1:28" ht="11.85" customHeight="1">
      <c r="B58" s="46" t="s">
        <v>57</v>
      </c>
      <c r="F58" s="77">
        <f>F$43/F54</f>
        <v>-0.77994554022063634</v>
      </c>
      <c r="G58" s="77">
        <f t="shared" ref="G58:S59" si="63">G$43/G54</f>
        <v>-2.946195477586631</v>
      </c>
      <c r="H58" s="77">
        <f t="shared" si="63"/>
        <v>-8.7195621235384628</v>
      </c>
      <c r="I58" s="77">
        <f t="shared" si="63"/>
        <v>-12.026387295763564</v>
      </c>
      <c r="J58" s="77">
        <f t="shared" si="63"/>
        <v>-8.9075135016800981</v>
      </c>
      <c r="K58" s="77">
        <f t="shared" si="63"/>
        <v>-9.961898757441535</v>
      </c>
      <c r="L58" s="77">
        <f t="shared" si="63"/>
        <v>-2.7257864096331059</v>
      </c>
      <c r="M58" s="77">
        <f t="shared" si="63"/>
        <v>12.464312223465443</v>
      </c>
      <c r="N58" s="77">
        <f t="shared" si="63"/>
        <v>41.467272166308319</v>
      </c>
      <c r="O58" s="77">
        <f t="shared" si="63"/>
        <v>97.492062145182558</v>
      </c>
      <c r="P58" s="77">
        <f t="shared" si="63"/>
        <v>177.87950532880279</v>
      </c>
      <c r="Q58" s="77">
        <f t="shared" si="63"/>
        <v>286.36412691616039</v>
      </c>
      <c r="R58" s="77">
        <f t="shared" si="63"/>
        <v>419.58577288668408</v>
      </c>
      <c r="S58" s="77">
        <f t="shared" si="63"/>
        <v>571.8900078281323</v>
      </c>
      <c r="T58" s="59"/>
      <c r="U58" s="77">
        <f>U$43/U54</f>
        <v>-3.6752159793609049</v>
      </c>
      <c r="V58" s="77">
        <f t="shared" ref="V58:Z59" si="64">V$43/V54</f>
        <v>-5.0555088814586453</v>
      </c>
      <c r="W58" s="317">
        <f t="shared" si="64"/>
        <v>-6.2265683112985757</v>
      </c>
      <c r="X58" s="317">
        <f t="shared" si="64"/>
        <v>-5.7998189844649897</v>
      </c>
      <c r="Y58" s="317">
        <f t="shared" si="64"/>
        <v>-5.5573198412164961</v>
      </c>
      <c r="Z58" s="317">
        <f t="shared" si="64"/>
        <v>-3.3970738053628735</v>
      </c>
      <c r="AA58" s="316"/>
      <c r="AB58" s="316"/>
    </row>
    <row r="59" spans="1:28" ht="11.85" customHeight="1">
      <c r="B59" s="100" t="s">
        <v>58</v>
      </c>
      <c r="C59" s="100"/>
      <c r="D59" s="100"/>
      <c r="E59" s="100"/>
      <c r="F59" s="77">
        <f>F$43/F55</f>
        <v>-0.77994554022063634</v>
      </c>
      <c r="G59" s="101">
        <f t="shared" si="63"/>
        <v>-2.946195477586631</v>
      </c>
      <c r="H59" s="101">
        <f t="shared" si="63"/>
        <v>-8.7195621235384628</v>
      </c>
      <c r="I59" s="101">
        <f t="shared" si="63"/>
        <v>-12.026387295763564</v>
      </c>
      <c r="J59" s="101">
        <f t="shared" si="63"/>
        <v>-8.9075135016800981</v>
      </c>
      <c r="K59" s="101">
        <f t="shared" si="63"/>
        <v>-9.961898757441535</v>
      </c>
      <c r="L59" s="101">
        <f t="shared" si="63"/>
        <v>-2.7257864096331059</v>
      </c>
      <c r="M59" s="101">
        <f t="shared" si="63"/>
        <v>12.464312223465443</v>
      </c>
      <c r="N59" s="101">
        <f t="shared" si="63"/>
        <v>41.467272166308319</v>
      </c>
      <c r="O59" s="101">
        <f t="shared" si="63"/>
        <v>97.492062145182558</v>
      </c>
      <c r="P59" s="101">
        <f t="shared" si="63"/>
        <v>177.87950532880279</v>
      </c>
      <c r="Q59" s="101">
        <f t="shared" si="63"/>
        <v>286.36412691616039</v>
      </c>
      <c r="R59" s="101">
        <f t="shared" si="63"/>
        <v>419.58577288668408</v>
      </c>
      <c r="S59" s="101">
        <f t="shared" si="63"/>
        <v>571.8900078281323</v>
      </c>
      <c r="T59" s="59"/>
      <c r="U59" s="101">
        <f>U$43/U55</f>
        <v>-3.6752159793609049</v>
      </c>
      <c r="V59" s="101">
        <f t="shared" si="64"/>
        <v>-5.0555088814586453</v>
      </c>
      <c r="W59" s="101">
        <f t="shared" si="64"/>
        <v>-6.2265683112985757</v>
      </c>
      <c r="X59" s="101">
        <f t="shared" si="64"/>
        <v>-5.7998189844649897</v>
      </c>
      <c r="Y59" s="101">
        <f t="shared" si="64"/>
        <v>-5.5573198412164961</v>
      </c>
      <c r="Z59" s="101">
        <f t="shared" si="64"/>
        <v>-3.3970738053628735</v>
      </c>
    </row>
    <row r="60" spans="1:28" ht="11.85" customHeight="1">
      <c r="B60" s="46" t="s">
        <v>59</v>
      </c>
      <c r="F60" s="102">
        <f t="shared" ref="F60:S61" si="65">F$50/F54</f>
        <v>-0.73134299113179924</v>
      </c>
      <c r="G60" s="77">
        <f t="shared" si="65"/>
        <v>-4.1123829542890711</v>
      </c>
      <c r="H60" s="77">
        <f t="shared" si="65"/>
        <v>-15.421832387668807</v>
      </c>
      <c r="I60" s="77">
        <f t="shared" si="65"/>
        <v>-19.946888903627347</v>
      </c>
      <c r="J60" s="77">
        <f t="shared" si="65"/>
        <v>-9.6789761037483331</v>
      </c>
      <c r="K60" s="77">
        <f t="shared" si="65"/>
        <v>-10.430248182824283</v>
      </c>
      <c r="L60" s="77">
        <f t="shared" si="65"/>
        <v>-2.820671901819245</v>
      </c>
      <c r="M60" s="77">
        <f t="shared" si="65"/>
        <v>12.635886259915265</v>
      </c>
      <c r="N60" s="77">
        <f t="shared" si="65"/>
        <v>41.979920077926906</v>
      </c>
      <c r="O60" s="77">
        <f t="shared" si="65"/>
        <v>98.477966038087942</v>
      </c>
      <c r="P60" s="77">
        <f t="shared" si="65"/>
        <v>179.46111484091554</v>
      </c>
      <c r="Q60" s="77">
        <f t="shared" si="65"/>
        <v>288.68146731860702</v>
      </c>
      <c r="R60" s="77">
        <f t="shared" si="65"/>
        <v>422.76644964693185</v>
      </c>
      <c r="S60" s="77">
        <f t="shared" si="65"/>
        <v>576.03962296309771</v>
      </c>
      <c r="T60" s="64"/>
      <c r="U60" s="77">
        <f t="shared" ref="U60:Z61" si="66">U$50/U54</f>
        <v>-6.4435247411371961</v>
      </c>
      <c r="V60" s="77">
        <f t="shared" si="66"/>
        <v>-8.9981759280932749</v>
      </c>
      <c r="W60" s="77">
        <f t="shared" si="66"/>
        <v>-10.982633015011952</v>
      </c>
      <c r="X60" s="77">
        <f t="shared" si="66"/>
        <v>-8.9642558886153925</v>
      </c>
      <c r="Y60" s="77">
        <f t="shared" si="66"/>
        <v>-5.9558772405751403</v>
      </c>
      <c r="Z60" s="77">
        <f t="shared" si="66"/>
        <v>-3.7705238698508157</v>
      </c>
    </row>
    <row r="61" spans="1:28" ht="11.85" customHeight="1">
      <c r="B61" s="46" t="s">
        <v>60</v>
      </c>
      <c r="F61" s="77">
        <f t="shared" si="65"/>
        <v>-0.73134299113179924</v>
      </c>
      <c r="G61" s="77">
        <f t="shared" si="65"/>
        <v>-4.1123829542890711</v>
      </c>
      <c r="H61" s="77">
        <f t="shared" si="65"/>
        <v>-15.421832387668807</v>
      </c>
      <c r="I61" s="77">
        <f t="shared" si="65"/>
        <v>-19.946888903627347</v>
      </c>
      <c r="J61" s="77">
        <f t="shared" si="65"/>
        <v>-9.6789761037483331</v>
      </c>
      <c r="K61" s="77">
        <f t="shared" si="65"/>
        <v>-10.430248182824283</v>
      </c>
      <c r="L61" s="77">
        <f t="shared" si="65"/>
        <v>-2.820671901819245</v>
      </c>
      <c r="M61" s="77">
        <f t="shared" si="65"/>
        <v>12.635886259915265</v>
      </c>
      <c r="N61" s="77">
        <f t="shared" si="65"/>
        <v>41.979920077926906</v>
      </c>
      <c r="O61" s="77">
        <f t="shared" si="65"/>
        <v>98.477966038087942</v>
      </c>
      <c r="P61" s="77">
        <f t="shared" si="65"/>
        <v>179.46111484091554</v>
      </c>
      <c r="Q61" s="77">
        <f t="shared" si="65"/>
        <v>288.68146731860702</v>
      </c>
      <c r="R61" s="77">
        <f t="shared" si="65"/>
        <v>422.76644964693185</v>
      </c>
      <c r="S61" s="77">
        <f t="shared" si="65"/>
        <v>576.03962296309771</v>
      </c>
      <c r="T61" s="64"/>
      <c r="U61" s="77">
        <f t="shared" si="66"/>
        <v>-6.4435247411371961</v>
      </c>
      <c r="V61" s="77">
        <f t="shared" si="66"/>
        <v>-8.9981759280932749</v>
      </c>
      <c r="W61" s="77">
        <f t="shared" si="66"/>
        <v>-10.982633015011952</v>
      </c>
      <c r="X61" s="77">
        <f t="shared" si="66"/>
        <v>-8.9642558886153925</v>
      </c>
      <c r="Y61" s="77">
        <f t="shared" si="66"/>
        <v>-5.9558772405751403</v>
      </c>
      <c r="Z61" s="77">
        <f t="shared" si="66"/>
        <v>-3.7705238698508157</v>
      </c>
    </row>
    <row r="62" spans="1:28" ht="11.85" customHeight="1">
      <c r="F62" s="103"/>
      <c r="G62" s="103"/>
      <c r="H62" s="103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4"/>
      <c r="U62" s="69"/>
      <c r="V62" s="69"/>
      <c r="W62" s="69"/>
      <c r="X62" s="69"/>
      <c r="Y62" s="69"/>
      <c r="Z62" s="69"/>
    </row>
    <row r="63" spans="1:28" ht="11.85" customHeight="1">
      <c r="A63" s="52" t="s">
        <v>61</v>
      </c>
      <c r="B63" s="52"/>
      <c r="C63" s="52"/>
      <c r="D63" s="52"/>
      <c r="E63" s="52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48"/>
      <c r="U63" s="53"/>
      <c r="V63" s="53"/>
      <c r="W63" s="53"/>
      <c r="X63" s="53"/>
      <c r="Y63" s="53"/>
      <c r="Z63" s="53"/>
    </row>
    <row r="64" spans="1:28" ht="11.85" customHeight="1">
      <c r="F64" s="103"/>
      <c r="G64" s="103"/>
      <c r="H64" s="103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4"/>
      <c r="U64" s="69"/>
      <c r="V64" s="69"/>
      <c r="W64" s="69"/>
      <c r="X64" s="69"/>
      <c r="Y64" s="69"/>
      <c r="Z64" s="69"/>
    </row>
    <row r="65" spans="2:30" ht="11.85" customHeight="1">
      <c r="B65" s="72" t="s">
        <v>30</v>
      </c>
      <c r="F65" s="77"/>
      <c r="G65" s="77"/>
      <c r="H65" s="7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4"/>
      <c r="U65" s="77"/>
      <c r="V65" s="69"/>
      <c r="W65" s="77"/>
      <c r="X65" s="69"/>
      <c r="Y65" s="69"/>
      <c r="Z65" s="69"/>
    </row>
    <row r="66" spans="2:30" ht="11.85" customHeight="1">
      <c r="C66" s="46" t="s">
        <v>62</v>
      </c>
      <c r="F66" s="76">
        <v>1.4259999999999999</v>
      </c>
      <c r="G66" s="76">
        <v>11.236000000000001</v>
      </c>
      <c r="H66" s="76">
        <v>13.406000000000001</v>
      </c>
      <c r="I66" s="76">
        <v>14.83</v>
      </c>
      <c r="J66" s="67">
        <f>J72*J73</f>
        <v>33.148359999999997</v>
      </c>
      <c r="K66" s="67">
        <f t="shared" ref="K66:S66" si="67">K72*K73</f>
        <v>432.8425603403233</v>
      </c>
      <c r="L66" s="67">
        <f t="shared" si="67"/>
        <v>199.21518926102965</v>
      </c>
      <c r="M66" s="67">
        <f t="shared" si="67"/>
        <v>414.59591886547685</v>
      </c>
      <c r="N66" s="67">
        <f t="shared" si="67"/>
        <v>560.09699019306174</v>
      </c>
      <c r="O66" s="67">
        <f t="shared" si="67"/>
        <v>913.91537423997067</v>
      </c>
      <c r="P66" s="67">
        <f t="shared" si="67"/>
        <v>1673.7569555995326</v>
      </c>
      <c r="Q66" s="67">
        <f t="shared" si="67"/>
        <v>2943.3991789278316</v>
      </c>
      <c r="R66" s="67">
        <f t="shared" si="67"/>
        <v>4958.4362612878958</v>
      </c>
      <c r="S66" s="67">
        <f t="shared" si="67"/>
        <v>7823.4091377107134</v>
      </c>
      <c r="T66" s="64"/>
      <c r="U66" s="76">
        <v>4.1630000000000003</v>
      </c>
      <c r="V66" s="69">
        <f>H66-U66</f>
        <v>9.2430000000000003</v>
      </c>
      <c r="W66" s="76">
        <v>4.6070000000000002</v>
      </c>
      <c r="X66" s="69">
        <f>I66-W66</f>
        <v>10.222999999999999</v>
      </c>
      <c r="Y66" s="69"/>
      <c r="Z66" s="69"/>
    </row>
    <row r="67" spans="2:30" ht="11.85" customHeight="1">
      <c r="C67" s="46" t="s">
        <v>63</v>
      </c>
      <c r="F67" s="76">
        <v>0</v>
      </c>
      <c r="G67" s="76">
        <v>-1.5389999999999999</v>
      </c>
      <c r="H67" s="76">
        <v>6.8070000000000004</v>
      </c>
      <c r="I67" s="76">
        <v>-0.26500000000000001</v>
      </c>
      <c r="J67" s="78">
        <v>0</v>
      </c>
      <c r="K67" s="78">
        <v>0</v>
      </c>
      <c r="L67" s="78">
        <v>0</v>
      </c>
      <c r="M67" s="78">
        <v>0</v>
      </c>
      <c r="N67" s="78">
        <v>0</v>
      </c>
      <c r="O67" s="78">
        <v>0</v>
      </c>
      <c r="P67" s="78">
        <v>0</v>
      </c>
      <c r="Q67" s="78">
        <v>0</v>
      </c>
      <c r="R67" s="78">
        <v>0</v>
      </c>
      <c r="S67" s="78">
        <v>0</v>
      </c>
      <c r="T67" s="64"/>
      <c r="U67" s="76">
        <v>0</v>
      </c>
      <c r="V67" s="69">
        <f t="shared" ref="V67:V68" si="68">H67-U67</f>
        <v>6.8070000000000004</v>
      </c>
      <c r="W67" s="76">
        <v>-1.4999999999999999E-2</v>
      </c>
      <c r="X67" s="69">
        <f t="shared" ref="X67:X68" si="69">I67-W67</f>
        <v>-0.25</v>
      </c>
      <c r="Y67" s="69"/>
      <c r="Z67" s="69"/>
    </row>
    <row r="68" spans="2:30" ht="11.85" customHeight="1">
      <c r="C68" s="46" t="s">
        <v>53</v>
      </c>
      <c r="F68" s="76">
        <v>0.35799999999999998</v>
      </c>
      <c r="G68" s="76">
        <v>0.26800000000000002</v>
      </c>
      <c r="H68" s="76">
        <v>-0.93200000000000005</v>
      </c>
      <c r="I68" s="76">
        <v>0.27400000000000002</v>
      </c>
      <c r="J68" s="78">
        <v>0</v>
      </c>
      <c r="K68" s="78">
        <v>0</v>
      </c>
      <c r="L68" s="78">
        <v>0</v>
      </c>
      <c r="M68" s="78">
        <v>0</v>
      </c>
      <c r="N68" s="78">
        <v>0</v>
      </c>
      <c r="O68" s="78">
        <v>0</v>
      </c>
      <c r="P68" s="78">
        <v>0</v>
      </c>
      <c r="Q68" s="78">
        <v>0</v>
      </c>
      <c r="R68" s="78">
        <v>0</v>
      </c>
      <c r="S68" s="78">
        <v>0</v>
      </c>
      <c r="T68" s="64"/>
      <c r="U68" s="76">
        <v>1.0999999999999999E-2</v>
      </c>
      <c r="V68" s="69">
        <f t="shared" si="68"/>
        <v>-0.94300000000000006</v>
      </c>
      <c r="W68" s="76">
        <v>2.1999999999999999E-2</v>
      </c>
      <c r="X68" s="69">
        <f t="shared" si="69"/>
        <v>0.252</v>
      </c>
      <c r="Y68" s="69"/>
      <c r="Z68" s="69"/>
    </row>
    <row r="69" spans="2:30" ht="11.85" customHeight="1">
      <c r="B69" s="72" t="s">
        <v>64</v>
      </c>
      <c r="F69" s="80">
        <f>F13</f>
        <v>1.784</v>
      </c>
      <c r="G69" s="80">
        <f>G13</f>
        <v>9.9649999999999999</v>
      </c>
      <c r="H69" s="318">
        <f>H13</f>
        <v>19.280999999999999</v>
      </c>
      <c r="I69" s="318">
        <f>I13</f>
        <v>14.839</v>
      </c>
      <c r="J69" s="319">
        <f t="shared" ref="J69:S69" si="70">SUM(J66:J68)</f>
        <v>33.148359999999997</v>
      </c>
      <c r="K69" s="319">
        <f t="shared" si="70"/>
        <v>432.8425603403233</v>
      </c>
      <c r="L69" s="319">
        <f t="shared" si="70"/>
        <v>199.21518926102965</v>
      </c>
      <c r="M69" s="319">
        <f t="shared" si="70"/>
        <v>414.59591886547685</v>
      </c>
      <c r="N69" s="319">
        <f t="shared" si="70"/>
        <v>560.09699019306174</v>
      </c>
      <c r="O69" s="319">
        <f t="shared" si="70"/>
        <v>913.91537423997067</v>
      </c>
      <c r="P69" s="319">
        <f t="shared" si="70"/>
        <v>1673.7569555995326</v>
      </c>
      <c r="Q69" s="319">
        <f t="shared" si="70"/>
        <v>2943.3991789278316</v>
      </c>
      <c r="R69" s="319">
        <f t="shared" si="70"/>
        <v>4958.4362612878958</v>
      </c>
      <c r="S69" s="319">
        <f t="shared" si="70"/>
        <v>7823.4091377107134</v>
      </c>
      <c r="T69" s="320"/>
      <c r="U69" s="318">
        <f>U13</f>
        <v>4.1740000000000004</v>
      </c>
      <c r="V69" s="318">
        <f>V13</f>
        <v>15.106999999999999</v>
      </c>
      <c r="W69" s="318">
        <f>W13</f>
        <v>4.6139999999999999</v>
      </c>
      <c r="X69" s="318">
        <f>X13</f>
        <v>10.225000000000001</v>
      </c>
      <c r="Y69" s="318">
        <f>Y4*Y70</f>
        <v>16.736471999999999</v>
      </c>
      <c r="Z69" s="318">
        <f>J69-Y69</f>
        <v>16.411887999999998</v>
      </c>
      <c r="AA69" s="316"/>
      <c r="AB69" s="316"/>
      <c r="AC69" s="316"/>
      <c r="AD69" s="316"/>
    </row>
    <row r="70" spans="2:30" ht="11.85" customHeight="1">
      <c r="B70" s="72"/>
      <c r="C70" s="46" t="s">
        <v>65</v>
      </c>
      <c r="F70" s="98">
        <f>IFERROR(F69/F$4,"NM")</f>
        <v>3.1075266944207355E-2</v>
      </c>
      <c r="G70" s="98">
        <f t="shared" ref="G70:S70" si="71">IFERROR(G69/G$4,"NM")</f>
        <v>8.0015738168269915E-2</v>
      </c>
      <c r="H70" s="81">
        <f t="shared" si="71"/>
        <v>6.1716184293917682E-2</v>
      </c>
      <c r="I70" s="81">
        <f t="shared" si="71"/>
        <v>2.0486405442792965E-2</v>
      </c>
      <c r="J70" s="81">
        <f t="shared" si="71"/>
        <v>5.2290850236362705E-3</v>
      </c>
      <c r="K70" s="81">
        <f t="shared" si="71"/>
        <v>1.8244362343855701E-2</v>
      </c>
      <c r="L70" s="81">
        <f t="shared" si="71"/>
        <v>3.3874736529587442E-3</v>
      </c>
      <c r="M70" s="81">
        <f t="shared" si="71"/>
        <v>3.4376743814116444E-3</v>
      </c>
      <c r="N70" s="81">
        <f t="shared" si="71"/>
        <v>2.5505842255134532E-3</v>
      </c>
      <c r="O70" s="81">
        <f t="shared" si="71"/>
        <v>2.5281186949280845E-3</v>
      </c>
      <c r="P70" s="81">
        <f t="shared" si="71"/>
        <v>3.0645023269676879E-3</v>
      </c>
      <c r="Q70" s="81">
        <f t="shared" si="71"/>
        <v>3.8330704721489723E-3</v>
      </c>
      <c r="R70" s="81">
        <f t="shared" si="71"/>
        <v>4.8750875718026453E-3</v>
      </c>
      <c r="S70" s="81">
        <f t="shared" si="71"/>
        <v>6.0985681794124506E-3</v>
      </c>
      <c r="T70" s="320"/>
      <c r="U70" s="81">
        <f t="shared" ref="U70:Z70" si="72">IFERROR(U69/U$4,"NM")</f>
        <v>9.2943507982809676E-2</v>
      </c>
      <c r="V70" s="81">
        <f t="shared" si="72"/>
        <v>5.6473710771761276E-2</v>
      </c>
      <c r="W70" s="81">
        <f t="shared" si="72"/>
        <v>2.4172634733362324E-2</v>
      </c>
      <c r="X70" s="81">
        <f t="shared" si="72"/>
        <v>1.9167430552040746E-2</v>
      </c>
      <c r="Y70" s="321">
        <v>1.4999999999999999E-2</v>
      </c>
      <c r="Z70" s="81">
        <f t="shared" si="72"/>
        <v>3.1419555745355572E-3</v>
      </c>
      <c r="AA70" s="316"/>
      <c r="AB70" s="316"/>
      <c r="AC70" s="316"/>
      <c r="AD70" s="316"/>
    </row>
    <row r="71" spans="2:30" ht="11.85" customHeight="1">
      <c r="B71" s="72"/>
      <c r="C71" s="46" t="s">
        <v>66</v>
      </c>
      <c r="F71" s="80"/>
      <c r="G71" s="98">
        <f>G69/F69-1</f>
        <v>4.5857623318385645</v>
      </c>
      <c r="H71" s="81">
        <f>H69/G69-1</f>
        <v>0.93487205218263925</v>
      </c>
      <c r="I71" s="81">
        <f>I69/H69-1</f>
        <v>-0.23038224158498</v>
      </c>
      <c r="J71" s="81">
        <f t="shared" ref="J71:S71" si="73">J69/I69-1</f>
        <v>1.2338675112878223</v>
      </c>
      <c r="K71" s="81">
        <f t="shared" si="73"/>
        <v>12.057736803278454</v>
      </c>
      <c r="L71" s="81">
        <f t="shared" si="73"/>
        <v>-0.53975138418829172</v>
      </c>
      <c r="M71" s="81">
        <f t="shared" si="73"/>
        <v>1.0811461234626845</v>
      </c>
      <c r="N71" s="81">
        <f t="shared" si="73"/>
        <v>0.3509467042650638</v>
      </c>
      <c r="O71" s="81">
        <f t="shared" si="73"/>
        <v>0.63170913295740094</v>
      </c>
      <c r="P71" s="81">
        <f t="shared" si="73"/>
        <v>0.83141350148689708</v>
      </c>
      <c r="Q71" s="81">
        <f t="shared" si="73"/>
        <v>0.75855829550445009</v>
      </c>
      <c r="R71" s="81">
        <f t="shared" si="73"/>
        <v>0.68459524511183201</v>
      </c>
      <c r="S71" s="81">
        <f t="shared" si="73"/>
        <v>0.57779766149069633</v>
      </c>
      <c r="T71" s="320"/>
      <c r="U71" s="318"/>
      <c r="V71" s="315"/>
      <c r="W71" s="81">
        <f>W69/U69-1</f>
        <v>0.10541447053186381</v>
      </c>
      <c r="X71" s="81">
        <f>X69/V69-1</f>
        <v>-0.32316144833520877</v>
      </c>
      <c r="Y71" s="81">
        <f t="shared" ref="Y71:Z71" si="74">Y69/W69-1</f>
        <v>2.6273237971391414</v>
      </c>
      <c r="Z71" s="81">
        <f t="shared" si="74"/>
        <v>0.60507462102689447</v>
      </c>
      <c r="AA71" s="316"/>
      <c r="AB71" s="316"/>
      <c r="AC71" s="316"/>
      <c r="AD71" s="316"/>
    </row>
    <row r="72" spans="2:30" ht="11.85" customHeight="1">
      <c r="B72" s="46" t="s">
        <v>67</v>
      </c>
      <c r="F72" s="80"/>
      <c r="G72" s="104">
        <f>SUM(F127,F128)</f>
        <v>229.12300000000002</v>
      </c>
      <c r="H72" s="322">
        <f>SUM(G127,G128)</f>
        <v>1249.3910000000001</v>
      </c>
      <c r="I72" s="322">
        <f>SUM(H127,H128)</f>
        <v>2269.2220000000002</v>
      </c>
      <c r="J72" s="322">
        <f t="shared" ref="J72:S72" si="75">SUM(I127,I128)</f>
        <v>2367.7399999999998</v>
      </c>
      <c r="K72" s="322">
        <f t="shared" si="75"/>
        <v>30917.325738594522</v>
      </c>
      <c r="L72" s="322">
        <f t="shared" si="75"/>
        <v>28459.312751575664</v>
      </c>
      <c r="M72" s="322">
        <f t="shared" si="75"/>
        <v>29613.994204676917</v>
      </c>
      <c r="N72" s="322">
        <f t="shared" si="75"/>
        <v>40006.927870932981</v>
      </c>
      <c r="O72" s="322">
        <f t="shared" si="75"/>
        <v>65279.669588569333</v>
      </c>
      <c r="P72" s="322">
        <f t="shared" si="75"/>
        <v>119554.06825710947</v>
      </c>
      <c r="Q72" s="322">
        <f t="shared" si="75"/>
        <v>210242.7984948451</v>
      </c>
      <c r="R72" s="322">
        <f t="shared" si="75"/>
        <v>354174.0186634211</v>
      </c>
      <c r="S72" s="322">
        <f t="shared" si="75"/>
        <v>558814.93840790808</v>
      </c>
      <c r="T72" s="320"/>
      <c r="U72" s="318"/>
      <c r="V72" s="315"/>
      <c r="W72" s="81"/>
      <c r="X72" s="315"/>
      <c r="Y72" s="315"/>
      <c r="Z72" s="315"/>
      <c r="AA72" s="316"/>
      <c r="AB72" s="316"/>
      <c r="AC72" s="316"/>
      <c r="AD72" s="316"/>
    </row>
    <row r="73" spans="2:30" ht="11.85" customHeight="1">
      <c r="B73" s="46" t="s">
        <v>68</v>
      </c>
      <c r="F73" s="80"/>
      <c r="G73" s="98">
        <f>G66/G72</f>
        <v>4.903916237130275E-2</v>
      </c>
      <c r="H73" s="81">
        <f>H66/H72</f>
        <v>1.0730027669480571E-2</v>
      </c>
      <c r="I73" s="81">
        <f>I66/I72</f>
        <v>6.535279492266512E-3</v>
      </c>
      <c r="J73" s="106">
        <v>1.4E-2</v>
      </c>
      <c r="K73" s="106">
        <v>1.4E-2</v>
      </c>
      <c r="L73" s="106">
        <v>7.0000000000000001E-3</v>
      </c>
      <c r="M73" s="106">
        <v>1.4E-2</v>
      </c>
      <c r="N73" s="106">
        <v>1.4E-2</v>
      </c>
      <c r="O73" s="106">
        <v>1.4E-2</v>
      </c>
      <c r="P73" s="106">
        <v>1.4E-2</v>
      </c>
      <c r="Q73" s="106">
        <v>1.4E-2</v>
      </c>
      <c r="R73" s="106">
        <v>1.4E-2</v>
      </c>
      <c r="S73" s="106">
        <v>1.4E-2</v>
      </c>
      <c r="T73" s="320"/>
      <c r="U73" s="318"/>
      <c r="V73" s="315"/>
      <c r="W73" s="81"/>
      <c r="X73" s="315"/>
      <c r="Y73" s="315"/>
      <c r="Z73" s="315"/>
      <c r="AA73" s="316"/>
      <c r="AB73" s="316"/>
      <c r="AC73" s="316"/>
      <c r="AD73" s="316"/>
    </row>
    <row r="74" spans="2:30" ht="11.85" customHeight="1">
      <c r="F74" s="103"/>
      <c r="G74" s="103"/>
      <c r="H74" s="323"/>
      <c r="I74" s="319"/>
      <c r="J74" s="319"/>
      <c r="K74" s="319"/>
      <c r="L74" s="319"/>
      <c r="M74" s="319"/>
      <c r="N74" s="319"/>
      <c r="O74" s="319"/>
      <c r="P74" s="319"/>
      <c r="Q74" s="319"/>
      <c r="R74" s="319"/>
      <c r="S74" s="319"/>
      <c r="T74" s="320"/>
      <c r="U74" s="315"/>
      <c r="V74" s="315"/>
      <c r="W74" s="315"/>
      <c r="X74" s="315"/>
      <c r="Y74" s="315"/>
      <c r="Z74" s="315"/>
      <c r="AA74" s="316"/>
      <c r="AB74" s="316"/>
      <c r="AC74" s="316"/>
      <c r="AD74" s="316"/>
    </row>
    <row r="75" spans="2:30" s="72" customFormat="1" ht="11.85" customHeight="1">
      <c r="B75" s="72" t="s">
        <v>31</v>
      </c>
      <c r="F75" s="80"/>
      <c r="G75" s="80"/>
      <c r="H75" s="318"/>
      <c r="I75" s="324"/>
      <c r="J75" s="324"/>
      <c r="K75" s="324"/>
      <c r="L75" s="324"/>
      <c r="M75" s="324"/>
      <c r="N75" s="324"/>
      <c r="O75" s="324"/>
      <c r="P75" s="324"/>
      <c r="Q75" s="324"/>
      <c r="R75" s="324"/>
      <c r="S75" s="324"/>
      <c r="T75" s="325"/>
      <c r="U75" s="326"/>
      <c r="V75" s="326"/>
      <c r="W75" s="326"/>
      <c r="X75" s="326"/>
      <c r="Y75" s="326"/>
      <c r="Z75" s="326"/>
      <c r="AA75" s="327"/>
      <c r="AB75" s="327"/>
      <c r="AC75" s="327"/>
      <c r="AD75" s="327"/>
    </row>
    <row r="76" spans="2:30" s="72" customFormat="1" ht="11.85" hidden="1" customHeight="1">
      <c r="C76" s="46" t="s">
        <v>69</v>
      </c>
      <c r="F76" s="76">
        <v>1.167</v>
      </c>
      <c r="G76" s="76">
        <v>54.868000000000002</v>
      </c>
      <c r="H76" s="313">
        <v>237.453</v>
      </c>
      <c r="I76" s="319">
        <f>(H76/H$82)*I$82</f>
        <v>239.53291607716625</v>
      </c>
      <c r="J76" s="319">
        <f t="shared" ref="J76:S76" si="76">(I76/I$82)*J$82</f>
        <v>311.39279090031613</v>
      </c>
      <c r="K76" s="319">
        <f t="shared" si="76"/>
        <v>451.51954680545839</v>
      </c>
      <c r="L76" s="319">
        <f t="shared" si="76"/>
        <v>677.27932020818753</v>
      </c>
      <c r="M76" s="319">
        <f t="shared" si="76"/>
        <v>982.05501430187189</v>
      </c>
      <c r="N76" s="319">
        <f t="shared" si="76"/>
        <v>1379.7872950941301</v>
      </c>
      <c r="O76" s="319">
        <f t="shared" si="76"/>
        <v>1882.7197641559403</v>
      </c>
      <c r="P76" s="319">
        <f t="shared" si="76"/>
        <v>2500.3459827872971</v>
      </c>
      <c r="Q76" s="319">
        <f t="shared" si="76"/>
        <v>3238.5606324753321</v>
      </c>
      <c r="R76" s="319">
        <f t="shared" si="76"/>
        <v>4099.112583016994</v>
      </c>
      <c r="S76" s="319">
        <f t="shared" si="76"/>
        <v>5079.4090036210036</v>
      </c>
      <c r="T76" s="325"/>
      <c r="U76" s="313">
        <v>80.712999999999994</v>
      </c>
      <c r="V76" s="315">
        <f t="shared" ref="V76:V81" si="77">H76-U76</f>
        <v>156.74</v>
      </c>
      <c r="W76" s="313">
        <v>95.674999999999997</v>
      </c>
      <c r="X76" s="326"/>
      <c r="Y76" s="326"/>
      <c r="Z76" s="326"/>
      <c r="AA76" s="327"/>
      <c r="AB76" s="327"/>
      <c r="AC76" s="327"/>
      <c r="AD76" s="327"/>
    </row>
    <row r="77" spans="2:30" s="72" customFormat="1" ht="11.85" hidden="1" customHeight="1">
      <c r="C77" s="46" t="s">
        <v>70</v>
      </c>
      <c r="F77" s="76">
        <v>11.378</v>
      </c>
      <c r="G77" s="76">
        <v>30.334</v>
      </c>
      <c r="H77" s="313">
        <v>93.694999999999993</v>
      </c>
      <c r="I77" s="319">
        <f t="shared" ref="I77:S81" si="78">(H77/H$82)*I$82</f>
        <v>94.515700251629127</v>
      </c>
      <c r="J77" s="319">
        <f t="shared" si="78"/>
        <v>122.87041032711788</v>
      </c>
      <c r="K77" s="319">
        <f t="shared" si="78"/>
        <v>178.16209497432092</v>
      </c>
      <c r="L77" s="319">
        <f t="shared" si="78"/>
        <v>267.24314246148134</v>
      </c>
      <c r="M77" s="319">
        <f t="shared" si="78"/>
        <v>387.50255656914794</v>
      </c>
      <c r="N77" s="319">
        <f t="shared" si="78"/>
        <v>544.44109197965281</v>
      </c>
      <c r="O77" s="319">
        <f t="shared" si="78"/>
        <v>742.88987000623626</v>
      </c>
      <c r="P77" s="319">
        <f t="shared" si="78"/>
        <v>986.59489186178212</v>
      </c>
      <c r="Q77" s="319">
        <f t="shared" si="78"/>
        <v>1277.8821007095139</v>
      </c>
      <c r="R77" s="319">
        <f t="shared" si="78"/>
        <v>1617.4415714510963</v>
      </c>
      <c r="S77" s="319">
        <f t="shared" si="78"/>
        <v>2004.2502162291903</v>
      </c>
      <c r="T77" s="325"/>
      <c r="U77" s="313">
        <v>44.493000000000002</v>
      </c>
      <c r="V77" s="315">
        <f t="shared" si="77"/>
        <v>49.201999999999991</v>
      </c>
      <c r="W77" s="313">
        <v>71.744</v>
      </c>
      <c r="X77" s="326"/>
      <c r="Y77" s="326"/>
      <c r="Z77" s="326"/>
      <c r="AA77" s="327"/>
      <c r="AB77" s="327"/>
      <c r="AC77" s="327"/>
      <c r="AD77" s="327"/>
    </row>
    <row r="78" spans="2:30" s="72" customFormat="1" ht="11.85" hidden="1" customHeight="1">
      <c r="C78" s="46" t="s">
        <v>71</v>
      </c>
      <c r="F78" s="76">
        <v>0.21</v>
      </c>
      <c r="G78" s="76">
        <v>3.7669999999999999</v>
      </c>
      <c r="H78" s="313">
        <v>21.963000000000001</v>
      </c>
      <c r="I78" s="319">
        <f t="shared" si="78"/>
        <v>22.155379952254986</v>
      </c>
      <c r="J78" s="319">
        <f t="shared" si="78"/>
        <v>28.801993937931485</v>
      </c>
      <c r="K78" s="319">
        <f t="shared" si="78"/>
        <v>41.762891210000653</v>
      </c>
      <c r="L78" s="319">
        <f t="shared" si="78"/>
        <v>62.644336815000976</v>
      </c>
      <c r="M78" s="319">
        <f t="shared" si="78"/>
        <v>90.834288381751406</v>
      </c>
      <c r="N78" s="319">
        <f t="shared" si="78"/>
        <v>127.62217517636073</v>
      </c>
      <c r="O78" s="319">
        <f t="shared" si="78"/>
        <v>174.1404580281442</v>
      </c>
      <c r="P78" s="319">
        <f t="shared" si="78"/>
        <v>231.26723528427692</v>
      </c>
      <c r="Q78" s="319">
        <f t="shared" si="78"/>
        <v>299.54773016578321</v>
      </c>
      <c r="R78" s="319">
        <f t="shared" si="78"/>
        <v>379.14370279930017</v>
      </c>
      <c r="S78" s="319">
        <f t="shared" si="78"/>
        <v>469.81533165101348</v>
      </c>
      <c r="T78" s="325"/>
      <c r="U78" s="313">
        <v>9.0609999999999999</v>
      </c>
      <c r="V78" s="315">
        <f t="shared" si="77"/>
        <v>12.902000000000001</v>
      </c>
      <c r="W78" s="313">
        <v>8.7780000000000005</v>
      </c>
      <c r="X78" s="326"/>
      <c r="Y78" s="326"/>
      <c r="Z78" s="326"/>
      <c r="AA78" s="327"/>
      <c r="AB78" s="327"/>
      <c r="AC78" s="327"/>
      <c r="AD78" s="327"/>
    </row>
    <row r="79" spans="2:30" s="72" customFormat="1" ht="11.85" hidden="1" customHeight="1">
      <c r="C79" s="46" t="s">
        <v>72</v>
      </c>
      <c r="F79" s="76">
        <v>0</v>
      </c>
      <c r="G79" s="76">
        <v>1.8520000000000001</v>
      </c>
      <c r="H79" s="313">
        <v>12.84</v>
      </c>
      <c r="I79" s="319">
        <f t="shared" si="78"/>
        <v>12.952469088328279</v>
      </c>
      <c r="J79" s="319">
        <f t="shared" si="78"/>
        <v>16.838209814826765</v>
      </c>
      <c r="K79" s="319">
        <f t="shared" si="78"/>
        <v>24.415404231498805</v>
      </c>
      <c r="L79" s="319">
        <f t="shared" si="78"/>
        <v>36.623106347248211</v>
      </c>
      <c r="M79" s="319">
        <f t="shared" si="78"/>
        <v>53.1035042035099</v>
      </c>
      <c r="N79" s="319">
        <f t="shared" si="78"/>
        <v>74.6104234059314</v>
      </c>
      <c r="O79" s="319">
        <f t="shared" si="78"/>
        <v>101.8059227373934</v>
      </c>
      <c r="P79" s="319">
        <f t="shared" si="78"/>
        <v>135.20335569139533</v>
      </c>
      <c r="Q79" s="319">
        <f t="shared" si="78"/>
        <v>175.12147044250133</v>
      </c>
      <c r="R79" s="319">
        <f t="shared" si="78"/>
        <v>221.65483512921799</v>
      </c>
      <c r="S79" s="319">
        <f t="shared" si="78"/>
        <v>274.663245385376</v>
      </c>
      <c r="T79" s="325"/>
      <c r="U79" s="313">
        <v>2.2869999999999999</v>
      </c>
      <c r="V79" s="315">
        <f t="shared" si="77"/>
        <v>10.553000000000001</v>
      </c>
      <c r="W79" s="313">
        <v>20.564</v>
      </c>
      <c r="X79" s="326"/>
      <c r="Y79" s="326"/>
      <c r="Z79" s="326"/>
      <c r="AA79" s="327"/>
      <c r="AB79" s="327"/>
      <c r="AC79" s="327"/>
      <c r="AD79" s="327"/>
    </row>
    <row r="80" spans="2:30" s="72" customFormat="1" ht="11.85" hidden="1" customHeight="1">
      <c r="C80" s="46" t="s">
        <v>73</v>
      </c>
      <c r="F80" s="76">
        <v>1.7050000000000001</v>
      </c>
      <c r="G80" s="76">
        <v>5.6150000000000002</v>
      </c>
      <c r="H80" s="313">
        <v>6.0540000000000003</v>
      </c>
      <c r="I80" s="319">
        <f t="shared" si="78"/>
        <v>6.1070286495902968</v>
      </c>
      <c r="J80" s="319">
        <f t="shared" si="78"/>
        <v>7.9391372444673864</v>
      </c>
      <c r="K80" s="319">
        <f t="shared" si="78"/>
        <v>11.511749004477711</v>
      </c>
      <c r="L80" s="319">
        <f t="shared" si="78"/>
        <v>17.267623506716564</v>
      </c>
      <c r="M80" s="319">
        <f t="shared" si="78"/>
        <v>25.038054084739017</v>
      </c>
      <c r="N80" s="319">
        <f t="shared" si="78"/>
        <v>35.178465989058317</v>
      </c>
      <c r="O80" s="319">
        <f t="shared" si="78"/>
        <v>48.001016842070072</v>
      </c>
      <c r="P80" s="319">
        <f t="shared" si="78"/>
        <v>63.747750417111163</v>
      </c>
      <c r="Q80" s="319">
        <f t="shared" si="78"/>
        <v>82.568954989011146</v>
      </c>
      <c r="R80" s="319">
        <f t="shared" si="78"/>
        <v>104.50921899316867</v>
      </c>
      <c r="S80" s="319">
        <f t="shared" si="78"/>
        <v>129.50243672609551</v>
      </c>
      <c r="T80" s="325"/>
      <c r="U80" s="313">
        <v>2.956</v>
      </c>
      <c r="V80" s="315">
        <f t="shared" si="77"/>
        <v>3.0980000000000003</v>
      </c>
      <c r="W80" s="313">
        <v>4.194</v>
      </c>
      <c r="X80" s="326"/>
      <c r="Y80" s="326"/>
      <c r="Z80" s="326"/>
      <c r="AA80" s="327"/>
      <c r="AB80" s="327"/>
      <c r="AC80" s="327"/>
      <c r="AD80" s="327"/>
    </row>
    <row r="81" spans="2:30" s="72" customFormat="1" ht="11.85" hidden="1" customHeight="1">
      <c r="C81" s="46" t="s">
        <v>53</v>
      </c>
      <c r="F81" s="77">
        <f>F82-SUM(F76,F77,F78,F79,F80)</f>
        <v>0.67899999999999849</v>
      </c>
      <c r="G81" s="77">
        <f t="shared" ref="G81:I81" si="79">G82-SUM(G76,G77,G78,G79,G80)</f>
        <v>4.7620000000000005</v>
      </c>
      <c r="H81" s="317">
        <f t="shared" si="79"/>
        <v>15.470000000000027</v>
      </c>
      <c r="I81" s="317">
        <f t="shared" si="79"/>
        <v>15.605505981031115</v>
      </c>
      <c r="J81" s="319">
        <f t="shared" si="78"/>
        <v>20.28715777534045</v>
      </c>
      <c r="K81" s="319">
        <f t="shared" si="78"/>
        <v>29.416378774243654</v>
      </c>
      <c r="L81" s="319">
        <f t="shared" si="78"/>
        <v>44.124568161365481</v>
      </c>
      <c r="M81" s="319">
        <f t="shared" si="78"/>
        <v>63.980623833979941</v>
      </c>
      <c r="N81" s="319">
        <f t="shared" si="78"/>
        <v>89.892776486741809</v>
      </c>
      <c r="O81" s="319">
        <f t="shared" si="78"/>
        <v>122.6586935161592</v>
      </c>
      <c r="P81" s="319">
        <f t="shared" si="78"/>
        <v>162.89687792413525</v>
      </c>
      <c r="Q81" s="319">
        <f t="shared" si="78"/>
        <v>210.99136664684656</v>
      </c>
      <c r="R81" s="319">
        <f t="shared" si="78"/>
        <v>267.05609808792991</v>
      </c>
      <c r="S81" s="319">
        <f t="shared" si="78"/>
        <v>330.9221500087063</v>
      </c>
      <c r="T81" s="325"/>
      <c r="U81" s="317">
        <f t="shared" ref="U81:W81" si="80">U82-SUM(U76,U77,U78,U79,U80)</f>
        <v>4.6839999999999975</v>
      </c>
      <c r="V81" s="315">
        <f t="shared" si="77"/>
        <v>10.78600000000003</v>
      </c>
      <c r="W81" s="317">
        <f t="shared" si="80"/>
        <v>7.6150000000000375</v>
      </c>
      <c r="X81" s="326"/>
      <c r="Y81" s="326"/>
      <c r="Z81" s="326"/>
      <c r="AA81" s="327"/>
      <c r="AB81" s="327"/>
      <c r="AC81" s="327"/>
      <c r="AD81" s="327"/>
    </row>
    <row r="82" spans="2:30" s="72" customFormat="1" ht="11.85" customHeight="1" collapsed="1">
      <c r="B82" s="72" t="s">
        <v>64</v>
      </c>
      <c r="F82" s="80">
        <f>-F14</f>
        <v>15.138999999999999</v>
      </c>
      <c r="G82" s="80">
        <f>-G14</f>
        <v>101.19799999999999</v>
      </c>
      <c r="H82" s="318">
        <f>-H14</f>
        <v>387.47500000000002</v>
      </c>
      <c r="I82" s="318">
        <f>-I14</f>
        <v>390.86900000000003</v>
      </c>
      <c r="J82" s="324">
        <f>I82*(1+J84)</f>
        <v>508.12970000000007</v>
      </c>
      <c r="K82" s="324">
        <f t="shared" ref="K82:S82" si="81">J82*(1+K84)</f>
        <v>736.78806500000007</v>
      </c>
      <c r="L82" s="324">
        <f t="shared" si="81"/>
        <v>1105.1820975000001</v>
      </c>
      <c r="M82" s="324">
        <f t="shared" si="81"/>
        <v>1602.514041375</v>
      </c>
      <c r="N82" s="324">
        <f t="shared" si="81"/>
        <v>2251.5322281318749</v>
      </c>
      <c r="O82" s="324">
        <f t="shared" si="81"/>
        <v>3072.2157252859433</v>
      </c>
      <c r="P82" s="324">
        <f t="shared" si="81"/>
        <v>4080.0560939659977</v>
      </c>
      <c r="Q82" s="324">
        <f t="shared" si="81"/>
        <v>5284.6722554289881</v>
      </c>
      <c r="R82" s="324">
        <f t="shared" si="81"/>
        <v>6688.9180094777066</v>
      </c>
      <c r="S82" s="324">
        <f t="shared" si="81"/>
        <v>8288.5623836213854</v>
      </c>
      <c r="T82" s="325"/>
      <c r="U82" s="318">
        <f>-U14</f>
        <v>144.19399999999999</v>
      </c>
      <c r="V82" s="318">
        <f>-V14</f>
        <v>243.28100000000003</v>
      </c>
      <c r="W82" s="318">
        <f>-W14</f>
        <v>208.57</v>
      </c>
      <c r="X82" s="318">
        <f>-X14</f>
        <v>182.29900000000004</v>
      </c>
      <c r="Y82" s="326">
        <f>Y4*Y83</f>
        <v>245.468256</v>
      </c>
      <c r="Z82" s="326">
        <f>J82-Y82</f>
        <v>262.66144400000007</v>
      </c>
      <c r="AA82" s="327"/>
      <c r="AB82" s="327"/>
      <c r="AC82" s="327"/>
      <c r="AD82" s="327"/>
    </row>
    <row r="83" spans="2:30" ht="11.85" customHeight="1">
      <c r="C83" s="46" t="s">
        <v>65</v>
      </c>
      <c r="F83" s="98">
        <f>IFERROR(F82/F$4,"NM")</f>
        <v>0.26370429723562505</v>
      </c>
      <c r="G83" s="98">
        <f t="shared" ref="G83:S83" si="82">IFERROR(G82/G$4,"NM")</f>
        <v>0.81258732274486489</v>
      </c>
      <c r="H83" s="81">
        <f t="shared" si="82"/>
        <v>1.2402613199152408</v>
      </c>
      <c r="I83" s="81">
        <f t="shared" si="82"/>
        <v>0.53962536619846646</v>
      </c>
      <c r="J83" s="81">
        <f t="shared" si="82"/>
        <v>8.0156406058543822E-2</v>
      </c>
      <c r="K83" s="81">
        <f t="shared" si="82"/>
        <v>3.1055699370041913E-2</v>
      </c>
      <c r="L83" s="81">
        <f t="shared" si="82"/>
        <v>1.8792619432735632E-2</v>
      </c>
      <c r="M83" s="81">
        <f t="shared" si="82"/>
        <v>1.3287447404118677E-2</v>
      </c>
      <c r="N83" s="81">
        <f t="shared" si="82"/>
        <v>1.0253085956289177E-2</v>
      </c>
      <c r="O83" s="81">
        <f t="shared" si="82"/>
        <v>8.4985177280845724E-3</v>
      </c>
      <c r="P83" s="81">
        <f t="shared" si="82"/>
        <v>7.4702252034190061E-3</v>
      </c>
      <c r="Q83" s="81">
        <f t="shared" si="82"/>
        <v>6.8820163171508554E-3</v>
      </c>
      <c r="R83" s="81">
        <f t="shared" si="82"/>
        <v>6.5764808375981488E-3</v>
      </c>
      <c r="S83" s="81">
        <f t="shared" si="82"/>
        <v>6.4611682600329741E-3</v>
      </c>
      <c r="T83" s="320"/>
      <c r="U83" s="81">
        <f t="shared" ref="U83:Z83" si="83">IFERROR(U82/U$4,"NM")</f>
        <v>3.2108040704535834</v>
      </c>
      <c r="V83" s="81">
        <f t="shared" si="83"/>
        <v>0.90944468327694827</v>
      </c>
      <c r="W83" s="81">
        <f t="shared" si="83"/>
        <v>1.0926932003331988</v>
      </c>
      <c r="X83" s="81">
        <f t="shared" si="83"/>
        <v>0.34173138603486314</v>
      </c>
      <c r="Y83" s="106">
        <v>0.22</v>
      </c>
      <c r="Z83" s="81">
        <f t="shared" si="83"/>
        <v>5.0284926889055018E-2</v>
      </c>
      <c r="AA83" s="316"/>
      <c r="AB83" s="316"/>
      <c r="AC83" s="316"/>
      <c r="AD83" s="316"/>
    </row>
    <row r="84" spans="2:30" ht="11.85" customHeight="1">
      <c r="C84" s="46" t="s">
        <v>66</v>
      </c>
      <c r="F84" s="103"/>
      <c r="G84" s="98">
        <f>G82/F82-1</f>
        <v>5.6845894709029654</v>
      </c>
      <c r="H84" s="81">
        <f>H82/G82-1</f>
        <v>2.8288800173916484</v>
      </c>
      <c r="I84" s="81">
        <f t="shared" ref="I84" si="84">I82/H82-1</f>
        <v>8.759274791922067E-3</v>
      </c>
      <c r="J84" s="106">
        <v>0.3</v>
      </c>
      <c r="K84" s="106">
        <v>0.45</v>
      </c>
      <c r="L84" s="106">
        <v>0.5</v>
      </c>
      <c r="M84" s="106">
        <f>L84*0.9</f>
        <v>0.45</v>
      </c>
      <c r="N84" s="106">
        <f t="shared" ref="N84:S84" si="85">M84*0.9</f>
        <v>0.40500000000000003</v>
      </c>
      <c r="O84" s="106">
        <f t="shared" si="85"/>
        <v>0.36450000000000005</v>
      </c>
      <c r="P84" s="106">
        <f t="shared" si="85"/>
        <v>0.32805000000000006</v>
      </c>
      <c r="Q84" s="106">
        <f t="shared" si="85"/>
        <v>0.29524500000000009</v>
      </c>
      <c r="R84" s="106">
        <f t="shared" si="85"/>
        <v>0.26572050000000008</v>
      </c>
      <c r="S84" s="106">
        <f t="shared" si="85"/>
        <v>0.23914845000000007</v>
      </c>
      <c r="T84" s="320"/>
      <c r="U84" s="81"/>
      <c r="V84" s="81"/>
      <c r="W84" s="81">
        <f>W82/U82-1</f>
        <v>0.44645408269414832</v>
      </c>
      <c r="X84" s="81">
        <f>X82/V82-1</f>
        <v>-0.25066486901977547</v>
      </c>
      <c r="Y84" s="81">
        <f t="shared" ref="Y84:Z84" si="86">Y82/W82-1</f>
        <v>0.17691065829218</v>
      </c>
      <c r="Z84" s="81">
        <f t="shared" si="86"/>
        <v>0.44082767321817462</v>
      </c>
      <c r="AA84" s="316"/>
      <c r="AB84" s="316"/>
      <c r="AC84" s="316"/>
      <c r="AD84" s="316"/>
    </row>
    <row r="85" spans="2:30" ht="11.85" customHeight="1">
      <c r="F85" s="103"/>
      <c r="G85" s="103"/>
      <c r="H85" s="323"/>
      <c r="I85" s="319"/>
      <c r="J85" s="319"/>
      <c r="K85" s="319"/>
      <c r="L85" s="319"/>
      <c r="M85" s="319"/>
      <c r="N85" s="319"/>
      <c r="O85" s="319"/>
      <c r="P85" s="319"/>
      <c r="Q85" s="319"/>
      <c r="R85" s="319"/>
      <c r="S85" s="319"/>
      <c r="T85" s="320"/>
      <c r="U85" s="315"/>
      <c r="V85" s="315"/>
      <c r="W85" s="315"/>
      <c r="X85" s="315"/>
      <c r="Y85" s="315"/>
      <c r="Z85" s="315"/>
      <c r="AA85" s="316"/>
      <c r="AB85" s="316"/>
      <c r="AC85" s="316"/>
      <c r="AD85" s="316"/>
    </row>
    <row r="86" spans="2:30" s="72" customFormat="1" ht="11.85" customHeight="1">
      <c r="B86" s="72" t="s">
        <v>32</v>
      </c>
      <c r="F86" s="80"/>
      <c r="G86" s="80"/>
      <c r="H86" s="318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5"/>
      <c r="U86" s="326"/>
      <c r="V86" s="326"/>
      <c r="W86" s="326"/>
      <c r="X86" s="326"/>
      <c r="Y86" s="326"/>
      <c r="Z86" s="326"/>
      <c r="AA86" s="327"/>
      <c r="AB86" s="327"/>
      <c r="AC86" s="327"/>
      <c r="AD86" s="327"/>
    </row>
    <row r="87" spans="2:30" ht="11.85" hidden="1" customHeight="1">
      <c r="C87" s="46" t="s">
        <v>70</v>
      </c>
      <c r="F87" s="76">
        <v>20.922999999999998</v>
      </c>
      <c r="G87" s="76">
        <v>33.956000000000003</v>
      </c>
      <c r="H87" s="313">
        <v>78.369</v>
      </c>
      <c r="I87" s="319">
        <f>(H87/H$92)*I$92</f>
        <v>296.43288498761257</v>
      </c>
      <c r="J87" s="319">
        <f t="shared" ref="J87:S87" si="87">(I87/I$92)*J$92</f>
        <v>385.36275048389632</v>
      </c>
      <c r="K87" s="319">
        <f t="shared" si="87"/>
        <v>558.77598820164962</v>
      </c>
      <c r="L87" s="319">
        <f t="shared" si="87"/>
        <v>838.16398230247455</v>
      </c>
      <c r="M87" s="319">
        <f t="shared" si="87"/>
        <v>1215.3377743385881</v>
      </c>
      <c r="N87" s="319">
        <f t="shared" si="87"/>
        <v>1707.5495729457161</v>
      </c>
      <c r="O87" s="319">
        <f t="shared" si="87"/>
        <v>2329.9513922844299</v>
      </c>
      <c r="P87" s="319">
        <f t="shared" si="87"/>
        <v>3094.2919465233376</v>
      </c>
      <c r="Q87" s="319">
        <f t="shared" si="87"/>
        <v>4007.8661722746201</v>
      </c>
      <c r="R87" s="319">
        <f t="shared" si="87"/>
        <v>5072.8383755045188</v>
      </c>
      <c r="S87" s="319">
        <f t="shared" si="87"/>
        <v>6285.9998101069432</v>
      </c>
      <c r="T87" s="320"/>
      <c r="U87" s="313">
        <v>29.041</v>
      </c>
      <c r="V87" s="315">
        <f t="shared" ref="V87:V91" si="88">H87-U87</f>
        <v>49.328000000000003</v>
      </c>
      <c r="W87" s="313">
        <v>124.655</v>
      </c>
      <c r="X87" s="315"/>
      <c r="Y87" s="315"/>
      <c r="Z87" s="315"/>
      <c r="AA87" s="316"/>
      <c r="AB87" s="316"/>
      <c r="AC87" s="316"/>
      <c r="AD87" s="316"/>
    </row>
    <row r="88" spans="2:30" ht="11.85" hidden="1" customHeight="1">
      <c r="C88" s="46" t="s">
        <v>74</v>
      </c>
      <c r="F88" s="76">
        <v>2.835</v>
      </c>
      <c r="G88" s="76">
        <v>11.930999999999999</v>
      </c>
      <c r="H88" s="313">
        <v>14.845000000000001</v>
      </c>
      <c r="I88" s="319">
        <f t="shared" ref="I88:S91" si="89">(H88/H$92)*I$92</f>
        <v>56.151618339408543</v>
      </c>
      <c r="J88" s="319">
        <f t="shared" si="89"/>
        <v>72.997103841231109</v>
      </c>
      <c r="K88" s="319">
        <f t="shared" si="89"/>
        <v>105.8458005697851</v>
      </c>
      <c r="L88" s="319">
        <f t="shared" si="89"/>
        <v>158.76870085467766</v>
      </c>
      <c r="M88" s="319">
        <f t="shared" si="89"/>
        <v>230.21461623928263</v>
      </c>
      <c r="N88" s="319">
        <f t="shared" si="89"/>
        <v>323.45153581619212</v>
      </c>
      <c r="O88" s="319">
        <f t="shared" si="89"/>
        <v>441.34962062119416</v>
      </c>
      <c r="P88" s="319">
        <f t="shared" si="89"/>
        <v>586.13436366597705</v>
      </c>
      <c r="Q88" s="319">
        <f t="shared" si="89"/>
        <v>759.18760386653832</v>
      </c>
      <c r="R88" s="319">
        <f t="shared" si="89"/>
        <v>960.9193135597568</v>
      </c>
      <c r="S88" s="319">
        <f t="shared" si="89"/>
        <v>1190.7216779726368</v>
      </c>
      <c r="T88" s="320"/>
      <c r="U88" s="313">
        <v>6.6079999999999997</v>
      </c>
      <c r="V88" s="315">
        <f t="shared" si="88"/>
        <v>8.2370000000000019</v>
      </c>
      <c r="W88" s="313">
        <v>28.344999999999999</v>
      </c>
      <c r="X88" s="315"/>
      <c r="Y88" s="315"/>
      <c r="Z88" s="315"/>
      <c r="AA88" s="316"/>
      <c r="AB88" s="316"/>
      <c r="AC88" s="316"/>
      <c r="AD88" s="316"/>
    </row>
    <row r="89" spans="2:30" ht="11.85" hidden="1" customHeight="1">
      <c r="C89" s="46" t="s">
        <v>73</v>
      </c>
      <c r="F89" s="76">
        <v>1.712</v>
      </c>
      <c r="G89" s="76">
        <v>7.6740000000000004</v>
      </c>
      <c r="H89" s="313">
        <v>8.0760000000000005</v>
      </c>
      <c r="I89" s="319">
        <f t="shared" si="89"/>
        <v>30.547690785386557</v>
      </c>
      <c r="J89" s="319">
        <f t="shared" si="89"/>
        <v>39.711998021002522</v>
      </c>
      <c r="K89" s="319">
        <f t="shared" si="89"/>
        <v>57.582397130453657</v>
      </c>
      <c r="L89" s="319">
        <f t="shared" si="89"/>
        <v>86.373595695680493</v>
      </c>
      <c r="M89" s="319">
        <f t="shared" si="89"/>
        <v>125.24171375873671</v>
      </c>
      <c r="N89" s="319">
        <f t="shared" si="89"/>
        <v>175.96460783102509</v>
      </c>
      <c r="O89" s="319">
        <f t="shared" si="89"/>
        <v>240.10370738543375</v>
      </c>
      <c r="P89" s="319">
        <f t="shared" si="89"/>
        <v>318.86972859322532</v>
      </c>
      <c r="Q89" s="319">
        <f t="shared" si="89"/>
        <v>413.01442161173213</v>
      </c>
      <c r="R89" s="319">
        <f t="shared" si="89"/>
        <v>522.76082022961236</v>
      </c>
      <c r="S89" s="319">
        <f t="shared" si="89"/>
        <v>647.77826010825288</v>
      </c>
      <c r="T89" s="320"/>
      <c r="U89" s="313">
        <v>5.6559999999999997</v>
      </c>
      <c r="V89" s="315">
        <f t="shared" si="88"/>
        <v>2.4200000000000008</v>
      </c>
      <c r="W89" s="313">
        <v>8.8019999999999996</v>
      </c>
      <c r="X89" s="315"/>
      <c r="Y89" s="315"/>
      <c r="Z89" s="315"/>
      <c r="AA89" s="316"/>
      <c r="AB89" s="316"/>
      <c r="AC89" s="316"/>
      <c r="AD89" s="316"/>
    </row>
    <row r="90" spans="2:30" ht="11.85" hidden="1" customHeight="1">
      <c r="C90" s="46" t="s">
        <v>75</v>
      </c>
      <c r="F90" s="76">
        <v>2.5830000000000002</v>
      </c>
      <c r="G90" s="76">
        <v>3.9140000000000001</v>
      </c>
      <c r="H90" s="313">
        <v>5.7590000000000003</v>
      </c>
      <c r="I90" s="319">
        <f t="shared" si="89"/>
        <v>21.783574942179442</v>
      </c>
      <c r="J90" s="319">
        <f t="shared" si="89"/>
        <v>28.318647424833276</v>
      </c>
      <c r="K90" s="319">
        <f t="shared" si="89"/>
        <v>41.062038766008243</v>
      </c>
      <c r="L90" s="319">
        <f t="shared" si="89"/>
        <v>61.593058149012357</v>
      </c>
      <c r="M90" s="319">
        <f t="shared" si="89"/>
        <v>89.309934316067924</v>
      </c>
      <c r="N90" s="319">
        <f t="shared" si="89"/>
        <v>125.48045771407543</v>
      </c>
      <c r="O90" s="319">
        <f t="shared" si="89"/>
        <v>171.21808455085593</v>
      </c>
      <c r="P90" s="319">
        <f t="shared" si="89"/>
        <v>227.38617718776425</v>
      </c>
      <c r="Q90" s="319">
        <f t="shared" si="89"/>
        <v>294.52080907156574</v>
      </c>
      <c r="R90" s="319">
        <f t="shared" si="89"/>
        <v>372.78102571846676</v>
      </c>
      <c r="S90" s="319">
        <f t="shared" si="89"/>
        <v>461.93103020844825</v>
      </c>
      <c r="T90" s="320"/>
      <c r="U90" s="313">
        <v>2.5590000000000002</v>
      </c>
      <c r="V90" s="315">
        <f t="shared" si="88"/>
        <v>3.2</v>
      </c>
      <c r="W90" s="313">
        <v>3.516</v>
      </c>
      <c r="X90" s="315"/>
      <c r="Y90" s="315"/>
      <c r="Z90" s="315"/>
      <c r="AA90" s="316"/>
      <c r="AB90" s="316"/>
      <c r="AC90" s="316"/>
      <c r="AD90" s="316"/>
    </row>
    <row r="91" spans="2:30" ht="11.85" hidden="1" customHeight="1">
      <c r="C91" s="46" t="s">
        <v>53</v>
      </c>
      <c r="F91" s="77">
        <f t="shared" ref="F91:I91" si="90">F92-SUM(F87,F88,F89,F90)</f>
        <v>4.2630000000000052</v>
      </c>
      <c r="G91" s="77">
        <f t="shared" si="90"/>
        <v>8.8270000000000053</v>
      </c>
      <c r="H91" s="317">
        <f t="shared" si="90"/>
        <v>26.554000000000016</v>
      </c>
      <c r="I91" s="317">
        <f t="shared" si="90"/>
        <v>100.44123094541288</v>
      </c>
      <c r="J91" s="319">
        <f t="shared" si="89"/>
        <v>130.57360022903674</v>
      </c>
      <c r="K91" s="319">
        <f t="shared" si="89"/>
        <v>189.33172033210326</v>
      </c>
      <c r="L91" s="319">
        <f t="shared" si="89"/>
        <v>283.99758049815489</v>
      </c>
      <c r="M91" s="319">
        <f t="shared" si="89"/>
        <v>411.79649172232462</v>
      </c>
      <c r="N91" s="319">
        <f t="shared" si="89"/>
        <v>578.57407086986609</v>
      </c>
      <c r="O91" s="319">
        <f t="shared" si="89"/>
        <v>789.46431970193237</v>
      </c>
      <c r="P91" s="319">
        <f t="shared" si="89"/>
        <v>1048.4480897801513</v>
      </c>
      <c r="Q91" s="319">
        <f t="shared" si="89"/>
        <v>1357.9971460472921</v>
      </c>
      <c r="R91" s="319">
        <f t="shared" si="89"/>
        <v>1718.8448266935518</v>
      </c>
      <c r="S91" s="319">
        <f t="shared" si="89"/>
        <v>2129.9039027878334</v>
      </c>
      <c r="T91" s="320"/>
      <c r="U91" s="317">
        <f t="shared" ref="U91:W91" si="91">U92-SUM(U87,U88,U89,U90)</f>
        <v>7.588000000000001</v>
      </c>
      <c r="V91" s="315">
        <f t="shared" si="88"/>
        <v>18.966000000000015</v>
      </c>
      <c r="W91" s="317">
        <f t="shared" si="91"/>
        <v>19.847000000000008</v>
      </c>
      <c r="X91" s="315"/>
      <c r="Y91" s="315"/>
      <c r="Z91" s="315"/>
      <c r="AA91" s="316"/>
      <c r="AB91" s="316"/>
      <c r="AC91" s="316"/>
      <c r="AD91" s="316"/>
    </row>
    <row r="92" spans="2:30" ht="11.85" customHeight="1" collapsed="1">
      <c r="B92" s="72" t="s">
        <v>64</v>
      </c>
      <c r="F92" s="80">
        <f>-F15</f>
        <v>32.316000000000003</v>
      </c>
      <c r="G92" s="80">
        <f>-G15</f>
        <v>66.302000000000007</v>
      </c>
      <c r="H92" s="318">
        <f>-H15</f>
        <v>133.60300000000001</v>
      </c>
      <c r="I92" s="318">
        <f>-I15</f>
        <v>505.35700000000003</v>
      </c>
      <c r="J92" s="324">
        <f>I92*(1+J94)</f>
        <v>656.96410000000003</v>
      </c>
      <c r="K92" s="324">
        <f t="shared" ref="K92:S92" si="92">J92*(1+K94)</f>
        <v>952.59794499999998</v>
      </c>
      <c r="L92" s="324">
        <f t="shared" si="92"/>
        <v>1428.8969175</v>
      </c>
      <c r="M92" s="324">
        <f t="shared" si="92"/>
        <v>2071.900530375</v>
      </c>
      <c r="N92" s="324">
        <f t="shared" si="92"/>
        <v>2911.0202451768751</v>
      </c>
      <c r="O92" s="324">
        <f t="shared" si="92"/>
        <v>3972.0871245438461</v>
      </c>
      <c r="P92" s="324">
        <f t="shared" si="92"/>
        <v>5275.1303057504556</v>
      </c>
      <c r="Q92" s="324">
        <f t="shared" si="92"/>
        <v>6832.5861528717487</v>
      </c>
      <c r="R92" s="324">
        <f t="shared" si="92"/>
        <v>8648.1443617059067</v>
      </c>
      <c r="S92" s="324">
        <f t="shared" si="92"/>
        <v>10716.334681184115</v>
      </c>
      <c r="T92" s="320"/>
      <c r="U92" s="318">
        <f>-U15</f>
        <v>51.451999999999998</v>
      </c>
      <c r="V92" s="318">
        <f>-V15</f>
        <v>82.15100000000001</v>
      </c>
      <c r="W92" s="318">
        <f>-W15</f>
        <v>185.16499999999999</v>
      </c>
      <c r="X92" s="318">
        <f>-X15</f>
        <v>320.19200000000001</v>
      </c>
      <c r="Y92" s="326">
        <f>Y4*Y93</f>
        <v>334.72943999999995</v>
      </c>
      <c r="Z92" s="315">
        <f>J92-Y92</f>
        <v>322.23466000000008</v>
      </c>
      <c r="AA92" s="316"/>
      <c r="AB92" s="316"/>
      <c r="AC92" s="316"/>
      <c r="AD92" s="316"/>
    </row>
    <row r="93" spans="2:30" ht="11.85" customHeight="1">
      <c r="C93" s="46" t="s">
        <v>65</v>
      </c>
      <c r="F93" s="98">
        <f>IFERROR(F92/F$4,"NM")</f>
        <v>0.5629082548032539</v>
      </c>
      <c r="G93" s="98">
        <f t="shared" ref="G93:S93" si="93">IFERROR(G92/G$4,"NM")</f>
        <v>0.5323836901186787</v>
      </c>
      <c r="H93" s="81">
        <f t="shared" si="93"/>
        <v>0.42764728853380457</v>
      </c>
      <c r="I93" s="81">
        <f t="shared" si="93"/>
        <v>0.69768504584901436</v>
      </c>
      <c r="J93" s="81">
        <f t="shared" si="93"/>
        <v>0.10363472390117284</v>
      </c>
      <c r="K93" s="81">
        <f t="shared" si="93"/>
        <v>4.0152109956395288E-2</v>
      </c>
      <c r="L93" s="81">
        <f t="shared" si="93"/>
        <v>2.4297096415087868E-2</v>
      </c>
      <c r="M93" s="81">
        <f t="shared" si="93"/>
        <v>1.7179424712124015E-2</v>
      </c>
      <c r="N93" s="81">
        <f t="shared" si="93"/>
        <v>1.3256279622104669E-2</v>
      </c>
      <c r="O93" s="81">
        <f t="shared" si="93"/>
        <v>1.0987787272747738E-2</v>
      </c>
      <c r="P93" s="81">
        <f t="shared" si="93"/>
        <v>9.6583013698303497E-3</v>
      </c>
      <c r="Q93" s="81">
        <f t="shared" si="93"/>
        <v>8.8978023838841274E-3</v>
      </c>
      <c r="R93" s="81">
        <f t="shared" si="93"/>
        <v>8.5027736316926859E-3</v>
      </c>
      <c r="S93" s="81">
        <f t="shared" si="93"/>
        <v>8.3536852714988508E-3</v>
      </c>
      <c r="T93" s="320"/>
      <c r="U93" s="81">
        <f t="shared" ref="U93:Z93" si="94">IFERROR(U92/U$4,"NM")</f>
        <v>1.1456946269122001</v>
      </c>
      <c r="V93" s="81">
        <f t="shared" si="94"/>
        <v>0.30710080185417099</v>
      </c>
      <c r="W93" s="81">
        <f t="shared" si="94"/>
        <v>0.97007496974491436</v>
      </c>
      <c r="X93" s="81">
        <f t="shared" si="94"/>
        <v>0.60022082379648212</v>
      </c>
      <c r="Y93" s="106">
        <v>0.3</v>
      </c>
      <c r="Z93" s="81">
        <f t="shared" si="94"/>
        <v>6.1689854713581418E-2</v>
      </c>
      <c r="AA93" s="316"/>
      <c r="AB93" s="316"/>
      <c r="AC93" s="316"/>
      <c r="AD93" s="316"/>
    </row>
    <row r="94" spans="2:30" ht="11.85" customHeight="1">
      <c r="C94" s="46" t="s">
        <v>66</v>
      </c>
      <c r="F94" s="103"/>
      <c r="G94" s="98">
        <f>G92/F92-1</f>
        <v>1.0516771877707636</v>
      </c>
      <c r="H94" s="81">
        <f>H92/G92-1</f>
        <v>1.0150674187807307</v>
      </c>
      <c r="I94" s="81">
        <f t="shared" ref="I94" si="95">I92/H92-1</f>
        <v>2.7825273384579687</v>
      </c>
      <c r="J94" s="106">
        <v>0.3</v>
      </c>
      <c r="K94" s="106">
        <v>0.45</v>
      </c>
      <c r="L94" s="106">
        <v>0.5</v>
      </c>
      <c r="M94" s="106">
        <f>L94*0.9</f>
        <v>0.45</v>
      </c>
      <c r="N94" s="106">
        <f t="shared" ref="N94:S94" si="96">M94*0.9</f>
        <v>0.40500000000000003</v>
      </c>
      <c r="O94" s="106">
        <f t="shared" si="96"/>
        <v>0.36450000000000005</v>
      </c>
      <c r="P94" s="106">
        <f t="shared" si="96"/>
        <v>0.32805000000000006</v>
      </c>
      <c r="Q94" s="106">
        <f t="shared" si="96"/>
        <v>0.29524500000000009</v>
      </c>
      <c r="R94" s="106">
        <f t="shared" si="96"/>
        <v>0.26572050000000008</v>
      </c>
      <c r="S94" s="106">
        <f t="shared" si="96"/>
        <v>0.23914845000000007</v>
      </c>
      <c r="T94" s="320"/>
      <c r="U94" s="81"/>
      <c r="V94" s="81"/>
      <c r="W94" s="81">
        <f>W92/U92-1</f>
        <v>2.5987911062738087</v>
      </c>
      <c r="X94" s="81">
        <f>X92/V92-1</f>
        <v>2.8976031941181479</v>
      </c>
      <c r="Y94" s="81">
        <f t="shared" ref="Y94:Z94" si="97">Y92/W92-1</f>
        <v>0.80773601922609539</v>
      </c>
      <c r="Z94" s="81">
        <f t="shared" si="97"/>
        <v>6.379484809114766E-3</v>
      </c>
      <c r="AA94" s="316"/>
      <c r="AB94" s="316"/>
      <c r="AC94" s="316"/>
      <c r="AD94" s="316"/>
    </row>
    <row r="95" spans="2:30" ht="11.85" customHeight="1">
      <c r="F95" s="103"/>
      <c r="G95" s="103"/>
      <c r="H95" s="323"/>
      <c r="I95" s="319"/>
      <c r="J95" s="319"/>
      <c r="K95" s="319"/>
      <c r="L95" s="319"/>
      <c r="M95" s="319"/>
      <c r="N95" s="319"/>
      <c r="O95" s="319"/>
      <c r="P95" s="319"/>
      <c r="Q95" s="319"/>
      <c r="R95" s="319"/>
      <c r="S95" s="319"/>
      <c r="T95" s="320"/>
      <c r="U95" s="315"/>
      <c r="V95" s="315"/>
      <c r="W95" s="315"/>
      <c r="X95" s="315"/>
      <c r="Y95" s="315"/>
      <c r="Z95" s="315"/>
      <c r="AA95" s="316"/>
      <c r="AB95" s="316"/>
      <c r="AC95" s="316"/>
      <c r="AD95" s="316"/>
    </row>
    <row r="96" spans="2:30" ht="11.85" customHeight="1">
      <c r="B96" s="72" t="s">
        <v>33</v>
      </c>
      <c r="F96" s="103"/>
      <c r="G96" s="103"/>
      <c r="H96" s="323"/>
      <c r="I96" s="319"/>
      <c r="J96" s="82"/>
      <c r="K96" s="319"/>
      <c r="L96" s="319"/>
      <c r="M96" s="319"/>
      <c r="N96" s="319"/>
      <c r="O96" s="319"/>
      <c r="P96" s="319"/>
      <c r="Q96" s="319"/>
      <c r="R96" s="319"/>
      <c r="S96" s="82"/>
      <c r="T96" s="320"/>
      <c r="U96" s="315"/>
      <c r="V96" s="315"/>
      <c r="W96" s="315"/>
      <c r="X96" s="315"/>
      <c r="Y96" s="315"/>
      <c r="Z96" s="315"/>
      <c r="AA96" s="316"/>
      <c r="AB96" s="316"/>
      <c r="AC96" s="316"/>
      <c r="AD96" s="316"/>
    </row>
    <row r="97" spans="2:30" ht="11.85" hidden="1" customHeight="1">
      <c r="B97" s="72"/>
      <c r="C97" s="46" t="s">
        <v>72</v>
      </c>
      <c r="F97" s="76">
        <v>14.632999999999999</v>
      </c>
      <c r="G97" s="76">
        <v>311.74599999999998</v>
      </c>
      <c r="H97" s="313">
        <v>1552.8320000000001</v>
      </c>
      <c r="I97" s="317">
        <f t="shared" ref="I97:S101" si="98">H97/H$102*I$102</f>
        <v>2249.5275036830953</v>
      </c>
      <c r="J97" s="317">
        <f t="shared" si="98"/>
        <v>4049.1495066295715</v>
      </c>
      <c r="K97" s="317">
        <f t="shared" si="98"/>
        <v>7693.3840625961857</v>
      </c>
      <c r="L97" s="317">
        <f t="shared" si="98"/>
        <v>11532.382709831683</v>
      </c>
      <c r="M97" s="317">
        <f t="shared" si="98"/>
        <v>18451.812335730694</v>
      </c>
      <c r="N97" s="317">
        <f t="shared" si="98"/>
        <v>28600.309120382579</v>
      </c>
      <c r="O97" s="317">
        <f t="shared" si="98"/>
        <v>39611.428131729866</v>
      </c>
      <c r="P97" s="317">
        <f t="shared" si="98"/>
        <v>50286.708013231058</v>
      </c>
      <c r="Q97" s="317">
        <f t="shared" si="98"/>
        <v>59773.295479927096</v>
      </c>
      <c r="R97" s="317">
        <f t="shared" si="98"/>
        <v>67666.658014528875</v>
      </c>
      <c r="S97" s="317">
        <f t="shared" si="98"/>
        <v>73921.662381404894</v>
      </c>
      <c r="T97" s="320"/>
      <c r="U97" s="313">
        <v>603.23699999999997</v>
      </c>
      <c r="V97" s="315">
        <f t="shared" ref="V97:V101" si="99">H97-U97</f>
        <v>949.59500000000014</v>
      </c>
      <c r="W97" s="313">
        <v>1145.124</v>
      </c>
      <c r="X97" s="313"/>
      <c r="Y97" s="313"/>
      <c r="Z97" s="313"/>
      <c r="AA97" s="316"/>
      <c r="AB97" s="316"/>
      <c r="AC97" s="316"/>
      <c r="AD97" s="316"/>
    </row>
    <row r="98" spans="2:30" ht="11.85" hidden="1" customHeight="1">
      <c r="B98" s="72"/>
      <c r="C98" s="46" t="s">
        <v>70</v>
      </c>
      <c r="F98" s="76">
        <v>41.981999999999999</v>
      </c>
      <c r="G98" s="76">
        <v>137.29599999999999</v>
      </c>
      <c r="H98" s="313">
        <v>324.19299999999998</v>
      </c>
      <c r="I98" s="317">
        <f t="shared" ref="I98:S98" si="100">I102-I97-SUM(I99:I101)</f>
        <v>469.64582775312073</v>
      </c>
      <c r="J98" s="317">
        <f t="shared" si="100"/>
        <v>845.36248995561732</v>
      </c>
      <c r="K98" s="317">
        <f t="shared" si="100"/>
        <v>1606.1887309156725</v>
      </c>
      <c r="L98" s="317">
        <f t="shared" si="100"/>
        <v>2407.6769076425935</v>
      </c>
      <c r="M98" s="317">
        <f t="shared" si="100"/>
        <v>3852.2830522281492</v>
      </c>
      <c r="N98" s="317">
        <f t="shared" si="100"/>
        <v>5971.0387309536318</v>
      </c>
      <c r="O98" s="317">
        <f t="shared" si="100"/>
        <v>8269.8886423707845</v>
      </c>
      <c r="P98" s="317">
        <f t="shared" si="100"/>
        <v>10498.623631489709</v>
      </c>
      <c r="Q98" s="317">
        <f t="shared" si="100"/>
        <v>12479.188979570241</v>
      </c>
      <c r="R98" s="317">
        <f t="shared" si="100"/>
        <v>14127.128280267389</v>
      </c>
      <c r="S98" s="317">
        <f t="shared" si="100"/>
        <v>15433.018827802889</v>
      </c>
      <c r="T98" s="320"/>
      <c r="U98" s="313">
        <v>107.988</v>
      </c>
      <c r="V98" s="315">
        <f t="shared" si="99"/>
        <v>216.20499999999998</v>
      </c>
      <c r="W98" s="313">
        <v>265.56700000000001</v>
      </c>
      <c r="X98" s="313"/>
      <c r="Y98" s="313"/>
      <c r="Z98" s="313"/>
      <c r="AA98" s="316"/>
      <c r="AB98" s="316"/>
      <c r="AC98" s="316"/>
      <c r="AD98" s="316"/>
    </row>
    <row r="99" spans="2:30" ht="11.85" hidden="1" customHeight="1">
      <c r="B99" s="72"/>
      <c r="C99" s="46" t="s">
        <v>73</v>
      </c>
      <c r="F99" s="76">
        <v>14.689</v>
      </c>
      <c r="G99" s="76">
        <v>49.206000000000003</v>
      </c>
      <c r="H99" s="313">
        <v>259.03800000000001</v>
      </c>
      <c r="I99" s="317">
        <f t="shared" si="98"/>
        <v>375.25830579165142</v>
      </c>
      <c r="J99" s="317">
        <f t="shared" si="98"/>
        <v>675.46495042497259</v>
      </c>
      <c r="K99" s="317">
        <f t="shared" si="98"/>
        <v>1283.3834058074478</v>
      </c>
      <c r="L99" s="317">
        <f t="shared" si="98"/>
        <v>1923.7917253053645</v>
      </c>
      <c r="M99" s="317">
        <f t="shared" si="98"/>
        <v>3078.066760488583</v>
      </c>
      <c r="N99" s="317">
        <f t="shared" si="98"/>
        <v>4771.003478757304</v>
      </c>
      <c r="O99" s="317">
        <f t="shared" si="98"/>
        <v>6607.8398180788654</v>
      </c>
      <c r="P99" s="317">
        <f t="shared" si="98"/>
        <v>8388.6526490511169</v>
      </c>
      <c r="Q99" s="317">
        <f t="shared" si="98"/>
        <v>9971.1719712946087</v>
      </c>
      <c r="R99" s="317">
        <f t="shared" si="98"/>
        <v>11287.915085963919</v>
      </c>
      <c r="S99" s="317">
        <f t="shared" si="98"/>
        <v>12331.353024637796</v>
      </c>
      <c r="T99" s="320"/>
      <c r="U99" s="313">
        <v>118.517</v>
      </c>
      <c r="V99" s="315">
        <f t="shared" si="99"/>
        <v>140.52100000000002</v>
      </c>
      <c r="W99" s="313">
        <v>123.96599999999999</v>
      </c>
      <c r="X99" s="313"/>
      <c r="Y99" s="313"/>
      <c r="Z99" s="313"/>
      <c r="AA99" s="316"/>
      <c r="AB99" s="316"/>
      <c r="AC99" s="316"/>
      <c r="AD99" s="316"/>
    </row>
    <row r="100" spans="2:30" ht="11.85" hidden="1" customHeight="1">
      <c r="B100" s="72"/>
      <c r="C100" s="46" t="s">
        <v>76</v>
      </c>
      <c r="F100" s="76">
        <v>11.412000000000001</v>
      </c>
      <c r="G100" s="76">
        <v>25.184000000000001</v>
      </c>
      <c r="H100" s="313">
        <v>45.036000000000001</v>
      </c>
      <c r="I100" s="317">
        <f t="shared" si="98"/>
        <v>65.241906823063843</v>
      </c>
      <c r="J100" s="317">
        <f t="shared" si="98"/>
        <v>117.43543228151492</v>
      </c>
      <c r="K100" s="317">
        <f t="shared" si="98"/>
        <v>223.12732133487833</v>
      </c>
      <c r="L100" s="317">
        <f t="shared" si="98"/>
        <v>334.46785468098267</v>
      </c>
      <c r="M100" s="317">
        <f t="shared" si="98"/>
        <v>535.1485674895722</v>
      </c>
      <c r="N100" s="317">
        <f t="shared" si="98"/>
        <v>829.4802796088369</v>
      </c>
      <c r="O100" s="317">
        <f t="shared" si="98"/>
        <v>1148.8301872582392</v>
      </c>
      <c r="P100" s="317">
        <f t="shared" si="98"/>
        <v>1458.4399227243343</v>
      </c>
      <c r="Q100" s="317">
        <f t="shared" si="98"/>
        <v>1733.5746141462798</v>
      </c>
      <c r="R100" s="317">
        <f t="shared" si="98"/>
        <v>1962.5018098173671</v>
      </c>
      <c r="S100" s="317">
        <f t="shared" si="98"/>
        <v>2143.9125333641696</v>
      </c>
      <c r="T100" s="320"/>
      <c r="U100" s="313">
        <v>24.67</v>
      </c>
      <c r="V100" s="315">
        <f t="shared" si="99"/>
        <v>20.366</v>
      </c>
      <c r="W100" s="313">
        <v>52.209000000000003</v>
      </c>
      <c r="X100" s="313"/>
      <c r="Y100" s="313"/>
      <c r="Z100" s="313"/>
      <c r="AA100" s="316"/>
      <c r="AB100" s="316"/>
      <c r="AC100" s="316"/>
      <c r="AD100" s="316"/>
    </row>
    <row r="101" spans="2:30" s="92" customFormat="1" ht="11.85" hidden="1" customHeight="1">
      <c r="B101" s="55"/>
      <c r="C101" s="92" t="s">
        <v>53</v>
      </c>
      <c r="F101" s="77">
        <f t="shared" ref="F101:H101" si="101">F102-SUM(F97,F98,F99,F100)</f>
        <v>1.6609999999999872</v>
      </c>
      <c r="G101" s="77">
        <f t="shared" si="101"/>
        <v>5.4519999999999982</v>
      </c>
      <c r="H101" s="317">
        <f t="shared" si="101"/>
        <v>14.336999999999989</v>
      </c>
      <c r="I101" s="317">
        <f t="shared" si="98"/>
        <v>20.76945594906887</v>
      </c>
      <c r="J101" s="317">
        <f t="shared" si="98"/>
        <v>37.385020708323971</v>
      </c>
      <c r="K101" s="317">
        <f t="shared" si="98"/>
        <v>71.031539345815546</v>
      </c>
      <c r="L101" s="317">
        <f t="shared" si="98"/>
        <v>106.47627747937752</v>
      </c>
      <c r="M101" s="317">
        <f t="shared" si="98"/>
        <v>170.36204396700401</v>
      </c>
      <c r="N101" s="317">
        <f t="shared" si="98"/>
        <v>264.06116814885627</v>
      </c>
      <c r="O101" s="317">
        <f t="shared" si="98"/>
        <v>365.72471788616593</v>
      </c>
      <c r="P101" s="317">
        <f t="shared" si="98"/>
        <v>464.2875293564876</v>
      </c>
      <c r="Q101" s="317">
        <f t="shared" si="98"/>
        <v>551.87537176958892</v>
      </c>
      <c r="R101" s="317">
        <f t="shared" si="98"/>
        <v>624.75327398862203</v>
      </c>
      <c r="S101" s="317">
        <f t="shared" si="98"/>
        <v>682.50452950621923</v>
      </c>
      <c r="T101" s="311"/>
      <c r="U101" s="317">
        <f t="shared" ref="U101:W101" si="102">U102-SUM(U97,U98,U99,U100)</f>
        <v>4.8050000000000637</v>
      </c>
      <c r="V101" s="315">
        <f t="shared" si="99"/>
        <v>9.5319999999999254</v>
      </c>
      <c r="W101" s="317">
        <f t="shared" si="102"/>
        <v>7.7950000000000728</v>
      </c>
      <c r="X101" s="313"/>
      <c r="Y101" s="313"/>
      <c r="Z101" s="313"/>
      <c r="AA101" s="312"/>
      <c r="AB101" s="312"/>
      <c r="AC101" s="312"/>
      <c r="AD101" s="312"/>
    </row>
    <row r="102" spans="2:30" s="72" customFormat="1" ht="11.85" customHeight="1" collapsed="1">
      <c r="B102" s="72" t="s">
        <v>64</v>
      </c>
      <c r="F102" s="80">
        <f>-F16</f>
        <v>84.376999999999995</v>
      </c>
      <c r="G102" s="80">
        <f>-G16</f>
        <v>528.88400000000001</v>
      </c>
      <c r="H102" s="318">
        <f>-H16</f>
        <v>2195.4360000000001</v>
      </c>
      <c r="I102" s="318">
        <f>-I16</f>
        <v>3180.4430000000002</v>
      </c>
      <c r="J102" s="324">
        <f>I102*(1+J104)</f>
        <v>5724.7974000000004</v>
      </c>
      <c r="K102" s="324">
        <f t="shared" ref="K102:S102" si="103">J102*(1+K104)</f>
        <v>10877.11506</v>
      </c>
      <c r="L102" s="324">
        <f t="shared" si="103"/>
        <v>16304.795474940001</v>
      </c>
      <c r="M102" s="324">
        <f t="shared" si="103"/>
        <v>26087.672759904002</v>
      </c>
      <c r="N102" s="324">
        <f t="shared" si="103"/>
        <v>40435.892777851208</v>
      </c>
      <c r="O102" s="324">
        <f t="shared" si="103"/>
        <v>56003.711497323922</v>
      </c>
      <c r="P102" s="324">
        <f t="shared" si="103"/>
        <v>71096.711745852706</v>
      </c>
      <c r="Q102" s="324">
        <f t="shared" si="103"/>
        <v>84509.106416707815</v>
      </c>
      <c r="R102" s="324">
        <f t="shared" si="103"/>
        <v>95668.956464566174</v>
      </c>
      <c r="S102" s="324">
        <f t="shared" si="103"/>
        <v>104512.45129671597</v>
      </c>
      <c r="T102" s="325"/>
      <c r="U102" s="318">
        <f>-U16</f>
        <v>859.21699999999998</v>
      </c>
      <c r="V102" s="318">
        <f>-V16</f>
        <v>1336.2190000000001</v>
      </c>
      <c r="W102" s="318">
        <f>-W16</f>
        <v>1594.6610000000001</v>
      </c>
      <c r="X102" s="318">
        <f>-X16</f>
        <v>1585.7820000000002</v>
      </c>
      <c r="Y102" s="318">
        <f>Y4*Y103</f>
        <v>2789.4119999999998</v>
      </c>
      <c r="Z102" s="318">
        <f>J102-Y102</f>
        <v>2935.3854000000006</v>
      </c>
      <c r="AA102" s="327"/>
      <c r="AB102" s="327"/>
      <c r="AC102" s="327"/>
      <c r="AD102" s="327"/>
    </row>
    <row r="103" spans="2:30" ht="11.85" customHeight="1">
      <c r="C103" s="46" t="s">
        <v>65</v>
      </c>
      <c r="F103" s="98">
        <f>IFERROR(F102/F$4,"NM")</f>
        <v>1.4697521294570537</v>
      </c>
      <c r="G103" s="98">
        <f t="shared" ref="G103:S103" si="104">IFERROR(G102/G$4,"NM")</f>
        <v>4.2467680547302828</v>
      </c>
      <c r="H103" s="81">
        <f t="shared" si="104"/>
        <v>7.0273291209740929</v>
      </c>
      <c r="I103" s="81">
        <f t="shared" si="104"/>
        <v>4.3908514580290303</v>
      </c>
      <c r="J103" s="81">
        <f t="shared" si="104"/>
        <v>0.90307491374209359</v>
      </c>
      <c r="K103" s="81">
        <f t="shared" si="104"/>
        <v>0.45847161668765002</v>
      </c>
      <c r="L103" s="81">
        <f t="shared" si="104"/>
        <v>0.27724826251009504</v>
      </c>
      <c r="M103" s="81">
        <f t="shared" si="104"/>
        <v>0.21630923083560549</v>
      </c>
      <c r="N103" s="81">
        <f t="shared" si="104"/>
        <v>0.18413801907450111</v>
      </c>
      <c r="O103" s="81">
        <f t="shared" si="104"/>
        <v>0.15492028475775174</v>
      </c>
      <c r="P103" s="81">
        <f t="shared" si="104"/>
        <v>0.13017184953646649</v>
      </c>
      <c r="Q103" s="81">
        <f t="shared" si="104"/>
        <v>0.11005281334337164</v>
      </c>
      <c r="R103" s="81">
        <f t="shared" si="104"/>
        <v>9.4060811935615038E-2</v>
      </c>
      <c r="S103" s="81">
        <f t="shared" si="104"/>
        <v>8.1470404859467022E-2</v>
      </c>
      <c r="T103" s="320"/>
      <c r="U103" s="81">
        <f t="shared" ref="U103:Z103" si="105">IFERROR(U102/U$4,"NM")</f>
        <v>19.132401077734972</v>
      </c>
      <c r="V103" s="81">
        <f t="shared" si="105"/>
        <v>4.9951178482645187</v>
      </c>
      <c r="W103" s="81">
        <f t="shared" si="105"/>
        <v>8.3543905237404203</v>
      </c>
      <c r="X103" s="81">
        <f t="shared" si="105"/>
        <v>2.9726519663253081</v>
      </c>
      <c r="Y103" s="106">
        <v>2.5</v>
      </c>
      <c r="Z103" s="81">
        <f t="shared" si="105"/>
        <v>0.56196158058964873</v>
      </c>
      <c r="AA103" s="316"/>
      <c r="AB103" s="316"/>
      <c r="AC103" s="316"/>
      <c r="AD103" s="316"/>
    </row>
    <row r="104" spans="2:30" ht="11.85" customHeight="1">
      <c r="C104" s="46" t="s">
        <v>66</v>
      </c>
      <c r="F104" s="103"/>
      <c r="G104" s="98">
        <f>G102/F102-1</f>
        <v>5.2681062374817786</v>
      </c>
      <c r="H104" s="81">
        <f>H102/G102-1</f>
        <v>3.1510728250429203</v>
      </c>
      <c r="I104" s="81">
        <f t="shared" ref="I104" si="106">I102/H102-1</f>
        <v>0.44866122264552466</v>
      </c>
      <c r="J104" s="106">
        <v>0.8</v>
      </c>
      <c r="K104" s="106">
        <v>0.9</v>
      </c>
      <c r="L104" s="106">
        <v>0.499</v>
      </c>
      <c r="M104" s="106">
        <v>0.6</v>
      </c>
      <c r="N104" s="106">
        <v>0.55000000000000004</v>
      </c>
      <c r="O104" s="106">
        <f>N104*0.7</f>
        <v>0.38500000000000001</v>
      </c>
      <c r="P104" s="106">
        <f t="shared" ref="P104:S104" si="107">O104*0.7</f>
        <v>0.26949999999999996</v>
      </c>
      <c r="Q104" s="106">
        <f t="shared" si="107"/>
        <v>0.18864999999999996</v>
      </c>
      <c r="R104" s="106">
        <f t="shared" si="107"/>
        <v>0.13205499999999995</v>
      </c>
      <c r="S104" s="106">
        <f t="shared" si="107"/>
        <v>9.2438499999999965E-2</v>
      </c>
      <c r="T104" s="320"/>
      <c r="U104" s="81"/>
      <c r="V104" s="81"/>
      <c r="W104" s="81">
        <f>W102/U102-1</f>
        <v>0.8559467515191157</v>
      </c>
      <c r="X104" s="81">
        <f>X102/V102-1</f>
        <v>0.18676803727532687</v>
      </c>
      <c r="Y104" s="81">
        <f t="shared" ref="Y104:Z104" si="108">Y102/W102-1</f>
        <v>0.74921942657404905</v>
      </c>
      <c r="Z104" s="81">
        <f t="shared" si="108"/>
        <v>0.85106490047181782</v>
      </c>
      <c r="AA104" s="316"/>
      <c r="AB104" s="316"/>
      <c r="AC104" s="316"/>
      <c r="AD104" s="316"/>
    </row>
    <row r="105" spans="2:30" ht="11.85" customHeight="1">
      <c r="F105" s="103"/>
      <c r="G105" s="98"/>
      <c r="H105" s="81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320"/>
      <c r="U105" s="81"/>
      <c r="V105" s="81"/>
      <c r="W105" s="81"/>
      <c r="X105" s="81"/>
      <c r="Y105" s="81"/>
      <c r="Z105" s="81"/>
      <c r="AA105" s="316"/>
      <c r="AB105" s="316"/>
      <c r="AC105" s="316"/>
      <c r="AD105" s="316"/>
    </row>
    <row r="106" spans="2:30" s="72" customFormat="1" ht="11.85" customHeight="1">
      <c r="B106" s="72" t="s">
        <v>77</v>
      </c>
      <c r="F106" s="80"/>
      <c r="G106" s="80"/>
      <c r="H106" s="318"/>
      <c r="I106" s="324"/>
      <c r="J106" s="324"/>
      <c r="K106" s="324"/>
      <c r="L106" s="324"/>
      <c r="M106" s="324"/>
      <c r="N106" s="324"/>
      <c r="O106" s="324"/>
      <c r="P106" s="324"/>
      <c r="Q106" s="324"/>
      <c r="R106" s="324"/>
      <c r="S106" s="324"/>
      <c r="T106" s="325"/>
      <c r="U106" s="326"/>
      <c r="V106" s="326"/>
      <c r="W106" s="326"/>
      <c r="X106" s="326"/>
      <c r="Y106" s="326"/>
      <c r="Z106" s="326"/>
      <c r="AA106" s="327"/>
      <c r="AB106" s="327"/>
      <c r="AC106" s="327"/>
      <c r="AD106" s="327"/>
    </row>
    <row r="107" spans="2:30" s="72" customFormat="1" ht="11.85" customHeight="1">
      <c r="C107" s="46" t="s">
        <v>78</v>
      </c>
      <c r="F107" s="76">
        <v>0.78800000000000003</v>
      </c>
      <c r="G107" s="76">
        <v>7.4980000000000002</v>
      </c>
      <c r="H107" s="313">
        <v>30.931000000000001</v>
      </c>
      <c r="I107" s="313">
        <v>32.795000000000002</v>
      </c>
      <c r="J107" s="319">
        <f t="shared" ref="J107:S107" si="109">SUM(I157,I150)*J112</f>
        <v>26.633125197387631</v>
      </c>
      <c r="K107" s="319">
        <f t="shared" si="109"/>
        <v>26.633125197387631</v>
      </c>
      <c r="L107" s="319">
        <f t="shared" si="109"/>
        <v>26.633125197387631</v>
      </c>
      <c r="M107" s="319">
        <f t="shared" si="109"/>
        <v>26.633125197387631</v>
      </c>
      <c r="N107" s="319">
        <f t="shared" si="109"/>
        <v>26.633125197387631</v>
      </c>
      <c r="O107" s="319">
        <f t="shared" si="109"/>
        <v>26.633125197387631</v>
      </c>
      <c r="P107" s="319">
        <f t="shared" si="109"/>
        <v>26.633125197387631</v>
      </c>
      <c r="Q107" s="319">
        <f t="shared" si="109"/>
        <v>26.633125197387631</v>
      </c>
      <c r="R107" s="319">
        <f t="shared" si="109"/>
        <v>26.633125197387631</v>
      </c>
      <c r="S107" s="319">
        <f t="shared" si="109"/>
        <v>26.633125197387631</v>
      </c>
      <c r="T107" s="325"/>
      <c r="U107" s="313">
        <v>11.84</v>
      </c>
      <c r="V107" s="315">
        <f t="shared" ref="V107:V110" si="110">H107-U107</f>
        <v>19.091000000000001</v>
      </c>
      <c r="W107" s="313">
        <v>17.983000000000001</v>
      </c>
      <c r="X107" s="326"/>
      <c r="Y107" s="326"/>
      <c r="Z107" s="326"/>
      <c r="AA107" s="327"/>
      <c r="AB107" s="327"/>
      <c r="AC107" s="327"/>
      <c r="AD107" s="327"/>
    </row>
    <row r="108" spans="2:30" s="72" customFormat="1" ht="11.85" customHeight="1">
      <c r="C108" s="46" t="s">
        <v>79</v>
      </c>
      <c r="F108" s="76">
        <v>0</v>
      </c>
      <c r="G108" s="76">
        <v>0</v>
      </c>
      <c r="H108" s="313">
        <v>1.716</v>
      </c>
      <c r="I108" s="313">
        <v>4.7409999999999997</v>
      </c>
      <c r="J108" s="319">
        <f t="shared" ref="J108:S108" si="111">I149*J113</f>
        <v>9.07254</v>
      </c>
      <c r="K108" s="319">
        <f t="shared" si="111"/>
        <v>9.07254</v>
      </c>
      <c r="L108" s="319">
        <f t="shared" si="111"/>
        <v>9.07254</v>
      </c>
      <c r="M108" s="319">
        <f t="shared" si="111"/>
        <v>9.07254</v>
      </c>
      <c r="N108" s="319">
        <f t="shared" si="111"/>
        <v>9.07254</v>
      </c>
      <c r="O108" s="319">
        <f t="shared" si="111"/>
        <v>9.07254</v>
      </c>
      <c r="P108" s="319">
        <f t="shared" si="111"/>
        <v>9.07254</v>
      </c>
      <c r="Q108" s="319">
        <f t="shared" si="111"/>
        <v>9.07254</v>
      </c>
      <c r="R108" s="319">
        <f t="shared" si="111"/>
        <v>9.07254</v>
      </c>
      <c r="S108" s="319">
        <f t="shared" si="111"/>
        <v>9.07254</v>
      </c>
      <c r="T108" s="325"/>
      <c r="U108" s="313">
        <v>0</v>
      </c>
      <c r="V108" s="315">
        <f t="shared" si="110"/>
        <v>1.716</v>
      </c>
      <c r="W108" s="313">
        <v>1.8069999999999999</v>
      </c>
      <c r="X108" s="326"/>
      <c r="Y108" s="326"/>
      <c r="Z108" s="326"/>
      <c r="AA108" s="327"/>
      <c r="AB108" s="327"/>
      <c r="AC108" s="327"/>
      <c r="AD108" s="327"/>
    </row>
    <row r="109" spans="2:30" s="72" customFormat="1" ht="11.85" customHeight="1">
      <c r="C109" s="46" t="s">
        <v>80</v>
      </c>
      <c r="F109" s="76">
        <v>4.9059999999999997</v>
      </c>
      <c r="G109" s="76">
        <v>16.488</v>
      </c>
      <c r="H109" s="313">
        <v>20.119</v>
      </c>
      <c r="I109" s="313">
        <v>31.277000000000001</v>
      </c>
      <c r="J109" s="314">
        <v>0</v>
      </c>
      <c r="K109" s="314">
        <v>0</v>
      </c>
      <c r="L109" s="314">
        <v>0</v>
      </c>
      <c r="M109" s="314">
        <v>0</v>
      </c>
      <c r="N109" s="314">
        <v>0</v>
      </c>
      <c r="O109" s="314">
        <v>0</v>
      </c>
      <c r="P109" s="314">
        <v>0</v>
      </c>
      <c r="Q109" s="314">
        <v>0</v>
      </c>
      <c r="R109" s="314">
        <v>0</v>
      </c>
      <c r="S109" s="314">
        <v>0</v>
      </c>
      <c r="T109" s="325"/>
      <c r="U109" s="313">
        <v>5.1849999999999996</v>
      </c>
      <c r="V109" s="315">
        <f t="shared" si="110"/>
        <v>14.934000000000001</v>
      </c>
      <c r="W109" s="313">
        <v>31.975000000000001</v>
      </c>
      <c r="X109" s="326"/>
      <c r="Y109" s="326"/>
      <c r="Z109" s="326"/>
      <c r="AA109" s="327"/>
      <c r="AB109" s="327"/>
      <c r="AC109" s="327"/>
      <c r="AD109" s="327"/>
    </row>
    <row r="110" spans="2:30" s="72" customFormat="1" ht="11.85" customHeight="1">
      <c r="C110" s="46" t="s">
        <v>81</v>
      </c>
      <c r="F110" s="77">
        <f>F111-SUM(F107,F108,F109)</f>
        <v>0</v>
      </c>
      <c r="G110" s="77">
        <f t="shared" ref="G110:I110" si="112">G111-SUM(G107,G108,G109)</f>
        <v>2.3460000000000001</v>
      </c>
      <c r="H110" s="317">
        <f t="shared" si="112"/>
        <v>-14.445</v>
      </c>
      <c r="I110" s="317">
        <f t="shared" si="112"/>
        <v>5.5019999999999953</v>
      </c>
      <c r="J110" s="314">
        <v>0</v>
      </c>
      <c r="K110" s="314">
        <v>0</v>
      </c>
      <c r="L110" s="314">
        <v>0</v>
      </c>
      <c r="M110" s="314">
        <v>0</v>
      </c>
      <c r="N110" s="314">
        <v>0</v>
      </c>
      <c r="O110" s="314">
        <v>0</v>
      </c>
      <c r="P110" s="314">
        <v>0</v>
      </c>
      <c r="Q110" s="314">
        <v>0</v>
      </c>
      <c r="R110" s="314">
        <v>0</v>
      </c>
      <c r="S110" s="314">
        <v>0</v>
      </c>
      <c r="T110" s="325"/>
      <c r="U110" s="317">
        <f t="shared" ref="U110:W110" si="113">U111-SUM(U107,U108,U109)</f>
        <v>-4.8129999999999988</v>
      </c>
      <c r="V110" s="315">
        <f t="shared" si="110"/>
        <v>-9.6320000000000014</v>
      </c>
      <c r="W110" s="317">
        <f t="shared" si="113"/>
        <v>1.5050000000000026</v>
      </c>
      <c r="X110" s="326"/>
      <c r="Y110" s="326"/>
      <c r="Z110" s="326"/>
      <c r="AA110" s="327"/>
      <c r="AB110" s="327"/>
      <c r="AC110" s="327"/>
      <c r="AD110" s="327"/>
    </row>
    <row r="111" spans="2:30" s="72" customFormat="1" ht="11.85" customHeight="1">
      <c r="B111" s="72" t="s">
        <v>64</v>
      </c>
      <c r="F111" s="80">
        <f>-F27</f>
        <v>5.694</v>
      </c>
      <c r="G111" s="80">
        <f>-G27</f>
        <v>26.332000000000001</v>
      </c>
      <c r="H111" s="80">
        <f>-H27</f>
        <v>38.320999999999998</v>
      </c>
      <c r="I111" s="80">
        <f>-I27</f>
        <v>74.314999999999998</v>
      </c>
      <c r="J111" s="73">
        <f t="shared" ref="J111:S111" si="114">SUM(J107:J110)</f>
        <v>35.705665197387631</v>
      </c>
      <c r="K111" s="73">
        <f t="shared" si="114"/>
        <v>35.705665197387631</v>
      </c>
      <c r="L111" s="73">
        <f t="shared" si="114"/>
        <v>35.705665197387631</v>
      </c>
      <c r="M111" s="73">
        <f t="shared" si="114"/>
        <v>35.705665197387631</v>
      </c>
      <c r="N111" s="73">
        <f t="shared" si="114"/>
        <v>35.705665197387631</v>
      </c>
      <c r="O111" s="73">
        <f t="shared" si="114"/>
        <v>35.705665197387631</v>
      </c>
      <c r="P111" s="73">
        <f t="shared" si="114"/>
        <v>35.705665197387631</v>
      </c>
      <c r="Q111" s="73">
        <f t="shared" si="114"/>
        <v>35.705665197387631</v>
      </c>
      <c r="R111" s="73">
        <f t="shared" si="114"/>
        <v>35.705665197387631</v>
      </c>
      <c r="S111" s="73">
        <f t="shared" si="114"/>
        <v>35.705665197387631</v>
      </c>
      <c r="T111" s="74"/>
      <c r="U111" s="80">
        <f>-U27</f>
        <v>12.212</v>
      </c>
      <c r="V111" s="80">
        <f>-V27</f>
        <v>26.108999999999998</v>
      </c>
      <c r="W111" s="80">
        <f>-W27</f>
        <v>53.27</v>
      </c>
      <c r="X111" s="80">
        <f>-X27</f>
        <v>21.044999999999995</v>
      </c>
      <c r="Y111" s="75">
        <f>J111/2</f>
        <v>17.852832598693816</v>
      </c>
      <c r="Z111" s="75">
        <f>J111-Y111</f>
        <v>17.852832598693816</v>
      </c>
    </row>
    <row r="112" spans="2:30" s="72" customFormat="1" ht="11.85" customHeight="1">
      <c r="B112" s="46" t="s">
        <v>82</v>
      </c>
      <c r="F112" s="80"/>
      <c r="G112" s="98">
        <f>G107/(F150+F157)</f>
        <v>0.58432044887780543</v>
      </c>
      <c r="H112" s="98">
        <f>H107/(G150+G157)</f>
        <v>0.11418625083984908</v>
      </c>
      <c r="I112" s="98">
        <f>I107/(H150+H157)</f>
        <v>4.8855300714468738E-2</v>
      </c>
      <c r="J112" s="90">
        <f>I112</f>
        <v>4.8855300714468738E-2</v>
      </c>
      <c r="K112" s="90">
        <f t="shared" ref="K112:S112" si="115">J112</f>
        <v>4.8855300714468738E-2</v>
      </c>
      <c r="L112" s="90">
        <f t="shared" si="115"/>
        <v>4.8855300714468738E-2</v>
      </c>
      <c r="M112" s="90">
        <f t="shared" si="115"/>
        <v>4.8855300714468738E-2</v>
      </c>
      <c r="N112" s="90">
        <f t="shared" si="115"/>
        <v>4.8855300714468738E-2</v>
      </c>
      <c r="O112" s="90">
        <f t="shared" si="115"/>
        <v>4.8855300714468738E-2</v>
      </c>
      <c r="P112" s="90">
        <f t="shared" si="115"/>
        <v>4.8855300714468738E-2</v>
      </c>
      <c r="Q112" s="90">
        <f t="shared" si="115"/>
        <v>4.8855300714468738E-2</v>
      </c>
      <c r="R112" s="90">
        <f t="shared" si="115"/>
        <v>4.8855300714468738E-2</v>
      </c>
      <c r="S112" s="90">
        <f t="shared" si="115"/>
        <v>4.8855300714468738E-2</v>
      </c>
      <c r="T112" s="74"/>
      <c r="U112" s="80"/>
      <c r="V112" s="80"/>
      <c r="W112" s="80"/>
      <c r="X112" s="75"/>
      <c r="Y112" s="75"/>
      <c r="Z112" s="75"/>
    </row>
    <row r="113" spans="1:26" s="72" customFormat="1" ht="11.85" customHeight="1">
      <c r="B113" s="46" t="s">
        <v>83</v>
      </c>
      <c r="F113" s="80"/>
      <c r="G113" s="77"/>
      <c r="H113" s="80"/>
      <c r="I113" s="98">
        <f>I108/(H149+H156)</f>
        <v>3.4543811841510862E-2</v>
      </c>
      <c r="J113" s="90">
        <v>1.4999999999999999E-2</v>
      </c>
      <c r="K113" s="90">
        <v>1.4999999999999999E-2</v>
      </c>
      <c r="L113" s="90">
        <v>1.4999999999999999E-2</v>
      </c>
      <c r="M113" s="90">
        <v>1.4999999999999999E-2</v>
      </c>
      <c r="N113" s="90">
        <v>1.4999999999999999E-2</v>
      </c>
      <c r="O113" s="90">
        <v>1.4999999999999999E-2</v>
      </c>
      <c r="P113" s="90">
        <v>1.4999999999999999E-2</v>
      </c>
      <c r="Q113" s="90">
        <v>1.4999999999999999E-2</v>
      </c>
      <c r="R113" s="90">
        <v>1.4999999999999999E-2</v>
      </c>
      <c r="S113" s="90">
        <v>1.4999999999999999E-2</v>
      </c>
      <c r="T113" s="74"/>
      <c r="U113" s="80"/>
      <c r="V113" s="80"/>
      <c r="W113" s="80"/>
      <c r="X113" s="75"/>
      <c r="Y113" s="75"/>
      <c r="Z113" s="75"/>
    </row>
    <row r="114" spans="1:26" ht="11.85" customHeight="1">
      <c r="F114" s="103"/>
      <c r="G114" s="103"/>
      <c r="H114" s="103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4"/>
      <c r="U114" s="69"/>
      <c r="V114" s="69"/>
      <c r="W114" s="69"/>
      <c r="X114" s="69"/>
      <c r="Y114" s="69"/>
      <c r="Z114" s="69"/>
    </row>
    <row r="115" spans="1:26" s="66" customFormat="1" ht="11.85" customHeight="1">
      <c r="B115" s="72" t="s">
        <v>84</v>
      </c>
      <c r="C115" s="107"/>
      <c r="F115" s="103">
        <f>+F33</f>
        <v>0</v>
      </c>
      <c r="G115" s="103">
        <f>+G33</f>
        <v>0</v>
      </c>
      <c r="H115" s="103">
        <f>+H33</f>
        <v>0</v>
      </c>
      <c r="I115" s="103">
        <f>+I33</f>
        <v>0</v>
      </c>
      <c r="J115" s="108">
        <f>IF(J32&gt;0,J32*J116,0)</f>
        <v>0</v>
      </c>
      <c r="K115" s="108">
        <f>IF(K32&gt;0,K32*K116,0)</f>
        <v>0</v>
      </c>
      <c r="L115" s="108">
        <f>IF(L32&gt;0,L32*L116,0)</f>
        <v>0</v>
      </c>
      <c r="M115" s="109">
        <f>IF(M32&gt;0,M32*M116,0)</f>
        <v>1097.7120125273791</v>
      </c>
      <c r="N115" s="109">
        <f>IF(N32&gt;0,N32*N116,0)</f>
        <v>4208.7587400953271</v>
      </c>
      <c r="O115" s="109">
        <f>IF(O32&gt;0,O32*O116,0)</f>
        <v>10297.013794789644</v>
      </c>
      <c r="P115" s="109">
        <f>IF(P32&gt;0,P32*P116,0)</f>
        <v>19161.120298181169</v>
      </c>
      <c r="Q115" s="109">
        <f>IF(Q32&gt;0,Q32*Q116,0)</f>
        <v>31293.510814378773</v>
      </c>
      <c r="R115" s="109">
        <f>IF(R32&gt;0,R32*R116,0)</f>
        <v>46416.107284502941</v>
      </c>
      <c r="S115" s="109">
        <f>IF(S32&gt;0,S32*S116,0)</f>
        <v>63980.225682154305</v>
      </c>
      <c r="T115" s="110"/>
      <c r="U115" s="69"/>
      <c r="V115" s="69"/>
      <c r="W115" s="69"/>
      <c r="X115" s="69"/>
      <c r="Y115" s="69"/>
      <c r="Z115" s="69"/>
    </row>
    <row r="116" spans="1:26" s="66" customFormat="1" ht="11.85" customHeight="1">
      <c r="C116" s="92" t="s">
        <v>85</v>
      </c>
      <c r="F116" s="98">
        <f>F115/F32</f>
        <v>0</v>
      </c>
      <c r="G116" s="98">
        <f>G115/G32</f>
        <v>0</v>
      </c>
      <c r="H116" s="98">
        <f>H115/H32</f>
        <v>0</v>
      </c>
      <c r="I116" s="98">
        <f>I115/I32</f>
        <v>0</v>
      </c>
      <c r="J116" s="90">
        <f>IF(J32&gt;0,18%,0)</f>
        <v>0</v>
      </c>
      <c r="K116" s="90">
        <f>IF(K32&gt;0,18%,0)</f>
        <v>0</v>
      </c>
      <c r="L116" s="90">
        <f>IF(L32&gt;0,18%,0)</f>
        <v>0</v>
      </c>
      <c r="M116" s="90">
        <f>IF(M32&gt;0,18%,0)</f>
        <v>0.18</v>
      </c>
      <c r="N116" s="90">
        <f>IF(N32&gt;0,18%,0)</f>
        <v>0.18</v>
      </c>
      <c r="O116" s="90">
        <f>IF(O32&gt;0,18%,0)</f>
        <v>0.18</v>
      </c>
      <c r="P116" s="90">
        <f>IF(P32&gt;0,18%,0)</f>
        <v>0.18</v>
      </c>
      <c r="Q116" s="90">
        <f>IF(Q32&gt;0,18%,0)</f>
        <v>0.18</v>
      </c>
      <c r="R116" s="90">
        <f>IF(R32&gt;0,18%,0)</f>
        <v>0.18</v>
      </c>
      <c r="S116" s="90">
        <f>IF(S32&gt;0,18%,0)</f>
        <v>0.18</v>
      </c>
      <c r="T116" s="110"/>
      <c r="U116" s="98"/>
      <c r="V116" s="98"/>
      <c r="W116" s="98"/>
      <c r="X116" s="98"/>
      <c r="Y116" s="98"/>
      <c r="Z116" s="98"/>
    </row>
    <row r="117" spans="1:26" s="66" customFormat="1" ht="11.85" customHeight="1">
      <c r="C117" s="92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0"/>
      <c r="U117" s="112"/>
      <c r="V117" s="112"/>
      <c r="W117" s="112"/>
      <c r="X117" s="112"/>
      <c r="Y117" s="112"/>
      <c r="Z117" s="112"/>
    </row>
    <row r="118" spans="1:26" s="66" customFormat="1" ht="11.85" customHeight="1">
      <c r="B118" s="46" t="s">
        <v>86</v>
      </c>
      <c r="C118" s="92"/>
      <c r="F118" s="67">
        <f>F46</f>
        <v>1.024</v>
      </c>
      <c r="G118" s="67">
        <f>G46</f>
        <v>5.5019999999999998</v>
      </c>
      <c r="H118" s="67">
        <f>H46</f>
        <v>23.579000000000001</v>
      </c>
      <c r="I118" s="67">
        <f>I46</f>
        <v>558.26499999999999</v>
      </c>
      <c r="J118" s="67">
        <f>I118*(1+J120)</f>
        <v>669.91800000000001</v>
      </c>
      <c r="K118" s="67">
        <f t="shared" ref="K118:S118" si="116">J118*(1+K120)</f>
        <v>803.90160000000003</v>
      </c>
      <c r="L118" s="67">
        <f t="shared" si="116"/>
        <v>964.68191999999999</v>
      </c>
      <c r="M118" s="67">
        <f t="shared" si="116"/>
        <v>1061.150112</v>
      </c>
      <c r="N118" s="67">
        <f t="shared" si="116"/>
        <v>1167.2651232000001</v>
      </c>
      <c r="O118" s="67">
        <f t="shared" si="116"/>
        <v>1283.9916355200003</v>
      </c>
      <c r="P118" s="67">
        <f t="shared" si="116"/>
        <v>1412.3907990720004</v>
      </c>
      <c r="Q118" s="67">
        <f t="shared" si="116"/>
        <v>1553.6298789792006</v>
      </c>
      <c r="R118" s="67">
        <f t="shared" si="116"/>
        <v>1708.9928668771208</v>
      </c>
      <c r="S118" s="67">
        <f t="shared" si="116"/>
        <v>1879.8921535648331</v>
      </c>
      <c r="T118" s="110"/>
      <c r="U118" s="112"/>
      <c r="V118" s="112"/>
      <c r="W118" s="112"/>
      <c r="X118" s="112"/>
      <c r="Y118" s="112"/>
      <c r="Z118" s="112"/>
    </row>
    <row r="119" spans="1:26" s="66" customFormat="1" ht="11.85" customHeight="1">
      <c r="B119" s="46" t="s">
        <v>87</v>
      </c>
      <c r="C119" s="92"/>
      <c r="F119" s="68">
        <f>F118/F4</f>
        <v>1.7836924524029334E-2</v>
      </c>
      <c r="G119" s="68">
        <f>G118/G4</f>
        <v>4.4179286643434124E-2</v>
      </c>
      <c r="H119" s="68">
        <f>H118/H4</f>
        <v>7.5473570326553871E-2</v>
      </c>
      <c r="I119" s="68">
        <f>I118/I4</f>
        <v>0.77072869698233126</v>
      </c>
      <c r="J119" s="68">
        <f>J118/J4</f>
        <v>0.10567817475327176</v>
      </c>
      <c r="K119" s="68">
        <f>K118/K4</f>
        <v>3.3884542378812402E-2</v>
      </c>
      <c r="L119" s="68">
        <f>L118/L4</f>
        <v>1.640354131433143E-2</v>
      </c>
      <c r="M119" s="113">
        <f t="shared" ref="M119:S119" si="117">L119</f>
        <v>1.640354131433143E-2</v>
      </c>
      <c r="N119" s="113">
        <f t="shared" si="117"/>
        <v>1.640354131433143E-2</v>
      </c>
      <c r="O119" s="113">
        <f t="shared" si="117"/>
        <v>1.640354131433143E-2</v>
      </c>
      <c r="P119" s="113">
        <f t="shared" si="117"/>
        <v>1.640354131433143E-2</v>
      </c>
      <c r="Q119" s="113">
        <f t="shared" si="117"/>
        <v>1.640354131433143E-2</v>
      </c>
      <c r="R119" s="113">
        <f t="shared" si="117"/>
        <v>1.640354131433143E-2</v>
      </c>
      <c r="S119" s="113">
        <f t="shared" si="117"/>
        <v>1.640354131433143E-2</v>
      </c>
      <c r="T119" s="110"/>
      <c r="U119" s="112"/>
      <c r="V119" s="112"/>
      <c r="W119" s="112"/>
      <c r="X119" s="112"/>
      <c r="Y119" s="112"/>
      <c r="Z119" s="112"/>
    </row>
    <row r="120" spans="1:26" s="66" customFormat="1" ht="11.85" customHeight="1">
      <c r="B120" s="46" t="s">
        <v>26</v>
      </c>
      <c r="C120" s="92"/>
      <c r="F120" s="68"/>
      <c r="G120" s="68">
        <f>G118/F118-1</f>
        <v>4.373046875</v>
      </c>
      <c r="H120" s="68">
        <f t="shared" ref="H120:I120" si="118">H118/G118-1</f>
        <v>3.2855325336241368</v>
      </c>
      <c r="I120" s="68">
        <f t="shared" si="118"/>
        <v>22.676364561686245</v>
      </c>
      <c r="J120" s="90">
        <v>0.2</v>
      </c>
      <c r="K120" s="90">
        <v>0.2</v>
      </c>
      <c r="L120" s="90">
        <v>0.2</v>
      </c>
      <c r="M120" s="90">
        <v>0.1</v>
      </c>
      <c r="N120" s="90">
        <v>0.1</v>
      </c>
      <c r="O120" s="90">
        <v>0.1</v>
      </c>
      <c r="P120" s="90">
        <v>0.1</v>
      </c>
      <c r="Q120" s="90">
        <v>0.1</v>
      </c>
      <c r="R120" s="90">
        <v>0.1</v>
      </c>
      <c r="S120" s="90">
        <v>0.1</v>
      </c>
      <c r="T120" s="110"/>
      <c r="U120" s="112"/>
      <c r="V120" s="112"/>
      <c r="W120" s="112"/>
      <c r="X120" s="112"/>
      <c r="Y120" s="112"/>
      <c r="Z120" s="112"/>
    </row>
    <row r="121" spans="1:26" s="66" customFormat="1" ht="11.85" customHeight="1">
      <c r="C121" s="92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0"/>
      <c r="U121" s="112"/>
      <c r="V121" s="112"/>
      <c r="W121" s="112"/>
      <c r="X121" s="112"/>
      <c r="Y121" s="112"/>
      <c r="Z121" s="112"/>
    </row>
    <row r="122" spans="1:26" s="66" customFormat="1" ht="11.85" customHeight="1">
      <c r="B122" s="114" t="s">
        <v>88</v>
      </c>
      <c r="C122" s="114"/>
      <c r="F122" s="77">
        <f>F35</f>
        <v>-143.65000000000003</v>
      </c>
      <c r="G122" s="77">
        <f>G35</f>
        <v>-787.97699999999998</v>
      </c>
      <c r="H122" s="77">
        <f>H35</f>
        <v>-2958.0069999999996</v>
      </c>
      <c r="I122" s="77">
        <f>I35</f>
        <v>-4718.1670000000004</v>
      </c>
      <c r="J122" s="77">
        <f>J35</f>
        <v>-5080.9476877973884</v>
      </c>
      <c r="K122" s="77">
        <f>K35</f>
        <v>-5709.0316322370627</v>
      </c>
      <c r="L122" s="77">
        <f>L35</f>
        <v>-2304.4506231339587</v>
      </c>
      <c r="M122" s="77">
        <f>M35</f>
        <v>5000.6880570691719</v>
      </c>
      <c r="N122" s="77">
        <f>N35</f>
        <v>19173.234260434267</v>
      </c>
      <c r="O122" s="77">
        <f>O35</f>
        <v>46908.618398486156</v>
      </c>
      <c r="P122" s="77">
        <f>P35</f>
        <v>87289.548025047552</v>
      </c>
      <c r="Q122" s="77">
        <f>Q35</f>
        <v>142559.32704328108</v>
      </c>
      <c r="R122" s="77">
        <f>R35</f>
        <v>211451.15540718008</v>
      </c>
      <c r="S122" s="77">
        <f>S35</f>
        <v>291465.47255203628</v>
      </c>
      <c r="T122" s="110"/>
      <c r="U122" s="112"/>
      <c r="V122" s="112"/>
      <c r="W122" s="112"/>
      <c r="X122" s="112"/>
      <c r="Y122" s="112"/>
      <c r="Z122" s="112"/>
    </row>
    <row r="123" spans="1:26" ht="11.85" customHeight="1">
      <c r="B123" s="115" t="s">
        <v>89</v>
      </c>
      <c r="C123" s="115"/>
      <c r="F123" s="77">
        <f>SUM($F$122:F122)</f>
        <v>-143.65000000000003</v>
      </c>
      <c r="G123" s="77">
        <f>SUM($F$122:G122)</f>
        <v>-931.62699999999995</v>
      </c>
      <c r="H123" s="77">
        <f>SUM($F$122:H122)</f>
        <v>-3889.6339999999996</v>
      </c>
      <c r="I123" s="77">
        <f>SUM($F$122:I122)</f>
        <v>-8607.8009999999995</v>
      </c>
      <c r="J123" s="77">
        <f>SUM($F$122:J122)</f>
        <v>-13688.748687797388</v>
      </c>
      <c r="K123" s="77">
        <f>SUM($F$122:K122)</f>
        <v>-19397.78032003445</v>
      </c>
      <c r="L123" s="77">
        <f>SUM($F$122:L122)</f>
        <v>-21702.230943168408</v>
      </c>
      <c r="M123" s="77">
        <f>SUM($F$122:M122)</f>
        <v>-16701.542886099236</v>
      </c>
      <c r="N123" s="77">
        <f>SUM($F$122:N122)</f>
        <v>2471.6913743350306</v>
      </c>
      <c r="O123" s="77">
        <f>SUM($F$122:O122)</f>
        <v>49380.309772821187</v>
      </c>
      <c r="P123" s="77">
        <f>SUM($F$122:P122)</f>
        <v>136669.85779786872</v>
      </c>
      <c r="Q123" s="77">
        <f>SUM($F$122:Q122)</f>
        <v>279229.18484114984</v>
      </c>
      <c r="R123" s="77">
        <f>SUM($F$122:R122)</f>
        <v>490680.34024832991</v>
      </c>
      <c r="S123" s="77">
        <f>SUM($F$122:S122)</f>
        <v>782145.8128003662</v>
      </c>
      <c r="T123" s="64"/>
      <c r="U123" s="69"/>
      <c r="V123" s="69"/>
      <c r="W123" s="69"/>
      <c r="X123" s="69"/>
      <c r="Y123" s="69"/>
      <c r="Z123" s="69"/>
    </row>
    <row r="124" spans="1:26" ht="11.85" customHeight="1"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4"/>
      <c r="U124" s="69"/>
      <c r="V124" s="69"/>
      <c r="W124" s="69"/>
      <c r="X124" s="69"/>
      <c r="Y124" s="69"/>
      <c r="Z124" s="69"/>
    </row>
    <row r="125" spans="1:26" ht="11.85" customHeight="1">
      <c r="A125" s="52" t="s">
        <v>90</v>
      </c>
      <c r="B125" s="52"/>
      <c r="C125" s="52"/>
      <c r="D125" s="52"/>
      <c r="E125" s="52"/>
      <c r="F125" s="53">
        <f>F3</f>
        <v>2022</v>
      </c>
      <c r="G125" s="53">
        <f>G3</f>
        <v>2023</v>
      </c>
      <c r="H125" s="53">
        <f>H3</f>
        <v>2024</v>
      </c>
      <c r="I125" s="53">
        <f>I3</f>
        <v>2025</v>
      </c>
      <c r="J125" s="54">
        <f>J3</f>
        <v>2026</v>
      </c>
      <c r="K125" s="54">
        <f>K3</f>
        <v>2027</v>
      </c>
      <c r="L125" s="54">
        <f>L3</f>
        <v>2028</v>
      </c>
      <c r="M125" s="54">
        <f>M3</f>
        <v>2029</v>
      </c>
      <c r="N125" s="54">
        <f>N3</f>
        <v>2030</v>
      </c>
      <c r="O125" s="54">
        <f>O3</f>
        <v>2031</v>
      </c>
      <c r="P125" s="54">
        <f>P3</f>
        <v>2032</v>
      </c>
      <c r="Q125" s="54">
        <f>Q3</f>
        <v>2033</v>
      </c>
      <c r="R125" s="54">
        <f>R3</f>
        <v>2034</v>
      </c>
      <c r="S125" s="54">
        <f>S3</f>
        <v>2035</v>
      </c>
      <c r="T125" s="48"/>
      <c r="U125" s="53" t="s">
        <v>19</v>
      </c>
      <c r="V125" s="53" t="s">
        <v>20</v>
      </c>
      <c r="W125" s="53" t="s">
        <v>21</v>
      </c>
      <c r="X125" s="53" t="s">
        <v>22</v>
      </c>
      <c r="Y125" s="53" t="s">
        <v>91</v>
      </c>
      <c r="Z125" s="53" t="s">
        <v>92</v>
      </c>
    </row>
    <row r="126" spans="1:26" ht="11.85" customHeight="1">
      <c r="B126" s="116" t="s">
        <v>93</v>
      </c>
      <c r="C126" s="116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4"/>
      <c r="U126" s="69"/>
      <c r="V126" s="69"/>
      <c r="W126" s="69"/>
      <c r="X126" s="69"/>
      <c r="Y126" s="69"/>
      <c r="Z126" s="69"/>
    </row>
    <row r="127" spans="1:26" ht="11.85" customHeight="1">
      <c r="B127" s="114"/>
      <c r="C127" s="114" t="s">
        <v>94</v>
      </c>
      <c r="F127" s="76">
        <v>219.03100000000001</v>
      </c>
      <c r="G127" s="76">
        <v>1249.3910000000001</v>
      </c>
      <c r="H127" s="76">
        <v>2269.2220000000002</v>
      </c>
      <c r="I127" s="76">
        <v>2259.1469999999999</v>
      </c>
      <c r="J127" s="67">
        <f>I127+J294</f>
        <v>30808.732738594521</v>
      </c>
      <c r="K127" s="67">
        <f>J127+K294</f>
        <v>28350.719751575663</v>
      </c>
      <c r="L127" s="67">
        <f>K127+L294</f>
        <v>29505.401204676917</v>
      </c>
      <c r="M127" s="67">
        <f>L127+M294</f>
        <v>39898.33487093298</v>
      </c>
      <c r="N127" s="67">
        <f>M127+N294</f>
        <v>65171.076588569333</v>
      </c>
      <c r="O127" s="67">
        <f>N127+O294</f>
        <v>119445.47525710947</v>
      </c>
      <c r="P127" s="67">
        <f>O127+P294</f>
        <v>210134.20549484511</v>
      </c>
      <c r="Q127" s="67">
        <f>P127+Q294</f>
        <v>354065.42566342111</v>
      </c>
      <c r="R127" s="67">
        <f>Q127+R294</f>
        <v>558706.34540790808</v>
      </c>
      <c r="S127" s="67">
        <f>R127+S294</f>
        <v>838871.91818283952</v>
      </c>
      <c r="T127" s="64"/>
      <c r="U127" s="69"/>
      <c r="V127" s="69"/>
      <c r="W127" s="64">
        <v>2556.116</v>
      </c>
      <c r="X127" s="76">
        <v>2259.1469999999999</v>
      </c>
      <c r="Y127" s="76"/>
      <c r="Z127" s="76"/>
    </row>
    <row r="128" spans="1:26" ht="11.85" customHeight="1">
      <c r="B128" s="114"/>
      <c r="C128" s="114" t="s">
        <v>95</v>
      </c>
      <c r="F128" s="76">
        <v>10.092000000000001</v>
      </c>
      <c r="G128" s="76">
        <v>0</v>
      </c>
      <c r="H128" s="76">
        <v>0</v>
      </c>
      <c r="I128" s="76">
        <v>108.593</v>
      </c>
      <c r="J128" s="67">
        <f t="shared" ref="J128:S129" si="119">I128</f>
        <v>108.593</v>
      </c>
      <c r="K128" s="67">
        <f t="shared" si="119"/>
        <v>108.593</v>
      </c>
      <c r="L128" s="67">
        <f t="shared" si="119"/>
        <v>108.593</v>
      </c>
      <c r="M128" s="78">
        <f t="shared" si="119"/>
        <v>108.593</v>
      </c>
      <c r="N128" s="78">
        <f t="shared" si="119"/>
        <v>108.593</v>
      </c>
      <c r="O128" s="78">
        <f t="shared" si="119"/>
        <v>108.593</v>
      </c>
      <c r="P128" s="78">
        <f t="shared" si="119"/>
        <v>108.593</v>
      </c>
      <c r="Q128" s="78">
        <f t="shared" si="119"/>
        <v>108.593</v>
      </c>
      <c r="R128" s="78">
        <f t="shared" si="119"/>
        <v>108.593</v>
      </c>
      <c r="S128" s="78">
        <f t="shared" si="119"/>
        <v>108.593</v>
      </c>
      <c r="T128" s="64"/>
      <c r="U128" s="69"/>
      <c r="V128" s="69"/>
      <c r="W128" s="64">
        <v>106.968</v>
      </c>
      <c r="X128" s="76">
        <v>108.593</v>
      </c>
      <c r="Y128" s="76"/>
      <c r="Z128" s="76"/>
    </row>
    <row r="129" spans="2:26" ht="11.85" customHeight="1">
      <c r="B129" s="114"/>
      <c r="C129" s="114" t="s">
        <v>96</v>
      </c>
      <c r="F129" s="76">
        <v>0.40300000000000002</v>
      </c>
      <c r="G129" s="76">
        <v>9.9600000000000009</v>
      </c>
      <c r="H129" s="76">
        <v>4.718</v>
      </c>
      <c r="I129" s="76">
        <v>1.625</v>
      </c>
      <c r="J129" s="67">
        <f t="shared" si="119"/>
        <v>1.625</v>
      </c>
      <c r="K129" s="67">
        <f t="shared" si="119"/>
        <v>1.625</v>
      </c>
      <c r="L129" s="67">
        <f t="shared" si="119"/>
        <v>1.625</v>
      </c>
      <c r="M129" s="67">
        <f t="shared" si="119"/>
        <v>1.625</v>
      </c>
      <c r="N129" s="67">
        <f t="shared" si="119"/>
        <v>1.625</v>
      </c>
      <c r="O129" s="67">
        <f t="shared" si="119"/>
        <v>1.625</v>
      </c>
      <c r="P129" s="67">
        <f t="shared" si="119"/>
        <v>1.625</v>
      </c>
      <c r="Q129" s="67">
        <f t="shared" si="119"/>
        <v>1.625</v>
      </c>
      <c r="R129" s="67">
        <f t="shared" si="119"/>
        <v>1.625</v>
      </c>
      <c r="S129" s="67">
        <f t="shared" si="119"/>
        <v>1.625</v>
      </c>
      <c r="T129" s="64"/>
      <c r="U129" s="69"/>
      <c r="V129" s="69"/>
      <c r="W129" s="64">
        <v>6.6539999999999999</v>
      </c>
      <c r="X129" s="76">
        <v>1.625</v>
      </c>
      <c r="Y129" s="76"/>
      <c r="Z129" s="76"/>
    </row>
    <row r="130" spans="2:26" ht="11.85" customHeight="1">
      <c r="B130" s="114"/>
      <c r="C130" s="114" t="s">
        <v>97</v>
      </c>
      <c r="F130" s="76">
        <v>27.885999999999999</v>
      </c>
      <c r="G130" s="76">
        <v>416.44099999999997</v>
      </c>
      <c r="H130" s="76">
        <v>666.84100000000001</v>
      </c>
      <c r="I130" s="76">
        <v>698.94200000000001</v>
      </c>
      <c r="J130" s="67">
        <f t="shared" ref="J130:S130" si="120">J172</f>
        <v>2079.8974871232872</v>
      </c>
      <c r="K130" s="67">
        <f t="shared" si="120"/>
        <v>5720.013560328769</v>
      </c>
      <c r="L130" s="67">
        <f t="shared" si="120"/>
        <v>7169.711231351228</v>
      </c>
      <c r="M130" s="67">
        <f t="shared" si="120"/>
        <v>19263.955340687346</v>
      </c>
      <c r="N130" s="67">
        <f t="shared" si="120"/>
        <v>34882.89689395707</v>
      </c>
      <c r="O130" s="67">
        <f t="shared" si="120"/>
        <v>53263.723396208276</v>
      </c>
      <c r="P130" s="67">
        <f t="shared" si="120"/>
        <v>78417.013143190008</v>
      </c>
      <c r="Q130" s="67">
        <f t="shared" si="120"/>
        <v>104615.7131363324</v>
      </c>
      <c r="R130" s="67">
        <f t="shared" si="120"/>
        <v>135029.02646958921</v>
      </c>
      <c r="S130" s="67">
        <f t="shared" si="120"/>
        <v>163711.55420363211</v>
      </c>
      <c r="T130" s="64"/>
      <c r="U130" s="69"/>
      <c r="V130" s="69"/>
      <c r="W130" s="64">
        <v>453.387</v>
      </c>
      <c r="X130" s="76">
        <v>698.94200000000001</v>
      </c>
      <c r="Y130" s="76"/>
      <c r="Z130" s="76"/>
    </row>
    <row r="131" spans="2:26" ht="11.85" customHeight="1">
      <c r="B131" s="114"/>
      <c r="C131" s="114" t="s">
        <v>98</v>
      </c>
      <c r="F131" s="76">
        <v>10.342000000000001</v>
      </c>
      <c r="G131" s="76">
        <v>28.782</v>
      </c>
      <c r="H131" s="76">
        <v>32.465000000000003</v>
      </c>
      <c r="I131" s="76">
        <v>125.81699999999999</v>
      </c>
      <c r="J131" s="77">
        <f t="shared" ref="J131:S131" si="121">J175</f>
        <v>496.18923425753417</v>
      </c>
      <c r="K131" s="77">
        <f t="shared" si="121"/>
        <v>1418.9915254832874</v>
      </c>
      <c r="L131" s="77">
        <f t="shared" si="121"/>
        <v>3139.2829740302327</v>
      </c>
      <c r="M131" s="77">
        <f t="shared" si="121"/>
        <v>6296.6963776939056</v>
      </c>
      <c r="N131" s="77">
        <f t="shared" si="121"/>
        <v>11180.183705952957</v>
      </c>
      <c r="O131" s="77">
        <f t="shared" si="121"/>
        <v>17910.597760620494</v>
      </c>
      <c r="P131" s="77">
        <f t="shared" si="121"/>
        <v>26697.545782437795</v>
      </c>
      <c r="Q131" s="77">
        <f t="shared" si="121"/>
        <v>37010.298927628974</v>
      </c>
      <c r="R131" s="77">
        <f t="shared" si="121"/>
        <v>48314.932448352374</v>
      </c>
      <c r="S131" s="77">
        <f t="shared" si="121"/>
        <v>60040.000324475594</v>
      </c>
      <c r="T131" s="64"/>
      <c r="U131" s="69"/>
      <c r="V131" s="69"/>
      <c r="W131" s="64">
        <v>67.866</v>
      </c>
      <c r="X131" s="76">
        <v>125.81699999999999</v>
      </c>
      <c r="Y131" s="76"/>
      <c r="Z131" s="76"/>
    </row>
    <row r="132" spans="2:26" ht="11.85" customHeight="1">
      <c r="B132" s="114"/>
      <c r="C132" s="46" t="s">
        <v>99</v>
      </c>
      <c r="F132" s="76">
        <v>31.777000000000001</v>
      </c>
      <c r="G132" s="76">
        <v>158.904</v>
      </c>
      <c r="H132" s="76">
        <v>42.621000000000002</v>
      </c>
      <c r="I132" s="76">
        <v>377.28699999999998</v>
      </c>
      <c r="J132" s="67">
        <f t="shared" ref="J132:S132" si="122">I132</f>
        <v>377.28699999999998</v>
      </c>
      <c r="K132" s="67">
        <f t="shared" si="122"/>
        <v>377.28699999999998</v>
      </c>
      <c r="L132" s="67">
        <f t="shared" si="122"/>
        <v>377.28699999999998</v>
      </c>
      <c r="M132" s="67">
        <f t="shared" si="122"/>
        <v>377.28699999999998</v>
      </c>
      <c r="N132" s="67">
        <f t="shared" si="122"/>
        <v>377.28699999999998</v>
      </c>
      <c r="O132" s="67">
        <f t="shared" si="122"/>
        <v>377.28699999999998</v>
      </c>
      <c r="P132" s="67">
        <f t="shared" si="122"/>
        <v>377.28699999999998</v>
      </c>
      <c r="Q132" s="67">
        <f t="shared" si="122"/>
        <v>377.28699999999998</v>
      </c>
      <c r="R132" s="67">
        <f t="shared" si="122"/>
        <v>377.28699999999998</v>
      </c>
      <c r="S132" s="67">
        <f t="shared" si="122"/>
        <v>377.28699999999998</v>
      </c>
      <c r="T132" s="64"/>
      <c r="U132" s="69"/>
      <c r="V132" s="69"/>
      <c r="W132" s="64">
        <v>549.36400000000003</v>
      </c>
      <c r="X132" s="76">
        <v>377.28699999999998</v>
      </c>
      <c r="Y132" s="76"/>
      <c r="Z132" s="76"/>
    </row>
    <row r="133" spans="2:26" s="72" customFormat="1" ht="11.85" customHeight="1">
      <c r="B133" s="116" t="s">
        <v>100</v>
      </c>
      <c r="C133" s="116"/>
      <c r="F133" s="73">
        <f t="shared" ref="F133:S133" si="123">SUM(F127:F132)</f>
        <v>299.53100000000001</v>
      </c>
      <c r="G133" s="73">
        <f t="shared" si="123"/>
        <v>1863.4780000000001</v>
      </c>
      <c r="H133" s="73">
        <f t="shared" si="123"/>
        <v>3015.8670000000002</v>
      </c>
      <c r="I133" s="73">
        <f t="shared" si="123"/>
        <v>3571.4109999999996</v>
      </c>
      <c r="J133" s="73">
        <f t="shared" si="123"/>
        <v>33872.324459975345</v>
      </c>
      <c r="K133" s="73">
        <f t="shared" si="123"/>
        <v>35977.22983738772</v>
      </c>
      <c r="L133" s="73">
        <f t="shared" si="123"/>
        <v>40301.900410058377</v>
      </c>
      <c r="M133" s="73">
        <f t="shared" si="123"/>
        <v>65946.491589314232</v>
      </c>
      <c r="N133" s="73">
        <f t="shared" si="123"/>
        <v>111721.66218847934</v>
      </c>
      <c r="O133" s="73">
        <f t="shared" si="123"/>
        <v>191107.30141393826</v>
      </c>
      <c r="P133" s="73">
        <f t="shared" si="123"/>
        <v>315736.26942047291</v>
      </c>
      <c r="Q133" s="73">
        <f t="shared" si="123"/>
        <v>496178.94272738247</v>
      </c>
      <c r="R133" s="73">
        <f t="shared" si="123"/>
        <v>742537.80932584964</v>
      </c>
      <c r="S133" s="73">
        <f t="shared" si="123"/>
        <v>1063110.9777109472</v>
      </c>
      <c r="T133" s="74"/>
      <c r="U133" s="75"/>
      <c r="V133" s="75"/>
      <c r="W133" s="73">
        <f>SUM(W127:W132)</f>
        <v>3740.355</v>
      </c>
      <c r="X133" s="73">
        <f>SUM(X127:X132)</f>
        <v>3571.4109999999996</v>
      </c>
      <c r="Y133" s="73"/>
      <c r="Z133" s="73"/>
    </row>
    <row r="134" spans="2:26" ht="11.85" customHeight="1">
      <c r="B134" s="116"/>
      <c r="C134" s="116"/>
      <c r="F134" s="67"/>
      <c r="G134" s="67"/>
      <c r="H134" s="117"/>
      <c r="I134" s="11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4"/>
      <c r="U134" s="69"/>
      <c r="V134" s="69"/>
      <c r="W134" s="69"/>
      <c r="X134" s="117"/>
      <c r="Y134" s="117"/>
      <c r="Z134" s="117"/>
    </row>
    <row r="135" spans="2:26" ht="11.85" customHeight="1">
      <c r="B135" s="116" t="s">
        <v>101</v>
      </c>
      <c r="C135" s="116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4"/>
      <c r="U135" s="69"/>
      <c r="V135" s="69"/>
      <c r="W135" s="69"/>
      <c r="X135" s="67"/>
      <c r="Y135" s="67"/>
      <c r="Z135" s="67"/>
    </row>
    <row r="136" spans="2:26" ht="11.85" customHeight="1">
      <c r="B136" s="116"/>
      <c r="C136" s="114" t="s">
        <v>102</v>
      </c>
      <c r="F136" s="76">
        <v>41.417999999999999</v>
      </c>
      <c r="G136" s="76">
        <v>787.53700000000003</v>
      </c>
      <c r="H136" s="76">
        <v>866.36300000000006</v>
      </c>
      <c r="I136" s="76">
        <v>655.82500000000005</v>
      </c>
      <c r="J136" s="77">
        <f t="shared" ref="J136:S136" si="124">J188</f>
        <v>531.68436000000008</v>
      </c>
      <c r="K136" s="77">
        <f t="shared" si="124"/>
        <v>413.32235200000014</v>
      </c>
      <c r="L136" s="77">
        <f t="shared" si="124"/>
        <v>394.32669920000018</v>
      </c>
      <c r="M136" s="77">
        <f t="shared" si="124"/>
        <v>398.33843712000021</v>
      </c>
      <c r="N136" s="77">
        <f t="shared" si="124"/>
        <v>402.24574483200024</v>
      </c>
      <c r="O136" s="77">
        <f t="shared" si="124"/>
        <v>406.2679993152002</v>
      </c>
      <c r="P136" s="77">
        <f t="shared" si="124"/>
        <v>410.69247924672015</v>
      </c>
      <c r="Q136" s="77">
        <f t="shared" si="124"/>
        <v>415.55940717139214</v>
      </c>
      <c r="R136" s="77">
        <f t="shared" si="124"/>
        <v>420.91302788853136</v>
      </c>
      <c r="S136" s="77">
        <f t="shared" si="124"/>
        <v>426.80201067738449</v>
      </c>
      <c r="T136" s="64"/>
      <c r="U136" s="69"/>
      <c r="V136" s="69"/>
      <c r="W136" s="64">
        <v>772.61900000000003</v>
      </c>
      <c r="X136" s="76">
        <v>655.82500000000005</v>
      </c>
      <c r="Y136" s="76"/>
      <c r="Z136" s="76"/>
    </row>
    <row r="137" spans="2:26" ht="11.85" customHeight="1">
      <c r="B137" s="116"/>
      <c r="C137" s="114" t="s">
        <v>103</v>
      </c>
      <c r="F137" s="76">
        <v>21.027000000000001</v>
      </c>
      <c r="G137" s="76">
        <v>54.573</v>
      </c>
      <c r="H137" s="76">
        <v>50.359000000000002</v>
      </c>
      <c r="I137" s="76">
        <v>50.963000000000001</v>
      </c>
      <c r="J137" s="77">
        <f t="shared" ref="J137:S137" si="125">J217</f>
        <v>59.192000000000007</v>
      </c>
      <c r="K137" s="77">
        <f t="shared" si="125"/>
        <v>66.261300000000006</v>
      </c>
      <c r="L137" s="77">
        <f t="shared" si="125"/>
        <v>72.054929999999999</v>
      </c>
      <c r="M137" s="77">
        <f t="shared" si="125"/>
        <v>76.746823000000006</v>
      </c>
      <c r="N137" s="77">
        <f t="shared" si="125"/>
        <v>81.028821966666669</v>
      </c>
      <c r="O137" s="77">
        <f t="shared" si="125"/>
        <v>85.545737496666675</v>
      </c>
      <c r="P137" s="77">
        <f t="shared" si="125"/>
        <v>90.514344579666684</v>
      </c>
      <c r="Q137" s="77">
        <f t="shared" si="125"/>
        <v>95.979812370966698</v>
      </c>
      <c r="R137" s="77">
        <f t="shared" si="125"/>
        <v>101.99182694139671</v>
      </c>
      <c r="S137" s="77">
        <f t="shared" si="125"/>
        <v>108.60504296886971</v>
      </c>
      <c r="T137" s="64"/>
      <c r="U137" s="69"/>
      <c r="V137" s="69"/>
      <c r="W137" s="64">
        <v>55.399000000000001</v>
      </c>
      <c r="X137" s="76">
        <v>50.963000000000001</v>
      </c>
      <c r="Y137" s="76"/>
      <c r="Z137" s="76"/>
    </row>
    <row r="138" spans="2:26" ht="11.85" customHeight="1">
      <c r="B138" s="116"/>
      <c r="C138" s="114" t="s">
        <v>104</v>
      </c>
      <c r="F138" s="76">
        <v>0</v>
      </c>
      <c r="G138" s="76">
        <v>39.378999999999998</v>
      </c>
      <c r="H138" s="76">
        <v>39.378999999999998</v>
      </c>
      <c r="I138" s="76">
        <v>39.378999999999998</v>
      </c>
      <c r="J138" s="77">
        <f t="shared" ref="J138:S141" si="126">I138</f>
        <v>39.378999999999998</v>
      </c>
      <c r="K138" s="77">
        <f t="shared" si="126"/>
        <v>39.378999999999998</v>
      </c>
      <c r="L138" s="77">
        <f t="shared" si="126"/>
        <v>39.378999999999998</v>
      </c>
      <c r="M138" s="77">
        <f t="shared" si="126"/>
        <v>39.378999999999998</v>
      </c>
      <c r="N138" s="77">
        <f t="shared" si="126"/>
        <v>39.378999999999998</v>
      </c>
      <c r="O138" s="77">
        <f t="shared" si="126"/>
        <v>39.378999999999998</v>
      </c>
      <c r="P138" s="77">
        <f t="shared" si="126"/>
        <v>39.378999999999998</v>
      </c>
      <c r="Q138" s="77">
        <f t="shared" si="126"/>
        <v>39.378999999999998</v>
      </c>
      <c r="R138" s="77">
        <f t="shared" si="126"/>
        <v>39.378999999999998</v>
      </c>
      <c r="S138" s="77">
        <f t="shared" si="126"/>
        <v>39.378999999999998</v>
      </c>
      <c r="T138" s="64"/>
      <c r="U138" s="69"/>
      <c r="V138" s="69"/>
      <c r="W138" s="76">
        <v>39.378999999999998</v>
      </c>
      <c r="X138" s="76">
        <v>39.378999999999998</v>
      </c>
      <c r="Y138" s="76"/>
      <c r="Z138" s="76"/>
    </row>
    <row r="139" spans="2:26" ht="11.85" customHeight="1">
      <c r="B139" s="116"/>
      <c r="C139" s="46" t="s">
        <v>105</v>
      </c>
      <c r="F139" s="76">
        <v>0</v>
      </c>
      <c r="G139" s="76">
        <v>13.047000000000001</v>
      </c>
      <c r="H139" s="76">
        <v>201.19800000000001</v>
      </c>
      <c r="I139" s="76">
        <v>338.08100000000002</v>
      </c>
      <c r="J139" s="77">
        <f t="shared" si="126"/>
        <v>338.08100000000002</v>
      </c>
      <c r="K139" s="77">
        <f t="shared" si="126"/>
        <v>338.08100000000002</v>
      </c>
      <c r="L139" s="77">
        <f t="shared" si="126"/>
        <v>338.08100000000002</v>
      </c>
      <c r="M139" s="77">
        <f t="shared" si="126"/>
        <v>338.08100000000002</v>
      </c>
      <c r="N139" s="77">
        <f t="shared" si="126"/>
        <v>338.08100000000002</v>
      </c>
      <c r="O139" s="77">
        <f t="shared" si="126"/>
        <v>338.08100000000002</v>
      </c>
      <c r="P139" s="77">
        <f t="shared" si="126"/>
        <v>338.08100000000002</v>
      </c>
      <c r="Q139" s="77">
        <f t="shared" si="126"/>
        <v>338.08100000000002</v>
      </c>
      <c r="R139" s="77">
        <f t="shared" si="126"/>
        <v>338.08100000000002</v>
      </c>
      <c r="S139" s="77">
        <f t="shared" si="126"/>
        <v>338.08100000000002</v>
      </c>
      <c r="T139" s="64"/>
      <c r="U139" s="69"/>
      <c r="V139" s="69"/>
      <c r="W139" s="64">
        <v>290.34500000000003</v>
      </c>
      <c r="X139" s="76">
        <v>338.08100000000002</v>
      </c>
      <c r="Y139" s="76"/>
      <c r="Z139" s="76"/>
    </row>
    <row r="140" spans="2:26" ht="11.85" customHeight="1">
      <c r="B140" s="116"/>
      <c r="C140" s="46" t="s">
        <v>106</v>
      </c>
      <c r="F140" s="76">
        <v>0</v>
      </c>
      <c r="G140" s="76">
        <v>4.5999999999999999E-2</v>
      </c>
      <c r="H140" s="76">
        <v>97.26</v>
      </c>
      <c r="I140" s="76">
        <v>198.202</v>
      </c>
      <c r="J140" s="77">
        <f t="shared" si="126"/>
        <v>198.202</v>
      </c>
      <c r="K140" s="77">
        <f t="shared" si="126"/>
        <v>198.202</v>
      </c>
      <c r="L140" s="77">
        <f t="shared" si="126"/>
        <v>198.202</v>
      </c>
      <c r="M140" s="77">
        <f t="shared" si="126"/>
        <v>198.202</v>
      </c>
      <c r="N140" s="77">
        <f t="shared" si="126"/>
        <v>198.202</v>
      </c>
      <c r="O140" s="77">
        <f t="shared" si="126"/>
        <v>198.202</v>
      </c>
      <c r="P140" s="77">
        <f t="shared" si="126"/>
        <v>198.202</v>
      </c>
      <c r="Q140" s="77">
        <f t="shared" si="126"/>
        <v>198.202</v>
      </c>
      <c r="R140" s="77">
        <f t="shared" si="126"/>
        <v>198.202</v>
      </c>
      <c r="S140" s="77">
        <f t="shared" si="126"/>
        <v>198.202</v>
      </c>
      <c r="T140" s="64"/>
      <c r="U140" s="69"/>
      <c r="V140" s="69"/>
      <c r="W140" s="64">
        <v>202.614</v>
      </c>
      <c r="X140" s="76">
        <v>198.202</v>
      </c>
      <c r="Y140" s="76"/>
      <c r="Z140" s="76"/>
    </row>
    <row r="141" spans="2:26" ht="11.85" customHeight="1">
      <c r="B141" s="116"/>
      <c r="C141" s="114" t="s">
        <v>95</v>
      </c>
      <c r="F141" s="76">
        <v>0</v>
      </c>
      <c r="G141" s="76">
        <v>102.093</v>
      </c>
      <c r="H141" s="76">
        <v>105.343</v>
      </c>
      <c r="I141" s="76">
        <v>0</v>
      </c>
      <c r="J141" s="77">
        <f t="shared" si="126"/>
        <v>0</v>
      </c>
      <c r="K141" s="77">
        <f t="shared" si="126"/>
        <v>0</v>
      </c>
      <c r="L141" s="77">
        <f t="shared" si="126"/>
        <v>0</v>
      </c>
      <c r="M141" s="77">
        <f t="shared" si="126"/>
        <v>0</v>
      </c>
      <c r="N141" s="77">
        <f t="shared" si="126"/>
        <v>0</v>
      </c>
      <c r="O141" s="77">
        <f t="shared" si="126"/>
        <v>0</v>
      </c>
      <c r="P141" s="77">
        <f t="shared" si="126"/>
        <v>0</v>
      </c>
      <c r="Q141" s="77">
        <f t="shared" si="126"/>
        <v>0</v>
      </c>
      <c r="R141" s="77">
        <f t="shared" si="126"/>
        <v>0</v>
      </c>
      <c r="S141" s="77">
        <f t="shared" si="126"/>
        <v>0</v>
      </c>
      <c r="T141" s="64"/>
      <c r="U141" s="69"/>
      <c r="V141" s="69"/>
      <c r="W141" s="64">
        <v>0</v>
      </c>
      <c r="X141" s="76">
        <v>0</v>
      </c>
      <c r="Y141" s="76"/>
      <c r="Z141" s="76"/>
    </row>
    <row r="142" spans="2:26" s="72" customFormat="1" ht="11.85" customHeight="1">
      <c r="B142" s="116" t="s">
        <v>107</v>
      </c>
      <c r="C142" s="116"/>
      <c r="F142" s="118">
        <f>SUM(F136:F141)</f>
        <v>62.445</v>
      </c>
      <c r="G142" s="118">
        <f t="shared" ref="G142:S142" si="127">SUM(G136:G141)</f>
        <v>996.67500000000007</v>
      </c>
      <c r="H142" s="118">
        <f t="shared" si="127"/>
        <v>1359.9020000000003</v>
      </c>
      <c r="I142" s="118">
        <f t="shared" si="127"/>
        <v>1282.45</v>
      </c>
      <c r="J142" s="118">
        <f t="shared" si="127"/>
        <v>1166.53836</v>
      </c>
      <c r="K142" s="118">
        <f t="shared" si="127"/>
        <v>1055.2456520000001</v>
      </c>
      <c r="L142" s="118">
        <f t="shared" si="127"/>
        <v>1042.0436292000002</v>
      </c>
      <c r="M142" s="118">
        <f t="shared" si="127"/>
        <v>1050.7472601200002</v>
      </c>
      <c r="N142" s="118">
        <f t="shared" si="127"/>
        <v>1058.9365667986669</v>
      </c>
      <c r="O142" s="118">
        <f t="shared" si="127"/>
        <v>1067.4757368118669</v>
      </c>
      <c r="P142" s="118">
        <f t="shared" si="127"/>
        <v>1076.8688238263867</v>
      </c>
      <c r="Q142" s="118">
        <f t="shared" si="127"/>
        <v>1087.201219542359</v>
      </c>
      <c r="R142" s="118">
        <f t="shared" si="127"/>
        <v>1098.5668548299282</v>
      </c>
      <c r="S142" s="118">
        <f t="shared" si="127"/>
        <v>1111.0690536462544</v>
      </c>
      <c r="T142" s="119"/>
      <c r="U142" s="120"/>
      <c r="V142" s="120"/>
      <c r="W142" s="118">
        <f t="shared" ref="W142:X142" si="128">SUM(W136:W141)</f>
        <v>1360.3560000000002</v>
      </c>
      <c r="X142" s="118">
        <f t="shared" si="128"/>
        <v>1282.45</v>
      </c>
      <c r="Y142" s="118"/>
      <c r="Z142" s="118"/>
    </row>
    <row r="143" spans="2:26" ht="11.85" customHeight="1">
      <c r="B143" s="116"/>
      <c r="C143" s="116"/>
      <c r="X143" s="121"/>
      <c r="Y143" s="121"/>
      <c r="Z143" s="121"/>
    </row>
    <row r="144" spans="2:26" s="72" customFormat="1" ht="11.85" customHeight="1">
      <c r="B144" s="116" t="s">
        <v>108</v>
      </c>
      <c r="C144" s="116"/>
      <c r="F144" s="118">
        <f>F142+F133</f>
        <v>361.976</v>
      </c>
      <c r="G144" s="118">
        <f t="shared" ref="G144:S144" si="129">G142+G133</f>
        <v>2860.1530000000002</v>
      </c>
      <c r="H144" s="118">
        <f t="shared" si="129"/>
        <v>4375.7690000000002</v>
      </c>
      <c r="I144" s="118">
        <f t="shared" si="129"/>
        <v>4853.8609999999999</v>
      </c>
      <c r="J144" s="118">
        <f>J142+J133</f>
        <v>35038.862819975344</v>
      </c>
      <c r="K144" s="118">
        <f t="shared" si="129"/>
        <v>37032.475489387718</v>
      </c>
      <c r="L144" s="118">
        <f t="shared" si="129"/>
        <v>41343.944039258378</v>
      </c>
      <c r="M144" s="118">
        <f t="shared" si="129"/>
        <v>66997.23884943423</v>
      </c>
      <c r="N144" s="118">
        <f t="shared" si="129"/>
        <v>112780.59875527801</v>
      </c>
      <c r="O144" s="118">
        <f t="shared" si="129"/>
        <v>192174.77715075013</v>
      </c>
      <c r="P144" s="118">
        <f t="shared" si="129"/>
        <v>316813.13824429928</v>
      </c>
      <c r="Q144" s="118">
        <f t="shared" si="129"/>
        <v>497266.14394692483</v>
      </c>
      <c r="R144" s="118">
        <f t="shared" si="129"/>
        <v>743636.37618067954</v>
      </c>
      <c r="S144" s="118">
        <f t="shared" si="129"/>
        <v>1064222.0467645933</v>
      </c>
      <c r="T144" s="119"/>
      <c r="U144" s="120"/>
      <c r="V144" s="120"/>
      <c r="W144" s="118">
        <f t="shared" ref="W144:X144" si="130">W142+W133</f>
        <v>5100.7110000000002</v>
      </c>
      <c r="X144" s="118">
        <f t="shared" si="130"/>
        <v>4853.8609999999999</v>
      </c>
      <c r="Y144" s="118"/>
      <c r="Z144" s="118"/>
    </row>
    <row r="145" spans="2:26" ht="11.85" customHeight="1">
      <c r="B145" s="114"/>
      <c r="C145" s="114"/>
      <c r="X145" s="121"/>
      <c r="Y145" s="121"/>
      <c r="Z145" s="121"/>
    </row>
    <row r="146" spans="2:26" ht="11.85" customHeight="1">
      <c r="B146" s="116" t="s">
        <v>109</v>
      </c>
      <c r="C146" s="114"/>
      <c r="X146" s="121"/>
      <c r="Y146" s="121"/>
      <c r="Z146" s="121"/>
    </row>
    <row r="147" spans="2:26" ht="11.85" customHeight="1">
      <c r="B147" s="116"/>
      <c r="C147" s="114" t="s">
        <v>110</v>
      </c>
      <c r="F147" s="76">
        <v>25.834</v>
      </c>
      <c r="G147" s="76">
        <v>288.197</v>
      </c>
      <c r="H147" s="76">
        <v>603.48800000000006</v>
      </c>
      <c r="I147" s="76">
        <v>1328.6310000000001</v>
      </c>
      <c r="J147" s="77">
        <f t="shared" ref="J147:S147" si="131">J178</f>
        <v>4961.8923425753419</v>
      </c>
      <c r="K147" s="77">
        <f t="shared" si="131"/>
        <v>11824.929379027395</v>
      </c>
      <c r="L147" s="77">
        <f t="shared" si="131"/>
        <v>17440.460966834624</v>
      </c>
      <c r="M147" s="77">
        <f t="shared" si="131"/>
        <v>34981.646542743918</v>
      </c>
      <c r="N147" s="77">
        <f t="shared" si="131"/>
        <v>57971.322919756065</v>
      </c>
      <c r="O147" s="77">
        <f t="shared" si="131"/>
        <v>86236.211440024592</v>
      </c>
      <c r="P147" s="77">
        <f t="shared" si="131"/>
        <v>118655.75903305685</v>
      </c>
      <c r="Q147" s="77">
        <f t="shared" si="131"/>
        <v>150782.6993347847</v>
      </c>
      <c r="R147" s="77">
        <f t="shared" si="131"/>
        <v>178944.19425315692</v>
      </c>
      <c r="S147" s="77">
        <f t="shared" si="131"/>
        <v>200133.33441491862</v>
      </c>
      <c r="T147" s="64"/>
      <c r="W147" s="64">
        <v>838.41700000000003</v>
      </c>
      <c r="X147" s="76">
        <v>1328.6310000000001</v>
      </c>
      <c r="Y147" s="76"/>
      <c r="Z147" s="76"/>
    </row>
    <row r="148" spans="2:26" ht="11.85" customHeight="1">
      <c r="B148" s="116"/>
      <c r="C148" s="114" t="s">
        <v>111</v>
      </c>
      <c r="F148" s="76">
        <v>35.229999999999997</v>
      </c>
      <c r="G148" s="76">
        <v>74.061999999999998</v>
      </c>
      <c r="H148" s="76">
        <v>75.058999999999997</v>
      </c>
      <c r="I148" s="76">
        <v>148.64400000000001</v>
      </c>
      <c r="J148" s="67">
        <f t="shared" ref="J148:S151" si="132">I148</f>
        <v>148.64400000000001</v>
      </c>
      <c r="K148" s="67">
        <f t="shared" si="132"/>
        <v>148.64400000000001</v>
      </c>
      <c r="L148" s="67">
        <f t="shared" si="132"/>
        <v>148.64400000000001</v>
      </c>
      <c r="M148" s="67">
        <f t="shared" si="132"/>
        <v>148.64400000000001</v>
      </c>
      <c r="N148" s="67">
        <f t="shared" si="132"/>
        <v>148.64400000000001</v>
      </c>
      <c r="O148" s="67">
        <f t="shared" si="132"/>
        <v>148.64400000000001</v>
      </c>
      <c r="P148" s="67">
        <f t="shared" si="132"/>
        <v>148.64400000000001</v>
      </c>
      <c r="Q148" s="67">
        <f t="shared" si="132"/>
        <v>148.64400000000001</v>
      </c>
      <c r="R148" s="67">
        <f t="shared" si="132"/>
        <v>148.64400000000001</v>
      </c>
      <c r="S148" s="67">
        <f t="shared" si="132"/>
        <v>148.64400000000001</v>
      </c>
      <c r="T148" s="64"/>
      <c r="W148" s="64">
        <v>75.367000000000004</v>
      </c>
      <c r="X148" s="76">
        <v>148.64400000000001</v>
      </c>
      <c r="Y148" s="76"/>
      <c r="Z148" s="76"/>
    </row>
    <row r="149" spans="2:26" ht="11.85" customHeight="1">
      <c r="B149" s="116"/>
      <c r="C149" s="114" t="s">
        <v>112</v>
      </c>
      <c r="F149" s="76">
        <v>0</v>
      </c>
      <c r="G149" s="76">
        <v>0</v>
      </c>
      <c r="H149" s="76">
        <v>137.24600000000001</v>
      </c>
      <c r="I149" s="76">
        <v>604.83600000000001</v>
      </c>
      <c r="J149" s="77">
        <f t="shared" si="132"/>
        <v>604.83600000000001</v>
      </c>
      <c r="K149" s="77">
        <f t="shared" si="132"/>
        <v>604.83600000000001</v>
      </c>
      <c r="L149" s="77">
        <f t="shared" si="132"/>
        <v>604.83600000000001</v>
      </c>
      <c r="M149" s="77">
        <f t="shared" si="132"/>
        <v>604.83600000000001</v>
      </c>
      <c r="N149" s="77">
        <f t="shared" si="132"/>
        <v>604.83600000000001</v>
      </c>
      <c r="O149" s="77">
        <f t="shared" si="132"/>
        <v>604.83600000000001</v>
      </c>
      <c r="P149" s="77">
        <f t="shared" si="132"/>
        <v>604.83600000000001</v>
      </c>
      <c r="Q149" s="77">
        <f t="shared" si="132"/>
        <v>604.83600000000001</v>
      </c>
      <c r="R149" s="77">
        <f t="shared" si="132"/>
        <v>604.83600000000001</v>
      </c>
      <c r="S149" s="77">
        <f t="shared" si="132"/>
        <v>604.83600000000001</v>
      </c>
      <c r="T149" s="64"/>
      <c r="W149" s="64">
        <v>137.214</v>
      </c>
      <c r="X149" s="76">
        <v>604.83600000000001</v>
      </c>
      <c r="Y149" s="76"/>
      <c r="Z149" s="76"/>
    </row>
    <row r="150" spans="2:26" ht="11.85" customHeight="1">
      <c r="B150" s="116"/>
      <c r="C150" s="114" t="s">
        <v>113</v>
      </c>
      <c r="F150" s="76">
        <v>12.832000000000001</v>
      </c>
      <c r="G150" s="76">
        <v>66.765000000000001</v>
      </c>
      <c r="H150" s="76">
        <v>213.161</v>
      </c>
      <c r="I150" s="76">
        <v>251.316</v>
      </c>
      <c r="J150" s="77">
        <f t="shared" si="132"/>
        <v>251.316</v>
      </c>
      <c r="K150" s="77">
        <f t="shared" si="132"/>
        <v>251.316</v>
      </c>
      <c r="L150" s="77">
        <f t="shared" si="132"/>
        <v>251.316</v>
      </c>
      <c r="M150" s="77">
        <f t="shared" si="132"/>
        <v>251.316</v>
      </c>
      <c r="N150" s="77">
        <f t="shared" si="132"/>
        <v>251.316</v>
      </c>
      <c r="O150" s="77">
        <f t="shared" si="132"/>
        <v>251.316</v>
      </c>
      <c r="P150" s="77">
        <f t="shared" si="132"/>
        <v>251.316</v>
      </c>
      <c r="Q150" s="77">
        <f t="shared" si="132"/>
        <v>251.316</v>
      </c>
      <c r="R150" s="77">
        <f t="shared" si="132"/>
        <v>251.316</v>
      </c>
      <c r="S150" s="77">
        <f t="shared" si="132"/>
        <v>251.316</v>
      </c>
      <c r="T150" s="64"/>
      <c r="W150" s="64">
        <v>213.458</v>
      </c>
      <c r="X150" s="76">
        <v>251.316</v>
      </c>
      <c r="Y150" s="76"/>
      <c r="Z150" s="76"/>
    </row>
    <row r="151" spans="2:26" ht="11.85" customHeight="1">
      <c r="B151" s="116"/>
      <c r="C151" s="114" t="s">
        <v>114</v>
      </c>
      <c r="F151" s="76">
        <v>457.959</v>
      </c>
      <c r="G151" s="76">
        <v>3179.864</v>
      </c>
      <c r="H151" s="76">
        <v>6676.9430000000002</v>
      </c>
      <c r="I151" s="76">
        <v>10072.826999999999</v>
      </c>
      <c r="J151" s="77">
        <f>I151</f>
        <v>10072.826999999999</v>
      </c>
      <c r="K151" s="77">
        <f t="shared" si="132"/>
        <v>10072.826999999999</v>
      </c>
      <c r="L151" s="77">
        <f t="shared" si="132"/>
        <v>10072.826999999999</v>
      </c>
      <c r="M151" s="77">
        <f t="shared" ref="M151:S151" si="133">L151*1.2</f>
        <v>12087.392399999999</v>
      </c>
      <c r="N151" s="77">
        <f t="shared" si="133"/>
        <v>14504.870879999999</v>
      </c>
      <c r="O151" s="77">
        <f t="shared" si="133"/>
        <v>17405.845055999998</v>
      </c>
      <c r="P151" s="77">
        <f t="shared" si="133"/>
        <v>20887.014067199998</v>
      </c>
      <c r="Q151" s="77">
        <f t="shared" si="133"/>
        <v>25064.416880639998</v>
      </c>
      <c r="R151" s="77">
        <f t="shared" si="133"/>
        <v>30077.300256767994</v>
      </c>
      <c r="S151" s="77">
        <f t="shared" si="133"/>
        <v>36092.760308121593</v>
      </c>
      <c r="T151" s="64"/>
      <c r="W151" s="64">
        <v>9564.76</v>
      </c>
      <c r="X151" s="76">
        <v>10072.826999999999</v>
      </c>
      <c r="Y151" s="76"/>
      <c r="Z151" s="76"/>
    </row>
    <row r="152" spans="2:26" ht="11.85" customHeight="1">
      <c r="B152" s="116"/>
      <c r="C152" s="114" t="s">
        <v>115</v>
      </c>
      <c r="F152" s="76">
        <v>0</v>
      </c>
      <c r="G152" s="76">
        <v>0</v>
      </c>
      <c r="H152" s="76">
        <v>132.15799999999999</v>
      </c>
      <c r="I152" s="76">
        <v>0</v>
      </c>
      <c r="J152" s="67">
        <v>0</v>
      </c>
      <c r="K152" s="67">
        <v>0</v>
      </c>
      <c r="L152" s="67">
        <v>0</v>
      </c>
      <c r="M152" s="67">
        <v>0</v>
      </c>
      <c r="N152" s="67">
        <v>0</v>
      </c>
      <c r="O152" s="67">
        <v>0</v>
      </c>
      <c r="P152" s="67">
        <v>0</v>
      </c>
      <c r="Q152" s="67">
        <v>0</v>
      </c>
      <c r="R152" s="67">
        <v>0</v>
      </c>
      <c r="S152" s="67">
        <v>0</v>
      </c>
      <c r="T152" s="64"/>
      <c r="W152" s="64">
        <v>0</v>
      </c>
      <c r="X152" s="76">
        <v>0</v>
      </c>
      <c r="Y152" s="76"/>
      <c r="Z152" s="76"/>
    </row>
    <row r="153" spans="2:26" s="72" customFormat="1" ht="11.85" customHeight="1">
      <c r="B153" s="116" t="s">
        <v>116</v>
      </c>
      <c r="C153" s="116"/>
      <c r="F153" s="118">
        <f>SUM(F147:F152)</f>
        <v>531.85500000000002</v>
      </c>
      <c r="G153" s="118">
        <f t="shared" ref="G153:S153" si="134">SUM(G147:G152)</f>
        <v>3608.8879999999999</v>
      </c>
      <c r="H153" s="118">
        <f t="shared" si="134"/>
        <v>7838.0550000000003</v>
      </c>
      <c r="I153" s="118">
        <f t="shared" si="134"/>
        <v>12406.253999999999</v>
      </c>
      <c r="J153" s="118">
        <f t="shared" si="134"/>
        <v>16039.515342575341</v>
      </c>
      <c r="K153" s="118">
        <f t="shared" si="134"/>
        <v>22902.552379027395</v>
      </c>
      <c r="L153" s="118">
        <f t="shared" si="134"/>
        <v>28518.083966834623</v>
      </c>
      <c r="M153" s="118">
        <f t="shared" si="134"/>
        <v>48073.834942743917</v>
      </c>
      <c r="N153" s="118">
        <f t="shared" si="134"/>
        <v>73480.989799756062</v>
      </c>
      <c r="O153" s="118">
        <f t="shared" si="134"/>
        <v>104646.8524960246</v>
      </c>
      <c r="P153" s="118">
        <f t="shared" si="134"/>
        <v>140547.56910025683</v>
      </c>
      <c r="Q153" s="118">
        <f t="shared" si="134"/>
        <v>176851.9122154247</v>
      </c>
      <c r="R153" s="118">
        <f t="shared" si="134"/>
        <v>210026.29050992493</v>
      </c>
      <c r="S153" s="118">
        <f t="shared" si="134"/>
        <v>237230.89072304021</v>
      </c>
      <c r="T153" s="119"/>
      <c r="U153" s="120"/>
      <c r="V153" s="120"/>
      <c r="W153" s="118">
        <f t="shared" ref="W153:X153" si="135">SUM(W147:W152)</f>
        <v>10829.216</v>
      </c>
      <c r="X153" s="118">
        <f t="shared" si="135"/>
        <v>12406.253999999999</v>
      </c>
      <c r="Y153" s="118"/>
      <c r="Z153" s="118"/>
    </row>
    <row r="154" spans="2:26" ht="11.85" customHeight="1">
      <c r="B154" s="116"/>
      <c r="C154" s="114"/>
      <c r="X154" s="121"/>
      <c r="Y154" s="121"/>
      <c r="Z154" s="121"/>
    </row>
    <row r="155" spans="2:26" ht="11.85" customHeight="1">
      <c r="B155" s="116" t="s">
        <v>117</v>
      </c>
      <c r="C155" s="114"/>
      <c r="X155" s="121"/>
      <c r="Y155" s="121"/>
      <c r="Z155" s="121"/>
    </row>
    <row r="156" spans="2:26" ht="11.85" customHeight="1">
      <c r="B156" s="116"/>
      <c r="C156" s="114" t="s">
        <v>112</v>
      </c>
      <c r="I156" s="76">
        <v>84.616</v>
      </c>
      <c r="J156" s="121">
        <f>I156</f>
        <v>84.616</v>
      </c>
      <c r="K156" s="121">
        <f t="shared" ref="K156:S156" si="136">J156</f>
        <v>84.616</v>
      </c>
      <c r="L156" s="121">
        <f t="shared" si="136"/>
        <v>84.616</v>
      </c>
      <c r="M156" s="121">
        <f t="shared" si="136"/>
        <v>84.616</v>
      </c>
      <c r="N156" s="121">
        <f t="shared" si="136"/>
        <v>84.616</v>
      </c>
      <c r="O156" s="121">
        <f t="shared" si="136"/>
        <v>84.616</v>
      </c>
      <c r="P156" s="121">
        <f t="shared" si="136"/>
        <v>84.616</v>
      </c>
      <c r="Q156" s="121">
        <f t="shared" si="136"/>
        <v>84.616</v>
      </c>
      <c r="R156" s="121">
        <f t="shared" si="136"/>
        <v>84.616</v>
      </c>
      <c r="S156" s="121">
        <f t="shared" si="136"/>
        <v>84.616</v>
      </c>
      <c r="X156" s="76">
        <v>84.616</v>
      </c>
      <c r="Y156" s="76"/>
      <c r="Z156" s="76"/>
    </row>
    <row r="157" spans="2:26" ht="11.85" customHeight="1">
      <c r="B157" s="116"/>
      <c r="C157" s="114" t="s">
        <v>113</v>
      </c>
      <c r="F157" s="76">
        <v>0</v>
      </c>
      <c r="G157" s="76">
        <v>204.11699999999999</v>
      </c>
      <c r="H157" s="76">
        <v>458.10700000000003</v>
      </c>
      <c r="I157" s="76">
        <v>293.827</v>
      </c>
      <c r="J157" s="77">
        <f t="shared" ref="J157:S158" si="137">I157</f>
        <v>293.827</v>
      </c>
      <c r="K157" s="77">
        <f t="shared" si="137"/>
        <v>293.827</v>
      </c>
      <c r="L157" s="77">
        <f t="shared" si="137"/>
        <v>293.827</v>
      </c>
      <c r="M157" s="77">
        <f t="shared" si="137"/>
        <v>293.827</v>
      </c>
      <c r="N157" s="77">
        <f t="shared" si="137"/>
        <v>293.827</v>
      </c>
      <c r="O157" s="77">
        <f t="shared" si="137"/>
        <v>293.827</v>
      </c>
      <c r="P157" s="77">
        <f t="shared" si="137"/>
        <v>293.827</v>
      </c>
      <c r="Q157" s="77">
        <f t="shared" si="137"/>
        <v>293.827</v>
      </c>
      <c r="R157" s="77">
        <f t="shared" si="137"/>
        <v>293.827</v>
      </c>
      <c r="S157" s="77">
        <f t="shared" si="137"/>
        <v>293.827</v>
      </c>
      <c r="T157" s="64"/>
      <c r="W157" s="64">
        <v>386.13200000000001</v>
      </c>
      <c r="X157" s="76">
        <v>293.827</v>
      </c>
      <c r="Y157" s="76"/>
      <c r="Z157" s="76"/>
    </row>
    <row r="158" spans="2:26" ht="11.85" customHeight="1">
      <c r="B158" s="114"/>
      <c r="C158" s="114" t="s">
        <v>118</v>
      </c>
      <c r="F158" s="76">
        <v>10.308999999999999</v>
      </c>
      <c r="G158" s="76">
        <v>29.741</v>
      </c>
      <c r="H158" s="76">
        <v>34.752000000000002</v>
      </c>
      <c r="I158" s="76">
        <v>180.14599999999999</v>
      </c>
      <c r="J158" s="77">
        <f t="shared" si="137"/>
        <v>180.14599999999999</v>
      </c>
      <c r="K158" s="77">
        <f t="shared" si="137"/>
        <v>180.14599999999999</v>
      </c>
      <c r="L158" s="77">
        <f t="shared" si="137"/>
        <v>180.14599999999999</v>
      </c>
      <c r="M158" s="77">
        <f t="shared" si="137"/>
        <v>180.14599999999999</v>
      </c>
      <c r="N158" s="77">
        <f t="shared" si="137"/>
        <v>180.14599999999999</v>
      </c>
      <c r="O158" s="77">
        <f t="shared" si="137"/>
        <v>180.14599999999999</v>
      </c>
      <c r="P158" s="77">
        <f t="shared" si="137"/>
        <v>180.14599999999999</v>
      </c>
      <c r="Q158" s="77">
        <f t="shared" si="137"/>
        <v>180.14599999999999</v>
      </c>
      <c r="R158" s="77">
        <f t="shared" si="137"/>
        <v>180.14599999999999</v>
      </c>
      <c r="S158" s="77">
        <f t="shared" si="137"/>
        <v>180.14599999999999</v>
      </c>
      <c r="T158" s="64"/>
      <c r="W158" s="64">
        <v>36.204000000000001</v>
      </c>
      <c r="X158" s="76">
        <v>180.14599999999999</v>
      </c>
      <c r="Y158" s="76"/>
      <c r="Z158" s="76"/>
    </row>
    <row r="159" spans="2:26" s="72" customFormat="1" ht="11.85" customHeight="1">
      <c r="B159" s="116" t="s">
        <v>119</v>
      </c>
      <c r="C159" s="116"/>
      <c r="F159" s="118">
        <f>SUM(F157:F158)</f>
        <v>10.308999999999999</v>
      </c>
      <c r="G159" s="118">
        <f t="shared" ref="G159:H159" si="138">SUM(G157:G158)</f>
        <v>233.858</v>
      </c>
      <c r="H159" s="118">
        <f t="shared" si="138"/>
        <v>492.85900000000004</v>
      </c>
      <c r="I159" s="118">
        <f>SUM(I156:I158)</f>
        <v>558.58899999999994</v>
      </c>
      <c r="J159" s="118">
        <f>SUM(J156:J158)</f>
        <v>558.58899999999994</v>
      </c>
      <c r="K159" s="118">
        <f t="shared" ref="K159:S159" si="139">SUM(K156:K158)</f>
        <v>558.58899999999994</v>
      </c>
      <c r="L159" s="118">
        <f t="shared" si="139"/>
        <v>558.58899999999994</v>
      </c>
      <c r="M159" s="118">
        <f t="shared" si="139"/>
        <v>558.58899999999994</v>
      </c>
      <c r="N159" s="118">
        <f t="shared" si="139"/>
        <v>558.58899999999994</v>
      </c>
      <c r="O159" s="118">
        <f t="shared" si="139"/>
        <v>558.58899999999994</v>
      </c>
      <c r="P159" s="118">
        <f t="shared" si="139"/>
        <v>558.58899999999994</v>
      </c>
      <c r="Q159" s="118">
        <f t="shared" si="139"/>
        <v>558.58899999999994</v>
      </c>
      <c r="R159" s="118">
        <f t="shared" si="139"/>
        <v>558.58899999999994</v>
      </c>
      <c r="S159" s="118">
        <f t="shared" si="139"/>
        <v>558.58899999999994</v>
      </c>
      <c r="T159" s="119"/>
      <c r="U159" s="120"/>
      <c r="V159" s="120"/>
      <c r="W159" s="118">
        <f t="shared" ref="W159" si="140">SUM(W157:W158)</f>
        <v>422.33600000000001</v>
      </c>
      <c r="X159" s="118">
        <f>SUM(X156:X158)</f>
        <v>558.58899999999994</v>
      </c>
      <c r="Y159" s="118"/>
      <c r="Z159" s="118"/>
    </row>
    <row r="160" spans="2:26" ht="11.85" customHeight="1">
      <c r="B160" s="116"/>
      <c r="C160" s="114"/>
      <c r="X160" s="121"/>
      <c r="Y160" s="121"/>
      <c r="Z160" s="121"/>
    </row>
    <row r="161" spans="1:26" ht="11.85" customHeight="1">
      <c r="B161" s="116" t="s">
        <v>120</v>
      </c>
      <c r="C161" s="114"/>
      <c r="F161" s="118">
        <f t="shared" ref="F161:S161" si="141">F153+F159</f>
        <v>542.16399999999999</v>
      </c>
      <c r="G161" s="118">
        <f t="shared" si="141"/>
        <v>3842.7460000000001</v>
      </c>
      <c r="H161" s="118">
        <f t="shared" si="141"/>
        <v>8330.9140000000007</v>
      </c>
      <c r="I161" s="118">
        <f t="shared" si="141"/>
        <v>12964.842999999999</v>
      </c>
      <c r="J161" s="118">
        <f t="shared" si="141"/>
        <v>16598.104342575341</v>
      </c>
      <c r="K161" s="118">
        <f t="shared" si="141"/>
        <v>23461.141379027395</v>
      </c>
      <c r="L161" s="118">
        <f t="shared" si="141"/>
        <v>29076.672966834623</v>
      </c>
      <c r="M161" s="118">
        <f t="shared" si="141"/>
        <v>48632.423942743917</v>
      </c>
      <c r="N161" s="118">
        <f t="shared" si="141"/>
        <v>74039.578799756069</v>
      </c>
      <c r="O161" s="118">
        <f t="shared" si="141"/>
        <v>105205.44149602461</v>
      </c>
      <c r="P161" s="118">
        <f t="shared" si="141"/>
        <v>141106.15810025684</v>
      </c>
      <c r="Q161" s="118">
        <f t="shared" si="141"/>
        <v>177410.50121542471</v>
      </c>
      <c r="R161" s="118">
        <f t="shared" si="141"/>
        <v>210584.87950992494</v>
      </c>
      <c r="S161" s="118">
        <f t="shared" si="141"/>
        <v>237789.47972304022</v>
      </c>
      <c r="W161" s="118">
        <f>W153+W159</f>
        <v>11251.552</v>
      </c>
      <c r="X161" s="118">
        <f>X153+X159</f>
        <v>12964.842999999999</v>
      </c>
      <c r="Y161" s="118"/>
      <c r="Z161" s="118"/>
    </row>
    <row r="162" spans="1:26" ht="11.85" customHeight="1">
      <c r="B162" s="114"/>
      <c r="C162" s="114"/>
      <c r="X162" s="121"/>
      <c r="Y162" s="121"/>
      <c r="Z162" s="121"/>
    </row>
    <row r="163" spans="1:26" ht="11.85" customHeight="1">
      <c r="B163" s="116" t="s">
        <v>121</v>
      </c>
      <c r="C163" s="114"/>
      <c r="X163" s="121"/>
      <c r="Y163" s="121"/>
      <c r="Z163" s="121"/>
    </row>
    <row r="164" spans="1:26" ht="11.85" customHeight="1">
      <c r="A164" s="124"/>
      <c r="B164" s="114"/>
      <c r="C164" s="114" t="s">
        <v>122</v>
      </c>
      <c r="F164" s="76">
        <v>14.807</v>
      </c>
      <c r="G164" s="76">
        <v>28.478000000000002</v>
      </c>
      <c r="H164" s="76">
        <v>36.223999999999997</v>
      </c>
      <c r="I164" s="76">
        <v>40.280999999999999</v>
      </c>
      <c r="J164" s="67">
        <f>I164+J279</f>
        <v>30967.345499999999</v>
      </c>
      <c r="K164" s="67">
        <f t="shared" ref="K164:S164" si="142">J164</f>
        <v>30967.345499999999</v>
      </c>
      <c r="L164" s="67">
        <f t="shared" si="142"/>
        <v>30967.345499999999</v>
      </c>
      <c r="M164" s="67">
        <f t="shared" si="142"/>
        <v>30967.345499999999</v>
      </c>
      <c r="N164" s="67">
        <f t="shared" si="142"/>
        <v>30967.345499999999</v>
      </c>
      <c r="O164" s="67">
        <f t="shared" si="142"/>
        <v>30967.345499999999</v>
      </c>
      <c r="P164" s="67">
        <f t="shared" si="142"/>
        <v>30967.345499999999</v>
      </c>
      <c r="Q164" s="67">
        <f t="shared" si="142"/>
        <v>30967.345499999999</v>
      </c>
      <c r="R164" s="67">
        <f t="shared" si="142"/>
        <v>30967.345499999999</v>
      </c>
      <c r="S164" s="67">
        <f t="shared" si="142"/>
        <v>30967.345499999999</v>
      </c>
      <c r="T164" s="64"/>
      <c r="W164" s="64">
        <v>40.280999999999999</v>
      </c>
      <c r="X164" s="76">
        <v>40.280999999999999</v>
      </c>
      <c r="Y164" s="76"/>
      <c r="Z164" s="76"/>
    </row>
    <row r="165" spans="1:26" ht="11.85" customHeight="1">
      <c r="A165" s="124"/>
      <c r="B165" s="114"/>
      <c r="C165" s="114" t="s">
        <v>123</v>
      </c>
      <c r="F165" s="76">
        <v>-196.16</v>
      </c>
      <c r="G165" s="76">
        <v>-1011.071</v>
      </c>
      <c r="H165" s="76">
        <v>-3992.8530000000001</v>
      </c>
      <c r="I165" s="76">
        <v>-8132.7830000000004</v>
      </c>
      <c r="J165" s="67">
        <f>I165+J35+J248+J252</f>
        <v>-12508.107022600003</v>
      </c>
      <c r="K165" s="67">
        <f>J165+K35+K248+K252</f>
        <v>-17377.531389639676</v>
      </c>
      <c r="L165" s="67">
        <f>K165+L35+L248+L252</f>
        <v>-18681.594427576249</v>
      </c>
      <c r="M165" s="67">
        <f>L165+M35+M248+M252</f>
        <v>-12584.05059330969</v>
      </c>
      <c r="N165" s="67">
        <f>M165+N35+N248+N252</f>
        <v>7792.1544555219643</v>
      </c>
      <c r="O165" s="67">
        <f>N165+O35+O248+O252</f>
        <v>56020.470154725517</v>
      </c>
      <c r="P165" s="67">
        <f>O165+P35+P248+P252</f>
        <v>144758.11464404245</v>
      </c>
      <c r="Q165" s="67">
        <f>P165+Q35+Q248+Q252</f>
        <v>288906.77723150008</v>
      </c>
      <c r="R165" s="67">
        <f>Q165+R35+R248+R252</f>
        <v>502102.63117075467</v>
      </c>
      <c r="S165" s="67">
        <f>R165+S35+S248+S252</f>
        <v>795483.70154155314</v>
      </c>
      <c r="T165" s="64"/>
      <c r="W165" s="64">
        <v>-6185.9269999999997</v>
      </c>
      <c r="X165" s="76">
        <v>-8132.7830000000004</v>
      </c>
      <c r="Y165" s="76"/>
      <c r="Z165" s="76"/>
    </row>
    <row r="166" spans="1:26" ht="11.85" customHeight="1">
      <c r="A166" s="124"/>
      <c r="B166" s="114"/>
      <c r="C166" s="114" t="s">
        <v>124</v>
      </c>
      <c r="F166" s="76">
        <v>1.165</v>
      </c>
      <c r="G166" s="76">
        <v>0</v>
      </c>
      <c r="H166" s="76">
        <v>1.484</v>
      </c>
      <c r="I166" s="76">
        <v>-18.48</v>
      </c>
      <c r="J166" s="67">
        <f t="shared" ref="J166:S166" si="143">I166</f>
        <v>-18.48</v>
      </c>
      <c r="K166" s="67">
        <f t="shared" si="143"/>
        <v>-18.48</v>
      </c>
      <c r="L166" s="67">
        <f t="shared" si="143"/>
        <v>-18.48</v>
      </c>
      <c r="M166" s="67">
        <f t="shared" si="143"/>
        <v>-18.48</v>
      </c>
      <c r="N166" s="67">
        <f t="shared" si="143"/>
        <v>-18.48</v>
      </c>
      <c r="O166" s="67">
        <f t="shared" si="143"/>
        <v>-18.48</v>
      </c>
      <c r="P166" s="67">
        <f t="shared" si="143"/>
        <v>-18.48</v>
      </c>
      <c r="Q166" s="67">
        <f t="shared" si="143"/>
        <v>-18.48</v>
      </c>
      <c r="R166" s="67">
        <f t="shared" si="143"/>
        <v>-18.48</v>
      </c>
      <c r="S166" s="67">
        <f t="shared" si="143"/>
        <v>-18.48</v>
      </c>
      <c r="T166" s="64"/>
      <c r="W166" s="76">
        <v>-5.1950000000000003</v>
      </c>
      <c r="X166" s="76">
        <v>-18.48</v>
      </c>
      <c r="Y166" s="76"/>
      <c r="Z166" s="76"/>
    </row>
    <row r="167" spans="1:26" ht="11.85" customHeight="1">
      <c r="B167" s="116" t="s">
        <v>125</v>
      </c>
      <c r="C167" s="114"/>
      <c r="F167" s="77">
        <f>SUM(F164:F166)</f>
        <v>-180.18800000000002</v>
      </c>
      <c r="G167" s="77">
        <f t="shared" ref="G167:S167" si="144">SUM(G164:G166)</f>
        <v>-982.59300000000007</v>
      </c>
      <c r="H167" s="77">
        <f t="shared" si="144"/>
        <v>-3955.145</v>
      </c>
      <c r="I167" s="77">
        <f t="shared" si="144"/>
        <v>-8110.982</v>
      </c>
      <c r="J167" s="77">
        <f t="shared" si="144"/>
        <v>18440.758477399995</v>
      </c>
      <c r="K167" s="77">
        <f t="shared" si="144"/>
        <v>13571.334110360323</v>
      </c>
      <c r="L167" s="77">
        <f t="shared" si="144"/>
        <v>12267.271072423751</v>
      </c>
      <c r="M167" s="77">
        <f t="shared" si="144"/>
        <v>18364.81490669031</v>
      </c>
      <c r="N167" s="77">
        <f t="shared" si="144"/>
        <v>38741.019955521959</v>
      </c>
      <c r="O167" s="77">
        <f t="shared" si="144"/>
        <v>86969.335654725524</v>
      </c>
      <c r="P167" s="77">
        <f t="shared" si="144"/>
        <v>175706.98014404243</v>
      </c>
      <c r="Q167" s="77">
        <f t="shared" si="144"/>
        <v>319855.64273150009</v>
      </c>
      <c r="R167" s="77">
        <f t="shared" si="144"/>
        <v>533051.49667075474</v>
      </c>
      <c r="S167" s="77">
        <f t="shared" si="144"/>
        <v>826432.56704155321</v>
      </c>
      <c r="T167" s="64"/>
      <c r="W167" s="77">
        <f>SUM(W164:W166)</f>
        <v>-6150.8409999999994</v>
      </c>
      <c r="X167" s="77">
        <f t="shared" ref="X167" si="145">SUM(X164:X166)</f>
        <v>-8110.982</v>
      </c>
      <c r="Y167" s="77"/>
      <c r="Z167" s="77"/>
    </row>
    <row r="168" spans="1:26" s="107" customFormat="1" ht="11.85" customHeight="1">
      <c r="B168" s="125"/>
      <c r="C168" s="125"/>
      <c r="F168" s="126"/>
      <c r="G168" s="126"/>
      <c r="H168" s="126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7"/>
      <c r="U168" s="128"/>
      <c r="V168" s="128"/>
      <c r="W168" s="128"/>
      <c r="X168" s="128"/>
      <c r="Y168" s="128"/>
      <c r="Z168" s="128"/>
    </row>
    <row r="169" spans="1:26" s="328" customFormat="1" ht="11.85" customHeight="1">
      <c r="B169" s="329" t="s">
        <v>126</v>
      </c>
      <c r="C169" s="330"/>
      <c r="F169" s="331">
        <f>F127+F128-F149-F152-F150-F157</f>
        <v>216.29100000000003</v>
      </c>
      <c r="G169" s="331">
        <f>G127+G128-G149-G152-G150-G157</f>
        <v>978.50900000000001</v>
      </c>
      <c r="H169" s="331">
        <f>H127+H128-H149-H152-H150-H157</f>
        <v>1328.5500000000002</v>
      </c>
      <c r="I169" s="331">
        <f>I127+I128-I149-I152-I150-I157</f>
        <v>1217.7609999999997</v>
      </c>
      <c r="J169" s="331">
        <f>J127+J128-J149-J152-J150-J157</f>
        <v>29767.346738594522</v>
      </c>
      <c r="K169" s="331">
        <f>K127+K128-K149-K152-K150-K157</f>
        <v>27309.333751575665</v>
      </c>
      <c r="L169" s="331">
        <f>L127+L128-L149-L152-L150-L157</f>
        <v>28464.015204676918</v>
      </c>
      <c r="M169" s="331">
        <f>M127+M128-M149-M152-M150-M157</f>
        <v>38856.948870932982</v>
      </c>
      <c r="N169" s="331">
        <f>N127+N128-N149-N152-N150-N157</f>
        <v>64129.690588569334</v>
      </c>
      <c r="O169" s="331">
        <f>O127+O128-O149-O152-O150-O157</f>
        <v>118404.08925710946</v>
      </c>
      <c r="P169" s="331">
        <f>P127+P128-P149-P152-P150-P157</f>
        <v>209092.81949484511</v>
      </c>
      <c r="Q169" s="331">
        <f>Q127+Q128-Q149-Q152-Q150-Q157</f>
        <v>353024.03966342111</v>
      </c>
      <c r="R169" s="331">
        <f>R127+R128-R149-R152-R150-R157</f>
        <v>557664.95940790803</v>
      </c>
      <c r="S169" s="331">
        <f>S127+S128-S149-S152-S150-S157</f>
        <v>837830.53218283947</v>
      </c>
      <c r="T169" s="332"/>
      <c r="U169" s="333"/>
      <c r="V169" s="333"/>
      <c r="W169" s="333"/>
      <c r="X169" s="333"/>
      <c r="Y169" s="333"/>
      <c r="Z169" s="333"/>
    </row>
    <row r="171" spans="1:26" ht="11.85" customHeight="1">
      <c r="A171" s="52" t="s">
        <v>127</v>
      </c>
      <c r="B171" s="52"/>
      <c r="C171" s="52"/>
      <c r="D171" s="52"/>
      <c r="E171" s="52"/>
      <c r="F171" s="53">
        <f>F3</f>
        <v>2022</v>
      </c>
      <c r="G171" s="53">
        <f>G3</f>
        <v>2023</v>
      </c>
      <c r="H171" s="53">
        <f>H3</f>
        <v>2024</v>
      </c>
      <c r="I171" s="53">
        <f>I3</f>
        <v>2025</v>
      </c>
      <c r="J171" s="54">
        <f>J3</f>
        <v>2026</v>
      </c>
      <c r="K171" s="54">
        <f>K3</f>
        <v>2027</v>
      </c>
      <c r="L171" s="54">
        <f>L3</f>
        <v>2028</v>
      </c>
      <c r="M171" s="54">
        <f>M3</f>
        <v>2029</v>
      </c>
      <c r="N171" s="54">
        <f>N3</f>
        <v>2030</v>
      </c>
      <c r="O171" s="54">
        <f>O3</f>
        <v>2031</v>
      </c>
      <c r="P171" s="54">
        <f>P3</f>
        <v>2032</v>
      </c>
      <c r="Q171" s="54">
        <f>Q3</f>
        <v>2033</v>
      </c>
      <c r="R171" s="54">
        <f>R3</f>
        <v>2034</v>
      </c>
      <c r="S171" s="54">
        <f>S3</f>
        <v>2035</v>
      </c>
      <c r="T171" s="48"/>
      <c r="U171" s="53"/>
      <c r="V171" s="53"/>
      <c r="W171" s="53"/>
      <c r="X171" s="53"/>
      <c r="Y171" s="53"/>
      <c r="Z171" s="53"/>
    </row>
    <row r="172" spans="1:26" ht="11.85" customHeight="1">
      <c r="B172" s="116" t="s">
        <v>97</v>
      </c>
      <c r="C172" s="130"/>
      <c r="F172" s="118">
        <f>F130</f>
        <v>27.885999999999999</v>
      </c>
      <c r="G172" s="118">
        <f>G130</f>
        <v>416.44099999999997</v>
      </c>
      <c r="H172" s="118">
        <f>H130</f>
        <v>666.84100000000001</v>
      </c>
      <c r="I172" s="118">
        <f>I130</f>
        <v>698.94200000000001</v>
      </c>
      <c r="J172" s="118">
        <f>J173*(J4/365)*2-I172</f>
        <v>2079.8974871232872</v>
      </c>
      <c r="K172" s="118">
        <f>K173*(K4/365)*2-J172</f>
        <v>5720.013560328769</v>
      </c>
      <c r="L172" s="118">
        <f>L173*(L4/365)*2-K172</f>
        <v>7169.711231351228</v>
      </c>
      <c r="M172" s="118">
        <f>M173*(M4/365)*2-L172</f>
        <v>19263.955340687346</v>
      </c>
      <c r="N172" s="118">
        <f>N173*(N4/365)*2-M172</f>
        <v>34882.89689395707</v>
      </c>
      <c r="O172" s="118">
        <f>O173*(O4/365)*2-N172</f>
        <v>53263.723396208276</v>
      </c>
      <c r="P172" s="118">
        <f>P173*(P4/365)*2-O172</f>
        <v>78417.013143190008</v>
      </c>
      <c r="Q172" s="118">
        <f>Q173*(Q4/365)*2-P172</f>
        <v>104615.7131363324</v>
      </c>
      <c r="R172" s="118">
        <f>R173*(R4/365)*2-Q172</f>
        <v>135029.02646958921</v>
      </c>
      <c r="S172" s="118">
        <f>S173*(S4/365)*2-R172</f>
        <v>163711.55420363211</v>
      </c>
    </row>
    <row r="173" spans="1:26" ht="11.85" customHeight="1">
      <c r="B173" s="116"/>
      <c r="C173" s="115" t="s">
        <v>128</v>
      </c>
      <c r="F173" s="118"/>
      <c r="G173" s="121">
        <f>AVERAGE(F172:G172)/(G4/365)</f>
        <v>651.12397420867524</v>
      </c>
      <c r="H173" s="121">
        <f>AVERAGE(G172:H172)/(H4/365)</f>
        <v>632.81083754249175</v>
      </c>
      <c r="I173" s="121">
        <f>AVERAGE(H172:I172)/(I4/365)</f>
        <v>344.11666096027517</v>
      </c>
      <c r="J173" s="131">
        <v>80</v>
      </c>
      <c r="K173" s="131">
        <v>60</v>
      </c>
      <c r="L173" s="131">
        <v>40</v>
      </c>
      <c r="M173" s="131">
        <v>40</v>
      </c>
      <c r="N173" s="131">
        <v>45</v>
      </c>
      <c r="O173" s="131">
        <f>N173-0.5</f>
        <v>44.5</v>
      </c>
      <c r="P173" s="131">
        <f t="shared" ref="P173:S173" si="146">O173-0.5</f>
        <v>44</v>
      </c>
      <c r="Q173" s="131">
        <f t="shared" si="146"/>
        <v>43.5</v>
      </c>
      <c r="R173" s="131">
        <f t="shared" si="146"/>
        <v>43</v>
      </c>
      <c r="S173" s="131">
        <f t="shared" si="146"/>
        <v>42.5</v>
      </c>
    </row>
    <row r="174" spans="1:26" ht="11.85" customHeight="1">
      <c r="B174" s="115"/>
      <c r="C174" s="115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</row>
    <row r="175" spans="1:26" ht="11.85" customHeight="1">
      <c r="B175" s="116" t="s">
        <v>98</v>
      </c>
      <c r="C175" s="115"/>
      <c r="F175" s="118">
        <f>F131</f>
        <v>10.342000000000001</v>
      </c>
      <c r="G175" s="118">
        <f>G131</f>
        <v>28.782</v>
      </c>
      <c r="H175" s="118">
        <f>H131</f>
        <v>32.465000000000003</v>
      </c>
      <c r="I175" s="118">
        <f>I131</f>
        <v>125.81699999999999</v>
      </c>
      <c r="J175" s="118">
        <f>J176/365*-J7</f>
        <v>496.18923425753417</v>
      </c>
      <c r="K175" s="118">
        <f>K176/365*-K7</f>
        <v>1418.9915254832874</v>
      </c>
      <c r="L175" s="118">
        <f>L176/365*-L7</f>
        <v>3139.2829740302327</v>
      </c>
      <c r="M175" s="118">
        <f>M176/365*-M7</f>
        <v>6296.6963776939056</v>
      </c>
      <c r="N175" s="118">
        <f>N176/365*-N7</f>
        <v>11180.183705952957</v>
      </c>
      <c r="O175" s="118">
        <f>O176/365*-O7</f>
        <v>17910.597760620494</v>
      </c>
      <c r="P175" s="118">
        <f>P176/365*-P7</f>
        <v>26697.545782437795</v>
      </c>
      <c r="Q175" s="118">
        <f>Q176/365*-Q7</f>
        <v>37010.298927628974</v>
      </c>
      <c r="R175" s="118">
        <f>R176/365*-R7</f>
        <v>48314.932448352374</v>
      </c>
      <c r="S175" s="118">
        <f>S176/365*-S7</f>
        <v>60040.000324475594</v>
      </c>
    </row>
    <row r="176" spans="1:26" ht="11.85" customHeight="1">
      <c r="B176" s="115"/>
      <c r="C176" s="115" t="s">
        <v>129</v>
      </c>
      <c r="F176" s="47"/>
      <c r="G176" s="121">
        <f>(AVERAGE(F175,G175)/-G7)*365</f>
        <v>162.06941165788996</v>
      </c>
      <c r="H176" s="121">
        <f>(AVERAGE(G175,H175)/-H7)*365</f>
        <v>81.872019776597682</v>
      </c>
      <c r="I176" s="121">
        <f>(AVERAGE(H175,I175)/-I7)*365</f>
        <v>67.54255538044977</v>
      </c>
      <c r="J176" s="132">
        <v>40</v>
      </c>
      <c r="K176" s="132">
        <v>30</v>
      </c>
      <c r="L176" s="132">
        <v>27</v>
      </c>
      <c r="M176" s="132">
        <f t="shared" ref="M176:S176" si="147">L176</f>
        <v>27</v>
      </c>
      <c r="N176" s="132">
        <f t="shared" si="147"/>
        <v>27</v>
      </c>
      <c r="O176" s="132">
        <f t="shared" si="147"/>
        <v>27</v>
      </c>
      <c r="P176" s="132">
        <f t="shared" si="147"/>
        <v>27</v>
      </c>
      <c r="Q176" s="132">
        <f t="shared" si="147"/>
        <v>27</v>
      </c>
      <c r="R176" s="132">
        <f t="shared" si="147"/>
        <v>27</v>
      </c>
      <c r="S176" s="132">
        <f t="shared" si="147"/>
        <v>27</v>
      </c>
    </row>
    <row r="177" spans="1:30" ht="11.85" customHeight="1">
      <c r="B177" s="115"/>
      <c r="C177" s="115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</row>
    <row r="178" spans="1:30" ht="11.85" customHeight="1">
      <c r="B178" s="116" t="s">
        <v>130</v>
      </c>
      <c r="C178" s="130"/>
      <c r="F178" s="118">
        <f>F147</f>
        <v>25.834</v>
      </c>
      <c r="G178" s="118">
        <f>G147</f>
        <v>288.197</v>
      </c>
      <c r="H178" s="118">
        <f>H147</f>
        <v>603.48800000000006</v>
      </c>
      <c r="I178" s="118">
        <f>I147</f>
        <v>1328.6310000000001</v>
      </c>
      <c r="J178" s="118">
        <f>J179/365*-J7</f>
        <v>4961.8923425753419</v>
      </c>
      <c r="K178" s="118">
        <f>K179/365*-K7</f>
        <v>11824.929379027395</v>
      </c>
      <c r="L178" s="118">
        <f>L179/365*-L7</f>
        <v>17440.460966834624</v>
      </c>
      <c r="M178" s="118">
        <f>M179/365*-M7</f>
        <v>34981.646542743918</v>
      </c>
      <c r="N178" s="118">
        <f>N179/365*-N7</f>
        <v>57971.322919756065</v>
      </c>
      <c r="O178" s="118">
        <f>O179/365*-O7</f>
        <v>86236.211440024592</v>
      </c>
      <c r="P178" s="118">
        <f>P179/365*-P7</f>
        <v>118655.75903305685</v>
      </c>
      <c r="Q178" s="118">
        <f>Q179/365*-Q7</f>
        <v>150782.6993347847</v>
      </c>
      <c r="R178" s="118">
        <f>R179/365*-R7</f>
        <v>178944.19425315692</v>
      </c>
      <c r="S178" s="118">
        <f>S179/365*-S7</f>
        <v>200133.33441491862</v>
      </c>
    </row>
    <row r="179" spans="1:30" s="66" customFormat="1" ht="11.85" customHeight="1">
      <c r="B179" s="133"/>
      <c r="C179" s="134" t="s">
        <v>131</v>
      </c>
      <c r="F179" s="135"/>
      <c r="G179" s="121">
        <f>(AVERAGE(F178:G178)*365)/-G7</f>
        <v>1300.8593040675505</v>
      </c>
      <c r="H179" s="121">
        <f>(AVERAGE(G178:H178)*365)/-H7</f>
        <v>1191.9612708295185</v>
      </c>
      <c r="I179" s="121">
        <f>(AVERAGE(H178:I178)*365)/-I7</f>
        <v>824.47943897044047</v>
      </c>
      <c r="J179" s="131">
        <v>400</v>
      </c>
      <c r="K179" s="131">
        <v>250</v>
      </c>
      <c r="L179" s="131">
        <v>150</v>
      </c>
      <c r="M179" s="131">
        <v>150</v>
      </c>
      <c r="N179" s="131">
        <f>M179-10</f>
        <v>140</v>
      </c>
      <c r="O179" s="131">
        <f t="shared" ref="O179:S179" si="148">N179-10</f>
        <v>130</v>
      </c>
      <c r="P179" s="131">
        <f t="shared" si="148"/>
        <v>120</v>
      </c>
      <c r="Q179" s="131">
        <f t="shared" si="148"/>
        <v>110</v>
      </c>
      <c r="R179" s="131">
        <f t="shared" si="148"/>
        <v>100</v>
      </c>
      <c r="S179" s="131">
        <f t="shared" si="148"/>
        <v>90</v>
      </c>
      <c r="T179" s="136"/>
      <c r="U179" s="137"/>
      <c r="V179" s="137"/>
      <c r="W179" s="137"/>
      <c r="X179" s="137"/>
      <c r="Y179" s="137"/>
      <c r="Z179" s="137"/>
    </row>
    <row r="180" spans="1:30" ht="11.85" customHeight="1">
      <c r="B180" s="116"/>
      <c r="C180" s="115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</row>
    <row r="181" spans="1:30" ht="11.85" customHeight="1">
      <c r="B181" s="116" t="s">
        <v>132</v>
      </c>
      <c r="C181" s="130"/>
      <c r="F181" s="118">
        <f>F149</f>
        <v>0</v>
      </c>
      <c r="G181" s="118">
        <f>G149</f>
        <v>0</v>
      </c>
      <c r="H181" s="118">
        <f>H149</f>
        <v>137.24600000000001</v>
      </c>
      <c r="I181" s="118">
        <f>I149</f>
        <v>604.83600000000001</v>
      </c>
      <c r="J181" s="118">
        <f>-J182*SUM(J14,J15,J16)</f>
        <v>1033.48368</v>
      </c>
      <c r="K181" s="118">
        <f>-K182*SUM(K14,K15,K16)</f>
        <v>1884.9751604999999</v>
      </c>
      <c r="L181" s="118">
        <f>-L182*SUM(L14,L15,L16)</f>
        <v>2825.8311734909998</v>
      </c>
      <c r="M181" s="118">
        <f>-M182*SUM(M14,M15,M16)</f>
        <v>4464.3130997481003</v>
      </c>
      <c r="N181" s="118">
        <f>-N182*SUM(N14,N15,N16)</f>
        <v>6839.7667876739933</v>
      </c>
      <c r="O181" s="118">
        <f>-O182*SUM(O14,O15,O16)</f>
        <v>9457.2021520730577</v>
      </c>
      <c r="P181" s="118">
        <f>-P182*SUM(P14,P15,P16)</f>
        <v>12067.784721835373</v>
      </c>
      <c r="Q181" s="118">
        <f>-Q182*SUM(Q14,Q15,Q16)</f>
        <v>14493.954723751283</v>
      </c>
      <c r="R181" s="118">
        <f>-R182*SUM(R14,R15,R16)</f>
        <v>16650.902825362467</v>
      </c>
      <c r="S181" s="118">
        <f>-S182*SUM(S14,S15,S16)</f>
        <v>18527.602254228219</v>
      </c>
    </row>
    <row r="182" spans="1:30" ht="11.85" customHeight="1">
      <c r="C182" s="115" t="s">
        <v>133</v>
      </c>
      <c r="F182" s="68">
        <f>-F181/SUM(F14,F15,F16)</f>
        <v>0</v>
      </c>
      <c r="G182" s="68">
        <f>-G181/SUM(G14,G15,G16)</f>
        <v>0</v>
      </c>
      <c r="H182" s="68">
        <f>-H181/SUM(H14,H15,H16)</f>
        <v>5.0522839197589264E-2</v>
      </c>
      <c r="I182" s="68">
        <f>-I181/SUM(I14,I15,I16)</f>
        <v>0.14836524623411906</v>
      </c>
      <c r="J182" s="90">
        <v>0.15</v>
      </c>
      <c r="K182" s="90">
        <v>0.15</v>
      </c>
      <c r="L182" s="90">
        <v>0.15</v>
      </c>
      <c r="M182" s="90">
        <v>0.15</v>
      </c>
      <c r="N182" s="90">
        <v>0.15</v>
      </c>
      <c r="O182" s="90">
        <v>0.15</v>
      </c>
      <c r="P182" s="90">
        <v>0.15</v>
      </c>
      <c r="Q182" s="90">
        <v>0.15</v>
      </c>
      <c r="R182" s="90">
        <v>0.15</v>
      </c>
      <c r="S182" s="90">
        <v>0.15</v>
      </c>
    </row>
    <row r="183" spans="1:30" ht="11.85" customHeight="1">
      <c r="C183" s="115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</row>
    <row r="184" spans="1:30" ht="11.85" customHeight="1">
      <c r="B184" s="116" t="s">
        <v>134</v>
      </c>
      <c r="C184" s="115"/>
      <c r="G184" s="68"/>
      <c r="H184" s="68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</row>
    <row r="185" spans="1:30" ht="11.85" customHeight="1">
      <c r="C185" s="115" t="s">
        <v>135</v>
      </c>
      <c r="F185" s="76">
        <v>0</v>
      </c>
      <c r="G185" s="121">
        <f>F188</f>
        <v>41.417999999999999</v>
      </c>
      <c r="H185" s="121">
        <f>G188</f>
        <v>787.53700000000003</v>
      </c>
      <c r="I185" s="121">
        <f t="shared" ref="I185:S185" si="149">H188</f>
        <v>866.36300000000006</v>
      </c>
      <c r="J185" s="121">
        <f t="shared" si="149"/>
        <v>655.82500000000005</v>
      </c>
      <c r="K185" s="121">
        <f t="shared" si="149"/>
        <v>531.68436000000008</v>
      </c>
      <c r="L185" s="121">
        <f t="shared" si="149"/>
        <v>413.32235200000014</v>
      </c>
      <c r="M185" s="121">
        <f t="shared" si="149"/>
        <v>394.32669920000018</v>
      </c>
      <c r="N185" s="121">
        <f t="shared" si="149"/>
        <v>398.33843712000021</v>
      </c>
      <c r="O185" s="121">
        <f t="shared" si="149"/>
        <v>402.24574483200024</v>
      </c>
      <c r="P185" s="121">
        <f t="shared" si="149"/>
        <v>406.2679993152002</v>
      </c>
      <c r="Q185" s="121">
        <f t="shared" si="149"/>
        <v>410.69247924672015</v>
      </c>
      <c r="R185" s="121">
        <f t="shared" si="149"/>
        <v>415.55940717139214</v>
      </c>
      <c r="S185" s="121">
        <f t="shared" si="149"/>
        <v>420.91302788853136</v>
      </c>
      <c r="T185" s="121"/>
    </row>
    <row r="186" spans="1:30" ht="11.85" customHeight="1">
      <c r="C186" s="115" t="s">
        <v>136</v>
      </c>
      <c r="F186" s="138">
        <v>31.651</v>
      </c>
      <c r="G186" s="138">
        <v>506.76</v>
      </c>
      <c r="H186" s="138">
        <v>125.958</v>
      </c>
      <c r="I186" s="138">
        <v>11.491</v>
      </c>
      <c r="J186" s="121">
        <f t="shared" ref="J186:S186" si="150">J190</f>
        <v>13.789199999999999</v>
      </c>
      <c r="K186" s="121">
        <f t="shared" si="150"/>
        <v>16.547039999999999</v>
      </c>
      <c r="L186" s="121">
        <f t="shared" si="150"/>
        <v>18.201744000000001</v>
      </c>
      <c r="M186" s="121">
        <f t="shared" si="150"/>
        <v>20.021918400000004</v>
      </c>
      <c r="N186" s="121">
        <f t="shared" si="150"/>
        <v>22.024110240000006</v>
      </c>
      <c r="O186" s="121">
        <f t="shared" si="150"/>
        <v>24.226521264000009</v>
      </c>
      <c r="P186" s="121">
        <f t="shared" si="150"/>
        <v>26.649173390400012</v>
      </c>
      <c r="Q186" s="121">
        <f t="shared" si="150"/>
        <v>29.314090729440014</v>
      </c>
      <c r="R186" s="121">
        <f t="shared" si="150"/>
        <v>32.245499802384018</v>
      </c>
      <c r="S186" s="121">
        <f t="shared" si="150"/>
        <v>35.470049782622425</v>
      </c>
      <c r="T186" s="121"/>
      <c r="U186" s="138">
        <v>98.388000000000005</v>
      </c>
      <c r="W186" s="138">
        <v>12.74</v>
      </c>
    </row>
    <row r="187" spans="1:30" ht="11.85" customHeight="1">
      <c r="C187" s="115" t="s">
        <v>137</v>
      </c>
      <c r="F187" s="138">
        <v>-16.567</v>
      </c>
      <c r="G187" s="138">
        <v>-63.822000000000003</v>
      </c>
      <c r="H187" s="138">
        <v>-270.25200000000001</v>
      </c>
      <c r="I187" s="138">
        <v>-270.06799999999998</v>
      </c>
      <c r="J187" s="121">
        <f t="shared" ref="J187:S187" si="151">-J209</f>
        <v>-137.92984000000001</v>
      </c>
      <c r="K187" s="121">
        <f t="shared" si="151"/>
        <v>-134.90904799999998</v>
      </c>
      <c r="L187" s="121">
        <f t="shared" si="151"/>
        <v>-37.1973968</v>
      </c>
      <c r="M187" s="121">
        <f t="shared" si="151"/>
        <v>-16.010180479999999</v>
      </c>
      <c r="N187" s="121">
        <f t="shared" si="151"/>
        <v>-18.116802528000001</v>
      </c>
      <c r="O187" s="121">
        <f t="shared" si="151"/>
        <v>-20.204266780800005</v>
      </c>
      <c r="P187" s="121">
        <f t="shared" si="151"/>
        <v>-22.224693458880012</v>
      </c>
      <c r="Q187" s="121">
        <f t="shared" si="151"/>
        <v>-24.447162804768009</v>
      </c>
      <c r="R187" s="121">
        <f t="shared" si="151"/>
        <v>-26.891879085244813</v>
      </c>
      <c r="S187" s="121">
        <f t="shared" si="151"/>
        <v>-29.581066993769298</v>
      </c>
      <c r="T187" s="121"/>
    </row>
    <row r="188" spans="1:30" ht="11.85" customHeight="1">
      <c r="C188" s="115" t="s">
        <v>138</v>
      </c>
      <c r="F188" s="121">
        <f>F136</f>
        <v>41.417999999999999</v>
      </c>
      <c r="G188" s="121">
        <f>G136</f>
        <v>787.53700000000003</v>
      </c>
      <c r="H188" s="121">
        <f>H136</f>
        <v>866.36300000000006</v>
      </c>
      <c r="I188" s="121">
        <f>I136</f>
        <v>655.82500000000005</v>
      </c>
      <c r="J188" s="121">
        <f t="shared" ref="J188:S188" si="152">J185+J186+J187</f>
        <v>531.68436000000008</v>
      </c>
      <c r="K188" s="121">
        <f t="shared" si="152"/>
        <v>413.32235200000014</v>
      </c>
      <c r="L188" s="121">
        <f t="shared" si="152"/>
        <v>394.32669920000018</v>
      </c>
      <c r="M188" s="121">
        <f t="shared" si="152"/>
        <v>398.33843712000021</v>
      </c>
      <c r="N188" s="121">
        <f t="shared" si="152"/>
        <v>402.24574483200024</v>
      </c>
      <c r="O188" s="121">
        <f t="shared" si="152"/>
        <v>406.2679993152002</v>
      </c>
      <c r="P188" s="121">
        <f t="shared" si="152"/>
        <v>410.69247924672015</v>
      </c>
      <c r="Q188" s="121">
        <f t="shared" si="152"/>
        <v>415.55940717139214</v>
      </c>
      <c r="R188" s="121">
        <f t="shared" si="152"/>
        <v>420.91302788853136</v>
      </c>
      <c r="S188" s="121">
        <f t="shared" si="152"/>
        <v>426.80201067738449</v>
      </c>
      <c r="T188" s="121"/>
    </row>
    <row r="189" spans="1:30" ht="11.85" customHeight="1">
      <c r="C189" s="115"/>
      <c r="G189" s="68"/>
      <c r="H189" s="68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</row>
    <row r="190" spans="1:30" ht="11.85" customHeight="1">
      <c r="B190" s="46" t="s">
        <v>139</v>
      </c>
      <c r="C190" s="115"/>
      <c r="F190" s="121">
        <f>F186</f>
        <v>31.651</v>
      </c>
      <c r="G190" s="121">
        <f>G186</f>
        <v>506.76</v>
      </c>
      <c r="H190" s="121">
        <f>H186</f>
        <v>125.958</v>
      </c>
      <c r="I190" s="121">
        <f>I186</f>
        <v>11.491</v>
      </c>
      <c r="J190" s="121">
        <f t="shared" ref="J190:S190" si="153">I190*(1+J191)</f>
        <v>13.789199999999999</v>
      </c>
      <c r="K190" s="121">
        <f t="shared" si="153"/>
        <v>16.547039999999999</v>
      </c>
      <c r="L190" s="121">
        <f t="shared" si="153"/>
        <v>18.201744000000001</v>
      </c>
      <c r="M190" s="121">
        <f t="shared" si="153"/>
        <v>20.021918400000004</v>
      </c>
      <c r="N190" s="121">
        <f t="shared" si="153"/>
        <v>22.024110240000006</v>
      </c>
      <c r="O190" s="121">
        <f t="shared" si="153"/>
        <v>24.226521264000009</v>
      </c>
      <c r="P190" s="121">
        <f t="shared" si="153"/>
        <v>26.649173390400012</v>
      </c>
      <c r="Q190" s="121">
        <f t="shared" si="153"/>
        <v>29.314090729440014</v>
      </c>
      <c r="R190" s="121">
        <f t="shared" si="153"/>
        <v>32.245499802384018</v>
      </c>
      <c r="S190" s="121">
        <f t="shared" si="153"/>
        <v>35.470049782622425</v>
      </c>
      <c r="T190" s="121"/>
    </row>
    <row r="191" spans="1:30" s="123" customFormat="1" ht="11.85" customHeight="1">
      <c r="A191" s="46"/>
      <c r="B191" s="46"/>
      <c r="C191" s="115" t="s">
        <v>26</v>
      </c>
      <c r="D191" s="46"/>
      <c r="E191" s="46"/>
      <c r="F191" s="121"/>
      <c r="G191" s="68">
        <f>G190/F190-1</f>
        <v>15.0108685349594</v>
      </c>
      <c r="H191" s="68">
        <f>H190/G190-1</f>
        <v>-0.75144447075538712</v>
      </c>
      <c r="I191" s="68">
        <f>I190/H190-1</f>
        <v>-0.90877117769415205</v>
      </c>
      <c r="J191" s="90">
        <v>0.2</v>
      </c>
      <c r="K191" s="90">
        <v>0.2</v>
      </c>
      <c r="L191" s="90">
        <v>0.1</v>
      </c>
      <c r="M191" s="90">
        <v>0.1</v>
      </c>
      <c r="N191" s="90">
        <v>0.1</v>
      </c>
      <c r="O191" s="90">
        <v>0.1</v>
      </c>
      <c r="P191" s="90">
        <v>0.1</v>
      </c>
      <c r="Q191" s="90">
        <v>0.1</v>
      </c>
      <c r="R191" s="90">
        <v>0.1</v>
      </c>
      <c r="S191" s="90">
        <v>0.1</v>
      </c>
      <c r="T191" s="90"/>
      <c r="AA191" s="46"/>
      <c r="AB191" s="46"/>
      <c r="AC191" s="46"/>
      <c r="AD191" s="46"/>
    </row>
    <row r="192" spans="1:30" s="123" customFormat="1" ht="11.85" customHeight="1">
      <c r="A192" s="46"/>
      <c r="B192" s="46"/>
      <c r="C192" s="115" t="s">
        <v>140</v>
      </c>
      <c r="D192" s="46"/>
      <c r="E192" s="46"/>
      <c r="F192" s="131">
        <v>5</v>
      </c>
      <c r="G192" s="131">
        <v>5</v>
      </c>
      <c r="H192" s="131">
        <v>5</v>
      </c>
      <c r="I192" s="131">
        <v>5</v>
      </c>
      <c r="J192" s="131">
        <v>5</v>
      </c>
      <c r="K192" s="131">
        <v>5</v>
      </c>
      <c r="L192" s="131">
        <v>5</v>
      </c>
      <c r="M192" s="131">
        <v>5</v>
      </c>
      <c r="N192" s="131">
        <v>5</v>
      </c>
      <c r="O192" s="131">
        <v>5</v>
      </c>
      <c r="P192" s="131">
        <v>5</v>
      </c>
      <c r="Q192" s="131">
        <v>5</v>
      </c>
      <c r="R192" s="131">
        <v>5</v>
      </c>
      <c r="S192" s="131">
        <v>5</v>
      </c>
      <c r="T192" s="131"/>
      <c r="AA192" s="46"/>
      <c r="AB192" s="46"/>
      <c r="AC192" s="46"/>
      <c r="AD192" s="46"/>
    </row>
    <row r="193" spans="1:30" s="123" customFormat="1" ht="11.85" customHeight="1">
      <c r="A193" s="46"/>
      <c r="B193" s="46"/>
      <c r="C193" s="115"/>
      <c r="D193" s="46"/>
      <c r="E193" s="46"/>
      <c r="F193" s="121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AA193" s="46"/>
      <c r="AB193" s="46"/>
      <c r="AC193" s="46"/>
      <c r="AD193" s="46"/>
    </row>
    <row r="194" spans="1:30" s="123" customFormat="1" ht="11.85" customHeight="1">
      <c r="A194" s="46"/>
      <c r="B194" s="46" t="s">
        <v>141</v>
      </c>
      <c r="C194" s="115"/>
      <c r="D194" s="46"/>
      <c r="E194" s="46"/>
      <c r="F194" s="121"/>
      <c r="G194" s="68"/>
      <c r="H194" s="68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AA194" s="46"/>
      <c r="AB194" s="46"/>
      <c r="AC194" s="46"/>
      <c r="AD194" s="46"/>
    </row>
    <row r="195" spans="1:30" s="123" customFormat="1" ht="11.85" customHeight="1">
      <c r="A195" s="46"/>
      <c r="B195" s="121"/>
      <c r="C195" s="139" t="s">
        <v>142</v>
      </c>
      <c r="D195" s="46"/>
      <c r="E195" s="140">
        <v>2022</v>
      </c>
      <c r="F195" s="67">
        <f t="shared" ref="F195:S208" si="154">IF(AND(F$171&gt;=$E195,F$171&lt;$E195+_xlfn.XLOOKUP($E195,$F$171:$S$171,$F$192:$S$192)),_xlfn.XLOOKUP($E195,$F$171:$S$171,$F$190:$S$190)/_xlfn.XLOOKUP($E195,$F$171:$S$171,$F$192:$S$192),0)</f>
        <v>6.3301999999999996</v>
      </c>
      <c r="G195" s="67">
        <f t="shared" si="154"/>
        <v>6.3301999999999996</v>
      </c>
      <c r="H195" s="67">
        <f t="shared" si="154"/>
        <v>6.3301999999999996</v>
      </c>
      <c r="I195" s="67">
        <f t="shared" si="154"/>
        <v>6.3301999999999996</v>
      </c>
      <c r="J195" s="67">
        <f t="shared" si="154"/>
        <v>6.3301999999999996</v>
      </c>
      <c r="K195" s="67">
        <f t="shared" si="154"/>
        <v>0</v>
      </c>
      <c r="L195" s="67">
        <f t="shared" si="154"/>
        <v>0</v>
      </c>
      <c r="M195" s="67">
        <f t="shared" si="154"/>
        <v>0</v>
      </c>
      <c r="N195" s="67">
        <f t="shared" si="154"/>
        <v>0</v>
      </c>
      <c r="O195" s="67">
        <f t="shared" si="154"/>
        <v>0</v>
      </c>
      <c r="P195" s="67">
        <f t="shared" si="154"/>
        <v>0</v>
      </c>
      <c r="Q195" s="67">
        <f t="shared" si="154"/>
        <v>0</v>
      </c>
      <c r="R195" s="67">
        <f t="shared" si="154"/>
        <v>0</v>
      </c>
      <c r="S195" s="67">
        <f t="shared" si="154"/>
        <v>0</v>
      </c>
      <c r="T195" s="67"/>
      <c r="AA195" s="46"/>
      <c r="AB195" s="46"/>
      <c r="AC195" s="46"/>
      <c r="AD195" s="46"/>
    </row>
    <row r="196" spans="1:30" s="123" customFormat="1" ht="11.85" customHeight="1">
      <c r="A196" s="46"/>
      <c r="B196" s="46"/>
      <c r="C196" s="139" t="s">
        <v>143</v>
      </c>
      <c r="D196" s="46"/>
      <c r="E196" s="140">
        <f>E195+1</f>
        <v>2023</v>
      </c>
      <c r="F196" s="67">
        <f t="shared" si="154"/>
        <v>0</v>
      </c>
      <c r="G196" s="67">
        <f t="shared" si="154"/>
        <v>101.352</v>
      </c>
      <c r="H196" s="67">
        <f t="shared" si="154"/>
        <v>101.352</v>
      </c>
      <c r="I196" s="67">
        <f t="shared" si="154"/>
        <v>101.352</v>
      </c>
      <c r="J196" s="67">
        <f t="shared" si="154"/>
        <v>101.352</v>
      </c>
      <c r="K196" s="67">
        <f t="shared" si="154"/>
        <v>101.352</v>
      </c>
      <c r="L196" s="67">
        <f t="shared" si="154"/>
        <v>0</v>
      </c>
      <c r="M196" s="67">
        <f t="shared" si="154"/>
        <v>0</v>
      </c>
      <c r="N196" s="67">
        <f t="shared" si="154"/>
        <v>0</v>
      </c>
      <c r="O196" s="67">
        <f t="shared" si="154"/>
        <v>0</v>
      </c>
      <c r="P196" s="67">
        <f t="shared" si="154"/>
        <v>0</v>
      </c>
      <c r="Q196" s="67">
        <f t="shared" si="154"/>
        <v>0</v>
      </c>
      <c r="R196" s="67">
        <f t="shared" si="154"/>
        <v>0</v>
      </c>
      <c r="S196" s="67">
        <f t="shared" si="154"/>
        <v>0</v>
      </c>
      <c r="T196" s="67"/>
      <c r="AA196" s="46"/>
      <c r="AB196" s="46"/>
      <c r="AC196" s="46"/>
      <c r="AD196" s="46"/>
    </row>
    <row r="197" spans="1:30" s="123" customFormat="1" ht="11.85" customHeight="1">
      <c r="A197" s="46"/>
      <c r="B197" s="46"/>
      <c r="C197" s="139" t="s">
        <v>144</v>
      </c>
      <c r="D197" s="46"/>
      <c r="E197" s="140">
        <f t="shared" ref="E197:E208" si="155">E196+1</f>
        <v>2024</v>
      </c>
      <c r="F197" s="67">
        <f t="shared" si="154"/>
        <v>0</v>
      </c>
      <c r="G197" s="67">
        <f t="shared" si="154"/>
        <v>0</v>
      </c>
      <c r="H197" s="67">
        <f t="shared" si="154"/>
        <v>25.191600000000001</v>
      </c>
      <c r="I197" s="67">
        <f t="shared" si="154"/>
        <v>25.191600000000001</v>
      </c>
      <c r="J197" s="67">
        <f t="shared" si="154"/>
        <v>25.191600000000001</v>
      </c>
      <c r="K197" s="67">
        <f t="shared" si="154"/>
        <v>25.191600000000001</v>
      </c>
      <c r="L197" s="67">
        <f t="shared" si="154"/>
        <v>25.191600000000001</v>
      </c>
      <c r="M197" s="67">
        <f t="shared" si="154"/>
        <v>0</v>
      </c>
      <c r="N197" s="67">
        <f t="shared" si="154"/>
        <v>0</v>
      </c>
      <c r="O197" s="67">
        <f t="shared" si="154"/>
        <v>0</v>
      </c>
      <c r="P197" s="67">
        <f t="shared" si="154"/>
        <v>0</v>
      </c>
      <c r="Q197" s="67">
        <f t="shared" si="154"/>
        <v>0</v>
      </c>
      <c r="R197" s="67">
        <f t="shared" si="154"/>
        <v>0</v>
      </c>
      <c r="S197" s="67">
        <f t="shared" si="154"/>
        <v>0</v>
      </c>
      <c r="T197" s="67"/>
      <c r="AA197" s="46"/>
      <c r="AB197" s="46"/>
      <c r="AC197" s="46"/>
      <c r="AD197" s="46"/>
    </row>
    <row r="198" spans="1:30" s="123" customFormat="1" ht="11.85" customHeight="1">
      <c r="A198" s="46"/>
      <c r="B198" s="46"/>
      <c r="C198" s="139" t="s">
        <v>145</v>
      </c>
      <c r="D198" s="46"/>
      <c r="E198" s="140">
        <f t="shared" si="155"/>
        <v>2025</v>
      </c>
      <c r="F198" s="67">
        <f t="shared" si="154"/>
        <v>0</v>
      </c>
      <c r="G198" s="67">
        <f t="shared" si="154"/>
        <v>0</v>
      </c>
      <c r="H198" s="67">
        <f t="shared" si="154"/>
        <v>0</v>
      </c>
      <c r="I198" s="67">
        <f t="shared" si="154"/>
        <v>2.2982</v>
      </c>
      <c r="J198" s="67">
        <f t="shared" si="154"/>
        <v>2.2982</v>
      </c>
      <c r="K198" s="67">
        <f t="shared" si="154"/>
        <v>2.2982</v>
      </c>
      <c r="L198" s="67">
        <f t="shared" si="154"/>
        <v>2.2982</v>
      </c>
      <c r="M198" s="67">
        <f t="shared" si="154"/>
        <v>2.2982</v>
      </c>
      <c r="N198" s="67">
        <f t="shared" si="154"/>
        <v>0</v>
      </c>
      <c r="O198" s="67">
        <f t="shared" si="154"/>
        <v>0</v>
      </c>
      <c r="P198" s="67">
        <f t="shared" si="154"/>
        <v>0</v>
      </c>
      <c r="Q198" s="67">
        <f t="shared" si="154"/>
        <v>0</v>
      </c>
      <c r="R198" s="67">
        <f t="shared" si="154"/>
        <v>0</v>
      </c>
      <c r="S198" s="67">
        <f t="shared" si="154"/>
        <v>0</v>
      </c>
      <c r="T198" s="67"/>
      <c r="AA198" s="46"/>
      <c r="AB198" s="46"/>
      <c r="AC198" s="46"/>
      <c r="AD198" s="46"/>
    </row>
    <row r="199" spans="1:30" s="123" customFormat="1" ht="11.85" customHeight="1">
      <c r="A199" s="46"/>
      <c r="B199" s="46"/>
      <c r="C199" s="139" t="s">
        <v>146</v>
      </c>
      <c r="D199" s="46"/>
      <c r="E199" s="140">
        <f t="shared" si="155"/>
        <v>2026</v>
      </c>
      <c r="F199" s="67">
        <f t="shared" si="154"/>
        <v>0</v>
      </c>
      <c r="G199" s="67">
        <f t="shared" si="154"/>
        <v>0</v>
      </c>
      <c r="H199" s="67">
        <f t="shared" si="154"/>
        <v>0</v>
      </c>
      <c r="I199" s="67">
        <f t="shared" si="154"/>
        <v>0</v>
      </c>
      <c r="J199" s="67">
        <f t="shared" si="154"/>
        <v>2.7578399999999998</v>
      </c>
      <c r="K199" s="67">
        <f t="shared" si="154"/>
        <v>2.7578399999999998</v>
      </c>
      <c r="L199" s="67">
        <f t="shared" si="154"/>
        <v>2.7578399999999998</v>
      </c>
      <c r="M199" s="67">
        <f t="shared" si="154"/>
        <v>2.7578399999999998</v>
      </c>
      <c r="N199" s="67">
        <f t="shared" si="154"/>
        <v>2.7578399999999998</v>
      </c>
      <c r="O199" s="67">
        <f t="shared" si="154"/>
        <v>0</v>
      </c>
      <c r="P199" s="67">
        <f t="shared" si="154"/>
        <v>0</v>
      </c>
      <c r="Q199" s="67">
        <f t="shared" si="154"/>
        <v>0</v>
      </c>
      <c r="R199" s="67">
        <f t="shared" si="154"/>
        <v>0</v>
      </c>
      <c r="S199" s="67">
        <f t="shared" si="154"/>
        <v>0</v>
      </c>
      <c r="T199" s="67"/>
      <c r="AA199" s="46"/>
      <c r="AB199" s="46"/>
      <c r="AC199" s="46"/>
      <c r="AD199" s="46"/>
    </row>
    <row r="200" spans="1:30" s="123" customFormat="1" ht="11.85" customHeight="1">
      <c r="A200" s="46"/>
      <c r="B200" s="46"/>
      <c r="C200" s="139" t="s">
        <v>147</v>
      </c>
      <c r="D200" s="46"/>
      <c r="E200" s="140">
        <f t="shared" si="155"/>
        <v>2027</v>
      </c>
      <c r="F200" s="67">
        <f t="shared" si="154"/>
        <v>0</v>
      </c>
      <c r="G200" s="67">
        <f t="shared" si="154"/>
        <v>0</v>
      </c>
      <c r="H200" s="67">
        <f t="shared" si="154"/>
        <v>0</v>
      </c>
      <c r="I200" s="67">
        <f t="shared" si="154"/>
        <v>0</v>
      </c>
      <c r="J200" s="67">
        <f t="shared" si="154"/>
        <v>0</v>
      </c>
      <c r="K200" s="67">
        <f t="shared" si="154"/>
        <v>3.3094079999999999</v>
      </c>
      <c r="L200" s="67">
        <f t="shared" si="154"/>
        <v>3.3094079999999999</v>
      </c>
      <c r="M200" s="67">
        <f t="shared" si="154"/>
        <v>3.3094079999999999</v>
      </c>
      <c r="N200" s="67">
        <f t="shared" si="154"/>
        <v>3.3094079999999999</v>
      </c>
      <c r="O200" s="67">
        <f t="shared" si="154"/>
        <v>3.3094079999999999</v>
      </c>
      <c r="P200" s="67">
        <f t="shared" si="154"/>
        <v>0</v>
      </c>
      <c r="Q200" s="67">
        <f t="shared" si="154"/>
        <v>0</v>
      </c>
      <c r="R200" s="67">
        <f t="shared" si="154"/>
        <v>0</v>
      </c>
      <c r="S200" s="67">
        <f t="shared" si="154"/>
        <v>0</v>
      </c>
      <c r="T200" s="67"/>
      <c r="AA200" s="46"/>
      <c r="AB200" s="46"/>
      <c r="AC200" s="46"/>
      <c r="AD200" s="46"/>
    </row>
    <row r="201" spans="1:30" s="123" customFormat="1" ht="11.85" customHeight="1">
      <c r="A201" s="46"/>
      <c r="B201" s="46"/>
      <c r="C201" s="139" t="s">
        <v>148</v>
      </c>
      <c r="D201" s="46"/>
      <c r="E201" s="140">
        <f t="shared" si="155"/>
        <v>2028</v>
      </c>
      <c r="F201" s="67">
        <f t="shared" si="154"/>
        <v>0</v>
      </c>
      <c r="G201" s="67">
        <f t="shared" si="154"/>
        <v>0</v>
      </c>
      <c r="H201" s="67">
        <f t="shared" si="154"/>
        <v>0</v>
      </c>
      <c r="I201" s="67">
        <f t="shared" si="154"/>
        <v>0</v>
      </c>
      <c r="J201" s="67">
        <f t="shared" si="154"/>
        <v>0</v>
      </c>
      <c r="K201" s="67">
        <f t="shared" si="154"/>
        <v>0</v>
      </c>
      <c r="L201" s="67">
        <f t="shared" si="154"/>
        <v>3.6403488000000004</v>
      </c>
      <c r="M201" s="67">
        <f t="shared" si="154"/>
        <v>3.6403488000000004</v>
      </c>
      <c r="N201" s="67">
        <f t="shared" si="154"/>
        <v>3.6403488000000004</v>
      </c>
      <c r="O201" s="67">
        <f t="shared" si="154"/>
        <v>3.6403488000000004</v>
      </c>
      <c r="P201" s="67">
        <f t="shared" si="154"/>
        <v>3.6403488000000004</v>
      </c>
      <c r="Q201" s="67">
        <f t="shared" si="154"/>
        <v>0</v>
      </c>
      <c r="R201" s="67">
        <f t="shared" si="154"/>
        <v>0</v>
      </c>
      <c r="S201" s="67">
        <f t="shared" si="154"/>
        <v>0</v>
      </c>
      <c r="T201" s="67"/>
      <c r="AA201" s="46"/>
      <c r="AB201" s="46"/>
      <c r="AC201" s="46"/>
      <c r="AD201" s="46"/>
    </row>
    <row r="202" spans="1:30" s="123" customFormat="1" ht="11.85" customHeight="1">
      <c r="A202" s="46"/>
      <c r="B202" s="46"/>
      <c r="C202" s="139" t="s">
        <v>149</v>
      </c>
      <c r="D202" s="46"/>
      <c r="E202" s="140">
        <f t="shared" si="155"/>
        <v>2029</v>
      </c>
      <c r="F202" s="67">
        <f t="shared" si="154"/>
        <v>0</v>
      </c>
      <c r="G202" s="67">
        <f t="shared" si="154"/>
        <v>0</v>
      </c>
      <c r="H202" s="67">
        <f t="shared" si="154"/>
        <v>0</v>
      </c>
      <c r="I202" s="67">
        <f t="shared" si="154"/>
        <v>0</v>
      </c>
      <c r="J202" s="67">
        <f t="shared" si="154"/>
        <v>0</v>
      </c>
      <c r="K202" s="67">
        <f t="shared" si="154"/>
        <v>0</v>
      </c>
      <c r="L202" s="67">
        <f t="shared" si="154"/>
        <v>0</v>
      </c>
      <c r="M202" s="67">
        <f t="shared" si="154"/>
        <v>4.004383680000001</v>
      </c>
      <c r="N202" s="67">
        <f t="shared" si="154"/>
        <v>4.004383680000001</v>
      </c>
      <c r="O202" s="67">
        <f t="shared" si="154"/>
        <v>4.004383680000001</v>
      </c>
      <c r="P202" s="67">
        <f t="shared" si="154"/>
        <v>4.004383680000001</v>
      </c>
      <c r="Q202" s="67">
        <f t="shared" si="154"/>
        <v>4.004383680000001</v>
      </c>
      <c r="R202" s="67">
        <f t="shared" si="154"/>
        <v>0</v>
      </c>
      <c r="S202" s="67">
        <f t="shared" si="154"/>
        <v>0</v>
      </c>
      <c r="T202" s="67"/>
      <c r="AA202" s="46"/>
      <c r="AB202" s="46"/>
      <c r="AC202" s="46"/>
      <c r="AD202" s="46"/>
    </row>
    <row r="203" spans="1:30" s="123" customFormat="1" ht="11.85" customHeight="1">
      <c r="A203" s="46"/>
      <c r="B203" s="46"/>
      <c r="C203" s="139" t="s">
        <v>150</v>
      </c>
      <c r="D203" s="46"/>
      <c r="E203" s="140">
        <f t="shared" si="155"/>
        <v>2030</v>
      </c>
      <c r="F203" s="67">
        <f t="shared" si="154"/>
        <v>0</v>
      </c>
      <c r="G203" s="67">
        <f t="shared" si="154"/>
        <v>0</v>
      </c>
      <c r="H203" s="67">
        <f t="shared" si="154"/>
        <v>0</v>
      </c>
      <c r="I203" s="67">
        <f t="shared" si="154"/>
        <v>0</v>
      </c>
      <c r="J203" s="67">
        <f t="shared" si="154"/>
        <v>0</v>
      </c>
      <c r="K203" s="67">
        <f t="shared" si="154"/>
        <v>0</v>
      </c>
      <c r="L203" s="67">
        <f t="shared" si="154"/>
        <v>0</v>
      </c>
      <c r="M203" s="67">
        <f t="shared" si="154"/>
        <v>0</v>
      </c>
      <c r="N203" s="67">
        <f t="shared" si="154"/>
        <v>4.4048220480000015</v>
      </c>
      <c r="O203" s="67">
        <f t="shared" si="154"/>
        <v>4.4048220480000015</v>
      </c>
      <c r="P203" s="67">
        <f t="shared" si="154"/>
        <v>4.4048220480000015</v>
      </c>
      <c r="Q203" s="67">
        <f t="shared" si="154"/>
        <v>4.4048220480000015</v>
      </c>
      <c r="R203" s="67">
        <f t="shared" si="154"/>
        <v>4.4048220480000015</v>
      </c>
      <c r="S203" s="67">
        <f t="shared" si="154"/>
        <v>0</v>
      </c>
      <c r="T203" s="67"/>
      <c r="AA203" s="46"/>
      <c r="AB203" s="46"/>
      <c r="AC203" s="46"/>
      <c r="AD203" s="46"/>
    </row>
    <row r="204" spans="1:30" s="123" customFormat="1" ht="11.85" customHeight="1">
      <c r="A204" s="46"/>
      <c r="B204" s="46"/>
      <c r="C204" s="139" t="s">
        <v>151</v>
      </c>
      <c r="D204" s="46"/>
      <c r="E204" s="140">
        <f t="shared" si="155"/>
        <v>2031</v>
      </c>
      <c r="F204" s="67">
        <f t="shared" si="154"/>
        <v>0</v>
      </c>
      <c r="G204" s="67">
        <f t="shared" si="154"/>
        <v>0</v>
      </c>
      <c r="H204" s="67">
        <f t="shared" si="154"/>
        <v>0</v>
      </c>
      <c r="I204" s="67">
        <f t="shared" si="154"/>
        <v>0</v>
      </c>
      <c r="J204" s="67">
        <f t="shared" si="154"/>
        <v>0</v>
      </c>
      <c r="K204" s="67">
        <f t="shared" si="154"/>
        <v>0</v>
      </c>
      <c r="L204" s="67">
        <f t="shared" si="154"/>
        <v>0</v>
      </c>
      <c r="M204" s="67">
        <f t="shared" si="154"/>
        <v>0</v>
      </c>
      <c r="N204" s="67">
        <f t="shared" si="154"/>
        <v>0</v>
      </c>
      <c r="O204" s="67">
        <f t="shared" si="154"/>
        <v>4.8453042528000019</v>
      </c>
      <c r="P204" s="67">
        <f t="shared" si="154"/>
        <v>4.8453042528000019</v>
      </c>
      <c r="Q204" s="67">
        <f t="shared" si="154"/>
        <v>4.8453042528000019</v>
      </c>
      <c r="R204" s="67">
        <f t="shared" si="154"/>
        <v>4.8453042528000019</v>
      </c>
      <c r="S204" s="67">
        <f t="shared" si="154"/>
        <v>4.8453042528000019</v>
      </c>
      <c r="T204" s="67"/>
      <c r="AA204" s="46"/>
      <c r="AB204" s="46"/>
      <c r="AC204" s="46"/>
      <c r="AD204" s="46"/>
    </row>
    <row r="205" spans="1:30" s="123" customFormat="1" ht="11.85" customHeight="1">
      <c r="A205" s="46"/>
      <c r="B205" s="46"/>
      <c r="C205" s="139" t="s">
        <v>152</v>
      </c>
      <c r="D205" s="46"/>
      <c r="E205" s="140">
        <f t="shared" si="155"/>
        <v>2032</v>
      </c>
      <c r="F205" s="67">
        <f t="shared" si="154"/>
        <v>0</v>
      </c>
      <c r="G205" s="67">
        <f t="shared" si="154"/>
        <v>0</v>
      </c>
      <c r="H205" s="67">
        <f t="shared" si="154"/>
        <v>0</v>
      </c>
      <c r="I205" s="67">
        <f t="shared" si="154"/>
        <v>0</v>
      </c>
      <c r="J205" s="67">
        <f t="shared" si="154"/>
        <v>0</v>
      </c>
      <c r="K205" s="67">
        <f t="shared" si="154"/>
        <v>0</v>
      </c>
      <c r="L205" s="67">
        <f t="shared" si="154"/>
        <v>0</v>
      </c>
      <c r="M205" s="67">
        <f t="shared" si="154"/>
        <v>0</v>
      </c>
      <c r="N205" s="67">
        <f t="shared" si="154"/>
        <v>0</v>
      </c>
      <c r="O205" s="67">
        <f t="shared" si="154"/>
        <v>0</v>
      </c>
      <c r="P205" s="67">
        <f t="shared" si="154"/>
        <v>5.3298346780800028</v>
      </c>
      <c r="Q205" s="67">
        <f t="shared" si="154"/>
        <v>5.3298346780800028</v>
      </c>
      <c r="R205" s="67">
        <f t="shared" si="154"/>
        <v>5.3298346780800028</v>
      </c>
      <c r="S205" s="67">
        <f t="shared" si="154"/>
        <v>5.3298346780800028</v>
      </c>
      <c r="T205" s="67"/>
      <c r="AA205" s="46"/>
      <c r="AB205" s="46"/>
      <c r="AC205" s="46"/>
      <c r="AD205" s="46"/>
    </row>
    <row r="206" spans="1:30" s="123" customFormat="1" ht="11.85" customHeight="1">
      <c r="A206" s="46"/>
      <c r="B206" s="46"/>
      <c r="C206" s="139" t="s">
        <v>153</v>
      </c>
      <c r="D206" s="46"/>
      <c r="E206" s="140">
        <f t="shared" si="155"/>
        <v>2033</v>
      </c>
      <c r="F206" s="67">
        <f t="shared" si="154"/>
        <v>0</v>
      </c>
      <c r="G206" s="67">
        <f t="shared" si="154"/>
        <v>0</v>
      </c>
      <c r="H206" s="67">
        <f t="shared" si="154"/>
        <v>0</v>
      </c>
      <c r="I206" s="67">
        <f t="shared" si="154"/>
        <v>0</v>
      </c>
      <c r="J206" s="67">
        <f t="shared" si="154"/>
        <v>0</v>
      </c>
      <c r="K206" s="67">
        <f t="shared" si="154"/>
        <v>0</v>
      </c>
      <c r="L206" s="67">
        <f t="shared" si="154"/>
        <v>0</v>
      </c>
      <c r="M206" s="67">
        <f t="shared" si="154"/>
        <v>0</v>
      </c>
      <c r="N206" s="67">
        <f t="shared" si="154"/>
        <v>0</v>
      </c>
      <c r="O206" s="67">
        <f t="shared" si="154"/>
        <v>0</v>
      </c>
      <c r="P206" s="67">
        <f t="shared" si="154"/>
        <v>0</v>
      </c>
      <c r="Q206" s="67">
        <f t="shared" si="154"/>
        <v>5.8628181458880029</v>
      </c>
      <c r="R206" s="67">
        <f t="shared" si="154"/>
        <v>5.8628181458880029</v>
      </c>
      <c r="S206" s="67">
        <f t="shared" si="154"/>
        <v>5.8628181458880029</v>
      </c>
      <c r="T206" s="67"/>
      <c r="AA206" s="46"/>
      <c r="AB206" s="46"/>
      <c r="AC206" s="46"/>
      <c r="AD206" s="46"/>
    </row>
    <row r="207" spans="1:30" s="123" customFormat="1" ht="11.85" customHeight="1">
      <c r="A207" s="46"/>
      <c r="B207" s="46"/>
      <c r="C207" s="139" t="s">
        <v>154</v>
      </c>
      <c r="D207" s="46"/>
      <c r="E207" s="140">
        <f t="shared" si="155"/>
        <v>2034</v>
      </c>
      <c r="F207" s="67">
        <f t="shared" si="154"/>
        <v>0</v>
      </c>
      <c r="G207" s="67">
        <f t="shared" si="154"/>
        <v>0</v>
      </c>
      <c r="H207" s="67">
        <f t="shared" si="154"/>
        <v>0</v>
      </c>
      <c r="I207" s="67">
        <f t="shared" si="154"/>
        <v>0</v>
      </c>
      <c r="J207" s="67">
        <f t="shared" si="154"/>
        <v>0</v>
      </c>
      <c r="K207" s="67">
        <f t="shared" si="154"/>
        <v>0</v>
      </c>
      <c r="L207" s="67">
        <f t="shared" si="154"/>
        <v>0</v>
      </c>
      <c r="M207" s="67">
        <f t="shared" si="154"/>
        <v>0</v>
      </c>
      <c r="N207" s="67">
        <f t="shared" si="154"/>
        <v>0</v>
      </c>
      <c r="O207" s="67">
        <f t="shared" si="154"/>
        <v>0</v>
      </c>
      <c r="P207" s="67">
        <f t="shared" si="154"/>
        <v>0</v>
      </c>
      <c r="Q207" s="67">
        <f t="shared" si="154"/>
        <v>0</v>
      </c>
      <c r="R207" s="67">
        <f t="shared" si="154"/>
        <v>6.4490999604768033</v>
      </c>
      <c r="S207" s="67">
        <f t="shared" si="154"/>
        <v>6.4490999604768033</v>
      </c>
      <c r="T207" s="67"/>
      <c r="AA207" s="46"/>
      <c r="AB207" s="46"/>
      <c r="AC207" s="46"/>
      <c r="AD207" s="46"/>
    </row>
    <row r="208" spans="1:30" s="123" customFormat="1" ht="11.85" customHeight="1">
      <c r="A208" s="46"/>
      <c r="B208" s="46"/>
      <c r="C208" s="139" t="s">
        <v>155</v>
      </c>
      <c r="D208" s="46"/>
      <c r="E208" s="140">
        <f t="shared" si="155"/>
        <v>2035</v>
      </c>
      <c r="F208" s="67">
        <f t="shared" si="154"/>
        <v>0</v>
      </c>
      <c r="G208" s="67">
        <f t="shared" si="154"/>
        <v>0</v>
      </c>
      <c r="H208" s="67">
        <f t="shared" si="154"/>
        <v>0</v>
      </c>
      <c r="I208" s="67">
        <f t="shared" si="154"/>
        <v>0</v>
      </c>
      <c r="J208" s="67">
        <f t="shared" si="154"/>
        <v>0</v>
      </c>
      <c r="K208" s="67">
        <f t="shared" si="154"/>
        <v>0</v>
      </c>
      <c r="L208" s="67">
        <f t="shared" si="154"/>
        <v>0</v>
      </c>
      <c r="M208" s="67">
        <f t="shared" si="154"/>
        <v>0</v>
      </c>
      <c r="N208" s="67">
        <f t="shared" si="154"/>
        <v>0</v>
      </c>
      <c r="O208" s="67">
        <f t="shared" si="154"/>
        <v>0</v>
      </c>
      <c r="P208" s="67">
        <f t="shared" si="154"/>
        <v>0</v>
      </c>
      <c r="Q208" s="67">
        <f t="shared" si="154"/>
        <v>0</v>
      </c>
      <c r="R208" s="67">
        <f t="shared" si="154"/>
        <v>0</v>
      </c>
      <c r="S208" s="67">
        <f t="shared" si="154"/>
        <v>7.0940099565244852</v>
      </c>
      <c r="T208" s="67"/>
      <c r="AA208" s="46"/>
      <c r="AB208" s="46"/>
      <c r="AC208" s="46"/>
      <c r="AD208" s="46"/>
    </row>
    <row r="209" spans="1:30" s="123" customFormat="1" ht="11.85" customHeight="1">
      <c r="A209" s="46"/>
      <c r="B209" s="72" t="s">
        <v>64</v>
      </c>
      <c r="C209" s="115"/>
      <c r="D209" s="46"/>
      <c r="E209" s="46"/>
      <c r="F209" s="141">
        <f>-F187</f>
        <v>16.567</v>
      </c>
      <c r="G209" s="141">
        <f>-G187</f>
        <v>63.822000000000003</v>
      </c>
      <c r="H209" s="141">
        <f>-H187</f>
        <v>270.25200000000001</v>
      </c>
      <c r="I209" s="141">
        <f>-I187</f>
        <v>270.06799999999998</v>
      </c>
      <c r="J209" s="118">
        <f t="shared" ref="J209:S209" si="156">SUM(J195:J208)</f>
        <v>137.92984000000001</v>
      </c>
      <c r="K209" s="118">
        <f t="shared" si="156"/>
        <v>134.90904799999998</v>
      </c>
      <c r="L209" s="118">
        <f t="shared" si="156"/>
        <v>37.1973968</v>
      </c>
      <c r="M209" s="118">
        <f t="shared" si="156"/>
        <v>16.010180479999999</v>
      </c>
      <c r="N209" s="118">
        <f t="shared" si="156"/>
        <v>18.116802528000001</v>
      </c>
      <c r="O209" s="118">
        <f t="shared" si="156"/>
        <v>20.204266780800005</v>
      </c>
      <c r="P209" s="118">
        <f t="shared" si="156"/>
        <v>22.224693458880012</v>
      </c>
      <c r="Q209" s="118">
        <f t="shared" si="156"/>
        <v>24.447162804768009</v>
      </c>
      <c r="R209" s="118">
        <f t="shared" si="156"/>
        <v>26.891879085244813</v>
      </c>
      <c r="S209" s="118">
        <f t="shared" si="156"/>
        <v>29.581066993769298</v>
      </c>
      <c r="T209" s="118"/>
      <c r="AA209" s="46"/>
      <c r="AB209" s="46"/>
      <c r="AC209" s="46"/>
      <c r="AD209" s="46"/>
    </row>
    <row r="210" spans="1:30" s="123" customFormat="1" ht="11.85" customHeight="1">
      <c r="A210" s="46"/>
      <c r="B210" s="72"/>
      <c r="C210" s="115" t="s">
        <v>156</v>
      </c>
      <c r="D210" s="46"/>
      <c r="E210" s="46"/>
      <c r="F210" s="68">
        <f t="shared" ref="F210:S210" si="157">F209/F190</f>
        <v>0.5234273798616158</v>
      </c>
      <c r="G210" s="68">
        <f t="shared" si="157"/>
        <v>0.12594127397584656</v>
      </c>
      <c r="H210" s="68">
        <f t="shared" si="157"/>
        <v>2.1455723336350214</v>
      </c>
      <c r="I210" s="68">
        <f t="shared" si="157"/>
        <v>23.502567226525105</v>
      </c>
      <c r="J210" s="68">
        <f t="shared" si="157"/>
        <v>10.002744176601979</v>
      </c>
      <c r="K210" s="68">
        <f t="shared" si="157"/>
        <v>8.1530622999642226</v>
      </c>
      <c r="L210" s="68">
        <f t="shared" si="157"/>
        <v>2.0436171830567442</v>
      </c>
      <c r="M210" s="68">
        <f t="shared" si="157"/>
        <v>0.79963269054178121</v>
      </c>
      <c r="N210" s="68">
        <f t="shared" si="157"/>
        <v>0.82258953168044058</v>
      </c>
      <c r="O210" s="68">
        <f t="shared" si="157"/>
        <v>0.83397308926985847</v>
      </c>
      <c r="P210" s="68">
        <f t="shared" si="157"/>
        <v>0.83397308926985869</v>
      </c>
      <c r="Q210" s="68">
        <f t="shared" si="157"/>
        <v>0.83397308926985847</v>
      </c>
      <c r="R210" s="68">
        <f t="shared" si="157"/>
        <v>0.83397308926985858</v>
      </c>
      <c r="S210" s="68">
        <f t="shared" si="157"/>
        <v>0.83397308926985858</v>
      </c>
      <c r="T210" s="68"/>
      <c r="AA210" s="46"/>
      <c r="AB210" s="46"/>
      <c r="AC210" s="46"/>
      <c r="AD210" s="46"/>
    </row>
    <row r="211" spans="1:30" s="123" customFormat="1" ht="11.85" customHeight="1">
      <c r="A211" s="46"/>
      <c r="B211" s="46" t="s">
        <v>157</v>
      </c>
      <c r="C211" s="115"/>
      <c r="D211" s="46"/>
      <c r="E211" s="46"/>
      <c r="F211" s="67">
        <f>F209</f>
        <v>16.567</v>
      </c>
      <c r="G211" s="67">
        <f>SUM(F209:G209)</f>
        <v>80.38900000000001</v>
      </c>
      <c r="H211" s="67">
        <f>SUM(F209:H209)</f>
        <v>350.64100000000002</v>
      </c>
      <c r="I211" s="67">
        <f>SUM(F209:I209)</f>
        <v>620.70900000000006</v>
      </c>
      <c r="J211" s="67">
        <f>SUM(F209:J209)</f>
        <v>758.63884000000007</v>
      </c>
      <c r="K211" s="67">
        <f>SUM(F209:K209)</f>
        <v>893.54788800000006</v>
      </c>
      <c r="L211" s="67">
        <f>SUM(F209:L209)</f>
        <v>930.74528480000004</v>
      </c>
      <c r="M211" s="67">
        <f>SUM(F209:M209)</f>
        <v>946.75546528000007</v>
      </c>
      <c r="N211" s="67">
        <f>SUM(F209:N209)</f>
        <v>964.87226780800006</v>
      </c>
      <c r="O211" s="67">
        <f>SUM(F209:O209)</f>
        <v>985.07653458880009</v>
      </c>
      <c r="P211" s="67">
        <f>SUM(F209:P209)</f>
        <v>1007.3012280476801</v>
      </c>
      <c r="Q211" s="67">
        <f>SUM(F209:Q209)</f>
        <v>1031.748390852448</v>
      </c>
      <c r="R211" s="67">
        <f>SUM(F209:R209)</f>
        <v>1058.6402699376929</v>
      </c>
      <c r="S211" s="67">
        <f>SUM(F209:S209)</f>
        <v>1088.2213369314622</v>
      </c>
      <c r="T211" s="68"/>
      <c r="AA211" s="46"/>
      <c r="AB211" s="46"/>
      <c r="AC211" s="46"/>
      <c r="AD211" s="46"/>
    </row>
    <row r="212" spans="1:30" s="123" customFormat="1" ht="11.85" customHeight="1">
      <c r="A212" s="46"/>
      <c r="B212" s="46"/>
      <c r="C212" s="115"/>
      <c r="D212" s="46"/>
      <c r="E212" s="46"/>
      <c r="F212" s="121"/>
      <c r="G212" s="68"/>
      <c r="H212" s="68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122"/>
      <c r="AA212" s="46"/>
      <c r="AB212" s="46"/>
      <c r="AC212" s="46"/>
      <c r="AD212" s="46"/>
    </row>
    <row r="213" spans="1:30" s="123" customFormat="1" ht="11.85" customHeight="1">
      <c r="A213" s="46"/>
      <c r="B213" s="116" t="s">
        <v>103</v>
      </c>
      <c r="C213" s="115"/>
      <c r="D213" s="46"/>
      <c r="E213" s="46"/>
      <c r="F213" s="121"/>
      <c r="G213" s="68"/>
      <c r="H213" s="68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122"/>
      <c r="AA213" s="46"/>
      <c r="AB213" s="46"/>
      <c r="AC213" s="46"/>
      <c r="AD213" s="46"/>
    </row>
    <row r="214" spans="1:30" s="123" customFormat="1" ht="11.85" customHeight="1">
      <c r="A214" s="46"/>
      <c r="B214" s="116"/>
      <c r="C214" s="115" t="s">
        <v>135</v>
      </c>
      <c r="D214" s="46"/>
      <c r="E214" s="46"/>
      <c r="F214" s="76">
        <v>0</v>
      </c>
      <c r="G214" s="121">
        <f>F217</f>
        <v>21.027000000000001</v>
      </c>
      <c r="H214" s="121">
        <f>G217</f>
        <v>54.573</v>
      </c>
      <c r="I214" s="121">
        <f t="shared" ref="I214:S214" si="158">H217</f>
        <v>50.359000000000002</v>
      </c>
      <c r="J214" s="121">
        <f t="shared" si="158"/>
        <v>50.963000000000001</v>
      </c>
      <c r="K214" s="121">
        <f t="shared" si="158"/>
        <v>59.192000000000007</v>
      </c>
      <c r="L214" s="121">
        <f t="shared" si="158"/>
        <v>66.261300000000006</v>
      </c>
      <c r="M214" s="121">
        <f t="shared" si="158"/>
        <v>72.054929999999999</v>
      </c>
      <c r="N214" s="121">
        <f t="shared" si="158"/>
        <v>76.746823000000006</v>
      </c>
      <c r="O214" s="121">
        <f t="shared" si="158"/>
        <v>81.028821966666669</v>
      </c>
      <c r="P214" s="121">
        <f t="shared" si="158"/>
        <v>85.545737496666675</v>
      </c>
      <c r="Q214" s="121">
        <f t="shared" si="158"/>
        <v>90.514344579666684</v>
      </c>
      <c r="R214" s="121">
        <f t="shared" si="158"/>
        <v>95.979812370966698</v>
      </c>
      <c r="S214" s="121">
        <f t="shared" si="158"/>
        <v>101.99182694139671</v>
      </c>
      <c r="T214" s="122"/>
      <c r="AA214" s="46"/>
      <c r="AB214" s="46"/>
      <c r="AC214" s="46"/>
      <c r="AD214" s="46"/>
    </row>
    <row r="215" spans="1:30" s="123" customFormat="1" ht="11.85" customHeight="1">
      <c r="A215" s="46"/>
      <c r="B215" s="116"/>
      <c r="C215" s="115" t="s">
        <v>158</v>
      </c>
      <c r="D215" s="46"/>
      <c r="E215" s="46"/>
      <c r="F215" s="138">
        <v>0</v>
      </c>
      <c r="G215" s="138">
        <v>1.8089999999999999</v>
      </c>
      <c r="H215" s="138">
        <v>6.8019999999999996</v>
      </c>
      <c r="I215" s="138">
        <v>11.597</v>
      </c>
      <c r="J215" s="121">
        <f t="shared" ref="J215:S215" si="159">J219</f>
        <v>13.916399999999999</v>
      </c>
      <c r="K215" s="121">
        <f t="shared" si="159"/>
        <v>15.30804</v>
      </c>
      <c r="L215" s="121">
        <f t="shared" si="159"/>
        <v>16.838844000000002</v>
      </c>
      <c r="M215" s="121">
        <f t="shared" si="159"/>
        <v>18.522728400000002</v>
      </c>
      <c r="N215" s="121">
        <f t="shared" si="159"/>
        <v>20.375001240000003</v>
      </c>
      <c r="O215" s="121">
        <f t="shared" si="159"/>
        <v>22.412501364000004</v>
      </c>
      <c r="P215" s="121">
        <f t="shared" si="159"/>
        <v>24.653751500400006</v>
      </c>
      <c r="Q215" s="121">
        <f t="shared" si="159"/>
        <v>27.119126650440009</v>
      </c>
      <c r="R215" s="121">
        <f t="shared" si="159"/>
        <v>29.831039315484013</v>
      </c>
      <c r="S215" s="121">
        <f t="shared" si="159"/>
        <v>32.814143247032419</v>
      </c>
      <c r="T215" s="122"/>
      <c r="U215" s="138">
        <v>6.15</v>
      </c>
      <c r="W215" s="138">
        <v>11.167999999999999</v>
      </c>
      <c r="AA215" s="46"/>
      <c r="AB215" s="46"/>
      <c r="AC215" s="46"/>
      <c r="AD215" s="46"/>
    </row>
    <row r="216" spans="1:30" s="123" customFormat="1" ht="11.85" customHeight="1">
      <c r="A216" s="46"/>
      <c r="B216" s="116"/>
      <c r="C216" s="115" t="s">
        <v>159</v>
      </c>
      <c r="D216" s="46"/>
      <c r="E216" s="46"/>
      <c r="F216" s="138">
        <v>-3.4510000000000001</v>
      </c>
      <c r="G216" s="138">
        <v>-5.109</v>
      </c>
      <c r="H216" s="138">
        <v>-9.6850000000000005</v>
      </c>
      <c r="I216" s="138">
        <v>-10.993</v>
      </c>
      <c r="J216" s="121">
        <f t="shared" ref="J216:S216" si="160">-J238</f>
        <v>-5.6873999999999993</v>
      </c>
      <c r="K216" s="121">
        <f t="shared" si="160"/>
        <v>-8.23874</v>
      </c>
      <c r="L216" s="121">
        <f t="shared" si="160"/>
        <v>-11.045214</v>
      </c>
      <c r="M216" s="121">
        <f t="shared" si="160"/>
        <v>-13.8308354</v>
      </c>
      <c r="N216" s="121">
        <f t="shared" si="160"/>
        <v>-16.093002273333333</v>
      </c>
      <c r="O216" s="121">
        <f t="shared" si="160"/>
        <v>-17.895585834000002</v>
      </c>
      <c r="P216" s="121">
        <f t="shared" si="160"/>
        <v>-19.6851444174</v>
      </c>
      <c r="Q216" s="121">
        <f t="shared" si="160"/>
        <v>-21.653658859140002</v>
      </c>
      <c r="R216" s="121">
        <f t="shared" si="160"/>
        <v>-23.819024745054005</v>
      </c>
      <c r="S216" s="121">
        <f t="shared" si="160"/>
        <v>-26.200927219559407</v>
      </c>
      <c r="T216" s="122"/>
      <c r="AA216" s="46"/>
      <c r="AB216" s="46"/>
      <c r="AC216" s="46"/>
      <c r="AD216" s="46"/>
    </row>
    <row r="217" spans="1:30" s="123" customFormat="1" ht="11.85" customHeight="1">
      <c r="A217" s="46"/>
      <c r="B217" s="116"/>
      <c r="C217" s="115" t="s">
        <v>138</v>
      </c>
      <c r="D217" s="46"/>
      <c r="E217" s="46"/>
      <c r="F217" s="121">
        <f>F137</f>
        <v>21.027000000000001</v>
      </c>
      <c r="G217" s="121">
        <f>G137</f>
        <v>54.573</v>
      </c>
      <c r="H217" s="121">
        <f>H137</f>
        <v>50.359000000000002</v>
      </c>
      <c r="I217" s="121">
        <f>I137</f>
        <v>50.963000000000001</v>
      </c>
      <c r="J217" s="121">
        <f t="shared" ref="J217:S217" si="161">J214+J215+J216</f>
        <v>59.192000000000007</v>
      </c>
      <c r="K217" s="121">
        <f t="shared" si="161"/>
        <v>66.261300000000006</v>
      </c>
      <c r="L217" s="121">
        <f t="shared" si="161"/>
        <v>72.054929999999999</v>
      </c>
      <c r="M217" s="121">
        <f t="shared" si="161"/>
        <v>76.746823000000006</v>
      </c>
      <c r="N217" s="121">
        <f t="shared" si="161"/>
        <v>81.028821966666669</v>
      </c>
      <c r="O217" s="121">
        <f t="shared" si="161"/>
        <v>85.545737496666675</v>
      </c>
      <c r="P217" s="121">
        <f t="shared" si="161"/>
        <v>90.514344579666684</v>
      </c>
      <c r="Q217" s="121">
        <f t="shared" si="161"/>
        <v>95.979812370966698</v>
      </c>
      <c r="R217" s="121">
        <f t="shared" si="161"/>
        <v>101.99182694139671</v>
      </c>
      <c r="S217" s="121">
        <f t="shared" si="161"/>
        <v>108.60504296886971</v>
      </c>
      <c r="T217" s="122"/>
      <c r="AA217" s="46"/>
      <c r="AB217" s="46"/>
      <c r="AC217" s="46"/>
      <c r="AD217" s="46"/>
    </row>
    <row r="218" spans="1:30" s="123" customFormat="1" ht="11.85" customHeight="1">
      <c r="A218" s="46"/>
      <c r="B218" s="116"/>
      <c r="C218" s="115"/>
      <c r="D218" s="46"/>
      <c r="E218" s="46"/>
      <c r="F218" s="121"/>
      <c r="G218" s="68"/>
      <c r="H218" s="68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122"/>
      <c r="AA218" s="46"/>
      <c r="AB218" s="46"/>
      <c r="AC218" s="46"/>
      <c r="AD218" s="46"/>
    </row>
    <row r="219" spans="1:30" s="123" customFormat="1" ht="11.85" customHeight="1">
      <c r="A219" s="46"/>
      <c r="B219" s="46" t="s">
        <v>158</v>
      </c>
      <c r="C219" s="115"/>
      <c r="D219" s="46"/>
      <c r="E219" s="46"/>
      <c r="F219" s="142">
        <f>F215</f>
        <v>0</v>
      </c>
      <c r="G219" s="142">
        <f>G215</f>
        <v>1.8089999999999999</v>
      </c>
      <c r="H219" s="142">
        <f>H215</f>
        <v>6.8019999999999996</v>
      </c>
      <c r="I219" s="142">
        <f>I215</f>
        <v>11.597</v>
      </c>
      <c r="J219" s="121">
        <f t="shared" ref="J219:S219" si="162">I219*(1+J220)</f>
        <v>13.916399999999999</v>
      </c>
      <c r="K219" s="121">
        <f t="shared" si="162"/>
        <v>15.30804</v>
      </c>
      <c r="L219" s="121">
        <f t="shared" si="162"/>
        <v>16.838844000000002</v>
      </c>
      <c r="M219" s="121">
        <f t="shared" si="162"/>
        <v>18.522728400000002</v>
      </c>
      <c r="N219" s="121">
        <f t="shared" si="162"/>
        <v>20.375001240000003</v>
      </c>
      <c r="O219" s="121">
        <f t="shared" si="162"/>
        <v>22.412501364000004</v>
      </c>
      <c r="P219" s="121">
        <f t="shared" si="162"/>
        <v>24.653751500400006</v>
      </c>
      <c r="Q219" s="121">
        <f t="shared" si="162"/>
        <v>27.119126650440009</v>
      </c>
      <c r="R219" s="121">
        <f t="shared" si="162"/>
        <v>29.831039315484013</v>
      </c>
      <c r="S219" s="121">
        <f t="shared" si="162"/>
        <v>32.814143247032419</v>
      </c>
      <c r="T219" s="122"/>
      <c r="AA219" s="46"/>
      <c r="AB219" s="46"/>
      <c r="AC219" s="46"/>
      <c r="AD219" s="46"/>
    </row>
    <row r="220" spans="1:30" s="123" customFormat="1" ht="11.85" customHeight="1">
      <c r="A220" s="46"/>
      <c r="B220" s="46"/>
      <c r="C220" s="115" t="s">
        <v>26</v>
      </c>
      <c r="D220" s="46"/>
      <c r="E220" s="46"/>
      <c r="F220" s="121"/>
      <c r="G220" s="68"/>
      <c r="H220" s="68">
        <f>H219/G219-1</f>
        <v>2.7600884466556108</v>
      </c>
      <c r="I220" s="68">
        <f>I219/H219-1</f>
        <v>0.70493972361070267</v>
      </c>
      <c r="J220" s="90">
        <v>0.2</v>
      </c>
      <c r="K220" s="90">
        <v>0.1</v>
      </c>
      <c r="L220" s="90">
        <v>0.1</v>
      </c>
      <c r="M220" s="90">
        <v>0.1</v>
      </c>
      <c r="N220" s="90">
        <v>0.1</v>
      </c>
      <c r="O220" s="90">
        <v>0.1</v>
      </c>
      <c r="P220" s="90">
        <v>0.1</v>
      </c>
      <c r="Q220" s="90">
        <v>0.1</v>
      </c>
      <c r="R220" s="90">
        <v>0.1</v>
      </c>
      <c r="S220" s="90">
        <v>0.1</v>
      </c>
      <c r="T220" s="122"/>
      <c r="AA220" s="46"/>
      <c r="AB220" s="46"/>
      <c r="AC220" s="46"/>
      <c r="AD220" s="46"/>
    </row>
    <row r="221" spans="1:30" s="123" customFormat="1" ht="11.85" customHeight="1">
      <c r="A221" s="46"/>
      <c r="B221" s="46"/>
      <c r="C221" s="115" t="s">
        <v>140</v>
      </c>
      <c r="D221" s="46"/>
      <c r="E221" s="46"/>
      <c r="F221" s="131">
        <v>6</v>
      </c>
      <c r="G221" s="131">
        <v>6</v>
      </c>
      <c r="H221" s="131">
        <v>6</v>
      </c>
      <c r="I221" s="131">
        <v>6</v>
      </c>
      <c r="J221" s="131">
        <v>6</v>
      </c>
      <c r="K221" s="131">
        <v>6</v>
      </c>
      <c r="L221" s="131">
        <v>6</v>
      </c>
      <c r="M221" s="131">
        <v>6</v>
      </c>
      <c r="N221" s="131">
        <v>6</v>
      </c>
      <c r="O221" s="131">
        <v>6</v>
      </c>
      <c r="P221" s="131">
        <v>6</v>
      </c>
      <c r="Q221" s="131">
        <v>6</v>
      </c>
      <c r="R221" s="131">
        <v>6</v>
      </c>
      <c r="S221" s="131">
        <v>6</v>
      </c>
      <c r="T221" s="122"/>
      <c r="AA221" s="46"/>
      <c r="AB221" s="46"/>
      <c r="AC221" s="46"/>
      <c r="AD221" s="46"/>
    </row>
    <row r="222" spans="1:30" s="123" customFormat="1" ht="11.85" customHeight="1">
      <c r="A222" s="46"/>
      <c r="B222" s="116"/>
      <c r="C222" s="115"/>
      <c r="D222" s="46"/>
      <c r="E222" s="46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122"/>
      <c r="AA222" s="46"/>
      <c r="AB222" s="46"/>
      <c r="AC222" s="46"/>
      <c r="AD222" s="46"/>
    </row>
    <row r="223" spans="1:30" s="122" customFormat="1" ht="11.85" customHeight="1">
      <c r="A223" s="46"/>
      <c r="B223" s="46" t="s">
        <v>141</v>
      </c>
      <c r="C223" s="115"/>
      <c r="D223" s="46"/>
      <c r="E223" s="46"/>
      <c r="F223" s="121"/>
      <c r="G223" s="68"/>
      <c r="H223" s="68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U223" s="123"/>
      <c r="V223" s="123"/>
      <c r="W223" s="123"/>
      <c r="X223" s="123"/>
      <c r="Y223" s="123"/>
      <c r="Z223" s="123"/>
      <c r="AA223" s="46"/>
      <c r="AB223" s="46"/>
      <c r="AC223" s="46"/>
      <c r="AD223" s="46"/>
    </row>
    <row r="224" spans="1:30" s="122" customFormat="1" ht="11.85" customHeight="1">
      <c r="A224" s="46"/>
      <c r="B224" s="121"/>
      <c r="C224" s="139" t="s">
        <v>142</v>
      </c>
      <c r="D224" s="46"/>
      <c r="E224" s="140">
        <v>2022</v>
      </c>
      <c r="F224" s="67">
        <f t="shared" ref="F224:S237" si="163">IF(AND(F$171&gt;=$E224,F$171&lt;$E224+_xlfn.XLOOKUP($E224,$F$171:$S$171,$F$221:$S$221)),_xlfn.XLOOKUP($E224,$F$171:$S$171,$F$219:$S$219)/_xlfn.XLOOKUP($E224,$F$171:$S$171,$F$221:$S$221),0)</f>
        <v>0</v>
      </c>
      <c r="G224" s="67">
        <f t="shared" si="163"/>
        <v>0</v>
      </c>
      <c r="H224" s="67">
        <f t="shared" si="163"/>
        <v>0</v>
      </c>
      <c r="I224" s="67">
        <f t="shared" si="163"/>
        <v>0</v>
      </c>
      <c r="J224" s="67">
        <f t="shared" si="163"/>
        <v>0</v>
      </c>
      <c r="K224" s="67">
        <f t="shared" si="163"/>
        <v>0</v>
      </c>
      <c r="L224" s="67">
        <f t="shared" si="163"/>
        <v>0</v>
      </c>
      <c r="M224" s="67">
        <f t="shared" si="163"/>
        <v>0</v>
      </c>
      <c r="N224" s="67">
        <f t="shared" si="163"/>
        <v>0</v>
      </c>
      <c r="O224" s="67">
        <f t="shared" si="163"/>
        <v>0</v>
      </c>
      <c r="P224" s="67">
        <f t="shared" si="163"/>
        <v>0</v>
      </c>
      <c r="Q224" s="67">
        <f t="shared" si="163"/>
        <v>0</v>
      </c>
      <c r="R224" s="67">
        <f t="shared" si="163"/>
        <v>0</v>
      </c>
      <c r="S224" s="67">
        <f t="shared" si="163"/>
        <v>0</v>
      </c>
      <c r="U224" s="123"/>
      <c r="V224" s="123"/>
      <c r="W224" s="123"/>
      <c r="X224" s="123"/>
      <c r="Y224" s="123"/>
      <c r="Z224" s="123"/>
      <c r="AA224" s="46"/>
      <c r="AB224" s="46"/>
      <c r="AC224" s="46"/>
      <c r="AD224" s="46"/>
    </row>
    <row r="225" spans="1:30" s="122" customFormat="1" ht="11.85" customHeight="1">
      <c r="A225" s="46"/>
      <c r="B225" s="46"/>
      <c r="C225" s="139" t="s">
        <v>143</v>
      </c>
      <c r="D225" s="46"/>
      <c r="E225" s="140">
        <f>E224+1</f>
        <v>2023</v>
      </c>
      <c r="F225" s="67">
        <f t="shared" si="163"/>
        <v>0</v>
      </c>
      <c r="G225" s="67">
        <f t="shared" si="163"/>
        <v>0.30149999999999999</v>
      </c>
      <c r="H225" s="67">
        <f t="shared" si="163"/>
        <v>0.30149999999999999</v>
      </c>
      <c r="I225" s="67">
        <f t="shared" si="163"/>
        <v>0.30149999999999999</v>
      </c>
      <c r="J225" s="67">
        <f t="shared" si="163"/>
        <v>0.30149999999999999</v>
      </c>
      <c r="K225" s="67">
        <f t="shared" si="163"/>
        <v>0.30149999999999999</v>
      </c>
      <c r="L225" s="67">
        <f t="shared" si="163"/>
        <v>0.30149999999999999</v>
      </c>
      <c r="M225" s="67">
        <f t="shared" si="163"/>
        <v>0</v>
      </c>
      <c r="N225" s="67">
        <f t="shared" si="163"/>
        <v>0</v>
      </c>
      <c r="O225" s="67">
        <f t="shared" si="163"/>
        <v>0</v>
      </c>
      <c r="P225" s="67">
        <f t="shared" si="163"/>
        <v>0</v>
      </c>
      <c r="Q225" s="67">
        <f t="shared" si="163"/>
        <v>0</v>
      </c>
      <c r="R225" s="67">
        <f t="shared" si="163"/>
        <v>0</v>
      </c>
      <c r="S225" s="67">
        <f t="shared" si="163"/>
        <v>0</v>
      </c>
      <c r="U225" s="123"/>
      <c r="V225" s="123"/>
      <c r="W225" s="123"/>
      <c r="X225" s="123"/>
      <c r="Y225" s="123"/>
      <c r="Z225" s="123"/>
      <c r="AA225" s="46"/>
      <c r="AB225" s="46"/>
      <c r="AC225" s="46"/>
      <c r="AD225" s="46"/>
    </row>
    <row r="226" spans="1:30" s="122" customFormat="1" ht="11.85" customHeight="1">
      <c r="A226" s="46"/>
      <c r="B226" s="46"/>
      <c r="C226" s="139" t="s">
        <v>144</v>
      </c>
      <c r="D226" s="46"/>
      <c r="E226" s="140">
        <f t="shared" ref="E226:E237" si="164">E225+1</f>
        <v>2024</v>
      </c>
      <c r="F226" s="67">
        <f t="shared" si="163"/>
        <v>0</v>
      </c>
      <c r="G226" s="67">
        <f t="shared" si="163"/>
        <v>0</v>
      </c>
      <c r="H226" s="67">
        <f t="shared" si="163"/>
        <v>1.1336666666666666</v>
      </c>
      <c r="I226" s="67">
        <f t="shared" si="163"/>
        <v>1.1336666666666666</v>
      </c>
      <c r="J226" s="67">
        <f t="shared" si="163"/>
        <v>1.1336666666666666</v>
      </c>
      <c r="K226" s="67">
        <f t="shared" si="163"/>
        <v>1.1336666666666666</v>
      </c>
      <c r="L226" s="67">
        <f t="shared" si="163"/>
        <v>1.1336666666666666</v>
      </c>
      <c r="M226" s="67">
        <f t="shared" si="163"/>
        <v>1.1336666666666666</v>
      </c>
      <c r="N226" s="67">
        <f t="shared" si="163"/>
        <v>0</v>
      </c>
      <c r="O226" s="67">
        <f t="shared" si="163"/>
        <v>0</v>
      </c>
      <c r="P226" s="67">
        <f t="shared" si="163"/>
        <v>0</v>
      </c>
      <c r="Q226" s="67">
        <f t="shared" si="163"/>
        <v>0</v>
      </c>
      <c r="R226" s="67">
        <f t="shared" si="163"/>
        <v>0</v>
      </c>
      <c r="S226" s="67">
        <f t="shared" si="163"/>
        <v>0</v>
      </c>
      <c r="U226" s="123"/>
      <c r="V226" s="123"/>
      <c r="W226" s="123"/>
      <c r="X226" s="123"/>
      <c r="Y226" s="123"/>
      <c r="Z226" s="123"/>
      <c r="AA226" s="46"/>
      <c r="AB226" s="46"/>
      <c r="AC226" s="46"/>
      <c r="AD226" s="46"/>
    </row>
    <row r="227" spans="1:30" s="122" customFormat="1" ht="11.85" customHeight="1">
      <c r="A227" s="46"/>
      <c r="B227" s="46"/>
      <c r="C227" s="139" t="s">
        <v>145</v>
      </c>
      <c r="D227" s="46"/>
      <c r="E227" s="140">
        <f t="shared" si="164"/>
        <v>2025</v>
      </c>
      <c r="F227" s="67">
        <f t="shared" si="163"/>
        <v>0</v>
      </c>
      <c r="G227" s="67">
        <f t="shared" si="163"/>
        <v>0</v>
      </c>
      <c r="H227" s="67">
        <f t="shared" si="163"/>
        <v>0</v>
      </c>
      <c r="I227" s="67">
        <f t="shared" si="163"/>
        <v>1.9328333333333332</v>
      </c>
      <c r="J227" s="67">
        <f t="shared" si="163"/>
        <v>1.9328333333333332</v>
      </c>
      <c r="K227" s="67">
        <f t="shared" si="163"/>
        <v>1.9328333333333332</v>
      </c>
      <c r="L227" s="67">
        <f t="shared" si="163"/>
        <v>1.9328333333333332</v>
      </c>
      <c r="M227" s="67">
        <f t="shared" si="163"/>
        <v>1.9328333333333332</v>
      </c>
      <c r="N227" s="67">
        <f t="shared" si="163"/>
        <v>1.9328333333333332</v>
      </c>
      <c r="O227" s="67">
        <f t="shared" si="163"/>
        <v>0</v>
      </c>
      <c r="P227" s="67">
        <f t="shared" si="163"/>
        <v>0</v>
      </c>
      <c r="Q227" s="67">
        <f t="shared" si="163"/>
        <v>0</v>
      </c>
      <c r="R227" s="67">
        <f t="shared" si="163"/>
        <v>0</v>
      </c>
      <c r="S227" s="67">
        <f t="shared" si="163"/>
        <v>0</v>
      </c>
      <c r="U227" s="123"/>
      <c r="V227" s="123"/>
      <c r="W227" s="123"/>
      <c r="X227" s="123"/>
      <c r="Y227" s="123"/>
      <c r="Z227" s="123"/>
      <c r="AA227" s="46"/>
      <c r="AB227" s="46"/>
      <c r="AC227" s="46"/>
      <c r="AD227" s="46"/>
    </row>
    <row r="228" spans="1:30" s="122" customFormat="1" ht="11.85" customHeight="1">
      <c r="A228" s="46"/>
      <c r="B228" s="46"/>
      <c r="C228" s="139" t="s">
        <v>146</v>
      </c>
      <c r="D228" s="46"/>
      <c r="E228" s="140">
        <f t="shared" si="164"/>
        <v>2026</v>
      </c>
      <c r="F228" s="67">
        <f t="shared" si="163"/>
        <v>0</v>
      </c>
      <c r="G228" s="67">
        <f t="shared" si="163"/>
        <v>0</v>
      </c>
      <c r="H228" s="67">
        <f t="shared" si="163"/>
        <v>0</v>
      </c>
      <c r="I228" s="67">
        <f t="shared" si="163"/>
        <v>0</v>
      </c>
      <c r="J228" s="67">
        <f t="shared" si="163"/>
        <v>2.3193999999999999</v>
      </c>
      <c r="K228" s="67">
        <f t="shared" si="163"/>
        <v>2.3193999999999999</v>
      </c>
      <c r="L228" s="67">
        <f t="shared" si="163"/>
        <v>2.3193999999999999</v>
      </c>
      <c r="M228" s="67">
        <f t="shared" si="163"/>
        <v>2.3193999999999999</v>
      </c>
      <c r="N228" s="67">
        <f t="shared" si="163"/>
        <v>2.3193999999999999</v>
      </c>
      <c r="O228" s="67">
        <f t="shared" si="163"/>
        <v>2.3193999999999999</v>
      </c>
      <c r="P228" s="67">
        <f t="shared" si="163"/>
        <v>0</v>
      </c>
      <c r="Q228" s="67">
        <f t="shared" si="163"/>
        <v>0</v>
      </c>
      <c r="R228" s="67">
        <f t="shared" si="163"/>
        <v>0</v>
      </c>
      <c r="S228" s="67">
        <f t="shared" si="163"/>
        <v>0</v>
      </c>
      <c r="U228" s="123"/>
      <c r="V228" s="123"/>
      <c r="W228" s="123"/>
      <c r="X228" s="123"/>
      <c r="Y228" s="123"/>
      <c r="Z228" s="123"/>
      <c r="AA228" s="46"/>
      <c r="AB228" s="46"/>
      <c r="AC228" s="46"/>
      <c r="AD228" s="46"/>
    </row>
    <row r="229" spans="1:30" s="122" customFormat="1" ht="11.85" customHeight="1">
      <c r="A229" s="46"/>
      <c r="B229" s="46"/>
      <c r="C229" s="139" t="s">
        <v>147</v>
      </c>
      <c r="D229" s="46"/>
      <c r="E229" s="140">
        <f t="shared" si="164"/>
        <v>2027</v>
      </c>
      <c r="F229" s="67">
        <f t="shared" si="163"/>
        <v>0</v>
      </c>
      <c r="G229" s="67">
        <f t="shared" si="163"/>
        <v>0</v>
      </c>
      <c r="H229" s="67">
        <f t="shared" si="163"/>
        <v>0</v>
      </c>
      <c r="I229" s="67">
        <f t="shared" si="163"/>
        <v>0</v>
      </c>
      <c r="J229" s="67">
        <f t="shared" si="163"/>
        <v>0</v>
      </c>
      <c r="K229" s="67">
        <f t="shared" si="163"/>
        <v>2.5513400000000002</v>
      </c>
      <c r="L229" s="67">
        <f t="shared" si="163"/>
        <v>2.5513400000000002</v>
      </c>
      <c r="M229" s="67">
        <f t="shared" si="163"/>
        <v>2.5513400000000002</v>
      </c>
      <c r="N229" s="67">
        <f t="shared" si="163"/>
        <v>2.5513400000000002</v>
      </c>
      <c r="O229" s="67">
        <f t="shared" si="163"/>
        <v>2.5513400000000002</v>
      </c>
      <c r="P229" s="67">
        <f t="shared" si="163"/>
        <v>2.5513400000000002</v>
      </c>
      <c r="Q229" s="67">
        <f t="shared" si="163"/>
        <v>0</v>
      </c>
      <c r="R229" s="67">
        <f t="shared" si="163"/>
        <v>0</v>
      </c>
      <c r="S229" s="67">
        <f t="shared" si="163"/>
        <v>0</v>
      </c>
      <c r="U229" s="123"/>
      <c r="V229" s="123"/>
      <c r="W229" s="123"/>
      <c r="X229" s="123"/>
      <c r="Y229" s="123"/>
      <c r="Z229" s="123"/>
      <c r="AA229" s="46"/>
      <c r="AB229" s="46"/>
      <c r="AC229" s="46"/>
      <c r="AD229" s="46"/>
    </row>
    <row r="230" spans="1:30" s="122" customFormat="1" ht="11.85" customHeight="1">
      <c r="A230" s="46"/>
      <c r="B230" s="46"/>
      <c r="C230" s="139" t="s">
        <v>148</v>
      </c>
      <c r="D230" s="46"/>
      <c r="E230" s="140">
        <f t="shared" si="164"/>
        <v>2028</v>
      </c>
      <c r="F230" s="67">
        <f t="shared" si="163"/>
        <v>0</v>
      </c>
      <c r="G230" s="67">
        <f t="shared" si="163"/>
        <v>0</v>
      </c>
      <c r="H230" s="67">
        <f t="shared" si="163"/>
        <v>0</v>
      </c>
      <c r="I230" s="67">
        <f t="shared" si="163"/>
        <v>0</v>
      </c>
      <c r="J230" s="67">
        <f t="shared" si="163"/>
        <v>0</v>
      </c>
      <c r="K230" s="67">
        <f t="shared" si="163"/>
        <v>0</v>
      </c>
      <c r="L230" s="67">
        <f t="shared" si="163"/>
        <v>2.8064740000000001</v>
      </c>
      <c r="M230" s="67">
        <f t="shared" si="163"/>
        <v>2.8064740000000001</v>
      </c>
      <c r="N230" s="67">
        <f t="shared" si="163"/>
        <v>2.8064740000000001</v>
      </c>
      <c r="O230" s="67">
        <f t="shared" si="163"/>
        <v>2.8064740000000001</v>
      </c>
      <c r="P230" s="67">
        <f t="shared" si="163"/>
        <v>2.8064740000000001</v>
      </c>
      <c r="Q230" s="67">
        <f t="shared" si="163"/>
        <v>2.8064740000000001</v>
      </c>
      <c r="R230" s="67">
        <f t="shared" si="163"/>
        <v>0</v>
      </c>
      <c r="S230" s="67">
        <f t="shared" si="163"/>
        <v>0</v>
      </c>
      <c r="U230" s="123"/>
      <c r="V230" s="123"/>
      <c r="W230" s="123"/>
      <c r="X230" s="123"/>
      <c r="Y230" s="123"/>
      <c r="Z230" s="123"/>
      <c r="AA230" s="46"/>
      <c r="AB230" s="46"/>
      <c r="AC230" s="46"/>
      <c r="AD230" s="46"/>
    </row>
    <row r="231" spans="1:30" s="122" customFormat="1" ht="11.85" customHeight="1">
      <c r="A231" s="46"/>
      <c r="B231" s="46"/>
      <c r="C231" s="139" t="s">
        <v>149</v>
      </c>
      <c r="D231" s="46"/>
      <c r="E231" s="140">
        <f t="shared" si="164"/>
        <v>2029</v>
      </c>
      <c r="F231" s="67">
        <f t="shared" si="163"/>
        <v>0</v>
      </c>
      <c r="G231" s="67">
        <f t="shared" si="163"/>
        <v>0</v>
      </c>
      <c r="H231" s="67">
        <f t="shared" si="163"/>
        <v>0</v>
      </c>
      <c r="I231" s="67">
        <f t="shared" si="163"/>
        <v>0</v>
      </c>
      <c r="J231" s="67">
        <f t="shared" si="163"/>
        <v>0</v>
      </c>
      <c r="K231" s="67">
        <f t="shared" si="163"/>
        <v>0</v>
      </c>
      <c r="L231" s="67">
        <f t="shared" si="163"/>
        <v>0</v>
      </c>
      <c r="M231" s="67">
        <f t="shared" si="163"/>
        <v>3.0871214000000005</v>
      </c>
      <c r="N231" s="67">
        <f t="shared" si="163"/>
        <v>3.0871214000000005</v>
      </c>
      <c r="O231" s="67">
        <f t="shared" si="163"/>
        <v>3.0871214000000005</v>
      </c>
      <c r="P231" s="67">
        <f t="shared" si="163"/>
        <v>3.0871214000000005</v>
      </c>
      <c r="Q231" s="67">
        <f t="shared" si="163"/>
        <v>3.0871214000000005</v>
      </c>
      <c r="R231" s="67">
        <f t="shared" si="163"/>
        <v>3.0871214000000005</v>
      </c>
      <c r="S231" s="67">
        <f t="shared" si="163"/>
        <v>0</v>
      </c>
      <c r="U231" s="123"/>
      <c r="V231" s="123"/>
      <c r="W231" s="123"/>
      <c r="X231" s="123"/>
      <c r="Y231" s="123"/>
      <c r="Z231" s="123"/>
      <c r="AA231" s="46"/>
      <c r="AB231" s="46"/>
      <c r="AC231" s="46"/>
      <c r="AD231" s="46"/>
    </row>
    <row r="232" spans="1:30" s="122" customFormat="1" ht="11.85" customHeight="1">
      <c r="A232" s="46"/>
      <c r="B232" s="46"/>
      <c r="C232" s="139" t="s">
        <v>150</v>
      </c>
      <c r="D232" s="46"/>
      <c r="E232" s="140">
        <f t="shared" si="164"/>
        <v>2030</v>
      </c>
      <c r="F232" s="67">
        <f t="shared" si="163"/>
        <v>0</v>
      </c>
      <c r="G232" s="67">
        <f t="shared" si="163"/>
        <v>0</v>
      </c>
      <c r="H232" s="67">
        <f t="shared" si="163"/>
        <v>0</v>
      </c>
      <c r="I232" s="67">
        <f t="shared" si="163"/>
        <v>0</v>
      </c>
      <c r="J232" s="67">
        <f t="shared" si="163"/>
        <v>0</v>
      </c>
      <c r="K232" s="67">
        <f t="shared" si="163"/>
        <v>0</v>
      </c>
      <c r="L232" s="67">
        <f t="shared" si="163"/>
        <v>0</v>
      </c>
      <c r="M232" s="67">
        <f t="shared" si="163"/>
        <v>0</v>
      </c>
      <c r="N232" s="67">
        <f t="shared" si="163"/>
        <v>3.3958335400000004</v>
      </c>
      <c r="O232" s="67">
        <f t="shared" si="163"/>
        <v>3.3958335400000004</v>
      </c>
      <c r="P232" s="67">
        <f t="shared" si="163"/>
        <v>3.3958335400000004</v>
      </c>
      <c r="Q232" s="67">
        <f t="shared" si="163"/>
        <v>3.3958335400000004</v>
      </c>
      <c r="R232" s="67">
        <f t="shared" si="163"/>
        <v>3.3958335400000004</v>
      </c>
      <c r="S232" s="67">
        <f t="shared" si="163"/>
        <v>3.3958335400000004</v>
      </c>
      <c r="U232" s="123"/>
      <c r="V232" s="123"/>
      <c r="W232" s="123"/>
      <c r="X232" s="123"/>
      <c r="Y232" s="123"/>
      <c r="Z232" s="123"/>
      <c r="AA232" s="46"/>
      <c r="AB232" s="46"/>
      <c r="AC232" s="46"/>
      <c r="AD232" s="46"/>
    </row>
    <row r="233" spans="1:30" s="122" customFormat="1" ht="11.85" customHeight="1">
      <c r="A233" s="46"/>
      <c r="B233" s="46"/>
      <c r="C233" s="139" t="s">
        <v>151</v>
      </c>
      <c r="D233" s="46"/>
      <c r="E233" s="140">
        <f t="shared" si="164"/>
        <v>2031</v>
      </c>
      <c r="F233" s="67">
        <f t="shared" si="163"/>
        <v>0</v>
      </c>
      <c r="G233" s="67">
        <f t="shared" si="163"/>
        <v>0</v>
      </c>
      <c r="H233" s="67">
        <f t="shared" si="163"/>
        <v>0</v>
      </c>
      <c r="I233" s="67">
        <f t="shared" si="163"/>
        <v>0</v>
      </c>
      <c r="J233" s="67">
        <f t="shared" si="163"/>
        <v>0</v>
      </c>
      <c r="K233" s="67">
        <f t="shared" si="163"/>
        <v>0</v>
      </c>
      <c r="L233" s="67">
        <f t="shared" si="163"/>
        <v>0</v>
      </c>
      <c r="M233" s="67">
        <f t="shared" si="163"/>
        <v>0</v>
      </c>
      <c r="N233" s="67">
        <f t="shared" si="163"/>
        <v>0</v>
      </c>
      <c r="O233" s="67">
        <f t="shared" si="163"/>
        <v>3.7354168940000005</v>
      </c>
      <c r="P233" s="67">
        <f t="shared" si="163"/>
        <v>3.7354168940000005</v>
      </c>
      <c r="Q233" s="67">
        <f t="shared" si="163"/>
        <v>3.7354168940000005</v>
      </c>
      <c r="R233" s="67">
        <f t="shared" si="163"/>
        <v>3.7354168940000005</v>
      </c>
      <c r="S233" s="67">
        <f t="shared" si="163"/>
        <v>3.7354168940000005</v>
      </c>
      <c r="U233" s="123"/>
      <c r="V233" s="123"/>
      <c r="W233" s="123"/>
      <c r="X233" s="123"/>
      <c r="Y233" s="123"/>
      <c r="Z233" s="123"/>
      <c r="AA233" s="46"/>
      <c r="AB233" s="46"/>
      <c r="AC233" s="46"/>
      <c r="AD233" s="46"/>
    </row>
    <row r="234" spans="1:30" s="122" customFormat="1" ht="11.85" customHeight="1">
      <c r="A234" s="46"/>
      <c r="B234" s="46"/>
      <c r="C234" s="139" t="s">
        <v>152</v>
      </c>
      <c r="D234" s="46"/>
      <c r="E234" s="140">
        <f t="shared" si="164"/>
        <v>2032</v>
      </c>
      <c r="F234" s="67">
        <f t="shared" si="163"/>
        <v>0</v>
      </c>
      <c r="G234" s="67">
        <f t="shared" si="163"/>
        <v>0</v>
      </c>
      <c r="H234" s="67">
        <f t="shared" si="163"/>
        <v>0</v>
      </c>
      <c r="I234" s="67">
        <f t="shared" si="163"/>
        <v>0</v>
      </c>
      <c r="J234" s="67">
        <f t="shared" si="163"/>
        <v>0</v>
      </c>
      <c r="K234" s="67">
        <f t="shared" si="163"/>
        <v>0</v>
      </c>
      <c r="L234" s="67">
        <f t="shared" si="163"/>
        <v>0</v>
      </c>
      <c r="M234" s="67">
        <f t="shared" si="163"/>
        <v>0</v>
      </c>
      <c r="N234" s="67">
        <f t="shared" si="163"/>
        <v>0</v>
      </c>
      <c r="O234" s="67">
        <f t="shared" si="163"/>
        <v>0</v>
      </c>
      <c r="P234" s="67">
        <f t="shared" si="163"/>
        <v>4.1089585834000006</v>
      </c>
      <c r="Q234" s="67">
        <f t="shared" si="163"/>
        <v>4.1089585834000006</v>
      </c>
      <c r="R234" s="67">
        <f t="shared" si="163"/>
        <v>4.1089585834000006</v>
      </c>
      <c r="S234" s="67">
        <f t="shared" si="163"/>
        <v>4.1089585834000006</v>
      </c>
      <c r="U234" s="123"/>
      <c r="V234" s="123"/>
      <c r="W234" s="123"/>
      <c r="X234" s="123"/>
      <c r="Y234" s="123"/>
      <c r="Z234" s="123"/>
      <c r="AA234" s="46"/>
      <c r="AB234" s="46"/>
      <c r="AC234" s="46"/>
      <c r="AD234" s="46"/>
    </row>
    <row r="235" spans="1:30" s="122" customFormat="1" ht="11.85" customHeight="1">
      <c r="A235" s="46"/>
      <c r="B235" s="46"/>
      <c r="C235" s="139" t="s">
        <v>153</v>
      </c>
      <c r="D235" s="46"/>
      <c r="E235" s="140">
        <f t="shared" si="164"/>
        <v>2033</v>
      </c>
      <c r="F235" s="67">
        <f t="shared" si="163"/>
        <v>0</v>
      </c>
      <c r="G235" s="67">
        <f t="shared" si="163"/>
        <v>0</v>
      </c>
      <c r="H235" s="67">
        <f t="shared" si="163"/>
        <v>0</v>
      </c>
      <c r="I235" s="67">
        <f t="shared" si="163"/>
        <v>0</v>
      </c>
      <c r="J235" s="67">
        <f t="shared" si="163"/>
        <v>0</v>
      </c>
      <c r="K235" s="67">
        <f t="shared" si="163"/>
        <v>0</v>
      </c>
      <c r="L235" s="67">
        <f t="shared" si="163"/>
        <v>0</v>
      </c>
      <c r="M235" s="67">
        <f t="shared" si="163"/>
        <v>0</v>
      </c>
      <c r="N235" s="67">
        <f t="shared" si="163"/>
        <v>0</v>
      </c>
      <c r="O235" s="67">
        <f t="shared" si="163"/>
        <v>0</v>
      </c>
      <c r="P235" s="67">
        <f t="shared" si="163"/>
        <v>0</v>
      </c>
      <c r="Q235" s="67">
        <f t="shared" si="163"/>
        <v>4.5198544417400015</v>
      </c>
      <c r="R235" s="67">
        <f t="shared" si="163"/>
        <v>4.5198544417400015</v>
      </c>
      <c r="S235" s="67">
        <f t="shared" si="163"/>
        <v>4.5198544417400015</v>
      </c>
      <c r="U235" s="123"/>
      <c r="V235" s="123"/>
      <c r="W235" s="123"/>
      <c r="X235" s="123"/>
      <c r="Y235" s="123"/>
      <c r="Z235" s="123"/>
      <c r="AA235" s="46"/>
      <c r="AB235" s="46"/>
      <c r="AC235" s="46"/>
      <c r="AD235" s="46"/>
    </row>
    <row r="236" spans="1:30" s="122" customFormat="1" ht="11.85" customHeight="1">
      <c r="A236" s="46"/>
      <c r="B236" s="46"/>
      <c r="C236" s="139" t="s">
        <v>154</v>
      </c>
      <c r="D236" s="46"/>
      <c r="E236" s="140">
        <f t="shared" si="164"/>
        <v>2034</v>
      </c>
      <c r="F236" s="67">
        <f t="shared" si="163"/>
        <v>0</v>
      </c>
      <c r="G236" s="67">
        <f t="shared" si="163"/>
        <v>0</v>
      </c>
      <c r="H236" s="67">
        <f t="shared" si="163"/>
        <v>0</v>
      </c>
      <c r="I236" s="67">
        <f t="shared" si="163"/>
        <v>0</v>
      </c>
      <c r="J236" s="67">
        <f t="shared" si="163"/>
        <v>0</v>
      </c>
      <c r="K236" s="67">
        <f t="shared" si="163"/>
        <v>0</v>
      </c>
      <c r="L236" s="67">
        <f t="shared" si="163"/>
        <v>0</v>
      </c>
      <c r="M236" s="67">
        <f t="shared" si="163"/>
        <v>0</v>
      </c>
      <c r="N236" s="67">
        <f t="shared" si="163"/>
        <v>0</v>
      </c>
      <c r="O236" s="67">
        <f t="shared" si="163"/>
        <v>0</v>
      </c>
      <c r="P236" s="67">
        <f t="shared" si="163"/>
        <v>0</v>
      </c>
      <c r="Q236" s="67">
        <f t="shared" si="163"/>
        <v>0</v>
      </c>
      <c r="R236" s="67">
        <f t="shared" si="163"/>
        <v>4.9718398859140018</v>
      </c>
      <c r="S236" s="67">
        <f t="shared" si="163"/>
        <v>4.9718398859140018</v>
      </c>
      <c r="U236" s="123"/>
      <c r="V236" s="123"/>
      <c r="W236" s="123"/>
      <c r="X236" s="123"/>
      <c r="Y236" s="123"/>
      <c r="Z236" s="123"/>
      <c r="AA236" s="46"/>
      <c r="AB236" s="46"/>
      <c r="AC236" s="46"/>
      <c r="AD236" s="46"/>
    </row>
    <row r="237" spans="1:30" s="122" customFormat="1" ht="11.85" customHeight="1">
      <c r="A237" s="46"/>
      <c r="B237" s="46"/>
      <c r="C237" s="139" t="s">
        <v>155</v>
      </c>
      <c r="D237" s="46"/>
      <c r="E237" s="140">
        <f t="shared" si="164"/>
        <v>2035</v>
      </c>
      <c r="F237" s="67">
        <f t="shared" si="163"/>
        <v>0</v>
      </c>
      <c r="G237" s="67">
        <f t="shared" si="163"/>
        <v>0</v>
      </c>
      <c r="H237" s="67">
        <f t="shared" si="163"/>
        <v>0</v>
      </c>
      <c r="I237" s="67">
        <f t="shared" si="163"/>
        <v>0</v>
      </c>
      <c r="J237" s="67">
        <f t="shared" si="163"/>
        <v>0</v>
      </c>
      <c r="K237" s="67">
        <f t="shared" si="163"/>
        <v>0</v>
      </c>
      <c r="L237" s="67">
        <f t="shared" si="163"/>
        <v>0</v>
      </c>
      <c r="M237" s="67">
        <f t="shared" si="163"/>
        <v>0</v>
      </c>
      <c r="N237" s="67">
        <f t="shared" si="163"/>
        <v>0</v>
      </c>
      <c r="O237" s="67">
        <f t="shared" si="163"/>
        <v>0</v>
      </c>
      <c r="P237" s="67">
        <f t="shared" si="163"/>
        <v>0</v>
      </c>
      <c r="Q237" s="67">
        <f t="shared" si="163"/>
        <v>0</v>
      </c>
      <c r="R237" s="67">
        <f t="shared" si="163"/>
        <v>0</v>
      </c>
      <c r="S237" s="67">
        <f t="shared" si="163"/>
        <v>5.4690238745054032</v>
      </c>
      <c r="U237" s="123"/>
      <c r="V237" s="123"/>
      <c r="W237" s="123"/>
      <c r="X237" s="123"/>
      <c r="Y237" s="123"/>
      <c r="Z237" s="123"/>
      <c r="AA237" s="46"/>
      <c r="AB237" s="46"/>
      <c r="AC237" s="46"/>
      <c r="AD237" s="46"/>
    </row>
    <row r="238" spans="1:30" s="122" customFormat="1" ht="11.85" customHeight="1">
      <c r="A238" s="46"/>
      <c r="B238" s="72" t="s">
        <v>64</v>
      </c>
      <c r="C238" s="115"/>
      <c r="D238" s="46"/>
      <c r="E238" s="46"/>
      <c r="F238" s="141">
        <f>-F216</f>
        <v>3.4510000000000001</v>
      </c>
      <c r="G238" s="141">
        <f>-G216</f>
        <v>5.109</v>
      </c>
      <c r="H238" s="141">
        <f>-H216</f>
        <v>9.6850000000000005</v>
      </c>
      <c r="I238" s="141">
        <f>-I216</f>
        <v>10.993</v>
      </c>
      <c r="J238" s="118">
        <f t="shared" ref="J238:S238" si="165">SUM(J224:J237)</f>
        <v>5.6873999999999993</v>
      </c>
      <c r="K238" s="118">
        <f t="shared" si="165"/>
        <v>8.23874</v>
      </c>
      <c r="L238" s="118">
        <f t="shared" si="165"/>
        <v>11.045214</v>
      </c>
      <c r="M238" s="118">
        <f t="shared" si="165"/>
        <v>13.8308354</v>
      </c>
      <c r="N238" s="118">
        <f t="shared" si="165"/>
        <v>16.093002273333333</v>
      </c>
      <c r="O238" s="118">
        <f t="shared" si="165"/>
        <v>17.895585834000002</v>
      </c>
      <c r="P238" s="118">
        <f t="shared" si="165"/>
        <v>19.6851444174</v>
      </c>
      <c r="Q238" s="118">
        <f t="shared" si="165"/>
        <v>21.653658859140002</v>
      </c>
      <c r="R238" s="118">
        <f t="shared" si="165"/>
        <v>23.819024745054005</v>
      </c>
      <c r="S238" s="118">
        <f t="shared" si="165"/>
        <v>26.200927219559407</v>
      </c>
      <c r="U238" s="123"/>
      <c r="V238" s="123"/>
      <c r="W238" s="123"/>
      <c r="X238" s="123"/>
      <c r="Y238" s="123"/>
      <c r="Z238" s="123"/>
      <c r="AA238" s="46"/>
      <c r="AB238" s="46"/>
      <c r="AC238" s="46"/>
      <c r="AD238" s="46"/>
    </row>
    <row r="239" spans="1:30" ht="11.85" customHeight="1">
      <c r="B239" s="72"/>
      <c r="C239" s="115" t="s">
        <v>160</v>
      </c>
      <c r="F239" s="68"/>
      <c r="G239" s="68">
        <f t="shared" ref="G239:S239" si="166">G238/G219</f>
        <v>2.8242122719734661</v>
      </c>
      <c r="H239" s="68">
        <f t="shared" si="166"/>
        <v>1.4238459276683331</v>
      </c>
      <c r="I239" s="68">
        <f t="shared" si="166"/>
        <v>0.94791756488747092</v>
      </c>
      <c r="J239" s="68">
        <f t="shared" si="166"/>
        <v>0.40868328015866168</v>
      </c>
      <c r="K239" s="68">
        <f t="shared" si="166"/>
        <v>0.5381969213563591</v>
      </c>
      <c r="L239" s="68">
        <f t="shared" si="166"/>
        <v>0.65593659517244762</v>
      </c>
      <c r="M239" s="68">
        <f t="shared" si="166"/>
        <v>0.74669536265510428</v>
      </c>
      <c r="N239" s="68">
        <f t="shared" si="166"/>
        <v>0.78984055430336408</v>
      </c>
      <c r="O239" s="68">
        <f t="shared" si="166"/>
        <v>0.7984644615680746</v>
      </c>
      <c r="P239" s="68">
        <f t="shared" si="166"/>
        <v>0.79846446156807449</v>
      </c>
      <c r="Q239" s="68">
        <f t="shared" si="166"/>
        <v>0.79846446156807449</v>
      </c>
      <c r="R239" s="68">
        <f t="shared" si="166"/>
        <v>0.79846446156807449</v>
      </c>
      <c r="S239" s="68">
        <f t="shared" si="166"/>
        <v>0.79846446156807449</v>
      </c>
    </row>
    <row r="240" spans="1:30" ht="11.85" customHeight="1">
      <c r="B240" s="46" t="s">
        <v>161</v>
      </c>
      <c r="C240" s="115"/>
      <c r="F240" s="67">
        <f>F238</f>
        <v>3.4510000000000001</v>
      </c>
      <c r="G240" s="67">
        <f>SUM(F238:G238)</f>
        <v>8.56</v>
      </c>
      <c r="H240" s="67">
        <f>SUM(F238:H238)</f>
        <v>18.245000000000001</v>
      </c>
      <c r="I240" s="67">
        <f>SUM(F238:I238)</f>
        <v>29.238</v>
      </c>
      <c r="J240" s="67">
        <f>SUM(F238:J238)</f>
        <v>34.925399999999996</v>
      </c>
      <c r="K240" s="67">
        <f>SUM(F238:K238)</f>
        <v>43.164139999999996</v>
      </c>
      <c r="L240" s="67">
        <f>SUM(F238:L238)</f>
        <v>54.209353999999998</v>
      </c>
      <c r="M240" s="67">
        <f>SUM(F238:M238)</f>
        <v>68.040189400000003</v>
      </c>
      <c r="N240" s="67">
        <f>SUM(F238:N238)</f>
        <v>84.133191673333329</v>
      </c>
      <c r="O240" s="67">
        <f>SUM(F238:O238)</f>
        <v>102.02877750733333</v>
      </c>
      <c r="P240" s="67">
        <f>SUM(F238:P238)</f>
        <v>121.71392192473333</v>
      </c>
      <c r="Q240" s="67">
        <f>SUM(F238:Q238)</f>
        <v>143.36758078387334</v>
      </c>
      <c r="R240" s="67">
        <f>SUM(F238:R238)</f>
        <v>167.18660552892734</v>
      </c>
      <c r="S240" s="67">
        <f>SUM(F238:S238)</f>
        <v>193.38753274848676</v>
      </c>
    </row>
    <row r="241" spans="1:26" ht="11.85" customHeight="1">
      <c r="C241" s="139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</row>
    <row r="242" spans="1:26" ht="11.85" customHeight="1">
      <c r="A242" s="52" t="s">
        <v>162</v>
      </c>
      <c r="B242" s="52"/>
      <c r="C242" s="52"/>
      <c r="D242" s="52"/>
      <c r="E242" s="52"/>
      <c r="F242" s="53">
        <v>2022</v>
      </c>
      <c r="G242" s="53">
        <v>2023</v>
      </c>
      <c r="H242" s="53">
        <v>2024</v>
      </c>
      <c r="I242" s="53">
        <v>2025</v>
      </c>
      <c r="J242" s="53" t="s">
        <v>163</v>
      </c>
      <c r="K242" s="53" t="s">
        <v>164</v>
      </c>
      <c r="L242" s="53" t="s">
        <v>165</v>
      </c>
      <c r="M242" s="53" t="s">
        <v>166</v>
      </c>
      <c r="N242" s="54">
        <f>N3</f>
        <v>2030</v>
      </c>
      <c r="O242" s="54">
        <f>O3</f>
        <v>2031</v>
      </c>
      <c r="P242" s="54">
        <f>P3</f>
        <v>2032</v>
      </c>
      <c r="Q242" s="54">
        <f>Q3</f>
        <v>2033</v>
      </c>
      <c r="R242" s="54">
        <f>R3</f>
        <v>2034</v>
      </c>
      <c r="S242" s="54">
        <f>S3</f>
        <v>2035</v>
      </c>
      <c r="T242" s="48"/>
      <c r="U242" s="53" t="s">
        <v>19</v>
      </c>
      <c r="V242" s="53" t="s">
        <v>20</v>
      </c>
      <c r="W242" s="53" t="s">
        <v>21</v>
      </c>
      <c r="X242" s="53" t="s">
        <v>22</v>
      </c>
      <c r="Y242" s="53" t="s">
        <v>91</v>
      </c>
      <c r="Z242" s="53" t="s">
        <v>92</v>
      </c>
    </row>
    <row r="243" spans="1:26" ht="11.85" customHeight="1">
      <c r="A243" s="116" t="s">
        <v>167</v>
      </c>
      <c r="B243" s="116"/>
    </row>
    <row r="244" spans="1:26" ht="11.85" customHeight="1">
      <c r="A244" s="114"/>
      <c r="B244" s="114" t="s">
        <v>168</v>
      </c>
      <c r="F244" s="121">
        <f>F35</f>
        <v>-143.65000000000003</v>
      </c>
      <c r="G244" s="121">
        <f>G35</f>
        <v>-787.97699999999998</v>
      </c>
      <c r="H244" s="121">
        <f>H35</f>
        <v>-2958.0069999999996</v>
      </c>
      <c r="I244" s="121">
        <f>I35</f>
        <v>-4718.1670000000004</v>
      </c>
      <c r="J244" s="121">
        <f>J35</f>
        <v>-5080.9476877973884</v>
      </c>
      <c r="K244" s="121">
        <f>K35</f>
        <v>-5709.0316322370627</v>
      </c>
      <c r="L244" s="121">
        <f>L35</f>
        <v>-2304.4506231339587</v>
      </c>
      <c r="M244" s="121">
        <f>M35</f>
        <v>5000.6880570691719</v>
      </c>
      <c r="N244" s="121">
        <f>N35</f>
        <v>19173.234260434267</v>
      </c>
      <c r="O244" s="121">
        <f>O35</f>
        <v>46908.618398486156</v>
      </c>
      <c r="P244" s="121">
        <f>P35</f>
        <v>87289.548025047552</v>
      </c>
      <c r="Q244" s="121">
        <f>Q35</f>
        <v>142559.32704328108</v>
      </c>
      <c r="R244" s="121">
        <f>R35</f>
        <v>211451.15540718008</v>
      </c>
      <c r="S244" s="121">
        <f>S35</f>
        <v>291465.47255203628</v>
      </c>
      <c r="U244" s="121">
        <f>U35</f>
        <v>-1235.5509999999997</v>
      </c>
      <c r="V244" s="121">
        <f>V35</f>
        <v>-1722.4559999999997</v>
      </c>
      <c r="W244" s="121">
        <f>W35</f>
        <v>-2357.8520000000003</v>
      </c>
      <c r="X244" s="121">
        <f>X35</f>
        <v>-2360.3150000000001</v>
      </c>
      <c r="Y244" s="121"/>
      <c r="Z244" s="121"/>
    </row>
    <row r="245" spans="1:26" ht="11.85" customHeight="1">
      <c r="A245" s="114"/>
      <c r="B245" s="114" t="s">
        <v>169</v>
      </c>
      <c r="F245" s="76">
        <v>16.567</v>
      </c>
      <c r="G245" s="76">
        <v>63.822000000000003</v>
      </c>
      <c r="H245" s="76">
        <v>270.25200000000001</v>
      </c>
      <c r="I245" s="76">
        <v>270.06799999999998</v>
      </c>
      <c r="J245" s="67">
        <f t="shared" ref="J245:S245" si="167">-J187</f>
        <v>137.92984000000001</v>
      </c>
      <c r="K245" s="67">
        <f t="shared" si="167"/>
        <v>134.90904799999998</v>
      </c>
      <c r="L245" s="67">
        <f t="shared" si="167"/>
        <v>37.1973968</v>
      </c>
      <c r="M245" s="67">
        <f t="shared" si="167"/>
        <v>16.010180479999999</v>
      </c>
      <c r="N245" s="67">
        <f t="shared" si="167"/>
        <v>18.116802528000001</v>
      </c>
      <c r="O245" s="67">
        <f t="shared" si="167"/>
        <v>20.204266780800005</v>
      </c>
      <c r="P245" s="67">
        <f t="shared" si="167"/>
        <v>22.224693458880012</v>
      </c>
      <c r="Q245" s="67">
        <f t="shared" si="167"/>
        <v>24.447162804768009</v>
      </c>
      <c r="R245" s="67">
        <f t="shared" si="167"/>
        <v>26.891879085244813</v>
      </c>
      <c r="S245" s="67">
        <f t="shared" si="167"/>
        <v>29.581066993769298</v>
      </c>
      <c r="T245" s="64"/>
      <c r="U245" s="76">
        <v>131.10499999999999</v>
      </c>
      <c r="V245" s="69">
        <f>H245-U245</f>
        <v>139.14700000000002</v>
      </c>
      <c r="W245" s="76">
        <v>132.90799999999999</v>
      </c>
      <c r="X245" s="69">
        <f>J245-W245</f>
        <v>5.0218400000000258</v>
      </c>
      <c r="Y245" s="64"/>
      <c r="Z245" s="64"/>
    </row>
    <row r="246" spans="1:26" ht="11.85" customHeight="1">
      <c r="A246" s="114"/>
      <c r="B246" s="114" t="s">
        <v>170</v>
      </c>
      <c r="F246" s="76">
        <v>3.4510000000000001</v>
      </c>
      <c r="G246" s="76">
        <v>5.109</v>
      </c>
      <c r="H246" s="76">
        <v>9.6850000000000005</v>
      </c>
      <c r="I246" s="76">
        <v>10.993</v>
      </c>
      <c r="J246" s="67">
        <f t="shared" ref="J246:S246" si="168">-J216</f>
        <v>5.6873999999999993</v>
      </c>
      <c r="K246" s="67">
        <f t="shared" si="168"/>
        <v>8.23874</v>
      </c>
      <c r="L246" s="67">
        <f t="shared" si="168"/>
        <v>11.045214</v>
      </c>
      <c r="M246" s="67">
        <f t="shared" si="168"/>
        <v>13.8308354</v>
      </c>
      <c r="N246" s="67">
        <f t="shared" si="168"/>
        <v>16.093002273333333</v>
      </c>
      <c r="O246" s="67">
        <f t="shared" si="168"/>
        <v>17.895585834000002</v>
      </c>
      <c r="P246" s="67">
        <f t="shared" si="168"/>
        <v>19.6851444174</v>
      </c>
      <c r="Q246" s="67">
        <f t="shared" si="168"/>
        <v>21.653658859140002</v>
      </c>
      <c r="R246" s="67">
        <f t="shared" si="168"/>
        <v>23.819024745054005</v>
      </c>
      <c r="S246" s="67">
        <f t="shared" si="168"/>
        <v>26.200927219559407</v>
      </c>
      <c r="T246" s="64"/>
      <c r="U246" s="76">
        <v>4.51</v>
      </c>
      <c r="V246" s="69">
        <f t="shared" ref="V246:X261" si="169">H246-U246</f>
        <v>5.1750000000000007</v>
      </c>
      <c r="W246" s="76">
        <v>6.1280000000000001</v>
      </c>
      <c r="X246" s="69">
        <f t="shared" si="169"/>
        <v>-0.44060000000000077</v>
      </c>
      <c r="Y246" s="64"/>
      <c r="Z246" s="64"/>
    </row>
    <row r="247" spans="1:26" ht="11.85" customHeight="1">
      <c r="A247" s="114"/>
      <c r="B247" s="114" t="s">
        <v>171</v>
      </c>
      <c r="F247" s="76">
        <v>0</v>
      </c>
      <c r="G247" s="76">
        <v>1.5389999999999999</v>
      </c>
      <c r="H247" s="76">
        <v>-6.8070000000000004</v>
      </c>
      <c r="I247" s="76">
        <v>0.26500000000000001</v>
      </c>
      <c r="J247" s="67">
        <v>0</v>
      </c>
      <c r="K247" s="67">
        <v>0</v>
      </c>
      <c r="L247" s="67">
        <v>0</v>
      </c>
      <c r="M247" s="67">
        <v>0</v>
      </c>
      <c r="N247" s="67">
        <v>0</v>
      </c>
      <c r="O247" s="67">
        <v>0</v>
      </c>
      <c r="P247" s="67">
        <v>0</v>
      </c>
      <c r="Q247" s="67">
        <v>0</v>
      </c>
      <c r="R247" s="67">
        <v>0</v>
      </c>
      <c r="S247" s="67">
        <v>0</v>
      </c>
      <c r="T247" s="64"/>
      <c r="U247" s="76">
        <v>0</v>
      </c>
      <c r="V247" s="69">
        <f t="shared" si="169"/>
        <v>-6.8070000000000004</v>
      </c>
      <c r="W247" s="64">
        <v>1.4999999999999999E-2</v>
      </c>
      <c r="X247" s="69">
        <f t="shared" si="169"/>
        <v>-1.4999999999999999E-2</v>
      </c>
      <c r="Y247" s="64"/>
      <c r="Z247" s="64"/>
    </row>
    <row r="248" spans="1:26" ht="11.85" customHeight="1">
      <c r="A248" s="114"/>
      <c r="B248" s="114" t="s">
        <v>172</v>
      </c>
      <c r="F248" s="76">
        <v>1.024</v>
      </c>
      <c r="G248" s="76">
        <v>5.5019999999999998</v>
      </c>
      <c r="H248" s="76">
        <v>23.579000000000001</v>
      </c>
      <c r="I248" s="76">
        <v>558.26499999999999</v>
      </c>
      <c r="J248" s="67">
        <f>J46</f>
        <v>669.91800000000001</v>
      </c>
      <c r="K248" s="67">
        <f>K46</f>
        <v>803.90160000000003</v>
      </c>
      <c r="L248" s="67">
        <f>L46</f>
        <v>964.68191999999999</v>
      </c>
      <c r="M248" s="67">
        <f>M46</f>
        <v>1061.150112</v>
      </c>
      <c r="N248" s="67">
        <f>N46</f>
        <v>1167.2651232000001</v>
      </c>
      <c r="O248" s="67">
        <f>O46</f>
        <v>1283.9916355200003</v>
      </c>
      <c r="P248" s="67">
        <f>P46</f>
        <v>1412.3907990720004</v>
      </c>
      <c r="Q248" s="67">
        <f>Q46</f>
        <v>1553.6298789792006</v>
      </c>
      <c r="R248" s="67">
        <f>R46</f>
        <v>1708.9928668771208</v>
      </c>
      <c r="S248" s="67">
        <f>S46</f>
        <v>1879.8921535648331</v>
      </c>
      <c r="T248" s="64"/>
      <c r="U248" s="64">
        <v>4.2169999999999996</v>
      </c>
      <c r="V248" s="69">
        <f t="shared" si="169"/>
        <v>19.362000000000002</v>
      </c>
      <c r="W248" s="64">
        <v>158.852</v>
      </c>
      <c r="X248" s="69">
        <f t="shared" si="169"/>
        <v>511.06600000000003</v>
      </c>
      <c r="Y248" s="64"/>
      <c r="Z248" s="64"/>
    </row>
    <row r="249" spans="1:26" ht="11.85" customHeight="1">
      <c r="A249" s="114"/>
      <c r="B249" s="114" t="s">
        <v>39</v>
      </c>
      <c r="F249" s="76">
        <v>-5.9720000000000004</v>
      </c>
      <c r="G249" s="76">
        <v>-26.021999999999998</v>
      </c>
      <c r="H249" s="76">
        <v>-66.271000000000001</v>
      </c>
      <c r="I249" s="76">
        <v>-25.277999999999999</v>
      </c>
      <c r="J249" s="77">
        <f>-(J132-I132)</f>
        <v>0</v>
      </c>
      <c r="K249" s="77">
        <f>-(K132-J132)</f>
        <v>0</v>
      </c>
      <c r="L249" s="77">
        <f>-(L132-K132)</f>
        <v>0</v>
      </c>
      <c r="M249" s="77">
        <f>-(M132-L132)</f>
        <v>0</v>
      </c>
      <c r="N249" s="77">
        <f>-(N132-M132)</f>
        <v>0</v>
      </c>
      <c r="O249" s="77">
        <f>-(O132-N132)</f>
        <v>0</v>
      </c>
      <c r="P249" s="77">
        <f>-(P132-O132)</f>
        <v>0</v>
      </c>
      <c r="Q249" s="77">
        <f>-(Q132-P132)</f>
        <v>0</v>
      </c>
      <c r="R249" s="77">
        <f>-(R132-Q132)</f>
        <v>0</v>
      </c>
      <c r="S249" s="77">
        <f>-(S132-R132)</f>
        <v>0</v>
      </c>
      <c r="T249" s="64"/>
      <c r="U249" s="64">
        <v>-7.0039999999999996</v>
      </c>
      <c r="V249" s="69">
        <f t="shared" si="169"/>
        <v>-59.267000000000003</v>
      </c>
      <c r="W249" s="64">
        <v>-9.7910000000000004</v>
      </c>
      <c r="X249" s="69">
        <f t="shared" si="169"/>
        <v>9.7910000000000004</v>
      </c>
      <c r="Y249" s="64"/>
      <c r="Z249" s="64"/>
    </row>
    <row r="250" spans="1:26" ht="11.85" customHeight="1">
      <c r="A250" s="114"/>
      <c r="B250" s="114" t="s">
        <v>173</v>
      </c>
      <c r="F250" s="76">
        <v>45.209000000000003</v>
      </c>
      <c r="G250" s="76">
        <v>161.471</v>
      </c>
      <c r="H250" s="76">
        <v>468.85899999999998</v>
      </c>
      <c r="I250" s="76">
        <v>937.36199999999997</v>
      </c>
      <c r="J250" s="67">
        <v>0</v>
      </c>
      <c r="K250" s="67">
        <v>0</v>
      </c>
      <c r="L250" s="67">
        <v>0</v>
      </c>
      <c r="M250" s="67">
        <v>0</v>
      </c>
      <c r="N250" s="67">
        <v>0</v>
      </c>
      <c r="O250" s="67">
        <v>0</v>
      </c>
      <c r="P250" s="67">
        <v>0</v>
      </c>
      <c r="Q250" s="67">
        <v>0</v>
      </c>
      <c r="R250" s="67">
        <v>0</v>
      </c>
      <c r="S250" s="67">
        <v>0</v>
      </c>
      <c r="T250" s="64"/>
      <c r="U250" s="76">
        <v>201.17400000000001</v>
      </c>
      <c r="V250" s="69">
        <f t="shared" si="169"/>
        <v>267.68499999999995</v>
      </c>
      <c r="W250" s="76">
        <v>429.29500000000002</v>
      </c>
      <c r="X250" s="69">
        <f t="shared" si="169"/>
        <v>-429.29500000000002</v>
      </c>
      <c r="Y250" s="64"/>
      <c r="Z250" s="64"/>
    </row>
    <row r="251" spans="1:26" ht="11.85" customHeight="1">
      <c r="A251" s="114"/>
      <c r="B251" s="114" t="s">
        <v>174</v>
      </c>
      <c r="F251" s="76">
        <v>-0.46200000000000002</v>
      </c>
      <c r="G251" s="76">
        <v>-2.1760000000000002</v>
      </c>
      <c r="H251" s="76">
        <v>-3.25</v>
      </c>
      <c r="I251" s="76">
        <v>-3.25</v>
      </c>
      <c r="J251" s="67">
        <v>0</v>
      </c>
      <c r="K251" s="67">
        <v>0</v>
      </c>
      <c r="L251" s="67">
        <v>0</v>
      </c>
      <c r="M251" s="67">
        <v>0</v>
      </c>
      <c r="N251" s="67">
        <v>0</v>
      </c>
      <c r="O251" s="67">
        <v>0</v>
      </c>
      <c r="P251" s="67">
        <v>0</v>
      </c>
      <c r="Q251" s="67">
        <v>0</v>
      </c>
      <c r="R251" s="67">
        <v>0</v>
      </c>
      <c r="S251" s="67">
        <v>0</v>
      </c>
      <c r="T251" s="64"/>
      <c r="U251" s="76">
        <v>-1.625</v>
      </c>
      <c r="V251" s="69">
        <f t="shared" si="169"/>
        <v>-1.625</v>
      </c>
      <c r="W251" s="76">
        <v>-1.625</v>
      </c>
      <c r="X251" s="69">
        <f t="shared" si="169"/>
        <v>1.625</v>
      </c>
      <c r="Y251" s="64"/>
      <c r="Z251" s="64"/>
    </row>
    <row r="252" spans="1:26" ht="11.85" customHeight="1">
      <c r="A252" s="114"/>
      <c r="B252" s="114" t="s">
        <v>37</v>
      </c>
      <c r="F252" s="76">
        <v>5.694</v>
      </c>
      <c r="G252" s="76">
        <v>26.332000000000001</v>
      </c>
      <c r="H252" s="76">
        <v>38.320999999999998</v>
      </c>
      <c r="I252" s="76">
        <v>74.314999999999998</v>
      </c>
      <c r="J252" s="67">
        <f>-J27</f>
        <v>35.705665197387631</v>
      </c>
      <c r="K252" s="67">
        <f>-K27</f>
        <v>35.705665197387631</v>
      </c>
      <c r="L252" s="67">
        <f>-L27</f>
        <v>35.705665197387631</v>
      </c>
      <c r="M252" s="67">
        <f>-M27</f>
        <v>35.705665197387631</v>
      </c>
      <c r="N252" s="67">
        <f>-N27</f>
        <v>35.705665197387631</v>
      </c>
      <c r="O252" s="67">
        <f>-O27</f>
        <v>35.705665197387631</v>
      </c>
      <c r="P252" s="67">
        <f>-P27</f>
        <v>35.705665197387631</v>
      </c>
      <c r="Q252" s="67">
        <f>-Q27</f>
        <v>35.705665197387631</v>
      </c>
      <c r="R252" s="67">
        <f>-R27</f>
        <v>35.705665197387631</v>
      </c>
      <c r="S252" s="67">
        <f>-S27</f>
        <v>35.705665197387631</v>
      </c>
      <c r="T252" s="64"/>
      <c r="U252" s="64">
        <v>12.212</v>
      </c>
      <c r="V252" s="69">
        <f t="shared" si="169"/>
        <v>26.108999999999998</v>
      </c>
      <c r="W252" s="64">
        <v>53.27</v>
      </c>
      <c r="X252" s="69">
        <f t="shared" si="169"/>
        <v>-17.564334802612372</v>
      </c>
      <c r="Y252" s="64"/>
      <c r="Z252" s="64"/>
    </row>
    <row r="253" spans="1:26" ht="11.85" customHeight="1">
      <c r="A253" s="114"/>
      <c r="B253" s="114" t="s">
        <v>38</v>
      </c>
      <c r="F253" s="76">
        <v>0</v>
      </c>
      <c r="G253" s="76">
        <v>0.45300000000000001</v>
      </c>
      <c r="H253" s="76">
        <v>-21.254000000000001</v>
      </c>
      <c r="I253" s="76">
        <v>-54.981999999999999</v>
      </c>
      <c r="J253" s="67">
        <f>-(J139-I139)</f>
        <v>0</v>
      </c>
      <c r="K253" s="67">
        <f>-(K139-J139)</f>
        <v>0</v>
      </c>
      <c r="L253" s="67">
        <f>-(L139-K139)</f>
        <v>0</v>
      </c>
      <c r="M253" s="67">
        <f>-(M139-L139)</f>
        <v>0</v>
      </c>
      <c r="N253" s="67">
        <f>-(N139-M139)</f>
        <v>0</v>
      </c>
      <c r="O253" s="67">
        <f>-(O139-N139)</f>
        <v>0</v>
      </c>
      <c r="P253" s="67">
        <f>-(P139-O139)</f>
        <v>0</v>
      </c>
      <c r="Q253" s="67">
        <f>-(Q139-P139)</f>
        <v>0</v>
      </c>
      <c r="R253" s="67">
        <f>-(R139-Q139)</f>
        <v>0</v>
      </c>
      <c r="S253" s="67">
        <f>-(S139-R139)</f>
        <v>0</v>
      </c>
      <c r="T253" s="64"/>
      <c r="U253" s="64">
        <v>-0.32400000000000001</v>
      </c>
      <c r="V253" s="69">
        <f t="shared" si="169"/>
        <v>-20.93</v>
      </c>
      <c r="W253" s="64">
        <v>-14.147</v>
      </c>
      <c r="X253" s="69">
        <f t="shared" si="169"/>
        <v>14.147</v>
      </c>
      <c r="Y253" s="64"/>
      <c r="Z253" s="64"/>
    </row>
    <row r="254" spans="1:26" ht="11.85" customHeight="1">
      <c r="A254" s="116" t="s">
        <v>175</v>
      </c>
      <c r="B254" s="114"/>
      <c r="F254" s="76"/>
      <c r="G254" s="76"/>
      <c r="H254" s="76"/>
      <c r="I254" s="76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4"/>
      <c r="U254" s="64"/>
      <c r="V254" s="64"/>
      <c r="W254" s="64"/>
      <c r="X254" s="64"/>
      <c r="Y254" s="64"/>
      <c r="Z254" s="64"/>
    </row>
    <row r="255" spans="1:26" ht="11.85" customHeight="1">
      <c r="A255" s="116"/>
      <c r="B255" s="114" t="s">
        <v>176</v>
      </c>
      <c r="F255" s="76">
        <v>-2.9180000000000001</v>
      </c>
      <c r="G255" s="76">
        <v>-18.369</v>
      </c>
      <c r="H255" s="76">
        <v>-3.6829999999999998</v>
      </c>
      <c r="I255" s="76">
        <v>-87.984999999999999</v>
      </c>
      <c r="J255" s="67">
        <f>-(J131-I131)</f>
        <v>-370.37223425753416</v>
      </c>
      <c r="K255" s="67">
        <f>-(K131-J131)</f>
        <v>-922.80229122575327</v>
      </c>
      <c r="L255" s="67">
        <f>-(L131-K131)</f>
        <v>-1720.2914485469453</v>
      </c>
      <c r="M255" s="67">
        <f>-(M131-L131)</f>
        <v>-3157.4134036636729</v>
      </c>
      <c r="N255" s="67">
        <f>-(N131-M131)</f>
        <v>-4883.4873282590515</v>
      </c>
      <c r="O255" s="67">
        <f>-(O131-N131)</f>
        <v>-6730.4140546675371</v>
      </c>
      <c r="P255" s="67">
        <f>-(P131-O131)</f>
        <v>-8786.9480218173012</v>
      </c>
      <c r="Q255" s="67">
        <f>-(Q131-P131)</f>
        <v>-10312.753145191178</v>
      </c>
      <c r="R255" s="67">
        <f>-(R131-Q131)</f>
        <v>-11304.633520723401</v>
      </c>
      <c r="S255" s="67">
        <f>-(S131-R131)</f>
        <v>-11725.067876123219</v>
      </c>
      <c r="T255" s="64"/>
      <c r="U255" s="64">
        <v>-24.905000000000001</v>
      </c>
      <c r="V255" s="69">
        <f t="shared" si="169"/>
        <v>21.222000000000001</v>
      </c>
      <c r="W255" s="64">
        <v>-29.2</v>
      </c>
      <c r="X255" s="69">
        <f t="shared" si="169"/>
        <v>-341.17223425753417</v>
      </c>
      <c r="Y255" s="64"/>
      <c r="Z255" s="64"/>
    </row>
    <row r="256" spans="1:26" ht="11.85" customHeight="1">
      <c r="A256" s="114"/>
      <c r="B256" s="114" t="s">
        <v>177</v>
      </c>
      <c r="F256" s="76">
        <v>-19.600999999999999</v>
      </c>
      <c r="G256" s="76">
        <v>-269.46199999999999</v>
      </c>
      <c r="H256" s="76">
        <v>-415.01100000000002</v>
      </c>
      <c r="I256" s="76">
        <v>-164.18899999999999</v>
      </c>
      <c r="J256" s="67">
        <f>-(J130-I130)</f>
        <v>-1380.9554871232872</v>
      </c>
      <c r="K256" s="67">
        <f>-(K130-J130)</f>
        <v>-3640.1160732054818</v>
      </c>
      <c r="L256" s="67">
        <f>-(L130-K130)</f>
        <v>-1449.697671022459</v>
      </c>
      <c r="M256" s="67">
        <f>-(M130-L130)</f>
        <v>-12094.244109336118</v>
      </c>
      <c r="N256" s="67">
        <f>-(N130-M130)</f>
        <v>-15618.941553269724</v>
      </c>
      <c r="O256" s="67">
        <f>-(O130-N130)</f>
        <v>-18380.826502251206</v>
      </c>
      <c r="P256" s="67">
        <f>-(P130-O130)</f>
        <v>-25153.289746981733</v>
      </c>
      <c r="Q256" s="67">
        <f>-(Q130-P130)</f>
        <v>-26198.699993142392</v>
      </c>
      <c r="R256" s="67">
        <f>-(R130-Q130)</f>
        <v>-30413.31333325681</v>
      </c>
      <c r="S256" s="67">
        <f>-(S130-R130)</f>
        <v>-28682.527734042902</v>
      </c>
      <c r="T256" s="64"/>
      <c r="U256" s="64">
        <v>-279.76299999999998</v>
      </c>
      <c r="V256" s="69">
        <f t="shared" si="169"/>
        <v>-135.24800000000005</v>
      </c>
      <c r="W256" s="64">
        <v>72.790000000000006</v>
      </c>
      <c r="X256" s="69">
        <f t="shared" si="169"/>
        <v>-1453.7454871232871</v>
      </c>
      <c r="Y256" s="64"/>
      <c r="Z256" s="64"/>
    </row>
    <row r="257" spans="1:26" ht="11.85" customHeight="1">
      <c r="A257" s="114"/>
      <c r="B257" s="114" t="s">
        <v>178</v>
      </c>
      <c r="F257" s="76">
        <v>-0.40300000000000002</v>
      </c>
      <c r="G257" s="76">
        <v>-9.6029999999999998</v>
      </c>
      <c r="H257" s="76">
        <v>-2.4710000000000001</v>
      </c>
      <c r="I257" s="76">
        <v>-2.7770000000000001</v>
      </c>
      <c r="J257" s="67">
        <f>-(J129-I129)</f>
        <v>0</v>
      </c>
      <c r="K257" s="67">
        <f>-(K129-J129)</f>
        <v>0</v>
      </c>
      <c r="L257" s="67">
        <f>-(L129-K129)</f>
        <v>0</v>
      </c>
      <c r="M257" s="67">
        <f>-(M129-L129)</f>
        <v>0</v>
      </c>
      <c r="N257" s="67">
        <f>-(N129-M129)</f>
        <v>0</v>
      </c>
      <c r="O257" s="67">
        <f>-(O129-N129)</f>
        <v>0</v>
      </c>
      <c r="P257" s="67">
        <f>-(P129-O129)</f>
        <v>0</v>
      </c>
      <c r="Q257" s="67">
        <f>-(Q129-P129)</f>
        <v>0</v>
      </c>
      <c r="R257" s="67">
        <f>-(R129-Q129)</f>
        <v>0</v>
      </c>
      <c r="S257" s="67">
        <f>-(S129-R129)</f>
        <v>0</v>
      </c>
      <c r="T257" s="64"/>
      <c r="U257" s="64">
        <v>8.73</v>
      </c>
      <c r="V257" s="69">
        <f t="shared" si="169"/>
        <v>-11.201000000000001</v>
      </c>
      <c r="W257" s="64">
        <v>-4.7430000000000003</v>
      </c>
      <c r="X257" s="69">
        <f t="shared" si="169"/>
        <v>4.7430000000000003</v>
      </c>
      <c r="Y257" s="64"/>
      <c r="Z257" s="64"/>
    </row>
    <row r="258" spans="1:26" ht="11.85" customHeight="1">
      <c r="A258" s="114"/>
      <c r="B258" s="114" t="s">
        <v>179</v>
      </c>
      <c r="F258" s="76">
        <v>-0.10299999999999999</v>
      </c>
      <c r="G258" s="76">
        <v>-0.113</v>
      </c>
      <c r="H258" s="76">
        <v>-0.84199999999999997</v>
      </c>
      <c r="I258" s="76">
        <v>-3.169</v>
      </c>
      <c r="J258" s="67">
        <v>0</v>
      </c>
      <c r="K258" s="67">
        <v>0</v>
      </c>
      <c r="L258" s="67">
        <v>0</v>
      </c>
      <c r="M258" s="67">
        <v>0</v>
      </c>
      <c r="N258" s="67">
        <v>0</v>
      </c>
      <c r="O258" s="67">
        <v>0</v>
      </c>
      <c r="P258" s="67">
        <v>0</v>
      </c>
      <c r="Q258" s="67">
        <v>0</v>
      </c>
      <c r="R258" s="67">
        <v>0</v>
      </c>
      <c r="S258" s="67">
        <v>0</v>
      </c>
      <c r="T258" s="64"/>
      <c r="U258" s="64">
        <v>0</v>
      </c>
      <c r="V258" s="69">
        <f t="shared" si="169"/>
        <v>-0.84199999999999997</v>
      </c>
      <c r="W258" s="64">
        <v>-3.0880000000000001</v>
      </c>
      <c r="X258" s="69">
        <f t="shared" si="169"/>
        <v>3.0880000000000001</v>
      </c>
      <c r="Y258" s="64"/>
      <c r="Z258" s="64"/>
    </row>
    <row r="259" spans="1:26" ht="11.85" customHeight="1">
      <c r="A259" s="114"/>
      <c r="B259" s="114" t="s">
        <v>180</v>
      </c>
      <c r="F259" s="76">
        <v>12.893000000000001</v>
      </c>
      <c r="G259" s="76">
        <v>143.19300000000001</v>
      </c>
      <c r="H259" s="76">
        <v>415.97300000000001</v>
      </c>
      <c r="I259" s="76">
        <v>743.42700000000002</v>
      </c>
      <c r="J259" s="67">
        <f>J147-I147</f>
        <v>3633.2613425753416</v>
      </c>
      <c r="K259" s="67">
        <f>K147-J147</f>
        <v>6863.0370364520531</v>
      </c>
      <c r="L259" s="67">
        <f>L147-K147</f>
        <v>5615.5315878072288</v>
      </c>
      <c r="M259" s="67">
        <f>M147-L147</f>
        <v>17541.185575909294</v>
      </c>
      <c r="N259" s="67">
        <f>N147-M147</f>
        <v>22989.676377012147</v>
      </c>
      <c r="O259" s="67">
        <f>O147-N147</f>
        <v>28264.888520268527</v>
      </c>
      <c r="P259" s="67">
        <f>P147-O147</f>
        <v>32419.547593032257</v>
      </c>
      <c r="Q259" s="67">
        <f>Q147-P147</f>
        <v>32126.940301727853</v>
      </c>
      <c r="R259" s="67">
        <f>R147-Q147</f>
        <v>28161.49491837222</v>
      </c>
      <c r="S259" s="67">
        <f>S147-R147</f>
        <v>21189.140161761694</v>
      </c>
      <c r="T259" s="64"/>
      <c r="U259" s="64">
        <v>179.911</v>
      </c>
      <c r="V259" s="69">
        <f t="shared" si="169"/>
        <v>236.06200000000001</v>
      </c>
      <c r="W259" s="64">
        <v>238.27799999999999</v>
      </c>
      <c r="X259" s="69">
        <f t="shared" si="169"/>
        <v>3394.9833425753418</v>
      </c>
      <c r="Y259" s="64"/>
      <c r="Z259" s="64"/>
    </row>
    <row r="260" spans="1:26" ht="11.85" customHeight="1">
      <c r="A260" s="114"/>
      <c r="B260" s="114" t="s">
        <v>181</v>
      </c>
      <c r="F260" s="76">
        <v>13.137</v>
      </c>
      <c r="G260" s="76">
        <v>38.832000000000001</v>
      </c>
      <c r="H260" s="76">
        <v>0.997</v>
      </c>
      <c r="I260" s="76">
        <v>73.584999999999994</v>
      </c>
      <c r="J260" s="67">
        <f>(J148-I148)</f>
        <v>0</v>
      </c>
      <c r="K260" s="67">
        <f>(K148-J148)</f>
        <v>0</v>
      </c>
      <c r="L260" s="67">
        <f>(L148-K148)</f>
        <v>0</v>
      </c>
      <c r="M260" s="67">
        <f>(M148-L148)</f>
        <v>0</v>
      </c>
      <c r="N260" s="67">
        <f>(N148-M148)</f>
        <v>0</v>
      </c>
      <c r="O260" s="67">
        <f>(O148-N148)</f>
        <v>0</v>
      </c>
      <c r="P260" s="67">
        <f>(P148-O148)</f>
        <v>0</v>
      </c>
      <c r="Q260" s="67">
        <f>(Q148-P148)</f>
        <v>0</v>
      </c>
      <c r="R260" s="67">
        <f>(R148-Q148)</f>
        <v>0</v>
      </c>
      <c r="S260" s="67">
        <f>(S148-R148)</f>
        <v>0</v>
      </c>
      <c r="T260" s="64"/>
      <c r="U260" s="64">
        <v>14.073</v>
      </c>
      <c r="V260" s="69">
        <f t="shared" si="169"/>
        <v>-13.076000000000001</v>
      </c>
      <c r="W260" s="64">
        <v>0.308</v>
      </c>
      <c r="X260" s="69">
        <f t="shared" si="169"/>
        <v>-0.308</v>
      </c>
      <c r="Y260" s="64"/>
      <c r="Z260" s="64"/>
    </row>
    <row r="261" spans="1:26" ht="11.85" customHeight="1">
      <c r="A261" s="114"/>
      <c r="B261" s="114" t="s">
        <v>182</v>
      </c>
      <c r="F261" s="76">
        <v>6.8879999999999999</v>
      </c>
      <c r="G261" s="76">
        <v>19.431999999999999</v>
      </c>
      <c r="H261" s="76">
        <v>5.0110000000000001</v>
      </c>
      <c r="I261" s="76">
        <v>145.39400000000001</v>
      </c>
      <c r="J261" s="67">
        <f>J158-I158</f>
        <v>0</v>
      </c>
      <c r="K261" s="67">
        <f>K158-J158</f>
        <v>0</v>
      </c>
      <c r="L261" s="67">
        <f>L158-K158</f>
        <v>0</v>
      </c>
      <c r="M261" s="67">
        <f>M158-L158</f>
        <v>0</v>
      </c>
      <c r="N261" s="67">
        <f>N158-M158</f>
        <v>0</v>
      </c>
      <c r="O261" s="67">
        <f>O158-N158</f>
        <v>0</v>
      </c>
      <c r="P261" s="67">
        <f>P158-O158</f>
        <v>0</v>
      </c>
      <c r="Q261" s="67">
        <f>Q158-P158</f>
        <v>0</v>
      </c>
      <c r="R261" s="67">
        <f>R158-Q158</f>
        <v>0</v>
      </c>
      <c r="S261" s="67">
        <f>S158-R158</f>
        <v>0</v>
      </c>
      <c r="T261" s="64"/>
      <c r="U261" s="64">
        <v>-1.4379999999999999</v>
      </c>
      <c r="V261" s="69">
        <f t="shared" si="169"/>
        <v>6.4489999999999998</v>
      </c>
      <c r="W261" s="64">
        <v>1.452</v>
      </c>
      <c r="X261" s="69">
        <f t="shared" si="169"/>
        <v>-1.452</v>
      </c>
      <c r="Y261" s="64"/>
      <c r="Z261" s="64"/>
    </row>
    <row r="262" spans="1:26" ht="11.85" customHeight="1">
      <c r="A262" s="116" t="s">
        <v>183</v>
      </c>
      <c r="B262" s="116"/>
      <c r="F262" s="118">
        <f t="shared" ref="F262:S262" si="170">SUM(F244:F253)+SUM(F255:F261)</f>
        <v>-68.246000000000038</v>
      </c>
      <c r="G262" s="118">
        <f t="shared" si="170"/>
        <v>-648.03700000000015</v>
      </c>
      <c r="H262" s="118">
        <f t="shared" si="170"/>
        <v>-2244.9189999999994</v>
      </c>
      <c r="I262" s="118">
        <f t="shared" si="170"/>
        <v>-2246.1229999999991</v>
      </c>
      <c r="J262" s="118">
        <f t="shared" si="170"/>
        <v>-2349.773161405481</v>
      </c>
      <c r="K262" s="118">
        <f>SUM(K244:K253)+SUM(K255:K261)</f>
        <v>-2426.1579070188563</v>
      </c>
      <c r="L262" s="118">
        <f t="shared" si="170"/>
        <v>1189.7220411012536</v>
      </c>
      <c r="M262" s="118">
        <f t="shared" si="170"/>
        <v>8416.9129130560632</v>
      </c>
      <c r="N262" s="118">
        <f t="shared" si="170"/>
        <v>22897.662349116355</v>
      </c>
      <c r="O262" s="118">
        <f t="shared" si="170"/>
        <v>51420.063515168134</v>
      </c>
      <c r="P262" s="118">
        <f t="shared" si="170"/>
        <v>87258.864151426431</v>
      </c>
      <c r="Q262" s="118">
        <f t="shared" si="170"/>
        <v>139810.25057251588</v>
      </c>
      <c r="R262" s="118">
        <f t="shared" si="170"/>
        <v>199690.1129074769</v>
      </c>
      <c r="S262" s="118">
        <f t="shared" si="170"/>
        <v>274218.39691660745</v>
      </c>
      <c r="U262" s="118">
        <f>SUM(U244:U253)+SUM(U255:U261)</f>
        <v>-994.67799999999943</v>
      </c>
      <c r="V262" s="118">
        <f>SUM(V244:V253)+SUM(V255:V261)</f>
        <v>-1250.241</v>
      </c>
      <c r="W262" s="118">
        <f>SUM(W244:W253)+SUM(W255:W261)</f>
        <v>-1327.1500000000005</v>
      </c>
      <c r="X262" s="118">
        <f>SUM(X244:X253)+SUM(X255:X261)</f>
        <v>-659.84247360809218</v>
      </c>
      <c r="Y262" s="118"/>
      <c r="Z262" s="118"/>
    </row>
    <row r="263" spans="1:26" ht="11.85" customHeight="1">
      <c r="A263" s="114"/>
      <c r="B263" s="116"/>
    </row>
    <row r="264" spans="1:26" ht="11.85" customHeight="1">
      <c r="A264" s="116" t="s">
        <v>184</v>
      </c>
      <c r="B264" s="116"/>
    </row>
    <row r="265" spans="1:26" ht="11.85" customHeight="1">
      <c r="A265" s="114"/>
      <c r="B265" s="114" t="s">
        <v>185</v>
      </c>
      <c r="F265" s="76">
        <v>-31.651</v>
      </c>
      <c r="G265" s="76">
        <v>-506.76</v>
      </c>
      <c r="H265" s="76">
        <v>-125.958</v>
      </c>
      <c r="I265" s="76">
        <v>-11.491</v>
      </c>
      <c r="J265" s="67">
        <f t="shared" ref="J265:S265" si="171">-J190</f>
        <v>-13.789199999999999</v>
      </c>
      <c r="K265" s="67">
        <f t="shared" si="171"/>
        <v>-16.547039999999999</v>
      </c>
      <c r="L265" s="67">
        <f t="shared" si="171"/>
        <v>-18.201744000000001</v>
      </c>
      <c r="M265" s="67">
        <f t="shared" si="171"/>
        <v>-20.021918400000004</v>
      </c>
      <c r="N265" s="67">
        <f t="shared" si="171"/>
        <v>-22.024110240000006</v>
      </c>
      <c r="O265" s="67">
        <f t="shared" si="171"/>
        <v>-24.226521264000009</v>
      </c>
      <c r="P265" s="67">
        <f t="shared" si="171"/>
        <v>-26.649173390400012</v>
      </c>
      <c r="Q265" s="67">
        <f t="shared" si="171"/>
        <v>-29.314090729440014</v>
      </c>
      <c r="R265" s="67">
        <f t="shared" si="171"/>
        <v>-32.245499802384018</v>
      </c>
      <c r="S265" s="67">
        <f t="shared" si="171"/>
        <v>-35.470049782622425</v>
      </c>
      <c r="T265" s="64"/>
      <c r="U265" s="64">
        <v>-98.388000000000005</v>
      </c>
      <c r="V265" s="69">
        <f t="shared" ref="V265:X275" si="172">H265-U265</f>
        <v>-27.569999999999993</v>
      </c>
      <c r="W265" s="64">
        <v>-12.74</v>
      </c>
      <c r="X265" s="69">
        <f t="shared" si="172"/>
        <v>-1.049199999999999</v>
      </c>
      <c r="Y265" s="64"/>
      <c r="Z265" s="64"/>
    </row>
    <row r="266" spans="1:26" ht="11.85" customHeight="1">
      <c r="A266" s="114"/>
      <c r="B266" s="114" t="s">
        <v>186</v>
      </c>
      <c r="F266" s="76">
        <v>0</v>
      </c>
      <c r="G266" s="76">
        <v>-1.8089999999999999</v>
      </c>
      <c r="H266" s="76">
        <v>-6.8019999999999996</v>
      </c>
      <c r="I266" s="76">
        <v>-11.597</v>
      </c>
      <c r="J266" s="67">
        <f t="shared" ref="J266:S266" si="173">-J219</f>
        <v>-13.916399999999999</v>
      </c>
      <c r="K266" s="67">
        <f t="shared" si="173"/>
        <v>-15.30804</v>
      </c>
      <c r="L266" s="67">
        <f t="shared" si="173"/>
        <v>-16.838844000000002</v>
      </c>
      <c r="M266" s="67">
        <f t="shared" si="173"/>
        <v>-18.522728400000002</v>
      </c>
      <c r="N266" s="67">
        <f t="shared" si="173"/>
        <v>-20.375001240000003</v>
      </c>
      <c r="O266" s="67">
        <f t="shared" si="173"/>
        <v>-22.412501364000004</v>
      </c>
      <c r="P266" s="67">
        <f t="shared" si="173"/>
        <v>-24.653751500400006</v>
      </c>
      <c r="Q266" s="67">
        <f t="shared" si="173"/>
        <v>-27.119126650440009</v>
      </c>
      <c r="R266" s="67">
        <f t="shared" si="173"/>
        <v>-29.831039315484013</v>
      </c>
      <c r="S266" s="67">
        <f t="shared" si="173"/>
        <v>-32.814143247032419</v>
      </c>
      <c r="T266" s="64"/>
      <c r="U266" s="64">
        <v>-6.15</v>
      </c>
      <c r="V266" s="69">
        <f t="shared" si="172"/>
        <v>-0.65199999999999925</v>
      </c>
      <c r="W266" s="64">
        <v>-11.167999999999999</v>
      </c>
      <c r="X266" s="69">
        <f t="shared" si="172"/>
        <v>-2.7484000000000002</v>
      </c>
      <c r="Y266" s="64"/>
      <c r="Z266" s="64"/>
    </row>
    <row r="267" spans="1:26" ht="11.85" customHeight="1">
      <c r="A267" s="114"/>
      <c r="B267" s="114" t="s">
        <v>187</v>
      </c>
      <c r="F267" s="76">
        <v>7.0000000000000001E-3</v>
      </c>
      <c r="G267" s="76">
        <v>0</v>
      </c>
      <c r="H267" s="76">
        <v>114.60299999999999</v>
      </c>
      <c r="I267" s="76">
        <v>4.7E-2</v>
      </c>
      <c r="J267" s="67">
        <v>0</v>
      </c>
      <c r="K267" s="67">
        <v>0</v>
      </c>
      <c r="L267" s="67">
        <v>0</v>
      </c>
      <c r="M267" s="67">
        <v>0</v>
      </c>
      <c r="N267" s="67">
        <v>0</v>
      </c>
      <c r="O267" s="67">
        <v>0</v>
      </c>
      <c r="P267" s="67">
        <v>0</v>
      </c>
      <c r="Q267" s="67">
        <v>0</v>
      </c>
      <c r="R267" s="67">
        <v>0</v>
      </c>
      <c r="S267" s="67">
        <v>0</v>
      </c>
      <c r="T267" s="64"/>
      <c r="U267" s="64">
        <v>0</v>
      </c>
      <c r="V267" s="69">
        <f t="shared" si="172"/>
        <v>114.60299999999999</v>
      </c>
      <c r="W267" s="64">
        <v>5.0000000000000001E-3</v>
      </c>
      <c r="X267" s="69">
        <f t="shared" si="172"/>
        <v>-5.0000000000000001E-3</v>
      </c>
      <c r="Y267" s="64"/>
      <c r="Z267" s="64"/>
    </row>
    <row r="268" spans="1:26" ht="11.85" customHeight="1">
      <c r="A268" s="114"/>
      <c r="B268" s="114" t="s">
        <v>188</v>
      </c>
      <c r="F268" s="76">
        <v>-1041.999</v>
      </c>
      <c r="G268" s="76">
        <v>-1100</v>
      </c>
      <c r="H268" s="76">
        <v>-100</v>
      </c>
      <c r="I268" s="76">
        <v>-5763</v>
      </c>
      <c r="J268" s="67">
        <v>0</v>
      </c>
      <c r="K268" s="67">
        <v>0</v>
      </c>
      <c r="L268" s="67">
        <v>0</v>
      </c>
      <c r="M268" s="67">
        <v>0</v>
      </c>
      <c r="N268" s="67">
        <v>0</v>
      </c>
      <c r="O268" s="67">
        <v>0</v>
      </c>
      <c r="P268" s="67">
        <v>0</v>
      </c>
      <c r="Q268" s="67">
        <v>0</v>
      </c>
      <c r="R268" s="67">
        <v>0</v>
      </c>
      <c r="S268" s="67">
        <v>0</v>
      </c>
      <c r="T268" s="64"/>
      <c r="U268" s="64">
        <v>-100</v>
      </c>
      <c r="V268" s="69">
        <f t="shared" si="172"/>
        <v>0</v>
      </c>
      <c r="W268" s="64">
        <v>-500</v>
      </c>
      <c r="X268" s="69">
        <f t="shared" si="172"/>
        <v>500</v>
      </c>
      <c r="Y268" s="64"/>
      <c r="Z268" s="64"/>
    </row>
    <row r="269" spans="1:26" ht="11.85" customHeight="1">
      <c r="A269" s="114"/>
      <c r="B269" s="114" t="s">
        <v>189</v>
      </c>
      <c r="F269" s="76">
        <v>1117.232</v>
      </c>
      <c r="G269" s="76">
        <v>1023.5940000000001</v>
      </c>
      <c r="H269" s="76">
        <v>200.53399999999999</v>
      </c>
      <c r="I269" s="76">
        <v>5450.5640000000003</v>
      </c>
      <c r="J269" s="67">
        <v>0</v>
      </c>
      <c r="K269" s="67">
        <v>0</v>
      </c>
      <c r="L269" s="67">
        <v>0</v>
      </c>
      <c r="M269" s="67">
        <v>0</v>
      </c>
      <c r="N269" s="67">
        <v>0</v>
      </c>
      <c r="O269" s="67">
        <v>0</v>
      </c>
      <c r="P269" s="67">
        <v>0</v>
      </c>
      <c r="Q269" s="67">
        <v>0</v>
      </c>
      <c r="R269" s="67">
        <v>0</v>
      </c>
      <c r="S269" s="67">
        <v>0</v>
      </c>
      <c r="T269" s="64"/>
      <c r="U269" s="64">
        <v>180.41200000000001</v>
      </c>
      <c r="V269" s="69">
        <f t="shared" si="172"/>
        <v>20.121999999999986</v>
      </c>
      <c r="W269" s="64">
        <v>0</v>
      </c>
      <c r="X269" s="69">
        <f t="shared" si="172"/>
        <v>0</v>
      </c>
      <c r="Y269" s="64"/>
      <c r="Z269" s="64"/>
    </row>
    <row r="270" spans="1:26" ht="11.85" customHeight="1">
      <c r="A270" s="114"/>
      <c r="B270" s="114" t="s">
        <v>190</v>
      </c>
      <c r="F270" s="76">
        <v>0</v>
      </c>
      <c r="G270" s="76">
        <v>-110</v>
      </c>
      <c r="H270" s="76">
        <v>0</v>
      </c>
      <c r="I270" s="76">
        <v>0</v>
      </c>
      <c r="J270" s="76">
        <f>-(J141+J128-I128-I141)</f>
        <v>0</v>
      </c>
      <c r="K270" s="76">
        <f>-(K141+K128-J128-J141)</f>
        <v>0</v>
      </c>
      <c r="L270" s="76">
        <f>-(L141+L128-K128-K141)</f>
        <v>0</v>
      </c>
      <c r="M270" s="76">
        <f>-(M141+M128-L128-L141)</f>
        <v>0</v>
      </c>
      <c r="N270" s="76">
        <f>-(N141+N128-M128-M141)</f>
        <v>0</v>
      </c>
      <c r="O270" s="76">
        <f>-(O141+O128-N128-N141)</f>
        <v>0</v>
      </c>
      <c r="P270" s="76">
        <f>-(P141+P128-O128-O141)</f>
        <v>0</v>
      </c>
      <c r="Q270" s="76">
        <f>-(Q141+Q128-P128-P141)</f>
        <v>0</v>
      </c>
      <c r="R270" s="76">
        <f>-(R141+R128-Q128-Q141)</f>
        <v>0</v>
      </c>
      <c r="S270" s="76">
        <f>-(S141+S128-R128-R141)</f>
        <v>0</v>
      </c>
      <c r="T270" s="64"/>
      <c r="U270" s="64">
        <v>0</v>
      </c>
      <c r="V270" s="69">
        <f t="shared" si="172"/>
        <v>0</v>
      </c>
      <c r="W270" s="64">
        <v>0</v>
      </c>
      <c r="X270" s="69">
        <f t="shared" si="172"/>
        <v>0</v>
      </c>
      <c r="Y270" s="64"/>
      <c r="Z270" s="64"/>
    </row>
    <row r="271" spans="1:26" ht="11.85" customHeight="1">
      <c r="A271" s="114"/>
      <c r="B271" s="114" t="s">
        <v>191</v>
      </c>
      <c r="F271" s="76">
        <v>0.37</v>
      </c>
      <c r="G271" s="76">
        <v>20.175000000000001</v>
      </c>
      <c r="H271" s="76">
        <v>0</v>
      </c>
      <c r="I271" s="76">
        <v>0</v>
      </c>
      <c r="J271" s="67">
        <v>0</v>
      </c>
      <c r="K271" s="67">
        <v>0</v>
      </c>
      <c r="L271" s="67">
        <v>0</v>
      </c>
      <c r="M271" s="67">
        <v>0</v>
      </c>
      <c r="N271" s="67">
        <v>0</v>
      </c>
      <c r="O271" s="67">
        <v>0</v>
      </c>
      <c r="P271" s="67">
        <v>0</v>
      </c>
      <c r="Q271" s="67">
        <v>0</v>
      </c>
      <c r="R271" s="67">
        <v>0</v>
      </c>
      <c r="S271" s="67">
        <v>0</v>
      </c>
      <c r="T271" s="64"/>
      <c r="U271" s="64">
        <v>0</v>
      </c>
      <c r="V271" s="69">
        <f t="shared" si="172"/>
        <v>0</v>
      </c>
      <c r="W271" s="64">
        <v>0</v>
      </c>
      <c r="X271" s="69">
        <f t="shared" si="172"/>
        <v>0</v>
      </c>
      <c r="Y271" s="64"/>
      <c r="Z271" s="64"/>
    </row>
    <row r="272" spans="1:26" ht="11.85" customHeight="1">
      <c r="A272" s="114"/>
      <c r="B272" s="114" t="s">
        <v>192</v>
      </c>
      <c r="F272" s="76">
        <v>-11.038</v>
      </c>
      <c r="G272" s="76">
        <v>-35.579000000000001</v>
      </c>
      <c r="H272" s="76">
        <v>-118.747</v>
      </c>
      <c r="I272" s="76">
        <v>0</v>
      </c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4"/>
      <c r="U272" s="64">
        <v>-111.649</v>
      </c>
      <c r="V272" s="69">
        <f t="shared" si="172"/>
        <v>-7.097999999999999</v>
      </c>
      <c r="W272" s="64">
        <v>0</v>
      </c>
      <c r="X272" s="69">
        <f t="shared" si="172"/>
        <v>0</v>
      </c>
      <c r="Y272" s="64"/>
      <c r="Z272" s="64"/>
    </row>
    <row r="273" spans="1:26" ht="11.85" customHeight="1">
      <c r="A273" s="114"/>
      <c r="B273" s="114" t="s">
        <v>193</v>
      </c>
      <c r="F273" s="76">
        <v>0</v>
      </c>
      <c r="G273" s="76">
        <v>0</v>
      </c>
      <c r="H273" s="76">
        <v>160.81100000000001</v>
      </c>
      <c r="I273" s="76">
        <v>42.53</v>
      </c>
      <c r="J273" s="67">
        <v>0</v>
      </c>
      <c r="K273" s="67">
        <v>0</v>
      </c>
      <c r="L273" s="67">
        <v>0</v>
      </c>
      <c r="M273" s="67">
        <v>0</v>
      </c>
      <c r="N273" s="67">
        <v>0</v>
      </c>
      <c r="O273" s="67">
        <v>0</v>
      </c>
      <c r="P273" s="67">
        <v>0</v>
      </c>
      <c r="Q273" s="67">
        <v>0</v>
      </c>
      <c r="R273" s="67">
        <v>0</v>
      </c>
      <c r="S273" s="67">
        <v>0</v>
      </c>
      <c r="T273" s="64"/>
      <c r="U273" s="64">
        <v>0</v>
      </c>
      <c r="V273" s="69">
        <f t="shared" si="172"/>
        <v>160.81100000000001</v>
      </c>
      <c r="W273" s="64">
        <v>42.53</v>
      </c>
      <c r="X273" s="69">
        <f t="shared" si="172"/>
        <v>-42.53</v>
      </c>
      <c r="Y273" s="64"/>
      <c r="Z273" s="64"/>
    </row>
    <row r="274" spans="1:26" ht="11.85" customHeight="1">
      <c r="A274" s="114"/>
      <c r="B274" s="114" t="s">
        <v>194</v>
      </c>
      <c r="F274" s="76">
        <v>0</v>
      </c>
      <c r="G274" s="76">
        <v>-13.5</v>
      </c>
      <c r="H274" s="76">
        <v>-170</v>
      </c>
      <c r="I274" s="76">
        <v>-83</v>
      </c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4"/>
      <c r="U274" s="64">
        <v>0</v>
      </c>
      <c r="V274" s="69">
        <f t="shared" si="172"/>
        <v>-170</v>
      </c>
      <c r="W274" s="64">
        <v>-75</v>
      </c>
      <c r="X274" s="69">
        <f t="shared" si="172"/>
        <v>75</v>
      </c>
      <c r="Y274" s="64"/>
      <c r="Z274" s="64"/>
    </row>
    <row r="275" spans="1:26" ht="11.85" customHeight="1">
      <c r="A275" s="114"/>
      <c r="B275" s="114" t="s">
        <v>195</v>
      </c>
      <c r="F275" s="76">
        <v>0</v>
      </c>
      <c r="G275" s="76">
        <v>-61.085999999999999</v>
      </c>
      <c r="H275" s="76">
        <v>-3</v>
      </c>
      <c r="I275" s="76">
        <v>0</v>
      </c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4"/>
      <c r="U275" s="64">
        <v>-3</v>
      </c>
      <c r="V275" s="69">
        <f t="shared" si="172"/>
        <v>0</v>
      </c>
      <c r="W275" s="64">
        <v>0</v>
      </c>
      <c r="X275" s="69">
        <f t="shared" si="172"/>
        <v>0</v>
      </c>
      <c r="Y275" s="64"/>
      <c r="Z275" s="64"/>
    </row>
    <row r="276" spans="1:26" ht="11.85" customHeight="1">
      <c r="A276" s="116" t="s">
        <v>196</v>
      </c>
      <c r="B276" s="116"/>
      <c r="F276" s="118">
        <f>SUM(F265:F275)</f>
        <v>32.920999999999935</v>
      </c>
      <c r="G276" s="118">
        <f>SUM(G265:G275)</f>
        <v>-784.96499999999992</v>
      </c>
      <c r="H276" s="118">
        <f>SUM(H265:H275)</f>
        <v>-48.558999999999997</v>
      </c>
      <c r="I276" s="118">
        <f>SUM(I265:I275)</f>
        <v>-375.94699999999989</v>
      </c>
      <c r="J276" s="118">
        <f t="shared" ref="J276:S276" si="174">SUM(J265:J275)</f>
        <v>-27.705599999999997</v>
      </c>
      <c r="K276" s="118">
        <f t="shared" si="174"/>
        <v>-31.855080000000001</v>
      </c>
      <c r="L276" s="118">
        <f t="shared" si="174"/>
        <v>-35.040588</v>
      </c>
      <c r="M276" s="118">
        <f t="shared" si="174"/>
        <v>-38.54464680000001</v>
      </c>
      <c r="N276" s="118">
        <f t="shared" si="174"/>
        <v>-42.399111480000009</v>
      </c>
      <c r="O276" s="118">
        <f t="shared" si="174"/>
        <v>-46.639022628000014</v>
      </c>
      <c r="P276" s="118">
        <f t="shared" si="174"/>
        <v>-51.302924890800014</v>
      </c>
      <c r="Q276" s="118">
        <f t="shared" si="174"/>
        <v>-56.43321737988002</v>
      </c>
      <c r="R276" s="118">
        <f t="shared" si="174"/>
        <v>-62.07653911786803</v>
      </c>
      <c r="S276" s="118">
        <f t="shared" si="174"/>
        <v>-68.284193029654844</v>
      </c>
      <c r="U276" s="118">
        <f>SUM(U265:U275)</f>
        <v>-138.77500000000001</v>
      </c>
      <c r="V276" s="118">
        <f>SUM(V265:V275)</f>
        <v>90.216000000000008</v>
      </c>
      <c r="W276" s="118">
        <f>SUM(W265:W275)</f>
        <v>-556.37300000000005</v>
      </c>
      <c r="X276" s="118">
        <f>SUM(X265:X275)</f>
        <v>528.66740000000004</v>
      </c>
      <c r="Y276" s="118"/>
      <c r="Z276" s="118"/>
    </row>
    <row r="277" spans="1:26" ht="11.85" customHeight="1">
      <c r="A277" s="114"/>
      <c r="B277" s="114"/>
      <c r="F277" s="118"/>
      <c r="G277" s="118"/>
      <c r="H277" s="118"/>
      <c r="I277" s="118"/>
    </row>
    <row r="278" spans="1:26" ht="11.85" customHeight="1">
      <c r="A278" s="116" t="s">
        <v>197</v>
      </c>
      <c r="B278" s="116"/>
    </row>
    <row r="279" spans="1:26" ht="11.85" customHeight="1">
      <c r="A279" s="114"/>
      <c r="B279" s="114" t="s">
        <v>198</v>
      </c>
      <c r="F279" s="76">
        <v>208</v>
      </c>
      <c r="G279" s="76">
        <v>2419.038</v>
      </c>
      <c r="H279" s="76">
        <v>3019.587</v>
      </c>
      <c r="I279" s="76">
        <v>1625</v>
      </c>
      <c r="J279" s="67">
        <f>31374.95*0.87+4173.4*0.87</f>
        <v>30927.0645</v>
      </c>
      <c r="K279" s="67">
        <f>K151-J151</f>
        <v>0</v>
      </c>
      <c r="L279" s="67">
        <f>L151-K151</f>
        <v>0</v>
      </c>
      <c r="M279" s="67">
        <f>M151-L151</f>
        <v>2014.5653999999995</v>
      </c>
      <c r="N279" s="67">
        <f>N151-M151</f>
        <v>2417.4784799999998</v>
      </c>
      <c r="O279" s="67">
        <f>O151-N151</f>
        <v>2900.9741759999997</v>
      </c>
      <c r="P279" s="67">
        <f>P151-O151</f>
        <v>3481.1690111999997</v>
      </c>
      <c r="Q279" s="67">
        <f>Q151-P151</f>
        <v>4177.4028134399996</v>
      </c>
      <c r="R279" s="67">
        <f>R151-Q151</f>
        <v>5012.8833761279966</v>
      </c>
      <c r="S279" s="67">
        <f>S151-R151</f>
        <v>6015.4600513535988</v>
      </c>
      <c r="T279" s="64"/>
      <c r="U279" s="64">
        <v>893.19</v>
      </c>
      <c r="V279" s="69">
        <f t="shared" ref="V279:X291" si="175">H279-U279</f>
        <v>2126.3969999999999</v>
      </c>
      <c r="W279" s="64">
        <v>1625</v>
      </c>
      <c r="X279" s="69">
        <f t="shared" si="175"/>
        <v>29302.0645</v>
      </c>
      <c r="Y279" s="64"/>
      <c r="Z279" s="64"/>
    </row>
    <row r="280" spans="1:26" ht="11.85" customHeight="1">
      <c r="A280" s="114"/>
      <c r="B280" s="114" t="s">
        <v>199</v>
      </c>
      <c r="F280" s="76">
        <v>-4.9059999999999997</v>
      </c>
      <c r="G280" s="76">
        <v>-13.25</v>
      </c>
      <c r="H280" s="76">
        <v>-8.4060000000000006</v>
      </c>
      <c r="I280" s="76">
        <v>-46.228000000000002</v>
      </c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4"/>
      <c r="U280" s="64">
        <v>-3.238</v>
      </c>
      <c r="V280" s="69">
        <f t="shared" si="175"/>
        <v>-5.168000000000001</v>
      </c>
      <c r="W280" s="64">
        <v>-33.926000000000002</v>
      </c>
      <c r="X280" s="69">
        <f t="shared" si="175"/>
        <v>33.926000000000002</v>
      </c>
      <c r="Y280" s="64"/>
      <c r="Z280" s="64"/>
    </row>
    <row r="281" spans="1:26" ht="11.85" customHeight="1">
      <c r="A281" s="114"/>
      <c r="B281" s="114" t="s">
        <v>200</v>
      </c>
      <c r="F281" s="76">
        <v>0</v>
      </c>
      <c r="G281" s="76">
        <v>97.75</v>
      </c>
      <c r="H281" s="76">
        <v>0</v>
      </c>
      <c r="I281" s="76">
        <v>0</v>
      </c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4"/>
      <c r="U281" s="64">
        <v>0</v>
      </c>
      <c r="V281" s="69">
        <f t="shared" si="175"/>
        <v>0</v>
      </c>
      <c r="W281" s="64">
        <v>0</v>
      </c>
      <c r="X281" s="69">
        <f t="shared" si="175"/>
        <v>0</v>
      </c>
      <c r="Y281" s="64"/>
      <c r="Z281" s="64"/>
    </row>
    <row r="282" spans="1:26" ht="11.85" customHeight="1">
      <c r="A282" s="114"/>
      <c r="B282" s="114" t="s">
        <v>201</v>
      </c>
      <c r="F282" s="76">
        <v>0</v>
      </c>
      <c r="G282" s="76">
        <v>0</v>
      </c>
      <c r="H282" s="76">
        <v>0</v>
      </c>
      <c r="I282" s="76">
        <v>-137.166</v>
      </c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4"/>
      <c r="U282" s="64">
        <v>0</v>
      </c>
      <c r="V282" s="69">
        <f>H282-U282</f>
        <v>0</v>
      </c>
      <c r="W282" s="64">
        <v>0</v>
      </c>
      <c r="X282" s="69">
        <f>J282-W282</f>
        <v>0</v>
      </c>
      <c r="Y282" s="64"/>
      <c r="Z282" s="64"/>
    </row>
    <row r="283" spans="1:26" ht="11.85" customHeight="1">
      <c r="A283" s="114"/>
      <c r="B283" s="114" t="s">
        <v>202</v>
      </c>
      <c r="F283" s="76">
        <v>0</v>
      </c>
      <c r="G283" s="76">
        <v>0</v>
      </c>
      <c r="H283" s="76">
        <v>130</v>
      </c>
      <c r="I283" s="76">
        <v>700</v>
      </c>
      <c r="J283" s="67">
        <f>J152-I152</f>
        <v>0</v>
      </c>
      <c r="K283" s="67">
        <f>K152-J152</f>
        <v>0</v>
      </c>
      <c r="L283" s="67">
        <f>L152-K152</f>
        <v>0</v>
      </c>
      <c r="M283" s="67">
        <f>M152-L152</f>
        <v>0</v>
      </c>
      <c r="N283" s="67">
        <f>N152-M152</f>
        <v>0</v>
      </c>
      <c r="O283" s="67">
        <f>O152-N152</f>
        <v>0</v>
      </c>
      <c r="P283" s="67">
        <f>P152-O152</f>
        <v>0</v>
      </c>
      <c r="Q283" s="67">
        <f>Q152-P152</f>
        <v>0</v>
      </c>
      <c r="R283" s="67">
        <f>R152-Q152</f>
        <v>0</v>
      </c>
      <c r="S283" s="67">
        <f>S152-R152</f>
        <v>0</v>
      </c>
      <c r="T283" s="64"/>
      <c r="U283" s="64">
        <v>0</v>
      </c>
      <c r="V283" s="69">
        <f t="shared" si="175"/>
        <v>130</v>
      </c>
      <c r="W283" s="64">
        <v>700</v>
      </c>
      <c r="X283" s="69">
        <f t="shared" si="175"/>
        <v>-700</v>
      </c>
      <c r="Y283" s="64"/>
      <c r="Z283" s="64"/>
    </row>
    <row r="284" spans="1:26" ht="11.85" customHeight="1">
      <c r="A284" s="114"/>
      <c r="B284" s="114" t="s">
        <v>203</v>
      </c>
      <c r="F284" s="76">
        <v>0</v>
      </c>
      <c r="G284" s="76">
        <v>0</v>
      </c>
      <c r="H284" s="76">
        <v>137.166</v>
      </c>
      <c r="I284" s="76">
        <v>689.05899999999997</v>
      </c>
      <c r="J284" s="77">
        <f>J149-I149</f>
        <v>0</v>
      </c>
      <c r="K284" s="77">
        <f>K149-J149</f>
        <v>0</v>
      </c>
      <c r="L284" s="77">
        <f>L149-K149</f>
        <v>0</v>
      </c>
      <c r="M284" s="77">
        <f>M149-L149</f>
        <v>0</v>
      </c>
      <c r="N284" s="77">
        <f>N149-M149</f>
        <v>0</v>
      </c>
      <c r="O284" s="77">
        <f>O149-N149</f>
        <v>0</v>
      </c>
      <c r="P284" s="77">
        <f>P149-O149</f>
        <v>0</v>
      </c>
      <c r="Q284" s="77">
        <f>Q149-P149</f>
        <v>0</v>
      </c>
      <c r="R284" s="77">
        <f>R149-Q149</f>
        <v>0</v>
      </c>
      <c r="S284" s="77">
        <f>S149-R149</f>
        <v>0</v>
      </c>
      <c r="T284" s="64"/>
      <c r="U284" s="64">
        <v>0</v>
      </c>
      <c r="V284" s="69">
        <f t="shared" si="175"/>
        <v>137.166</v>
      </c>
      <c r="W284" s="64">
        <v>0</v>
      </c>
      <c r="X284" s="69">
        <f t="shared" si="175"/>
        <v>0</v>
      </c>
      <c r="Y284" s="64"/>
      <c r="Z284" s="64"/>
    </row>
    <row r="285" spans="1:26" ht="11.85" customHeight="1">
      <c r="A285" s="114"/>
      <c r="B285" s="114" t="s">
        <v>204</v>
      </c>
      <c r="F285" s="76">
        <v>-11.11</v>
      </c>
      <c r="G285" s="76">
        <v>-31.829000000000001</v>
      </c>
      <c r="H285" s="76">
        <v>-147.387</v>
      </c>
      <c r="I285" s="76">
        <v>-177.774</v>
      </c>
      <c r="J285" s="67">
        <f>J150+J157-I150-I157</f>
        <v>0</v>
      </c>
      <c r="K285" s="67">
        <f>K150+K157-J150-J157</f>
        <v>0</v>
      </c>
      <c r="L285" s="67">
        <f>L150+L157-K150-K157</f>
        <v>0</v>
      </c>
      <c r="M285" s="67">
        <f>M150+M157-L150-L157</f>
        <v>0</v>
      </c>
      <c r="N285" s="67">
        <f>N150+N157-M150-M157</f>
        <v>0</v>
      </c>
      <c r="O285" s="67">
        <f>O150+O157-N150-N157</f>
        <v>0</v>
      </c>
      <c r="P285" s="67">
        <f>P150+P157-O150-O157</f>
        <v>0</v>
      </c>
      <c r="Q285" s="67">
        <f>Q150+Q157-P150-P157</f>
        <v>0</v>
      </c>
      <c r="R285" s="67">
        <f>R150+R157-Q150-Q157</f>
        <v>0</v>
      </c>
      <c r="S285" s="67">
        <f>S150+S157-R150-R157</f>
        <v>0</v>
      </c>
      <c r="T285" s="64"/>
      <c r="U285" s="64">
        <v>-61.771000000000001</v>
      </c>
      <c r="V285" s="69">
        <f t="shared" si="175"/>
        <v>-85.616</v>
      </c>
      <c r="W285" s="64">
        <v>-106.075</v>
      </c>
      <c r="X285" s="69">
        <f t="shared" si="175"/>
        <v>106.075</v>
      </c>
      <c r="Y285" s="64"/>
      <c r="Z285" s="64"/>
    </row>
    <row r="286" spans="1:26" ht="11.85" customHeight="1">
      <c r="A286" s="114"/>
      <c r="B286" s="114" t="s">
        <v>205</v>
      </c>
      <c r="F286" s="76">
        <v>-0.78800000000000003</v>
      </c>
      <c r="G286" s="76">
        <v>-7.4980000000000002</v>
      </c>
      <c r="H286" s="76">
        <v>-30.931000000000001</v>
      </c>
      <c r="I286" s="76">
        <v>-32.795000000000002</v>
      </c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4"/>
      <c r="U286" s="64">
        <v>-11.84</v>
      </c>
      <c r="V286" s="69">
        <f t="shared" si="175"/>
        <v>-19.091000000000001</v>
      </c>
      <c r="W286" s="64">
        <v>-17.983000000000001</v>
      </c>
      <c r="X286" s="69">
        <f t="shared" si="175"/>
        <v>17.983000000000001</v>
      </c>
      <c r="Y286" s="64"/>
      <c r="Z286" s="64"/>
    </row>
    <row r="287" spans="1:26" ht="11.85" customHeight="1">
      <c r="A287" s="114"/>
      <c r="B287" s="114" t="s">
        <v>206</v>
      </c>
      <c r="F287" s="76">
        <v>0</v>
      </c>
      <c r="G287" s="76">
        <v>0</v>
      </c>
      <c r="H287" s="76">
        <v>3</v>
      </c>
      <c r="I287" s="76">
        <v>0</v>
      </c>
      <c r="J287" s="67">
        <v>0</v>
      </c>
      <c r="K287" s="67">
        <v>0</v>
      </c>
      <c r="L287" s="67">
        <v>0</v>
      </c>
      <c r="M287" s="67">
        <v>0</v>
      </c>
      <c r="N287" s="67">
        <v>0</v>
      </c>
      <c r="O287" s="67">
        <v>0</v>
      </c>
      <c r="P287" s="67">
        <v>0</v>
      </c>
      <c r="Q287" s="67">
        <v>0</v>
      </c>
      <c r="R287" s="67">
        <v>0</v>
      </c>
      <c r="S287" s="67">
        <v>0</v>
      </c>
      <c r="T287" s="64"/>
      <c r="U287" s="64">
        <v>0</v>
      </c>
      <c r="V287" s="69">
        <f t="shared" si="175"/>
        <v>3</v>
      </c>
      <c r="W287" s="64">
        <v>0</v>
      </c>
      <c r="X287" s="69">
        <f t="shared" si="175"/>
        <v>0</v>
      </c>
      <c r="Y287" s="64"/>
      <c r="Z287" s="64"/>
    </row>
    <row r="288" spans="1:26" ht="11.85" customHeight="1">
      <c r="A288" s="114"/>
      <c r="B288" s="114" t="s">
        <v>207</v>
      </c>
      <c r="F288" s="76">
        <v>0</v>
      </c>
      <c r="G288" s="76">
        <v>-1.1679999999999999</v>
      </c>
      <c r="H288" s="76">
        <v>0</v>
      </c>
      <c r="I288" s="76">
        <v>0</v>
      </c>
      <c r="J288" s="67"/>
      <c r="K288" s="78"/>
      <c r="L288" s="67"/>
      <c r="M288" s="67"/>
      <c r="N288" s="67"/>
      <c r="O288" s="67"/>
      <c r="P288" s="67"/>
      <c r="Q288" s="67"/>
      <c r="R288" s="67"/>
      <c r="S288" s="67"/>
      <c r="T288" s="64"/>
      <c r="U288" s="64">
        <v>0</v>
      </c>
      <c r="V288" s="69">
        <f t="shared" si="175"/>
        <v>0</v>
      </c>
      <c r="W288" s="64">
        <v>0</v>
      </c>
      <c r="X288" s="69">
        <f t="shared" si="175"/>
        <v>0</v>
      </c>
      <c r="Y288" s="64"/>
      <c r="Z288" s="64"/>
    </row>
    <row r="289" spans="1:26" ht="11.85" customHeight="1">
      <c r="A289" s="114"/>
      <c r="B289" s="114" t="s">
        <v>208</v>
      </c>
      <c r="F289" s="76">
        <v>0</v>
      </c>
      <c r="G289" s="76">
        <v>0</v>
      </c>
      <c r="H289" s="76">
        <v>210.68</v>
      </c>
      <c r="I289" s="76">
        <v>0</v>
      </c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4"/>
      <c r="U289" s="64">
        <v>0</v>
      </c>
      <c r="V289" s="69">
        <f t="shared" si="175"/>
        <v>210.68</v>
      </c>
      <c r="W289" s="64">
        <v>0</v>
      </c>
      <c r="X289" s="69">
        <f t="shared" si="175"/>
        <v>0</v>
      </c>
      <c r="Y289" s="64"/>
      <c r="Z289" s="64"/>
    </row>
    <row r="290" spans="1:26" ht="11.85" customHeight="1">
      <c r="A290" s="114"/>
      <c r="B290" s="114" t="s">
        <v>209</v>
      </c>
      <c r="F290" s="76">
        <v>0</v>
      </c>
      <c r="G290" s="76">
        <v>0</v>
      </c>
      <c r="H290" s="76">
        <v>-1.6359999999999999</v>
      </c>
      <c r="I290" s="76">
        <v>-4.4279999999999999</v>
      </c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4"/>
      <c r="U290" s="64">
        <v>0</v>
      </c>
      <c r="V290" s="69">
        <f t="shared" si="175"/>
        <v>-1.6359999999999999</v>
      </c>
      <c r="W290" s="64">
        <v>-1.839</v>
      </c>
      <c r="X290" s="69">
        <f t="shared" si="175"/>
        <v>1.839</v>
      </c>
      <c r="Y290" s="64"/>
      <c r="Z290" s="64"/>
    </row>
    <row r="291" spans="1:26" ht="11.85" customHeight="1">
      <c r="A291" s="114"/>
      <c r="B291" s="114" t="s">
        <v>210</v>
      </c>
      <c r="F291" s="76">
        <v>0</v>
      </c>
      <c r="G291" s="76">
        <v>0</v>
      </c>
      <c r="H291" s="76">
        <v>0</v>
      </c>
      <c r="I291" s="76">
        <v>-1.538</v>
      </c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4"/>
      <c r="U291" s="64">
        <v>0</v>
      </c>
      <c r="V291" s="69">
        <f t="shared" si="175"/>
        <v>0</v>
      </c>
      <c r="W291" s="64">
        <v>-6.7000000000000004E-2</v>
      </c>
      <c r="X291" s="69">
        <f t="shared" si="175"/>
        <v>6.7000000000000004E-2</v>
      </c>
      <c r="Y291" s="64"/>
      <c r="Z291" s="64"/>
    </row>
    <row r="292" spans="1:26" ht="11.85" customHeight="1">
      <c r="A292" s="116" t="s">
        <v>211</v>
      </c>
      <c r="B292" s="116"/>
      <c r="F292" s="118">
        <f t="shared" ref="F292:L292" si="176">SUM(F279:F291)</f>
        <v>191.19599999999997</v>
      </c>
      <c r="G292" s="118">
        <f t="shared" si="176"/>
        <v>2463.0429999999997</v>
      </c>
      <c r="H292" s="118">
        <f t="shared" si="176"/>
        <v>3312.0729999999999</v>
      </c>
      <c r="I292" s="118">
        <f t="shared" si="176"/>
        <v>2614.13</v>
      </c>
      <c r="J292" s="118">
        <f t="shared" si="176"/>
        <v>30927.0645</v>
      </c>
      <c r="K292" s="118">
        <f t="shared" si="176"/>
        <v>0</v>
      </c>
      <c r="L292" s="118">
        <f t="shared" si="176"/>
        <v>0</v>
      </c>
      <c r="M292" s="118">
        <f t="shared" ref="M292:S292" si="177">SUM(M279:M287)</f>
        <v>2014.5653999999995</v>
      </c>
      <c r="N292" s="118">
        <f t="shared" si="177"/>
        <v>2417.4784799999998</v>
      </c>
      <c r="O292" s="118">
        <f t="shared" si="177"/>
        <v>2900.9741759999997</v>
      </c>
      <c r="P292" s="118">
        <f t="shared" si="177"/>
        <v>3481.1690111999997</v>
      </c>
      <c r="Q292" s="118">
        <f t="shared" si="177"/>
        <v>4177.4028134399996</v>
      </c>
      <c r="R292" s="118">
        <f t="shared" si="177"/>
        <v>5012.8833761279966</v>
      </c>
      <c r="S292" s="118">
        <f t="shared" si="177"/>
        <v>6015.4600513535988</v>
      </c>
      <c r="U292" s="118">
        <f>SUM(U279:U291)</f>
        <v>816.34100000000001</v>
      </c>
      <c r="V292" s="118">
        <f>SUM(V279:V291)</f>
        <v>2495.732</v>
      </c>
      <c r="W292" s="118">
        <f>SUM(W279:W291)</f>
        <v>2165.11</v>
      </c>
      <c r="X292" s="118">
        <f>SUM(X279:X291)</f>
        <v>28761.9545</v>
      </c>
      <c r="Y292" s="118"/>
      <c r="Z292" s="118"/>
    </row>
    <row r="293" spans="1:26" ht="11.85" customHeight="1">
      <c r="A293" s="116"/>
      <c r="B293" s="116"/>
    </row>
    <row r="294" spans="1:26" ht="11.85" customHeight="1">
      <c r="A294" s="116" t="s">
        <v>212</v>
      </c>
      <c r="B294" s="114"/>
      <c r="F294" s="118">
        <f t="shared" ref="F294:S294" si="178">F262+F276+F292</f>
        <v>155.87099999999987</v>
      </c>
      <c r="G294" s="118">
        <f t="shared" si="178"/>
        <v>1030.0409999999997</v>
      </c>
      <c r="H294" s="118">
        <f t="shared" si="178"/>
        <v>1018.5950000000003</v>
      </c>
      <c r="I294" s="118">
        <f t="shared" si="178"/>
        <v>-7.9399999999986903</v>
      </c>
      <c r="J294" s="118">
        <f t="shared" si="178"/>
        <v>28549.58573859452</v>
      </c>
      <c r="K294" s="118">
        <f t="shared" si="178"/>
        <v>-2458.0129870188562</v>
      </c>
      <c r="L294" s="118">
        <f t="shared" si="178"/>
        <v>1154.6814531012535</v>
      </c>
      <c r="M294" s="118">
        <f t="shared" si="178"/>
        <v>10392.933666256064</v>
      </c>
      <c r="N294" s="118">
        <f t="shared" si="178"/>
        <v>25272.741717636352</v>
      </c>
      <c r="O294" s="118">
        <f t="shared" si="178"/>
        <v>54274.398668540132</v>
      </c>
      <c r="P294" s="118">
        <f t="shared" si="178"/>
        <v>90688.730237735639</v>
      </c>
      <c r="Q294" s="118">
        <f t="shared" si="178"/>
        <v>143931.22016857599</v>
      </c>
      <c r="R294" s="118">
        <f t="shared" si="178"/>
        <v>204640.91974448704</v>
      </c>
      <c r="S294" s="118">
        <f t="shared" si="178"/>
        <v>280165.57277493144</v>
      </c>
      <c r="U294" s="118">
        <f>U262+U276+U292</f>
        <v>-317.11199999999951</v>
      </c>
      <c r="V294" s="118">
        <f>V262+V276+V292</f>
        <v>1335.7069999999999</v>
      </c>
      <c r="W294" s="118">
        <f>W262+W276+W292</f>
        <v>281.58699999999953</v>
      </c>
      <c r="X294" s="118">
        <f>X262+X276+X292</f>
        <v>28630.779426391906</v>
      </c>
      <c r="Y294" s="118"/>
      <c r="Z294" s="118"/>
    </row>
    <row r="295" spans="1:26" ht="11.85" customHeight="1">
      <c r="A295" s="114" t="s">
        <v>213</v>
      </c>
      <c r="B295" s="114"/>
      <c r="F295" s="121">
        <v>63.057000000000002</v>
      </c>
      <c r="G295" s="121">
        <f>F297</f>
        <v>218.92799999999988</v>
      </c>
      <c r="H295" s="121">
        <f>G297</f>
        <v>1249.1549999999995</v>
      </c>
      <c r="I295" s="121">
        <f t="shared" ref="I295:S295" si="179">H297</f>
        <v>2268.1439999999998</v>
      </c>
      <c r="J295" s="121">
        <f t="shared" si="179"/>
        <v>2254.900000000001</v>
      </c>
      <c r="K295" s="121">
        <f t="shared" si="179"/>
        <v>30804.485738594522</v>
      </c>
      <c r="L295" s="121">
        <f t="shared" si="179"/>
        <v>28346.472751575664</v>
      </c>
      <c r="M295" s="121">
        <f t="shared" si="179"/>
        <v>29501.154204676917</v>
      </c>
      <c r="N295" s="121">
        <f t="shared" si="179"/>
        <v>39894.087870932985</v>
      </c>
      <c r="O295" s="121">
        <f t="shared" si="179"/>
        <v>65166.829588569337</v>
      </c>
      <c r="P295" s="121">
        <f t="shared" si="179"/>
        <v>119441.22825710947</v>
      </c>
      <c r="Q295" s="121">
        <f t="shared" si="179"/>
        <v>210129.95849484511</v>
      </c>
      <c r="R295" s="121">
        <f t="shared" si="179"/>
        <v>354061.17866342107</v>
      </c>
      <c r="S295" s="121">
        <f t="shared" si="179"/>
        <v>558702.09840790811</v>
      </c>
      <c r="U295" s="123">
        <f>G297</f>
        <v>1249.1549999999995</v>
      </c>
      <c r="W295" s="123">
        <f>H297</f>
        <v>2268.1439999999998</v>
      </c>
    </row>
    <row r="296" spans="1:26" ht="11.85" customHeight="1">
      <c r="A296" s="114" t="s">
        <v>214</v>
      </c>
      <c r="B296" s="114"/>
      <c r="F296" s="138">
        <v>0</v>
      </c>
      <c r="G296" s="138">
        <v>0.186</v>
      </c>
      <c r="H296" s="138">
        <v>0.39400000000000002</v>
      </c>
      <c r="I296" s="138">
        <v>-5.3040000000000003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  <c r="Q296" s="78">
        <v>0</v>
      </c>
      <c r="R296" s="78">
        <v>0</v>
      </c>
      <c r="S296" s="78">
        <v>0</v>
      </c>
      <c r="U296" s="122">
        <v>3.0000000000000001E-3</v>
      </c>
      <c r="V296" s="122"/>
      <c r="W296" s="122">
        <v>2.2189999999999999</v>
      </c>
      <c r="X296" s="122"/>
      <c r="Y296" s="122"/>
      <c r="Z296" s="122"/>
    </row>
    <row r="297" spans="1:26" ht="11.85" customHeight="1">
      <c r="A297" s="114" t="s">
        <v>215</v>
      </c>
      <c r="B297" s="114"/>
      <c r="F297" s="121">
        <f>SUM(F294:F296)</f>
        <v>218.92799999999988</v>
      </c>
      <c r="G297" s="121">
        <f t="shared" ref="G297:S297" si="180">SUM(G294:G296)</f>
        <v>1249.1549999999995</v>
      </c>
      <c r="H297" s="121">
        <f t="shared" si="180"/>
        <v>2268.1439999999998</v>
      </c>
      <c r="I297" s="121">
        <f t="shared" si="180"/>
        <v>2254.900000000001</v>
      </c>
      <c r="J297" s="121">
        <f t="shared" si="180"/>
        <v>30804.485738594522</v>
      </c>
      <c r="K297" s="121">
        <f t="shared" si="180"/>
        <v>28346.472751575664</v>
      </c>
      <c r="L297" s="121">
        <f t="shared" si="180"/>
        <v>29501.154204676917</v>
      </c>
      <c r="M297" s="121">
        <f t="shared" si="180"/>
        <v>39894.087870932985</v>
      </c>
      <c r="N297" s="121">
        <f t="shared" si="180"/>
        <v>65166.829588569337</v>
      </c>
      <c r="O297" s="121">
        <f t="shared" si="180"/>
        <v>119441.22825710947</v>
      </c>
      <c r="P297" s="121">
        <f t="shared" si="180"/>
        <v>210129.95849484511</v>
      </c>
      <c r="Q297" s="121">
        <f t="shared" si="180"/>
        <v>354061.17866342107</v>
      </c>
      <c r="R297" s="121">
        <f t="shared" si="180"/>
        <v>558702.09840790811</v>
      </c>
      <c r="S297" s="121">
        <f t="shared" si="180"/>
        <v>838867.67118283955</v>
      </c>
      <c r="U297" s="121">
        <f t="shared" ref="U297:W297" si="181">SUM(U294:U296)</f>
        <v>932.04600000000005</v>
      </c>
      <c r="V297" s="121"/>
      <c r="W297" s="121">
        <f t="shared" si="181"/>
        <v>2551.9499999999994</v>
      </c>
      <c r="X297" s="121"/>
      <c r="Y297" s="121"/>
      <c r="Z297" s="121"/>
    </row>
    <row r="298" spans="1:26" ht="11.85" customHeight="1">
      <c r="A298" s="114"/>
      <c r="B298" s="114"/>
    </row>
    <row r="299" spans="1:26" ht="11.85" customHeight="1">
      <c r="A299" s="114"/>
      <c r="B299" s="114"/>
    </row>
    <row r="300" spans="1:26" ht="11.85" customHeight="1">
      <c r="A300" s="116" t="s">
        <v>216</v>
      </c>
      <c r="B300" s="114"/>
    </row>
    <row r="301" spans="1:26" ht="11.85" customHeight="1">
      <c r="A301" s="116" t="s">
        <v>217</v>
      </c>
      <c r="B301" s="114"/>
    </row>
    <row r="302" spans="1:26" ht="11.85" customHeight="1">
      <c r="A302" s="116" t="s">
        <v>218</v>
      </c>
      <c r="B302" s="114"/>
    </row>
  </sheetData>
  <printOptions horizontalCentered="1" verticalCentered="1"/>
  <pageMargins left="0.25" right="0.25" top="0.75" bottom="0.75" header="0.3" footer="0.3"/>
  <pageSetup paperSize="9" scale="33" fitToHeight="0" orientation="portrait" horizontalDpi="300" verticalDpi="300" r:id="rId1"/>
  <customProperties>
    <customPr name="Qube.Worksheet.Visibilit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F1117-3148-4529-8A5D-A0E98A21204D}">
  <sheetPr>
    <pageSetUpPr fitToPage="1"/>
  </sheetPr>
  <dimension ref="A1:Z167"/>
  <sheetViews>
    <sheetView showGridLines="0" zoomScale="130" zoomScaleNormal="130" workbookViewId="0">
      <pane xSplit="5" ySplit="4" topLeftCell="F5" activePane="bottomRight" state="frozen"/>
      <selection activeCell="E20" sqref="E20"/>
      <selection pane="topRight" activeCell="E20" sqref="E20"/>
      <selection pane="bottomLeft" activeCell="E20" sqref="E20"/>
      <selection pane="bottomRight" activeCell="F5" sqref="F5"/>
    </sheetView>
  </sheetViews>
  <sheetFormatPr defaultColWidth="8" defaultRowHeight="11.85" customHeight="1"/>
  <cols>
    <col min="1" max="1" width="3.85546875" style="46" customWidth="1"/>
    <col min="2" max="4" width="2.5703125" style="46" customWidth="1"/>
    <col min="5" max="5" width="35" style="46" customWidth="1"/>
    <col min="6" max="12" width="8.28515625" style="47" customWidth="1"/>
    <col min="13" max="19" width="8.28515625" style="47" hidden="1" customWidth="1"/>
    <col min="20" max="20" width="9.140625" style="48" customWidth="1" collapsed="1"/>
    <col min="21" max="21" width="8.28515625" style="46" customWidth="1"/>
    <col min="22" max="16384" width="8" style="46"/>
  </cols>
  <sheetData>
    <row r="1" spans="1:26" ht="11.85" customHeight="1">
      <c r="F1" s="46" t="s">
        <v>219</v>
      </c>
      <c r="G1" s="143">
        <v>7</v>
      </c>
    </row>
    <row r="2" spans="1:26" ht="11.85" customHeight="1">
      <c r="B2" s="49"/>
      <c r="O2" s="144"/>
      <c r="P2" s="144"/>
      <c r="Q2" s="144"/>
      <c r="R2" s="144"/>
      <c r="S2" s="144"/>
    </row>
    <row r="3" spans="1:26" ht="11.85" customHeight="1">
      <c r="B3" s="49"/>
      <c r="E3" s="50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</row>
    <row r="4" spans="1:26" ht="11.85" customHeight="1">
      <c r="A4" s="52" t="s">
        <v>220</v>
      </c>
      <c r="B4" s="52"/>
      <c r="C4" s="52"/>
      <c r="D4" s="52"/>
      <c r="E4" s="52"/>
      <c r="F4" s="53">
        <v>2022</v>
      </c>
      <c r="G4" s="53">
        <v>2023</v>
      </c>
      <c r="H4" s="53">
        <v>2024</v>
      </c>
      <c r="I4" s="53">
        <v>2025</v>
      </c>
      <c r="J4" s="53" t="s">
        <v>163</v>
      </c>
      <c r="K4" s="53" t="s">
        <v>164</v>
      </c>
      <c r="L4" s="53" t="s">
        <v>165</v>
      </c>
      <c r="M4" s="53" t="s">
        <v>166</v>
      </c>
      <c r="N4" s="53" t="s">
        <v>221</v>
      </c>
      <c r="O4" s="54">
        <v>2031</v>
      </c>
      <c r="P4" s="54">
        <v>2032</v>
      </c>
      <c r="Q4" s="54">
        <v>2033</v>
      </c>
      <c r="R4" s="54">
        <v>2034</v>
      </c>
      <c r="S4" s="54">
        <v>2035</v>
      </c>
      <c r="T4" s="46"/>
      <c r="U4" s="53" t="s">
        <v>19</v>
      </c>
      <c r="V4" s="53" t="s">
        <v>20</v>
      </c>
      <c r="W4" s="53" t="s">
        <v>21</v>
      </c>
      <c r="X4" s="53" t="s">
        <v>22</v>
      </c>
      <c r="Y4" s="53" t="s">
        <v>91</v>
      </c>
      <c r="Z4" s="53" t="s">
        <v>92</v>
      </c>
    </row>
    <row r="5" spans="1:26" s="72" customFormat="1" ht="11.85" customHeight="1">
      <c r="B5" s="145" t="s">
        <v>25</v>
      </c>
      <c r="C5" s="145"/>
      <c r="D5" s="145"/>
      <c r="E5" s="145"/>
      <c r="F5" s="146">
        <f>SUM(F27,F29)</f>
        <v>57.408999999999999</v>
      </c>
      <c r="G5" s="146">
        <f t="shared" ref="G5:S5" si="0">SUM(G27,G29)</f>
        <v>124.53800000000001</v>
      </c>
      <c r="H5" s="146">
        <f t="shared" si="0"/>
        <v>312.41399999999999</v>
      </c>
      <c r="I5" s="146">
        <f t="shared" si="0"/>
        <v>724.33400000000006</v>
      </c>
      <c r="J5" s="146">
        <f t="shared" si="0"/>
        <v>6339.2275799999998</v>
      </c>
      <c r="K5" s="146">
        <f t="shared" si="0"/>
        <v>23724.729436000001</v>
      </c>
      <c r="L5" s="146">
        <f t="shared" si="0"/>
        <v>58809.369362039986</v>
      </c>
      <c r="M5" s="146">
        <f t="shared" si="0"/>
        <v>120603.603734926</v>
      </c>
      <c r="N5" s="146">
        <f t="shared" si="0"/>
        <v>219595.56739605792</v>
      </c>
      <c r="O5" s="146">
        <f t="shared" si="0"/>
        <v>361500.18433607137</v>
      </c>
      <c r="P5" s="146">
        <f t="shared" si="0"/>
        <v>546175.78223727702</v>
      </c>
      <c r="Q5" s="146">
        <f t="shared" si="0"/>
        <v>767895.92059799633</v>
      </c>
      <c r="R5" s="146">
        <f t="shared" si="0"/>
        <v>1017096.8599553651</v>
      </c>
      <c r="S5" s="146">
        <f t="shared" si="0"/>
        <v>1282827.1993614798</v>
      </c>
      <c r="T5" s="96"/>
      <c r="U5" s="146">
        <f t="shared" ref="U5:Z5" si="1">SUM(U27,U29)</f>
        <v>44.909000000000006</v>
      </c>
      <c r="V5" s="146">
        <f t="shared" si="1"/>
        <v>267.505</v>
      </c>
      <c r="W5" s="146">
        <f t="shared" si="1"/>
        <v>190.87699999999998</v>
      </c>
      <c r="X5" s="146">
        <f t="shared" si="1"/>
        <v>533.45700000000011</v>
      </c>
      <c r="Y5" s="146">
        <f t="shared" si="1"/>
        <v>1115.7647999999999</v>
      </c>
      <c r="Z5" s="146">
        <f t="shared" si="1"/>
        <v>5223.4627799999998</v>
      </c>
    </row>
    <row r="6" spans="1:26" ht="11.85" customHeight="1">
      <c r="B6" s="46" t="s">
        <v>222</v>
      </c>
      <c r="G6" s="68">
        <f>G5/F5-1</f>
        <v>1.169311432005435</v>
      </c>
      <c r="H6" s="68">
        <f>H5/G5-1</f>
        <v>1.50858372544926</v>
      </c>
      <c r="I6" s="68">
        <f t="shared" ref="I6:S6" si="2">I5/H5-1</f>
        <v>1.3185068530859696</v>
      </c>
      <c r="J6" s="68">
        <f t="shared" si="2"/>
        <v>7.7518017654838776</v>
      </c>
      <c r="K6" s="68">
        <f t="shared" si="2"/>
        <v>2.7425268515127206</v>
      </c>
      <c r="L6" s="68">
        <f t="shared" si="2"/>
        <v>1.4788214980779677</v>
      </c>
      <c r="M6" s="68">
        <f t="shared" si="2"/>
        <v>1.0507549229523399</v>
      </c>
      <c r="N6" s="68">
        <f t="shared" si="2"/>
        <v>0.82080435903644977</v>
      </c>
      <c r="O6" s="68">
        <f t="shared" si="2"/>
        <v>0.64620893136735003</v>
      </c>
      <c r="P6" s="68">
        <f t="shared" si="2"/>
        <v>0.51085893148403105</v>
      </c>
      <c r="Q6" s="68">
        <f t="shared" si="2"/>
        <v>0.4059501456701291</v>
      </c>
      <c r="R6" s="68">
        <f t="shared" si="2"/>
        <v>0.32452436934852358</v>
      </c>
      <c r="S6" s="68">
        <f t="shared" si="2"/>
        <v>0.26126355302854454</v>
      </c>
      <c r="W6" s="68">
        <f>W5/U5-1</f>
        <v>3.2503061747088546</v>
      </c>
      <c r="X6" s="68">
        <f>X5/V5-1</f>
        <v>0.99419450103736429</v>
      </c>
      <c r="Y6" s="68">
        <f t="shared" ref="Y6:Z6" si="3">Y5/W5-1</f>
        <v>4.8454648805251548</v>
      </c>
      <c r="Z6" s="68">
        <f t="shared" si="3"/>
        <v>8.7917222569016786</v>
      </c>
    </row>
    <row r="7" spans="1:26" ht="11.85" customHeight="1">
      <c r="I7" s="68"/>
    </row>
    <row r="8" spans="1:26" ht="11.85" customHeight="1">
      <c r="B8" s="147" t="s">
        <v>223</v>
      </c>
      <c r="C8" s="60"/>
      <c r="D8" s="60"/>
      <c r="E8" s="60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U8" s="60"/>
      <c r="V8" s="60"/>
      <c r="W8" s="60"/>
      <c r="X8" s="60"/>
      <c r="Y8" s="60"/>
      <c r="Z8" s="60"/>
    </row>
    <row r="9" spans="1:26" ht="11.85" customHeight="1">
      <c r="B9" s="46" t="s">
        <v>224</v>
      </c>
      <c r="H9" s="76">
        <v>48.484000000000002</v>
      </c>
      <c r="I9" s="76">
        <v>190.37899999999999</v>
      </c>
      <c r="J9" s="67">
        <f>J29</f>
        <v>5248.44</v>
      </c>
      <c r="K9" s="67">
        <f t="shared" ref="K9:S9" si="4">K29</f>
        <v>21931</v>
      </c>
      <c r="L9" s="67">
        <f t="shared" si="4"/>
        <v>56143.499999999985</v>
      </c>
      <c r="M9" s="67">
        <f t="shared" si="4"/>
        <v>116777.5</v>
      </c>
      <c r="N9" s="67">
        <f t="shared" si="4"/>
        <v>214312.00000000006</v>
      </c>
      <c r="O9" s="67">
        <f t="shared" si="4"/>
        <v>354508.04758731689</v>
      </c>
      <c r="P9" s="67">
        <f t="shared" si="4"/>
        <v>537346.44327993889</v>
      </c>
      <c r="Q9" s="67">
        <f t="shared" si="4"/>
        <v>757306.25434747955</v>
      </c>
      <c r="R9" s="67">
        <f t="shared" si="4"/>
        <v>1005092.003092083</v>
      </c>
      <c r="S9" s="67">
        <f t="shared" si="4"/>
        <v>1270029.7412907907</v>
      </c>
    </row>
    <row r="10" spans="1:26" ht="11.85" customHeight="1">
      <c r="B10" s="46" t="s">
        <v>225</v>
      </c>
      <c r="H10" s="76">
        <v>47.491999999999997</v>
      </c>
      <c r="I10" s="76">
        <v>165.68700000000001</v>
      </c>
      <c r="J10" s="67">
        <f>I10*(1+J16)</f>
        <v>414.21750000000003</v>
      </c>
      <c r="K10" s="67">
        <f t="shared" ref="K10" si="5">J10*(1+K16)</f>
        <v>745.59150000000011</v>
      </c>
      <c r="L10" s="67">
        <f>K10*(1+L16)</f>
        <v>1230.2259750000001</v>
      </c>
      <c r="M10" s="67">
        <f t="shared" ref="M10:S11" si="6">L10*(1+M16)</f>
        <v>1931.4547807500003</v>
      </c>
      <c r="N10" s="67">
        <f t="shared" si="6"/>
        <v>2877.8676233175006</v>
      </c>
      <c r="O10" s="67">
        <f t="shared" si="6"/>
        <v>4057.7933488776762</v>
      </c>
      <c r="P10" s="67">
        <f t="shared" si="6"/>
        <v>5396.8651540073097</v>
      </c>
      <c r="Q10" s="67">
        <f t="shared" si="6"/>
        <v>6746.0814425091376</v>
      </c>
      <c r="R10" s="67">
        <f t="shared" si="6"/>
        <v>7892.9152877356901</v>
      </c>
      <c r="S10" s="67">
        <f t="shared" si="6"/>
        <v>8603.2776636319031</v>
      </c>
    </row>
    <row r="11" spans="1:26" ht="11.85" customHeight="1">
      <c r="B11" s="46" t="s">
        <v>226</v>
      </c>
      <c r="H11" s="76">
        <v>214.50200000000001</v>
      </c>
      <c r="I11" s="76">
        <v>365.72399999999999</v>
      </c>
      <c r="J11" s="67">
        <f t="shared" ref="J11:S12" si="7">I11*(1+J17)</f>
        <v>672.93215999999995</v>
      </c>
      <c r="K11" s="67">
        <f t="shared" si="7"/>
        <v>1043.044848</v>
      </c>
      <c r="L11" s="67">
        <f t="shared" si="7"/>
        <v>1428.9714417600001</v>
      </c>
      <c r="M11" s="67">
        <f t="shared" si="6"/>
        <v>1886.2423031232001</v>
      </c>
      <c r="N11" s="67">
        <f t="shared" si="6"/>
        <v>2395.5277249664641</v>
      </c>
      <c r="O11" s="67">
        <f t="shared" si="6"/>
        <v>2922.543824459086</v>
      </c>
      <c r="P11" s="67">
        <f t="shared" si="6"/>
        <v>3419.3762746171305</v>
      </c>
      <c r="Q11" s="67">
        <f t="shared" si="6"/>
        <v>3829.7014275711867</v>
      </c>
      <c r="R11" s="67">
        <f t="shared" si="6"/>
        <v>4097.7805275011697</v>
      </c>
      <c r="S11" s="67">
        <f t="shared" si="6"/>
        <v>4179.7361380511929</v>
      </c>
    </row>
    <row r="12" spans="1:26" ht="11.85" customHeight="1">
      <c r="B12" s="46" t="s">
        <v>227</v>
      </c>
      <c r="H12" s="76">
        <v>1.9359999999999999</v>
      </c>
      <c r="I12" s="76">
        <v>2.544</v>
      </c>
      <c r="J12" s="67">
        <f t="shared" si="7"/>
        <v>3.6379199999999998</v>
      </c>
      <c r="K12" s="67">
        <f t="shared" si="7"/>
        <v>5.0930879999999998</v>
      </c>
      <c r="L12" s="67">
        <f t="shared" si="7"/>
        <v>6.6719452800000001</v>
      </c>
      <c r="M12" s="67">
        <f t="shared" si="7"/>
        <v>8.4066510528000009</v>
      </c>
      <c r="N12" s="67">
        <f t="shared" si="7"/>
        <v>10.172047773888</v>
      </c>
      <c r="O12" s="67">
        <f t="shared" si="7"/>
        <v>11.799575417710081</v>
      </c>
      <c r="P12" s="67">
        <f t="shared" si="7"/>
        <v>13.097528713658191</v>
      </c>
      <c r="Q12" s="67">
        <f t="shared" si="7"/>
        <v>13.883380436477683</v>
      </c>
      <c r="R12" s="67">
        <f t="shared" si="7"/>
        <v>14.161048045207236</v>
      </c>
      <c r="S12" s="67">
        <f t="shared" si="7"/>
        <v>14.444269006111382</v>
      </c>
    </row>
    <row r="13" spans="1:26" ht="11.85" customHeight="1">
      <c r="I13" s="68"/>
    </row>
    <row r="14" spans="1:26" ht="11.85" customHeight="1">
      <c r="B14" s="46" t="s">
        <v>26</v>
      </c>
      <c r="I14" s="68"/>
      <c r="L14" s="117"/>
    </row>
    <row r="15" spans="1:26" ht="11.85" customHeight="1">
      <c r="B15" s="46" t="s">
        <v>228</v>
      </c>
      <c r="I15" s="68">
        <f>I9/H9-1</f>
        <v>2.9266355911228441</v>
      </c>
      <c r="J15" s="68">
        <f t="shared" ref="J15:S15" si="8">J9/I9-1</f>
        <v>26.568376764243954</v>
      </c>
      <c r="K15" s="68">
        <f t="shared" si="8"/>
        <v>3.1785749670378252</v>
      </c>
      <c r="L15" s="68">
        <f t="shared" si="8"/>
        <v>1.5600063836578353</v>
      </c>
      <c r="M15" s="68">
        <f t="shared" si="8"/>
        <v>1.0799825447291322</v>
      </c>
      <c r="N15" s="68">
        <f t="shared" si="8"/>
        <v>0.83521654428293179</v>
      </c>
      <c r="O15" s="68">
        <f t="shared" si="8"/>
        <v>0.65416797746890887</v>
      </c>
      <c r="P15" s="68">
        <f t="shared" si="8"/>
        <v>0.51575245452668628</v>
      </c>
      <c r="Q15" s="68">
        <f t="shared" si="8"/>
        <v>0.40934449984430099</v>
      </c>
      <c r="R15" s="68">
        <f t="shared" si="8"/>
        <v>0.32719358558329081</v>
      </c>
      <c r="S15" s="68">
        <f t="shared" si="8"/>
        <v>0.26359550905155804</v>
      </c>
    </row>
    <row r="16" spans="1:26" ht="11.85" customHeight="1">
      <c r="B16" s="46" t="s">
        <v>229</v>
      </c>
      <c r="I16" s="68">
        <f t="shared" ref="I16:I18" si="9">I10/H10-1</f>
        <v>2.4887349448328142</v>
      </c>
      <c r="J16" s="149">
        <v>1.5</v>
      </c>
      <c r="K16" s="149">
        <v>0.8</v>
      </c>
      <c r="L16" s="149">
        <v>0.65</v>
      </c>
      <c r="M16" s="149">
        <f t="shared" ref="M16:S16" si="10">L16-8%</f>
        <v>0.57000000000000006</v>
      </c>
      <c r="N16" s="149">
        <f t="shared" si="10"/>
        <v>0.49000000000000005</v>
      </c>
      <c r="O16" s="149">
        <f t="shared" si="10"/>
        <v>0.41000000000000003</v>
      </c>
      <c r="P16" s="149">
        <f t="shared" si="10"/>
        <v>0.33</v>
      </c>
      <c r="Q16" s="149">
        <f t="shared" si="10"/>
        <v>0.25</v>
      </c>
      <c r="R16" s="149">
        <f t="shared" si="10"/>
        <v>0.16999999999999998</v>
      </c>
      <c r="S16" s="149">
        <f t="shared" si="10"/>
        <v>8.9999999999999983E-2</v>
      </c>
    </row>
    <row r="17" spans="1:26" ht="11.85" customHeight="1">
      <c r="B17" s="46" t="s">
        <v>230</v>
      </c>
      <c r="I17" s="68">
        <f t="shared" si="9"/>
        <v>0.70499109565411966</v>
      </c>
      <c r="J17" s="149">
        <v>0.84</v>
      </c>
      <c r="K17" s="149">
        <v>0.55000000000000004</v>
      </c>
      <c r="L17" s="149">
        <v>0.37</v>
      </c>
      <c r="M17" s="149">
        <f t="shared" ref="M17:S17" si="11">L17-5%</f>
        <v>0.32</v>
      </c>
      <c r="N17" s="149">
        <f t="shared" si="11"/>
        <v>0.27</v>
      </c>
      <c r="O17" s="149">
        <f t="shared" si="11"/>
        <v>0.22000000000000003</v>
      </c>
      <c r="P17" s="149">
        <f t="shared" si="11"/>
        <v>0.17000000000000004</v>
      </c>
      <c r="Q17" s="149">
        <f t="shared" si="11"/>
        <v>0.12000000000000004</v>
      </c>
      <c r="R17" s="149">
        <f t="shared" si="11"/>
        <v>7.0000000000000034E-2</v>
      </c>
      <c r="S17" s="149">
        <f t="shared" si="11"/>
        <v>2.0000000000000032E-2</v>
      </c>
    </row>
    <row r="18" spans="1:26" ht="11.85" customHeight="1">
      <c r="B18" s="46" t="s">
        <v>231</v>
      </c>
      <c r="I18" s="68">
        <f t="shared" si="9"/>
        <v>0.31404958677685957</v>
      </c>
      <c r="J18" s="149">
        <v>0.43</v>
      </c>
      <c r="K18" s="149">
        <v>0.4</v>
      </c>
      <c r="L18" s="149">
        <v>0.31</v>
      </c>
      <c r="M18" s="149">
        <f>L18-5%</f>
        <v>0.26</v>
      </c>
      <c r="N18" s="149">
        <f>M18-5%</f>
        <v>0.21000000000000002</v>
      </c>
      <c r="O18" s="149">
        <f>N18-5%</f>
        <v>0.16000000000000003</v>
      </c>
      <c r="P18" s="149">
        <f>O18-5%</f>
        <v>0.11000000000000003</v>
      </c>
      <c r="Q18" s="149">
        <f>P18-5%</f>
        <v>6.0000000000000026E-2</v>
      </c>
      <c r="R18" s="149">
        <v>0.02</v>
      </c>
      <c r="S18" s="149">
        <v>0.02</v>
      </c>
    </row>
    <row r="20" spans="1:26" ht="11.85" customHeight="1">
      <c r="B20" s="46" t="s">
        <v>232</v>
      </c>
    </row>
    <row r="21" spans="1:26" ht="11.85" customHeight="1">
      <c r="B21" s="46" t="s">
        <v>228</v>
      </c>
      <c r="H21" s="68">
        <f>H9/$H$5</f>
        <v>0.15519150870319512</v>
      </c>
      <c r="I21" s="68">
        <f>I9/$I$5</f>
        <v>0.2628331681240974</v>
      </c>
      <c r="J21" s="68">
        <f>J9/$J$5</f>
        <v>0.82793052209682616</v>
      </c>
      <c r="K21" s="68">
        <f>K9/K$5</f>
        <v>0.9243941035939407</v>
      </c>
      <c r="L21" s="68">
        <f t="shared" ref="L21:S24" si="12">L9/L$5</f>
        <v>0.95466930880301615</v>
      </c>
      <c r="M21" s="68">
        <f t="shared" si="12"/>
        <v>0.96827537804479402</v>
      </c>
      <c r="N21" s="68">
        <f t="shared" si="12"/>
        <v>0.97593955352236905</v>
      </c>
      <c r="O21" s="68">
        <f t="shared" si="12"/>
        <v>0.98065799949287391</v>
      </c>
      <c r="P21" s="68">
        <f t="shared" si="12"/>
        <v>0.98383425401768843</v>
      </c>
      <c r="Q21" s="68">
        <f t="shared" si="12"/>
        <v>0.9862095031807564</v>
      </c>
      <c r="R21" s="68">
        <f t="shared" si="12"/>
        <v>0.98819693842746814</v>
      </c>
      <c r="S21" s="68">
        <f t="shared" si="12"/>
        <v>0.99002402032241055</v>
      </c>
    </row>
    <row r="22" spans="1:26" ht="11.85" customHeight="1">
      <c r="B22" s="46" t="s">
        <v>229</v>
      </c>
      <c r="H22" s="68">
        <f t="shared" ref="H22:H24" si="13">H10/$H$5</f>
        <v>0.15201623486783564</v>
      </c>
      <c r="I22" s="68">
        <f t="shared" ref="I22:I24" si="14">I10/$I$5</f>
        <v>0.22874392200283294</v>
      </c>
      <c r="J22" s="68">
        <f t="shared" ref="J22:J24" si="15">J10/$J$5</f>
        <v>6.5341951329660267E-2</v>
      </c>
      <c r="K22" s="68">
        <f t="shared" ref="K22:K24" si="16">K10/$K$5</f>
        <v>3.1426765140201623E-2</v>
      </c>
      <c r="L22" s="68">
        <f t="shared" si="12"/>
        <v>2.0918877184799078E-2</v>
      </c>
      <c r="M22" s="68">
        <f t="shared" si="12"/>
        <v>1.6014901055486985E-2</v>
      </c>
      <c r="N22" s="68">
        <f t="shared" si="12"/>
        <v>1.3105308351361389E-2</v>
      </c>
      <c r="O22" s="68">
        <f t="shared" si="12"/>
        <v>1.1224872143095003E-2</v>
      </c>
      <c r="P22" s="68">
        <f t="shared" si="12"/>
        <v>9.8811872102793664E-3</v>
      </c>
      <c r="Q22" s="68">
        <f t="shared" si="12"/>
        <v>8.7851507757140436E-3</v>
      </c>
      <c r="R22" s="68">
        <f t="shared" si="12"/>
        <v>7.7602395587791587E-3</v>
      </c>
      <c r="S22" s="68">
        <f t="shared" si="12"/>
        <v>6.7064977012602613E-3</v>
      </c>
    </row>
    <row r="23" spans="1:26" ht="11.85" customHeight="1">
      <c r="B23" s="46" t="s">
        <v>230</v>
      </c>
      <c r="H23" s="68">
        <f t="shared" si="13"/>
        <v>0.68659535104060643</v>
      </c>
      <c r="I23" s="68">
        <f t="shared" si="14"/>
        <v>0.50491071798369258</v>
      </c>
      <c r="J23" s="68">
        <f t="shared" si="15"/>
        <v>0.10615365224038857</v>
      </c>
      <c r="K23" s="68">
        <f t="shared" si="16"/>
        <v>4.3964457036853685E-2</v>
      </c>
      <c r="L23" s="68">
        <f t="shared" si="12"/>
        <v>2.4298363632553527E-2</v>
      </c>
      <c r="M23" s="68">
        <f t="shared" si="12"/>
        <v>1.5640016091633228E-2</v>
      </c>
      <c r="N23" s="68">
        <f t="shared" si="12"/>
        <v>1.0908816390842449E-2</v>
      </c>
      <c r="O23" s="68">
        <f t="shared" si="12"/>
        <v>8.0844877847755705E-3</v>
      </c>
      <c r="P23" s="68">
        <f t="shared" si="12"/>
        <v>6.2605783445953654E-3</v>
      </c>
      <c r="Q23" s="68">
        <f t="shared" si="12"/>
        <v>4.9872662750816803E-3</v>
      </c>
      <c r="R23" s="68">
        <f t="shared" si="12"/>
        <v>4.0288990054310062E-3</v>
      </c>
      <c r="S23" s="68">
        <f t="shared" si="12"/>
        <v>3.2582222610587253E-3</v>
      </c>
    </row>
    <row r="24" spans="1:26" ht="11.85" customHeight="1">
      <c r="B24" s="46" t="s">
        <v>231</v>
      </c>
      <c r="H24" s="68">
        <f t="shared" si="13"/>
        <v>6.1969053883628774E-3</v>
      </c>
      <c r="I24" s="68">
        <f t="shared" si="14"/>
        <v>3.512191889377E-3</v>
      </c>
      <c r="J24" s="68">
        <f t="shared" si="15"/>
        <v>5.7387433312498304E-4</v>
      </c>
      <c r="K24" s="68">
        <f t="shared" si="16"/>
        <v>2.1467422900392396E-4</v>
      </c>
      <c r="L24" s="68">
        <f t="shared" si="12"/>
        <v>1.1345037963128674E-4</v>
      </c>
      <c r="M24" s="68">
        <f t="shared" si="12"/>
        <v>6.9704808085809214E-5</v>
      </c>
      <c r="N24" s="68">
        <f t="shared" si="12"/>
        <v>4.6321735427117749E-5</v>
      </c>
      <c r="O24" s="68">
        <f t="shared" si="12"/>
        <v>3.2640579255529555E-5</v>
      </c>
      <c r="P24" s="68">
        <f t="shared" si="12"/>
        <v>2.3980427436762818E-5</v>
      </c>
      <c r="Q24" s="68">
        <f t="shared" si="12"/>
        <v>1.8079768447872528E-5</v>
      </c>
      <c r="R24" s="68">
        <f t="shared" si="12"/>
        <v>1.392300832177251E-5</v>
      </c>
      <c r="S24" s="68">
        <f t="shared" si="12"/>
        <v>1.1259715270537557E-5</v>
      </c>
    </row>
    <row r="26" spans="1:26" ht="11.85" customHeight="1">
      <c r="B26" s="147" t="s">
        <v>233</v>
      </c>
      <c r="C26" s="60"/>
      <c r="D26" s="60"/>
      <c r="E26" s="60"/>
      <c r="F26" s="148"/>
      <c r="G26" s="148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U26" s="148"/>
      <c r="V26" s="148"/>
      <c r="W26" s="148"/>
      <c r="X26" s="148"/>
      <c r="Y26" s="148"/>
      <c r="Z26" s="148"/>
    </row>
    <row r="27" spans="1:26" ht="11.85" customHeight="1">
      <c r="B27" s="46" t="s">
        <v>234</v>
      </c>
      <c r="F27" s="76">
        <v>54.814999999999998</v>
      </c>
      <c r="G27" s="76">
        <v>112.614</v>
      </c>
      <c r="H27" s="76">
        <v>263.93</v>
      </c>
      <c r="I27" s="76">
        <v>533.95500000000004</v>
      </c>
      <c r="J27" s="67">
        <f>SUM(J10:J12)</f>
        <v>1090.7875799999999</v>
      </c>
      <c r="K27" s="67">
        <f>SUM(K10:K12)</f>
        <v>1793.7294360000001</v>
      </c>
      <c r="L27" s="67">
        <f t="shared" ref="L27:S27" si="17">SUM(L10:L12)</f>
        <v>2665.8693620399999</v>
      </c>
      <c r="M27" s="67">
        <f t="shared" si="17"/>
        <v>3826.1037349260005</v>
      </c>
      <c r="N27" s="67">
        <f t="shared" si="17"/>
        <v>5283.5673960578524</v>
      </c>
      <c r="O27" s="67">
        <f t="shared" si="17"/>
        <v>6992.1367487544721</v>
      </c>
      <c r="P27" s="67">
        <f t="shared" si="17"/>
        <v>8829.3389573380991</v>
      </c>
      <c r="Q27" s="67">
        <f t="shared" si="17"/>
        <v>10589.666250516802</v>
      </c>
      <c r="R27" s="67">
        <f t="shared" si="17"/>
        <v>12004.856863282068</v>
      </c>
      <c r="S27" s="67">
        <f t="shared" si="17"/>
        <v>12797.458070689208</v>
      </c>
      <c r="T27" s="96"/>
      <c r="U27" s="76">
        <v>26.806000000000001</v>
      </c>
      <c r="V27" s="69">
        <f>H27-U27</f>
        <v>237.124</v>
      </c>
      <c r="W27" s="76">
        <v>161.77699999999999</v>
      </c>
      <c r="X27" s="69">
        <f>I27-W27</f>
        <v>372.17800000000005</v>
      </c>
      <c r="Y27" s="69">
        <f>W27*(1+Y28)</f>
        <v>388.26479999999998</v>
      </c>
      <c r="Z27" s="69">
        <f>J27-Y27</f>
        <v>702.52278000000001</v>
      </c>
    </row>
    <row r="28" spans="1:26" ht="11.85" customHeight="1">
      <c r="B28" s="46" t="s">
        <v>222</v>
      </c>
      <c r="F28" s="76"/>
      <c r="G28" s="68">
        <f>G27/F27-1</f>
        <v>1.0544376539268452</v>
      </c>
      <c r="H28" s="68">
        <f>H27/G27-1</f>
        <v>1.34366952599144</v>
      </c>
      <c r="I28" s="68">
        <f>I27/H27-1</f>
        <v>1.0230932444208691</v>
      </c>
      <c r="J28" s="68">
        <f t="shared" ref="J28:S28" si="18">J27/I27-1</f>
        <v>1.0428455206899456</v>
      </c>
      <c r="K28" s="68">
        <f t="shared" si="18"/>
        <v>0.64443514840900562</v>
      </c>
      <c r="L28" s="68">
        <f t="shared" si="18"/>
        <v>0.48621598583165571</v>
      </c>
      <c r="M28" s="68">
        <f t="shared" si="18"/>
        <v>0.43521801533371307</v>
      </c>
      <c r="N28" s="68">
        <f t="shared" si="18"/>
        <v>0.38092633187846392</v>
      </c>
      <c r="O28" s="68">
        <f t="shared" si="18"/>
        <v>0.32337419486148855</v>
      </c>
      <c r="P28" s="68">
        <f t="shared" si="18"/>
        <v>0.26275261405762596</v>
      </c>
      <c r="Q28" s="68">
        <f t="shared" si="18"/>
        <v>0.19937249002267476</v>
      </c>
      <c r="R28" s="68">
        <f t="shared" si="18"/>
        <v>0.13363883046797631</v>
      </c>
      <c r="S28" s="68">
        <f t="shared" si="18"/>
        <v>6.6023378407066513E-2</v>
      </c>
      <c r="U28" s="76"/>
      <c r="W28" s="68">
        <f>W27/U27-1</f>
        <v>5.0351040811758558</v>
      </c>
      <c r="X28" s="68">
        <f>X27/V27-1</f>
        <v>0.56955010880383283</v>
      </c>
      <c r="Y28" s="149">
        <v>1.4</v>
      </c>
      <c r="Z28" s="68">
        <f>Z27/X27-1</f>
        <v>0.88759889085330124</v>
      </c>
    </row>
    <row r="29" spans="1:26" ht="11.85" customHeight="1">
      <c r="A29" s="46" t="s">
        <v>235</v>
      </c>
      <c r="B29" s="46" t="s">
        <v>236</v>
      </c>
      <c r="F29" s="76">
        <v>2.5939999999999999</v>
      </c>
      <c r="G29" s="76">
        <v>11.923999999999999</v>
      </c>
      <c r="H29" s="76">
        <v>48.484000000000002</v>
      </c>
      <c r="I29" s="76">
        <v>190.37899999999999</v>
      </c>
      <c r="J29" s="67">
        <f>J35*0.5</f>
        <v>5248.44</v>
      </c>
      <c r="K29" s="67">
        <f t="shared" ref="K29:S29" si="19">K35*0.5</f>
        <v>21931</v>
      </c>
      <c r="L29" s="67">
        <f t="shared" si="19"/>
        <v>56143.499999999985</v>
      </c>
      <c r="M29" s="67">
        <f t="shared" si="19"/>
        <v>116777.5</v>
      </c>
      <c r="N29" s="67">
        <f t="shared" si="19"/>
        <v>214312.00000000006</v>
      </c>
      <c r="O29" s="67">
        <f t="shared" si="19"/>
        <v>354508.04758731689</v>
      </c>
      <c r="P29" s="67">
        <f t="shared" si="19"/>
        <v>537346.44327993889</v>
      </c>
      <c r="Q29" s="67">
        <f t="shared" si="19"/>
        <v>757306.25434747955</v>
      </c>
      <c r="R29" s="67">
        <f t="shared" si="19"/>
        <v>1005092.003092083</v>
      </c>
      <c r="S29" s="67">
        <f t="shared" si="19"/>
        <v>1270029.7412907907</v>
      </c>
      <c r="T29" s="96"/>
      <c r="U29" s="76">
        <v>18.103000000000002</v>
      </c>
      <c r="V29" s="69">
        <f>H29-U29</f>
        <v>30.381</v>
      </c>
      <c r="W29" s="76">
        <v>29.1</v>
      </c>
      <c r="X29" s="69">
        <f>I29-W29</f>
        <v>161.279</v>
      </c>
      <c r="Y29" s="69">
        <f>W29*(1+Y30)</f>
        <v>727.5</v>
      </c>
      <c r="Z29" s="69">
        <f>J29-Y29</f>
        <v>4520.9399999999996</v>
      </c>
    </row>
    <row r="30" spans="1:26" ht="11.85" customHeight="1">
      <c r="B30" s="46" t="s">
        <v>222</v>
      </c>
      <c r="G30" s="68">
        <f>G29/F29-1</f>
        <v>3.5967617579028524</v>
      </c>
      <c r="H30" s="68">
        <f>H29/G29-1</f>
        <v>3.0660852063066084</v>
      </c>
      <c r="I30" s="68">
        <f>I29/H29-1</f>
        <v>2.9266355911228441</v>
      </c>
      <c r="J30" s="68">
        <f>J29/I29-1</f>
        <v>26.568376764243954</v>
      </c>
      <c r="K30" s="68">
        <f t="shared" ref="K30:S30" si="20">K29/J29-1</f>
        <v>3.1785749670378252</v>
      </c>
      <c r="L30" s="68">
        <f t="shared" si="20"/>
        <v>1.5600063836578353</v>
      </c>
      <c r="M30" s="68">
        <f t="shared" si="20"/>
        <v>1.0799825447291322</v>
      </c>
      <c r="N30" s="68">
        <f t="shared" si="20"/>
        <v>0.83521654428293179</v>
      </c>
      <c r="O30" s="68">
        <f t="shared" si="20"/>
        <v>0.65416797746890887</v>
      </c>
      <c r="P30" s="68">
        <f t="shared" si="20"/>
        <v>0.51575245452668628</v>
      </c>
      <c r="Q30" s="68">
        <f t="shared" si="20"/>
        <v>0.40934449984430099</v>
      </c>
      <c r="R30" s="68">
        <f t="shared" si="20"/>
        <v>0.32719358558329081</v>
      </c>
      <c r="S30" s="68">
        <f t="shared" si="20"/>
        <v>0.26359550905155804</v>
      </c>
      <c r="W30" s="68">
        <f>W29/U29-1</f>
        <v>0.60746837540739107</v>
      </c>
      <c r="X30" s="68">
        <f>X29/V29-1</f>
        <v>4.3085481057239718</v>
      </c>
      <c r="Y30" s="149">
        <v>24</v>
      </c>
      <c r="Z30" s="68">
        <f>Z29/X29-1</f>
        <v>27.031795832067409</v>
      </c>
    </row>
    <row r="31" spans="1:26" ht="11.85" customHeight="1">
      <c r="G31" s="68"/>
      <c r="H31" s="68"/>
      <c r="I31" s="68"/>
      <c r="J31" s="150"/>
      <c r="K31" s="150"/>
      <c r="L31" s="149"/>
      <c r="M31" s="149"/>
      <c r="N31" s="149"/>
      <c r="O31" s="149"/>
      <c r="P31" s="149"/>
      <c r="Q31" s="149"/>
      <c r="R31" s="149"/>
      <c r="S31" s="149"/>
      <c r="W31" s="68"/>
      <c r="X31" s="68"/>
      <c r="Y31" s="149"/>
      <c r="Z31" s="68"/>
    </row>
    <row r="32" spans="1:26" s="151" customFormat="1" ht="11.85" customHeight="1">
      <c r="F32" s="152"/>
      <c r="G32" s="153">
        <v>2025.3</v>
      </c>
      <c r="H32" s="153">
        <v>2025.12</v>
      </c>
      <c r="I32" s="153">
        <v>2026.3</v>
      </c>
      <c r="J32" s="152">
        <v>2026</v>
      </c>
      <c r="K32" s="151">
        <v>2027</v>
      </c>
      <c r="L32" s="152">
        <f>K32+1</f>
        <v>2028</v>
      </c>
      <c r="M32" s="152">
        <f t="shared" ref="M32:S32" si="21">L32+1</f>
        <v>2029</v>
      </c>
      <c r="N32" s="152">
        <f t="shared" si="21"/>
        <v>2030</v>
      </c>
      <c r="O32" s="152">
        <f t="shared" si="21"/>
        <v>2031</v>
      </c>
      <c r="P32" s="152">
        <f t="shared" si="21"/>
        <v>2032</v>
      </c>
      <c r="Q32" s="152">
        <f t="shared" si="21"/>
        <v>2033</v>
      </c>
      <c r="R32" s="152">
        <f t="shared" si="21"/>
        <v>2034</v>
      </c>
      <c r="S32" s="152">
        <f t="shared" si="21"/>
        <v>2035</v>
      </c>
    </row>
    <row r="33" spans="2:26" s="154" customFormat="1" ht="11.85" customHeight="1">
      <c r="C33" s="154" t="s">
        <v>237</v>
      </c>
      <c r="F33" s="155"/>
      <c r="G33" s="156">
        <f>H33/10</f>
        <v>3.90625</v>
      </c>
      <c r="H33" s="156">
        <f>I33/6.4</f>
        <v>39.0625</v>
      </c>
      <c r="I33" s="156">
        <v>250</v>
      </c>
      <c r="J33" s="155">
        <f>SUM(J46+J57)</f>
        <v>1499.5542857142857</v>
      </c>
      <c r="K33" s="155">
        <f t="shared" ref="K33:S33" si="22">SUM(K46+K57)</f>
        <v>6266</v>
      </c>
      <c r="L33" s="155">
        <f t="shared" si="22"/>
        <v>16040.999999999996</v>
      </c>
      <c r="M33" s="155">
        <f t="shared" si="22"/>
        <v>33365</v>
      </c>
      <c r="N33" s="155">
        <f t="shared" si="22"/>
        <v>61232.000000000015</v>
      </c>
      <c r="O33" s="155">
        <f t="shared" si="22"/>
        <v>101288.01359637626</v>
      </c>
      <c r="P33" s="155">
        <f t="shared" si="22"/>
        <v>153527.55522283967</v>
      </c>
      <c r="Q33" s="155">
        <f t="shared" si="22"/>
        <v>216373.21552785131</v>
      </c>
      <c r="R33" s="155">
        <f t="shared" si="22"/>
        <v>287169.14374059514</v>
      </c>
      <c r="S33" s="155">
        <f t="shared" si="22"/>
        <v>362865.64036879735</v>
      </c>
    </row>
    <row r="34" spans="2:26" s="151" customFormat="1" ht="11.85" customHeight="1">
      <c r="D34" s="151" t="s">
        <v>26</v>
      </c>
      <c r="F34" s="152"/>
      <c r="G34" s="153"/>
      <c r="H34" s="153"/>
      <c r="I34" s="157">
        <v>6.4</v>
      </c>
      <c r="J34" s="158">
        <f>J33/H33-1</f>
        <v>37.388589714285715</v>
      </c>
      <c r="K34" s="158">
        <f>K33/J33-1</f>
        <v>3.1785749670378243</v>
      </c>
      <c r="L34" s="158">
        <f t="shared" ref="L34:S34" si="23">L33/K33-1</f>
        <v>1.5600063836578353</v>
      </c>
      <c r="M34" s="158">
        <f t="shared" si="23"/>
        <v>1.0799825447291322</v>
      </c>
      <c r="N34" s="158">
        <f t="shared" si="23"/>
        <v>0.83521654428293157</v>
      </c>
      <c r="O34" s="158">
        <f t="shared" si="23"/>
        <v>0.65416797746890887</v>
      </c>
      <c r="P34" s="158">
        <f t="shared" si="23"/>
        <v>0.51575245452668605</v>
      </c>
      <c r="Q34" s="158">
        <f t="shared" si="23"/>
        <v>0.40934449984430121</v>
      </c>
      <c r="R34" s="158">
        <f t="shared" si="23"/>
        <v>0.32719358558329081</v>
      </c>
      <c r="S34" s="158">
        <f t="shared" si="23"/>
        <v>0.26359550905155804</v>
      </c>
    </row>
    <row r="35" spans="2:26" s="154" customFormat="1" ht="11.85" customHeight="1">
      <c r="C35" s="154" t="s">
        <v>238</v>
      </c>
      <c r="F35" s="155"/>
      <c r="G35" s="156">
        <f>G33*$G$1</f>
        <v>27.34375</v>
      </c>
      <c r="H35" s="156">
        <f t="shared" ref="H35:S35" si="24">H33*$G$1</f>
        <v>273.4375</v>
      </c>
      <c r="I35" s="156">
        <f t="shared" si="24"/>
        <v>1750</v>
      </c>
      <c r="J35" s="155">
        <f t="shared" si="24"/>
        <v>10496.88</v>
      </c>
      <c r="K35" s="155">
        <f t="shared" si="24"/>
        <v>43862</v>
      </c>
      <c r="L35" s="155">
        <f t="shared" si="24"/>
        <v>112286.99999999997</v>
      </c>
      <c r="M35" s="155">
        <f t="shared" si="24"/>
        <v>233555</v>
      </c>
      <c r="N35" s="155">
        <f t="shared" si="24"/>
        <v>428624.00000000012</v>
      </c>
      <c r="O35" s="155">
        <f t="shared" si="24"/>
        <v>709016.09517463378</v>
      </c>
      <c r="P35" s="155">
        <f t="shared" si="24"/>
        <v>1074692.8865598778</v>
      </c>
      <c r="Q35" s="155">
        <f t="shared" si="24"/>
        <v>1514612.5086949591</v>
      </c>
      <c r="R35" s="155">
        <f t="shared" si="24"/>
        <v>2010184.0061841661</v>
      </c>
      <c r="S35" s="155">
        <f t="shared" si="24"/>
        <v>2540059.4825815815</v>
      </c>
    </row>
    <row r="36" spans="2:26" s="151" customFormat="1" ht="11.85" customHeight="1">
      <c r="D36" s="151" t="s">
        <v>26</v>
      </c>
      <c r="F36" s="152"/>
      <c r="G36" s="153"/>
      <c r="H36" s="153"/>
      <c r="I36" s="157">
        <v>64</v>
      </c>
      <c r="J36" s="158">
        <f>J35/H35-1</f>
        <v>37.388589714285715</v>
      </c>
      <c r="K36" s="158">
        <f>K35/J35-1</f>
        <v>3.1785749670378252</v>
      </c>
      <c r="L36" s="158">
        <f t="shared" ref="L36:S36" si="25">L35/K35-1</f>
        <v>1.5600063836578353</v>
      </c>
      <c r="M36" s="158">
        <f t="shared" si="25"/>
        <v>1.0799825447291322</v>
      </c>
      <c r="N36" s="158">
        <f t="shared" si="25"/>
        <v>0.83521654428293179</v>
      </c>
      <c r="O36" s="158">
        <f t="shared" si="25"/>
        <v>0.65416797746890887</v>
      </c>
      <c r="P36" s="158">
        <f t="shared" si="25"/>
        <v>0.51575245452668628</v>
      </c>
      <c r="Q36" s="158">
        <f t="shared" si="25"/>
        <v>0.40934449984430099</v>
      </c>
      <c r="R36" s="158">
        <f t="shared" si="25"/>
        <v>0.32719358558329081</v>
      </c>
      <c r="S36" s="158">
        <f t="shared" si="25"/>
        <v>0.26359550905155804</v>
      </c>
    </row>
    <row r="37" spans="2:26" ht="11.85" customHeight="1">
      <c r="G37" s="68"/>
      <c r="H37" s="68"/>
      <c r="I37" s="68"/>
      <c r="J37" s="149"/>
      <c r="K37" s="149"/>
      <c r="L37" s="149"/>
      <c r="M37" s="149"/>
      <c r="N37" s="149"/>
      <c r="O37" s="149"/>
      <c r="P37" s="149"/>
      <c r="Q37" s="149"/>
      <c r="R37" s="149"/>
      <c r="S37" s="149"/>
      <c r="W37" s="68"/>
      <c r="X37" s="68"/>
      <c r="Y37" s="149"/>
      <c r="Z37" s="68"/>
    </row>
    <row r="38" spans="2:26" ht="11.85" customHeight="1">
      <c r="B38" s="159" t="s">
        <v>239</v>
      </c>
      <c r="C38" s="159" t="s">
        <v>240</v>
      </c>
      <c r="D38" s="159"/>
      <c r="E38" s="159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</row>
    <row r="39" spans="2:26" s="161" customFormat="1" ht="11.85" customHeight="1">
      <c r="C39" s="161" t="s">
        <v>241</v>
      </c>
      <c r="F39" s="162"/>
      <c r="G39" s="162"/>
      <c r="H39" s="162"/>
      <c r="I39" s="162">
        <f>H33*$G$1/I43*1000/365</f>
        <v>218.40928152082756</v>
      </c>
      <c r="J39" s="162">
        <f>I39*(1+J40)</f>
        <v>4193.4582051998887</v>
      </c>
      <c r="K39" s="162">
        <f>J39*(1+K40)</f>
        <v>13350.052687038986</v>
      </c>
      <c r="L39" s="162">
        <f t="shared" ref="L39:S39" si="26">K39*(1+L40)</f>
        <v>28780.968688845394</v>
      </c>
      <c r="M39" s="162">
        <f t="shared" si="26"/>
        <v>46069.594864654129</v>
      </c>
      <c r="N39" s="162">
        <f t="shared" si="26"/>
        <v>68010.103693398472</v>
      </c>
      <c r="O39" s="162">
        <f t="shared" si="26"/>
        <v>93921.792909031952</v>
      </c>
      <c r="P39" s="162">
        <f t="shared" si="26"/>
        <v>122548.97829790119</v>
      </c>
      <c r="Q39" s="162">
        <f t="shared" si="26"/>
        <v>152431.13631290785</v>
      </c>
      <c r="R39" s="162">
        <f t="shared" si="26"/>
        <v>182165.99899376524</v>
      </c>
      <c r="S39" s="162">
        <f t="shared" si="26"/>
        <v>210594.21173938987</v>
      </c>
      <c r="V39" s="163"/>
    </row>
    <row r="40" spans="2:26" s="97" customFormat="1" ht="11.85" customHeight="1">
      <c r="D40" s="97" t="s">
        <v>26</v>
      </c>
      <c r="F40" s="164"/>
      <c r="G40" s="164"/>
      <c r="H40" s="164"/>
      <c r="I40" s="164"/>
      <c r="J40" s="113">
        <v>18.2</v>
      </c>
      <c r="K40" s="113">
        <v>2.183542564102563</v>
      </c>
      <c r="L40" s="113">
        <v>1.1558692960655987</v>
      </c>
      <c r="M40" s="113">
        <v>0.60069646587361991</v>
      </c>
      <c r="N40" s="113">
        <v>0.47624705390187194</v>
      </c>
      <c r="O40" s="113">
        <f t="shared" ref="O40:S40" si="27">N40*0.8</f>
        <v>0.38099764312149759</v>
      </c>
      <c r="P40" s="113">
        <f t="shared" si="27"/>
        <v>0.30479811449719807</v>
      </c>
      <c r="Q40" s="113">
        <f t="shared" si="27"/>
        <v>0.24383849159775847</v>
      </c>
      <c r="R40" s="113">
        <f t="shared" si="27"/>
        <v>0.19507079327820678</v>
      </c>
      <c r="S40" s="113">
        <f t="shared" si="27"/>
        <v>0.15605663462256544</v>
      </c>
    </row>
    <row r="41" spans="2:26" s="165" customFormat="1" ht="11.85" customHeight="1">
      <c r="C41" s="165" t="s">
        <v>242</v>
      </c>
      <c r="F41" s="166"/>
      <c r="G41" s="166"/>
      <c r="H41" s="166"/>
      <c r="I41" s="166">
        <f>0.7*7</f>
        <v>4.8999999999999995</v>
      </c>
      <c r="J41" s="166">
        <f>I41*(1+J42)</f>
        <v>7.84</v>
      </c>
      <c r="K41" s="166">
        <f t="shared" ref="K41:S41" si="28">J41*(1+K42)</f>
        <v>10.192</v>
      </c>
      <c r="L41" s="166">
        <f t="shared" si="28"/>
        <v>12.230399999999999</v>
      </c>
      <c r="M41" s="166">
        <f t="shared" si="28"/>
        <v>15.899520000000001</v>
      </c>
      <c r="N41" s="166">
        <f t="shared" si="28"/>
        <v>19.715404800000002</v>
      </c>
      <c r="O41" s="166">
        <f t="shared" si="28"/>
        <v>23.500762521600002</v>
      </c>
      <c r="P41" s="166">
        <f t="shared" si="28"/>
        <v>27.11047964491776</v>
      </c>
      <c r="Q41" s="166">
        <f t="shared" si="28"/>
        <v>30.441815383685256</v>
      </c>
      <c r="R41" s="166">
        <f t="shared" si="28"/>
        <v>33.434367603163047</v>
      </c>
      <c r="S41" s="166">
        <f t="shared" si="28"/>
        <v>36.063753261452121</v>
      </c>
    </row>
    <row r="42" spans="2:26" s="97" customFormat="1" ht="11.85" customHeight="1">
      <c r="D42" s="97" t="s">
        <v>26</v>
      </c>
      <c r="F42" s="164"/>
      <c r="G42" s="164"/>
      <c r="H42" s="164"/>
      <c r="I42" s="164"/>
      <c r="J42" s="113">
        <v>0.6</v>
      </c>
      <c r="K42" s="113">
        <v>0.3</v>
      </c>
      <c r="L42" s="113">
        <v>0.2</v>
      </c>
      <c r="M42" s="113">
        <v>0.3</v>
      </c>
      <c r="N42" s="113">
        <v>0.24</v>
      </c>
      <c r="O42" s="113">
        <f>N42*0.8</f>
        <v>0.192</v>
      </c>
      <c r="P42" s="113">
        <f t="shared" ref="P42:S42" si="29">O42*0.8</f>
        <v>0.15360000000000001</v>
      </c>
      <c r="Q42" s="113">
        <f t="shared" si="29"/>
        <v>0.12288000000000002</v>
      </c>
      <c r="R42" s="113">
        <f t="shared" si="29"/>
        <v>9.8304000000000016E-2</v>
      </c>
      <c r="S42" s="113">
        <f t="shared" si="29"/>
        <v>7.8643200000000024E-2</v>
      </c>
    </row>
    <row r="43" spans="2:26" s="165" customFormat="1" ht="11.85" customHeight="1">
      <c r="C43" s="165" t="s">
        <v>243</v>
      </c>
      <c r="F43" s="166"/>
      <c r="G43" s="166"/>
      <c r="H43" s="166"/>
      <c r="I43" s="167">
        <f t="shared" ref="I43:S43" si="30">I41*(1-I45)</f>
        <v>3.4299999999999993</v>
      </c>
      <c r="J43" s="166">
        <f t="shared" si="30"/>
        <v>5.88</v>
      </c>
      <c r="K43" s="166">
        <f t="shared" si="30"/>
        <v>8.1536000000000008</v>
      </c>
      <c r="L43" s="166">
        <f t="shared" si="30"/>
        <v>9.784320000000001</v>
      </c>
      <c r="M43" s="166">
        <f t="shared" si="30"/>
        <v>12.719616000000002</v>
      </c>
      <c r="N43" s="166">
        <f t="shared" si="30"/>
        <v>15.772323840000002</v>
      </c>
      <c r="O43" s="166">
        <f t="shared" si="30"/>
        <v>18.800610017280004</v>
      </c>
      <c r="P43" s="166">
        <f t="shared" si="30"/>
        <v>21.688383715934208</v>
      </c>
      <c r="Q43" s="166">
        <f t="shared" si="30"/>
        <v>24.353452306948206</v>
      </c>
      <c r="R43" s="166">
        <f t="shared" si="30"/>
        <v>26.747494082530437</v>
      </c>
      <c r="S43" s="166">
        <f t="shared" si="30"/>
        <v>28.851002609161696</v>
      </c>
    </row>
    <row r="44" spans="2:26" s="168" customFormat="1" ht="11.85" customHeight="1">
      <c r="D44" s="168" t="s">
        <v>26</v>
      </c>
      <c r="F44" s="169"/>
      <c r="G44" s="169"/>
      <c r="H44" s="169"/>
      <c r="I44" s="169"/>
      <c r="J44" s="169">
        <f>J43/I43-1</f>
        <v>0.71428571428571463</v>
      </c>
      <c r="K44" s="169">
        <f t="shared" ref="K44:S44" si="31">K43/J43-1</f>
        <v>0.38666666666666694</v>
      </c>
      <c r="L44" s="169">
        <f t="shared" si="31"/>
        <v>0.19999999999999996</v>
      </c>
      <c r="M44" s="169">
        <f t="shared" si="31"/>
        <v>0.30000000000000004</v>
      </c>
      <c r="N44" s="169">
        <f t="shared" si="31"/>
        <v>0.24</v>
      </c>
      <c r="O44" s="169">
        <f t="shared" si="31"/>
        <v>0.19200000000000017</v>
      </c>
      <c r="P44" s="169">
        <f t="shared" si="31"/>
        <v>0.15359999999999974</v>
      </c>
      <c r="Q44" s="169">
        <f t="shared" si="31"/>
        <v>0.1228800000000001</v>
      </c>
      <c r="R44" s="169">
        <f t="shared" si="31"/>
        <v>9.8303999999999725E-2</v>
      </c>
      <c r="S44" s="169">
        <f t="shared" si="31"/>
        <v>7.8643200000000135E-2</v>
      </c>
    </row>
    <row r="45" spans="2:26" s="105" customFormat="1" ht="11.85" customHeight="1">
      <c r="D45" s="105" t="s">
        <v>244</v>
      </c>
      <c r="F45" s="143"/>
      <c r="G45" s="143"/>
      <c r="H45" s="143"/>
      <c r="I45" s="149">
        <v>0.3</v>
      </c>
      <c r="J45" s="149">
        <v>0.25</v>
      </c>
      <c r="K45" s="149">
        <v>0.2</v>
      </c>
      <c r="L45" s="149">
        <v>0.2</v>
      </c>
      <c r="M45" s="149">
        <v>0.2</v>
      </c>
      <c r="N45" s="149">
        <v>0.2</v>
      </c>
      <c r="O45" s="149">
        <v>0.2</v>
      </c>
      <c r="P45" s="149">
        <v>0.2</v>
      </c>
      <c r="Q45" s="149">
        <v>0.2</v>
      </c>
      <c r="R45" s="149">
        <v>0.2</v>
      </c>
      <c r="S45" s="149">
        <v>0.2</v>
      </c>
    </row>
    <row r="46" spans="2:26" s="105" customFormat="1" ht="11.85" customHeight="1">
      <c r="B46" s="170" t="s">
        <v>245</v>
      </c>
      <c r="F46" s="143"/>
      <c r="G46" s="143"/>
      <c r="H46" s="143"/>
      <c r="I46" s="149"/>
      <c r="J46" s="112">
        <f>J39*365*J43/$G$1/1000</f>
        <v>1285.7142857142858</v>
      </c>
      <c r="K46" s="112">
        <f>K39*365*K43/$G$1/1000</f>
        <v>5675.8015999999998</v>
      </c>
      <c r="L46" s="112">
        <f>L39*365*L43/$G$1/1000</f>
        <v>14683.543679999997</v>
      </c>
      <c r="M46" s="112">
        <f t="shared" ref="M46:S46" si="32">M39*365*M43/$G$1/1000</f>
        <v>30555.065417600003</v>
      </c>
      <c r="N46" s="112">
        <f t="shared" si="32"/>
        <v>55932.463377593616</v>
      </c>
      <c r="O46" s="112">
        <f t="shared" si="32"/>
        <v>92073.179317336006</v>
      </c>
      <c r="P46" s="112">
        <f t="shared" si="32"/>
        <v>138589.94026314426</v>
      </c>
      <c r="Q46" s="112">
        <f t="shared" si="32"/>
        <v>193565.98700370966</v>
      </c>
      <c r="R46" s="112">
        <f t="shared" si="32"/>
        <v>254065.23610646478</v>
      </c>
      <c r="S46" s="112">
        <f t="shared" si="32"/>
        <v>316812.39508773328</v>
      </c>
    </row>
    <row r="47" spans="2:26" s="105" customFormat="1" ht="11.85" customHeight="1">
      <c r="B47" s="161" t="s">
        <v>222</v>
      </c>
      <c r="F47" s="143"/>
      <c r="G47" s="143"/>
      <c r="H47" s="143"/>
      <c r="I47" s="149"/>
      <c r="J47" s="112"/>
      <c r="K47" s="171">
        <f>K46/J46-1</f>
        <v>3.414512355555555</v>
      </c>
      <c r="L47" s="171">
        <f>L46/K46-1</f>
        <v>1.5870431552787183</v>
      </c>
      <c r="M47" s="112"/>
      <c r="N47" s="112"/>
      <c r="O47" s="112"/>
      <c r="P47" s="112"/>
      <c r="Q47" s="112"/>
      <c r="R47" s="112"/>
      <c r="S47" s="112"/>
    </row>
    <row r="48" spans="2:26" s="105" customFormat="1" ht="11.85" customHeight="1">
      <c r="B48" s="161" t="s">
        <v>246</v>
      </c>
      <c r="F48" s="143"/>
      <c r="G48" s="143"/>
      <c r="H48" s="143"/>
      <c r="I48" s="149"/>
      <c r="J48" s="171">
        <f>J46/J33</f>
        <v>0.85739762672336928</v>
      </c>
      <c r="K48" s="171">
        <f>K46/K33</f>
        <v>0.90580938397701882</v>
      </c>
      <c r="L48" s="171">
        <f>L46/L33</f>
        <v>0.91537582943706752</v>
      </c>
      <c r="M48" s="112"/>
      <c r="N48" s="112"/>
      <c r="O48" s="112"/>
      <c r="P48" s="112"/>
      <c r="Q48" s="112"/>
      <c r="R48" s="112"/>
      <c r="S48" s="112"/>
    </row>
    <row r="49" spans="2:26" s="105" customFormat="1" ht="11.85" customHeight="1">
      <c r="F49" s="143"/>
      <c r="G49" s="143"/>
      <c r="H49" s="143"/>
      <c r="I49" s="149"/>
      <c r="J49" s="149"/>
      <c r="K49" s="149"/>
      <c r="L49" s="149"/>
      <c r="M49" s="149"/>
      <c r="N49" s="149"/>
      <c r="O49" s="149"/>
      <c r="P49" s="149"/>
      <c r="Q49" s="149"/>
      <c r="R49" s="149"/>
      <c r="S49" s="149"/>
    </row>
    <row r="50" spans="2:26" ht="11.85" customHeight="1">
      <c r="B50" s="159" t="s">
        <v>247</v>
      </c>
      <c r="C50" s="159" t="s">
        <v>248</v>
      </c>
      <c r="D50" s="172"/>
      <c r="E50" s="172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3"/>
      <c r="S50" s="173"/>
    </row>
    <row r="51" spans="2:26" s="165" customFormat="1" ht="11.85" customHeight="1">
      <c r="C51" s="165" t="s">
        <v>249</v>
      </c>
      <c r="F51" s="166"/>
      <c r="G51" s="166"/>
      <c r="H51" s="166"/>
      <c r="I51" s="174">
        <v>0.06</v>
      </c>
      <c r="J51" s="174">
        <f>0.24-I51</f>
        <v>0.18</v>
      </c>
      <c r="K51" s="166">
        <f>J51*(1+K52)</f>
        <v>0.41399999999999998</v>
      </c>
      <c r="L51" s="166">
        <f t="shared" ref="L51:S51" si="33">K51*(1+L52)</f>
        <v>0.82799999999999996</v>
      </c>
      <c r="M51" s="166">
        <f t="shared" si="33"/>
        <v>1.4903999999999999</v>
      </c>
      <c r="N51" s="166">
        <f t="shared" si="33"/>
        <v>2.4442560000000002</v>
      </c>
      <c r="O51" s="166">
        <f t="shared" si="33"/>
        <v>3.6957150720000005</v>
      </c>
      <c r="P51" s="166">
        <f t="shared" si="33"/>
        <v>5.2094799654912016</v>
      </c>
      <c r="Q51" s="166">
        <f t="shared" si="33"/>
        <v>6.9165223605833592</v>
      </c>
      <c r="R51" s="166">
        <f t="shared" si="33"/>
        <v>8.7296471982761243</v>
      </c>
      <c r="S51" s="166">
        <f t="shared" si="33"/>
        <v>10.560386906392043</v>
      </c>
    </row>
    <row r="52" spans="2:26" s="168" customFormat="1" ht="11.85" customHeight="1">
      <c r="D52" s="168" t="s">
        <v>26</v>
      </c>
      <c r="F52" s="169"/>
      <c r="G52" s="169"/>
      <c r="H52" s="169"/>
      <c r="I52" s="169"/>
      <c r="J52" s="175">
        <f>J51/I51-1</f>
        <v>2</v>
      </c>
      <c r="K52" s="175">
        <v>1.3</v>
      </c>
      <c r="L52" s="175">
        <v>1</v>
      </c>
      <c r="M52" s="175">
        <f>L52*0.8</f>
        <v>0.8</v>
      </c>
      <c r="N52" s="175">
        <f t="shared" ref="N52:S52" si="34">M52*0.8</f>
        <v>0.64000000000000012</v>
      </c>
      <c r="O52" s="175">
        <f t="shared" si="34"/>
        <v>0.51200000000000012</v>
      </c>
      <c r="P52" s="175">
        <f t="shared" si="34"/>
        <v>0.40960000000000013</v>
      </c>
      <c r="Q52" s="175">
        <f t="shared" si="34"/>
        <v>0.32768000000000014</v>
      </c>
      <c r="R52" s="175">
        <f t="shared" si="34"/>
        <v>0.2621440000000001</v>
      </c>
      <c r="S52" s="175">
        <f t="shared" si="34"/>
        <v>0.2097152000000001</v>
      </c>
    </row>
    <row r="53" spans="2:26" s="97" customFormat="1" ht="11.85" customHeight="1">
      <c r="D53" s="97" t="s">
        <v>250</v>
      </c>
      <c r="F53" s="164"/>
      <c r="G53" s="164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</row>
    <row r="54" spans="2:26" s="97" customFormat="1" ht="11.85" customHeight="1">
      <c r="D54" s="97" t="s">
        <v>251</v>
      </c>
      <c r="F54" s="164"/>
      <c r="G54" s="164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</row>
    <row r="55" spans="2:26" s="176" customFormat="1" ht="11.85" customHeight="1">
      <c r="C55" s="176" t="s">
        <v>252</v>
      </c>
      <c r="F55" s="177"/>
      <c r="G55" s="177"/>
      <c r="H55" s="177"/>
      <c r="I55" s="177"/>
      <c r="J55" s="177">
        <f>49*0.5+149*0.5</f>
        <v>99</v>
      </c>
      <c r="K55" s="177">
        <f>J55*(1+K56)</f>
        <v>118.8</v>
      </c>
      <c r="L55" s="177">
        <f t="shared" ref="L55:S55" si="35">K55*(1+L56)</f>
        <v>136.61999999999998</v>
      </c>
      <c r="M55" s="177">
        <f t="shared" si="35"/>
        <v>157.11299999999997</v>
      </c>
      <c r="N55" s="177">
        <f t="shared" si="35"/>
        <v>180.67994999999996</v>
      </c>
      <c r="O55" s="177">
        <f t="shared" si="35"/>
        <v>207.78194249999993</v>
      </c>
      <c r="P55" s="177">
        <f t="shared" si="35"/>
        <v>238.94923387499989</v>
      </c>
      <c r="Q55" s="177">
        <f t="shared" si="35"/>
        <v>274.79161895624986</v>
      </c>
      <c r="R55" s="177">
        <f t="shared" si="35"/>
        <v>316.0103617996873</v>
      </c>
      <c r="S55" s="177">
        <f t="shared" si="35"/>
        <v>363.41191606964037</v>
      </c>
    </row>
    <row r="56" spans="2:26" s="168" customFormat="1" ht="11.85" customHeight="1">
      <c r="D56" s="168" t="s">
        <v>26</v>
      </c>
      <c r="F56" s="169"/>
      <c r="G56" s="169"/>
      <c r="H56" s="169"/>
      <c r="I56" s="169"/>
      <c r="J56" s="178">
        <v>0.3</v>
      </c>
      <c r="K56" s="175">
        <v>0.2</v>
      </c>
      <c r="L56" s="175">
        <v>0.15</v>
      </c>
      <c r="M56" s="175">
        <f>L56</f>
        <v>0.15</v>
      </c>
      <c r="N56" s="175">
        <f t="shared" ref="N56:S56" si="36">M56</f>
        <v>0.15</v>
      </c>
      <c r="O56" s="175">
        <f t="shared" si="36"/>
        <v>0.15</v>
      </c>
      <c r="P56" s="175">
        <f t="shared" si="36"/>
        <v>0.15</v>
      </c>
      <c r="Q56" s="175">
        <f t="shared" si="36"/>
        <v>0.15</v>
      </c>
      <c r="R56" s="175">
        <f t="shared" si="36"/>
        <v>0.15</v>
      </c>
      <c r="S56" s="175">
        <f t="shared" si="36"/>
        <v>0.15</v>
      </c>
    </row>
    <row r="57" spans="2:26" s="161" customFormat="1" ht="11.85" customHeight="1">
      <c r="B57" s="170" t="s">
        <v>253</v>
      </c>
      <c r="C57" s="170"/>
      <c r="F57" s="162"/>
      <c r="G57" s="162"/>
      <c r="H57" s="162"/>
      <c r="I57" s="162"/>
      <c r="J57" s="162">
        <f>J55*J51*12</f>
        <v>213.84</v>
      </c>
      <c r="K57" s="162">
        <f t="shared" ref="K57:S57" si="37">K55*K51*12</f>
        <v>590.19839999999999</v>
      </c>
      <c r="L57" s="162">
        <f t="shared" si="37"/>
        <v>1357.4563199999998</v>
      </c>
      <c r="M57" s="162">
        <f t="shared" si="37"/>
        <v>2809.9345823999993</v>
      </c>
      <c r="N57" s="162">
        <f t="shared" si="37"/>
        <v>5299.5366224063991</v>
      </c>
      <c r="O57" s="162">
        <f t="shared" si="37"/>
        <v>9214.8342790402457</v>
      </c>
      <c r="P57" s="162">
        <f t="shared" si="37"/>
        <v>14937.614959695402</v>
      </c>
      <c r="Q57" s="162">
        <f t="shared" si="37"/>
        <v>22807.22852414165</v>
      </c>
      <c r="R57" s="162">
        <f t="shared" si="37"/>
        <v>33103.907634130373</v>
      </c>
      <c r="S57" s="162">
        <f t="shared" si="37"/>
        <v>46053.245281064097</v>
      </c>
    </row>
    <row r="58" spans="2:26" s="168" customFormat="1" ht="11.85" customHeight="1">
      <c r="D58" s="168" t="s">
        <v>26</v>
      </c>
      <c r="F58" s="169"/>
      <c r="G58" s="169"/>
      <c r="H58" s="169"/>
      <c r="I58" s="169"/>
      <c r="J58" s="169"/>
      <c r="K58" s="169">
        <f t="shared" ref="K58:S58" si="38">K57/J57-1</f>
        <v>1.7599999999999998</v>
      </c>
      <c r="L58" s="169">
        <f t="shared" si="38"/>
        <v>1.2999999999999998</v>
      </c>
      <c r="M58" s="169">
        <f t="shared" si="38"/>
        <v>1.0699999999999998</v>
      </c>
      <c r="N58" s="169">
        <f t="shared" si="38"/>
        <v>0.88600000000000012</v>
      </c>
      <c r="O58" s="169">
        <f t="shared" si="38"/>
        <v>0.7387999999999999</v>
      </c>
      <c r="P58" s="169">
        <f t="shared" si="38"/>
        <v>0.62104000000000026</v>
      </c>
      <c r="Q58" s="169">
        <f t="shared" si="38"/>
        <v>0.52683199999999997</v>
      </c>
      <c r="R58" s="169">
        <f t="shared" si="38"/>
        <v>0.45146559999999991</v>
      </c>
      <c r="S58" s="169">
        <f t="shared" si="38"/>
        <v>0.39117248000000049</v>
      </c>
    </row>
    <row r="59" spans="2:26" s="92" customFormat="1" ht="11.85" customHeight="1">
      <c r="D59" s="92" t="s">
        <v>254</v>
      </c>
      <c r="F59" s="179"/>
      <c r="G59" s="179"/>
      <c r="H59" s="179"/>
      <c r="I59" s="179"/>
      <c r="J59" s="98">
        <f>J57/J33</f>
        <v>0.14260237327663078</v>
      </c>
      <c r="K59" s="98">
        <f>K57/K33</f>
        <v>9.4190616022981163E-2</v>
      </c>
      <c r="L59" s="98">
        <f>L57/L33</f>
        <v>8.4624170562932491E-2</v>
      </c>
      <c r="M59" s="98">
        <f t="shared" ref="M59:N59" si="39">M57/M33</f>
        <v>8.4218030343173961E-2</v>
      </c>
      <c r="N59" s="98">
        <f t="shared" si="39"/>
        <v>8.6548481552234088E-2</v>
      </c>
      <c r="O59" s="179"/>
      <c r="P59" s="179"/>
      <c r="Q59" s="179"/>
      <c r="R59" s="179"/>
      <c r="S59" s="179"/>
    </row>
    <row r="60" spans="2:26" s="92" customFormat="1" ht="11.85" customHeight="1">
      <c r="F60" s="179"/>
      <c r="G60" s="179"/>
      <c r="H60" s="179"/>
      <c r="I60" s="179"/>
      <c r="J60" s="179"/>
      <c r="K60" s="179"/>
      <c r="L60" s="179"/>
      <c r="M60" s="179"/>
      <c r="N60" s="179"/>
      <c r="O60" s="179"/>
      <c r="P60" s="179"/>
      <c r="Q60" s="179"/>
      <c r="R60" s="179"/>
      <c r="S60" s="179"/>
    </row>
    <row r="61" spans="2:26" ht="11.85" customHeight="1">
      <c r="B61" s="46" t="s">
        <v>232</v>
      </c>
    </row>
    <row r="62" spans="2:26" ht="11.85" customHeight="1">
      <c r="B62" s="46" t="s">
        <v>255</v>
      </c>
      <c r="F62" s="68">
        <f t="shared" ref="F62:S62" si="40">F27/F$5</f>
        <v>0.95481544705533972</v>
      </c>
      <c r="G62" s="68">
        <f t="shared" si="40"/>
        <v>0.90425412323949317</v>
      </c>
      <c r="H62" s="68">
        <f t="shared" si="40"/>
        <v>0.84480849129680491</v>
      </c>
      <c r="I62" s="82">
        <f t="shared" si="40"/>
        <v>0.7371668318759026</v>
      </c>
      <c r="J62" s="82">
        <f t="shared" si="40"/>
        <v>0.17206947790317381</v>
      </c>
      <c r="K62" s="68">
        <f t="shared" si="40"/>
        <v>7.5605896406059234E-2</v>
      </c>
      <c r="L62" s="68">
        <f t="shared" si="40"/>
        <v>4.5330691196983887E-2</v>
      </c>
      <c r="M62" s="68">
        <f t="shared" si="40"/>
        <v>3.172462195520602E-2</v>
      </c>
      <c r="N62" s="68">
        <f t="shared" si="40"/>
        <v>2.4060446477630955E-2</v>
      </c>
      <c r="O62" s="68">
        <f t="shared" si="40"/>
        <v>1.9342000507126103E-2</v>
      </c>
      <c r="P62" s="68">
        <f t="shared" si="40"/>
        <v>1.6165745982311495E-2</v>
      </c>
      <c r="Q62" s="68">
        <f t="shared" si="40"/>
        <v>1.3790496819243598E-2</v>
      </c>
      <c r="R62" s="68">
        <f t="shared" si="40"/>
        <v>1.1803061572531939E-2</v>
      </c>
      <c r="S62" s="68">
        <f t="shared" si="40"/>
        <v>9.9759796775895238E-3</v>
      </c>
      <c r="U62" s="68">
        <f t="shared" ref="U62:Z62" si="41">U27/U$5</f>
        <v>0.59689594513349209</v>
      </c>
      <c r="V62" s="68">
        <f t="shared" si="41"/>
        <v>0.88642829105998022</v>
      </c>
      <c r="W62" s="68">
        <f t="shared" si="41"/>
        <v>0.8475458017466746</v>
      </c>
      <c r="X62" s="68">
        <f t="shared" si="41"/>
        <v>0.69767197731026109</v>
      </c>
      <c r="Y62" s="68">
        <f t="shared" si="41"/>
        <v>0.34798086478440621</v>
      </c>
      <c r="Z62" s="68">
        <f t="shared" si="41"/>
        <v>0.13449368926105376</v>
      </c>
    </row>
    <row r="63" spans="2:26" ht="11.85" customHeight="1">
      <c r="B63" s="46" t="s">
        <v>256</v>
      </c>
      <c r="F63" s="68">
        <f t="shared" ref="F63:S63" si="42">F29/F$5</f>
        <v>4.5184552944660242E-2</v>
      </c>
      <c r="G63" s="68">
        <f t="shared" si="42"/>
        <v>9.5745876760506818E-2</v>
      </c>
      <c r="H63" s="68">
        <f t="shared" si="42"/>
        <v>0.15519150870319512</v>
      </c>
      <c r="I63" s="82">
        <f t="shared" si="42"/>
        <v>0.2628331681240974</v>
      </c>
      <c r="J63" s="82">
        <f t="shared" si="42"/>
        <v>0.82793052209682616</v>
      </c>
      <c r="K63" s="68">
        <f t="shared" si="42"/>
        <v>0.9243941035939407</v>
      </c>
      <c r="L63" s="68">
        <f t="shared" si="42"/>
        <v>0.95466930880301615</v>
      </c>
      <c r="M63" s="68">
        <f t="shared" si="42"/>
        <v>0.96827537804479402</v>
      </c>
      <c r="N63" s="68">
        <f t="shared" si="42"/>
        <v>0.97593955352236905</v>
      </c>
      <c r="O63" s="68">
        <f t="shared" si="42"/>
        <v>0.98065799949287391</v>
      </c>
      <c r="P63" s="68">
        <f t="shared" si="42"/>
        <v>0.98383425401768843</v>
      </c>
      <c r="Q63" s="68">
        <f t="shared" si="42"/>
        <v>0.9862095031807564</v>
      </c>
      <c r="R63" s="68">
        <f t="shared" si="42"/>
        <v>0.98819693842746814</v>
      </c>
      <c r="S63" s="68">
        <f t="shared" si="42"/>
        <v>0.99002402032241055</v>
      </c>
      <c r="U63" s="68">
        <f t="shared" ref="U63:Z63" si="43">U29/U$5</f>
        <v>0.4031040548665078</v>
      </c>
      <c r="V63" s="68">
        <f t="shared" si="43"/>
        <v>0.11357170894001982</v>
      </c>
      <c r="W63" s="68">
        <f t="shared" si="43"/>
        <v>0.15245419825332546</v>
      </c>
      <c r="X63" s="68">
        <f t="shared" si="43"/>
        <v>0.30232802268973874</v>
      </c>
      <c r="Y63" s="68">
        <f t="shared" si="43"/>
        <v>0.65201913521559385</v>
      </c>
      <c r="Z63" s="68">
        <f t="shared" si="43"/>
        <v>0.86550631073894624</v>
      </c>
    </row>
    <row r="64" spans="2:26" ht="11.85" customHeight="1">
      <c r="U64" s="47"/>
      <c r="V64" s="47"/>
      <c r="W64" s="47"/>
      <c r="X64" s="47"/>
      <c r="Y64" s="47"/>
      <c r="Z64" s="47"/>
    </row>
    <row r="65" spans="2:26" ht="11.85" customHeight="1">
      <c r="U65" s="47"/>
      <c r="V65" s="47"/>
      <c r="W65" s="47"/>
      <c r="X65" s="47"/>
      <c r="Y65" s="47"/>
      <c r="Z65" s="47"/>
    </row>
    <row r="66" spans="2:26" ht="11.85" hidden="1" customHeight="1">
      <c r="B66" s="147" t="s">
        <v>257</v>
      </c>
      <c r="C66" s="60"/>
      <c r="D66" s="60"/>
      <c r="E66" s="60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U66" s="148"/>
      <c r="V66" s="148"/>
      <c r="W66" s="148"/>
      <c r="X66" s="148"/>
      <c r="Y66" s="148"/>
      <c r="Z66" s="148"/>
    </row>
    <row r="67" spans="2:26" ht="11.85" hidden="1" customHeight="1">
      <c r="B67" s="72" t="s">
        <v>258</v>
      </c>
      <c r="F67" s="67">
        <f>SUM(F68,F70)</f>
        <v>48</v>
      </c>
      <c r="G67" s="67">
        <f t="shared" ref="G67:H67" si="44">SUM(G68,G70)</f>
        <v>2873</v>
      </c>
      <c r="H67" s="67">
        <f t="shared" si="44"/>
        <v>5580</v>
      </c>
      <c r="I67" s="47" t="s">
        <v>259</v>
      </c>
    </row>
    <row r="68" spans="2:26" ht="11.85" hidden="1" customHeight="1">
      <c r="B68" s="46" t="s">
        <v>234</v>
      </c>
      <c r="F68" s="76">
        <v>48</v>
      </c>
      <c r="G68" s="76">
        <v>61</v>
      </c>
      <c r="H68" s="76">
        <v>123</v>
      </c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W68" s="76">
        <v>95</v>
      </c>
    </row>
    <row r="69" spans="2:26" ht="11.85" hidden="1" customHeight="1">
      <c r="C69" s="46" t="s">
        <v>26</v>
      </c>
      <c r="F69" s="76"/>
      <c r="G69" s="68">
        <f>G68/F68-1</f>
        <v>0.27083333333333326</v>
      </c>
      <c r="H69" s="68">
        <f>H68/G68-1</f>
        <v>1.0163934426229506</v>
      </c>
      <c r="I69" s="149"/>
      <c r="J69" s="90"/>
      <c r="K69" s="90"/>
      <c r="L69" s="90"/>
      <c r="M69" s="90"/>
      <c r="N69" s="90"/>
      <c r="O69" s="90"/>
      <c r="P69" s="90"/>
      <c r="Q69" s="90"/>
      <c r="R69" s="90"/>
      <c r="S69" s="90"/>
      <c r="W69" s="76"/>
    </row>
    <row r="70" spans="2:26" ht="11.85" hidden="1" customHeight="1">
      <c r="B70" s="46" t="s">
        <v>236</v>
      </c>
      <c r="F70" s="76">
        <v>0</v>
      </c>
      <c r="G70" s="76">
        <v>2812</v>
      </c>
      <c r="H70" s="76">
        <v>5457</v>
      </c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W70" s="76">
        <v>3061</v>
      </c>
    </row>
    <row r="71" spans="2:26" ht="11.85" hidden="1" customHeight="1">
      <c r="C71" s="46" t="s">
        <v>26</v>
      </c>
      <c r="F71" s="76"/>
      <c r="G71" s="68"/>
      <c r="H71" s="68">
        <f>H70/G70-1</f>
        <v>0.94061166429587484</v>
      </c>
      <c r="I71" s="149"/>
      <c r="J71" s="90"/>
      <c r="K71" s="90"/>
      <c r="L71" s="90"/>
      <c r="M71" s="90"/>
      <c r="N71" s="90"/>
      <c r="O71" s="90"/>
      <c r="P71" s="90"/>
      <c r="Q71" s="90"/>
      <c r="R71" s="90"/>
      <c r="S71" s="90"/>
      <c r="W71" s="76"/>
    </row>
    <row r="72" spans="2:26" ht="11.85" hidden="1" customHeight="1">
      <c r="F72" s="76"/>
      <c r="G72" s="76"/>
      <c r="H72" s="76"/>
      <c r="W72" s="76"/>
    </row>
    <row r="73" spans="2:26" ht="11.85" hidden="1" customHeight="1">
      <c r="B73" s="72" t="s">
        <v>260</v>
      </c>
      <c r="F73" s="76"/>
      <c r="G73" s="76"/>
      <c r="H73" s="76"/>
      <c r="W73" s="76"/>
    </row>
    <row r="74" spans="2:26" ht="11.85" hidden="1" customHeight="1">
      <c r="B74" s="46" t="s">
        <v>261</v>
      </c>
      <c r="F74" s="167">
        <f>F27/F68</f>
        <v>1.1419791666666665</v>
      </c>
      <c r="G74" s="167">
        <f>G27/G68</f>
        <v>1.8461311475409836</v>
      </c>
      <c r="H74" s="167">
        <f>H27/H68</f>
        <v>2.1457723577235774</v>
      </c>
      <c r="I74" s="167"/>
      <c r="J74" s="167"/>
      <c r="K74" s="167"/>
      <c r="L74" s="167"/>
      <c r="M74" s="167"/>
      <c r="N74" s="167"/>
      <c r="O74" s="167"/>
      <c r="P74" s="167"/>
      <c r="Q74" s="167"/>
      <c r="R74" s="167"/>
      <c r="S74" s="167"/>
      <c r="W74" s="167">
        <f>W27/W68</f>
        <v>1.7029157894736842</v>
      </c>
    </row>
    <row r="75" spans="2:26" ht="11.85" hidden="1" customHeight="1">
      <c r="C75" s="46" t="s">
        <v>26</v>
      </c>
      <c r="F75" s="167"/>
      <c r="G75" s="68">
        <f>G74/F74-1</f>
        <v>0.61660667849981254</v>
      </c>
      <c r="H75" s="68">
        <f>H74/G74-1</f>
        <v>0.16230765110144585</v>
      </c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W75" s="167"/>
    </row>
    <row r="76" spans="2:26" ht="11.85" hidden="1" customHeight="1">
      <c r="B76" s="46" t="s">
        <v>262</v>
      </c>
      <c r="G76" s="167">
        <f>G29*1000/G70</f>
        <v>4.2403982930298723</v>
      </c>
      <c r="H76" s="167">
        <f>H29*1000/H70</f>
        <v>8.8847352024922124</v>
      </c>
      <c r="I76" s="167"/>
      <c r="J76" s="167"/>
      <c r="K76" s="167"/>
      <c r="L76" s="167"/>
      <c r="M76" s="167"/>
      <c r="N76" s="167"/>
      <c r="O76" s="167"/>
      <c r="P76" s="167"/>
      <c r="Q76" s="167"/>
      <c r="R76" s="167"/>
      <c r="S76" s="167"/>
      <c r="W76" s="167">
        <f>W29*1000/W70</f>
        <v>9.5066971577915709</v>
      </c>
    </row>
    <row r="77" spans="2:26" ht="11.85" hidden="1" customHeight="1">
      <c r="C77" s="46" t="s">
        <v>26</v>
      </c>
      <c r="G77" s="68"/>
      <c r="H77" s="68">
        <f>H76/G76-1</f>
        <v>1.0952595932076568</v>
      </c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</row>
    <row r="78" spans="2:26" ht="11.85" hidden="1" customHeight="1"/>
    <row r="79" spans="2:26" ht="11.85" hidden="1" customHeight="1">
      <c r="B79" s="72" t="s">
        <v>263</v>
      </c>
    </row>
    <row r="80" spans="2:26" ht="11.85" hidden="1" customHeight="1">
      <c r="B80" s="46" t="s">
        <v>264</v>
      </c>
      <c r="F80" s="67">
        <f>F82*365</f>
        <v>182.5</v>
      </c>
      <c r="G80" s="67">
        <f t="shared" ref="G80" si="45">G82*365</f>
        <v>766.5</v>
      </c>
      <c r="H80" s="67">
        <f>H82*366</f>
        <v>73200</v>
      </c>
      <c r="W80" s="67">
        <f>W82*180</f>
        <v>828000</v>
      </c>
    </row>
    <row r="81" spans="2:26" ht="11.85" hidden="1" customHeight="1">
      <c r="C81" s="46" t="s">
        <v>26</v>
      </c>
      <c r="F81" s="67"/>
      <c r="G81" s="68">
        <f>G80/F80-1</f>
        <v>3.2</v>
      </c>
      <c r="H81" s="68">
        <f>H80/G80-1</f>
        <v>94.499021526418787</v>
      </c>
      <c r="W81" s="67"/>
    </row>
    <row r="82" spans="2:26" ht="11.85" hidden="1" customHeight="1">
      <c r="B82" s="46" t="s">
        <v>265</v>
      </c>
      <c r="F82" s="180">
        <v>0.5</v>
      </c>
      <c r="G82" s="180">
        <v>2.1</v>
      </c>
      <c r="H82" s="180">
        <v>200</v>
      </c>
      <c r="W82" s="180">
        <v>4600</v>
      </c>
    </row>
    <row r="83" spans="2:26" ht="11.85" hidden="1" customHeight="1">
      <c r="F83" s="180"/>
      <c r="G83" s="180"/>
      <c r="H83" s="180"/>
      <c r="W83" s="180"/>
    </row>
    <row r="84" spans="2:26" ht="11.85" hidden="1" customHeight="1">
      <c r="B84" s="147" t="s">
        <v>266</v>
      </c>
      <c r="C84" s="60"/>
      <c r="D84" s="60"/>
      <c r="E84" s="60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U84" s="60"/>
      <c r="V84" s="60"/>
      <c r="W84" s="60"/>
      <c r="X84" s="60"/>
      <c r="Y84" s="60"/>
      <c r="Z84" s="60"/>
    </row>
    <row r="85" spans="2:26" ht="11.85" hidden="1" customHeight="1">
      <c r="C85" s="46" t="s">
        <v>267</v>
      </c>
      <c r="F85" s="76">
        <v>30.257999999999999</v>
      </c>
      <c r="G85" s="76">
        <v>76.177000000000007</v>
      </c>
      <c r="H85" s="76">
        <v>130.95599999999999</v>
      </c>
      <c r="U85" s="76">
        <v>11.598000000000001</v>
      </c>
      <c r="V85" s="69"/>
      <c r="W85" s="76">
        <v>61.923999999999999</v>
      </c>
    </row>
    <row r="86" spans="2:26" ht="11.85" hidden="1" customHeight="1">
      <c r="C86" s="46" t="s">
        <v>268</v>
      </c>
      <c r="F86" s="76">
        <v>19.751999999999999</v>
      </c>
      <c r="G86" s="76">
        <v>10.266999999999999</v>
      </c>
      <c r="H86" s="76">
        <v>57.966999999999999</v>
      </c>
      <c r="U86" s="76">
        <v>0.69299999999999995</v>
      </c>
      <c r="V86" s="69"/>
      <c r="W86" s="76">
        <v>47.533000000000001</v>
      </c>
    </row>
    <row r="87" spans="2:26" ht="11.85" hidden="1" customHeight="1">
      <c r="C87" s="46" t="s">
        <v>269</v>
      </c>
      <c r="F87" s="76">
        <v>1.504</v>
      </c>
      <c r="G87" s="76">
        <v>21.742000000000001</v>
      </c>
      <c r="H87" s="76">
        <v>42.731000000000002</v>
      </c>
      <c r="U87" s="76">
        <v>13.747999999999999</v>
      </c>
      <c r="V87" s="69"/>
      <c r="W87" s="76">
        <v>22.045000000000002</v>
      </c>
    </row>
    <row r="88" spans="2:26" ht="11.85" hidden="1" customHeight="1">
      <c r="C88" s="46" t="s">
        <v>270</v>
      </c>
      <c r="F88" s="76">
        <v>2.198</v>
      </c>
      <c r="G88" s="76">
        <v>0.93899999999999995</v>
      </c>
      <c r="H88" s="76">
        <v>26.559000000000001</v>
      </c>
      <c r="U88" s="76">
        <v>6.4000000000000001E-2</v>
      </c>
      <c r="V88" s="69"/>
      <c r="W88" s="76">
        <v>18.678999999999998</v>
      </c>
    </row>
    <row r="89" spans="2:26" ht="11.85" hidden="1" customHeight="1">
      <c r="C89" s="46" t="s">
        <v>271</v>
      </c>
      <c r="F89" s="76">
        <v>0.91500000000000004</v>
      </c>
      <c r="G89" s="76">
        <v>0.24099999999999999</v>
      </c>
      <c r="H89" s="76">
        <v>3.4049999999999998</v>
      </c>
      <c r="U89" s="76">
        <v>4.2000000000000003E-2</v>
      </c>
      <c r="V89" s="69"/>
      <c r="W89" s="76">
        <v>9.1769999999999996</v>
      </c>
    </row>
    <row r="90" spans="2:26" ht="11.85" hidden="1" customHeight="1">
      <c r="C90" s="46" t="s">
        <v>53</v>
      </c>
      <c r="F90" s="76">
        <v>0.188</v>
      </c>
      <c r="G90" s="76">
        <v>3.2480000000000002</v>
      </c>
      <c r="H90" s="76">
        <v>2.3119999999999998</v>
      </c>
      <c r="U90" s="76">
        <v>0.66100000000000003</v>
      </c>
      <c r="V90" s="69"/>
      <c r="W90" s="76">
        <v>2.419</v>
      </c>
    </row>
    <row r="91" spans="2:26" ht="11.85" hidden="1" customHeight="1"/>
    <row r="92" spans="2:26" ht="11.85" hidden="1" customHeight="1">
      <c r="B92" s="46" t="s">
        <v>272</v>
      </c>
    </row>
    <row r="93" spans="2:26" ht="11.85" hidden="1" customHeight="1">
      <c r="C93" s="46" t="s">
        <v>267</v>
      </c>
      <c r="F93" s="68">
        <f t="shared" ref="F93:H98" si="46">F85/F$27</f>
        <v>0.55200218918179333</v>
      </c>
      <c r="G93" s="68">
        <f t="shared" si="46"/>
        <v>0.67644342621698905</v>
      </c>
      <c r="H93" s="68">
        <f t="shared" si="46"/>
        <v>0.49617701663319813</v>
      </c>
      <c r="U93" s="68">
        <f t="shared" ref="U93:U98" si="47">U85/U$27</f>
        <v>0.43266432888159367</v>
      </c>
      <c r="V93" s="68"/>
      <c r="W93" s="68">
        <f t="shared" ref="W93:W98" si="48">W85/W$27</f>
        <v>0.38277381828071977</v>
      </c>
      <c r="X93" s="68"/>
      <c r="Y93" s="68"/>
      <c r="Z93" s="68"/>
    </row>
    <row r="94" spans="2:26" ht="11.85" hidden="1" customHeight="1">
      <c r="C94" s="46" t="s">
        <v>268</v>
      </c>
      <c r="F94" s="68">
        <f t="shared" si="46"/>
        <v>0.36033932317796225</v>
      </c>
      <c r="G94" s="68">
        <f t="shared" si="46"/>
        <v>9.1169836787610772E-2</v>
      </c>
      <c r="H94" s="68">
        <f t="shared" si="46"/>
        <v>0.21963020497859279</v>
      </c>
      <c r="U94" s="68">
        <f t="shared" si="47"/>
        <v>2.5852421099753782E-2</v>
      </c>
      <c r="V94" s="68"/>
      <c r="W94" s="68">
        <f t="shared" si="48"/>
        <v>0.29381803346582025</v>
      </c>
      <c r="X94" s="68"/>
      <c r="Y94" s="68"/>
      <c r="Z94" s="68"/>
    </row>
    <row r="95" spans="2:26" ht="11.85" hidden="1" customHeight="1">
      <c r="C95" s="46" t="s">
        <v>269</v>
      </c>
      <c r="F95" s="68">
        <f t="shared" si="46"/>
        <v>2.7437745142752896E-2</v>
      </c>
      <c r="G95" s="68">
        <f t="shared" si="46"/>
        <v>0.19306658141971692</v>
      </c>
      <c r="H95" s="68">
        <f t="shared" si="46"/>
        <v>0.16190277725154398</v>
      </c>
      <c r="U95" s="68">
        <f t="shared" si="47"/>
        <v>0.51287025292844879</v>
      </c>
      <c r="V95" s="68"/>
      <c r="W95" s="68">
        <f t="shared" si="48"/>
        <v>0.13626782546344662</v>
      </c>
      <c r="X95" s="68"/>
      <c r="Y95" s="68"/>
      <c r="Z95" s="68"/>
    </row>
    <row r="96" spans="2:26" ht="11.85" hidden="1" customHeight="1">
      <c r="C96" s="46" t="s">
        <v>270</v>
      </c>
      <c r="F96" s="68">
        <f t="shared" si="46"/>
        <v>4.0098513180698715E-2</v>
      </c>
      <c r="G96" s="68">
        <f t="shared" si="46"/>
        <v>8.3382172731631937E-3</v>
      </c>
      <c r="H96" s="68">
        <f t="shared" si="46"/>
        <v>0.1006289546470655</v>
      </c>
      <c r="U96" s="68">
        <f t="shared" si="47"/>
        <v>2.3875251809296425E-3</v>
      </c>
      <c r="V96" s="68"/>
      <c r="W96" s="68">
        <f t="shared" si="48"/>
        <v>0.11546140675126872</v>
      </c>
      <c r="X96" s="68"/>
      <c r="Y96" s="68"/>
      <c r="Z96" s="68"/>
    </row>
    <row r="97" spans="2:26" ht="11.85" hidden="1" customHeight="1">
      <c r="C97" s="46" t="s">
        <v>271</v>
      </c>
      <c r="F97" s="68">
        <f t="shared" si="46"/>
        <v>1.6692511173948738E-2</v>
      </c>
      <c r="G97" s="68">
        <f t="shared" si="46"/>
        <v>2.1400536345392222E-3</v>
      </c>
      <c r="H97" s="68">
        <f t="shared" si="46"/>
        <v>1.2901148031675065E-2</v>
      </c>
      <c r="U97" s="68">
        <f t="shared" si="47"/>
        <v>1.5668133999850781E-3</v>
      </c>
      <c r="V97" s="68"/>
      <c r="W97" s="68">
        <f t="shared" si="48"/>
        <v>5.6726234260741637E-2</v>
      </c>
      <c r="X97" s="68"/>
      <c r="Y97" s="68"/>
      <c r="Z97" s="68"/>
    </row>
    <row r="98" spans="2:26" ht="11.85" hidden="1" customHeight="1">
      <c r="C98" s="46" t="s">
        <v>53</v>
      </c>
      <c r="F98" s="68">
        <f t="shared" si="46"/>
        <v>3.429718142844112E-3</v>
      </c>
      <c r="G98" s="68">
        <f t="shared" si="46"/>
        <v>2.8841884667980891E-2</v>
      </c>
      <c r="H98" s="68">
        <f t="shared" si="46"/>
        <v>8.7598984579244487E-3</v>
      </c>
      <c r="U98" s="68">
        <f t="shared" si="47"/>
        <v>2.4658658509288965E-2</v>
      </c>
      <c r="V98" s="68"/>
      <c r="W98" s="68">
        <f t="shared" si="48"/>
        <v>1.4952681778003055E-2</v>
      </c>
      <c r="X98" s="68"/>
      <c r="Y98" s="68"/>
      <c r="Z98" s="68"/>
    </row>
    <row r="99" spans="2:26" ht="11.85" hidden="1" customHeight="1"/>
    <row r="100" spans="2:26" ht="11.85" hidden="1" customHeight="1">
      <c r="B100" s="147" t="s">
        <v>273</v>
      </c>
      <c r="C100" s="147"/>
      <c r="D100" s="147"/>
      <c r="E100" s="147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U100" s="60"/>
      <c r="V100" s="60"/>
      <c r="W100" s="60"/>
      <c r="X100" s="60"/>
      <c r="Y100" s="60"/>
      <c r="Z100" s="60"/>
    </row>
    <row r="101" spans="2:26" ht="11.85" hidden="1" customHeight="1">
      <c r="C101" s="46" t="s">
        <v>274</v>
      </c>
      <c r="F101" s="76">
        <v>54.814999999999998</v>
      </c>
      <c r="G101" s="76">
        <v>112.614</v>
      </c>
      <c r="H101" s="76">
        <v>262.47899999999998</v>
      </c>
      <c r="U101" s="76">
        <v>26.806000000000001</v>
      </c>
      <c r="V101" s="69">
        <f>H101-U101</f>
        <v>235.67299999999997</v>
      </c>
      <c r="W101" s="76">
        <v>142.99</v>
      </c>
    </row>
    <row r="102" spans="2:26" ht="11.85" hidden="1" customHeight="1">
      <c r="C102" s="46" t="s">
        <v>275</v>
      </c>
      <c r="F102" s="76">
        <v>0</v>
      </c>
      <c r="G102" s="76">
        <v>0</v>
      </c>
      <c r="H102" s="76">
        <v>1.08</v>
      </c>
      <c r="U102" s="76">
        <v>0</v>
      </c>
      <c r="V102" s="69">
        <f t="shared" ref="V102:V104" si="49">H102-U102</f>
        <v>1.08</v>
      </c>
      <c r="W102" s="76">
        <v>17.927</v>
      </c>
    </row>
    <row r="103" spans="2:26" ht="11.85" hidden="1" customHeight="1">
      <c r="C103" s="46" t="s">
        <v>276</v>
      </c>
      <c r="F103" s="76">
        <v>0</v>
      </c>
      <c r="G103" s="76">
        <v>0</v>
      </c>
      <c r="H103" s="76">
        <v>0.371</v>
      </c>
      <c r="U103" s="76">
        <v>0</v>
      </c>
      <c r="V103" s="69">
        <f t="shared" si="49"/>
        <v>0.371</v>
      </c>
      <c r="W103" s="76">
        <v>0</v>
      </c>
    </row>
    <row r="104" spans="2:26" ht="11.85" hidden="1" customHeight="1">
      <c r="C104" s="46" t="s">
        <v>53</v>
      </c>
      <c r="U104" s="76">
        <v>0</v>
      </c>
      <c r="V104" s="69">
        <f t="shared" si="49"/>
        <v>0</v>
      </c>
      <c r="W104" s="76">
        <v>0.86</v>
      </c>
    </row>
    <row r="105" spans="2:26" ht="11.85" hidden="1" customHeight="1"/>
    <row r="106" spans="2:26" ht="11.85" hidden="1" customHeight="1">
      <c r="B106" s="46" t="s">
        <v>277</v>
      </c>
    </row>
    <row r="107" spans="2:26" ht="11.85" hidden="1" customHeight="1">
      <c r="C107" s="46" t="s">
        <v>274</v>
      </c>
      <c r="G107" s="68">
        <f>G101/F101-1</f>
        <v>1.0544376539268452</v>
      </c>
      <c r="H107" s="68">
        <f>H101/G101-1</f>
        <v>1.3307848047312056</v>
      </c>
      <c r="W107" s="68">
        <f>W101/U101-1</f>
        <v>4.3342535253301504</v>
      </c>
    </row>
    <row r="108" spans="2:26" ht="11.85" hidden="1" customHeight="1">
      <c r="C108" s="46" t="s">
        <v>275</v>
      </c>
    </row>
    <row r="109" spans="2:26" ht="11.85" hidden="1" customHeight="1">
      <c r="C109" s="46" t="s">
        <v>276</v>
      </c>
    </row>
    <row r="110" spans="2:26" ht="11.85" hidden="1" customHeight="1">
      <c r="C110" s="46" t="s">
        <v>53</v>
      </c>
    </row>
    <row r="111" spans="2:26" ht="11.85" hidden="1" customHeight="1"/>
    <row r="112" spans="2:26" ht="11.85" hidden="1" customHeight="1">
      <c r="B112" s="46" t="s">
        <v>278</v>
      </c>
    </row>
    <row r="113" spans="2:26" ht="11.85" hidden="1" customHeight="1">
      <c r="C113" s="46" t="s">
        <v>274</v>
      </c>
      <c r="F113" s="68">
        <f>F101/F$27</f>
        <v>1</v>
      </c>
      <c r="G113" s="68">
        <f t="shared" ref="G113:H115" si="50">G101/G$27</f>
        <v>1</v>
      </c>
      <c r="H113" s="68">
        <f t="shared" si="50"/>
        <v>0.99450233016330081</v>
      </c>
      <c r="U113" s="68">
        <f t="shared" ref="U113:W116" si="51">U101/U$27</f>
        <v>1</v>
      </c>
      <c r="V113" s="68">
        <f t="shared" si="51"/>
        <v>0.99388083871729549</v>
      </c>
      <c r="W113" s="68">
        <f t="shared" si="51"/>
        <v>0.88387100762160276</v>
      </c>
    </row>
    <row r="114" spans="2:26" ht="11.85" hidden="1" customHeight="1">
      <c r="C114" s="46" t="s">
        <v>275</v>
      </c>
      <c r="H114" s="68">
        <f t="shared" si="50"/>
        <v>4.0919940893418714E-3</v>
      </c>
      <c r="V114" s="68">
        <f t="shared" si="51"/>
        <v>4.5545790388151347E-3</v>
      </c>
      <c r="W114" s="68">
        <f t="shared" si="51"/>
        <v>0.11081303275496518</v>
      </c>
    </row>
    <row r="115" spans="2:26" ht="11.85" hidden="1" customHeight="1">
      <c r="C115" s="46" t="s">
        <v>276</v>
      </c>
      <c r="H115" s="68">
        <f t="shared" si="50"/>
        <v>1.4056757473572537E-3</v>
      </c>
      <c r="V115" s="68">
        <f t="shared" si="51"/>
        <v>1.5645822438892731E-3</v>
      </c>
      <c r="W115" s="68">
        <f t="shared" si="51"/>
        <v>0</v>
      </c>
    </row>
    <row r="116" spans="2:26" ht="11.85" hidden="1" customHeight="1">
      <c r="C116" s="46" t="s">
        <v>53</v>
      </c>
      <c r="V116" s="68">
        <f t="shared" si="51"/>
        <v>0</v>
      </c>
      <c r="W116" s="68">
        <f t="shared" si="51"/>
        <v>5.3159596234322558E-3</v>
      </c>
    </row>
    <row r="117" spans="2:26" ht="11.85" customHeight="1" collapsed="1"/>
    <row r="118" spans="2:26" ht="11.85" customHeight="1">
      <c r="B118" s="145" t="s">
        <v>27</v>
      </c>
      <c r="C118" s="145"/>
      <c r="D118" s="145"/>
      <c r="E118" s="145"/>
      <c r="F118" s="146">
        <f>SUM(F121:F122)</f>
        <v>-26.048999999999999</v>
      </c>
      <c r="G118" s="146">
        <f t="shared" ref="G118:S118" si="52">SUM(G121:G122)</f>
        <v>-44.055999999999997</v>
      </c>
      <c r="H118" s="146">
        <f t="shared" si="52"/>
        <v>-136.52500000000001</v>
      </c>
      <c r="I118" s="146">
        <f t="shared" si="52"/>
        <v>-427.678</v>
      </c>
      <c r="J118" s="146">
        <f t="shared" si="52"/>
        <v>-4527.7267625999993</v>
      </c>
      <c r="K118" s="146">
        <f t="shared" si="52"/>
        <v>-17264.396893379999</v>
      </c>
      <c r="L118" s="146">
        <f t="shared" si="52"/>
        <v>-42438.455019297588</v>
      </c>
      <c r="M118" s="146">
        <f t="shared" si="52"/>
        <v>-85122.006587343538</v>
      </c>
      <c r="N118" s="146">
        <f t="shared" si="52"/>
        <v>-151139.52046936404</v>
      </c>
      <c r="O118" s="146">
        <f t="shared" si="52"/>
        <v>-242124.74750468443</v>
      </c>
      <c r="P118" s="146">
        <f t="shared" si="52"/>
        <v>-360911.26705888129</v>
      </c>
      <c r="Q118" s="146">
        <f t="shared" si="52"/>
        <v>-500324.41142905835</v>
      </c>
      <c r="R118" s="146">
        <f t="shared" si="52"/>
        <v>-653146.30902402278</v>
      </c>
      <c r="S118" s="146">
        <f t="shared" si="52"/>
        <v>-811651.85623828112</v>
      </c>
      <c r="T118" s="58"/>
      <c r="U118" s="146">
        <f t="shared" ref="U118:Z118" si="53">SUM(U121:U122)</f>
        <v>-22.95</v>
      </c>
      <c r="V118" s="146">
        <f t="shared" si="53"/>
        <v>-113.575</v>
      </c>
      <c r="W118" s="146">
        <f t="shared" si="53"/>
        <v>-95.453000000000003</v>
      </c>
      <c r="X118" s="146">
        <f t="shared" si="53"/>
        <v>-332.22500000000002</v>
      </c>
      <c r="Y118" s="146">
        <f t="shared" si="53"/>
        <v>-735.384456</v>
      </c>
      <c r="Z118" s="146">
        <f t="shared" si="53"/>
        <v>-3792.3423065999996</v>
      </c>
    </row>
    <row r="119" spans="2:26" ht="11.85" customHeight="1">
      <c r="B119" s="46" t="s">
        <v>222</v>
      </c>
      <c r="F119" s="80"/>
      <c r="G119" s="68">
        <f>G118/F118-1</f>
        <v>0.6912741372029636</v>
      </c>
      <c r="H119" s="68">
        <f>H118/G118-1</f>
        <v>2.098896858543672</v>
      </c>
      <c r="I119" s="68">
        <f t="shared" ref="I119:S119" si="54">I118/H118-1</f>
        <v>2.1325984251968504</v>
      </c>
      <c r="J119" s="68">
        <f t="shared" si="54"/>
        <v>9.5867656568726929</v>
      </c>
      <c r="K119" s="68">
        <f t="shared" si="54"/>
        <v>2.8130385949937713</v>
      </c>
      <c r="L119" s="68">
        <f t="shared" si="54"/>
        <v>1.4581487138754632</v>
      </c>
      <c r="M119" s="68">
        <f t="shared" si="54"/>
        <v>1.0057753409881891</v>
      </c>
      <c r="N119" s="68">
        <f t="shared" si="54"/>
        <v>0.77556341219799663</v>
      </c>
      <c r="O119" s="68">
        <f t="shared" si="54"/>
        <v>0.60199494316751578</v>
      </c>
      <c r="P119" s="68">
        <f t="shared" si="54"/>
        <v>0.4906004891214133</v>
      </c>
      <c r="Q119" s="68">
        <f t="shared" si="54"/>
        <v>0.38628094242187339</v>
      </c>
      <c r="R119" s="68">
        <f t="shared" si="54"/>
        <v>0.30544561509294499</v>
      </c>
      <c r="S119" s="68">
        <f t="shared" si="54"/>
        <v>0.24268000143965973</v>
      </c>
      <c r="W119" s="68">
        <f>W118/U118-1</f>
        <v>3.1591721132897606</v>
      </c>
      <c r="X119" s="68">
        <f t="shared" ref="X119:Z119" si="55">X118/V118-1</f>
        <v>1.9251595861765356</v>
      </c>
      <c r="Y119" s="68">
        <f t="shared" si="55"/>
        <v>6.704152368181199</v>
      </c>
      <c r="Z119" s="68">
        <f t="shared" si="55"/>
        <v>10.414981734065767</v>
      </c>
    </row>
    <row r="120" spans="2:26" ht="11.85" customHeight="1">
      <c r="B120" s="72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80"/>
    </row>
    <row r="121" spans="2:26" ht="11.85" customHeight="1">
      <c r="B121" s="46" t="s">
        <v>234</v>
      </c>
      <c r="F121" s="76">
        <v>-25.428999999999998</v>
      </c>
      <c r="G121" s="76">
        <v>-35.832999999999998</v>
      </c>
      <c r="H121" s="76">
        <v>-89.674000000000007</v>
      </c>
      <c r="I121" s="76">
        <f>-(I27*(1-I165))</f>
        <v>-273.29900000000004</v>
      </c>
      <c r="J121" s="77">
        <f>-(J27*(1-J165))</f>
        <v>-512.67016259999991</v>
      </c>
      <c r="K121" s="77">
        <f>-(K27*(1-K165))</f>
        <v>-816.14689337999994</v>
      </c>
      <c r="L121" s="77">
        <f>-(L27*(1-L165))</f>
        <v>-1172.9825192975998</v>
      </c>
      <c r="M121" s="77">
        <f>-(M27*(1-M165))</f>
        <v>-1626.09408734355</v>
      </c>
      <c r="N121" s="77">
        <f>-(N27*(1-N165))</f>
        <v>-2192.6804693640083</v>
      </c>
      <c r="O121" s="77">
        <f>-(O27*(1-O165))</f>
        <v>-2831.8153832455605</v>
      </c>
      <c r="P121" s="77">
        <f>-(P27*(1-P165))</f>
        <v>-3575.8822777219293</v>
      </c>
      <c r="Q121" s="77">
        <f>-(Q27*(1-Q165))</f>
        <v>-4288.8148314593045</v>
      </c>
      <c r="R121" s="77">
        <f>-(R27*(1-R165))</f>
        <v>-4861.9670296292361</v>
      </c>
      <c r="S121" s="77">
        <f>-(S27*(1-S165))</f>
        <v>-5182.9705186291285</v>
      </c>
      <c r="U121" s="76">
        <v>-10.029999999999999</v>
      </c>
      <c r="V121" s="69">
        <f>H121-U121</f>
        <v>-79.644000000000005</v>
      </c>
      <c r="W121" s="76">
        <v>-66.236999999999995</v>
      </c>
      <c r="X121" s="69">
        <f>I121-W121</f>
        <v>-207.06200000000004</v>
      </c>
      <c r="Y121" s="69">
        <f>Y162-Y27</f>
        <v>-182.48445599999997</v>
      </c>
      <c r="Z121" s="69">
        <f>Z162-Z27</f>
        <v>-330.1857066</v>
      </c>
    </row>
    <row r="122" spans="2:26" ht="11.85" customHeight="1">
      <c r="B122" s="46" t="s">
        <v>236</v>
      </c>
      <c r="F122" s="76">
        <v>-0.62</v>
      </c>
      <c r="G122" s="76">
        <v>-8.2230000000000008</v>
      </c>
      <c r="H122" s="76">
        <v>-46.850999999999999</v>
      </c>
      <c r="I122" s="76">
        <f>-(I29*(1-I166))</f>
        <v>-154.37899999999999</v>
      </c>
      <c r="J122" s="77">
        <f>-(J29*(1-J166))</f>
        <v>-4015.0565999999999</v>
      </c>
      <c r="K122" s="77">
        <f>-(K29*(1-K166))</f>
        <v>-16448.25</v>
      </c>
      <c r="L122" s="77">
        <f>-(L29*(1-L166))</f>
        <v>-41265.472499999989</v>
      </c>
      <c r="M122" s="77">
        <f>-(M29*(1-M166))</f>
        <v>-83495.912499999991</v>
      </c>
      <c r="N122" s="77">
        <f>-(N29*(1-N166))</f>
        <v>-148946.84000000003</v>
      </c>
      <c r="O122" s="77">
        <f>-(O29*(1-O166))</f>
        <v>-239292.93212143888</v>
      </c>
      <c r="P122" s="77">
        <f>-(P29*(1-P166))</f>
        <v>-357335.38478115934</v>
      </c>
      <c r="Q122" s="77">
        <f>-(Q29*(1-Q166))</f>
        <v>-496035.59659759904</v>
      </c>
      <c r="R122" s="77">
        <f>-(R29*(1-R166))</f>
        <v>-648284.3419943935</v>
      </c>
      <c r="S122" s="77">
        <f>-(S29*(1-S166))</f>
        <v>-806468.88571965194</v>
      </c>
      <c r="U122" s="76">
        <v>-12.92</v>
      </c>
      <c r="V122" s="69">
        <f>H122-U122</f>
        <v>-33.930999999999997</v>
      </c>
      <c r="W122" s="76">
        <v>-29.216000000000001</v>
      </c>
      <c r="X122" s="69">
        <f>I122-W122</f>
        <v>-125.16299999999998</v>
      </c>
      <c r="Y122" s="69">
        <f>Y163-Y29</f>
        <v>-552.9</v>
      </c>
      <c r="Z122" s="69">
        <f>Z163-Z29</f>
        <v>-3462.1565999999998</v>
      </c>
    </row>
    <row r="123" spans="2:26" ht="11.85" customHeight="1">
      <c r="B123" s="72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80"/>
    </row>
    <row r="124" spans="2:26" ht="11.85" customHeight="1">
      <c r="B124" s="46" t="s">
        <v>279</v>
      </c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80"/>
    </row>
    <row r="125" spans="2:26" ht="11.85" customHeight="1">
      <c r="B125" s="72"/>
      <c r="C125" s="46" t="s">
        <v>234</v>
      </c>
      <c r="F125" s="98">
        <f>F121/F$118</f>
        <v>0.97619870244539131</v>
      </c>
      <c r="G125" s="98">
        <f t="shared" ref="G125:H126" si="56">G121/G$118</f>
        <v>0.81335118939531503</v>
      </c>
      <c r="H125" s="98">
        <f t="shared" si="56"/>
        <v>0.65683208203625709</v>
      </c>
      <c r="I125" s="98">
        <f>I121/I$118</f>
        <v>0.63902983085405385</v>
      </c>
      <c r="J125" s="98">
        <f t="shared" ref="J125:S126" si="57">J121/J$118</f>
        <v>0.11322904174226373</v>
      </c>
      <c r="K125" s="98">
        <f t="shared" si="57"/>
        <v>4.7273408878415552E-2</v>
      </c>
      <c r="L125" s="98">
        <f t="shared" si="57"/>
        <v>2.7639614089726448E-2</v>
      </c>
      <c r="M125" s="98">
        <f t="shared" si="57"/>
        <v>1.9103098629083864E-2</v>
      </c>
      <c r="N125" s="98">
        <f t="shared" si="57"/>
        <v>1.4507657974265337E-2</v>
      </c>
      <c r="O125" s="98">
        <f t="shared" si="57"/>
        <v>1.1695687501711377E-2</v>
      </c>
      <c r="P125" s="98">
        <f t="shared" si="57"/>
        <v>9.9079264187630304E-3</v>
      </c>
      <c r="Q125" s="98">
        <f t="shared" si="57"/>
        <v>8.5720679093177158E-3</v>
      </c>
      <c r="R125" s="98">
        <f t="shared" si="57"/>
        <v>7.4439171782113107E-3</v>
      </c>
      <c r="S125" s="98">
        <f t="shared" si="57"/>
        <v>6.385706480917029E-3</v>
      </c>
      <c r="U125" s="98">
        <f t="shared" ref="U125:X126" si="58">U121/U$118</f>
        <v>0.437037037037037</v>
      </c>
      <c r="V125" s="98">
        <f t="shared" si="58"/>
        <v>0.70124587277129657</v>
      </c>
      <c r="W125" s="98">
        <f t="shared" si="58"/>
        <v>0.69392266350979004</v>
      </c>
      <c r="X125" s="98">
        <f t="shared" si="58"/>
        <v>0.62325833396041852</v>
      </c>
      <c r="Y125" s="98"/>
      <c r="Z125" s="98"/>
    </row>
    <row r="126" spans="2:26" ht="11.85" customHeight="1">
      <c r="B126" s="72"/>
      <c r="C126" s="46" t="s">
        <v>236</v>
      </c>
      <c r="F126" s="98">
        <f>F122/F$118</f>
        <v>2.3801297554608622E-2</v>
      </c>
      <c r="G126" s="98">
        <f t="shared" si="56"/>
        <v>0.18664881060468497</v>
      </c>
      <c r="H126" s="98">
        <f t="shared" si="56"/>
        <v>0.34316791796374291</v>
      </c>
      <c r="I126" s="98">
        <f>I122/I$118</f>
        <v>0.36097016914594621</v>
      </c>
      <c r="J126" s="98">
        <f t="shared" si="57"/>
        <v>0.88677095825773633</v>
      </c>
      <c r="K126" s="98">
        <f t="shared" si="57"/>
        <v>0.95272659112158453</v>
      </c>
      <c r="L126" s="98">
        <f t="shared" si="57"/>
        <v>0.97236038591027363</v>
      </c>
      <c r="M126" s="98">
        <f t="shared" si="57"/>
        <v>0.98089690137091623</v>
      </c>
      <c r="N126" s="98">
        <f t="shared" si="57"/>
        <v>0.98549234202573466</v>
      </c>
      <c r="O126" s="98">
        <f t="shared" si="57"/>
        <v>0.98830431249828865</v>
      </c>
      <c r="P126" s="98">
        <f t="shared" si="57"/>
        <v>0.99009207358123696</v>
      </c>
      <c r="Q126" s="98">
        <f t="shared" si="57"/>
        <v>0.99142793209068225</v>
      </c>
      <c r="R126" s="98">
        <f t="shared" si="57"/>
        <v>0.99255608282178864</v>
      </c>
      <c r="S126" s="98">
        <f t="shared" si="57"/>
        <v>0.99361429351908293</v>
      </c>
      <c r="U126" s="98">
        <f t="shared" si="58"/>
        <v>0.562962962962963</v>
      </c>
      <c r="V126" s="98">
        <f t="shared" si="58"/>
        <v>0.29875412722870348</v>
      </c>
      <c r="W126" s="98">
        <f t="shared" si="58"/>
        <v>0.30607733649020985</v>
      </c>
      <c r="X126" s="98">
        <f t="shared" si="58"/>
        <v>0.37674166603958154</v>
      </c>
      <c r="Y126" s="98"/>
      <c r="Z126" s="98"/>
    </row>
    <row r="127" spans="2:26" ht="11.85" customHeight="1">
      <c r="B127" s="72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80"/>
      <c r="U127" s="105"/>
    </row>
    <row r="128" spans="2:26" ht="11.85" customHeight="1">
      <c r="B128" s="46" t="s">
        <v>280</v>
      </c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80"/>
    </row>
    <row r="129" spans="2:23" ht="11.85" customHeight="1">
      <c r="B129" s="72"/>
      <c r="C129" s="46" t="s">
        <v>70</v>
      </c>
      <c r="F129" s="76">
        <v>-16.434000000000001</v>
      </c>
      <c r="G129" s="76">
        <v>-15.375</v>
      </c>
      <c r="H129" s="76">
        <v>-74.262</v>
      </c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U129" s="76">
        <v>-10.832000000000001</v>
      </c>
      <c r="V129" s="69">
        <f>H129-U129</f>
        <v>-63.43</v>
      </c>
      <c r="W129" s="76">
        <v>-37.628</v>
      </c>
    </row>
    <row r="130" spans="2:23" ht="11.85" customHeight="1">
      <c r="B130" s="72"/>
      <c r="C130" s="46" t="s">
        <v>281</v>
      </c>
      <c r="F130" s="76">
        <v>0</v>
      </c>
      <c r="G130" s="76">
        <v>-11.996</v>
      </c>
      <c r="H130" s="76">
        <v>-30.172999999999998</v>
      </c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U130" s="76">
        <v>-8.4510000000000005</v>
      </c>
      <c r="V130" s="69">
        <f t="shared" ref="V130:V135" si="59">H130-U130</f>
        <v>-21.721999999999998</v>
      </c>
      <c r="W130" s="76">
        <v>-35.844999999999999</v>
      </c>
    </row>
    <row r="131" spans="2:23" ht="11.85" customHeight="1">
      <c r="B131" s="72"/>
      <c r="C131" s="46" t="s">
        <v>282</v>
      </c>
      <c r="F131" s="76">
        <v>-2.101</v>
      </c>
      <c r="G131" s="76">
        <v>-4.5220000000000002</v>
      </c>
      <c r="H131" s="76">
        <v>-12.170999999999999</v>
      </c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U131" s="76">
        <v>-1.6719999999999999</v>
      </c>
      <c r="V131" s="69">
        <f t="shared" si="59"/>
        <v>-10.498999999999999</v>
      </c>
      <c r="W131" s="76">
        <v>-6.67</v>
      </c>
    </row>
    <row r="132" spans="2:23" ht="11.85" customHeight="1">
      <c r="B132" s="72"/>
      <c r="C132" s="46" t="s">
        <v>73</v>
      </c>
      <c r="F132" s="76">
        <v>-1.9119999999999999</v>
      </c>
      <c r="G132" s="76">
        <v>-6.4359999999999999</v>
      </c>
      <c r="H132" s="76">
        <v>-6.7690000000000001</v>
      </c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U132" s="76">
        <v>-0.54900000000000004</v>
      </c>
      <c r="V132" s="69">
        <f t="shared" si="59"/>
        <v>-6.22</v>
      </c>
      <c r="W132" s="76">
        <v>-2.0739999999999998</v>
      </c>
    </row>
    <row r="133" spans="2:23" ht="11.85" customHeight="1">
      <c r="B133" s="72"/>
      <c r="C133" s="46" t="s">
        <v>71</v>
      </c>
      <c r="F133" s="76">
        <v>-4.5529999999999999</v>
      </c>
      <c r="G133" s="76">
        <v>-0.623</v>
      </c>
      <c r="H133" s="76">
        <v>-9.1259999999999994</v>
      </c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U133" s="76">
        <v>-0.35599999999999998</v>
      </c>
      <c r="V133" s="69">
        <f t="shared" si="59"/>
        <v>-8.77</v>
      </c>
      <c r="W133" s="76">
        <v>-6.165</v>
      </c>
    </row>
    <row r="134" spans="2:23" ht="11.85" customHeight="1">
      <c r="B134" s="72"/>
      <c r="C134" s="46" t="s">
        <v>283</v>
      </c>
      <c r="F134" s="76">
        <v>-5.7000000000000002E-2</v>
      </c>
      <c r="G134" s="76">
        <v>-1.7130000000000001</v>
      </c>
      <c r="H134" s="76">
        <v>-0.54100000000000004</v>
      </c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U134" s="76">
        <v>-0.36099999999999999</v>
      </c>
      <c r="V134" s="69">
        <f t="shared" si="59"/>
        <v>-0.18000000000000005</v>
      </c>
      <c r="W134" s="76">
        <v>-1.109</v>
      </c>
    </row>
    <row r="135" spans="2:23" ht="11.85" customHeight="1">
      <c r="B135" s="72"/>
      <c r="C135" s="46" t="s">
        <v>53</v>
      </c>
      <c r="F135" s="76">
        <v>-0.99199999999999999</v>
      </c>
      <c r="G135" s="76">
        <v>-3.391</v>
      </c>
      <c r="H135" s="76">
        <v>-3.4830000000000001</v>
      </c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U135" s="76">
        <v>-0.72899999999999998</v>
      </c>
      <c r="V135" s="69">
        <f t="shared" si="59"/>
        <v>-2.754</v>
      </c>
      <c r="W135" s="76">
        <v>-5.9619999999999997</v>
      </c>
    </row>
    <row r="136" spans="2:23" ht="11.85" customHeight="1">
      <c r="B136" s="72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</row>
    <row r="137" spans="2:23" ht="11.85" customHeight="1">
      <c r="B137" s="46" t="s">
        <v>284</v>
      </c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</row>
    <row r="138" spans="2:23" ht="11.85" customHeight="1">
      <c r="B138" s="72"/>
      <c r="C138" s="46" t="s">
        <v>70</v>
      </c>
      <c r="F138" s="98">
        <f>F129/F$118</f>
        <v>0.63088794195554532</v>
      </c>
      <c r="G138" s="98">
        <f>G129/G$118</f>
        <v>0.34898765207917198</v>
      </c>
      <c r="H138" s="98">
        <f>H129/H$118</f>
        <v>0.54394433253982788</v>
      </c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U138" s="98">
        <f>U129/U$118</f>
        <v>0.47198257080610029</v>
      </c>
      <c r="V138" s="98">
        <f>V129/V$118</f>
        <v>0.5584855822143957</v>
      </c>
      <c r="W138" s="98">
        <f>W129/W$118</f>
        <v>0.39420447759630395</v>
      </c>
    </row>
    <row r="139" spans="2:23" ht="11.85" customHeight="1">
      <c r="B139" s="72"/>
      <c r="C139" s="46" t="s">
        <v>281</v>
      </c>
      <c r="F139" s="98">
        <f>F130/F$118</f>
        <v>0</v>
      </c>
      <c r="G139" s="98">
        <f>G130/G$118</f>
        <v>0.2722898129653169</v>
      </c>
      <c r="H139" s="98">
        <f>H130/H$118</f>
        <v>0.22100714154916679</v>
      </c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U139" s="98">
        <f>U130/U$118</f>
        <v>0.36823529411764711</v>
      </c>
      <c r="V139" s="98">
        <f>V130/V$118</f>
        <v>0.19125687871450581</v>
      </c>
      <c r="W139" s="98">
        <f>W130/W$118</f>
        <v>0.37552512754968409</v>
      </c>
    </row>
    <row r="140" spans="2:23" ht="11.85" customHeight="1">
      <c r="B140" s="72"/>
      <c r="C140" s="46" t="s">
        <v>282</v>
      </c>
      <c r="F140" s="98">
        <f>F131/F$118</f>
        <v>8.0655687358439865E-2</v>
      </c>
      <c r="G140" s="98">
        <f>G131/G$118</f>
        <v>0.10264209188305794</v>
      </c>
      <c r="H140" s="98">
        <f>H131/H$118</f>
        <v>8.9148507599340773E-2</v>
      </c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U140" s="98">
        <f>U131/U$118</f>
        <v>7.2854030501089323E-2</v>
      </c>
      <c r="V140" s="98">
        <f>V131/V$118</f>
        <v>9.2441118203830053E-2</v>
      </c>
      <c r="W140" s="98">
        <f>W131/W$118</f>
        <v>6.9877321823305708E-2</v>
      </c>
    </row>
    <row r="141" spans="2:23" ht="11.85" customHeight="1">
      <c r="B141" s="72"/>
      <c r="C141" s="46" t="s">
        <v>73</v>
      </c>
      <c r="F141" s="98">
        <f>F132/F$118</f>
        <v>7.340013052324465E-2</v>
      </c>
      <c r="G141" s="98">
        <f>G132/G$118</f>
        <v>0.14608679861993826</v>
      </c>
      <c r="H141" s="98">
        <f>H132/H$118</f>
        <v>4.9580662882255995E-2</v>
      </c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U141" s="98">
        <f>U132/U$118</f>
        <v>2.3921568627450984E-2</v>
      </c>
      <c r="V141" s="98">
        <f>V132/V$118</f>
        <v>5.4765573409641201E-2</v>
      </c>
      <c r="W141" s="98">
        <f>W132/W$118</f>
        <v>2.1727970833813497E-2</v>
      </c>
    </row>
    <row r="142" spans="2:23" ht="11.85" customHeight="1">
      <c r="B142" s="72"/>
      <c r="C142" s="46" t="s">
        <v>71</v>
      </c>
      <c r="F142" s="98">
        <f>F133/F$118</f>
        <v>0.17478598026795655</v>
      </c>
      <c r="G142" s="98">
        <f>G133/G$118</f>
        <v>1.4141093154167424E-2</v>
      </c>
      <c r="H142" s="98">
        <f>H133/H$118</f>
        <v>6.6844900201428303E-2</v>
      </c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U142" s="98">
        <f>U133/U$118</f>
        <v>1.5511982570806099E-2</v>
      </c>
      <c r="V142" s="98">
        <f>V133/V$118</f>
        <v>7.7217697556680606E-2</v>
      </c>
      <c r="W142" s="98">
        <f>W133/W$118</f>
        <v>6.4586759976113892E-2</v>
      </c>
    </row>
    <row r="143" spans="2:23" ht="11.85" customHeight="1">
      <c r="B143" s="72"/>
      <c r="C143" s="46" t="s">
        <v>283</v>
      </c>
      <c r="F143" s="98">
        <f>F134/F$118</f>
        <v>2.1881838074398249E-3</v>
      </c>
      <c r="G143" s="98">
        <f>G134/G$118</f>
        <v>3.8882331577991654E-2</v>
      </c>
      <c r="H143" s="98">
        <f>H134/H$118</f>
        <v>3.9626442043581766E-3</v>
      </c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U143" s="98">
        <f>U134/U$118</f>
        <v>1.5729847494553376E-2</v>
      </c>
      <c r="V143" s="98">
        <f>V134/V$118</f>
        <v>1.5848558221439582E-3</v>
      </c>
      <c r="W143" s="98">
        <f>W134/W$118</f>
        <v>1.1618283343635087E-2</v>
      </c>
    </row>
    <row r="144" spans="2:23" ht="11.85" customHeight="1">
      <c r="B144" s="72"/>
      <c r="C144" s="46" t="s">
        <v>53</v>
      </c>
      <c r="F144" s="98">
        <f>F135/F$118</f>
        <v>3.8082076087373795E-2</v>
      </c>
      <c r="G144" s="98">
        <f>G135/G$118</f>
        <v>7.697021972035592E-2</v>
      </c>
      <c r="H144" s="98">
        <f>H135/H$118</f>
        <v>2.5511811023622048E-2</v>
      </c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U144" s="98">
        <f>U135/U$118</f>
        <v>3.1764705882352938E-2</v>
      </c>
      <c r="V144" s="98">
        <f>V135/V$118</f>
        <v>2.4248294078802551E-2</v>
      </c>
      <c r="W144" s="98">
        <f>W135/W$118</f>
        <v>6.2460058877143718E-2</v>
      </c>
    </row>
    <row r="146" spans="2:26" ht="11.85" customHeight="1">
      <c r="B146" s="145" t="s">
        <v>285</v>
      </c>
      <c r="C146" s="145"/>
      <c r="D146" s="145"/>
      <c r="E146" s="145"/>
      <c r="F146" s="146">
        <f>F5+F118</f>
        <v>31.36</v>
      </c>
      <c r="G146" s="146">
        <f>G5+G118</f>
        <v>80.482000000000014</v>
      </c>
      <c r="H146" s="146">
        <f>H5+H118</f>
        <v>175.88899999999998</v>
      </c>
      <c r="I146" s="146">
        <f>I5+I118</f>
        <v>296.65600000000006</v>
      </c>
      <c r="J146" s="146">
        <f>J5+J118</f>
        <v>1811.5008174000004</v>
      </c>
      <c r="K146" s="146">
        <f>K5+K118</f>
        <v>6460.3325426200026</v>
      </c>
      <c r="L146" s="146">
        <f>L5+L118</f>
        <v>16370.914342742399</v>
      </c>
      <c r="M146" s="146">
        <f>M5+M118</f>
        <v>35481.597147582463</v>
      </c>
      <c r="N146" s="146">
        <f>N5+N118</f>
        <v>68456.046926693874</v>
      </c>
      <c r="O146" s="146">
        <f>O5+O118</f>
        <v>119375.43683138693</v>
      </c>
      <c r="P146" s="146">
        <f>P5+P118</f>
        <v>185264.51517839573</v>
      </c>
      <c r="Q146" s="146">
        <f>Q5+Q118</f>
        <v>267571.50916893798</v>
      </c>
      <c r="R146" s="146">
        <f>R5+R118</f>
        <v>363950.5509313423</v>
      </c>
      <c r="S146" s="146">
        <f>S5+S118</f>
        <v>471175.34312319872</v>
      </c>
      <c r="T146" s="58"/>
      <c r="U146" s="146">
        <f>U5+U118</f>
        <v>21.959000000000007</v>
      </c>
      <c r="V146" s="146">
        <f>V5+V118</f>
        <v>153.93</v>
      </c>
      <c r="W146" s="146">
        <f>W5+W118</f>
        <v>95.423999999999978</v>
      </c>
      <c r="X146" s="146">
        <f>X5+X118</f>
        <v>201.23200000000008</v>
      </c>
      <c r="Y146" s="146">
        <f>Y5+Y118</f>
        <v>380.38034399999992</v>
      </c>
      <c r="Z146" s="146">
        <f>Z5+Z118</f>
        <v>1431.1204734000003</v>
      </c>
    </row>
    <row r="147" spans="2:26" ht="11.85" customHeight="1">
      <c r="B147" s="46" t="s">
        <v>222</v>
      </c>
      <c r="D147" s="72"/>
      <c r="E147" s="72"/>
      <c r="F147" s="72"/>
      <c r="G147" s="68">
        <f>G146/F146-1</f>
        <v>1.5663903061224493</v>
      </c>
      <c r="H147" s="68">
        <f>H146/G146-1</f>
        <v>1.1854451927138983</v>
      </c>
      <c r="I147" s="68">
        <f t="shared" ref="I147:S147" si="60">I146/H146-1</f>
        <v>0.68660916828226948</v>
      </c>
      <c r="J147" s="68">
        <f t="shared" si="60"/>
        <v>5.1064020865918778</v>
      </c>
      <c r="K147" s="68">
        <f t="shared" si="60"/>
        <v>2.5662874013451171</v>
      </c>
      <c r="L147" s="68">
        <f t="shared" si="60"/>
        <v>1.5340668200499685</v>
      </c>
      <c r="M147" s="68">
        <f t="shared" si="60"/>
        <v>1.1673558608112971</v>
      </c>
      <c r="N147" s="68">
        <f t="shared" si="60"/>
        <v>0.92933950075463634</v>
      </c>
      <c r="O147" s="68">
        <f t="shared" si="60"/>
        <v>0.74382603423215587</v>
      </c>
      <c r="P147" s="68">
        <f t="shared" si="60"/>
        <v>0.55194837477390335</v>
      </c>
      <c r="Q147" s="68">
        <f t="shared" si="60"/>
        <v>0.44426745138585688</v>
      </c>
      <c r="R147" s="68">
        <f t="shared" si="60"/>
        <v>0.36019919333621209</v>
      </c>
      <c r="S147" s="68">
        <f t="shared" si="60"/>
        <v>0.29461362791585355</v>
      </c>
      <c r="T147" s="58"/>
      <c r="W147" s="68">
        <f>W146/U146-1</f>
        <v>3.3455530761874375</v>
      </c>
      <c r="X147" s="68">
        <f>X146/V146-1</f>
        <v>0.30729552393945347</v>
      </c>
      <c r="Y147" s="68">
        <f t="shared" ref="Y147:Z147" si="61">Y146/W146-1</f>
        <v>2.9862125251509055</v>
      </c>
      <c r="Z147" s="68">
        <f t="shared" si="61"/>
        <v>6.1117937176989727</v>
      </c>
    </row>
    <row r="148" spans="2:26" ht="11.85" customHeight="1">
      <c r="B148" s="46" t="s">
        <v>286</v>
      </c>
      <c r="D148" s="72"/>
      <c r="E148" s="72"/>
      <c r="F148" s="181">
        <f>F146/F5</f>
        <v>0.54625581354839836</v>
      </c>
      <c r="G148" s="181">
        <f>G146/G5</f>
        <v>0.64624451974497754</v>
      </c>
      <c r="H148" s="181">
        <f>H146/H5</f>
        <v>0.56299973752776755</v>
      </c>
      <c r="I148" s="181">
        <f>I146/I5</f>
        <v>0.40955691711282372</v>
      </c>
      <c r="J148" s="181">
        <f>J146/J5</f>
        <v>0.28576049598143632</v>
      </c>
      <c r="K148" s="181">
        <f>K146/K5</f>
        <v>0.27230373943978758</v>
      </c>
      <c r="L148" s="181">
        <f>L146/L5</f>
        <v>0.27837255390311028</v>
      </c>
      <c r="M148" s="181">
        <f>M146/M5</f>
        <v>0.29420014036700987</v>
      </c>
      <c r="N148" s="181">
        <f>N146/N5</f>
        <v>0.31173692501373673</v>
      </c>
      <c r="O148" s="181">
        <f>O146/O5</f>
        <v>0.33022234013692414</v>
      </c>
      <c r="P148" s="181">
        <f>P146/P5</f>
        <v>0.33920309395540105</v>
      </c>
      <c r="Q148" s="181">
        <f>Q146/Q5</f>
        <v>0.34844762420481096</v>
      </c>
      <c r="R148" s="181">
        <f>R146/R5</f>
        <v>0.35783273477740768</v>
      </c>
      <c r="S148" s="181">
        <f>S146/S5</f>
        <v>0.36729447532584564</v>
      </c>
      <c r="T148" s="58"/>
      <c r="U148" s="181">
        <f>U146/U5</f>
        <v>0.48896657685541883</v>
      </c>
      <c r="V148" s="181">
        <f>V146/V5</f>
        <v>0.57542849666361384</v>
      </c>
      <c r="W148" s="181">
        <f>W146/W5</f>
        <v>0.49992403484966752</v>
      </c>
      <c r="X148" s="181">
        <f>X146/X5</f>
        <v>0.37722253152550261</v>
      </c>
      <c r="Y148" s="181">
        <f>Y146/Y5</f>
        <v>0.34091445078747773</v>
      </c>
      <c r="Z148" s="181">
        <f>Z146/Z5</f>
        <v>0.27397926120572458</v>
      </c>
    </row>
    <row r="149" spans="2:26" ht="11.85" customHeight="1">
      <c r="B149" s="72"/>
      <c r="C149" s="72"/>
      <c r="D149" s="72"/>
      <c r="E149" s="72"/>
      <c r="F149" s="72"/>
      <c r="G149" s="72"/>
      <c r="H149" s="72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80"/>
      <c r="T149" s="58"/>
    </row>
    <row r="150" spans="2:26" ht="11.85" customHeight="1">
      <c r="B150" s="147" t="s">
        <v>223</v>
      </c>
      <c r="C150" s="60"/>
      <c r="D150" s="60"/>
      <c r="E150" s="60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U150" s="60"/>
      <c r="V150" s="60"/>
      <c r="W150" s="60"/>
      <c r="X150" s="60"/>
      <c r="Y150" s="60"/>
      <c r="Z150" s="60"/>
    </row>
    <row r="151" spans="2:26" ht="11.85" customHeight="1">
      <c r="B151" s="46" t="s">
        <v>224</v>
      </c>
      <c r="C151" s="72"/>
      <c r="D151" s="72"/>
      <c r="E151" s="72"/>
      <c r="F151" s="72"/>
      <c r="G151" s="72"/>
      <c r="H151" s="76">
        <v>1.6</v>
      </c>
      <c r="I151" s="76">
        <v>36</v>
      </c>
      <c r="J151" s="80"/>
      <c r="K151" s="80"/>
      <c r="L151" s="80"/>
      <c r="M151" s="80"/>
      <c r="N151" s="80"/>
      <c r="O151" s="80"/>
      <c r="P151" s="80"/>
      <c r="Q151" s="80"/>
      <c r="R151" s="80"/>
      <c r="S151" s="80"/>
      <c r="T151" s="58"/>
    </row>
    <row r="152" spans="2:26" ht="11.85" customHeight="1">
      <c r="B152" s="46" t="s">
        <v>225</v>
      </c>
      <c r="C152" s="72"/>
      <c r="D152" s="72"/>
      <c r="E152" s="72"/>
      <c r="F152" s="72"/>
      <c r="G152" s="72"/>
      <c r="H152" s="76">
        <v>23.4</v>
      </c>
      <c r="I152" s="76">
        <v>86.7</v>
      </c>
      <c r="J152" s="80"/>
      <c r="K152" s="80"/>
      <c r="L152" s="80"/>
      <c r="M152" s="80"/>
      <c r="N152" s="80"/>
      <c r="O152" s="80"/>
      <c r="P152" s="80"/>
      <c r="Q152" s="80"/>
      <c r="R152" s="80"/>
      <c r="S152" s="80"/>
      <c r="T152" s="58"/>
    </row>
    <row r="153" spans="2:26" ht="11.85" customHeight="1">
      <c r="B153" s="46" t="s">
        <v>226</v>
      </c>
      <c r="C153" s="72"/>
      <c r="D153" s="72"/>
      <c r="E153" s="72"/>
      <c r="F153" s="72"/>
      <c r="G153" s="72"/>
      <c r="H153" s="76">
        <v>149.19999999999999</v>
      </c>
      <c r="I153" s="76">
        <v>171.7</v>
      </c>
      <c r="J153" s="80"/>
      <c r="K153" s="80"/>
      <c r="L153" s="80"/>
      <c r="M153" s="80"/>
      <c r="N153" s="80"/>
      <c r="O153" s="80"/>
      <c r="P153" s="80"/>
      <c r="Q153" s="80"/>
      <c r="R153" s="80"/>
      <c r="S153" s="80"/>
      <c r="T153" s="58"/>
    </row>
    <row r="154" spans="2:26" ht="11.85" customHeight="1">
      <c r="B154" s="46" t="s">
        <v>227</v>
      </c>
      <c r="C154" s="72"/>
      <c r="D154" s="72"/>
      <c r="E154" s="72"/>
      <c r="F154" s="72"/>
      <c r="G154" s="72"/>
      <c r="H154" s="76">
        <v>1.7</v>
      </c>
      <c r="I154" s="76">
        <v>2.2999999999999998</v>
      </c>
      <c r="J154" s="80"/>
      <c r="K154" s="80"/>
      <c r="L154" s="80"/>
      <c r="M154" s="80"/>
      <c r="N154" s="80"/>
      <c r="O154" s="80"/>
      <c r="P154" s="80"/>
      <c r="Q154" s="80"/>
      <c r="R154" s="80"/>
      <c r="S154" s="80"/>
      <c r="T154" s="58"/>
    </row>
    <row r="155" spans="2:26" ht="11.85" customHeight="1">
      <c r="B155" s="72"/>
      <c r="C155" s="72"/>
      <c r="D155" s="72"/>
      <c r="E155" s="72"/>
      <c r="F155" s="72"/>
      <c r="G155" s="72"/>
      <c r="H155" s="72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80"/>
      <c r="T155" s="58"/>
    </row>
    <row r="156" spans="2:26" ht="11.85" customHeight="1">
      <c r="B156" s="46" t="s">
        <v>287</v>
      </c>
      <c r="C156" s="72"/>
      <c r="D156" s="72"/>
      <c r="E156" s="72"/>
      <c r="F156" s="72"/>
      <c r="G156" s="72"/>
      <c r="H156" s="182">
        <f>H151/H9</f>
        <v>3.3000577510106426E-2</v>
      </c>
      <c r="I156" s="182">
        <f>I151/I9</f>
        <v>0.18909648648222757</v>
      </c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58"/>
    </row>
    <row r="157" spans="2:26" ht="11.85" customHeight="1">
      <c r="B157" s="46" t="s">
        <v>288</v>
      </c>
      <c r="C157" s="72"/>
      <c r="D157" s="72"/>
      <c r="E157" s="72"/>
      <c r="F157" s="72"/>
      <c r="G157" s="72"/>
      <c r="H157" s="182">
        <f>H152/H10</f>
        <v>0.49271456245262357</v>
      </c>
      <c r="I157" s="182">
        <f>I152/I10</f>
        <v>0.5232758152419924</v>
      </c>
      <c r="J157" s="80"/>
      <c r="K157" s="80"/>
      <c r="L157" s="80"/>
      <c r="M157" s="80"/>
      <c r="N157" s="80"/>
      <c r="O157" s="80"/>
      <c r="P157" s="80"/>
      <c r="Q157" s="80"/>
      <c r="R157" s="80"/>
      <c r="S157" s="80"/>
      <c r="T157" s="58"/>
    </row>
    <row r="158" spans="2:26" ht="11.85" customHeight="1">
      <c r="B158" s="46" t="s">
        <v>289</v>
      </c>
      <c r="C158" s="72"/>
      <c r="D158" s="72"/>
      <c r="E158" s="72"/>
      <c r="F158" s="72"/>
      <c r="G158" s="72"/>
      <c r="H158" s="182">
        <f>H153/H11</f>
        <v>0.69556461012018522</v>
      </c>
      <c r="I158" s="182">
        <f>I153/I11</f>
        <v>0.46947971694501861</v>
      </c>
      <c r="J158" s="80"/>
      <c r="K158" s="80"/>
      <c r="L158" s="80"/>
      <c r="M158" s="80"/>
      <c r="N158" s="80"/>
      <c r="O158" s="80"/>
      <c r="P158" s="80"/>
      <c r="Q158" s="80"/>
      <c r="R158" s="80"/>
      <c r="S158" s="80"/>
      <c r="T158" s="58"/>
    </row>
    <row r="159" spans="2:26" ht="11.85" customHeight="1">
      <c r="B159" s="46" t="s">
        <v>290</v>
      </c>
      <c r="C159" s="72"/>
      <c r="D159" s="72"/>
      <c r="E159" s="72"/>
      <c r="F159" s="72"/>
      <c r="G159" s="72"/>
      <c r="H159" s="182">
        <f>H154/H12</f>
        <v>0.87809917355371903</v>
      </c>
      <c r="I159" s="182">
        <f>I154/I12</f>
        <v>0.90408805031446537</v>
      </c>
      <c r="J159" s="80"/>
      <c r="K159" s="80"/>
      <c r="L159" s="80"/>
      <c r="M159" s="80"/>
      <c r="N159" s="80"/>
      <c r="O159" s="80"/>
      <c r="P159" s="80"/>
      <c r="Q159" s="80"/>
      <c r="R159" s="80"/>
      <c r="S159" s="80"/>
      <c r="T159" s="58"/>
    </row>
    <row r="160" spans="2:26" ht="11.85" customHeight="1">
      <c r="B160" s="72"/>
      <c r="C160" s="72"/>
      <c r="D160" s="72"/>
      <c r="E160" s="72"/>
      <c r="F160" s="72"/>
      <c r="G160" s="72"/>
      <c r="H160" s="72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80"/>
      <c r="T160" s="58"/>
    </row>
    <row r="161" spans="2:26" ht="11.85" customHeight="1">
      <c r="B161" s="147" t="s">
        <v>233</v>
      </c>
      <c r="C161" s="60"/>
      <c r="D161" s="60"/>
      <c r="E161" s="60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U161" s="148"/>
      <c r="V161" s="148"/>
      <c r="W161" s="148"/>
      <c r="X161" s="148"/>
      <c r="Y161" s="148"/>
      <c r="Z161" s="148"/>
    </row>
    <row r="162" spans="2:26" ht="11.85" customHeight="1">
      <c r="B162" s="46" t="s">
        <v>234</v>
      </c>
      <c r="C162" s="72"/>
      <c r="D162" s="72"/>
      <c r="E162" s="72"/>
      <c r="F162" s="76">
        <v>29.385999999999999</v>
      </c>
      <c r="G162" s="76">
        <v>76.781000000000006</v>
      </c>
      <c r="H162" s="76">
        <v>174.256</v>
      </c>
      <c r="I162" s="76">
        <v>260.65600000000001</v>
      </c>
      <c r="J162" s="77">
        <f>J27+J121</f>
        <v>578.11741740000002</v>
      </c>
      <c r="K162" s="77">
        <f>K27+K121</f>
        <v>977.58254262000014</v>
      </c>
      <c r="L162" s="77">
        <f>L27+L121</f>
        <v>1492.8868427424002</v>
      </c>
      <c r="M162" s="77">
        <f>M27+M121</f>
        <v>2200.0096475824503</v>
      </c>
      <c r="N162" s="77">
        <f>N27+N121</f>
        <v>3090.8869266938441</v>
      </c>
      <c r="O162" s="77">
        <f>O27+O121</f>
        <v>4160.3213655089112</v>
      </c>
      <c r="P162" s="77">
        <f>P27+P121</f>
        <v>5253.4566796161698</v>
      </c>
      <c r="Q162" s="77">
        <f>Q27+Q121</f>
        <v>6300.8514190574979</v>
      </c>
      <c r="R162" s="77">
        <f>R27+R121</f>
        <v>7142.8898336528318</v>
      </c>
      <c r="S162" s="77">
        <f>S27+S121</f>
        <v>7614.4875520600799</v>
      </c>
      <c r="T162" s="58"/>
      <c r="U162" s="76">
        <v>16.776</v>
      </c>
      <c r="V162" s="69">
        <f>H162-U162</f>
        <v>157.47999999999999</v>
      </c>
      <c r="W162" s="76">
        <v>95.54</v>
      </c>
      <c r="X162" s="69">
        <f>I162-W162</f>
        <v>165.11599999999999</v>
      </c>
      <c r="Y162" s="69">
        <f>Y27*Y165</f>
        <v>205.78034400000001</v>
      </c>
      <c r="Z162" s="69">
        <f>J162-Y162</f>
        <v>372.33707340000001</v>
      </c>
    </row>
    <row r="163" spans="2:26" ht="11.85" customHeight="1">
      <c r="B163" s="46" t="s">
        <v>236</v>
      </c>
      <c r="C163" s="72"/>
      <c r="D163" s="72"/>
      <c r="E163" s="72"/>
      <c r="F163" s="76">
        <v>1.974</v>
      </c>
      <c r="G163" s="76">
        <v>3.7010000000000001</v>
      </c>
      <c r="H163" s="76">
        <v>1.633</v>
      </c>
      <c r="I163" s="76">
        <v>36</v>
      </c>
      <c r="J163" s="77">
        <f>J29+J122</f>
        <v>1233.3833999999997</v>
      </c>
      <c r="K163" s="77">
        <f>K29+K122</f>
        <v>5482.75</v>
      </c>
      <c r="L163" s="77">
        <f>L29+L122</f>
        <v>14878.027499999997</v>
      </c>
      <c r="M163" s="77">
        <f>M29+M122</f>
        <v>33281.587500000009</v>
      </c>
      <c r="N163" s="77">
        <f>N29+N122</f>
        <v>65365.160000000033</v>
      </c>
      <c r="O163" s="77">
        <f>O29+O122</f>
        <v>115215.11546587801</v>
      </c>
      <c r="P163" s="77">
        <f>P29+P122</f>
        <v>180011.05849877954</v>
      </c>
      <c r="Q163" s="77">
        <f>Q29+Q122</f>
        <v>261270.65774988051</v>
      </c>
      <c r="R163" s="77">
        <f>R29+R122</f>
        <v>356807.66109768953</v>
      </c>
      <c r="S163" s="77">
        <f>S29+S122</f>
        <v>463560.85557113879</v>
      </c>
      <c r="T163" s="58"/>
      <c r="U163" s="76">
        <v>5.1829999999999998</v>
      </c>
      <c r="V163" s="69">
        <f>H163-U163</f>
        <v>-3.55</v>
      </c>
      <c r="W163" s="76">
        <v>-0.11600000000000001</v>
      </c>
      <c r="X163" s="69">
        <f>I163-W163</f>
        <v>36.116</v>
      </c>
      <c r="Y163" s="69">
        <f>Y29*Y166</f>
        <v>174.6</v>
      </c>
      <c r="Z163" s="69">
        <f>J163-Y163</f>
        <v>1058.7833999999998</v>
      </c>
    </row>
    <row r="164" spans="2:26" ht="11.85" customHeight="1">
      <c r="C164" s="72"/>
      <c r="D164" s="72"/>
      <c r="E164" s="72"/>
      <c r="F164" s="72"/>
      <c r="G164" s="72"/>
      <c r="H164" s="72"/>
      <c r="I164" s="183"/>
      <c r="J164" s="80"/>
      <c r="K164" s="80"/>
      <c r="L164" s="80"/>
      <c r="M164" s="80"/>
      <c r="N164" s="80"/>
      <c r="O164" s="80"/>
      <c r="P164" s="80"/>
      <c r="Q164" s="80"/>
      <c r="R164" s="80"/>
      <c r="S164" s="80"/>
      <c r="T164" s="58"/>
      <c r="W164" s="76"/>
    </row>
    <row r="165" spans="2:26" ht="11.85" customHeight="1">
      <c r="B165" s="46" t="s">
        <v>291</v>
      </c>
      <c r="C165" s="72"/>
      <c r="D165" s="72"/>
      <c r="E165" s="72"/>
      <c r="F165" s="181">
        <f>F162/F27</f>
        <v>0.5360941348171121</v>
      </c>
      <c r="G165" s="181">
        <f>G162/G27</f>
        <v>0.68180688013923674</v>
      </c>
      <c r="H165" s="181">
        <f>H162/H27</f>
        <v>0.6602356685484787</v>
      </c>
      <c r="I165" s="181">
        <f>I162/I27</f>
        <v>0.48816098734912117</v>
      </c>
      <c r="J165" s="184">
        <v>0.53</v>
      </c>
      <c r="K165" s="184">
        <f>J165+1.5%</f>
        <v>0.54500000000000004</v>
      </c>
      <c r="L165" s="184">
        <f t="shared" ref="L165:M166" si="62">K165+1.5%</f>
        <v>0.56000000000000005</v>
      </c>
      <c r="M165" s="184">
        <f t="shared" si="62"/>
        <v>0.57500000000000007</v>
      </c>
      <c r="N165" s="184">
        <f t="shared" ref="N165:O165" si="63">M165+1%</f>
        <v>0.58500000000000008</v>
      </c>
      <c r="O165" s="184">
        <f t="shared" si="63"/>
        <v>0.59500000000000008</v>
      </c>
      <c r="P165" s="184">
        <f>O165</f>
        <v>0.59500000000000008</v>
      </c>
      <c r="Q165" s="184">
        <f t="shared" ref="Q165:S165" si="64">P165</f>
        <v>0.59500000000000008</v>
      </c>
      <c r="R165" s="184">
        <f t="shared" si="64"/>
        <v>0.59500000000000008</v>
      </c>
      <c r="S165" s="184">
        <f t="shared" si="64"/>
        <v>0.59500000000000008</v>
      </c>
      <c r="T165" s="58"/>
      <c r="U165" s="181">
        <f>U162/U27</f>
        <v>0.62583003805118254</v>
      </c>
      <c r="V165" s="181">
        <f>V162/V27</f>
        <v>0.66412509910426609</v>
      </c>
      <c r="W165" s="181">
        <f>W162/W27</f>
        <v>0.59056602607292763</v>
      </c>
      <c r="X165" s="181">
        <f>X162/X27</f>
        <v>0.4436479319035514</v>
      </c>
      <c r="Y165" s="184">
        <v>0.53</v>
      </c>
      <c r="Z165" s="181">
        <f>Z162/Z27</f>
        <v>0.53</v>
      </c>
    </row>
    <row r="166" spans="2:26" ht="11.85" customHeight="1">
      <c r="B166" s="46" t="s">
        <v>292</v>
      </c>
      <c r="C166" s="72"/>
      <c r="D166" s="72"/>
      <c r="E166" s="72"/>
      <c r="F166" s="181">
        <f>F163/F29</f>
        <v>0.76098689282960685</v>
      </c>
      <c r="G166" s="181">
        <f>G163/G29</f>
        <v>0.31038242200603827</v>
      </c>
      <c r="H166" s="181">
        <f>H163/H29</f>
        <v>3.3681214421252374E-2</v>
      </c>
      <c r="I166" s="181">
        <f>I163/I29</f>
        <v>0.18909648648222757</v>
      </c>
      <c r="J166" s="184">
        <v>0.23499999999999999</v>
      </c>
      <c r="K166" s="184">
        <f>J166+1.5%</f>
        <v>0.25</v>
      </c>
      <c r="L166" s="184">
        <f t="shared" si="62"/>
        <v>0.26500000000000001</v>
      </c>
      <c r="M166" s="184">
        <f>L166+2%</f>
        <v>0.28500000000000003</v>
      </c>
      <c r="N166" s="184">
        <f t="shared" ref="N166:O166" si="65">M166+2%</f>
        <v>0.30500000000000005</v>
      </c>
      <c r="O166" s="184">
        <f t="shared" si="65"/>
        <v>0.32500000000000007</v>
      </c>
      <c r="P166" s="184">
        <f t="shared" ref="P166:S166" si="66">O166+1%</f>
        <v>0.33500000000000008</v>
      </c>
      <c r="Q166" s="184">
        <f t="shared" si="66"/>
        <v>0.34500000000000008</v>
      </c>
      <c r="R166" s="184">
        <f t="shared" si="66"/>
        <v>0.35500000000000009</v>
      </c>
      <c r="S166" s="184">
        <f t="shared" si="66"/>
        <v>0.3650000000000001</v>
      </c>
      <c r="T166" s="58"/>
      <c r="U166" s="181">
        <f>U163/U29</f>
        <v>0.28630613710434732</v>
      </c>
      <c r="V166" s="181">
        <f>V163/V29</f>
        <v>-0.11684934663111812</v>
      </c>
      <c r="W166" s="181">
        <f>W163/W29</f>
        <v>-3.9862542955326459E-3</v>
      </c>
      <c r="X166" s="181">
        <f>X163/X29</f>
        <v>0.22393492023140024</v>
      </c>
      <c r="Y166" s="184">
        <v>0.24</v>
      </c>
      <c r="Z166" s="181">
        <f>Z163/Z29</f>
        <v>0.23419541068892749</v>
      </c>
    </row>
    <row r="167" spans="2:26" ht="11.85" customHeight="1">
      <c r="C167" s="72"/>
      <c r="D167" s="72"/>
      <c r="E167" s="72"/>
      <c r="F167" s="72"/>
      <c r="G167" s="72"/>
      <c r="H167" s="72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80"/>
      <c r="T167" s="58"/>
    </row>
  </sheetData>
  <printOptions horizontalCentered="1" verticalCentered="1"/>
  <pageMargins left="0.25" right="0.25" top="0.75" bottom="0.75" header="0.3" footer="0.3"/>
  <pageSetup paperSize="9" scale="75" fitToHeight="0" orientation="portrait" horizontalDpi="300" verticalDpi="300" r:id="rId1"/>
  <customProperties>
    <customPr name="Qube.Worksheet.Visibility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73FE-2542-45E5-BCD0-894E2CD49C14}">
  <sheetPr>
    <pageSetUpPr fitToPage="1"/>
  </sheetPr>
  <dimension ref="B1:Z38"/>
  <sheetViews>
    <sheetView showGridLines="0" zoomScale="130" zoomScaleNormal="130" workbookViewId="0">
      <pane xSplit="5" ySplit="4" topLeftCell="F5" activePane="bottomRight" state="frozen"/>
      <selection activeCell="E20" sqref="E20"/>
      <selection pane="topRight" activeCell="E20" sqref="E20"/>
      <selection pane="bottomLeft" activeCell="E20" sqref="E20"/>
      <selection pane="bottomRight" activeCell="G5" sqref="G5"/>
    </sheetView>
  </sheetViews>
  <sheetFormatPr defaultColWidth="8" defaultRowHeight="11.85" customHeight="1"/>
  <cols>
    <col min="1" max="4" width="2.5703125" style="46" customWidth="1"/>
    <col min="5" max="5" width="32.42578125" style="46" customWidth="1"/>
    <col min="6" max="6" width="8.28515625" style="121" hidden="1" customWidth="1"/>
    <col min="7" max="7" width="8.28515625" style="121" customWidth="1" collapsed="1"/>
    <col min="8" max="12" width="8.28515625" style="121" customWidth="1"/>
    <col min="13" max="19" width="8.28515625" style="121" hidden="1" customWidth="1"/>
    <col min="20" max="20" width="6.28515625" style="122" customWidth="1" collapsed="1"/>
    <col min="21" max="22" width="8.28515625" style="123" hidden="1" customWidth="1"/>
    <col min="23" max="23" width="8.28515625" style="123" customWidth="1" collapsed="1"/>
    <col min="24" max="24" width="8.28515625" style="123" customWidth="1"/>
    <col min="25" max="25" width="8.28515625" style="46" customWidth="1"/>
    <col min="26" max="16384" width="8" style="46"/>
  </cols>
  <sheetData>
    <row r="1" spans="2:26" ht="11.85" customHeight="1"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8"/>
      <c r="U1" s="46"/>
      <c r="V1" s="46"/>
      <c r="W1" s="46"/>
      <c r="X1" s="46"/>
    </row>
    <row r="2" spans="2:26" ht="11.85" customHeight="1">
      <c r="B2" s="49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8"/>
      <c r="U2" s="46"/>
      <c r="V2" s="46"/>
      <c r="W2" s="46"/>
      <c r="X2" s="46"/>
    </row>
    <row r="3" spans="2:26" ht="11.85" customHeight="1">
      <c r="B3" s="49"/>
      <c r="E3" s="50"/>
      <c r="F3" s="51"/>
      <c r="G3" s="51"/>
      <c r="H3" s="144"/>
      <c r="I3" s="144"/>
      <c r="J3" s="51"/>
      <c r="K3" s="51"/>
      <c r="L3" s="51"/>
      <c r="M3" s="51"/>
      <c r="N3" s="51"/>
      <c r="O3" s="51"/>
      <c r="P3" s="51"/>
      <c r="Q3" s="51"/>
      <c r="R3" s="51"/>
      <c r="S3" s="51"/>
      <c r="T3" s="48"/>
      <c r="U3" s="46"/>
      <c r="V3" s="46"/>
      <c r="W3" s="46"/>
      <c r="X3" s="46"/>
    </row>
    <row r="4" spans="2:26" ht="11.85" customHeight="1">
      <c r="B4" s="52" t="s">
        <v>18</v>
      </c>
      <c r="C4" s="52"/>
      <c r="D4" s="52"/>
      <c r="E4" s="52"/>
      <c r="F4" s="53">
        <v>2022</v>
      </c>
      <c r="G4" s="53">
        <v>2023</v>
      </c>
      <c r="H4" s="53">
        <v>2024</v>
      </c>
      <c r="I4" s="53">
        <v>2025</v>
      </c>
      <c r="J4" s="53" t="s">
        <v>163</v>
      </c>
      <c r="K4" s="53" t="s">
        <v>164</v>
      </c>
      <c r="L4" s="53" t="s">
        <v>165</v>
      </c>
      <c r="M4" s="53" t="s">
        <v>166</v>
      </c>
      <c r="N4" s="53" t="s">
        <v>221</v>
      </c>
      <c r="O4" s="54">
        <v>2031</v>
      </c>
      <c r="P4" s="54">
        <v>2032</v>
      </c>
      <c r="Q4" s="54">
        <v>2033</v>
      </c>
      <c r="R4" s="54">
        <v>2034</v>
      </c>
      <c r="S4" s="54">
        <v>2035</v>
      </c>
      <c r="T4" s="48"/>
      <c r="U4" s="53" t="s">
        <v>19</v>
      </c>
      <c r="V4" s="53" t="s">
        <v>20</v>
      </c>
      <c r="W4" s="53" t="s">
        <v>21</v>
      </c>
      <c r="X4" s="53" t="s">
        <v>22</v>
      </c>
      <c r="Y4" s="53" t="s">
        <v>23</v>
      </c>
      <c r="Z4" s="53" t="s">
        <v>24</v>
      </c>
    </row>
    <row r="5" spans="2:26" ht="11.85" customHeight="1">
      <c r="B5" s="296"/>
      <c r="C5" s="46" t="s">
        <v>234</v>
      </c>
      <c r="D5" s="296"/>
      <c r="E5" s="296"/>
      <c r="F5" s="77">
        <f>Revenue!F27</f>
        <v>54.814999999999998</v>
      </c>
      <c r="G5" s="77">
        <f>Revenue!G27</f>
        <v>112.614</v>
      </c>
      <c r="H5" s="77">
        <f>Revenue!H27</f>
        <v>263.93</v>
      </c>
      <c r="I5" s="77">
        <f>Revenue!I27</f>
        <v>533.95500000000004</v>
      </c>
      <c r="J5" s="77">
        <f>Revenue!J27</f>
        <v>1090.7875799999999</v>
      </c>
      <c r="K5" s="77">
        <f>Revenue!K27</f>
        <v>1793.7294360000001</v>
      </c>
      <c r="L5" s="77">
        <f>Revenue!L27</f>
        <v>2665.8693620399999</v>
      </c>
      <c r="M5" s="77">
        <f>Revenue!M27</f>
        <v>3826.1037349260005</v>
      </c>
      <c r="N5" s="77">
        <f>Revenue!N27</f>
        <v>5283.5673960578524</v>
      </c>
      <c r="O5" s="77">
        <f>Revenue!O27</f>
        <v>6992.1367487544721</v>
      </c>
      <c r="P5" s="77">
        <f>Revenue!P27</f>
        <v>8829.3389573380991</v>
      </c>
      <c r="Q5" s="77">
        <f>Revenue!Q27</f>
        <v>10589.666250516802</v>
      </c>
      <c r="R5" s="77">
        <f>Revenue!R27</f>
        <v>12004.856863282068</v>
      </c>
      <c r="S5" s="77">
        <f>Revenue!S27</f>
        <v>12797.458070689208</v>
      </c>
      <c r="T5" s="59"/>
      <c r="U5" s="77">
        <f>Revenue!U27</f>
        <v>26.806000000000001</v>
      </c>
      <c r="V5" s="77">
        <f>Revenue!V27</f>
        <v>237.124</v>
      </c>
      <c r="W5" s="77">
        <f>Revenue!W27</f>
        <v>161.77699999999999</v>
      </c>
      <c r="X5" s="77">
        <f>Revenue!X27</f>
        <v>372.17800000000005</v>
      </c>
      <c r="Y5" s="77">
        <f>Revenue!Y27</f>
        <v>388.26479999999998</v>
      </c>
      <c r="Z5" s="77">
        <f>Revenue!Z27</f>
        <v>702.52278000000001</v>
      </c>
    </row>
    <row r="6" spans="2:26" ht="11.85" customHeight="1">
      <c r="B6" s="296"/>
      <c r="D6" s="66" t="s">
        <v>26</v>
      </c>
      <c r="E6" s="296"/>
      <c r="F6" s="297"/>
      <c r="G6" s="297"/>
      <c r="H6" s="82">
        <f>H5/G5-1</f>
        <v>1.34366952599144</v>
      </c>
      <c r="I6" s="82">
        <f>I5/H5-1</f>
        <v>1.0230932444208691</v>
      </c>
      <c r="J6" s="82">
        <f>J5/I5-1</f>
        <v>1.0428455206899456</v>
      </c>
      <c r="K6" s="82">
        <f t="shared" ref="K6:S6" si="0">K5/J5-1</f>
        <v>0.64443514840900562</v>
      </c>
      <c r="L6" s="82">
        <f t="shared" si="0"/>
        <v>0.48621598583165571</v>
      </c>
      <c r="M6" s="82">
        <f t="shared" si="0"/>
        <v>0.43521801533371307</v>
      </c>
      <c r="N6" s="82">
        <f t="shared" si="0"/>
        <v>0.38092633187846392</v>
      </c>
      <c r="O6" s="82">
        <f t="shared" si="0"/>
        <v>0.32337419486148855</v>
      </c>
      <c r="P6" s="82">
        <f t="shared" si="0"/>
        <v>0.26275261405762596</v>
      </c>
      <c r="Q6" s="82">
        <f t="shared" si="0"/>
        <v>0.19937249002267476</v>
      </c>
      <c r="R6" s="82">
        <f t="shared" si="0"/>
        <v>0.13363883046797631</v>
      </c>
      <c r="S6" s="82">
        <f t="shared" si="0"/>
        <v>6.6023378407066513E-2</v>
      </c>
      <c r="T6" s="64"/>
      <c r="U6" s="69"/>
      <c r="V6" s="69"/>
      <c r="W6" s="69"/>
      <c r="X6" s="69"/>
      <c r="Y6" s="69"/>
      <c r="Z6" s="69"/>
    </row>
    <row r="7" spans="2:26" ht="11.85" customHeight="1">
      <c r="B7" s="296"/>
      <c r="C7" s="46" t="s">
        <v>236</v>
      </c>
      <c r="D7" s="296"/>
      <c r="E7" s="296"/>
      <c r="F7" s="77">
        <f>Revenue!F29</f>
        <v>2.5939999999999999</v>
      </c>
      <c r="G7" s="77">
        <f>Revenue!G29</f>
        <v>11.923999999999999</v>
      </c>
      <c r="H7" s="77">
        <f>Revenue!H29</f>
        <v>48.484000000000002</v>
      </c>
      <c r="I7" s="77">
        <f>Revenue!I29</f>
        <v>190.37899999999999</v>
      </c>
      <c r="J7" s="77">
        <f>Revenue!J29</f>
        <v>5248.44</v>
      </c>
      <c r="K7" s="77">
        <f>Revenue!K29</f>
        <v>21931</v>
      </c>
      <c r="L7" s="77">
        <f>Revenue!L29</f>
        <v>56143.499999999985</v>
      </c>
      <c r="M7" s="77">
        <f>Revenue!M29</f>
        <v>116777.5</v>
      </c>
      <c r="N7" s="77">
        <f>Revenue!N29</f>
        <v>214312.00000000006</v>
      </c>
      <c r="O7" s="77">
        <f>Revenue!O29</f>
        <v>354508.04758731689</v>
      </c>
      <c r="P7" s="77">
        <f>Revenue!P29</f>
        <v>537346.44327993889</v>
      </c>
      <c r="Q7" s="77">
        <f>Revenue!Q29</f>
        <v>757306.25434747955</v>
      </c>
      <c r="R7" s="77">
        <f>Revenue!R29</f>
        <v>1005092.003092083</v>
      </c>
      <c r="S7" s="77">
        <f>Revenue!S29</f>
        <v>1270029.7412907907</v>
      </c>
      <c r="T7" s="77"/>
      <c r="U7" s="77">
        <f>Revenue!U29</f>
        <v>18.103000000000002</v>
      </c>
      <c r="V7" s="77">
        <f>Revenue!V29</f>
        <v>30.381</v>
      </c>
      <c r="W7" s="77">
        <f>Revenue!W29</f>
        <v>29.1</v>
      </c>
      <c r="X7" s="77">
        <f>Revenue!X29</f>
        <v>161.279</v>
      </c>
      <c r="Y7" s="77">
        <f>Revenue!Y29</f>
        <v>727.5</v>
      </c>
      <c r="Z7" s="77">
        <f>Revenue!Z29</f>
        <v>4520.9399999999996</v>
      </c>
    </row>
    <row r="8" spans="2:26" ht="11.85" customHeight="1">
      <c r="B8" s="296"/>
      <c r="D8" s="66" t="s">
        <v>26</v>
      </c>
      <c r="E8" s="296"/>
      <c r="F8" s="297"/>
      <c r="G8" s="297"/>
      <c r="H8" s="82">
        <f>H7/G7-1</f>
        <v>3.0660852063066084</v>
      </c>
      <c r="I8" s="82">
        <f>I7/H7-1</f>
        <v>2.9266355911228441</v>
      </c>
      <c r="J8" s="82">
        <f>J7/I7-1</f>
        <v>26.568376764243954</v>
      </c>
      <c r="K8" s="82">
        <f t="shared" ref="K8:S8" si="1">K7/J7-1</f>
        <v>3.1785749670378252</v>
      </c>
      <c r="L8" s="82">
        <f t="shared" si="1"/>
        <v>1.5600063836578353</v>
      </c>
      <c r="M8" s="82">
        <f t="shared" si="1"/>
        <v>1.0799825447291322</v>
      </c>
      <c r="N8" s="82">
        <f t="shared" si="1"/>
        <v>0.83521654428293179</v>
      </c>
      <c r="O8" s="82">
        <f t="shared" si="1"/>
        <v>0.65416797746890887</v>
      </c>
      <c r="P8" s="82">
        <f t="shared" si="1"/>
        <v>0.51575245452668628</v>
      </c>
      <c r="Q8" s="82">
        <f t="shared" si="1"/>
        <v>0.40934449984430099</v>
      </c>
      <c r="R8" s="82">
        <f t="shared" si="1"/>
        <v>0.32719358558329081</v>
      </c>
      <c r="S8" s="82">
        <f t="shared" si="1"/>
        <v>0.26359550905155804</v>
      </c>
      <c r="T8" s="64"/>
      <c r="U8" s="69"/>
      <c r="V8" s="69"/>
      <c r="W8" s="69"/>
      <c r="X8" s="69"/>
      <c r="Y8" s="69"/>
      <c r="Z8" s="69"/>
    </row>
    <row r="9" spans="2:26" s="55" customFormat="1" ht="11.85" customHeight="1">
      <c r="B9" s="56" t="s">
        <v>25</v>
      </c>
      <c r="C9" s="56"/>
      <c r="D9" s="56"/>
      <c r="E9" s="56"/>
      <c r="F9" s="298">
        <f>Revenue!F5</f>
        <v>57.408999999999999</v>
      </c>
      <c r="G9" s="298">
        <f>Revenue!G5</f>
        <v>124.53800000000001</v>
      </c>
      <c r="H9" s="298">
        <f>Revenue!H5</f>
        <v>312.41399999999999</v>
      </c>
      <c r="I9" s="298">
        <f>Revenue!I5</f>
        <v>724.33400000000006</v>
      </c>
      <c r="J9" s="298">
        <f>Revenue!J5</f>
        <v>6339.2275799999998</v>
      </c>
      <c r="K9" s="298">
        <f>Revenue!K5</f>
        <v>23724.729436000001</v>
      </c>
      <c r="L9" s="298">
        <f>Revenue!L5</f>
        <v>58809.369362039986</v>
      </c>
      <c r="M9" s="298">
        <f>Revenue!M5</f>
        <v>120603.603734926</v>
      </c>
      <c r="N9" s="298">
        <f>Revenue!N5</f>
        <v>219595.56739605792</v>
      </c>
      <c r="O9" s="298">
        <f>Revenue!O5</f>
        <v>361500.18433607137</v>
      </c>
      <c r="P9" s="298">
        <f>Revenue!P5</f>
        <v>546175.78223727702</v>
      </c>
      <c r="Q9" s="298">
        <f>Revenue!Q5</f>
        <v>767895.92059799633</v>
      </c>
      <c r="R9" s="298">
        <f>Revenue!R5</f>
        <v>1017096.8599553651</v>
      </c>
      <c r="S9" s="298">
        <f>Revenue!S5</f>
        <v>1282827.1993614798</v>
      </c>
      <c r="T9" s="58"/>
      <c r="U9" s="298">
        <f>Revenue!U5</f>
        <v>44.909000000000006</v>
      </c>
      <c r="V9" s="298">
        <f>Revenue!V5</f>
        <v>267.505</v>
      </c>
      <c r="W9" s="298">
        <f>Revenue!W5</f>
        <v>190.87699999999998</v>
      </c>
      <c r="X9" s="298">
        <f>Revenue!X5</f>
        <v>533.45700000000011</v>
      </c>
      <c r="Y9" s="298">
        <f>Revenue!Y5</f>
        <v>1115.7647999999999</v>
      </c>
      <c r="Z9" s="298">
        <f>Revenue!Z5</f>
        <v>5223.4627799999998</v>
      </c>
    </row>
    <row r="10" spans="2:26" ht="11.85" customHeight="1">
      <c r="C10" s="66" t="s">
        <v>26</v>
      </c>
      <c r="F10" s="67"/>
      <c r="G10" s="67"/>
      <c r="H10" s="82">
        <f>H9/G9-1</f>
        <v>1.50858372544926</v>
      </c>
      <c r="I10" s="82">
        <f>I9/H9-1</f>
        <v>1.3185068530859696</v>
      </c>
      <c r="J10" s="82">
        <f>J9/I9-1</f>
        <v>7.7518017654838776</v>
      </c>
      <c r="K10" s="82">
        <f t="shared" ref="K10:S10" si="2">K9/J9-1</f>
        <v>2.7425268515127206</v>
      </c>
      <c r="L10" s="82">
        <f t="shared" si="2"/>
        <v>1.4788214980779677</v>
      </c>
      <c r="M10" s="82">
        <f t="shared" si="2"/>
        <v>1.0507549229523399</v>
      </c>
      <c r="N10" s="82">
        <f t="shared" si="2"/>
        <v>0.82080435903644977</v>
      </c>
      <c r="O10" s="82">
        <f t="shared" si="2"/>
        <v>0.64620893136735003</v>
      </c>
      <c r="P10" s="82">
        <f t="shared" si="2"/>
        <v>0.51085893148403105</v>
      </c>
      <c r="Q10" s="82">
        <f t="shared" si="2"/>
        <v>0.4059501456701291</v>
      </c>
      <c r="R10" s="82">
        <f t="shared" si="2"/>
        <v>0.32452436934852358</v>
      </c>
      <c r="S10" s="82">
        <f t="shared" si="2"/>
        <v>0.26126355302854454</v>
      </c>
      <c r="T10" s="64"/>
      <c r="U10" s="69"/>
      <c r="V10" s="69"/>
      <c r="W10" s="69"/>
      <c r="X10" s="69"/>
      <c r="Y10" s="69"/>
      <c r="Z10" s="69"/>
    </row>
    <row r="11" spans="2:26" ht="11.85" customHeight="1">
      <c r="C11" s="46" t="s">
        <v>27</v>
      </c>
      <c r="F11" s="67">
        <f>Model!F7</f>
        <v>-26.048999999999999</v>
      </c>
      <c r="G11" s="67">
        <f>Model!G7</f>
        <v>-44.055999999999997</v>
      </c>
      <c r="H11" s="67">
        <f>Model!H7</f>
        <v>-136.52500000000001</v>
      </c>
      <c r="I11" s="67">
        <f>Model!I7</f>
        <v>-427.678</v>
      </c>
      <c r="J11" s="67">
        <f>Model!J7</f>
        <v>-4527.7267625999993</v>
      </c>
      <c r="K11" s="67">
        <f>Model!K7</f>
        <v>-17264.396893379999</v>
      </c>
      <c r="L11" s="67">
        <f>Model!L7</f>
        <v>-42438.455019297588</v>
      </c>
      <c r="M11" s="67">
        <f>Model!M7</f>
        <v>-85122.006587343538</v>
      </c>
      <c r="N11" s="67">
        <f>Model!N7</f>
        <v>-151139.52046936404</v>
      </c>
      <c r="O11" s="67">
        <f>Model!O7</f>
        <v>-242124.74750468443</v>
      </c>
      <c r="P11" s="67">
        <f>Model!P7</f>
        <v>-360911.26705888129</v>
      </c>
      <c r="Q11" s="67">
        <f>Model!Q7</f>
        <v>-500324.41142905835</v>
      </c>
      <c r="R11" s="67">
        <f>Model!R7</f>
        <v>-653146.30902402278</v>
      </c>
      <c r="S11" s="67">
        <f>Model!S7</f>
        <v>-811651.85623828112</v>
      </c>
      <c r="T11" s="67"/>
      <c r="U11" s="67">
        <f>Model!U7</f>
        <v>-22.95</v>
      </c>
      <c r="V11" s="67">
        <f>Model!V7</f>
        <v>-113.575</v>
      </c>
      <c r="W11" s="67">
        <f>Model!W7</f>
        <v>-95.453000000000003</v>
      </c>
      <c r="X11" s="67">
        <f>Model!X7</f>
        <v>-332.22500000000002</v>
      </c>
      <c r="Y11" s="67">
        <f>Model!Y7</f>
        <v>-735.384456</v>
      </c>
      <c r="Z11" s="67">
        <f>Model!Z7</f>
        <v>-3792.3423065999996</v>
      </c>
    </row>
    <row r="12" spans="2:26" ht="11.85" hidden="1" customHeight="1">
      <c r="D12" s="46" t="s">
        <v>375</v>
      </c>
      <c r="F12" s="67">
        <f>Revenue!F130</f>
        <v>0</v>
      </c>
      <c r="G12" s="67">
        <f>Revenue!G130</f>
        <v>-11.996</v>
      </c>
      <c r="H12" s="67">
        <f>Revenue!H130</f>
        <v>-30.172999999999998</v>
      </c>
      <c r="I12" s="67">
        <f>Revenue!I130</f>
        <v>0</v>
      </c>
      <c r="J12" s="67">
        <f>Revenue!J130</f>
        <v>0</v>
      </c>
      <c r="K12" s="67">
        <f>Revenue!K130</f>
        <v>0</v>
      </c>
      <c r="L12" s="67">
        <f>Revenue!L130</f>
        <v>0</v>
      </c>
      <c r="M12" s="67">
        <f>Revenue!M130</f>
        <v>0</v>
      </c>
      <c r="N12" s="67">
        <f>Revenue!N130</f>
        <v>0</v>
      </c>
      <c r="O12" s="67">
        <f>Revenue!O130</f>
        <v>0</v>
      </c>
      <c r="P12" s="67">
        <f>Revenue!P130</f>
        <v>0</v>
      </c>
      <c r="Q12" s="67">
        <f>Revenue!Q130</f>
        <v>0</v>
      </c>
      <c r="R12" s="67">
        <f>Revenue!R130</f>
        <v>0</v>
      </c>
      <c r="S12" s="67">
        <f>Revenue!S130</f>
        <v>0</v>
      </c>
      <c r="T12" s="67"/>
      <c r="U12" s="67">
        <f>Revenue!U130</f>
        <v>-8.4510000000000005</v>
      </c>
      <c r="V12" s="67">
        <f>Revenue!V130</f>
        <v>-21.721999999999998</v>
      </c>
      <c r="W12" s="67">
        <f>Revenue!W130</f>
        <v>-35.844999999999999</v>
      </c>
      <c r="X12" s="67">
        <f>Revenue!X130</f>
        <v>0</v>
      </c>
      <c r="Y12" s="67">
        <f>Revenue!Y130</f>
        <v>0</v>
      </c>
      <c r="Z12" s="67">
        <f>Revenue!Z130</f>
        <v>0</v>
      </c>
    </row>
    <row r="13" spans="2:26" ht="11.85" customHeight="1" collapsed="1"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2:26" s="72" customFormat="1" ht="11.85" customHeight="1">
      <c r="B14" s="72" t="s">
        <v>28</v>
      </c>
      <c r="F14" s="73">
        <f>Model!F9</f>
        <v>31.36</v>
      </c>
      <c r="G14" s="73">
        <f>Model!G9</f>
        <v>80.482000000000014</v>
      </c>
      <c r="H14" s="73">
        <f>Model!H9</f>
        <v>175.88899999999998</v>
      </c>
      <c r="I14" s="73">
        <f>Model!I9</f>
        <v>296.65600000000006</v>
      </c>
      <c r="J14" s="73">
        <f>Model!J9</f>
        <v>1811.5008174000004</v>
      </c>
      <c r="K14" s="73">
        <f>Model!K9</f>
        <v>6460.3325426200026</v>
      </c>
      <c r="L14" s="73">
        <f>Model!L9</f>
        <v>16370.914342742399</v>
      </c>
      <c r="M14" s="73">
        <f>Model!M9</f>
        <v>35481.597147582463</v>
      </c>
      <c r="N14" s="73">
        <f>Model!N9</f>
        <v>68456.046926693874</v>
      </c>
      <c r="O14" s="73">
        <f>Model!O9</f>
        <v>119375.43683138693</v>
      </c>
      <c r="P14" s="73">
        <f>Model!P9</f>
        <v>185264.51517839573</v>
      </c>
      <c r="Q14" s="73">
        <f>Model!Q9</f>
        <v>267571.50916893798</v>
      </c>
      <c r="R14" s="73">
        <f>Model!R9</f>
        <v>363950.5509313423</v>
      </c>
      <c r="S14" s="73">
        <f>Model!S9</f>
        <v>471175.34312319872</v>
      </c>
      <c r="T14" s="74"/>
      <c r="U14" s="73">
        <f>Model!U9</f>
        <v>21.959000000000007</v>
      </c>
      <c r="V14" s="73">
        <f>Model!V9</f>
        <v>153.93</v>
      </c>
      <c r="W14" s="73">
        <f>Model!W9</f>
        <v>95.423999999999978</v>
      </c>
      <c r="X14" s="73">
        <f>Model!X9</f>
        <v>201.23200000000008</v>
      </c>
      <c r="Y14" s="73">
        <f>Model!Y9</f>
        <v>380.38034399999992</v>
      </c>
      <c r="Z14" s="73">
        <f>Model!Z9</f>
        <v>1431.1204734000003</v>
      </c>
    </row>
    <row r="15" spans="2:26" ht="11.85" customHeight="1">
      <c r="C15" s="66" t="s">
        <v>26</v>
      </c>
      <c r="F15" s="67"/>
      <c r="G15" s="67"/>
      <c r="H15" s="68">
        <f>-(H14/G14-1)</f>
        <v>-1.1854451927138983</v>
      </c>
      <c r="I15" s="68">
        <f t="shared" ref="I15:S15" si="3">I14/H14-1</f>
        <v>0.68660916828226948</v>
      </c>
      <c r="J15" s="68">
        <f>J14/I14-1</f>
        <v>5.1064020865918778</v>
      </c>
      <c r="K15" s="68">
        <f t="shared" si="3"/>
        <v>2.5662874013451171</v>
      </c>
      <c r="L15" s="68">
        <f t="shared" si="3"/>
        <v>1.5340668200499685</v>
      </c>
      <c r="M15" s="68">
        <f t="shared" si="3"/>
        <v>1.1673558608112971</v>
      </c>
      <c r="N15" s="68">
        <f t="shared" si="3"/>
        <v>0.92933950075463634</v>
      </c>
      <c r="O15" s="68">
        <f t="shared" si="3"/>
        <v>0.74382603423215587</v>
      </c>
      <c r="P15" s="68">
        <f t="shared" si="3"/>
        <v>0.55194837477390335</v>
      </c>
      <c r="Q15" s="68">
        <f t="shared" si="3"/>
        <v>0.44426745138585688</v>
      </c>
      <c r="R15" s="68">
        <f t="shared" si="3"/>
        <v>0.36019919333621209</v>
      </c>
      <c r="S15" s="68">
        <f t="shared" si="3"/>
        <v>0.29461362791585355</v>
      </c>
      <c r="T15" s="64"/>
      <c r="U15" s="67"/>
      <c r="V15" s="67"/>
      <c r="W15" s="67"/>
      <c r="X15" s="67"/>
      <c r="Y15" s="67"/>
      <c r="Z15" s="67"/>
    </row>
    <row r="16" spans="2:26" ht="11.85" customHeight="1">
      <c r="C16" s="66" t="s">
        <v>376</v>
      </c>
      <c r="F16" s="67"/>
      <c r="G16" s="68">
        <f>G14/G9</f>
        <v>0.64624451974497754</v>
      </c>
      <c r="H16" s="68">
        <f>H14/H9</f>
        <v>0.56299973752776755</v>
      </c>
      <c r="I16" s="68">
        <f>I14/I9</f>
        <v>0.40955691711282372</v>
      </c>
      <c r="J16" s="68">
        <f>J14/J9</f>
        <v>0.28576049598143632</v>
      </c>
      <c r="K16" s="68">
        <f>K14/K9</f>
        <v>0.27230373943978758</v>
      </c>
      <c r="L16" s="68">
        <f t="shared" ref="L16:Z16" si="4">L14/L9</f>
        <v>0.27837255390311028</v>
      </c>
      <c r="M16" s="68">
        <f t="shared" si="4"/>
        <v>0.29420014036700987</v>
      </c>
      <c r="N16" s="68">
        <f t="shared" si="4"/>
        <v>0.31173692501373673</v>
      </c>
      <c r="O16" s="68">
        <f t="shared" si="4"/>
        <v>0.33022234013692414</v>
      </c>
      <c r="P16" s="68">
        <f t="shared" si="4"/>
        <v>0.33920309395540105</v>
      </c>
      <c r="Q16" s="68">
        <f t="shared" si="4"/>
        <v>0.34844762420481096</v>
      </c>
      <c r="R16" s="68">
        <f t="shared" si="4"/>
        <v>0.35783273477740768</v>
      </c>
      <c r="S16" s="68">
        <f t="shared" si="4"/>
        <v>0.36729447532584564</v>
      </c>
      <c r="T16" s="64"/>
      <c r="U16" s="68">
        <f t="shared" si="4"/>
        <v>0.48896657685541883</v>
      </c>
      <c r="V16" s="68">
        <f t="shared" si="4"/>
        <v>0.57542849666361384</v>
      </c>
      <c r="W16" s="68">
        <f t="shared" si="4"/>
        <v>0.49992403484966752</v>
      </c>
      <c r="X16" s="68">
        <f t="shared" si="4"/>
        <v>0.37722253152550261</v>
      </c>
      <c r="Y16" s="68">
        <f t="shared" si="4"/>
        <v>0.34091445078747773</v>
      </c>
      <c r="Z16" s="68">
        <f t="shared" si="4"/>
        <v>0.27397926120572458</v>
      </c>
    </row>
    <row r="17" spans="2:26" s="72" customFormat="1" ht="11.85" customHeight="1">
      <c r="C17" s="66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4"/>
      <c r="U17" s="73"/>
      <c r="V17" s="75"/>
      <c r="W17" s="75"/>
      <c r="X17" s="75"/>
      <c r="Y17" s="75"/>
      <c r="Z17" s="75"/>
    </row>
    <row r="18" spans="2:26" s="72" customFormat="1" ht="11.85" customHeight="1">
      <c r="C18" s="46" t="s">
        <v>30</v>
      </c>
      <c r="F18" s="73"/>
      <c r="G18" s="73"/>
      <c r="H18" s="73"/>
      <c r="I18" s="77">
        <f>Model!F13</f>
        <v>1.784</v>
      </c>
      <c r="J18" s="77">
        <f>Model!G13</f>
        <v>9.9649999999999999</v>
      </c>
      <c r="K18" s="77">
        <f>Model!H13</f>
        <v>19.280999999999999</v>
      </c>
      <c r="L18" s="77">
        <f>Model!I13</f>
        <v>14.839</v>
      </c>
      <c r="M18" s="77">
        <f>Model!J13</f>
        <v>33.148359999999997</v>
      </c>
      <c r="N18" s="77">
        <f>Model!K13</f>
        <v>432.8425603403233</v>
      </c>
      <c r="O18" s="77">
        <f>Model!L13</f>
        <v>199.21518926102965</v>
      </c>
      <c r="P18" s="77">
        <f>Model!M13</f>
        <v>414.59591886547685</v>
      </c>
      <c r="Q18" s="77">
        <f>Model!N13</f>
        <v>560.09699019306174</v>
      </c>
      <c r="R18" s="77">
        <f>Model!O13</f>
        <v>913.91537423997067</v>
      </c>
      <c r="S18" s="77">
        <f>Model!P13</f>
        <v>1673.7569555995326</v>
      </c>
      <c r="T18" s="74"/>
      <c r="U18" s="77">
        <f>Model!R13</f>
        <v>4958.4362612878958</v>
      </c>
      <c r="V18" s="77">
        <f>Model!S13</f>
        <v>7823.4091377107134</v>
      </c>
      <c r="W18" s="77">
        <f>Model!T13</f>
        <v>0</v>
      </c>
      <c r="X18" s="77">
        <f>Model!U13</f>
        <v>4.1740000000000004</v>
      </c>
      <c r="Y18" s="77">
        <f>Model!V13</f>
        <v>15.106999999999999</v>
      </c>
      <c r="Z18" s="77">
        <f>Model!W13</f>
        <v>4.6139999999999999</v>
      </c>
    </row>
    <row r="19" spans="2:26" ht="11.85" customHeight="1">
      <c r="C19" s="46" t="s">
        <v>31</v>
      </c>
      <c r="F19" s="77">
        <f>Model!F14</f>
        <v>-15.138999999999999</v>
      </c>
      <c r="G19" s="77">
        <f>Model!G14</f>
        <v>-101.19799999999999</v>
      </c>
      <c r="H19" s="77">
        <f>Model!H14</f>
        <v>-387.47500000000002</v>
      </c>
      <c r="I19" s="77">
        <f>Model!I14</f>
        <v>-390.86900000000003</v>
      </c>
      <c r="J19" s="77">
        <f>Model!J14</f>
        <v>-508.12970000000007</v>
      </c>
      <c r="K19" s="77">
        <f>Model!K14</f>
        <v>-736.78806500000007</v>
      </c>
      <c r="L19" s="77">
        <f>Model!L14</f>
        <v>-1105.1820975000001</v>
      </c>
      <c r="M19" s="77">
        <f>Model!M14</f>
        <v>-1602.514041375</v>
      </c>
      <c r="N19" s="77">
        <f>Model!N14</f>
        <v>-2251.5322281318749</v>
      </c>
      <c r="O19" s="77">
        <f>Model!O14</f>
        <v>-3072.2157252859433</v>
      </c>
      <c r="P19" s="77">
        <f>Model!P14</f>
        <v>-4080.0560939659977</v>
      </c>
      <c r="Q19" s="77">
        <f>Model!Q14</f>
        <v>-5284.6722554289881</v>
      </c>
      <c r="R19" s="77">
        <f>Model!R14</f>
        <v>-6688.9180094777066</v>
      </c>
      <c r="S19" s="77">
        <f>Model!S14</f>
        <v>-8288.5623836213854</v>
      </c>
      <c r="T19" s="77"/>
      <c r="U19" s="77">
        <f>Model!U14</f>
        <v>-144.19399999999999</v>
      </c>
      <c r="V19" s="77">
        <f>Model!V14</f>
        <v>-243.28100000000003</v>
      </c>
      <c r="W19" s="77">
        <f>Model!W14</f>
        <v>-208.57</v>
      </c>
      <c r="X19" s="77">
        <f>Model!X14</f>
        <v>-182.29900000000004</v>
      </c>
      <c r="Y19" s="77">
        <f>Model!Y14</f>
        <v>-245.468256</v>
      </c>
      <c r="Z19" s="77">
        <f>Model!Z14</f>
        <v>-262.66144400000007</v>
      </c>
    </row>
    <row r="20" spans="2:26" ht="11.85" customHeight="1">
      <c r="C20" s="46" t="s">
        <v>32</v>
      </c>
      <c r="F20" s="77">
        <f>Model!F15</f>
        <v>-32.316000000000003</v>
      </c>
      <c r="G20" s="77">
        <f>Model!G15</f>
        <v>-66.302000000000007</v>
      </c>
      <c r="H20" s="77">
        <f>Model!H15</f>
        <v>-133.60300000000001</v>
      </c>
      <c r="I20" s="77">
        <f>Model!I15</f>
        <v>-505.35700000000003</v>
      </c>
      <c r="J20" s="77">
        <f>Model!J15</f>
        <v>-656.96410000000003</v>
      </c>
      <c r="K20" s="77">
        <f>Model!K15</f>
        <v>-952.59794499999998</v>
      </c>
      <c r="L20" s="77">
        <f>Model!L15</f>
        <v>-1428.8969175</v>
      </c>
      <c r="M20" s="77">
        <f>Model!M15</f>
        <v>-2071.900530375</v>
      </c>
      <c r="N20" s="77">
        <f>Model!N15</f>
        <v>-2911.0202451768751</v>
      </c>
      <c r="O20" s="77">
        <f>Model!O15</f>
        <v>-3972.0871245438461</v>
      </c>
      <c r="P20" s="77">
        <f>Model!P15</f>
        <v>-5275.1303057504556</v>
      </c>
      <c r="Q20" s="77">
        <f>Model!Q15</f>
        <v>-6832.5861528717487</v>
      </c>
      <c r="R20" s="77">
        <f>Model!R15</f>
        <v>-8648.1443617059067</v>
      </c>
      <c r="S20" s="77">
        <f>Model!S15</f>
        <v>-10716.334681184115</v>
      </c>
      <c r="T20" s="77"/>
      <c r="U20" s="77">
        <f>Model!U15</f>
        <v>-51.451999999999998</v>
      </c>
      <c r="V20" s="77">
        <f>Model!V15</f>
        <v>-82.15100000000001</v>
      </c>
      <c r="W20" s="77">
        <f>Model!W15</f>
        <v>-185.16499999999999</v>
      </c>
      <c r="X20" s="77">
        <f>Model!X15</f>
        <v>-320.19200000000001</v>
      </c>
      <c r="Y20" s="77">
        <f>Model!Y15</f>
        <v>-334.72943999999995</v>
      </c>
      <c r="Z20" s="77">
        <f>Model!Z15</f>
        <v>-322.23466000000008</v>
      </c>
    </row>
    <row r="21" spans="2:26" ht="11.85" customHeight="1">
      <c r="C21" s="46" t="s">
        <v>33</v>
      </c>
      <c r="F21" s="77">
        <f>Model!F16</f>
        <v>-84.376999999999995</v>
      </c>
      <c r="G21" s="77">
        <f>Model!G16</f>
        <v>-528.88400000000001</v>
      </c>
      <c r="H21" s="77">
        <f>Model!H16</f>
        <v>-2195.4360000000001</v>
      </c>
      <c r="I21" s="77">
        <f>Model!I16</f>
        <v>-3180.4430000000002</v>
      </c>
      <c r="J21" s="77">
        <f>Model!J16</f>
        <v>-5724.7974000000004</v>
      </c>
      <c r="K21" s="77">
        <f>Model!K16</f>
        <v>-10877.11506</v>
      </c>
      <c r="L21" s="77">
        <f>Model!L16</f>
        <v>-16304.795474940001</v>
      </c>
      <c r="M21" s="77">
        <f>Model!M16</f>
        <v>-26087.672759904002</v>
      </c>
      <c r="N21" s="77">
        <f>Model!N16</f>
        <v>-40435.892777851208</v>
      </c>
      <c r="O21" s="77">
        <f>Model!O16</f>
        <v>-56003.711497323922</v>
      </c>
      <c r="P21" s="77">
        <f>Model!P16</f>
        <v>-71096.711745852706</v>
      </c>
      <c r="Q21" s="77">
        <f>Model!Q16</f>
        <v>-84509.106416707815</v>
      </c>
      <c r="R21" s="77">
        <f>Model!R16</f>
        <v>-95668.956464566174</v>
      </c>
      <c r="S21" s="77">
        <f>Model!S16</f>
        <v>-104512.45129671597</v>
      </c>
      <c r="T21" s="77"/>
      <c r="U21" s="77">
        <f>Model!U16</f>
        <v>-859.21699999999998</v>
      </c>
      <c r="V21" s="77">
        <f>Model!V16</f>
        <v>-1336.2190000000001</v>
      </c>
      <c r="W21" s="77">
        <f>Model!W16</f>
        <v>-1594.6610000000001</v>
      </c>
      <c r="X21" s="77">
        <f>Model!X16</f>
        <v>-1585.7820000000002</v>
      </c>
      <c r="Y21" s="77">
        <f>Model!Y16</f>
        <v>-2789.4119999999998</v>
      </c>
      <c r="Z21" s="77">
        <f>Model!Z16</f>
        <v>-2935.3854000000006</v>
      </c>
    </row>
    <row r="22" spans="2:26" ht="11.85" hidden="1" customHeight="1">
      <c r="D22" s="46" t="s">
        <v>377</v>
      </c>
      <c r="F22" s="77">
        <f>-Model!F97</f>
        <v>-14.632999999999999</v>
      </c>
      <c r="G22" s="77">
        <f>-Model!G97</f>
        <v>-311.74599999999998</v>
      </c>
      <c r="H22" s="77">
        <f>-Model!H97</f>
        <v>-1552.8320000000001</v>
      </c>
      <c r="I22" s="77">
        <f>-Model!I97</f>
        <v>-2249.5275036830953</v>
      </c>
      <c r="J22" s="77">
        <f>-Model!J97</f>
        <v>-4049.1495066295715</v>
      </c>
      <c r="K22" s="77">
        <f>-Model!K97</f>
        <v>-7693.3840625961857</v>
      </c>
      <c r="L22" s="77">
        <f>-Model!L97</f>
        <v>-11532.382709831683</v>
      </c>
      <c r="M22" s="77">
        <f>-Model!M97</f>
        <v>-18451.812335730694</v>
      </c>
      <c r="N22" s="77">
        <f>-Model!N97</f>
        <v>-28600.309120382579</v>
      </c>
      <c r="O22" s="77">
        <f>-Model!O97</f>
        <v>-39611.428131729866</v>
      </c>
      <c r="P22" s="77">
        <f>-Model!P97</f>
        <v>-50286.708013231058</v>
      </c>
      <c r="Q22" s="77">
        <f>-Model!Q97</f>
        <v>-59773.295479927096</v>
      </c>
      <c r="R22" s="77">
        <f>-Model!R97</f>
        <v>-67666.658014528875</v>
      </c>
      <c r="S22" s="77">
        <f>-Model!S97</f>
        <v>-73921.662381404894</v>
      </c>
      <c r="T22" s="77"/>
      <c r="U22" s="77">
        <f>-Model!U97</f>
        <v>-603.23699999999997</v>
      </c>
      <c r="V22" s="77">
        <f>-Model!V97</f>
        <v>-949.59500000000014</v>
      </c>
      <c r="W22" s="77">
        <f>-Model!W97</f>
        <v>-1145.124</v>
      </c>
      <c r="X22" s="77">
        <f>-Model!X97</f>
        <v>0</v>
      </c>
      <c r="Y22" s="77">
        <f>-Model!Y97</f>
        <v>0</v>
      </c>
      <c r="Z22" s="77">
        <f>-Model!Z97</f>
        <v>0</v>
      </c>
    </row>
    <row r="23" spans="2:26" ht="11.85" customHeight="1" collapsed="1"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64"/>
      <c r="U23" s="64"/>
      <c r="V23" s="64"/>
      <c r="W23" s="64"/>
      <c r="X23" s="64"/>
      <c r="Y23" s="64"/>
      <c r="Z23" s="64"/>
    </row>
    <row r="24" spans="2:26" ht="11.85" customHeight="1">
      <c r="B24" s="46" t="s">
        <v>35</v>
      </c>
      <c r="F24" s="77">
        <f>Model!F19</f>
        <v>-98.719000000000008</v>
      </c>
      <c r="G24" s="77">
        <f>Model!G19</f>
        <v>-625.72299999999996</v>
      </c>
      <c r="H24" s="77">
        <f>Model!H19</f>
        <v>-2538.3519999999999</v>
      </c>
      <c r="I24" s="77">
        <f>Model!I19</f>
        <v>-3786.7500000000005</v>
      </c>
      <c r="J24" s="77">
        <f>Model!J19</f>
        <v>-5045.2420226000004</v>
      </c>
      <c r="K24" s="77">
        <f>Model!K19</f>
        <v>-5673.3259670396747</v>
      </c>
      <c r="L24" s="77">
        <f>Model!L19</f>
        <v>-2268.7449579365712</v>
      </c>
      <c r="M24" s="77">
        <f>Model!M19</f>
        <v>6134.1057347939386</v>
      </c>
      <c r="N24" s="77">
        <f>Model!N19</f>
        <v>23417.698665726981</v>
      </c>
      <c r="O24" s="77">
        <f>Model!O19</f>
        <v>57241.337858473191</v>
      </c>
      <c r="P24" s="77">
        <f>Model!P19</f>
        <v>106486.3739884261</v>
      </c>
      <c r="Q24" s="77">
        <f>Model!Q19</f>
        <v>173888.54352285725</v>
      </c>
      <c r="R24" s="77">
        <f>Model!R19</f>
        <v>257902.96835688042</v>
      </c>
      <c r="S24" s="77">
        <f>Model!S19</f>
        <v>355481.40389938798</v>
      </c>
      <c r="T24" s="64"/>
      <c r="U24" s="77">
        <f>Model!U19</f>
        <v>-1029.4929999999997</v>
      </c>
      <c r="V24" s="77">
        <f>Model!V19</f>
        <v>-1508.8589999999999</v>
      </c>
      <c r="W24" s="77">
        <f>Model!W19</f>
        <v>-1899.2250000000001</v>
      </c>
      <c r="X24" s="77">
        <f>Model!X19</f>
        <v>-1887.5250000000001</v>
      </c>
      <c r="Y24" s="77">
        <f>Model!Y19</f>
        <v>-2972.4928799999998</v>
      </c>
      <c r="Z24" s="77">
        <f>Model!Z19</f>
        <v>-2072.7491426000006</v>
      </c>
    </row>
    <row r="25" spans="2:26" ht="11.85" customHeight="1">
      <c r="B25" s="83" t="s">
        <v>36</v>
      </c>
      <c r="C25" s="84"/>
      <c r="D25" s="84"/>
      <c r="E25" s="84"/>
      <c r="F25" s="85">
        <f>Model!F23</f>
        <v>-97.695000000000007</v>
      </c>
      <c r="G25" s="85">
        <f>Model!G23</f>
        <v>-620.221</v>
      </c>
      <c r="H25" s="85">
        <f>Model!H23</f>
        <v>-2514.7729999999997</v>
      </c>
      <c r="I25" s="85">
        <f>Model!I23</f>
        <v>-3228.4850000000006</v>
      </c>
      <c r="J25" s="85">
        <f>Model!J23</f>
        <v>-4375.3240226000007</v>
      </c>
      <c r="K25" s="85">
        <f>Model!K23</f>
        <v>-4869.4243670396745</v>
      </c>
      <c r="L25" s="85">
        <f>Model!L23</f>
        <v>-1304.0630379365712</v>
      </c>
      <c r="M25" s="85">
        <f>Model!M23</f>
        <v>7195.2558467939389</v>
      </c>
      <c r="N25" s="85">
        <f>Model!N23</f>
        <v>24584.96378892698</v>
      </c>
      <c r="O25" s="85">
        <f>Model!O23</f>
        <v>58525.329493993195</v>
      </c>
      <c r="P25" s="85">
        <f>Model!P23</f>
        <v>107898.7647874981</v>
      </c>
      <c r="Q25" s="85">
        <f>Model!Q23</f>
        <v>175442.17340183645</v>
      </c>
      <c r="R25" s="85">
        <f>Model!R23</f>
        <v>259611.96122375753</v>
      </c>
      <c r="S25" s="85">
        <f>Model!S23</f>
        <v>357361.29605295282</v>
      </c>
      <c r="T25" s="64"/>
      <c r="U25" s="85">
        <f>Model!U23</f>
        <v>-1025.2759999999996</v>
      </c>
      <c r="V25" s="85">
        <f>Model!V23</f>
        <v>-1489.4969999999998</v>
      </c>
      <c r="W25" s="85">
        <f>Model!W23</f>
        <v>-1740.373</v>
      </c>
      <c r="X25" s="85">
        <f>Model!X23</f>
        <v>-1488.1120000000001</v>
      </c>
      <c r="Y25" s="85">
        <f>Model!Y23</f>
        <v>-2637.53388</v>
      </c>
      <c r="Z25" s="85">
        <f>Model!Z23</f>
        <v>-1737.7901426000005</v>
      </c>
    </row>
    <row r="26" spans="2:26" ht="11.85" customHeight="1">
      <c r="B26" s="72"/>
      <c r="C26" s="66" t="s">
        <v>26</v>
      </c>
      <c r="F26" s="76"/>
      <c r="G26" s="82">
        <f>-(G25/F25-1)</f>
        <v>-5.348543937765494</v>
      </c>
      <c r="H26" s="82">
        <f t="shared" ref="H26:M26" si="5">-(H25/G25-1)</f>
        <v>-3.0546402008316385</v>
      </c>
      <c r="I26" s="82">
        <f t="shared" si="5"/>
        <v>-0.28380772340088001</v>
      </c>
      <c r="J26" s="82">
        <f t="shared" si="5"/>
        <v>-0.35522513581447646</v>
      </c>
      <c r="K26" s="82">
        <f t="shared" si="5"/>
        <v>-0.11292885781429707</v>
      </c>
      <c r="L26" s="82">
        <f t="shared" si="5"/>
        <v>0.73219359422367103</v>
      </c>
      <c r="M26" s="82">
        <f t="shared" si="5"/>
        <v>6.5175675082234115</v>
      </c>
      <c r="N26" s="82">
        <f t="shared" ref="N26:S26" si="6">N25/M25-1</f>
        <v>2.4168296878395985</v>
      </c>
      <c r="O26" s="82">
        <f t="shared" si="6"/>
        <v>1.3805334836552774</v>
      </c>
      <c r="P26" s="82">
        <f t="shared" si="6"/>
        <v>0.84362507174901769</v>
      </c>
      <c r="Q26" s="82">
        <f t="shared" si="6"/>
        <v>0.62598871031899339</v>
      </c>
      <c r="R26" s="82">
        <f t="shared" si="6"/>
        <v>0.47975800909133071</v>
      </c>
      <c r="S26" s="82">
        <f t="shared" si="6"/>
        <v>0.37652092133361248</v>
      </c>
      <c r="T26" s="64"/>
      <c r="U26" s="64"/>
      <c r="V26" s="64"/>
      <c r="W26" s="182">
        <f>-(W25/U25-1)</f>
        <v>-0.69746780379136997</v>
      </c>
      <c r="X26" s="182">
        <f t="shared" ref="X26:Z26" si="7">-(X25/V25-1)</f>
        <v>9.2984410173346799E-4</v>
      </c>
      <c r="Y26" s="182">
        <f t="shared" si="7"/>
        <v>-0.51549919471285754</v>
      </c>
      <c r="Z26" s="182">
        <f t="shared" si="7"/>
        <v>-0.16778182193275804</v>
      </c>
    </row>
    <row r="27" spans="2:26" ht="11.85" customHeight="1">
      <c r="B27" s="72"/>
      <c r="C27" s="66" t="s">
        <v>378</v>
      </c>
      <c r="F27" s="76"/>
      <c r="G27" s="82">
        <f>G25/G9</f>
        <v>-4.9801747257865063</v>
      </c>
      <c r="H27" s="82">
        <f>H25/H9</f>
        <v>-8.0494888193230771</v>
      </c>
      <c r="I27" s="82">
        <f>I25/I9</f>
        <v>-4.4571772138267711</v>
      </c>
      <c r="J27" s="82">
        <f>J25/J9</f>
        <v>-0.69019828794346594</v>
      </c>
      <c r="K27" s="82">
        <f>K25/K9</f>
        <v>-0.20524678185163159</v>
      </c>
      <c r="L27" s="82">
        <f t="shared" ref="L27:S27" si="8">L25/L5</f>
        <v>-0.48916989575913222</v>
      </c>
      <c r="M27" s="82">
        <f t="shared" si="8"/>
        <v>1.8805699858875102</v>
      </c>
      <c r="N27" s="82">
        <f t="shared" si="8"/>
        <v>4.6530993069701703</v>
      </c>
      <c r="O27" s="82">
        <f t="shared" si="8"/>
        <v>8.3701637420661807</v>
      </c>
      <c r="P27" s="82">
        <f t="shared" si="8"/>
        <v>12.220480526214594</v>
      </c>
      <c r="Q27" s="82">
        <f t="shared" si="8"/>
        <v>16.567299596743613</v>
      </c>
      <c r="R27" s="82">
        <f t="shared" si="8"/>
        <v>21.625577395912483</v>
      </c>
      <c r="S27" s="82">
        <f t="shared" si="8"/>
        <v>27.924396710581064</v>
      </c>
      <c r="T27" s="64"/>
      <c r="U27" s="64"/>
      <c r="V27" s="64"/>
      <c r="W27" s="82">
        <f>W25/W9</f>
        <v>-9.1177721778946665</v>
      </c>
      <c r="X27" s="82">
        <f t="shared" ref="X27:Z27" si="9">X25/X9</f>
        <v>-2.7895631700399464</v>
      </c>
      <c r="Y27" s="82">
        <f t="shared" si="9"/>
        <v>-2.3638798069270512</v>
      </c>
      <c r="Z27" s="82">
        <f t="shared" si="9"/>
        <v>-0.33268929363367661</v>
      </c>
    </row>
    <row r="28" spans="2:26" ht="11.85" customHeight="1">
      <c r="B28" s="72"/>
      <c r="C28" s="66"/>
      <c r="F28" s="76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64"/>
      <c r="U28" s="64"/>
      <c r="V28" s="64"/>
      <c r="W28" s="64"/>
      <c r="X28" s="64"/>
      <c r="Y28" s="64"/>
      <c r="Z28" s="64"/>
    </row>
    <row r="29" spans="2:26" s="72" customFormat="1" ht="11.85" customHeight="1">
      <c r="B29" s="72" t="s">
        <v>41</v>
      </c>
      <c r="F29" s="73">
        <f>Model!F32</f>
        <v>-143.65000000000003</v>
      </c>
      <c r="G29" s="73">
        <f>Model!G32</f>
        <v>-787.97699999999998</v>
      </c>
      <c r="H29" s="73">
        <f>Model!H32</f>
        <v>-2958.0069999999996</v>
      </c>
      <c r="I29" s="73">
        <f>Model!I32</f>
        <v>-4718.1670000000004</v>
      </c>
      <c r="J29" s="73">
        <f>Model!J32</f>
        <v>-5080.9476877973884</v>
      </c>
      <c r="K29" s="73">
        <f>Model!K32</f>
        <v>-5709.0316322370627</v>
      </c>
      <c r="L29" s="73">
        <f>Model!L32</f>
        <v>-2304.4506231339587</v>
      </c>
      <c r="M29" s="73">
        <f>Model!M32</f>
        <v>6098.4000695965506</v>
      </c>
      <c r="N29" s="73">
        <f>Model!N32</f>
        <v>23381.993000529594</v>
      </c>
      <c r="O29" s="73">
        <f>Model!O32</f>
        <v>57205.6321932758</v>
      </c>
      <c r="P29" s="73">
        <f>Model!P32</f>
        <v>106450.66832322872</v>
      </c>
      <c r="Q29" s="73">
        <f>Model!Q32</f>
        <v>173852.83785765985</v>
      </c>
      <c r="R29" s="73">
        <f>Model!R32</f>
        <v>257867.26269168302</v>
      </c>
      <c r="S29" s="73">
        <f>Model!S32</f>
        <v>355445.69823419058</v>
      </c>
      <c r="T29" s="74"/>
      <c r="U29" s="73">
        <f>Model!U32</f>
        <v>-1235.5509999999997</v>
      </c>
      <c r="V29" s="73">
        <f>Model!V32</f>
        <v>-1722.4559999999997</v>
      </c>
      <c r="W29" s="73">
        <f>Model!W32</f>
        <v>-2357.8520000000003</v>
      </c>
      <c r="X29" s="73">
        <f>Model!X32</f>
        <v>-2360.3150000000001</v>
      </c>
      <c r="Y29" s="73">
        <f>Model!Y32</f>
        <v>-2990.3457125986938</v>
      </c>
      <c r="Z29" s="73">
        <f>Model!Z32</f>
        <v>-2090.6019751986946</v>
      </c>
    </row>
    <row r="30" spans="2:26" s="92" customFormat="1" ht="11.85" customHeight="1">
      <c r="C30" s="92" t="s">
        <v>42</v>
      </c>
      <c r="F30" s="77">
        <f>Model!F33</f>
        <v>0</v>
      </c>
      <c r="G30" s="77">
        <f>Model!G33</f>
        <v>0</v>
      </c>
      <c r="H30" s="77">
        <f>Model!H33</f>
        <v>0</v>
      </c>
      <c r="I30" s="77">
        <f>Model!I33</f>
        <v>0</v>
      </c>
      <c r="J30" s="77">
        <f>Model!J33</f>
        <v>0</v>
      </c>
      <c r="K30" s="77">
        <f>Model!K33</f>
        <v>0</v>
      </c>
      <c r="L30" s="77">
        <f>Model!L33</f>
        <v>0</v>
      </c>
      <c r="M30" s="77">
        <f>Model!M33</f>
        <v>-1097.7120125273791</v>
      </c>
      <c r="N30" s="77">
        <f>Model!N33</f>
        <v>-4208.7587400953271</v>
      </c>
      <c r="O30" s="77">
        <f>Model!O33</f>
        <v>-10297.013794789644</v>
      </c>
      <c r="P30" s="77">
        <f>Model!P33</f>
        <v>-19161.120298181169</v>
      </c>
      <c r="Q30" s="77">
        <f>Model!Q33</f>
        <v>-31293.510814378773</v>
      </c>
      <c r="R30" s="77">
        <f>Model!R33</f>
        <v>-46416.107284502941</v>
      </c>
      <c r="S30" s="77">
        <f>Model!S33</f>
        <v>-63980.225682154305</v>
      </c>
      <c r="T30" s="59"/>
      <c r="U30" s="77">
        <f>Model!U33</f>
        <v>0</v>
      </c>
      <c r="V30" s="77">
        <f>Model!V33</f>
        <v>0</v>
      </c>
      <c r="W30" s="77">
        <f>Model!W33</f>
        <v>0</v>
      </c>
      <c r="X30" s="77">
        <f>Model!X33</f>
        <v>0</v>
      </c>
      <c r="Y30" s="77">
        <f>Model!Y33</f>
        <v>0</v>
      </c>
      <c r="Z30" s="77">
        <f>Model!Z33</f>
        <v>0</v>
      </c>
    </row>
    <row r="31" spans="2:26" ht="11.85" customHeight="1">
      <c r="B31" s="46" t="s">
        <v>43</v>
      </c>
      <c r="F31" s="67">
        <f>Model!F35</f>
        <v>-143.65000000000003</v>
      </c>
      <c r="G31" s="67">
        <f>Model!G35</f>
        <v>-787.97699999999998</v>
      </c>
      <c r="H31" s="67">
        <f>Model!H35</f>
        <v>-2958.0069999999996</v>
      </c>
      <c r="I31" s="67">
        <f>Model!I35</f>
        <v>-4718.1670000000004</v>
      </c>
      <c r="J31" s="67">
        <f>Model!J35</f>
        <v>-5080.9476877973884</v>
      </c>
      <c r="K31" s="67">
        <f>Model!K35</f>
        <v>-5709.0316322370627</v>
      </c>
      <c r="L31" s="67">
        <f>Model!L35</f>
        <v>-2304.4506231339587</v>
      </c>
      <c r="M31" s="67">
        <f>Model!M35</f>
        <v>5000.6880570691719</v>
      </c>
      <c r="N31" s="67">
        <f>Model!N35</f>
        <v>19173.234260434267</v>
      </c>
      <c r="O31" s="67">
        <f>Model!O35</f>
        <v>46908.618398486156</v>
      </c>
      <c r="P31" s="67">
        <f>Model!P35</f>
        <v>87289.548025047552</v>
      </c>
      <c r="Q31" s="67">
        <f>Model!Q35</f>
        <v>142559.32704328108</v>
      </c>
      <c r="R31" s="67">
        <f>Model!R35</f>
        <v>211451.15540718008</v>
      </c>
      <c r="S31" s="67">
        <f>Model!S35</f>
        <v>291465.47255203628</v>
      </c>
      <c r="T31" s="64"/>
      <c r="U31" s="67">
        <f>Model!U35</f>
        <v>-1235.5509999999997</v>
      </c>
      <c r="V31" s="67">
        <f>Model!V35</f>
        <v>-1722.4559999999997</v>
      </c>
      <c r="W31" s="67">
        <f>Model!W35</f>
        <v>-2357.8520000000003</v>
      </c>
      <c r="X31" s="67">
        <f>Model!X35</f>
        <v>-2360.3150000000001</v>
      </c>
      <c r="Y31" s="67">
        <f>Model!Y35</f>
        <v>-2990.3457125986938</v>
      </c>
      <c r="Z31" s="67">
        <f>Model!Z35</f>
        <v>-2090.6019751986946</v>
      </c>
    </row>
    <row r="32" spans="2:26" s="92" customFormat="1" ht="11.85" customHeight="1">
      <c r="B32" s="93" t="s">
        <v>54</v>
      </c>
      <c r="C32" s="94"/>
      <c r="D32" s="94"/>
      <c r="E32" s="94"/>
      <c r="F32" s="85">
        <f>Model!F50</f>
        <v>-97.41700000000003</v>
      </c>
      <c r="G32" s="85">
        <f>Model!G50</f>
        <v>-621.00399999999991</v>
      </c>
      <c r="H32" s="85">
        <f>Model!H50</f>
        <v>-2465.5689999999995</v>
      </c>
      <c r="I32" s="85">
        <f>Model!I50</f>
        <v>-3181.9720000000007</v>
      </c>
      <c r="J32" s="85">
        <f>Model!J50</f>
        <v>-4411.0296877973888</v>
      </c>
      <c r="K32" s="85">
        <f>Model!K50</f>
        <v>-4905.1300322370626</v>
      </c>
      <c r="L32" s="85">
        <f>Model!L50</f>
        <v>-1339.7687031339588</v>
      </c>
      <c r="M32" s="85">
        <f>Model!M50</f>
        <v>6061.8381690691722</v>
      </c>
      <c r="N32" s="85">
        <f>Model!N50</f>
        <v>20340.499383634266</v>
      </c>
      <c r="O32" s="85">
        <f>Model!O50</f>
        <v>48192.610034006153</v>
      </c>
      <c r="P32" s="85">
        <f>Model!P50</f>
        <v>88701.938824119556</v>
      </c>
      <c r="Q32" s="85">
        <f>Model!Q50</f>
        <v>144112.95692226029</v>
      </c>
      <c r="R32" s="85">
        <f>Model!R50</f>
        <v>213160.1482740572</v>
      </c>
      <c r="S32" s="85">
        <f>Model!S50</f>
        <v>293345.36470560113</v>
      </c>
      <c r="T32" s="58"/>
      <c r="U32" s="85">
        <f>Model!U50</f>
        <v>-1030.1599999999996</v>
      </c>
      <c r="V32" s="85">
        <f>Model!V50</f>
        <v>-1435.4089999999997</v>
      </c>
      <c r="W32" s="85">
        <f>Model!W50</f>
        <v>-1751.9740000000002</v>
      </c>
      <c r="X32" s="85">
        <f>Model!X50</f>
        <v>-1429.998</v>
      </c>
      <c r="Y32" s="85">
        <f>Model!Y50</f>
        <v>-2655.386712598694</v>
      </c>
      <c r="Z32" s="85">
        <f>Model!Z50</f>
        <v>-1755.6429751986946</v>
      </c>
    </row>
    <row r="33" spans="2:26" s="92" customFormat="1" ht="11.85" customHeight="1">
      <c r="B33" s="55"/>
      <c r="C33" s="66" t="s">
        <v>26</v>
      </c>
      <c r="F33" s="80"/>
      <c r="G33" s="82">
        <f>-(G32/F32-1)</f>
        <v>-5.3746984612541926</v>
      </c>
      <c r="H33" s="82">
        <f t="shared" ref="H33:M33" si="10">-(H32/G32-1)</f>
        <v>-2.970294877327682</v>
      </c>
      <c r="I33" s="82">
        <f t="shared" si="10"/>
        <v>-0.29056294916102576</v>
      </c>
      <c r="J33" s="82">
        <f t="shared" si="10"/>
        <v>-0.38625660056008915</v>
      </c>
      <c r="K33" s="82">
        <f t="shared" si="10"/>
        <v>-0.11201474018788549</v>
      </c>
      <c r="L33" s="82">
        <f t="shared" si="10"/>
        <v>0.72686377438949645</v>
      </c>
      <c r="M33" s="82">
        <f t="shared" si="10"/>
        <v>5.5245408068493074</v>
      </c>
      <c r="N33" s="82">
        <f t="shared" ref="N33:S33" si="11">N32/M32-1</f>
        <v>2.3555002321610408</v>
      </c>
      <c r="O33" s="82">
        <f t="shared" si="11"/>
        <v>1.3692933553431526</v>
      </c>
      <c r="P33" s="82">
        <f t="shared" si="11"/>
        <v>0.84057138141156496</v>
      </c>
      <c r="Q33" s="82">
        <f t="shared" si="11"/>
        <v>0.62468778960977511</v>
      </c>
      <c r="R33" s="82">
        <f t="shared" si="11"/>
        <v>0.4791185527408437</v>
      </c>
      <c r="S33" s="82">
        <f t="shared" si="11"/>
        <v>0.37617358160424463</v>
      </c>
      <c r="T33" s="58"/>
      <c r="U33" s="80"/>
      <c r="V33" s="58"/>
      <c r="W33" s="163">
        <f>-(W32/U32-1)</f>
        <v>-0.70068144754213013</v>
      </c>
      <c r="X33" s="163">
        <f t="shared" ref="X33:Z33" si="12">-(X32/V32-1)</f>
        <v>3.7696572893158864E-3</v>
      </c>
      <c r="Y33" s="163">
        <f t="shared" si="12"/>
        <v>-0.51565417785805834</v>
      </c>
      <c r="Z33" s="163">
        <f t="shared" si="12"/>
        <v>-0.227724077375419</v>
      </c>
    </row>
    <row r="34" spans="2:26" s="92" customFormat="1" ht="11.85" customHeight="1">
      <c r="B34" s="55"/>
      <c r="C34" s="66" t="s">
        <v>379</v>
      </c>
      <c r="F34" s="80"/>
      <c r="G34" s="82">
        <f>G32/G9</f>
        <v>-4.9864619634167875</v>
      </c>
      <c r="H34" s="82">
        <f>H32/H9</f>
        <v>-7.8919926763845396</v>
      </c>
      <c r="I34" s="82">
        <f>I32/I9</f>
        <v>-4.392962362666947</v>
      </c>
      <c r="J34" s="82">
        <f>J32/J9</f>
        <v>-0.6958307825568536</v>
      </c>
      <c r="K34" s="82">
        <f>K32/K9</f>
        <v>-0.20675177963437585</v>
      </c>
      <c r="L34" s="82">
        <f t="shared" ref="L34:S34" si="13">L32/L9</f>
        <v>-2.2781551947719862E-2</v>
      </c>
      <c r="M34" s="82">
        <f t="shared" si="13"/>
        <v>5.0262496155524944E-2</v>
      </c>
      <c r="N34" s="82">
        <f t="shared" si="13"/>
        <v>9.2627094548536903E-2</v>
      </c>
      <c r="O34" s="82">
        <f t="shared" si="13"/>
        <v>0.13331282284825485</v>
      </c>
      <c r="P34" s="82">
        <f t="shared" si="13"/>
        <v>0.16240547770311878</v>
      </c>
      <c r="Q34" s="82">
        <f t="shared" si="13"/>
        <v>0.18767251271504712</v>
      </c>
      <c r="R34" s="82">
        <f t="shared" si="13"/>
        <v>0.20957703898860885</v>
      </c>
      <c r="S34" s="82">
        <f t="shared" si="13"/>
        <v>0.22867098924283188</v>
      </c>
      <c r="T34" s="58"/>
      <c r="U34" s="80"/>
      <c r="V34" s="58"/>
      <c r="W34" s="82">
        <f t="shared" ref="W34:Z34" si="14">W32/W9</f>
        <v>-9.1785495371364831</v>
      </c>
      <c r="X34" s="82">
        <f t="shared" si="14"/>
        <v>-2.6806246801522891</v>
      </c>
      <c r="Y34" s="82">
        <f t="shared" si="14"/>
        <v>-2.3798803409093869</v>
      </c>
      <c r="Z34" s="82">
        <f t="shared" si="14"/>
        <v>-0.33610710923811632</v>
      </c>
    </row>
    <row r="35" spans="2:26" s="92" customFormat="1" ht="11.85" customHeight="1" thickBot="1">
      <c r="B35" s="55"/>
      <c r="C35" s="66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58"/>
      <c r="U35" s="80"/>
      <c r="V35" s="58"/>
      <c r="W35" s="58"/>
      <c r="X35" s="58"/>
      <c r="Y35" s="58"/>
      <c r="Z35" s="58"/>
    </row>
    <row r="36" spans="2:26" ht="11.85" customHeight="1">
      <c r="B36" s="299" t="s">
        <v>380</v>
      </c>
      <c r="C36" s="300"/>
      <c r="D36" s="300"/>
      <c r="E36" s="300"/>
      <c r="F36" s="301"/>
      <c r="G36" s="302">
        <f t="shared" ref="G36:S36" si="15">G14/G9</f>
        <v>0.64624451974497754</v>
      </c>
      <c r="H36" s="302">
        <f t="shared" si="15"/>
        <v>0.56299973752776755</v>
      </c>
      <c r="I36" s="302">
        <f t="shared" si="15"/>
        <v>0.40955691711282372</v>
      </c>
      <c r="J36" s="302">
        <f t="shared" si="15"/>
        <v>0.28576049598143632</v>
      </c>
      <c r="K36" s="302">
        <f t="shared" si="15"/>
        <v>0.27230373943978758</v>
      </c>
      <c r="L36" s="302">
        <f t="shared" si="15"/>
        <v>0.27837255390311028</v>
      </c>
      <c r="M36" s="302">
        <f t="shared" si="15"/>
        <v>0.29420014036700987</v>
      </c>
      <c r="N36" s="302">
        <f t="shared" si="15"/>
        <v>0.31173692501373673</v>
      </c>
      <c r="O36" s="302">
        <f t="shared" si="15"/>
        <v>0.33022234013692414</v>
      </c>
      <c r="P36" s="302">
        <f t="shared" si="15"/>
        <v>0.33920309395540105</v>
      </c>
      <c r="Q36" s="302">
        <f t="shared" si="15"/>
        <v>0.34844762420481096</v>
      </c>
      <c r="R36" s="302">
        <f t="shared" si="15"/>
        <v>0.35783273477740768</v>
      </c>
      <c r="S36" s="302">
        <f t="shared" si="15"/>
        <v>0.36729447532584564</v>
      </c>
      <c r="T36" s="303"/>
      <c r="U36" s="302">
        <f>U14/U9</f>
        <v>0.48896657685541883</v>
      </c>
      <c r="V36" s="302">
        <f>V14/V9</f>
        <v>0.57542849666361384</v>
      </c>
      <c r="W36" s="302">
        <f>W14/W9</f>
        <v>0.49992403484966752</v>
      </c>
      <c r="X36" s="302">
        <f>X14/X9</f>
        <v>0.37722253152550261</v>
      </c>
      <c r="Y36" s="302">
        <f t="shared" ref="Y36:Z36" si="16">Y14/Y9</f>
        <v>0.34091445078747773</v>
      </c>
      <c r="Z36" s="302">
        <f t="shared" si="16"/>
        <v>0.27397926120572458</v>
      </c>
    </row>
    <row r="37" spans="2:26" ht="11.85" customHeight="1">
      <c r="B37" s="304" t="s">
        <v>381</v>
      </c>
      <c r="G37" s="305">
        <f>G25/G9</f>
        <v>-4.9801747257865063</v>
      </c>
      <c r="H37" s="305">
        <f>H25/H9</f>
        <v>-8.0494888193230771</v>
      </c>
      <c r="I37" s="305">
        <f>I25/I9</f>
        <v>-4.4571772138267711</v>
      </c>
      <c r="J37" s="305">
        <f>J25/J9</f>
        <v>-0.69019828794346594</v>
      </c>
      <c r="K37" s="305">
        <f>K25/K9</f>
        <v>-0.20524678185163159</v>
      </c>
      <c r="L37" s="305">
        <f t="shared" ref="L37:S37" si="17">L25/L5</f>
        <v>-0.48916989575913222</v>
      </c>
      <c r="M37" s="305">
        <f t="shared" si="17"/>
        <v>1.8805699858875102</v>
      </c>
      <c r="N37" s="305">
        <f t="shared" si="17"/>
        <v>4.6530993069701703</v>
      </c>
      <c r="O37" s="305">
        <f t="shared" si="17"/>
        <v>8.3701637420661807</v>
      </c>
      <c r="P37" s="305">
        <f t="shared" si="17"/>
        <v>12.220480526214594</v>
      </c>
      <c r="Q37" s="305">
        <f t="shared" si="17"/>
        <v>16.567299596743613</v>
      </c>
      <c r="R37" s="305">
        <f t="shared" si="17"/>
        <v>21.625577395912483</v>
      </c>
      <c r="S37" s="305">
        <f t="shared" si="17"/>
        <v>27.924396710581064</v>
      </c>
      <c r="U37" s="305">
        <f>U25/U5</f>
        <v>-38.248004178169047</v>
      </c>
      <c r="V37" s="305">
        <f>V25/V5</f>
        <v>-6.2815109394240984</v>
      </c>
      <c r="W37" s="305">
        <f>W25/W5</f>
        <v>-10.757851857804262</v>
      </c>
      <c r="X37" s="305">
        <f>X25/X5</f>
        <v>-3.9983878681706062</v>
      </c>
      <c r="Y37" s="305">
        <f t="shared" ref="Y37:Z37" si="18">Y25/Y5</f>
        <v>-6.7931315947260735</v>
      </c>
      <c r="Z37" s="305">
        <f t="shared" si="18"/>
        <v>-2.4736424100012822</v>
      </c>
    </row>
    <row r="38" spans="2:26" ht="11.85" customHeight="1" thickBot="1">
      <c r="B38" s="306" t="s">
        <v>382</v>
      </c>
      <c r="C38" s="307"/>
      <c r="D38" s="307"/>
      <c r="E38" s="307"/>
      <c r="F38" s="308"/>
      <c r="G38" s="309">
        <f t="shared" ref="G38:S38" si="19">G32/G9</f>
        <v>-4.9864619634167875</v>
      </c>
      <c r="H38" s="309">
        <f t="shared" si="19"/>
        <v>-7.8919926763845396</v>
      </c>
      <c r="I38" s="309">
        <f t="shared" si="19"/>
        <v>-4.392962362666947</v>
      </c>
      <c r="J38" s="309">
        <f t="shared" si="19"/>
        <v>-0.6958307825568536</v>
      </c>
      <c r="K38" s="309">
        <f t="shared" si="19"/>
        <v>-0.20675177963437585</v>
      </c>
      <c r="L38" s="309">
        <f t="shared" si="19"/>
        <v>-2.2781551947719862E-2</v>
      </c>
      <c r="M38" s="309">
        <f t="shared" si="19"/>
        <v>5.0262496155524944E-2</v>
      </c>
      <c r="N38" s="309">
        <f t="shared" si="19"/>
        <v>9.2627094548536903E-2</v>
      </c>
      <c r="O38" s="309">
        <f t="shared" si="19"/>
        <v>0.13331282284825485</v>
      </c>
      <c r="P38" s="309">
        <f t="shared" si="19"/>
        <v>0.16240547770311878</v>
      </c>
      <c r="Q38" s="309">
        <f t="shared" si="19"/>
        <v>0.18767251271504712</v>
      </c>
      <c r="R38" s="309">
        <f t="shared" si="19"/>
        <v>0.20957703898860885</v>
      </c>
      <c r="S38" s="309">
        <f t="shared" si="19"/>
        <v>0.22867098924283188</v>
      </c>
      <c r="T38" s="310"/>
      <c r="U38" s="309">
        <f>U32/U9</f>
        <v>-22.938831859983512</v>
      </c>
      <c r="V38" s="309">
        <f>V32/V9</f>
        <v>-5.3659146558008253</v>
      </c>
      <c r="W38" s="309">
        <f>W32/W9</f>
        <v>-9.1785495371364831</v>
      </c>
      <c r="X38" s="309">
        <f>X32/X9</f>
        <v>-2.6806246801522891</v>
      </c>
      <c r="Y38" s="309">
        <f t="shared" ref="Y38:Z38" si="20">Y32/Y9</f>
        <v>-2.3798803409093869</v>
      </c>
      <c r="Z38" s="309">
        <f t="shared" si="20"/>
        <v>-0.33610710923811632</v>
      </c>
    </row>
  </sheetData>
  <printOptions horizontalCentered="1" verticalCentered="1"/>
  <pageMargins left="0.25" right="0.25" top="0.75" bottom="0.75" header="0.3" footer="0.3"/>
  <pageSetup paperSize="9" scale="44" fitToHeight="0" orientation="portrait" horizontalDpi="300" verticalDpi="300" r:id="rId1"/>
  <customProperties>
    <customPr name="Qube.Worksheet.Visibility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ED0A6-DF05-46E6-87C6-B8D804C2BB0F}">
  <dimension ref="B1:R122"/>
  <sheetViews>
    <sheetView showGridLines="0" zoomScale="115" zoomScaleNormal="115" workbookViewId="0">
      <pane xSplit="2" ySplit="4" topLeftCell="C5" activePane="bottomRight" state="frozen"/>
      <selection activeCell="E20" sqref="E20"/>
      <selection pane="topRight" activeCell="E20" sqref="E20"/>
      <selection pane="bottomLeft" activeCell="E20" sqref="E20"/>
      <selection pane="bottomRight" activeCell="C5" sqref="C5"/>
    </sheetView>
  </sheetViews>
  <sheetFormatPr defaultColWidth="9.140625" defaultRowHeight="12.75"/>
  <cols>
    <col min="1" max="1" width="9.140625" style="185"/>
    <col min="2" max="2" width="54.140625" style="185" customWidth="1"/>
    <col min="3" max="3" width="10.28515625" style="185" bestFit="1" customWidth="1"/>
    <col min="4" max="6" width="9.28515625" style="185" bestFit="1" customWidth="1"/>
    <col min="7" max="7" width="10.140625" style="185" bestFit="1" customWidth="1"/>
    <col min="8" max="11" width="9.28515625" style="185" bestFit="1" customWidth="1"/>
    <col min="12" max="15" width="9.140625" style="185" hidden="1" customWidth="1"/>
    <col min="16" max="16" width="10.42578125" style="185" hidden="1" customWidth="1"/>
    <col min="17" max="17" width="0.85546875" style="185" customWidth="1" collapsed="1"/>
    <col min="18" max="18" width="11" style="185" customWidth="1"/>
    <col min="19" max="16384" width="9.140625" style="185"/>
  </cols>
  <sheetData>
    <row r="1" spans="2:18">
      <c r="C1" s="186">
        <v>7</v>
      </c>
    </row>
    <row r="2" spans="2:18">
      <c r="B2" s="187" t="s">
        <v>293</v>
      </c>
      <c r="D2" s="188"/>
      <c r="E2" s="188"/>
      <c r="F2" s="188">
        <v>392.74386635501833</v>
      </c>
      <c r="G2" s="188">
        <v>4963.0774964527154</v>
      </c>
      <c r="H2" s="188">
        <v>15407.532949307275</v>
      </c>
      <c r="I2" s="188">
        <v>36237.020963987008</v>
      </c>
      <c r="J2" s="188">
        <v>71860.359324123448</v>
      </c>
      <c r="K2" s="188">
        <v>125614.64276549724</v>
      </c>
    </row>
    <row r="3" spans="2:18">
      <c r="B3" s="187" t="s">
        <v>294</v>
      </c>
      <c r="D3" s="188"/>
      <c r="E3" s="188"/>
      <c r="F3" s="188">
        <f t="shared" ref="F3:K3" si="0">F2*$C$1</f>
        <v>2749.2070644851283</v>
      </c>
      <c r="G3" s="188">
        <f t="shared" si="0"/>
        <v>34741.542475169008</v>
      </c>
      <c r="H3" s="188">
        <f t="shared" si="0"/>
        <v>107852.73064515092</v>
      </c>
      <c r="I3" s="188">
        <f t="shared" si="0"/>
        <v>253659.14674790905</v>
      </c>
      <c r="J3" s="188">
        <f t="shared" si="0"/>
        <v>503022.51526886411</v>
      </c>
      <c r="K3" s="188">
        <f t="shared" si="0"/>
        <v>879302.49935848068</v>
      </c>
    </row>
    <row r="4" spans="2:18">
      <c r="B4" s="189" t="s">
        <v>295</v>
      </c>
      <c r="C4" s="190">
        <v>2022</v>
      </c>
      <c r="D4" s="190">
        <v>2023</v>
      </c>
      <c r="E4" s="190">
        <v>2024</v>
      </c>
      <c r="F4" s="191">
        <v>2025</v>
      </c>
      <c r="G4" s="191">
        <v>2026</v>
      </c>
      <c r="H4" s="191">
        <v>2027</v>
      </c>
      <c r="I4" s="191">
        <v>2028</v>
      </c>
      <c r="J4" s="191">
        <v>2029</v>
      </c>
      <c r="K4" s="191">
        <v>2030</v>
      </c>
      <c r="L4" s="191">
        <f>K4+1</f>
        <v>2031</v>
      </c>
      <c r="M4" s="191">
        <f t="shared" ref="M4:P4" si="1">L4+1</f>
        <v>2032</v>
      </c>
      <c r="N4" s="191">
        <f t="shared" si="1"/>
        <v>2033</v>
      </c>
      <c r="O4" s="191">
        <f t="shared" si="1"/>
        <v>2034</v>
      </c>
      <c r="P4" s="191">
        <f t="shared" si="1"/>
        <v>2035</v>
      </c>
      <c r="R4" s="191" t="s">
        <v>296</v>
      </c>
    </row>
    <row r="5" spans="2:18">
      <c r="B5" s="192" t="s">
        <v>25</v>
      </c>
      <c r="C5" s="193">
        <f xml:space="preserve"> Model!F4</f>
        <v>57.408999999999999</v>
      </c>
      <c r="D5" s="193">
        <f xml:space="preserve"> Model!G4</f>
        <v>124.53800000000001</v>
      </c>
      <c r="E5" s="193">
        <f xml:space="preserve"> Model!H4</f>
        <v>312.41399999999999</v>
      </c>
      <c r="F5" s="193">
        <f xml:space="preserve"> Model!I4</f>
        <v>724.33400000000006</v>
      </c>
      <c r="G5" s="193">
        <f xml:space="preserve"> Model!J4</f>
        <v>6339.2275799999998</v>
      </c>
      <c r="H5" s="193">
        <f xml:space="preserve"> Model!K4</f>
        <v>23724.729436000001</v>
      </c>
      <c r="I5" s="193">
        <f xml:space="preserve"> Model!L4</f>
        <v>58809.369362039986</v>
      </c>
      <c r="J5" s="193">
        <f xml:space="preserve"> Model!M4</f>
        <v>120603.603734926</v>
      </c>
      <c r="K5" s="193">
        <f xml:space="preserve"> Model!N4</f>
        <v>219595.56739605792</v>
      </c>
      <c r="L5" s="193">
        <f>K5*(1+L6)</f>
        <v>340746.44192846306</v>
      </c>
      <c r="M5" s="193">
        <f t="shared" ref="M5:P5" si="2">L5*(1+M6)</f>
        <v>472339.31033681624</v>
      </c>
      <c r="N5" s="193">
        <f t="shared" si="2"/>
        <v>581786.94129220129</v>
      </c>
      <c r="O5" s="193">
        <f t="shared" si="2"/>
        <v>639965.6354214215</v>
      </c>
      <c r="P5" s="193">
        <f t="shared" si="2"/>
        <v>671963.91719249263</v>
      </c>
      <c r="R5" s="193">
        <f>SUM(L5:P5)</f>
        <v>2706802.2461713948</v>
      </c>
    </row>
    <row r="6" spans="2:18">
      <c r="B6" s="194" t="s">
        <v>26</v>
      </c>
      <c r="C6" s="195"/>
      <c r="D6" s="195"/>
      <c r="E6" s="195">
        <f t="shared" ref="E6:K6" si="3">E5/D5-1</f>
        <v>1.50858372544926</v>
      </c>
      <c r="F6" s="195">
        <f t="shared" si="3"/>
        <v>1.3185068530859696</v>
      </c>
      <c r="G6" s="195">
        <f t="shared" si="3"/>
        <v>7.7518017654838776</v>
      </c>
      <c r="H6" s="195">
        <f t="shared" si="3"/>
        <v>2.7425268515127206</v>
      </c>
      <c r="I6" s="195">
        <f t="shared" si="3"/>
        <v>1.4788214980779677</v>
      </c>
      <c r="J6" s="195">
        <f t="shared" si="3"/>
        <v>1.0507549229523399</v>
      </c>
      <c r="K6" s="195">
        <f t="shared" si="3"/>
        <v>0.82080435903644977</v>
      </c>
      <c r="L6" s="196">
        <v>0.55169999999999997</v>
      </c>
      <c r="M6" s="196">
        <f>L6*0.7</f>
        <v>0.38618999999999998</v>
      </c>
      <c r="N6" s="196">
        <f>M6*0.6</f>
        <v>0.23171399999999998</v>
      </c>
      <c r="O6" s="196">
        <v>0.1</v>
      </c>
      <c r="P6" s="196">
        <v>0.05</v>
      </c>
      <c r="R6" s="196"/>
    </row>
    <row r="7" spans="2:18">
      <c r="B7" s="194" t="s">
        <v>297</v>
      </c>
      <c r="C7" s="197"/>
      <c r="D7" s="197"/>
      <c r="E7" s="198">
        <f>Revenue!H9</f>
        <v>48.484000000000002</v>
      </c>
      <c r="F7" s="198">
        <f>Revenue!I9</f>
        <v>190.37899999999999</v>
      </c>
      <c r="G7" s="198">
        <f>Revenue!J9</f>
        <v>5248.44</v>
      </c>
      <c r="H7" s="198">
        <f>Revenue!K9</f>
        <v>21931</v>
      </c>
      <c r="I7" s="198">
        <f>Revenue!L9</f>
        <v>56143.499999999985</v>
      </c>
      <c r="J7" s="198">
        <f>Revenue!M9</f>
        <v>116777.5</v>
      </c>
      <c r="K7" s="198">
        <f>Revenue!N9</f>
        <v>214312.00000000006</v>
      </c>
      <c r="L7" s="196"/>
      <c r="M7" s="196"/>
      <c r="N7" s="196"/>
      <c r="O7" s="196"/>
      <c r="P7" s="196"/>
      <c r="R7" s="196"/>
    </row>
    <row r="8" spans="2:18">
      <c r="B8" s="199" t="s">
        <v>298</v>
      </c>
      <c r="C8" s="200"/>
      <c r="D8" s="201"/>
      <c r="E8" s="201"/>
      <c r="F8" s="201"/>
      <c r="G8" s="201">
        <f>G7/G$3</f>
        <v>0.15107101257093702</v>
      </c>
      <c r="H8" s="201">
        <f t="shared" ref="H8:K8" si="4">H7/H$3</f>
        <v>0.20334209313768564</v>
      </c>
      <c r="I8" s="201">
        <f t="shared" si="4"/>
        <v>0.2213344195145322</v>
      </c>
      <c r="J8" s="201">
        <f t="shared" si="4"/>
        <v>0.23215163626936811</v>
      </c>
      <c r="K8" s="201">
        <f t="shared" si="4"/>
        <v>0.24372954717671935</v>
      </c>
      <c r="L8" s="195"/>
      <c r="M8" s="195"/>
      <c r="N8" s="195"/>
      <c r="O8" s="195"/>
      <c r="P8" s="195"/>
      <c r="R8" s="195"/>
    </row>
    <row r="9" spans="2:18" s="205" customFormat="1">
      <c r="B9" s="194" t="s">
        <v>299</v>
      </c>
      <c r="C9" s="202"/>
      <c r="D9" s="203"/>
      <c r="E9" s="203"/>
      <c r="F9" s="203"/>
      <c r="G9" s="204"/>
      <c r="H9" s="204">
        <f t="shared" ref="H9" si="5">H8-G8</f>
        <v>5.2271080566748618E-2</v>
      </c>
      <c r="I9" s="204">
        <f>I8-H8</f>
        <v>1.7992326376846557E-2</v>
      </c>
      <c r="J9" s="204">
        <f t="shared" ref="J9:K9" si="6">J8-I8</f>
        <v>1.0817216754835907E-2</v>
      </c>
      <c r="K9" s="204">
        <f t="shared" si="6"/>
        <v>1.1577910907351247E-2</v>
      </c>
      <c r="L9" s="202"/>
      <c r="M9" s="202"/>
      <c r="N9" s="202"/>
      <c r="O9" s="202"/>
      <c r="P9" s="202"/>
      <c r="R9" s="202"/>
    </row>
    <row r="10" spans="2:18" s="205" customFormat="1">
      <c r="B10" s="206"/>
      <c r="C10" s="202"/>
      <c r="D10" s="207"/>
      <c r="E10" s="207"/>
      <c r="F10" s="207"/>
      <c r="G10" s="207"/>
      <c r="H10" s="207"/>
      <c r="I10" s="207"/>
      <c r="J10" s="207"/>
      <c r="K10" s="207"/>
      <c r="L10" s="202"/>
      <c r="M10" s="202"/>
      <c r="N10" s="202"/>
      <c r="O10" s="202"/>
      <c r="P10" s="202"/>
      <c r="R10" s="202"/>
    </row>
    <row r="11" spans="2:18">
      <c r="B11" s="208" t="s">
        <v>300</v>
      </c>
      <c r="C11" s="195"/>
      <c r="D11" s="209">
        <f>Model!G97/'DCF+base-bull-bear'!D5</f>
        <v>2.5032199007531832</v>
      </c>
      <c r="E11" s="209">
        <f>Model!H97/'DCF+base-bull-bear'!E5</f>
        <v>4.9704302624082155</v>
      </c>
      <c r="F11" s="209">
        <f>Model!I97/'DCF+base-bull-bear'!F5</f>
        <v>3.1056494706628368</v>
      </c>
      <c r="G11" s="209">
        <f>Model!J97/'DCF+base-bull-bear'!G5</f>
        <v>0.63874493469905869</v>
      </c>
      <c r="H11" s="209">
        <f>Model!K97/'DCF+base-bull-bear'!H5</f>
        <v>0.32427699895798234</v>
      </c>
      <c r="I11" s="209">
        <f>Model!L97/'DCF+base-bull-bear'!I5</f>
        <v>0.19609771087386554</v>
      </c>
      <c r="J11" s="209">
        <f>Model!M97/'DCF+base-bull-bear'!J5</f>
        <v>0.15299553051736192</v>
      </c>
      <c r="K11" s="209">
        <f>Model!N97/'DCF+base-bull-bear'!K5</f>
        <v>0.13024083072132175</v>
      </c>
      <c r="L11" s="209">
        <f>Model!O97/'DCF+base-bull-bear'!L5</f>
        <v>0.11624898533803608</v>
      </c>
      <c r="M11" s="209">
        <f>Model!P97/'DCF+base-bull-bear'!M5</f>
        <v>0.10646310165751938</v>
      </c>
      <c r="N11" s="209">
        <f>Model!Q97/'DCF+base-bull-bear'!N5</f>
        <v>0.10274086824149957</v>
      </c>
      <c r="O11" s="209">
        <f>Model!R97/'DCF+base-bull-bear'!O5</f>
        <v>0.10573483054284617</v>
      </c>
      <c r="P11" s="209">
        <f>Model!S97/'DCF+base-bull-bear'!P5</f>
        <v>0.11000838064379145</v>
      </c>
      <c r="R11" s="195"/>
    </row>
    <row r="12" spans="2:18">
      <c r="B12" s="194"/>
      <c r="C12" s="195"/>
      <c r="D12" s="210"/>
      <c r="E12" s="210"/>
      <c r="F12" s="210"/>
      <c r="G12" s="210"/>
      <c r="H12" s="210"/>
      <c r="I12" s="210"/>
      <c r="J12" s="210"/>
      <c r="K12" s="210"/>
      <c r="L12" s="195"/>
      <c r="M12" s="195"/>
      <c r="N12" s="195"/>
      <c r="O12" s="195"/>
      <c r="P12" s="195"/>
      <c r="R12" s="195"/>
    </row>
    <row r="13" spans="2:18">
      <c r="B13" s="192" t="s">
        <v>301</v>
      </c>
      <c r="C13" s="211">
        <f>Model!F23</f>
        <v>-97.695000000000007</v>
      </c>
      <c r="D13" s="211">
        <f>Model!G23</f>
        <v>-620.221</v>
      </c>
      <c r="E13" s="211">
        <f>Model!H23</f>
        <v>-2514.7729999999997</v>
      </c>
      <c r="F13" s="211">
        <f>Model!I23</f>
        <v>-3228.4850000000006</v>
      </c>
      <c r="G13" s="211">
        <f>Model!J23</f>
        <v>-4375.3240226000007</v>
      </c>
      <c r="H13" s="211">
        <f>Model!K23</f>
        <v>-4869.4243670396745</v>
      </c>
      <c r="I13" s="211">
        <f>Model!L23</f>
        <v>-1304.0630379365712</v>
      </c>
      <c r="J13" s="211">
        <f>Model!M23</f>
        <v>7195.2558467939389</v>
      </c>
      <c r="K13" s="211">
        <f>Model!N23</f>
        <v>24584.96378892698</v>
      </c>
      <c r="L13" s="211">
        <f>L5*L14</f>
        <v>61334.359547123349</v>
      </c>
      <c r="M13" s="211">
        <f>M5*M14</f>
        <v>94467.862067363239</v>
      </c>
      <c r="N13" s="211">
        <f>N5*N14</f>
        <v>127993.12708428426</v>
      </c>
      <c r="O13" s="211">
        <f>O5*O14</f>
        <v>154871.68377198401</v>
      </c>
      <c r="P13" s="211">
        <f>P5*P14</f>
        <v>176054.54630443308</v>
      </c>
      <c r="R13" s="211">
        <f>SUM(L13:P13)</f>
        <v>614721.57877518795</v>
      </c>
    </row>
    <row r="14" spans="2:18">
      <c r="B14" s="194" t="s">
        <v>302</v>
      </c>
      <c r="C14" s="212"/>
      <c r="D14" s="209">
        <f t="shared" ref="D14:K14" si="7">D13/D5</f>
        <v>-4.9801747257865063</v>
      </c>
      <c r="E14" s="209">
        <f t="shared" si="7"/>
        <v>-8.0494888193230771</v>
      </c>
      <c r="F14" s="209">
        <f t="shared" si="7"/>
        <v>-4.4571772138267711</v>
      </c>
      <c r="G14" s="209">
        <f t="shared" si="7"/>
        <v>-0.69019828794346594</v>
      </c>
      <c r="H14" s="209">
        <f t="shared" si="7"/>
        <v>-0.20524678185163159</v>
      </c>
      <c r="I14" s="209">
        <f t="shared" si="7"/>
        <v>-2.2174409487518022E-2</v>
      </c>
      <c r="J14" s="209">
        <f t="shared" si="7"/>
        <v>5.9660371862588386E-2</v>
      </c>
      <c r="K14" s="209">
        <f t="shared" si="7"/>
        <v>0.11195564683045746</v>
      </c>
      <c r="L14" s="213">
        <v>0.18</v>
      </c>
      <c r="M14" s="213">
        <v>0.19999999999999998</v>
      </c>
      <c r="N14" s="213">
        <v>0.21999999999999997</v>
      </c>
      <c r="O14" s="213">
        <v>0.24199999999999999</v>
      </c>
      <c r="P14" s="213">
        <v>0.26200000000000001</v>
      </c>
      <c r="R14" s="214">
        <f>R13/R5</f>
        <v>0.227102508003558</v>
      </c>
    </row>
    <row r="15" spans="2:18">
      <c r="B15" s="212" t="s">
        <v>303</v>
      </c>
      <c r="C15" s="195">
        <f t="shared" ref="C15:P15" si="8">IF(C13&lt;0,0%,-18%)</f>
        <v>0</v>
      </c>
      <c r="D15" s="195">
        <f t="shared" si="8"/>
        <v>0</v>
      </c>
      <c r="E15" s="195">
        <f t="shared" si="8"/>
        <v>0</v>
      </c>
      <c r="F15" s="195">
        <f t="shared" si="8"/>
        <v>0</v>
      </c>
      <c r="G15" s="195">
        <f t="shared" si="8"/>
        <v>0</v>
      </c>
      <c r="H15" s="195">
        <f t="shared" si="8"/>
        <v>0</v>
      </c>
      <c r="I15" s="195">
        <f t="shared" si="8"/>
        <v>0</v>
      </c>
      <c r="J15" s="195">
        <f t="shared" si="8"/>
        <v>-0.18</v>
      </c>
      <c r="K15" s="195">
        <f t="shared" si="8"/>
        <v>-0.18</v>
      </c>
      <c r="L15" s="195">
        <f t="shared" si="8"/>
        <v>-0.18</v>
      </c>
      <c r="M15" s="195">
        <f t="shared" si="8"/>
        <v>-0.18</v>
      </c>
      <c r="N15" s="195">
        <f t="shared" si="8"/>
        <v>-0.18</v>
      </c>
      <c r="O15" s="195">
        <f t="shared" si="8"/>
        <v>-0.18</v>
      </c>
      <c r="P15" s="195">
        <f t="shared" si="8"/>
        <v>-0.18</v>
      </c>
      <c r="R15" s="195">
        <f>R16/R13</f>
        <v>-0.18</v>
      </c>
    </row>
    <row r="16" spans="2:18">
      <c r="B16" s="212" t="s">
        <v>304</v>
      </c>
      <c r="C16" s="215">
        <f>C15*C13</f>
        <v>0</v>
      </c>
      <c r="D16" s="215">
        <f t="shared" ref="D16:P16" si="9">D15*D13</f>
        <v>0</v>
      </c>
      <c r="E16" s="215">
        <f t="shared" si="9"/>
        <v>0</v>
      </c>
      <c r="F16" s="215">
        <f t="shared" si="9"/>
        <v>0</v>
      </c>
      <c r="G16" s="215">
        <f>G15*G13</f>
        <v>0</v>
      </c>
      <c r="H16" s="215">
        <f t="shared" si="9"/>
        <v>0</v>
      </c>
      <c r="I16" s="215">
        <f t="shared" si="9"/>
        <v>0</v>
      </c>
      <c r="J16" s="215">
        <f t="shared" si="9"/>
        <v>-1295.146052422909</v>
      </c>
      <c r="K16" s="215">
        <f t="shared" si="9"/>
        <v>-4425.2934820068558</v>
      </c>
      <c r="L16" s="215">
        <f t="shared" si="9"/>
        <v>-11040.184718482202</v>
      </c>
      <c r="M16" s="215">
        <f t="shared" si="9"/>
        <v>-17004.215172125383</v>
      </c>
      <c r="N16" s="215">
        <f t="shared" si="9"/>
        <v>-23038.762875171167</v>
      </c>
      <c r="O16" s="215">
        <f t="shared" si="9"/>
        <v>-27876.903078957122</v>
      </c>
      <c r="P16" s="215">
        <f t="shared" si="9"/>
        <v>-31689.818334797954</v>
      </c>
      <c r="R16" s="215">
        <f>SUM(L16:P16)</f>
        <v>-110649.88417953382</v>
      </c>
    </row>
    <row r="17" spans="2:18">
      <c r="B17" s="212" t="s">
        <v>305</v>
      </c>
      <c r="C17" s="216">
        <f>C13+C16</f>
        <v>-97.695000000000007</v>
      </c>
      <c r="D17" s="216">
        <f t="shared" ref="D17:P17" si="10">D13+D16</f>
        <v>-620.221</v>
      </c>
      <c r="E17" s="216">
        <f t="shared" si="10"/>
        <v>-2514.7729999999997</v>
      </c>
      <c r="F17" s="216">
        <f t="shared" si="10"/>
        <v>-3228.4850000000006</v>
      </c>
      <c r="G17" s="216">
        <f t="shared" si="10"/>
        <v>-4375.3240226000007</v>
      </c>
      <c r="H17" s="216">
        <f t="shared" si="10"/>
        <v>-4869.4243670396745</v>
      </c>
      <c r="I17" s="216">
        <f t="shared" si="10"/>
        <v>-1304.0630379365712</v>
      </c>
      <c r="J17" s="216">
        <f t="shared" si="10"/>
        <v>5900.1097943710301</v>
      </c>
      <c r="K17" s="216">
        <f t="shared" si="10"/>
        <v>20159.670306920125</v>
      </c>
      <c r="L17" s="216">
        <f t="shared" si="10"/>
        <v>50294.174828641146</v>
      </c>
      <c r="M17" s="216">
        <f t="shared" si="10"/>
        <v>77463.646895237849</v>
      </c>
      <c r="N17" s="216">
        <f t="shared" si="10"/>
        <v>104954.36420911309</v>
      </c>
      <c r="O17" s="216">
        <f t="shared" si="10"/>
        <v>126994.78069302689</v>
      </c>
      <c r="P17" s="216">
        <f t="shared" si="10"/>
        <v>144364.72796963513</v>
      </c>
      <c r="R17" s="216">
        <f>SUM(L17:P17)</f>
        <v>504071.69459565415</v>
      </c>
    </row>
    <row r="18" spans="2:18">
      <c r="B18" s="212" t="s">
        <v>306</v>
      </c>
      <c r="C18" s="216">
        <f>Model!F209+Model!F238</f>
        <v>20.018000000000001</v>
      </c>
      <c r="D18" s="216">
        <f>Model!G209+Model!G238</f>
        <v>68.930999999999997</v>
      </c>
      <c r="E18" s="216">
        <f>Model!H209+Model!H238</f>
        <v>279.93700000000001</v>
      </c>
      <c r="F18" s="216">
        <f>Model!I209+Model!I238</f>
        <v>281.06099999999998</v>
      </c>
      <c r="G18" s="216">
        <f>Model!J209+Model!J238</f>
        <v>143.61724000000001</v>
      </c>
      <c r="H18" s="216">
        <f>Model!K209+Model!K238</f>
        <v>143.14778799999999</v>
      </c>
      <c r="I18" s="216">
        <f>Model!L209+Model!L238</f>
        <v>48.242610800000001</v>
      </c>
      <c r="J18" s="216">
        <f>Model!M209+Model!M238</f>
        <v>29.84101588</v>
      </c>
      <c r="K18" s="216">
        <f>Model!N209+Model!N238</f>
        <v>34.209804801333334</v>
      </c>
      <c r="L18" s="216">
        <f>Model!O209+Model!O238</f>
        <v>38.099852614800007</v>
      </c>
      <c r="M18" s="216">
        <f>Model!P209+Model!P238</f>
        <v>41.909837876280008</v>
      </c>
      <c r="N18" s="216">
        <f>Model!Q209+Model!Q238</f>
        <v>46.100821663908008</v>
      </c>
      <c r="O18" s="216">
        <f>Model!R209+Model!R238</f>
        <v>50.710903830298818</v>
      </c>
      <c r="P18" s="216">
        <f>Model!S209+Model!S238</f>
        <v>55.781994213328701</v>
      </c>
      <c r="R18" s="216">
        <f t="shared" ref="R18:R22" si="11">SUM(L18:P18)</f>
        <v>232.60341019861556</v>
      </c>
    </row>
    <row r="19" spans="2:18">
      <c r="B19" s="212" t="s">
        <v>307</v>
      </c>
      <c r="C19" s="216">
        <f>SUM(Model!F255:F261)</f>
        <v>9.8930000000000025</v>
      </c>
      <c r="D19" s="216">
        <f>SUM(Model!G255:G261)</f>
        <v>-96.090000000000018</v>
      </c>
      <c r="E19" s="216">
        <f>SUM(Model!H255:H261)</f>
        <v>-2.5999999999991807E-2</v>
      </c>
      <c r="F19" s="216">
        <f>SUM(Model!I255:I261)</f>
        <v>704.28600000000006</v>
      </c>
      <c r="G19" s="216">
        <f>SUM(Model!J255:J261)</f>
        <v>1881.9336211945201</v>
      </c>
      <c r="H19" s="216">
        <f>SUM(Model!K255:K261)</f>
        <v>2300.1186720208179</v>
      </c>
      <c r="I19" s="216">
        <f>SUM(Model!L255:L261)</f>
        <v>2445.5424682378243</v>
      </c>
      <c r="J19" s="216">
        <f>SUM(Model!M255:M261)</f>
        <v>2289.5280629095032</v>
      </c>
      <c r="K19" s="216">
        <f>SUM(Model!N255:N261)</f>
        <v>2487.2474954833706</v>
      </c>
      <c r="L19" s="216">
        <f>SUM(Model!O255:O261)</f>
        <v>3153.6479633497838</v>
      </c>
      <c r="M19" s="216">
        <f>SUM(Model!P255:P261)</f>
        <v>-1520.6901757667802</v>
      </c>
      <c r="N19" s="216">
        <f>SUM(Model!Q255:Q261)</f>
        <v>-4384.5128366057179</v>
      </c>
      <c r="O19" s="216">
        <f>SUM(Model!R255:R261)</f>
        <v>-13556.451935607991</v>
      </c>
      <c r="P19" s="216">
        <f>SUM(Model!S255:S261)</f>
        <v>-19218.455448404427</v>
      </c>
      <c r="R19" s="216">
        <f t="shared" si="11"/>
        <v>-35526.462433035136</v>
      </c>
    </row>
    <row r="20" spans="2:18">
      <c r="B20" s="212" t="s">
        <v>308</v>
      </c>
      <c r="C20" s="216">
        <f>-Model!F190-Model!F219</f>
        <v>-31.651</v>
      </c>
      <c r="D20" s="216">
        <f>-Model!G190-Model!G219</f>
        <v>-508.56900000000002</v>
      </c>
      <c r="E20" s="216">
        <f>-Model!H190-Model!H219</f>
        <v>-132.76</v>
      </c>
      <c r="F20" s="216">
        <f>-Model!I190-Model!I219</f>
        <v>-23.088000000000001</v>
      </c>
      <c r="G20" s="216">
        <f>-Model!J190-Model!J219</f>
        <v>-27.705599999999997</v>
      </c>
      <c r="H20" s="216">
        <f>-Model!K190-Model!K219</f>
        <v>-31.855080000000001</v>
      </c>
      <c r="I20" s="216">
        <f>-Model!L190-Model!L219</f>
        <v>-35.040588</v>
      </c>
      <c r="J20" s="216">
        <f>-Model!M190-Model!M219</f>
        <v>-38.54464680000001</v>
      </c>
      <c r="K20" s="216">
        <f>-Model!N190-Model!N219</f>
        <v>-42.399111480000009</v>
      </c>
      <c r="L20" s="216">
        <f>-Model!O190-Model!O219</f>
        <v>-46.639022628000014</v>
      </c>
      <c r="M20" s="216">
        <f>-Model!P190-Model!P219</f>
        <v>-51.302924890800014</v>
      </c>
      <c r="N20" s="216">
        <f>-Model!Q190-Model!Q219</f>
        <v>-56.43321737988002</v>
      </c>
      <c r="O20" s="216">
        <f>-Model!R190-Model!R219</f>
        <v>-62.07653911786803</v>
      </c>
      <c r="P20" s="216">
        <f>-Model!S190-Model!S219</f>
        <v>-68.284193029654844</v>
      </c>
      <c r="R20" s="216">
        <f t="shared" si="11"/>
        <v>-284.73589704620292</v>
      </c>
    </row>
    <row r="21" spans="2:18">
      <c r="B21" s="192" t="s">
        <v>218</v>
      </c>
      <c r="C21" s="217">
        <f>C17+C18+C19+C20</f>
        <v>-99.435000000000002</v>
      </c>
      <c r="D21" s="217">
        <f t="shared" ref="D21:P21" si="12">D17+D18+D19+D20</f>
        <v>-1155.9490000000001</v>
      </c>
      <c r="E21" s="217">
        <f t="shared" si="12"/>
        <v>-2367.6219999999994</v>
      </c>
      <c r="F21" s="217">
        <f t="shared" si="12"/>
        <v>-2266.2260000000006</v>
      </c>
      <c r="G21" s="217">
        <f t="shared" si="12"/>
        <v>-2377.4787614054808</v>
      </c>
      <c r="H21" s="217">
        <f t="shared" si="12"/>
        <v>-2458.0129870188562</v>
      </c>
      <c r="I21" s="217">
        <f t="shared" si="12"/>
        <v>1154.6814531012531</v>
      </c>
      <c r="J21" s="217">
        <f t="shared" si="12"/>
        <v>8180.9342263605331</v>
      </c>
      <c r="K21" s="217">
        <f t="shared" si="12"/>
        <v>22638.728495724827</v>
      </c>
      <c r="L21" s="217">
        <f t="shared" si="12"/>
        <v>53439.283621977731</v>
      </c>
      <c r="M21" s="217">
        <f t="shared" si="12"/>
        <v>75933.563632456557</v>
      </c>
      <c r="N21" s="217">
        <f t="shared" si="12"/>
        <v>100559.5189767914</v>
      </c>
      <c r="O21" s="217">
        <f t="shared" si="12"/>
        <v>113426.96312213133</v>
      </c>
      <c r="P21" s="217">
        <f t="shared" si="12"/>
        <v>125133.77032241438</v>
      </c>
      <c r="R21" s="217">
        <f t="shared" si="11"/>
        <v>468493.09967577131</v>
      </c>
    </row>
    <row r="22" spans="2:18">
      <c r="B22" s="192" t="s">
        <v>309</v>
      </c>
      <c r="C22" s="216">
        <f t="shared" ref="C22:O22" si="13">C21</f>
        <v>-99.435000000000002</v>
      </c>
      <c r="D22" s="216">
        <f t="shared" si="13"/>
        <v>-1155.9490000000001</v>
      </c>
      <c r="E22" s="216">
        <f t="shared" si="13"/>
        <v>-2367.6219999999994</v>
      </c>
      <c r="F22" s="216">
        <f t="shared" si="13"/>
        <v>-2266.2260000000006</v>
      </c>
      <c r="G22" s="216">
        <f t="shared" si="13"/>
        <v>-2377.4787614054808</v>
      </c>
      <c r="H22" s="216">
        <f t="shared" si="13"/>
        <v>-2458.0129870188562</v>
      </c>
      <c r="I22" s="216">
        <f t="shared" si="13"/>
        <v>1154.6814531012531</v>
      </c>
      <c r="J22" s="216">
        <f t="shared" si="13"/>
        <v>8180.9342263605331</v>
      </c>
      <c r="K22" s="216">
        <f t="shared" si="13"/>
        <v>22638.728495724827</v>
      </c>
      <c r="L22" s="216">
        <f t="shared" si="13"/>
        <v>53439.283621977731</v>
      </c>
      <c r="M22" s="216">
        <f t="shared" si="13"/>
        <v>75933.563632456557</v>
      </c>
      <c r="N22" s="216">
        <f t="shared" si="13"/>
        <v>100559.5189767914</v>
      </c>
      <c r="O22" s="216">
        <f t="shared" si="13"/>
        <v>113426.96312213133</v>
      </c>
      <c r="P22" s="216">
        <f>$P$21*(1+$C$48)*$C$50+$P$21</f>
        <v>1560461.618458247</v>
      </c>
      <c r="R22" s="216">
        <f t="shared" si="11"/>
        <v>1903820.947811604</v>
      </c>
    </row>
    <row r="23" spans="2:18">
      <c r="B23" s="192" t="s">
        <v>310</v>
      </c>
      <c r="C23" s="218">
        <f t="shared" ref="C23:P23" si="14">IF(C21&lt;0,0,C21/C5)</f>
        <v>0</v>
      </c>
      <c r="D23" s="218">
        <f t="shared" si="14"/>
        <v>0</v>
      </c>
      <c r="E23" s="218">
        <f t="shared" si="14"/>
        <v>0</v>
      </c>
      <c r="F23" s="218">
        <f t="shared" si="14"/>
        <v>0</v>
      </c>
      <c r="G23" s="218">
        <f t="shared" si="14"/>
        <v>0</v>
      </c>
      <c r="H23" s="218">
        <f t="shared" si="14"/>
        <v>0</v>
      </c>
      <c r="I23" s="218">
        <f t="shared" si="14"/>
        <v>1.9634311090684333E-2</v>
      </c>
      <c r="J23" s="218">
        <f t="shared" si="14"/>
        <v>6.7833248534939009E-2</v>
      </c>
      <c r="K23" s="218">
        <f t="shared" si="14"/>
        <v>0.10309282998820325</v>
      </c>
      <c r="L23" s="218">
        <f t="shared" si="14"/>
        <v>0.15683005615417953</v>
      </c>
      <c r="M23" s="218">
        <f t="shared" si="14"/>
        <v>0.16076062688559578</v>
      </c>
      <c r="N23" s="218">
        <f t="shared" si="14"/>
        <v>0.17284595414506834</v>
      </c>
      <c r="O23" s="218">
        <f t="shared" si="14"/>
        <v>0.1772391466729912</v>
      </c>
      <c r="P23" s="218">
        <f t="shared" si="14"/>
        <v>0.18622096681207395</v>
      </c>
      <c r="R23" s="218">
        <f>IF(R21&lt;0,0,R21/R5)</f>
        <v>0.17307991388673699</v>
      </c>
    </row>
    <row r="24" spans="2:18">
      <c r="B24" s="212" t="s">
        <v>311</v>
      </c>
      <c r="C24" s="219">
        <f>D24</f>
        <v>1</v>
      </c>
      <c r="D24" s="219">
        <f t="shared" ref="D24:E24" si="15">E24</f>
        <v>1</v>
      </c>
      <c r="E24" s="219">
        <f t="shared" si="15"/>
        <v>1</v>
      </c>
      <c r="F24" s="219">
        <f>G24</f>
        <v>1</v>
      </c>
      <c r="G24" s="219">
        <f t="shared" ref="G24:P24" si="16">1/(1+$C$48)^(G4-$G$4)</f>
        <v>1</v>
      </c>
      <c r="H24" s="219">
        <f t="shared" si="16"/>
        <v>0.89142449634515963</v>
      </c>
      <c r="I24" s="219">
        <f t="shared" si="16"/>
        <v>0.7946376326842215</v>
      </c>
      <c r="J24" s="219">
        <f t="shared" si="16"/>
        <v>0.70835945149244206</v>
      </c>
      <c r="K24" s="219">
        <f t="shared" si="16"/>
        <v>0.63144896727798372</v>
      </c>
      <c r="L24" s="219">
        <f t="shared" si="16"/>
        <v>0.56288907762344786</v>
      </c>
      <c r="M24" s="219">
        <f t="shared" si="16"/>
        <v>0.50177311251867351</v>
      </c>
      <c r="N24" s="219">
        <f t="shared" si="16"/>
        <v>0.44729284410650155</v>
      </c>
      <c r="O24" s="219">
        <f t="shared" si="16"/>
        <v>0.39872779827643223</v>
      </c>
      <c r="P24" s="219">
        <f t="shared" si="16"/>
        <v>0.355435726757383</v>
      </c>
      <c r="R24" s="220"/>
    </row>
    <row r="25" spans="2:18">
      <c r="B25" s="212"/>
      <c r="C25" s="212"/>
      <c r="D25" s="212"/>
      <c r="E25" s="212"/>
      <c r="F25" s="212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R25" s="212"/>
    </row>
    <row r="26" spans="2:18">
      <c r="B26" s="221"/>
      <c r="C26" s="222"/>
      <c r="D26" s="223"/>
      <c r="F26" s="212"/>
      <c r="G26" s="212"/>
      <c r="H26" s="212"/>
      <c r="I26" s="212"/>
      <c r="J26" s="212"/>
      <c r="K26" s="212"/>
      <c r="L26" s="212"/>
      <c r="M26" s="212"/>
      <c r="N26" s="212"/>
      <c r="O26" s="212"/>
      <c r="P26" s="197"/>
      <c r="R26" s="220"/>
    </row>
    <row r="27" spans="2:18">
      <c r="B27" s="212" t="s">
        <v>312</v>
      </c>
      <c r="C27" s="224">
        <f>NPV(C48,H22:P22)</f>
        <v>731848.31974284083</v>
      </c>
      <c r="D27" s="224"/>
      <c r="E27" s="225"/>
      <c r="F27" s="212"/>
      <c r="G27" s="216"/>
      <c r="H27" s="216"/>
      <c r="I27" s="216"/>
      <c r="J27" s="216"/>
      <c r="K27" s="216"/>
      <c r="L27" s="216"/>
      <c r="M27" s="216"/>
      <c r="N27" s="216"/>
      <c r="O27" s="216"/>
      <c r="P27" s="216"/>
      <c r="R27" s="212"/>
    </row>
    <row r="28" spans="2:18">
      <c r="B28" s="212" t="s">
        <v>313</v>
      </c>
      <c r="C28" s="224">
        <f>Model!J169</f>
        <v>29767.346738594522</v>
      </c>
      <c r="D28" s="224"/>
      <c r="E28" s="212"/>
      <c r="F28" s="212"/>
      <c r="G28" s="212"/>
      <c r="H28" s="212"/>
      <c r="I28" s="212"/>
      <c r="J28" s="212"/>
      <c r="K28" s="212"/>
      <c r="L28" s="212"/>
      <c r="M28" s="212"/>
      <c r="N28" s="212"/>
      <c r="O28" s="212"/>
      <c r="P28" s="212"/>
      <c r="R28" s="212"/>
    </row>
    <row r="29" spans="2:18">
      <c r="B29" s="212" t="s">
        <v>314</v>
      </c>
      <c r="C29" s="226">
        <f>C27+C28</f>
        <v>761615.6664814353</v>
      </c>
      <c r="D29" s="226"/>
      <c r="E29" s="209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R29" s="212"/>
    </row>
    <row r="30" spans="2:18">
      <c r="B30" s="212" t="s">
        <v>315</v>
      </c>
      <c r="C30" s="226">
        <f>C29/C52</f>
        <v>875420.30630050029</v>
      </c>
      <c r="D30" s="334"/>
      <c r="E30" s="335"/>
      <c r="F30" s="335"/>
      <c r="G30" s="335"/>
      <c r="H30" s="212"/>
      <c r="I30" s="212"/>
      <c r="J30" s="212"/>
      <c r="K30" s="212"/>
      <c r="L30" s="212"/>
      <c r="M30" s="212"/>
      <c r="N30" s="212"/>
      <c r="O30" s="212"/>
      <c r="P30" s="212"/>
      <c r="R30" s="212"/>
    </row>
    <row r="31" spans="2:18" hidden="1">
      <c r="B31" s="227" t="s">
        <v>316</v>
      </c>
      <c r="C31" s="228">
        <f>P22/(1+$C$48)^(P4-G4)/C29</f>
        <v>0.72824632402336331</v>
      </c>
      <c r="D31" s="334"/>
      <c r="E31" s="335"/>
      <c r="F31" s="335"/>
      <c r="G31" s="335"/>
      <c r="H31" s="212"/>
      <c r="I31" s="212"/>
      <c r="J31" s="212"/>
      <c r="K31" s="212"/>
      <c r="L31" s="212"/>
      <c r="M31" s="212"/>
      <c r="N31" s="212"/>
      <c r="O31" s="212"/>
      <c r="P31" s="212"/>
      <c r="R31" s="212"/>
    </row>
    <row r="32" spans="2:18" collapsed="1">
      <c r="B32" s="212"/>
      <c r="C32" s="226"/>
      <c r="D32" s="334"/>
      <c r="E32" s="335"/>
      <c r="F32" s="335"/>
      <c r="G32" s="335"/>
      <c r="H32" s="212"/>
      <c r="I32" s="212"/>
      <c r="J32" s="212"/>
      <c r="K32" s="212"/>
      <c r="L32" s="212"/>
      <c r="M32" s="212"/>
      <c r="N32" s="212"/>
      <c r="O32" s="212"/>
      <c r="P32" s="212"/>
      <c r="R32" s="212"/>
    </row>
    <row r="33" spans="2:18">
      <c r="B33" s="212" t="s">
        <v>317</v>
      </c>
      <c r="C33" s="226">
        <f>Model!Z55</f>
        <v>465.62308999999999</v>
      </c>
      <c r="D33" s="334"/>
      <c r="E33" s="335"/>
      <c r="F33" s="335"/>
      <c r="G33" s="335"/>
      <c r="H33" s="212"/>
      <c r="I33" s="212"/>
      <c r="J33" s="212"/>
      <c r="K33" s="212"/>
      <c r="L33" s="212"/>
      <c r="M33" s="212"/>
      <c r="N33" s="212"/>
      <c r="O33" s="212"/>
      <c r="P33" s="212"/>
      <c r="R33" s="212"/>
    </row>
    <row r="34" spans="2:18">
      <c r="B34" s="212" t="s">
        <v>318</v>
      </c>
      <c r="C34" s="229">
        <f>ROUND(C30/C33,0)</f>
        <v>1880</v>
      </c>
      <c r="D34" s="334"/>
      <c r="E34" s="336"/>
      <c r="F34" s="335"/>
      <c r="G34" s="337"/>
      <c r="H34" s="212"/>
      <c r="I34" s="212"/>
      <c r="J34" s="212"/>
      <c r="K34" s="212"/>
      <c r="L34" s="212"/>
      <c r="M34" s="212"/>
      <c r="N34" s="212"/>
      <c r="O34" s="212"/>
      <c r="P34" s="212"/>
      <c r="R34" s="212"/>
    </row>
    <row r="35" spans="2:18" ht="13.5" thickBot="1">
      <c r="D35" s="230"/>
      <c r="E35" s="338"/>
      <c r="F35" s="335"/>
      <c r="G35" s="335"/>
      <c r="H35" s="212"/>
      <c r="I35" s="212"/>
      <c r="J35" s="212"/>
      <c r="K35" s="212"/>
      <c r="L35" s="212"/>
      <c r="M35" s="212"/>
      <c r="N35" s="212"/>
      <c r="O35" s="212"/>
      <c r="P35" s="212"/>
      <c r="R35" s="212"/>
    </row>
    <row r="36" spans="2:18">
      <c r="B36" s="231" t="s">
        <v>319</v>
      </c>
      <c r="C36" s="232" t="s">
        <v>320</v>
      </c>
      <c r="D36" s="339"/>
      <c r="E36" s="335"/>
      <c r="F36" s="335"/>
      <c r="G36" s="335"/>
      <c r="H36" s="212"/>
      <c r="I36" s="212"/>
      <c r="J36" s="212"/>
      <c r="K36" s="212"/>
      <c r="L36" s="212"/>
      <c r="M36" s="212"/>
      <c r="N36" s="212"/>
      <c r="O36" s="212"/>
      <c r="P36" s="212"/>
      <c r="R36" s="212"/>
    </row>
    <row r="37" spans="2:18">
      <c r="B37" s="233" t="s">
        <v>321</v>
      </c>
      <c r="C37" s="212"/>
      <c r="D37" s="335"/>
      <c r="E37" s="335"/>
      <c r="F37" s="335"/>
      <c r="G37" s="335"/>
      <c r="H37" s="212"/>
      <c r="I37" s="212"/>
      <c r="J37" s="212"/>
      <c r="K37" s="212"/>
      <c r="L37" s="212"/>
      <c r="M37" s="212"/>
      <c r="N37" s="212"/>
      <c r="O37" s="212"/>
      <c r="P37" s="212"/>
      <c r="R37" s="212"/>
    </row>
    <row r="38" spans="2:18">
      <c r="B38" s="234" t="s">
        <v>322</v>
      </c>
      <c r="C38" s="235">
        <v>7.0000000000000007E-2</v>
      </c>
      <c r="D38" s="235"/>
      <c r="E38" s="212"/>
      <c r="F38" s="212"/>
      <c r="G38" s="212"/>
      <c r="H38" s="212"/>
      <c r="I38" s="212"/>
      <c r="J38" s="212"/>
      <c r="K38" s="212"/>
      <c r="L38" s="212"/>
      <c r="M38" s="212"/>
      <c r="N38" s="212"/>
      <c r="O38" s="212"/>
      <c r="P38" s="212"/>
      <c r="R38" s="212"/>
    </row>
    <row r="39" spans="2:18">
      <c r="B39" s="234" t="s">
        <v>323</v>
      </c>
      <c r="C39" s="235">
        <v>3.5000000000000003E-2</v>
      </c>
      <c r="D39" s="235"/>
      <c r="E39" s="212"/>
      <c r="F39" s="212"/>
      <c r="G39" s="212"/>
      <c r="H39" s="212"/>
      <c r="I39" s="212"/>
      <c r="J39" s="212"/>
      <c r="K39" s="212"/>
      <c r="L39" s="212"/>
      <c r="M39" s="212"/>
      <c r="N39" s="212"/>
      <c r="O39" s="212"/>
      <c r="P39" s="212"/>
      <c r="R39" s="212"/>
    </row>
    <row r="40" spans="2:18" ht="13.5" thickBot="1">
      <c r="B40" s="236" t="s">
        <v>324</v>
      </c>
      <c r="C40" s="237">
        <v>1.24</v>
      </c>
      <c r="D40" s="238"/>
      <c r="E40" s="212"/>
      <c r="F40" s="212"/>
      <c r="G40" s="212"/>
      <c r="H40" s="212"/>
      <c r="I40" s="212"/>
      <c r="J40" s="212"/>
      <c r="K40" s="212"/>
      <c r="L40" s="212"/>
      <c r="M40" s="212"/>
      <c r="N40" s="212"/>
      <c r="O40" s="212"/>
      <c r="P40" s="212"/>
      <c r="R40" s="212"/>
    </row>
    <row r="41" spans="2:18">
      <c r="B41" s="234" t="s">
        <v>325</v>
      </c>
      <c r="C41" s="239">
        <f>+C39+C38*C40</f>
        <v>0.12180000000000001</v>
      </c>
      <c r="D41" s="239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R41" s="212"/>
    </row>
    <row r="42" spans="2:18">
      <c r="B42" s="240"/>
      <c r="C42" s="241"/>
      <c r="D42" s="241"/>
      <c r="E42" s="212"/>
      <c r="F42" s="212"/>
      <c r="G42" s="212"/>
      <c r="H42" s="212"/>
      <c r="I42" s="212"/>
      <c r="J42" s="212"/>
      <c r="K42" s="212"/>
      <c r="L42" s="212"/>
      <c r="M42" s="212"/>
      <c r="N42" s="212"/>
      <c r="O42" s="212"/>
      <c r="P42" s="212"/>
      <c r="R42" s="212"/>
    </row>
    <row r="43" spans="2:18">
      <c r="B43" s="233" t="s">
        <v>326</v>
      </c>
      <c r="C43" s="241"/>
      <c r="D43" s="241"/>
      <c r="E43" s="212"/>
      <c r="F43" s="212"/>
      <c r="G43" s="212"/>
      <c r="H43" s="212"/>
      <c r="I43" s="212"/>
      <c r="J43" s="212"/>
      <c r="K43" s="212"/>
      <c r="L43" s="212"/>
      <c r="M43" s="212"/>
      <c r="N43" s="212"/>
      <c r="O43" s="212"/>
      <c r="P43" s="212"/>
      <c r="R43" s="212"/>
    </row>
    <row r="44" spans="2:18">
      <c r="B44" s="234" t="s">
        <v>327</v>
      </c>
      <c r="C44" s="235">
        <v>0.05</v>
      </c>
      <c r="D44" s="235"/>
      <c r="E44" s="212"/>
      <c r="F44" s="212"/>
      <c r="G44" s="212"/>
      <c r="H44" s="212"/>
      <c r="I44" s="212"/>
      <c r="J44" s="212"/>
      <c r="K44" s="212"/>
      <c r="L44" s="212"/>
      <c r="M44" s="212"/>
      <c r="N44" s="212"/>
      <c r="O44" s="212"/>
      <c r="P44" s="212"/>
      <c r="R44" s="212"/>
    </row>
    <row r="45" spans="2:18" ht="13.5" thickBot="1">
      <c r="B45" s="236" t="s">
        <v>328</v>
      </c>
      <c r="C45" s="242">
        <v>0.15</v>
      </c>
      <c r="D45" s="235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R45" s="212"/>
    </row>
    <row r="46" spans="2:18" ht="13.5" thickBot="1">
      <c r="B46" s="236" t="s">
        <v>329</v>
      </c>
      <c r="C46" s="243">
        <f>C44*(1-C45)</f>
        <v>4.2500000000000003E-2</v>
      </c>
      <c r="D46" s="241"/>
      <c r="E46" s="212"/>
      <c r="F46" s="212"/>
      <c r="G46" s="212"/>
      <c r="H46" s="212"/>
      <c r="I46" s="212"/>
      <c r="J46" s="212"/>
      <c r="K46" s="212"/>
      <c r="L46" s="212"/>
      <c r="M46" s="212"/>
      <c r="N46" s="212"/>
      <c r="O46" s="212"/>
      <c r="P46" s="212"/>
      <c r="R46" s="212"/>
    </row>
    <row r="47" spans="2:18">
      <c r="B47" s="234"/>
      <c r="C47" s="212"/>
      <c r="D47" s="212"/>
      <c r="E47" s="244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R47" s="212"/>
    </row>
    <row r="48" spans="2:18">
      <c r="B48" s="245" t="s">
        <v>330</v>
      </c>
      <c r="C48" s="246">
        <f>C41</f>
        <v>0.12180000000000001</v>
      </c>
      <c r="D48" s="247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R48" s="212"/>
    </row>
    <row r="49" spans="2:18">
      <c r="B49" s="234" t="s">
        <v>331</v>
      </c>
      <c r="C49" s="248">
        <v>2.4E-2</v>
      </c>
      <c r="D49" s="248"/>
      <c r="E49" s="212"/>
      <c r="F49" s="212"/>
      <c r="G49" s="212"/>
      <c r="H49" s="212"/>
      <c r="I49" s="212"/>
      <c r="J49" s="212"/>
      <c r="K49" s="212"/>
      <c r="L49" s="212"/>
      <c r="M49" s="212"/>
      <c r="N49" s="212"/>
      <c r="O49" s="212"/>
      <c r="P49" s="212"/>
      <c r="R49" s="212"/>
    </row>
    <row r="50" spans="2:18" ht="13.5" thickBot="1">
      <c r="B50" s="236" t="s">
        <v>332</v>
      </c>
      <c r="C50" s="249">
        <f>1/(C48-C49)</f>
        <v>10.224948875255624</v>
      </c>
      <c r="D50" s="250"/>
      <c r="E50" s="212"/>
      <c r="F50" s="212"/>
      <c r="G50" s="212"/>
      <c r="H50" s="212"/>
      <c r="I50" s="212"/>
      <c r="J50" s="212"/>
      <c r="K50" s="212"/>
      <c r="L50" s="212"/>
      <c r="M50" s="212"/>
      <c r="N50" s="212"/>
      <c r="O50" s="212"/>
      <c r="P50" s="212"/>
      <c r="R50" s="212"/>
    </row>
    <row r="51" spans="2:18">
      <c r="B51" s="212"/>
      <c r="C51" s="212"/>
      <c r="D51" s="212"/>
      <c r="E51" s="212"/>
      <c r="F51" s="212"/>
      <c r="G51" s="212"/>
      <c r="H51" s="212"/>
      <c r="I51" s="212"/>
      <c r="J51" s="212"/>
      <c r="K51" s="212"/>
      <c r="L51" s="212"/>
      <c r="M51" s="212"/>
      <c r="N51" s="212"/>
      <c r="O51" s="212"/>
      <c r="P51" s="212"/>
      <c r="R51" s="212"/>
    </row>
    <row r="52" spans="2:18">
      <c r="B52" s="251" t="s">
        <v>333</v>
      </c>
      <c r="C52" s="252">
        <v>0.87</v>
      </c>
    </row>
    <row r="54" spans="2:18">
      <c r="B54" s="212"/>
    </row>
    <row r="55" spans="2:18">
      <c r="B55" s="189" t="s">
        <v>334</v>
      </c>
      <c r="C55" s="190"/>
      <c r="D55" s="190"/>
      <c r="E55" s="190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1"/>
      <c r="R55" s="191"/>
    </row>
    <row r="56" spans="2:18">
      <c r="B56" s="192" t="s">
        <v>25</v>
      </c>
      <c r="C56" s="253">
        <f t="shared" ref="C56:H56" si="17">C5</f>
        <v>57.408999999999999</v>
      </c>
      <c r="D56" s="253">
        <f t="shared" si="17"/>
        <v>124.53800000000001</v>
      </c>
      <c r="E56" s="253">
        <f t="shared" si="17"/>
        <v>312.41399999999999</v>
      </c>
      <c r="F56" s="253">
        <f t="shared" si="17"/>
        <v>724.33400000000006</v>
      </c>
      <c r="G56" s="253">
        <f t="shared" si="17"/>
        <v>6339.2275799999998</v>
      </c>
      <c r="H56" s="253">
        <f t="shared" si="17"/>
        <v>23724.729436000001</v>
      </c>
      <c r="I56" s="193">
        <f>I68/(1-I66)+I64</f>
        <v>62626.763929393506</v>
      </c>
      <c r="J56" s="193">
        <f>J68/(1-J66)+J64</f>
        <v>146182.83234382494</v>
      </c>
      <c r="K56" s="193">
        <f t="shared" ref="K56:P56" si="18">K68/(1-K66)+K64</f>
        <v>294251.50969292026</v>
      </c>
      <c r="L56" s="193">
        <f t="shared" si="18"/>
        <v>456723.58428012358</v>
      </c>
      <c r="M56" s="193">
        <f t="shared" si="18"/>
        <v>647302.20206341776</v>
      </c>
      <c r="N56" s="193">
        <f t="shared" si="18"/>
        <v>808694.22007708321</v>
      </c>
      <c r="O56" s="193">
        <f t="shared" si="18"/>
        <v>873582.60056593944</v>
      </c>
      <c r="P56" s="193">
        <f t="shared" si="18"/>
        <v>912110.63872171636</v>
      </c>
      <c r="R56" s="193"/>
    </row>
    <row r="57" spans="2:18">
      <c r="B57" s="194" t="s">
        <v>26</v>
      </c>
      <c r="C57" s="195"/>
      <c r="D57" s="195"/>
      <c r="E57" s="195"/>
      <c r="F57" s="195"/>
      <c r="G57" s="195">
        <f t="shared" ref="G57:P57" si="19">G56/F56-1</f>
        <v>7.7518017654838776</v>
      </c>
      <c r="H57" s="195">
        <f t="shared" si="19"/>
        <v>2.7425268515127206</v>
      </c>
      <c r="I57" s="195">
        <f t="shared" si="19"/>
        <v>1.6397251061739571</v>
      </c>
      <c r="J57" s="195">
        <f t="shared" si="19"/>
        <v>1.3341910578140999</v>
      </c>
      <c r="K57" s="195">
        <f t="shared" si="19"/>
        <v>1.0129005915060865</v>
      </c>
      <c r="L57" s="195">
        <f t="shared" si="19"/>
        <v>0.55215375022802293</v>
      </c>
      <c r="M57" s="195">
        <f t="shared" si="19"/>
        <v>0.41727343264674954</v>
      </c>
      <c r="N57" s="195">
        <f t="shared" si="19"/>
        <v>0.24933024713834273</v>
      </c>
      <c r="O57" s="195">
        <f t="shared" si="19"/>
        <v>8.0238462051418047E-2</v>
      </c>
      <c r="P57" s="195">
        <f t="shared" si="19"/>
        <v>4.4103486185298246E-2</v>
      </c>
      <c r="R57" s="196"/>
    </row>
    <row r="58" spans="2:18">
      <c r="B58" s="194" t="s">
        <v>335</v>
      </c>
      <c r="C58" s="195"/>
      <c r="D58" s="195"/>
      <c r="E58" s="195"/>
      <c r="F58" s="195"/>
      <c r="G58" s="198">
        <f>G56*G62</f>
        <v>5248.44</v>
      </c>
      <c r="H58" s="198">
        <f>H56*H62</f>
        <v>21931</v>
      </c>
      <c r="I58" s="198">
        <f>I56*I62</f>
        <v>59787.849433043761</v>
      </c>
      <c r="J58" s="198">
        <f>J56*J62</f>
        <v>141545.23725137583</v>
      </c>
      <c r="K58" s="198">
        <f>K56*K62</f>
        <v>287171.68699299166</v>
      </c>
      <c r="L58" s="195"/>
      <c r="M58" s="195"/>
      <c r="N58" s="195"/>
      <c r="O58" s="195"/>
      <c r="P58" s="195"/>
      <c r="R58" s="196"/>
    </row>
    <row r="59" spans="2:18">
      <c r="B59" s="199" t="s">
        <v>336</v>
      </c>
      <c r="C59" s="200"/>
      <c r="D59" s="201"/>
      <c r="E59" s="201"/>
      <c r="F59" s="201"/>
      <c r="G59" s="201">
        <f>G58/G$3</f>
        <v>0.15107101257093702</v>
      </c>
      <c r="H59" s="201">
        <f>H58/H$3</f>
        <v>0.20334209313768564</v>
      </c>
      <c r="I59" s="201">
        <f>I58/I$3</f>
        <v>0.23570153175852943</v>
      </c>
      <c r="J59" s="201">
        <f>J58/J$3</f>
        <v>0.28138946658425479</v>
      </c>
      <c r="K59" s="201">
        <f>K58/K$3</f>
        <v>0.3265903226733754</v>
      </c>
      <c r="L59" s="195"/>
      <c r="M59" s="195"/>
      <c r="N59" s="195"/>
      <c r="O59" s="195"/>
      <c r="P59" s="195"/>
      <c r="R59" s="195"/>
    </row>
    <row r="60" spans="2:18">
      <c r="B60" s="194" t="s">
        <v>299</v>
      </c>
      <c r="C60" s="195"/>
      <c r="D60" s="210"/>
      <c r="E60" s="210"/>
      <c r="F60" s="210"/>
      <c r="G60" s="210"/>
      <c r="H60" s="210">
        <f>H59-G59</f>
        <v>5.2271080566748618E-2</v>
      </c>
      <c r="I60" s="210">
        <f>I59-H59</f>
        <v>3.2359438620843783E-2</v>
      </c>
      <c r="J60" s="210">
        <f>J59-I59</f>
        <v>4.5687934825725363E-2</v>
      </c>
      <c r="K60" s="210">
        <f>K59-J59</f>
        <v>4.5200856089120611E-2</v>
      </c>
      <c r="L60" s="195"/>
      <c r="M60" s="195"/>
      <c r="N60" s="195"/>
      <c r="O60" s="195"/>
      <c r="P60" s="195"/>
      <c r="R60" s="195"/>
    </row>
    <row r="61" spans="2:18">
      <c r="B61" s="194"/>
      <c r="C61" s="195"/>
      <c r="D61" s="210"/>
      <c r="E61" s="210"/>
      <c r="F61" s="210"/>
      <c r="G61" s="210"/>
      <c r="H61" s="210"/>
      <c r="I61" s="210"/>
      <c r="J61" s="210"/>
      <c r="K61" s="210"/>
      <c r="L61" s="195"/>
      <c r="M61" s="195"/>
      <c r="N61" s="195"/>
      <c r="O61" s="195"/>
      <c r="P61" s="195"/>
      <c r="R61" s="195"/>
    </row>
    <row r="62" spans="2:18">
      <c r="B62" s="194" t="s">
        <v>337</v>
      </c>
      <c r="C62" s="195"/>
      <c r="D62" s="210"/>
      <c r="E62" s="210"/>
      <c r="F62" s="210"/>
      <c r="G62" s="210">
        <f>G7/G5</f>
        <v>0.82793052209682616</v>
      </c>
      <c r="H62" s="210">
        <f>H7/H5</f>
        <v>0.9243941035939407</v>
      </c>
      <c r="I62" s="210">
        <f>I7/I5</f>
        <v>0.95466930880301615</v>
      </c>
      <c r="J62" s="210">
        <f>J7/J5</f>
        <v>0.96827537804479402</v>
      </c>
      <c r="K62" s="210">
        <f>K7/K5</f>
        <v>0.97593955352236905</v>
      </c>
      <c r="L62" s="195"/>
      <c r="M62" s="195"/>
      <c r="N62" s="195"/>
      <c r="O62" s="195"/>
      <c r="P62" s="195"/>
      <c r="R62" s="195"/>
    </row>
    <row r="63" spans="2:18">
      <c r="B63" s="194"/>
      <c r="C63" s="195"/>
      <c r="D63" s="210"/>
      <c r="E63" s="210"/>
      <c r="F63" s="210"/>
      <c r="G63" s="210"/>
      <c r="H63" s="210"/>
      <c r="I63" s="210"/>
      <c r="J63" s="210"/>
      <c r="K63" s="210"/>
      <c r="L63" s="195"/>
      <c r="M63" s="195"/>
      <c r="N63" s="195"/>
      <c r="O63" s="195"/>
      <c r="P63" s="195"/>
      <c r="R63" s="195"/>
    </row>
    <row r="64" spans="2:18">
      <c r="B64" s="194" t="s">
        <v>338</v>
      </c>
      <c r="C64" s="198">
        <f>-C11*C5</f>
        <v>0</v>
      </c>
      <c r="D64" s="198">
        <f t="shared" ref="D64:Q64" si="20">D11*D5</f>
        <v>311.74599999999998</v>
      </c>
      <c r="E64" s="198">
        <f t="shared" si="20"/>
        <v>1552.8320000000001</v>
      </c>
      <c r="F64" s="198">
        <f t="shared" si="20"/>
        <v>2249.5275036830953</v>
      </c>
      <c r="G64" s="198">
        <f t="shared" si="20"/>
        <v>4049.1495066295715</v>
      </c>
      <c r="H64" s="198">
        <f t="shared" si="20"/>
        <v>7693.3840625961857</v>
      </c>
      <c r="I64" s="198">
        <f t="shared" si="20"/>
        <v>11532.382709831683</v>
      </c>
      <c r="J64" s="198">
        <f t="shared" si="20"/>
        <v>18451.812335730694</v>
      </c>
      <c r="K64" s="198">
        <f t="shared" si="20"/>
        <v>28600.309120382582</v>
      </c>
      <c r="L64" s="198">
        <f t="shared" si="20"/>
        <v>39611.428131729866</v>
      </c>
      <c r="M64" s="198">
        <f t="shared" si="20"/>
        <v>50286.708013231058</v>
      </c>
      <c r="N64" s="198">
        <f t="shared" si="20"/>
        <v>59773.295479927096</v>
      </c>
      <c r="O64" s="198">
        <f t="shared" si="20"/>
        <v>67666.658014528875</v>
      </c>
      <c r="P64" s="198">
        <f t="shared" si="20"/>
        <v>73921.662381404894</v>
      </c>
      <c r="Q64" s="198">
        <f t="shared" si="20"/>
        <v>0</v>
      </c>
      <c r="R64" s="195"/>
    </row>
    <row r="65" spans="2:18">
      <c r="B65" s="194" t="s">
        <v>339</v>
      </c>
      <c r="C65" s="198"/>
      <c r="D65" s="198"/>
      <c r="E65" s="198"/>
      <c r="F65" s="198"/>
      <c r="G65" s="198"/>
      <c r="H65" s="198"/>
      <c r="I65" s="198"/>
      <c r="J65" s="198"/>
      <c r="K65" s="198"/>
      <c r="L65" s="198"/>
      <c r="M65" s="198"/>
      <c r="N65" s="198"/>
      <c r="O65" s="198"/>
      <c r="P65" s="198"/>
      <c r="Q65" s="198"/>
      <c r="R65" s="195"/>
    </row>
    <row r="66" spans="2:18">
      <c r="B66" s="194" t="s">
        <v>340</v>
      </c>
      <c r="C66" s="212"/>
      <c r="D66" s="209"/>
      <c r="E66" s="209"/>
      <c r="F66" s="209"/>
      <c r="G66" s="209">
        <f t="shared" ref="G66:N66" si="21">(G5-G13-G64)/G5</f>
        <v>1.0514533532444073</v>
      </c>
      <c r="H66" s="209">
        <f t="shared" si="21"/>
        <v>0.88096978289364924</v>
      </c>
      <c r="I66" s="209">
        <f t="shared" si="21"/>
        <v>0.8260766986136524</v>
      </c>
      <c r="J66" s="209">
        <f t="shared" si="21"/>
        <v>0.78734409762004975</v>
      </c>
      <c r="K66" s="209">
        <f>(K5-K13-K64)/K5</f>
        <v>0.75780352244822069</v>
      </c>
      <c r="L66" s="209">
        <f t="shared" si="21"/>
        <v>0.70375101466196388</v>
      </c>
      <c r="M66" s="209">
        <f t="shared" si="21"/>
        <v>0.69353689834248067</v>
      </c>
      <c r="N66" s="209">
        <f t="shared" si="21"/>
        <v>0.6772591317585005</v>
      </c>
      <c r="O66" s="213">
        <v>0.65</v>
      </c>
      <c r="P66" s="213">
        <v>0.63</v>
      </c>
      <c r="R66" s="195"/>
    </row>
    <row r="67" spans="2:18">
      <c r="B67" s="194"/>
      <c r="C67" s="195"/>
      <c r="D67" s="210"/>
      <c r="E67" s="210"/>
      <c r="F67" s="210"/>
      <c r="G67" s="210"/>
      <c r="H67" s="210"/>
      <c r="I67" s="210"/>
      <c r="J67" s="210"/>
      <c r="K67" s="210"/>
      <c r="L67" s="195"/>
      <c r="M67" s="195"/>
      <c r="N67" s="195"/>
      <c r="O67" s="195"/>
      <c r="P67" s="195"/>
      <c r="R67" s="195"/>
    </row>
    <row r="68" spans="2:18">
      <c r="B68" s="192" t="s">
        <v>301</v>
      </c>
      <c r="D68" s="195"/>
      <c r="E68" s="195"/>
      <c r="F68" s="195"/>
      <c r="G68" s="254">
        <f t="shared" ref="G68:P68" si="22">G72-G71</f>
        <v>-4375.3240226000007</v>
      </c>
      <c r="H68" s="254">
        <f t="shared" si="22"/>
        <v>-4869.4243670396745</v>
      </c>
      <c r="I68" s="254">
        <f t="shared" si="22"/>
        <v>8886.5034639987898</v>
      </c>
      <c r="J68" s="254">
        <f t="shared" si="22"/>
        <v>27162.755321732762</v>
      </c>
      <c r="K68" s="254">
        <f t="shared" si="22"/>
        <v>64339.785036069836</v>
      </c>
      <c r="L68" s="254">
        <f t="shared" si="22"/>
        <v>123569.05303112212</v>
      </c>
      <c r="M68" s="254">
        <f t="shared" si="22"/>
        <v>182963.22004421649</v>
      </c>
      <c r="N68" s="254">
        <f t="shared" si="22"/>
        <v>241707.38944871275</v>
      </c>
      <c r="O68" s="254">
        <f t="shared" si="22"/>
        <v>282070.57989299367</v>
      </c>
      <c r="P68" s="254">
        <f t="shared" si="22"/>
        <v>310129.92124591523</v>
      </c>
      <c r="R68" s="195"/>
    </row>
    <row r="69" spans="2:18">
      <c r="B69" s="194" t="s">
        <v>302</v>
      </c>
      <c r="C69" s="195"/>
      <c r="D69" s="209"/>
      <c r="E69" s="209"/>
      <c r="F69" s="209"/>
      <c r="G69" s="255">
        <f>G68/G56</f>
        <v>-0.69019828794346594</v>
      </c>
      <c r="H69" s="255">
        <f t="shared" ref="H69:O69" si="23">H68/H56</f>
        <v>-0.20524678185163159</v>
      </c>
      <c r="I69" s="255">
        <f t="shared" si="23"/>
        <v>0.14189625818791446</v>
      </c>
      <c r="J69" s="255">
        <f t="shared" si="23"/>
        <v>0.18581357938013829</v>
      </c>
      <c r="K69" s="255">
        <f t="shared" si="23"/>
        <v>0.21865575168404264</v>
      </c>
      <c r="L69" s="255">
        <f t="shared" si="23"/>
        <v>0.27055544597261955</v>
      </c>
      <c r="M69" s="255">
        <f t="shared" si="23"/>
        <v>0.28265502490333122</v>
      </c>
      <c r="N69" s="255">
        <f t="shared" si="23"/>
        <v>0.29888601086535976</v>
      </c>
      <c r="O69" s="255">
        <f t="shared" si="23"/>
        <v>0.32288942077172533</v>
      </c>
      <c r="P69" s="255">
        <f>P68/P56</f>
        <v>0.34001348967988021</v>
      </c>
      <c r="R69" s="195"/>
    </row>
    <row r="70" spans="2:18">
      <c r="B70" s="212" t="s">
        <v>303</v>
      </c>
      <c r="C70" s="195"/>
      <c r="D70" s="210"/>
      <c r="E70" s="210"/>
      <c r="F70" s="210"/>
      <c r="G70" s="195">
        <f>IF(G72&gt;0,-18%,0%)</f>
        <v>0</v>
      </c>
      <c r="H70" s="195">
        <f t="shared" ref="H70:P70" si="24">IF(H72&gt;0,-18%,0%)</f>
        <v>0</v>
      </c>
      <c r="I70" s="195">
        <f t="shared" si="24"/>
        <v>-0.18</v>
      </c>
      <c r="J70" s="195">
        <f t="shared" si="24"/>
        <v>-0.18</v>
      </c>
      <c r="K70" s="195">
        <f t="shared" si="24"/>
        <v>-0.18</v>
      </c>
      <c r="L70" s="195">
        <f t="shared" si="24"/>
        <v>-0.18</v>
      </c>
      <c r="M70" s="195">
        <f t="shared" si="24"/>
        <v>-0.18</v>
      </c>
      <c r="N70" s="195">
        <f t="shared" si="24"/>
        <v>-0.18</v>
      </c>
      <c r="O70" s="195">
        <f t="shared" si="24"/>
        <v>-0.18</v>
      </c>
      <c r="P70" s="195">
        <f t="shared" si="24"/>
        <v>-0.18</v>
      </c>
      <c r="R70" s="195"/>
    </row>
    <row r="71" spans="2:18">
      <c r="B71" s="212" t="s">
        <v>341</v>
      </c>
      <c r="C71" s="211"/>
      <c r="D71" s="211"/>
      <c r="E71" s="211"/>
      <c r="F71" s="211"/>
      <c r="G71" s="215">
        <f>G70*G72</f>
        <v>0</v>
      </c>
      <c r="H71" s="215">
        <f t="shared" ref="H71:P71" si="25">H70*H72</f>
        <v>0</v>
      </c>
      <c r="I71" s="215">
        <f t="shared" si="25"/>
        <v>-1355.5683250167644</v>
      </c>
      <c r="J71" s="215">
        <f t="shared" si="25"/>
        <v>-4143.4711507727943</v>
      </c>
      <c r="K71" s="215">
        <f t="shared" si="25"/>
        <v>-9814.5434800784496</v>
      </c>
      <c r="L71" s="215">
        <f t="shared" si="25"/>
        <v>-18849.516564069476</v>
      </c>
      <c r="M71" s="215">
        <f t="shared" si="25"/>
        <v>-27909.643735558449</v>
      </c>
      <c r="N71" s="215">
        <f t="shared" si="25"/>
        <v>-36870.618729464659</v>
      </c>
      <c r="O71" s="215">
        <f t="shared" si="25"/>
        <v>-43027.715576897339</v>
      </c>
      <c r="P71" s="215">
        <f t="shared" si="25"/>
        <v>-47307.954088359947</v>
      </c>
      <c r="R71" s="211"/>
    </row>
    <row r="72" spans="2:18">
      <c r="B72" s="212" t="s">
        <v>305</v>
      </c>
      <c r="C72" s="212"/>
      <c r="D72" s="209"/>
      <c r="E72" s="209"/>
      <c r="F72" s="209"/>
      <c r="G72" s="254">
        <f>G76-SUM(G73:G75)</f>
        <v>-4375.3240226000007</v>
      </c>
      <c r="H72" s="254">
        <f t="shared" ref="H72:P72" si="26">H76-SUM(H73:H75)</f>
        <v>-4869.4243670396745</v>
      </c>
      <c r="I72" s="254">
        <f t="shared" si="26"/>
        <v>7530.9351389820249</v>
      </c>
      <c r="J72" s="254">
        <f t="shared" si="26"/>
        <v>23019.284170959967</v>
      </c>
      <c r="K72" s="254">
        <f t="shared" si="26"/>
        <v>54525.241555991386</v>
      </c>
      <c r="L72" s="254">
        <f t="shared" si="26"/>
        <v>104719.53646705265</v>
      </c>
      <c r="M72" s="254">
        <f t="shared" si="26"/>
        <v>155053.57630865806</v>
      </c>
      <c r="N72" s="254">
        <f t="shared" si="26"/>
        <v>204836.7707192481</v>
      </c>
      <c r="O72" s="254">
        <f t="shared" si="26"/>
        <v>239042.86431609633</v>
      </c>
      <c r="P72" s="254">
        <f t="shared" si="26"/>
        <v>262821.96715755528</v>
      </c>
      <c r="R72" s="214"/>
    </row>
    <row r="73" spans="2:18">
      <c r="B73" s="212" t="s">
        <v>306</v>
      </c>
      <c r="C73" s="216">
        <f t="shared" ref="C73:P75" si="27">C18</f>
        <v>20.018000000000001</v>
      </c>
      <c r="D73" s="216">
        <f t="shared" si="27"/>
        <v>68.930999999999997</v>
      </c>
      <c r="E73" s="216">
        <f t="shared" si="27"/>
        <v>279.93700000000001</v>
      </c>
      <c r="F73" s="216">
        <f t="shared" si="27"/>
        <v>281.06099999999998</v>
      </c>
      <c r="G73" s="216">
        <f t="shared" si="27"/>
        <v>143.61724000000001</v>
      </c>
      <c r="H73" s="216">
        <f t="shared" si="27"/>
        <v>143.14778799999999</v>
      </c>
      <c r="I73" s="216">
        <f t="shared" si="27"/>
        <v>48.242610800000001</v>
      </c>
      <c r="J73" s="216">
        <f t="shared" si="27"/>
        <v>29.84101588</v>
      </c>
      <c r="K73" s="216">
        <f t="shared" si="27"/>
        <v>34.209804801333334</v>
      </c>
      <c r="L73" s="216">
        <f t="shared" si="27"/>
        <v>38.099852614800007</v>
      </c>
      <c r="M73" s="216">
        <f t="shared" si="27"/>
        <v>41.909837876280008</v>
      </c>
      <c r="N73" s="216">
        <f t="shared" si="27"/>
        <v>46.100821663908008</v>
      </c>
      <c r="O73" s="216">
        <f t="shared" si="27"/>
        <v>50.710903830298818</v>
      </c>
      <c r="P73" s="216">
        <f t="shared" si="27"/>
        <v>55.781994213328701</v>
      </c>
      <c r="R73" s="195"/>
    </row>
    <row r="74" spans="2:18">
      <c r="B74" s="212" t="s">
        <v>307</v>
      </c>
      <c r="C74" s="216">
        <f t="shared" si="27"/>
        <v>9.8930000000000025</v>
      </c>
      <c r="D74" s="216">
        <f t="shared" si="27"/>
        <v>-96.090000000000018</v>
      </c>
      <c r="E74" s="216">
        <f t="shared" si="27"/>
        <v>-2.5999999999991807E-2</v>
      </c>
      <c r="F74" s="216">
        <f t="shared" si="27"/>
        <v>704.28600000000006</v>
      </c>
      <c r="G74" s="216">
        <f t="shared" si="27"/>
        <v>1881.9336211945201</v>
      </c>
      <c r="H74" s="216">
        <f t="shared" si="27"/>
        <v>2300.1186720208179</v>
      </c>
      <c r="I74" s="216">
        <f t="shared" si="27"/>
        <v>2445.5424682378243</v>
      </c>
      <c r="J74" s="216">
        <f t="shared" si="27"/>
        <v>2289.5280629095032</v>
      </c>
      <c r="K74" s="216">
        <f t="shared" si="27"/>
        <v>2487.2474954833706</v>
      </c>
      <c r="L74" s="216">
        <f t="shared" si="27"/>
        <v>3153.6479633497838</v>
      </c>
      <c r="M74" s="216">
        <f t="shared" si="27"/>
        <v>-1520.6901757667802</v>
      </c>
      <c r="N74" s="216">
        <f t="shared" si="27"/>
        <v>-4384.5128366057179</v>
      </c>
      <c r="O74" s="216">
        <f t="shared" si="27"/>
        <v>-13556.451935607991</v>
      </c>
      <c r="P74" s="216">
        <f t="shared" si="27"/>
        <v>-19218.455448404427</v>
      </c>
      <c r="R74" s="215"/>
    </row>
    <row r="75" spans="2:18">
      <c r="B75" s="212" t="s">
        <v>308</v>
      </c>
      <c r="C75" s="216">
        <f t="shared" si="27"/>
        <v>-31.651</v>
      </c>
      <c r="D75" s="216">
        <f t="shared" si="27"/>
        <v>-508.56900000000002</v>
      </c>
      <c r="E75" s="216">
        <f t="shared" si="27"/>
        <v>-132.76</v>
      </c>
      <c r="F75" s="216">
        <f t="shared" si="27"/>
        <v>-23.088000000000001</v>
      </c>
      <c r="G75" s="216">
        <f t="shared" si="27"/>
        <v>-27.705599999999997</v>
      </c>
      <c r="H75" s="216">
        <f t="shared" si="27"/>
        <v>-31.855080000000001</v>
      </c>
      <c r="I75" s="216">
        <f t="shared" si="27"/>
        <v>-35.040588</v>
      </c>
      <c r="J75" s="216">
        <f t="shared" si="27"/>
        <v>-38.54464680000001</v>
      </c>
      <c r="K75" s="216">
        <f t="shared" si="27"/>
        <v>-42.399111480000009</v>
      </c>
      <c r="L75" s="216">
        <f t="shared" si="27"/>
        <v>-46.639022628000014</v>
      </c>
      <c r="M75" s="216">
        <f t="shared" si="27"/>
        <v>-51.302924890800014</v>
      </c>
      <c r="N75" s="216">
        <f t="shared" si="27"/>
        <v>-56.43321737988002</v>
      </c>
      <c r="O75" s="216">
        <f t="shared" si="27"/>
        <v>-62.07653911786803</v>
      </c>
      <c r="P75" s="216">
        <f t="shared" si="27"/>
        <v>-68.284193029654844</v>
      </c>
      <c r="R75" s="216"/>
    </row>
    <row r="76" spans="2:18">
      <c r="B76" s="192" t="s">
        <v>342</v>
      </c>
      <c r="C76" s="216"/>
      <c r="D76" s="216"/>
      <c r="E76" s="216"/>
      <c r="F76" s="216"/>
      <c r="G76" s="216">
        <f>G77</f>
        <v>-2377.4787614054808</v>
      </c>
      <c r="H76" s="216">
        <f t="shared" ref="H76:O76" si="28">H77</f>
        <v>-2458.0129870188562</v>
      </c>
      <c r="I76" s="216">
        <f t="shared" si="28"/>
        <v>9989.6796300198494</v>
      </c>
      <c r="J76" s="216">
        <f t="shared" si="28"/>
        <v>25300.108602949469</v>
      </c>
      <c r="K76" s="216">
        <f t="shared" si="28"/>
        <v>57004.299744796088</v>
      </c>
      <c r="L76" s="216">
        <f t="shared" si="28"/>
        <v>107864.64526038922</v>
      </c>
      <c r="M76" s="216">
        <f t="shared" si="28"/>
        <v>153523.49304587676</v>
      </c>
      <c r="N76" s="216">
        <f t="shared" si="28"/>
        <v>200441.92548692643</v>
      </c>
      <c r="O76" s="216">
        <f t="shared" si="28"/>
        <v>225475.04674520076</v>
      </c>
      <c r="P76" s="216">
        <f>P77/((1+$C$49)*C50+1)</f>
        <v>243591.00951033449</v>
      </c>
      <c r="R76" s="216"/>
    </row>
    <row r="77" spans="2:18" s="187" customFormat="1">
      <c r="B77" s="212" t="s">
        <v>343</v>
      </c>
      <c r="C77" s="217"/>
      <c r="D77" s="217"/>
      <c r="E77" s="217"/>
      <c r="F77" s="217"/>
      <c r="G77" s="217">
        <f>G78+G81</f>
        <v>-2377.4787614054808</v>
      </c>
      <c r="H77" s="217">
        <f t="shared" ref="H77:O77" si="29">H78+H81</f>
        <v>-2458.0129870188562</v>
      </c>
      <c r="I77" s="217">
        <f t="shared" si="29"/>
        <v>9989.6796300198494</v>
      </c>
      <c r="J77" s="217">
        <f t="shared" si="29"/>
        <v>25300.108602949469</v>
      </c>
      <c r="K77" s="217">
        <f t="shared" si="29"/>
        <v>57004.299744796088</v>
      </c>
      <c r="L77" s="217">
        <f t="shared" si="29"/>
        <v>107864.64526038922</v>
      </c>
      <c r="M77" s="217">
        <f t="shared" si="29"/>
        <v>153523.49304587676</v>
      </c>
      <c r="N77" s="217">
        <f t="shared" si="29"/>
        <v>200441.92548692643</v>
      </c>
      <c r="O77" s="217">
        <f t="shared" si="29"/>
        <v>225475.04674520076</v>
      </c>
      <c r="P77" s="217">
        <f>P78+P81</f>
        <v>2794073.5630745729</v>
      </c>
      <c r="R77" s="217"/>
    </row>
    <row r="78" spans="2:18">
      <c r="B78" s="227" t="s">
        <v>344</v>
      </c>
      <c r="C78" s="216">
        <f t="shared" ref="C78:P78" si="30">C22</f>
        <v>-99.435000000000002</v>
      </c>
      <c r="D78" s="216">
        <f t="shared" si="30"/>
        <v>-1155.9490000000001</v>
      </c>
      <c r="E78" s="216">
        <f t="shared" si="30"/>
        <v>-2367.6219999999994</v>
      </c>
      <c r="F78" s="216">
        <f t="shared" si="30"/>
        <v>-2266.2260000000006</v>
      </c>
      <c r="G78" s="216">
        <f t="shared" si="30"/>
        <v>-2377.4787614054808</v>
      </c>
      <c r="H78" s="216">
        <f t="shared" si="30"/>
        <v>-2458.0129870188562</v>
      </c>
      <c r="I78" s="216">
        <f>I22</f>
        <v>1154.6814531012531</v>
      </c>
      <c r="J78" s="216">
        <f t="shared" si="30"/>
        <v>8180.9342263605331</v>
      </c>
      <c r="K78" s="216">
        <f t="shared" si="30"/>
        <v>22638.728495724827</v>
      </c>
      <c r="L78" s="216">
        <f t="shared" si="30"/>
        <v>53439.283621977731</v>
      </c>
      <c r="M78" s="216">
        <f t="shared" si="30"/>
        <v>75933.563632456557</v>
      </c>
      <c r="N78" s="216">
        <f t="shared" si="30"/>
        <v>100559.5189767914</v>
      </c>
      <c r="O78" s="216">
        <f t="shared" si="30"/>
        <v>113426.96312213133</v>
      </c>
      <c r="P78" s="216">
        <f t="shared" si="30"/>
        <v>1560461.618458247</v>
      </c>
      <c r="R78" s="216"/>
    </row>
    <row r="79" spans="2:18">
      <c r="B79" s="227" t="s">
        <v>345</v>
      </c>
      <c r="C79" s="216"/>
      <c r="D79" s="216"/>
      <c r="E79" s="216"/>
      <c r="F79" s="216"/>
      <c r="G79" s="213">
        <v>0</v>
      </c>
      <c r="H79" s="213">
        <v>0</v>
      </c>
      <c r="I79" s="213">
        <v>1.0999999999999999E-2</v>
      </c>
      <c r="J79" s="213">
        <v>1.9E-2</v>
      </c>
      <c r="K79" s="213">
        <v>3.4000000000000002E-2</v>
      </c>
      <c r="L79" s="213">
        <v>4.8000000000000001E-2</v>
      </c>
      <c r="M79" s="213">
        <v>6.0999999999999999E-2</v>
      </c>
      <c r="N79" s="213">
        <v>7.0000000000000007E-2</v>
      </c>
      <c r="O79" s="213">
        <v>7.0000000000000007E-2</v>
      </c>
      <c r="P79" s="209">
        <f>1-SUM(G79:O79)</f>
        <v>0.68700000000000006</v>
      </c>
      <c r="R79" s="216"/>
    </row>
    <row r="80" spans="2:18">
      <c r="B80" s="227" t="s">
        <v>346</v>
      </c>
      <c r="C80" s="217"/>
      <c r="D80" s="217"/>
      <c r="E80" s="217"/>
      <c r="F80" s="217"/>
      <c r="G80" s="216">
        <f>G79*$C$89</f>
        <v>0</v>
      </c>
      <c r="H80" s="216">
        <f>H79*$C$89</f>
        <v>0</v>
      </c>
      <c r="I80" s="216">
        <f t="shared" ref="I80:P80" si="31">I79*$C$89</f>
        <v>7020.6220360760053</v>
      </c>
      <c r="J80" s="216">
        <f t="shared" si="31"/>
        <v>12126.528971404008</v>
      </c>
      <c r="K80" s="216">
        <f t="shared" si="31"/>
        <v>21700.104475144017</v>
      </c>
      <c r="L80" s="216">
        <f t="shared" si="31"/>
        <v>30635.441611968025</v>
      </c>
      <c r="M80" s="216">
        <f t="shared" si="31"/>
        <v>38932.540381876031</v>
      </c>
      <c r="N80" s="216">
        <f t="shared" si="31"/>
        <v>44676.685684120042</v>
      </c>
      <c r="O80" s="216">
        <f t="shared" si="31"/>
        <v>44676.685684120042</v>
      </c>
      <c r="P80" s="216">
        <f t="shared" si="31"/>
        <v>438469.75807129237</v>
      </c>
      <c r="R80" s="217"/>
    </row>
    <row r="81" spans="2:18">
      <c r="B81" s="227" t="s">
        <v>347</v>
      </c>
      <c r="C81" s="216"/>
      <c r="D81" s="216"/>
      <c r="E81" s="216"/>
      <c r="F81" s="216"/>
      <c r="G81" s="216">
        <f t="shared" ref="G81:P81" si="32">G80/G24</f>
        <v>0</v>
      </c>
      <c r="H81" s="216">
        <f t="shared" si="32"/>
        <v>0</v>
      </c>
      <c r="I81" s="216">
        <f t="shared" si="32"/>
        <v>8834.9981769185961</v>
      </c>
      <c r="J81" s="216">
        <f>J80/J24</f>
        <v>17119.174376588937</v>
      </c>
      <c r="K81" s="216">
        <f t="shared" si="32"/>
        <v>34365.571249071261</v>
      </c>
      <c r="L81" s="216">
        <f t="shared" si="32"/>
        <v>54425.361638411487</v>
      </c>
      <c r="M81" s="216">
        <f t="shared" si="32"/>
        <v>77589.929413420206</v>
      </c>
      <c r="N81" s="216">
        <f t="shared" si="32"/>
        <v>99882.406510135028</v>
      </c>
      <c r="O81" s="216">
        <f t="shared" si="32"/>
        <v>112048.08362306944</v>
      </c>
      <c r="P81" s="216">
        <f t="shared" si="32"/>
        <v>1233611.9446163261</v>
      </c>
      <c r="R81" s="216"/>
    </row>
    <row r="82" spans="2:18"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R82" s="218"/>
    </row>
    <row r="83" spans="2:18">
      <c r="B83" s="212" t="s">
        <v>348</v>
      </c>
      <c r="C83" s="256">
        <f>C86-C85</f>
        <v>1370086.6866588413</v>
      </c>
    </row>
    <row r="84" spans="2:18">
      <c r="B84" s="257"/>
      <c r="C84" s="258"/>
    </row>
    <row r="85" spans="2:18">
      <c r="B85" s="212" t="s">
        <v>313</v>
      </c>
      <c r="C85" s="224">
        <f>C28</f>
        <v>29767.346738594522</v>
      </c>
    </row>
    <row r="86" spans="2:18">
      <c r="B86" s="212" t="s">
        <v>349</v>
      </c>
      <c r="C86" s="224">
        <f>'Bull bear'!H16*7</f>
        <v>1399854.0333974359</v>
      </c>
    </row>
    <row r="88" spans="2:18">
      <c r="B88" s="212" t="s">
        <v>350</v>
      </c>
      <c r="C88" s="256">
        <f>C27</f>
        <v>731848.31974284083</v>
      </c>
    </row>
    <row r="89" spans="2:18">
      <c r="B89" s="185" t="s">
        <v>351</v>
      </c>
      <c r="C89" s="256">
        <f>C83-C88</f>
        <v>638238.36691600049</v>
      </c>
    </row>
    <row r="91" spans="2:18">
      <c r="B91" s="189" t="s">
        <v>352</v>
      </c>
      <c r="C91" s="190"/>
      <c r="D91" s="190"/>
      <c r="E91" s="190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1"/>
      <c r="R91" s="191"/>
    </row>
    <row r="92" spans="2:18">
      <c r="B92" s="192" t="s">
        <v>25</v>
      </c>
      <c r="C92" s="253">
        <f t="shared" ref="C92:H92" si="33">C5</f>
        <v>57.408999999999999</v>
      </c>
      <c r="D92" s="253">
        <f t="shared" si="33"/>
        <v>124.53800000000001</v>
      </c>
      <c r="E92" s="253">
        <f t="shared" si="33"/>
        <v>312.41399999999999</v>
      </c>
      <c r="F92" s="253">
        <f t="shared" si="33"/>
        <v>724.33400000000006</v>
      </c>
      <c r="G92" s="253">
        <f t="shared" si="33"/>
        <v>6339.2275799999998</v>
      </c>
      <c r="H92" s="253">
        <f t="shared" si="33"/>
        <v>23724.729436000001</v>
      </c>
      <c r="I92" s="193">
        <f>I102/(1-I100)+I98</f>
        <v>51259.785771694013</v>
      </c>
      <c r="J92" s="193">
        <f>J102/(1-J100)+J98</f>
        <v>94315.172323524443</v>
      </c>
      <c r="K92" s="193">
        <f t="shared" ref="K92:P92" si="34">K102/(1-K100)+K98</f>
        <v>159759.83164741515</v>
      </c>
      <c r="L92" s="193">
        <f t="shared" si="34"/>
        <v>197142.47876843245</v>
      </c>
      <c r="M92" s="193">
        <f t="shared" si="34"/>
        <v>258461.16599893611</v>
      </c>
      <c r="N92" s="193">
        <f t="shared" si="34"/>
        <v>309735.07260309916</v>
      </c>
      <c r="O92" s="193">
        <f t="shared" si="34"/>
        <v>332081.60455453594</v>
      </c>
      <c r="P92" s="193">
        <f t="shared" si="34"/>
        <v>338090.44751699985</v>
      </c>
      <c r="R92" s="193"/>
    </row>
    <row r="93" spans="2:18">
      <c r="B93" s="194" t="s">
        <v>26</v>
      </c>
      <c r="C93" s="195"/>
      <c r="D93" s="195"/>
      <c r="E93" s="195"/>
      <c r="F93" s="195"/>
      <c r="G93" s="195">
        <f t="shared" ref="G93:P93" si="35">G92/F92-1</f>
        <v>7.7518017654838776</v>
      </c>
      <c r="H93" s="195">
        <f t="shared" si="35"/>
        <v>2.7425268515127206</v>
      </c>
      <c r="I93" s="195">
        <f t="shared" si="35"/>
        <v>1.1606057051134249</v>
      </c>
      <c r="J93" s="195">
        <f t="shared" si="35"/>
        <v>0.83994472282024035</v>
      </c>
      <c r="K93" s="195">
        <f t="shared" si="35"/>
        <v>0.69389322747987237</v>
      </c>
      <c r="L93" s="195">
        <f t="shared" si="35"/>
        <v>0.23399277988424272</v>
      </c>
      <c r="M93" s="195">
        <f t="shared" si="35"/>
        <v>0.31103741625634029</v>
      </c>
      <c r="N93" s="195">
        <f t="shared" si="35"/>
        <v>0.19838147214879509</v>
      </c>
      <c r="O93" s="195">
        <f t="shared" si="35"/>
        <v>7.2147244300202473E-2</v>
      </c>
      <c r="P93" s="195">
        <f t="shared" si="35"/>
        <v>1.8094477020262456E-2</v>
      </c>
      <c r="R93" s="196"/>
    </row>
    <row r="94" spans="2:18">
      <c r="B94" s="194" t="s">
        <v>335</v>
      </c>
      <c r="C94" s="195"/>
      <c r="D94" s="195"/>
      <c r="E94" s="195"/>
      <c r="F94" s="195"/>
      <c r="G94" s="198">
        <f>G92*G62</f>
        <v>5248.44</v>
      </c>
      <c r="H94" s="198">
        <f t="shared" ref="H94:K94" si="36">H92*H62</f>
        <v>21931</v>
      </c>
      <c r="I94" s="198">
        <f t="shared" si="36"/>
        <v>48936.144252053804</v>
      </c>
      <c r="J94" s="198">
        <f t="shared" si="36"/>
        <v>91323.059136920521</v>
      </c>
      <c r="K94" s="198">
        <f t="shared" si="36"/>
        <v>155915.93876878719</v>
      </c>
      <c r="L94" s="195"/>
      <c r="M94" s="195"/>
      <c r="N94" s="195"/>
      <c r="O94" s="195"/>
      <c r="P94" s="195"/>
      <c r="R94" s="196"/>
    </row>
    <row r="95" spans="2:18">
      <c r="B95" s="199" t="s">
        <v>336</v>
      </c>
      <c r="C95" s="200"/>
      <c r="D95" s="201"/>
      <c r="E95" s="201"/>
      <c r="F95" s="201"/>
      <c r="G95" s="201">
        <f>G94/G$3</f>
        <v>0.15107101257093702</v>
      </c>
      <c r="H95" s="201">
        <f t="shared" ref="H95:K95" si="37">H94/H$3</f>
        <v>0.20334209313768564</v>
      </c>
      <c r="I95" s="201">
        <f t="shared" si="37"/>
        <v>0.19292087385552634</v>
      </c>
      <c r="J95" s="201">
        <f t="shared" si="37"/>
        <v>0.18154865113365473</v>
      </c>
      <c r="K95" s="201">
        <f t="shared" si="37"/>
        <v>0.17731774774044196</v>
      </c>
      <c r="L95" s="195"/>
      <c r="M95" s="195"/>
      <c r="N95" s="195"/>
      <c r="O95" s="195"/>
      <c r="P95" s="195"/>
      <c r="R95" s="195"/>
    </row>
    <row r="96" spans="2:18">
      <c r="B96" s="194" t="s">
        <v>299</v>
      </c>
      <c r="C96" s="195"/>
      <c r="D96" s="210"/>
      <c r="E96" s="210"/>
      <c r="F96" s="210"/>
      <c r="G96" s="210"/>
      <c r="H96" s="210">
        <f t="shared" ref="H96" si="38">H95-G95</f>
        <v>5.2271080566748618E-2</v>
      </c>
      <c r="I96" s="210">
        <f>I95-H95</f>
        <v>-1.0421219282159305E-2</v>
      </c>
      <c r="J96" s="210">
        <f>J95-I95</f>
        <v>-1.1372222721871605E-2</v>
      </c>
      <c r="K96" s="210">
        <f>K95-J95</f>
        <v>-4.230903393212776E-3</v>
      </c>
      <c r="L96" s="195"/>
      <c r="M96" s="195"/>
      <c r="N96" s="195"/>
      <c r="O96" s="195"/>
      <c r="P96" s="195"/>
      <c r="R96" s="195"/>
    </row>
    <row r="97" spans="2:18">
      <c r="B97" s="194"/>
      <c r="C97" s="195"/>
      <c r="D97" s="210"/>
      <c r="E97" s="210"/>
      <c r="F97" s="210"/>
      <c r="G97" s="210"/>
      <c r="H97" s="210"/>
      <c r="I97" s="210"/>
      <c r="J97" s="210"/>
      <c r="K97" s="210"/>
      <c r="L97" s="195"/>
      <c r="M97" s="195"/>
      <c r="N97" s="195"/>
      <c r="O97" s="195"/>
      <c r="P97" s="195"/>
      <c r="R97" s="195"/>
    </row>
    <row r="98" spans="2:18" ht="12" customHeight="1">
      <c r="B98" s="194" t="s">
        <v>338</v>
      </c>
      <c r="C98" s="198">
        <f>C64</f>
        <v>0</v>
      </c>
      <c r="D98" s="198">
        <f t="shared" ref="D98:Q98" si="39">D64</f>
        <v>311.74599999999998</v>
      </c>
      <c r="E98" s="198">
        <f t="shared" si="39"/>
        <v>1552.8320000000001</v>
      </c>
      <c r="F98" s="198">
        <f t="shared" si="39"/>
        <v>2249.5275036830953</v>
      </c>
      <c r="G98" s="198">
        <f t="shared" si="39"/>
        <v>4049.1495066295715</v>
      </c>
      <c r="H98" s="198">
        <f t="shared" si="39"/>
        <v>7693.3840625961857</v>
      </c>
      <c r="I98" s="198">
        <f t="shared" si="39"/>
        <v>11532.382709831683</v>
      </c>
      <c r="J98" s="198">
        <f t="shared" si="39"/>
        <v>18451.812335730694</v>
      </c>
      <c r="K98" s="198">
        <f t="shared" si="39"/>
        <v>28600.309120382582</v>
      </c>
      <c r="L98" s="198">
        <f t="shared" si="39"/>
        <v>39611.428131729866</v>
      </c>
      <c r="M98" s="198">
        <f t="shared" si="39"/>
        <v>50286.708013231058</v>
      </c>
      <c r="N98" s="198">
        <f t="shared" si="39"/>
        <v>59773.295479927096</v>
      </c>
      <c r="O98" s="198">
        <f t="shared" si="39"/>
        <v>67666.658014528875</v>
      </c>
      <c r="P98" s="198">
        <f t="shared" si="39"/>
        <v>73921.662381404894</v>
      </c>
      <c r="Q98" s="198">
        <f t="shared" si="39"/>
        <v>0</v>
      </c>
      <c r="R98" s="195"/>
    </row>
    <row r="99" spans="2:18">
      <c r="B99" s="194" t="s">
        <v>339</v>
      </c>
      <c r="C99" s="198"/>
      <c r="D99" s="198"/>
      <c r="E99" s="198"/>
      <c r="F99" s="198"/>
      <c r="G99" s="198"/>
      <c r="H99" s="198"/>
      <c r="I99" s="198"/>
      <c r="J99" s="198"/>
      <c r="K99" s="198"/>
      <c r="L99" s="198"/>
      <c r="M99" s="198"/>
      <c r="N99" s="198"/>
      <c r="O99" s="198"/>
      <c r="P99" s="198"/>
      <c r="Q99" s="198"/>
      <c r="R99" s="195"/>
    </row>
    <row r="100" spans="2:18">
      <c r="B100" s="194" t="s">
        <v>340</v>
      </c>
      <c r="C100" s="212"/>
      <c r="D100" s="209"/>
      <c r="E100" s="209"/>
      <c r="F100" s="209"/>
      <c r="G100" s="209">
        <f>(G5-G13-G98)/G5</f>
        <v>1.0514533532444073</v>
      </c>
      <c r="H100" s="209">
        <f>(H5-H13-H98)/H5</f>
        <v>0.88096978289364924</v>
      </c>
      <c r="I100" s="213">
        <v>1.25</v>
      </c>
      <c r="J100" s="213">
        <v>1.05</v>
      </c>
      <c r="K100" s="209">
        <f t="shared" ref="K100:P100" si="40">(K5-K13-K98)/K5</f>
        <v>0.75780352244822069</v>
      </c>
      <c r="L100" s="209">
        <f t="shared" si="40"/>
        <v>0.70375101466196388</v>
      </c>
      <c r="M100" s="209">
        <f t="shared" si="40"/>
        <v>0.69353689834248067</v>
      </c>
      <c r="N100" s="209">
        <f t="shared" si="40"/>
        <v>0.6772591317585005</v>
      </c>
      <c r="O100" s="209">
        <f t="shared" si="40"/>
        <v>0.65226516945715385</v>
      </c>
      <c r="P100" s="209">
        <f t="shared" si="40"/>
        <v>0.62799161935620851</v>
      </c>
      <c r="R100" s="195"/>
    </row>
    <row r="101" spans="2:18">
      <c r="B101" s="194"/>
      <c r="C101" s="195"/>
      <c r="D101" s="210"/>
      <c r="E101" s="210"/>
      <c r="F101" s="210"/>
      <c r="G101" s="210"/>
      <c r="H101" s="210"/>
      <c r="I101" s="210"/>
      <c r="J101" s="210"/>
      <c r="K101" s="210"/>
      <c r="L101" s="195"/>
      <c r="M101" s="195"/>
      <c r="N101" s="195"/>
      <c r="O101" s="195"/>
      <c r="P101" s="195"/>
      <c r="R101" s="195"/>
    </row>
    <row r="102" spans="2:18">
      <c r="B102" s="192" t="s">
        <v>301</v>
      </c>
      <c r="D102" s="195"/>
      <c r="E102" s="195"/>
      <c r="F102" s="195"/>
      <c r="G102" s="254">
        <f t="shared" ref="G102:P102" si="41">G106-G105</f>
        <v>-4375.3240226000007</v>
      </c>
      <c r="H102" s="254">
        <f t="shared" si="41"/>
        <v>-4869.4243670396745</v>
      </c>
      <c r="I102" s="254">
        <f t="shared" si="41"/>
        <v>-9931.8507654655823</v>
      </c>
      <c r="J102" s="254">
        <f t="shared" si="41"/>
        <v>-3793.167999389691</v>
      </c>
      <c r="K102" s="254">
        <f t="shared" si="41"/>
        <v>31766.374353420535</v>
      </c>
      <c r="L102" s="254">
        <f t="shared" si="41"/>
        <v>46668.413910357929</v>
      </c>
      <c r="M102" s="254">
        <f t="shared" si="41"/>
        <v>63797.790080172119</v>
      </c>
      <c r="N102" s="254">
        <f t="shared" si="41"/>
        <v>80672.880975920751</v>
      </c>
      <c r="O102" s="254">
        <f t="shared" si="41"/>
        <v>91946.286628085087</v>
      </c>
      <c r="P102" s="254">
        <f t="shared" si="41"/>
        <v>98273.001974930376</v>
      </c>
      <c r="R102" s="195"/>
    </row>
    <row r="103" spans="2:18">
      <c r="B103" s="194" t="s">
        <v>302</v>
      </c>
      <c r="C103" s="195"/>
      <c r="D103" s="209"/>
      <c r="E103" s="209"/>
      <c r="F103" s="209"/>
      <c r="G103" s="255">
        <f>G102/G92</f>
        <v>-0.69019828794346594</v>
      </c>
      <c r="H103" s="255">
        <f t="shared" ref="H103:O103" si="42">H102/H92</f>
        <v>-0.20524678185163159</v>
      </c>
      <c r="I103" s="255">
        <f t="shared" si="42"/>
        <v>-0.1937552140717298</v>
      </c>
      <c r="J103" s="255">
        <f t="shared" si="42"/>
        <v>-4.0218004229247269E-2</v>
      </c>
      <c r="K103" s="255">
        <f t="shared" si="42"/>
        <v>0.1988383063868514</v>
      </c>
      <c r="L103" s="255">
        <f t="shared" si="42"/>
        <v>0.23672429301842954</v>
      </c>
      <c r="M103" s="255">
        <f t="shared" si="42"/>
        <v>0.24683704352101671</v>
      </c>
      <c r="N103" s="255">
        <f t="shared" si="42"/>
        <v>0.26045768823634846</v>
      </c>
      <c r="O103" s="255">
        <f t="shared" si="42"/>
        <v>0.27687859058445752</v>
      </c>
      <c r="P103" s="255">
        <f>P102/P92</f>
        <v>0.29067074416525485</v>
      </c>
      <c r="R103" s="195"/>
    </row>
    <row r="104" spans="2:18">
      <c r="B104" s="212" t="s">
        <v>303</v>
      </c>
      <c r="C104" s="195"/>
      <c r="D104" s="210"/>
      <c r="E104" s="210"/>
      <c r="F104" s="210"/>
      <c r="G104" s="195">
        <f>IF(G106&gt;0,-18%,0%)</f>
        <v>0</v>
      </c>
      <c r="H104" s="195">
        <f t="shared" ref="H104:P104" si="43">IF(H106&gt;0,-18%,0%)</f>
        <v>0</v>
      </c>
      <c r="I104" s="195">
        <f t="shared" si="43"/>
        <v>0</v>
      </c>
      <c r="J104" s="195">
        <f t="shared" si="43"/>
        <v>0</v>
      </c>
      <c r="K104" s="195">
        <f t="shared" si="43"/>
        <v>-0.18</v>
      </c>
      <c r="L104" s="195">
        <f t="shared" si="43"/>
        <v>-0.18</v>
      </c>
      <c r="M104" s="195">
        <f t="shared" si="43"/>
        <v>-0.18</v>
      </c>
      <c r="N104" s="195">
        <f t="shared" si="43"/>
        <v>-0.18</v>
      </c>
      <c r="O104" s="195">
        <f t="shared" si="43"/>
        <v>-0.18</v>
      </c>
      <c r="P104" s="195">
        <f t="shared" si="43"/>
        <v>-0.18</v>
      </c>
      <c r="R104" s="195"/>
    </row>
    <row r="105" spans="2:18">
      <c r="B105" s="212" t="s">
        <v>341</v>
      </c>
      <c r="C105" s="211"/>
      <c r="D105" s="211"/>
      <c r="E105" s="211"/>
      <c r="F105" s="211"/>
      <c r="G105" s="215">
        <f>G104*G106</f>
        <v>0</v>
      </c>
      <c r="H105" s="215">
        <f t="shared" ref="H105:P105" si="44">H104*H106</f>
        <v>0</v>
      </c>
      <c r="I105" s="215">
        <f t="shared" si="44"/>
        <v>0</v>
      </c>
      <c r="J105" s="215">
        <f t="shared" si="44"/>
        <v>0</v>
      </c>
      <c r="K105" s="215">
        <f t="shared" si="44"/>
        <v>-4845.718121708217</v>
      </c>
      <c r="L105" s="215">
        <f t="shared" si="44"/>
        <v>-7118.9105964952769</v>
      </c>
      <c r="M105" s="215">
        <f t="shared" si="44"/>
        <v>-9731.8662834160859</v>
      </c>
      <c r="N105" s="215">
        <f t="shared" si="44"/>
        <v>-12306.032691242148</v>
      </c>
      <c r="O105" s="215">
        <f t="shared" si="44"/>
        <v>-14025.704739877385</v>
      </c>
      <c r="P105" s="215">
        <f t="shared" si="44"/>
        <v>-14990.796911430058</v>
      </c>
      <c r="R105" s="211"/>
    </row>
    <row r="106" spans="2:18">
      <c r="B106" s="212" t="s">
        <v>305</v>
      </c>
      <c r="C106" s="212"/>
      <c r="D106" s="209"/>
      <c r="E106" s="209"/>
      <c r="F106" s="209"/>
      <c r="G106" s="254">
        <f>G110-SUM(G107:G109)</f>
        <v>-4375.3240226000007</v>
      </c>
      <c r="H106" s="254">
        <f t="shared" ref="H106:P106" si="45">H110-SUM(H107:H109)</f>
        <v>-4869.4243670396745</v>
      </c>
      <c r="I106" s="254">
        <f t="shared" si="45"/>
        <v>-9931.8507654655823</v>
      </c>
      <c r="J106" s="254">
        <f t="shared" si="45"/>
        <v>-3793.167999389691</v>
      </c>
      <c r="K106" s="254">
        <f t="shared" si="45"/>
        <v>26920.656231712317</v>
      </c>
      <c r="L106" s="254">
        <f t="shared" si="45"/>
        <v>39549.503313862653</v>
      </c>
      <c r="M106" s="254">
        <f t="shared" si="45"/>
        <v>54065.923796756033</v>
      </c>
      <c r="N106" s="254">
        <f t="shared" si="45"/>
        <v>68366.848284678606</v>
      </c>
      <c r="O106" s="254">
        <f t="shared" si="45"/>
        <v>77920.5818882077</v>
      </c>
      <c r="P106" s="254">
        <f t="shared" si="45"/>
        <v>83282.205063500325</v>
      </c>
      <c r="R106" s="214"/>
    </row>
    <row r="107" spans="2:18">
      <c r="B107" s="212" t="s">
        <v>306</v>
      </c>
      <c r="C107" s="216">
        <f t="shared" ref="C107:P109" si="46">C18</f>
        <v>20.018000000000001</v>
      </c>
      <c r="D107" s="216">
        <f t="shared" si="46"/>
        <v>68.930999999999997</v>
      </c>
      <c r="E107" s="216">
        <f t="shared" si="46"/>
        <v>279.93700000000001</v>
      </c>
      <c r="F107" s="216">
        <f t="shared" si="46"/>
        <v>281.06099999999998</v>
      </c>
      <c r="G107" s="216">
        <f t="shared" si="46"/>
        <v>143.61724000000001</v>
      </c>
      <c r="H107" s="216">
        <f t="shared" si="46"/>
        <v>143.14778799999999</v>
      </c>
      <c r="I107" s="216">
        <f t="shared" si="46"/>
        <v>48.242610800000001</v>
      </c>
      <c r="J107" s="216">
        <f t="shared" si="46"/>
        <v>29.84101588</v>
      </c>
      <c r="K107" s="216">
        <f t="shared" si="46"/>
        <v>34.209804801333334</v>
      </c>
      <c r="L107" s="216">
        <f t="shared" si="46"/>
        <v>38.099852614800007</v>
      </c>
      <c r="M107" s="216">
        <f t="shared" si="46"/>
        <v>41.909837876280008</v>
      </c>
      <c r="N107" s="216">
        <f t="shared" si="46"/>
        <v>46.100821663908008</v>
      </c>
      <c r="O107" s="216">
        <f t="shared" si="46"/>
        <v>50.710903830298818</v>
      </c>
      <c r="P107" s="216">
        <f t="shared" si="46"/>
        <v>55.781994213328701</v>
      </c>
      <c r="R107" s="195"/>
    </row>
    <row r="108" spans="2:18">
      <c r="B108" s="212" t="s">
        <v>307</v>
      </c>
      <c r="C108" s="216">
        <f t="shared" si="46"/>
        <v>9.8930000000000025</v>
      </c>
      <c r="D108" s="216">
        <f t="shared" si="46"/>
        <v>-96.090000000000018</v>
      </c>
      <c r="E108" s="216">
        <f t="shared" si="46"/>
        <v>-2.5999999999991807E-2</v>
      </c>
      <c r="F108" s="216">
        <f t="shared" si="46"/>
        <v>704.28600000000006</v>
      </c>
      <c r="G108" s="216">
        <f t="shared" si="46"/>
        <v>1881.9336211945201</v>
      </c>
      <c r="H108" s="216">
        <f t="shared" si="46"/>
        <v>2300.1186720208179</v>
      </c>
      <c r="I108" s="216">
        <f t="shared" si="46"/>
        <v>2445.5424682378243</v>
      </c>
      <c r="J108" s="216">
        <f t="shared" si="46"/>
        <v>2289.5280629095032</v>
      </c>
      <c r="K108" s="216">
        <f t="shared" si="46"/>
        <v>2487.2474954833706</v>
      </c>
      <c r="L108" s="216">
        <f t="shared" si="46"/>
        <v>3153.6479633497838</v>
      </c>
      <c r="M108" s="216">
        <f t="shared" si="46"/>
        <v>-1520.6901757667802</v>
      </c>
      <c r="N108" s="216">
        <f t="shared" si="46"/>
        <v>-4384.5128366057179</v>
      </c>
      <c r="O108" s="216">
        <f t="shared" si="46"/>
        <v>-13556.451935607991</v>
      </c>
      <c r="P108" s="216">
        <f t="shared" si="46"/>
        <v>-19218.455448404427</v>
      </c>
      <c r="R108" s="215"/>
    </row>
    <row r="109" spans="2:18">
      <c r="B109" s="212" t="s">
        <v>308</v>
      </c>
      <c r="C109" s="216">
        <f t="shared" si="46"/>
        <v>-31.651</v>
      </c>
      <c r="D109" s="216">
        <f t="shared" si="46"/>
        <v>-508.56900000000002</v>
      </c>
      <c r="E109" s="216">
        <f t="shared" si="46"/>
        <v>-132.76</v>
      </c>
      <c r="F109" s="216">
        <f t="shared" si="46"/>
        <v>-23.088000000000001</v>
      </c>
      <c r="G109" s="216">
        <f t="shared" si="46"/>
        <v>-27.705599999999997</v>
      </c>
      <c r="H109" s="216">
        <f t="shared" si="46"/>
        <v>-31.855080000000001</v>
      </c>
      <c r="I109" s="216">
        <f t="shared" si="46"/>
        <v>-35.040588</v>
      </c>
      <c r="J109" s="216">
        <f t="shared" si="46"/>
        <v>-38.54464680000001</v>
      </c>
      <c r="K109" s="216">
        <f t="shared" si="46"/>
        <v>-42.399111480000009</v>
      </c>
      <c r="L109" s="216">
        <f t="shared" si="46"/>
        <v>-46.639022628000014</v>
      </c>
      <c r="M109" s="216">
        <f t="shared" si="46"/>
        <v>-51.302924890800014</v>
      </c>
      <c r="N109" s="216">
        <f t="shared" si="46"/>
        <v>-56.43321737988002</v>
      </c>
      <c r="O109" s="216">
        <f t="shared" si="46"/>
        <v>-62.07653911786803</v>
      </c>
      <c r="P109" s="216">
        <f t="shared" si="46"/>
        <v>-68.284193029654844</v>
      </c>
      <c r="R109" s="216"/>
    </row>
    <row r="110" spans="2:18">
      <c r="B110" s="192" t="s">
        <v>353</v>
      </c>
      <c r="C110" s="216"/>
      <c r="D110" s="216"/>
      <c r="E110" s="216"/>
      <c r="F110" s="216"/>
      <c r="G110" s="216">
        <f>G111</f>
        <v>-2377.4787614054808</v>
      </c>
      <c r="H110" s="216">
        <f t="shared" ref="H110:O110" si="47">H111</f>
        <v>-2458.0129870188562</v>
      </c>
      <c r="I110" s="216">
        <f t="shared" si="47"/>
        <v>-7473.1062744277579</v>
      </c>
      <c r="J110" s="216">
        <f t="shared" si="47"/>
        <v>-1512.3435674001876</v>
      </c>
      <c r="K110" s="216">
        <f t="shared" si="47"/>
        <v>29399.714420517019</v>
      </c>
      <c r="L110" s="216">
        <f t="shared" si="47"/>
        <v>42694.612107199238</v>
      </c>
      <c r="M110" s="216">
        <f t="shared" si="47"/>
        <v>52535.840533974733</v>
      </c>
      <c r="N110" s="216">
        <f t="shared" si="47"/>
        <v>63972.003052356915</v>
      </c>
      <c r="O110" s="216">
        <f t="shared" si="47"/>
        <v>64352.764317312147</v>
      </c>
      <c r="P110" s="216">
        <f>P111/((1+$C$49)*C50+1)</f>
        <v>64051.247416279577</v>
      </c>
      <c r="R110" s="216"/>
    </row>
    <row r="111" spans="2:18" s="187" customFormat="1">
      <c r="B111" s="212" t="s">
        <v>354</v>
      </c>
      <c r="C111" s="217"/>
      <c r="D111" s="217"/>
      <c r="E111" s="217"/>
      <c r="F111" s="217"/>
      <c r="G111" s="217">
        <f>G112+G115</f>
        <v>-2377.4787614054808</v>
      </c>
      <c r="H111" s="217">
        <f t="shared" ref="H111:O111" si="48">H112+H115</f>
        <v>-2458.0129870188562</v>
      </c>
      <c r="I111" s="217">
        <f t="shared" si="48"/>
        <v>-7473.1062744277579</v>
      </c>
      <c r="J111" s="217">
        <f t="shared" si="48"/>
        <v>-1512.3435674001876</v>
      </c>
      <c r="K111" s="217">
        <f t="shared" si="48"/>
        <v>29399.714420517019</v>
      </c>
      <c r="L111" s="217">
        <f t="shared" si="48"/>
        <v>42694.612107199238</v>
      </c>
      <c r="M111" s="217">
        <f t="shared" si="48"/>
        <v>52535.840533974733</v>
      </c>
      <c r="N111" s="217">
        <f t="shared" si="48"/>
        <v>63972.003052356915</v>
      </c>
      <c r="O111" s="217">
        <f t="shared" si="48"/>
        <v>64352.764317312147</v>
      </c>
      <c r="P111" s="217">
        <f>P112+P115</f>
        <v>734690.07516955456</v>
      </c>
      <c r="R111" s="217"/>
    </row>
    <row r="112" spans="2:18">
      <c r="B112" s="227" t="s">
        <v>344</v>
      </c>
      <c r="C112" s="216">
        <f t="shared" ref="C112:P112" si="49">C22</f>
        <v>-99.435000000000002</v>
      </c>
      <c r="D112" s="216">
        <f t="shared" si="49"/>
        <v>-1155.9490000000001</v>
      </c>
      <c r="E112" s="216">
        <f t="shared" si="49"/>
        <v>-2367.6219999999994</v>
      </c>
      <c r="F112" s="216">
        <f t="shared" si="49"/>
        <v>-2266.2260000000006</v>
      </c>
      <c r="G112" s="216">
        <f t="shared" si="49"/>
        <v>-2377.4787614054808</v>
      </c>
      <c r="H112" s="216">
        <f t="shared" si="49"/>
        <v>-2458.0129870188562</v>
      </c>
      <c r="I112" s="216">
        <v>3.67</v>
      </c>
      <c r="J112" s="216">
        <f t="shared" si="49"/>
        <v>8180.9342263605331</v>
      </c>
      <c r="K112" s="216">
        <f t="shared" si="49"/>
        <v>22638.728495724827</v>
      </c>
      <c r="L112" s="216">
        <f t="shared" si="49"/>
        <v>53439.283621977731</v>
      </c>
      <c r="M112" s="216">
        <f t="shared" si="49"/>
        <v>75933.563632456557</v>
      </c>
      <c r="N112" s="216">
        <f t="shared" si="49"/>
        <v>100559.5189767914</v>
      </c>
      <c r="O112" s="216">
        <f t="shared" si="49"/>
        <v>113426.96312213133</v>
      </c>
      <c r="P112" s="216">
        <f t="shared" si="49"/>
        <v>1560461.618458247</v>
      </c>
      <c r="R112" s="216"/>
    </row>
    <row r="113" spans="2:18">
      <c r="B113" s="227" t="s">
        <v>345</v>
      </c>
      <c r="C113" s="216"/>
      <c r="D113" s="216"/>
      <c r="E113" s="216"/>
      <c r="F113" s="216"/>
      <c r="G113" s="213">
        <v>0</v>
      </c>
      <c r="H113" s="213">
        <v>0</v>
      </c>
      <c r="I113" s="213">
        <v>1.67E-2</v>
      </c>
      <c r="J113" s="213">
        <v>1.9300000000000001E-2</v>
      </c>
      <c r="K113" s="213">
        <v>-1.2E-2</v>
      </c>
      <c r="L113" s="213">
        <v>1.7000000000000001E-2</v>
      </c>
      <c r="M113" s="213">
        <v>3.3000000000000002E-2</v>
      </c>
      <c r="N113" s="213">
        <v>4.5999999999999999E-2</v>
      </c>
      <c r="O113" s="213">
        <v>5.5E-2</v>
      </c>
      <c r="P113" s="209">
        <f>1-SUM(G113:O113)</f>
        <v>0.82499999999999996</v>
      </c>
      <c r="R113" s="216"/>
    </row>
    <row r="114" spans="2:18">
      <c r="B114" s="227" t="s">
        <v>346</v>
      </c>
      <c r="C114" s="217"/>
      <c r="D114" s="217"/>
      <c r="E114" s="217"/>
      <c r="F114" s="217"/>
      <c r="G114" s="216">
        <f>G113*$C$122</f>
        <v>0</v>
      </c>
      <c r="H114" s="216">
        <f t="shared" ref="H114:P114" si="50">H113*$C$122</f>
        <v>0</v>
      </c>
      <c r="I114" s="216">
        <f t="shared" si="50"/>
        <v>-5941.3277988208265</v>
      </c>
      <c r="J114" s="216">
        <f t="shared" si="50"/>
        <v>-6866.3249411522129</v>
      </c>
      <c r="K114" s="216">
        <f t="shared" si="50"/>
        <v>4269.2175799910128</v>
      </c>
      <c r="L114" s="216">
        <f t="shared" si="50"/>
        <v>-6048.058238320602</v>
      </c>
      <c r="M114" s="216">
        <f t="shared" si="50"/>
        <v>-11740.348344975286</v>
      </c>
      <c r="N114" s="216">
        <f t="shared" si="50"/>
        <v>-16365.334056632217</v>
      </c>
      <c r="O114" s="216">
        <f t="shared" si="50"/>
        <v>-19567.247241625475</v>
      </c>
      <c r="P114" s="216">
        <f t="shared" si="50"/>
        <v>-293508.70862438215</v>
      </c>
      <c r="R114" s="217"/>
    </row>
    <row r="115" spans="2:18">
      <c r="B115" s="227" t="s">
        <v>347</v>
      </c>
      <c r="C115" s="216"/>
      <c r="D115" s="216"/>
      <c r="E115" s="216"/>
      <c r="F115" s="216"/>
      <c r="G115" s="216">
        <f t="shared" ref="G115:P115" si="51">G114/G24</f>
        <v>0</v>
      </c>
      <c r="H115" s="216">
        <f t="shared" si="51"/>
        <v>0</v>
      </c>
      <c r="I115" s="216">
        <f t="shared" si="51"/>
        <v>-7476.7762744277579</v>
      </c>
      <c r="J115" s="216">
        <f t="shared" si="51"/>
        <v>-9693.2777937607207</v>
      </c>
      <c r="K115" s="216">
        <f t="shared" si="51"/>
        <v>6760.9859247921913</v>
      </c>
      <c r="L115" s="216">
        <f t="shared" si="51"/>
        <v>-10744.671514778496</v>
      </c>
      <c r="M115" s="216">
        <f t="shared" si="51"/>
        <v>-23397.723098481823</v>
      </c>
      <c r="N115" s="216">
        <f t="shared" si="51"/>
        <v>-36587.515924434483</v>
      </c>
      <c r="O115" s="216">
        <f t="shared" si="51"/>
        <v>-49074.198804819185</v>
      </c>
      <c r="P115" s="216">
        <f t="shared" si="51"/>
        <v>-825771.54328869248</v>
      </c>
      <c r="R115" s="216"/>
    </row>
    <row r="116" spans="2:18"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R116" s="218"/>
    </row>
    <row r="117" spans="2:18">
      <c r="B117" s="212" t="s">
        <v>355</v>
      </c>
      <c r="C117" s="256">
        <f>'Bull bear'!D16*7</f>
        <v>376080.18807692308</v>
      </c>
    </row>
    <row r="118" spans="2:18">
      <c r="B118" s="212"/>
      <c r="C118" s="256"/>
    </row>
    <row r="119" spans="2:18">
      <c r="B119" s="212"/>
      <c r="C119" s="256"/>
    </row>
    <row r="120" spans="2:18">
      <c r="B120" s="212"/>
    </row>
    <row r="121" spans="2:18">
      <c r="B121" s="212" t="s">
        <v>350</v>
      </c>
      <c r="C121" s="256">
        <f>C27</f>
        <v>731848.31974284083</v>
      </c>
    </row>
    <row r="122" spans="2:18">
      <c r="B122" s="185" t="s">
        <v>351</v>
      </c>
      <c r="C122" s="256">
        <f>C117-C121</f>
        <v>-355768.13166591775</v>
      </c>
    </row>
  </sheetData>
  <conditionalFormatting sqref="E3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customProperties>
    <customPr name="Qube.Worksheet.Visibility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B6518-1A8C-4EDA-A090-9359F75B8804}">
  <sheetPr>
    <pageSetUpPr fitToPage="1"/>
  </sheetPr>
  <dimension ref="B3:H41"/>
  <sheetViews>
    <sheetView showGridLines="0" zoomScale="115" zoomScaleNormal="115" workbookViewId="0"/>
  </sheetViews>
  <sheetFormatPr defaultColWidth="9.140625" defaultRowHeight="12.75"/>
  <cols>
    <col min="1" max="1" width="9.140625" style="114"/>
    <col min="2" max="2" width="35" style="259" customWidth="1"/>
    <col min="3" max="3" width="1" style="259" customWidth="1"/>
    <col min="4" max="4" width="31.5703125" style="259" customWidth="1"/>
    <col min="5" max="5" width="1" style="259" customWidth="1"/>
    <col min="6" max="6" width="31.5703125" style="259" customWidth="1"/>
    <col min="7" max="7" width="1" style="260" customWidth="1"/>
    <col min="8" max="8" width="33.5703125" style="259" customWidth="1"/>
    <col min="9" max="16384" width="9.140625" style="114"/>
  </cols>
  <sheetData>
    <row r="3" spans="2:8">
      <c r="F3" s="260"/>
    </row>
    <row r="4" spans="2:8" ht="13.5" thickBot="1">
      <c r="F4" s="260"/>
    </row>
    <row r="5" spans="2:8">
      <c r="B5" s="261" t="s">
        <v>356</v>
      </c>
      <c r="C5" s="262"/>
      <c r="D5" s="263" t="s">
        <v>357</v>
      </c>
      <c r="E5" s="262"/>
      <c r="F5" s="264" t="s">
        <v>358</v>
      </c>
      <c r="G5" s="265"/>
      <c r="H5" s="266" t="s">
        <v>359</v>
      </c>
    </row>
    <row r="6" spans="2:8">
      <c r="B6" s="267"/>
      <c r="C6" s="262"/>
      <c r="D6" s="268" t="s">
        <v>360</v>
      </c>
      <c r="E6" s="262"/>
      <c r="F6" s="268" t="s">
        <v>361</v>
      </c>
      <c r="G6" s="265"/>
      <c r="H6" s="268" t="s">
        <v>362</v>
      </c>
    </row>
    <row r="7" spans="2:8" ht="151.5" customHeight="1">
      <c r="B7" s="269" t="s">
        <v>7</v>
      </c>
      <c r="C7" s="270"/>
      <c r="D7" s="271" t="s">
        <v>363</v>
      </c>
      <c r="F7" s="271" t="s">
        <v>364</v>
      </c>
      <c r="G7" s="259"/>
      <c r="H7" s="271" t="s">
        <v>365</v>
      </c>
    </row>
    <row r="8" spans="2:8">
      <c r="B8" s="267"/>
      <c r="C8" s="262"/>
      <c r="D8" s="272"/>
      <c r="E8" s="262"/>
      <c r="F8" s="272"/>
      <c r="G8" s="265"/>
      <c r="H8" s="272"/>
    </row>
    <row r="9" spans="2:8" ht="13.5" thickBot="1">
      <c r="B9" s="273" t="s">
        <v>366</v>
      </c>
      <c r="D9" s="274">
        <f>D17/D18</f>
        <v>899.99999999999989</v>
      </c>
      <c r="F9" s="275">
        <f>'DCF+base-bull-bear'!C34</f>
        <v>1880</v>
      </c>
      <c r="H9" s="276">
        <f>H17/H18</f>
        <v>3350</v>
      </c>
    </row>
    <row r="10" spans="2:8">
      <c r="B10" s="277" t="s">
        <v>367</v>
      </c>
      <c r="D10" s="278">
        <f>D16/1000</f>
        <v>53.725741153846151</v>
      </c>
      <c r="F10" s="279">
        <f>'DCF+base-bull-bear'!C30/7.8/1000*0.984</f>
        <v>110.43763864098618</v>
      </c>
      <c r="H10" s="280">
        <f>H16/1000</f>
        <v>199.97914762820514</v>
      </c>
    </row>
    <row r="11" spans="2:8" ht="3.95" customHeight="1">
      <c r="F11" s="260"/>
    </row>
    <row r="12" spans="2:8">
      <c r="B12" s="277" t="s">
        <v>368</v>
      </c>
      <c r="D12" s="281">
        <f>D9/$D$21-1</f>
        <v>-0.55708661417322847</v>
      </c>
      <c r="E12" s="282"/>
      <c r="F12" s="283">
        <f>F9/$D$21-1</f>
        <v>-7.4803149606299191E-2</v>
      </c>
      <c r="G12" s="284"/>
      <c r="H12" s="285">
        <f>H9/$D$21-1</f>
        <v>0.64862204724409445</v>
      </c>
    </row>
    <row r="13" spans="2:8">
      <c r="F13" s="260"/>
    </row>
    <row r="14" spans="2:8" hidden="1">
      <c r="B14" s="259" t="s">
        <v>369</v>
      </c>
      <c r="D14" s="286">
        <f>Revenue!K29/7</f>
        <v>3133</v>
      </c>
      <c r="H14" s="286">
        <f>Revenue!L29/7</f>
        <v>8020.4999999999982</v>
      </c>
    </row>
    <row r="15" spans="2:8" hidden="1">
      <c r="B15" s="287" t="s">
        <v>370</v>
      </c>
      <c r="C15" s="288"/>
      <c r="D15" s="289">
        <v>7.6471096122731028</v>
      </c>
      <c r="E15" s="290"/>
      <c r="F15" s="291"/>
      <c r="G15" s="292"/>
      <c r="H15" s="289">
        <v>28.333524268522872</v>
      </c>
    </row>
    <row r="16" spans="2:8" hidden="1">
      <c r="B16" s="259" t="s">
        <v>371</v>
      </c>
      <c r="D16" s="286">
        <f>(D14*D15+D20)</f>
        <v>53725.741153846153</v>
      </c>
      <c r="H16" s="286">
        <f>H14*H15*(1-12%)</f>
        <v>199979.14762820513</v>
      </c>
    </row>
    <row r="17" spans="2:8" hidden="1">
      <c r="B17" s="259" t="s">
        <v>372</v>
      </c>
      <c r="D17" s="286">
        <f>D16*7.8</f>
        <v>419060.78099999996</v>
      </c>
      <c r="H17" s="286">
        <f>H16*7.8</f>
        <v>1559837.3514999999</v>
      </c>
    </row>
    <row r="18" spans="2:8" hidden="1">
      <c r="B18" s="259" t="s">
        <v>373</v>
      </c>
      <c r="D18" s="286">
        <f>H18</f>
        <v>465.62308999999999</v>
      </c>
      <c r="H18" s="286">
        <f>'DCF+base-bull-bear'!C33</f>
        <v>465.62308999999999</v>
      </c>
    </row>
    <row r="19" spans="2:8" hidden="1">
      <c r="D19" s="340">
        <f>D17/D18</f>
        <v>899.99999999999989</v>
      </c>
      <c r="H19" s="286">
        <f>H17/H18</f>
        <v>3350</v>
      </c>
    </row>
    <row r="20" spans="2:8" hidden="1">
      <c r="B20" s="259" t="s">
        <v>126</v>
      </c>
      <c r="D20" s="286">
        <f>'DCF+base-bull-bear'!C85</f>
        <v>29767.346738594522</v>
      </c>
      <c r="H20" s="286"/>
    </row>
    <row r="21" spans="2:8" hidden="1">
      <c r="B21" s="293" t="s">
        <v>374</v>
      </c>
      <c r="D21" s="294">
        <v>2032</v>
      </c>
    </row>
    <row r="41" spans="2:2">
      <c r="B41" s="295"/>
    </row>
  </sheetData>
  <printOptions horizontalCentered="1" verticalCentered="1"/>
  <pageMargins left="0.7" right="0.7" top="0.75" bottom="0.75" header="0.3" footer="0.3"/>
  <pageSetup scale="15" orientation="portrait" r:id="rId1"/>
  <customProperties>
    <customPr name="Qube.Worksheet.Visibility" r:id="rId2"/>
  </customProperties>
</worksheet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Cover page</vt:lpstr>
      <vt:lpstr>Model</vt:lpstr>
      <vt:lpstr>Revenue</vt:lpstr>
      <vt:lpstr>Y&amp;Q</vt:lpstr>
      <vt:lpstr>DCF+base-bull-bear</vt:lpstr>
      <vt:lpstr>Bull bear</vt:lpstr>
      <vt:lpstr>Revenue!Print_Area</vt:lpstr>
      <vt:lpstr>Model!Print_Titles</vt:lpstr>
      <vt:lpstr>Revenue!Print_Titles</vt:lpstr>
      <vt:lpstr>'Y&amp;Q'!Print_Titles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Xiao, Iris [GIR]</dc:creator>
  <cp:lastModifiedBy>Xiao, Iris [GIR]</cp:lastModifiedBy>
  <dcterms:created xsi:type="dcterms:W3CDTF">2026-07-10T01:21:42Z</dcterms:created>
  <dcterms:modified xsi:type="dcterms:W3CDTF">2026-07-10T01:31:44Z</dcterms:modified>
</cp:coreProperties>
</file>