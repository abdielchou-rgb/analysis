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<sst xmlns="http://schemas.openxmlformats.org/spreadsheetml/2006/main" count="66" uniqueCount="53">
  <si>
    <r>
      <rPr>
        <b/>
        <sz val="48"/>
        <color theme="0"/>
        <rFont val="微软雅黑"/>
        <charset val="134"/>
      </rPr>
      <t>【天风电子】主要半导体零部件公司</t>
    </r>
    <r>
      <rPr>
        <b/>
        <sz val="48"/>
        <color rgb="FF002060"/>
        <rFont val="微软雅黑"/>
        <charset val="134"/>
      </rPr>
      <t>2030年收入利润&amp;市值空间测算</t>
    </r>
    <r>
      <rPr>
        <b/>
        <sz val="36"/>
        <color theme="0"/>
        <rFont val="微软雅黑"/>
        <charset val="134"/>
      </rPr>
      <t xml:space="preserve">（全球市场1200亿美金，国内市场400亿美金）
</t>
    </r>
    <r>
      <rPr>
        <b/>
        <sz val="28"/>
        <color theme="0"/>
        <rFont val="微软雅黑"/>
        <charset val="134"/>
      </rPr>
      <t>注： 假设2030年全球半导体设备市场</t>
    </r>
    <r>
      <rPr>
        <b/>
        <sz val="28"/>
        <color theme="4" tint="-0.5"/>
        <rFont val="微软雅黑"/>
        <charset val="134"/>
      </rPr>
      <t>3000亿美金</t>
    </r>
    <r>
      <rPr>
        <b/>
        <sz val="28"/>
        <color theme="0"/>
        <rFont val="微软雅黑"/>
        <charset val="134"/>
      </rPr>
      <t>、零部件市场</t>
    </r>
    <r>
      <rPr>
        <b/>
        <sz val="28"/>
        <color theme="4" tint="-0.5"/>
        <rFont val="微软雅黑"/>
        <charset val="134"/>
      </rPr>
      <t>1200亿美金</t>
    </r>
    <r>
      <rPr>
        <b/>
        <sz val="28"/>
        <color theme="0"/>
        <rFont val="微软雅黑"/>
        <charset val="134"/>
      </rPr>
      <t>，国内半导体设备规模</t>
    </r>
    <r>
      <rPr>
        <b/>
        <sz val="28"/>
        <color theme="4" tint="-0.5"/>
        <rFont val="微软雅黑"/>
        <charset val="134"/>
      </rPr>
      <t>1000亿美金</t>
    </r>
    <r>
      <rPr>
        <b/>
        <sz val="28"/>
        <color theme="0"/>
        <rFont val="微软雅黑"/>
        <charset val="134"/>
      </rPr>
      <t>、零部件市场</t>
    </r>
    <r>
      <rPr>
        <b/>
        <sz val="28"/>
        <color theme="4" tint="-0.5"/>
        <rFont val="微软雅黑"/>
        <charset val="134"/>
      </rPr>
      <t>400亿美金</t>
    </r>
    <r>
      <rPr>
        <b/>
        <sz val="28"/>
        <color theme="0"/>
        <rFont val="微软雅黑"/>
        <charset val="134"/>
      </rPr>
      <t>；</t>
    </r>
    <r>
      <rPr>
        <b/>
        <sz val="36"/>
        <color theme="0"/>
        <rFont val="微软雅黑"/>
        <charset val="134"/>
      </rPr>
      <t xml:space="preserve">  </t>
    </r>
  </si>
  <si>
    <t>零部件</t>
  </si>
  <si>
    <t>公司</t>
  </si>
  <si>
    <t>主要产品</t>
  </si>
  <si>
    <t>2030年全球半导体零部件市场空间
（亿美金）</t>
  </si>
  <si>
    <t>2030年国内半导体零部件市场空间
（亿美金）</t>
  </si>
  <si>
    <t>预计2030年在国内
拿到的份额</t>
  </si>
  <si>
    <t>2030年海外半导体零部件市场空间
（亿美金）</t>
  </si>
  <si>
    <t>预计2030年在海外
拿到的份额</t>
  </si>
  <si>
    <t>2030年半导体零部件有希望拿到的
总收入（亿美金）</t>
  </si>
  <si>
    <t>净利率</t>
  </si>
  <si>
    <t>2030年半导体零部件有希望拿到的
净利润（亿美金）</t>
  </si>
  <si>
    <t>2030年PE</t>
  </si>
  <si>
    <t>2030年半导体业务市值空间
（亿元）</t>
  </si>
  <si>
    <t>2030年其他业务市值（亿元）</t>
  </si>
  <si>
    <t>2030年整体业务市值（亿元）</t>
  </si>
  <si>
    <t>当前市值
（亿元）</t>
  </si>
  <si>
    <t>2030年市值空间/当前市值</t>
  </si>
  <si>
    <t>富创精密</t>
  </si>
  <si>
    <t>金属结构件</t>
  </si>
  <si>
    <t>气柜</t>
  </si>
  <si>
    <t>气体管路</t>
  </si>
  <si>
    <t>气体管路block</t>
  </si>
  <si>
    <t>表面处理</t>
  </si>
  <si>
    <t>珂玛科技</t>
  </si>
  <si>
    <t>陶瓷加热盘</t>
  </si>
  <si>
    <t>陶瓷静电卡盘</t>
  </si>
  <si>
    <t>其他陶瓷结构件</t>
  </si>
  <si>
    <t>江丰电子</t>
  </si>
  <si>
    <t>靶材</t>
  </si>
  <si>
    <t>石英结构件</t>
  </si>
  <si>
    <t>单晶硅结构件</t>
  </si>
  <si>
    <t>神工股份</t>
  </si>
  <si>
    <t>单晶硅电极原材料</t>
  </si>
  <si>
    <t>新莱应材</t>
  </si>
  <si>
    <t>真空阀</t>
  </si>
  <si>
    <t>气体控制阀</t>
  </si>
  <si>
    <t>恒运昌</t>
  </si>
  <si>
    <t>射频电源</t>
  </si>
  <si>
    <t>先锋精科</t>
  </si>
  <si>
    <t>正帆科技</t>
  </si>
  <si>
    <t>臻宝科技</t>
  </si>
  <si>
    <t>京仪装备</t>
  </si>
  <si>
    <t>Chiller</t>
  </si>
  <si>
    <t>Scrubber</t>
  </si>
  <si>
    <t>Sorter</t>
  </si>
  <si>
    <t>真空泵</t>
  </si>
  <si>
    <t>中科仪</t>
  </si>
  <si>
    <t>干泵</t>
  </si>
  <si>
    <t>分子泵</t>
  </si>
  <si>
    <t>智立方</t>
  </si>
  <si>
    <t>纳米级运动控制平台</t>
  </si>
  <si>
    <t xml:space="preserve">注： 假设2030年全球半导体设备市场3000亿美金、零部件市场1200亿美金，国内半导体设备规模1000亿美金、零部件市场400亿美金；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</si>
</sst>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###,###,##0"/>
    <numFmt numFmtId="179" formatCode="0.0_);[Red]\(0.0\)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6"/>
      <color theme="1"/>
      <name val="微软雅黑"/>
      <charset val="134"/>
    </font>
    <font>
      <b/>
      <sz val="48"/>
      <color theme="0"/>
      <name val="微软雅黑"/>
      <charset val="134"/>
    </font>
    <font>
      <b/>
      <sz val="36"/>
      <color theme="0"/>
      <name val="微软雅黑"/>
      <charset val="134"/>
    </font>
    <font>
      <b/>
      <sz val="20"/>
      <color theme="1"/>
      <name val="微软雅黑"/>
      <charset val="134"/>
    </font>
    <font>
      <sz val="24"/>
      <color theme="1"/>
      <name val="微软雅黑"/>
      <charset val="134"/>
    </font>
    <font>
      <b/>
      <sz val="2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48"/>
      <color rgb="FF002060"/>
      <name val="微软雅黑"/>
      <charset val="134"/>
    </font>
    <font>
      <b/>
      <sz val="28"/>
      <color theme="0"/>
      <name val="微软雅黑"/>
      <charset val="134"/>
    </font>
    <font>
      <b/>
      <sz val="28"/>
      <color theme="4" tint="-0.5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18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9">
      <alignment vertical="center"/>
    </xf>
    <xf numFmtId="0" fontId="14" fillId="0" borderId="19">
      <alignment vertical="center"/>
    </xf>
    <xf numFmtId="0" fontId="15" fillId="0" borderId="20">
      <alignment vertical="center"/>
    </xf>
    <xf numFmtId="0" fontId="15" fillId="0" borderId="0">
      <alignment vertical="center"/>
    </xf>
    <xf numFmtId="0" fontId="16" fillId="5" borderId="21">
      <alignment vertical="center"/>
    </xf>
    <xf numFmtId="0" fontId="17" fillId="6" borderId="22">
      <alignment vertical="center"/>
    </xf>
    <xf numFmtId="0" fontId="18" fillId="6" borderId="21">
      <alignment vertical="center"/>
    </xf>
    <xf numFmtId="0" fontId="19" fillId="7" borderId="23">
      <alignment vertical="center"/>
    </xf>
    <xf numFmtId="0" fontId="20" fillId="0" borderId="24">
      <alignment vertical="center"/>
    </xf>
    <xf numFmtId="0" fontId="21" fillId="0" borderId="25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3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5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76" fontId="6" fillId="3" borderId="5" xfId="0" applyNumberFormat="1" applyFont="1" applyFill="1" applyBorder="1" applyAlignment="1">
      <alignment horizontal="center" vertical="center"/>
    </xf>
    <xf numFmtId="9" fontId="6" fillId="3" borderId="5" xfId="0" applyNumberFormat="1" applyFont="1" applyFill="1" applyBorder="1" applyAlignment="1">
      <alignment horizontal="center" vertical="center"/>
    </xf>
    <xf numFmtId="177" fontId="6" fillId="3" borderId="9" xfId="0" applyNumberFormat="1" applyFont="1" applyFill="1" applyBorder="1" applyAlignment="1">
      <alignment horizontal="center" vertical="center"/>
    </xf>
    <xf numFmtId="9" fontId="6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78" fontId="6" fillId="3" borderId="9" xfId="0" applyNumberFormat="1" applyFont="1" applyFill="1" applyBorder="1" applyAlignment="1">
      <alignment horizontal="center" vertical="center"/>
    </xf>
    <xf numFmtId="177" fontId="7" fillId="3" borderId="10" xfId="0" applyNumberFormat="1" applyFont="1" applyFill="1" applyBorder="1" applyAlignment="1">
      <alignment horizontal="center" vertical="center"/>
    </xf>
    <xf numFmtId="0" fontId="0" fillId="0" borderId="0" xfId="0" applyAlignment="1"/>
    <xf numFmtId="0" fontId="5" fillId="3" borderId="11" xfId="0" applyFont="1" applyFill="1" applyBorder="1" applyAlignment="1">
      <alignment horizontal="center" vertical="center"/>
    </xf>
    <xf numFmtId="177" fontId="6" fillId="3" borderId="11" xfId="0" applyNumberFormat="1" applyFont="1" applyFill="1" applyBorder="1" applyAlignment="1">
      <alignment horizontal="center" vertical="center"/>
    </xf>
    <xf numFmtId="9" fontId="6" fillId="3" borderId="11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178" fontId="6" fillId="3" borderId="11" xfId="0" applyNumberFormat="1" applyFont="1" applyFill="1" applyBorder="1" applyAlignment="1">
      <alignment horizontal="center" vertical="center"/>
    </xf>
    <xf numFmtId="177" fontId="7" fillId="3" borderId="12" xfId="0" applyNumberFormat="1" applyFont="1" applyFill="1" applyBorder="1" applyAlignment="1">
      <alignment horizontal="center" vertical="center"/>
    </xf>
    <xf numFmtId="177" fontId="6" fillId="3" borderId="5" xfId="0" applyNumberFormat="1" applyFont="1" applyFill="1" applyBorder="1" applyAlignment="1">
      <alignment horizontal="center" vertical="center"/>
    </xf>
    <xf numFmtId="178" fontId="6" fillId="3" borderId="5" xfId="0" applyNumberFormat="1" applyFont="1" applyFill="1" applyBorder="1" applyAlignment="1">
      <alignment horizontal="center" vertical="center"/>
    </xf>
    <xf numFmtId="177" fontId="7" fillId="3" borderId="6" xfId="0" applyNumberFormat="1" applyFont="1" applyFill="1" applyBorder="1" applyAlignment="1">
      <alignment horizontal="center" vertical="center"/>
    </xf>
    <xf numFmtId="179" fontId="6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179" fontId="6" fillId="3" borderId="9" xfId="0" applyNumberFormat="1" applyFont="1" applyFill="1" applyBorder="1" applyAlignment="1">
      <alignment horizontal="center" vertical="center"/>
    </xf>
    <xf numFmtId="179" fontId="6" fillId="3" borderId="11" xfId="0" applyNumberFormat="1" applyFont="1" applyFill="1" applyBorder="1" applyAlignment="1">
      <alignment horizontal="center" vertical="center"/>
    </xf>
    <xf numFmtId="179" fontId="6" fillId="3" borderId="13" xfId="0" applyNumberFormat="1" applyFont="1" applyFill="1" applyBorder="1" applyAlignment="1">
      <alignment horizontal="center" vertical="center"/>
    </xf>
    <xf numFmtId="177" fontId="6" fillId="3" borderId="13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177" fontId="7" fillId="3" borderId="14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76" fontId="6" fillId="3" borderId="9" xfId="0" applyNumberFormat="1" applyFont="1" applyFill="1" applyBorder="1" applyAlignment="1">
      <alignment horizontal="center" vertical="center"/>
    </xf>
    <xf numFmtId="9" fontId="6" fillId="3" borderId="9" xfId="0" applyNumberFormat="1" applyFont="1" applyFill="1" applyBorder="1" applyAlignment="1">
      <alignment horizontal="center" vertical="center"/>
    </xf>
    <xf numFmtId="178" fontId="6" fillId="3" borderId="9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2:U40"/>
  <sheetViews>
    <sheetView tabSelected="1" zoomScale="30" zoomScaleNormal="30" topLeftCell="A14" workbookViewId="0">
      <selection activeCell="Y30" sqref="Y30"/>
    </sheetView>
  </sheetViews>
  <sheetFormatPr defaultColWidth="8.72727272727273" defaultRowHeight="16.5"/>
  <cols>
    <col min="1" max="1" width="8.72727272727273" style="1"/>
    <col min="2" max="2" width="8.72727272727273" style="1" customWidth="1"/>
    <col min="3" max="3" width="15.4545454545455" style="1" customWidth="1"/>
    <col min="4" max="4" width="16.0909090909091" style="1" customWidth="1"/>
    <col min="5" max="5" width="45.9090909090909" style="1" customWidth="1"/>
    <col min="6" max="6" width="21.4545454545455" style="1" customWidth="1"/>
    <col min="7" max="7" width="22.4181818181818" style="1" customWidth="1"/>
    <col min="8" max="8" width="18.2727272727273" style="1" customWidth="1"/>
    <col min="9" max="9" width="21.1363636363636" style="1" customWidth="1"/>
    <col min="10" max="10" width="18.7272727272727" style="1" customWidth="1"/>
    <col min="11" max="11" width="32.3636363636364" style="1" customWidth="1"/>
    <col min="12" max="12" width="11.7272727272727" style="1" customWidth="1"/>
    <col min="13" max="13" width="33.0909090909091" style="1" customWidth="1"/>
    <col min="14" max="14" width="18.4545454545455" style="1" customWidth="1"/>
    <col min="15" max="15" width="23.3272727272727" style="1" customWidth="1"/>
    <col min="16" max="16" width="23.6363636363636" style="1" customWidth="1"/>
    <col min="17" max="17" width="24.2363636363636" style="1" customWidth="1"/>
    <col min="18" max="18" width="17.0909090909091" style="1" customWidth="1"/>
    <col min="19" max="19" width="51.8090909090909" style="1" customWidth="1"/>
    <col min="20" max="16384" width="8.72727272727273" style="1"/>
  </cols>
  <sheetData>
    <row r="2" s="1" customFormat="1" spans="3:21">
      <c r="C2" s="3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</row>
    <row r="3" s="1" customFormat="1" ht="138" customHeight="1" spans="3:21"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</row>
    <row r="4" s="2" customFormat="1" ht="134" customHeight="1" spans="3:21">
      <c r="C4" s="9" t="s">
        <v>1</v>
      </c>
      <c r="D4" s="10" t="s">
        <v>2</v>
      </c>
      <c r="E4" s="10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0" t="s">
        <v>10</v>
      </c>
      <c r="M4" s="11" t="s">
        <v>11</v>
      </c>
      <c r="N4" s="10" t="s">
        <v>12</v>
      </c>
      <c r="O4" s="11" t="s">
        <v>13</v>
      </c>
      <c r="P4" s="11" t="s">
        <v>14</v>
      </c>
      <c r="Q4" s="11" t="s">
        <v>15</v>
      </c>
      <c r="R4" s="11" t="s">
        <v>16</v>
      </c>
      <c r="S4" s="12" t="s">
        <v>17</v>
      </c>
    </row>
    <row r="5" s="1" customFormat="1" ht="30.65" customHeight="1" spans="3:21">
      <c r="C5" s="13"/>
      <c r="D5" s="14" t="s">
        <v>18</v>
      </c>
      <c r="E5" s="10" t="s">
        <v>19</v>
      </c>
      <c r="F5" s="15">
        <v>180</v>
      </c>
      <c r="G5" s="16">
        <f t="shared" ref="G5:G12" si="0">F5*1/3</f>
        <v>60</v>
      </c>
      <c r="H5" s="17">
        <v>0.25</v>
      </c>
      <c r="I5" s="16">
        <f t="shared" ref="I5:I12" si="1">F5-G5</f>
        <v>120</v>
      </c>
      <c r="J5" s="17">
        <v>0.05</v>
      </c>
      <c r="K5" s="18">
        <f>G5*H5+G6*H6+G7*H7+G8*H8+G9*H9+I5*J5+I8*J8+I9*J9+I6*J6+I7*J7</f>
        <v>42.4</v>
      </c>
      <c r="L5" s="19">
        <v>0.2</v>
      </c>
      <c r="M5" s="18">
        <f>K5*L5</f>
        <v>8.48</v>
      </c>
      <c r="N5" s="20">
        <v>30</v>
      </c>
      <c r="O5" s="18">
        <f>M5*N5*7</f>
        <v>1780.8</v>
      </c>
      <c r="P5" s="20">
        <v>0</v>
      </c>
      <c r="Q5" s="18">
        <f>O5+P5</f>
        <v>1780.8</v>
      </c>
      <c r="R5" s="21">
        <v>841</v>
      </c>
      <c r="S5" s="22">
        <f>Q5/R5</f>
        <v>2.11747919143876</v>
      </c>
      <c r="U5" s="23"/>
    </row>
    <row r="6" s="1" customFormat="1" ht="30.65" customHeight="1" spans="3:21">
      <c r="C6" s="13"/>
      <c r="D6" s="24"/>
      <c r="E6" s="10" t="s">
        <v>20</v>
      </c>
      <c r="F6" s="15">
        <v>96</v>
      </c>
      <c r="G6" s="16">
        <f t="shared" si="0"/>
        <v>32</v>
      </c>
      <c r="H6" s="17">
        <v>0.25</v>
      </c>
      <c r="I6" s="16">
        <f t="shared" si="1"/>
        <v>64</v>
      </c>
      <c r="J6" s="17">
        <v>0.05</v>
      </c>
      <c r="K6" s="25"/>
      <c r="L6" s="26"/>
      <c r="M6" s="25"/>
      <c r="N6" s="27"/>
      <c r="O6" s="25"/>
      <c r="P6" s="27"/>
      <c r="Q6" s="25"/>
      <c r="R6" s="28"/>
      <c r="S6" s="29"/>
      <c r="U6" s="23"/>
    </row>
    <row r="7" s="1" customFormat="1" ht="30.65" customHeight="1" spans="3:21">
      <c r="C7" s="13"/>
      <c r="D7" s="24"/>
      <c r="E7" s="10" t="s">
        <v>21</v>
      </c>
      <c r="F7" s="15">
        <v>48</v>
      </c>
      <c r="G7" s="16">
        <f t="shared" si="0"/>
        <v>16</v>
      </c>
      <c r="H7" s="17">
        <v>0.2</v>
      </c>
      <c r="I7" s="16">
        <f t="shared" si="1"/>
        <v>32</v>
      </c>
      <c r="J7" s="17">
        <v>0.05</v>
      </c>
      <c r="K7" s="25"/>
      <c r="L7" s="26"/>
      <c r="M7" s="25"/>
      <c r="N7" s="27"/>
      <c r="O7" s="25"/>
      <c r="P7" s="27"/>
      <c r="Q7" s="25"/>
      <c r="R7" s="28"/>
      <c r="S7" s="29"/>
      <c r="U7" s="23"/>
    </row>
    <row r="8" s="1" customFormat="1" ht="30.65" customHeight="1" spans="3:21">
      <c r="C8" s="13"/>
      <c r="D8" s="24"/>
      <c r="E8" s="10" t="s">
        <v>22</v>
      </c>
      <c r="F8" s="15">
        <v>6</v>
      </c>
      <c r="G8" s="16">
        <f t="shared" si="0"/>
        <v>2</v>
      </c>
      <c r="H8" s="17">
        <v>0.7</v>
      </c>
      <c r="I8" s="16">
        <f t="shared" si="1"/>
        <v>4</v>
      </c>
      <c r="J8" s="17">
        <v>0.7</v>
      </c>
      <c r="K8" s="25"/>
      <c r="L8" s="26"/>
      <c r="M8" s="25"/>
      <c r="N8" s="27"/>
      <c r="O8" s="25"/>
      <c r="P8" s="27"/>
      <c r="Q8" s="25"/>
      <c r="R8" s="28"/>
      <c r="S8" s="29"/>
      <c r="U8" s="23"/>
    </row>
    <row r="9" s="1" customFormat="1" ht="30.65" customHeight="1" spans="3:21">
      <c r="C9" s="13"/>
      <c r="D9" s="24"/>
      <c r="E9" s="10" t="s">
        <v>23</v>
      </c>
      <c r="F9" s="15">
        <v>12</v>
      </c>
      <c r="G9" s="16">
        <f t="shared" si="0"/>
        <v>4</v>
      </c>
      <c r="H9" s="17">
        <v>0.3</v>
      </c>
      <c r="I9" s="16">
        <f t="shared" si="1"/>
        <v>8</v>
      </c>
      <c r="J9" s="17">
        <v>0</v>
      </c>
      <c r="K9" s="25"/>
      <c r="L9" s="26"/>
      <c r="M9" s="25"/>
      <c r="N9" s="27"/>
      <c r="O9" s="25"/>
      <c r="P9" s="27"/>
      <c r="Q9" s="25"/>
      <c r="R9" s="28"/>
      <c r="S9" s="29"/>
      <c r="U9" s="23"/>
    </row>
    <row r="10" s="1" customFormat="1" ht="30.65" customHeight="1" spans="3:21">
      <c r="C10" s="13"/>
      <c r="D10" s="10" t="s">
        <v>24</v>
      </c>
      <c r="E10" s="10" t="s">
        <v>25</v>
      </c>
      <c r="F10" s="15">
        <v>60</v>
      </c>
      <c r="G10" s="16">
        <f t="shared" si="0"/>
        <v>20</v>
      </c>
      <c r="H10" s="17">
        <v>0.5</v>
      </c>
      <c r="I10" s="16">
        <f t="shared" si="1"/>
        <v>40</v>
      </c>
      <c r="J10" s="17">
        <v>0</v>
      </c>
      <c r="K10" s="30" cm="1">
        <f t="array" ref="K10">SUMPRODUCT(G10:G12,H10:H12)</f>
        <v>18.4</v>
      </c>
      <c r="L10" s="17">
        <v>0.4</v>
      </c>
      <c r="M10" s="30">
        <f>K10*L10</f>
        <v>7.36</v>
      </c>
      <c r="N10" s="15">
        <v>30</v>
      </c>
      <c r="O10" s="30">
        <f>M10*N10*7</f>
        <v>1545.6</v>
      </c>
      <c r="P10" s="15">
        <v>50</v>
      </c>
      <c r="Q10" s="30">
        <f>O10+P10</f>
        <v>1595.6</v>
      </c>
      <c r="R10" s="31">
        <v>731</v>
      </c>
      <c r="S10" s="32">
        <f>Q10/R10</f>
        <v>2.1827633378933</v>
      </c>
      <c r="U10" s="23"/>
    </row>
    <row r="11" s="1" customFormat="1" ht="30.65" customHeight="1" spans="3:21">
      <c r="C11" s="13"/>
      <c r="D11" s="10"/>
      <c r="E11" s="10" t="s">
        <v>26</v>
      </c>
      <c r="F11" s="15">
        <v>60</v>
      </c>
      <c r="G11" s="16">
        <f t="shared" si="0"/>
        <v>20</v>
      </c>
      <c r="H11" s="17">
        <v>0.3</v>
      </c>
      <c r="I11" s="16">
        <f t="shared" si="1"/>
        <v>40</v>
      </c>
      <c r="J11" s="17">
        <v>0</v>
      </c>
      <c r="K11" s="30"/>
      <c r="L11" s="17"/>
      <c r="M11" s="30"/>
      <c r="N11" s="15"/>
      <c r="O11" s="30"/>
      <c r="P11" s="15"/>
      <c r="Q11" s="30"/>
      <c r="R11" s="31"/>
      <c r="S11" s="32"/>
      <c r="U11" s="23"/>
    </row>
    <row r="12" s="1" customFormat="1" ht="30.65" customHeight="1" spans="3:21">
      <c r="C12" s="13"/>
      <c r="D12" s="10"/>
      <c r="E12" s="10" t="s">
        <v>27</v>
      </c>
      <c r="F12" s="15">
        <v>24</v>
      </c>
      <c r="G12" s="16">
        <f t="shared" si="0"/>
        <v>8</v>
      </c>
      <c r="H12" s="17">
        <v>0.3</v>
      </c>
      <c r="I12" s="16">
        <f t="shared" si="1"/>
        <v>16</v>
      </c>
      <c r="J12" s="17">
        <v>0.1</v>
      </c>
      <c r="K12" s="30"/>
      <c r="L12" s="17"/>
      <c r="M12" s="30"/>
      <c r="N12" s="15"/>
      <c r="O12" s="30"/>
      <c r="P12" s="15"/>
      <c r="Q12" s="30"/>
      <c r="R12" s="31"/>
      <c r="S12" s="32"/>
      <c r="U12" s="23"/>
    </row>
    <row r="13" s="1" customFormat="1" ht="30.65" customHeight="1" spans="3:21">
      <c r="C13" s="13"/>
      <c r="D13" s="10" t="s">
        <v>28</v>
      </c>
      <c r="E13" s="10" t="s">
        <v>29</v>
      </c>
      <c r="F13" s="15">
        <v>50</v>
      </c>
      <c r="G13" s="16">
        <f t="shared" ref="G13:G30" si="2">F13*1/3</f>
        <v>16.6666666666667</v>
      </c>
      <c r="H13" s="17">
        <v>0.5</v>
      </c>
      <c r="I13" s="16">
        <f t="shared" ref="I13:I30" si="3">F13-G13</f>
        <v>33.3333333333333</v>
      </c>
      <c r="J13" s="17">
        <v>0.25</v>
      </c>
      <c r="K13" s="33" cm="1">
        <f t="array" ref="K13">SUMPRODUCT(G13:G17,H13:H17)+SUMPRODUCT(I13:I17,J13:J17)</f>
        <v>36.0666666666667</v>
      </c>
      <c r="L13" s="17">
        <v>0.25</v>
      </c>
      <c r="M13" s="30">
        <f>K13*L13</f>
        <v>9.01666666666667</v>
      </c>
      <c r="N13" s="15">
        <v>30</v>
      </c>
      <c r="O13" s="30">
        <f>M13*N13*7</f>
        <v>1893.5</v>
      </c>
      <c r="P13" s="15">
        <v>50</v>
      </c>
      <c r="Q13" s="30">
        <f>O13+P13</f>
        <v>1943.5</v>
      </c>
      <c r="R13" s="31">
        <v>979</v>
      </c>
      <c r="S13" s="32">
        <f>Q13/R13</f>
        <v>1.98518896833504</v>
      </c>
      <c r="U13" s="23"/>
    </row>
    <row r="14" s="1" customFormat="1" ht="30.65" customHeight="1" spans="3:21">
      <c r="C14" s="13"/>
      <c r="D14" s="10"/>
      <c r="E14" s="10" t="s">
        <v>19</v>
      </c>
      <c r="F14" s="15">
        <v>180</v>
      </c>
      <c r="G14" s="16">
        <f t="shared" si="2"/>
        <v>60</v>
      </c>
      <c r="H14" s="17">
        <v>0.15</v>
      </c>
      <c r="I14" s="16">
        <f t="shared" si="3"/>
        <v>120</v>
      </c>
      <c r="J14" s="17">
        <v>0</v>
      </c>
      <c r="K14" s="33"/>
      <c r="L14" s="17"/>
      <c r="M14" s="30"/>
      <c r="N14" s="15"/>
      <c r="O14" s="30"/>
      <c r="P14" s="15"/>
      <c r="Q14" s="30"/>
      <c r="R14" s="31"/>
      <c r="S14" s="32"/>
      <c r="U14" s="23"/>
    </row>
    <row r="15" s="1" customFormat="1" ht="30.65" customHeight="1" spans="3:21">
      <c r="C15" s="13"/>
      <c r="D15" s="10"/>
      <c r="E15" s="10" t="s">
        <v>30</v>
      </c>
      <c r="F15" s="15">
        <v>84</v>
      </c>
      <c r="G15" s="16">
        <f t="shared" si="2"/>
        <v>28</v>
      </c>
      <c r="H15" s="17">
        <v>0.2</v>
      </c>
      <c r="I15" s="16">
        <f t="shared" si="3"/>
        <v>56</v>
      </c>
      <c r="J15" s="17">
        <v>0</v>
      </c>
      <c r="K15" s="33"/>
      <c r="L15" s="17"/>
      <c r="M15" s="30"/>
      <c r="N15" s="15"/>
      <c r="O15" s="30"/>
      <c r="P15" s="15"/>
      <c r="Q15" s="30"/>
      <c r="R15" s="31"/>
      <c r="S15" s="32"/>
      <c r="U15" s="23"/>
    </row>
    <row r="16" s="1" customFormat="1" ht="30.65" customHeight="1" spans="3:21">
      <c r="C16" s="13"/>
      <c r="D16" s="10"/>
      <c r="E16" s="10" t="s">
        <v>26</v>
      </c>
      <c r="F16" s="34">
        <v>60</v>
      </c>
      <c r="G16" s="16">
        <f t="shared" si="2"/>
        <v>20</v>
      </c>
      <c r="H16" s="17">
        <v>0.15</v>
      </c>
      <c r="I16" s="16">
        <f t="shared" si="3"/>
        <v>40</v>
      </c>
      <c r="J16" s="17">
        <v>0</v>
      </c>
      <c r="K16" s="33"/>
      <c r="L16" s="17"/>
      <c r="M16" s="30"/>
      <c r="N16" s="15"/>
      <c r="O16" s="30"/>
      <c r="P16" s="15"/>
      <c r="Q16" s="30"/>
      <c r="R16" s="31"/>
      <c r="S16" s="32"/>
      <c r="U16" s="23"/>
    </row>
    <row r="17" s="1" customFormat="1" ht="30.65" customHeight="1" spans="3:21">
      <c r="C17" s="13"/>
      <c r="D17" s="10"/>
      <c r="E17" s="10" t="s">
        <v>31</v>
      </c>
      <c r="F17" s="15">
        <v>36</v>
      </c>
      <c r="G17" s="16">
        <f t="shared" si="2"/>
        <v>12</v>
      </c>
      <c r="H17" s="17">
        <v>0.15</v>
      </c>
      <c r="I17" s="16">
        <f t="shared" si="3"/>
        <v>24</v>
      </c>
      <c r="J17" s="17">
        <v>0</v>
      </c>
      <c r="K17" s="33"/>
      <c r="L17" s="17"/>
      <c r="M17" s="30"/>
      <c r="N17" s="15"/>
      <c r="O17" s="30"/>
      <c r="P17" s="15"/>
      <c r="Q17" s="30"/>
      <c r="R17" s="31"/>
      <c r="S17" s="32"/>
      <c r="U17" s="23"/>
    </row>
    <row r="18" s="1" customFormat="1" ht="30.65" customHeight="1" spans="3:21">
      <c r="C18" s="13"/>
      <c r="D18" s="14" t="s">
        <v>32</v>
      </c>
      <c r="E18" s="10" t="s">
        <v>31</v>
      </c>
      <c r="F18" s="15">
        <v>36</v>
      </c>
      <c r="G18" s="16">
        <f t="shared" si="2"/>
        <v>12</v>
      </c>
      <c r="H18" s="17">
        <v>0.3</v>
      </c>
      <c r="I18" s="16">
        <f t="shared" si="3"/>
        <v>24</v>
      </c>
      <c r="J18" s="17">
        <v>0</v>
      </c>
      <c r="K18" s="35" cm="1">
        <f t="array" ref="K18">SUMPRODUCT(G18:G19,H18:H19)+SUMPRODUCT(I18:I19,J18:J19)</f>
        <v>7.2</v>
      </c>
      <c r="L18" s="19">
        <v>0.4</v>
      </c>
      <c r="M18" s="18">
        <f>K18*L18</f>
        <v>2.88</v>
      </c>
      <c r="N18" s="20">
        <v>30</v>
      </c>
      <c r="O18" s="18">
        <f>M18*N18*7</f>
        <v>604.8</v>
      </c>
      <c r="P18" s="20">
        <v>0</v>
      </c>
      <c r="Q18" s="18">
        <f>O18+P18</f>
        <v>604.8</v>
      </c>
      <c r="R18" s="21">
        <v>276</v>
      </c>
      <c r="S18" s="22">
        <f>Q18/R18</f>
        <v>2.19130434782609</v>
      </c>
      <c r="U18" s="23"/>
    </row>
    <row r="19" s="1" customFormat="1" ht="30.65" customHeight="1" spans="3:21">
      <c r="C19" s="13"/>
      <c r="D19" s="24"/>
      <c r="E19" s="10" t="s">
        <v>33</v>
      </c>
      <c r="F19" s="15">
        <v>12</v>
      </c>
      <c r="G19" s="16">
        <f t="shared" si="2"/>
        <v>4</v>
      </c>
      <c r="H19" s="17">
        <v>0.4</v>
      </c>
      <c r="I19" s="16">
        <f t="shared" si="3"/>
        <v>8</v>
      </c>
      <c r="J19" s="17">
        <v>0.25</v>
      </c>
      <c r="K19" s="36"/>
      <c r="L19" s="26"/>
      <c r="M19" s="25"/>
      <c r="N19" s="27"/>
      <c r="O19" s="25"/>
      <c r="P19" s="27"/>
      <c r="Q19" s="25"/>
      <c r="R19" s="28"/>
      <c r="S19" s="29"/>
      <c r="U19" s="23"/>
    </row>
    <row r="20" s="1" customFormat="1" ht="30.65" customHeight="1" spans="3:21">
      <c r="C20" s="13"/>
      <c r="D20" s="10" t="s">
        <v>34</v>
      </c>
      <c r="E20" s="10" t="s">
        <v>19</v>
      </c>
      <c r="F20" s="15">
        <v>180</v>
      </c>
      <c r="G20" s="16">
        <f t="shared" si="2"/>
        <v>60</v>
      </c>
      <c r="H20" s="17">
        <v>0.1</v>
      </c>
      <c r="I20" s="16">
        <f t="shared" si="3"/>
        <v>120</v>
      </c>
      <c r="J20" s="17">
        <v>0.02</v>
      </c>
      <c r="K20" s="30" cm="1">
        <f t="array" ref="K20">SUMPRODUCT(G20:G23,H20:H23)+SUMPRODUCT(I20:I23,J20:J23)</f>
        <v>14.8</v>
      </c>
      <c r="L20" s="17">
        <v>0.25</v>
      </c>
      <c r="M20" s="30">
        <f>K20*L20</f>
        <v>3.7</v>
      </c>
      <c r="N20" s="15">
        <v>30</v>
      </c>
      <c r="O20" s="30">
        <f>M20*N20*7</f>
        <v>777</v>
      </c>
      <c r="P20" s="15">
        <v>30</v>
      </c>
      <c r="Q20" s="30">
        <f>O20+P20</f>
        <v>807</v>
      </c>
      <c r="R20" s="31">
        <v>379</v>
      </c>
      <c r="S20" s="32">
        <f>Q20/R20</f>
        <v>2.12928759894459</v>
      </c>
      <c r="U20" s="23"/>
    </row>
    <row r="21" s="1" customFormat="1" ht="30.65" customHeight="1" spans="3:21">
      <c r="C21" s="13"/>
      <c r="D21" s="10"/>
      <c r="E21" s="10" t="s">
        <v>35</v>
      </c>
      <c r="F21" s="15">
        <v>72</v>
      </c>
      <c r="G21" s="16">
        <f t="shared" si="2"/>
        <v>24</v>
      </c>
      <c r="H21" s="17">
        <v>0.15</v>
      </c>
      <c r="I21" s="16">
        <f t="shared" si="3"/>
        <v>48</v>
      </c>
      <c r="J21" s="17">
        <v>0</v>
      </c>
      <c r="K21" s="30"/>
      <c r="L21" s="17"/>
      <c r="M21" s="15"/>
      <c r="N21" s="15"/>
      <c r="O21" s="15"/>
      <c r="P21" s="15"/>
      <c r="Q21" s="15"/>
      <c r="R21" s="31"/>
      <c r="S21" s="32"/>
      <c r="U21" s="23"/>
    </row>
    <row r="22" s="1" customFormat="1" ht="30.65" customHeight="1" spans="3:21">
      <c r="C22" s="13"/>
      <c r="D22" s="10"/>
      <c r="E22" s="10" t="s">
        <v>36</v>
      </c>
      <c r="F22" s="15">
        <v>24</v>
      </c>
      <c r="G22" s="16">
        <f t="shared" si="2"/>
        <v>8</v>
      </c>
      <c r="H22" s="17">
        <v>0.15</v>
      </c>
      <c r="I22" s="16">
        <f t="shared" si="3"/>
        <v>16</v>
      </c>
      <c r="J22" s="17">
        <v>0</v>
      </c>
      <c r="K22" s="30"/>
      <c r="L22" s="17"/>
      <c r="M22" s="15"/>
      <c r="N22" s="15"/>
      <c r="O22" s="15"/>
      <c r="P22" s="15"/>
      <c r="Q22" s="15"/>
      <c r="R22" s="31"/>
      <c r="S22" s="32"/>
      <c r="U22" s="23"/>
    </row>
    <row r="23" s="1" customFormat="1" ht="30.65" customHeight="1" spans="3:21">
      <c r="C23" s="13"/>
      <c r="D23" s="10"/>
      <c r="E23" s="10" t="s">
        <v>21</v>
      </c>
      <c r="F23" s="15">
        <v>48</v>
      </c>
      <c r="G23" s="16">
        <f t="shared" si="2"/>
        <v>16</v>
      </c>
      <c r="H23" s="17">
        <v>0.1</v>
      </c>
      <c r="I23" s="16">
        <f t="shared" si="3"/>
        <v>32</v>
      </c>
      <c r="J23" s="17">
        <v>0</v>
      </c>
      <c r="K23" s="30"/>
      <c r="L23" s="17"/>
      <c r="M23" s="15"/>
      <c r="N23" s="15"/>
      <c r="O23" s="15"/>
      <c r="P23" s="15"/>
      <c r="Q23" s="15"/>
      <c r="R23" s="31"/>
      <c r="S23" s="32"/>
      <c r="U23" s="23"/>
    </row>
    <row r="24" s="1" customFormat="1" ht="30.65" customHeight="1" spans="3:21">
      <c r="C24" s="13"/>
      <c r="D24" s="14" t="s">
        <v>37</v>
      </c>
      <c r="E24" s="10" t="s">
        <v>38</v>
      </c>
      <c r="F24" s="15">
        <v>84</v>
      </c>
      <c r="G24" s="16">
        <f t="shared" si="2"/>
        <v>28</v>
      </c>
      <c r="H24" s="17">
        <v>0.3</v>
      </c>
      <c r="I24" s="16">
        <f t="shared" si="3"/>
        <v>56</v>
      </c>
      <c r="J24" s="17">
        <v>0</v>
      </c>
      <c r="K24" s="35">
        <f>SUMPRODUCT(G24,H24)</f>
        <v>8.4</v>
      </c>
      <c r="L24" s="19">
        <v>0.3</v>
      </c>
      <c r="M24" s="18">
        <f>K24*L24</f>
        <v>2.52</v>
      </c>
      <c r="N24" s="20">
        <v>30</v>
      </c>
      <c r="O24" s="18">
        <f>M24*N24*7</f>
        <v>529.2</v>
      </c>
      <c r="P24" s="20">
        <v>0</v>
      </c>
      <c r="Q24" s="18">
        <f>O24+P24</f>
        <v>529.2</v>
      </c>
      <c r="R24" s="21">
        <v>305</v>
      </c>
      <c r="S24" s="22">
        <f>Q24/R24</f>
        <v>1.73508196721311</v>
      </c>
      <c r="U24" s="23"/>
    </row>
    <row r="25" s="1" customFormat="1" ht="30.65" customHeight="1" spans="3:21">
      <c r="C25" s="13"/>
      <c r="D25" s="10" t="s">
        <v>39</v>
      </c>
      <c r="E25" s="10" t="s">
        <v>19</v>
      </c>
      <c r="F25" s="15">
        <v>180</v>
      </c>
      <c r="G25" s="16">
        <f t="shared" si="2"/>
        <v>60</v>
      </c>
      <c r="H25" s="17">
        <v>0.15</v>
      </c>
      <c r="I25" s="16">
        <f t="shared" si="3"/>
        <v>120</v>
      </c>
      <c r="J25" s="17">
        <v>0</v>
      </c>
      <c r="K25" s="35" cm="1">
        <f t="array" ref="K25">SUMPRODUCT(G25:G26,H25:H26)+SUMPRODUCT(I25:I26,J25:J26)</f>
        <v>10</v>
      </c>
      <c r="L25" s="17">
        <v>0.2</v>
      </c>
      <c r="M25" s="30">
        <f>K25*L25</f>
        <v>2</v>
      </c>
      <c r="N25" s="15">
        <v>30</v>
      </c>
      <c r="O25" s="30">
        <f>M25*N25*7</f>
        <v>420</v>
      </c>
      <c r="P25" s="15">
        <v>0</v>
      </c>
      <c r="Q25" s="30">
        <f>O25+P25</f>
        <v>420</v>
      </c>
      <c r="R25" s="31">
        <v>200</v>
      </c>
      <c r="S25" s="32">
        <f>Q25/R25</f>
        <v>2.1</v>
      </c>
      <c r="U25" s="23"/>
    </row>
    <row r="26" s="1" customFormat="1" ht="30.65" customHeight="1" spans="3:21">
      <c r="C26" s="13"/>
      <c r="D26" s="10"/>
      <c r="E26" s="10" t="s">
        <v>26</v>
      </c>
      <c r="F26" s="15">
        <v>60</v>
      </c>
      <c r="G26" s="16">
        <f t="shared" si="2"/>
        <v>20</v>
      </c>
      <c r="H26" s="17">
        <v>0.05</v>
      </c>
      <c r="I26" s="16">
        <f t="shared" si="3"/>
        <v>40</v>
      </c>
      <c r="J26" s="17">
        <v>0</v>
      </c>
      <c r="K26" s="36"/>
      <c r="L26" s="17"/>
      <c r="M26" s="15"/>
      <c r="N26" s="15"/>
      <c r="O26" s="15"/>
      <c r="P26" s="15"/>
      <c r="Q26" s="15"/>
      <c r="R26" s="31"/>
      <c r="S26" s="32"/>
      <c r="U26" s="23"/>
    </row>
    <row r="27" s="1" customFormat="1" ht="30.65" customHeight="1" spans="3:21">
      <c r="C27" s="13"/>
      <c r="D27" s="10" t="s">
        <v>40</v>
      </c>
      <c r="E27" s="10" t="s">
        <v>20</v>
      </c>
      <c r="F27" s="15">
        <v>96</v>
      </c>
      <c r="G27" s="16">
        <f t="shared" si="2"/>
        <v>32</v>
      </c>
      <c r="H27" s="17">
        <v>0.2</v>
      </c>
      <c r="I27" s="16">
        <f t="shared" si="3"/>
        <v>64</v>
      </c>
      <c r="J27" s="17">
        <v>0</v>
      </c>
      <c r="K27" s="35" cm="1">
        <f t="array" ref="K27">SUMPRODUCT(G27:G28,H27:H28)+SUMPRODUCT(I27:I28,J27:J28)</f>
        <v>9.2</v>
      </c>
      <c r="L27" s="17">
        <v>0.2</v>
      </c>
      <c r="M27" s="30">
        <f>K27*L27</f>
        <v>1.84</v>
      </c>
      <c r="N27" s="15">
        <v>30</v>
      </c>
      <c r="O27" s="30">
        <f>M27*N27*7</f>
        <v>386.4</v>
      </c>
      <c r="P27" s="15">
        <v>30</v>
      </c>
      <c r="Q27" s="30">
        <f>O27+P27</f>
        <v>416.4</v>
      </c>
      <c r="R27" s="31">
        <v>165</v>
      </c>
      <c r="S27" s="32">
        <f>Q27/R27</f>
        <v>2.52363636363636</v>
      </c>
      <c r="U27" s="23"/>
    </row>
    <row r="28" s="1" customFormat="1" ht="30.65" customHeight="1" spans="3:21">
      <c r="C28" s="13"/>
      <c r="D28" s="10"/>
      <c r="E28" s="10" t="s">
        <v>30</v>
      </c>
      <c r="F28" s="15">
        <v>84</v>
      </c>
      <c r="G28" s="16">
        <f t="shared" si="2"/>
        <v>28</v>
      </c>
      <c r="H28" s="17">
        <v>0.1</v>
      </c>
      <c r="I28" s="16">
        <f t="shared" si="3"/>
        <v>56</v>
      </c>
      <c r="J28" s="17">
        <v>0</v>
      </c>
      <c r="K28" s="36"/>
      <c r="L28" s="17"/>
      <c r="M28" s="15"/>
      <c r="N28" s="15"/>
      <c r="O28" s="30"/>
      <c r="P28" s="15"/>
      <c r="Q28" s="30"/>
      <c r="R28" s="31"/>
      <c r="S28" s="32"/>
      <c r="U28" s="23"/>
    </row>
    <row r="29" s="1" customFormat="1" ht="30.65" customHeight="1" spans="3:21">
      <c r="C29" s="13"/>
      <c r="D29" s="10" t="s">
        <v>41</v>
      </c>
      <c r="E29" s="10" t="s">
        <v>31</v>
      </c>
      <c r="F29" s="15">
        <v>36</v>
      </c>
      <c r="G29" s="16">
        <f t="shared" si="2"/>
        <v>12</v>
      </c>
      <c r="H29" s="17">
        <v>0.4</v>
      </c>
      <c r="I29" s="16">
        <f t="shared" si="3"/>
        <v>24</v>
      </c>
      <c r="J29" s="17">
        <v>0</v>
      </c>
      <c r="K29" s="33" cm="1">
        <f t="array" ref="K29">SUMPRODUCT(G29:G32,H29:H32)+SUMPRODUCT(I29:I32,J29:J32)</f>
        <v>9.2</v>
      </c>
      <c r="L29" s="17">
        <v>0.35</v>
      </c>
      <c r="M29" s="30">
        <f>K29*L29</f>
        <v>3.22</v>
      </c>
      <c r="N29" s="15">
        <v>30</v>
      </c>
      <c r="O29" s="30">
        <f>M29*N29*7</f>
        <v>676.2</v>
      </c>
      <c r="P29" s="15">
        <v>50</v>
      </c>
      <c r="Q29" s="30">
        <f>O29+P29</f>
        <v>726.2</v>
      </c>
      <c r="R29" s="31">
        <v>846</v>
      </c>
      <c r="S29" s="32">
        <f>Q29/R29</f>
        <v>0.85839243498818</v>
      </c>
      <c r="U29" s="23"/>
    </row>
    <row r="30" s="1" customFormat="1" ht="30.65" customHeight="1" spans="3:21">
      <c r="C30" s="13"/>
      <c r="D30" s="10"/>
      <c r="E30" s="10" t="s">
        <v>30</v>
      </c>
      <c r="F30" s="15">
        <v>84</v>
      </c>
      <c r="G30" s="16">
        <f t="shared" si="2"/>
        <v>28</v>
      </c>
      <c r="H30" s="17">
        <v>0.1</v>
      </c>
      <c r="I30" s="16">
        <f t="shared" si="3"/>
        <v>56</v>
      </c>
      <c r="J30" s="17">
        <v>0</v>
      </c>
      <c r="K30" s="33"/>
      <c r="L30" s="17"/>
      <c r="M30" s="30"/>
      <c r="N30" s="15"/>
      <c r="O30" s="30"/>
      <c r="P30" s="15"/>
      <c r="Q30" s="30"/>
      <c r="R30" s="31"/>
      <c r="S30" s="32"/>
      <c r="U30" s="23"/>
    </row>
    <row r="31" s="1" customFormat="1" ht="30.65" customHeight="1" spans="3:21">
      <c r="C31" s="13"/>
      <c r="D31" s="10"/>
      <c r="E31" s="10" t="s">
        <v>27</v>
      </c>
      <c r="F31" s="15">
        <v>24</v>
      </c>
      <c r="G31" s="16">
        <f t="shared" ref="G31:G38" si="4">F31*1/3</f>
        <v>8</v>
      </c>
      <c r="H31" s="17">
        <v>0.1</v>
      </c>
      <c r="I31" s="16">
        <f t="shared" ref="I31:I39" si="5">F31-G31</f>
        <v>16</v>
      </c>
      <c r="J31" s="17">
        <v>0</v>
      </c>
      <c r="K31" s="33"/>
      <c r="L31" s="17"/>
      <c r="M31" s="30"/>
      <c r="N31" s="15"/>
      <c r="O31" s="30"/>
      <c r="P31" s="15"/>
      <c r="Q31" s="30"/>
      <c r="R31" s="31"/>
      <c r="S31" s="32"/>
      <c r="U31" s="23"/>
    </row>
    <row r="32" s="1" customFormat="1" ht="30.65" customHeight="1" spans="3:21">
      <c r="C32" s="13"/>
      <c r="D32" s="10"/>
      <c r="E32" s="10" t="s">
        <v>23</v>
      </c>
      <c r="F32" s="34">
        <v>12</v>
      </c>
      <c r="G32" s="16">
        <f t="shared" si="4"/>
        <v>4</v>
      </c>
      <c r="H32" s="17">
        <v>0.2</v>
      </c>
      <c r="I32" s="16">
        <f t="shared" si="5"/>
        <v>8</v>
      </c>
      <c r="J32" s="17">
        <v>0</v>
      </c>
      <c r="K32" s="33"/>
      <c r="L32" s="17"/>
      <c r="M32" s="30"/>
      <c r="N32" s="15"/>
      <c r="O32" s="30"/>
      <c r="P32" s="15"/>
      <c r="Q32" s="30"/>
      <c r="R32" s="31"/>
      <c r="S32" s="32"/>
      <c r="U32" s="23"/>
    </row>
    <row r="33" s="1" customFormat="1" ht="30.65" customHeight="1" spans="3:21">
      <c r="C33" s="13"/>
      <c r="D33" s="14" t="s">
        <v>42</v>
      </c>
      <c r="E33" s="14" t="s">
        <v>43</v>
      </c>
      <c r="F33" s="20">
        <v>40</v>
      </c>
      <c r="G33" s="16">
        <f t="shared" si="4"/>
        <v>13.3333333333333</v>
      </c>
      <c r="H33" s="19">
        <v>0.5</v>
      </c>
      <c r="I33" s="16">
        <f t="shared" si="5"/>
        <v>26.6666666666667</v>
      </c>
      <c r="J33" s="19">
        <v>0</v>
      </c>
      <c r="K33" s="35" cm="1">
        <f t="array" ref="K33">SUMPRODUCT(G33:G36,H33:H36)</f>
        <v>12.6666666666667</v>
      </c>
      <c r="L33" s="19">
        <v>0.2</v>
      </c>
      <c r="M33" s="18">
        <f>K33*L33</f>
        <v>2.53333333333333</v>
      </c>
      <c r="N33" s="20">
        <v>30</v>
      </c>
      <c r="O33" s="18">
        <f>M33*N33*7</f>
        <v>532</v>
      </c>
      <c r="P33" s="20">
        <v>0</v>
      </c>
      <c r="Q33" s="18">
        <f>O33+P33</f>
        <v>532</v>
      </c>
      <c r="R33" s="21">
        <v>286</v>
      </c>
      <c r="S33" s="22">
        <f>Q33/R33</f>
        <v>1.86013986013986</v>
      </c>
      <c r="U33" s="23"/>
    </row>
    <row r="34" s="1" customFormat="1" ht="30.65" customHeight="1" spans="3:21">
      <c r="C34" s="13"/>
      <c r="D34" s="24"/>
      <c r="E34" s="14" t="s">
        <v>44</v>
      </c>
      <c r="F34" s="20">
        <v>30</v>
      </c>
      <c r="G34" s="16">
        <f t="shared" si="4"/>
        <v>10</v>
      </c>
      <c r="H34" s="19">
        <v>0.2</v>
      </c>
      <c r="I34" s="16">
        <f t="shared" si="5"/>
        <v>20</v>
      </c>
      <c r="J34" s="19">
        <v>0</v>
      </c>
      <c r="K34" s="36"/>
      <c r="L34" s="26"/>
      <c r="M34" s="25"/>
      <c r="N34" s="27"/>
      <c r="O34" s="25"/>
      <c r="P34" s="27"/>
      <c r="Q34" s="25"/>
      <c r="R34" s="28"/>
      <c r="S34" s="29"/>
      <c r="U34" s="23"/>
    </row>
    <row r="35" s="1" customFormat="1" ht="30.65" customHeight="1" spans="3:21">
      <c r="C35" s="13"/>
      <c r="D35" s="24"/>
      <c r="E35" s="14" t="s">
        <v>45</v>
      </c>
      <c r="F35" s="20">
        <v>20</v>
      </c>
      <c r="G35" s="16">
        <f t="shared" si="4"/>
        <v>6.66666666666667</v>
      </c>
      <c r="H35" s="19">
        <v>0.2</v>
      </c>
      <c r="I35" s="16">
        <f t="shared" si="5"/>
        <v>13.3333333333333</v>
      </c>
      <c r="J35" s="19">
        <v>0</v>
      </c>
      <c r="K35" s="36"/>
      <c r="L35" s="26"/>
      <c r="M35" s="25"/>
      <c r="N35" s="27"/>
      <c r="O35" s="25"/>
      <c r="P35" s="27"/>
      <c r="Q35" s="25"/>
      <c r="R35" s="28"/>
      <c r="S35" s="29"/>
      <c r="U35" s="23"/>
    </row>
    <row r="36" s="1" customFormat="1" ht="30.65" customHeight="1" spans="3:21">
      <c r="C36" s="13"/>
      <c r="D36" s="24"/>
      <c r="E36" s="14" t="s">
        <v>46</v>
      </c>
      <c r="F36" s="20">
        <v>40</v>
      </c>
      <c r="G36" s="16">
        <f t="shared" si="4"/>
        <v>13.3333333333333</v>
      </c>
      <c r="H36" s="19">
        <v>0.2</v>
      </c>
      <c r="I36" s="16">
        <f t="shared" si="5"/>
        <v>26.6666666666667</v>
      </c>
      <c r="J36" s="19">
        <v>0</v>
      </c>
      <c r="K36" s="37"/>
      <c r="L36" s="26"/>
      <c r="M36" s="38"/>
      <c r="N36" s="39"/>
      <c r="O36" s="38"/>
      <c r="P36" s="39"/>
      <c r="Q36" s="38"/>
      <c r="R36" s="28"/>
      <c r="S36" s="40"/>
      <c r="U36" s="23"/>
    </row>
    <row r="37" s="1" customFormat="1" ht="30.65" customHeight="1" spans="3:21">
      <c r="C37" s="13"/>
      <c r="D37" s="10" t="s">
        <v>47</v>
      </c>
      <c r="E37" s="10" t="s">
        <v>48</v>
      </c>
      <c r="F37" s="15">
        <v>45</v>
      </c>
      <c r="G37" s="16">
        <f t="shared" si="4"/>
        <v>15</v>
      </c>
      <c r="H37" s="17">
        <v>0.6</v>
      </c>
      <c r="I37" s="16">
        <f t="shared" si="5"/>
        <v>30</v>
      </c>
      <c r="J37" s="17">
        <v>0</v>
      </c>
      <c r="K37" s="33" cm="1">
        <f t="array" ref="K37">SUMPRODUCT(G37:G38,H37:H38)+SUMPRODUCT(I37:I38,J37:J38)</f>
        <v>12</v>
      </c>
      <c r="L37" s="17">
        <v>0.2</v>
      </c>
      <c r="M37" s="30">
        <f>K37*L37</f>
        <v>2.4</v>
      </c>
      <c r="N37" s="15">
        <v>30</v>
      </c>
      <c r="O37" s="30">
        <f>M37*N37*7</f>
        <v>504</v>
      </c>
      <c r="P37" s="15">
        <v>0</v>
      </c>
      <c r="Q37" s="30">
        <f>O37+P37</f>
        <v>504</v>
      </c>
      <c r="R37" s="31">
        <v>234</v>
      </c>
      <c r="S37" s="32">
        <f>Q37/R37</f>
        <v>2.15384615384615</v>
      </c>
      <c r="U37" s="23"/>
    </row>
    <row r="38" s="1" customFormat="1" ht="30.65" customHeight="1" spans="3:21">
      <c r="C38" s="13"/>
      <c r="D38" s="10"/>
      <c r="E38" s="10" t="s">
        <v>49</v>
      </c>
      <c r="F38" s="15">
        <v>30</v>
      </c>
      <c r="G38" s="16">
        <f t="shared" si="4"/>
        <v>10</v>
      </c>
      <c r="H38" s="17">
        <v>0.3</v>
      </c>
      <c r="I38" s="16">
        <f t="shared" si="5"/>
        <v>20</v>
      </c>
      <c r="J38" s="17">
        <v>0</v>
      </c>
      <c r="K38" s="33"/>
      <c r="L38" s="17"/>
      <c r="M38" s="15"/>
      <c r="N38" s="15"/>
      <c r="O38" s="30"/>
      <c r="P38" s="15"/>
      <c r="Q38" s="30"/>
      <c r="R38" s="31"/>
      <c r="S38" s="32"/>
      <c r="U38" s="23"/>
    </row>
    <row r="39" s="1" customFormat="1" ht="30.65" customHeight="1" spans="3:21">
      <c r="C39" s="41"/>
      <c r="D39" s="42" t="s">
        <v>50</v>
      </c>
      <c r="E39" s="42" t="s">
        <v>51</v>
      </c>
      <c r="F39" s="43">
        <v>30</v>
      </c>
      <c r="G39" s="44">
        <v>10</v>
      </c>
      <c r="H39" s="45">
        <v>0.5</v>
      </c>
      <c r="I39" s="16">
        <f t="shared" si="5"/>
        <v>20</v>
      </c>
      <c r="J39" s="45">
        <v>0</v>
      </c>
      <c r="K39" s="35">
        <f>SUMPRODUCT(G39,H39)</f>
        <v>5</v>
      </c>
      <c r="L39" s="45">
        <v>0.4</v>
      </c>
      <c r="M39" s="18">
        <f>K39*L39</f>
        <v>2</v>
      </c>
      <c r="N39" s="43">
        <v>30</v>
      </c>
      <c r="O39" s="18">
        <f>M39*N39*7*30%</f>
        <v>126</v>
      </c>
      <c r="P39" s="43">
        <v>250</v>
      </c>
      <c r="Q39" s="18">
        <f>O39+P39</f>
        <v>376</v>
      </c>
      <c r="R39" s="46">
        <v>177</v>
      </c>
      <c r="S39" s="22">
        <f>Q39/R39</f>
        <v>2.12429378531073</v>
      </c>
      <c r="U39" s="23"/>
    </row>
    <row r="40" s="1" customFormat="1" ht="57.65" customHeight="1" spans="3:21">
      <c r="C40" s="47" t="s">
        <v>52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9"/>
    </row>
  </sheetData>
  <mergeCells count="103">
    <mergeCell ref="C40:S40"/>
    <mergeCell ref="C4:C38"/>
    <mergeCell ref="D5:D9"/>
    <mergeCell ref="D10:D12"/>
    <mergeCell ref="D13:D17"/>
    <mergeCell ref="D18:D19"/>
    <mergeCell ref="D20:D23"/>
    <mergeCell ref="D25:D26"/>
    <mergeCell ref="D27:D28"/>
    <mergeCell ref="D29:D32"/>
    <mergeCell ref="D33:D35"/>
    <mergeCell ref="D37:D38"/>
    <mergeCell ref="K5:K9"/>
    <mergeCell ref="K10:K12"/>
    <mergeCell ref="K13:K17"/>
    <mergeCell ref="K18:K19"/>
    <mergeCell ref="K20:K23"/>
    <mergeCell ref="K25:K26"/>
    <mergeCell ref="K27:K28"/>
    <mergeCell ref="K29:K32"/>
    <mergeCell ref="K33:K36"/>
    <mergeCell ref="K37:K38"/>
    <mergeCell ref="L5:L9"/>
    <mergeCell ref="L10:L12"/>
    <mergeCell ref="L13:L17"/>
    <mergeCell ref="L18:L19"/>
    <mergeCell ref="L20:L23"/>
    <mergeCell ref="L25:L26"/>
    <mergeCell ref="L27:L28"/>
    <mergeCell ref="L29:L32"/>
    <mergeCell ref="L33:L36"/>
    <mergeCell ref="L37:L38"/>
    <mergeCell ref="M5:M9"/>
    <mergeCell ref="M10:M12"/>
    <mergeCell ref="M13:M17"/>
    <mergeCell ref="M18:M19"/>
    <mergeCell ref="M20:M23"/>
    <mergeCell ref="M25:M26"/>
    <mergeCell ref="M27:M28"/>
    <mergeCell ref="M29:M32"/>
    <mergeCell ref="M33:M36"/>
    <mergeCell ref="M37:M38"/>
    <mergeCell ref="N5:N9"/>
    <mergeCell ref="N10:N12"/>
    <mergeCell ref="N13:N17"/>
    <mergeCell ref="N18:N19"/>
    <mergeCell ref="N20:N23"/>
    <mergeCell ref="N25:N26"/>
    <mergeCell ref="N27:N28"/>
    <mergeCell ref="N29:N32"/>
    <mergeCell ref="N33:N36"/>
    <mergeCell ref="N37:N38"/>
    <mergeCell ref="O5:O9"/>
    <mergeCell ref="O10:O12"/>
    <mergeCell ref="O13:O17"/>
    <mergeCell ref="O18:O19"/>
    <mergeCell ref="O20:O23"/>
    <mergeCell ref="O25:O26"/>
    <mergeCell ref="O27:O28"/>
    <mergeCell ref="O29:O32"/>
    <mergeCell ref="O33:O36"/>
    <mergeCell ref="O37:O38"/>
    <mergeCell ref="P5:P9"/>
    <mergeCell ref="P10:P12"/>
    <mergeCell ref="P13:P17"/>
    <mergeCell ref="P18:P19"/>
    <mergeCell ref="P20:P23"/>
    <mergeCell ref="P25:P26"/>
    <mergeCell ref="P27:P28"/>
    <mergeCell ref="P29:P32"/>
    <mergeCell ref="P33:P36"/>
    <mergeCell ref="P37:P38"/>
    <mergeCell ref="Q5:Q9"/>
    <mergeCell ref="Q10:Q12"/>
    <mergeCell ref="Q13:Q17"/>
    <mergeCell ref="Q18:Q19"/>
    <mergeCell ref="Q20:Q23"/>
    <mergeCell ref="Q25:Q26"/>
    <mergeCell ref="Q27:Q28"/>
    <mergeCell ref="Q29:Q32"/>
    <mergeCell ref="Q33:Q36"/>
    <mergeCell ref="Q37:Q38"/>
    <mergeCell ref="R5:R9"/>
    <mergeCell ref="R10:R12"/>
    <mergeCell ref="R13:R17"/>
    <mergeCell ref="R18:R19"/>
    <mergeCell ref="R20:R23"/>
    <mergeCell ref="R25:R26"/>
    <mergeCell ref="R27:R28"/>
    <mergeCell ref="R29:R32"/>
    <mergeCell ref="R33:R36"/>
    <mergeCell ref="R37:R38"/>
    <mergeCell ref="S5:S9"/>
    <mergeCell ref="S10:S12"/>
    <mergeCell ref="S13:S17"/>
    <mergeCell ref="S18:S19"/>
    <mergeCell ref="S20:S23"/>
    <mergeCell ref="S25:S26"/>
    <mergeCell ref="S27:S28"/>
    <mergeCell ref="S29:S32"/>
    <mergeCell ref="S33:S36"/>
    <mergeCell ref="S37:S38"/>
    <mergeCell ref="C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xyzq</dc:creator>
  <cp:lastModifiedBy>雨后的云台</cp:lastModifiedBy>
  <dcterms:created xsi:type="dcterms:W3CDTF">2023-05-12T11:15:00Z</dcterms:created>
  <dcterms:modified xsi:type="dcterms:W3CDTF">2026-06-29T13:31:42Z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11F6064E00EE42C8B014BAC36D5BF9F2_12</vt:lpwstr>
  </property>
  <property fmtid="{D5CDD505-2E9C-101B-9397-08002B2CF9AE}" pid="4" name="CalculationRule">
    <vt:i4>0</vt:i4>
  </property>
</Properties>
</file>