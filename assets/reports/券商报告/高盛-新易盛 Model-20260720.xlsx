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customProperty4.bin" ContentType="application/vnd.openxmlformats-officedocument.spreadsheetml.customProperty"/>
  <Override PartName="/xl/customProperty5.bin" ContentType="application/vnd.openxmlformats-officedocument.spreadsheetml.customProperty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800" windowHeight="21000"/>
  </bookViews>
  <sheets>
    <sheet name="Cover Page " sheetId="9" r:id="rId1"/>
    <sheet name="300502.SZ_Exchange_Sheet " sheetId="10" state="hidden" r:id="rId2"/>
    <sheet name="Model" sheetId="1" r:id="rId3"/>
    <sheet name="Assumption" sheetId="2" r:id="rId4"/>
  </sheets>
  <externalReferences>
    <externalReference r:id="rId6"/>
    <externalReference r:id="rId7"/>
    <externalReference r:id="rId8"/>
    <externalReference r:id="rId9"/>
    <externalReference r:id="rId10"/>
  </externalReferences>
  <definedNames>
    <definedName name="A_ALL_000050.SZ">#REF!</definedName>
    <definedName name="A_ALL_000413.SZ">#REF!</definedName>
    <definedName name="A_ALL_000725.SZ">#REF!</definedName>
    <definedName name="A_ALL_002371.SZ">#REF!</definedName>
    <definedName name="A_ALL_002415.SZ">#REF!</definedName>
    <definedName name="A_ALL_002415.SZ_">#REF!</definedName>
    <definedName name="A_ALL_002456.SZ">#REF!</definedName>
    <definedName name="A_ALL_002876.SZ">#REF!</definedName>
    <definedName name="A_ALL_2018.HK">#REF!</definedName>
    <definedName name="A_ALL_2303.TW" localSheetId="0">'[1]2303.TW_Annotation_Sheet'!$A$1:$CD$384</definedName>
    <definedName name="A_ALL_2303.TW">#REF!</definedName>
    <definedName name="A_ALL_2324.TW">#REF!</definedName>
    <definedName name="A_ALL_300502.SZ">#REF!</definedName>
    <definedName name="A_ALL_4966.TWO">#REF!</definedName>
    <definedName name="A_ALL_600584.SS">#REF!</definedName>
    <definedName name="A_ALL_600699.SS">#REF!</definedName>
    <definedName name="A_ALL_603986.SS">#REF!</definedName>
    <definedName name="A_ALL_6415.TW" localSheetId="0">'[2]6415.TW_Annotation_Sheet'!$A$1:$BZ$286</definedName>
    <definedName name="A_ALL_6415.TW">#REF!</definedName>
    <definedName name="A_ALL_KEYWORDS_TYPE_Breakdown_EQTY_200004222">#REF!,#REF!</definedName>
    <definedName name="A_ALL_KEYWORDS_TYPE_Breakdown_EQTY_200004679">#REF!,#REF!</definedName>
    <definedName name="A_ALL_KEYWORDS_TYPE_Breakdown_EQTY_200008919">#REF!</definedName>
    <definedName name="A_ALL_KEYWORDS_TYPE_ScalarContributed_EQTY_200004222">#REF!,#REF!</definedName>
    <definedName name="A_ALL_KEYWORDS_TYPE_ScalarContributed_EQTY_200004679">#REF!,#REF!,#REF!,#REF!</definedName>
    <definedName name="A_ALL_KEYWORDS_TYPE_ScalarContributed_EQTY_200006786">#REF!,#REF!,#REF!,#REF!</definedName>
    <definedName name="A_ALL_KEYWORDS_TYPE_ScalarContributed_EQTY_200007666">#REF!,#REF!</definedName>
    <definedName name="A_ALL_KEYWORDS_TYPE_ScalarContributed_EQTY_200008919">#REF!,#REF!</definedName>
    <definedName name="A_ALL_KEYWORDS_TYPE_ScalarContributed_EQTY_200011172">#REF!,#REF!</definedName>
    <definedName name="A_ALL_KEYWORDS_TYPE_ScalarContributed_EQTY_200012735">#REF!,#REF!</definedName>
    <definedName name="A_ALL_KEYWORDS_TYPE_ScalarContributed_EQTY_200012909">#REF!,#REF!</definedName>
    <definedName name="A_ALL_KEYWORDS_TYPE_ScalarContributed_EQTY_200012913">#REF!,#REF!</definedName>
    <definedName name="A_ALL_KEYWORDS_TYPE_ScalarContributed_EQTY_200016087">#REF!,#REF!</definedName>
    <definedName name="A_ALL_KEYWORDS_TYPE_ScalarContributed_EQTY_200019451">#REF!,#REF!,#REF!</definedName>
    <definedName name="A_ALL_KEYWORDS_TYPE_ScalarContributed_EQTY_200019558">#REF!,#REF!</definedName>
    <definedName name="A_ALL_KEYWORDS_TYPE_ScalarContributed_EQTY_200019559">#REF!,#REF!</definedName>
    <definedName name="A_ALL_KEYWORDS_TYPE_ScalarContributed_ISSR_208001202">#REF!,#REF!</definedName>
    <definedName name="A_ALL_KEYWORDS_TYPE_ScalarContributed_ISSR_208001316">#REF!,#REF!</definedName>
    <definedName name="A_ALL_KEYWORDS_TYPE_ScalarContributed_ISSR_208002015">#REF!,#REF!</definedName>
    <definedName name="A_ALL_KEYWORDS_TYPE_ScalarContributed_ISSR_208003261">#REF!,#REF!</definedName>
    <definedName name="A_ALL_KEYWORDS_TYPE_ScalarContributed_ISSR_208007067">#REF!,#REF!</definedName>
    <definedName name="A_ALL_KEYWORDS_TYPE_ScalarContributed_ISSR_208010212">#REF!,#REF!</definedName>
    <definedName name="A_ALL_KEYWORDS_TYPE_ScalarContributed_ISSR_208015000">#REF!,#REF!</definedName>
    <definedName name="A_ALL_KEYWORDS_TYPE_ScalarContributed_ISSR_208019081">#REF!,#REF!</definedName>
    <definedName name="A_ALL_KEYWORDS_TYPE_ScalarContributed_ISSR_208019322">#REF!,#REF!</definedName>
    <definedName name="A_ALL_KEYWORDS_TYPE_ScalarContributed_ISSR_208021173">#REF!,#REF!</definedName>
    <definedName name="A_ALL_KEYWORDS_TYPE_ScalarContributed_ISSR_208021175">#REF!,#REF!</definedName>
    <definedName name="A_ALL_KEYWORDS_TYPE_Vector_EQTY_200004222">#REF!,#REF!,#REF!,#REF!,#REF!</definedName>
    <definedName name="A_ALL_KEYWORDS_TYPE_Vector_EQTY_200004679">#REF!,#REF!,#REF!,#REF!,#REF!</definedName>
    <definedName name="A_ALL_KEYWORDS_TYPE_Vector_EQTY_200006785">#REF!,#REF!,#REF!,#REF!,#REF!</definedName>
    <definedName name="A_ALL_KEYWORDS_TYPE_Vector_EQTY_200006786">#REF!,#REF!,#REF!,#REF!,#REF!,#REF!</definedName>
    <definedName name="A_ALL_KEYWORDS_TYPE_Vector_EQTY_200007666">#REF!,#REF!,#REF!,#REF!,#REF!</definedName>
    <definedName name="A_ALL_KEYWORDS_TYPE_Vector_EQTY_200008918">#REF!,#REF!,#REF!,#REF!,#REF!</definedName>
    <definedName name="A_ALL_KEYWORDS_TYPE_Vector_EQTY_200011172">#REF!,#REF!,#REF!,#REF!,#REF!</definedName>
    <definedName name="A_ALL_KEYWORDS_TYPE_Vector_EQTY_200012735">#REF!,#REF!,#REF!,#REF!,#REF!</definedName>
    <definedName name="A_ALL_KEYWORDS_TYPE_Vector_EQTY_200012909">#REF!,#REF!,#REF!,#REF!,#REF!</definedName>
    <definedName name="A_ALL_KEYWORDS_TYPE_Vector_EQTY_200012913">#REF!,#REF!,#REF!,#REF!,#REF!</definedName>
    <definedName name="A_ALL_KEYWORDS_TYPE_Vector_EQTY_200013283">#REF!,#REF!,#REF!,#REF!,#REF!</definedName>
    <definedName name="A_ALL_KEYWORDS_TYPE_Vector_EQTY_200016087">#REF!,#REF!,#REF!,#REF!,#REF!</definedName>
    <definedName name="A_ALL_KEYWORDS_TYPE_Vector_EQTY_200017468">#REF!,#REF!,#REF!,#REF!,#REF!</definedName>
    <definedName name="A_ALL_KEYWORDS_TYPE_Vector_EQTY_200018245">#REF!,#REF!,#REF!,#REF!,#REF!</definedName>
    <definedName name="A_ALL_KEYWORDS_TYPE_Vector_EQTY_200020142">#REF!,#REF!,#REF!,#REF!,#REF!</definedName>
    <definedName name="A_ALL_KEYWORDS_TYPE_Vector_EQTY_200020296">#REF!,#REF!,#REF!,#REF!,#REF!</definedName>
    <definedName name="A_ALL_KEYWORDS_TYPE_Vector_EQTY_200021697">#REF!,#REF!,#REF!,#REF!,#REF!</definedName>
    <definedName name="A_ALL_KEYWORDS_TYPE_Vector_EQTY_200021698">#REF!,#REF!,#REF!,#REF!,#REF!</definedName>
    <definedName name="A_ALL_KEYWORDS_TYPE_Vector_ISSR_208001202">#REF!,#REF!,#REF!,#REF!,#REF!,#REF!,#REF!,#REF!,#REF!,#REF!,#REF!,#REF!,#REF!,#REF!</definedName>
    <definedName name="A_ALL_KEYWORDS_TYPE_Vector_ISSR_208001316">#REF!,#REF!,#REF!,#REF!,#REF!,#REF!,#REF!,#REF!,#REF!,#REF!,#REF!,#REF!,#REF!,#REF!</definedName>
    <definedName name="A_ALL_KEYWORDS_TYPE_Vector_ISSR_208002015">#REF!,#REF!,#REF!,#REF!,#REF!,#REF!,#REF!,#REF!,#REF!,#REF!,#REF!,#REF!,#REF!</definedName>
    <definedName name="A_ALL_KEYWORDS_TYPE_Vector_ISSR_208003261">#REF!,#REF!,#REF!,#REF!,#REF!,#REF!,#REF!,#REF!,#REF!,#REF!,#REF!,#REF!,#REF!,#REF!</definedName>
    <definedName name="A_ALL_KEYWORDS_TYPE_Vector_ISSR_208006410">#REF!,#REF!,#REF!,#REF!,#REF!,#REF!,#REF!,#REF!,#REF!,#REF!,#REF!</definedName>
    <definedName name="A_ALL_KEYWORDS_TYPE_Vector_ISSR_208007067">#REF!,#REF!,#REF!,#REF!,#REF!,#REF!,#REF!,#REF!,#REF!,#REF!,#REF!,#REF!,#REF!</definedName>
    <definedName name="A_ALL_KEYWORDS_TYPE_Vector_ISSR_208008548">#REF!,#REF!,#REF!,#REF!,#REF!,#REF!,#REF!,#REF!,#REF!,#REF!,#REF!,#REF!,#REF!,#REF!,#REF!,#REF!</definedName>
    <definedName name="A_ALL_KEYWORDS_TYPE_Vector_ISSR_208009698">#REF!,#REF!,#REF!,#REF!,#REF!,#REF!,#REF!,#REF!,#REF!,#REF!,#REF!,#REF!,#REF!,#REF!</definedName>
    <definedName name="A_ALL_KEYWORDS_TYPE_Vector_ISSR_208009912">#REF!,#REF!,#REF!,#REF!,#REF!,#REF!,#REF!,#REF!,#REF!,#REF!,#REF!,#REF!,#REF!,#REF!,#REF!</definedName>
    <definedName name="A_ALL_KEYWORDS_TYPE_Vector_ISSR_208009916">#REF!,#REF!,#REF!,#REF!,#REF!,#REF!,#REF!,#REF!,#REF!,#REF!,#REF!,#REF!,#REF!,#REF!</definedName>
    <definedName name="A_ALL_KEYWORDS_TYPE_Vector_ISSR_208010212">#REF!,#REF!,#REF!,#REF!,#REF!,#REF!,#REF!,#REF!,#REF!,#REF!,#REF!,#REF!,#REF!,#REF!</definedName>
    <definedName name="A_ALL_KEYWORDS_TYPE_Vector_ISSR_208011603">#REF!,#REF!,#REF!,#REF!,#REF!,#REF!,#REF!,#REF!,#REF!,#REF!,#REF!</definedName>
    <definedName name="A_ALL_KEYWORDS_TYPE_Vector_ISSR_208013035">#REF!,#REF!,#REF!,#REF!,#REF!,#REF!,#REF!,#REF!,#REF!,#REF!,#REF!,#REF!,#REF!,#REF!,#REF!</definedName>
    <definedName name="A_ALL_KEYWORDS_TYPE_Vector_ISSR_208013036">#REF!,#REF!,#REF!,#REF!,#REF!,#REF!,#REF!,#REF!,#REF!,#REF!,#REF!</definedName>
    <definedName name="A_ALL_KEYWORDS_TYPE_Vector_ISSR_208015000">#REF!,#REF!,#REF!,#REF!,#REF!,#REF!,#REF!,#REF!,#REF!,#REF!,#REF!,#REF!,#REF!,#REF!</definedName>
    <definedName name="A_ALL_KEYWORDS_TYPE_Vector_ISSR_208015997">#REF!,#REF!,#REF!,#REF!,#REF!,#REF!,#REF!,#REF!,#REF!,#REF!,#REF!,#REF!,#REF!,#REF!</definedName>
    <definedName name="A_ALL_KEYWORDS_TYPE_Vector_ISSR_208017563">#REF!,#REF!,#REF!,#REF!,#REF!,#REF!,#REF!,#REF!,#REF!,#REF!,#REF!,#REF!</definedName>
    <definedName name="A_ALL_KEYWORDS_TYPE_Vector_ISSR_208018057">#REF!,#REF!,#REF!,#REF!,#REF!,#REF!,#REF!,#REF!,#REF!,#REF!,#REF!</definedName>
    <definedName name="A_ALL_KEYWORDS_TYPE_Vector_ISSR_208019081">#REF!,#REF!,#REF!,#REF!,#REF!,#REF!,#REF!,#REF!,#REF!,#REF!,#REF!,#REF!,#REF!</definedName>
    <definedName name="A_ALL_KEYWORDS_TYPE_Vector_ISSR_208019322">#REF!,#REF!,#REF!,#REF!,#REF!,#REF!,#REF!,#REF!,#REF!,#REF!,#REF!,#REF!</definedName>
    <definedName name="A_ALL_KEYWORDS_TYPE_Vector_ISSR_208019900">#REF!,#REF!,#REF!,#REF!,#REF!,#REF!,#REF!,#REF!,#REF!,#REF!,#REF!,#REF!</definedName>
    <definedName name="A_ALL_KEYWORDS_TYPE_Vector_ISSR_208019901">#REF!,#REF!,#REF!,#REF!,#REF!,#REF!,#REF!,#REF!,#REF!,#REF!,#REF!,#REF!</definedName>
    <definedName name="A_ALL_KEYWORDS_TYPE_Vector_ISSR_208019930">#REF!,#REF!,#REF!,#REF!,#REF!,#REF!,#REF!,#REF!,#REF!,#REF!,#REF!,#REF!</definedName>
    <definedName name="A_ALL_KEYWORDS_TYPE_Vector_ISSR_208019958">#REF!,#REF!,#REF!,#REF!,#REF!,#REF!,#REF!,#REF!,#REF!,#REF!,#REF!,#REF!</definedName>
    <definedName name="A_ALL_KEYWORDS_TYPE_Vector_ISSR_208021158">#REF!,#REF!,#REF!,#REF!,#REF!,#REF!,#REF!,#REF!,#REF!,#REF!,#REF!,#REF!</definedName>
    <definedName name="A_ALL_KEYWORDS_TYPE_Vector_ISSR_208021173">#REF!,#REF!,#REF!,#REF!,#REF!,#REF!,#REF!,#REF!,#REF!,#REF!,#REF!,#REF!,#REF!</definedName>
    <definedName name="A_ALL_KEYWORDS_TYPE_Vector_ISSR_208021175">#REF!,#REF!,#REF!,#REF!,#REF!,#REF!,#REF!,#REF!,#REF!,#REF!,#REF!,#REF!,#REF!</definedName>
    <definedName name="A_ALL_KEYWORDS_TYPE_Vector_ISSR_208021186">#REF!,#REF!,#REF!,#REF!,#REF!,#REF!,#REF!,#REF!,#REF!,#REF!,#REF!,#REF!</definedName>
    <definedName name="A_ALL_SECTION_KEYWORDS_EQTY_200004222_13W">#REF!,#REF!</definedName>
    <definedName name="A_ALL_SECTION_KEYWORDS_EQTY_200004679_131O">#REF!</definedName>
    <definedName name="A_ALL_SECTION_KEYWORDS_EQTY_200004679_13A">#REF!</definedName>
    <definedName name="A_ALL_SECTION_KEYWORDS_EQTY_200004679_13K">#REF!</definedName>
    <definedName name="A_ALL_SECTION_KEYWORDS_EQTY_200004679_13W">#REF!,#REF!</definedName>
    <definedName name="A_ALL_SECTION_KEYWORDS_EQTY_200006786_13A">#REF!</definedName>
    <definedName name="A_ALL_SECTION_KEYWORDS_EQTY_200006786_13K">#REF!</definedName>
    <definedName name="A_ALL_SECTION_KEYWORDS_EQTY_200007666_13W">#REF!,#REF!</definedName>
    <definedName name="A_ALL_SECTION_KEYWORDS_EQTY_200008919_13A">#REF!</definedName>
    <definedName name="A_ALL_SECTION_KEYWORDS_EQTY_200019451_13A">#REF!</definedName>
    <definedName name="A_ALL_SECTION_KEYWORDS_EQTY_200019559_13A">#REF!</definedName>
    <definedName name="A_ALL_SECTION_KEYWORDS_ISSR_208001202_13V">#REF!,#REF!</definedName>
    <definedName name="A_ALL_SECTION_KEYWORDS_ISSR_208001316_1314">#REF!</definedName>
    <definedName name="A_ALL_SECTION_KEYWORDS_ISSR_208001316_1319">#REF!</definedName>
    <definedName name="A_ALL_SECTION_KEYWORDS_ISSR_208001316_131E">#REF!</definedName>
    <definedName name="A_ALL_SECTION_KEYWORDS_ISSR_208001316_13U">#REF!</definedName>
    <definedName name="A_ALL_SECTION_KEYWORDS_ISSR_208001316_13V">#REF!,#REF!</definedName>
    <definedName name="A_ALL_SECTION_KEYWORDS_ISSR_208002015_13V">#REF!,#REF!</definedName>
    <definedName name="A_ALL_SECTION_KEYWORDS_ISSR_208003261_13V">#REF!,#REF!</definedName>
    <definedName name="A_ALL_SECTION_KEYWORDS_ISSR_208006410_136E">#REF!,#REF!</definedName>
    <definedName name="A_ALL_SECTION_KEYWORDS_ISSR_208007067_13V">#REF!,#REF!</definedName>
    <definedName name="A_ALL_SECTION_KEYWORDS_ISSR_208009698_1316U">#REF!,#REF!</definedName>
    <definedName name="A_ALL_SECTION_KEYWORDS_ISSR_208009916_1316U">#REF!,#REF!</definedName>
    <definedName name="A_ALL_SECTION_KEYWORDS_ISSR_208010212_13V">#REF!,#REF!</definedName>
    <definedName name="A_ALL_SECTION_KEYWORDS_ISSR_208011603_136E">#REF!,#REF!</definedName>
    <definedName name="A_ALL_SECTION_KEYWORDS_ISSR_208013036_13168">#REF!</definedName>
    <definedName name="A_ALL_SECTION_KEYWORDS_ISSR_208013036_1319">#REF!</definedName>
    <definedName name="A_ALL_SECTION_KEYWORDS_ISSR_208013036_136E">#REF!,#REF!</definedName>
    <definedName name="A_ALL_SECTION_KEYWORDS_ISSR_208015000_13V">#REF!,#REF!</definedName>
    <definedName name="A_ALL_SECTION_KEYWORDS_ISSR_208015997_1316U">#REF!,#REF!</definedName>
    <definedName name="A_ALL_SECTION_KEYWORDS_ISSR_208018057_136E">#REF!,#REF!</definedName>
    <definedName name="A_ALL_SECTION_KEYWORDS_ISSR_208019081_13V">#REF!,#REF!</definedName>
    <definedName name="A_ALL_SECTION_KEYWORDS_ISSR_208019322_13V">#REF!,#REF!</definedName>
    <definedName name="A_ALL_SECTION_KEYWORDS_ISSR_208021173_13V">#REF!,#REF!</definedName>
    <definedName name="A_ALL_SECTION_KEYWORDS_ISSR_208021175_13V">#REF!,#REF!</definedName>
    <definedName name="A_ALL_SECTIONS_EQTY_200011172">#REF!,#REF!,#REF!,#REF!,#REF!,#REF!,#REF!,#REF!</definedName>
    <definedName name="A_ALL_SECTIONS_EQTY_200012735">#REF!,#REF!,#REF!,#REF!,#REF!,#REF!,#REF!,#REF!</definedName>
    <definedName name="A_ALL_SECTIONS_EQTY_200012909">#REF!,#REF!,#REF!,#REF!,#REF!,#REF!,#REF!,#REF!</definedName>
    <definedName name="A_ALL_SECTIONS_EQTY_200012913">#REF!,#REF!,#REF!,#REF!,#REF!,#REF!,#REF!,#REF!</definedName>
    <definedName name="A_ALL_SECTIONS_EQTY_200016087">#REF!,#REF!,#REF!,#REF!,#REF!,#REF!,#REF!,#REF!</definedName>
    <definedName name="A_ALL_SECTIONS_EQTY_200018245">#REF!,#REF!,#REF!,#REF!,#REF!,#REF!,#REF!,#REF!</definedName>
    <definedName name="A_ALL_SECTIONS_ISSR_208008548">#REF!,#REF!,#REF!,#REF!,#REF!,#REF!,#REF!,#REF!,#REF!,#REF!</definedName>
    <definedName name="A_ALL_SECTIONS_ISSR_208009698">#REF!,#REF!,#REF!,#REF!,#REF!,#REF!,#REF!,#REF!,#REF!</definedName>
    <definedName name="A_ALL_SECTIONS_ISSR_208009912">#REF!,#REF!,#REF!,#REF!,#REF!,#REF!,#REF!,#REF!,#REF!,#REF!</definedName>
    <definedName name="A_ALL_SECTIONS_ISSR_208009916">#REF!,#REF!,#REF!,#REF!,#REF!,#REF!,#REF!,#REF!,#REF!</definedName>
    <definedName name="A_ALL_SECTIONS_ISSR_208013035">#REF!,#REF!,#REF!,#REF!,#REF!,#REF!,#REF!,#REF!,#REF!,#REF!</definedName>
    <definedName name="ASP">#REF!</definedName>
    <definedName name="DATES">#REF!</definedName>
    <definedName name="DES">#REF!</definedName>
    <definedName name="E_ALL_000050.SZ">#REF!</definedName>
    <definedName name="E_ALL_000063.SZ">#REF!</definedName>
    <definedName name="E_ALL_000413.SZ">#REF!</definedName>
    <definedName name="E_ALL_000422.SZ">#REF!</definedName>
    <definedName name="E_ALL_000725.SZ">#REF!</definedName>
    <definedName name="E_ALL_002153.SZ">#REF!</definedName>
    <definedName name="E_ALL_002230.SZ">#REF!</definedName>
    <definedName name="E_ALL_002236.SZ">#REF!</definedName>
    <definedName name="E_ALL_002261.SZ">#REF!</definedName>
    <definedName name="E_ALL_002371.SZ">#REF!</definedName>
    <definedName name="E_ALL_002396.SZ">#REF!</definedName>
    <definedName name="E_ALL_002405.SZ">#REF!</definedName>
    <definedName name="E_ALL_002415.SZ">#REF!</definedName>
    <definedName name="E_ALL_002449.SZ">#REF!</definedName>
    <definedName name="E_ALL_002456.SZ">#REF!</definedName>
    <definedName name="E_ALL_002876.SZ">#REF!</definedName>
    <definedName name="E_ALL_0522.HK">#REF!</definedName>
    <definedName name="E_ALL_0981.HK">#REF!</definedName>
    <definedName name="E_ALL_1347.HK">#REF!</definedName>
    <definedName name="E_ALL_2018.HK">#REF!</definedName>
    <definedName name="E_ALL_2303.TW" localSheetId="0">'[1]2303.TW_Exchange_Sheet'!$A$1:$CD$384</definedName>
    <definedName name="E_ALL_2303.TW">#REF!</definedName>
    <definedName name="E_ALL_2324.TW">#REF!</definedName>
    <definedName name="E_ALL_2382.TW">'[3]2382.TW_Exchange_Sheet'!$A$1:$CH$312</definedName>
    <definedName name="E_ALL_300002.SZ">#REF!</definedName>
    <definedName name="E_ALL_300394.SZ">#REF!</definedName>
    <definedName name="E_ALL_300502.SZ" localSheetId="1">'300502.SZ_Exchange_Sheet '!$A$1:$BX$298</definedName>
    <definedName name="E_ALL_300502.SZ">#REF!</definedName>
    <definedName name="E_ALL_300567.SZ">#REF!</definedName>
    <definedName name="E_ALL_3008.TW">#REF!</definedName>
    <definedName name="E_ALL_4966.TWO">#REF!</definedName>
    <definedName name="E_ALL_600271.SS">#REF!</definedName>
    <definedName name="E_ALL_600498.SS">#REF!</definedName>
    <definedName name="E_ALL_600570.SS">#REF!</definedName>
    <definedName name="E_ALL_600584.SS">#REF!</definedName>
    <definedName name="E_ALL_600699.SS">#REF!</definedName>
    <definedName name="E_ALL_603501.SS">#REF!</definedName>
    <definedName name="E_ALL_603986.SS">#REF!</definedName>
    <definedName name="E_ALL_6415.TW" localSheetId="0">'[2]6415.TW_Exchange_Sheet'!$A$1:$BZ$286</definedName>
    <definedName name="E_ALL_6415.TW">#REF!</definedName>
    <definedName name="E_ALL_688012.SS">#REF!</definedName>
    <definedName name="E_ALL_688019.SS">#REF!</definedName>
    <definedName name="E_ALL_688049.SS">#REF!</definedName>
    <definedName name="E_ALL_688126.SS">#REF!</definedName>
    <definedName name="E_ALL_688200.SS">#REF!</definedName>
    <definedName name="E_ALL_688608.SS">#REF!</definedName>
    <definedName name="E_ALL_688630.SS">#REF!</definedName>
    <definedName name="E_ALL_KEYWORDS_TYPE_ScalarContributed_EQTY_200011172">#REF!,#REF!</definedName>
    <definedName name="E_ALL_KEYWORDS_TYPE_ScalarContributed_EQTY_200012735">#REF!,#REF!</definedName>
    <definedName name="E_ALL_KEYWORDS_TYPE_ScalarContributed_EQTY_200012909">#REF!,#REF!</definedName>
    <definedName name="E_ALL_KEYWORDS_TYPE_ScalarContributed_EQTY_200012913">#REF!,#REF!</definedName>
    <definedName name="E_ALL_KEYWORDS_TYPE_ScalarContributed_EQTY_200016087">#REF!,#REF!</definedName>
    <definedName name="E_ALL_KEYWORDS_TYPE_ScalarContributed_EQTY_200019451">'[4]603986.SS_Exchange_Sheet'!$224:$243,'[4]603986.SS_Exchange_Sheet'!$285:$287,'[4]603986.SS_Exchange_Sheet'!$222:$223</definedName>
    <definedName name="E_ALL_KEYWORDS_TYPE_ScalarContributed_EQTY_200019558">#REF!,#REF!</definedName>
    <definedName name="E_ALL_KEYWORDS_TYPE_ScalarContributed_EQTY_200019559">#REF!,#REF!</definedName>
    <definedName name="E_ALL_KEYWORDS_TYPE_ScalarContributed_EQTY_200022336" localSheetId="1">'300502.SZ_Exchange_Sheet '!$233:$254,'300502.SZ_Exchange_Sheet '!$296:$298</definedName>
    <definedName name="E_ALL_KEYWORDS_TYPE_ScalarContributed_ISSR_208003261">#REF!,#REF!</definedName>
    <definedName name="E_ALL_KEYWORDS_TYPE_ScalarContributed_ISSR_208015000">#REF!,#REF!</definedName>
    <definedName name="E_ALL_KEYWORDS_TYPE_ScalarContributed_ISSR_208017752">#REF!,#REF!</definedName>
    <definedName name="E_ALL_KEYWORDS_TYPE_ScalarContributed_ISSR_208017814">#REF!,#REF!</definedName>
    <definedName name="E_ALL_KEYWORDS_TYPE_ScalarContributed_ISSR_208019081">#REF!,#REF!</definedName>
    <definedName name="E_ALL_KEYWORDS_TYPE_ScalarContributed_ISSR_208021942" localSheetId="1">'300502.SZ_Exchange_Sheet '!$9:$9,'300502.SZ_Exchange_Sheet '!$40:$40</definedName>
    <definedName name="E_ALL_KEYWORDS_TYPE_ScalarReference_EQTY_200022336" localSheetId="1">'300502.SZ_Exchange_Sheet '!$226:$231</definedName>
    <definedName name="E_ALL_KEYWORDS_TYPE_ScalarReference_ISSR_208021942" localSheetId="1">'300502.SZ_Exchange_Sheet '!$6:$7</definedName>
    <definedName name="E_ALL_KEYWORDS_TYPE_Vector_EQTY_200007666">#REF!,#REF!,#REF!,#REF!,#REF!,#REF!,#REF!</definedName>
    <definedName name="E_ALL_KEYWORDS_TYPE_Vector_EQTY_200011172">#REF!,#REF!,#REF!,#REF!,#REF!</definedName>
    <definedName name="E_ALL_KEYWORDS_TYPE_Vector_EQTY_200012735">#REF!,#REF!,#REF!,#REF!,#REF!</definedName>
    <definedName name="E_ALL_KEYWORDS_TYPE_Vector_EQTY_200012909">#REF!,#REF!,#REF!,#REF!,#REF!</definedName>
    <definedName name="E_ALL_KEYWORDS_TYPE_Vector_EQTY_200012913">#REF!,#REF!,#REF!,#REF!,#REF!</definedName>
    <definedName name="E_ALL_KEYWORDS_TYPE_Vector_EQTY_200016087">#REF!,#REF!,#REF!,#REF!,#REF!</definedName>
    <definedName name="E_ALL_KEYWORDS_TYPE_Vector_EQTY_200017468">#REF!,#REF!,#REF!,#REF!,#REF!</definedName>
    <definedName name="E_ALL_KEYWORDS_TYPE_Vector_EQTY_200018245">#REF!,#REF!,#REF!,#REF!,#REF!</definedName>
    <definedName name="E_ALL_KEYWORDS_TYPE_Vector_EQTY_200019376">#REF!,#REF!,#REF!,#REF!,#REF!</definedName>
    <definedName name="E_ALL_KEYWORDS_TYPE_Vector_EQTY_200019399">#REF!,#REF!,#REF!,#REF!,#REF!</definedName>
    <definedName name="E_ALL_KEYWORDS_TYPE_Vector_EQTY_200020142">#REF!,#REF!,#REF!,#REF!,#REF!</definedName>
    <definedName name="E_ALL_KEYWORDS_TYPE_Vector_EQTY_200022336" localSheetId="1">'300502.SZ_Exchange_Sheet '!$256:$270,'300502.SZ_Exchange_Sheet '!$272:$287,'300502.SZ_Exchange_Sheet '!$289:$290,'300502.SZ_Exchange_Sheet '!$292:$292,'300502.SZ_Exchange_Sheet '!$294:$294</definedName>
    <definedName name="E_ALL_KEYWORDS_TYPE_Vector_ISSR_208003261">#REF!,#REF!,#REF!,#REF!,#REF!,#REF!,#REF!,#REF!,#REF!,#REF!,#REF!,#REF!,#REF!,#REF!</definedName>
    <definedName name="E_ALL_KEYWORDS_TYPE_Vector_ISSR_208008548">#REF!,#REF!,#REF!,#REF!,#REF!,#REF!,#REF!,#REF!,#REF!,#REF!,#REF!,#REF!,#REF!,#REF!,#REF!,#REF!</definedName>
    <definedName name="E_ALL_KEYWORDS_TYPE_Vector_ISSR_208009698">#REF!,#REF!,#REF!,#REF!,#REF!,#REF!,#REF!,#REF!,#REF!</definedName>
    <definedName name="E_ALL_KEYWORDS_TYPE_Vector_ISSR_208009912">#REF!,#REF!,#REF!,#REF!,#REF!,#REF!,#REF!,#REF!,#REF!,#REF!,#REF!,#REF!,#REF!,#REF!,#REF!</definedName>
    <definedName name="E_ALL_KEYWORDS_TYPE_Vector_ISSR_208009916">#REF!,#REF!,#REF!,#REF!,#REF!,#REF!,#REF!,#REF!,#REF!</definedName>
    <definedName name="E_ALL_KEYWORDS_TYPE_Vector_ISSR_208013035">#REF!,#REF!,#REF!,#REF!,#REF!,#REF!,#REF!,#REF!,#REF!,#REF!,#REF!,#REF!,#REF!,#REF!,#REF!</definedName>
    <definedName name="E_ALL_KEYWORDS_TYPE_Vector_ISSR_208015000">#REF!,#REF!,#REF!,#REF!,#REF!,#REF!,#REF!,#REF!,#REF!,#REF!,#REF!,#REF!,#REF!,#REF!,#REF!,#REF!,#REF!,#REF!,#REF!,#REF!,#REF!</definedName>
    <definedName name="E_ALL_KEYWORDS_TYPE_Vector_ISSR_208017752">#REF!,#REF!,#REF!,#REF!,#REF!,#REF!,#REF!,#REF!,#REF!,#REF!,#REF!,#REF!,#REF!</definedName>
    <definedName name="E_ALL_KEYWORDS_TYPE_Vector_ISSR_208017814">#REF!,#REF!,#REF!,#REF!,#REF!,#REF!,#REF!,#REF!,#REF!,#REF!,#REF!,#REF!,#REF!</definedName>
    <definedName name="E_ALL_KEYWORDS_TYPE_Vector_ISSR_208019081">#REF!,#REF!,#REF!,#REF!,#REF!,#REF!,#REF!,#REF!,#REF!,#REF!,#REF!,#REF!,#REF!</definedName>
    <definedName name="E_ALL_KEYWORDS_TYPE_Vector_ISSR_208021942" localSheetId="1">'300502.SZ_Exchange_Sheet '!$2:$3,'300502.SZ_Exchange_Sheet '!$11:$30,'300502.SZ_Exchange_Sheet '!$32:$39,'300502.SZ_Exchange_Sheet '!$42:$71,'300502.SZ_Exchange_Sheet '!$73:$90,'300502.SZ_Exchange_Sheet '!$92:$108,'300502.SZ_Exchange_Sheet '!$110:$120,'300502.SZ_Exchange_Sheet '!$122:$122,'300502.SZ_Exchange_Sheet '!$124:$181,'300502.SZ_Exchange_Sheet '!$183:$184,'300502.SZ_Exchange_Sheet '!$186:$200,'300502.SZ_Exchange_Sheet '!$202:$212,'300502.SZ_Exchange_Sheet '!$214:$223</definedName>
    <definedName name="E_ALL_PERIODS_300502.SZ" localSheetId="1">'300502.SZ_Exchange_Sheet '!$F$1:$BT$1</definedName>
    <definedName name="E_ALL_SECTION_KEYWORDS_EQTY_200007666_13K">#REF!</definedName>
    <definedName name="E_ALL_SECTION_KEYWORDS_EQTY_200019399_13K">#REF!</definedName>
    <definedName name="E_ALL_SECTION_KEYWORDS_EQTY_200019559_13A">#REF!</definedName>
    <definedName name="E_ALL_SECTION_KEYWORDS_EQTY_200022336_1314" localSheetId="1">'300502.SZ_Exchange_Sheet '!$C$292</definedName>
    <definedName name="E_ALL_SECTION_KEYWORDS_EQTY_200022336_131E" localSheetId="1">'300502.SZ_Exchange_Sheet '!$C$294</definedName>
    <definedName name="E_ALL_SECTION_KEYWORDS_EQTY_200022336_131O" localSheetId="1">'300502.SZ_Exchange_Sheet '!$C$296:$C$298</definedName>
    <definedName name="E_ALL_SECTION_KEYWORDS_EQTY_200022336_13A" localSheetId="1">'300502.SZ_Exchange_Sheet '!$C$233:$C$254</definedName>
    <definedName name="E_ALL_SECTION_KEYWORDS_EQTY_200022336_13K" localSheetId="1">'300502.SZ_Exchange_Sheet '!$C$256:$C$270</definedName>
    <definedName name="E_ALL_SECTION_KEYWORDS_EQTY_200022336_13U" localSheetId="1">'300502.SZ_Exchange_Sheet '!$C$272:$C$287</definedName>
    <definedName name="E_ALL_SECTION_KEYWORDS_EQTY_200022336_13V" localSheetId="1">'300502.SZ_Exchange_Sheet '!$C$289:$C$290</definedName>
    <definedName name="E_ALL_SECTION_KEYWORDS_EQTY_200022336_Reference_Data" localSheetId="1">'300502.SZ_Exchange_Sheet '!$C$226:$C$231</definedName>
    <definedName name="E_ALL_SECTION_KEYWORDS_ISSR_208003261_1314">#REF!</definedName>
    <definedName name="E_ALL_SECTION_KEYWORDS_ISSR_208003261_1319">#REF!</definedName>
    <definedName name="E_ALL_SECTION_KEYWORDS_ISSR_208003261_131E">#REF!</definedName>
    <definedName name="E_ALL_SECTION_KEYWORDS_ISSR_208003261_13V">#REF!,#REF!</definedName>
    <definedName name="E_ALL_SECTION_KEYWORDS_ISSR_208015000_13V">#REF!,#REF!</definedName>
    <definedName name="E_ALL_SECTION_KEYWORDS_ISSR_208017752_13V">#REF!,#REF!</definedName>
    <definedName name="E_ALL_SECTION_KEYWORDS_ISSR_208017814_1314">#REF!</definedName>
    <definedName name="E_ALL_SECTION_KEYWORDS_ISSR_208017814_1319">#REF!</definedName>
    <definedName name="E_ALL_SECTION_KEYWORDS_ISSR_208017814_131E">#REF!</definedName>
    <definedName name="E_ALL_SECTION_KEYWORDS_ISSR_208017814_13V">#REF!,#REF!</definedName>
    <definedName name="E_ALL_SECTION_KEYWORDS_ISSR_208019081_13V">#REF!,#REF!</definedName>
    <definedName name="E_ALL_SECTION_KEYWORDS_ISSR_208021942_1314" localSheetId="1">'300502.SZ_Exchange_Sheet '!$C$42:$C$71</definedName>
    <definedName name="E_ALL_SECTION_KEYWORDS_ISSR_208021942_13168" localSheetId="1">'300502.SZ_Exchange_Sheet '!$C$124:$C$181</definedName>
    <definedName name="E_ALL_SECTION_KEYWORDS_ISSR_208021942_1316S" localSheetId="1">'300502.SZ_Exchange_Sheet '!$C$183:$C$184</definedName>
    <definedName name="E_ALL_SECTION_KEYWORDS_ISSR_208021942_1316T" localSheetId="1">'300502.SZ_Exchange_Sheet '!$C$186:$C$200</definedName>
    <definedName name="E_ALL_SECTION_KEYWORDS_ISSR_208021942_1316U" localSheetId="1">'300502.SZ_Exchange_Sheet '!$C$202:$C$212</definedName>
    <definedName name="E_ALL_SECTION_KEYWORDS_ISSR_208021942_1319" localSheetId="1">'300502.SZ_Exchange_Sheet '!$C$73:$C$90</definedName>
    <definedName name="E_ALL_SECTION_KEYWORDS_ISSR_208021942_131E" localSheetId="1">'300502.SZ_Exchange_Sheet '!$C$92:$C$108</definedName>
    <definedName name="E_ALL_SECTION_KEYWORDS_ISSR_208021942_131J" localSheetId="1">'300502.SZ_Exchange_Sheet '!$C$110:$C$120</definedName>
    <definedName name="E_ALL_SECTION_KEYWORDS_ISSR_208021942_131O" localSheetId="1">'300502.SZ_Exchange_Sheet '!$C$122</definedName>
    <definedName name="E_ALL_SECTION_KEYWORDS_ISSR_208021942_136E" localSheetId="1">'300502.SZ_Exchange_Sheet '!$C$214:$C$223</definedName>
    <definedName name="E_ALL_SECTION_KEYWORDS_ISSR_208021942_13A" localSheetId="1">'300502.SZ_Exchange_Sheet '!$C$9</definedName>
    <definedName name="E_ALL_SECTION_KEYWORDS_ISSR_208021942_13U" localSheetId="1">'300502.SZ_Exchange_Sheet '!$C$11:$C$30</definedName>
    <definedName name="E_ALL_SECTION_KEYWORDS_ISSR_208021942_13V" localSheetId="1">'300502.SZ_Exchange_Sheet '!$C$32:$C$40</definedName>
    <definedName name="E_ALL_SECTION_KEYWORDS_ISSR_208021942_Reference_Data" localSheetId="1">'300502.SZ_Exchange_Sheet '!$C$6:$C$7</definedName>
    <definedName name="E_ALL_SECTIONS_EQTY_200011172">#REF!,#REF!,#REF!,#REF!,#REF!,#REF!,#REF!,#REF!</definedName>
    <definedName name="E_ALL_SECTIONS_EQTY_200012735">#REF!,#REF!,#REF!,#REF!,#REF!,#REF!,#REF!,#REF!</definedName>
    <definedName name="E_ALL_SECTIONS_EQTY_200012909">#REF!,#REF!,#REF!,#REF!,#REF!,#REF!,#REF!,#REF!</definedName>
    <definedName name="E_ALL_SECTIONS_EQTY_200012913">#REF!,#REF!,#REF!,#REF!,#REF!,#REF!,#REF!,#REF!</definedName>
    <definedName name="E_ALL_SECTIONS_EQTY_200016087">#REF!,#REF!,#REF!,#REF!,#REF!,#REF!,#REF!,#REF!</definedName>
    <definedName name="E_ALL_SECTIONS_EQTY_200018245">#REF!,#REF!,#REF!,#REF!,#REF!,#REF!,#REF!,#REF!</definedName>
    <definedName name="E_ALL_SECTIONS_EQTY_200022336" localSheetId="1">'300502.SZ_Exchange_Sheet '!$225:$225,'300502.SZ_Exchange_Sheet '!$232:$232,'300502.SZ_Exchange_Sheet '!$255:$255,'300502.SZ_Exchange_Sheet '!$271:$271,'300502.SZ_Exchange_Sheet '!$288:$288,'300502.SZ_Exchange_Sheet '!$291:$291,'300502.SZ_Exchange_Sheet '!$293:$293,'300502.SZ_Exchange_Sheet '!$295:$295</definedName>
    <definedName name="E_ALL_SECTIONS_ISSR_208008548">#REF!,#REF!,#REF!,#REF!,#REF!,#REF!,#REF!,#REF!,#REF!,#REF!</definedName>
    <definedName name="E_ALL_SECTIONS_ISSR_208009698">#REF!,#REF!,#REF!,#REF!,#REF!,#REF!,#REF!,#REF!,#REF!</definedName>
    <definedName name="E_ALL_SECTIONS_ISSR_208009912">#REF!,#REF!,#REF!,#REF!,#REF!,#REF!,#REF!,#REF!,#REF!,#REF!</definedName>
    <definedName name="E_ALL_SECTIONS_ISSR_208009916">#REF!,#REF!,#REF!,#REF!,#REF!,#REF!,#REF!,#REF!,#REF!</definedName>
    <definedName name="E_ALL_SECTIONS_ISSR_208013035">#REF!,#REF!,#REF!,#REF!,#REF!,#REF!,#REF!,#REF!,#REF!,#REF!</definedName>
    <definedName name="E_ALL_SECTIONS_ISSR_208021942" localSheetId="1">'300502.SZ_Exchange_Sheet '!$5:$5,'300502.SZ_Exchange_Sheet '!$8:$8,'300502.SZ_Exchange_Sheet '!$10:$10,'300502.SZ_Exchange_Sheet '!$31:$31,'300502.SZ_Exchange_Sheet '!$41:$41,'300502.SZ_Exchange_Sheet '!$72:$72,'300502.SZ_Exchange_Sheet '!$91:$91,'300502.SZ_Exchange_Sheet '!$109:$109,'300502.SZ_Exchange_Sheet '!$121:$121,'300502.SZ_Exchange_Sheet '!$123:$123,'300502.SZ_Exchange_Sheet '!$182:$182,'300502.SZ_Exchange_Sheet '!$185:$185,'300502.SZ_Exchange_Sheet '!$201:$201,'300502.SZ_Exchange_Sheet '!$213:$213</definedName>
    <definedName name="E_CURRENCY_EQTY_200011172_PRI">#REF!</definedName>
    <definedName name="E_CURRENCY_EQTY_200011172_PUB">#REF!</definedName>
    <definedName name="E_CURRENCY_EQTY_200011172_REP">#REF!</definedName>
    <definedName name="E_CURRENCY_EQTY_200012735_PRI">#REF!</definedName>
    <definedName name="E_CURRENCY_EQTY_200012735_PUB">#REF!</definedName>
    <definedName name="E_CURRENCY_EQTY_200012735_REP">#REF!</definedName>
    <definedName name="E_CURRENCY_EQTY_200012909_PRI">#REF!</definedName>
    <definedName name="E_CURRENCY_EQTY_200012909_PUB">#REF!</definedName>
    <definedName name="E_CURRENCY_EQTY_200012909_REP">#REF!</definedName>
    <definedName name="E_CURRENCY_EQTY_200012913_PRI">#REF!</definedName>
    <definedName name="E_CURRENCY_EQTY_200012913_PUB">#REF!</definedName>
    <definedName name="E_CURRENCY_EQTY_200012913_REP">#REF!</definedName>
    <definedName name="E_CURRENCY_EQTY_200016087_PRI">#REF!</definedName>
    <definedName name="E_CURRENCY_EQTY_200016087_PUB">#REF!</definedName>
    <definedName name="E_CURRENCY_EQTY_200016087_REP">#REF!</definedName>
    <definedName name="E_CURRENCY_EQTY_200018245_PRI">#REF!</definedName>
    <definedName name="E_CURRENCY_EQTY_200018245_PUB">#REF!</definedName>
    <definedName name="E_CURRENCY_EQTY_200018245_REP">#REF!</definedName>
    <definedName name="E_CURRENCY_EQTY_200022336_PRI" localSheetId="1">'300502.SZ_Exchange_Sheet '!$E$230</definedName>
    <definedName name="E_CURRENCY_EQTY_200022336_PUB" localSheetId="1">'300502.SZ_Exchange_Sheet '!$E$229</definedName>
    <definedName name="E_CURRENCY_EQTY_200022336_REP" localSheetId="1">'300502.SZ_Exchange_Sheet '!$E$231</definedName>
    <definedName name="E_CURRENCY_ISSR_208008548_REP">#REF!</definedName>
    <definedName name="E_CURRENCY_ISSR_208009698_REP">#REF!</definedName>
    <definedName name="E_CURRENCY_ISSR_208009912_REP">#REF!</definedName>
    <definedName name="E_CURRENCY_ISSR_208009916_REP">#REF!</definedName>
    <definedName name="E_CURRENCY_ISSR_208013035_REP">#REF!</definedName>
    <definedName name="E_CURRENCY_ISSR_208015997_REP">#REF!</definedName>
    <definedName name="E_CURRENCY_ISSR_208021942_REP" localSheetId="1">'300502.SZ_Exchange_Sheet '!$E$7</definedName>
    <definedName name="E_ENTITY_DATA_EQTY_200022336" localSheetId="1">'300502.SZ_Exchange_Sheet '!$E$225:$BT$298</definedName>
    <definedName name="E_ENTITY_DATA_ISSR_208021942" localSheetId="1">'300502.SZ_Exchange_Sheet '!$E$5:$BT$223</definedName>
    <definedName name="E_KEYWORD_EQTY_200022336_AEJ_LIST" localSheetId="1">'300502.SZ_Exchange_Sheet '!$233:$233</definedName>
    <definedName name="E_KEYWORD_EQTY_200022336_BETA_ANALYST" localSheetId="1">'300502.SZ_Exchange_Sheet '!$296:$296</definedName>
    <definedName name="E_KEYWORD_EQTY_200022336_BVPS" localSheetId="1">'300502.SZ_Exchange_Sheet '!$292:$292</definedName>
    <definedName name="E_KEYWORD_EQTY_200022336_BVPS_PUB" localSheetId="1">'300502.SZ_Exchange_Sheet '!$256:$256</definedName>
    <definedName name="E_KEYWORD_EQTY_200022336_CATALYST1_DATE" localSheetId="1">'300502.SZ_Exchange_Sheet '!$243:$243</definedName>
    <definedName name="E_KEYWORD_EQTY_200022336_CATALYST1_EVENT" localSheetId="1">'300502.SZ_Exchange_Sheet '!$244:$244</definedName>
    <definedName name="E_KEYWORD_EQTY_200022336_CATALYST2_DATE" localSheetId="1">'300502.SZ_Exchange_Sheet '!$245:$245</definedName>
    <definedName name="E_KEYWORD_EQTY_200022336_CATALYST2_EVENT" localSheetId="1">'300502.SZ_Exchange_Sheet '!$246:$246</definedName>
    <definedName name="E_KEYWORD_EQTY_200022336_CATALYST3_DATE" localSheetId="1">'300502.SZ_Exchange_Sheet '!$247:$247</definedName>
    <definedName name="E_KEYWORD_EQTY_200022336_CATALYST3_EVENT" localSheetId="1">'300502.SZ_Exchange_Sheet '!$248:$248</definedName>
    <definedName name="E_KEYWORD_EQTY_200022336_CATALYST4_DATE" localSheetId="1">'300502.SZ_Exchange_Sheet '!$249:$249</definedName>
    <definedName name="E_KEYWORD_EQTY_200022336_CATALYST4_EVENT" localSheetId="1">'300502.SZ_Exchange_Sheet '!$250:$250</definedName>
    <definedName name="E_KEYWORD_EQTY_200022336_CATALYST5_DATE" localSheetId="1">'300502.SZ_Exchange_Sheet '!$251:$251</definedName>
    <definedName name="E_KEYWORD_EQTY_200022336_CATALYST5_EVENT" localSheetId="1">'300502.SZ_Exchange_Sheet '!$252:$252</definedName>
    <definedName name="E_KEYWORD_EQTY_200022336_CEEE_NDEBT" localSheetId="1">'300502.SZ_Exchange_Sheet '!$264:$264</definedName>
    <definedName name="E_KEYWORD_EQTY_200022336_CF_NI_PRE_PREF" localSheetId="1">'300502.SZ_Exchange_Sheet '!$294:$294</definedName>
    <definedName name="E_KEYWORD_EQTY_200022336_COMMON_DIV_PAID" localSheetId="1">'300502.SZ_Exchange_Sheet '!$283:$283</definedName>
    <definedName name="E_KEYWORD_EQTY_200022336_CURRENCY_ISO" localSheetId="1">'300502.SZ_Exchange_Sheet '!$231:$231</definedName>
    <definedName name="E_KEYWORD_EQTY_200022336_DILUTE_SHARES" localSheetId="1">'300502.SZ_Exchange_Sheet '!$286:$286</definedName>
    <definedName name="E_KEYWORD_EQTY_200022336_DPS" localSheetId="1">'300502.SZ_Exchange_Sheet '!$284:$284</definedName>
    <definedName name="E_KEYWORD_EQTY_200022336_DPS_PUB" localSheetId="1">'300502.SZ_Exchange_Sheet '!$257:$257</definedName>
    <definedName name="E_KEYWORD_EQTY_200022336_DPS_SPECIAL_PUB" localSheetId="1">'300502.SZ_Exchange_Sheet '!$258:$258</definedName>
    <definedName name="E_KEYWORD_EQTY_200022336_EBIT_PUB" localSheetId="1">'300502.SZ_Exchange_Sheet '!$266:$266</definedName>
    <definedName name="E_KEYWORD_EQTY_200022336_EBITDA_PUB" localSheetId="1">'300502.SZ_Exchange_Sheet '!$259:$259</definedName>
    <definedName name="E_KEYWORD_EQTY_200022336_EPS" localSheetId="1">'300502.SZ_Exchange_Sheet '!$279:$279</definedName>
    <definedName name="E_KEYWORD_EQTY_200022336_EPS_CONS_PUB" localSheetId="1">'300502.SZ_Exchange_Sheet '!$270:$270</definedName>
    <definedName name="E_KEYWORD_EQTY_200022336_EPS_FUL_DIL" localSheetId="1">'300502.SZ_Exchange_Sheet '!$280:$280</definedName>
    <definedName name="E_KEYWORD_EQTY_200022336_EPS_POST_BASIC" localSheetId="1">'300502.SZ_Exchange_Sheet '!$281:$281</definedName>
    <definedName name="E_KEYWORD_EQTY_200022336_EPS_PUB" localSheetId="1">'300502.SZ_Exchange_Sheet '!$260:$260</definedName>
    <definedName name="E_KEYWORD_EQTY_200022336_EQ_PUB" localSheetId="1">'300502.SZ_Exchange_Sheet '!$269:$269</definedName>
    <definedName name="E_KEYWORD_EQTY_200022336_EV_ADJ_PUB" localSheetId="1">'300502.SZ_Exchange_Sheet '!$261:$261</definedName>
    <definedName name="E_KEYWORD_EQTY_200022336_FOREIGN_HOLDNG" localSheetId="1">'300502.SZ_Exchange_Sheet '!$242:$242</definedName>
    <definedName name="E_KEYWORD_EQTY_200022336_FREE_FLOAT" localSheetId="1">'300502.SZ_Exchange_Sheet '!$241:$241</definedName>
    <definedName name="E_KEYWORD_EQTY_200022336_FULLY_DIL_EPS" localSheetId="1">'300502.SZ_Exchange_Sheet '!$282:$282</definedName>
    <definedName name="E_KEYWORD_EQTY_200022336_INC_MINORITY" localSheetId="1">'300502.SZ_Exchange_Sheet '!$273:$273</definedName>
    <definedName name="E_KEYWORD_EQTY_200022336_Interim_Type" localSheetId="1">'300502.SZ_Exchange_Sheet '!$228:$228</definedName>
    <definedName name="E_KEYWORD_EQTY_200022336_LEGAL_RATING" localSheetId="1">'300502.SZ_Exchange_Sheet '!$235:$235</definedName>
    <definedName name="E_KEYWORD_EQTY_200022336_MARGIN_TAX_RATE" localSheetId="1">'300502.SZ_Exchange_Sheet '!$289:$289</definedName>
    <definedName name="E_KEYWORD_EQTY_200022336_MKT_EQ_RISK_PREM" localSheetId="1">'300502.SZ_Exchange_Sheet '!$297:$297</definedName>
    <definedName name="E_KEYWORD_EQTY_200022336_NET_DEBT_EX_LEASES_PUB" localSheetId="1">'300502.SZ_Exchange_Sheet '!$263:$263</definedName>
    <definedName name="E_KEYWORD_EQTY_200022336_NET_DEBT_PUB" localSheetId="1">'300502.SZ_Exchange_Sheet '!$262:$262</definedName>
    <definedName name="E_KEYWORD_EQTY_200022336_NET_EARNING" localSheetId="1">'300502.SZ_Exchange_Sheet '!$276:$276</definedName>
    <definedName name="E_KEYWORD_EQTY_200022336_NET_INC" localSheetId="1">'300502.SZ_Exchange_Sheet '!$278:$278</definedName>
    <definedName name="E_KEYWORD_EQTY_200022336_NI_CONS" localSheetId="1">'300502.SZ_Exchange_Sheet '!$290:$290</definedName>
    <definedName name="E_KEYWORD_EQTY_200022336_NI_PRE_PREF" localSheetId="1">'300502.SZ_Exchange_Sheet '!$274:$274</definedName>
    <definedName name="E_KEYWORD_EQTY_200022336_NI_PUB" localSheetId="1">'300502.SZ_Exchange_Sheet '!$265:$265</definedName>
    <definedName name="E_KEYWORD_EQTY_200022336_NON_OP_ADD" localSheetId="1">'300502.SZ_Exchange_Sheet '!$287:$287</definedName>
    <definedName name="E_KEYWORD_EQTY_200022336_NOT_IN_USE" localSheetId="1">'300502.SZ_Exchange_Sheet '!$234:$234</definedName>
    <definedName name="E_KEYWORD_EQTY_200022336_NUM_SH" localSheetId="1">'300502.SZ_Exchange_Sheet '!$240:$240</definedName>
    <definedName name="E_KEYWORD_EQTY_200022336_PREF_DIV" localSheetId="1">'300502.SZ_Exchange_Sheet '!$275:$275</definedName>
    <definedName name="E_KEYWORD_EQTY_200022336_PRI_TARG_METH" localSheetId="1">'300502.SZ_Exchange_Sheet '!$254:$254</definedName>
    <definedName name="E_KEYWORD_EQTY_200022336_PRI_TARG_MULT" localSheetId="1">'300502.SZ_Exchange_Sheet '!$253:$253</definedName>
    <definedName name="E_KEYWORD_EQTY_200022336_PRICE_CURRENCY_ISO" localSheetId="1">'300502.SZ_Exchange_Sheet '!$230:$230</definedName>
    <definedName name="E_KEYWORD_EQTY_200022336_PROV_INC_TAX" localSheetId="1">'300502.SZ_Exchange_Sheet '!$272:$272</definedName>
    <definedName name="E_KEYWORD_EQTY_200022336_PTP_PUB" localSheetId="1">'300502.SZ_Exchange_Sheet '!$267:$267</definedName>
    <definedName name="E_KEYWORD_EQTY_200022336_PUB_CURRENCY_ISO" localSheetId="1">'300502.SZ_Exchange_Sheet '!$229:$229</definedName>
    <definedName name="E_KEYWORD_EQTY_200022336_REVS_PUB" localSheetId="1">'300502.SZ_Exchange_Sheet '!$268:$268</definedName>
    <definedName name="E_KEYWORD_EQTY_200022336_RISK_FR_RATE" localSheetId="1">'300502.SZ_Exchange_Sheet '!$298:$298</definedName>
    <definedName name="E_KEYWORD_EQTY_200022336_Security_Name" localSheetId="1">'300502.SZ_Exchange_Sheet '!$227:$227</definedName>
    <definedName name="E_KEYWORD_EQTY_200022336_SH" localSheetId="1">'300502.SZ_Exchange_Sheet '!$285:$285</definedName>
    <definedName name="E_KEYWORD_EQTY_200022336_TARGET_PRICE" localSheetId="1">'300502.SZ_Exchange_Sheet '!$236:$236</definedName>
    <definedName name="E_KEYWORD_EQTY_200022336_TARGET_PRICE_FUNDAMENTAL" localSheetId="1">'300502.SZ_Exchange_Sheet '!$238:$238</definedName>
    <definedName name="E_KEYWORD_EQTY_200022336_TARGET_PRICE_MA" localSheetId="1">'300502.SZ_Exchange_Sheet '!$239:$239</definedName>
    <definedName name="E_KEYWORD_EQTY_200022336_TAX_EXC" localSheetId="1">'300502.SZ_Exchange_Sheet '!$277:$277</definedName>
    <definedName name="E_KEYWORD_EQTY_200022336_Ticker" localSheetId="1">'300502.SZ_Exchange_Sheet '!$226:$226</definedName>
    <definedName name="E_KEYWORD_EQTY_200022336_TP_PERIOD" localSheetId="1">'300502.SZ_Exchange_Sheet '!$237:$237</definedName>
    <definedName name="E_KEYWORD_ISSR_208021942_ACC_AMORT" localSheetId="1">'300502.SZ_Exchange_Sheet '!$51:$51</definedName>
    <definedName name="E_KEYWORD_ISSR_208021942_ACC_DDA" localSheetId="1">'300502.SZ_Exchange_Sheet '!$48:$48</definedName>
    <definedName name="E_KEYWORD_ISSR_208021942_ACC_END_DATE" localSheetId="1">'300502.SZ_Exchange_Sheet '!$3:$3</definedName>
    <definedName name="E_KEYWORD_ISSR_208021942_ACC_PAY_GQ" localSheetId="1">'300502.SZ_Exchange_Sheet '!$57:$57</definedName>
    <definedName name="E_KEYWORD_ISSR_208021942_ACQ" localSheetId="1">'300502.SZ_Exchange_Sheet '!$98:$98</definedName>
    <definedName name="E_KEYWORD_ISSR_208021942_ADJ_UNF_PENS_GOOD" localSheetId="1">'300502.SZ_Exchange_Sheet '!$86:$86</definedName>
    <definedName name="E_KEYWORD_ISSR_208021942_ASSOC_JV_ADDBK" localSheetId="1">'300502.SZ_Exchange_Sheet '!$110:$110</definedName>
    <definedName name="E_KEYWORD_ISSR_208021942_ASSOCIATE" localSheetId="1">'300502.SZ_Exchange_Sheet '!$27:$27</definedName>
    <definedName name="E_KEYWORD_ISSR_208021942_ASSOCIATE_OP" localSheetId="1">'300502.SZ_Exchange_Sheet '!$37:$37</definedName>
    <definedName name="E_KEYWORD_ISSR_208021942_BAL_MINO_INT" localSheetId="1">'300502.SZ_Exchange_Sheet '!$89:$89</definedName>
    <definedName name="E_KEYWORD_ISSR_208021942_CAP_LEASES" localSheetId="1">'300502.SZ_Exchange_Sheet '!$78:$78</definedName>
    <definedName name="E_KEYWORD_ISSR_208021942_CAPEX" localSheetId="1">'300502.SZ_Exchange_Sheet '!$97:$97</definedName>
    <definedName name="E_KEYWORD_ISSR_208021942_CAPEX_EXPANSION" localSheetId="1">'300502.SZ_Exchange_Sheet '!$118:$118</definedName>
    <definedName name="E_KEYWORD_ISSR_208021942_CAPEX_MAINTENANCE" localSheetId="1">'300502.SZ_Exchange_Sheet '!$117:$117</definedName>
    <definedName name="E_KEYWORD_ISSR_208021942_CASH_EQ" localSheetId="1">'300502.SZ_Exchange_Sheet '!$42:$42</definedName>
    <definedName name="E_KEYWORD_ISSR_208021942_CASH_INT_EXP" localSheetId="1">'300502.SZ_Exchange_Sheet '!$114:$114</definedName>
    <definedName name="E_KEYWORD_ISSR_208021942_CASH_TAX_EXP" localSheetId="1">'300502.SZ_Exchange_Sheet '!$115:$115</definedName>
    <definedName name="E_KEYWORD_ISSR_208021942_CF_FIN" localSheetId="1">'300502.SZ_Exchange_Sheet '!$107:$107</definedName>
    <definedName name="E_KEYWORD_ISSR_208021942_CF_INC_MINORITY" localSheetId="1">'300502.SZ_Exchange_Sheet '!$92:$92</definedName>
    <definedName name="E_KEYWORD_ISSR_208021942_CF_INV" localSheetId="1">'300502.SZ_Exchange_Sheet '!$101:$101</definedName>
    <definedName name="E_KEYWORD_ISSR_208021942_CF_OPS" localSheetId="1">'300502.SZ_Exchange_Sheet '!$96:$96</definedName>
    <definedName name="E_KEYWORD_ISSR_208021942_CHG_LT_DEBT" localSheetId="1">'300502.SZ_Exchange_Sheet '!$104:$104</definedName>
    <definedName name="E_KEYWORD_ISSR_208021942_CO_BOR_MARGIN" localSheetId="1">'300502.SZ_Exchange_Sheet '!$82:$82</definedName>
    <definedName name="E_KEYWORD_ISSR_208021942_COGS_PCT_ROW" localSheetId="1">'300502.SZ_Exchange_Sheet '!$174:$174</definedName>
    <definedName name="E_KEYWORD_ISSR_208021942_COGS_PCT_US" localSheetId="1">'300502.SZ_Exchange_Sheet '!$173:$173</definedName>
    <definedName name="E_KEYWORD_ISSR_208021942_CONTRIB_MARGIN_RATIO" localSheetId="1">'300502.SZ_Exchange_Sheet '!$32:$32</definedName>
    <definedName name="E_KEYWORD_ISSR_208021942_COST_GD_SD" localSheetId="1">'300502.SZ_Exchange_Sheet '!$13:$13</definedName>
    <definedName name="E_KEYWORD_ISSR_208021942_CUR_ASS" localSheetId="1">'300502.SZ_Exchange_Sheet '!$46:$46</definedName>
    <definedName name="E_KEYWORD_ISSR_208021942_CURRENCY_ISO" localSheetId="1">'300502.SZ_Exchange_Sheet '!$7:$7</definedName>
    <definedName name="E_KEYWORD_ISSR_208021942_DEBTORS" localSheetId="1">'300502.SZ_Exchange_Sheet '!$43:$43</definedName>
    <definedName name="E_KEYWORD_ISSR_208021942_DEF_INC_TAX" localSheetId="1">'300502.SZ_Exchange_Sheet '!$79:$79</definedName>
    <definedName name="E_KEYWORD_ISSR_208021942_DEPR_AMORT" localSheetId="1">'300502.SZ_Exchange_Sheet '!$93:$93</definedName>
    <definedName name="E_KEYWORD_ISSR_208021942_DEPR_ROU_ASSETS" localSheetId="1">'300502.SZ_Exchange_Sheet '!$38:$38</definedName>
    <definedName name="E_KEYWORD_ISSR_208021942_DEPREC" localSheetId="1">'300502.SZ_Exchange_Sheet '!$21:$21</definedName>
    <definedName name="E_KEYWORD_ISSR_208021942_DIV_PAID" localSheetId="1">'300502.SZ_Exchange_Sheet '!$102:$102</definedName>
    <definedName name="E_KEYWORD_ISSR_208021942_DIVDS_ASSOC_JV" localSheetId="1">'300502.SZ_Exchange_Sheet '!$116:$116</definedName>
    <definedName name="E_KEYWORD_ISSR_208021942_DIVDS_PD_MINORITIES" localSheetId="1">'300502.SZ_Exchange_Sheet '!$120:$120</definedName>
    <definedName name="E_KEYWORD_ISSR_208021942_DIVEST" localSheetId="1">'300502.SZ_Exchange_Sheet '!$99:$99</definedName>
    <definedName name="E_KEYWORD_ISSR_208021942_EBIT" localSheetId="1">'300502.SZ_Exchange_Sheet '!$23:$23</definedName>
    <definedName name="E_KEYWORD_ISSR_208021942_EBITDA_CALC" localSheetId="1">'300502.SZ_Exchange_Sheet '!$20:$20</definedName>
    <definedName name="E_KEYWORD_ISSR_208021942_EMPLOYEES" localSheetId="1">'300502.SZ_Exchange_Sheet '!$122:$122</definedName>
    <definedName name="E_KEYWORD_ISSR_208021942_EQ" localSheetId="1">'300502.SZ_Exchange_Sheet '!$70:$70</definedName>
    <definedName name="E_KEYWORD_ISSR_208021942_EXP_ALUMINIUM" localSheetId="1">'300502.SZ_Exchange_Sheet '!$193:$193</definedName>
    <definedName name="E_KEYWORD_ISSR_208021942_EXP_COPPER" localSheetId="1">'300502.SZ_Exchange_Sheet '!$189:$189</definedName>
    <definedName name="E_KEYWORD_ISSR_208021942_EXP_GLASS" localSheetId="1">'300502.SZ_Exchange_Sheet '!$197:$197</definedName>
    <definedName name="E_KEYWORD_ISSR_208021942_EXP_GOLD" localSheetId="1">'300502.SZ_Exchange_Sheet '!$188:$188</definedName>
    <definedName name="E_KEYWORD_ISSR_208021942_EXP_NICKEL" localSheetId="1">'300502.SZ_Exchange_Sheet '!$194:$194</definedName>
    <definedName name="E_KEYWORD_ISSR_208021942_EXP_OIL_DERIV_NGLS_PLASTICS" localSheetId="1">'300502.SZ_Exchange_Sheet '!$187:$187</definedName>
    <definedName name="E_KEYWORD_ISSR_208021942_EXP_OIL_PETRO_FUEL" localSheetId="1">'300502.SZ_Exchange_Sheet '!$186:$186</definedName>
    <definedName name="E_KEYWORD_ISSR_208021942_EXP_OTH_COMMODITY" localSheetId="1">'300502.SZ_Exchange_Sheet '!$199:$199</definedName>
    <definedName name="E_KEYWORD_ISSR_208021942_EXP_OTH_COST" localSheetId="1">'300502.SZ_Exchange_Sheet '!$200:$200</definedName>
    <definedName name="E_KEYWORD_ISSR_208021942_EXP_PALLADIUM" localSheetId="1">'300502.SZ_Exchange_Sheet '!$192:$192</definedName>
    <definedName name="E_KEYWORD_ISSR_208021942_EXP_PAPER_PULP" localSheetId="1">'300502.SZ_Exchange_Sheet '!$196:$196</definedName>
    <definedName name="E_KEYWORD_ISSR_208021942_EXP_PLATINUM" localSheetId="1">'300502.SZ_Exchange_Sheet '!$191:$191</definedName>
    <definedName name="E_KEYWORD_ISSR_208021942_EXP_SILVER" localSheetId="1">'300502.SZ_Exchange_Sheet '!$190:$190</definedName>
    <definedName name="E_KEYWORD_ISSR_208021942_EXP_WATER" localSheetId="1">'300502.SZ_Exchange_Sheet '!$198:$198</definedName>
    <definedName name="E_KEYWORD_ISSR_208021942_EXP_ZINC" localSheetId="1">'300502.SZ_Exchange_Sheet '!$195:$195</definedName>
    <definedName name="E_KEYWORD_ISSR_208021942_FIX_ASS_INV" localSheetId="1">'300502.SZ_Exchange_Sheet '!$53:$53</definedName>
    <definedName name="E_KEYWORD_ISSR_208021942_FLOATING_PCT_LOCAL_DEBT" localSheetId="1">'300502.SZ_Exchange_Sheet '!$75:$75</definedName>
    <definedName name="E_KEYWORD_ISSR_208021942_FLOATING_PCT_LOCAL_DEBT_HEDGED" localSheetId="1">'300502.SZ_Exchange_Sheet '!$76:$76</definedName>
    <definedName name="E_KEYWORD_ISSR_208021942_GCI_INFL" localSheetId="1">'300502.SZ_Exchange_Sheet '!$88:$88</definedName>
    <definedName name="E_KEYWORD_ISSR_208021942_GOODWILL_AMORT" localSheetId="1">'300502.SZ_Exchange_Sheet '!$22:$22</definedName>
    <definedName name="E_KEYWORD_ISSR_208021942_GR_FIX_ASS" localSheetId="1">'300502.SZ_Exchange_Sheet '!$47:$47</definedName>
    <definedName name="E_KEYWORD_ISSR_208021942_GR_INTANG" localSheetId="1">'300502.SZ_Exchange_Sheet '!$50:$50</definedName>
    <definedName name="E_KEYWORD_ISSR_208021942_INT_EXP_IND" localSheetId="1">'300502.SZ_Exchange_Sheet '!$25:$25</definedName>
    <definedName name="E_KEYWORD_ISSR_208021942_INT_INC_IND" localSheetId="1">'300502.SZ_Exchange_Sheet '!$24:$24</definedName>
    <definedName name="E_KEYWORD_ISSR_208021942_INV_SECUR" localSheetId="1">'300502.SZ_Exchange_Sheet '!$54:$54</definedName>
    <definedName name="E_KEYWORD_ISSR_208021942_Issuer_Name" localSheetId="1">'300502.SZ_Exchange_Sheet '!$6:$6</definedName>
    <definedName name="E_KEYWORD_ISSR_208021942_LEASE_ADOPT" localSheetId="1">'300502.SZ_Exchange_Sheet '!$40:$40</definedName>
    <definedName name="E_KEYWORD_ISSR_208021942_LEASE_DEEM_DEPR" localSheetId="1">'300502.SZ_Exchange_Sheet '!$35:$35</definedName>
    <definedName name="E_KEYWORD_ISSR_208021942_LEASE_DEEM_INT" localSheetId="1">'300502.SZ_Exchange_Sheet '!$34:$34</definedName>
    <definedName name="E_KEYWORD_ISSR_208021942_LEASE_INT_CHG" localSheetId="1">'300502.SZ_Exchange_Sheet '!$39:$39</definedName>
    <definedName name="E_KEYWORD_ISSR_208021942_LEASE_PAY" localSheetId="1">'300502.SZ_Exchange_Sheet '!$33:$33</definedName>
    <definedName name="E_KEYWORD_ISSR_208021942_LEASE_PRINCIPAL_CASH" localSheetId="1">'300502.SZ_Exchange_Sheet '!$105:$105</definedName>
    <definedName name="E_KEYWORD_ISSR_208021942_LT_DEBT" localSheetId="1">'300502.SZ_Exchange_Sheet '!$62:$62</definedName>
    <definedName name="E_KEYWORD_ISSR_208021942_LT_LEASE_LIAB" localSheetId="1">'300502.SZ_Exchange_Sheet '!$63:$63</definedName>
    <definedName name="E_KEYWORD_ISSR_208021942_MA_PROB" localSheetId="1">'300502.SZ_Exchange_Sheet '!$9:$9</definedName>
    <definedName name="E_KEYWORD_ISSR_208021942_MINORITIES" localSheetId="1">'300502.SZ_Exchange_Sheet '!$69:$69</definedName>
    <definedName name="E_KEYWORD_ISSR_208021942_MV_ASSOCIATES" localSheetId="1">'300502.SZ_Exchange_Sheet '!$80:$80</definedName>
    <definedName name="E_KEYWORD_ISSR_208021942_NET_DEBT" localSheetId="1">'300502.SZ_Exchange_Sheet '!$77:$77</definedName>
    <definedName name="E_KEYWORD_ISSR_208021942_NET_DEBT_ADJ" localSheetId="1">'300502.SZ_Exchange_Sheet '!$81:$81</definedName>
    <definedName name="E_KEYWORD_ISSR_208021942_NET_FIX_ASS" localSheetId="1">'300502.SZ_Exchange_Sheet '!$49:$49</definedName>
    <definedName name="E_KEYWORD_ISSR_208021942_NET_INT_CH" localSheetId="1">'300502.SZ_Exchange_Sheet '!$36:$36</definedName>
    <definedName name="E_KEYWORD_ISSR_208021942_NET_INT_EXP" localSheetId="1">'300502.SZ_Exchange_Sheet '!$26:$26</definedName>
    <definedName name="E_KEYWORD_ISSR_208021942_NET_INTANG" localSheetId="1">'300502.SZ_Exchange_Sheet '!$52:$52</definedName>
    <definedName name="E_KEYWORD_ISSR_208021942_NONPPE_CAPEX" localSheetId="1">'300502.SZ_Exchange_Sheet '!$119:$119</definedName>
    <definedName name="E_KEYWORD_ISSR_208021942_OP_COST" localSheetId="1">'300502.SZ_Exchange_Sheet '!$15:$15</definedName>
    <definedName name="E_KEYWORD_ISSR_208021942_ORD_SH_FUND" localSheetId="1">'300502.SZ_Exchange_Sheet '!$68:$68</definedName>
    <definedName name="E_KEYWORD_ISSR_208021942_OTH_COST_INC" localSheetId="1">'300502.SZ_Exchange_Sheet '!$29:$29</definedName>
    <definedName name="E_KEYWORD_ISSR_208021942_OTH_CUR_ASS" localSheetId="1">'300502.SZ_Exchange_Sheet '!$45:$45</definedName>
    <definedName name="E_KEYWORD_ISSR_208021942_OTH_CUR_LIABS" localSheetId="1">'300502.SZ_Exchange_Sheet '!$60:$60</definedName>
    <definedName name="E_KEYWORD_ISSR_208021942_OTH_DACF_ADJ" localSheetId="1">'300502.SZ_Exchange_Sheet '!$113:$113</definedName>
    <definedName name="E_KEYWORD_ISSR_208021942_OTH_FIN_CF" localSheetId="1">'300502.SZ_Exchange_Sheet '!$106:$106</definedName>
    <definedName name="E_KEYWORD_ISSR_208021942_OTH_GCI_ADJ" localSheetId="1">'300502.SZ_Exchange_Sheet '!$87:$87</definedName>
    <definedName name="E_KEYWORD_ISSR_208021942_OTH_INV_CF" localSheetId="1">'300502.SZ_Exchange_Sheet '!$100:$100</definedName>
    <definedName name="E_KEYWORD_ISSR_208021942_OTH_LT_ASS" localSheetId="1">'300502.SZ_Exchange_Sheet '!$55:$55</definedName>
    <definedName name="E_KEYWORD_ISSR_208021942_OTH_LT_CRED_GQ" localSheetId="1">'300502.SZ_Exchange_Sheet '!$64:$64</definedName>
    <definedName name="E_KEYWORD_ISSR_208021942_OTH_NONCASH_ADJ" localSheetId="1">'300502.SZ_Exchange_Sheet '!$112:$112</definedName>
    <definedName name="E_KEYWORD_ISSR_208021942_OTH_OP_CF" localSheetId="1">'300502.SZ_Exchange_Sheet '!$95:$95</definedName>
    <definedName name="E_KEYWORD_ISSR_208021942_OTH_OP_INC_EXP" localSheetId="1">'300502.SZ_Exchange_Sheet '!$17:$17</definedName>
    <definedName name="E_KEYWORD_ISSR_208021942_PERIOD_MILESTONE" localSheetId="1">'300502.SZ_Exchange_Sheet '!$2:$2</definedName>
    <definedName name="E_KEYWORD_ISSR_208021942_PERSONNEL" localSheetId="1">'300502.SZ_Exchange_Sheet '!$12:$12</definedName>
    <definedName name="E_KEYWORD_ISSR_208021942_PL_SALE_ASSETS" localSheetId="1">'300502.SZ_Exchange_Sheet '!$111:$111</definedName>
    <definedName name="E_KEYWORD_ISSR_208021942_PREF_SH" localSheetId="1">'300502.SZ_Exchange_Sheet '!$67:$67</definedName>
    <definedName name="E_KEYWORD_ISSR_208021942_PROFIT_ON_DISP" localSheetId="1">'300502.SZ_Exchange_Sheet '!$28:$28</definedName>
    <definedName name="E_KEYWORD_ISSR_208021942_PT_PROF" localSheetId="1">'300502.SZ_Exchange_Sheet '!$30:$30</definedName>
    <definedName name="E_KEYWORD_ISSR_208021942_RD_EXP" localSheetId="1">'300502.SZ_Exchange_Sheet '!$16:$16</definedName>
    <definedName name="E_KEYWORD_ISSR_208021942_ROU_ASSET" localSheetId="1">'300502.SZ_Exchange_Sheet '!$90:$90</definedName>
    <definedName name="E_KEYWORD_ISSR_208021942_SALES" localSheetId="1">'300502.SZ_Exchange_Sheet '!$11:$11</definedName>
    <definedName name="E_KEYWORD_ISSR_208021942_SALES_ARGENTINA" localSheetId="1">'300502.SZ_Exchange_Sheet '!$127:$127</definedName>
    <definedName name="E_KEYWORD_ISSR_208021942_SALES_AUSTRA" localSheetId="1">'300502.SZ_Exchange_Sheet '!$170:$170</definedName>
    <definedName name="E_KEYWORD_ISSR_208021942_SALES_AUSTRIA" localSheetId="1">'300502.SZ_Exchange_Sheet '!$134:$134</definedName>
    <definedName name="E_KEYWORD_ISSR_208021942_SALES_BEL" localSheetId="1">'300502.SZ_Exchange_Sheet '!$135:$135</definedName>
    <definedName name="E_KEYWORD_ISSR_208021942_SALES_BRAZIL" localSheetId="1">'300502.SZ_Exchange_Sheet '!$128:$128</definedName>
    <definedName name="E_KEYWORD_ISSR_208021942_SALES_CANADA" localSheetId="1">'300502.SZ_Exchange_Sheet '!$124:$124</definedName>
    <definedName name="E_KEYWORD_ISSR_208021942_SALES_CEE" localSheetId="1">'300502.SZ_Exchange_Sheet '!$218:$218</definedName>
    <definedName name="E_KEYWORD_ISSR_208021942_SALES_CHILE" localSheetId="1">'300502.SZ_Exchange_Sheet '!$129:$129</definedName>
    <definedName name="E_KEYWORD_ISSR_208021942_SALES_CHINA" localSheetId="1">'300502.SZ_Exchange_Sheet '!$165:$165</definedName>
    <definedName name="E_KEYWORD_ISSR_208021942_SALES_COLOMBIA" localSheetId="1">'300502.SZ_Exchange_Sheet '!$130:$130</definedName>
    <definedName name="E_KEYWORD_ISSR_208021942_SALES_CONS" localSheetId="1">'300502.SZ_Exchange_Sheet '!$177:$177</definedName>
    <definedName name="E_KEYWORD_ISSR_208021942_SALES_EU_EX_UK" localSheetId="1">'300502.SZ_Exchange_Sheet '!$217:$217</definedName>
    <definedName name="E_KEYWORD_ISSR_208021942_SALES_FINAN" localSheetId="1">'300502.SZ_Exchange_Sheet '!$180:$180</definedName>
    <definedName name="E_KEYWORD_ISSR_208021942_SALES_FRA" localSheetId="1">'300502.SZ_Exchange_Sheet '!$136:$136</definedName>
    <definedName name="E_KEYWORD_ISSR_208021942_SALES_FX_BRL" localSheetId="1">'300502.SZ_Exchange_Sheet '!$206:$206</definedName>
    <definedName name="E_KEYWORD_ISSR_208021942_SALES_FX_CNY" localSheetId="1">'300502.SZ_Exchange_Sheet '!$208:$208</definedName>
    <definedName name="E_KEYWORD_ISSR_208021942_SALES_FX_EUR" localSheetId="1">'300502.SZ_Exchange_Sheet '!$203:$203</definedName>
    <definedName name="E_KEYWORD_ISSR_208021942_SALES_FX_GPB" localSheetId="1">'300502.SZ_Exchange_Sheet '!$202:$202</definedName>
    <definedName name="E_KEYWORD_ISSR_208021942_SALES_FX_INR" localSheetId="1">'300502.SZ_Exchange_Sheet '!$209:$209</definedName>
    <definedName name="E_KEYWORD_ISSR_208021942_SALES_FX_KRW" localSheetId="1">'300502.SZ_Exchange_Sheet '!$210:$210</definedName>
    <definedName name="E_KEYWORD_ISSR_208021942_SALES_FX_OTH" localSheetId="1">'300502.SZ_Exchange_Sheet '!$212:$212</definedName>
    <definedName name="E_KEYWORD_ISSR_208021942_SALES_FX_RUB" localSheetId="1">'300502.SZ_Exchange_Sheet '!$204:$204</definedName>
    <definedName name="E_KEYWORD_ISSR_208021942_SALES_FX_TWD" localSheetId="1">'300502.SZ_Exchange_Sheet '!$211:$211</definedName>
    <definedName name="E_KEYWORD_ISSR_208021942_SALES_FX_USD" localSheetId="1">'300502.SZ_Exchange_Sheet '!$205:$205</definedName>
    <definedName name="E_KEYWORD_ISSR_208021942_SALES_FX_YEN" localSheetId="1">'300502.SZ_Exchange_Sheet '!$207:$207</definedName>
    <definedName name="E_KEYWORD_ISSR_208021942_SALES_GER" localSheetId="1">'300502.SZ_Exchange_Sheet '!$137:$137</definedName>
    <definedName name="E_KEYWORD_ISSR_208021942_SALES_GLASS" localSheetId="1">'300502.SZ_Exchange_Sheet '!$183:$183</definedName>
    <definedName name="E_KEYWORD_ISSR_208021942_SALES_GOV" localSheetId="1">'300502.SZ_Exchange_Sheet '!$179:$179</definedName>
    <definedName name="E_KEYWORD_ISSR_208021942_SALES_GRE" localSheetId="1">'300502.SZ_Exchange_Sheet '!$138:$138</definedName>
    <definedName name="E_KEYWORD_ISSR_208021942_SALES_HONG_KONG" localSheetId="1">'300502.SZ_Exchange_Sheet '!$159:$159</definedName>
    <definedName name="E_KEYWORD_ISSR_208021942_SALES_IND" localSheetId="1">'300502.SZ_Exchange_Sheet '!$178:$178</definedName>
    <definedName name="E_KEYWORD_ISSR_208021942_SALES_INDIA" localSheetId="1">'300502.SZ_Exchange_Sheet '!$166:$166</definedName>
    <definedName name="E_KEYWORD_ISSR_208021942_SALES_INDONESIA" localSheetId="1">'300502.SZ_Exchange_Sheet '!$167:$167</definedName>
    <definedName name="E_KEYWORD_ISSR_208021942_SALES_IRE" localSheetId="1">'300502.SZ_Exchange_Sheet '!$139:$139</definedName>
    <definedName name="E_KEYWORD_ISSR_208021942_SALES_ITA" localSheetId="1">'300502.SZ_Exchange_Sheet '!$140:$140</definedName>
    <definedName name="E_KEYWORD_ISSR_208021942_SALES_JAPAN" localSheetId="1">'300502.SZ_Exchange_Sheet '!$160:$160</definedName>
    <definedName name="E_KEYWORD_ISSR_208021942_SALES_ME" localSheetId="1">'300502.SZ_Exchange_Sheet '!$219:$219</definedName>
    <definedName name="E_KEYWORD_ISSR_208021942_SALES_MEXICO" localSheetId="1">'300502.SZ_Exchange_Sheet '!$131:$131</definedName>
    <definedName name="E_KEYWORD_ISSR_208021942_SALES_NETH" localSheetId="1">'300502.SZ_Exchange_Sheet '!$141:$141</definedName>
    <definedName name="E_KEYWORD_ISSR_208021942_SALES_NIGERIA" localSheetId="1">'300502.SZ_Exchange_Sheet '!$156:$156</definedName>
    <definedName name="E_KEYWORD_ISSR_208021942_SALES_NOR" localSheetId="1">'300502.SZ_Exchange_Sheet '!$142:$142</definedName>
    <definedName name="E_KEYWORD_ISSR_208021942_SALES_NZ" localSheetId="1">'300502.SZ_Exchange_Sheet '!$171:$171</definedName>
    <definedName name="E_KEYWORD_ISSR_208021942_SALES_OIL_GAS" localSheetId="1">'300502.SZ_Exchange_Sheet '!$181:$181</definedName>
    <definedName name="E_KEYWORD_ISSR_208021942_SALES_OTH_AEJ" localSheetId="1">'300502.SZ_Exchange_Sheet '!$223:$223</definedName>
    <definedName name="E_KEYWORD_ISSR_208021942_SALES_OTH_AFRICA" localSheetId="1">'300502.SZ_Exchange_Sheet '!$158:$158</definedName>
    <definedName name="E_KEYWORD_ISSR_208021942_SALES_OTH_AM" localSheetId="1">'300502.SZ_Exchange_Sheet '!$215:$215</definedName>
    <definedName name="E_KEYWORD_ISSR_208021942_SALES_OTH_CEE" localSheetId="1">'300502.SZ_Exchange_Sheet '!$152:$152</definedName>
    <definedName name="E_KEYWORD_ISSR_208021942_SALES_OTH_DEV_ASIA" localSheetId="1">'300502.SZ_Exchange_Sheet '!$164:$164</definedName>
    <definedName name="E_KEYWORD_ISSR_208021942_SALES_OTH_EMEA" localSheetId="1">'300502.SZ_Exchange_Sheet '!$221:$221</definedName>
    <definedName name="E_KEYWORD_ISSR_208021942_SALES_OTH_EMERG_ASIA" localSheetId="1">'300502.SZ_Exchange_Sheet '!$169:$169</definedName>
    <definedName name="E_KEYWORD_ISSR_208021942_SALES_OTH_LATAM" localSheetId="1">'300502.SZ_Exchange_Sheet '!$133:$133</definedName>
    <definedName name="E_KEYWORD_ISSR_208021942_SALES_OTH_ME" localSheetId="1">'300502.SZ_Exchange_Sheet '!$155:$155</definedName>
    <definedName name="E_KEYWORD_ISSR_208021942_SALES_OTH_NO_AMER" localSheetId="1">'300502.SZ_Exchange_Sheet '!$126:$126</definedName>
    <definedName name="E_KEYWORD_ISSR_208021942_SALES_OTH_SALES_SOURCES" localSheetId="1">'300502.SZ_Exchange_Sheet '!$184:$184</definedName>
    <definedName name="E_KEYWORD_ISSR_208021942_SALES_OTH_WEST_EURO" localSheetId="1">'300502.SZ_Exchange_Sheet '!$148:$148</definedName>
    <definedName name="E_KEYWORD_ISSR_208021942_SALES_OTHER" localSheetId="1">'300502.SZ_Exchange_Sheet '!$172:$172</definedName>
    <definedName name="E_KEYWORD_ISSR_208021942_SALES_POLAND" localSheetId="1">'300502.SZ_Exchange_Sheet '!$149:$149</definedName>
    <definedName name="E_KEYWORD_ISSR_208021942_SALES_POR" localSheetId="1">'300502.SZ_Exchange_Sheet '!$143:$143</definedName>
    <definedName name="E_KEYWORD_ISSR_208021942_SALES_RUSSIA" localSheetId="1">'300502.SZ_Exchange_Sheet '!$150:$150</definedName>
    <definedName name="E_KEYWORD_ISSR_208021942_SALES_SAUDI_ARABIA" localSheetId="1">'300502.SZ_Exchange_Sheet '!$153:$153</definedName>
    <definedName name="E_KEYWORD_ISSR_208021942_SALES_SINGAPORE" localSheetId="1">'300502.SZ_Exchange_Sheet '!$161:$161</definedName>
    <definedName name="E_KEYWORD_ISSR_208021942_SALES_SK" localSheetId="1">'300502.SZ_Exchange_Sheet '!$162:$162</definedName>
    <definedName name="E_KEYWORD_ISSR_208021942_SALES_SO_AFRICA" localSheetId="1">'300502.SZ_Exchange_Sheet '!$157:$157</definedName>
    <definedName name="E_KEYWORD_ISSR_208021942_SALES_SPA" localSheetId="1">'300502.SZ_Exchange_Sheet '!$144:$144</definedName>
    <definedName name="E_KEYWORD_ISSR_208021942_SALES_SWE" localSheetId="1">'300502.SZ_Exchange_Sheet '!$145:$145</definedName>
    <definedName name="E_KEYWORD_ISSR_208021942_SALES_SWIT" localSheetId="1">'300502.SZ_Exchange_Sheet '!$146:$146</definedName>
    <definedName name="E_KEYWORD_ISSR_208021942_SALES_TAIWAN" localSheetId="1">'300502.SZ_Exchange_Sheet '!$163:$163</definedName>
    <definedName name="E_KEYWORD_ISSR_208021942_SALES_THAILAND" localSheetId="1">'300502.SZ_Exchange_Sheet '!$168:$168</definedName>
    <definedName name="E_KEYWORD_ISSR_208021942_SALES_TOT_AFRICA" localSheetId="1">'300502.SZ_Exchange_Sheet '!$220:$220</definedName>
    <definedName name="E_KEYWORD_ISSR_208021942_SALES_TOT_AM" localSheetId="1">'300502.SZ_Exchange_Sheet '!$214:$214</definedName>
    <definedName name="E_KEYWORD_ISSR_208021942_SALES_TOT_ASIA" localSheetId="1">'300502.SZ_Exchange_Sheet '!$222:$222</definedName>
    <definedName name="E_KEYWORD_ISSR_208021942_SALES_TOT_EMEA" localSheetId="1">'300502.SZ_Exchange_Sheet '!$216:$216</definedName>
    <definedName name="E_KEYWORD_ISSR_208021942_SALES_TURKEY" localSheetId="1">'300502.SZ_Exchange_Sheet '!$151:$151</definedName>
    <definedName name="E_KEYWORD_ISSR_208021942_SALES_UAE" localSheetId="1">'300502.SZ_Exchange_Sheet '!$154:$154</definedName>
    <definedName name="E_KEYWORD_ISSR_208021942_SALES_UK" localSheetId="1">'300502.SZ_Exchange_Sheet '!$147:$147</definedName>
    <definedName name="E_KEYWORD_ISSR_208021942_SALES_US" localSheetId="1">'300502.SZ_Exchange_Sheet '!$125:$125</definedName>
    <definedName name="E_KEYWORD_ISSR_208021942_SALES_VENEZUELA" localSheetId="1">'300502.SZ_Exchange_Sheet '!$132:$132</definedName>
    <definedName name="E_KEYWORD_ISSR_208021942_SEL_GL_AD" localSheetId="1">'300502.SZ_Exchange_Sheet '!$14:$14</definedName>
    <definedName name="E_KEYWORD_ISSR_208021942_SGA_PCT_ROW" localSheetId="1">'300502.SZ_Exchange_Sheet '!$176:$176</definedName>
    <definedName name="E_KEYWORD_ISSR_208021942_SGA_PCT_US" localSheetId="1">'300502.SZ_Exchange_Sheet '!$175:$175</definedName>
    <definedName name="E_KEYWORD_ISSR_208021942_SH_REPUR" localSheetId="1">'300502.SZ_Exchange_Sheet '!$103:$103</definedName>
    <definedName name="E_KEYWORD_ISSR_208021942_SHORT_T_DEBT" localSheetId="1">'300502.SZ_Exchange_Sheet '!$58:$58</definedName>
    <definedName name="E_KEYWORD_ISSR_208021942_SHORT_TERM_LIABS" localSheetId="1">'300502.SZ_Exchange_Sheet '!$61:$61</definedName>
    <definedName name="E_KEYWORD_ISSR_208021942_ST_LEASE_LIAB" localSheetId="1">'300502.SZ_Exchange_Sheet '!$59:$59</definedName>
    <definedName name="E_KEYWORD_ISSR_208021942_STOCKS" localSheetId="1">'300502.SZ_Exchange_Sheet '!$44:$44</definedName>
    <definedName name="E_KEYWORD_ISSR_208021942_TOT_ASSET" localSheetId="1">'300502.SZ_Exchange_Sheet '!$56:$56</definedName>
    <definedName name="E_KEYWORD_ISSR_208021942_TOT_CF" localSheetId="1">'300502.SZ_Exchange_Sheet '!$108:$108</definedName>
    <definedName name="E_KEYWORD_ISSR_208021942_TOT_LIAB" localSheetId="1">'300502.SZ_Exchange_Sheet '!$66:$66</definedName>
    <definedName name="E_KEYWORD_ISSR_208021942_TOT_LIAB_EQ" localSheetId="1">'300502.SZ_Exchange_Sheet '!$71:$71</definedName>
    <definedName name="E_KEYWORD_ISSR_208021942_TOT_LT_LIAB" localSheetId="1">'300502.SZ_Exchange_Sheet '!$65:$65</definedName>
    <definedName name="E_KEYWORD_ISSR_208021942_TOT_OPS_EXP" localSheetId="1">'300502.SZ_Exchange_Sheet '!$19:$19</definedName>
    <definedName name="E_KEYWORD_ISSR_208021942_TOT_OPS_EXP_DDA" localSheetId="1">'300502.SZ_Exchange_Sheet '!$18:$18</definedName>
    <definedName name="E_KEYWORD_ISSR_208021942_TOT_PCT_USD_DEBT_HEDGED" localSheetId="1">'300502.SZ_Exchange_Sheet '!$74:$74</definedName>
    <definedName name="E_KEYWORD_ISSR_208021942_TOT_USD_DEBT" localSheetId="1">'300502.SZ_Exchange_Sheet '!$73:$73</definedName>
    <definedName name="E_KEYWORD_ISSR_208021942_UNF_PENS" localSheetId="1">'300502.SZ_Exchange_Sheet '!$83:$83</definedName>
    <definedName name="E_KEYWORD_ISSR_208021942_UNF_PENS_LIAB_OTH" localSheetId="1">'300502.SZ_Exchange_Sheet '!$85:$85</definedName>
    <definedName name="E_KEYWORD_ISSR_208021942_UNF_PENS_OFF" localSheetId="1">'300502.SZ_Exchange_Sheet '!$84:$84</definedName>
    <definedName name="E_KEYWORD_ISSR_208021942_WORK_CAP" localSheetId="1">'300502.SZ_Exchange_Sheet '!$94:$94</definedName>
    <definedName name="E_LIVEDATA_EQTY_200022336" localSheetId="1">'300502.SZ_Exchange_Sheet '!$B$224</definedName>
    <definedName name="E_LIVEDATA_ISSR_208021942" localSheetId="1">'300502.SZ_Exchange_Sheet '!$B$4</definedName>
    <definedName name="E_PERIOD_2011" localSheetId="1">'300502.SZ_Exchange_Sheet '!$F:$F</definedName>
    <definedName name="E_PERIOD_2012" localSheetId="1">'300502.SZ_Exchange_Sheet '!$G:$G</definedName>
    <definedName name="E_PERIOD_2013" localSheetId="1">'300502.SZ_Exchange_Sheet '!$H:$H</definedName>
    <definedName name="E_PERIOD_2014" localSheetId="1">'300502.SZ_Exchange_Sheet '!$I:$I</definedName>
    <definedName name="E_PERIOD_2015" localSheetId="1">'300502.SZ_Exchange_Sheet '!$J:$J</definedName>
    <definedName name="E_PERIOD_2015_Q1" localSheetId="1">'300502.SZ_Exchange_Sheet '!$Y:$Y</definedName>
    <definedName name="E_PERIOD_2015_Q2" localSheetId="1">'300502.SZ_Exchange_Sheet '!$Z:$Z</definedName>
    <definedName name="E_PERIOD_2015_Q3" localSheetId="1">'300502.SZ_Exchange_Sheet '!$AA:$AA</definedName>
    <definedName name="E_PERIOD_2015_Q4" localSheetId="1">'300502.SZ_Exchange_Sheet '!$AB:$AB</definedName>
    <definedName name="E_PERIOD_2016" localSheetId="1">'300502.SZ_Exchange_Sheet '!$K:$K</definedName>
    <definedName name="E_PERIOD_2016_Q1" localSheetId="1">'300502.SZ_Exchange_Sheet '!$AC:$AC</definedName>
    <definedName name="E_PERIOD_2016_Q2" localSheetId="1">'300502.SZ_Exchange_Sheet '!$AD:$AD</definedName>
    <definedName name="E_PERIOD_2016_Q3" localSheetId="1">'300502.SZ_Exchange_Sheet '!$AE:$AE</definedName>
    <definedName name="E_PERIOD_2016_Q4" localSheetId="1">'300502.SZ_Exchange_Sheet '!$AF:$AF</definedName>
    <definedName name="E_PERIOD_2017" localSheetId="1">'300502.SZ_Exchange_Sheet '!$L:$L</definedName>
    <definedName name="E_PERIOD_2017_Q1" localSheetId="1">'300502.SZ_Exchange_Sheet '!$AG:$AG</definedName>
    <definedName name="E_PERIOD_2017_Q2" localSheetId="1">'300502.SZ_Exchange_Sheet '!$AH:$AH</definedName>
    <definedName name="E_PERIOD_2017_Q3" localSheetId="1">'300502.SZ_Exchange_Sheet '!$AI:$AI</definedName>
    <definedName name="E_PERIOD_2017_Q4" localSheetId="1">'300502.SZ_Exchange_Sheet '!$AJ:$AJ</definedName>
    <definedName name="E_PERIOD_2018" localSheetId="1">'300502.SZ_Exchange_Sheet '!$M:$M</definedName>
    <definedName name="E_PERIOD_2018_Q1" localSheetId="1">'300502.SZ_Exchange_Sheet '!$AK:$AK</definedName>
    <definedName name="E_PERIOD_2018_Q2" localSheetId="1">'300502.SZ_Exchange_Sheet '!$AL:$AL</definedName>
    <definedName name="E_PERIOD_2018_Q3" localSheetId="1">'300502.SZ_Exchange_Sheet '!$AM:$AM</definedName>
    <definedName name="E_PERIOD_2018_Q4" localSheetId="1">'300502.SZ_Exchange_Sheet '!$AN:$AN</definedName>
    <definedName name="E_PERIOD_2019" localSheetId="1">'300502.SZ_Exchange_Sheet '!$N:$N</definedName>
    <definedName name="E_PERIOD_2019_Q1" localSheetId="1">'300502.SZ_Exchange_Sheet '!$AO:$AO</definedName>
    <definedName name="E_PERIOD_2019_Q2" localSheetId="1">'300502.SZ_Exchange_Sheet '!$AP:$AP</definedName>
    <definedName name="E_PERIOD_2019_Q3" localSheetId="1">'300502.SZ_Exchange_Sheet '!$AQ:$AQ</definedName>
    <definedName name="E_PERIOD_2019_Q4" localSheetId="1">'300502.SZ_Exchange_Sheet '!$AR:$AR</definedName>
    <definedName name="E_PERIOD_2020" localSheetId="1">'300502.SZ_Exchange_Sheet '!$O:$O</definedName>
    <definedName name="E_PERIOD_2020_Q1" localSheetId="1">'300502.SZ_Exchange_Sheet '!$AS:$AS</definedName>
    <definedName name="E_PERIOD_2020_Q2" localSheetId="1">'300502.SZ_Exchange_Sheet '!$AT:$AT</definedName>
    <definedName name="E_PERIOD_2020_Q3" localSheetId="1">'300502.SZ_Exchange_Sheet '!$AU:$AU</definedName>
    <definedName name="E_PERIOD_2020_Q4" localSheetId="1">'300502.SZ_Exchange_Sheet '!$AV:$AV</definedName>
    <definedName name="E_PERIOD_2021" localSheetId="1">'300502.SZ_Exchange_Sheet '!$P:$P</definedName>
    <definedName name="E_PERIOD_2021_Q1" localSheetId="1">'300502.SZ_Exchange_Sheet '!$AW:$AW</definedName>
    <definedName name="E_PERIOD_2021_Q2" localSheetId="1">'300502.SZ_Exchange_Sheet '!$AX:$AX</definedName>
    <definedName name="E_PERIOD_2021_Q3" localSheetId="1">'300502.SZ_Exchange_Sheet '!$AY:$AY</definedName>
    <definedName name="E_PERIOD_2021_Q4" localSheetId="1">'300502.SZ_Exchange_Sheet '!$AZ:$AZ</definedName>
    <definedName name="E_PERIOD_2022" localSheetId="1">'300502.SZ_Exchange_Sheet '!$Q:$Q</definedName>
    <definedName name="E_PERIOD_2022_Q1" localSheetId="1">'300502.SZ_Exchange_Sheet '!$BA:$BA</definedName>
    <definedName name="E_PERIOD_2022_Q2" localSheetId="1">'300502.SZ_Exchange_Sheet '!$BB:$BB</definedName>
    <definedName name="E_PERIOD_2022_Q3" localSheetId="1">'300502.SZ_Exchange_Sheet '!$BC:$BC</definedName>
    <definedName name="E_PERIOD_2022_Q4" localSheetId="1">'300502.SZ_Exchange_Sheet '!$BD:$BD</definedName>
    <definedName name="E_PERIOD_2023" localSheetId="1">'300502.SZ_Exchange_Sheet '!$R:$R</definedName>
    <definedName name="E_PERIOD_2023_Q1" localSheetId="1">'300502.SZ_Exchange_Sheet '!$BE:$BE</definedName>
    <definedName name="E_PERIOD_2023_Q2" localSheetId="1">'300502.SZ_Exchange_Sheet '!$BF:$BF</definedName>
    <definedName name="E_PERIOD_2023_Q3" localSheetId="1">'300502.SZ_Exchange_Sheet '!$BG:$BG</definedName>
    <definedName name="E_PERIOD_2023_Q4" localSheetId="1">'300502.SZ_Exchange_Sheet '!$BH:$BH</definedName>
    <definedName name="E_PERIOD_2024" localSheetId="1">'300502.SZ_Exchange_Sheet '!$S:$S</definedName>
    <definedName name="E_PERIOD_2024_Q1" localSheetId="1">'300502.SZ_Exchange_Sheet '!$BI:$BI</definedName>
    <definedName name="E_PERIOD_2024_Q2" localSheetId="1">'300502.SZ_Exchange_Sheet '!$BJ:$BJ</definedName>
    <definedName name="E_PERIOD_2024_Q3" localSheetId="1">'300502.SZ_Exchange_Sheet '!$BK:$BK</definedName>
    <definedName name="E_PERIOD_2024_Q4" localSheetId="1">'300502.SZ_Exchange_Sheet '!$BL:$BL</definedName>
    <definedName name="E_PERIOD_2025" localSheetId="1">'300502.SZ_Exchange_Sheet '!$T:$T</definedName>
    <definedName name="E_PERIOD_2025_Q1" localSheetId="1">'300502.SZ_Exchange_Sheet '!$BM:$BM</definedName>
    <definedName name="E_PERIOD_2025_Q2" localSheetId="1">'300502.SZ_Exchange_Sheet '!$BN:$BN</definedName>
    <definedName name="E_PERIOD_2025_Q3" localSheetId="1">'300502.SZ_Exchange_Sheet '!$BO:$BO</definedName>
    <definedName name="E_PERIOD_2025_Q4" localSheetId="1">'300502.SZ_Exchange_Sheet '!$BP:$BP</definedName>
    <definedName name="E_PERIOD_2026" localSheetId="1">'300502.SZ_Exchange_Sheet '!$U:$U</definedName>
    <definedName name="E_PERIOD_2026_Q1" localSheetId="1">'300502.SZ_Exchange_Sheet '!$BQ:$BQ</definedName>
    <definedName name="E_PERIOD_2026_Q2" localSheetId="1">'300502.SZ_Exchange_Sheet '!$BR:$BR</definedName>
    <definedName name="E_PERIOD_2026_Q3" localSheetId="1">'300502.SZ_Exchange_Sheet '!$BS:$BS</definedName>
    <definedName name="E_PERIOD_2026_Q4" localSheetId="1">'300502.SZ_Exchange_Sheet '!$BT:$BT</definedName>
    <definedName name="E_PERIOD_2027" localSheetId="1">'300502.SZ_Exchange_Sheet '!$V:$V</definedName>
    <definedName name="E_SECTION_EQTY_200022336_1314" localSheetId="1">'300502.SZ_Exchange_Sheet '!$291:$291</definedName>
    <definedName name="E_SECTION_EQTY_200022336_131E" localSheetId="1">'300502.SZ_Exchange_Sheet '!$293:$293</definedName>
    <definedName name="E_SECTION_EQTY_200022336_131O" localSheetId="1">'300502.SZ_Exchange_Sheet '!$295:$295</definedName>
    <definedName name="E_SECTION_EQTY_200022336_13A" localSheetId="1">'300502.SZ_Exchange_Sheet '!$232:$232</definedName>
    <definedName name="E_SECTION_EQTY_200022336_13K" localSheetId="1">'300502.SZ_Exchange_Sheet '!$255:$255</definedName>
    <definedName name="E_SECTION_EQTY_200022336_13U" localSheetId="1">'300502.SZ_Exchange_Sheet '!$271:$271</definedName>
    <definedName name="E_SECTION_EQTY_200022336_13V" localSheetId="1">'300502.SZ_Exchange_Sheet '!$288:$288</definedName>
    <definedName name="E_SECTION_EQTY_200022336_Reference_Data" localSheetId="1">'300502.SZ_Exchange_Sheet '!$225:$225</definedName>
    <definedName name="E_SECTION_ISSR_208021942_1314" localSheetId="1">'300502.SZ_Exchange_Sheet '!$41:$41</definedName>
    <definedName name="E_SECTION_ISSR_208021942_13168" localSheetId="1">'300502.SZ_Exchange_Sheet '!$123:$123</definedName>
    <definedName name="E_SECTION_ISSR_208021942_1316S" localSheetId="1">'300502.SZ_Exchange_Sheet '!$182:$182</definedName>
    <definedName name="E_SECTION_ISSR_208021942_1316T" localSheetId="1">'300502.SZ_Exchange_Sheet '!$185:$185</definedName>
    <definedName name="E_SECTION_ISSR_208021942_1316U" localSheetId="1">'300502.SZ_Exchange_Sheet '!$201:$201</definedName>
    <definedName name="E_SECTION_ISSR_208021942_1319" localSheetId="1">'300502.SZ_Exchange_Sheet '!$72:$72</definedName>
    <definedName name="E_SECTION_ISSR_208021942_131E" localSheetId="1">'300502.SZ_Exchange_Sheet '!$91:$91</definedName>
    <definedName name="E_SECTION_ISSR_208021942_131J" localSheetId="1">'300502.SZ_Exchange_Sheet '!$109:$109</definedName>
    <definedName name="E_SECTION_ISSR_208021942_131O" localSheetId="1">'300502.SZ_Exchange_Sheet '!$121:$121</definedName>
    <definedName name="E_SECTION_ISSR_208021942_136E" localSheetId="1">'300502.SZ_Exchange_Sheet '!$213:$213</definedName>
    <definedName name="E_SECTION_ISSR_208021942_13A" localSheetId="1">'300502.SZ_Exchange_Sheet '!$8:$8</definedName>
    <definedName name="E_SECTION_ISSR_208021942_13U" localSheetId="1">'300502.SZ_Exchange_Sheet '!$10:$10</definedName>
    <definedName name="E_SECTION_ISSR_208021942_13V" localSheetId="1">'300502.SZ_Exchange_Sheet '!$31:$31</definedName>
    <definedName name="E_SECTION_ISSR_208021942_Reference_Data" localSheetId="1">'300502.SZ_Exchange_Sheet '!$5:$5</definedName>
    <definedName name="E_TEMPLATEHASH" localSheetId="1">'300502.SZ_Exchange_Sheet '!$C$1</definedName>
    <definedName name="IDS">#REF!</definedName>
    <definedName name="L_ALL_000050.SZ">#REF!</definedName>
    <definedName name="L_ALL_000063.SZ">#REF!</definedName>
    <definedName name="L_ALL_000413.SZ">#REF!</definedName>
    <definedName name="L_ALL_000422.SZ">#REF!</definedName>
    <definedName name="L_ALL_000725.SZ">#REF!</definedName>
    <definedName name="L_ALL_002153.SZ">#REF!</definedName>
    <definedName name="L_ALL_002230.SZ">#REF!</definedName>
    <definedName name="L_ALL_002236.SZ">#REF!</definedName>
    <definedName name="L_ALL_002261.SZ">#REF!</definedName>
    <definedName name="L_ALL_002371.SZ">#REF!</definedName>
    <definedName name="L_ALL_002396.SZ">#REF!</definedName>
    <definedName name="L_ALL_002405.SZ">#REF!</definedName>
    <definedName name="L_ALL_002415.SZ">#REF!</definedName>
    <definedName name="L_ALL_002415.SZ_">#REF!</definedName>
    <definedName name="L_ALL_002449.SZ">#REF!</definedName>
    <definedName name="L_ALL_002456.SZ">#REF!</definedName>
    <definedName name="L_ALL_002876.SZ">#REF!</definedName>
    <definedName name="L_ALL_0522.HK">#REF!</definedName>
    <definedName name="L_ALL_0981.HK">#REF!</definedName>
    <definedName name="L_ALL_1347.HK">#REF!</definedName>
    <definedName name="L_ALL_2018.HK">#REF!</definedName>
    <definedName name="L_ALL_2303.TW" localSheetId="0">'[1]2303.TW_Live_Sheet'!$A$1:$CD$384</definedName>
    <definedName name="L_ALL_2303.TW">#REF!</definedName>
    <definedName name="L_ALL_2324.TW">#REF!</definedName>
    <definedName name="L_ALL_2382.TW">#REF!</definedName>
    <definedName name="L_ALL_300002.SZ">#REF!</definedName>
    <definedName name="L_ALL_300394.SZ">#REF!</definedName>
    <definedName name="L_ALL_300502.SZ">#REF!</definedName>
    <definedName name="L_ALL_300567.SZ">#REF!</definedName>
    <definedName name="L_ALL_3008.TW">#REF!</definedName>
    <definedName name="L_ALL_4966.TWO">#REF!</definedName>
    <definedName name="L_ALL_600271.SS">#REF!</definedName>
    <definedName name="L_ALL_600498.SS">#REF!</definedName>
    <definedName name="L_ALL_600570.SS">#REF!</definedName>
    <definedName name="L_ALL_600584.SS">#REF!</definedName>
    <definedName name="L_ALL_600699.SS">#REF!</definedName>
    <definedName name="L_ALL_603501.SS">#REF!</definedName>
    <definedName name="L_ALL_603986.SS">#REF!</definedName>
    <definedName name="L_ALL_6415.TW" localSheetId="0">'[2]6415.TW_Live_Sheet'!$A$1:$BZ$286</definedName>
    <definedName name="L_ALL_6415.TW">#REF!</definedName>
    <definedName name="L_ALL_688012.SS">#REF!</definedName>
    <definedName name="L_ALL_688019.SS">#REF!</definedName>
    <definedName name="L_ALL_688049.SS">#REF!</definedName>
    <definedName name="L_ALL_688126.SS">#REF!</definedName>
    <definedName name="L_ALL_688200.SS">#REF!</definedName>
    <definedName name="L_ALL_688608.SS">#REF!</definedName>
    <definedName name="L_ALL_688630.SS">#REF!</definedName>
    <definedName name="L_ALL_KEYWORDS_TYPE_Breakdown_EQTY_200004222">#REF!,#REF!</definedName>
    <definedName name="L_ALL_KEYWORDS_TYPE_Breakdown_EQTY_200004679">#REF!,#REF!</definedName>
    <definedName name="L_ALL_KEYWORDS_TYPE_Breakdown_EQTY_200008919">#REF!</definedName>
    <definedName name="L_ALL_KEYWORDS_TYPE_ScalarContributed_EQTY_200004222">#REF!,#REF!</definedName>
    <definedName name="L_ALL_KEYWORDS_TYPE_ScalarContributed_EQTY_200004679">#REF!,#REF!,#REF!,#REF!</definedName>
    <definedName name="L_ALL_KEYWORDS_TYPE_ScalarContributed_EQTY_200006786">#REF!,#REF!,#REF!,#REF!</definedName>
    <definedName name="L_ALL_KEYWORDS_TYPE_ScalarContributed_EQTY_200007666">#REF!,#REF!</definedName>
    <definedName name="L_ALL_KEYWORDS_TYPE_ScalarContributed_EQTY_200008919">#REF!,#REF!</definedName>
    <definedName name="L_ALL_KEYWORDS_TYPE_ScalarContributed_EQTY_200011172">#REF!,#REF!</definedName>
    <definedName name="L_ALL_KEYWORDS_TYPE_ScalarContributed_EQTY_200012735">#REF!,#REF!</definedName>
    <definedName name="L_ALL_KEYWORDS_TYPE_ScalarContributed_EQTY_200012909">#REF!,#REF!</definedName>
    <definedName name="L_ALL_KEYWORDS_TYPE_ScalarContributed_EQTY_200012913">#REF!,#REF!</definedName>
    <definedName name="L_ALL_KEYWORDS_TYPE_ScalarContributed_EQTY_200016087">#REF!,#REF!</definedName>
    <definedName name="L_ALL_KEYWORDS_TYPE_ScalarContributed_EQTY_200019451">#REF!,#REF!,#REF!</definedName>
    <definedName name="L_ALL_KEYWORDS_TYPE_ScalarContributed_EQTY_200019558">#REF!,#REF!</definedName>
    <definedName name="L_ALL_KEYWORDS_TYPE_ScalarContributed_EQTY_200019559">#REF!,#REF!</definedName>
    <definedName name="L_ALL_KEYWORDS_TYPE_ScalarContributed_ISSR_208001202">#REF!,#REF!</definedName>
    <definedName name="L_ALL_KEYWORDS_TYPE_ScalarContributed_ISSR_208001316">#REF!,#REF!</definedName>
    <definedName name="L_ALL_KEYWORDS_TYPE_ScalarContributed_ISSR_208002015">#REF!,#REF!</definedName>
    <definedName name="L_ALL_KEYWORDS_TYPE_ScalarContributed_ISSR_208003261">#REF!,#REF!</definedName>
    <definedName name="L_ALL_KEYWORDS_TYPE_ScalarContributed_ISSR_208007067">#REF!,#REF!</definedName>
    <definedName name="L_ALL_KEYWORDS_TYPE_ScalarContributed_ISSR_208010212">#REF!,#REF!</definedName>
    <definedName name="L_ALL_KEYWORDS_TYPE_ScalarContributed_ISSR_208015000">#REF!,#REF!</definedName>
    <definedName name="L_ALL_KEYWORDS_TYPE_ScalarContributed_ISSR_208019081">#REF!,#REF!</definedName>
    <definedName name="L_ALL_KEYWORDS_TYPE_ScalarContributed_ISSR_208019322">#REF!,#REF!</definedName>
    <definedName name="L_ALL_KEYWORDS_TYPE_ScalarContributed_ISSR_208021173">#REF!,#REF!</definedName>
    <definedName name="L_ALL_KEYWORDS_TYPE_ScalarContributed_ISSR_208021175">#REF!,#REF!</definedName>
    <definedName name="L_ALL_KEYWORDS_TYPE_Vector_EQTY_200004222">#REF!,#REF!,#REF!,#REF!,#REF!</definedName>
    <definedName name="L_ALL_KEYWORDS_TYPE_Vector_EQTY_200004679">#REF!,#REF!,#REF!,#REF!,#REF!</definedName>
    <definedName name="L_ALL_KEYWORDS_TYPE_Vector_EQTY_200006785">#REF!,#REF!,#REF!,#REF!,#REF!</definedName>
    <definedName name="L_ALL_KEYWORDS_TYPE_Vector_EQTY_200006786">#REF!,#REF!,#REF!,#REF!,#REF!,#REF!</definedName>
    <definedName name="L_ALL_KEYWORDS_TYPE_Vector_EQTY_200007666">#REF!,#REF!,#REF!,#REF!,#REF!</definedName>
    <definedName name="L_ALL_KEYWORDS_TYPE_Vector_EQTY_200008918">#REF!,#REF!,#REF!,#REF!,#REF!</definedName>
    <definedName name="L_ALL_KEYWORDS_TYPE_Vector_EQTY_200011172">#REF!,#REF!,#REF!,#REF!,#REF!</definedName>
    <definedName name="L_ALL_KEYWORDS_TYPE_Vector_EQTY_200012735">#REF!,#REF!,#REF!,#REF!,#REF!</definedName>
    <definedName name="L_ALL_KEYWORDS_TYPE_Vector_EQTY_200012909">#REF!,#REF!,#REF!,#REF!,#REF!</definedName>
    <definedName name="L_ALL_KEYWORDS_TYPE_Vector_EQTY_200012913">#REF!,#REF!,#REF!,#REF!,#REF!</definedName>
    <definedName name="L_ALL_KEYWORDS_TYPE_Vector_EQTY_200013283">#REF!,#REF!,#REF!,#REF!,#REF!</definedName>
    <definedName name="L_ALL_KEYWORDS_TYPE_Vector_EQTY_200016087">#REF!,#REF!,#REF!,#REF!,#REF!</definedName>
    <definedName name="L_ALL_KEYWORDS_TYPE_Vector_EQTY_200017468">#REF!,#REF!,#REF!,#REF!,#REF!</definedName>
    <definedName name="L_ALL_KEYWORDS_TYPE_Vector_EQTY_200018245">#REF!,#REF!,#REF!,#REF!,#REF!</definedName>
    <definedName name="L_ALL_KEYWORDS_TYPE_Vector_EQTY_200020142">#REF!,#REF!,#REF!,#REF!,#REF!</definedName>
    <definedName name="L_ALL_KEYWORDS_TYPE_Vector_EQTY_200020296">#REF!,#REF!,#REF!,#REF!,#REF!</definedName>
    <definedName name="L_ALL_KEYWORDS_TYPE_Vector_EQTY_200021697">#REF!,#REF!,#REF!,#REF!,#REF!</definedName>
    <definedName name="L_ALL_KEYWORDS_TYPE_Vector_EQTY_200021698">#REF!,#REF!,#REF!,#REF!,#REF!</definedName>
    <definedName name="L_ALL_KEYWORDS_TYPE_Vector_ISSR_208001202">#REF!,#REF!,#REF!,#REF!,#REF!,#REF!,#REF!,#REF!,#REF!,#REF!,#REF!,#REF!,#REF!,#REF!</definedName>
    <definedName name="L_ALL_KEYWORDS_TYPE_Vector_ISSR_208001316">#REF!,#REF!,#REF!,#REF!,#REF!,#REF!,#REF!,#REF!,#REF!,#REF!,#REF!,#REF!,#REF!,#REF!</definedName>
    <definedName name="L_ALL_KEYWORDS_TYPE_Vector_ISSR_208002015">#REF!,#REF!,#REF!,#REF!,#REF!,#REF!,#REF!,#REF!,#REF!,#REF!,#REF!,#REF!,#REF!</definedName>
    <definedName name="L_ALL_KEYWORDS_TYPE_Vector_ISSR_208003261">#REF!,#REF!,#REF!,#REF!,#REF!,#REF!,#REF!,#REF!,#REF!,#REF!,#REF!,#REF!,#REF!,#REF!</definedName>
    <definedName name="L_ALL_KEYWORDS_TYPE_Vector_ISSR_208006410">#REF!,#REF!,#REF!,#REF!,#REF!,#REF!,#REF!,#REF!,#REF!,#REF!,#REF!</definedName>
    <definedName name="L_ALL_KEYWORDS_TYPE_Vector_ISSR_208007067">#REF!,#REF!,#REF!,#REF!,#REF!,#REF!,#REF!,#REF!,#REF!,#REF!,#REF!,#REF!,#REF!</definedName>
    <definedName name="L_ALL_KEYWORDS_TYPE_Vector_ISSR_208008548">#REF!,#REF!,#REF!,#REF!,#REF!,#REF!,#REF!,#REF!,#REF!,#REF!,#REF!,#REF!,#REF!,#REF!,#REF!,#REF!</definedName>
    <definedName name="L_ALL_KEYWORDS_TYPE_Vector_ISSR_208009698">#REF!,#REF!,#REF!,#REF!,#REF!,#REF!,#REF!,#REF!,#REF!,#REF!,#REF!,#REF!,#REF!,#REF!</definedName>
    <definedName name="L_ALL_KEYWORDS_TYPE_Vector_ISSR_208009912">#REF!,#REF!,#REF!,#REF!,#REF!,#REF!,#REF!,#REF!,#REF!,#REF!,#REF!,#REF!,#REF!,#REF!,#REF!</definedName>
    <definedName name="L_ALL_KEYWORDS_TYPE_Vector_ISSR_208009916">#REF!,#REF!,#REF!,#REF!,#REF!,#REF!,#REF!,#REF!,#REF!,#REF!,#REF!,#REF!,#REF!,#REF!</definedName>
    <definedName name="L_ALL_KEYWORDS_TYPE_Vector_ISSR_208010212">#REF!,#REF!,#REF!,#REF!,#REF!,#REF!,#REF!,#REF!,#REF!,#REF!,#REF!,#REF!,#REF!,#REF!</definedName>
    <definedName name="L_ALL_KEYWORDS_TYPE_Vector_ISSR_208011603">#REF!,#REF!,#REF!,#REF!,#REF!,#REF!,#REF!,#REF!,#REF!,#REF!,#REF!</definedName>
    <definedName name="L_ALL_KEYWORDS_TYPE_Vector_ISSR_208013035">#REF!,#REF!,#REF!,#REF!,#REF!,#REF!,#REF!,#REF!,#REF!,#REF!,#REF!,#REF!,#REF!,#REF!,#REF!</definedName>
    <definedName name="L_ALL_KEYWORDS_TYPE_Vector_ISSR_208013036">#REF!,#REF!,#REF!,#REF!,#REF!,#REF!,#REF!,#REF!,#REF!,#REF!,#REF!</definedName>
    <definedName name="L_ALL_KEYWORDS_TYPE_Vector_ISSR_208015000">#REF!,#REF!,#REF!,#REF!,#REF!,#REF!,#REF!,#REF!,#REF!,#REF!,#REF!,#REF!,#REF!,#REF!</definedName>
    <definedName name="L_ALL_KEYWORDS_TYPE_Vector_ISSR_208015997">#REF!,#REF!,#REF!,#REF!,#REF!,#REF!,#REF!,#REF!,#REF!,#REF!,#REF!,#REF!,#REF!,#REF!</definedName>
    <definedName name="L_ALL_KEYWORDS_TYPE_Vector_ISSR_208017563">#REF!,#REF!,#REF!,#REF!,#REF!,#REF!,#REF!,#REF!,#REF!,#REF!,#REF!,#REF!</definedName>
    <definedName name="L_ALL_KEYWORDS_TYPE_Vector_ISSR_208018057">#REF!,#REF!,#REF!,#REF!,#REF!,#REF!,#REF!,#REF!,#REF!,#REF!,#REF!</definedName>
    <definedName name="L_ALL_KEYWORDS_TYPE_Vector_ISSR_208019081">#REF!,#REF!,#REF!,#REF!,#REF!,#REF!,#REF!,#REF!,#REF!,#REF!,#REF!,#REF!,#REF!</definedName>
    <definedName name="L_ALL_KEYWORDS_TYPE_Vector_ISSR_208019322">#REF!,#REF!,#REF!,#REF!,#REF!,#REF!,#REF!,#REF!,#REF!,#REF!,#REF!,#REF!</definedName>
    <definedName name="L_ALL_KEYWORDS_TYPE_Vector_ISSR_208019900">#REF!,#REF!,#REF!,#REF!,#REF!,#REF!,#REF!,#REF!,#REF!,#REF!,#REF!,#REF!</definedName>
    <definedName name="L_ALL_KEYWORDS_TYPE_Vector_ISSR_208019901">#REF!,#REF!,#REF!,#REF!,#REF!,#REF!,#REF!,#REF!,#REF!,#REF!,#REF!,#REF!</definedName>
    <definedName name="L_ALL_KEYWORDS_TYPE_Vector_ISSR_208019930">#REF!,#REF!,#REF!,#REF!,#REF!,#REF!,#REF!,#REF!,#REF!,#REF!,#REF!,#REF!</definedName>
    <definedName name="L_ALL_KEYWORDS_TYPE_Vector_ISSR_208019958">#REF!,#REF!,#REF!,#REF!,#REF!,#REF!,#REF!,#REF!,#REF!,#REF!,#REF!,#REF!</definedName>
    <definedName name="L_ALL_KEYWORDS_TYPE_Vector_ISSR_208021158">#REF!,#REF!,#REF!,#REF!,#REF!,#REF!,#REF!,#REF!,#REF!,#REF!,#REF!,#REF!</definedName>
    <definedName name="L_ALL_KEYWORDS_TYPE_Vector_ISSR_208021173">#REF!,#REF!,#REF!,#REF!,#REF!,#REF!,#REF!,#REF!,#REF!,#REF!,#REF!,#REF!,#REF!</definedName>
    <definedName name="L_ALL_KEYWORDS_TYPE_Vector_ISSR_208021175">#REF!,#REF!,#REF!,#REF!,#REF!,#REF!,#REF!,#REF!,#REF!,#REF!,#REF!,#REF!,#REF!</definedName>
    <definedName name="L_ALL_KEYWORDS_TYPE_Vector_ISSR_208021186">#REF!,#REF!,#REF!,#REF!,#REF!,#REF!,#REF!,#REF!,#REF!,#REF!,#REF!,#REF!</definedName>
    <definedName name="L_ALL_SECTION_KEYWORDS_EQTY_200004222_13W">#REF!,#REF!</definedName>
    <definedName name="L_ALL_SECTION_KEYWORDS_EQTY_200004679_131O">#REF!</definedName>
    <definedName name="L_ALL_SECTION_KEYWORDS_EQTY_200004679_13A">#REF!</definedName>
    <definedName name="L_ALL_SECTION_KEYWORDS_EQTY_200004679_13K">#REF!</definedName>
    <definedName name="L_ALL_SECTION_KEYWORDS_EQTY_200004679_13W">#REF!,#REF!</definedName>
    <definedName name="L_ALL_SECTION_KEYWORDS_EQTY_200006786_13A">#REF!</definedName>
    <definedName name="L_ALL_SECTION_KEYWORDS_EQTY_200006786_13K">#REF!</definedName>
    <definedName name="L_ALL_SECTION_KEYWORDS_EQTY_200007666_13W">#REF!,#REF!</definedName>
    <definedName name="L_ALL_SECTION_KEYWORDS_EQTY_200008919_13A">#REF!</definedName>
    <definedName name="L_ALL_SECTION_KEYWORDS_EQTY_200019451_13A">#REF!</definedName>
    <definedName name="L_ALL_SECTION_KEYWORDS_EQTY_200019559_13A">#REF!</definedName>
    <definedName name="L_ALL_SECTION_KEYWORDS_ISSR_208001202_13V">#REF!,#REF!</definedName>
    <definedName name="L_ALL_SECTION_KEYWORDS_ISSR_208001316_1314">#REF!</definedName>
    <definedName name="L_ALL_SECTION_KEYWORDS_ISSR_208001316_1319">#REF!</definedName>
    <definedName name="L_ALL_SECTION_KEYWORDS_ISSR_208001316_131E">#REF!</definedName>
    <definedName name="L_ALL_SECTION_KEYWORDS_ISSR_208001316_13U">#REF!</definedName>
    <definedName name="L_ALL_SECTION_KEYWORDS_ISSR_208001316_13V">#REF!,#REF!</definedName>
    <definedName name="L_ALL_SECTION_KEYWORDS_ISSR_208002015_13V">#REF!,#REF!</definedName>
    <definedName name="L_ALL_SECTION_KEYWORDS_ISSR_208003261_13V">#REF!,#REF!</definedName>
    <definedName name="L_ALL_SECTION_KEYWORDS_ISSR_208006410_136E">#REF!,#REF!</definedName>
    <definedName name="L_ALL_SECTION_KEYWORDS_ISSR_208007067_13V">#REF!,#REF!</definedName>
    <definedName name="L_ALL_SECTION_KEYWORDS_ISSR_208009698_1316U">#REF!,#REF!</definedName>
    <definedName name="L_ALL_SECTION_KEYWORDS_ISSR_208009916_1316U">#REF!,#REF!</definedName>
    <definedName name="L_ALL_SECTION_KEYWORDS_ISSR_208010212_13V">#REF!,#REF!</definedName>
    <definedName name="L_ALL_SECTION_KEYWORDS_ISSR_208011603_136E">#REF!,#REF!</definedName>
    <definedName name="L_ALL_SECTION_KEYWORDS_ISSR_208013036_13168">#REF!</definedName>
    <definedName name="L_ALL_SECTION_KEYWORDS_ISSR_208013036_1319">#REF!</definedName>
    <definedName name="L_ALL_SECTION_KEYWORDS_ISSR_208013036_136E">#REF!,#REF!</definedName>
    <definedName name="L_ALL_SECTION_KEYWORDS_ISSR_208015000_13V">#REF!,#REF!</definedName>
    <definedName name="L_ALL_SECTION_KEYWORDS_ISSR_208015997_1316U">#REF!,#REF!</definedName>
    <definedName name="L_ALL_SECTION_KEYWORDS_ISSR_208018057_136E">#REF!,#REF!</definedName>
    <definedName name="L_ALL_SECTION_KEYWORDS_ISSR_208019081_13V">#REF!,#REF!</definedName>
    <definedName name="L_ALL_SECTION_KEYWORDS_ISSR_208019322_13V">#REF!,#REF!</definedName>
    <definedName name="L_ALL_SECTION_KEYWORDS_ISSR_208021173_13V">#REF!,#REF!</definedName>
    <definedName name="L_ALL_SECTION_KEYWORDS_ISSR_208021175_13V">#REF!,#REF!</definedName>
    <definedName name="L_ALL_SECTIONS_EQTY_200011172">#REF!,#REF!,#REF!,#REF!,#REF!,#REF!,#REF!,#REF!</definedName>
    <definedName name="L_ALL_SECTIONS_EQTY_200012735">#REF!,#REF!,#REF!,#REF!,#REF!,#REF!,#REF!,#REF!</definedName>
    <definedName name="L_ALL_SECTIONS_EQTY_200012909">#REF!,#REF!,#REF!,#REF!,#REF!,#REF!,#REF!,#REF!</definedName>
    <definedName name="L_ALL_SECTIONS_EQTY_200012913">#REF!,#REF!,#REF!,#REF!,#REF!,#REF!,#REF!,#REF!</definedName>
    <definedName name="L_ALL_SECTIONS_EQTY_200016087">#REF!,#REF!,#REF!,#REF!,#REF!,#REF!,#REF!,#REF!</definedName>
    <definedName name="L_ALL_SECTIONS_EQTY_200018245">#REF!,#REF!,#REF!,#REF!,#REF!,#REF!,#REF!,#REF!</definedName>
    <definedName name="L_ALL_SECTIONS_ISSR_208008548">#REF!,#REF!,#REF!,#REF!,#REF!,#REF!,#REF!,#REF!,#REF!,#REF!</definedName>
    <definedName name="L_ALL_SECTIONS_ISSR_208009698">#REF!,#REF!,#REF!,#REF!,#REF!,#REF!,#REF!,#REF!,#REF!</definedName>
    <definedName name="L_ALL_SECTIONS_ISSR_208009912">#REF!,#REF!,#REF!,#REF!,#REF!,#REF!,#REF!,#REF!,#REF!,#REF!</definedName>
    <definedName name="L_ALL_SECTIONS_ISSR_208009916">#REF!,#REF!,#REF!,#REF!,#REF!,#REF!,#REF!,#REF!,#REF!</definedName>
    <definedName name="L_ALL_SECTIONS_ISSR_208013035">#REF!,#REF!,#REF!,#REF!,#REF!,#REF!,#REF!,#REF!,#REF!,#REF!</definedName>
    <definedName name="L_CURRENCY_EQTY_200011172_PRI">#REF!</definedName>
    <definedName name="L_CURRENCY_EQTY_200011172_PUB">#REF!</definedName>
    <definedName name="L_CURRENCY_EQTY_200011172_REP">#REF!</definedName>
    <definedName name="L_CURRENCY_EQTY_200012735_PRI">#REF!</definedName>
    <definedName name="L_CURRENCY_EQTY_200012735_PUB">#REF!</definedName>
    <definedName name="L_CURRENCY_EQTY_200012735_REP">#REF!</definedName>
    <definedName name="L_CURRENCY_EQTY_200012909_PRI">#REF!</definedName>
    <definedName name="L_CURRENCY_EQTY_200012909_PUB">#REF!</definedName>
    <definedName name="L_CURRENCY_EQTY_200012909_REP">#REF!</definedName>
    <definedName name="L_CURRENCY_EQTY_200012913_PRI">#REF!</definedName>
    <definedName name="L_CURRENCY_EQTY_200012913_PUB">#REF!</definedName>
    <definedName name="L_CURRENCY_EQTY_200012913_REP">#REF!</definedName>
    <definedName name="L_CURRENCY_EQTY_200016087_PRI">#REF!</definedName>
    <definedName name="L_CURRENCY_EQTY_200016087_PUB">#REF!</definedName>
    <definedName name="L_CURRENCY_EQTY_200016087_REP">#REF!</definedName>
    <definedName name="L_CURRENCY_EQTY_200018245_PRI">#REF!</definedName>
    <definedName name="L_CURRENCY_EQTY_200018245_PUB">#REF!</definedName>
    <definedName name="L_CURRENCY_EQTY_200018245_REP">#REF!</definedName>
    <definedName name="L_CURRENCY_ISSR_208008548_REP">#REF!</definedName>
    <definedName name="L_CURRENCY_ISSR_208009698_REP">#REF!</definedName>
    <definedName name="L_CURRENCY_ISSR_208009912_REP">#REF!</definedName>
    <definedName name="L_CURRENCY_ISSR_208009916_REP">#REF!</definedName>
    <definedName name="L_CURRENCY_ISSR_208013035_REP">#REF!</definedName>
    <definedName name="L_CURRENCY_ISSR_208015997_REP">#REF!</definedName>
    <definedName name="M_ALL_208021942" localSheetId="1">'300502.SZ_Exchange_Sheet '!$A$1:$BX$298</definedName>
    <definedName name="OBS">#REF!</definedName>
    <definedName name="rrrr">#REF!</definedName>
    <definedName name="solver_adj" localSheetId="3" hidden="1">Assumption!#REF!</definedName>
    <definedName name="solver_cvg" localSheetId="3" hidden="1">0.0001</definedName>
    <definedName name="solver_drv" localSheetId="3" hidden="1">1</definedName>
    <definedName name="solver_eng" localSheetId="3" hidden="1">1</definedName>
    <definedName name="solver_est" localSheetId="3" hidden="1">1</definedName>
    <definedName name="solver_itr" localSheetId="3" hidden="1">2147483647</definedName>
    <definedName name="solver_mip" localSheetId="3" hidden="1">2147483647</definedName>
    <definedName name="solver_mni" localSheetId="3" hidden="1">30</definedName>
    <definedName name="solver_mrt" localSheetId="3" hidden="1">0.075</definedName>
    <definedName name="solver_msl" localSheetId="3" hidden="1">2</definedName>
    <definedName name="solver_neg" localSheetId="3" hidden="1">1</definedName>
    <definedName name="solver_nod" localSheetId="3" hidden="1">2147483647</definedName>
    <definedName name="solver_num" localSheetId="3" hidden="1">0</definedName>
    <definedName name="solver_nwt" localSheetId="3" hidden="1">1</definedName>
    <definedName name="solver_opt" localSheetId="3" hidden="1">Assumption!#REF!</definedName>
    <definedName name="solver_pre" localSheetId="3" hidden="1">0.000001</definedName>
    <definedName name="solver_rbv" localSheetId="3" hidden="1">1</definedName>
    <definedName name="solver_rlx" localSheetId="3" hidden="1">2</definedName>
    <definedName name="solver_rsd" localSheetId="3" hidden="1">0</definedName>
    <definedName name="solver_scl" localSheetId="3" hidden="1">1</definedName>
    <definedName name="solver_sho" localSheetId="3" hidden="1">2</definedName>
    <definedName name="solver_ssz" localSheetId="3" hidden="1">100</definedName>
    <definedName name="solver_tim" localSheetId="3" hidden="1">2147483647</definedName>
    <definedName name="solver_tol" localSheetId="3" hidden="1">0.01</definedName>
    <definedName name="solver_typ" localSheetId="3" hidden="1">3</definedName>
    <definedName name="solver_val" localSheetId="3" hidden="1">0</definedName>
    <definedName name="solver_ver" localSheetId="3" hidden="1">3</definedName>
    <definedName name="SpreadsheetBuilder_1" hidden="1">#REF!</definedName>
    <definedName name="SpreadsheetBuilder_2" hidden="1">#REF!</definedName>
    <definedName name="SpreadsheetBuilder_3" hidden="1">#REF!</definedName>
    <definedName name="Tigr_Exhibit00400428_a0e0_415d_9c1b_269d646b3614" localSheetId="0" hidden="1">#REF!</definedName>
    <definedName name="Tigr_Exhibit00400428_a0e0_415d_9c1b_269d646b3614" hidden="1">#REF!</definedName>
    <definedName name="Tigr_Exhibit00d43779_9baf_44e9_a854_8ff4c509d761" localSheetId="0" hidden="1">#REF!</definedName>
    <definedName name="Tigr_Exhibit00d43779_9baf_44e9_a854_8ff4c509d761" hidden="1">#REF!</definedName>
    <definedName name="Tigr_Exhibit08ce656f_3d2e_4942_b713_8527d8503af7" localSheetId="0" hidden="1">#REF!</definedName>
    <definedName name="Tigr_Exhibit08ce656f_3d2e_4942_b713_8527d8503af7" hidden="1">#REF!</definedName>
    <definedName name="Tigr_Exhibit1ce9642f_d9c5_417d_b3d2_6a5fc861d074" localSheetId="0" hidden="1">#REF!</definedName>
    <definedName name="Tigr_Exhibit1ce9642f_d9c5_417d_b3d2_6a5fc861d074" hidden="1">#REF!</definedName>
    <definedName name="Tigr_Exhibit2b816ec0_33c5_45bf_b5fa_3e18a9a2b010" localSheetId="0" hidden="1">#REF!</definedName>
    <definedName name="Tigr_Exhibit2b816ec0_33c5_45bf_b5fa_3e18a9a2b010" hidden="1">#REF!</definedName>
    <definedName name="Tigr_Exhibit31b91d07_1f8f_4088_a583_9357e81a697d" localSheetId="0" hidden="1">#REF!</definedName>
    <definedName name="Tigr_Exhibit31b91d07_1f8f_4088_a583_9357e81a697d" hidden="1">#REF!</definedName>
    <definedName name="Tigr_Exhibit34c5fed8_1f0f_46ab_a61a_c15d4d83118d" localSheetId="0" hidden="1">#REF!</definedName>
    <definedName name="Tigr_Exhibit34c5fed8_1f0f_46ab_a61a_c15d4d83118d" hidden="1">#REF!</definedName>
    <definedName name="Tigr_Exhibit3847e256_2a32_4b37_a4fe_cfbdce94e977" localSheetId="0" hidden="1">#REF!</definedName>
    <definedName name="Tigr_Exhibit3847e256_2a32_4b37_a4fe_cfbdce94e977" hidden="1">#REF!</definedName>
    <definedName name="Tigr_Exhibit4205ad55_9781_4289_bf12_fd12592939eb" localSheetId="0" hidden="1">#REF!</definedName>
    <definedName name="Tigr_Exhibit4205ad55_9781_4289_bf12_fd12592939eb" hidden="1">#REF!</definedName>
    <definedName name="Tigr_Exhibit46da0b89_e3f8_4af2_a6b7_374f4d72efdd" localSheetId="0" hidden="1">#REF!</definedName>
    <definedName name="Tigr_Exhibit46da0b89_e3f8_4af2_a6b7_374f4d72efdd" hidden="1">#REF!</definedName>
    <definedName name="Tigr_Exhibit48c03c34_bf41_44b4_9198_c2efd7f2cfd5" localSheetId="0" hidden="1">#REF!</definedName>
    <definedName name="Tigr_Exhibit48c03c34_bf41_44b4_9198_c2efd7f2cfd5" hidden="1">#REF!</definedName>
    <definedName name="Tigr_Exhibit50970383_b545_4790_a22f_d314d287a39d" localSheetId="0" hidden="1">#REF!</definedName>
    <definedName name="Tigr_Exhibit50970383_b545_4790_a22f_d314d287a39d" hidden="1">#REF!</definedName>
    <definedName name="Tigr_Exhibit56b33795_7bf8_4e87_b4e0_e52176a1d3c7" localSheetId="0" hidden="1">#REF!</definedName>
    <definedName name="Tigr_Exhibit56b33795_7bf8_4e87_b4e0_e52176a1d3c7" hidden="1">#REF!</definedName>
    <definedName name="Tigr_Exhibit68c3ac07_1db5_4ce4_a48a_436ca76c6afe" localSheetId="0" hidden="1">#REF!</definedName>
    <definedName name="Tigr_Exhibit68c3ac07_1db5_4ce4_a48a_436ca76c6afe" hidden="1">#REF!</definedName>
    <definedName name="Tigr_Exhibit6bf0b7f9_553b_4d4a_98bf_5a833381aea5" localSheetId="0" hidden="1">#REF!</definedName>
    <definedName name="Tigr_Exhibit6bf0b7f9_553b_4d4a_98bf_5a833381aea5" hidden="1">#REF!</definedName>
    <definedName name="Tigr_Exhibit9b60f733_be0b_4edb_84d6_e981fb87781a" localSheetId="0" hidden="1">#REF!</definedName>
    <definedName name="Tigr_Exhibit9b60f733_be0b_4edb_84d6_e981fb87781a" hidden="1">#REF!</definedName>
    <definedName name="Tigr_Exhibita93262e5_e8a9_4e8b_8519_2dac90c97095" hidden="1">#REF!</definedName>
    <definedName name="Tigr_Exhibitaa369b83_5c2d_4559_bc2a_18bb2f1417af" localSheetId="0" hidden="1">#REF!</definedName>
    <definedName name="Tigr_Exhibitaa369b83_5c2d_4559_bc2a_18bb2f1417af" hidden="1">#REF!</definedName>
    <definedName name="Tigr_Exhibitb1864d0f_5ddf_40cf_857f_2f221aa1077a" localSheetId="0" hidden="1">#REF!</definedName>
    <definedName name="Tigr_Exhibitb1864d0f_5ddf_40cf_857f_2f221aa1077a" hidden="1">#REF!</definedName>
    <definedName name="Tigr_Exhibitc8c188a3_efb3_458f_a8ae_688200f91a6a" localSheetId="0" hidden="1">#REF!</definedName>
    <definedName name="Tigr_Exhibitc8c188a3_efb3_458f_a8ae_688200f91a6a" hidden="1">#REF!</definedName>
    <definedName name="Tigr_Exhibitcfe88003_4191_497e_a629_84140342cace" localSheetId="0" hidden="1">#REF!</definedName>
    <definedName name="Tigr_Exhibitcfe88003_4191_497e_a629_84140342cace" hidden="1">#REF!</definedName>
    <definedName name="Tigr_Exhibitd049700a_8937_496d_aea1_4a0b8c2b4ab2" localSheetId="0" hidden="1">#REF!</definedName>
    <definedName name="Tigr_Exhibitd049700a_8937_496d_aea1_4a0b8c2b4ab2" hidden="1">#REF!</definedName>
    <definedName name="Tigr_Exhibitdcc1eb0d_8551_47a4_a0c4_6fe3df77517e" localSheetId="0" hidden="1">#REF!</definedName>
    <definedName name="Tigr_Exhibitdcc1eb0d_8551_47a4_a0c4_6fe3df77517e" hidden="1">#REF!</definedName>
    <definedName name="Tigr_Exhibitde6e44d7_7700_4102_8fca_1389eb4b0ec3" localSheetId="0" hidden="1">#REF!</definedName>
    <definedName name="Tigr_Exhibitde6e44d7_7700_4102_8fca_1389eb4b0ec3" hidden="1">#REF!</definedName>
    <definedName name="Tigr_Exhibite291a57f_a430_4769_9d3d_2ed947406e56" localSheetId="0" hidden="1">#REF!</definedName>
    <definedName name="Tigr_Exhibite291a57f_a430_4769_9d3d_2ed947406e56" hidden="1">#REF!</definedName>
    <definedName name="Tigr_Exhibite7b89801_728e_47d7_b690_b69a16dec4d1" localSheetId="0" hidden="1">#REF!</definedName>
    <definedName name="Tigr_Exhibite7b89801_728e_47d7_b690_b69a16dec4d1" hidden="1">#REF!</definedName>
    <definedName name="Tigr_Exhibitf558570c_782a_42bf_a8c9_fb2706b084f6" localSheetId="0" hidden="1">#REF!</definedName>
    <definedName name="Tigr_Exhibitf558570c_782a_42bf_a8c9_fb2706b084f6" hidden="1">#REF!</definedName>
    <definedName name="Tigr_Exhibitf5a729f1_8c8d_4391_9d18_a4b71011d31c" localSheetId="0" hidden="1">#REF!</definedName>
    <definedName name="Tigr_Exhibitf5a729f1_8c8d_4391_9d18_a4b71011d31c" hidden="1">#REF!</definedName>
    <definedName name="TRNR_11a3d77853684042a1b29b88d32b5e90_445_1" hidden="1">#REF!</definedName>
    <definedName name="TRNR_28850899275e47f3897524dbabafe570_273_1" hidden="1">#REF!</definedName>
    <definedName name="TRNR_2bcf7f9d4c4a417fa94341861ff9ce87_273_1" hidden="1">#REF!</definedName>
    <definedName name="TRNR_cdefadb7daff4efeac537da9a25168b9_4_1" hidden="1">#REF!</definedName>
    <definedName name="TRNR_cf7c4239c1d440bc9b809755ad21be76_273_1" hidden="1">#REF!</definedName>
    <definedName name="TRNR_e6cd3a98745a467b9fce866ad792b175_13_1" hidden="1">#REF!</definedName>
    <definedName name="TRNR_fc9f9782a53d478ab862048e47a6b365_273_1" hidden="1">#REF!</definedName>
    <definedName name="UNITS">#REF!</definedName>
    <definedName name="V_ALL_000050.SZ">#REF!</definedName>
    <definedName name="V_ALL_000063.SZ">#REF!</definedName>
    <definedName name="V_ALL_000413.SZ">#REF!</definedName>
    <definedName name="V_ALL_000422.SZ">#REF!</definedName>
    <definedName name="V_ALL_000725.SZ">#REF!</definedName>
    <definedName name="V_ALL_002153.SZ">#REF!</definedName>
    <definedName name="V_ALL_002230.SZ">#REF!</definedName>
    <definedName name="V_ALL_002236.SZ">#REF!</definedName>
    <definedName name="V_ALL_002261.SZ">#REF!</definedName>
    <definedName name="V_ALL_002371.SZ">#REF!</definedName>
    <definedName name="V_ALL_002396.SZ">#REF!</definedName>
    <definedName name="V_ALL_002405.SZ">#REF!</definedName>
    <definedName name="V_ALL_002415.SZ">#REF!</definedName>
    <definedName name="V_ALL_002415.SZ_">#REF!</definedName>
    <definedName name="V_ALL_002449.SZ">#REF!</definedName>
    <definedName name="V_ALL_002456.SZ">#REF!</definedName>
    <definedName name="V_ALL_002876.SZ">#REF!</definedName>
    <definedName name="V_ALL_0522.HK">#REF!</definedName>
    <definedName name="V_ALL_0981.HK">#REF!</definedName>
    <definedName name="V_ALL_1347.HK">#REF!</definedName>
    <definedName name="V_ALL_2018.HK">#REF!</definedName>
    <definedName name="V_ALL_2303.TW" localSheetId="0">'[1]2303.TW_Validation_Sheet'!$A$1:$CD$384</definedName>
    <definedName name="V_ALL_2303.TW">#REF!</definedName>
    <definedName name="V_ALL_2324.TW">#REF!</definedName>
    <definedName name="V_ALL_2382.TW">#REF!</definedName>
    <definedName name="V_ALL_300002.SZ">#REF!</definedName>
    <definedName name="V_ALL_300394.SZ">#REF!</definedName>
    <definedName name="V_ALL_300502.SZ">#REF!</definedName>
    <definedName name="V_ALL_300567.SZ">#REF!</definedName>
    <definedName name="V_ALL_3008.TW">#REF!</definedName>
    <definedName name="V_ALL_4966.TWO">#REF!</definedName>
    <definedName name="V_ALL_600271.SS">#REF!</definedName>
    <definedName name="V_ALL_600498.SS">#REF!</definedName>
    <definedName name="V_ALL_600570.SS">#REF!</definedName>
    <definedName name="V_ALL_600584.SS">#REF!</definedName>
    <definedName name="V_ALL_600699.SS">#REF!</definedName>
    <definedName name="V_ALL_603501.SS">#REF!</definedName>
    <definedName name="V_ALL_603986.SS">#REF!</definedName>
    <definedName name="V_ALL_6415.TW" localSheetId="0">'[2]6415.TW_Validation_Sheet'!$A$1:$BZ$286</definedName>
    <definedName name="V_ALL_6415.TW">#REF!</definedName>
    <definedName name="V_ALL_688012.SS">#REF!</definedName>
    <definedName name="V_ALL_688019.SS">#REF!</definedName>
    <definedName name="V_ALL_688049.SS">#REF!</definedName>
    <definedName name="V_ALL_688126.SS">#REF!</definedName>
    <definedName name="V_ALL_688200.SS">#REF!</definedName>
    <definedName name="V_ALL_688608.SS">#REF!</definedName>
    <definedName name="V_ALL_688630.SS">#REF!</definedName>
    <definedName name="V_ALL_KEYWORDS_TYPE_Breakdown_EQTY_200004222">#REF!,#REF!</definedName>
    <definedName name="V_ALL_KEYWORDS_TYPE_Breakdown_EQTY_200004679">#REF!,#REF!</definedName>
    <definedName name="V_ALL_KEYWORDS_TYPE_Breakdown_EQTY_200008919">#REF!</definedName>
    <definedName name="V_ALL_KEYWORDS_TYPE_ScalarContributed_EQTY_200004222">#REF!,#REF!</definedName>
    <definedName name="V_ALL_KEYWORDS_TYPE_ScalarContributed_EQTY_200004679">#REF!,#REF!,#REF!,#REF!</definedName>
    <definedName name="V_ALL_KEYWORDS_TYPE_ScalarContributed_EQTY_200006786">#REF!,#REF!,#REF!,#REF!</definedName>
    <definedName name="V_ALL_KEYWORDS_TYPE_ScalarContributed_EQTY_200007666">#REF!,#REF!</definedName>
    <definedName name="V_ALL_KEYWORDS_TYPE_ScalarContributed_EQTY_200008919">#REF!,#REF!</definedName>
    <definedName name="V_ALL_KEYWORDS_TYPE_ScalarContributed_EQTY_200011172">#REF!,#REF!</definedName>
    <definedName name="V_ALL_KEYWORDS_TYPE_ScalarContributed_EQTY_200012735">#REF!,#REF!</definedName>
    <definedName name="V_ALL_KEYWORDS_TYPE_ScalarContributed_EQTY_200012909">#REF!,#REF!</definedName>
    <definedName name="V_ALL_KEYWORDS_TYPE_ScalarContributed_EQTY_200012913">#REF!,#REF!</definedName>
    <definedName name="V_ALL_KEYWORDS_TYPE_ScalarContributed_EQTY_200016087">#REF!,#REF!</definedName>
    <definedName name="V_ALL_KEYWORDS_TYPE_ScalarContributed_EQTY_200019451">#REF!,#REF!,#REF!</definedName>
    <definedName name="V_ALL_KEYWORDS_TYPE_ScalarContributed_EQTY_200019558">#REF!,#REF!</definedName>
    <definedName name="V_ALL_KEYWORDS_TYPE_ScalarContributed_EQTY_200019559">#REF!,#REF!</definedName>
    <definedName name="V_ALL_KEYWORDS_TYPE_ScalarContributed_ISSR_208001202">#REF!,#REF!</definedName>
    <definedName name="V_ALL_KEYWORDS_TYPE_ScalarContributed_ISSR_208001316">#REF!,#REF!</definedName>
    <definedName name="V_ALL_KEYWORDS_TYPE_ScalarContributed_ISSR_208002015">#REF!,#REF!</definedName>
    <definedName name="V_ALL_KEYWORDS_TYPE_ScalarContributed_ISSR_208003261">#REF!,#REF!</definedName>
    <definedName name="V_ALL_KEYWORDS_TYPE_ScalarContributed_ISSR_208007067">#REF!,#REF!</definedName>
    <definedName name="V_ALL_KEYWORDS_TYPE_ScalarContributed_ISSR_208010212">#REF!,#REF!</definedName>
    <definedName name="V_ALL_KEYWORDS_TYPE_ScalarContributed_ISSR_208015000">#REF!,#REF!</definedName>
    <definedName name="V_ALL_KEYWORDS_TYPE_ScalarContributed_ISSR_208019081">#REF!,#REF!</definedName>
    <definedName name="V_ALL_KEYWORDS_TYPE_ScalarContributed_ISSR_208019322">#REF!,#REF!</definedName>
    <definedName name="V_ALL_KEYWORDS_TYPE_ScalarContributed_ISSR_208021173">#REF!,#REF!</definedName>
    <definedName name="V_ALL_KEYWORDS_TYPE_ScalarContributed_ISSR_208021175">#REF!,#REF!</definedName>
    <definedName name="V_ALL_KEYWORDS_TYPE_Vector_EQTY_200004222">#REF!,#REF!,#REF!,#REF!,#REF!</definedName>
    <definedName name="V_ALL_KEYWORDS_TYPE_Vector_EQTY_200004679">#REF!,#REF!,#REF!,#REF!,#REF!</definedName>
    <definedName name="V_ALL_KEYWORDS_TYPE_Vector_EQTY_200006785">#REF!,#REF!,#REF!,#REF!,#REF!</definedName>
    <definedName name="V_ALL_KEYWORDS_TYPE_Vector_EQTY_200006786">#REF!,#REF!,#REF!,#REF!,#REF!,#REF!</definedName>
    <definedName name="V_ALL_KEYWORDS_TYPE_Vector_EQTY_200007666">#REF!,#REF!,#REF!,#REF!,#REF!</definedName>
    <definedName name="V_ALL_KEYWORDS_TYPE_Vector_EQTY_200008918">#REF!,#REF!,#REF!,#REF!,#REF!</definedName>
    <definedName name="V_ALL_KEYWORDS_TYPE_Vector_EQTY_200011172">#REF!,#REF!,#REF!,#REF!,#REF!</definedName>
    <definedName name="V_ALL_KEYWORDS_TYPE_Vector_EQTY_200012735">#REF!,#REF!,#REF!,#REF!,#REF!</definedName>
    <definedName name="V_ALL_KEYWORDS_TYPE_Vector_EQTY_200012909">#REF!,#REF!,#REF!,#REF!,#REF!</definedName>
    <definedName name="V_ALL_KEYWORDS_TYPE_Vector_EQTY_200012913">#REF!,#REF!,#REF!,#REF!,#REF!</definedName>
    <definedName name="V_ALL_KEYWORDS_TYPE_Vector_EQTY_200013283">#REF!,#REF!,#REF!,#REF!,#REF!</definedName>
    <definedName name="V_ALL_KEYWORDS_TYPE_Vector_EQTY_200016087">#REF!,#REF!,#REF!,#REF!,#REF!</definedName>
    <definedName name="V_ALL_KEYWORDS_TYPE_Vector_EQTY_200017468">#REF!,#REF!,#REF!,#REF!,#REF!</definedName>
    <definedName name="V_ALL_KEYWORDS_TYPE_Vector_EQTY_200018245">#REF!,#REF!,#REF!,#REF!,#REF!</definedName>
    <definedName name="V_ALL_KEYWORDS_TYPE_Vector_EQTY_200020142">#REF!,#REF!,#REF!,#REF!,#REF!</definedName>
    <definedName name="V_ALL_KEYWORDS_TYPE_Vector_EQTY_200020296">#REF!,#REF!,#REF!,#REF!,#REF!</definedName>
    <definedName name="V_ALL_KEYWORDS_TYPE_Vector_EQTY_200021697">#REF!,#REF!,#REF!,#REF!,#REF!</definedName>
    <definedName name="V_ALL_KEYWORDS_TYPE_Vector_EQTY_200021698">#REF!,#REF!,#REF!,#REF!,#REF!</definedName>
    <definedName name="V_ALL_KEYWORDS_TYPE_Vector_ISSR_208001202">#REF!,#REF!,#REF!,#REF!,#REF!,#REF!,#REF!,#REF!,#REF!,#REF!,#REF!,#REF!,#REF!,#REF!</definedName>
    <definedName name="V_ALL_KEYWORDS_TYPE_Vector_ISSR_208001316">#REF!,#REF!,#REF!,#REF!,#REF!,#REF!,#REF!,#REF!,#REF!,#REF!,#REF!,#REF!,#REF!,#REF!</definedName>
    <definedName name="V_ALL_KEYWORDS_TYPE_Vector_ISSR_208002015">#REF!,#REF!,#REF!,#REF!,#REF!,#REF!,#REF!,#REF!,#REF!,#REF!,#REF!,#REF!,#REF!</definedName>
    <definedName name="V_ALL_KEYWORDS_TYPE_Vector_ISSR_208003261">#REF!,#REF!,#REF!,#REF!,#REF!,#REF!,#REF!,#REF!,#REF!,#REF!,#REF!,#REF!,#REF!,#REF!</definedName>
    <definedName name="V_ALL_KEYWORDS_TYPE_Vector_ISSR_208006410">#REF!,#REF!,#REF!,#REF!,#REF!,#REF!,#REF!,#REF!,#REF!,#REF!,#REF!</definedName>
    <definedName name="V_ALL_KEYWORDS_TYPE_Vector_ISSR_208007067">#REF!,#REF!,#REF!,#REF!,#REF!,#REF!,#REF!,#REF!,#REF!,#REF!,#REF!,#REF!,#REF!</definedName>
    <definedName name="V_ALL_KEYWORDS_TYPE_Vector_ISSR_208008548">#REF!,#REF!,#REF!,#REF!,#REF!,#REF!,#REF!,#REF!,#REF!,#REF!,#REF!,#REF!,#REF!,#REF!,#REF!,#REF!</definedName>
    <definedName name="V_ALL_KEYWORDS_TYPE_Vector_ISSR_208009698">#REF!,#REF!,#REF!,#REF!,#REF!,#REF!,#REF!,#REF!,#REF!,#REF!,#REF!,#REF!,#REF!,#REF!</definedName>
    <definedName name="V_ALL_KEYWORDS_TYPE_Vector_ISSR_208009912">#REF!,#REF!,#REF!,#REF!,#REF!,#REF!,#REF!,#REF!,#REF!,#REF!,#REF!,#REF!,#REF!,#REF!,#REF!</definedName>
    <definedName name="V_ALL_KEYWORDS_TYPE_Vector_ISSR_208009916">#REF!,#REF!,#REF!,#REF!,#REF!,#REF!,#REF!,#REF!,#REF!,#REF!,#REF!,#REF!,#REF!,#REF!</definedName>
    <definedName name="V_ALL_KEYWORDS_TYPE_Vector_ISSR_208010212">#REF!,#REF!,#REF!,#REF!,#REF!,#REF!,#REF!,#REF!,#REF!,#REF!,#REF!,#REF!,#REF!,#REF!</definedName>
    <definedName name="V_ALL_KEYWORDS_TYPE_Vector_ISSR_208011603">#REF!,#REF!,#REF!,#REF!,#REF!,#REF!,#REF!,#REF!,#REF!,#REF!,#REF!</definedName>
    <definedName name="V_ALL_KEYWORDS_TYPE_Vector_ISSR_208013035">#REF!,#REF!,#REF!,#REF!,#REF!,#REF!,#REF!,#REF!,#REF!,#REF!,#REF!,#REF!,#REF!,#REF!,#REF!</definedName>
    <definedName name="V_ALL_KEYWORDS_TYPE_Vector_ISSR_208013036">#REF!,#REF!,#REF!,#REF!,#REF!,#REF!,#REF!,#REF!,#REF!,#REF!,#REF!</definedName>
    <definedName name="V_ALL_KEYWORDS_TYPE_Vector_ISSR_208015000">#REF!,#REF!,#REF!,#REF!,#REF!,#REF!,#REF!,#REF!,#REF!,#REF!,#REF!,#REF!,#REF!,#REF!</definedName>
    <definedName name="V_ALL_KEYWORDS_TYPE_Vector_ISSR_208015997">#REF!,#REF!,#REF!,#REF!,#REF!,#REF!,#REF!,#REF!,#REF!,#REF!,#REF!,#REF!,#REF!,#REF!</definedName>
    <definedName name="V_ALL_KEYWORDS_TYPE_Vector_ISSR_208017563">#REF!,#REF!,#REF!,#REF!,#REF!,#REF!,#REF!,#REF!,#REF!,#REF!,#REF!,#REF!</definedName>
    <definedName name="V_ALL_KEYWORDS_TYPE_Vector_ISSR_208018057">#REF!,#REF!,#REF!,#REF!,#REF!,#REF!,#REF!,#REF!,#REF!,#REF!,#REF!</definedName>
    <definedName name="V_ALL_KEYWORDS_TYPE_Vector_ISSR_208019081">#REF!,#REF!,#REF!,#REF!,#REF!,#REF!,#REF!,#REF!,#REF!,#REF!,#REF!,#REF!,#REF!</definedName>
    <definedName name="V_ALL_KEYWORDS_TYPE_Vector_ISSR_208019322">#REF!,#REF!,#REF!,#REF!,#REF!,#REF!,#REF!,#REF!,#REF!,#REF!,#REF!,#REF!</definedName>
    <definedName name="V_ALL_KEYWORDS_TYPE_Vector_ISSR_208019900">#REF!,#REF!,#REF!,#REF!,#REF!,#REF!,#REF!,#REF!,#REF!,#REF!,#REF!,#REF!</definedName>
    <definedName name="V_ALL_KEYWORDS_TYPE_Vector_ISSR_208019901">#REF!,#REF!,#REF!,#REF!,#REF!,#REF!,#REF!,#REF!,#REF!,#REF!,#REF!,#REF!</definedName>
    <definedName name="V_ALL_KEYWORDS_TYPE_Vector_ISSR_208019930">#REF!,#REF!,#REF!,#REF!,#REF!,#REF!,#REF!,#REF!,#REF!,#REF!,#REF!,#REF!</definedName>
    <definedName name="V_ALL_KEYWORDS_TYPE_Vector_ISSR_208019958">#REF!,#REF!,#REF!,#REF!,#REF!,#REF!,#REF!,#REF!,#REF!,#REF!,#REF!,#REF!</definedName>
    <definedName name="V_ALL_KEYWORDS_TYPE_Vector_ISSR_208021158">#REF!,#REF!,#REF!,#REF!,#REF!,#REF!,#REF!,#REF!,#REF!,#REF!,#REF!,#REF!</definedName>
    <definedName name="V_ALL_KEYWORDS_TYPE_Vector_ISSR_208021173">#REF!,#REF!,#REF!,#REF!,#REF!,#REF!,#REF!,#REF!,#REF!,#REF!,#REF!,#REF!,#REF!</definedName>
    <definedName name="V_ALL_KEYWORDS_TYPE_Vector_ISSR_208021175">#REF!,#REF!,#REF!,#REF!,#REF!,#REF!,#REF!,#REF!,#REF!,#REF!,#REF!,#REF!,#REF!</definedName>
    <definedName name="V_ALL_KEYWORDS_TYPE_Vector_ISSR_208021186">#REF!,#REF!,#REF!,#REF!,#REF!,#REF!,#REF!,#REF!,#REF!,#REF!,#REF!,#REF!</definedName>
    <definedName name="V_ALL_SECTION_KEYWORDS_EQTY_200004222_13W">#REF!,#REF!</definedName>
    <definedName name="V_ALL_SECTION_KEYWORDS_EQTY_200004679_131O">#REF!</definedName>
    <definedName name="V_ALL_SECTION_KEYWORDS_EQTY_200004679_13A">#REF!</definedName>
    <definedName name="V_ALL_SECTION_KEYWORDS_EQTY_200004679_13K">#REF!</definedName>
    <definedName name="V_ALL_SECTION_KEYWORDS_EQTY_200004679_13W">#REF!,#REF!</definedName>
    <definedName name="V_ALL_SECTION_KEYWORDS_EQTY_200006786_13A">#REF!</definedName>
    <definedName name="V_ALL_SECTION_KEYWORDS_EQTY_200006786_13K">#REF!</definedName>
    <definedName name="V_ALL_SECTION_KEYWORDS_EQTY_200007666_13W">#REF!,#REF!</definedName>
    <definedName name="V_ALL_SECTION_KEYWORDS_EQTY_200008919_13A">#REF!</definedName>
    <definedName name="V_ALL_SECTION_KEYWORDS_EQTY_200019451_13A">#REF!</definedName>
    <definedName name="V_ALL_SECTION_KEYWORDS_EQTY_200019559_13A">#REF!</definedName>
    <definedName name="V_ALL_SECTION_KEYWORDS_ISSR_208001202_13V">#REF!,#REF!</definedName>
    <definedName name="V_ALL_SECTION_KEYWORDS_ISSR_208001316_1314">#REF!</definedName>
    <definedName name="V_ALL_SECTION_KEYWORDS_ISSR_208001316_1319">#REF!</definedName>
    <definedName name="V_ALL_SECTION_KEYWORDS_ISSR_208001316_131E">#REF!</definedName>
    <definedName name="V_ALL_SECTION_KEYWORDS_ISSR_208001316_13U">#REF!</definedName>
    <definedName name="V_ALL_SECTION_KEYWORDS_ISSR_208001316_13V">#REF!,#REF!</definedName>
    <definedName name="V_ALL_SECTION_KEYWORDS_ISSR_208002015_13V">#REF!,#REF!</definedName>
    <definedName name="V_ALL_SECTION_KEYWORDS_ISSR_208003261_13V">#REF!,#REF!</definedName>
    <definedName name="V_ALL_SECTION_KEYWORDS_ISSR_208006410_136E">#REF!,#REF!</definedName>
    <definedName name="V_ALL_SECTION_KEYWORDS_ISSR_208007067_13V">#REF!,#REF!</definedName>
    <definedName name="V_ALL_SECTION_KEYWORDS_ISSR_208009698_1316U">#REF!,#REF!</definedName>
    <definedName name="V_ALL_SECTION_KEYWORDS_ISSR_208009916_1316U">#REF!,#REF!</definedName>
    <definedName name="V_ALL_SECTION_KEYWORDS_ISSR_208010212_13V">#REF!,#REF!</definedName>
    <definedName name="V_ALL_SECTION_KEYWORDS_ISSR_208011603_136E">#REF!,#REF!</definedName>
    <definedName name="V_ALL_SECTION_KEYWORDS_ISSR_208013036_13168">#REF!</definedName>
    <definedName name="V_ALL_SECTION_KEYWORDS_ISSR_208013036_1319">#REF!</definedName>
    <definedName name="V_ALL_SECTION_KEYWORDS_ISSR_208013036_136E">#REF!,#REF!</definedName>
    <definedName name="V_ALL_SECTION_KEYWORDS_ISSR_208015000_13V">#REF!,#REF!</definedName>
    <definedName name="V_ALL_SECTION_KEYWORDS_ISSR_208015997_1316U">#REF!,#REF!</definedName>
    <definedName name="V_ALL_SECTION_KEYWORDS_ISSR_208018057_136E">#REF!,#REF!</definedName>
    <definedName name="V_ALL_SECTION_KEYWORDS_ISSR_208019081_13V">#REF!,#REF!</definedName>
    <definedName name="V_ALL_SECTION_KEYWORDS_ISSR_208019322_13V">#REF!,#REF!</definedName>
    <definedName name="V_ALL_SECTION_KEYWORDS_ISSR_208021173_13V">#REF!,#REF!</definedName>
    <definedName name="V_ALL_SECTION_KEYWORDS_ISSR_208021175_13V">#REF!,#REF!</definedName>
    <definedName name="V_ALL_SECTIONS_EQTY_200011172">#REF!,#REF!,#REF!,#REF!,#REF!,#REF!,#REF!,#REF!</definedName>
    <definedName name="V_ALL_SECTIONS_EQTY_200012735">#REF!,#REF!,#REF!,#REF!,#REF!,#REF!,#REF!,#REF!</definedName>
    <definedName name="V_ALL_SECTIONS_EQTY_200012909">#REF!,#REF!,#REF!,#REF!,#REF!,#REF!,#REF!,#REF!</definedName>
    <definedName name="V_ALL_SECTIONS_EQTY_200012913">#REF!,#REF!,#REF!,#REF!,#REF!,#REF!,#REF!,#REF!</definedName>
    <definedName name="V_ALL_SECTIONS_EQTY_200016087">#REF!,#REF!,#REF!,#REF!,#REF!,#REF!,#REF!,#REF!</definedName>
    <definedName name="V_ALL_SECTIONS_EQTY_200018245">#REF!,#REF!,#REF!,#REF!,#REF!,#REF!,#REF!,#REF!</definedName>
    <definedName name="V_ALL_SECTIONS_ISSR_208008548">#REF!,#REF!,#REF!,#REF!,#REF!,#REF!,#REF!,#REF!,#REF!,#REF!</definedName>
    <definedName name="V_ALL_SECTIONS_ISSR_208009698">#REF!,#REF!,#REF!,#REF!,#REF!,#REF!,#REF!,#REF!,#REF!</definedName>
    <definedName name="V_ALL_SECTIONS_ISSR_208009912">#REF!,#REF!,#REF!,#REF!,#REF!,#REF!,#REF!,#REF!,#REF!,#REF!</definedName>
    <definedName name="V_ALL_SECTIONS_ISSR_208009916">#REF!,#REF!,#REF!,#REF!,#REF!,#REF!,#REF!,#REF!,#REF!</definedName>
    <definedName name="V_ALL_SECTIONS_ISSR_208013035">#REF!,#REF!,#REF!,#REF!,#REF!,#REF!,#REF!,#REF!,#REF!,#REF!</definedName>
    <definedName name="xx">#REF!</definedName>
    <definedName name="XX_TEJ1">#REF!</definedName>
    <definedName name="XX_TEJ2">#REF!</definedName>
  </definedNames>
  <calcPr calcId="144525"/>
</workbook>
</file>

<file path=xl/sharedStrings.xml><?xml version="1.0" encoding="utf-8"?>
<sst xmlns="http://schemas.openxmlformats.org/spreadsheetml/2006/main" count="932">
  <si>
    <t>Greater China Technology Team</t>
  </si>
  <si>
    <t>Eoptolink (300502.SZ)</t>
  </si>
  <si>
    <t>Rating</t>
  </si>
  <si>
    <t>Buy</t>
  </si>
  <si>
    <t>Target Price/ Target price period/ Upside/downside to target price</t>
  </si>
  <si>
    <t>633/ 12 Month/ 24.1%</t>
  </si>
  <si>
    <t>M&amp;A probability (1 = high, 3 = low)</t>
  </si>
  <si>
    <r>
      <rPr>
        <b/>
        <sz val="10.5"/>
        <color theme="1"/>
        <rFont val="Calibri"/>
        <charset val="134"/>
      </rPr>
      <t xml:space="preserve">Market Cap (US$ mn) </t>
    </r>
    <r>
      <rPr>
        <sz val="10"/>
        <rFont val="Helvetica"/>
        <charset val="134"/>
      </rPr>
      <t>(</t>
    </r>
    <r>
      <rPr>
        <i/>
        <sz val="9"/>
        <color theme="1"/>
        <rFont val="Calibri"/>
        <charset val="134"/>
      </rPr>
      <t>price as of Jul 20, 2026)</t>
    </r>
    <r>
      <rPr>
        <b/>
        <sz val="10.5"/>
        <color theme="1"/>
        <rFont val="Calibri"/>
        <charset val="134"/>
      </rPr>
      <t>:</t>
    </r>
  </si>
  <si>
    <t>Current shares outstanding (mn):</t>
  </si>
  <si>
    <t>Currency:</t>
  </si>
  <si>
    <t>CNY</t>
  </si>
  <si>
    <t>Current Publication Date:</t>
  </si>
  <si>
    <t>Previous Publication Date:</t>
  </si>
  <si>
    <t xml:space="preserve">Team Contacts: </t>
  </si>
  <si>
    <t>Primary Analyst</t>
  </si>
  <si>
    <t>Ting Song, ting.song@gs.com,  +852 2978 6466  Goldman Sachs (Asia) L.L.C.</t>
  </si>
  <si>
    <t>Allen Chang, allen.k.chang@gs.com,  +852 2978 2930  Goldman Sachs (Asia) L.L.C.</t>
  </si>
  <si>
    <t>Verena Jeng, verena.jeng@gs.com,  +852 2978 1681  Goldman Sachs (Asia) L.L.C.</t>
  </si>
  <si>
    <t>Issuer: Eoptolink</t>
  </si>
  <si>
    <t>2015 Q1</t>
  </si>
  <si>
    <t>2015 Q2</t>
  </si>
  <si>
    <t>2015 Q3</t>
  </si>
  <si>
    <t>2015 Q4</t>
  </si>
  <si>
    <t>2016 Q1</t>
  </si>
  <si>
    <t>2016 Q2</t>
  </si>
  <si>
    <t>2016 Q3</t>
  </si>
  <si>
    <t>2016 Q4</t>
  </si>
  <si>
    <t>2017 Q1</t>
  </si>
  <si>
    <t>2017 Q2</t>
  </si>
  <si>
    <t>2017 Q3</t>
  </si>
  <si>
    <t>2017 Q4</t>
  </si>
  <si>
    <t>2018 Q1</t>
  </si>
  <si>
    <t>2018 Q2</t>
  </si>
  <si>
    <t>2018 Q3</t>
  </si>
  <si>
    <t>2018 Q4</t>
  </si>
  <si>
    <t>2019 Q1</t>
  </si>
  <si>
    <t>2019 Q2</t>
  </si>
  <si>
    <t>2019 Q3</t>
  </si>
  <si>
    <t>2019 Q4</t>
  </si>
  <si>
    <t>2020 Q1</t>
  </si>
  <si>
    <t>2020 Q2</t>
  </si>
  <si>
    <t>2020 Q3</t>
  </si>
  <si>
    <t>2020 Q4</t>
  </si>
  <si>
    <t>2021 Q1</t>
  </si>
  <si>
    <t>2021 Q2</t>
  </si>
  <si>
    <t>2021 Q3</t>
  </si>
  <si>
    <t>2021 Q4</t>
  </si>
  <si>
    <t>2022 Q1</t>
  </si>
  <si>
    <t>2022 Q2</t>
  </si>
  <si>
    <t>2022 Q3</t>
  </si>
  <si>
    <t>2022 Q4</t>
  </si>
  <si>
    <t>2023 Q1</t>
  </si>
  <si>
    <t>2023 Q2</t>
  </si>
  <si>
    <t>2023 Q3</t>
  </si>
  <si>
    <t>2023 Q4</t>
  </si>
  <si>
    <t>2024 Q1</t>
  </si>
  <si>
    <t>2024 Q2</t>
  </si>
  <si>
    <t>2024 Q3</t>
  </si>
  <si>
    <t>2024 Q4</t>
  </si>
  <si>
    <t>2025 Q1</t>
  </si>
  <si>
    <t>2025 Q2</t>
  </si>
  <si>
    <t>2025 Q3</t>
  </si>
  <si>
    <t>2025 Q4</t>
  </si>
  <si>
    <t>2026 Q1</t>
  </si>
  <si>
    <t>2026 Q2</t>
  </si>
  <si>
    <t>2026 Q3</t>
  </si>
  <si>
    <t>2026 Q4</t>
  </si>
  <si>
    <t>2027 Q1</t>
  </si>
  <si>
    <t>2027 Q2</t>
  </si>
  <si>
    <t>2027 Q3</t>
  </si>
  <si>
    <t>2027 Q4</t>
  </si>
  <si>
    <t>ISSUER ID: 208021942</t>
  </si>
  <si>
    <t>Actual</t>
  </si>
  <si>
    <t>Estimate</t>
  </si>
  <si>
    <t>Reference Data</t>
  </si>
  <si>
    <t>Issuer Name</t>
  </si>
  <si>
    <t>Eoptolink</t>
  </si>
  <si>
    <t>Reporting Currency</t>
  </si>
  <si>
    <t>CURRENCY_ISO</t>
  </si>
  <si>
    <t>General Information</t>
  </si>
  <si>
    <t>MA_PROB</t>
  </si>
  <si>
    <t>Income Statement</t>
  </si>
  <si>
    <t>Sales, net revenue</t>
  </si>
  <si>
    <t>SALES</t>
  </si>
  <si>
    <t>Compensation &amp; benfits expense</t>
  </si>
  <si>
    <t>PERSONNEL</t>
  </si>
  <si>
    <t>Cost of goods sold, COGS</t>
  </si>
  <si>
    <t>COST_GD_SD</t>
  </si>
  <si>
    <t>SG&amp;A, selling, general and admin. expense</t>
  </si>
  <si>
    <t>SEL_GL_AD</t>
  </si>
  <si>
    <t>Total operating expense</t>
  </si>
  <si>
    <t>OP_COST</t>
  </si>
  <si>
    <t>R&amp;D expense</t>
  </si>
  <si>
    <t>RD_EXP</t>
  </si>
  <si>
    <t>Other operating income/(expense) (incl. leases)</t>
  </si>
  <si>
    <t>OTH_OP_INC_EXP</t>
  </si>
  <si>
    <t>Total operating expense (incl. D&amp;A)</t>
  </si>
  <si>
    <t>TOT_OPS_EXP_DDA</t>
  </si>
  <si>
    <t>Total operating expense (excl. D&amp;A)</t>
  </si>
  <si>
    <t>TOT_OPS_EXP</t>
  </si>
  <si>
    <t>EBITDA</t>
  </si>
  <si>
    <t>EBITDA_CALC</t>
  </si>
  <si>
    <t>Depreciation</t>
  </si>
  <si>
    <t>DEPREC</t>
  </si>
  <si>
    <t>Amortization</t>
  </si>
  <si>
    <t>GOODWILL_AMORT</t>
  </si>
  <si>
    <t>EBIT, operating profit</t>
  </si>
  <si>
    <t>EBIT</t>
  </si>
  <si>
    <t>Interest income</t>
  </si>
  <si>
    <t>INT_INC_IND</t>
  </si>
  <si>
    <t>Interest expense</t>
  </si>
  <si>
    <t>INT_EXP_IND</t>
  </si>
  <si>
    <t>Net interest income/(expense)</t>
  </si>
  <si>
    <t>NET_INT_EXP</t>
  </si>
  <si>
    <t>Income/(loss) from unconsolidated subs &amp; associates</t>
  </si>
  <si>
    <t>ASSOCIATE</t>
  </si>
  <si>
    <t>Profit/(loss) on disposals of assets, pre-tax</t>
  </si>
  <si>
    <t>PROFIT_ON_DISP</t>
  </si>
  <si>
    <t>Other non-ops income/(expense)</t>
  </si>
  <si>
    <t>OTH_COST_INC</t>
  </si>
  <si>
    <t>Pre-tax profit</t>
  </si>
  <si>
    <t>PT_PROF</t>
  </si>
  <si>
    <t>Additional Income Statement Items</t>
  </si>
  <si>
    <t>Contribution margin ratio</t>
  </si>
  <si>
    <t>CONTRIB_MARGIN_RATIO</t>
  </si>
  <si>
    <t>Operating lease cost</t>
  </si>
  <si>
    <t>LEASE_PAY</t>
  </si>
  <si>
    <t>Lease payments (deemed interest portion)</t>
  </si>
  <si>
    <t>LEASE_DEEM_INT</t>
  </si>
  <si>
    <t>Lease payments (deemed depreciation portion)</t>
  </si>
  <si>
    <t>LEASE_DEEM_DEPR</t>
  </si>
  <si>
    <t>Gross interest charge</t>
  </si>
  <si>
    <t>NET_INT_CH</t>
  </si>
  <si>
    <t>Income from associates (operating)</t>
  </si>
  <si>
    <t>ASSOCIATE_OP</t>
  </si>
  <si>
    <t>Depreciation ROU assets   (applicable to IFRS cos.)</t>
  </si>
  <si>
    <t>DEPR_ROU_ASSETS</t>
  </si>
  <si>
    <t>Lease interest charge  (applicable to IFRS cos.)</t>
  </si>
  <si>
    <t>LEASE_INT_CHG</t>
  </si>
  <si>
    <t>Lease standard adopted (US GAAP ASC 842/ IFRS 16)</t>
  </si>
  <si>
    <t>LEASE_ADOPT</t>
  </si>
  <si>
    <t>Y</t>
  </si>
  <si>
    <t>Balance Sheet</t>
  </si>
  <si>
    <t>Cash &amp; cash equivalents</t>
  </si>
  <si>
    <t>CASH_EQ</t>
  </si>
  <si>
    <t>Accounts receivable</t>
  </si>
  <si>
    <t>DEBTORS</t>
  </si>
  <si>
    <t>Inventory</t>
  </si>
  <si>
    <t>STOCKS</t>
  </si>
  <si>
    <t>Other current assets</t>
  </si>
  <si>
    <t>OTH_CUR_ASS</t>
  </si>
  <si>
    <t>Total current assets</t>
  </si>
  <si>
    <t>CUR_ASS</t>
  </si>
  <si>
    <t>Gross fixed assets, PP&amp;E</t>
  </si>
  <si>
    <t>GR_FIX_ASS</t>
  </si>
  <si>
    <t>Accumulated depreciation</t>
  </si>
  <si>
    <t>ACC_DDA</t>
  </si>
  <si>
    <t>Net PP&amp;E</t>
  </si>
  <si>
    <t>NET_FIX_ASS</t>
  </si>
  <si>
    <t>Gross intangibles</t>
  </si>
  <si>
    <t>GR_INTANG</t>
  </si>
  <si>
    <t>Accumulated amortization</t>
  </si>
  <si>
    <t>ACC_AMORT</t>
  </si>
  <si>
    <t>Net intangible assets</t>
  </si>
  <si>
    <t>NET_INTANG</t>
  </si>
  <si>
    <t>Equity method investments</t>
  </si>
  <si>
    <t>FIX_ASS_INV</t>
  </si>
  <si>
    <t>Investments in securities</t>
  </si>
  <si>
    <t>INV_SECUR</t>
  </si>
  <si>
    <t>Other long-term assets</t>
  </si>
  <si>
    <t>OTH_LT_ASS</t>
  </si>
  <si>
    <t>Total assets</t>
  </si>
  <si>
    <t>TOT_ASSET</t>
  </si>
  <si>
    <t>Accounts payable</t>
  </si>
  <si>
    <t>ACC_PAY_GQ</t>
  </si>
  <si>
    <t>Short-term debt</t>
  </si>
  <si>
    <t>SHORT_T_DEBT</t>
  </si>
  <si>
    <t>Current lease liabilities (op lease: US GAAP)</t>
  </si>
  <si>
    <t>ST_LEASE_LIAB</t>
  </si>
  <si>
    <t>Other current liabilities</t>
  </si>
  <si>
    <t>OTH_CUR_LIABS</t>
  </si>
  <si>
    <t>Total current liabilities</t>
  </si>
  <si>
    <t>SHORT_TERM_LIABS</t>
  </si>
  <si>
    <t>Long-term  debt</t>
  </si>
  <si>
    <t>LT_DEBT</t>
  </si>
  <si>
    <t>Non-current lease liabilities (op lease: US GAAP)</t>
  </si>
  <si>
    <t>LT_LEASE_LIAB</t>
  </si>
  <si>
    <t>Other long-term liabilities</t>
  </si>
  <si>
    <t>OTH_LT_CRED_GQ</t>
  </si>
  <si>
    <t>Total long-term liabilities</t>
  </si>
  <si>
    <t>TOT_LT_LIAB</t>
  </si>
  <si>
    <t>Total liabilities</t>
  </si>
  <si>
    <t>TOT_LIAB</t>
  </si>
  <si>
    <t>Preferred shares</t>
  </si>
  <si>
    <t>PREF_SH</t>
  </si>
  <si>
    <t>Total common equity</t>
  </si>
  <si>
    <t>ORD_SH_FUND</t>
  </si>
  <si>
    <t>Minority interest</t>
  </si>
  <si>
    <t>MINORITIES</t>
  </si>
  <si>
    <t>Total shareholders' equity</t>
  </si>
  <si>
    <t>EQ</t>
  </si>
  <si>
    <t>Total liabilities and equity</t>
  </si>
  <si>
    <t>TOT_LIAB_EQ</t>
  </si>
  <si>
    <t>Additional Balance Sheet Items</t>
  </si>
  <si>
    <t>Total US$ debt (in US$)</t>
  </si>
  <si>
    <t>TOT_USD_DEBT</t>
  </si>
  <si>
    <t>% US$ debt hedged (principal)</t>
  </si>
  <si>
    <t>TOT_PCT_USD_DEBT_HEDGED</t>
  </si>
  <si>
    <t>% Floating debt (local currency debt)</t>
  </si>
  <si>
    <t>FLOATING_PCT_LOCAL_DEBT</t>
  </si>
  <si>
    <t>% floating debt hedged (rates)</t>
  </si>
  <si>
    <t>FLOATING_PCT_LOCAL_DEBT_HEDGED</t>
  </si>
  <si>
    <t>Net debt</t>
  </si>
  <si>
    <t>NET_DEBT</t>
  </si>
  <si>
    <t>Capitalized operating leases (off-balance sheet)</t>
  </si>
  <si>
    <t>CAP_LEASES</t>
  </si>
  <si>
    <t>Deferred income taxes</t>
  </si>
  <si>
    <t>DEF_INC_TAX</t>
  </si>
  <si>
    <t>Associates (mkt value) used in EV calculation</t>
  </si>
  <si>
    <t>MV_ASSOCIATES</t>
  </si>
  <si>
    <t>Net debt adjustment</t>
  </si>
  <si>
    <t>NET_DEBT_ADJ</t>
  </si>
  <si>
    <t>Company borrowing margin</t>
  </si>
  <si>
    <t>CO_BOR_MARGIN</t>
  </si>
  <si>
    <t>Unfunded pensions &amp; other provisions</t>
  </si>
  <si>
    <t>UNF_PENS</t>
  </si>
  <si>
    <t>Unfunded pension liabilities (off balance sheet)</t>
  </si>
  <si>
    <t>UNF_PENS_OFF</t>
  </si>
  <si>
    <t>Unfunded pension liabilities &amp; other, used in EV</t>
  </si>
  <si>
    <t>UNF_PENS_LIAB_OTH</t>
  </si>
  <si>
    <t>Adjustment for unfunded pensions &amp; goodwill</t>
  </si>
  <si>
    <t>ADJ_UNF_PENS_GOOD</t>
  </si>
  <si>
    <t>Other GCI adjustments</t>
  </si>
  <si>
    <t>OTH_GCI_ADJ</t>
  </si>
  <si>
    <t>GCI inflator</t>
  </si>
  <si>
    <t>GCI_INFL</t>
  </si>
  <si>
    <t>BAL_MINO_INT</t>
  </si>
  <si>
    <t>Right-of-use assets (op lease assets under US GAAP)</t>
  </si>
  <si>
    <t>ROU_ASSET</t>
  </si>
  <si>
    <t>Cash Flow Statement</t>
  </si>
  <si>
    <t>Minority interest add-back</t>
  </si>
  <si>
    <t>CF_INC_MINORITY</t>
  </si>
  <si>
    <t>Depreciation &amp; amortization add-back</t>
  </si>
  <si>
    <t>DEPR_AMORT</t>
  </si>
  <si>
    <t>(Increase)/decrease in working capital</t>
  </si>
  <si>
    <t>WORK_CAP</t>
  </si>
  <si>
    <t>Other operating cash flow items</t>
  </si>
  <si>
    <t>OTH_OP_CF</t>
  </si>
  <si>
    <t>Cash flow from operating activities</t>
  </si>
  <si>
    <t>CF_OPS</t>
  </si>
  <si>
    <t>Capital expenditures, Capex</t>
  </si>
  <si>
    <t>CAPEX</t>
  </si>
  <si>
    <t>Acquisitions</t>
  </si>
  <si>
    <t>ACQ</t>
  </si>
  <si>
    <t>Divestitures</t>
  </si>
  <si>
    <t>DIVEST</t>
  </si>
  <si>
    <t>Other investing cash flow items</t>
  </si>
  <si>
    <t>OTH_INV_CF</t>
  </si>
  <si>
    <t>Cash flow from investing</t>
  </si>
  <si>
    <t>CF_INV</t>
  </si>
  <si>
    <t>Dividends paid</t>
  </si>
  <si>
    <t>DIV_PAID</t>
  </si>
  <si>
    <t>Common stock issuance/(repurchase)</t>
  </si>
  <si>
    <t>SH_REPUR</t>
  </si>
  <si>
    <t>Increase/(decrease) in total debt</t>
  </si>
  <si>
    <t>CHG_LT_DEBT</t>
  </si>
  <si>
    <t>Lease principal payments  (applicable to IFRS cos.)</t>
  </si>
  <si>
    <t>LEASE_PRINCIPAL_CASH</t>
  </si>
  <si>
    <t>Other financing cash flow items</t>
  </si>
  <si>
    <t>OTH_FIN_CF</t>
  </si>
  <si>
    <t>Cash flow from financing</t>
  </si>
  <si>
    <t>CF_FIN</t>
  </si>
  <si>
    <t>Total cash flow</t>
  </si>
  <si>
    <t>TOT_CF</t>
  </si>
  <si>
    <t>Additional Cash Flow Items</t>
  </si>
  <si>
    <t>Associate and JV add-back</t>
  </si>
  <si>
    <t>ASSOC_JV_ADDBK</t>
  </si>
  <si>
    <t>Profit/(loss) on sale of assets</t>
  </si>
  <si>
    <t>PL_SALE_ASSETS</t>
  </si>
  <si>
    <t>Other non-cash adjustments</t>
  </si>
  <si>
    <t>OTH_NONCASH_ADJ</t>
  </si>
  <si>
    <t>Other DACF adjustments</t>
  </si>
  <si>
    <t>OTH_DACF_ADJ</t>
  </si>
  <si>
    <t>Cash interest expense</t>
  </si>
  <si>
    <t>CASH_INT_EXP</t>
  </si>
  <si>
    <t>Cash tax expense</t>
  </si>
  <si>
    <t>CASH_TAX_EXP</t>
  </si>
  <si>
    <t>Dividends received from associates/JVs</t>
  </si>
  <si>
    <t>DIVDS_ASSOC_JV</t>
  </si>
  <si>
    <t>Capex maintenance</t>
  </si>
  <si>
    <t>CAPEX_MAINTENANCE</t>
  </si>
  <si>
    <t>Capex expansion</t>
  </si>
  <si>
    <t>CAPEX_EXPANSION</t>
  </si>
  <si>
    <t>Non-PP&amp;E capex</t>
  </si>
  <si>
    <t>NONPPE_CAPEX</t>
  </si>
  <si>
    <t>Dividends paid to minorities</t>
  </si>
  <si>
    <t>DIVDS_PD_MINORITIES</t>
  </si>
  <si>
    <t>Other Items</t>
  </si>
  <si>
    <t>Number of employees</t>
  </si>
  <si>
    <t>EMPLOYEES</t>
  </si>
  <si>
    <t>Geographical Breakdown</t>
  </si>
  <si>
    <t>Sales - % Canada</t>
  </si>
  <si>
    <t>SALES_CANADA</t>
  </si>
  <si>
    <t>Sales - % United States</t>
  </si>
  <si>
    <t>SALES_US</t>
  </si>
  <si>
    <t>Sales - % Other North Americas</t>
  </si>
  <si>
    <t>SALES_OTH_NO_AMER</t>
  </si>
  <si>
    <t>Sales - % Argentina</t>
  </si>
  <si>
    <t>SALES_ARGENTINA</t>
  </si>
  <si>
    <t>Sales - % Brazil</t>
  </si>
  <si>
    <t>SALES_BRAZIL</t>
  </si>
  <si>
    <t>Sales - % Chile</t>
  </si>
  <si>
    <t>SALES_CHILE</t>
  </si>
  <si>
    <t>Sales - % Colombia</t>
  </si>
  <si>
    <t>SALES_COLOMBIA</t>
  </si>
  <si>
    <t>Sales - % Mexico</t>
  </si>
  <si>
    <t>SALES_MEXICO</t>
  </si>
  <si>
    <t>Sales - % Venezuela</t>
  </si>
  <si>
    <t>SALES_VENEZUELA</t>
  </si>
  <si>
    <t>Sales - % Other Latin Americas</t>
  </si>
  <si>
    <t>SALES_OTH_LATAM</t>
  </si>
  <si>
    <t>Sales - % Austria</t>
  </si>
  <si>
    <t>SALES_AUSTRIA</t>
  </si>
  <si>
    <t>Sales - % Belgium</t>
  </si>
  <si>
    <t>SALES_BEL</t>
  </si>
  <si>
    <t>Sales - % France</t>
  </si>
  <si>
    <t>SALES_FRA</t>
  </si>
  <si>
    <t>Sales - % Germany</t>
  </si>
  <si>
    <t>SALES_GER</t>
  </si>
  <si>
    <t>Sales - % Greece</t>
  </si>
  <si>
    <t>SALES_GRE</t>
  </si>
  <si>
    <t>Sales - % Ireland</t>
  </si>
  <si>
    <t>SALES_IRE</t>
  </si>
  <si>
    <t>Sales - % Italy</t>
  </si>
  <si>
    <t>SALES_ITA</t>
  </si>
  <si>
    <t>Sales - % Netherlands</t>
  </si>
  <si>
    <t>SALES_NETH</t>
  </si>
  <si>
    <t>Sales - % Norway</t>
  </si>
  <si>
    <t>SALES_NOR</t>
  </si>
  <si>
    <t>Sales - % Portugal</t>
  </si>
  <si>
    <t>SALES_POR</t>
  </si>
  <si>
    <t>Sales - % Spain</t>
  </si>
  <si>
    <t>SALES_SPA</t>
  </si>
  <si>
    <t>Sales - % Sweden</t>
  </si>
  <si>
    <t>SALES_SWE</t>
  </si>
  <si>
    <t>Sales - % Switzerland</t>
  </si>
  <si>
    <t>SALES_SWIT</t>
  </si>
  <si>
    <t>Sales - % UK</t>
  </si>
  <si>
    <t>SALES_UK</t>
  </si>
  <si>
    <t>Sales - % Other Western Europe</t>
  </si>
  <si>
    <t>SALES_OTH_WEST_EURO</t>
  </si>
  <si>
    <t>Sales - % Poland</t>
  </si>
  <si>
    <t>SALES_POLAND</t>
  </si>
  <si>
    <t>Sales - % Russia</t>
  </si>
  <si>
    <t>SALES_RUSSIA</t>
  </si>
  <si>
    <t>Sales - % Turkey</t>
  </si>
  <si>
    <t>SALES_TURKEY</t>
  </si>
  <si>
    <t>Sales - % Other CEE</t>
  </si>
  <si>
    <t>SALES_OTH_CEE</t>
  </si>
  <si>
    <t>Sales - % Saudi Arabia</t>
  </si>
  <si>
    <t>SALES_SAUDI_ARABIA</t>
  </si>
  <si>
    <t>Sales - % United Arab Emirates</t>
  </si>
  <si>
    <t>SALES_UAE</t>
  </si>
  <si>
    <t>Sales - % Other Middle East</t>
  </si>
  <si>
    <t>SALES_OTH_ME</t>
  </si>
  <si>
    <t>Sales - % Nigeria</t>
  </si>
  <si>
    <t>SALES_NIGERIA</t>
  </si>
  <si>
    <t>Sales - % South Africa</t>
  </si>
  <si>
    <t>SALES_SO_AFRICA</t>
  </si>
  <si>
    <t>Sales - % Other Africa</t>
  </si>
  <si>
    <t>SALES_OTH_AFRICA</t>
  </si>
  <si>
    <t>Sales - % Hong Kong</t>
  </si>
  <si>
    <t>SALES_HONG_KONG</t>
  </si>
  <si>
    <t>Sales - % Japan</t>
  </si>
  <si>
    <t>SALES_JAPAN</t>
  </si>
  <si>
    <t>Sales - % Singapore</t>
  </si>
  <si>
    <t>SALES_SINGAPORE</t>
  </si>
  <si>
    <t>Sales - % South Korea</t>
  </si>
  <si>
    <t>SALES_SK</t>
  </si>
  <si>
    <t>Sales - % Taiwan</t>
  </si>
  <si>
    <t>SALES_TAIWAN</t>
  </si>
  <si>
    <t>Sales - % Other Developed Asia</t>
  </si>
  <si>
    <t>SALES_OTH_DEV_ASIA</t>
  </si>
  <si>
    <t>Sales - % China</t>
  </si>
  <si>
    <t>SALES_CHINA</t>
  </si>
  <si>
    <t>Sales - % India</t>
  </si>
  <si>
    <t>SALES_INDIA</t>
  </si>
  <si>
    <t>Sales - % Indonesia</t>
  </si>
  <si>
    <t>SALES_INDONESIA</t>
  </si>
  <si>
    <t>Sales - % Thailand</t>
  </si>
  <si>
    <t>SALES_THAILAND</t>
  </si>
  <si>
    <t>Sales - % Other Emerging Asia</t>
  </si>
  <si>
    <t>SALES_OTH_EMERG_ASIA</t>
  </si>
  <si>
    <t>Sales - % Australia</t>
  </si>
  <si>
    <t>SALES_AUSTRA</t>
  </si>
  <si>
    <t>Sales - % New Zealand</t>
  </si>
  <si>
    <t>SALES_NZ</t>
  </si>
  <si>
    <t>Sales - % Others</t>
  </si>
  <si>
    <t>SALES_OTHER</t>
  </si>
  <si>
    <t>% of CoGS from U.S. (GS estimate)</t>
  </si>
  <si>
    <t>COGS_PCT_US</t>
  </si>
  <si>
    <t>% of CoGS from non-U.S. (GS estimate)</t>
  </si>
  <si>
    <t>COGS_PCT_ROW</t>
  </si>
  <si>
    <t>% of SG&amp;A from U.S. (GS estimate)</t>
  </si>
  <si>
    <t>SGA_PCT_US</t>
  </si>
  <si>
    <t>% of SG&amp;A from non-U.S. (GS estimate)</t>
  </si>
  <si>
    <t>SGA_PCT_ROW</t>
  </si>
  <si>
    <t>Sales -% Consumer (C)</t>
  </si>
  <si>
    <t>SALES_CONS</t>
  </si>
  <si>
    <t>Sales -% Industry (I)</t>
  </si>
  <si>
    <t>SALES_IND</t>
  </si>
  <si>
    <t>Sales -% Government (G)</t>
  </si>
  <si>
    <t>SALES_GOV</t>
  </si>
  <si>
    <t>Sales - % Industry Sub-Segment: Financial Services</t>
  </si>
  <si>
    <t>SALES_FINAN</t>
  </si>
  <si>
    <t>Sales - % Industry Sub-Segment: Oil &amp; Gas</t>
  </si>
  <si>
    <t>SALES_OIL_GAS</t>
  </si>
  <si>
    <t>Commodities Exposure - Sales</t>
  </si>
  <si>
    <t>Sales - % Glass</t>
  </si>
  <si>
    <t>SALES_GLASS</t>
  </si>
  <si>
    <t>Sales - % Other (Non-Commodity) sales sources</t>
  </si>
  <si>
    <t>SALES_OTH_SALES_SOURCES</t>
  </si>
  <si>
    <t>Commodities Exposure - Expense</t>
  </si>
  <si>
    <t>Expense - % Oil/Petrol/Fuel</t>
  </si>
  <si>
    <t>EXP_OIL_PETRO_FUEL</t>
  </si>
  <si>
    <t>Expense - % Oil derivatives/NGLs/plastics</t>
  </si>
  <si>
    <t>EXP_OIL_DERIV_NGLS_PLASTICS</t>
  </si>
  <si>
    <t>Expense - % Gold</t>
  </si>
  <si>
    <t>EXP_GOLD</t>
  </si>
  <si>
    <t>Expense - % Copper</t>
  </si>
  <si>
    <t>EXP_COPPER</t>
  </si>
  <si>
    <t>Expense - % Silver</t>
  </si>
  <si>
    <t>EXP_SILVER</t>
  </si>
  <si>
    <t>Expense - % Platinum</t>
  </si>
  <si>
    <t>EXP_PLATINUM</t>
  </si>
  <si>
    <t>Expense - % Palladium</t>
  </si>
  <si>
    <t>EXP_PALLADIUM</t>
  </si>
  <si>
    <t>Expense - % Aluminium</t>
  </si>
  <si>
    <t>EXP_ALUMINIUM</t>
  </si>
  <si>
    <t>Expense - % Nickel</t>
  </si>
  <si>
    <t>EXP_NICKEL</t>
  </si>
  <si>
    <t>Expense - % Zinc</t>
  </si>
  <si>
    <t>EXP_ZINC</t>
  </si>
  <si>
    <t>Expense - % Paper/pulp</t>
  </si>
  <si>
    <t>EXP_PAPER_PULP</t>
  </si>
  <si>
    <t>Expense - % Glass</t>
  </si>
  <si>
    <t>EXP_GLASS</t>
  </si>
  <si>
    <t>Expense - % Water</t>
  </si>
  <si>
    <t>EXP_WATER</t>
  </si>
  <si>
    <t>Expense - % Other commodity</t>
  </si>
  <si>
    <t>EXP_OTH_COMMODITY</t>
  </si>
  <si>
    <t>Expense - % Other (Non-Commodity) cost</t>
  </si>
  <si>
    <t>EXP_OTH_COST</t>
  </si>
  <si>
    <t>FX Exposure - Sales</t>
  </si>
  <si>
    <t>Sales - % FX: British Pounds/Pence</t>
  </si>
  <si>
    <t>SALES_FX_GPB</t>
  </si>
  <si>
    <t>Sales - % FX: Euro</t>
  </si>
  <si>
    <t>SALES_FX_EUR</t>
  </si>
  <si>
    <t>Sales - % FX: New Russian Ruble</t>
  </si>
  <si>
    <t>SALES_FX_RUB</t>
  </si>
  <si>
    <t>Sales - % FX: U.S. Dollar</t>
  </si>
  <si>
    <t>SALES_FX_USD</t>
  </si>
  <si>
    <t>Sales - % FX: Brazilian Real</t>
  </si>
  <si>
    <t>SALES_FX_BRL</t>
  </si>
  <si>
    <t>Sales - % FX: Japanese Yen</t>
  </si>
  <si>
    <t>SALES_FX_YEN</t>
  </si>
  <si>
    <t>Sales - % FX: Chinese Renminbi</t>
  </si>
  <si>
    <t>SALES_FX_CNY</t>
  </si>
  <si>
    <t>Sales - % FX: Indian Rupee</t>
  </si>
  <si>
    <t>SALES_FX_INR</t>
  </si>
  <si>
    <t>Sales - % FX: South Korean Won</t>
  </si>
  <si>
    <t>SALES_FX_KRW</t>
  </si>
  <si>
    <t>Sales - % FX: Taiwan Dollar</t>
  </si>
  <si>
    <t>SALES_FX_TWD</t>
  </si>
  <si>
    <t>Sales - % FX: Other Currency</t>
  </si>
  <si>
    <t>SALES_FX_OTH</t>
  </si>
  <si>
    <t>Items to be removed</t>
  </si>
  <si>
    <t>Sales - Total % Americas</t>
  </si>
  <si>
    <t>SALES_TOT_AM</t>
  </si>
  <si>
    <t>Sales - % Other Americas</t>
  </si>
  <si>
    <t>SALES_OTH_AM</t>
  </si>
  <si>
    <t>Sales - Total % EMEA</t>
  </si>
  <si>
    <t>SALES_TOT_EMEA</t>
  </si>
  <si>
    <t>Sales - % Western Europe-Ex UK</t>
  </si>
  <si>
    <t>SALES_EU_EX_UK</t>
  </si>
  <si>
    <t>Sales - % Central &amp; Eastern Europe</t>
  </si>
  <si>
    <t>SALES_CEE</t>
  </si>
  <si>
    <t>Sales - % Middle East</t>
  </si>
  <si>
    <t>SALES_ME</t>
  </si>
  <si>
    <t>Sales - % Total Africa</t>
  </si>
  <si>
    <t>SALES_TOT_AFRICA</t>
  </si>
  <si>
    <t>Sales - % Other EMEA</t>
  </si>
  <si>
    <t>SALES_OTH_EMEA</t>
  </si>
  <si>
    <t>Sales - Total % Asia (incl Australia &amp; New Zealand)</t>
  </si>
  <si>
    <t>SALES_TOT_ASIA</t>
  </si>
  <si>
    <t>Sales - % Other Asia</t>
  </si>
  <si>
    <t>SALES_OTH_AEJ</t>
  </si>
  <si>
    <t>Security: Eoptolink | SecID: 200022336</t>
  </si>
  <si>
    <t>Ticker</t>
  </si>
  <si>
    <t>300502.SZ</t>
  </si>
  <si>
    <t>Security Name</t>
  </si>
  <si>
    <t>Interim Type</t>
  </si>
  <si>
    <t>Q</t>
  </si>
  <si>
    <t>Publishing Currency</t>
  </si>
  <si>
    <t>PUB_CURRENCY_ISO</t>
  </si>
  <si>
    <t>Pricing Currency</t>
  </si>
  <si>
    <t>PRICE_CURRENCY_ISO</t>
  </si>
  <si>
    <t>Asia ex. Japan Investment List</t>
  </si>
  <si>
    <t>AEJ_LIST</t>
  </si>
  <si>
    <t>Asia ex. Japan Conviction List</t>
  </si>
  <si>
    <t>NOT IN USE</t>
  </si>
  <si>
    <t>Legal rating</t>
  </si>
  <si>
    <t>LEGAL_RATING</t>
  </si>
  <si>
    <t>Target price</t>
  </si>
  <si>
    <t>TARGET_PRICE</t>
  </si>
  <si>
    <t>Target price period</t>
  </si>
  <si>
    <t>TP_PERIOD</t>
  </si>
  <si>
    <t>12 months</t>
  </si>
  <si>
    <t>Fundamental value</t>
  </si>
  <si>
    <t>TARGET_PRICE_FUNDAMENTAL</t>
  </si>
  <si>
    <t>M&amp;A value</t>
  </si>
  <si>
    <t>TARGET_PRICE_MA</t>
  </si>
  <si>
    <t>Current shares outstanding (mn)</t>
  </si>
  <si>
    <t>NUM_SH</t>
  </si>
  <si>
    <t>Free float</t>
  </si>
  <si>
    <t>FREE_FLOAT</t>
  </si>
  <si>
    <t>Foreign ownership</t>
  </si>
  <si>
    <t>FOREIGN_HOLDNG</t>
  </si>
  <si>
    <t>Catalyst 1 date</t>
  </si>
  <si>
    <t>CATALYST1_DATE</t>
  </si>
  <si>
    <t>Catalyst 1 description</t>
  </si>
  <si>
    <t>CATALYST1_EVENT</t>
  </si>
  <si>
    <t>Catalyst 2 date</t>
  </si>
  <si>
    <t>CATALYST2_DATE</t>
  </si>
  <si>
    <t>Catalyst 2 description</t>
  </si>
  <si>
    <t>CATALYST2_EVENT</t>
  </si>
  <si>
    <t>Catalyst 3 date</t>
  </si>
  <si>
    <t>CATALYST3_DATE</t>
  </si>
  <si>
    <t>Catalyst 3 description</t>
  </si>
  <si>
    <t>CATALYST3_EVENT</t>
  </si>
  <si>
    <t>Catalyst 4 date</t>
  </si>
  <si>
    <t>CATALYST4_DATE</t>
  </si>
  <si>
    <t>Catalyst 4 description</t>
  </si>
  <si>
    <t>CATALYST4_EVENT</t>
  </si>
  <si>
    <t>Catalyst 5 date</t>
  </si>
  <si>
    <t>CATALYST5_DATE</t>
  </si>
  <si>
    <t>Catalyst 5 description</t>
  </si>
  <si>
    <t>CATALYST5_EVENT</t>
  </si>
  <si>
    <t>Target price multiple</t>
  </si>
  <si>
    <t>PRI_TARG_MULT</t>
  </si>
  <si>
    <t>Target price methodology</t>
  </si>
  <si>
    <t>PRI_TARG_METH</t>
  </si>
  <si>
    <t>Publishing Items</t>
  </si>
  <si>
    <t>Book value per share, BVPS (Pub)</t>
  </si>
  <si>
    <t>BVPS_PUB</t>
  </si>
  <si>
    <t>DPS, dividend per share (Pub)</t>
  </si>
  <si>
    <t>DPS_PUB</t>
  </si>
  <si>
    <t>Special dividend per share</t>
  </si>
  <si>
    <t>DPS_SPECIAL_PUB</t>
  </si>
  <si>
    <t>EBITDA (Pub)</t>
  </si>
  <si>
    <t>EBITDA_PUB</t>
  </si>
  <si>
    <t>EPS (Pub)</t>
  </si>
  <si>
    <t>EPS_PUB</t>
  </si>
  <si>
    <t>EV adjustment (Pub)</t>
  </si>
  <si>
    <t>EV_ADJ_PUB</t>
  </si>
  <si>
    <t>Net debt (Pub)</t>
  </si>
  <si>
    <t>NET_DEBT_PUB</t>
  </si>
  <si>
    <t>Net Debt (ex leases) (Pub)</t>
  </si>
  <si>
    <t>NET_DEBT_EX_LEASES_PUB</t>
  </si>
  <si>
    <t>Consensus equivalent net debt</t>
  </si>
  <si>
    <t>CEEE_NDEBT</t>
  </si>
  <si>
    <t>Net income (Pub)</t>
  </si>
  <si>
    <t>NI_PUB</t>
  </si>
  <si>
    <t>EBIT, operating profit (Pub)</t>
  </si>
  <si>
    <t>EBIT_PUB</t>
  </si>
  <si>
    <t>Pre-tax profit (Pub)</t>
  </si>
  <si>
    <t>PTP_PUB</t>
  </si>
  <si>
    <t>Sales, revenue (Pub)</t>
  </si>
  <si>
    <t>REVS_PUB</t>
  </si>
  <si>
    <t>Total shareholders' equity (Pub)</t>
  </si>
  <si>
    <t>EQ_PUB</t>
  </si>
  <si>
    <t>EPS (consensus)</t>
  </si>
  <si>
    <t>EPS_CONS_PUB</t>
  </si>
  <si>
    <t>Provision for income tax</t>
  </si>
  <si>
    <t>PROV_INC_TAX</t>
  </si>
  <si>
    <t>INC_MINORITY</t>
  </si>
  <si>
    <t>Net income (pre-preferred dividends)</t>
  </si>
  <si>
    <t>NI_PRE_PREF</t>
  </si>
  <si>
    <t>Preferred dividends</t>
  </si>
  <si>
    <t>PREF_DIV</t>
  </si>
  <si>
    <t>Net income (pre-exceptionals)</t>
  </si>
  <si>
    <t>NET_EARNING</t>
  </si>
  <si>
    <t>Post-tax exceptionals</t>
  </si>
  <si>
    <t>TAX_EXC</t>
  </si>
  <si>
    <t>Net income (post-exceptionals)</t>
  </si>
  <si>
    <t>NET_INC</t>
  </si>
  <si>
    <t>EPS (pre-exceptionals, basic)</t>
  </si>
  <si>
    <t>EPS</t>
  </si>
  <si>
    <t>EPS (pre-exceptionals, diluted)</t>
  </si>
  <si>
    <t>EPS_FUL_DIL</t>
  </si>
  <si>
    <t>EPS (post-exceptionals, basic)</t>
  </si>
  <si>
    <t>EPS_POST_BASIC</t>
  </si>
  <si>
    <t>EPS (post-exceptionals, diluted)</t>
  </si>
  <si>
    <t>FULLY_DIL_EPS</t>
  </si>
  <si>
    <t>Common dividends paid</t>
  </si>
  <si>
    <t>COMMON_DIV_PAID</t>
  </si>
  <si>
    <t>DPS, dividend per share</t>
  </si>
  <si>
    <t>DPS</t>
  </si>
  <si>
    <t>Weighted average shares outstanding, basic</t>
  </si>
  <si>
    <t>SH</t>
  </si>
  <si>
    <t>Diluted average shares outstanding (mn)</t>
  </si>
  <si>
    <t>DILUTE_SHARES</t>
  </si>
  <si>
    <t>Period-end shares outstanding</t>
  </si>
  <si>
    <t>NON_OP_ADD</t>
  </si>
  <si>
    <t>Marginal tax rate</t>
  </si>
  <si>
    <t>MARGIN_TAX_RATE</t>
  </si>
  <si>
    <t>Net income (consensus) (Pub)</t>
  </si>
  <si>
    <t>NI_CONS</t>
  </si>
  <si>
    <t>BVPS, book value per share</t>
  </si>
  <si>
    <t>BVPS</t>
  </si>
  <si>
    <t>CF_NI_PRE_PREF</t>
  </si>
  <si>
    <t>Beta</t>
  </si>
  <si>
    <t>BETA_ANALYST</t>
  </si>
  <si>
    <t>Market equity risk premium</t>
  </si>
  <si>
    <t>MKT_EQ_RISK_PREM</t>
  </si>
  <si>
    <t>Risk-free rate</t>
  </si>
  <si>
    <t>RISK_FR_RATE</t>
  </si>
  <si>
    <t xml:space="preserve">Eoptolink (300502.SZ) </t>
  </si>
  <si>
    <t>In Rmb millions</t>
  </si>
  <si>
    <t>1Q14</t>
  </si>
  <si>
    <t>2Q14</t>
  </si>
  <si>
    <t>3Q14</t>
  </si>
  <si>
    <t>4Q14</t>
  </si>
  <si>
    <t>1Q15</t>
  </si>
  <si>
    <t>2Q15</t>
  </si>
  <si>
    <t>3Q15</t>
  </si>
  <si>
    <t>4Q15</t>
  </si>
  <si>
    <t>1Q16</t>
  </si>
  <si>
    <t>2Q16</t>
  </si>
  <si>
    <t>3Q16</t>
  </si>
  <si>
    <t>4Q16</t>
  </si>
  <si>
    <t>1Q17</t>
  </si>
  <si>
    <t>2Q17</t>
  </si>
  <si>
    <t>3Q17</t>
  </si>
  <si>
    <t>4Q17</t>
  </si>
  <si>
    <t>1Q18</t>
  </si>
  <si>
    <t>2Q18</t>
  </si>
  <si>
    <t>3Q18</t>
  </si>
  <si>
    <t>4Q18</t>
  </si>
  <si>
    <t>1Q19</t>
  </si>
  <si>
    <t>2Q19</t>
  </si>
  <si>
    <t>3Q19</t>
  </si>
  <si>
    <t>4Q19</t>
  </si>
  <si>
    <t>1Q20</t>
  </si>
  <si>
    <t>2Q20</t>
  </si>
  <si>
    <t>3Q20</t>
  </si>
  <si>
    <t>4Q20</t>
  </si>
  <si>
    <t>1Q21</t>
  </si>
  <si>
    <t>2Q21</t>
  </si>
  <si>
    <t>3Q21</t>
  </si>
  <si>
    <t>4Q21</t>
  </si>
  <si>
    <t>1Q22</t>
  </si>
  <si>
    <t>2Q22</t>
  </si>
  <si>
    <t>3Q22</t>
  </si>
  <si>
    <t>4Q22</t>
  </si>
  <si>
    <t>1Q23</t>
  </si>
  <si>
    <t>2Q23</t>
  </si>
  <si>
    <t>3Q23</t>
  </si>
  <si>
    <t>4Q23</t>
  </si>
  <si>
    <t>1Q24</t>
  </si>
  <si>
    <t>2Q24</t>
  </si>
  <si>
    <t>3Q24</t>
  </si>
  <si>
    <t>4Q24</t>
  </si>
  <si>
    <t>1Q25</t>
  </si>
  <si>
    <t>2Q25</t>
  </si>
  <si>
    <t>3Q25</t>
  </si>
  <si>
    <t>4Q25</t>
  </si>
  <si>
    <t>1Q26</t>
  </si>
  <si>
    <t>2Q26</t>
  </si>
  <si>
    <t>3Q26</t>
  </si>
  <si>
    <t>4Q26</t>
  </si>
  <si>
    <t>1Q27</t>
  </si>
  <si>
    <t>2Q27</t>
  </si>
  <si>
    <t>3Q27</t>
  </si>
  <si>
    <t>4Q27</t>
  </si>
  <si>
    <t>1Q28</t>
  </si>
  <si>
    <t>2Q28</t>
  </si>
  <si>
    <t>3Q28</t>
  </si>
  <si>
    <t>4Q28</t>
  </si>
  <si>
    <t>Income statements</t>
  </si>
  <si>
    <t>Total sales/revenues</t>
  </si>
  <si>
    <t>COGS</t>
  </si>
  <si>
    <t>Others</t>
  </si>
  <si>
    <t>Total COGS</t>
  </si>
  <si>
    <t>Gross profit</t>
  </si>
  <si>
    <t>Gross margin %</t>
  </si>
  <si>
    <t>Operating expense</t>
  </si>
  <si>
    <t>Sales tax</t>
  </si>
  <si>
    <t>Marketing expense</t>
  </si>
  <si>
    <t>Administrative expense</t>
  </si>
  <si>
    <t>R&amp;D</t>
  </si>
  <si>
    <t>Operating income</t>
  </si>
  <si>
    <t>Other income (loss)</t>
  </si>
  <si>
    <t>Finance cost</t>
  </si>
  <si>
    <t>Impairement loss</t>
  </si>
  <si>
    <t>Profit/(loss) on disposal of assets (pre-tax)</t>
  </si>
  <si>
    <t>Foreign exchange gain/(loss)</t>
  </si>
  <si>
    <t>Income (loss) from associates</t>
  </si>
  <si>
    <t>Share of results in jointly controlled entities</t>
  </si>
  <si>
    <t>Other non-operating income/expense</t>
  </si>
  <si>
    <t>Income taxes</t>
  </si>
  <si>
    <t>Extraordinary gain/(loss)</t>
  </si>
  <si>
    <t>Net income</t>
  </si>
  <si>
    <t>EPS - basic</t>
  </si>
  <si>
    <t>EPS - fully diluted</t>
  </si>
  <si>
    <t>EPS (based on current shares outstanding)</t>
  </si>
  <si>
    <t>Common dividends declared</t>
  </si>
  <si>
    <t>Dividends per share</t>
  </si>
  <si>
    <t>Weighted avg. adj. shares outstanding (mn)</t>
  </si>
  <si>
    <t>Fully diluted shares outstanding (mn)</t>
  </si>
  <si>
    <t>Period end shares outstanding (mn)</t>
  </si>
  <si>
    <t>Current shares outstanding</t>
  </si>
  <si>
    <t>Dividend payout</t>
  </si>
  <si>
    <t>Dividend declared</t>
  </si>
  <si>
    <t>Payout ratio</t>
  </si>
  <si>
    <t>Growth YoY%</t>
  </si>
  <si>
    <t>Revenue</t>
  </si>
  <si>
    <t>Profit before tax</t>
  </si>
  <si>
    <t>Net income to common shareholders</t>
  </si>
  <si>
    <t>Margin analysis</t>
  </si>
  <si>
    <t>% of sales</t>
  </si>
  <si>
    <t>Gross margin</t>
  </si>
  <si>
    <t>Operating margin</t>
  </si>
  <si>
    <t>EBITDA margin</t>
  </si>
  <si>
    <t>EBIT margin</t>
  </si>
  <si>
    <t>Pre-tax margin</t>
  </si>
  <si>
    <t>Effective tax rate (excl. income from associate)</t>
  </si>
  <si>
    <t>Net margins</t>
  </si>
  <si>
    <t>Quarterly distribution</t>
  </si>
  <si>
    <t>Other income statement assumptions</t>
  </si>
  <si>
    <t>Interest income calculation:</t>
  </si>
  <si>
    <t>Previous cash balance</t>
  </si>
  <si>
    <t>Interest income as a % of cash</t>
  </si>
  <si>
    <t>Interest expense calculation:</t>
  </si>
  <si>
    <t>Total debt</t>
  </si>
  <si>
    <t>Interest charges</t>
  </si>
  <si>
    <t>Effective interest rate</t>
  </si>
  <si>
    <t>Cash balance</t>
  </si>
  <si>
    <t>Interest income as % of cash</t>
  </si>
  <si>
    <t>Income from associates:</t>
  </si>
  <si>
    <t>Interests in an associate</t>
  </si>
  <si>
    <t>As a % of interest in associates</t>
  </si>
  <si>
    <t>Income from jointly controlled entities:</t>
  </si>
  <si>
    <t>Interest in a jointly controlled entity</t>
  </si>
  <si>
    <t>As a % of interest in jointly controlled entities</t>
  </si>
  <si>
    <t>Balance sheet</t>
  </si>
  <si>
    <t>Cash and equivalents</t>
  </si>
  <si>
    <t>Account receivable</t>
  </si>
  <si>
    <t>Inventory/stocks</t>
  </si>
  <si>
    <t>Current assets</t>
  </si>
  <si>
    <t>Gross PP&amp;E/Fixed assets</t>
  </si>
  <si>
    <t>Less accumulated depreciation</t>
  </si>
  <si>
    <t>!</t>
  </si>
  <si>
    <t>Net PP&amp;E/Fixed assets</t>
  </si>
  <si>
    <t xml:space="preserve">Gross intangibles </t>
  </si>
  <si>
    <t>Net intangibles</t>
  </si>
  <si>
    <t>Total investments</t>
  </si>
  <si>
    <t>Non-current assets</t>
  </si>
  <si>
    <t xml:space="preserve"> </t>
  </si>
  <si>
    <t>Short-term debt and current portion of long-term debt</t>
  </si>
  <si>
    <t>Current liabilities</t>
  </si>
  <si>
    <t>Long-term debt</t>
  </si>
  <si>
    <t>Other long-term liabilities/creditors</t>
  </si>
  <si>
    <t xml:space="preserve">Total liabilities   </t>
  </si>
  <si>
    <t>Common stock (includes par value, capital surplus, and treasury)</t>
  </si>
  <si>
    <t>Treasury stock</t>
  </si>
  <si>
    <t>Retained earnings</t>
  </si>
  <si>
    <t>Other common equity</t>
  </si>
  <si>
    <t>Minority interest (balance sheet)</t>
  </si>
  <si>
    <t>Total shareholders funds/equity</t>
  </si>
  <si>
    <t xml:space="preserve">Balance sheet assumptions </t>
  </si>
  <si>
    <t>Account receivable days</t>
  </si>
  <si>
    <t>Inventory days</t>
  </si>
  <si>
    <t>Account payable days</t>
  </si>
  <si>
    <t>Cash conversion cycle</t>
  </si>
  <si>
    <t xml:space="preserve">AR % to revenue </t>
  </si>
  <si>
    <t>Inventory % to revenue</t>
  </si>
  <si>
    <t>AP % to revenue</t>
  </si>
  <si>
    <t>Book value per share</t>
  </si>
  <si>
    <t>Net working capital</t>
  </si>
  <si>
    <t>Net debt (net cash)</t>
  </si>
  <si>
    <t>Net debt (cash) /total equity</t>
  </si>
  <si>
    <t>Fixed assets</t>
  </si>
  <si>
    <t>Beginning balance</t>
  </si>
  <si>
    <t>Capex (addition for fixed assets)</t>
  </si>
  <si>
    <t>Others (disposals, etc)</t>
  </si>
  <si>
    <t>Ending balance</t>
  </si>
  <si>
    <t>Depreciation as % of Beginning balance</t>
  </si>
  <si>
    <t>Intangible assets</t>
  </si>
  <si>
    <t>Capex (addition for intangibles)</t>
  </si>
  <si>
    <t>Amortization as % of beginning balance</t>
  </si>
  <si>
    <t>Dupont analysis</t>
  </si>
  <si>
    <t>Asset turnover</t>
  </si>
  <si>
    <t>Leverage (assets/equity)</t>
  </si>
  <si>
    <t>Net margin</t>
  </si>
  <si>
    <t>ROE</t>
  </si>
  <si>
    <t>ROA</t>
  </si>
  <si>
    <t>Capex / revenue</t>
  </si>
  <si>
    <t>FCF</t>
  </si>
  <si>
    <t>Cash flow statements</t>
  </si>
  <si>
    <t>Income pre-preferred share dividends</t>
  </si>
  <si>
    <t>Depreciation and amortization add-back</t>
  </si>
  <si>
    <t>-Net income from associates and jointly controlled entities</t>
  </si>
  <si>
    <t>-Net (loss)/gain on asset sales</t>
  </si>
  <si>
    <t>(Increase)/decrease in working capital :</t>
  </si>
  <si>
    <t>Cash flow from operations</t>
  </si>
  <si>
    <t>Capital expenditure</t>
  </si>
  <si>
    <t>(Acquisitions)/divestitures</t>
  </si>
  <si>
    <t>Investments</t>
  </si>
  <si>
    <t>Other investment cash flow items</t>
  </si>
  <si>
    <t xml:space="preserve">Dividends (common and preferred) paid </t>
  </si>
  <si>
    <t>Share repurchase/issue (change In common stock)</t>
  </si>
  <si>
    <t>Increase/(decrease) in preferred shares</t>
  </si>
  <si>
    <t>Change in minority interest</t>
  </si>
  <si>
    <t>Effect of foreign exchange rate changes</t>
  </si>
  <si>
    <t>Other adjustments</t>
  </si>
  <si>
    <t>Net change in cash</t>
  </si>
  <si>
    <t>hdd</t>
  </si>
  <si>
    <t>Source: Company data, Goldman Sachs Research estimates.</t>
  </si>
  <si>
    <t>2Q26E</t>
  </si>
  <si>
    <t>3Q26E</t>
  </si>
  <si>
    <t>4Q26E</t>
  </si>
  <si>
    <t>1Q27E</t>
  </si>
  <si>
    <t>2Q27E</t>
  </si>
  <si>
    <t>3Q27E</t>
  </si>
  <si>
    <t>4Q27E</t>
  </si>
  <si>
    <t>1Q28E</t>
  </si>
  <si>
    <t>2Q28E</t>
  </si>
  <si>
    <t>3Q28E</t>
  </si>
  <si>
    <t>4Q28E</t>
  </si>
  <si>
    <t>2025E</t>
  </si>
  <si>
    <t>2026E</t>
  </si>
  <si>
    <t>2027E</t>
  </si>
  <si>
    <t>2028E</t>
  </si>
  <si>
    <t>Revenue (Rmb million)</t>
  </si>
  <si>
    <t>Optical transceviers</t>
  </si>
  <si>
    <t>PON</t>
  </si>
  <si>
    <t>Optical components</t>
  </si>
  <si>
    <t>YoY</t>
  </si>
  <si>
    <t>Mix</t>
  </si>
  <si>
    <t>Optical transceivers revenue by specs</t>
  </si>
  <si>
    <t>25G or below</t>
  </si>
  <si>
    <t>40G</t>
  </si>
  <si>
    <t>100G</t>
  </si>
  <si>
    <t>200G</t>
  </si>
  <si>
    <t>400G</t>
  </si>
  <si>
    <t>800G</t>
  </si>
  <si>
    <t>1.6T</t>
  </si>
  <si>
    <t>3.2T</t>
  </si>
  <si>
    <t>Overseas</t>
  </si>
  <si>
    <t>Domestic</t>
  </si>
  <si>
    <t>Overseas revenue</t>
  </si>
  <si>
    <t>Overseas shipment</t>
  </si>
  <si>
    <t>Overseas ASP</t>
  </si>
  <si>
    <t>Revenue (Rmb mn)</t>
  </si>
  <si>
    <t>Shipment (mn units)</t>
  </si>
  <si>
    <t>Shipment YoY</t>
  </si>
  <si>
    <t>ASP (US$)</t>
  </si>
  <si>
    <t>ASP (Rmb) with no tariff impact</t>
  </si>
  <si>
    <t>ASP change%</t>
  </si>
  <si>
    <t>Unit costs</t>
  </si>
  <si>
    <t>Cost change %</t>
  </si>
  <si>
    <t xml:space="preserve">3.2T </t>
  </si>
  <si>
    <t>Tariff-impacted segment</t>
  </si>
  <si>
    <t>Tariff impact</t>
  </si>
  <si>
    <t>Total tariff</t>
  </si>
  <si>
    <t>Tariff to bear by customers</t>
  </si>
  <si>
    <t>Tariff to bear by Eoptolink</t>
  </si>
  <si>
    <t>Tariff split (Eoptolink to bear)</t>
  </si>
  <si>
    <t>ASP impact/drop%</t>
  </si>
  <si>
    <t>% shipment to US</t>
  </si>
  <si>
    <t>Revenue from US (Rmb mn)</t>
  </si>
  <si>
    <t>Shipment to US (mn units)</t>
  </si>
  <si>
    <t>Tariff per unit (Rmb)</t>
  </si>
  <si>
    <t>New price after tariff impact (Rmb)</t>
  </si>
  <si>
    <t>Implied tariff born by Eoptolink (Rmb per unit)</t>
  </si>
  <si>
    <t>Unit costs (Rmb)</t>
  </si>
  <si>
    <t>Unit gross profit (Rmb)</t>
  </si>
  <si>
    <t>Gross margins</t>
  </si>
  <si>
    <t>Gross profits (Rmb mn)</t>
  </si>
  <si>
    <t>Minority interests</t>
  </si>
  <si>
    <t>Net profit</t>
  </si>
  <si>
    <t>Minority%</t>
  </si>
  <si>
    <t>Non-Tariff segment</t>
  </si>
  <si>
    <t>Shipment (non-tariff) (mn units)</t>
  </si>
  <si>
    <t>ASP (Rmb) no tariff</t>
  </si>
  <si>
    <t>Unit cost (Rmb)</t>
  </si>
  <si>
    <t>China Domestic</t>
  </si>
  <si>
    <t>Domestic revenue</t>
  </si>
  <si>
    <t>Domestic shipment</t>
  </si>
  <si>
    <t>Domestic ASP</t>
  </si>
  <si>
    <t>ASP (Rmb)</t>
  </si>
  <si>
    <t>ASP QoQ</t>
  </si>
  <si>
    <t>Gross margin reported</t>
  </si>
  <si>
    <t>Gross profit reported (Rmb mn)</t>
  </si>
  <si>
    <t>Gross profit breakdown</t>
  </si>
  <si>
    <t>Optical transceivers</t>
  </si>
  <si>
    <t>Total</t>
  </si>
  <si>
    <t>Optical transceiver gross profit (Rmb mn)</t>
  </si>
  <si>
    <t>Gross margin (%)</t>
  </si>
  <si>
    <t>Opex</t>
  </si>
  <si>
    <t>Selling</t>
  </si>
  <si>
    <t>Admin</t>
  </si>
  <si>
    <t>As % of revenue</t>
  </si>
  <si>
    <t>Quarterly split</t>
  </si>
  <si>
    <t>Selling expense</t>
  </si>
  <si>
    <t>Employee salary</t>
  </si>
  <si>
    <t>Shipping</t>
  </si>
  <si>
    <t>Travel</t>
  </si>
  <si>
    <t>Advertising</t>
  </si>
  <si>
    <t>Promotion</t>
  </si>
  <si>
    <t>Comission</t>
  </si>
  <si>
    <t>Stock compensation</t>
  </si>
  <si>
    <t>Admin expense</t>
  </si>
  <si>
    <t>Reception</t>
  </si>
  <si>
    <t>Utilities</t>
  </si>
  <si>
    <t>D&amp;A</t>
  </si>
  <si>
    <t>Office expense</t>
  </si>
  <si>
    <t>Agency fees</t>
  </si>
  <si>
    <t>Salary</t>
  </si>
  <si>
    <t>Materials expense</t>
  </si>
  <si>
    <t>As % of R&amp;D expense</t>
  </si>
</sst>
</file>

<file path=xl/styles.xml><?xml version="1.0" encoding="utf-8"?>
<styleSheet xmlns="http://schemas.openxmlformats.org/spreadsheetml/2006/main" xmlns:xr9="http://schemas.microsoft.com/office/spreadsheetml/2016/revision9">
  <numFmts count="25">
    <numFmt numFmtId="176" formatCode="0.0\x"/>
    <numFmt numFmtId="177" formatCode="_(#,##0.00%_);\(#,##0.00%\);_(&quot;-&quot;?_)"/>
    <numFmt numFmtId="178" formatCode="_(* #,##0.00000_);* \(#,##0.00000\);_(* &quot;-&quot;_)"/>
    <numFmt numFmtId="179" formatCode="_(* #,##0.00000_);_(* \(#,##0.00000\);_(* &quot;-&quot;??_);_(@_)"/>
    <numFmt numFmtId="180" formatCode="_(#,##0%_);\(#,##0%\);_(&quot;-&quot;?_)"/>
    <numFmt numFmtId="181" formatCode="0&quot;E&quot;"/>
    <numFmt numFmtId="182" formatCode="_(#,##0.0%_);\(#,##0.0%\);_(&quot;-&quot;?_)"/>
    <numFmt numFmtId="43" formatCode="_ * #,##0.00_ ;_ * \-#,##0.00_ ;_ * &quot;-&quot;??_ ;_ @_ "/>
    <numFmt numFmtId="183" formatCode="0.0%"/>
    <numFmt numFmtId="184" formatCode="_(* #,##0_);_(* \(#,##0\);_(* &quot;-&quot;??_);_(@_)"/>
    <numFmt numFmtId="185" formatCode="_(#,##0%_);_(\(#,##0%\);_(&quot;-&quot;?_)"/>
    <numFmt numFmtId="186" formatCode="@&quot;E&quot;"/>
    <numFmt numFmtId="187" formatCode="_(* #,##0.00_);* \(#,##0.00\);_(* &quot;-&quot;_)"/>
    <numFmt numFmtId="188" formatCode="0.0"/>
    <numFmt numFmtId="189" formatCode="_(* #,##0.000_);_(* \(#,##0.000\);_(* &quot;-&quot;??_);_(@_)"/>
    <numFmt numFmtId="190" formatCode="_(* #,##0.0_);* \(#,##0.0\);_(* &quot;-&quot;_)"/>
    <numFmt numFmtId="191" formatCode="_(* #,##0_);* \(#,##0\);_(* &quot;-&quot;_)"/>
    <numFmt numFmtId="44" formatCode="_ &quot;￥&quot;* #,##0.00_ ;_ &quot;￥&quot;* \-#,##0.00_ ;_ &quot;￥&quot;* &quot;-&quot;??_ ;_ @_ "/>
    <numFmt numFmtId="192" formatCode="dd\-mmm\-yyyy"/>
    <numFmt numFmtId="42" formatCode="_ &quot;￥&quot;* #,##0_ ;_ &quot;￥&quot;* \-#,##0_ ;_ &quot;￥&quot;* &quot;-&quot;_ ;_ @_ "/>
    <numFmt numFmtId="193" formatCode="_(* #,##0.00_);_(* \(#,##0.00\);_(* &quot;-&quot;??_);_(@_)"/>
    <numFmt numFmtId="194" formatCode="_(* #,##0.0_);_(* \(#,##0.0\);_(* &quot;-&quot;??_);_(@_)"/>
    <numFmt numFmtId="41" formatCode="_ * #,##0_ ;_ * \-#,##0_ ;_ * &quot;-&quot;_ ;_ @_ "/>
    <numFmt numFmtId="195" formatCode="_(* #,##0.000_);* \(#,##0.000\);_(* &quot;-&quot;_)"/>
    <numFmt numFmtId="196" formatCode="______@"/>
  </numFmts>
  <fonts count="81">
    <font>
      <sz val="10"/>
      <name val="Helvetica"/>
      <charset val="134"/>
    </font>
    <font>
      <b/>
      <u/>
      <sz val="10"/>
      <name val="Arial"/>
      <charset val="134"/>
    </font>
    <font>
      <sz val="10"/>
      <color theme="0" tint="-0.499984740745262"/>
      <name val="Arial"/>
      <charset val="134"/>
    </font>
    <font>
      <b/>
      <sz val="10"/>
      <name val="Arial"/>
      <charset val="134"/>
    </font>
    <font>
      <i/>
      <sz val="9"/>
      <color theme="0" tint="-0.499984740745262"/>
      <name val="Arial"/>
      <charset val="134"/>
    </font>
    <font>
      <b/>
      <sz val="9"/>
      <color theme="0"/>
      <name val="arial"/>
      <charset val="134"/>
    </font>
    <font>
      <i/>
      <sz val="9"/>
      <name val="Arial"/>
      <charset val="134"/>
    </font>
    <font>
      <b/>
      <i/>
      <sz val="9"/>
      <name val="Arial"/>
      <charset val="134"/>
    </font>
    <font>
      <sz val="10"/>
      <name val="Arial"/>
      <charset val="134"/>
    </font>
    <font>
      <b/>
      <sz val="10"/>
      <color theme="0"/>
      <name val="Arial"/>
      <charset val="134"/>
    </font>
    <font>
      <sz val="10"/>
      <color theme="0"/>
      <name val="Arial"/>
      <charset val="134"/>
    </font>
    <font>
      <sz val="9"/>
      <color theme="0"/>
      <name val="arial"/>
      <charset val="134"/>
    </font>
    <font>
      <b/>
      <u/>
      <sz val="9"/>
      <name val="Arial"/>
      <charset val="134"/>
    </font>
    <font>
      <b/>
      <u/>
      <sz val="9"/>
      <color rgb="FF0000FF"/>
      <name val="Arial"/>
      <charset val="134"/>
    </font>
    <font>
      <sz val="9"/>
      <name val="Arial"/>
      <charset val="134"/>
    </font>
    <font>
      <b/>
      <sz val="9"/>
      <name val="Arial"/>
      <charset val="134"/>
    </font>
    <font>
      <sz val="9"/>
      <color theme="0" tint="-0.499984740745262"/>
      <name val="Arial"/>
      <charset val="134"/>
    </font>
    <font>
      <sz val="9"/>
      <color rgb="FFFF0000"/>
      <name val="arial"/>
      <charset val="134"/>
    </font>
    <font>
      <u/>
      <sz val="9"/>
      <name val="Arial"/>
      <charset val="134"/>
    </font>
    <font>
      <sz val="9"/>
      <color rgb="FF0000FF"/>
      <name val="Arial"/>
      <charset val="134"/>
    </font>
    <font>
      <b/>
      <sz val="9"/>
      <color rgb="FF0000FF"/>
      <name val="Arial"/>
      <charset val="134"/>
    </font>
    <font>
      <b/>
      <sz val="9"/>
      <color theme="0" tint="-0.499984740745262"/>
      <name val="Arial"/>
      <charset val="134"/>
    </font>
    <font>
      <sz val="9"/>
      <color rgb="FF008000"/>
      <name val="Arial"/>
      <charset val="134"/>
    </font>
    <font>
      <sz val="9"/>
      <color rgb="FF00B050"/>
      <name val="Arial"/>
      <charset val="134"/>
    </font>
    <font>
      <i/>
      <sz val="10"/>
      <color theme="0" tint="-0.349986266670736"/>
      <name val="Arial"/>
      <charset val="134"/>
    </font>
    <font>
      <b/>
      <sz val="9"/>
      <color rgb="FFFF0000"/>
      <name val="Arial"/>
      <charset val="134"/>
    </font>
    <font>
      <b/>
      <u/>
      <sz val="9"/>
      <color theme="0"/>
      <name val="Arial"/>
      <charset val="134"/>
    </font>
    <font>
      <b/>
      <sz val="9"/>
      <color rgb="FF00B050"/>
      <name val="Arial"/>
      <charset val="134"/>
    </font>
    <font>
      <i/>
      <sz val="9"/>
      <color rgb="FFFF0000"/>
      <name val="Arial"/>
      <charset val="134"/>
    </font>
    <font>
      <b/>
      <i/>
      <sz val="9"/>
      <color rgb="FFFF0000"/>
      <name val="Arial"/>
      <charset val="134"/>
    </font>
    <font>
      <b/>
      <sz val="10"/>
      <color rgb="FF0000FF"/>
      <name val="Arial"/>
      <charset val="134"/>
    </font>
    <font>
      <sz val="10"/>
      <color theme="0"/>
      <name val="Helvetica"/>
      <charset val="134"/>
    </font>
    <font>
      <u/>
      <sz val="9"/>
      <color indexed="12"/>
      <name val="Arial"/>
      <charset val="134"/>
    </font>
    <font>
      <b/>
      <sz val="12"/>
      <color theme="0"/>
      <name val="Calibri"/>
      <charset val="134"/>
    </font>
    <font>
      <sz val="9"/>
      <color indexed="9"/>
      <name val="Arial"/>
      <charset val="134"/>
    </font>
    <font>
      <sz val="9"/>
      <color indexed="17"/>
      <name val="Arial"/>
      <charset val="134"/>
    </font>
    <font>
      <sz val="9"/>
      <color indexed="9"/>
      <name val="Helvetica"/>
      <charset val="134"/>
    </font>
    <font>
      <sz val="9"/>
      <color indexed="52"/>
      <name val="Arial"/>
      <charset val="134"/>
    </font>
    <font>
      <sz val="9"/>
      <color theme="0"/>
      <name val="Helvetica"/>
      <charset val="134"/>
    </font>
    <font>
      <sz val="9"/>
      <name val="Helvetica"/>
      <charset val="134"/>
    </font>
    <font>
      <b/>
      <sz val="9"/>
      <name val="Helvetica"/>
      <charset val="134"/>
    </font>
    <font>
      <sz val="9"/>
      <color indexed="12"/>
      <name val="Arial"/>
      <charset val="134"/>
    </font>
    <font>
      <sz val="9"/>
      <color rgb="FFFF0000"/>
      <name val="Helvetica"/>
      <charset val="134"/>
    </font>
    <font>
      <b/>
      <sz val="9"/>
      <color rgb="FF7030A0"/>
      <name val="Arial"/>
      <charset val="134"/>
    </font>
    <font>
      <b/>
      <sz val="9"/>
      <color indexed="17"/>
      <name val="Arial"/>
      <charset val="134"/>
    </font>
    <font>
      <b/>
      <sz val="9"/>
      <color indexed="9"/>
      <name val="Arial"/>
      <charset val="134"/>
    </font>
    <font>
      <sz val="9"/>
      <color rgb="FFFF9900"/>
      <name val="Arial"/>
      <charset val="134"/>
    </font>
    <font>
      <sz val="9"/>
      <color rgb="FFFFC000"/>
      <name val="Helvetica"/>
      <charset val="134"/>
    </font>
    <font>
      <sz val="9"/>
      <color theme="1"/>
      <name val="Arial"/>
      <charset val="134"/>
    </font>
    <font>
      <b/>
      <sz val="9"/>
      <color indexed="10"/>
      <name val="Arial"/>
      <charset val="134"/>
    </font>
    <font>
      <sz val="9"/>
      <color theme="9" tint="-0.499984740745262"/>
      <name val="Arial"/>
      <charset val="134"/>
    </font>
    <font>
      <sz val="9"/>
      <color rgb="FFFF9900"/>
      <name val="Helvetica"/>
      <charset val="134"/>
    </font>
    <font>
      <b/>
      <sz val="10"/>
      <color rgb="FFFFFFFF"/>
      <name val="Helvetica"/>
      <charset val="134"/>
    </font>
    <font>
      <sz val="10"/>
      <color rgb="FF000000"/>
      <name val="Helvetica"/>
      <charset val="134"/>
    </font>
    <font>
      <sz val="10.5"/>
      <color theme="1"/>
      <name val="Calibri"/>
      <charset val="134"/>
    </font>
    <font>
      <b/>
      <sz val="11"/>
      <color theme="1"/>
      <name val="Calibri"/>
      <charset val="134"/>
    </font>
    <font>
      <b/>
      <sz val="11.5"/>
      <color theme="0"/>
      <name val="Calibri"/>
      <charset val="134"/>
    </font>
    <font>
      <b/>
      <sz val="10.5"/>
      <color theme="1"/>
      <name val="Calibri"/>
      <charset val="134"/>
    </font>
    <font>
      <b/>
      <sz val="11"/>
      <color theme="3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FA7D00"/>
      <name val="等线"/>
      <charset val="0"/>
      <scheme val="minor"/>
    </font>
    <font>
      <sz val="11"/>
      <color theme="1"/>
      <name val="等线"/>
      <charset val="134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134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3"/>
      <color theme="3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1"/>
      <color rgb="FF3F3F76"/>
      <name val="等线"/>
      <charset val="0"/>
      <scheme val="minor"/>
    </font>
    <font>
      <i/>
      <sz val="11"/>
      <color rgb="FF7F7F7F"/>
      <name val="等线"/>
      <charset val="0"/>
      <scheme val="minor"/>
    </font>
    <font>
      <sz val="11"/>
      <color rgb="FF006100"/>
      <name val="等线"/>
      <charset val="0"/>
      <scheme val="minor"/>
    </font>
    <font>
      <u/>
      <sz val="10"/>
      <color indexed="12"/>
      <name val="Arial"/>
      <charset val="134"/>
    </font>
    <font>
      <b/>
      <sz val="11"/>
      <color rgb="FFFFFFFF"/>
      <name val="等线"/>
      <charset val="0"/>
      <scheme val="minor"/>
    </font>
    <font>
      <b/>
      <sz val="18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FF0000"/>
      <name val="等线"/>
      <charset val="0"/>
      <scheme val="minor"/>
    </font>
    <font>
      <i/>
      <sz val="9"/>
      <color theme="1"/>
      <name val="Calibri"/>
      <charset val="134"/>
    </font>
  </fonts>
  <fills count="5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89999084444715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-0.89999084444715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5E76AA"/>
        <bgColor indexed="64"/>
      </patternFill>
    </fill>
    <fill>
      <patternFill patternType="solid">
        <fgColor rgb="FFCFD6E6"/>
        <bgColor indexed="64"/>
      </patternFill>
    </fill>
    <fill>
      <patternFill patternType="solid">
        <fgColor rgb="FFC0CADE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-0.74999237037263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 style="double">
        <color auto="1"/>
      </top>
      <bottom/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63">
    <xf numFmtId="0" fontId="0" fillId="0" borderId="0" applyBorder="0"/>
    <xf numFmtId="3" fontId="14" fillId="0" borderId="0" applyBorder="0"/>
    <xf numFmtId="0" fontId="8" fillId="0" borderId="0" applyBorder="0"/>
    <xf numFmtId="0" fontId="63" fillId="0" borderId="0" applyBorder="0"/>
    <xf numFmtId="0" fontId="54" fillId="0" borderId="0" applyBorder="0"/>
    <xf numFmtId="193" fontId="0" fillId="0" borderId="0" applyFont="0" applyFill="0" applyBorder="0" applyAlignment="0" applyProtection="0"/>
    <xf numFmtId="193" fontId="8" fillId="0" borderId="0" applyFont="0" applyFill="0" applyBorder="0" applyAlignment="0" applyProtection="0"/>
    <xf numFmtId="0" fontId="0" fillId="0" borderId="0" applyBorder="0"/>
    <xf numFmtId="0" fontId="62" fillId="52" borderId="0" applyNumberFormat="0" applyBorder="0" applyAlignment="0" applyProtection="0">
      <alignment vertical="center"/>
    </xf>
    <xf numFmtId="0" fontId="59" fillId="49" borderId="0" applyNumberFormat="0" applyBorder="0" applyAlignment="0" applyProtection="0">
      <alignment vertical="center"/>
    </xf>
    <xf numFmtId="0" fontId="62" fillId="47" borderId="0" applyNumberFormat="0" applyBorder="0" applyAlignment="0" applyProtection="0">
      <alignment vertical="center"/>
    </xf>
    <xf numFmtId="0" fontId="70" fillId="35" borderId="22" applyNumberFormat="0" applyAlignment="0" applyProtection="0">
      <alignment vertical="center"/>
    </xf>
    <xf numFmtId="0" fontId="59" fillId="44" borderId="0" applyNumberFormat="0" applyBorder="0" applyAlignment="0" applyProtection="0">
      <alignment vertical="center"/>
    </xf>
    <xf numFmtId="0" fontId="59" fillId="42" borderId="0" applyNumberFormat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top"/>
      <protection locked="0"/>
    </xf>
    <xf numFmtId="44" fontId="61" fillId="0" borderId="0" applyFont="0" applyFill="0" applyBorder="0" applyAlignment="0" applyProtection="0">
      <alignment vertical="center"/>
    </xf>
    <xf numFmtId="0" fontId="62" fillId="43" borderId="0" applyNumberFormat="0" applyBorder="0" applyAlignment="0" applyProtection="0">
      <alignment vertical="center"/>
    </xf>
    <xf numFmtId="9" fontId="0" fillId="0" borderId="0" applyFont="0" applyFill="0" applyBorder="0" applyAlignment="0" applyProtection="0"/>
    <xf numFmtId="0" fontId="62" fillId="38" borderId="0" applyNumberFormat="0" applyBorder="0" applyAlignment="0" applyProtection="0">
      <alignment vertical="center"/>
    </xf>
    <xf numFmtId="0" fontId="62" fillId="41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37" borderId="0" applyNumberFormat="0" applyBorder="0" applyAlignment="0" applyProtection="0">
      <alignment vertical="center"/>
    </xf>
    <xf numFmtId="0" fontId="62" fillId="40" borderId="0" applyNumberFormat="0" applyBorder="0" applyAlignment="0" applyProtection="0">
      <alignment vertical="center"/>
    </xf>
    <xf numFmtId="0" fontId="69" fillId="33" borderId="22" applyNumberFormat="0" applyAlignment="0" applyProtection="0">
      <alignment vertical="center"/>
    </xf>
    <xf numFmtId="0" fontId="62" fillId="34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72" fillId="39" borderId="0" applyNumberFormat="0" applyBorder="0" applyAlignment="0" applyProtection="0">
      <alignment vertical="center"/>
    </xf>
    <xf numFmtId="0" fontId="59" fillId="45" borderId="0" applyNumberFormat="0" applyBorder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78" fillId="51" borderId="0" applyNumberFormat="0" applyBorder="0" applyAlignment="0" applyProtection="0">
      <alignment vertical="center"/>
    </xf>
    <xf numFmtId="0" fontId="74" fillId="48" borderId="23" applyNumberFormat="0" applyAlignment="0" applyProtection="0">
      <alignment vertical="center"/>
    </xf>
    <xf numFmtId="0" fontId="68" fillId="33" borderId="21" applyNumberFormat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42" fontId="61" fillId="0" borderId="0" applyFont="0" applyFill="0" applyBorder="0" applyAlignment="0" applyProtection="0">
      <alignment vertical="center"/>
    </xf>
    <xf numFmtId="0" fontId="59" fillId="29" borderId="0" applyNumberFormat="0" applyBorder="0" applyAlignment="0" applyProtection="0">
      <alignment vertical="center"/>
    </xf>
    <xf numFmtId="0" fontId="8" fillId="0" borderId="0" applyBorder="0"/>
    <xf numFmtId="0" fontId="0" fillId="0" borderId="0" applyBorder="0"/>
    <xf numFmtId="193" fontId="8" fillId="0" borderId="0" applyFont="0" applyFill="0" applyBorder="0" applyAlignment="0" applyProtection="0"/>
    <xf numFmtId="0" fontId="77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9" fontId="8" fillId="0" borderId="0" applyFont="0" applyFill="0" applyBorder="0" applyAlignment="0" applyProtection="0"/>
    <xf numFmtId="0" fontId="62" fillId="26" borderId="0" applyNumberFormat="0" applyBorder="0" applyAlignment="0" applyProtection="0">
      <alignment vertical="center"/>
    </xf>
    <xf numFmtId="0" fontId="61" fillId="25" borderId="18" applyNumberFormat="0" applyFont="0" applyAlignment="0" applyProtection="0">
      <alignment vertical="center"/>
    </xf>
    <xf numFmtId="9" fontId="63" fillId="0" borderId="0" applyFont="0" applyFill="0" applyBorder="0" applyAlignment="0" applyProtection="0"/>
    <xf numFmtId="0" fontId="0" fillId="0" borderId="0" applyBorder="0"/>
    <xf numFmtId="0" fontId="59" fillId="24" borderId="0" applyNumberFormat="0" applyBorder="0" applyAlignment="0" applyProtection="0">
      <alignment vertical="center"/>
    </xf>
    <xf numFmtId="0" fontId="62" fillId="46" borderId="0" applyNumberFormat="0" applyBorder="0" applyAlignment="0" applyProtection="0">
      <alignment vertical="center"/>
    </xf>
    <xf numFmtId="0" fontId="59" fillId="50" borderId="0" applyNumberFormat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0" fontId="66" fillId="0" borderId="20" applyNumberFormat="0" applyFill="0" applyAlignment="0" applyProtection="0">
      <alignment vertical="center"/>
    </xf>
    <xf numFmtId="0" fontId="8" fillId="0" borderId="0" applyBorder="0"/>
    <xf numFmtId="0" fontId="59" fillId="22" borderId="0" applyNumberFormat="0" applyBorder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62" fillId="23" borderId="0" applyNumberFormat="0" applyBorder="0" applyAlignment="0" applyProtection="0">
      <alignment vertical="center"/>
    </xf>
    <xf numFmtId="0" fontId="59" fillId="36" borderId="0" applyNumberFormat="0" applyBorder="0" applyAlignment="0" applyProtection="0">
      <alignment vertical="center"/>
    </xf>
    <xf numFmtId="0" fontId="60" fillId="0" borderId="17" applyNumberFormat="0" applyFill="0" applyAlignment="0" applyProtection="0">
      <alignment vertical="center"/>
    </xf>
  </cellStyleXfs>
  <cellXfs count="52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3" applyFont="1"/>
    <xf numFmtId="0" fontId="5" fillId="2" borderId="0" xfId="3" applyFont="1" applyFill="1"/>
    <xf numFmtId="0" fontId="6" fillId="0" borderId="0" xfId="3" applyFont="1"/>
    <xf numFmtId="0" fontId="7" fillId="0" borderId="0" xfId="3" applyFont="1"/>
    <xf numFmtId="193" fontId="8" fillId="0" borderId="0" xfId="41" applyFont="1"/>
    <xf numFmtId="0" fontId="8" fillId="0" borderId="0" xfId="0" applyFont="1"/>
    <xf numFmtId="0" fontId="8" fillId="0" borderId="1" xfId="0" applyFont="1" applyBorder="1"/>
    <xf numFmtId="14" fontId="3" fillId="0" borderId="0" xfId="0" applyNumberFormat="1" applyFont="1" applyAlignment="1">
      <alignment horizontal="left" vertical="center"/>
    </xf>
    <xf numFmtId="0" fontId="9" fillId="3" borderId="0" xfId="0" applyFont="1" applyFill="1" applyAlignment="1">
      <alignment horizontal="left"/>
    </xf>
    <xf numFmtId="0" fontId="10" fillId="3" borderId="0" xfId="0" applyFont="1" applyFill="1" applyAlignment="1">
      <alignment horizontal="right"/>
    </xf>
    <xf numFmtId="0" fontId="9" fillId="3" borderId="0" xfId="0" applyFont="1" applyFill="1" applyAlignment="1">
      <alignment horizontal="right"/>
    </xf>
    <xf numFmtId="0" fontId="11" fillId="0" borderId="0" xfId="0" applyFont="1" applyAlignment="1">
      <alignment horizontal="right"/>
    </xf>
    <xf numFmtId="0" fontId="12" fillId="4" borderId="0" xfId="0" applyFont="1" applyFill="1"/>
    <xf numFmtId="184" fontId="13" fillId="4" borderId="0" xfId="6" applyNumberFormat="1" applyFont="1" applyFill="1"/>
    <xf numFmtId="0" fontId="14" fillId="0" borderId="0" xfId="0" applyFont="1" applyAlignment="1">
      <alignment horizontal="left"/>
    </xf>
    <xf numFmtId="184" fontId="14" fillId="0" borderId="0" xfId="41" applyNumberFormat="1" applyFont="1"/>
    <xf numFmtId="184" fontId="14" fillId="0" borderId="0" xfId="0" applyNumberFormat="1" applyFont="1"/>
    <xf numFmtId="0" fontId="14" fillId="0" borderId="0" xfId="0" applyFont="1" applyAlignment="1">
      <alignment horizontal="left" indent="2"/>
    </xf>
    <xf numFmtId="0" fontId="15" fillId="0" borderId="0" xfId="0" applyFont="1" applyAlignment="1">
      <alignment horizontal="left"/>
    </xf>
    <xf numFmtId="184" fontId="12" fillId="0" borderId="0" xfId="0" applyNumberFormat="1" applyFont="1"/>
    <xf numFmtId="184" fontId="16" fillId="0" borderId="0" xfId="41" applyNumberFormat="1" applyFont="1"/>
    <xf numFmtId="0" fontId="16" fillId="0" borderId="0" xfId="0" applyFont="1" applyAlignment="1">
      <alignment horizontal="left" indent="3"/>
    </xf>
    <xf numFmtId="9" fontId="15" fillId="0" borderId="0" xfId="17" applyFont="1"/>
    <xf numFmtId="9" fontId="14" fillId="0" borderId="0" xfId="17" applyFont="1" applyFill="1"/>
    <xf numFmtId="184" fontId="15" fillId="0" borderId="0" xfId="41" applyNumberFormat="1" applyFont="1"/>
    <xf numFmtId="0" fontId="14" fillId="0" borderId="0" xfId="0" applyFont="1"/>
    <xf numFmtId="9" fontId="15" fillId="0" borderId="0" xfId="17" applyFont="1" applyFill="1"/>
    <xf numFmtId="0" fontId="14" fillId="4" borderId="0" xfId="0" applyFont="1" applyFill="1"/>
    <xf numFmtId="194" fontId="14" fillId="0" borderId="0" xfId="41" applyNumberFormat="1" applyFont="1" applyFill="1"/>
    <xf numFmtId="184" fontId="14" fillId="0" borderId="0" xfId="41" applyNumberFormat="1" applyFont="1" applyFill="1"/>
    <xf numFmtId="0" fontId="12" fillId="5" borderId="0" xfId="0" applyFont="1" applyFill="1"/>
    <xf numFmtId="0" fontId="14" fillId="5" borderId="0" xfId="0" applyFont="1" applyFill="1"/>
    <xf numFmtId="0" fontId="15" fillId="0" borderId="0" xfId="0" applyFont="1"/>
    <xf numFmtId="184" fontId="15" fillId="0" borderId="0" xfId="41" applyNumberFormat="1" applyFont="1" applyFill="1"/>
    <xf numFmtId="193" fontId="15" fillId="0" borderId="0" xfId="41" applyFont="1" applyFill="1"/>
    <xf numFmtId="193" fontId="17" fillId="6" borderId="0" xfId="41" applyFont="1" applyFill="1"/>
    <xf numFmtId="0" fontId="10" fillId="3" borderId="1" xfId="0" applyFont="1" applyFill="1" applyBorder="1" applyAlignment="1">
      <alignment horizontal="right"/>
    </xf>
    <xf numFmtId="0" fontId="9" fillId="3" borderId="1" xfId="0" applyFont="1" applyFill="1" applyBorder="1" applyAlignment="1">
      <alignment horizontal="right"/>
    </xf>
    <xf numFmtId="0" fontId="11" fillId="0" borderId="1" xfId="0" applyFont="1" applyBorder="1" applyAlignment="1">
      <alignment horizontal="right"/>
    </xf>
    <xf numFmtId="9" fontId="14" fillId="0" borderId="0" xfId="17" applyFont="1" applyFill="1" applyAlignment="1">
      <alignment horizontal="right"/>
    </xf>
    <xf numFmtId="184" fontId="13" fillId="4" borderId="1" xfId="6" applyNumberFormat="1" applyFont="1" applyFill="1" applyBorder="1"/>
    <xf numFmtId="184" fontId="14" fillId="0" borderId="1" xfId="41" applyNumberFormat="1" applyFont="1" applyBorder="1"/>
    <xf numFmtId="184" fontId="14" fillId="0" borderId="1" xfId="0" applyNumberFormat="1" applyFont="1" applyBorder="1"/>
    <xf numFmtId="184" fontId="12" fillId="0" borderId="1" xfId="0" applyNumberFormat="1" applyFont="1" applyBorder="1"/>
    <xf numFmtId="9" fontId="14" fillId="0" borderId="0" xfId="17" applyFont="1"/>
    <xf numFmtId="184" fontId="16" fillId="0" borderId="1" xfId="41" applyNumberFormat="1" applyFont="1" applyBorder="1"/>
    <xf numFmtId="9" fontId="16" fillId="0" borderId="0" xfId="17" applyFont="1"/>
    <xf numFmtId="9" fontId="15" fillId="0" borderId="1" xfId="17" applyFont="1" applyBorder="1"/>
    <xf numFmtId="9" fontId="14" fillId="0" borderId="1" xfId="17" applyFont="1" applyFill="1" applyBorder="1"/>
    <xf numFmtId="184" fontId="15" fillId="0" borderId="1" xfId="41" applyNumberFormat="1" applyFont="1" applyBorder="1"/>
    <xf numFmtId="9" fontId="15" fillId="0" borderId="1" xfId="17" applyFont="1" applyFill="1" applyBorder="1"/>
    <xf numFmtId="0" fontId="14" fillId="4" borderId="1" xfId="0" applyFont="1" applyFill="1" applyBorder="1"/>
    <xf numFmtId="194" fontId="14" fillId="0" borderId="1" xfId="41" applyNumberFormat="1" applyFont="1" applyFill="1" applyBorder="1"/>
    <xf numFmtId="184" fontId="14" fillId="0" borderId="1" xfId="41" applyNumberFormat="1" applyFont="1" applyFill="1" applyBorder="1"/>
    <xf numFmtId="0" fontId="14" fillId="5" borderId="1" xfId="0" applyFont="1" applyFill="1" applyBorder="1"/>
    <xf numFmtId="184" fontId="15" fillId="0" borderId="1" xfId="41" applyNumberFormat="1" applyFont="1" applyFill="1" applyBorder="1"/>
    <xf numFmtId="193" fontId="15" fillId="0" borderId="1" xfId="41" applyFont="1" applyFill="1" applyBorder="1"/>
    <xf numFmtId="193" fontId="17" fillId="6" borderId="1" xfId="41" applyFont="1" applyFill="1" applyBorder="1"/>
    <xf numFmtId="9" fontId="14" fillId="0" borderId="1" xfId="17" applyFont="1" applyFill="1" applyBorder="1" applyAlignment="1">
      <alignment horizontal="right"/>
    </xf>
    <xf numFmtId="9" fontId="14" fillId="0" borderId="1" xfId="17" applyFont="1" applyBorder="1"/>
    <xf numFmtId="9" fontId="16" fillId="0" borderId="1" xfId="17" applyFont="1" applyBorder="1"/>
    <xf numFmtId="184" fontId="14" fillId="7" borderId="0" xfId="41" applyNumberFormat="1" applyFont="1" applyFill="1"/>
    <xf numFmtId="184" fontId="12" fillId="4" borderId="0" xfId="0" applyNumberFormat="1" applyFont="1" applyFill="1"/>
    <xf numFmtId="184" fontId="14" fillId="7" borderId="1" xfId="41" applyNumberFormat="1" applyFont="1" applyFill="1" applyBorder="1"/>
    <xf numFmtId="184" fontId="12" fillId="4" borderId="1" xfId="0" applyNumberFormat="1" applyFont="1" applyFill="1" applyBorder="1"/>
    <xf numFmtId="0" fontId="10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0" fontId="18" fillId="0" borderId="0" xfId="0" applyFont="1"/>
    <xf numFmtId="184" fontId="12" fillId="4" borderId="0" xfId="6" applyNumberFormat="1" applyFont="1" applyFill="1"/>
    <xf numFmtId="0" fontId="12" fillId="0" borderId="0" xfId="0" applyFont="1"/>
    <xf numFmtId="184" fontId="19" fillId="5" borderId="0" xfId="41" applyNumberFormat="1" applyFont="1" applyFill="1"/>
    <xf numFmtId="184" fontId="14" fillId="5" borderId="0" xfId="0" applyNumberFormat="1" applyFont="1" applyFill="1"/>
    <xf numFmtId="0" fontId="15" fillId="5" borderId="0" xfId="0" applyFont="1" applyFill="1"/>
    <xf numFmtId="184" fontId="13" fillId="5" borderId="0" xfId="41" applyNumberFormat="1" applyFont="1" applyFill="1"/>
    <xf numFmtId="184" fontId="20" fillId="5" borderId="0" xfId="41" applyNumberFormat="1" applyFont="1" applyFill="1"/>
    <xf numFmtId="0" fontId="21" fillId="0" borderId="0" xfId="0" applyFont="1"/>
    <xf numFmtId="184" fontId="21" fillId="5" borderId="0" xfId="41" applyNumberFormat="1" applyFont="1" applyFill="1"/>
    <xf numFmtId="184" fontId="21" fillId="0" borderId="0" xfId="41" applyNumberFormat="1" applyFont="1" applyFill="1"/>
    <xf numFmtId="193" fontId="14" fillId="0" borderId="0" xfId="0" applyNumberFormat="1" applyFont="1" applyAlignment="1">
      <alignment horizontal="right"/>
    </xf>
    <xf numFmtId="184" fontId="14" fillId="5" borderId="0" xfId="6" applyNumberFormat="1" applyFont="1" applyFill="1"/>
    <xf numFmtId="9" fontId="14" fillId="5" borderId="0" xfId="17" applyFont="1" applyFill="1"/>
    <xf numFmtId="184" fontId="21" fillId="5" borderId="0" xfId="6" applyNumberFormat="1" applyFont="1" applyFill="1"/>
    <xf numFmtId="184" fontId="21" fillId="0" borderId="0" xfId="6" applyNumberFormat="1" applyFont="1" applyFill="1"/>
    <xf numFmtId="184" fontId="15" fillId="0" borderId="0" xfId="6" applyNumberFormat="1" applyFont="1" applyFill="1"/>
    <xf numFmtId="9" fontId="15" fillId="0" borderId="0" xfId="0" applyNumberFormat="1" applyFont="1"/>
    <xf numFmtId="184" fontId="14" fillId="5" borderId="0" xfId="41" applyNumberFormat="1" applyFont="1" applyFill="1"/>
    <xf numFmtId="9" fontId="15" fillId="5" borderId="0" xfId="17" applyFont="1" applyFill="1"/>
    <xf numFmtId="184" fontId="16" fillId="5" borderId="0" xfId="41" applyNumberFormat="1" applyFont="1" applyFill="1"/>
    <xf numFmtId="184" fontId="16" fillId="0" borderId="0" xfId="41" applyNumberFormat="1" applyFont="1" applyFill="1"/>
    <xf numFmtId="9" fontId="22" fillId="0" borderId="0" xfId="17" applyFont="1" applyFill="1"/>
    <xf numFmtId="184" fontId="14" fillId="4" borderId="0" xfId="0" applyNumberFormat="1" applyFont="1" applyFill="1"/>
    <xf numFmtId="0" fontId="14" fillId="4" borderId="0" xfId="0" applyFont="1" applyFill="1" applyAlignment="1">
      <alignment horizontal="right"/>
    </xf>
    <xf numFmtId="193" fontId="14" fillId="0" borderId="0" xfId="41" applyFont="1" applyFill="1"/>
    <xf numFmtId="194" fontId="15" fillId="0" borderId="0" xfId="41" applyNumberFormat="1" applyFont="1" applyFill="1"/>
    <xf numFmtId="193" fontId="23" fillId="8" borderId="0" xfId="41" applyFont="1" applyFill="1"/>
    <xf numFmtId="0" fontId="24" fillId="0" borderId="0" xfId="0" applyFont="1" applyAlignment="1">
      <alignment horizontal="right"/>
    </xf>
    <xf numFmtId="9" fontId="1" fillId="0" borderId="0" xfId="17" applyFont="1"/>
    <xf numFmtId="14" fontId="1" fillId="0" borderId="0" xfId="0" applyNumberFormat="1" applyFont="1"/>
    <xf numFmtId="4" fontId="8" fillId="0" borderId="0" xfId="0" applyNumberFormat="1" applyFont="1"/>
    <xf numFmtId="14" fontId="8" fillId="0" borderId="0" xfId="0" applyNumberFormat="1" applyFont="1"/>
    <xf numFmtId="0" fontId="1" fillId="0" borderId="0" xfId="0" applyFont="1" applyAlignment="1">
      <alignment horizontal="right"/>
    </xf>
    <xf numFmtId="184" fontId="8" fillId="0" borderId="0" xfId="41" applyNumberFormat="1" applyFont="1"/>
    <xf numFmtId="9" fontId="8" fillId="0" borderId="0" xfId="17" applyFont="1"/>
    <xf numFmtId="0" fontId="16" fillId="0" borderId="0" xfId="0" applyFont="1"/>
    <xf numFmtId="9" fontId="16" fillId="0" borderId="0" xfId="0" applyNumberFormat="1" applyFont="1"/>
    <xf numFmtId="9" fontId="14" fillId="0" borderId="0" xfId="0" applyNumberFormat="1" applyFont="1"/>
    <xf numFmtId="9" fontId="12" fillId="0" borderId="0" xfId="0" applyNumberFormat="1" applyFont="1"/>
    <xf numFmtId="9" fontId="8" fillId="0" borderId="0" xfId="0" applyNumberFormat="1" applyFont="1"/>
    <xf numFmtId="184" fontId="17" fillId="0" borderId="0" xfId="41" applyNumberFormat="1" applyFont="1" applyFill="1"/>
    <xf numFmtId="184" fontId="23" fillId="8" borderId="0" xfId="41" applyNumberFormat="1" applyFont="1" applyFill="1"/>
    <xf numFmtId="184" fontId="17" fillId="6" borderId="0" xfId="41" applyNumberFormat="1" applyFont="1" applyFill="1"/>
    <xf numFmtId="183" fontId="17" fillId="6" borderId="0" xfId="17" applyNumberFormat="1" applyFont="1" applyFill="1"/>
    <xf numFmtId="189" fontId="17" fillId="6" borderId="0" xfId="41" applyNumberFormat="1" applyFont="1" applyFill="1"/>
    <xf numFmtId="184" fontId="17" fillId="0" borderId="1" xfId="41" applyNumberFormat="1" applyFont="1" applyFill="1" applyBorder="1"/>
    <xf numFmtId="184" fontId="23" fillId="8" borderId="1" xfId="41" applyNumberFormat="1" applyFont="1" applyFill="1" applyBorder="1"/>
    <xf numFmtId="183" fontId="17" fillId="6" borderId="1" xfId="17" applyNumberFormat="1" applyFont="1" applyFill="1" applyBorder="1"/>
    <xf numFmtId="189" fontId="17" fillId="6" borderId="1" xfId="41" applyNumberFormat="1" applyFont="1" applyFill="1" applyBorder="1"/>
    <xf numFmtId="194" fontId="17" fillId="0" borderId="0" xfId="41" applyNumberFormat="1" applyFont="1" applyFill="1"/>
    <xf numFmtId="184" fontId="14" fillId="9" borderId="0" xfId="41" applyNumberFormat="1" applyFont="1" applyFill="1"/>
    <xf numFmtId="183" fontId="14" fillId="0" borderId="0" xfId="17" applyNumberFormat="1" applyFont="1" applyFill="1"/>
    <xf numFmtId="194" fontId="17" fillId="0" borderId="1" xfId="41" applyNumberFormat="1" applyFont="1" applyFill="1" applyBorder="1"/>
    <xf numFmtId="9" fontId="17" fillId="0" borderId="0" xfId="17" applyFont="1" applyFill="1"/>
    <xf numFmtId="184" fontId="14" fillId="9" borderId="1" xfId="41" applyNumberFormat="1" applyFont="1" applyFill="1" applyBorder="1"/>
    <xf numFmtId="9" fontId="17" fillId="0" borderId="1" xfId="17" applyFont="1" applyFill="1" applyBorder="1"/>
    <xf numFmtId="193" fontId="14" fillId="0" borderId="1" xfId="41" applyFont="1" applyFill="1" applyBorder="1"/>
    <xf numFmtId="184" fontId="14" fillId="10" borderId="0" xfId="41" applyNumberFormat="1" applyFont="1" applyFill="1"/>
    <xf numFmtId="184" fontId="25" fillId="0" borderId="0" xfId="41" applyNumberFormat="1" applyFont="1" applyFill="1"/>
    <xf numFmtId="194" fontId="12" fillId="0" borderId="0" xfId="0" applyNumberFormat="1" applyFont="1"/>
    <xf numFmtId="184" fontId="15" fillId="0" borderId="0" xfId="41" applyNumberFormat="1" applyFont="1" applyFill="1" applyAlignment="1">
      <alignment horizontal="left" indent="1"/>
    </xf>
    <xf numFmtId="0" fontId="11" fillId="11" borderId="0" xfId="0" applyFont="1" applyFill="1" applyAlignment="1">
      <alignment horizontal="left"/>
    </xf>
    <xf numFmtId="183" fontId="11" fillId="11" borderId="0" xfId="49" applyNumberFormat="1" applyFont="1" applyFill="1"/>
    <xf numFmtId="0" fontId="15" fillId="0" borderId="2" xfId="0" applyFont="1" applyBorder="1"/>
    <xf numFmtId="183" fontId="17" fillId="0" borderId="3" xfId="49" applyNumberFormat="1" applyFont="1" applyFill="1" applyBorder="1"/>
    <xf numFmtId="0" fontId="14" fillId="0" borderId="4" xfId="0" applyFont="1" applyBorder="1"/>
    <xf numFmtId="183" fontId="17" fillId="0" borderId="0" xfId="49" applyNumberFormat="1" applyFont="1" applyFill="1"/>
    <xf numFmtId="184" fontId="14" fillId="6" borderId="0" xfId="41" applyNumberFormat="1" applyFont="1" applyFill="1"/>
    <xf numFmtId="0" fontId="14" fillId="0" borderId="5" xfId="0" applyFont="1" applyBorder="1"/>
    <xf numFmtId="183" fontId="17" fillId="0" borderId="5" xfId="49" applyNumberFormat="1" applyFont="1" applyFill="1" applyBorder="1"/>
    <xf numFmtId="183" fontId="11" fillId="11" borderId="1" xfId="49" applyNumberFormat="1" applyFont="1" applyFill="1" applyBorder="1"/>
    <xf numFmtId="9" fontId="11" fillId="11" borderId="0" xfId="17" applyFont="1" applyFill="1"/>
    <xf numFmtId="183" fontId="17" fillId="0" borderId="6" xfId="49" applyNumberFormat="1" applyFont="1" applyFill="1" applyBorder="1"/>
    <xf numFmtId="9" fontId="17" fillId="0" borderId="3" xfId="17" applyFont="1" applyFill="1" applyBorder="1"/>
    <xf numFmtId="9" fontId="14" fillId="0" borderId="3" xfId="17" applyFont="1" applyFill="1" applyBorder="1"/>
    <xf numFmtId="183" fontId="17" fillId="0" borderId="1" xfId="49" applyNumberFormat="1" applyFont="1" applyFill="1" applyBorder="1"/>
    <xf numFmtId="184" fontId="14" fillId="6" borderId="1" xfId="41" applyNumberFormat="1" applyFont="1" applyFill="1" applyBorder="1"/>
    <xf numFmtId="183" fontId="17" fillId="0" borderId="7" xfId="49" applyNumberFormat="1" applyFont="1" applyFill="1" applyBorder="1"/>
    <xf numFmtId="9" fontId="17" fillId="0" borderId="5" xfId="17" applyFont="1" applyFill="1" applyBorder="1"/>
    <xf numFmtId="9" fontId="14" fillId="0" borderId="5" xfId="17" applyFont="1" applyFill="1" applyBorder="1"/>
    <xf numFmtId="9" fontId="11" fillId="11" borderId="1" xfId="17" applyFont="1" applyFill="1" applyBorder="1"/>
    <xf numFmtId="9" fontId="14" fillId="0" borderId="6" xfId="17" applyFont="1" applyFill="1" applyBorder="1"/>
    <xf numFmtId="9" fontId="14" fillId="0" borderId="7" xfId="17" applyFont="1" applyFill="1" applyBorder="1"/>
    <xf numFmtId="9" fontId="17" fillId="6" borderId="0" xfId="17" applyFont="1" applyFill="1"/>
    <xf numFmtId="183" fontId="17" fillId="0" borderId="0" xfId="17" applyNumberFormat="1" applyFont="1" applyFill="1"/>
    <xf numFmtId="184" fontId="15" fillId="0" borderId="0" xfId="17" applyNumberFormat="1" applyFont="1" applyFill="1"/>
    <xf numFmtId="193" fontId="14" fillId="7" borderId="0" xfId="41" applyFont="1" applyFill="1"/>
    <xf numFmtId="184" fontId="14" fillId="0" borderId="0" xfId="17" applyNumberFormat="1" applyFont="1" applyFill="1"/>
    <xf numFmtId="184" fontId="14" fillId="0" borderId="5" xfId="41" applyNumberFormat="1" applyFont="1" applyFill="1" applyBorder="1"/>
    <xf numFmtId="9" fontId="17" fillId="6" borderId="1" xfId="17" applyFont="1" applyFill="1" applyBorder="1"/>
    <xf numFmtId="183" fontId="17" fillId="0" borderId="1" xfId="17" applyNumberFormat="1" applyFont="1" applyFill="1" applyBorder="1"/>
    <xf numFmtId="184" fontId="15" fillId="0" borderId="1" xfId="17" applyNumberFormat="1" applyFont="1" applyFill="1" applyBorder="1"/>
    <xf numFmtId="193" fontId="14" fillId="7" borderId="1" xfId="41" applyFont="1" applyFill="1" applyBorder="1"/>
    <xf numFmtId="184" fontId="14" fillId="0" borderId="1" xfId="17" applyNumberFormat="1" applyFont="1" applyFill="1" applyBorder="1"/>
    <xf numFmtId="184" fontId="14" fillId="0" borderId="7" xfId="41" applyNumberFormat="1" applyFont="1" applyFill="1" applyBorder="1"/>
    <xf numFmtId="184" fontId="14" fillId="0" borderId="6" xfId="41" applyNumberFormat="1" applyFont="1" applyFill="1" applyBorder="1"/>
    <xf numFmtId="9" fontId="4" fillId="0" borderId="0" xfId="49" applyFont="1" applyFill="1"/>
    <xf numFmtId="9" fontId="4" fillId="0" borderId="0" xfId="17" applyFont="1" applyFill="1"/>
    <xf numFmtId="9" fontId="14" fillId="0" borderId="0" xfId="41" applyNumberFormat="1" applyFont="1" applyFill="1"/>
    <xf numFmtId="9" fontId="14" fillId="0" borderId="0" xfId="49" applyFont="1" applyFill="1"/>
    <xf numFmtId="9" fontId="4" fillId="0" borderId="0" xfId="17" applyFont="1" applyFill="1" applyAlignment="1">
      <alignment horizontal="right"/>
    </xf>
    <xf numFmtId="0" fontId="4" fillId="0" borderId="0" xfId="3" applyFont="1" applyAlignment="1">
      <alignment horizontal="right"/>
    </xf>
    <xf numFmtId="0" fontId="5" fillId="11" borderId="0" xfId="0" applyFont="1" applyFill="1" applyAlignment="1">
      <alignment horizontal="left"/>
    </xf>
    <xf numFmtId="183" fontId="14" fillId="0" borderId="0" xfId="49" applyNumberFormat="1" applyFont="1" applyFill="1"/>
    <xf numFmtId="183" fontId="11" fillId="11" borderId="6" xfId="49" applyNumberFormat="1" applyFont="1" applyFill="1" applyBorder="1"/>
    <xf numFmtId="183" fontId="14" fillId="0" borderId="1" xfId="49" applyNumberFormat="1" applyFont="1" applyFill="1" applyBorder="1"/>
    <xf numFmtId="184" fontId="17" fillId="9" borderId="0" xfId="41" applyNumberFormat="1" applyFont="1" applyFill="1"/>
    <xf numFmtId="193" fontId="14" fillId="7" borderId="0" xfId="17" applyNumberFormat="1" applyFont="1" applyFill="1"/>
    <xf numFmtId="193" fontId="14" fillId="7" borderId="1" xfId="17" applyNumberFormat="1" applyFont="1" applyFill="1" applyBorder="1"/>
    <xf numFmtId="0" fontId="26" fillId="11" borderId="0" xfId="0" applyFont="1" applyFill="1"/>
    <xf numFmtId="184" fontId="11" fillId="11" borderId="0" xfId="41" applyNumberFormat="1" applyFont="1" applyFill="1"/>
    <xf numFmtId="0" fontId="14" fillId="0" borderId="0" xfId="0" applyFont="1" applyAlignment="1">
      <alignment horizontal="left" indent="1"/>
    </xf>
    <xf numFmtId="184" fontId="11" fillId="11" borderId="1" xfId="41" applyNumberFormat="1" applyFont="1" applyFill="1" applyBorder="1"/>
    <xf numFmtId="189" fontId="14" fillId="0" borderId="0" xfId="41" applyNumberFormat="1" applyFont="1" applyFill="1"/>
    <xf numFmtId="184" fontId="17" fillId="7" borderId="0" xfId="41" applyNumberFormat="1" applyFont="1" applyFill="1"/>
    <xf numFmtId="189" fontId="14" fillId="0" borderId="1" xfId="41" applyNumberFormat="1" applyFont="1" applyFill="1" applyBorder="1"/>
    <xf numFmtId="184" fontId="17" fillId="7" borderId="1" xfId="41" applyNumberFormat="1" applyFont="1" applyFill="1" applyBorder="1"/>
    <xf numFmtId="183" fontId="12" fillId="0" borderId="0" xfId="17" applyNumberFormat="1" applyFont="1" applyFill="1"/>
    <xf numFmtId="193" fontId="27" fillId="8" borderId="0" xfId="41" applyFont="1" applyFill="1"/>
    <xf numFmtId="184" fontId="8" fillId="0" borderId="0" xfId="0" applyNumberFormat="1" applyFont="1"/>
    <xf numFmtId="0" fontId="5" fillId="2" borderId="0" xfId="3" applyFont="1" applyFill="1" applyAlignment="1">
      <alignment horizontal="left"/>
    </xf>
    <xf numFmtId="0" fontId="5" fillId="2" borderId="0" xfId="3" applyFont="1" applyFill="1" applyAlignment="1">
      <alignment horizontal="right"/>
    </xf>
    <xf numFmtId="0" fontId="15" fillId="0" borderId="8" xfId="0" applyFont="1" applyBorder="1"/>
    <xf numFmtId="183" fontId="19" fillId="0" borderId="0" xfId="49" applyNumberFormat="1" applyFont="1" applyFill="1"/>
    <xf numFmtId="183" fontId="15" fillId="0" borderId="0" xfId="49" applyNumberFormat="1" applyFont="1" applyFill="1"/>
    <xf numFmtId="183" fontId="17" fillId="6" borderId="0" xfId="49" applyNumberFormat="1" applyFont="1" applyFill="1"/>
    <xf numFmtId="193" fontId="14" fillId="0" borderId="0" xfId="41" applyFont="1"/>
    <xf numFmtId="0" fontId="5" fillId="2" borderId="1" xfId="3" applyFont="1" applyFill="1" applyBorder="1" applyAlignment="1">
      <alignment horizontal="right"/>
    </xf>
    <xf numFmtId="183" fontId="19" fillId="0" borderId="1" xfId="49" applyNumberFormat="1" applyFont="1" applyFill="1" applyBorder="1"/>
    <xf numFmtId="183" fontId="15" fillId="0" borderId="1" xfId="49" applyNumberFormat="1" applyFont="1" applyFill="1" applyBorder="1"/>
    <xf numFmtId="183" fontId="17" fillId="6" borderId="1" xfId="49" applyNumberFormat="1" applyFont="1" applyFill="1" applyBorder="1"/>
    <xf numFmtId="9" fontId="14" fillId="0" borderId="1" xfId="49" applyFont="1" applyFill="1" applyBorder="1"/>
    <xf numFmtId="184" fontId="8" fillId="0" borderId="1" xfId="41" applyNumberFormat="1" applyFont="1" applyBorder="1"/>
    <xf numFmtId="184" fontId="14" fillId="12" borderId="0" xfId="41" applyNumberFormat="1" applyFont="1" applyFill="1"/>
    <xf numFmtId="184" fontId="14" fillId="12" borderId="1" xfId="41" applyNumberFormat="1" applyFont="1" applyFill="1" applyBorder="1"/>
    <xf numFmtId="9" fontId="15" fillId="0" borderId="0" xfId="49" applyFont="1" applyFill="1"/>
    <xf numFmtId="184" fontId="15" fillId="0" borderId="0" xfId="41" applyNumberFormat="1" applyFont="1" applyFill="1" applyAlignment="1">
      <alignment horizontal="right"/>
    </xf>
    <xf numFmtId="183" fontId="17" fillId="0" borderId="0" xfId="17" applyNumberFormat="1" applyFont="1" applyFill="1" applyAlignment="1">
      <alignment horizontal="right"/>
    </xf>
    <xf numFmtId="183" fontId="25" fillId="0" borderId="0" xfId="17" applyNumberFormat="1" applyFont="1" applyFill="1" applyAlignment="1">
      <alignment horizontal="right"/>
    </xf>
    <xf numFmtId="9" fontId="28" fillId="0" borderId="0" xfId="49" applyFont="1" applyFill="1"/>
    <xf numFmtId="9" fontId="29" fillId="0" borderId="0" xfId="49" applyFont="1" applyFill="1"/>
    <xf numFmtId="193" fontId="8" fillId="0" borderId="0" xfId="41" applyFont="1" applyFill="1"/>
    <xf numFmtId="9" fontId="7" fillId="0" borderId="0" xfId="17" applyFont="1" applyFill="1"/>
    <xf numFmtId="9" fontId="6" fillId="0" borderId="0" xfId="17" applyFont="1" applyFill="1"/>
    <xf numFmtId="9" fontId="6" fillId="0" borderId="0" xfId="17" applyFont="1" applyFill="1" applyAlignment="1">
      <alignment horizontal="right"/>
    </xf>
    <xf numFmtId="9" fontId="7" fillId="0" borderId="0" xfId="17" applyFont="1" applyFill="1" applyAlignment="1">
      <alignment horizontal="right"/>
    </xf>
    <xf numFmtId="0" fontId="6" fillId="0" borderId="0" xfId="3" applyFont="1" applyAlignment="1">
      <alignment horizontal="right"/>
    </xf>
    <xf numFmtId="0" fontId="7" fillId="0" borderId="0" xfId="3" applyFont="1" applyAlignment="1">
      <alignment horizontal="right"/>
    </xf>
    <xf numFmtId="0" fontId="8" fillId="0" borderId="0" xfId="0" applyFont="1" applyAlignment="1">
      <alignment horizontal="left"/>
    </xf>
    <xf numFmtId="184" fontId="3" fillId="0" borderId="0" xfId="41" applyNumberFormat="1" applyFont="1"/>
    <xf numFmtId="0" fontId="18" fillId="0" borderId="0" xfId="2" applyFont="1"/>
    <xf numFmtId="0" fontId="15" fillId="0" borderId="0" xfId="2" applyFont="1"/>
    <xf numFmtId="184" fontId="3" fillId="0" borderId="0" xfId="0" applyNumberFormat="1" applyFont="1"/>
    <xf numFmtId="193" fontId="8" fillId="0" borderId="1" xfId="41" applyFont="1" applyBorder="1"/>
    <xf numFmtId="9" fontId="8" fillId="0" borderId="1" xfId="17" applyFont="1" applyBorder="1"/>
    <xf numFmtId="9" fontId="8" fillId="0" borderId="1" xfId="0" applyNumberFormat="1" applyFont="1" applyBorder="1"/>
    <xf numFmtId="184" fontId="3" fillId="0" borderId="1" xfId="41" applyNumberFormat="1" applyFont="1" applyBorder="1"/>
    <xf numFmtId="184" fontId="3" fillId="0" borderId="1" xfId="0" applyNumberFormat="1" applyFont="1" applyBorder="1"/>
    <xf numFmtId="193" fontId="3" fillId="0" borderId="0" xfId="41" applyFont="1"/>
    <xf numFmtId="193" fontId="3" fillId="0" borderId="1" xfId="41" applyFont="1" applyBorder="1"/>
    <xf numFmtId="193" fontId="30" fillId="0" borderId="0" xfId="41" applyFont="1" applyFill="1"/>
    <xf numFmtId="184" fontId="30" fillId="0" borderId="0" xfId="41" applyNumberFormat="1" applyFont="1" applyFill="1"/>
    <xf numFmtId="194" fontId="8" fillId="0" borderId="0" xfId="41" applyNumberFormat="1" applyFont="1"/>
    <xf numFmtId="183" fontId="8" fillId="0" borderId="0" xfId="0" applyNumberFormat="1" applyFont="1"/>
    <xf numFmtId="183" fontId="8" fillId="0" borderId="0" xfId="17" applyNumberFormat="1" applyFont="1"/>
    <xf numFmtId="188" fontId="8" fillId="0" borderId="0" xfId="0" applyNumberFormat="1" applyFont="1"/>
    <xf numFmtId="0" fontId="18" fillId="0" borderId="0" xfId="3" applyFont="1"/>
    <xf numFmtId="193" fontId="8" fillId="0" borderId="0" xfId="0" applyNumberFormat="1" applyFont="1"/>
    <xf numFmtId="0" fontId="31" fillId="0" borderId="0" xfId="0" applyFont="1"/>
    <xf numFmtId="0" fontId="0" fillId="0" borderId="1" xfId="0" applyBorder="1"/>
    <xf numFmtId="0" fontId="32" fillId="0" borderId="0" xfId="14" applyFont="1" applyFill="1" applyAlignment="1" applyProtection="1"/>
    <xf numFmtId="188" fontId="15" fillId="0" borderId="0" xfId="2" applyNumberFormat="1" applyFont="1" applyAlignment="1">
      <alignment horizontal="right"/>
    </xf>
    <xf numFmtId="0" fontId="33" fillId="3" borderId="0" xfId="57" applyFont="1" applyFill="1" applyAlignment="1">
      <alignment horizontal="left" vertical="center"/>
    </xf>
    <xf numFmtId="0" fontId="5" fillId="3" borderId="0" xfId="2" applyFont="1" applyFill="1"/>
    <xf numFmtId="0" fontId="11" fillId="3" borderId="0" xfId="2" applyFont="1" applyFill="1" applyAlignment="1">
      <alignment horizontal="right"/>
    </xf>
    <xf numFmtId="0" fontId="5" fillId="3" borderId="0" xfId="2" applyFont="1" applyFill="1" applyAlignment="1">
      <alignment horizontal="right"/>
    </xf>
    <xf numFmtId="0" fontId="34" fillId="0" borderId="0" xfId="2" applyFont="1" applyAlignment="1">
      <alignment wrapText="1"/>
    </xf>
    <xf numFmtId="191" fontId="15" fillId="0" borderId="0" xfId="2" applyNumberFormat="1" applyFont="1" applyAlignment="1">
      <alignment horizontal="right"/>
    </xf>
    <xf numFmtId="191" fontId="34" fillId="0" borderId="0" xfId="2" applyNumberFormat="1" applyFont="1"/>
    <xf numFmtId="191" fontId="15" fillId="0" borderId="0" xfId="2" applyNumberFormat="1" applyFont="1"/>
    <xf numFmtId="191" fontId="14" fillId="0" borderId="0" xfId="0" applyNumberFormat="1" applyFont="1" applyAlignment="1">
      <alignment horizontal="left" indent="1"/>
    </xf>
    <xf numFmtId="191" fontId="14" fillId="0" borderId="0" xfId="2" applyNumberFormat="1" applyFont="1"/>
    <xf numFmtId="191" fontId="14" fillId="0" borderId="0" xfId="2" applyNumberFormat="1" applyFont="1" applyAlignment="1">
      <alignment horizontal="left" indent="1"/>
    </xf>
    <xf numFmtId="191" fontId="35" fillId="0" borderId="0" xfId="2" applyNumberFormat="1" applyFont="1"/>
    <xf numFmtId="191" fontId="14" fillId="0" borderId="0" xfId="0" applyNumberFormat="1" applyFont="1"/>
    <xf numFmtId="191" fontId="15" fillId="0" borderId="9" xfId="2" applyNumberFormat="1" applyFont="1" applyBorder="1"/>
    <xf numFmtId="185" fontId="34" fillId="0" borderId="0" xfId="2" applyNumberFormat="1" applyFont="1"/>
    <xf numFmtId="196" fontId="14" fillId="0" borderId="0" xfId="2" applyNumberFormat="1" applyFont="1" applyAlignment="1">
      <alignment horizontal="left" indent="1"/>
    </xf>
    <xf numFmtId="182" fontId="14" fillId="0" borderId="0" xfId="46" applyNumberFormat="1" applyFont="1" applyFill="1"/>
    <xf numFmtId="0" fontId="34" fillId="0" borderId="0" xfId="2" applyFont="1"/>
    <xf numFmtId="183" fontId="6" fillId="0" borderId="0" xfId="46" applyNumberFormat="1" applyFont="1" applyFill="1"/>
    <xf numFmtId="184" fontId="15" fillId="0" borderId="0" xfId="2" applyNumberFormat="1" applyFont="1"/>
    <xf numFmtId="191" fontId="14" fillId="0" borderId="0" xfId="2" applyNumberFormat="1" applyFont="1" applyAlignment="1">
      <alignment horizontal="left" indent="2"/>
    </xf>
    <xf numFmtId="191" fontId="36" fillId="0" borderId="0" xfId="0" applyNumberFormat="1" applyFont="1"/>
    <xf numFmtId="191" fontId="15" fillId="0" borderId="9" xfId="0" applyNumberFormat="1" applyFont="1" applyBorder="1"/>
    <xf numFmtId="191" fontId="14" fillId="0" borderId="0" xfId="46" applyNumberFormat="1" applyFont="1" applyFill="1"/>
    <xf numFmtId="191" fontId="14" fillId="0" borderId="0" xfId="2" applyNumberFormat="1" applyFont="1" applyAlignment="1">
      <alignment horizontal="left"/>
    </xf>
    <xf numFmtId="193" fontId="14" fillId="0" borderId="0" xfId="2" applyNumberFormat="1" applyFont="1"/>
    <xf numFmtId="0" fontId="17" fillId="0" borderId="0" xfId="2" applyFont="1"/>
    <xf numFmtId="0" fontId="28" fillId="0" borderId="0" xfId="2" applyFont="1"/>
    <xf numFmtId="191" fontId="17" fillId="0" borderId="0" xfId="2" applyNumberFormat="1" applyFont="1"/>
    <xf numFmtId="191" fontId="14" fillId="0" borderId="9" xfId="0" applyNumberFormat="1" applyFont="1" applyBorder="1"/>
    <xf numFmtId="191" fontId="14" fillId="0" borderId="9" xfId="2" applyNumberFormat="1" applyFont="1" applyBorder="1"/>
    <xf numFmtId="0" fontId="28" fillId="0" borderId="0" xfId="0" applyFont="1"/>
    <xf numFmtId="187" fontId="34" fillId="0" borderId="0" xfId="2" applyNumberFormat="1" applyFont="1"/>
    <xf numFmtId="187" fontId="14" fillId="0" borderId="0" xfId="2" applyNumberFormat="1" applyFont="1"/>
    <xf numFmtId="191" fontId="37" fillId="0" borderId="0" xfId="2" applyNumberFormat="1" applyFont="1"/>
    <xf numFmtId="0" fontId="12" fillId="0" borderId="0" xfId="1" applyNumberFormat="1" applyFont="1"/>
    <xf numFmtId="0" fontId="14" fillId="0" borderId="0" xfId="1" applyNumberFormat="1"/>
    <xf numFmtId="0" fontId="14" fillId="0" borderId="0" xfId="2" applyFont="1"/>
    <xf numFmtId="195" fontId="15" fillId="0" borderId="0" xfId="2" applyNumberFormat="1" applyFont="1" applyAlignment="1">
      <alignment horizontal="right"/>
    </xf>
    <xf numFmtId="0" fontId="15" fillId="0" borderId="0" xfId="2" applyFont="1" applyAlignment="1">
      <alignment horizontal="right"/>
    </xf>
    <xf numFmtId="2" fontId="15" fillId="0" borderId="0" xfId="2" applyNumberFormat="1" applyFont="1" applyAlignment="1">
      <alignment horizontal="right"/>
    </xf>
    <xf numFmtId="10" fontId="15" fillId="0" borderId="0" xfId="46" applyNumberFormat="1" applyFont="1" applyFill="1" applyAlignment="1">
      <alignment horizontal="right"/>
    </xf>
    <xf numFmtId="2" fontId="11" fillId="3" borderId="0" xfId="2" applyNumberFormat="1" applyFont="1" applyFill="1" applyAlignment="1">
      <alignment horizontal="right"/>
    </xf>
    <xf numFmtId="9" fontId="15" fillId="0" borderId="0" xfId="2" applyNumberFormat="1" applyFont="1" applyAlignment="1">
      <alignment horizontal="right"/>
    </xf>
    <xf numFmtId="194" fontId="14" fillId="0" borderId="0" xfId="2" applyNumberFormat="1" applyFont="1"/>
    <xf numFmtId="190" fontId="15" fillId="0" borderId="9" xfId="2" applyNumberFormat="1" applyFont="1" applyBorder="1"/>
    <xf numFmtId="190" fontId="14" fillId="0" borderId="9" xfId="2" applyNumberFormat="1" applyFont="1" applyBorder="1"/>
    <xf numFmtId="187" fontId="17" fillId="0" borderId="0" xfId="2" applyNumberFormat="1" applyFont="1"/>
    <xf numFmtId="191" fontId="14" fillId="0" borderId="10" xfId="2" applyNumberFormat="1" applyFont="1" applyBorder="1"/>
    <xf numFmtId="184" fontId="6" fillId="0" borderId="0" xfId="41" applyNumberFormat="1" applyFont="1" applyFill="1"/>
    <xf numFmtId="191" fontId="25" fillId="0" borderId="0" xfId="2" applyNumberFormat="1" applyFont="1"/>
    <xf numFmtId="183" fontId="25" fillId="0" borderId="0" xfId="17" applyNumberFormat="1" applyFont="1" applyFill="1"/>
    <xf numFmtId="181" fontId="5" fillId="3" borderId="0" xfId="2" applyNumberFormat="1" applyFont="1" applyFill="1" applyAlignment="1">
      <alignment horizontal="right"/>
    </xf>
    <xf numFmtId="9" fontId="25" fillId="0" borderId="0" xfId="17" applyFont="1" applyFill="1"/>
    <xf numFmtId="191" fontId="17" fillId="13" borderId="0" xfId="2" applyNumberFormat="1" applyFont="1" applyFill="1"/>
    <xf numFmtId="180" fontId="17" fillId="13" borderId="0" xfId="2" applyNumberFormat="1" applyFont="1" applyFill="1"/>
    <xf numFmtId="0" fontId="38" fillId="0" borderId="0" xfId="0" applyFont="1"/>
    <xf numFmtId="0" fontId="5" fillId="0" borderId="0" xfId="2" applyFont="1" applyAlignment="1">
      <alignment horizontal="right"/>
    </xf>
    <xf numFmtId="9" fontId="39" fillId="0" borderId="0" xfId="0" applyNumberFormat="1" applyFont="1"/>
    <xf numFmtId="0" fontId="39" fillId="0" borderId="0" xfId="0" applyFont="1"/>
    <xf numFmtId="0" fontId="40" fillId="0" borderId="0" xfId="0" applyFont="1"/>
    <xf numFmtId="191" fontId="41" fillId="0" borderId="0" xfId="2" applyNumberFormat="1" applyFont="1"/>
    <xf numFmtId="0" fontId="42" fillId="0" borderId="0" xfId="0" applyFont="1"/>
    <xf numFmtId="9" fontId="17" fillId="0" borderId="0" xfId="2" applyNumberFormat="1" applyFont="1"/>
    <xf numFmtId="187" fontId="39" fillId="0" borderId="0" xfId="0" applyNumberFormat="1" applyFont="1"/>
    <xf numFmtId="190" fontId="14" fillId="0" borderId="0" xfId="2" applyNumberFormat="1" applyFont="1"/>
    <xf numFmtId="191" fontId="39" fillId="0" borderId="0" xfId="0" applyNumberFormat="1" applyFont="1"/>
    <xf numFmtId="2" fontId="15" fillId="0" borderId="1" xfId="2" applyNumberFormat="1" applyFont="1" applyBorder="1" applyAlignment="1">
      <alignment horizontal="right"/>
    </xf>
    <xf numFmtId="0" fontId="11" fillId="3" borderId="1" xfId="2" applyFont="1" applyFill="1" applyBorder="1" applyAlignment="1">
      <alignment horizontal="right"/>
    </xf>
    <xf numFmtId="0" fontId="5" fillId="3" borderId="1" xfId="2" applyFont="1" applyFill="1" applyBorder="1" applyAlignment="1">
      <alignment horizontal="right"/>
    </xf>
    <xf numFmtId="195" fontId="15" fillId="0" borderId="1" xfId="2" applyNumberFormat="1" applyFont="1" applyBorder="1" applyAlignment="1">
      <alignment horizontal="right"/>
    </xf>
    <xf numFmtId="191" fontId="15" fillId="0" borderId="1" xfId="2" applyNumberFormat="1" applyFont="1" applyBorder="1"/>
    <xf numFmtId="191" fontId="14" fillId="0" borderId="1" xfId="2" applyNumberFormat="1" applyFont="1" applyBorder="1"/>
    <xf numFmtId="191" fontId="35" fillId="0" borderId="1" xfId="2" applyNumberFormat="1" applyFont="1" applyBorder="1"/>
    <xf numFmtId="191" fontId="15" fillId="0" borderId="11" xfId="2" applyNumberFormat="1" applyFont="1" applyBorder="1"/>
    <xf numFmtId="182" fontId="14" fillId="0" borderId="1" xfId="46" applyNumberFormat="1" applyFont="1" applyFill="1" applyBorder="1"/>
    <xf numFmtId="183" fontId="6" fillId="0" borderId="1" xfId="46" applyNumberFormat="1" applyFont="1" applyFill="1" applyBorder="1"/>
    <xf numFmtId="184" fontId="15" fillId="0" borderId="1" xfId="2" applyNumberFormat="1" applyFont="1" applyBorder="1"/>
    <xf numFmtId="191" fontId="14" fillId="0" borderId="1" xfId="46" applyNumberFormat="1" applyFont="1" applyFill="1" applyBorder="1"/>
    <xf numFmtId="191" fontId="17" fillId="0" borderId="1" xfId="2" applyNumberFormat="1" applyFont="1" applyBorder="1"/>
    <xf numFmtId="191" fontId="14" fillId="0" borderId="11" xfId="2" applyNumberFormat="1" applyFont="1" applyBorder="1"/>
    <xf numFmtId="191" fontId="14" fillId="0" borderId="11" xfId="0" applyNumberFormat="1" applyFont="1" applyBorder="1"/>
    <xf numFmtId="187" fontId="14" fillId="0" borderId="1" xfId="2" applyNumberFormat="1" applyFont="1" applyBorder="1"/>
    <xf numFmtId="190" fontId="14" fillId="0" borderId="1" xfId="2" applyNumberFormat="1" applyFont="1" applyBorder="1"/>
    <xf numFmtId="191" fontId="37" fillId="0" borderId="1" xfId="2" applyNumberFormat="1" applyFont="1" applyBorder="1"/>
    <xf numFmtId="190" fontId="15" fillId="0" borderId="11" xfId="2" applyNumberFormat="1" applyFont="1" applyBorder="1"/>
    <xf numFmtId="195" fontId="14" fillId="0" borderId="1" xfId="2" applyNumberFormat="1" applyFont="1" applyBorder="1"/>
    <xf numFmtId="195" fontId="14" fillId="0" borderId="0" xfId="2" applyNumberFormat="1" applyFont="1"/>
    <xf numFmtId="184" fontId="14" fillId="0" borderId="0" xfId="2" applyNumberFormat="1" applyFont="1"/>
    <xf numFmtId="184" fontId="15" fillId="0" borderId="9" xfId="2" applyNumberFormat="1" applyFont="1" applyBorder="1"/>
    <xf numFmtId="184" fontId="14" fillId="0" borderId="1" xfId="2" applyNumberFormat="1" applyFont="1" applyBorder="1"/>
    <xf numFmtId="184" fontId="15" fillId="0" borderId="11" xfId="2" applyNumberFormat="1" applyFont="1" applyBorder="1"/>
    <xf numFmtId="190" fontId="14" fillId="0" borderId="11" xfId="2" applyNumberFormat="1" applyFont="1" applyBorder="1"/>
    <xf numFmtId="0" fontId="39" fillId="0" borderId="1" xfId="0" applyFont="1" applyBorder="1"/>
    <xf numFmtId="0" fontId="38" fillId="3" borderId="1" xfId="0" applyFont="1" applyFill="1" applyBorder="1"/>
    <xf numFmtId="0" fontId="38" fillId="3" borderId="0" xfId="0" applyFont="1" applyFill="1"/>
    <xf numFmtId="191" fontId="39" fillId="0" borderId="1" xfId="0" applyNumberFormat="1" applyFont="1" applyBorder="1"/>
    <xf numFmtId="187" fontId="17" fillId="0" borderId="1" xfId="2" applyNumberFormat="1" applyFont="1" applyBorder="1"/>
    <xf numFmtId="9" fontId="39" fillId="0" borderId="0" xfId="17" applyFont="1" applyFill="1"/>
    <xf numFmtId="184" fontId="28" fillId="0" borderId="0" xfId="6" applyNumberFormat="1" applyFont="1" applyFill="1" applyAlignment="1" applyProtection="1"/>
    <xf numFmtId="184" fontId="28" fillId="0" borderId="1" xfId="6" applyNumberFormat="1" applyFont="1" applyFill="1" applyBorder="1" applyAlignment="1" applyProtection="1"/>
    <xf numFmtId="193" fontId="19" fillId="0" borderId="0" xfId="41" applyFont="1" applyFill="1"/>
    <xf numFmtId="184" fontId="17" fillId="0" borderId="0" xfId="41" applyNumberFormat="1" applyFont="1"/>
    <xf numFmtId="179" fontId="14" fillId="0" borderId="0" xfId="41" applyNumberFormat="1" applyFont="1" applyFill="1"/>
    <xf numFmtId="10" fontId="14" fillId="0" borderId="0" xfId="17" applyNumberFormat="1" applyFont="1" applyFill="1"/>
    <xf numFmtId="191" fontId="40" fillId="0" borderId="1" xfId="0" applyNumberFormat="1" applyFont="1" applyBorder="1"/>
    <xf numFmtId="191" fontId="39" fillId="0" borderId="10" xfId="0" applyNumberFormat="1" applyFont="1" applyBorder="1"/>
    <xf numFmtId="191" fontId="39" fillId="0" borderId="12" xfId="0" applyNumberFormat="1" applyFont="1" applyBorder="1"/>
    <xf numFmtId="191" fontId="25" fillId="0" borderId="1" xfId="2" applyNumberFormat="1" applyFont="1" applyBorder="1"/>
    <xf numFmtId="184" fontId="14" fillId="0" borderId="12" xfId="2" applyNumberFormat="1" applyFont="1" applyBorder="1"/>
    <xf numFmtId="191" fontId="14" fillId="0" borderId="1" xfId="0" applyNumberFormat="1" applyFont="1" applyBorder="1"/>
    <xf numFmtId="191" fontId="15" fillId="0" borderId="8" xfId="2" applyNumberFormat="1" applyFont="1" applyBorder="1"/>
    <xf numFmtId="191" fontId="14" fillId="0" borderId="8" xfId="2" applyNumberFormat="1" applyFont="1" applyBorder="1"/>
    <xf numFmtId="191" fontId="17" fillId="0" borderId="8" xfId="2" applyNumberFormat="1" applyFont="1" applyBorder="1"/>
    <xf numFmtId="191" fontId="40" fillId="0" borderId="0" xfId="0" applyNumberFormat="1" applyFont="1"/>
    <xf numFmtId="191" fontId="40" fillId="0" borderId="8" xfId="0" applyNumberFormat="1" applyFont="1" applyBorder="1"/>
    <xf numFmtId="191" fontId="39" fillId="0" borderId="13" xfId="0" applyNumberFormat="1" applyFont="1" applyBorder="1"/>
    <xf numFmtId="191" fontId="15" fillId="0" borderId="14" xfId="2" applyNumberFormat="1" applyFont="1" applyBorder="1"/>
    <xf numFmtId="182" fontId="14" fillId="0" borderId="8" xfId="46" applyNumberFormat="1" applyFont="1" applyFill="1" applyBorder="1"/>
    <xf numFmtId="9" fontId="28" fillId="0" borderId="0" xfId="17" applyFont="1" applyFill="1" applyAlignment="1" applyProtection="1"/>
    <xf numFmtId="184" fontId="28" fillId="0" borderId="8" xfId="6" applyNumberFormat="1" applyFont="1" applyFill="1" applyBorder="1" applyAlignment="1" applyProtection="1"/>
    <xf numFmtId="184" fontId="15" fillId="0" borderId="8" xfId="2" applyNumberFormat="1" applyFont="1" applyBorder="1"/>
    <xf numFmtId="191" fontId="14" fillId="0" borderId="8" xfId="46" applyNumberFormat="1" applyFont="1" applyFill="1" applyBorder="1"/>
    <xf numFmtId="191" fontId="25" fillId="0" borderId="8" xfId="2" applyNumberFormat="1" applyFont="1" applyBorder="1"/>
    <xf numFmtId="191" fontId="43" fillId="0" borderId="1" xfId="2" applyNumberFormat="1" applyFont="1" applyBorder="1"/>
    <xf numFmtId="9" fontId="43" fillId="0" borderId="0" xfId="17" applyFont="1" applyFill="1"/>
    <xf numFmtId="191" fontId="14" fillId="0" borderId="12" xfId="2" applyNumberFormat="1" applyFont="1" applyBorder="1"/>
    <xf numFmtId="9" fontId="39" fillId="0" borderId="10" xfId="17" applyFont="1" applyFill="1" applyBorder="1"/>
    <xf numFmtId="9" fontId="39" fillId="0" borderId="12" xfId="17" applyFont="1" applyFill="1" applyBorder="1"/>
    <xf numFmtId="9" fontId="5" fillId="3" borderId="0" xfId="17" applyFont="1" applyFill="1" applyAlignment="1">
      <alignment horizontal="right"/>
    </xf>
    <xf numFmtId="191" fontId="15" fillId="0" borderId="0" xfId="17" applyNumberFormat="1" applyFont="1" applyFill="1"/>
    <xf numFmtId="186" fontId="5" fillId="3" borderId="0" xfId="2" applyNumberFormat="1" applyFont="1" applyFill="1" applyAlignment="1">
      <alignment horizontal="right"/>
    </xf>
    <xf numFmtId="186" fontId="5" fillId="3" borderId="1" xfId="2" applyNumberFormat="1" applyFont="1" applyFill="1" applyBorder="1" applyAlignment="1">
      <alignment horizontal="right"/>
    </xf>
    <xf numFmtId="9" fontId="39" fillId="0" borderId="0" xfId="17" applyFont="1"/>
    <xf numFmtId="9" fontId="39" fillId="0" borderId="1" xfId="17" applyFont="1" applyBorder="1"/>
    <xf numFmtId="191" fontId="17" fillId="13" borderId="1" xfId="2" applyNumberFormat="1" applyFont="1" applyFill="1" applyBorder="1"/>
    <xf numFmtId="191" fontId="17" fillId="13" borderId="12" xfId="2" applyNumberFormat="1" applyFont="1" applyFill="1" applyBorder="1"/>
    <xf numFmtId="191" fontId="15" fillId="0" borderId="15" xfId="2" applyNumberFormat="1" applyFont="1" applyBorder="1"/>
    <xf numFmtId="0" fontId="11" fillId="0" borderId="0" xfId="2" applyFont="1" applyAlignment="1">
      <alignment horizontal="right"/>
    </xf>
    <xf numFmtId="186" fontId="5" fillId="0" borderId="0" xfId="2" applyNumberFormat="1" applyFont="1" applyAlignment="1">
      <alignment horizontal="right"/>
    </xf>
    <xf numFmtId="187" fontId="15" fillId="0" borderId="0" xfId="2" applyNumberFormat="1" applyFont="1"/>
    <xf numFmtId="193" fontId="6" fillId="0" borderId="0" xfId="41" applyFont="1" applyFill="1" applyAlignment="1" applyProtection="1"/>
    <xf numFmtId="178" fontId="15" fillId="0" borderId="0" xfId="2" applyNumberFormat="1" applyFont="1"/>
    <xf numFmtId="195" fontId="15" fillId="0" borderId="0" xfId="2" applyNumberFormat="1" applyFont="1"/>
    <xf numFmtId="191" fontId="44" fillId="0" borderId="0" xfId="2" applyNumberFormat="1" applyFont="1"/>
    <xf numFmtId="184" fontId="6" fillId="0" borderId="0" xfId="6" applyNumberFormat="1" applyFont="1" applyFill="1" applyAlignment="1" applyProtection="1"/>
    <xf numFmtId="187" fontId="35" fillId="0" borderId="0" xfId="2" applyNumberFormat="1" applyFont="1"/>
    <xf numFmtId="9" fontId="39" fillId="0" borderId="0" xfId="46" applyFont="1" applyFill="1"/>
    <xf numFmtId="180" fontId="14" fillId="0" borderId="0" xfId="46" applyNumberFormat="1" applyFont="1" applyFill="1"/>
    <xf numFmtId="185" fontId="45" fillId="0" borderId="0" xfId="2" applyNumberFormat="1" applyFont="1"/>
    <xf numFmtId="180" fontId="15" fillId="0" borderId="0" xfId="46" applyNumberFormat="1" applyFont="1" applyFill="1"/>
    <xf numFmtId="180" fontId="14" fillId="0" borderId="0" xfId="2" applyNumberFormat="1" applyFont="1"/>
    <xf numFmtId="9" fontId="34" fillId="0" borderId="0" xfId="2" applyNumberFormat="1" applyFont="1"/>
    <xf numFmtId="182" fontId="14" fillId="0" borderId="0" xfId="2" applyNumberFormat="1" applyFont="1"/>
    <xf numFmtId="182" fontId="15" fillId="0" borderId="0" xfId="2" applyNumberFormat="1" applyFont="1"/>
    <xf numFmtId="0" fontId="15" fillId="0" borderId="0" xfId="1" applyNumberFormat="1" applyFont="1"/>
    <xf numFmtId="9" fontId="14" fillId="0" borderId="0" xfId="2" applyNumberFormat="1" applyFont="1" applyAlignment="1">
      <alignment horizontal="left" indent="1"/>
    </xf>
    <xf numFmtId="0" fontId="12" fillId="0" borderId="0" xfId="2" applyFont="1"/>
    <xf numFmtId="37" fontId="34" fillId="0" borderId="0" xfId="2" applyNumberFormat="1" applyFont="1"/>
    <xf numFmtId="37" fontId="14" fillId="0" borderId="0" xfId="2" applyNumberFormat="1" applyFont="1"/>
    <xf numFmtId="9" fontId="14" fillId="0" borderId="0" xfId="46" applyFont="1" applyFill="1"/>
    <xf numFmtId="191" fontId="34" fillId="0" borderId="0" xfId="2" applyNumberFormat="1" applyFont="1" applyAlignment="1">
      <alignment wrapText="1"/>
    </xf>
    <xf numFmtId="191" fontId="14" fillId="0" borderId="0" xfId="0" applyNumberFormat="1" applyFont="1" applyAlignment="1">
      <alignment horizontal="left"/>
    </xf>
    <xf numFmtId="182" fontId="17" fillId="0" borderId="0" xfId="2" applyNumberFormat="1" applyFont="1"/>
    <xf numFmtId="182" fontId="46" fillId="0" borderId="0" xfId="2" applyNumberFormat="1" applyFont="1"/>
    <xf numFmtId="183" fontId="17" fillId="0" borderId="0" xfId="2" applyNumberFormat="1" applyFont="1"/>
    <xf numFmtId="191" fontId="14" fillId="13" borderId="0" xfId="2" applyNumberFormat="1" applyFont="1" applyFill="1"/>
    <xf numFmtId="9" fontId="14" fillId="13" borderId="0" xfId="17" applyFont="1" applyFill="1"/>
    <xf numFmtId="184" fontId="14" fillId="0" borderId="0" xfId="6" applyNumberFormat="1" applyFont="1" applyFill="1"/>
    <xf numFmtId="9" fontId="40" fillId="0" borderId="0" xfId="0" applyNumberFormat="1" applyFont="1"/>
    <xf numFmtId="182" fontId="40" fillId="0" borderId="0" xfId="0" applyNumberFormat="1" applyFont="1"/>
    <xf numFmtId="182" fontId="39" fillId="0" borderId="0" xfId="0" applyNumberFormat="1" applyFont="1"/>
    <xf numFmtId="183" fontId="14" fillId="0" borderId="0" xfId="2" applyNumberFormat="1" applyFont="1"/>
    <xf numFmtId="180" fontId="14" fillId="0" borderId="1" xfId="46" applyNumberFormat="1" applyFont="1" applyFill="1" applyBorder="1"/>
    <xf numFmtId="180" fontId="15" fillId="0" borderId="1" xfId="46" applyNumberFormat="1" applyFont="1" applyFill="1" applyBorder="1"/>
    <xf numFmtId="180" fontId="14" fillId="0" borderId="1" xfId="2" applyNumberFormat="1" applyFont="1" applyBorder="1"/>
    <xf numFmtId="182" fontId="14" fillId="0" borderId="1" xfId="2" applyNumberFormat="1" applyFont="1" applyBorder="1"/>
    <xf numFmtId="182" fontId="15" fillId="0" borderId="1" xfId="2" applyNumberFormat="1" applyFont="1" applyBorder="1"/>
    <xf numFmtId="9" fontId="39" fillId="0" borderId="1" xfId="0" applyNumberFormat="1" applyFont="1" applyBorder="1"/>
    <xf numFmtId="191" fontId="44" fillId="0" borderId="1" xfId="2" applyNumberFormat="1" applyFont="1" applyBorder="1"/>
    <xf numFmtId="183" fontId="14" fillId="0" borderId="1" xfId="2" applyNumberFormat="1" applyFont="1" applyBorder="1"/>
    <xf numFmtId="0" fontId="5" fillId="0" borderId="1" xfId="2" applyFont="1" applyBorder="1" applyAlignment="1">
      <alignment horizontal="right"/>
    </xf>
    <xf numFmtId="9" fontId="14" fillId="0" borderId="1" xfId="46" applyFont="1" applyFill="1" applyBorder="1"/>
    <xf numFmtId="49" fontId="14" fillId="0" borderId="1" xfId="2" applyNumberFormat="1" applyFont="1" applyBorder="1"/>
    <xf numFmtId="49" fontId="14" fillId="0" borderId="0" xfId="2" applyNumberFormat="1" applyFont="1"/>
    <xf numFmtId="9" fontId="14" fillId="0" borderId="1" xfId="2" applyNumberFormat="1" applyFont="1" applyBorder="1"/>
    <xf numFmtId="9" fontId="14" fillId="0" borderId="0" xfId="2" applyNumberFormat="1" applyFont="1"/>
    <xf numFmtId="182" fontId="41" fillId="0" borderId="1" xfId="2" applyNumberFormat="1" applyFont="1" applyBorder="1"/>
    <xf numFmtId="182" fontId="41" fillId="0" borderId="0" xfId="2" applyNumberFormat="1" applyFont="1"/>
    <xf numFmtId="182" fontId="17" fillId="0" borderId="1" xfId="2" applyNumberFormat="1" applyFont="1" applyBorder="1"/>
    <xf numFmtId="191" fontId="46" fillId="0" borderId="1" xfId="2" applyNumberFormat="1" applyFont="1" applyBorder="1"/>
    <xf numFmtId="191" fontId="46" fillId="0" borderId="0" xfId="2" applyNumberFormat="1" applyFont="1"/>
    <xf numFmtId="186" fontId="5" fillId="0" borderId="1" xfId="2" applyNumberFormat="1" applyFont="1" applyBorder="1" applyAlignment="1">
      <alignment horizontal="right"/>
    </xf>
    <xf numFmtId="186" fontId="15" fillId="0" borderId="0" xfId="2" applyNumberFormat="1" applyFont="1" applyAlignment="1">
      <alignment horizontal="right"/>
    </xf>
    <xf numFmtId="184" fontId="39" fillId="0" borderId="1" xfId="0" applyNumberFormat="1" applyFont="1" applyBorder="1"/>
    <xf numFmtId="184" fontId="39" fillId="0" borderId="0" xfId="0" applyNumberFormat="1" applyFont="1"/>
    <xf numFmtId="191" fontId="47" fillId="0" borderId="1" xfId="0" applyNumberFormat="1" applyFont="1" applyBorder="1"/>
    <xf numFmtId="191" fontId="47" fillId="0" borderId="0" xfId="0" applyNumberFormat="1" applyFont="1"/>
    <xf numFmtId="177" fontId="14" fillId="0" borderId="1" xfId="2" applyNumberFormat="1" applyFont="1" applyBorder="1"/>
    <xf numFmtId="177" fontId="14" fillId="0" borderId="0" xfId="2" applyNumberFormat="1" applyFont="1"/>
    <xf numFmtId="182" fontId="17" fillId="13" borderId="0" xfId="2" applyNumberFormat="1" applyFont="1" applyFill="1"/>
    <xf numFmtId="182" fontId="17" fillId="13" borderId="1" xfId="2" applyNumberFormat="1" applyFont="1" applyFill="1" applyBorder="1"/>
    <xf numFmtId="180" fontId="48" fillId="0" borderId="0" xfId="2" applyNumberFormat="1" applyFont="1"/>
    <xf numFmtId="182" fontId="48" fillId="0" borderId="0" xfId="2" applyNumberFormat="1" applyFont="1"/>
    <xf numFmtId="191" fontId="15" fillId="0" borderId="0" xfId="0" applyNumberFormat="1" applyFont="1"/>
    <xf numFmtId="191" fontId="42" fillId="0" borderId="0" xfId="2" applyNumberFormat="1" applyFont="1" applyProtection="1">
      <protection locked="0"/>
    </xf>
    <xf numFmtId="193" fontId="42" fillId="0" borderId="0" xfId="41" applyFont="1" applyProtection="1">
      <protection locked="0"/>
    </xf>
    <xf numFmtId="0" fontId="49" fillId="0" borderId="0" xfId="2" applyFont="1"/>
    <xf numFmtId="191" fontId="15" fillId="0" borderId="0" xfId="2" applyNumberFormat="1" applyFont="1" applyAlignment="1">
      <alignment horizontal="left"/>
    </xf>
    <xf numFmtId="191" fontId="15" fillId="0" borderId="0" xfId="39" applyNumberFormat="1" applyFont="1"/>
    <xf numFmtId="191" fontId="14" fillId="0" borderId="0" xfId="39" applyNumberFormat="1" applyFont="1"/>
    <xf numFmtId="191" fontId="19" fillId="0" borderId="0" xfId="2" applyNumberFormat="1" applyFont="1"/>
    <xf numFmtId="191" fontId="50" fillId="14" borderId="0" xfId="2" applyNumberFormat="1" applyFont="1" applyFill="1"/>
    <xf numFmtId="4" fontId="0" fillId="0" borderId="0" xfId="0" applyNumberFormat="1"/>
    <xf numFmtId="0" fontId="36" fillId="0" borderId="0" xfId="0" applyFont="1"/>
    <xf numFmtId="190" fontId="39" fillId="0" borderId="0" xfId="0" applyNumberFormat="1" applyFont="1"/>
    <xf numFmtId="43" fontId="14" fillId="0" borderId="0" xfId="2" applyNumberFormat="1" applyFont="1"/>
    <xf numFmtId="9" fontId="17" fillId="13" borderId="0" xfId="17" applyFont="1" applyFill="1"/>
    <xf numFmtId="184" fontId="17" fillId="13" borderId="0" xfId="41" applyNumberFormat="1" applyFont="1" applyFill="1"/>
    <xf numFmtId="9" fontId="42" fillId="0" borderId="0" xfId="46" applyFont="1" applyFill="1" applyProtection="1">
      <protection locked="0"/>
    </xf>
    <xf numFmtId="180" fontId="39" fillId="0" borderId="0" xfId="0" applyNumberFormat="1" applyFont="1"/>
    <xf numFmtId="191" fontId="50" fillId="0" borderId="0" xfId="2" applyNumberFormat="1" applyFont="1"/>
    <xf numFmtId="176" fontId="39" fillId="0" borderId="0" xfId="0" applyNumberFormat="1" applyFont="1"/>
    <xf numFmtId="43" fontId="14" fillId="0" borderId="1" xfId="2" applyNumberFormat="1" applyFont="1" applyBorder="1"/>
    <xf numFmtId="191" fontId="42" fillId="0" borderId="1" xfId="2" applyNumberFormat="1" applyFont="1" applyBorder="1" applyProtection="1">
      <protection locked="0"/>
    </xf>
    <xf numFmtId="191" fontId="14" fillId="0" borderId="1" xfId="39" applyNumberFormat="1" applyFont="1" applyBorder="1"/>
    <xf numFmtId="191" fontId="50" fillId="0" borderId="1" xfId="2" applyNumberFormat="1" applyFont="1" applyBorder="1"/>
    <xf numFmtId="190" fontId="39" fillId="0" borderId="1" xfId="0" applyNumberFormat="1" applyFont="1" applyBorder="1"/>
    <xf numFmtId="176" fontId="39" fillId="0" borderId="1" xfId="0" applyNumberFormat="1" applyFont="1" applyBorder="1"/>
    <xf numFmtId="191" fontId="51" fillId="0" borderId="1" xfId="0" applyNumberFormat="1" applyFont="1" applyBorder="1"/>
    <xf numFmtId="191" fontId="51" fillId="0" borderId="0" xfId="0" applyNumberFormat="1" applyFont="1"/>
    <xf numFmtId="191" fontId="42" fillId="0" borderId="1" xfId="0" applyNumberFormat="1" applyFont="1" applyBorder="1"/>
    <xf numFmtId="191" fontId="42" fillId="0" borderId="0" xfId="0" applyNumberFormat="1" applyFont="1"/>
    <xf numFmtId="191" fontId="39" fillId="0" borderId="0" xfId="2" applyNumberFormat="1" applyFont="1" applyProtection="1">
      <protection locked="0"/>
    </xf>
    <xf numFmtId="183" fontId="39" fillId="0" borderId="0" xfId="17" applyNumberFormat="1" applyFont="1"/>
    <xf numFmtId="191" fontId="14" fillId="0" borderId="9" xfId="2" applyNumberFormat="1" applyFont="1" applyBorder="1" applyAlignment="1">
      <alignment horizontal="left" indent="1"/>
    </xf>
    <xf numFmtId="191" fontId="45" fillId="0" borderId="0" xfId="2" applyNumberFormat="1" applyFont="1"/>
    <xf numFmtId="191" fontId="14" fillId="13" borderId="0" xfId="0" applyNumberFormat="1" applyFont="1" applyFill="1"/>
    <xf numFmtId="181" fontId="5" fillId="0" borderId="0" xfId="2" applyNumberFormat="1" applyFont="1" applyAlignment="1">
      <alignment horizontal="right"/>
    </xf>
    <xf numFmtId="191" fontId="37" fillId="0" borderId="0" xfId="46" applyNumberFormat="1" applyFont="1" applyFill="1"/>
    <xf numFmtId="183" fontId="39" fillId="0" borderId="0" xfId="17" applyNumberFormat="1" applyFont="1" applyFill="1"/>
    <xf numFmtId="183" fontId="39" fillId="0" borderId="1" xfId="17" applyNumberFormat="1" applyFont="1" applyFill="1" applyBorder="1"/>
    <xf numFmtId="9" fontId="39" fillId="0" borderId="1" xfId="17" applyFont="1" applyFill="1" applyBorder="1"/>
    <xf numFmtId="9" fontId="39" fillId="0" borderId="1" xfId="46" applyFont="1" applyFill="1" applyBorder="1"/>
    <xf numFmtId="191" fontId="37" fillId="0" borderId="1" xfId="46" applyNumberFormat="1" applyFont="1" applyFill="1" applyBorder="1"/>
    <xf numFmtId="9" fontId="46" fillId="0" borderId="1" xfId="17" applyFont="1" applyFill="1" applyBorder="1"/>
    <xf numFmtId="9" fontId="46" fillId="0" borderId="0" xfId="17" applyFont="1" applyFill="1"/>
    <xf numFmtId="49" fontId="52" fillId="15" borderId="0" xfId="0" applyNumberFormat="1" applyFont="1" applyFill="1" applyAlignment="1">
      <alignment horizontal="center"/>
    </xf>
    <xf numFmtId="0" fontId="53" fillId="16" borderId="0" xfId="0" applyFont="1" applyFill="1" applyAlignment="1" applyProtection="1">
      <alignment horizontal="center"/>
      <protection locked="0"/>
    </xf>
    <xf numFmtId="192" fontId="53" fillId="16" borderId="0" xfId="0" applyNumberFormat="1" applyFont="1" applyFill="1" applyAlignment="1" applyProtection="1">
      <alignment horizontal="center"/>
      <protection locked="0"/>
    </xf>
    <xf numFmtId="0" fontId="52" fillId="15" borderId="0" xfId="0" applyFont="1" applyFill="1" applyAlignment="1" applyProtection="1">
      <alignment horizontal="left"/>
      <protection locked="0"/>
    </xf>
    <xf numFmtId="0" fontId="52" fillId="17" borderId="0" xfId="0" applyFont="1" applyFill="1" applyAlignment="1" applyProtection="1">
      <alignment horizontal="left"/>
      <protection locked="0"/>
    </xf>
    <xf numFmtId="0" fontId="0" fillId="0" borderId="0" xfId="0" applyProtection="1">
      <protection locked="0"/>
    </xf>
    <xf numFmtId="49" fontId="52" fillId="15" borderId="0" xfId="0" applyNumberFormat="1" applyFont="1" applyFill="1" applyAlignment="1">
      <alignment horizontal="left"/>
    </xf>
    <xf numFmtId="0" fontId="53" fillId="16" borderId="0" xfId="0" applyFont="1" applyFill="1" applyAlignment="1">
      <alignment horizontal="center"/>
    </xf>
    <xf numFmtId="192" fontId="53" fillId="16" borderId="0" xfId="0" applyNumberFormat="1" applyFont="1" applyFill="1" applyAlignment="1">
      <alignment horizontal="center"/>
    </xf>
    <xf numFmtId="0" fontId="52" fillId="15" borderId="0" xfId="0" applyFont="1" applyFill="1" applyAlignment="1">
      <alignment horizontal="left"/>
    </xf>
    <xf numFmtId="0" fontId="52" fillId="17" borderId="0" xfId="0" applyFont="1" applyFill="1" applyAlignment="1">
      <alignment horizontal="left"/>
    </xf>
    <xf numFmtId="0" fontId="0" fillId="16" borderId="0" xfId="0" applyFill="1"/>
    <xf numFmtId="1" fontId="53" fillId="18" borderId="0" xfId="0" applyNumberFormat="1" applyFont="1" applyFill="1" applyProtection="1">
      <protection locked="0"/>
    </xf>
    <xf numFmtId="1" fontId="53" fillId="19" borderId="0" xfId="0" applyNumberFormat="1" applyFont="1" applyFill="1" applyProtection="1">
      <protection locked="0"/>
    </xf>
    <xf numFmtId="188" fontId="53" fillId="19" borderId="0" xfId="0" applyNumberFormat="1" applyFont="1" applyFill="1" applyProtection="1">
      <protection locked="0"/>
    </xf>
    <xf numFmtId="183" fontId="53" fillId="19" borderId="0" xfId="0" applyNumberFormat="1" applyFont="1" applyFill="1" applyProtection="1">
      <protection locked="0"/>
    </xf>
    <xf numFmtId="0" fontId="53" fillId="18" borderId="0" xfId="0" applyFont="1" applyFill="1" applyProtection="1">
      <protection locked="0"/>
    </xf>
    <xf numFmtId="9" fontId="53" fillId="19" borderId="0" xfId="0" applyNumberFormat="1" applyFont="1" applyFill="1" applyProtection="1">
      <protection locked="0"/>
    </xf>
    <xf numFmtId="10" fontId="53" fillId="19" borderId="0" xfId="0" applyNumberFormat="1" applyFont="1" applyFill="1" applyProtection="1">
      <protection locked="0"/>
    </xf>
    <xf numFmtId="2" fontId="53" fillId="18" borderId="0" xfId="0" applyNumberFormat="1" applyFont="1" applyFill="1" applyProtection="1">
      <protection locked="0"/>
    </xf>
    <xf numFmtId="188" fontId="53" fillId="18" borderId="0" xfId="0" applyNumberFormat="1" applyFont="1" applyFill="1" applyProtection="1">
      <protection locked="0"/>
    </xf>
    <xf numFmtId="183" fontId="53" fillId="18" borderId="0" xfId="0" applyNumberFormat="1" applyFont="1" applyFill="1" applyProtection="1">
      <protection locked="0"/>
    </xf>
    <xf numFmtId="192" fontId="53" fillId="18" borderId="0" xfId="0" applyNumberFormat="1" applyFont="1" applyFill="1" applyProtection="1">
      <protection locked="0"/>
    </xf>
    <xf numFmtId="49" fontId="53" fillId="18" borderId="0" xfId="0" applyNumberFormat="1" applyFont="1" applyFill="1" applyProtection="1">
      <protection locked="0"/>
    </xf>
    <xf numFmtId="2" fontId="53" fillId="19" borderId="0" xfId="0" applyNumberFormat="1" applyFont="1" applyFill="1" applyProtection="1">
      <protection locked="0"/>
    </xf>
    <xf numFmtId="9" fontId="53" fillId="18" borderId="0" xfId="0" applyNumberFormat="1" applyFont="1" applyFill="1" applyProtection="1">
      <protection locked="0"/>
    </xf>
    <xf numFmtId="0" fontId="54" fillId="0" borderId="0" xfId="4" applyAlignment="1">
      <alignment vertical="center"/>
    </xf>
    <xf numFmtId="0" fontId="55" fillId="0" borderId="0" xfId="4" applyFont="1" applyAlignment="1">
      <alignment vertical="center"/>
    </xf>
    <xf numFmtId="0" fontId="56" fillId="20" borderId="0" xfId="57" applyFont="1" applyFill="1" applyAlignment="1">
      <alignment horizontal="left" vertical="center"/>
    </xf>
    <xf numFmtId="0" fontId="57" fillId="0" borderId="0" xfId="4" applyFont="1" applyAlignment="1">
      <alignment horizontal="left" vertical="center" indent="2"/>
    </xf>
    <xf numFmtId="0" fontId="54" fillId="0" borderId="0" xfId="4" applyAlignment="1">
      <alignment horizontal="left" vertical="center"/>
    </xf>
    <xf numFmtId="3" fontId="54" fillId="0" borderId="0" xfId="4" applyNumberFormat="1" applyAlignment="1">
      <alignment horizontal="left" vertical="center"/>
    </xf>
    <xf numFmtId="15" fontId="54" fillId="0" borderId="0" xfId="4" applyNumberFormat="1" applyAlignment="1">
      <alignment horizontal="left" vertical="center"/>
    </xf>
    <xf numFmtId="0" fontId="57" fillId="0" borderId="0" xfId="4" applyFont="1" applyAlignment="1">
      <alignment horizontal="left" vertical="center" indent="1"/>
    </xf>
    <xf numFmtId="0" fontId="54" fillId="21" borderId="0" xfId="4" applyFill="1" applyAlignment="1">
      <alignment horizontal="left" vertical="center" indent="3"/>
    </xf>
    <xf numFmtId="0" fontId="54" fillId="0" borderId="0" xfId="4" applyAlignment="1">
      <alignment horizontal="left" vertical="center" indent="3"/>
    </xf>
    <xf numFmtId="0" fontId="56" fillId="20" borderId="0" xfId="57" applyFont="1" applyFill="1" applyAlignment="1" quotePrefix="1">
      <alignment horizontal="left" vertical="center"/>
    </xf>
    <xf numFmtId="0" fontId="33" fillId="3" borderId="0" xfId="57" applyFont="1" applyFill="1" applyAlignment="1" quotePrefix="1">
      <alignment horizontal="left" vertical="center"/>
    </xf>
    <xf numFmtId="0" fontId="5" fillId="3" borderId="0" xfId="2" applyFont="1" applyFill="1" applyAlignment="1" quotePrefix="1">
      <alignment horizontal="right"/>
    </xf>
    <xf numFmtId="0" fontId="5" fillId="3" borderId="1" xfId="2" applyFont="1" applyFill="1" applyBorder="1" applyAlignment="1" quotePrefix="1">
      <alignment horizontal="right"/>
    </xf>
    <xf numFmtId="9" fontId="5" fillId="3" borderId="0" xfId="17" applyFont="1" applyFill="1" applyAlignment="1" quotePrefix="1">
      <alignment horizontal="right"/>
    </xf>
    <xf numFmtId="186" fontId="5" fillId="3" borderId="0" xfId="2" applyNumberFormat="1" applyFont="1" applyFill="1" applyAlignment="1" quotePrefix="1">
      <alignment horizontal="right"/>
    </xf>
    <xf numFmtId="186" fontId="5" fillId="3" borderId="1" xfId="2" applyNumberFormat="1" applyFont="1" applyFill="1" applyBorder="1" applyAlignment="1" quotePrefix="1">
      <alignment horizontal="right"/>
    </xf>
    <xf numFmtId="0" fontId="5" fillId="3" borderId="0" xfId="2" applyFont="1" applyFill="1" quotePrefix="1"/>
    <xf numFmtId="186" fontId="15" fillId="0" borderId="0" xfId="2" applyNumberFormat="1" applyFont="1" applyAlignment="1" quotePrefix="1">
      <alignment horizontal="right"/>
    </xf>
    <xf numFmtId="191" fontId="14" fillId="0" borderId="0" xfId="2" applyNumberFormat="1" applyFont="1" quotePrefix="1"/>
  </cellXfs>
  <cellStyles count="63">
    <cellStyle name="常规" xfId="0" builtinId="0"/>
    <cellStyle name="一般_Realtek Model-wip-Rob" xfId="1"/>
    <cellStyle name="Normal_E-Ton_021808" xfId="2"/>
    <cellStyle name="Normal 50" xfId="3"/>
    <cellStyle name="Normal 46" xfId="4"/>
    <cellStyle name="Comma 3" xfId="5"/>
    <cellStyle name="Comma 2" xfId="6"/>
    <cellStyle name="blp_column_header" xfId="7"/>
    <cellStyle name="60% - 强调文字颜色 6" xfId="8" builtinId="52"/>
    <cellStyle name="20% - 强调文字颜色 4" xfId="9" builtinId="42"/>
    <cellStyle name="强调文字颜色 4" xfId="10" builtinId="41"/>
    <cellStyle name="输入" xfId="11" builtinId="20"/>
    <cellStyle name="40% - 强调文字颜色 3" xfId="12" builtinId="39"/>
    <cellStyle name="20% - 强调文字颜色 3" xfId="13" builtinId="38"/>
    <cellStyle name="Hyperlink_E-Ton_021808" xfId="14"/>
    <cellStyle name="货币" xfId="15" builtinId="4"/>
    <cellStyle name="强调文字颜色 3" xfId="16" builtinId="37"/>
    <cellStyle name="百分比" xfId="17" builtinId="5"/>
    <cellStyle name="60% - 强调文字颜色 2" xfId="18" builtinId="36"/>
    <cellStyle name="60% - 强调文字颜色 5" xfId="19" builtinId="48"/>
    <cellStyle name="强调文字颜色 2" xfId="20" builtinId="33"/>
    <cellStyle name="60% - 强调文字颜色 1" xfId="21" builtinId="32"/>
    <cellStyle name="60% - 强调文字颜色 4" xfId="22" builtinId="44"/>
    <cellStyle name="计算" xfId="23" builtinId="22"/>
    <cellStyle name="强调文字颜色 1" xfId="24" builtinId="29"/>
    <cellStyle name="适中" xfId="25" builtinId="28"/>
    <cellStyle name="20% - 强调文字颜色 5" xfId="26" builtinId="46"/>
    <cellStyle name="好" xfId="27" builtinId="26"/>
    <cellStyle name="20% - 强调文字颜色 1" xfId="28" builtinId="30"/>
    <cellStyle name="汇总" xfId="29" builtinId="25"/>
    <cellStyle name="差" xfId="30" builtinId="27"/>
    <cellStyle name="检查单元格" xfId="31" builtinId="23"/>
    <cellStyle name="输出" xfId="32" builtinId="21"/>
    <cellStyle name="标题 1" xfId="33" builtinId="16"/>
    <cellStyle name="解释性文本" xfId="34" builtinId="53"/>
    <cellStyle name="20% - 强调文字颜色 2" xfId="35" builtinId="34"/>
    <cellStyle name="标题 4" xfId="36" builtinId="19"/>
    <cellStyle name="货币[0]" xfId="37" builtinId="7"/>
    <cellStyle name="40% - 强调文字颜色 4" xfId="38" builtinId="43"/>
    <cellStyle name="Normal_Standard Template_reduced" xfId="39"/>
    <cellStyle name="Comma 2 2" xfId="40"/>
    <cellStyle name="千位分隔" xfId="41" builtinId="3"/>
    <cellStyle name="已访问的超链接" xfId="42" builtinId="9"/>
    <cellStyle name="标题" xfId="43" builtinId="15"/>
    <cellStyle name="40% - 强调文字颜色 2" xfId="44" builtinId="35"/>
    <cellStyle name="警告文本" xfId="45" builtinId="11"/>
    <cellStyle name="Percent 2" xfId="46"/>
    <cellStyle name="60% - 强调文字颜色 3" xfId="47" builtinId="40"/>
    <cellStyle name="注释" xfId="48" builtinId="10"/>
    <cellStyle name="Percent 78" xfId="49"/>
    <cellStyle name="Normal 50 2" xfId="50"/>
    <cellStyle name="20% - 强调文字颜色 6" xfId="51" builtinId="50"/>
    <cellStyle name="强调文字颜色 5" xfId="52" builtinId="45"/>
    <cellStyle name="40% - 强调文字颜色 6" xfId="53" builtinId="51"/>
    <cellStyle name="超链接" xfId="54" builtinId="8"/>
    <cellStyle name="千位分隔[0]" xfId="55" builtinId="6"/>
    <cellStyle name="标题 2" xfId="56" builtinId="17"/>
    <cellStyle name="Normal_Sector_Summary_Pack_Eur" xfId="57"/>
    <cellStyle name="40% - 强调文字颜色 5" xfId="58" builtinId="47"/>
    <cellStyle name="标题 3" xfId="59" builtinId="18"/>
    <cellStyle name="强调文字颜色 6" xfId="60" builtinId="49"/>
    <cellStyle name="40% - 强调文字颜色 1" xfId="61" builtinId="31"/>
    <cellStyle name="链接单元格" xfId="62" builtinId="24"/>
  </cellStyles>
  <dxfs count="32">
    <dxf>
      <fill>
        <patternFill patternType="lightGray">
          <fgColor rgb="FFFFC000"/>
        </patternFill>
      </fill>
    </dxf>
    <dxf>
      <fill>
        <patternFill patternType="solid">
          <bgColor rgb="FFCCCCCC"/>
        </patternFill>
      </fill>
    </dxf>
    <dxf>
      <fill>
        <patternFill patternType="solid">
          <bgColor rgb="FFA5A5A5"/>
        </patternFill>
      </fill>
    </dxf>
    <dxf>
      <fill>
        <patternFill patternType="solid">
          <bgColor rgb="FFA5A5A5"/>
        </patternFill>
      </fill>
    </dxf>
    <dxf>
      <fill>
        <patternFill patternType="solid">
          <bgColor rgb="FFCCFFCC"/>
        </patternFill>
      </fill>
    </dxf>
    <dxf>
      <font>
        <b val="0"/>
        <i val="0"/>
        <color rgb="FF000000"/>
      </font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 val="0"/>
        <i val="0"/>
        <color rgb="FF000000"/>
      </font>
      <fill>
        <patternFill patternType="solid">
          <bgColor rgb="FFFFC000"/>
        </patternFill>
      </fill>
    </dxf>
    <dxf>
      <font>
        <b val="0"/>
        <i val="0"/>
        <color rgb="FF000000"/>
      </font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 val="0"/>
        <i val="0"/>
        <color rgb="FF000000"/>
      </font>
      <fill>
        <patternFill patternType="solid">
          <bgColor rgb="FFFFC000"/>
        </patternFill>
      </fill>
    </dxf>
    <dxf>
      <font>
        <b val="0"/>
        <i val="0"/>
        <color rgb="FF000000"/>
      </font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 val="0"/>
        <i val="0"/>
        <color rgb="FF000000"/>
      </font>
      <fill>
        <patternFill patternType="solid">
          <bgColor rgb="FFFFC000"/>
        </patternFill>
      </fill>
    </dxf>
    <dxf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 val="0"/>
        <i val="0"/>
        <color rgb="FF000000"/>
      </font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 val="0"/>
        <i val="0"/>
        <color rgb="FF000000"/>
      </font>
      <fill>
        <patternFill patternType="solid">
          <bgColor rgb="FFFFC000"/>
        </patternFill>
      </fill>
    </dxf>
    <dxf>
      <font>
        <b val="0"/>
        <i val="0"/>
        <color rgb="FF000000"/>
      </font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 val="0"/>
        <i val="0"/>
        <color rgb="FF000000"/>
      </font>
      <fill>
        <patternFill patternType="solid">
          <bgColor rgb="FFFFC000"/>
        </patternFill>
      </fill>
    </dxf>
    <dxf>
      <font>
        <b val="0"/>
        <i val="0"/>
        <color rgb="FF000000"/>
      </font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 val="0"/>
        <i val="0"/>
        <color rgb="FF000000"/>
      </font>
      <fill>
        <patternFill patternType="solid">
          <bgColor rgb="FFFFC000"/>
        </patternFill>
      </fill>
    </dxf>
    <dxf>
      <fill>
        <patternFill patternType="solid">
          <bgColor rgb="FFCCFFCC"/>
        </patternFill>
      </fill>
    </dxf>
    <dxf>
      <fill>
        <patternFill patternType="solid">
          <bgColor rgb="FFCCCCCC"/>
        </patternFill>
      </fill>
    </dxf>
    <dxf>
      <fill>
        <patternFill patternType="solid">
          <bgColor rgb="FFA5A5A5"/>
        </patternFill>
      </fill>
    </dxf>
    <dxf>
      <fill>
        <patternFill patternType="solid">
          <bgColor rgb="FFA5A5A5"/>
        </patternFill>
      </fill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Medium2" defaultPivotStyle="PivotStylePreset2_Accent1">
    <tableStyle name="Invisible" pivot="0" table="0" count="0" xr9:uid="FFB91F43E19793AA5CEC5E6A093D7D96"/>
    <tableStyle name="PivotStylePreset2_Accent1" table="0" count="10" xr9:uid="267968C86FFD4C36ACC19EA1FD1885CA">
      <tableStyleElement type="headerRow" dxfId="31"/>
      <tableStyleElement type="totalRow" dxfId="30"/>
      <tableStyleElement type="firstRowStripe" dxfId="29"/>
      <tableStyleElement type="firstColumnStripe" dxfId="28"/>
      <tableStyleElement type="firstSubtotalRow" dxfId="27"/>
      <tableStyleElement type="secondSubtotalRow" dxfId="26"/>
      <tableStyleElement type="firstRowSubheading" dxfId="25"/>
      <tableStyleElement type="secondRowSubheading" dxfId="24"/>
      <tableStyleElement type="pageFieldLabels" dxfId="23"/>
      <tableStyleElement type="pageFieldValues" dxfId="22"/>
    </tableStyle>
  </tableStyles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4.xml"/><Relationship Id="rId8" Type="http://schemas.openxmlformats.org/officeDocument/2006/relationships/externalLink" Target="externalLinks/externalLink3.xml"/><Relationship Id="rId7" Type="http://schemas.openxmlformats.org/officeDocument/2006/relationships/externalLink" Target="externalLinks/externalLink2.xml"/><Relationship Id="rId6" Type="http://schemas.openxmlformats.org/officeDocument/2006/relationships/externalLink" Target="externalLinks/externalLink1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11" Type="http://schemas.openxmlformats.org/officeDocument/2006/relationships/theme" Target="theme/theme1.xml"/><Relationship Id="rId10" Type="http://schemas.openxmlformats.org/officeDocument/2006/relationships/externalLink" Target="externalLinks/externalLink5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19050</xdr:colOff>
      <xdr:row>1</xdr:row>
      <xdr:rowOff>0</xdr:rowOff>
    </xdr:from>
    <xdr:to>
      <xdr:col>1</xdr:col>
      <xdr:colOff>1924050</xdr:colOff>
      <xdr:row>3</xdr:row>
      <xdr:rowOff>0</xdr:rowOff>
    </xdr:to>
    <xdr:pic>
      <xdr:nvPicPr>
        <xdr:cNvPr id="2" name="Picture 1" descr="Goldman Sachs Research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01930" y="64770"/>
          <a:ext cx="19050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19050</xdr:colOff>
      <xdr:row>1</xdr:row>
      <xdr:rowOff>0</xdr:rowOff>
    </xdr:from>
    <xdr:to>
      <xdr:col>1</xdr:col>
      <xdr:colOff>1924050</xdr:colOff>
      <xdr:row>3</xdr:row>
      <xdr:rowOff>0</xdr:rowOff>
    </xdr:to>
    <xdr:pic>
      <xdr:nvPicPr>
        <xdr:cNvPr id="3" name="Picture 2" descr="Goldman Sachs Research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01930" y="64770"/>
          <a:ext cx="19050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19050</xdr:colOff>
      <xdr:row>1</xdr:row>
      <xdr:rowOff>0</xdr:rowOff>
    </xdr:from>
    <xdr:to>
      <xdr:col>1</xdr:col>
      <xdr:colOff>1924050</xdr:colOff>
      <xdr:row>3</xdr:row>
      <xdr:rowOff>0</xdr:rowOff>
    </xdr:to>
    <xdr:pic>
      <xdr:nvPicPr>
        <xdr:cNvPr id="4" name="Picture 3" descr="Goldman Sachs Research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01930" y="64770"/>
          <a:ext cx="19050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var/mobile/Containers/Data/Application/494DA773-1062-4F1D-A8FF-BBDFE06CBB2D/Library/Application%20Support/iFiles/Files/875daf7bed8724ba02323f80a22a5241/347AE2FB49AA477EB1911E70D38A5606/model%209.xlsx//Firmwide.corp.gs.com/irroot/Projects/Research/hk/gc_tech_telco/Tech%201Q/0%20Published%20Model/GS_UMC(2303.TW)%20v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var/mobile/Containers/Data/Application/494DA773-1062-4F1D-A8FF-BBDFE06CBB2D/Library/Application%20Support/iFiles/Files/875daf7bed8724ba02323f80a22a5241/347AE2FB49AA477EB1911E70D38A5606/model%209.xlsx//Firmwide.corp.gs.com/irroot/Projects/Research/hk/gc_tech_telco/Tech%201Q/Models/Sunny%20Optical/GS_SunnyOptical%20(2382.HK)%20operating%20model_sy_v2%20-%20pepb%20chart%20will%20be%20pasted%20from%20here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Projects/hk/gc_tech_telco/GC%20Tech/Models/PC/Quanta%20model%20wip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projects/hk/gc_tech_telco/GC%20Tech/Models/Gigadevice/GS.Gigadevice%20WIP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var/mobile/Containers/Data/Application/494DA773-1062-4F1D-A8FF-BBDFE06CBB2D/Library/Application%20Support/iFiles/Files/875daf7bed8724ba02323f80a22a5241/347AE2FB49AA477EB1911E70D38A5606/model%209.xlsx//frhk026ns.ap.fw.gs.com/dengbi_hongkong_firmwide-rdc/home/Desktop/0720/Eoptolink%20model%20wip%20-%20Copy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over Page"/>
      <sheetName val="Model"/>
      <sheetName val="Assumption"/>
      <sheetName val="Depreciation"/>
      <sheetName val="Monthly sales"/>
      <sheetName val="Note"/>
      <sheetName val="SUM"/>
      <sheetName val="Raw Data"/>
      <sheetName val="Basic Data TEJ"/>
      <sheetName val="AFOSHEET"/>
      <sheetName val="2303.TW_Live_Sheet"/>
      <sheetName val="2303.TW_Validation_Sheet"/>
      <sheetName val="2303.TW_Annotation_Sheet"/>
      <sheetName val="2303.TW_Exchange_She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Cover Page"/>
      <sheetName val="Model"/>
      <sheetName val="Assumption"/>
      <sheetName val="SUM"/>
      <sheetName val="PE PB"/>
      <sheetName val="Raw Data"/>
      <sheetName val="Basic Data TR"/>
      <sheetName val="6415.TW_Live_Sheet"/>
      <sheetName val="6415.TW_Validation_Sheet"/>
      <sheetName val="6415.TW_Annotation_Sheet"/>
      <sheetName val="6415.TW_Exchange_She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Cover Page"/>
      <sheetName val="2382.TW_Exchange_Sheet"/>
      <sheetName val="Model"/>
      <sheetName val="Assumption"/>
      <sheetName val="Assumption-old"/>
      <sheetName val="Automotive"/>
      <sheetName val="P&amp;L sum"/>
      <sheetName val="Sheet3"/>
      <sheetName val="Monthly rev"/>
      <sheetName val="QFII"/>
      <sheetName val="Table"/>
      <sheetName val="TEJ"/>
      <sheetName val="Div"/>
      <sheetName val="BBG"/>
      <sheetName val="SUM"/>
      <sheetName val="Rank"/>
      <sheetName val="2382.TW_Live_Sheet"/>
      <sheetName val="2382.TW_Validation_Sheet"/>
      <sheetName val="2382.TW_Annotation_Sheet"/>
      <sheetName val="Table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Result"/>
      <sheetName val="TP"/>
      <sheetName val="Assumptions_New"/>
      <sheetName val="Model (2)"/>
      <sheetName val="Cover Page"/>
      <sheetName val="Valuation"/>
      <sheetName val="Charts"/>
      <sheetName val="AFOSHEET"/>
      <sheetName val="PE_2"/>
      <sheetName val="Model"/>
      <sheetName val="Table"/>
      <sheetName val="Change%"/>
      <sheetName val="DRAM"/>
      <sheetName val="Geography"/>
      <sheetName val="603986.SS_Exchange_Sheet"/>
      <sheetName val="Raw PL annual"/>
      <sheetName val="Raw PL quarterly"/>
      <sheetName val="Raw BS"/>
      <sheetName val="Raw CF"/>
      <sheetName val="Sheet1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300502.SZ_Exchange_Sheet"/>
      <sheetName val="Model"/>
      <sheetName val="P&amp;L SUM"/>
      <sheetName val="Assumption"/>
      <sheetName val="Sheet1"/>
      <sheetName val="Table"/>
      <sheetName val="Valuation"/>
      <sheetName val="Sheet2"/>
    </sheetNames>
    <sheetDataSet>
      <sheetData sheetId="0" refreshError="1"/>
      <sheetData sheetId="1">
        <row r="7">
          <cell r="E7">
            <v>304.92842752</v>
          </cell>
          <cell r="F7">
            <v>347.56806684</v>
          </cell>
          <cell r="G7">
            <v>461.04899576</v>
          </cell>
          <cell r="H7">
            <v>522.63426833</v>
          </cell>
          <cell r="I7">
            <v>615.11957513</v>
          </cell>
          <cell r="J7">
            <v>713.93165081</v>
          </cell>
          <cell r="K7">
            <v>877.36536178</v>
          </cell>
          <cell r="L7">
            <v>759.9502845</v>
          </cell>
          <cell r="M7">
            <v>1164.87368236</v>
          </cell>
          <cell r="N7">
            <v>1997.93774627</v>
          </cell>
          <cell r="O7">
            <v>2908.37606376</v>
          </cell>
          <cell r="P7">
            <v>3310.57379053</v>
          </cell>
          <cell r="Q7">
            <v>3097.60575052</v>
          </cell>
          <cell r="R7">
            <v>8646.83113432</v>
          </cell>
          <cell r="S7">
            <v>24841.85484022</v>
          </cell>
          <cell r="T7">
            <v>51456.5394979234</v>
          </cell>
          <cell r="U7">
            <v>73910.5906869271</v>
          </cell>
          <cell r="V7">
            <v>84975.3756301849</v>
          </cell>
        </row>
        <row r="7">
          <cell r="AB7">
            <v>141.26115612</v>
          </cell>
          <cell r="AC7">
            <v>166.47504462</v>
          </cell>
          <cell r="AD7">
            <v>142.2000494</v>
          </cell>
          <cell r="AE7">
            <v>165.18332499</v>
          </cell>
          <cell r="AF7">
            <v>146.32100267</v>
          </cell>
          <cell r="AG7">
            <v>192.79163165</v>
          </cell>
          <cell r="AH7">
            <v>170.51716972</v>
          </cell>
          <cell r="AI7">
            <v>204.30184677</v>
          </cell>
          <cell r="AJ7">
            <v>191.53570996</v>
          </cell>
          <cell r="AK7">
            <v>239.17685161</v>
          </cell>
          <cell r="AL7">
            <v>231.21158907</v>
          </cell>
          <cell r="AM7">
            <v>215.44121114</v>
          </cell>
          <cell r="AN7">
            <v>177.5089283</v>
          </cell>
          <cell r="AO7">
            <v>158.56942817</v>
          </cell>
          <cell r="AP7">
            <v>197.98656639</v>
          </cell>
          <cell r="AQ7">
            <v>225.88536164</v>
          </cell>
          <cell r="AR7">
            <v>223.88641514</v>
          </cell>
          <cell r="AS7">
            <v>256.45333996</v>
          </cell>
          <cell r="AT7">
            <v>290.90559366</v>
          </cell>
          <cell r="AU7">
            <v>393.6283336</v>
          </cell>
          <cell r="AV7">
            <v>270.03088597</v>
          </cell>
          <cell r="AW7">
            <v>566.52074702</v>
          </cell>
          <cell r="AX7">
            <v>600.90346729</v>
          </cell>
          <cell r="AY7">
            <v>560.48264599</v>
          </cell>
          <cell r="AZ7">
            <v>624.32716309</v>
          </cell>
          <cell r="BA7">
            <v>816.87541257</v>
          </cell>
          <cell r="BB7">
            <v>578.08834829</v>
          </cell>
          <cell r="BC7">
            <v>889.08513981</v>
          </cell>
          <cell r="BD7">
            <v>738.51330386</v>
          </cell>
          <cell r="BE7">
            <v>740.33465226</v>
          </cell>
          <cell r="BF7">
            <v>935.65915654</v>
          </cell>
          <cell r="BG7">
            <v>896.06667787</v>
          </cell>
          <cell r="BH7">
            <v>600.2228911</v>
          </cell>
          <cell r="BI7">
            <v>704.46093392</v>
          </cell>
          <cell r="BJ7">
            <v>782.3637268</v>
          </cell>
          <cell r="BK7">
            <v>1010.5581987</v>
          </cell>
          <cell r="BL7">
            <v>1112.85389449</v>
          </cell>
          <cell r="BM7">
            <v>1614.8208769</v>
          </cell>
          <cell r="BN7">
            <v>2402.76103713</v>
          </cell>
          <cell r="BO7">
            <v>3516.3953258</v>
          </cell>
          <cell r="BP7">
            <v>4052.25653837</v>
          </cell>
          <cell r="BQ7">
            <v>6384.91372713</v>
          </cell>
          <cell r="BR7">
            <v>6067.6209458</v>
          </cell>
          <cell r="BS7">
            <v>8337.06362892</v>
          </cell>
          <cell r="BT7">
            <v>8337.90204074</v>
          </cell>
          <cell r="BU7">
            <v>11283.2481581162</v>
          </cell>
          <cell r="BV7">
            <v>15163.9208087047</v>
          </cell>
          <cell r="BW7">
            <v>16671.4684903625</v>
          </cell>
          <cell r="BX7">
            <v>15172.0867905676</v>
          </cell>
          <cell r="BY7">
            <v>16800.2801642665</v>
          </cell>
          <cell r="BZ7">
            <v>21661.3203868456</v>
          </cell>
          <cell r="CA7">
            <v>20276.9033452475</v>
          </cell>
        </row>
        <row r="10">
          <cell r="E10">
            <v>213.53675789</v>
          </cell>
          <cell r="F10">
            <v>234.62009193</v>
          </cell>
          <cell r="G10">
            <v>330.78361892</v>
          </cell>
          <cell r="H10">
            <v>363.06988665</v>
          </cell>
          <cell r="I10">
            <v>446.55321688</v>
          </cell>
          <cell r="J10">
            <v>525.65300142</v>
          </cell>
          <cell r="K10">
            <v>666.78476179</v>
          </cell>
          <cell r="L10">
            <v>611.69329119</v>
          </cell>
          <cell r="M10">
            <v>760.44480471</v>
          </cell>
          <cell r="N10">
            <v>1261.4844989</v>
          </cell>
          <cell r="O10">
            <v>1972.70890067</v>
          </cell>
          <cell r="P10">
            <v>2096.85854263</v>
          </cell>
          <cell r="Q10">
            <v>2137.65637716</v>
          </cell>
          <cell r="R10">
            <v>4780.19194172</v>
          </cell>
          <cell r="S10">
            <v>12966.04997921</v>
          </cell>
          <cell r="T10">
            <v>26649.7706062512</v>
          </cell>
          <cell r="U10">
            <v>38031.235161665</v>
          </cell>
          <cell r="V10">
            <v>43619.5382917329</v>
          </cell>
        </row>
        <row r="10">
          <cell r="AB10">
            <v>101.06669567</v>
          </cell>
          <cell r="AC10">
            <v>121.38812637</v>
          </cell>
          <cell r="AD10">
            <v>103.18520839</v>
          </cell>
          <cell r="AE10">
            <v>120.91318645</v>
          </cell>
          <cell r="AF10">
            <v>110.12174565</v>
          </cell>
          <cell r="AG10">
            <v>143.06902778</v>
          </cell>
          <cell r="AH10">
            <v>117.13323979</v>
          </cell>
          <cell r="AI10">
            <v>155.3289882</v>
          </cell>
          <cell r="AJ10">
            <v>142.59411948</v>
          </cell>
          <cell r="AK10">
            <v>178.48530379</v>
          </cell>
          <cell r="AL10">
            <v>171.3163131</v>
          </cell>
          <cell r="AM10">
            <v>174.38902542</v>
          </cell>
          <cell r="AN10">
            <v>150.94580438</v>
          </cell>
          <cell r="AO10">
            <v>136.60421844</v>
          </cell>
          <cell r="AP10">
            <v>155.17414592</v>
          </cell>
          <cell r="AQ10">
            <v>168.96912245</v>
          </cell>
          <cell r="AR10">
            <v>157.55869661</v>
          </cell>
          <cell r="AS10">
            <v>173.87351495</v>
          </cell>
          <cell r="AT10">
            <v>187.61455064</v>
          </cell>
          <cell r="AU10">
            <v>241.39804251</v>
          </cell>
          <cell r="AV10">
            <v>174.83515983</v>
          </cell>
          <cell r="AW10">
            <v>348.03935434</v>
          </cell>
          <cell r="AX10">
            <v>367.81341488</v>
          </cell>
          <cell r="AY10">
            <v>370.79656985</v>
          </cell>
          <cell r="AZ10">
            <v>433.70045535</v>
          </cell>
          <cell r="BA10">
            <v>534.2511115</v>
          </cell>
          <cell r="BB10">
            <v>405.85493354</v>
          </cell>
          <cell r="BC10">
            <v>598.90240028</v>
          </cell>
          <cell r="BD10">
            <v>493.94298278</v>
          </cell>
          <cell r="BE10">
            <v>485.96081021</v>
          </cell>
          <cell r="BF10">
            <v>583.91813207</v>
          </cell>
          <cell r="BG10">
            <v>533.03661757</v>
          </cell>
          <cell r="BH10">
            <v>395.88122838</v>
          </cell>
          <cell r="BI10">
            <v>525.06194765</v>
          </cell>
          <cell r="BJ10">
            <v>577.71865905</v>
          </cell>
          <cell r="BK10">
            <v>638.99454208</v>
          </cell>
          <cell r="BL10">
            <v>645.40063395</v>
          </cell>
          <cell r="BM10">
            <v>908.16531626</v>
          </cell>
          <cell r="BN10">
            <v>1404.88348429</v>
          </cell>
          <cell r="BO10">
            <v>1821.74250722</v>
          </cell>
          <cell r="BP10">
            <v>2080.43929173</v>
          </cell>
          <cell r="BQ10">
            <v>3406.76517409</v>
          </cell>
          <cell r="BR10">
            <v>3219.57215957</v>
          </cell>
          <cell r="BS10">
            <v>4259.27335382</v>
          </cell>
          <cell r="BT10">
            <v>4238.90975812</v>
          </cell>
          <cell r="BU10">
            <v>5899.64398803773</v>
          </cell>
          <cell r="BV10">
            <v>7864.1977562747</v>
          </cell>
          <cell r="BW10">
            <v>8647.01910381876</v>
          </cell>
          <cell r="BX10">
            <v>8221.03849817105</v>
          </cell>
          <cell r="BY10">
            <v>8701.55857827777</v>
          </cell>
          <cell r="BZ10">
            <v>10874.8917543794</v>
          </cell>
          <cell r="CA10">
            <v>10233.7463308368</v>
          </cell>
        </row>
        <row r="16">
          <cell r="E16">
            <v>1.03098833</v>
          </cell>
          <cell r="F16">
            <v>3.14131193</v>
          </cell>
          <cell r="G16">
            <v>1.58324313</v>
          </cell>
          <cell r="H16">
            <v>2.79074126</v>
          </cell>
          <cell r="I16">
            <v>3.6306729</v>
          </cell>
          <cell r="J16">
            <v>3.02534889</v>
          </cell>
          <cell r="K16">
            <v>2.35474874</v>
          </cell>
          <cell r="L16">
            <v>7.46795425</v>
          </cell>
          <cell r="M16">
            <v>6.15212808</v>
          </cell>
          <cell r="N16">
            <v>7.66080408</v>
          </cell>
          <cell r="O16">
            <v>7.92120353</v>
          </cell>
          <cell r="P16">
            <v>7.38681552</v>
          </cell>
          <cell r="Q16">
            <v>16.80748035</v>
          </cell>
          <cell r="R16">
            <v>71.85721494</v>
          </cell>
          <cell r="S16">
            <v>74.91117562</v>
          </cell>
          <cell r="T16">
            <v>81.4861632746557</v>
          </cell>
          <cell r="U16">
            <v>61.3692594672467</v>
          </cell>
          <cell r="V16">
            <v>307.139282796397</v>
          </cell>
        </row>
        <row r="16">
          <cell r="AB16">
            <v>1.53147915</v>
          </cell>
          <cell r="AC16">
            <v>1.12481046</v>
          </cell>
          <cell r="AD16">
            <v>0.11648197</v>
          </cell>
          <cell r="AE16">
            <v>0.85790132</v>
          </cell>
          <cell r="AF16">
            <v>0.70039975</v>
          </cell>
          <cell r="AG16">
            <v>0</v>
          </cell>
          <cell r="AH16">
            <v>0.91776698</v>
          </cell>
          <cell r="AI16">
            <v>1.40718216</v>
          </cell>
          <cell r="AJ16">
            <v>0.77571446</v>
          </cell>
          <cell r="AK16">
            <v>0.56946445</v>
          </cell>
          <cell r="AL16">
            <v>0.16460057</v>
          </cell>
          <cell r="AM16">
            <v>0.84496926</v>
          </cell>
          <cell r="AN16">
            <v>1.6107755</v>
          </cell>
          <cell r="AO16">
            <v>2.21727915</v>
          </cell>
          <cell r="AP16">
            <v>1.24191378</v>
          </cell>
          <cell r="AQ16">
            <v>2.39798582</v>
          </cell>
          <cell r="AR16">
            <v>1.07825308</v>
          </cell>
          <cell r="AS16">
            <v>1.84668572</v>
          </cell>
          <cell r="AT16">
            <v>1.41329131</v>
          </cell>
          <cell r="AU16">
            <v>1.81389797</v>
          </cell>
          <cell r="AV16">
            <v>0.92888749</v>
          </cell>
          <cell r="AW16">
            <v>2.05771461</v>
          </cell>
          <cell r="AX16">
            <v>2.14177005</v>
          </cell>
          <cell r="AY16">
            <v>2.53243193</v>
          </cell>
          <cell r="AZ16">
            <v>1.99150049</v>
          </cell>
          <cell r="BA16">
            <v>2.34947665</v>
          </cell>
          <cell r="BB16">
            <v>1.55921451</v>
          </cell>
          <cell r="BC16">
            <v>2.02101188</v>
          </cell>
          <cell r="BD16">
            <v>0.92598769</v>
          </cell>
          <cell r="BE16">
            <v>2.39078291</v>
          </cell>
          <cell r="BF16">
            <v>1.23088387</v>
          </cell>
          <cell r="BG16">
            <v>2.83916105</v>
          </cell>
          <cell r="BH16">
            <v>2.59804943</v>
          </cell>
          <cell r="BI16">
            <v>5.46071118</v>
          </cell>
          <cell r="BJ16">
            <v>6.03692734</v>
          </cell>
          <cell r="BK16">
            <v>2.7117924</v>
          </cell>
          <cell r="BL16">
            <v>2.30940552</v>
          </cell>
          <cell r="BM16">
            <v>4.53011549</v>
          </cell>
          <cell r="BN16">
            <v>3.06267426</v>
          </cell>
          <cell r="BO16">
            <v>61.95501967</v>
          </cell>
          <cell r="BP16">
            <v>3.36465966</v>
          </cell>
          <cell r="BQ16">
            <v>9.29384715</v>
          </cell>
          <cell r="BR16">
            <v>4.01582455</v>
          </cell>
          <cell r="BS16">
            <v>58.23684426</v>
          </cell>
          <cell r="BT16">
            <v>45.68400251</v>
          </cell>
          <cell r="BU16">
            <v>9.36867879708665</v>
          </cell>
          <cell r="BV16">
            <v>12.5908693463436</v>
          </cell>
          <cell r="BW16">
            <v>13.8426126212254</v>
          </cell>
          <cell r="BX16">
            <v>12.5976497042746</v>
          </cell>
          <cell r="BY16">
            <v>13.9495672127765</v>
          </cell>
          <cell r="BZ16">
            <v>17.985774147772</v>
          </cell>
          <cell r="CA16">
            <v>16.8362684024236</v>
          </cell>
        </row>
        <row r="17">
          <cell r="E17">
            <v>4.58499084</v>
          </cell>
          <cell r="F17">
            <v>5.39151109</v>
          </cell>
          <cell r="G17">
            <v>6.95549557</v>
          </cell>
          <cell r="H17">
            <v>8.88690065</v>
          </cell>
          <cell r="I17">
            <v>9.37675607</v>
          </cell>
          <cell r="J17">
            <v>10.45975832</v>
          </cell>
          <cell r="K17">
            <v>13.32346714</v>
          </cell>
          <cell r="L17">
            <v>18.53402565</v>
          </cell>
          <cell r="M17">
            <v>25.77356518</v>
          </cell>
          <cell r="N17">
            <v>33.3379024</v>
          </cell>
          <cell r="O17">
            <v>35.69091042</v>
          </cell>
          <cell r="P17">
            <v>52.50797612</v>
          </cell>
          <cell r="Q17">
            <v>37.57197578</v>
          </cell>
          <cell r="R17">
            <v>97.5195696</v>
          </cell>
          <cell r="S17">
            <v>150.85483325</v>
          </cell>
          <cell r="T17">
            <v>177.36131601125</v>
          </cell>
          <cell r="U17">
            <v>205.124643453125</v>
          </cell>
          <cell r="V17">
            <v>232.346821721094</v>
          </cell>
        </row>
        <row r="17">
          <cell r="AB17">
            <v>1.57837948</v>
          </cell>
          <cell r="AC17">
            <v>2.32415028</v>
          </cell>
          <cell r="AD17">
            <v>2.29193347</v>
          </cell>
          <cell r="AE17">
            <v>3.18229284</v>
          </cell>
          <cell r="AF17">
            <v>1.64154472</v>
          </cell>
          <cell r="AG17">
            <v>2.90332086</v>
          </cell>
          <cell r="AH17">
            <v>2.93794381</v>
          </cell>
          <cell r="AI17">
            <v>2.97694893</v>
          </cell>
          <cell r="AJ17">
            <v>2.7911682</v>
          </cell>
          <cell r="AK17">
            <v>2.61164579</v>
          </cell>
          <cell r="AL17">
            <v>2.72891705</v>
          </cell>
          <cell r="AM17">
            <v>5.1917361</v>
          </cell>
          <cell r="AN17">
            <v>3.4130193</v>
          </cell>
          <cell r="AO17">
            <v>4.33865444</v>
          </cell>
          <cell r="AP17">
            <v>3.80578286</v>
          </cell>
          <cell r="AQ17">
            <v>6.97656905</v>
          </cell>
          <cell r="AR17">
            <v>4.42092372</v>
          </cell>
          <cell r="AS17">
            <v>5.86298057</v>
          </cell>
          <cell r="AT17">
            <v>6.49671123</v>
          </cell>
          <cell r="AU17">
            <v>8.99294966</v>
          </cell>
          <cell r="AV17">
            <v>4.88755836</v>
          </cell>
          <cell r="AW17">
            <v>6.81803887</v>
          </cell>
          <cell r="AX17">
            <v>9.85000482</v>
          </cell>
          <cell r="AY17">
            <v>11.78230035</v>
          </cell>
          <cell r="AZ17">
            <v>6.55548159</v>
          </cell>
          <cell r="BA17">
            <v>11.5114207</v>
          </cell>
          <cell r="BB17">
            <v>9.1558312</v>
          </cell>
          <cell r="BC17">
            <v>8.46817693</v>
          </cell>
          <cell r="BD17">
            <v>6.4221203</v>
          </cell>
          <cell r="BE17">
            <v>14.14130639</v>
          </cell>
          <cell r="BF17">
            <v>14.57763827</v>
          </cell>
          <cell r="BG17">
            <v>17.36691116</v>
          </cell>
          <cell r="BH17">
            <v>7.53509681</v>
          </cell>
          <cell r="BI17">
            <v>9.49220947</v>
          </cell>
          <cell r="BJ17">
            <v>8.411287</v>
          </cell>
          <cell r="BK17">
            <v>12.1333825</v>
          </cell>
          <cell r="BL17">
            <v>20.4266914</v>
          </cell>
          <cell r="BM17">
            <v>19.06603749</v>
          </cell>
          <cell r="BN17">
            <v>23.14775986</v>
          </cell>
          <cell r="BO17">
            <v>34.87908085</v>
          </cell>
          <cell r="BP17">
            <v>37.83148917</v>
          </cell>
          <cell r="BQ17">
            <v>47.13314088</v>
          </cell>
          <cell r="BR17">
            <v>38.36048103</v>
          </cell>
          <cell r="BS17">
            <v>27.52972217</v>
          </cell>
          <cell r="BT17">
            <v>35.61554813</v>
          </cell>
          <cell r="BU17">
            <v>41.796828990625</v>
          </cell>
          <cell r="BV17">
            <v>45.431335859375</v>
          </cell>
          <cell r="BW17">
            <v>54.51760303125</v>
          </cell>
          <cell r="BX17">
            <v>38.9736822560938</v>
          </cell>
          <cell r="BY17">
            <v>41.024928690625</v>
          </cell>
          <cell r="BZ17">
            <v>51.2811608632813</v>
          </cell>
          <cell r="CA17">
            <v>73.844871643125</v>
          </cell>
        </row>
        <row r="18">
          <cell r="E18">
            <v>8.08821013796</v>
          </cell>
          <cell r="F18">
            <v>11.02581310144</v>
          </cell>
          <cell r="G18">
            <v>10.78634126177</v>
          </cell>
          <cell r="H18">
            <v>18.83861098</v>
          </cell>
          <cell r="I18">
            <v>18.54184553</v>
          </cell>
          <cell r="J18">
            <v>21.86359188</v>
          </cell>
          <cell r="K18">
            <v>21.367830616864</v>
          </cell>
          <cell r="L18">
            <v>26.50485115</v>
          </cell>
          <cell r="M18">
            <v>33.66914046</v>
          </cell>
          <cell r="N18">
            <v>31.56337272</v>
          </cell>
          <cell r="O18">
            <v>33.88891322</v>
          </cell>
          <cell r="P18">
            <v>84.51711797</v>
          </cell>
          <cell r="Q18">
            <v>76.21294552</v>
          </cell>
          <cell r="R18">
            <v>169.01720149</v>
          </cell>
          <cell r="S18">
            <v>239.44167025</v>
          </cell>
          <cell r="T18">
            <v>289.14306753185</v>
          </cell>
          <cell r="U18">
            <v>318.154576663625</v>
          </cell>
          <cell r="V18">
            <v>349.032763163169</v>
          </cell>
        </row>
        <row r="18">
          <cell r="AB18">
            <v>2.554456811828</v>
          </cell>
          <cell r="AC18">
            <v>4.606866019978</v>
          </cell>
          <cell r="AD18">
            <v>5.54374437786</v>
          </cell>
          <cell r="AE18">
            <v>5.820975397881</v>
          </cell>
          <cell r="AF18">
            <v>3.44629473053</v>
          </cell>
          <cell r="AG18">
            <v>4.84109484235</v>
          </cell>
          <cell r="AH18">
            <v>6.33446292148</v>
          </cell>
          <cell r="AI18">
            <v>7.22669115243</v>
          </cell>
          <cell r="AJ18">
            <v>2.694780290048</v>
          </cell>
          <cell r="AK18">
            <v>3.480412657568</v>
          </cell>
          <cell r="AL18">
            <v>2.700852039616</v>
          </cell>
          <cell r="AM18">
            <v>12.491785629632</v>
          </cell>
          <cell r="AN18">
            <v>6.78309254881</v>
          </cell>
          <cell r="AO18">
            <v>8.96362077119</v>
          </cell>
          <cell r="AP18">
            <v>8.08792612</v>
          </cell>
          <cell r="AQ18">
            <v>2.67021171</v>
          </cell>
          <cell r="AR18">
            <v>6.21102541</v>
          </cell>
          <cell r="AS18">
            <v>7.91464646</v>
          </cell>
          <cell r="AT18">
            <v>7.69462235</v>
          </cell>
          <cell r="AU18">
            <v>11.84884624</v>
          </cell>
          <cell r="AV18">
            <v>6.10768253</v>
          </cell>
          <cell r="AW18">
            <v>10.90987666</v>
          </cell>
          <cell r="AX18">
            <v>7.99600881</v>
          </cell>
          <cell r="AY18">
            <v>6.54980472</v>
          </cell>
          <cell r="AZ18">
            <v>6.74332619</v>
          </cell>
          <cell r="BA18">
            <v>7.43461592</v>
          </cell>
          <cell r="BB18">
            <v>7.54050496</v>
          </cell>
          <cell r="BC18">
            <v>12.17046615</v>
          </cell>
          <cell r="BD18">
            <v>6.62486053</v>
          </cell>
          <cell r="BE18">
            <v>33.07101883</v>
          </cell>
          <cell r="BF18">
            <v>19.9835685</v>
          </cell>
          <cell r="BG18">
            <v>24.83767011</v>
          </cell>
          <cell r="BH18">
            <v>17.43972928</v>
          </cell>
          <cell r="BI18">
            <v>18.00179024</v>
          </cell>
          <cell r="BJ18">
            <v>21.86766117</v>
          </cell>
          <cell r="BK18">
            <v>18.90376483</v>
          </cell>
          <cell r="BL18">
            <v>28.60884844</v>
          </cell>
          <cell r="BM18">
            <v>39.09153447</v>
          </cell>
          <cell r="BN18">
            <v>34.51227477</v>
          </cell>
          <cell r="BO18">
            <v>66.80454381</v>
          </cell>
          <cell r="BP18">
            <v>59.79065951</v>
          </cell>
          <cell r="BQ18">
            <v>65.11523233</v>
          </cell>
          <cell r="BR18">
            <v>62.9732381</v>
          </cell>
          <cell r="BS18">
            <v>51.56254031</v>
          </cell>
          <cell r="BT18">
            <v>62.31596336</v>
          </cell>
          <cell r="BU18">
            <v>66.884915332725</v>
          </cell>
          <cell r="BV18">
            <v>72.700994926875</v>
          </cell>
          <cell r="BW18">
            <v>87.24119391225</v>
          </cell>
          <cell r="BX18">
            <v>69.9940068659975</v>
          </cell>
          <cell r="BY18">
            <v>76.35709839927</v>
          </cell>
          <cell r="BZ18">
            <v>79.5386441659062</v>
          </cell>
          <cell r="CA18">
            <v>92.2648272324512</v>
          </cell>
        </row>
        <row r="19">
          <cell r="E19">
            <v>10.77461007204</v>
          </cell>
          <cell r="F19">
            <v>14.29251886856</v>
          </cell>
          <cell r="G19">
            <v>16.20166231823</v>
          </cell>
          <cell r="H19">
            <v>18.18896454</v>
          </cell>
          <cell r="I19">
            <v>23.42025289</v>
          </cell>
          <cell r="J19">
            <v>29.25614945</v>
          </cell>
          <cell r="K19">
            <v>44.921106523136</v>
          </cell>
          <cell r="L19">
            <v>52.66466969</v>
          </cell>
          <cell r="M19">
            <v>81.34319845</v>
          </cell>
          <cell r="N19">
            <v>85.08281993</v>
          </cell>
          <cell r="O19">
            <v>108.42423218</v>
          </cell>
          <cell r="P19">
            <v>187.24136194</v>
          </cell>
          <cell r="Q19">
            <v>133.77450155</v>
          </cell>
          <cell r="R19">
            <v>403.1686236</v>
          </cell>
          <cell r="S19">
            <v>702.14384824</v>
          </cell>
          <cell r="T19">
            <v>730.30908567</v>
          </cell>
          <cell r="U19">
            <v>950</v>
          </cell>
          <cell r="V19">
            <v>984.4</v>
          </cell>
        </row>
        <row r="19">
          <cell r="AB19">
            <v>5.382050048172</v>
          </cell>
          <cell r="AC19">
            <v>6.342699200022</v>
          </cell>
          <cell r="AD19">
            <v>5.41782188214</v>
          </cell>
          <cell r="AE19">
            <v>6.293484682119</v>
          </cell>
          <cell r="AF19">
            <v>5.99916110947</v>
          </cell>
          <cell r="AG19">
            <v>7.90445689765</v>
          </cell>
          <cell r="AH19">
            <v>6.99120395852</v>
          </cell>
          <cell r="AI19">
            <v>8.37637571757</v>
          </cell>
          <cell r="AJ19">
            <v>9.806628349952</v>
          </cell>
          <cell r="AK19">
            <v>12.245854802432</v>
          </cell>
          <cell r="AL19">
            <v>11.838033360384</v>
          </cell>
          <cell r="AM19">
            <v>11.030590010368</v>
          </cell>
          <cell r="AN19">
            <v>12.30136873119</v>
          </cell>
          <cell r="AO19">
            <v>16.31070897881</v>
          </cell>
          <cell r="AP19">
            <v>13.30703421</v>
          </cell>
          <cell r="AQ19">
            <v>10.74555777</v>
          </cell>
          <cell r="AR19">
            <v>11.85216023</v>
          </cell>
          <cell r="AS19">
            <v>19.61628019</v>
          </cell>
          <cell r="AT19">
            <v>23.72388488</v>
          </cell>
          <cell r="AU19">
            <v>26.15087315</v>
          </cell>
          <cell r="AV19">
            <v>15.02545612</v>
          </cell>
          <cell r="AW19">
            <v>24.0947912</v>
          </cell>
          <cell r="AX19">
            <v>25.91029576</v>
          </cell>
          <cell r="AY19">
            <v>20.05227685</v>
          </cell>
          <cell r="AZ19">
            <v>17.72663118</v>
          </cell>
          <cell r="BA19">
            <v>15.52303896</v>
          </cell>
          <cell r="BB19">
            <v>21.66167505</v>
          </cell>
          <cell r="BC19">
            <v>53.51288699</v>
          </cell>
          <cell r="BD19">
            <v>36.82673998</v>
          </cell>
          <cell r="BE19">
            <v>28.36320069</v>
          </cell>
          <cell r="BF19">
            <v>46.24608016</v>
          </cell>
          <cell r="BG19">
            <v>75.80534111</v>
          </cell>
          <cell r="BH19">
            <v>31.57793624</v>
          </cell>
          <cell r="BI19">
            <v>29.23529009</v>
          </cell>
          <cell r="BJ19">
            <v>39.46999666</v>
          </cell>
          <cell r="BK19">
            <v>33.49127856</v>
          </cell>
          <cell r="BL19">
            <v>53.18913031</v>
          </cell>
          <cell r="BM19">
            <v>76.38059619</v>
          </cell>
          <cell r="BN19">
            <v>71.28638816</v>
          </cell>
          <cell r="BO19">
            <v>202.31250894</v>
          </cell>
          <cell r="BP19">
            <v>117.88531689</v>
          </cell>
          <cell r="BQ19">
            <v>215.83030265</v>
          </cell>
          <cell r="BR19">
            <v>167.55891718</v>
          </cell>
          <cell r="BS19">
            <v>200.86931152</v>
          </cell>
          <cell r="BT19">
            <v>119.90908567</v>
          </cell>
          <cell r="BU19">
            <v>160.23</v>
          </cell>
          <cell r="BV19">
            <v>167.86</v>
          </cell>
          <cell r="BW19">
            <v>282.31</v>
          </cell>
          <cell r="BX19">
            <v>190</v>
          </cell>
          <cell r="BY19">
            <v>209</v>
          </cell>
          <cell r="BZ19">
            <v>218.5</v>
          </cell>
          <cell r="CA19">
            <v>332.5</v>
          </cell>
        </row>
        <row r="23"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1.50703986</v>
          </cell>
          <cell r="M23">
            <v>3.89195895</v>
          </cell>
          <cell r="N23">
            <v>1.53716229</v>
          </cell>
          <cell r="O23">
            <v>24.53322302</v>
          </cell>
          <cell r="P23">
            <v>21.51306124</v>
          </cell>
          <cell r="Q23">
            <v>73.00881621</v>
          </cell>
          <cell r="R23">
            <v>71.46399956</v>
          </cell>
          <cell r="S23">
            <v>76.76266328</v>
          </cell>
          <cell r="T23">
            <v>32</v>
          </cell>
          <cell r="U23">
            <v>32</v>
          </cell>
          <cell r="V23">
            <v>32</v>
          </cell>
        </row>
        <row r="23"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0.133242985</v>
          </cell>
          <cell r="AO23">
            <v>0.133242985</v>
          </cell>
          <cell r="AP23">
            <v>1.00273629</v>
          </cell>
          <cell r="AQ23">
            <v>-0.00244226</v>
          </cell>
          <cell r="AR23">
            <v>1.02077753</v>
          </cell>
          <cell r="AS23">
            <v>0.89600147</v>
          </cell>
          <cell r="AT23">
            <v>0.7709664</v>
          </cell>
          <cell r="AU23">
            <v>1.20421355</v>
          </cell>
          <cell r="AV23">
            <v>0.80168869</v>
          </cell>
          <cell r="AW23">
            <v>0.4483866</v>
          </cell>
          <cell r="AX23">
            <v>-0.68400494</v>
          </cell>
          <cell r="AY23">
            <v>0.97109194</v>
          </cell>
          <cell r="AZ23">
            <v>4.90560782</v>
          </cell>
          <cell r="BA23">
            <v>6.76898063</v>
          </cell>
          <cell r="BB23">
            <v>6.37382356</v>
          </cell>
          <cell r="BC23">
            <v>6.48481101</v>
          </cell>
          <cell r="BD23">
            <v>4.20317352</v>
          </cell>
          <cell r="BE23">
            <v>5.09752096</v>
          </cell>
          <cell r="BF23">
            <v>5.46163002</v>
          </cell>
          <cell r="BG23">
            <v>6.75073674</v>
          </cell>
          <cell r="BH23">
            <v>11.37104027</v>
          </cell>
          <cell r="BI23">
            <v>13.28179459</v>
          </cell>
          <cell r="BJ23">
            <v>26.39285905</v>
          </cell>
          <cell r="BK23">
            <v>21.9631223</v>
          </cell>
          <cell r="BL23">
            <v>22.63011344</v>
          </cell>
          <cell r="BM23">
            <v>23.78794006</v>
          </cell>
          <cell r="BN23">
            <v>15.87760615</v>
          </cell>
          <cell r="BO23">
            <v>9.16833991</v>
          </cell>
          <cell r="BP23">
            <v>7.46526403</v>
          </cell>
          <cell r="BQ23">
            <v>8.53161027</v>
          </cell>
          <cell r="BR23">
            <v>20.66339772</v>
          </cell>
          <cell r="BS23">
            <v>40.10239126</v>
          </cell>
          <cell r="BT23">
            <v>8</v>
          </cell>
          <cell r="BU23">
            <v>8</v>
          </cell>
          <cell r="BV23">
            <v>8</v>
          </cell>
          <cell r="BW23">
            <v>8</v>
          </cell>
          <cell r="BX23">
            <v>8</v>
          </cell>
          <cell r="BY23">
            <v>8</v>
          </cell>
          <cell r="BZ23">
            <v>8</v>
          </cell>
          <cell r="CA23">
            <v>8</v>
          </cell>
        </row>
        <row r="24"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1.67588665</v>
          </cell>
          <cell r="M24">
            <v>3.89195895</v>
          </cell>
          <cell r="N24">
            <v>2.6946375</v>
          </cell>
          <cell r="O24">
            <v>24.81654117</v>
          </cell>
          <cell r="P24">
            <v>21.51306124</v>
          </cell>
          <cell r="Q24">
            <v>74.55697385</v>
          </cell>
          <cell r="R24">
            <v>72.84041097</v>
          </cell>
          <cell r="S24">
            <v>77.94911125</v>
          </cell>
          <cell r="T24">
            <v>32</v>
          </cell>
          <cell r="U24">
            <v>32</v>
          </cell>
          <cell r="V24">
            <v>32</v>
          </cell>
        </row>
        <row r="24"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0.212792255</v>
          </cell>
          <cell r="AO24">
            <v>0.212792255</v>
          </cell>
          <cell r="AP24">
            <v>1.01004228</v>
          </cell>
          <cell r="AQ24">
            <v>0</v>
          </cell>
          <cell r="AR24">
            <v>1.02077753</v>
          </cell>
          <cell r="AS24">
            <v>0.89600147</v>
          </cell>
          <cell r="AT24">
            <v>0.7709664</v>
          </cell>
          <cell r="AU24">
            <v>1.20421355</v>
          </cell>
          <cell r="AV24">
            <v>0.80168869</v>
          </cell>
          <cell r="AW24">
            <v>0.51127851</v>
          </cell>
          <cell r="AX24">
            <v>0.41057836</v>
          </cell>
          <cell r="AY24">
            <v>0.97109194</v>
          </cell>
          <cell r="AZ24">
            <v>5.18892597</v>
          </cell>
          <cell r="BA24">
            <v>6.76898063</v>
          </cell>
          <cell r="BB24">
            <v>6.37382356</v>
          </cell>
          <cell r="BC24">
            <v>6.48481101</v>
          </cell>
          <cell r="BD24">
            <v>4.20317352</v>
          </cell>
          <cell r="BE24">
            <v>5.09752096</v>
          </cell>
          <cell r="BF24">
            <v>5.46163002</v>
          </cell>
          <cell r="BG24">
            <v>6.75073674</v>
          </cell>
          <cell r="BH24">
            <v>11.37104027</v>
          </cell>
          <cell r="BI24">
            <v>13.28179459</v>
          </cell>
          <cell r="BJ24">
            <v>26.39285905</v>
          </cell>
          <cell r="BK24">
            <v>23.51127994</v>
          </cell>
          <cell r="BL24">
            <v>22.63011344</v>
          </cell>
          <cell r="BM24">
            <v>23.78794006</v>
          </cell>
          <cell r="BN24">
            <v>16.92450893</v>
          </cell>
          <cell r="BO24">
            <v>9.49784854</v>
          </cell>
          <cell r="BP24">
            <v>7.76761607</v>
          </cell>
          <cell r="BQ24">
            <v>8.85234634</v>
          </cell>
          <cell r="BR24">
            <v>20.95348048</v>
          </cell>
          <cell r="BS24">
            <v>40.37566836</v>
          </cell>
          <cell r="BT24">
            <v>8</v>
          </cell>
          <cell r="BU24">
            <v>8</v>
          </cell>
          <cell r="BV24">
            <v>8</v>
          </cell>
          <cell r="BW24">
            <v>8</v>
          </cell>
          <cell r="BX24">
            <v>8</v>
          </cell>
          <cell r="BY24">
            <v>8</v>
          </cell>
          <cell r="BZ24">
            <v>8</v>
          </cell>
          <cell r="CA24">
            <v>8</v>
          </cell>
        </row>
        <row r="25"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-0.16884679</v>
          </cell>
          <cell r="M25">
            <v>0</v>
          </cell>
          <cell r="N25">
            <v>-1.15747521</v>
          </cell>
          <cell r="O25">
            <v>-0.28331815</v>
          </cell>
          <cell r="P25">
            <v>0</v>
          </cell>
          <cell r="Q25">
            <v>-1.54815764</v>
          </cell>
          <cell r="R25">
            <v>-1.37641141</v>
          </cell>
          <cell r="S25">
            <v>-1.18644797</v>
          </cell>
          <cell r="T25">
            <v>0</v>
          </cell>
          <cell r="U25">
            <v>0</v>
          </cell>
          <cell r="V25">
            <v>0</v>
          </cell>
        </row>
        <row r="25"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-0.07954927</v>
          </cell>
          <cell r="AO25">
            <v>-0.07954927</v>
          </cell>
          <cell r="AP25">
            <v>-0.00730599</v>
          </cell>
          <cell r="AQ25">
            <v>-0.00244226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-0.06289191</v>
          </cell>
          <cell r="AX25">
            <v>-1.0945833</v>
          </cell>
          <cell r="AY25">
            <v>0</v>
          </cell>
          <cell r="AZ25">
            <v>-0.28331815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-1.54815764</v>
          </cell>
          <cell r="BL25">
            <v>0</v>
          </cell>
          <cell r="BM25">
            <v>0</v>
          </cell>
          <cell r="BN25">
            <v>-1.04690278</v>
          </cell>
          <cell r="BO25">
            <v>-0.32950863</v>
          </cell>
          <cell r="BP25">
            <v>-0.30235204</v>
          </cell>
          <cell r="BQ25">
            <v>-0.32073607</v>
          </cell>
          <cell r="BR25">
            <v>-0.29008276</v>
          </cell>
          <cell r="BS25">
            <v>-0.2732771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BY25">
            <v>0</v>
          </cell>
          <cell r="BZ25">
            <v>0</v>
          </cell>
          <cell r="CA25">
            <v>0</v>
          </cell>
        </row>
        <row r="26">
          <cell r="E26">
            <v>-4.65157792</v>
          </cell>
          <cell r="F26">
            <v>-3.49606418</v>
          </cell>
          <cell r="G26">
            <v>-4.83856036</v>
          </cell>
          <cell r="H26">
            <v>-6.51367375</v>
          </cell>
          <cell r="I26">
            <v>-7.19122436</v>
          </cell>
          <cell r="J26">
            <v>-8.80610868</v>
          </cell>
          <cell r="K26">
            <v>-14.46274464</v>
          </cell>
          <cell r="L26">
            <v>-25.97636789</v>
          </cell>
          <cell r="M26">
            <v>22.73122699</v>
          </cell>
          <cell r="N26">
            <v>-44.01170734</v>
          </cell>
          <cell r="O26">
            <v>-55.46790948</v>
          </cell>
          <cell r="P26">
            <v>-127.90718514</v>
          </cell>
          <cell r="Q26">
            <v>-17.09092966</v>
          </cell>
          <cell r="R26">
            <v>-79.47912657</v>
          </cell>
          <cell r="S26">
            <v>-203.2747145</v>
          </cell>
          <cell r="T26">
            <v>0</v>
          </cell>
          <cell r="U26">
            <v>0</v>
          </cell>
          <cell r="V26">
            <v>0</v>
          </cell>
        </row>
        <row r="26">
          <cell r="AB26">
            <v>-0.52031621</v>
          </cell>
          <cell r="AC26">
            <v>-1.67884913</v>
          </cell>
          <cell r="AD26">
            <v>-1.51383557</v>
          </cell>
          <cell r="AE26">
            <v>-3.47822345</v>
          </cell>
          <cell r="AF26">
            <v>-0.37438521</v>
          </cell>
          <cell r="AG26">
            <v>-5.08780548</v>
          </cell>
          <cell r="AH26">
            <v>0.43037909</v>
          </cell>
          <cell r="AI26">
            <v>-3.77429708</v>
          </cell>
          <cell r="AJ26">
            <v>-0.33384969</v>
          </cell>
          <cell r="AK26">
            <v>-6.80743225</v>
          </cell>
          <cell r="AL26">
            <v>-1.69273264</v>
          </cell>
          <cell r="AM26">
            <v>-5.62873006</v>
          </cell>
          <cell r="AN26">
            <v>-7.80025387</v>
          </cell>
          <cell r="AO26">
            <v>-10.6392078</v>
          </cell>
          <cell r="AP26">
            <v>-0.35709419</v>
          </cell>
          <cell r="AQ26">
            <v>-7.17981203</v>
          </cell>
          <cell r="AR26">
            <v>-2.69428985</v>
          </cell>
          <cell r="AS26">
            <v>3.27181685</v>
          </cell>
          <cell r="AT26">
            <v>9.73058442</v>
          </cell>
          <cell r="AU26">
            <v>13.88180216</v>
          </cell>
          <cell r="AV26">
            <v>-12.13710214</v>
          </cell>
          <cell r="AW26">
            <v>-9.15215837</v>
          </cell>
          <cell r="AX26">
            <v>-10.24942619</v>
          </cell>
          <cell r="AY26">
            <v>-12.47302064</v>
          </cell>
          <cell r="AZ26">
            <v>-25.62357787</v>
          </cell>
          <cell r="BA26">
            <v>-19.55579619</v>
          </cell>
          <cell r="BB26">
            <v>-1.86662587</v>
          </cell>
          <cell r="BC26">
            <v>-8.42190955</v>
          </cell>
          <cell r="BD26">
            <v>-30.04297251</v>
          </cell>
          <cell r="BE26">
            <v>-15.98268516</v>
          </cell>
          <cell r="BF26">
            <v>-29.54844773</v>
          </cell>
          <cell r="BG26">
            <v>-52.33307974</v>
          </cell>
          <cell r="BH26">
            <v>-5.38419429</v>
          </cell>
          <cell r="BI26">
            <v>-27.73616193</v>
          </cell>
          <cell r="BJ26">
            <v>16.81457853</v>
          </cell>
          <cell r="BK26">
            <v>-0.78515197</v>
          </cell>
          <cell r="BL26">
            <v>-11.86355747</v>
          </cell>
          <cell r="BM26">
            <v>-5.46487968</v>
          </cell>
          <cell r="BN26">
            <v>-3.34882034</v>
          </cell>
          <cell r="BO26">
            <v>-58.80186908</v>
          </cell>
          <cell r="BP26">
            <v>-16.81665933</v>
          </cell>
          <cell r="BQ26">
            <v>-145.84896329</v>
          </cell>
          <cell r="BR26">
            <v>-40.60909188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BY26">
            <v>0</v>
          </cell>
          <cell r="BZ26">
            <v>0</v>
          </cell>
          <cell r="CA26">
            <v>0</v>
          </cell>
        </row>
        <row r="27"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0.0014594</v>
          </cell>
          <cell r="L27">
            <v>-0.00519486</v>
          </cell>
          <cell r="M27">
            <v>-0.23568619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</row>
        <row r="27"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0.0014594</v>
          </cell>
          <cell r="AN27">
            <v>0</v>
          </cell>
          <cell r="AO27">
            <v>-0.00028033</v>
          </cell>
          <cell r="AP27">
            <v>-0.00491453</v>
          </cell>
          <cell r="AQ27">
            <v>0</v>
          </cell>
          <cell r="AR27">
            <v>-0.015131</v>
          </cell>
          <cell r="AS27">
            <v>0</v>
          </cell>
          <cell r="AT27">
            <v>-4.206e-5</v>
          </cell>
          <cell r="AU27">
            <v>-0.22051313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</row>
        <row r="28">
          <cell r="E28">
            <v>-1.27598484</v>
          </cell>
          <cell r="F28">
            <v>0.87583712</v>
          </cell>
          <cell r="G28">
            <v>0.63505934</v>
          </cell>
          <cell r="H28">
            <v>-0.39697851</v>
          </cell>
          <cell r="I28">
            <v>-1.24951794</v>
          </cell>
          <cell r="J28">
            <v>2.24596487</v>
          </cell>
          <cell r="K28">
            <v>-1.07931351</v>
          </cell>
          <cell r="L28">
            <v>8.86973174</v>
          </cell>
          <cell r="M28">
            <v>1.64063422</v>
          </cell>
          <cell r="N28">
            <v>-10.81967411</v>
          </cell>
          <cell r="O28">
            <v>-16.9819294</v>
          </cell>
          <cell r="P28">
            <v>103.00442116</v>
          </cell>
          <cell r="Q28">
            <v>35.23513273</v>
          </cell>
          <cell r="R28">
            <v>107.8526341</v>
          </cell>
          <cell r="S28">
            <v>-292.07133865</v>
          </cell>
        </row>
        <row r="29"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-3.1526989</v>
          </cell>
          <cell r="M29">
            <v>-1.31658562</v>
          </cell>
          <cell r="N29">
            <v>0.28141801</v>
          </cell>
          <cell r="O29">
            <v>-3.75628633</v>
          </cell>
          <cell r="P29">
            <v>-1.97634996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</row>
        <row r="29"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-3.1526989</v>
          </cell>
          <cell r="AR29">
            <v>-1.27427729</v>
          </cell>
          <cell r="AS29">
            <v>-0.66912725</v>
          </cell>
          <cell r="AT29">
            <v>-1.13648248</v>
          </cell>
          <cell r="AU29">
            <v>1.7633014</v>
          </cell>
          <cell r="AV29">
            <v>0.79623006</v>
          </cell>
          <cell r="AW29">
            <v>0.95373568</v>
          </cell>
          <cell r="AX29">
            <v>-1.59170595</v>
          </cell>
          <cell r="AY29">
            <v>0.12315822</v>
          </cell>
          <cell r="AZ29">
            <v>-0.11154186</v>
          </cell>
          <cell r="BA29">
            <v>-2.16414028</v>
          </cell>
          <cell r="BB29">
            <v>-0.74584312</v>
          </cell>
          <cell r="BC29">
            <v>-0.73476107</v>
          </cell>
          <cell r="BD29">
            <v>-2.34363881</v>
          </cell>
          <cell r="BE29">
            <v>-1.01602688</v>
          </cell>
          <cell r="BF29">
            <v>0</v>
          </cell>
          <cell r="BG29">
            <v>1.38331573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</row>
        <row r="30"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2</v>
          </cell>
          <cell r="R30">
            <v>10</v>
          </cell>
          <cell r="S30">
            <v>10</v>
          </cell>
          <cell r="T30">
            <v>0</v>
          </cell>
          <cell r="U30">
            <v>0</v>
          </cell>
          <cell r="V30">
            <v>0</v>
          </cell>
        </row>
        <row r="30"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1</v>
          </cell>
          <cell r="BK30">
            <v>1</v>
          </cell>
          <cell r="BL30">
            <v>1</v>
          </cell>
          <cell r="BM30">
            <v>2</v>
          </cell>
          <cell r="BN30">
            <v>3</v>
          </cell>
          <cell r="BO30">
            <v>4</v>
          </cell>
          <cell r="BP30">
            <v>5</v>
          </cell>
          <cell r="BQ30">
            <v>5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</row>
        <row r="31">
          <cell r="E31">
            <v>1.64259021000004</v>
          </cell>
          <cell r="F31">
            <v>1.10033920000003</v>
          </cell>
          <cell r="G31">
            <v>2.82407299000006</v>
          </cell>
          <cell r="H31">
            <v>4.24690275000005</v>
          </cell>
          <cell r="I31">
            <v>5.31712577999993</v>
          </cell>
          <cell r="J31">
            <v>10.9149221300001</v>
          </cell>
          <cell r="K31">
            <v>14.46454042</v>
          </cell>
          <cell r="L31">
            <v>11.1823712200001</v>
          </cell>
          <cell r="M31">
            <v>-40.2512007599999</v>
          </cell>
          <cell r="N31">
            <v>35.80354946</v>
          </cell>
          <cell r="O31">
            <v>65.0041741599998</v>
          </cell>
          <cell r="P31">
            <v>151.16891942</v>
          </cell>
          <cell r="Q31">
            <v>-0.00736914999998106</v>
          </cell>
          <cell r="R31">
            <v>-0.7040533300001</v>
          </cell>
          <cell r="S31">
            <v>565.849093080001</v>
          </cell>
          <cell r="T31">
            <v>153.11671241</v>
          </cell>
          <cell r="U31">
            <v>0</v>
          </cell>
          <cell r="V31">
            <v>0</v>
          </cell>
        </row>
        <row r="31">
          <cell r="AB31">
            <v>0.519784009999991</v>
          </cell>
          <cell r="AC31">
            <v>2.44936448000001</v>
          </cell>
          <cell r="AD31">
            <v>0.476780979999991</v>
          </cell>
          <cell r="AE31">
            <v>1.87119630999998</v>
          </cell>
          <cell r="AF31">
            <v>1.08539293000002</v>
          </cell>
          <cell r="AG31">
            <v>3.16189922</v>
          </cell>
          <cell r="AH31">
            <v>3.32797567000002</v>
          </cell>
          <cell r="AI31">
            <v>3.33965431</v>
          </cell>
          <cell r="AJ31">
            <v>2.81837129999997</v>
          </cell>
          <cell r="AK31">
            <v>4.06143057999996</v>
          </cell>
          <cell r="AL31">
            <v>0.738072139999991</v>
          </cell>
          <cell r="AM31">
            <v>6.84666640000002</v>
          </cell>
          <cell r="AN31">
            <v>2.50745031999999</v>
          </cell>
          <cell r="AO31">
            <v>1.64507593000003</v>
          </cell>
          <cell r="AP31">
            <v>1.31391797000002</v>
          </cell>
          <cell r="AQ31">
            <v>5.715927</v>
          </cell>
          <cell r="AR31">
            <v>2.07286255000003</v>
          </cell>
          <cell r="AS31">
            <v>2.54578864999999</v>
          </cell>
          <cell r="AT31">
            <v>-17.1520070400001</v>
          </cell>
          <cell r="AU31">
            <v>-29.17653151</v>
          </cell>
          <cell r="AV31">
            <v>6.24866503999996</v>
          </cell>
          <cell r="AW31">
            <v>-7.49571922999996</v>
          </cell>
          <cell r="AX31">
            <v>4.45744018999999</v>
          </cell>
          <cell r="AY31">
            <v>32.59316346</v>
          </cell>
          <cell r="AZ31">
            <v>-2.97147958999996</v>
          </cell>
          <cell r="BA31">
            <v>19.0754464199999</v>
          </cell>
          <cell r="BB31">
            <v>19.63418978</v>
          </cell>
          <cell r="BC31">
            <v>29.26601755</v>
          </cell>
          <cell r="BD31">
            <v>-5.96391819000008</v>
          </cell>
          <cell r="BE31">
            <v>141.12121969</v>
          </cell>
          <cell r="BF31">
            <v>7.84845598000011</v>
          </cell>
          <cell r="BG31">
            <v>8.16316193999998</v>
          </cell>
          <cell r="BH31">
            <v>2.19661634000003</v>
          </cell>
          <cell r="BI31">
            <v>2.27521921999998</v>
          </cell>
          <cell r="BJ31">
            <v>0.204578099999949</v>
          </cell>
          <cell r="BK31">
            <v>-4.68378280999994</v>
          </cell>
          <cell r="BL31">
            <v>-0.48240189999991</v>
          </cell>
          <cell r="BM31">
            <v>-1.94310249000013</v>
          </cell>
          <cell r="BN31">
            <v>-0.863496300000051</v>
          </cell>
          <cell r="BO31">
            <v>2.58494735999999</v>
          </cell>
          <cell r="BP31">
            <v>-0.961372539999683</v>
          </cell>
          <cell r="BQ31">
            <v>0.337401589999075</v>
          </cell>
          <cell r="BR31">
            <v>530.981781830003</v>
          </cell>
          <cell r="BS31">
            <v>35.4912821999982</v>
          </cell>
          <cell r="BT31">
            <v>-596.88328759</v>
          </cell>
          <cell r="BU31">
            <v>200</v>
          </cell>
          <cell r="BV31">
            <v>250</v>
          </cell>
          <cell r="BW31">
            <v>300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</row>
        <row r="33">
          <cell r="E33">
            <v>62.6278977</v>
          </cell>
          <cell r="F33">
            <v>77.57693206</v>
          </cell>
          <cell r="G33">
            <v>93.35920653</v>
          </cell>
          <cell r="H33">
            <v>108.19541474</v>
          </cell>
          <cell r="I33">
            <v>110.47321434</v>
          </cell>
          <cell r="J33">
            <v>128.02857917</v>
          </cell>
          <cell r="K33">
            <v>127.53738864</v>
          </cell>
          <cell r="L33">
            <v>35.51037374</v>
          </cell>
          <cell r="M33">
            <v>243.95119307</v>
          </cell>
          <cell r="N33">
            <v>561.59909655</v>
          </cell>
          <cell r="O33">
            <v>763.07317571</v>
          </cell>
          <cell r="P33">
            <v>1027.86484307</v>
          </cell>
          <cell r="Q33">
            <v>788.72812029</v>
          </cell>
          <cell r="R33">
            <v>3234.21003673</v>
          </cell>
          <cell r="S33">
            <v>10865.71903686</v>
          </cell>
          <cell r="T33">
            <v>23713.5859715945</v>
          </cell>
          <cell r="U33">
            <v>34376.7070456781</v>
          </cell>
          <cell r="V33">
            <v>39514.9184707714</v>
          </cell>
        </row>
        <row r="33">
          <cell r="AB33">
            <v>29.11439223</v>
          </cell>
          <cell r="AC33">
            <v>31.22748051</v>
          </cell>
          <cell r="AD33">
            <v>23.39950476</v>
          </cell>
          <cell r="AE33">
            <v>26.73183684</v>
          </cell>
          <cell r="AF33">
            <v>25.347175</v>
          </cell>
          <cell r="AG33">
            <v>32.56912973</v>
          </cell>
          <cell r="AH33">
            <v>40.45962127</v>
          </cell>
          <cell r="AI33">
            <v>29.65265317</v>
          </cell>
          <cell r="AJ33">
            <v>35.27624929</v>
          </cell>
          <cell r="AK33">
            <v>38.86755318</v>
          </cell>
          <cell r="AL33">
            <v>40.75793337</v>
          </cell>
          <cell r="AM33">
            <v>12.6356528</v>
          </cell>
          <cell r="AN33">
            <v>-4.21533163</v>
          </cell>
          <cell r="AO33">
            <v>-13.29411824</v>
          </cell>
          <cell r="AP33">
            <v>24.25363277</v>
          </cell>
          <cell r="AQ33">
            <v>28.76619084</v>
          </cell>
          <cell r="AR33">
            <v>38.24166385</v>
          </cell>
          <cell r="AS33">
            <v>56.84421744</v>
          </cell>
          <cell r="AT33">
            <v>61.94501851</v>
          </cell>
          <cell r="AU33">
            <v>86.92029327</v>
          </cell>
          <cell r="AV33">
            <v>66.22737772</v>
          </cell>
          <cell r="AW33">
            <v>158.56192595</v>
          </cell>
          <cell r="AX33">
            <v>177.45929785</v>
          </cell>
          <cell r="AY33">
            <v>159.35049503</v>
          </cell>
          <cell r="AZ33">
            <v>136.9955633</v>
          </cell>
          <cell r="BA33">
            <v>243.10482493</v>
          </cell>
          <cell r="BB33">
            <v>157.34392322</v>
          </cell>
          <cell r="BC33">
            <v>225.62886426</v>
          </cell>
          <cell r="BD33">
            <v>156.25975137</v>
          </cell>
          <cell r="BE33">
            <v>367.73023304</v>
          </cell>
          <cell r="BF33">
            <v>338.76758483</v>
          </cell>
          <cell r="BG33">
            <v>165.10727383</v>
          </cell>
          <cell r="BH33">
            <v>127.79096911</v>
          </cell>
          <cell r="BI33">
            <v>200.39036091</v>
          </cell>
          <cell r="BJ33">
            <v>157.87316903</v>
          </cell>
          <cell r="BK33">
            <v>302.67362124</v>
          </cell>
          <cell r="BL33">
            <v>372.3710459</v>
          </cell>
          <cell r="BM33">
            <v>608.80105951</v>
          </cell>
          <cell r="BN33">
            <v>888.62073582</v>
          </cell>
          <cell r="BO33">
            <v>1364.4171955</v>
          </cell>
          <cell r="BP33">
            <v>1773.2538348</v>
          </cell>
          <cell r="BQ33">
            <v>2675.13137524</v>
          </cell>
          <cell r="BR33">
            <v>2602.14829652</v>
          </cell>
          <cell r="BS33">
            <v>3815.1855303</v>
          </cell>
          <cell r="BT33">
            <v>3246.58439536</v>
          </cell>
          <cell r="BU33">
            <v>5313.323746958</v>
          </cell>
          <cell r="BV33">
            <v>7259.13985229744</v>
          </cell>
          <cell r="BW33">
            <v>7894.53797697903</v>
          </cell>
          <cell r="BX33">
            <v>6647.48295357015</v>
          </cell>
          <cell r="BY33">
            <v>7766.38999168601</v>
          </cell>
          <cell r="BZ33">
            <v>10427.1230532892</v>
          </cell>
          <cell r="CA33">
            <v>9535.7110471327</v>
          </cell>
        </row>
        <row r="36">
          <cell r="E36">
            <v>10.05311278</v>
          </cell>
          <cell r="F36">
            <v>11.82922418</v>
          </cell>
          <cell r="G36">
            <v>14.00043924</v>
          </cell>
          <cell r="H36">
            <v>15.79688002</v>
          </cell>
          <cell r="I36">
            <v>16.02288625</v>
          </cell>
          <cell r="J36">
            <v>22.74179601</v>
          </cell>
          <cell r="K36">
            <v>16.446483</v>
          </cell>
          <cell r="L36">
            <v>3.67804015</v>
          </cell>
          <cell r="M36">
            <v>31.09463656</v>
          </cell>
          <cell r="N36">
            <v>69.84069308</v>
          </cell>
          <cell r="O36">
            <v>101.14703666</v>
          </cell>
          <cell r="P36">
            <v>124.28375226</v>
          </cell>
          <cell r="Q36">
            <v>100.36702517</v>
          </cell>
          <cell r="R36">
            <v>396.39641236</v>
          </cell>
          <cell r="S36">
            <v>1312.44281971</v>
          </cell>
          <cell r="T36">
            <v>2964.19824644931</v>
          </cell>
          <cell r="U36">
            <v>4297.08838070976</v>
          </cell>
          <cell r="V36">
            <v>4939.36480884642</v>
          </cell>
        </row>
        <row r="36">
          <cell r="AB36">
            <v>4.3355021</v>
          </cell>
          <cell r="AC36">
            <v>4.59091814</v>
          </cell>
          <cell r="AD36">
            <v>3.42917318</v>
          </cell>
          <cell r="AE36">
            <v>3.66729283</v>
          </cell>
          <cell r="AF36">
            <v>3.86829695</v>
          </cell>
          <cell r="AG36">
            <v>5.57770143</v>
          </cell>
          <cell r="AH36">
            <v>8.43370111</v>
          </cell>
          <cell r="AI36">
            <v>4.86209652</v>
          </cell>
          <cell r="AJ36">
            <v>5.3998228</v>
          </cell>
          <cell r="AK36">
            <v>6.08537361</v>
          </cell>
          <cell r="AL36">
            <v>6.79496364</v>
          </cell>
          <cell r="AM36">
            <v>-1.83367705</v>
          </cell>
          <cell r="AN36">
            <v>-0.57791537</v>
          </cell>
          <cell r="AO36">
            <v>-1.77698127</v>
          </cell>
          <cell r="AP36">
            <v>3.68360346</v>
          </cell>
          <cell r="AQ36">
            <v>2.34933333</v>
          </cell>
          <cell r="AR36">
            <v>5.83031894</v>
          </cell>
          <cell r="AS36">
            <v>8.59256299</v>
          </cell>
          <cell r="AT36">
            <v>9.62682648</v>
          </cell>
          <cell r="AU36">
            <v>7.04492815</v>
          </cell>
          <cell r="AV36">
            <v>10.01117046</v>
          </cell>
          <cell r="AW36">
            <v>23.56121825</v>
          </cell>
          <cell r="AX36">
            <v>26.8282912</v>
          </cell>
          <cell r="AY36">
            <v>9.44001317</v>
          </cell>
          <cell r="AZ36">
            <v>24.58961034</v>
          </cell>
          <cell r="BA36">
            <v>32.50556689</v>
          </cell>
          <cell r="BB36">
            <v>15.48162835</v>
          </cell>
          <cell r="BC36">
            <v>28.57023108</v>
          </cell>
          <cell r="BD36">
            <v>23.83691625</v>
          </cell>
          <cell r="BE36">
            <v>39.06617232</v>
          </cell>
          <cell r="BF36">
            <v>37.42022879</v>
          </cell>
          <cell r="BG36">
            <v>23.9604349</v>
          </cell>
          <cell r="BH36">
            <v>19.95615609</v>
          </cell>
          <cell r="BI36">
            <v>19.86029001</v>
          </cell>
          <cell r="BJ36">
            <v>16.67454943</v>
          </cell>
          <cell r="BK36">
            <v>43.87602964</v>
          </cell>
          <cell r="BL36">
            <v>47.83051169</v>
          </cell>
          <cell r="BM36">
            <v>68.19949957</v>
          </cell>
          <cell r="BN36">
            <v>107.68995876</v>
          </cell>
          <cell r="BO36">
            <v>172.67644234</v>
          </cell>
          <cell r="BP36">
            <v>200.72804558</v>
          </cell>
          <cell r="BQ36">
            <v>305.36289609</v>
          </cell>
          <cell r="BR36">
            <v>217.35005705</v>
          </cell>
          <cell r="BS36">
            <v>589.00182099</v>
          </cell>
          <cell r="BT36">
            <v>405.82304942</v>
          </cell>
          <cell r="BU36">
            <v>664.16546836975</v>
          </cell>
          <cell r="BV36">
            <v>907.39248153718</v>
          </cell>
          <cell r="BW36">
            <v>986.817247122379</v>
          </cell>
          <cell r="BX36">
            <v>830.935369196269</v>
          </cell>
          <cell r="BY36">
            <v>970.798748960752</v>
          </cell>
          <cell r="BZ36">
            <v>1303.39038166115</v>
          </cell>
          <cell r="CA36">
            <v>1191.96388089159</v>
          </cell>
        </row>
        <row r="37"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-2.8421709430404e-14</v>
          </cell>
          <cell r="Q37">
            <v>4.2632564145606e-14</v>
          </cell>
          <cell r="R37">
            <v>-1.13686837721616e-13</v>
          </cell>
          <cell r="S37">
            <v>21.353486980001</v>
          </cell>
          <cell r="T37">
            <v>66.5650826000001</v>
          </cell>
          <cell r="U37">
            <v>0</v>
          </cell>
          <cell r="V37">
            <v>0</v>
          </cell>
        </row>
        <row r="37"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-3.5527136788005e-15</v>
          </cell>
          <cell r="AR37">
            <v>7.105427357601e-15</v>
          </cell>
          <cell r="AS37">
            <v>-7.105427357601e-15</v>
          </cell>
          <cell r="AT37">
            <v>0</v>
          </cell>
          <cell r="AU37">
            <v>0</v>
          </cell>
          <cell r="AV37">
            <v>-7.105427357601e-15</v>
          </cell>
          <cell r="AW37">
            <v>0</v>
          </cell>
          <cell r="AX37">
            <v>-2.8421709430404e-14</v>
          </cell>
          <cell r="AY37">
            <v>0</v>
          </cell>
          <cell r="AZ37">
            <v>1.4210854715202e-14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-5.6843418860808e-14</v>
          </cell>
          <cell r="BG37">
            <v>2.8421709430404e-14</v>
          </cell>
          <cell r="BH37">
            <v>1.4210854715202e-14</v>
          </cell>
          <cell r="BI37">
            <v>0</v>
          </cell>
          <cell r="BJ37">
            <v>2.8421709430404e-14</v>
          </cell>
          <cell r="BK37">
            <v>0</v>
          </cell>
          <cell r="BL37">
            <v>0</v>
          </cell>
          <cell r="BM37">
            <v>0</v>
          </cell>
          <cell r="BN37">
            <v>1.13686837721616e-13</v>
          </cell>
          <cell r="BO37">
            <v>-2.27373675443232e-13</v>
          </cell>
          <cell r="BP37">
            <v>0</v>
          </cell>
          <cell r="BQ37">
            <v>-4.54747350886464e-13</v>
          </cell>
          <cell r="BR37">
            <v>9.09494701772928e-13</v>
          </cell>
          <cell r="BS37">
            <v>21.3534869800005</v>
          </cell>
          <cell r="BT37">
            <v>66.5650826000001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BY37">
            <v>0</v>
          </cell>
          <cell r="BZ37">
            <v>0</v>
          </cell>
          <cell r="CA37">
            <v>0</v>
          </cell>
        </row>
        <row r="39"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</row>
        <row r="39"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>
            <v>0</v>
          </cell>
          <cell r="BS39">
            <v>0</v>
          </cell>
        </row>
        <row r="40">
          <cell r="E40">
            <v>52.57478492</v>
          </cell>
          <cell r="F40">
            <v>65.74770788</v>
          </cell>
          <cell r="G40">
            <v>79.35876729</v>
          </cell>
          <cell r="H40">
            <v>92.39853472</v>
          </cell>
          <cell r="I40">
            <v>94.45032809</v>
          </cell>
          <cell r="J40">
            <v>105.28678316</v>
          </cell>
          <cell r="K40">
            <v>111.09090564</v>
          </cell>
          <cell r="L40">
            <v>31.83233359</v>
          </cell>
          <cell r="M40">
            <v>212.85655651</v>
          </cell>
          <cell r="N40">
            <v>491.75840347</v>
          </cell>
          <cell r="O40">
            <v>661.92613905</v>
          </cell>
          <cell r="P40">
            <v>903.58109081</v>
          </cell>
          <cell r="Q40">
            <v>688.36109512</v>
          </cell>
          <cell r="R40">
            <v>2837.81362437</v>
          </cell>
          <cell r="S40">
            <v>9531.92273017</v>
          </cell>
          <cell r="T40">
            <v>20682.8226425452</v>
          </cell>
          <cell r="U40">
            <v>30079.6186649683</v>
          </cell>
          <cell r="V40">
            <v>34575.553661925</v>
          </cell>
        </row>
        <row r="40">
          <cell r="AB40">
            <v>24.77889013</v>
          </cell>
          <cell r="AC40">
            <v>26.63656237</v>
          </cell>
          <cell r="AD40">
            <v>19.97033158</v>
          </cell>
          <cell r="AE40">
            <v>23.06454401</v>
          </cell>
          <cell r="AF40">
            <v>21.47887805</v>
          </cell>
          <cell r="AG40">
            <v>26.9914283</v>
          </cell>
          <cell r="AH40">
            <v>32.02592016</v>
          </cell>
          <cell r="AI40">
            <v>24.79055665</v>
          </cell>
          <cell r="AJ40">
            <v>29.87642649</v>
          </cell>
          <cell r="AK40">
            <v>32.78217957</v>
          </cell>
          <cell r="AL40">
            <v>33.96296973</v>
          </cell>
          <cell r="AM40">
            <v>14.46932985</v>
          </cell>
          <cell r="AN40">
            <v>-3.63741626</v>
          </cell>
          <cell r="AO40">
            <v>-11.51713697</v>
          </cell>
          <cell r="AP40">
            <v>20.57002931</v>
          </cell>
          <cell r="AQ40">
            <v>26.41685751</v>
          </cell>
          <cell r="AR40">
            <v>32.41134491</v>
          </cell>
          <cell r="AS40">
            <v>48.25165445</v>
          </cell>
          <cell r="AT40">
            <v>52.31819203</v>
          </cell>
          <cell r="AU40">
            <v>79.87536512</v>
          </cell>
          <cell r="AV40">
            <v>56.21620726</v>
          </cell>
          <cell r="AW40">
            <v>135.0007077</v>
          </cell>
          <cell r="AX40">
            <v>150.63100665</v>
          </cell>
          <cell r="AY40">
            <v>149.91048186</v>
          </cell>
          <cell r="AZ40">
            <v>112.40595296</v>
          </cell>
          <cell r="BA40">
            <v>210.59925804</v>
          </cell>
          <cell r="BB40">
            <v>141.86229487</v>
          </cell>
          <cell r="BC40">
            <v>197.05863318</v>
          </cell>
          <cell r="BD40">
            <v>132.42283512</v>
          </cell>
          <cell r="BE40">
            <v>328.66406072</v>
          </cell>
          <cell r="BF40">
            <v>301.34735604</v>
          </cell>
          <cell r="BG40">
            <v>141.14683893</v>
          </cell>
          <cell r="BH40">
            <v>107.83481302</v>
          </cell>
          <cell r="BI40">
            <v>180.5300709</v>
          </cell>
          <cell r="BJ40">
            <v>141.1986196</v>
          </cell>
          <cell r="BK40">
            <v>258.7975916</v>
          </cell>
          <cell r="BL40">
            <v>324.54053421</v>
          </cell>
          <cell r="BM40">
            <v>540.60155994</v>
          </cell>
          <cell r="BN40">
            <v>780.93077706</v>
          </cell>
          <cell r="BO40">
            <v>1191.74075316</v>
          </cell>
          <cell r="BP40">
            <v>1572.52578922</v>
          </cell>
          <cell r="BQ40">
            <v>2369.76847915</v>
          </cell>
          <cell r="BR40">
            <v>2384.79823947</v>
          </cell>
          <cell r="BS40">
            <v>3204.83022233</v>
          </cell>
          <cell r="BT40">
            <v>2774.19626334</v>
          </cell>
          <cell r="BU40">
            <v>4649.15827858825</v>
          </cell>
          <cell r="BV40">
            <v>6351.74737076026</v>
          </cell>
          <cell r="BW40">
            <v>6907.72072985665</v>
          </cell>
          <cell r="BX40">
            <v>5816.54758437388</v>
          </cell>
          <cell r="BY40">
            <v>6795.59124272526</v>
          </cell>
          <cell r="BZ40">
            <v>9123.73267162806</v>
          </cell>
          <cell r="CA40">
            <v>8343.74716624111</v>
          </cell>
        </row>
        <row r="43">
          <cell r="E43">
            <v>66.91287025</v>
          </cell>
          <cell r="F43">
            <v>79.09681992</v>
          </cell>
          <cell r="G43">
            <v>94.7386345599999</v>
          </cell>
          <cell r="H43">
            <v>110.85916425</v>
          </cell>
          <cell r="I43">
            <v>113.59683086</v>
          </cell>
          <cell r="J43">
            <v>123.67380085</v>
          </cell>
          <cell r="K43">
            <v>128.61344697</v>
          </cell>
          <cell r="L43">
            <v>43.0854925699999</v>
          </cell>
          <cell r="M43">
            <v>257.49084548</v>
          </cell>
          <cell r="N43">
            <v>578.80834824</v>
          </cell>
          <cell r="O43">
            <v>749.74190374</v>
          </cell>
          <cell r="P43">
            <v>882.06197635</v>
          </cell>
          <cell r="Q43">
            <v>695.58247016</v>
          </cell>
          <cell r="R43">
            <v>3125.07658297</v>
          </cell>
          <cell r="S43">
            <v>10708.45333365</v>
          </cell>
          <cell r="T43">
            <v>23528.4692591845</v>
          </cell>
          <cell r="U43">
            <v>34344.7070456781</v>
          </cell>
          <cell r="V43">
            <v>39482.9184707714</v>
          </cell>
        </row>
        <row r="43">
          <cell r="AB43">
            <v>29.14809496</v>
          </cell>
          <cell r="AC43">
            <v>30.68839229</v>
          </cell>
          <cell r="AD43">
            <v>25.64485931</v>
          </cell>
          <cell r="AE43">
            <v>28.1154843</v>
          </cell>
          <cell r="AF43">
            <v>24.41185671</v>
          </cell>
          <cell r="AG43">
            <v>34.07373127</v>
          </cell>
          <cell r="AH43">
            <v>36.20255226</v>
          </cell>
          <cell r="AI43">
            <v>28.98566061</v>
          </cell>
          <cell r="AJ43">
            <v>32.87329918</v>
          </cell>
          <cell r="AK43">
            <v>41.78417012</v>
          </cell>
          <cell r="AL43">
            <v>42.46287295</v>
          </cell>
          <cell r="AM43">
            <v>11.49310472</v>
          </cell>
          <cell r="AN43">
            <v>2.45486784000001</v>
          </cell>
          <cell r="AO43">
            <v>-9.86505361000003</v>
          </cell>
          <cell r="AP43">
            <v>16.3697635</v>
          </cell>
          <cell r="AQ43">
            <v>34.12591484</v>
          </cell>
          <cell r="AR43">
            <v>42.76535609</v>
          </cell>
          <cell r="AS43">
            <v>47.33923207</v>
          </cell>
          <cell r="AT43">
            <v>63.96253325</v>
          </cell>
          <cell r="AU43">
            <v>103.42372407</v>
          </cell>
          <cell r="AV43">
            <v>68.24614164</v>
          </cell>
          <cell r="AW43">
            <v>174.60097134</v>
          </cell>
          <cell r="AX43">
            <v>187.19197297</v>
          </cell>
          <cell r="AY43">
            <v>148.76926229</v>
          </cell>
          <cell r="AZ43">
            <v>157.60976829</v>
          </cell>
          <cell r="BA43">
            <v>245.80574884</v>
          </cell>
          <cell r="BB43">
            <v>132.31618903</v>
          </cell>
          <cell r="BC43">
            <v>214.01019758</v>
          </cell>
          <cell r="BD43">
            <v>193.77061258</v>
          </cell>
          <cell r="BE43">
            <v>176.40753323</v>
          </cell>
          <cell r="BF43">
            <v>269.70285367</v>
          </cell>
          <cell r="BG43">
            <v>242.18097687</v>
          </cell>
          <cell r="BH43">
            <v>145.19085096</v>
          </cell>
          <cell r="BI43">
            <v>117.20898529</v>
          </cell>
          <cell r="BJ43">
            <v>128.85919558</v>
          </cell>
          <cell r="BK43">
            <v>304.32343833</v>
          </cell>
          <cell r="BL43">
            <v>362.91918487</v>
          </cell>
          <cell r="BM43">
            <v>567.587277</v>
          </cell>
          <cell r="BN43">
            <v>865.86845579</v>
          </cell>
          <cell r="BO43">
            <v>1328.70166531</v>
          </cell>
          <cell r="BP43">
            <v>1752.94512141</v>
          </cell>
          <cell r="BQ43">
            <v>2640.77603003</v>
          </cell>
          <cell r="BR43">
            <v>2575.14032537</v>
          </cell>
          <cell r="BS43">
            <v>3739.59185684</v>
          </cell>
          <cell r="BT43">
            <v>3835.46768295</v>
          </cell>
          <cell r="BU43">
            <v>5105.323746958</v>
          </cell>
          <cell r="BV43">
            <v>7001.13985229744</v>
          </cell>
          <cell r="BW43">
            <v>7586.53797697903</v>
          </cell>
          <cell r="BX43">
            <v>6639.48295357015</v>
          </cell>
          <cell r="BY43">
            <v>7758.38999168601</v>
          </cell>
          <cell r="BZ43">
            <v>10419.1230532892</v>
          </cell>
          <cell r="CA43">
            <v>9527.7110471327</v>
          </cell>
        </row>
        <row r="44">
          <cell r="E44">
            <v>2.7811</v>
          </cell>
          <cell r="F44">
            <v>2.8049</v>
          </cell>
          <cell r="G44">
            <v>5.27212379</v>
          </cell>
          <cell r="H44">
            <v>12.06805423</v>
          </cell>
          <cell r="I44">
            <v>15.21401706</v>
          </cell>
          <cell r="J44">
            <v>23.89663331</v>
          </cell>
          <cell r="K44">
            <v>46.8622836</v>
          </cell>
          <cell r="L44">
            <v>53.23269965</v>
          </cell>
          <cell r="M44">
            <v>33.98267841</v>
          </cell>
          <cell r="N44">
            <v>49.14134274</v>
          </cell>
          <cell r="O44">
            <v>71.31767662</v>
          </cell>
          <cell r="P44">
            <v>84.04826139</v>
          </cell>
          <cell r="Q44">
            <v>102.96081444</v>
          </cell>
          <cell r="R44">
            <v>183.4543323256</v>
          </cell>
          <cell r="S44">
            <v>364.458047096416</v>
          </cell>
          <cell r="T44">
            <v>592.461804253058</v>
          </cell>
          <cell r="U44">
            <v>830.399217970291</v>
          </cell>
          <cell r="V44">
            <v>1018.98129045148</v>
          </cell>
        </row>
        <row r="44">
          <cell r="AB44">
            <v>3.54344109</v>
          </cell>
          <cell r="AC44">
            <v>3.54344109</v>
          </cell>
          <cell r="AD44">
            <v>3.54344109</v>
          </cell>
          <cell r="AE44">
            <v>3.54344109</v>
          </cell>
          <cell r="AF44">
            <v>3.54344109</v>
          </cell>
          <cell r="AG44">
            <v>3.54344109</v>
          </cell>
          <cell r="AH44">
            <v>8.39349156</v>
          </cell>
          <cell r="AI44">
            <v>8.39349156</v>
          </cell>
          <cell r="AJ44">
            <v>10.1210434</v>
          </cell>
          <cell r="AK44">
            <v>10.1210434</v>
          </cell>
          <cell r="AL44">
            <v>13.23213024</v>
          </cell>
          <cell r="AM44">
            <v>13.23213024</v>
          </cell>
          <cell r="AN44">
            <v>14.87500408</v>
          </cell>
          <cell r="AO44">
            <v>14.87500408</v>
          </cell>
          <cell r="AP44">
            <v>11.69199458</v>
          </cell>
          <cell r="AQ44">
            <v>11.69199458</v>
          </cell>
          <cell r="AR44">
            <v>8.121581115</v>
          </cell>
          <cell r="AS44">
            <v>8.121581115</v>
          </cell>
          <cell r="AT44">
            <v>7.456470815</v>
          </cell>
          <cell r="AU44">
            <v>7.456470815</v>
          </cell>
          <cell r="AV44">
            <v>10.170185385</v>
          </cell>
          <cell r="AW44">
            <v>10.170185385</v>
          </cell>
          <cell r="AX44">
            <v>14.159873585</v>
          </cell>
          <cell r="AY44">
            <v>14.159873585</v>
          </cell>
          <cell r="AZ44">
            <v>16.80756973</v>
          </cell>
          <cell r="BA44">
            <v>16.80756973</v>
          </cell>
          <cell r="BB44">
            <v>18.716403515</v>
          </cell>
          <cell r="BC44">
            <v>18.716403515</v>
          </cell>
          <cell r="BD44">
            <v>21.37230848</v>
          </cell>
          <cell r="BE44">
            <v>21.37230848</v>
          </cell>
          <cell r="BF44">
            <v>22.10797962</v>
          </cell>
          <cell r="BG44">
            <v>22.10797962</v>
          </cell>
          <cell r="BH44">
            <v>23.48991841</v>
          </cell>
          <cell r="BI44">
            <v>23.48991841</v>
          </cell>
          <cell r="BJ44">
            <v>23</v>
          </cell>
          <cell r="BK44">
            <v>32.98097762</v>
          </cell>
          <cell r="BL44">
            <v>45.8635830814</v>
          </cell>
          <cell r="BM44">
            <v>45.8635830814</v>
          </cell>
          <cell r="BN44">
            <v>45.8635830814</v>
          </cell>
          <cell r="BO44">
            <v>45.8635830814</v>
          </cell>
          <cell r="BP44">
            <v>91.114511774104</v>
          </cell>
          <cell r="BQ44">
            <v>91.114511774104</v>
          </cell>
          <cell r="BR44">
            <v>91.114511774104</v>
          </cell>
          <cell r="BS44">
            <v>91.114511774104</v>
          </cell>
          <cell r="BT44">
            <v>148.115451063264</v>
          </cell>
          <cell r="BU44">
            <v>148.115451063264</v>
          </cell>
          <cell r="BV44">
            <v>148.115451063264</v>
          </cell>
          <cell r="BW44">
            <v>148.115451063264</v>
          </cell>
          <cell r="BX44">
            <v>207.599804492573</v>
          </cell>
          <cell r="BY44">
            <v>207.599804492573</v>
          </cell>
          <cell r="BZ44">
            <v>207.599804492573</v>
          </cell>
          <cell r="CA44">
            <v>207.599804492573</v>
          </cell>
        </row>
        <row r="45">
          <cell r="E45">
            <v>0.1364</v>
          </cell>
          <cell r="F45">
            <v>0.1015</v>
          </cell>
          <cell r="G45">
            <v>0.22808715</v>
          </cell>
          <cell r="H45">
            <v>0.31876193</v>
          </cell>
          <cell r="I45">
            <v>0.43356578</v>
          </cell>
          <cell r="J45">
            <v>0.41590236</v>
          </cell>
          <cell r="K45">
            <v>0.42110674</v>
          </cell>
          <cell r="L45">
            <v>0.67595024</v>
          </cell>
          <cell r="M45">
            <v>0.86882171</v>
          </cell>
          <cell r="N45">
            <v>0.86558615</v>
          </cell>
          <cell r="O45">
            <v>0.92521985</v>
          </cell>
          <cell r="P45">
            <v>12.94123485</v>
          </cell>
          <cell r="Q45">
            <v>23.21158344</v>
          </cell>
          <cell r="R45">
            <v>27.0298622048</v>
          </cell>
          <cell r="S45">
            <v>23.245681496128</v>
          </cell>
          <cell r="T45">
            <v>19.9912860866701</v>
          </cell>
          <cell r="U45">
            <v>17.1925060345363</v>
          </cell>
          <cell r="V45">
            <v>14.7855551897012</v>
          </cell>
        </row>
        <row r="45">
          <cell r="AB45">
            <v>0.105294</v>
          </cell>
          <cell r="AC45">
            <v>0.105294</v>
          </cell>
          <cell r="AD45">
            <v>0.105294</v>
          </cell>
          <cell r="AE45">
            <v>0.105294</v>
          </cell>
          <cell r="AF45">
            <v>0.105294</v>
          </cell>
          <cell r="AG45">
            <v>0.105294</v>
          </cell>
          <cell r="AH45">
            <v>0.10265718</v>
          </cell>
          <cell r="AI45">
            <v>0.10265718</v>
          </cell>
          <cell r="AJ45">
            <v>0.10299609</v>
          </cell>
          <cell r="AK45">
            <v>0.10299609</v>
          </cell>
          <cell r="AL45">
            <v>0.10755728</v>
          </cell>
          <cell r="AM45">
            <v>0.10755728</v>
          </cell>
          <cell r="AN45">
            <v>0.13538499</v>
          </cell>
          <cell r="AO45">
            <v>0.13538499</v>
          </cell>
          <cell r="AP45">
            <v>0.20259013</v>
          </cell>
          <cell r="AQ45">
            <v>0.20259013</v>
          </cell>
          <cell r="AR45">
            <v>0.213482755</v>
          </cell>
          <cell r="AS45">
            <v>0.213482755</v>
          </cell>
          <cell r="AT45">
            <v>0.2209281</v>
          </cell>
          <cell r="AU45">
            <v>0.2209281</v>
          </cell>
          <cell r="AV45">
            <v>0.216865795</v>
          </cell>
          <cell r="AW45">
            <v>0.216865795</v>
          </cell>
          <cell r="AX45">
            <v>0.21592728</v>
          </cell>
          <cell r="AY45">
            <v>0.21592728</v>
          </cell>
          <cell r="AZ45">
            <v>0.22147509</v>
          </cell>
          <cell r="BA45">
            <v>0.22147509</v>
          </cell>
          <cell r="BB45">
            <v>0.241134835</v>
          </cell>
          <cell r="BC45">
            <v>0.241134835</v>
          </cell>
          <cell r="BD45">
            <v>1.63188227</v>
          </cell>
          <cell r="BE45">
            <v>1.63188227</v>
          </cell>
          <cell r="BF45">
            <v>4.838735155</v>
          </cell>
          <cell r="BG45">
            <v>4.838735155</v>
          </cell>
          <cell r="BH45">
            <v>5.42424512</v>
          </cell>
          <cell r="BI45">
            <v>5.42424512</v>
          </cell>
          <cell r="BJ45">
            <v>5</v>
          </cell>
          <cell r="BK45">
            <v>7.3630932</v>
          </cell>
          <cell r="BL45">
            <v>6.7574655512</v>
          </cell>
          <cell r="BM45">
            <v>6.7574655512</v>
          </cell>
          <cell r="BN45">
            <v>6.7574655512</v>
          </cell>
          <cell r="BO45">
            <v>6.7574655512</v>
          </cell>
          <cell r="BP45">
            <v>5.811420374032</v>
          </cell>
          <cell r="BQ45">
            <v>5.811420374032</v>
          </cell>
          <cell r="BR45">
            <v>5.811420374032</v>
          </cell>
          <cell r="BS45">
            <v>5.811420374032</v>
          </cell>
          <cell r="BT45">
            <v>4.99782152166752</v>
          </cell>
          <cell r="BU45">
            <v>4.99782152166752</v>
          </cell>
          <cell r="BV45">
            <v>4.99782152166752</v>
          </cell>
          <cell r="BW45">
            <v>4.99782152166752</v>
          </cell>
          <cell r="BX45">
            <v>4.29812650863407</v>
          </cell>
          <cell r="BY45">
            <v>4.29812650863407</v>
          </cell>
          <cell r="BZ45">
            <v>4.29812650863407</v>
          </cell>
          <cell r="CA45">
            <v>4.29812650863407</v>
          </cell>
        </row>
        <row r="46">
          <cell r="E46">
            <v>69.83037025</v>
          </cell>
          <cell r="F46">
            <v>82.00321992</v>
          </cell>
          <cell r="G46">
            <v>100.2388455</v>
          </cell>
          <cell r="H46">
            <v>123.24598041</v>
          </cell>
          <cell r="I46">
            <v>129.2444137</v>
          </cell>
          <cell r="J46">
            <v>147.98633652</v>
          </cell>
          <cell r="K46">
            <v>175.89683731</v>
          </cell>
          <cell r="L46">
            <v>96.9941424599999</v>
          </cell>
          <cell r="M46">
            <v>292.3423456</v>
          </cell>
          <cell r="N46">
            <v>628.81527713</v>
          </cell>
          <cell r="O46">
            <v>821.98480021</v>
          </cell>
          <cell r="P46">
            <v>979.05147259</v>
          </cell>
          <cell r="Q46">
            <v>821.75486804</v>
          </cell>
          <cell r="R46">
            <v>3335.5607775004</v>
          </cell>
          <cell r="S46">
            <v>11096.1570622425</v>
          </cell>
          <cell r="T46">
            <v>24140.9223495242</v>
          </cell>
          <cell r="U46">
            <v>35192.2987696829</v>
          </cell>
          <cell r="V46">
            <v>40516.6853164126</v>
          </cell>
        </row>
        <row r="46">
          <cell r="AB46">
            <v>32.79683005</v>
          </cell>
          <cell r="AC46">
            <v>34.33712738</v>
          </cell>
          <cell r="AD46">
            <v>29.2935944</v>
          </cell>
          <cell r="AE46">
            <v>31.76421939</v>
          </cell>
          <cell r="AF46">
            <v>28.0605918</v>
          </cell>
          <cell r="AG46">
            <v>37.72246636</v>
          </cell>
          <cell r="AH46">
            <v>44.698701</v>
          </cell>
          <cell r="AI46">
            <v>37.48180935</v>
          </cell>
          <cell r="AJ46">
            <v>43.09733867</v>
          </cell>
          <cell r="AK46">
            <v>52.00820961</v>
          </cell>
          <cell r="AL46">
            <v>55.80256047</v>
          </cell>
          <cell r="AM46">
            <v>24.83279224</v>
          </cell>
          <cell r="AN46">
            <v>17.46525691</v>
          </cell>
          <cell r="AO46">
            <v>5.14533545999997</v>
          </cell>
          <cell r="AP46">
            <v>28.26434821</v>
          </cell>
          <cell r="AQ46">
            <v>46.02049955</v>
          </cell>
          <cell r="AR46">
            <v>51.10041996</v>
          </cell>
          <cell r="AS46">
            <v>55.67429594</v>
          </cell>
          <cell r="AT46">
            <v>71.639932165</v>
          </cell>
          <cell r="AU46">
            <v>111.101122985</v>
          </cell>
          <cell r="AV46">
            <v>78.63319282</v>
          </cell>
          <cell r="AW46">
            <v>184.98802252</v>
          </cell>
          <cell r="AX46">
            <v>201.567773835</v>
          </cell>
          <cell r="AY46">
            <v>163.145063155</v>
          </cell>
          <cell r="AZ46">
            <v>174.63881311</v>
          </cell>
          <cell r="BA46">
            <v>262.83479366</v>
          </cell>
          <cell r="BB46">
            <v>151.27372738</v>
          </cell>
          <cell r="BC46">
            <v>232.96773593</v>
          </cell>
          <cell r="BD46">
            <v>216.77480333</v>
          </cell>
          <cell r="BE46">
            <v>199.41172398</v>
          </cell>
          <cell r="BF46">
            <v>296.649568445</v>
          </cell>
          <cell r="BG46">
            <v>269.127691645</v>
          </cell>
          <cell r="BH46">
            <v>174.10501449</v>
          </cell>
          <cell r="BI46">
            <v>146.12314882</v>
          </cell>
          <cell r="BJ46">
            <v>156.85919558</v>
          </cell>
          <cell r="BK46">
            <v>344.66750915</v>
          </cell>
          <cell r="BL46">
            <v>415.5402335026</v>
          </cell>
          <cell r="BM46">
            <v>620.2083256326</v>
          </cell>
          <cell r="BN46">
            <v>918.4895044226</v>
          </cell>
          <cell r="BO46">
            <v>1381.3227139426</v>
          </cell>
          <cell r="BP46">
            <v>1849.87105355814</v>
          </cell>
          <cell r="BQ46">
            <v>2737.70196217814</v>
          </cell>
          <cell r="BR46">
            <v>2672.06625751813</v>
          </cell>
          <cell r="BS46">
            <v>3836.51778898814</v>
          </cell>
          <cell r="BT46">
            <v>3988.58095553493</v>
          </cell>
          <cell r="BU46">
            <v>5258.43701954293</v>
          </cell>
          <cell r="BV46">
            <v>7154.25312488238</v>
          </cell>
          <cell r="BW46">
            <v>7739.65124956396</v>
          </cell>
          <cell r="BX46">
            <v>6851.38088457136</v>
          </cell>
          <cell r="BY46">
            <v>7970.28792268722</v>
          </cell>
          <cell r="BZ46">
            <v>10631.0209842904</v>
          </cell>
          <cell r="CA46">
            <v>9739.6089781339</v>
          </cell>
        </row>
        <row r="48">
          <cell r="E48">
            <v>0.678571428571428</v>
          </cell>
          <cell r="F48">
            <v>0.807142857142857</v>
          </cell>
          <cell r="G48">
            <v>0.971428571428572</v>
          </cell>
          <cell r="H48">
            <v>1.13571428571429</v>
          </cell>
          <cell r="I48">
            <v>1.15673897900613</v>
          </cell>
          <cell r="J48">
            <v>1.03571428571429</v>
          </cell>
          <cell r="K48">
            <v>0.523285714285714</v>
          </cell>
          <cell r="L48">
            <v>0.0952857142857143</v>
          </cell>
          <cell r="M48">
            <v>0.641142857142857</v>
          </cell>
          <cell r="N48">
            <v>1.08178571428571</v>
          </cell>
          <cell r="O48">
            <v>0.711224489795918</v>
          </cell>
          <cell r="P48">
            <v>0.909081632653061</v>
          </cell>
          <cell r="Q48">
            <v>0.525738009963303</v>
          </cell>
          <cell r="R48">
            <v>2.03950420716899</v>
          </cell>
          <cell r="S48">
            <v>6.85273619111277</v>
          </cell>
          <cell r="T48">
            <v>14.8630338811226</v>
          </cell>
          <cell r="U48">
            <v>21.6157339389947</v>
          </cell>
          <cell r="V48">
            <v>24.8465905460438</v>
          </cell>
        </row>
        <row r="48">
          <cell r="AB48">
            <v>0.307142857142857</v>
          </cell>
          <cell r="AC48">
            <v>0.321428571428571</v>
          </cell>
          <cell r="AD48">
            <v>0.24509612186327</v>
          </cell>
          <cell r="AE48">
            <v>0.283071428571429</v>
          </cell>
          <cell r="AF48">
            <v>0.264285714285714</v>
          </cell>
          <cell r="AG48">
            <v>0.248428571428571</v>
          </cell>
          <cell r="AH48">
            <v>0.294785714285714</v>
          </cell>
          <cell r="AI48">
            <v>0.228214285714286</v>
          </cell>
          <cell r="AJ48">
            <v>0.275</v>
          </cell>
          <cell r="AK48">
            <v>0.100571428571429</v>
          </cell>
          <cell r="AL48">
            <v>0.104214285714286</v>
          </cell>
          <cell r="AM48">
            <v>0.0435</v>
          </cell>
          <cell r="AN48">
            <v>-0.0109285714285714</v>
          </cell>
          <cell r="AO48">
            <v>-0.0345714285714286</v>
          </cell>
          <cell r="AP48">
            <v>0.0616428571428572</v>
          </cell>
          <cell r="AQ48">
            <v>0.0791428571428572</v>
          </cell>
          <cell r="AR48">
            <v>0.0971428571428571</v>
          </cell>
          <cell r="AS48">
            <v>0.144642857142857</v>
          </cell>
          <cell r="AT48">
            <v>0.158071428571429</v>
          </cell>
          <cell r="AU48">
            <v>0.241285714285714</v>
          </cell>
          <cell r="AV48">
            <v>0.169785714285714</v>
          </cell>
          <cell r="AW48">
            <v>0.291285714285714</v>
          </cell>
          <cell r="AX48">
            <v>0.325071428571429</v>
          </cell>
          <cell r="AY48">
            <v>0.295642857142857</v>
          </cell>
          <cell r="AZ48">
            <v>0.158316326530612</v>
          </cell>
          <cell r="BA48">
            <v>0.211887755102041</v>
          </cell>
          <cell r="BB48">
            <v>0.142755102040816</v>
          </cell>
          <cell r="BC48">
            <v>0.198265306122449</v>
          </cell>
          <cell r="BD48">
            <v>0.133214285714286</v>
          </cell>
          <cell r="BE48">
            <v>0.330663265306122</v>
          </cell>
          <cell r="BF48">
            <v>0.303214285714286</v>
          </cell>
          <cell r="BG48">
            <v>0.141989795918367</v>
          </cell>
          <cell r="BH48">
            <v>0.108520408163265</v>
          </cell>
          <cell r="BI48">
            <v>0.129744897959184</v>
          </cell>
          <cell r="BJ48">
            <v>0.10147783358556</v>
          </cell>
          <cell r="BK48">
            <v>0.185994870255294</v>
          </cell>
          <cell r="BL48">
            <v>0.233243571471369</v>
          </cell>
          <cell r="BM48">
            <v>0.388524160442186</v>
          </cell>
          <cell r="BN48">
            <v>0.561246021107256</v>
          </cell>
          <cell r="BO48">
            <v>0.856490454148185</v>
          </cell>
          <cell r="BP48">
            <v>1.1301563060569</v>
          </cell>
          <cell r="BQ48">
            <v>1.70577624821933</v>
          </cell>
          <cell r="BR48">
            <v>1.71375723930311</v>
          </cell>
          <cell r="BS48">
            <v>2.30304639753343</v>
          </cell>
          <cell r="BT48">
            <v>1.99358539052057</v>
          </cell>
          <cell r="BU48">
            <v>3.34096550589845</v>
          </cell>
          <cell r="BV48">
            <v>4.56447545905774</v>
          </cell>
          <cell r="BW48">
            <v>4.96400752564584</v>
          </cell>
          <cell r="BX48">
            <v>4.17987164091798</v>
          </cell>
          <cell r="BY48">
            <v>4.88342933788541</v>
          </cell>
          <cell r="BZ48">
            <v>6.55647201372635</v>
          </cell>
          <cell r="CA48">
            <v>5.99596094646497</v>
          </cell>
        </row>
        <row r="49">
          <cell r="E49">
            <v>0.678571428571428</v>
          </cell>
          <cell r="F49">
            <v>0.807142857142857</v>
          </cell>
          <cell r="G49">
            <v>0.971428571428572</v>
          </cell>
          <cell r="H49">
            <v>1.13571428571429</v>
          </cell>
          <cell r="I49">
            <v>1.15673897900613</v>
          </cell>
          <cell r="J49">
            <v>1.03571428571429</v>
          </cell>
          <cell r="K49">
            <v>0.523285714285714</v>
          </cell>
          <cell r="L49">
            <v>0.0952857142857143</v>
          </cell>
          <cell r="M49">
            <v>0.641142857142857</v>
          </cell>
          <cell r="N49">
            <v>1.08178571428571</v>
          </cell>
          <cell r="O49">
            <v>0.711224489795918</v>
          </cell>
          <cell r="P49">
            <v>0.909081632653061</v>
          </cell>
          <cell r="Q49">
            <v>0.525738009963303</v>
          </cell>
          <cell r="R49">
            <v>2.03950420716899</v>
          </cell>
          <cell r="S49">
            <v>6.85273619111277</v>
          </cell>
          <cell r="T49">
            <v>14.8630338811226</v>
          </cell>
          <cell r="U49">
            <v>21.6157339389947</v>
          </cell>
          <cell r="V49">
            <v>24.8465905460438</v>
          </cell>
        </row>
        <row r="49">
          <cell r="AB49">
            <v>0.307142857142857</v>
          </cell>
          <cell r="AC49">
            <v>0.321428571428571</v>
          </cell>
          <cell r="AD49">
            <v>0.24509612186327</v>
          </cell>
          <cell r="AE49">
            <v>0.283071428571429</v>
          </cell>
          <cell r="AF49">
            <v>0.264285714285714</v>
          </cell>
          <cell r="AG49">
            <v>0.248428571428571</v>
          </cell>
          <cell r="AH49">
            <v>0.294785714285714</v>
          </cell>
          <cell r="AI49">
            <v>0.228214285714286</v>
          </cell>
          <cell r="AJ49">
            <v>0.275</v>
          </cell>
          <cell r="AK49">
            <v>0.100571428571429</v>
          </cell>
          <cell r="AL49">
            <v>0.104214285714286</v>
          </cell>
          <cell r="AM49">
            <v>0.0435</v>
          </cell>
          <cell r="AN49">
            <v>-0.0109285714285714</v>
          </cell>
          <cell r="AO49">
            <v>-0.0345714285714286</v>
          </cell>
          <cell r="AP49">
            <v>0.0616428571428572</v>
          </cell>
          <cell r="AQ49">
            <v>0.0791428571428572</v>
          </cell>
          <cell r="AR49">
            <v>0.0971428571428571</v>
          </cell>
          <cell r="AS49">
            <v>0.144642857142857</v>
          </cell>
          <cell r="AT49">
            <v>0.158071428571429</v>
          </cell>
          <cell r="AU49">
            <v>0.241285714285714</v>
          </cell>
          <cell r="AV49">
            <v>0.169785714285714</v>
          </cell>
          <cell r="AW49">
            <v>0.291285714285714</v>
          </cell>
          <cell r="AX49">
            <v>0.325071428571429</v>
          </cell>
          <cell r="AY49">
            <v>0.295642857142857</v>
          </cell>
          <cell r="AZ49">
            <v>0.158316326530612</v>
          </cell>
          <cell r="BA49">
            <v>0.211887755102041</v>
          </cell>
          <cell r="BB49">
            <v>0.142755102040816</v>
          </cell>
          <cell r="BC49">
            <v>0.198265306122449</v>
          </cell>
          <cell r="BD49">
            <v>0.133214285714286</v>
          </cell>
          <cell r="BE49">
            <v>0.330663265306122</v>
          </cell>
          <cell r="BF49">
            <v>0.303214285714286</v>
          </cell>
          <cell r="BG49">
            <v>0.141989795918367</v>
          </cell>
          <cell r="BH49">
            <v>0.108520408163265</v>
          </cell>
          <cell r="BI49">
            <v>0.129744897959184</v>
          </cell>
          <cell r="BJ49">
            <v>0.10147783358556</v>
          </cell>
          <cell r="BK49">
            <v>0.185994870255294</v>
          </cell>
          <cell r="BL49">
            <v>0.233243571471369</v>
          </cell>
          <cell r="BM49">
            <v>0.388524160442186</v>
          </cell>
          <cell r="BN49">
            <v>0.561246021107256</v>
          </cell>
          <cell r="BO49">
            <v>0.856490454148185</v>
          </cell>
          <cell r="BP49">
            <v>1.1301563060569</v>
          </cell>
          <cell r="BQ49">
            <v>1.70577624821933</v>
          </cell>
          <cell r="BR49">
            <v>1.71375723930311</v>
          </cell>
          <cell r="BS49">
            <v>2.30304639753343</v>
          </cell>
          <cell r="BT49">
            <v>1.99358539052057</v>
          </cell>
          <cell r="BU49">
            <v>3.34096550589845</v>
          </cell>
          <cell r="BV49">
            <v>4.56447545905774</v>
          </cell>
          <cell r="BW49">
            <v>4.96400752564584</v>
          </cell>
          <cell r="BX49">
            <v>4.17987164091798</v>
          </cell>
          <cell r="BY49">
            <v>4.88342933788541</v>
          </cell>
          <cell r="BZ49">
            <v>6.55647201372635</v>
          </cell>
          <cell r="CA49">
            <v>5.99596094646497</v>
          </cell>
        </row>
        <row r="53"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12.8086817582235</v>
          </cell>
          <cell r="K53">
            <v>23.9893274259459</v>
          </cell>
          <cell r="L53">
            <v>90.7674891376627</v>
          </cell>
          <cell r="M53">
            <v>59.7591936725936</v>
          </cell>
          <cell r="N53">
            <v>54.5496281168438</v>
          </cell>
          <cell r="O53">
            <v>111.682229486772</v>
          </cell>
          <cell r="P53">
            <v>347.882269780929</v>
          </cell>
          <cell r="Q53">
            <v>202.945131836763</v>
          </cell>
          <cell r="R53">
            <v>318.963</v>
          </cell>
          <cell r="S53">
            <v>953.192273017</v>
          </cell>
          <cell r="T53">
            <v>2068.28226425452</v>
          </cell>
          <cell r="U53">
            <v>3007.96186649683</v>
          </cell>
          <cell r="V53">
            <v>3457.5553661925</v>
          </cell>
        </row>
        <row r="53">
          <cell r="AZ53">
            <v>994.012036488043</v>
          </cell>
          <cell r="BA53">
            <v>1391.48654963101</v>
          </cell>
          <cell r="BB53">
            <v>1391.24423560858</v>
          </cell>
          <cell r="BC53">
            <v>1391.4793861192</v>
          </cell>
          <cell r="BD53">
            <v>1391.68234227989</v>
          </cell>
          <cell r="BE53">
            <v>1391.53553867564</v>
          </cell>
          <cell r="BF53">
            <v>1391.38001846502</v>
          </cell>
          <cell r="BG53">
            <v>1391.68855919483</v>
          </cell>
          <cell r="BH53">
            <v>1391.15527469149</v>
          </cell>
          <cell r="BI53">
            <v>1947.99258572395</v>
          </cell>
          <cell r="BJ53">
            <v>1947.99258572395</v>
          </cell>
          <cell r="BK53">
            <v>1947.99258572395</v>
          </cell>
          <cell r="BL53">
            <v>1947.99258572395</v>
          </cell>
          <cell r="BM53">
            <v>1947.99258572395</v>
          </cell>
          <cell r="BN53">
            <v>1947.99258572395</v>
          </cell>
          <cell r="BO53">
            <v>1947.99258572395</v>
          </cell>
          <cell r="BP53">
            <v>1947.99258572395</v>
          </cell>
          <cell r="BQ53">
            <v>1944.96545152</v>
          </cell>
          <cell r="BR53">
            <v>1948.18580992</v>
          </cell>
          <cell r="BS53">
            <v>1948.18580992</v>
          </cell>
          <cell r="BT53">
            <v>1948.18580992</v>
          </cell>
          <cell r="BU53">
            <v>1948.18580992</v>
          </cell>
          <cell r="BV53">
            <v>1948.18580992</v>
          </cell>
          <cell r="BW53">
            <v>1948.18580992</v>
          </cell>
          <cell r="BX53">
            <v>1948.18580992</v>
          </cell>
          <cell r="BY53">
            <v>1948.18580992</v>
          </cell>
          <cell r="BZ53">
            <v>1948.18580992</v>
          </cell>
          <cell r="CA53">
            <v>1948.18580992</v>
          </cell>
        </row>
        <row r="54"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0.126</v>
          </cell>
          <cell r="K54">
            <v>0.113</v>
          </cell>
          <cell r="L54">
            <v>0.2717</v>
          </cell>
          <cell r="M54">
            <v>0.18</v>
          </cell>
          <cell r="N54">
            <v>0.12</v>
          </cell>
          <cell r="O54">
            <v>0.12</v>
          </cell>
          <cell r="P54">
            <v>0.35</v>
          </cell>
          <cell r="Q54">
            <v>0.155</v>
          </cell>
          <cell r="R54">
            <v>0.229235061402478</v>
          </cell>
          <cell r="S54">
            <v>0.685048388789355</v>
          </cell>
          <cell r="T54">
            <v>1.48645081669046</v>
          </cell>
          <cell r="U54">
            <v>2.16178780348414</v>
          </cell>
          <cell r="V54">
            <v>2.48490551152203</v>
          </cell>
        </row>
        <row r="56">
          <cell r="E56">
            <v>77.4786304084211</v>
          </cell>
          <cell r="F56">
            <v>81.4573371964602</v>
          </cell>
          <cell r="G56">
            <v>81.6928486808823</v>
          </cell>
          <cell r="H56">
            <v>81.3572003823899</v>
          </cell>
          <cell r="I56">
            <v>81.6522394457149</v>
          </cell>
          <cell r="J56">
            <v>101.656204430345</v>
          </cell>
          <cell r="K56">
            <v>212.294932972973</v>
          </cell>
          <cell r="L56">
            <v>334.072466461769</v>
          </cell>
          <cell r="M56">
            <v>331.995520403298</v>
          </cell>
          <cell r="N56">
            <v>454.580234307032</v>
          </cell>
          <cell r="O56">
            <v>930.685245723099</v>
          </cell>
          <cell r="P56">
            <v>993.949342231227</v>
          </cell>
          <cell r="Q56">
            <v>1309.32343120492</v>
          </cell>
          <cell r="R56">
            <v>1391.42327551711</v>
          </cell>
          <cell r="S56">
            <v>1391.42327551711</v>
          </cell>
          <cell r="T56">
            <v>1391.42327551711</v>
          </cell>
          <cell r="U56">
            <v>1391.42327551711</v>
          </cell>
          <cell r="V56">
            <v>1391.42327551711</v>
          </cell>
        </row>
        <row r="56">
          <cell r="AB56">
            <v>80.6754562372093</v>
          </cell>
          <cell r="AC56">
            <v>82.8693051511111</v>
          </cell>
          <cell r="AD56">
            <v>81.4795902447641</v>
          </cell>
          <cell r="AE56">
            <v>81.4795902447641</v>
          </cell>
          <cell r="AF56">
            <v>81.2714304594595</v>
          </cell>
          <cell r="AG56">
            <v>108.648647556067</v>
          </cell>
          <cell r="AH56">
            <v>108.641357460625</v>
          </cell>
          <cell r="AI56">
            <v>108.628417245696</v>
          </cell>
          <cell r="AJ56">
            <v>108.641550872727</v>
          </cell>
          <cell r="AK56">
            <v>325.959171860795</v>
          </cell>
          <cell r="AL56">
            <v>325.895528594928</v>
          </cell>
          <cell r="AM56">
            <v>332.628272413793</v>
          </cell>
          <cell r="AN56">
            <v>332.835474771242</v>
          </cell>
          <cell r="AO56">
            <v>333.140325578512</v>
          </cell>
          <cell r="AP56">
            <v>333.696883360371</v>
          </cell>
          <cell r="AQ56">
            <v>333.787008249097</v>
          </cell>
          <cell r="AR56">
            <v>333.646197602941</v>
          </cell>
          <cell r="AS56">
            <v>333.59168508642</v>
          </cell>
          <cell r="AT56">
            <v>330.978169191143</v>
          </cell>
          <cell r="AU56">
            <v>331.040589603316</v>
          </cell>
          <cell r="AV56">
            <v>331.100926226336</v>
          </cell>
          <cell r="AW56">
            <v>463.464911181952</v>
          </cell>
          <cell r="AX56">
            <v>463.378179103494</v>
          </cell>
          <cell r="AY56">
            <v>507.066138207296</v>
          </cell>
          <cell r="AZ56">
            <v>710.00859749146</v>
          </cell>
          <cell r="BA56">
            <v>993.918964022153</v>
          </cell>
          <cell r="BB56">
            <v>993.745882577555</v>
          </cell>
          <cell r="BC56">
            <v>993.913847227998</v>
          </cell>
          <cell r="BD56">
            <v>994.058815914209</v>
          </cell>
          <cell r="BE56">
            <v>993.953956196883</v>
          </cell>
          <cell r="BF56">
            <v>993.842870332155</v>
          </cell>
          <cell r="BG56">
            <v>994.063256567733</v>
          </cell>
          <cell r="BH56">
            <v>993.68233906535</v>
          </cell>
          <cell r="BI56">
            <v>1391.42327551711</v>
          </cell>
          <cell r="BJ56">
            <v>1391.42327551711</v>
          </cell>
          <cell r="BK56">
            <v>1391.42327551711</v>
          </cell>
          <cell r="BL56">
            <v>1391.42327551711</v>
          </cell>
          <cell r="BM56">
            <v>1391.42327551711</v>
          </cell>
          <cell r="BN56">
            <v>1391.42327551711</v>
          </cell>
          <cell r="BO56">
            <v>1391.42327551711</v>
          </cell>
          <cell r="BP56">
            <v>1391.42327551711</v>
          </cell>
          <cell r="BQ56">
            <v>1389.2610368</v>
          </cell>
          <cell r="BR56">
            <v>1391.5612928</v>
          </cell>
          <cell r="BS56">
            <v>1391.5612928</v>
          </cell>
          <cell r="BT56">
            <v>1391.5612928</v>
          </cell>
          <cell r="BU56">
            <v>1391.5612928</v>
          </cell>
          <cell r="BV56">
            <v>1391.5612928</v>
          </cell>
          <cell r="BW56">
            <v>1391.5612928</v>
          </cell>
          <cell r="BX56">
            <v>1391.5612928</v>
          </cell>
          <cell r="BY56">
            <v>1391.5612928</v>
          </cell>
          <cell r="BZ56">
            <v>1391.5612928</v>
          </cell>
          <cell r="CA56">
            <v>1391.5612928</v>
          </cell>
        </row>
        <row r="57">
          <cell r="E57">
            <v>77.4786304084211</v>
          </cell>
          <cell r="F57">
            <v>81.4573371964602</v>
          </cell>
          <cell r="G57">
            <v>81.6928486808823</v>
          </cell>
          <cell r="H57">
            <v>81.3572003823899</v>
          </cell>
          <cell r="I57">
            <v>81.6522394457149</v>
          </cell>
          <cell r="J57">
            <v>101.656204430345</v>
          </cell>
          <cell r="K57">
            <v>212.294932972973</v>
          </cell>
          <cell r="L57">
            <v>334.072466461769</v>
          </cell>
          <cell r="M57">
            <v>331.995520403298</v>
          </cell>
          <cell r="N57">
            <v>454.580234307032</v>
          </cell>
          <cell r="O57">
            <v>930.685245723099</v>
          </cell>
          <cell r="P57">
            <v>993.949342231227</v>
          </cell>
          <cell r="Q57">
            <v>1309.32343120492</v>
          </cell>
          <cell r="R57">
            <v>1391.42327551711</v>
          </cell>
          <cell r="S57">
            <v>1391.42327551711</v>
          </cell>
          <cell r="T57">
            <v>1391.42327551711</v>
          </cell>
          <cell r="U57">
            <v>1391.42327551711</v>
          </cell>
          <cell r="V57">
            <v>1391.42327551711</v>
          </cell>
        </row>
        <row r="57">
          <cell r="AB57">
            <v>80.6754562372093</v>
          </cell>
          <cell r="AC57">
            <v>82.8693051511111</v>
          </cell>
          <cell r="AD57">
            <v>58.1997073176886</v>
          </cell>
          <cell r="AE57">
            <v>81.4795902447641</v>
          </cell>
          <cell r="AF57">
            <v>81.2714304594595</v>
          </cell>
          <cell r="AG57">
            <v>108.648647556067</v>
          </cell>
          <cell r="AH57">
            <v>108.641357460625</v>
          </cell>
          <cell r="AI57">
            <v>108.628417245696</v>
          </cell>
          <cell r="AJ57">
            <v>108.641550872727</v>
          </cell>
          <cell r="AK57">
            <v>325.959171860795</v>
          </cell>
          <cell r="AL57">
            <v>325.895528594928</v>
          </cell>
          <cell r="AM57">
            <v>332.628272413793</v>
          </cell>
          <cell r="AN57">
            <v>332.835474771242</v>
          </cell>
          <cell r="AO57">
            <v>333.140325578512</v>
          </cell>
          <cell r="AP57">
            <v>333.696883360371</v>
          </cell>
          <cell r="AQ57">
            <v>333.787008249097</v>
          </cell>
          <cell r="AR57">
            <v>333.646197602941</v>
          </cell>
          <cell r="AS57">
            <v>333.59168508642</v>
          </cell>
          <cell r="AT57">
            <v>330.978169191143</v>
          </cell>
          <cell r="AU57">
            <v>331.040589603316</v>
          </cell>
          <cell r="AV57">
            <v>331.100926226336</v>
          </cell>
          <cell r="AW57">
            <v>463.464911181952</v>
          </cell>
          <cell r="AX57">
            <v>463.378179103494</v>
          </cell>
          <cell r="AY57">
            <v>507.066138207296</v>
          </cell>
          <cell r="AZ57">
            <v>710.00859749146</v>
          </cell>
          <cell r="BA57">
            <v>993.918964022153</v>
          </cell>
          <cell r="BB57">
            <v>993.745882577555</v>
          </cell>
          <cell r="BC57">
            <v>993.913847227998</v>
          </cell>
          <cell r="BD57">
            <v>994.058815914209</v>
          </cell>
          <cell r="BE57">
            <v>993.953956196883</v>
          </cell>
          <cell r="BF57">
            <v>993.842870332155</v>
          </cell>
          <cell r="BG57">
            <v>994.063256567733</v>
          </cell>
          <cell r="BH57">
            <v>993.68233906535</v>
          </cell>
          <cell r="BI57">
            <v>1391.42327551711</v>
          </cell>
          <cell r="BJ57">
            <v>1391.42327551711</v>
          </cell>
          <cell r="BK57">
            <v>1391.42327551711</v>
          </cell>
          <cell r="BL57">
            <v>1391.42327551711</v>
          </cell>
          <cell r="BM57">
            <v>1391.42327551711</v>
          </cell>
          <cell r="BN57">
            <v>1391.42327551711</v>
          </cell>
          <cell r="BO57">
            <v>1391.42327551711</v>
          </cell>
          <cell r="BP57">
            <v>1391.42327551711</v>
          </cell>
          <cell r="BQ57">
            <v>1389.2610368</v>
          </cell>
          <cell r="BR57">
            <v>1391.5612928</v>
          </cell>
          <cell r="BS57">
            <v>1391.5612928</v>
          </cell>
          <cell r="BT57">
            <v>1391.5612928</v>
          </cell>
          <cell r="BU57">
            <v>1391.5612928</v>
          </cell>
          <cell r="BV57">
            <v>1391.5612928</v>
          </cell>
          <cell r="BW57">
            <v>1391.5612928</v>
          </cell>
          <cell r="BX57">
            <v>1391.5612928</v>
          </cell>
          <cell r="BY57">
            <v>1391.5612928</v>
          </cell>
          <cell r="BZ57">
            <v>1391.5612928</v>
          </cell>
          <cell r="CA57">
            <v>1391.5612928</v>
          </cell>
        </row>
        <row r="87">
          <cell r="E87">
            <v>0.160521319558839</v>
          </cell>
          <cell r="F87">
            <v>0.152483784365834</v>
          </cell>
          <cell r="G87">
            <v>0.149963134439249</v>
          </cell>
          <cell r="H87">
            <v>0.14600322997015</v>
          </cell>
          <cell r="I87">
            <v>0.14503865344849</v>
          </cell>
          <cell r="J87">
            <v>0.177630620892877</v>
          </cell>
          <cell r="K87">
            <v>0.128954208451167</v>
          </cell>
          <cell r="L87">
            <v>0.103576497868761</v>
          </cell>
          <cell r="M87">
            <v>0.127462531208354</v>
          </cell>
          <cell r="N87">
            <v>0.124360408535276</v>
          </cell>
          <cell r="O87">
            <v>0.132552211084983</v>
          </cell>
          <cell r="P87">
            <v>0.120914488999149</v>
          </cell>
          <cell r="Q87">
            <v>0.127251739335852</v>
          </cell>
          <cell r="R87">
            <v>0.122563596012083</v>
          </cell>
          <cell r="S87">
            <v>0.120787479895051</v>
          </cell>
          <cell r="T87">
            <v>0.125</v>
          </cell>
          <cell r="U87">
            <v>0.125</v>
          </cell>
          <cell r="V87">
            <v>0.125</v>
          </cell>
        </row>
        <row r="87">
          <cell r="AB87">
            <v>0.148912677474085</v>
          </cell>
          <cell r="AC87">
            <v>0.147015323203223</v>
          </cell>
          <cell r="AD87">
            <v>0.146548963970467</v>
          </cell>
          <cell r="AE87">
            <v>0.137188209398034</v>
          </cell>
          <cell r="AF87">
            <v>0.152612547552143</v>
          </cell>
          <cell r="AG87">
            <v>0.171257306419897</v>
          </cell>
          <cell r="AH87">
            <v>0.20844735677873</v>
          </cell>
          <cell r="AI87">
            <v>0.163968346849956</v>
          </cell>
          <cell r="AJ87">
            <v>0.153072475353289</v>
          </cell>
          <cell r="AK87">
            <v>0.156566933396037</v>
          </cell>
          <cell r="AL87">
            <v>0.16671511723412</v>
          </cell>
          <cell r="AM87">
            <v>0</v>
          </cell>
          <cell r="AN87">
            <v>0.137098435123597</v>
          </cell>
          <cell r="AO87">
            <v>0.133666726737342</v>
          </cell>
          <cell r="AP87">
            <v>0.151878421469148</v>
          </cell>
          <cell r="AQ87">
            <v>0.0816699486931444</v>
          </cell>
          <cell r="AR87">
            <v>0.152459865838186</v>
          </cell>
          <cell r="AS87">
            <v>0.151159843111036</v>
          </cell>
          <cell r="AT87">
            <v>0.155409211451699</v>
          </cell>
          <cell r="AU87">
            <v>0.0810504415593305</v>
          </cell>
          <cell r="AV87">
            <v>0.151163624540984</v>
          </cell>
          <cell r="AW87">
            <v>0.148593163893769</v>
          </cell>
          <cell r="AX87">
            <v>0.151179969294576</v>
          </cell>
          <cell r="AY87">
            <v>0.0592405638164022</v>
          </cell>
          <cell r="AZ87">
            <v>0.179492019651413</v>
          </cell>
          <cell r="BA87">
            <v>0.133710085348408</v>
          </cell>
          <cell r="BB87">
            <v>0.0983935574579097</v>
          </cell>
          <cell r="BC87">
            <v>0.126624894264758</v>
          </cell>
          <cell r="BD87">
            <v>0.15254674374566</v>
          </cell>
          <cell r="BE87">
            <v>0.106235954539399</v>
          </cell>
          <cell r="BF87">
            <v>0.110459885968069</v>
          </cell>
          <cell r="BG87">
            <v>0.145120407745757</v>
          </cell>
          <cell r="BH87">
            <v>0.1561624912072</v>
          </cell>
          <cell r="BI87">
            <v>0.0991080105840007</v>
          </cell>
          <cell r="BJ87">
            <v>0.105619906995288</v>
          </cell>
          <cell r="BK87">
            <v>0.144961524761384</v>
          </cell>
          <cell r="BL87">
            <v>0.128448525245555</v>
          </cell>
          <cell r="BM87">
            <v>0.112022636138135</v>
          </cell>
          <cell r="BN87">
            <v>0.121187762584255</v>
          </cell>
          <cell r="BO87">
            <v>0.126556923285272</v>
          </cell>
          <cell r="BP87">
            <v>0.113197581553596</v>
          </cell>
          <cell r="BQ87">
            <v>0.114148747577903</v>
          </cell>
          <cell r="BR87">
            <v>0.083527159978036</v>
          </cell>
          <cell r="BS87">
            <v>0.11</v>
          </cell>
          <cell r="BT87">
            <v>0.125</v>
          </cell>
          <cell r="BU87">
            <v>0.125</v>
          </cell>
          <cell r="BV87">
            <v>0.125</v>
          </cell>
          <cell r="BW87">
            <v>0.125</v>
          </cell>
          <cell r="BX87">
            <v>0.125</v>
          </cell>
          <cell r="BY87">
            <v>0.125</v>
          </cell>
          <cell r="BZ87">
            <v>0.125</v>
          </cell>
          <cell r="CA87">
            <v>0.125</v>
          </cell>
        </row>
        <row r="121">
          <cell r="E121">
            <v>106.83875803</v>
          </cell>
          <cell r="F121">
            <v>98.53904271</v>
          </cell>
          <cell r="G121">
            <v>62.52412164</v>
          </cell>
          <cell r="H121">
            <v>89.89609736</v>
          </cell>
          <cell r="I121">
            <v>79.31808351</v>
          </cell>
          <cell r="J121">
            <v>135.60739867</v>
          </cell>
          <cell r="K121">
            <v>108.06688407</v>
          </cell>
          <cell r="L121">
            <v>237.00026683</v>
          </cell>
          <cell r="M121">
            <v>253.40360322</v>
          </cell>
          <cell r="N121">
            <v>1931.39998619</v>
          </cell>
          <cell r="O121">
            <v>1579.77817945</v>
          </cell>
          <cell r="P121">
            <v>1784.96853053</v>
          </cell>
          <cell r="Q121">
            <v>2515.32317661</v>
          </cell>
          <cell r="R121">
            <v>1600.2691037</v>
          </cell>
          <cell r="S121">
            <v>8155.613938</v>
          </cell>
          <cell r="T121">
            <v>15393.7526700418</v>
          </cell>
          <cell r="U121">
            <v>39089.3118467892</v>
          </cell>
          <cell r="V121">
            <v>57966.2091934597</v>
          </cell>
        </row>
        <row r="122">
          <cell r="E122">
            <v>85.10242322</v>
          </cell>
          <cell r="F122">
            <v>86.14089897</v>
          </cell>
          <cell r="G122">
            <v>146.06796812</v>
          </cell>
          <cell r="H122">
            <v>197.93570764</v>
          </cell>
          <cell r="I122">
            <v>222.84343814</v>
          </cell>
          <cell r="J122">
            <v>292.11326915</v>
          </cell>
          <cell r="K122">
            <v>424.13408351</v>
          </cell>
          <cell r="L122">
            <v>330.83003526</v>
          </cell>
          <cell r="M122">
            <v>311.92776471</v>
          </cell>
          <cell r="N122">
            <v>368.87359536</v>
          </cell>
          <cell r="O122">
            <v>577.20937992</v>
          </cell>
          <cell r="P122">
            <v>695.42809874</v>
          </cell>
          <cell r="Q122">
            <v>741.12715954</v>
          </cell>
          <cell r="R122">
            <v>2549.78917396</v>
          </cell>
          <cell r="S122">
            <v>4441.88254259</v>
          </cell>
          <cell r="T122">
            <v>11450.1871718443</v>
          </cell>
          <cell r="U122">
            <v>13401.6406639102</v>
          </cell>
          <cell r="V122">
            <v>17498.7225290685</v>
          </cell>
        </row>
        <row r="123">
          <cell r="E123">
            <v>72.28068889</v>
          </cell>
          <cell r="F123">
            <v>80.49080207</v>
          </cell>
          <cell r="G123">
            <v>115.46272829</v>
          </cell>
          <cell r="H123">
            <v>124.84103549</v>
          </cell>
          <cell r="I123">
            <v>207.71725451</v>
          </cell>
          <cell r="J123">
            <v>283.69801721</v>
          </cell>
          <cell r="K123">
            <v>433.53856049</v>
          </cell>
          <cell r="L123">
            <v>291.23772835</v>
          </cell>
          <cell r="M123">
            <v>352.13864476</v>
          </cell>
          <cell r="N123">
            <v>971.78565628</v>
          </cell>
          <cell r="O123">
            <v>1526.18234847</v>
          </cell>
          <cell r="P123">
            <v>1469.20358793</v>
          </cell>
          <cell r="Q123">
            <v>963.34819868</v>
          </cell>
          <cell r="R123">
            <v>4132.06724434</v>
          </cell>
          <cell r="S123">
            <v>7234.33346899</v>
          </cell>
          <cell r="T123">
            <v>16127.5980455938</v>
          </cell>
          <cell r="U123">
            <v>17211.6424450331</v>
          </cell>
          <cell r="V123">
            <v>21026.4602885865</v>
          </cell>
        </row>
        <row r="124">
          <cell r="E124">
            <v>7.29104733000003</v>
          </cell>
          <cell r="F124">
            <v>12.59033286</v>
          </cell>
          <cell r="G124">
            <v>11.72395402</v>
          </cell>
          <cell r="H124">
            <v>9.86902248000001</v>
          </cell>
          <cell r="I124">
            <v>14.1234349499999</v>
          </cell>
          <cell r="J124">
            <v>196.69454644</v>
          </cell>
          <cell r="K124">
            <v>51.21182185</v>
          </cell>
          <cell r="L124">
            <v>105.35122193</v>
          </cell>
          <cell r="M124">
            <v>253.55390122</v>
          </cell>
          <cell r="N124">
            <v>235.23815715</v>
          </cell>
          <cell r="O124">
            <v>240.9792827</v>
          </cell>
          <cell r="P124">
            <v>255.76584285</v>
          </cell>
          <cell r="Q124">
            <v>115.61509394</v>
          </cell>
          <cell r="R124">
            <v>643.310084930001</v>
          </cell>
          <cell r="S124">
            <v>684.161735059999</v>
          </cell>
          <cell r="T124">
            <v>36.5428612819596</v>
          </cell>
          <cell r="U124">
            <v>36.5428612819524</v>
          </cell>
          <cell r="V124">
            <v>36.5428612819524</v>
          </cell>
        </row>
        <row r="125">
          <cell r="E125">
            <v>271.51291747</v>
          </cell>
          <cell r="F125">
            <v>277.76107661</v>
          </cell>
          <cell r="G125">
            <v>335.77877207</v>
          </cell>
          <cell r="H125">
            <v>422.54186297</v>
          </cell>
          <cell r="I125">
            <v>524.00221111</v>
          </cell>
          <cell r="J125">
            <v>908.11323147</v>
          </cell>
          <cell r="K125">
            <v>1016.95134992</v>
          </cell>
          <cell r="L125">
            <v>964.41925237</v>
          </cell>
          <cell r="M125">
            <v>1171.02391391</v>
          </cell>
          <cell r="N125">
            <v>3507.29739498</v>
          </cell>
          <cell r="O125">
            <v>3924.14919054</v>
          </cell>
          <cell r="P125">
            <v>4205.36606005</v>
          </cell>
          <cell r="Q125">
            <v>4335.41362877</v>
          </cell>
          <cell r="R125">
            <v>8925.43560693</v>
          </cell>
          <cell r="S125">
            <v>20515.99168464</v>
          </cell>
          <cell r="T125">
            <v>43008.0807487619</v>
          </cell>
          <cell r="U125">
            <v>69739.1378170145</v>
          </cell>
          <cell r="V125">
            <v>96527.9348723967</v>
          </cell>
        </row>
        <row r="127">
          <cell r="E127">
            <v>27.71232909</v>
          </cell>
          <cell r="F127">
            <v>33.34520114</v>
          </cell>
          <cell r="G127">
            <v>128.77974772</v>
          </cell>
          <cell r="H127">
            <v>139.80540317</v>
          </cell>
          <cell r="I127">
            <v>179.35463225</v>
          </cell>
          <cell r="J127">
            <v>285.84733025</v>
          </cell>
          <cell r="K127">
            <v>425.31414436</v>
          </cell>
          <cell r="L127">
            <v>472.77134137</v>
          </cell>
          <cell r="M127">
            <v>531.3193654</v>
          </cell>
          <cell r="N127">
            <v>767.15651826</v>
          </cell>
          <cell r="O127">
            <v>924.02553553</v>
          </cell>
          <cell r="P127">
            <v>1063.15658914</v>
          </cell>
          <cell r="Q127">
            <v>1814.60978006</v>
          </cell>
          <cell r="R127">
            <v>2690.48462853</v>
          </cell>
          <cell r="S127">
            <v>4387.01943529642</v>
          </cell>
          <cell r="T127">
            <v>7557.04158685155</v>
          </cell>
          <cell r="U127">
            <v>9734.45560825889</v>
          </cell>
          <cell r="V127">
            <v>11802.9989285959</v>
          </cell>
        </row>
        <row r="128">
          <cell r="E128">
            <v>-17.6691409</v>
          </cell>
          <cell r="F128">
            <v>-20.4502409</v>
          </cell>
          <cell r="G128">
            <v>-23.2551409</v>
          </cell>
          <cell r="H128">
            <v>-28.52726469</v>
          </cell>
          <cell r="I128">
            <v>-40.59531892</v>
          </cell>
          <cell r="J128">
            <v>-64.46918422</v>
          </cell>
          <cell r="K128">
            <v>-111.1755315</v>
          </cell>
          <cell r="L128">
            <v>-164.30952882</v>
          </cell>
          <cell r="M128">
            <v>-195.46563268</v>
          </cell>
          <cell r="N128">
            <v>-244.12575062</v>
          </cell>
          <cell r="O128">
            <v>-315.17369711</v>
          </cell>
          <cell r="P128">
            <v>-402.13427331</v>
          </cell>
          <cell r="Q128">
            <v>-504.22169202</v>
          </cell>
          <cell r="R128">
            <v>-668.69875</v>
          </cell>
          <cell r="S128">
            <v>-1033.15679709642</v>
          </cell>
          <cell r="T128">
            <v>-1625.61860134947</v>
          </cell>
          <cell r="U128">
            <v>-2456.01781931976</v>
          </cell>
          <cell r="V128">
            <v>-3474.99910977124</v>
          </cell>
        </row>
        <row r="129">
          <cell r="E129">
            <v>10.04318819</v>
          </cell>
          <cell r="F129">
            <v>12.89496024</v>
          </cell>
          <cell r="G129">
            <v>105.52460682</v>
          </cell>
          <cell r="H129">
            <v>111.27813848</v>
          </cell>
          <cell r="I129">
            <v>138.75931333</v>
          </cell>
          <cell r="J129">
            <v>221.37814603</v>
          </cell>
          <cell r="K129">
            <v>314.13861286</v>
          </cell>
          <cell r="L129">
            <v>308.46181255</v>
          </cell>
          <cell r="M129">
            <v>335.85373272</v>
          </cell>
          <cell r="N129">
            <v>523.03076764</v>
          </cell>
          <cell r="O129">
            <v>608.85183842</v>
          </cell>
          <cell r="P129">
            <v>661.02231583</v>
          </cell>
          <cell r="Q129">
            <v>1310.38808804</v>
          </cell>
          <cell r="R129">
            <v>2021.78587853</v>
          </cell>
          <cell r="S129">
            <v>3353.8626382</v>
          </cell>
          <cell r="T129">
            <v>5931.42298550208</v>
          </cell>
          <cell r="U129">
            <v>7278.43778893913</v>
          </cell>
          <cell r="V129">
            <v>8327.99981882462</v>
          </cell>
        </row>
        <row r="130">
          <cell r="E130">
            <v>0.38778088</v>
          </cell>
          <cell r="F130">
            <v>0.28629652</v>
          </cell>
          <cell r="G130">
            <v>5.7639664</v>
          </cell>
          <cell r="H130">
            <v>6.29364029</v>
          </cell>
          <cell r="I130">
            <v>7.57796894</v>
          </cell>
          <cell r="J130">
            <v>7.6308792</v>
          </cell>
          <cell r="K130">
            <v>7.73338524</v>
          </cell>
          <cell r="L130">
            <v>10.09515214</v>
          </cell>
          <cell r="M130">
            <v>11.02134014</v>
          </cell>
          <cell r="N130">
            <v>11.2634222</v>
          </cell>
          <cell r="O130">
            <v>11.91846642</v>
          </cell>
          <cell r="P130">
            <v>195.70064501</v>
          </cell>
          <cell r="Q130">
            <v>234.8211903</v>
          </cell>
          <cell r="R130">
            <v>213.26865312</v>
          </cell>
          <cell r="S130">
            <v>258.160922866128</v>
          </cell>
          <cell r="T130">
            <v>207.7913280952</v>
          </cell>
          <cell r="U130">
            <v>207.7913280952</v>
          </cell>
          <cell r="V130">
            <v>207.7913280952</v>
          </cell>
        </row>
        <row r="131"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-1.42174058</v>
          </cell>
          <cell r="J131">
            <v>-1.83764294</v>
          </cell>
          <cell r="K131">
            <v>-2.25874968</v>
          </cell>
          <cell r="L131">
            <v>-2.93469992</v>
          </cell>
          <cell r="M131">
            <v>-3.80352163</v>
          </cell>
          <cell r="N131">
            <v>-4.66910778</v>
          </cell>
          <cell r="O131">
            <v>-5.59432763</v>
          </cell>
          <cell r="P131">
            <v>-18.53556248</v>
          </cell>
          <cell r="Q131">
            <v>-41.75074598</v>
          </cell>
          <cell r="R131">
            <v>-41.75074598</v>
          </cell>
          <cell r="S131">
            <v>-64.996427476128</v>
          </cell>
          <cell r="T131">
            <v>-84.9877135627981</v>
          </cell>
          <cell r="U131">
            <v>-102.180219597334</v>
          </cell>
          <cell r="V131">
            <v>-116.965774787036</v>
          </cell>
        </row>
        <row r="132">
          <cell r="E132">
            <v>0.38778088</v>
          </cell>
          <cell r="F132">
            <v>0.28629652</v>
          </cell>
          <cell r="G132">
            <v>5.7639664</v>
          </cell>
          <cell r="H132">
            <v>6.29364029</v>
          </cell>
          <cell r="I132">
            <v>6.15622836</v>
          </cell>
          <cell r="J132">
            <v>5.79323626</v>
          </cell>
          <cell r="K132">
            <v>5.47463556</v>
          </cell>
          <cell r="L132">
            <v>7.16045222</v>
          </cell>
          <cell r="M132">
            <v>7.21781851</v>
          </cell>
          <cell r="N132">
            <v>6.59431442</v>
          </cell>
          <cell r="O132">
            <v>6.32413879</v>
          </cell>
          <cell r="P132">
            <v>177.16508253</v>
          </cell>
          <cell r="Q132">
            <v>193.07044432</v>
          </cell>
          <cell r="R132">
            <v>171.51790714</v>
          </cell>
          <cell r="S132">
            <v>193.16449539</v>
          </cell>
          <cell r="T132">
            <v>122.803614532402</v>
          </cell>
          <cell r="U132">
            <v>105.611108497866</v>
          </cell>
          <cell r="V132">
            <v>90.8255533081644</v>
          </cell>
        </row>
        <row r="133"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30</v>
          </cell>
          <cell r="K133">
            <v>49.6026</v>
          </cell>
          <cell r="L133">
            <v>74.1627011</v>
          </cell>
          <cell r="M133">
            <v>42.65011546</v>
          </cell>
          <cell r="N133">
            <v>43.5987468</v>
          </cell>
          <cell r="O133">
            <v>40.55856287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</row>
        <row r="134">
          <cell r="E134">
            <v>1.67899458</v>
          </cell>
          <cell r="F134">
            <v>35.10478297</v>
          </cell>
          <cell r="G134">
            <v>9.50351340000002</v>
          </cell>
          <cell r="H134">
            <v>18.22724731</v>
          </cell>
          <cell r="I134">
            <v>19.085089</v>
          </cell>
          <cell r="J134">
            <v>32.04945083</v>
          </cell>
          <cell r="K134">
            <v>16.1912932299999</v>
          </cell>
          <cell r="L134">
            <v>25.3305095400001</v>
          </cell>
          <cell r="M134">
            <v>108.43698753</v>
          </cell>
          <cell r="N134">
            <v>136.59441901</v>
          </cell>
          <cell r="O134">
            <v>284.3510324</v>
          </cell>
          <cell r="P134">
            <v>832.50803788</v>
          </cell>
          <cell r="Q134">
            <v>601.11139921</v>
          </cell>
          <cell r="R134">
            <v>1147.81046129</v>
          </cell>
          <cell r="S134">
            <v>1818.05235824</v>
          </cell>
          <cell r="T134">
            <v>1818.05235824</v>
          </cell>
          <cell r="U134">
            <v>1818.05235824</v>
          </cell>
          <cell r="V134">
            <v>1818.05235824</v>
          </cell>
        </row>
        <row r="136">
          <cell r="E136">
            <v>283.62288112</v>
          </cell>
          <cell r="F136">
            <v>326.04711634</v>
          </cell>
          <cell r="G136">
            <v>456.57085869</v>
          </cell>
          <cell r="H136">
            <v>558.34088905</v>
          </cell>
          <cell r="I136">
            <v>688.0028418</v>
          </cell>
          <cell r="J136">
            <v>1197.33406459</v>
          </cell>
          <cell r="K136">
            <v>1402.35849157</v>
          </cell>
          <cell r="L136">
            <v>1379.53472778</v>
          </cell>
          <cell r="M136">
            <v>1665.18256813</v>
          </cell>
          <cell r="N136">
            <v>4217.11564285</v>
          </cell>
          <cell r="O136">
            <v>4864.23476302</v>
          </cell>
          <cell r="P136">
            <v>5876.06149629</v>
          </cell>
          <cell r="Q136">
            <v>6439.98356034</v>
          </cell>
          <cell r="R136">
            <v>12266.54985389</v>
          </cell>
          <cell r="S136">
            <v>25881.07117647</v>
          </cell>
          <cell r="T136">
            <v>50880.3597070363</v>
          </cell>
          <cell r="U136">
            <v>78941.2390726915</v>
          </cell>
          <cell r="V136">
            <v>106764.812602769</v>
          </cell>
        </row>
        <row r="138">
          <cell r="E138">
            <v>54.29681295</v>
          </cell>
          <cell r="F138">
            <v>46.50863049</v>
          </cell>
          <cell r="G138">
            <v>75.88395005</v>
          </cell>
          <cell r="H138">
            <v>81.65273673</v>
          </cell>
          <cell r="I138">
            <v>122.17952446</v>
          </cell>
          <cell r="J138">
            <v>143.87786812</v>
          </cell>
          <cell r="K138">
            <v>179.24891039</v>
          </cell>
          <cell r="L138">
            <v>159.52687639</v>
          </cell>
          <cell r="M138">
            <v>210.53010337</v>
          </cell>
          <cell r="N138">
            <v>568.19712602</v>
          </cell>
          <cell r="O138">
            <v>752.30147056</v>
          </cell>
          <cell r="P138">
            <v>605.16260445</v>
          </cell>
          <cell r="Q138">
            <v>632.55517737</v>
          </cell>
          <cell r="R138">
            <v>2844.36950572</v>
          </cell>
          <cell r="S138">
            <v>5275.32826208</v>
          </cell>
          <cell r="T138">
            <v>11413.4924081257</v>
          </cell>
          <cell r="U138">
            <v>12402.7149753093</v>
          </cell>
          <cell r="V138">
            <v>9108.29020965487</v>
          </cell>
        </row>
        <row r="139">
          <cell r="E139">
            <v>17</v>
          </cell>
          <cell r="F139">
            <v>0</v>
          </cell>
          <cell r="G139">
            <v>10</v>
          </cell>
          <cell r="H139">
            <v>5</v>
          </cell>
          <cell r="I139">
            <v>0</v>
          </cell>
          <cell r="J139">
            <v>0</v>
          </cell>
          <cell r="K139">
            <v>21.23851268</v>
          </cell>
          <cell r="L139">
            <v>0</v>
          </cell>
          <cell r="M139">
            <v>0</v>
          </cell>
          <cell r="N139">
            <v>71.56789944</v>
          </cell>
          <cell r="O139">
            <v>0</v>
          </cell>
          <cell r="P139">
            <v>3.14850772</v>
          </cell>
          <cell r="Q139">
            <v>3.77726413</v>
          </cell>
          <cell r="R139">
            <v>3.68320656</v>
          </cell>
          <cell r="S139">
            <v>3.62242457</v>
          </cell>
          <cell r="T139">
            <v>3.62242457</v>
          </cell>
          <cell r="U139">
            <v>3.62242457</v>
          </cell>
          <cell r="V139">
            <v>3.62242457</v>
          </cell>
        </row>
        <row r="140">
          <cell r="E140">
            <v>32.28360002</v>
          </cell>
          <cell r="F140">
            <v>18.33635982</v>
          </cell>
          <cell r="G140">
            <v>23.25414353</v>
          </cell>
          <cell r="H140">
            <v>31.21048578</v>
          </cell>
          <cell r="I140">
            <v>32.29260628</v>
          </cell>
          <cell r="J140">
            <v>51.64175266</v>
          </cell>
          <cell r="K140">
            <v>110.16957199</v>
          </cell>
          <cell r="L140">
            <v>78.49434932</v>
          </cell>
          <cell r="M140">
            <v>115.37312924</v>
          </cell>
          <cell r="N140">
            <v>122.20701458</v>
          </cell>
          <cell r="O140">
            <v>142.0331201</v>
          </cell>
          <cell r="P140">
            <v>323.42105473</v>
          </cell>
          <cell r="Q140">
            <v>231.05449552</v>
          </cell>
          <cell r="R140">
            <v>976.52407152</v>
          </cell>
          <cell r="S140">
            <v>1617.30022397</v>
          </cell>
          <cell r="T140">
            <v>1617.30022397</v>
          </cell>
          <cell r="U140">
            <v>1617.30022397</v>
          </cell>
          <cell r="V140">
            <v>1617.30022397</v>
          </cell>
        </row>
        <row r="141">
          <cell r="E141">
            <v>103.58041297</v>
          </cell>
          <cell r="F141">
            <v>64.84499031</v>
          </cell>
          <cell r="G141">
            <v>109.13809358</v>
          </cell>
          <cell r="H141">
            <v>117.86322251</v>
          </cell>
          <cell r="I141">
            <v>154.47213074</v>
          </cell>
          <cell r="J141">
            <v>195.51962078</v>
          </cell>
          <cell r="K141">
            <v>310.65699506</v>
          </cell>
          <cell r="L141">
            <v>238.02122571</v>
          </cell>
          <cell r="M141">
            <v>325.90323261</v>
          </cell>
          <cell r="N141">
            <v>761.97204004</v>
          </cell>
          <cell r="O141">
            <v>894.33459066</v>
          </cell>
          <cell r="P141">
            <v>931.7321669</v>
          </cell>
          <cell r="Q141">
            <v>867.38693702</v>
          </cell>
          <cell r="R141">
            <v>3824.5767838</v>
          </cell>
          <cell r="S141">
            <v>6896.25091062</v>
          </cell>
          <cell r="T141">
            <v>13034.4150566657</v>
          </cell>
          <cell r="U141">
            <v>14023.6376238493</v>
          </cell>
          <cell r="V141">
            <v>10729.2128581949</v>
          </cell>
        </row>
        <row r="143"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</row>
        <row r="144">
          <cell r="E144">
            <v>0</v>
          </cell>
          <cell r="F144">
            <v>1.7</v>
          </cell>
          <cell r="G144">
            <v>8.57187179</v>
          </cell>
          <cell r="H144">
            <v>9.2182385</v>
          </cell>
          <cell r="I144">
            <v>7.82095493</v>
          </cell>
          <cell r="J144">
            <v>6.26569419</v>
          </cell>
          <cell r="K144">
            <v>3.9895053</v>
          </cell>
          <cell r="L144">
            <v>5.73603853</v>
          </cell>
          <cell r="M144">
            <v>11.2855071</v>
          </cell>
          <cell r="N144">
            <v>11.11620096</v>
          </cell>
          <cell r="O144">
            <v>11.17650091</v>
          </cell>
          <cell r="P144">
            <v>115.16171354</v>
          </cell>
          <cell r="Q144">
            <v>106.61814978</v>
          </cell>
          <cell r="R144">
            <v>113.84325223</v>
          </cell>
          <cell r="S144">
            <v>920.56461435</v>
          </cell>
          <cell r="T144">
            <v>1220.56461435</v>
          </cell>
          <cell r="U144">
            <v>1220.56461435</v>
          </cell>
          <cell r="V144">
            <v>1220.56461435</v>
          </cell>
        </row>
        <row r="145">
          <cell r="E145">
            <v>0</v>
          </cell>
          <cell r="F145">
            <v>1.7</v>
          </cell>
          <cell r="G145">
            <v>8.57187179</v>
          </cell>
          <cell r="H145">
            <v>9.2182385</v>
          </cell>
          <cell r="I145">
            <v>7.82095493</v>
          </cell>
          <cell r="J145">
            <v>6.26569419</v>
          </cell>
          <cell r="K145">
            <v>3.9895053</v>
          </cell>
          <cell r="L145">
            <v>5.73603853</v>
          </cell>
          <cell r="M145">
            <v>11.2855071</v>
          </cell>
          <cell r="N145">
            <v>11.11620096</v>
          </cell>
          <cell r="O145">
            <v>11.17650091</v>
          </cell>
          <cell r="P145">
            <v>115.16171354</v>
          </cell>
          <cell r="Q145">
            <v>106.61814978</v>
          </cell>
          <cell r="R145">
            <v>113.84325223</v>
          </cell>
          <cell r="S145">
            <v>920.56461435</v>
          </cell>
          <cell r="T145">
            <v>1220.56461435</v>
          </cell>
          <cell r="U145">
            <v>1220.56461435</v>
          </cell>
          <cell r="V145">
            <v>1220.56461435</v>
          </cell>
        </row>
        <row r="146">
          <cell r="E146">
            <v>103.58041297</v>
          </cell>
          <cell r="F146">
            <v>66.54499031</v>
          </cell>
          <cell r="G146">
            <v>117.70996537</v>
          </cell>
          <cell r="H146">
            <v>127.08146101</v>
          </cell>
          <cell r="I146">
            <v>162.29308567</v>
          </cell>
          <cell r="J146">
            <v>201.78531497</v>
          </cell>
          <cell r="K146">
            <v>314.64650036</v>
          </cell>
          <cell r="L146">
            <v>243.75726424</v>
          </cell>
          <cell r="M146">
            <v>337.18873971</v>
          </cell>
          <cell r="N146">
            <v>773.088241</v>
          </cell>
          <cell r="O146">
            <v>905.51109157</v>
          </cell>
          <cell r="P146">
            <v>1046.89388044</v>
          </cell>
          <cell r="Q146">
            <v>974.0050868</v>
          </cell>
          <cell r="R146">
            <v>3938.42003603</v>
          </cell>
          <cell r="S146">
            <v>7816.81552497</v>
          </cell>
          <cell r="T146">
            <v>14254.9796710157</v>
          </cell>
          <cell r="U146">
            <v>15244.2022381993</v>
          </cell>
          <cell r="V146">
            <v>11949.7774725449</v>
          </cell>
        </row>
        <row r="153">
          <cell r="E153">
            <v>180.04246815</v>
          </cell>
          <cell r="F153">
            <v>259.50212603</v>
          </cell>
          <cell r="G153">
            <v>338.86089332</v>
          </cell>
          <cell r="H153">
            <v>431.25942804</v>
          </cell>
          <cell r="I153">
            <v>525.70975613</v>
          </cell>
          <cell r="J153">
            <v>995.54874962</v>
          </cell>
          <cell r="K153">
            <v>1087.71199121</v>
          </cell>
          <cell r="L153">
            <v>1135.77746354</v>
          </cell>
          <cell r="M153">
            <v>1327.99382842</v>
          </cell>
          <cell r="N153">
            <v>3444.02740185</v>
          </cell>
          <cell r="O153">
            <v>3958.72367145</v>
          </cell>
          <cell r="P153">
            <v>4829.16761585</v>
          </cell>
          <cell r="Q153">
            <v>5465.97847354</v>
          </cell>
          <cell r="R153">
            <v>8328.12981786</v>
          </cell>
          <cell r="S153">
            <v>17922.92108815</v>
          </cell>
          <cell r="T153">
            <v>36537.4614664407</v>
          </cell>
          <cell r="U153">
            <v>63609.1182649122</v>
          </cell>
          <cell r="V153">
            <v>94727.1165606446</v>
          </cell>
        </row>
        <row r="154"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21.353486980001</v>
          </cell>
          <cell r="T154">
            <v>87.9185695800011</v>
          </cell>
          <cell r="U154">
            <v>87.9185695800011</v>
          </cell>
          <cell r="V154">
            <v>87.9185695800011</v>
          </cell>
        </row>
        <row r="155">
          <cell r="E155">
            <v>180.04246815</v>
          </cell>
          <cell r="F155">
            <v>259.50212603</v>
          </cell>
          <cell r="G155">
            <v>338.86089332</v>
          </cell>
          <cell r="H155">
            <v>431.25942804</v>
          </cell>
          <cell r="I155">
            <v>525.70975613</v>
          </cell>
          <cell r="J155">
            <v>995.54874962</v>
          </cell>
          <cell r="K155">
            <v>1087.71199121</v>
          </cell>
          <cell r="L155">
            <v>1135.77746354</v>
          </cell>
          <cell r="M155">
            <v>1327.99382842</v>
          </cell>
          <cell r="N155">
            <v>3444.02740185</v>
          </cell>
          <cell r="O155">
            <v>3958.72367145</v>
          </cell>
          <cell r="P155">
            <v>4829.16761585</v>
          </cell>
          <cell r="Q155">
            <v>5465.97847354</v>
          </cell>
          <cell r="R155">
            <v>8328.12981786</v>
          </cell>
          <cell r="S155">
            <v>18064.2556515</v>
          </cell>
          <cell r="T155">
            <v>36625.3800360207</v>
          </cell>
          <cell r="U155">
            <v>63697.0368344922</v>
          </cell>
          <cell r="V155">
            <v>94815.0351302246</v>
          </cell>
        </row>
        <row r="156">
          <cell r="E156">
            <v>283.62288112</v>
          </cell>
          <cell r="F156">
            <v>326.04711634</v>
          </cell>
          <cell r="G156">
            <v>456.57085869</v>
          </cell>
          <cell r="H156">
            <v>558.34088905</v>
          </cell>
          <cell r="I156">
            <v>688.0028418</v>
          </cell>
          <cell r="J156">
            <v>1197.33406459</v>
          </cell>
          <cell r="K156">
            <v>1402.35849157</v>
          </cell>
          <cell r="L156">
            <v>1379.53472778</v>
          </cell>
          <cell r="M156">
            <v>1665.18256813</v>
          </cell>
          <cell r="N156">
            <v>4217.11564285</v>
          </cell>
          <cell r="O156">
            <v>4864.23476302</v>
          </cell>
          <cell r="P156">
            <v>5876.06149629</v>
          </cell>
          <cell r="Q156">
            <v>6439.98356034</v>
          </cell>
          <cell r="R156">
            <v>12266.54985389</v>
          </cell>
          <cell r="S156">
            <v>25881.07117647</v>
          </cell>
          <cell r="T156">
            <v>50880.3597070363</v>
          </cell>
          <cell r="U156">
            <v>78941.2390726915</v>
          </cell>
          <cell r="V156">
            <v>106764.812602769</v>
          </cell>
        </row>
        <row r="171">
          <cell r="E171">
            <v>-89.83875803</v>
          </cell>
          <cell r="F171">
            <v>-98.53904271</v>
          </cell>
          <cell r="G171">
            <v>-52.52412164</v>
          </cell>
          <cell r="H171">
            <v>-84.89609736</v>
          </cell>
          <cell r="I171">
            <v>-79.31808351</v>
          </cell>
          <cell r="J171">
            <v>-135.60739867</v>
          </cell>
          <cell r="K171">
            <v>-86.82837139</v>
          </cell>
          <cell r="L171">
            <v>-237.00026683</v>
          </cell>
          <cell r="M171">
            <v>-253.40360322</v>
          </cell>
          <cell r="N171">
            <v>-1859.83208675</v>
          </cell>
          <cell r="O171">
            <v>-1579.77817945</v>
          </cell>
          <cell r="P171">
            <v>-1781.82002281</v>
          </cell>
          <cell r="Q171">
            <v>-2511.54591248</v>
          </cell>
          <cell r="R171">
            <v>-1596.58589714</v>
          </cell>
          <cell r="S171">
            <v>-8151.99151343</v>
          </cell>
          <cell r="T171">
            <v>-15390.1302454718</v>
          </cell>
          <cell r="U171">
            <v>-39085.6894222192</v>
          </cell>
          <cell r="V171">
            <v>-57962.5867688897</v>
          </cell>
        </row>
        <row r="202">
          <cell r="E202">
            <v>52.57478492</v>
          </cell>
          <cell r="F202">
            <v>65.74770788</v>
          </cell>
          <cell r="G202">
            <v>79.35876729</v>
          </cell>
          <cell r="H202">
            <v>92.39853472</v>
          </cell>
          <cell r="I202">
            <v>94.45032809</v>
          </cell>
          <cell r="J202">
            <v>105.28678316</v>
          </cell>
          <cell r="K202">
            <v>111.09090564</v>
          </cell>
          <cell r="L202">
            <v>31.83233359</v>
          </cell>
          <cell r="M202">
            <v>212.85655651</v>
          </cell>
          <cell r="N202">
            <v>491.75840347</v>
          </cell>
          <cell r="O202">
            <v>661.92613905</v>
          </cell>
          <cell r="P202">
            <v>903.58109081</v>
          </cell>
          <cell r="Q202">
            <v>688.36109512</v>
          </cell>
          <cell r="R202">
            <v>2837.81362437</v>
          </cell>
          <cell r="S202">
            <v>9531.92273017</v>
          </cell>
          <cell r="T202">
            <v>20682.8226425452</v>
          </cell>
          <cell r="U202">
            <v>30079.6186649683</v>
          </cell>
          <cell r="V202">
            <v>34575.553661925</v>
          </cell>
        </row>
        <row r="203"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-2.8421709430404e-14</v>
          </cell>
          <cell r="Q203">
            <v>4.2632564145606e-14</v>
          </cell>
          <cell r="R203">
            <v>-1.13686837721616e-13</v>
          </cell>
          <cell r="S203">
            <v>21.353486980001</v>
          </cell>
          <cell r="T203">
            <v>66.5650826000001</v>
          </cell>
          <cell r="U203">
            <v>0</v>
          </cell>
          <cell r="V203">
            <v>0</v>
          </cell>
        </row>
        <row r="204">
          <cell r="E204">
            <v>2.9175</v>
          </cell>
          <cell r="F204">
            <v>2.9064</v>
          </cell>
          <cell r="G204">
            <v>5.50021094</v>
          </cell>
          <cell r="H204">
            <v>12.38681616</v>
          </cell>
          <cell r="I204">
            <v>15.64758284</v>
          </cell>
          <cell r="J204">
            <v>24.31253567</v>
          </cell>
          <cell r="K204">
            <v>47.28339034</v>
          </cell>
          <cell r="L204">
            <v>53.90864989</v>
          </cell>
          <cell r="M204">
            <v>34.85150012</v>
          </cell>
          <cell r="N204">
            <v>50.00692889</v>
          </cell>
          <cell r="O204">
            <v>72.24289647</v>
          </cell>
          <cell r="P204">
            <v>96.98949624</v>
          </cell>
          <cell r="Q204">
            <v>126.17239788</v>
          </cell>
          <cell r="R204">
            <v>210.4841945304</v>
          </cell>
          <cell r="S204">
            <v>387.703728592544</v>
          </cell>
          <cell r="T204">
            <v>612.453090339728</v>
          </cell>
          <cell r="U204">
            <v>847.591724004827</v>
          </cell>
          <cell r="V204">
            <v>1033.76684564118</v>
          </cell>
        </row>
        <row r="205"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-3.1526989</v>
          </cell>
          <cell r="M205">
            <v>-1.31658562</v>
          </cell>
          <cell r="N205">
            <v>0.28141801</v>
          </cell>
          <cell r="O205">
            <v>-3.75628633</v>
          </cell>
          <cell r="P205">
            <v>-1.97634996</v>
          </cell>
          <cell r="Q205">
            <v>2</v>
          </cell>
          <cell r="R205">
            <v>10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</row>
        <row r="206"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0.0014594</v>
          </cell>
          <cell r="L206">
            <v>-0.00519486</v>
          </cell>
          <cell r="M206">
            <v>-0.23568619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</row>
        <row r="207">
          <cell r="E207">
            <v>-103.08629916</v>
          </cell>
          <cell r="F207">
            <v>-17.03677139</v>
          </cell>
          <cell r="G207">
            <v>-65.52367581</v>
          </cell>
          <cell r="H207">
            <v>-55.47726004</v>
          </cell>
          <cell r="I207">
            <v>-67.25716179</v>
          </cell>
          <cell r="J207">
            <v>-123.55225005</v>
          </cell>
          <cell r="K207">
            <v>-246.49031537</v>
          </cell>
          <cell r="L207">
            <v>215.88284639</v>
          </cell>
          <cell r="M207">
            <v>9.00458112000007</v>
          </cell>
          <cell r="N207">
            <v>-318.92581952</v>
          </cell>
          <cell r="O207">
            <v>-578.62813221</v>
          </cell>
          <cell r="P207">
            <v>-208.37882439</v>
          </cell>
          <cell r="Q207">
            <v>487.54890137</v>
          </cell>
          <cell r="R207">
            <v>-2765.56673173</v>
          </cell>
          <cell r="S207">
            <v>-2563.40083692</v>
          </cell>
          <cell r="T207">
            <v>-9763.4050598124</v>
          </cell>
          <cell r="U207">
            <v>-2046.27532432164</v>
          </cell>
          <cell r="V207">
            <v>-11206.3244743661</v>
          </cell>
        </row>
        <row r="211">
          <cell r="E211">
            <v>93.85811424</v>
          </cell>
          <cell r="F211">
            <v>-5.68173649000004</v>
          </cell>
          <cell r="G211">
            <v>7.40728012000004</v>
          </cell>
          <cell r="H211">
            <v>7.90599025999995</v>
          </cell>
          <cell r="I211">
            <v>-10.16713292</v>
          </cell>
          <cell r="J211">
            <v>0.268359509999939</v>
          </cell>
          <cell r="K211">
            <v>15.1783859600001</v>
          </cell>
          <cell r="L211">
            <v>22.16080594</v>
          </cell>
          <cell r="M211">
            <v>-145.68445148</v>
          </cell>
          <cell r="N211">
            <v>-68.6877460399999</v>
          </cell>
          <cell r="O211">
            <v>66.7472065899999</v>
          </cell>
          <cell r="P211">
            <v>41.1367991599998</v>
          </cell>
          <cell r="Q211">
            <v>-58.0975849099998</v>
          </cell>
          <cell r="R211">
            <v>348.1990584096</v>
          </cell>
          <cell r="S211">
            <v>323.655542177456</v>
          </cell>
          <cell r="T211">
            <v>0</v>
          </cell>
          <cell r="U211">
            <v>0</v>
          </cell>
          <cell r="V211">
            <v>0</v>
          </cell>
        </row>
        <row r="212">
          <cell r="E212">
            <v>46.2641</v>
          </cell>
          <cell r="F212">
            <v>45.9356</v>
          </cell>
          <cell r="G212">
            <v>26.74258254</v>
          </cell>
          <cell r="H212">
            <v>57.2140811</v>
          </cell>
          <cell r="I212">
            <v>32.67361622</v>
          </cell>
          <cell r="J212">
            <v>6.31542829</v>
          </cell>
          <cell r="K212">
            <v>-72.93617403</v>
          </cell>
          <cell r="L212">
            <v>320.62674205</v>
          </cell>
          <cell r="M212">
            <v>109.47591446</v>
          </cell>
          <cell r="N212">
            <v>154.43318481</v>
          </cell>
          <cell r="O212">
            <v>218.53182357</v>
          </cell>
          <cell r="P212">
            <v>831.35221186</v>
          </cell>
          <cell r="Q212">
            <v>1245.98480946</v>
          </cell>
          <cell r="R212">
            <v>640.93014558</v>
          </cell>
          <cell r="S212">
            <v>7701.234651</v>
          </cell>
          <cell r="T212">
            <v>11598.4357556725</v>
          </cell>
          <cell r="U212">
            <v>28880.9350646515</v>
          </cell>
          <cell r="V212">
            <v>24402.9960332001</v>
          </cell>
        </row>
        <row r="214">
          <cell r="E214">
            <v>-5.03358718</v>
          </cell>
          <cell r="F214">
            <v>-39.01859826</v>
          </cell>
          <cell r="G214">
            <v>-74.19091972</v>
          </cell>
          <cell r="H214">
            <v>-28.24924452</v>
          </cell>
          <cell r="I214">
            <v>-37.63873224</v>
          </cell>
          <cell r="J214">
            <v>-130.77671301</v>
          </cell>
          <cell r="K214">
            <v>-135.73533282</v>
          </cell>
          <cell r="L214">
            <v>-68.77890037</v>
          </cell>
          <cell r="M214">
            <v>-99.13486822</v>
          </cell>
          <cell r="N214">
            <v>-290.64016386</v>
          </cell>
          <cell r="O214">
            <v>-273.49673873</v>
          </cell>
          <cell r="P214">
            <v>-364.71799399</v>
          </cell>
          <cell r="Q214">
            <v>-554.30905704</v>
          </cell>
          <cell r="R214">
            <v>-1476.33800926</v>
          </cell>
          <cell r="S214">
            <v>-1993.056312501</v>
          </cell>
          <cell r="T214">
            <v>-2292.01475937615</v>
          </cell>
          <cell r="U214">
            <v>-2177.41402140734</v>
          </cell>
          <cell r="V214">
            <v>-2068.54332033697</v>
          </cell>
        </row>
        <row r="215"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-124.66449821</v>
          </cell>
          <cell r="Q215">
            <v>-63.80098772</v>
          </cell>
          <cell r="R215">
            <v>-27.73212881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</row>
        <row r="216">
          <cell r="E216">
            <v>0.335715060000002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-195</v>
          </cell>
          <cell r="K216">
            <v>124.7446</v>
          </cell>
          <cell r="L216">
            <v>-86.6656</v>
          </cell>
          <cell r="M216">
            <v>50.296</v>
          </cell>
          <cell r="N216">
            <v>29.9</v>
          </cell>
          <cell r="O216">
            <v>4.9741</v>
          </cell>
          <cell r="P216">
            <v>-155.5763905</v>
          </cell>
          <cell r="Q216">
            <v>157.9179</v>
          </cell>
          <cell r="R216">
            <v>6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</row>
        <row r="217">
          <cell r="E217">
            <v>-1.99519231</v>
          </cell>
          <cell r="F217">
            <v>3.00157954</v>
          </cell>
          <cell r="G217">
            <v>-3</v>
          </cell>
          <cell r="H217">
            <v>1.00367521</v>
          </cell>
          <cell r="I217">
            <v>0</v>
          </cell>
          <cell r="J217">
            <v>3.80640057000002</v>
          </cell>
          <cell r="K217">
            <v>1.95283970999999</v>
          </cell>
          <cell r="L217">
            <v>2.53012192999999</v>
          </cell>
          <cell r="M217">
            <v>3.46206425</v>
          </cell>
          <cell r="N217">
            <v>4.43695890000001</v>
          </cell>
          <cell r="O217">
            <v>8.59871506000004</v>
          </cell>
          <cell r="P217">
            <v>5.29622715000005</v>
          </cell>
          <cell r="Q217">
            <v>10.60185142</v>
          </cell>
          <cell r="R217">
            <v>1.05600000000009</v>
          </cell>
          <cell r="S217">
            <v>633.628805741</v>
          </cell>
          <cell r="T217">
            <v>0</v>
          </cell>
          <cell r="U217">
            <v>0</v>
          </cell>
          <cell r="V217">
            <v>0</v>
          </cell>
        </row>
        <row r="218">
          <cell r="E218">
            <v>-6.69306443</v>
          </cell>
          <cell r="F218">
            <v>-36.01701872</v>
          </cell>
          <cell r="G218">
            <v>-77.19091972</v>
          </cell>
          <cell r="H218">
            <v>-27.24556931</v>
          </cell>
          <cell r="I218">
            <v>-37.63873224</v>
          </cell>
          <cell r="J218">
            <v>-321.97031244</v>
          </cell>
          <cell r="K218">
            <v>-9.03789311</v>
          </cell>
          <cell r="L218">
            <v>-152.91437844</v>
          </cell>
          <cell r="M218">
            <v>-45.37680397</v>
          </cell>
          <cell r="N218">
            <v>-256.30320496</v>
          </cell>
          <cell r="O218">
            <v>-259.92392367</v>
          </cell>
          <cell r="P218">
            <v>-639.66265555</v>
          </cell>
          <cell r="Q218">
            <v>-449.59029334</v>
          </cell>
          <cell r="R218">
            <v>-1497.01413807</v>
          </cell>
          <cell r="S218">
            <v>-1359.42750676</v>
          </cell>
          <cell r="T218">
            <v>-2292.01475937615</v>
          </cell>
          <cell r="U218">
            <v>-2177.41402140734</v>
          </cell>
          <cell r="V218">
            <v>-2068.54332033697</v>
          </cell>
        </row>
        <row r="220"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-27.47131305</v>
          </cell>
          <cell r="L220">
            <v>-28.78124085</v>
          </cell>
          <cell r="M220">
            <v>-28.5927</v>
          </cell>
          <cell r="N220">
            <v>-42.8539046</v>
          </cell>
          <cell r="O220">
            <v>-98.89333993</v>
          </cell>
          <cell r="P220">
            <v>-57.17949382</v>
          </cell>
          <cell r="Q220">
            <v>-63.89233439</v>
          </cell>
          <cell r="R220">
            <v>-109.86503106</v>
          </cell>
          <cell r="S220">
            <v>-953.192273017</v>
          </cell>
          <cell r="T220">
            <v>-2068.28226425452</v>
          </cell>
          <cell r="U220">
            <v>-3007.96186649683</v>
          </cell>
          <cell r="V220">
            <v>-3457.5553661925</v>
          </cell>
        </row>
        <row r="221">
          <cell r="E221">
            <v>55.5882</v>
          </cell>
          <cell r="F221">
            <v>2.6118</v>
          </cell>
          <cell r="G221">
            <v>0</v>
          </cell>
          <cell r="H221">
            <v>0</v>
          </cell>
          <cell r="I221">
            <v>0</v>
          </cell>
          <cell r="J221">
            <v>19.4</v>
          </cell>
          <cell r="K221">
            <v>160.1425</v>
          </cell>
          <cell r="L221">
            <v>0.620000000000005</v>
          </cell>
          <cell r="M221">
            <v>-1.90335000000002</v>
          </cell>
          <cell r="N221">
            <v>125.745316</v>
          </cell>
          <cell r="O221">
            <v>144.881753</v>
          </cell>
          <cell r="P221">
            <v>0</v>
          </cell>
          <cell r="Q221">
            <v>202.832807</v>
          </cell>
          <cell r="R221">
            <v>-1.11237400000005</v>
          </cell>
          <cell r="S221">
            <v>285.20266</v>
          </cell>
          <cell r="T221">
            <v>0</v>
          </cell>
          <cell r="U221">
            <v>0</v>
          </cell>
          <cell r="V221">
            <v>0</v>
          </cell>
        </row>
        <row r="222">
          <cell r="E222">
            <v>17</v>
          </cell>
          <cell r="F222">
            <v>-17</v>
          </cell>
          <cell r="G222">
            <v>10</v>
          </cell>
          <cell r="H222">
            <v>-5</v>
          </cell>
          <cell r="I222">
            <v>-5</v>
          </cell>
          <cell r="J222">
            <v>0</v>
          </cell>
          <cell r="K222">
            <v>21.23851268</v>
          </cell>
          <cell r="L222">
            <v>-21.23851268</v>
          </cell>
          <cell r="M222">
            <v>0</v>
          </cell>
          <cell r="N222">
            <v>71.56789944</v>
          </cell>
          <cell r="O222">
            <v>-71.56789944</v>
          </cell>
          <cell r="P222">
            <v>3.14850772</v>
          </cell>
          <cell r="Q222">
            <v>0.62875641</v>
          </cell>
          <cell r="R222">
            <v>-0.0940575699999999</v>
          </cell>
          <cell r="S222">
            <v>-0.0607819899999997</v>
          </cell>
          <cell r="T222">
            <v>0</v>
          </cell>
          <cell r="U222">
            <v>0</v>
          </cell>
          <cell r="V222">
            <v>0</v>
          </cell>
        </row>
        <row r="223"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</row>
        <row r="224"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</row>
        <row r="225">
          <cell r="E225">
            <v>-15.21420893</v>
          </cell>
          <cell r="F225">
            <v>-3.58225444</v>
          </cell>
          <cell r="G225">
            <v>4.85562111</v>
          </cell>
          <cell r="H225">
            <v>-6.75238333</v>
          </cell>
          <cell r="I225">
            <v>7.96823125</v>
          </cell>
          <cell r="J225">
            <v>350.48549882</v>
          </cell>
          <cell r="K225">
            <v>-118.97237114</v>
          </cell>
          <cell r="L225">
            <v>25.93161158</v>
          </cell>
          <cell r="M225">
            <v>-21.28542743</v>
          </cell>
          <cell r="N225">
            <v>1510.19409616</v>
          </cell>
          <cell r="O225">
            <v>-192.99901367</v>
          </cell>
          <cell r="P225">
            <v>15.05688074</v>
          </cell>
          <cell r="Q225">
            <v>-206.80177798</v>
          </cell>
          <cell r="R225">
            <v>-12.3502427799999</v>
          </cell>
          <cell r="S225">
            <v>471.119050837</v>
          </cell>
        </row>
        <row r="226">
          <cell r="E226">
            <v>57.37399107</v>
          </cell>
          <cell r="F226">
            <v>-17.97045444</v>
          </cell>
          <cell r="G226">
            <v>14.85562111</v>
          </cell>
          <cell r="H226">
            <v>-11.75238333</v>
          </cell>
          <cell r="I226">
            <v>2.96823125</v>
          </cell>
          <cell r="J226">
            <v>369.88549882</v>
          </cell>
          <cell r="K226">
            <v>34.93732849</v>
          </cell>
          <cell r="L226">
            <v>-23.46814195</v>
          </cell>
          <cell r="M226">
            <v>-51.78147743</v>
          </cell>
          <cell r="N226">
            <v>1664.653407</v>
          </cell>
          <cell r="O226">
            <v>-218.57850004</v>
          </cell>
          <cell r="P226">
            <v>-38.97410536</v>
          </cell>
          <cell r="Q226">
            <v>-67.23254896</v>
          </cell>
          <cell r="R226">
            <v>-123.42170541</v>
          </cell>
          <cell r="S226">
            <v>-196.93134417</v>
          </cell>
          <cell r="T226">
            <v>-2068.28226425452</v>
          </cell>
          <cell r="U226">
            <v>-3007.96186649683</v>
          </cell>
          <cell r="V226">
            <v>-3457.5553661925</v>
          </cell>
        </row>
        <row r="228">
          <cell r="E228">
            <v>-0.33290181</v>
          </cell>
          <cell r="F228">
            <v>-0.24784946</v>
          </cell>
          <cell r="G228">
            <v>-0.422205</v>
          </cell>
          <cell r="H228">
            <v>0.10404726</v>
          </cell>
          <cell r="I228">
            <v>-0.23932908</v>
          </cell>
          <cell r="J228">
            <v>2.07824531</v>
          </cell>
          <cell r="K228">
            <v>-1.68337204</v>
          </cell>
          <cell r="L228">
            <v>6.29913517</v>
          </cell>
          <cell r="M228">
            <v>3.82320449</v>
          </cell>
          <cell r="N228">
            <v>-0.29737129</v>
          </cell>
          <cell r="O228">
            <v>-6.24773906</v>
          </cell>
          <cell r="P228">
            <v>43.08048543</v>
          </cell>
          <cell r="Q228">
            <v>24.86234028</v>
          </cell>
          <cell r="R228">
            <v>15.70463843</v>
          </cell>
          <cell r="S228">
            <v>186.30037023</v>
          </cell>
          <cell r="T228">
            <v>0</v>
          </cell>
          <cell r="U228">
            <v>0</v>
          </cell>
          <cell r="V228">
            <v>0</v>
          </cell>
        </row>
        <row r="229">
          <cell r="E229">
            <v>10.2266332</v>
          </cell>
          <cell r="F229">
            <v>7.29999997695074e-6</v>
          </cell>
          <cell r="G229">
            <v>0</v>
          </cell>
          <cell r="H229">
            <v>9.0518</v>
          </cell>
          <cell r="I229">
            <v>-8.34179999999999</v>
          </cell>
          <cell r="J229">
            <v>-0.0195448200000499</v>
          </cell>
          <cell r="K229">
            <v>21.17959609</v>
          </cell>
          <cell r="L229">
            <v>-21.60997407</v>
          </cell>
          <cell r="M229">
            <v>0.262498839999992</v>
          </cell>
          <cell r="N229">
            <v>115.51036741</v>
          </cell>
          <cell r="O229">
            <v>-85.40346754</v>
          </cell>
          <cell r="P229">
            <v>9.39441469999974</v>
          </cell>
          <cell r="Q229">
            <v>-23.6696613599996</v>
          </cell>
          <cell r="R229">
            <v>48.7469865599995</v>
          </cell>
          <cell r="S229">
            <v>224.168664</v>
          </cell>
          <cell r="T229">
            <v>0</v>
          </cell>
          <cell r="U229">
            <v>0</v>
          </cell>
          <cell r="V229">
            <v>0</v>
          </cell>
        </row>
        <row r="230">
          <cell r="E230">
            <v>106.83875803</v>
          </cell>
          <cell r="F230">
            <v>-8.29971532000002</v>
          </cell>
          <cell r="G230">
            <v>-36.01492107</v>
          </cell>
          <cell r="H230">
            <v>27.37197572</v>
          </cell>
          <cell r="I230">
            <v>-10.57801385</v>
          </cell>
          <cell r="J230">
            <v>56.28931516</v>
          </cell>
          <cell r="K230">
            <v>-27.5405146</v>
          </cell>
          <cell r="L230">
            <v>128.93338276</v>
          </cell>
          <cell r="M230">
            <v>16.40333639</v>
          </cell>
          <cell r="N230">
            <v>1677.99638297</v>
          </cell>
          <cell r="O230">
            <v>-351.62180674</v>
          </cell>
          <cell r="P230">
            <v>205.19035108</v>
          </cell>
          <cell r="Q230">
            <v>730.35464608</v>
          </cell>
          <cell r="R230">
            <v>-915.05407291</v>
          </cell>
          <cell r="S230">
            <v>6555.3448343</v>
          </cell>
          <cell r="T230">
            <v>7238.13873204182</v>
          </cell>
          <cell r="U230">
            <v>23695.5591767473</v>
          </cell>
          <cell r="V230">
            <v>18876.8973466706</v>
          </cell>
        </row>
      </sheetData>
      <sheetData sheetId="2" refreshError="1"/>
      <sheetData sheetId="3" refreshError="1"/>
      <sheetData sheetId="4" refreshError="1"/>
      <sheetData sheetId="5" refreshError="1"/>
      <sheetData sheetId="6">
        <row r="4">
          <cell r="B4">
            <v>633.403826420853</v>
          </cell>
        </row>
      </sheetData>
      <sheetData sheetId="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GIR Exhibits">
      <a:dk1>
        <a:srgbClr val="000000"/>
      </a:dk1>
      <a:lt1>
        <a:sysClr val="window" lastClr="FFFFFF"/>
      </a:lt1>
      <a:dk2>
        <a:srgbClr val="BE3232"/>
      </a:dk2>
      <a:lt2>
        <a:srgbClr val="F67F26"/>
      </a:lt2>
      <a:accent1>
        <a:srgbClr val="00355F"/>
      </a:accent1>
      <a:accent2>
        <a:srgbClr val="ACD4F1"/>
      </a:accent2>
      <a:accent3>
        <a:srgbClr val="A5A5A5"/>
      </a:accent3>
      <a:accent4>
        <a:srgbClr val="7399C6"/>
      </a:accent4>
      <a:accent5>
        <a:srgbClr val="078549"/>
      </a:accent5>
      <a:accent6>
        <a:srgbClr val="8BC346"/>
      </a:accent6>
      <a:hlink>
        <a:srgbClr val="7399C6"/>
      </a:hlink>
      <a:folHlink>
        <a:srgbClr val="A5A5A5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4.bin"/><Relationship Id="rId1" Type="http://schemas.openxmlformats.org/officeDocument/2006/relationships/customProperty" Target="../customProperty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B1:I25"/>
  <sheetViews>
    <sheetView showGridLines="0" tabSelected="1" workbookViewId="0">
      <selection activeCell="E17" sqref="E17"/>
    </sheetView>
  </sheetViews>
  <sheetFormatPr defaultColWidth="9.64285714285714" defaultRowHeight="0" customHeight="1" zeroHeight="1"/>
  <cols>
    <col min="1" max="1" width="2.57142857142857" style="517" customWidth="1"/>
    <col min="2" max="2" width="74.1428571428571" style="517" customWidth="1"/>
    <col min="3" max="3" width="18.4285714285714" style="517" customWidth="1"/>
    <col min="4" max="9" width="9.28571428571429" style="517" customWidth="1"/>
    <col min="10" max="10" width="2.57142857142857" style="517" customWidth="1"/>
    <col min="11" max="21" width="9.28571428571429" style="517" hidden="1" customWidth="1"/>
    <col min="22" max="16384" width="9.28571428571429" style="517" hidden="1"/>
  </cols>
  <sheetData>
    <row r="1" ht="5.1" customHeight="1"/>
    <row r="2" ht="18" customHeight="1"/>
    <row r="3" ht="18" customHeight="1"/>
    <row r="4" ht="18" customHeight="1" spans="2:2">
      <c r="B4" s="518" t="s">
        <v>0</v>
      </c>
    </row>
    <row r="5" ht="5.1" customHeight="1"/>
    <row r="6" ht="18" customHeight="1" spans="2:9">
      <c r="B6" s="527" t="s">
        <v>1</v>
      </c>
      <c r="C6" s="519"/>
      <c r="D6" s="519"/>
      <c r="E6" s="519"/>
      <c r="F6" s="519"/>
      <c r="G6" s="519"/>
      <c r="H6" s="519"/>
      <c r="I6" s="519"/>
    </row>
    <row r="7" ht="18" customHeight="1" spans="2:3">
      <c r="B7" s="520" t="s">
        <v>2</v>
      </c>
      <c r="C7" s="521" t="s">
        <v>3</v>
      </c>
    </row>
    <row r="8" ht="18" customHeight="1" spans="2:3">
      <c r="B8" s="520" t="s">
        <v>4</v>
      </c>
      <c r="C8" s="521" t="s">
        <v>5</v>
      </c>
    </row>
    <row r="9" ht="18" customHeight="1" spans="2:3">
      <c r="B9" s="520" t="s">
        <v>6</v>
      </c>
      <c r="C9" s="521">
        <v>3</v>
      </c>
    </row>
    <row r="10" ht="18" customHeight="1" spans="2:3">
      <c r="B10" s="520" t="s">
        <v>7</v>
      </c>
      <c r="C10" s="522">
        <v>105054.355234</v>
      </c>
    </row>
    <row r="11" ht="18" customHeight="1" spans="2:3">
      <c r="B11" s="520" t="s">
        <v>8</v>
      </c>
      <c r="C11" s="522">
        <f>Model!BT56</f>
        <v>1391.5612928</v>
      </c>
    </row>
    <row r="12" ht="18" customHeight="1" spans="2:3">
      <c r="B12" s="520" t="s">
        <v>9</v>
      </c>
      <c r="C12" s="521" t="s">
        <v>10</v>
      </c>
    </row>
    <row r="13" ht="18" customHeight="1" spans="2:3">
      <c r="B13" s="520" t="s">
        <v>11</v>
      </c>
      <c r="C13" s="523">
        <v>46223</v>
      </c>
    </row>
    <row r="14" ht="18" customHeight="1" spans="2:3">
      <c r="B14" s="520" t="s">
        <v>12</v>
      </c>
      <c r="C14" s="523">
        <v>46210</v>
      </c>
    </row>
    <row r="15" ht="5.1" customHeight="1"/>
    <row r="16" ht="18" customHeight="1" spans="2:9">
      <c r="B16" s="527" t="s">
        <v>13</v>
      </c>
      <c r="C16" s="519"/>
      <c r="D16" s="519"/>
      <c r="E16" s="519"/>
      <c r="F16" s="519"/>
      <c r="G16" s="519"/>
      <c r="H16" s="519"/>
      <c r="I16" s="519"/>
    </row>
    <row r="17" ht="18" customHeight="1" spans="2:2">
      <c r="B17" s="524" t="s">
        <v>14</v>
      </c>
    </row>
    <row r="18" ht="18" customHeight="1" spans="2:2">
      <c r="B18" s="525" t="s">
        <v>15</v>
      </c>
    </row>
    <row r="19" ht="18" customHeight="1" spans="2:2">
      <c r="B19" s="526" t="s">
        <v>16</v>
      </c>
    </row>
    <row r="20" ht="18" customHeight="1" spans="2:2">
      <c r="B20" s="526" t="s">
        <v>17</v>
      </c>
    </row>
    <row r="21" ht="18" customHeight="1" spans="2:2">
      <c r="B21" s="526"/>
    </row>
    <row r="22" ht="18" customHeight="1"/>
    <row r="23" ht="18" customHeight="1"/>
    <row r="24" ht="18" customHeight="1"/>
    <row r="25" ht="18" customHeight="1"/>
  </sheetData>
  <mergeCells count="2">
    <mergeCell ref="B6:I6"/>
    <mergeCell ref="B16:I16"/>
  </mergeCells>
  <dataValidations count="2">
    <dataValidation type="list" allowBlank="1" showInputMessage="1" showErrorMessage="1" sqref="C9">
      <formula1>"1, 2, 3"</formula1>
    </dataValidation>
    <dataValidation type="list" allowBlank="1" showInputMessage="1" showErrorMessage="1" sqref="C7">
      <formula1>"Buy, Sell, Neutral, Not Rated, Rating Suspended"</formula1>
    </dataValidation>
  </dataValidations>
  <pageMargins left="0.699305555555556" right="0.699305555555556" top="0.75" bottom="0.75" header="0.3" footer="0.3"/>
  <pageSetup paperSize="9" orientation="portrait" horizontalDpi="300" verticalDpi="300"/>
  <headerFooter/>
  <customProperties>
    <customPr name="Qube.Worksheet.Visibility" r:id="rId2"/>
  </customPropertie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outlinePr summaryBelow="0"/>
  </sheetPr>
  <dimension ref="A1:BX298"/>
  <sheetViews>
    <sheetView showGridLines="0" workbookViewId="0">
      <selection activeCell="F47" sqref="F47"/>
    </sheetView>
  </sheetViews>
  <sheetFormatPr defaultColWidth="9.64285714285714" defaultRowHeight="12.75"/>
  <cols>
    <col min="1" max="1" width="2.71428571428571" customWidth="1"/>
    <col min="2" max="2" width="25.7142857142857" customWidth="1"/>
    <col min="3" max="3" width="20.7142857142857" customWidth="1"/>
    <col min="4" max="4" width="8.71428571428571" customWidth="1"/>
    <col min="5" max="5" width="9.14285714285714" style="496"/>
    <col min="6" max="23" width="11.4285714285714" style="496" customWidth="1"/>
    <col min="24" max="24" width="9.14285714285714" style="496"/>
    <col min="25" max="25" width="11.2857142857143" style="496" customWidth="1" outlineLevel="1"/>
    <col min="26" max="26" width="11" style="496" customWidth="1" outlineLevel="1"/>
    <col min="27" max="27" width="11.4285714285714" style="496" customWidth="1" outlineLevel="1"/>
    <col min="28" max="28" width="11.4285714285714" style="496" customWidth="1"/>
    <col min="29" max="29" width="11.2857142857143" style="496" customWidth="1" outlineLevel="1"/>
    <col min="30" max="30" width="11" style="496" customWidth="1" outlineLevel="1"/>
    <col min="31" max="31" width="11.4285714285714" style="496" customWidth="1" outlineLevel="1"/>
    <col min="32" max="32" width="11.4285714285714" style="496" customWidth="1"/>
    <col min="33" max="33" width="11.2857142857143" style="496" customWidth="1" outlineLevel="1"/>
    <col min="34" max="34" width="11" style="496" customWidth="1" outlineLevel="1"/>
    <col min="35" max="35" width="11.4285714285714" style="496" customWidth="1" outlineLevel="1"/>
    <col min="36" max="36" width="11.4285714285714" style="496" customWidth="1"/>
    <col min="37" max="37" width="11.2857142857143" style="496" customWidth="1" outlineLevel="1"/>
    <col min="38" max="38" width="11" style="496" customWidth="1" outlineLevel="1"/>
    <col min="39" max="39" width="11.4285714285714" style="496" customWidth="1" outlineLevel="1"/>
    <col min="40" max="40" width="11.4285714285714" style="496" customWidth="1"/>
    <col min="41" max="41" width="11.2857142857143" style="496" customWidth="1" outlineLevel="1"/>
    <col min="42" max="42" width="11" style="496" customWidth="1" outlineLevel="1"/>
    <col min="43" max="43" width="11.4285714285714" style="496" customWidth="1" outlineLevel="1"/>
    <col min="44" max="44" width="11.4285714285714" style="496" customWidth="1"/>
    <col min="45" max="45" width="11.2857142857143" style="496" customWidth="1" outlineLevel="1"/>
    <col min="46" max="46" width="11" style="496" customWidth="1" outlineLevel="1"/>
    <col min="47" max="47" width="11.4285714285714" style="496" customWidth="1" outlineLevel="1"/>
    <col min="48" max="48" width="11.4285714285714" style="496" customWidth="1"/>
    <col min="49" max="49" width="11.2857142857143" style="496" customWidth="1" outlineLevel="1"/>
    <col min="50" max="50" width="11" style="496" customWidth="1" outlineLevel="1"/>
    <col min="51" max="51" width="11.4285714285714" style="496" customWidth="1" outlineLevel="1"/>
    <col min="52" max="52" width="11.4285714285714" style="496" customWidth="1"/>
    <col min="53" max="53" width="11.2857142857143" style="496" customWidth="1" outlineLevel="1"/>
    <col min="54" max="54" width="11" style="496" customWidth="1" outlineLevel="1"/>
    <col min="55" max="55" width="11.4285714285714" style="496" customWidth="1" outlineLevel="1"/>
    <col min="56" max="56" width="11.4285714285714" style="496" customWidth="1"/>
    <col min="57" max="57" width="11.2857142857143" style="496" customWidth="1" outlineLevel="1"/>
    <col min="58" max="58" width="11" style="496" customWidth="1" outlineLevel="1"/>
    <col min="59" max="59" width="11.4285714285714" style="496" customWidth="1" outlineLevel="1"/>
    <col min="60" max="60" width="11.4285714285714" style="496" customWidth="1"/>
    <col min="61" max="61" width="11.2857142857143" style="496" customWidth="1" outlineLevel="1"/>
    <col min="62" max="62" width="11" style="496" customWidth="1" outlineLevel="1"/>
    <col min="63" max="63" width="11.4285714285714" style="496" customWidth="1" outlineLevel="1"/>
    <col min="64" max="64" width="11.4285714285714" style="496" customWidth="1"/>
    <col min="65" max="65" width="11.2857142857143" style="496" customWidth="1" outlineLevel="1"/>
    <col min="66" max="66" width="11" style="496" customWidth="1" outlineLevel="1"/>
    <col min="67" max="67" width="11.4285714285714" style="496" customWidth="1" outlineLevel="1"/>
    <col min="68" max="68" width="11.4285714285714" style="496" customWidth="1"/>
    <col min="69" max="69" width="11.2857142857143" style="496" customWidth="1" outlineLevel="1"/>
    <col min="70" max="70" width="11" style="496" customWidth="1" outlineLevel="1"/>
    <col min="71" max="71" width="11.4285714285714" style="496" customWidth="1" outlineLevel="1"/>
    <col min="72" max="72" width="11.4285714285714" style="496" customWidth="1"/>
    <col min="73" max="73" width="11.2857142857143" style="496" customWidth="1" outlineLevel="1"/>
    <col min="74" max="74" width="11" style="496" customWidth="1" outlineLevel="1"/>
    <col min="75" max="75" width="11.4285714285714" style="496" customWidth="1" outlineLevel="1"/>
    <col min="76" max="76" width="11.4285714285714" style="496" customWidth="1"/>
    <col min="77" max="16384" width="9.14285714285714" style="496"/>
  </cols>
  <sheetData>
    <row r="1" s="491" customFormat="1" spans="1:76">
      <c r="A1" s="497" t="s">
        <v>18</v>
      </c>
      <c r="F1" s="491">
        <v>2011</v>
      </c>
      <c r="G1" s="491">
        <v>2012</v>
      </c>
      <c r="H1" s="491">
        <v>2013</v>
      </c>
      <c r="I1" s="491">
        <v>2014</v>
      </c>
      <c r="J1" s="491">
        <v>2015</v>
      </c>
      <c r="K1" s="491">
        <v>2016</v>
      </c>
      <c r="L1" s="491">
        <v>2017</v>
      </c>
      <c r="M1" s="491">
        <v>2018</v>
      </c>
      <c r="N1" s="491">
        <v>2019</v>
      </c>
      <c r="O1" s="491">
        <v>2020</v>
      </c>
      <c r="P1" s="491">
        <v>2021</v>
      </c>
      <c r="Q1" s="491">
        <v>2022</v>
      </c>
      <c r="R1" s="491">
        <v>2023</v>
      </c>
      <c r="S1" s="491">
        <v>2024</v>
      </c>
      <c r="T1" s="491">
        <v>2025</v>
      </c>
      <c r="U1" s="491">
        <v>2026</v>
      </c>
      <c r="V1" s="491">
        <v>2027</v>
      </c>
      <c r="W1" s="491">
        <v>2028</v>
      </c>
      <c r="Y1" s="491" t="s">
        <v>19</v>
      </c>
      <c r="Z1" s="491" t="s">
        <v>20</v>
      </c>
      <c r="AA1" s="491" t="s">
        <v>21</v>
      </c>
      <c r="AB1" s="491" t="s">
        <v>22</v>
      </c>
      <c r="AC1" s="491" t="s">
        <v>23</v>
      </c>
      <c r="AD1" s="491" t="s">
        <v>24</v>
      </c>
      <c r="AE1" s="491" t="s">
        <v>25</v>
      </c>
      <c r="AF1" s="491" t="s">
        <v>26</v>
      </c>
      <c r="AG1" s="491" t="s">
        <v>27</v>
      </c>
      <c r="AH1" s="491" t="s">
        <v>28</v>
      </c>
      <c r="AI1" s="491" t="s">
        <v>29</v>
      </c>
      <c r="AJ1" s="491" t="s">
        <v>30</v>
      </c>
      <c r="AK1" s="491" t="s">
        <v>31</v>
      </c>
      <c r="AL1" s="491" t="s">
        <v>32</v>
      </c>
      <c r="AM1" s="491" t="s">
        <v>33</v>
      </c>
      <c r="AN1" s="491" t="s">
        <v>34</v>
      </c>
      <c r="AO1" s="491" t="s">
        <v>35</v>
      </c>
      <c r="AP1" s="491" t="s">
        <v>36</v>
      </c>
      <c r="AQ1" s="491" t="s">
        <v>37</v>
      </c>
      <c r="AR1" s="491" t="s">
        <v>38</v>
      </c>
      <c r="AS1" s="491" t="s">
        <v>39</v>
      </c>
      <c r="AT1" s="491" t="s">
        <v>40</v>
      </c>
      <c r="AU1" s="491" t="s">
        <v>41</v>
      </c>
      <c r="AV1" s="491" t="s">
        <v>42</v>
      </c>
      <c r="AW1" s="491" t="s">
        <v>43</v>
      </c>
      <c r="AX1" s="491" t="s">
        <v>44</v>
      </c>
      <c r="AY1" s="491" t="s">
        <v>45</v>
      </c>
      <c r="AZ1" s="491" t="s">
        <v>46</v>
      </c>
      <c r="BA1" s="491" t="s">
        <v>47</v>
      </c>
      <c r="BB1" s="491" t="s">
        <v>48</v>
      </c>
      <c r="BC1" s="491" t="s">
        <v>49</v>
      </c>
      <c r="BD1" s="491" t="s">
        <v>50</v>
      </c>
      <c r="BE1" s="491" t="s">
        <v>51</v>
      </c>
      <c r="BF1" s="491" t="s">
        <v>52</v>
      </c>
      <c r="BG1" s="491" t="s">
        <v>53</v>
      </c>
      <c r="BH1" s="491" t="s">
        <v>54</v>
      </c>
      <c r="BI1" s="491" t="s">
        <v>55</v>
      </c>
      <c r="BJ1" s="491" t="s">
        <v>56</v>
      </c>
      <c r="BK1" s="491" t="s">
        <v>57</v>
      </c>
      <c r="BL1" s="491" t="s">
        <v>58</v>
      </c>
      <c r="BM1" s="491" t="s">
        <v>59</v>
      </c>
      <c r="BN1" s="491" t="s">
        <v>60</v>
      </c>
      <c r="BO1" s="491" t="s">
        <v>61</v>
      </c>
      <c r="BP1" s="491" t="s">
        <v>62</v>
      </c>
      <c r="BQ1" s="491" t="s">
        <v>63</v>
      </c>
      <c r="BR1" s="491" t="s">
        <v>64</v>
      </c>
      <c r="BS1" s="491" t="s">
        <v>65</v>
      </c>
      <c r="BT1" s="491" t="s">
        <v>66</v>
      </c>
      <c r="BU1" s="491" t="s">
        <v>67</v>
      </c>
      <c r="BV1" s="491" t="s">
        <v>68</v>
      </c>
      <c r="BW1" s="491" t="s">
        <v>69</v>
      </c>
      <c r="BX1" s="491" t="s">
        <v>70</v>
      </c>
    </row>
    <row r="2" s="492" customFormat="1" spans="1:76">
      <c r="A2" s="498" t="s">
        <v>71</v>
      </c>
      <c r="B2" s="498"/>
      <c r="C2" s="498"/>
      <c r="D2" s="498"/>
      <c r="F2" s="492" t="s">
        <v>72</v>
      </c>
      <c r="G2" s="492" t="s">
        <v>72</v>
      </c>
      <c r="H2" s="492" t="s">
        <v>72</v>
      </c>
      <c r="I2" s="492" t="s">
        <v>72</v>
      </c>
      <c r="J2" s="492" t="s">
        <v>72</v>
      </c>
      <c r="K2" s="492" t="s">
        <v>72</v>
      </c>
      <c r="L2" s="492" t="s">
        <v>72</v>
      </c>
      <c r="M2" s="492" t="s">
        <v>72</v>
      </c>
      <c r="N2" s="492" t="s">
        <v>72</v>
      </c>
      <c r="O2" s="492" t="s">
        <v>72</v>
      </c>
      <c r="P2" s="492" t="s">
        <v>72</v>
      </c>
      <c r="Q2" s="492" t="s">
        <v>72</v>
      </c>
      <c r="R2" s="492" t="s">
        <v>72</v>
      </c>
      <c r="S2" s="492" t="s">
        <v>72</v>
      </c>
      <c r="T2" s="492" t="s">
        <v>72</v>
      </c>
      <c r="U2" s="492" t="s">
        <v>73</v>
      </c>
      <c r="V2" s="492" t="s">
        <v>73</v>
      </c>
      <c r="W2" s="492" t="s">
        <v>73</v>
      </c>
      <c r="Y2" s="492" t="s">
        <v>72</v>
      </c>
      <c r="Z2" s="492" t="s">
        <v>72</v>
      </c>
      <c r="AA2" s="492" t="s">
        <v>72</v>
      </c>
      <c r="AB2" s="492" t="s">
        <v>72</v>
      </c>
      <c r="AC2" s="492" t="s">
        <v>72</v>
      </c>
      <c r="AD2" s="492" t="s">
        <v>72</v>
      </c>
      <c r="AE2" s="492" t="s">
        <v>72</v>
      </c>
      <c r="AF2" s="492" t="s">
        <v>72</v>
      </c>
      <c r="AG2" s="492" t="s">
        <v>72</v>
      </c>
      <c r="AH2" s="492" t="s">
        <v>72</v>
      </c>
      <c r="AI2" s="492" t="s">
        <v>72</v>
      </c>
      <c r="AJ2" s="492" t="s">
        <v>72</v>
      </c>
      <c r="AK2" s="492" t="s">
        <v>72</v>
      </c>
      <c r="AL2" s="492" t="s">
        <v>72</v>
      </c>
      <c r="AM2" s="492" t="s">
        <v>72</v>
      </c>
      <c r="AN2" s="492" t="s">
        <v>72</v>
      </c>
      <c r="AO2" s="492" t="s">
        <v>72</v>
      </c>
      <c r="AP2" s="492" t="s">
        <v>72</v>
      </c>
      <c r="AQ2" s="492" t="s">
        <v>72</v>
      </c>
      <c r="AR2" s="492" t="s">
        <v>72</v>
      </c>
      <c r="AS2" s="492" t="s">
        <v>72</v>
      </c>
      <c r="AT2" s="492" t="s">
        <v>72</v>
      </c>
      <c r="AU2" s="492" t="s">
        <v>72</v>
      </c>
      <c r="AV2" s="492" t="s">
        <v>72</v>
      </c>
      <c r="AW2" s="492" t="s">
        <v>72</v>
      </c>
      <c r="AX2" s="492" t="s">
        <v>72</v>
      </c>
      <c r="AY2" s="492" t="s">
        <v>72</v>
      </c>
      <c r="AZ2" s="492" t="s">
        <v>72</v>
      </c>
      <c r="BA2" s="492" t="s">
        <v>72</v>
      </c>
      <c r="BB2" s="492" t="s">
        <v>72</v>
      </c>
      <c r="BC2" s="492" t="s">
        <v>72</v>
      </c>
      <c r="BD2" s="492" t="s">
        <v>72</v>
      </c>
      <c r="BE2" s="492" t="s">
        <v>72</v>
      </c>
      <c r="BF2" s="492" t="s">
        <v>72</v>
      </c>
      <c r="BG2" s="492" t="s">
        <v>72</v>
      </c>
      <c r="BH2" s="492" t="s">
        <v>72</v>
      </c>
      <c r="BI2" s="492" t="s">
        <v>72</v>
      </c>
      <c r="BJ2" s="492" t="s">
        <v>72</v>
      </c>
      <c r="BK2" s="492" t="s">
        <v>72</v>
      </c>
      <c r="BL2" s="492" t="s">
        <v>72</v>
      </c>
      <c r="BM2" s="492" t="s">
        <v>72</v>
      </c>
      <c r="BN2" s="492" t="s">
        <v>72</v>
      </c>
      <c r="BO2" s="492" t="s">
        <v>72</v>
      </c>
      <c r="BP2" s="492" t="s">
        <v>72</v>
      </c>
      <c r="BQ2" s="492" t="s">
        <v>72</v>
      </c>
      <c r="BR2" s="492" t="s">
        <v>73</v>
      </c>
      <c r="BS2" s="492" t="s">
        <v>73</v>
      </c>
      <c r="BT2" s="492" t="s">
        <v>73</v>
      </c>
      <c r="BU2" s="492" t="s">
        <v>73</v>
      </c>
      <c r="BV2" s="492" t="s">
        <v>73</v>
      </c>
      <c r="BW2" s="492" t="s">
        <v>73</v>
      </c>
      <c r="BX2" s="492" t="s">
        <v>73</v>
      </c>
    </row>
    <row r="3" s="493" customFormat="1" spans="1:76">
      <c r="A3" s="499"/>
      <c r="B3" s="499"/>
      <c r="C3" s="499"/>
      <c r="D3" s="499"/>
      <c r="F3" s="493">
        <v>40908</v>
      </c>
      <c r="G3" s="493">
        <v>41274</v>
      </c>
      <c r="H3" s="493">
        <v>41639</v>
      </c>
      <c r="I3" s="493">
        <v>42004</v>
      </c>
      <c r="J3" s="493">
        <v>42369</v>
      </c>
      <c r="K3" s="493">
        <v>42735</v>
      </c>
      <c r="L3" s="493">
        <v>43100</v>
      </c>
      <c r="M3" s="493">
        <v>43465</v>
      </c>
      <c r="N3" s="493">
        <v>43830</v>
      </c>
      <c r="O3" s="493">
        <v>44196</v>
      </c>
      <c r="P3" s="493">
        <v>44561</v>
      </c>
      <c r="Q3" s="493">
        <v>44926</v>
      </c>
      <c r="R3" s="493">
        <v>45291</v>
      </c>
      <c r="S3" s="493">
        <v>45657</v>
      </c>
      <c r="T3" s="493">
        <v>46022</v>
      </c>
      <c r="U3" s="493">
        <v>46387</v>
      </c>
      <c r="V3" s="493">
        <v>46752</v>
      </c>
      <c r="W3" s="493">
        <v>47118</v>
      </c>
      <c r="Y3" s="493">
        <v>42094</v>
      </c>
      <c r="Z3" s="493">
        <v>42185</v>
      </c>
      <c r="AA3" s="493">
        <v>42277</v>
      </c>
      <c r="AB3" s="493">
        <v>42369</v>
      </c>
      <c r="AC3" s="493">
        <v>42460</v>
      </c>
      <c r="AD3" s="493">
        <v>42551</v>
      </c>
      <c r="AE3" s="493">
        <v>42643</v>
      </c>
      <c r="AF3" s="493">
        <v>42735</v>
      </c>
      <c r="AG3" s="493">
        <v>42825</v>
      </c>
      <c r="AH3" s="493">
        <v>42916</v>
      </c>
      <c r="AI3" s="493">
        <v>43008</v>
      </c>
      <c r="AJ3" s="493">
        <v>43100</v>
      </c>
      <c r="AK3" s="493">
        <v>43190</v>
      </c>
      <c r="AL3" s="493">
        <v>43281</v>
      </c>
      <c r="AM3" s="493">
        <v>43373</v>
      </c>
      <c r="AN3" s="493">
        <v>43465</v>
      </c>
      <c r="AO3" s="493">
        <v>43555</v>
      </c>
      <c r="AP3" s="493">
        <v>43646</v>
      </c>
      <c r="AQ3" s="493">
        <v>43738</v>
      </c>
      <c r="AR3" s="493">
        <v>43830</v>
      </c>
      <c r="AS3" s="493">
        <v>43921</v>
      </c>
      <c r="AT3" s="493">
        <v>44012</v>
      </c>
      <c r="AU3" s="493">
        <v>44104</v>
      </c>
      <c r="AV3" s="493">
        <v>44196</v>
      </c>
      <c r="AW3" s="493">
        <v>44286</v>
      </c>
      <c r="AX3" s="493">
        <v>44377</v>
      </c>
      <c r="AY3" s="493">
        <v>44469</v>
      </c>
      <c r="AZ3" s="493">
        <v>44561</v>
      </c>
      <c r="BA3" s="493">
        <v>44651</v>
      </c>
      <c r="BB3" s="493">
        <v>44742</v>
      </c>
      <c r="BC3" s="493">
        <v>44834</v>
      </c>
      <c r="BD3" s="493">
        <v>44926</v>
      </c>
      <c r="BE3" s="493">
        <v>45016</v>
      </c>
      <c r="BF3" s="493">
        <v>45107</v>
      </c>
      <c r="BG3" s="493">
        <v>45199</v>
      </c>
      <c r="BH3" s="493">
        <v>45291</v>
      </c>
      <c r="BI3" s="493">
        <v>45382</v>
      </c>
      <c r="BJ3" s="493">
        <v>45473</v>
      </c>
      <c r="BK3" s="493">
        <v>45565</v>
      </c>
      <c r="BL3" s="493">
        <v>45657</v>
      </c>
      <c r="BM3" s="493">
        <v>45747</v>
      </c>
      <c r="BN3" s="493">
        <v>45838</v>
      </c>
      <c r="BO3" s="493">
        <v>45930</v>
      </c>
      <c r="BP3" s="493">
        <v>46022</v>
      </c>
      <c r="BQ3" s="493">
        <v>46112</v>
      </c>
      <c r="BR3" s="493">
        <v>46203</v>
      </c>
      <c r="BS3" s="493">
        <v>46295</v>
      </c>
      <c r="BT3" s="493">
        <v>46387</v>
      </c>
      <c r="BU3" s="493">
        <v>46477</v>
      </c>
      <c r="BV3" s="493">
        <v>46568</v>
      </c>
      <c r="BW3" s="493">
        <v>46660</v>
      </c>
      <c r="BX3" s="493">
        <v>46752</v>
      </c>
    </row>
    <row r="4" s="494" customFormat="1" spans="1:4">
      <c r="A4" s="500" t="s">
        <v>18</v>
      </c>
      <c r="B4" s="500"/>
      <c r="C4" s="500"/>
      <c r="D4" s="500"/>
    </row>
    <row r="5" s="495" customFormat="1" outlineLevel="1" spans="1:4">
      <c r="A5" s="501" t="s">
        <v>74</v>
      </c>
      <c r="B5" s="501"/>
      <c r="C5" s="501"/>
      <c r="D5" s="501"/>
    </row>
    <row r="6" outlineLevel="2" spans="2:5">
      <c r="B6" t="s">
        <v>75</v>
      </c>
      <c r="C6" t="s">
        <v>75</v>
      </c>
      <c r="E6" s="502" t="s">
        <v>76</v>
      </c>
    </row>
    <row r="7" outlineLevel="2" spans="2:5">
      <c r="B7" t="s">
        <v>77</v>
      </c>
      <c r="C7" t="s">
        <v>78</v>
      </c>
      <c r="E7" s="502" t="s">
        <v>10</v>
      </c>
    </row>
    <row r="8" s="495" customFormat="1" outlineLevel="1" spans="1:4">
      <c r="A8" s="501" t="s">
        <v>79</v>
      </c>
      <c r="B8" s="501"/>
      <c r="C8" s="501"/>
      <c r="D8" s="501"/>
    </row>
    <row r="9" outlineLevel="2" spans="2:5">
      <c r="B9" t="s">
        <v>6</v>
      </c>
      <c r="C9" t="s">
        <v>80</v>
      </c>
      <c r="E9" s="503">
        <v>3</v>
      </c>
    </row>
    <row r="10" s="495" customFormat="1" outlineLevel="1" spans="1:4">
      <c r="A10" s="501" t="s">
        <v>81</v>
      </c>
      <c r="B10" s="501"/>
      <c r="C10" s="501"/>
      <c r="D10" s="501"/>
    </row>
    <row r="11" outlineLevel="2" spans="2:76">
      <c r="B11" t="s">
        <v>82</v>
      </c>
      <c r="C11" t="s">
        <v>83</v>
      </c>
      <c r="D11" t="str">
        <f t="shared" ref="D11:D30" si="0">E_CURRENCY_ISSR_208021942_REP</f>
        <v>CNY</v>
      </c>
      <c r="F11" s="504">
        <f>[5]Model!E7</f>
        <v>304.92842752</v>
      </c>
      <c r="G11" s="504">
        <f>[5]Model!F7</f>
        <v>347.56806684</v>
      </c>
      <c r="H11" s="504">
        <f>[5]Model!G7</f>
        <v>461.04899576</v>
      </c>
      <c r="I11" s="504">
        <f>[5]Model!H7</f>
        <v>522.63426833</v>
      </c>
      <c r="J11" s="504">
        <f>[5]Model!I7</f>
        <v>615.11957513</v>
      </c>
      <c r="K11" s="504">
        <f>[5]Model!J7</f>
        <v>713.93165081</v>
      </c>
      <c r="L11" s="504">
        <f>[5]Model!K7</f>
        <v>877.36536178</v>
      </c>
      <c r="M11" s="504">
        <f>[5]Model!L7</f>
        <v>759.9502845</v>
      </c>
      <c r="N11" s="504">
        <f>[5]Model!M7</f>
        <v>1164.87368236</v>
      </c>
      <c r="O11" s="504">
        <f>[5]Model!N7</f>
        <v>1997.93774627</v>
      </c>
      <c r="P11" s="504">
        <f>[5]Model!O7</f>
        <v>2908.37606376</v>
      </c>
      <c r="Q11" s="504">
        <f>[5]Model!P7</f>
        <v>3310.57379053</v>
      </c>
      <c r="R11" s="504">
        <f>[5]Model!Q7</f>
        <v>3097.60575052</v>
      </c>
      <c r="S11" s="504">
        <f>[5]Model!R7</f>
        <v>8646.83113432</v>
      </c>
      <c r="T11" s="504">
        <f>[5]Model!S7</f>
        <v>24841.85484022</v>
      </c>
      <c r="U11" s="504">
        <f>[5]Model!T7</f>
        <v>51456.5394979234</v>
      </c>
      <c r="V11" s="504">
        <f>[5]Model!U7</f>
        <v>73910.5906869271</v>
      </c>
      <c r="W11" s="504">
        <f>[5]Model!V7</f>
        <v>84975.3756301849</v>
      </c>
      <c r="X11" s="504"/>
      <c r="Y11" s="504">
        <f>[5]Model!AB7</f>
        <v>141.26115612</v>
      </c>
      <c r="Z11" s="504">
        <f>[5]Model!AC7</f>
        <v>166.47504462</v>
      </c>
      <c r="AA11" s="504">
        <f>[5]Model!AD7</f>
        <v>142.2000494</v>
      </c>
      <c r="AB11" s="504">
        <f>[5]Model!AE7</f>
        <v>165.18332499</v>
      </c>
      <c r="AC11" s="504">
        <f>[5]Model!AF7</f>
        <v>146.32100267</v>
      </c>
      <c r="AD11" s="504">
        <f>[5]Model!AG7</f>
        <v>192.79163165</v>
      </c>
      <c r="AE11" s="504">
        <f>[5]Model!AH7</f>
        <v>170.51716972</v>
      </c>
      <c r="AF11" s="504">
        <f>[5]Model!AI7</f>
        <v>204.30184677</v>
      </c>
      <c r="AG11" s="504">
        <f>[5]Model!AJ7</f>
        <v>191.53570996</v>
      </c>
      <c r="AH11" s="504">
        <f>[5]Model!AK7</f>
        <v>239.17685161</v>
      </c>
      <c r="AI11" s="504">
        <f>[5]Model!AL7</f>
        <v>231.21158907</v>
      </c>
      <c r="AJ11" s="504">
        <f>[5]Model!AM7</f>
        <v>215.44121114</v>
      </c>
      <c r="AK11" s="504">
        <f>[5]Model!AN7</f>
        <v>177.5089283</v>
      </c>
      <c r="AL11" s="504">
        <f>[5]Model!AO7</f>
        <v>158.56942817</v>
      </c>
      <c r="AM11" s="504">
        <f>[5]Model!AP7</f>
        <v>197.98656639</v>
      </c>
      <c r="AN11" s="504">
        <f>[5]Model!AQ7</f>
        <v>225.88536164</v>
      </c>
      <c r="AO11" s="504">
        <f>[5]Model!AR7</f>
        <v>223.88641514</v>
      </c>
      <c r="AP11" s="504">
        <f>[5]Model!AS7</f>
        <v>256.45333996</v>
      </c>
      <c r="AQ11" s="504">
        <f>[5]Model!AT7</f>
        <v>290.90559366</v>
      </c>
      <c r="AR11" s="504">
        <f>[5]Model!AU7</f>
        <v>393.6283336</v>
      </c>
      <c r="AS11" s="504">
        <f>[5]Model!AV7</f>
        <v>270.03088597</v>
      </c>
      <c r="AT11" s="504">
        <f>[5]Model!AW7</f>
        <v>566.52074702</v>
      </c>
      <c r="AU11" s="504">
        <f>[5]Model!AX7</f>
        <v>600.90346729</v>
      </c>
      <c r="AV11" s="504">
        <f>[5]Model!AY7</f>
        <v>560.48264599</v>
      </c>
      <c r="AW11" s="504">
        <f>[5]Model!AZ7</f>
        <v>624.32716309</v>
      </c>
      <c r="AX11" s="504">
        <f>[5]Model!BA7</f>
        <v>816.87541257</v>
      </c>
      <c r="AY11" s="504">
        <f>[5]Model!BB7</f>
        <v>578.08834829</v>
      </c>
      <c r="AZ11" s="504">
        <f>[5]Model!BC7</f>
        <v>889.08513981</v>
      </c>
      <c r="BA11" s="504">
        <f>[5]Model!BD7</f>
        <v>738.51330386</v>
      </c>
      <c r="BB11" s="504">
        <f>[5]Model!BE7</f>
        <v>740.33465226</v>
      </c>
      <c r="BC11" s="504">
        <f>[5]Model!BF7</f>
        <v>935.65915654</v>
      </c>
      <c r="BD11" s="504">
        <f>[5]Model!BG7</f>
        <v>896.06667787</v>
      </c>
      <c r="BE11" s="504">
        <f>[5]Model!BH7</f>
        <v>600.2228911</v>
      </c>
      <c r="BF11" s="504">
        <f>[5]Model!BI7</f>
        <v>704.46093392</v>
      </c>
      <c r="BG11" s="504">
        <f>[5]Model!BJ7</f>
        <v>782.3637268</v>
      </c>
      <c r="BH11" s="504">
        <f>[5]Model!BK7</f>
        <v>1010.5581987</v>
      </c>
      <c r="BI11" s="504">
        <f>[5]Model!BL7</f>
        <v>1112.85389449</v>
      </c>
      <c r="BJ11" s="504">
        <f>[5]Model!BM7</f>
        <v>1614.8208769</v>
      </c>
      <c r="BK11" s="504">
        <f>[5]Model!BN7</f>
        <v>2402.76103713</v>
      </c>
      <c r="BL11" s="504">
        <f>[5]Model!BO7</f>
        <v>3516.3953258</v>
      </c>
      <c r="BM11" s="504">
        <f>[5]Model!BP7</f>
        <v>4052.25653837</v>
      </c>
      <c r="BN11" s="504">
        <f>[5]Model!BQ7</f>
        <v>6384.91372713</v>
      </c>
      <c r="BO11" s="504">
        <f>[5]Model!BR7</f>
        <v>6067.6209458</v>
      </c>
      <c r="BP11" s="504">
        <f>[5]Model!BS7</f>
        <v>8337.06362892</v>
      </c>
      <c r="BQ11" s="504">
        <f>[5]Model!BT7</f>
        <v>8337.90204074</v>
      </c>
      <c r="BR11" s="504">
        <f>[5]Model!BU7</f>
        <v>11283.2481581162</v>
      </c>
      <c r="BS11" s="504">
        <f>[5]Model!BV7</f>
        <v>15163.9208087047</v>
      </c>
      <c r="BT11" s="504">
        <f>[5]Model!BW7</f>
        <v>16671.4684903625</v>
      </c>
      <c r="BU11" s="504">
        <f>[5]Model!BX7</f>
        <v>15172.0867905676</v>
      </c>
      <c r="BV11" s="504">
        <f>[5]Model!BY7</f>
        <v>16800.2801642665</v>
      </c>
      <c r="BW11" s="504">
        <f>[5]Model!BZ7</f>
        <v>21661.3203868456</v>
      </c>
      <c r="BX11" s="504">
        <f>[5]Model!CA7</f>
        <v>20276.9033452475</v>
      </c>
    </row>
    <row r="12" outlineLevel="2" spans="2:76">
      <c r="B12" t="s">
        <v>84</v>
      </c>
      <c r="C12" t="s">
        <v>85</v>
      </c>
      <c r="D12" t="str">
        <f t="shared" si="0"/>
        <v>CNY</v>
      </c>
      <c r="F12" s="505"/>
      <c r="G12" s="505"/>
      <c r="H12" s="505"/>
      <c r="I12" s="505"/>
      <c r="J12" s="505"/>
      <c r="K12" s="505"/>
      <c r="L12" s="505"/>
      <c r="M12" s="505"/>
      <c r="N12" s="505"/>
      <c r="O12" s="505"/>
      <c r="P12" s="505"/>
      <c r="Q12" s="505"/>
      <c r="R12" s="505"/>
      <c r="S12" s="505"/>
      <c r="T12" s="505"/>
      <c r="U12" s="505"/>
      <c r="V12" s="505"/>
      <c r="W12" s="505"/>
      <c r="X12" s="505"/>
      <c r="Y12" s="505"/>
      <c r="Z12" s="505"/>
      <c r="AA12" s="505"/>
      <c r="AB12" s="505"/>
      <c r="AC12" s="505"/>
      <c r="AD12" s="505"/>
      <c r="AE12" s="505"/>
      <c r="AF12" s="505"/>
      <c r="AG12" s="505"/>
      <c r="AH12" s="505"/>
      <c r="AI12" s="505"/>
      <c r="AJ12" s="505"/>
      <c r="AK12" s="505"/>
      <c r="AL12" s="505"/>
      <c r="AM12" s="505"/>
      <c r="AN12" s="505"/>
      <c r="AO12" s="505"/>
      <c r="AP12" s="505"/>
      <c r="AQ12" s="505"/>
      <c r="AR12" s="505"/>
      <c r="AS12" s="505"/>
      <c r="AT12" s="505"/>
      <c r="AU12" s="505"/>
      <c r="AV12" s="505"/>
      <c r="AW12" s="505"/>
      <c r="AX12" s="505"/>
      <c r="AY12" s="505"/>
      <c r="AZ12" s="505"/>
      <c r="BA12" s="505"/>
      <c r="BB12" s="505"/>
      <c r="BC12" s="505"/>
      <c r="BD12" s="505"/>
      <c r="BE12" s="505"/>
      <c r="BF12" s="505"/>
      <c r="BG12" s="505"/>
      <c r="BH12" s="505"/>
      <c r="BI12" s="505"/>
      <c r="BJ12" s="505"/>
      <c r="BK12" s="505"/>
      <c r="BL12" s="505"/>
      <c r="BM12" s="505"/>
      <c r="BN12" s="505"/>
      <c r="BO12" s="505"/>
      <c r="BP12" s="505"/>
      <c r="BQ12" s="505"/>
      <c r="BR12" s="505"/>
      <c r="BS12" s="505"/>
      <c r="BT12" s="505"/>
      <c r="BU12" s="505"/>
      <c r="BV12" s="505"/>
      <c r="BW12" s="505"/>
      <c r="BX12" s="505"/>
    </row>
    <row r="13" outlineLevel="2" spans="2:76">
      <c r="B13" t="s">
        <v>86</v>
      </c>
      <c r="C13" t="s">
        <v>87</v>
      </c>
      <c r="D13" t="str">
        <f t="shared" si="0"/>
        <v>CNY</v>
      </c>
      <c r="F13" s="505">
        <f>-[5]Model!E10</f>
        <v>-213.53675789</v>
      </c>
      <c r="G13" s="505">
        <f>-[5]Model!F10</f>
        <v>-234.62009193</v>
      </c>
      <c r="H13" s="505">
        <f>-[5]Model!G10</f>
        <v>-330.78361892</v>
      </c>
      <c r="I13" s="505">
        <f>-[5]Model!H10</f>
        <v>-363.06988665</v>
      </c>
      <c r="J13" s="505">
        <f>-[5]Model!I10</f>
        <v>-446.55321688</v>
      </c>
      <c r="K13" s="505">
        <f>-[5]Model!J10</f>
        <v>-525.65300142</v>
      </c>
      <c r="L13" s="505">
        <f>-[5]Model!K10</f>
        <v>-666.78476179</v>
      </c>
      <c r="M13" s="505">
        <f>-[5]Model!L10</f>
        <v>-611.69329119</v>
      </c>
      <c r="N13" s="505">
        <f>-[5]Model!M10</f>
        <v>-760.44480471</v>
      </c>
      <c r="O13" s="505">
        <f>-[5]Model!N10</f>
        <v>-1261.4844989</v>
      </c>
      <c r="P13" s="505">
        <f>-[5]Model!O10</f>
        <v>-1972.70890067</v>
      </c>
      <c r="Q13" s="505">
        <f>-[5]Model!P10</f>
        <v>-2096.85854263</v>
      </c>
      <c r="R13" s="505">
        <f>-[5]Model!Q10</f>
        <v>-2137.65637716</v>
      </c>
      <c r="S13" s="505">
        <f>-[5]Model!R10</f>
        <v>-4780.19194172</v>
      </c>
      <c r="T13" s="505">
        <f>-[5]Model!S10</f>
        <v>-12966.04997921</v>
      </c>
      <c r="U13" s="505">
        <f>-[5]Model!T10</f>
        <v>-26649.7706062512</v>
      </c>
      <c r="V13" s="505">
        <f>-[5]Model!U10</f>
        <v>-38031.235161665</v>
      </c>
      <c r="W13" s="505">
        <f>-[5]Model!V10</f>
        <v>-43619.5382917329</v>
      </c>
      <c r="X13" s="505"/>
      <c r="Y13" s="505">
        <f>-[5]Model!AB10</f>
        <v>-101.06669567</v>
      </c>
      <c r="Z13" s="505">
        <f>-[5]Model!AC10</f>
        <v>-121.38812637</v>
      </c>
      <c r="AA13" s="505">
        <f>-[5]Model!AD10</f>
        <v>-103.18520839</v>
      </c>
      <c r="AB13" s="505">
        <f>-[5]Model!AE10</f>
        <v>-120.91318645</v>
      </c>
      <c r="AC13" s="505">
        <f>-[5]Model!AF10</f>
        <v>-110.12174565</v>
      </c>
      <c r="AD13" s="505">
        <f>-[5]Model!AG10</f>
        <v>-143.06902778</v>
      </c>
      <c r="AE13" s="505">
        <f>-[5]Model!AH10</f>
        <v>-117.13323979</v>
      </c>
      <c r="AF13" s="505">
        <f>-[5]Model!AI10</f>
        <v>-155.3289882</v>
      </c>
      <c r="AG13" s="505">
        <f>-[5]Model!AJ10</f>
        <v>-142.59411948</v>
      </c>
      <c r="AH13" s="505">
        <f>-[5]Model!AK10</f>
        <v>-178.48530379</v>
      </c>
      <c r="AI13" s="505">
        <f>-[5]Model!AL10</f>
        <v>-171.3163131</v>
      </c>
      <c r="AJ13" s="505">
        <f>-[5]Model!AM10</f>
        <v>-174.38902542</v>
      </c>
      <c r="AK13" s="505">
        <f>-[5]Model!AN10</f>
        <v>-150.94580438</v>
      </c>
      <c r="AL13" s="505">
        <f>-[5]Model!AO10</f>
        <v>-136.60421844</v>
      </c>
      <c r="AM13" s="505">
        <f>-[5]Model!AP10</f>
        <v>-155.17414592</v>
      </c>
      <c r="AN13" s="505">
        <f>-[5]Model!AQ10</f>
        <v>-168.96912245</v>
      </c>
      <c r="AO13" s="505">
        <f>-[5]Model!AR10</f>
        <v>-157.55869661</v>
      </c>
      <c r="AP13" s="505">
        <f>-[5]Model!AS10</f>
        <v>-173.87351495</v>
      </c>
      <c r="AQ13" s="505">
        <f>-[5]Model!AT10</f>
        <v>-187.61455064</v>
      </c>
      <c r="AR13" s="505">
        <f>-[5]Model!AU10</f>
        <v>-241.39804251</v>
      </c>
      <c r="AS13" s="505">
        <f>-[5]Model!AV10</f>
        <v>-174.83515983</v>
      </c>
      <c r="AT13" s="505">
        <f>-[5]Model!AW10</f>
        <v>-348.03935434</v>
      </c>
      <c r="AU13" s="505">
        <f>-[5]Model!AX10</f>
        <v>-367.81341488</v>
      </c>
      <c r="AV13" s="505">
        <f>-[5]Model!AY10</f>
        <v>-370.79656985</v>
      </c>
      <c r="AW13" s="505">
        <f>-[5]Model!AZ10</f>
        <v>-433.70045535</v>
      </c>
      <c r="AX13" s="505">
        <f>-[5]Model!BA10</f>
        <v>-534.2511115</v>
      </c>
      <c r="AY13" s="505">
        <f>-[5]Model!BB10</f>
        <v>-405.85493354</v>
      </c>
      <c r="AZ13" s="505">
        <f>-[5]Model!BC10</f>
        <v>-598.90240028</v>
      </c>
      <c r="BA13" s="505">
        <f>-[5]Model!BD10</f>
        <v>-493.94298278</v>
      </c>
      <c r="BB13" s="505">
        <f>-[5]Model!BE10</f>
        <v>-485.96081021</v>
      </c>
      <c r="BC13" s="505">
        <f>-[5]Model!BF10</f>
        <v>-583.91813207</v>
      </c>
      <c r="BD13" s="505">
        <f>-[5]Model!BG10</f>
        <v>-533.03661757</v>
      </c>
      <c r="BE13" s="505">
        <f>-[5]Model!BH10</f>
        <v>-395.88122838</v>
      </c>
      <c r="BF13" s="505">
        <f>-[5]Model!BI10</f>
        <v>-525.06194765</v>
      </c>
      <c r="BG13" s="505">
        <f>-[5]Model!BJ10</f>
        <v>-577.71865905</v>
      </c>
      <c r="BH13" s="505">
        <f>-[5]Model!BK10</f>
        <v>-638.99454208</v>
      </c>
      <c r="BI13" s="505">
        <f>-[5]Model!BL10</f>
        <v>-645.40063395</v>
      </c>
      <c r="BJ13" s="505">
        <f>-[5]Model!BM10</f>
        <v>-908.16531626</v>
      </c>
      <c r="BK13" s="505">
        <f>-[5]Model!BN10</f>
        <v>-1404.88348429</v>
      </c>
      <c r="BL13" s="505">
        <f>-[5]Model!BO10</f>
        <v>-1821.74250722</v>
      </c>
      <c r="BM13" s="505">
        <f>-[5]Model!BP10</f>
        <v>-2080.43929173</v>
      </c>
      <c r="BN13" s="505">
        <f>-[5]Model!BQ10</f>
        <v>-3406.76517409</v>
      </c>
      <c r="BO13" s="505">
        <f>-[5]Model!BR10</f>
        <v>-3219.57215957</v>
      </c>
      <c r="BP13" s="505">
        <f>-[5]Model!BS10</f>
        <v>-4259.27335382</v>
      </c>
      <c r="BQ13" s="505">
        <f>-[5]Model!BT10</f>
        <v>-4238.90975812</v>
      </c>
      <c r="BR13" s="505">
        <f>-[5]Model!BU10</f>
        <v>-5899.64398803773</v>
      </c>
      <c r="BS13" s="505">
        <f>-[5]Model!BV10</f>
        <v>-7864.1977562747</v>
      </c>
      <c r="BT13" s="505">
        <f>-[5]Model!BW10</f>
        <v>-8647.01910381876</v>
      </c>
      <c r="BU13" s="505">
        <f>-[5]Model!BX10</f>
        <v>-8221.03849817105</v>
      </c>
      <c r="BV13" s="505">
        <f>-[5]Model!BY10</f>
        <v>-8701.55857827777</v>
      </c>
      <c r="BW13" s="505">
        <f>-[5]Model!BZ10</f>
        <v>-10874.8917543794</v>
      </c>
      <c r="BX13" s="505">
        <f>-[5]Model!CA10</f>
        <v>-10233.7463308368</v>
      </c>
    </row>
    <row r="14" outlineLevel="2" spans="2:76">
      <c r="B14" t="s">
        <v>88</v>
      </c>
      <c r="C14" t="s">
        <v>89</v>
      </c>
      <c r="D14" t="str">
        <f t="shared" si="0"/>
        <v>CNY</v>
      </c>
      <c r="F14" s="505">
        <f>-[5]Model!E16-[5]Model!E17-[5]Model!E18</f>
        <v>-13.70418930796</v>
      </c>
      <c r="G14" s="505">
        <f>-[5]Model!F16-[5]Model!F17-[5]Model!F18</f>
        <v>-19.55863612144</v>
      </c>
      <c r="H14" s="505">
        <f>-[5]Model!G16-[5]Model!G17-[5]Model!G18</f>
        <v>-19.32507996177</v>
      </c>
      <c r="I14" s="505">
        <f>-[5]Model!H16-[5]Model!H17-[5]Model!H18</f>
        <v>-30.51625289</v>
      </c>
      <c r="J14" s="505">
        <f>-[5]Model!I16-[5]Model!I17-[5]Model!I18</f>
        <v>-31.5492745</v>
      </c>
      <c r="K14" s="505">
        <f>-[5]Model!J16-[5]Model!J17-[5]Model!J18</f>
        <v>-35.34869909</v>
      </c>
      <c r="L14" s="505">
        <f>-[5]Model!K16-[5]Model!K17-[5]Model!K18</f>
        <v>-37.046046496864</v>
      </c>
      <c r="M14" s="505">
        <f>-[5]Model!L16-[5]Model!L17-[5]Model!L18</f>
        <v>-52.50683105</v>
      </c>
      <c r="N14" s="505">
        <f>-[5]Model!M16-[5]Model!M17-[5]Model!M18</f>
        <v>-65.59483372</v>
      </c>
      <c r="O14" s="505">
        <f>-[5]Model!N16-[5]Model!N17-[5]Model!N18</f>
        <v>-72.5620792</v>
      </c>
      <c r="P14" s="505">
        <f>-[5]Model!O16-[5]Model!O17-[5]Model!O18</f>
        <v>-77.50102717</v>
      </c>
      <c r="Q14" s="505">
        <f>-[5]Model!P16-[5]Model!P17-[5]Model!P18</f>
        <v>-144.41190961</v>
      </c>
      <c r="R14" s="505">
        <f>-[5]Model!Q16-[5]Model!Q17-[5]Model!Q18</f>
        <v>-130.59240165</v>
      </c>
      <c r="S14" s="505">
        <f>-[5]Model!R16-[5]Model!R17-[5]Model!R18</f>
        <v>-338.39398603</v>
      </c>
      <c r="T14" s="505">
        <f>-[5]Model!S16-[5]Model!S17-[5]Model!S18</f>
        <v>-465.20767912</v>
      </c>
      <c r="U14" s="505">
        <f>-[5]Model!T16-[5]Model!T17-[5]Model!T18</f>
        <v>-547.990546817756</v>
      </c>
      <c r="V14" s="505">
        <f>-[5]Model!U16-[5]Model!U17-[5]Model!U18</f>
        <v>-584.648479583997</v>
      </c>
      <c r="W14" s="505">
        <f>-[5]Model!V16-[5]Model!V17-[5]Model!V18</f>
        <v>-888.51886768066</v>
      </c>
      <c r="X14" s="505"/>
      <c r="Y14" s="505">
        <f>-[5]Model!AB16-[5]Model!AB17-[5]Model!AB18</f>
        <v>-5.664315441828</v>
      </c>
      <c r="Z14" s="505">
        <f>-[5]Model!AC16-[5]Model!AC17-[5]Model!AC18</f>
        <v>-8.055826759978</v>
      </c>
      <c r="AA14" s="505">
        <f>-[5]Model!AD16-[5]Model!AD17-[5]Model!AD18</f>
        <v>-7.95215981786</v>
      </c>
      <c r="AB14" s="505">
        <f>-[5]Model!AE16-[5]Model!AE17-[5]Model!AE18</f>
        <v>-9.861169557881</v>
      </c>
      <c r="AC14" s="505">
        <f>-[5]Model!AF16-[5]Model!AF17-[5]Model!AF18</f>
        <v>-5.78823920053</v>
      </c>
      <c r="AD14" s="505">
        <f>-[5]Model!AG16-[5]Model!AG17-[5]Model!AG18</f>
        <v>-7.74441570235</v>
      </c>
      <c r="AE14" s="505">
        <f>-[5]Model!AH16-[5]Model!AH17-[5]Model!AH18</f>
        <v>-10.19017371148</v>
      </c>
      <c r="AF14" s="505">
        <f>-[5]Model!AI16-[5]Model!AI17-[5]Model!AI18</f>
        <v>-11.61082224243</v>
      </c>
      <c r="AG14" s="505">
        <f>-[5]Model!AJ16-[5]Model!AJ17-[5]Model!AJ18</f>
        <v>-6.261662950048</v>
      </c>
      <c r="AH14" s="505">
        <f>-[5]Model!AK16-[5]Model!AK17-[5]Model!AK18</f>
        <v>-6.661522897568</v>
      </c>
      <c r="AI14" s="505">
        <f>-[5]Model!AL16-[5]Model!AL17-[5]Model!AL18</f>
        <v>-5.594369659616</v>
      </c>
      <c r="AJ14" s="505">
        <f>-[5]Model!AM16-[5]Model!AM17-[5]Model!AM18</f>
        <v>-18.528490989632</v>
      </c>
      <c r="AK14" s="505">
        <f>-[5]Model!AN16-[5]Model!AN17-[5]Model!AN18</f>
        <v>-11.80688734881</v>
      </c>
      <c r="AL14" s="505">
        <f>-[5]Model!AO16-[5]Model!AO17-[5]Model!AO18</f>
        <v>-15.51955436119</v>
      </c>
      <c r="AM14" s="505">
        <f>-[5]Model!AP16-[5]Model!AP17-[5]Model!AP18</f>
        <v>-13.13562276</v>
      </c>
      <c r="AN14" s="505">
        <f>-[5]Model!AQ16-[5]Model!AQ17-[5]Model!AQ18</f>
        <v>-12.04476658</v>
      </c>
      <c r="AO14" s="505">
        <f>-[5]Model!AR16-[5]Model!AR17-[5]Model!AR18</f>
        <v>-11.71020221</v>
      </c>
      <c r="AP14" s="505">
        <f>-[5]Model!AS16-[5]Model!AS17-[5]Model!AS18</f>
        <v>-15.62431275</v>
      </c>
      <c r="AQ14" s="505">
        <f>-[5]Model!AT16-[5]Model!AT17-[5]Model!AT18</f>
        <v>-15.60462489</v>
      </c>
      <c r="AR14" s="505">
        <f>-[5]Model!AU16-[5]Model!AU17-[5]Model!AU18</f>
        <v>-22.65569387</v>
      </c>
      <c r="AS14" s="505">
        <f>-[5]Model!AV16-[5]Model!AV17-[5]Model!AV18</f>
        <v>-11.92412838</v>
      </c>
      <c r="AT14" s="505">
        <f>-[5]Model!AW16-[5]Model!AW17-[5]Model!AW18</f>
        <v>-19.78563014</v>
      </c>
      <c r="AU14" s="505">
        <f>-[5]Model!AX16-[5]Model!AX17-[5]Model!AX18</f>
        <v>-19.98778368</v>
      </c>
      <c r="AV14" s="505">
        <f>-[5]Model!AY16-[5]Model!AY17-[5]Model!AY18</f>
        <v>-20.864537</v>
      </c>
      <c r="AW14" s="505">
        <f>-[5]Model!AZ16-[5]Model!AZ17-[5]Model!AZ18</f>
        <v>-15.29030827</v>
      </c>
      <c r="AX14" s="505">
        <f>-[5]Model!BA16-[5]Model!BA17-[5]Model!BA18</f>
        <v>-21.29551327</v>
      </c>
      <c r="AY14" s="505">
        <f>-[5]Model!BB16-[5]Model!BB17-[5]Model!BB18</f>
        <v>-18.25555067</v>
      </c>
      <c r="AZ14" s="505">
        <f>-[5]Model!BC16-[5]Model!BC17-[5]Model!BC18</f>
        <v>-22.65965496</v>
      </c>
      <c r="BA14" s="505">
        <f>-[5]Model!BD16-[5]Model!BD17-[5]Model!BD18</f>
        <v>-13.97296852</v>
      </c>
      <c r="BB14" s="505">
        <f>-[5]Model!BE16-[5]Model!BE17-[5]Model!BE18</f>
        <v>-49.60310813</v>
      </c>
      <c r="BC14" s="505">
        <f>-[5]Model!BF16-[5]Model!BF17-[5]Model!BF18</f>
        <v>-35.79209064</v>
      </c>
      <c r="BD14" s="505">
        <f>-[5]Model!BG16-[5]Model!BG17-[5]Model!BG18</f>
        <v>-45.04374232</v>
      </c>
      <c r="BE14" s="505">
        <f>-[5]Model!BH16-[5]Model!BH17-[5]Model!BH18</f>
        <v>-27.57287552</v>
      </c>
      <c r="BF14" s="505">
        <f>-[5]Model!BI16-[5]Model!BI17-[5]Model!BI18</f>
        <v>-32.95471089</v>
      </c>
      <c r="BG14" s="505">
        <f>-[5]Model!BJ16-[5]Model!BJ17-[5]Model!BJ18</f>
        <v>-36.31587551</v>
      </c>
      <c r="BH14" s="505">
        <f>-[5]Model!BK16-[5]Model!BK17-[5]Model!BK18</f>
        <v>-33.74893973</v>
      </c>
      <c r="BI14" s="505">
        <f>-[5]Model!BL16-[5]Model!BL17-[5]Model!BL18</f>
        <v>-51.34494536</v>
      </c>
      <c r="BJ14" s="505">
        <f>-[5]Model!BM16-[5]Model!BM17-[5]Model!BM18</f>
        <v>-62.68768745</v>
      </c>
      <c r="BK14" s="505">
        <f>-[5]Model!BN16-[5]Model!BN17-[5]Model!BN18</f>
        <v>-60.72270889</v>
      </c>
      <c r="BL14" s="505">
        <f>-[5]Model!BO16-[5]Model!BO17-[5]Model!BO18</f>
        <v>-163.63864433</v>
      </c>
      <c r="BM14" s="505">
        <f>-[5]Model!BP16-[5]Model!BP17-[5]Model!BP18</f>
        <v>-100.98680834</v>
      </c>
      <c r="BN14" s="505">
        <f>-[5]Model!BQ16-[5]Model!BQ17-[5]Model!BQ18</f>
        <v>-121.54222036</v>
      </c>
      <c r="BO14" s="505">
        <f>-[5]Model!BR16-[5]Model!BR17-[5]Model!BR18</f>
        <v>-105.34954368</v>
      </c>
      <c r="BP14" s="505">
        <f>-[5]Model!BS16-[5]Model!BS17-[5]Model!BS18</f>
        <v>-137.32910674</v>
      </c>
      <c r="BQ14" s="505">
        <f>-[5]Model!BT16-[5]Model!BT17-[5]Model!BT18</f>
        <v>-143.615514</v>
      </c>
      <c r="BR14" s="505">
        <f>-[5]Model!BU16-[5]Model!BU17-[5]Model!BU18</f>
        <v>-118.050423120437</v>
      </c>
      <c r="BS14" s="505">
        <f>-[5]Model!BV16-[5]Model!BV17-[5]Model!BV18</f>
        <v>-130.723200132594</v>
      </c>
      <c r="BT14" s="505">
        <f>-[5]Model!BW16-[5]Model!BW17-[5]Model!BW18</f>
        <v>-155.601409564725</v>
      </c>
      <c r="BU14" s="505">
        <f>-[5]Model!BX16-[5]Model!BX17-[5]Model!BX18</f>
        <v>-121.565338826366</v>
      </c>
      <c r="BV14" s="505">
        <f>-[5]Model!BY16-[5]Model!BY17-[5]Model!BY18</f>
        <v>-131.331594302672</v>
      </c>
      <c r="BW14" s="505">
        <f>-[5]Model!BZ16-[5]Model!BZ17-[5]Model!BZ18</f>
        <v>-148.805579176959</v>
      </c>
      <c r="BX14" s="505">
        <f>-[5]Model!CA16-[5]Model!CA17-[5]Model!CA18</f>
        <v>-182.945967278</v>
      </c>
    </row>
    <row r="15" outlineLevel="2" spans="2:76">
      <c r="B15" t="s">
        <v>90</v>
      </c>
      <c r="C15" t="s">
        <v>91</v>
      </c>
      <c r="D15" t="str">
        <f t="shared" si="0"/>
        <v>CNY</v>
      </c>
      <c r="F15" s="505">
        <f t="shared" ref="F15:W15" si="1">F13+F14</f>
        <v>-227.24094719796</v>
      </c>
      <c r="G15" s="505">
        <f t="shared" si="1"/>
        <v>-254.17872805144</v>
      </c>
      <c r="H15" s="505">
        <f t="shared" si="1"/>
        <v>-350.10869888177</v>
      </c>
      <c r="I15" s="505">
        <f t="shared" si="1"/>
        <v>-393.58613954</v>
      </c>
      <c r="J15" s="505">
        <f t="shared" si="1"/>
        <v>-478.10249138</v>
      </c>
      <c r="K15" s="505">
        <f t="shared" si="1"/>
        <v>-561.00170051</v>
      </c>
      <c r="L15" s="505">
        <f t="shared" si="1"/>
        <v>-703.830808286864</v>
      </c>
      <c r="M15" s="505">
        <f t="shared" si="1"/>
        <v>-664.20012224</v>
      </c>
      <c r="N15" s="505">
        <f t="shared" si="1"/>
        <v>-826.03963843</v>
      </c>
      <c r="O15" s="505">
        <f t="shared" si="1"/>
        <v>-1334.0465781</v>
      </c>
      <c r="P15" s="505">
        <f t="shared" si="1"/>
        <v>-2050.20992784</v>
      </c>
      <c r="Q15" s="505">
        <f t="shared" si="1"/>
        <v>-2241.27045224</v>
      </c>
      <c r="R15" s="505">
        <f t="shared" si="1"/>
        <v>-2268.24877881</v>
      </c>
      <c r="S15" s="505">
        <f t="shared" si="1"/>
        <v>-5118.58592775</v>
      </c>
      <c r="T15" s="505">
        <f t="shared" si="1"/>
        <v>-13431.25765833</v>
      </c>
      <c r="U15" s="505">
        <f t="shared" si="1"/>
        <v>-27197.7611530689</v>
      </c>
      <c r="V15" s="505">
        <f t="shared" si="1"/>
        <v>-38615.883641249</v>
      </c>
      <c r="W15" s="505">
        <f t="shared" si="1"/>
        <v>-44508.0571594136</v>
      </c>
      <c r="X15" s="505"/>
      <c r="Y15" s="505">
        <f t="shared" ref="Y15:BD15" si="2">Y13+Y14</f>
        <v>-106.731011111828</v>
      </c>
      <c r="Z15" s="505">
        <f t="shared" si="2"/>
        <v>-129.443953129978</v>
      </c>
      <c r="AA15" s="505">
        <f t="shared" si="2"/>
        <v>-111.13736820786</v>
      </c>
      <c r="AB15" s="505">
        <f t="shared" si="2"/>
        <v>-130.774356007881</v>
      </c>
      <c r="AC15" s="505">
        <f t="shared" si="2"/>
        <v>-115.90998485053</v>
      </c>
      <c r="AD15" s="505">
        <f t="shared" si="2"/>
        <v>-150.81344348235</v>
      </c>
      <c r="AE15" s="505">
        <f t="shared" si="2"/>
        <v>-127.32341350148</v>
      </c>
      <c r="AF15" s="505">
        <f t="shared" si="2"/>
        <v>-166.93981044243</v>
      </c>
      <c r="AG15" s="505">
        <f t="shared" si="2"/>
        <v>-148.855782430048</v>
      </c>
      <c r="AH15" s="505">
        <f t="shared" si="2"/>
        <v>-185.146826687568</v>
      </c>
      <c r="AI15" s="505">
        <f t="shared" si="2"/>
        <v>-176.910682759616</v>
      </c>
      <c r="AJ15" s="505">
        <f t="shared" si="2"/>
        <v>-192.917516409632</v>
      </c>
      <c r="AK15" s="505">
        <f t="shared" si="2"/>
        <v>-162.75269172881</v>
      </c>
      <c r="AL15" s="505">
        <f t="shared" si="2"/>
        <v>-152.12377280119</v>
      </c>
      <c r="AM15" s="505">
        <f t="shared" si="2"/>
        <v>-168.30976868</v>
      </c>
      <c r="AN15" s="505">
        <f t="shared" si="2"/>
        <v>-181.01388903</v>
      </c>
      <c r="AO15" s="505">
        <f t="shared" si="2"/>
        <v>-169.26889882</v>
      </c>
      <c r="AP15" s="505">
        <f t="shared" si="2"/>
        <v>-189.4978277</v>
      </c>
      <c r="AQ15" s="505">
        <f t="shared" si="2"/>
        <v>-203.21917553</v>
      </c>
      <c r="AR15" s="505">
        <f t="shared" si="2"/>
        <v>-264.05373638</v>
      </c>
      <c r="AS15" s="505">
        <f t="shared" si="2"/>
        <v>-186.75928821</v>
      </c>
      <c r="AT15" s="505">
        <f t="shared" si="2"/>
        <v>-367.82498448</v>
      </c>
      <c r="AU15" s="505">
        <f t="shared" si="2"/>
        <v>-387.80119856</v>
      </c>
      <c r="AV15" s="505">
        <f t="shared" si="2"/>
        <v>-391.66110685</v>
      </c>
      <c r="AW15" s="505">
        <f t="shared" si="2"/>
        <v>-448.99076362</v>
      </c>
      <c r="AX15" s="505">
        <f t="shared" si="2"/>
        <v>-555.54662477</v>
      </c>
      <c r="AY15" s="505">
        <f t="shared" si="2"/>
        <v>-424.11048421</v>
      </c>
      <c r="AZ15" s="505">
        <f t="shared" si="2"/>
        <v>-621.56205524</v>
      </c>
      <c r="BA15" s="505">
        <f t="shared" si="2"/>
        <v>-507.9159513</v>
      </c>
      <c r="BB15" s="505">
        <f t="shared" si="2"/>
        <v>-535.56391834</v>
      </c>
      <c r="BC15" s="505">
        <f t="shared" si="2"/>
        <v>-619.71022271</v>
      </c>
      <c r="BD15" s="505">
        <f t="shared" si="2"/>
        <v>-578.08035989</v>
      </c>
      <c r="BE15" s="505">
        <f t="shared" ref="BE15:BX15" si="3">BE13+BE14</f>
        <v>-423.4541039</v>
      </c>
      <c r="BF15" s="505">
        <f t="shared" si="3"/>
        <v>-558.01665854</v>
      </c>
      <c r="BG15" s="505">
        <f t="shared" si="3"/>
        <v>-614.03453456</v>
      </c>
      <c r="BH15" s="505">
        <f t="shared" si="3"/>
        <v>-672.74348181</v>
      </c>
      <c r="BI15" s="505">
        <f t="shared" si="3"/>
        <v>-696.74557931</v>
      </c>
      <c r="BJ15" s="505">
        <f t="shared" si="3"/>
        <v>-970.85300371</v>
      </c>
      <c r="BK15" s="505">
        <f t="shared" si="3"/>
        <v>-1465.60619318</v>
      </c>
      <c r="BL15" s="505">
        <f t="shared" si="3"/>
        <v>-1985.38115155</v>
      </c>
      <c r="BM15" s="505">
        <f t="shared" si="3"/>
        <v>-2181.42610007</v>
      </c>
      <c r="BN15" s="505">
        <f t="shared" si="3"/>
        <v>-3528.30739445</v>
      </c>
      <c r="BO15" s="505">
        <f t="shared" si="3"/>
        <v>-3324.92170325</v>
      </c>
      <c r="BP15" s="505">
        <f t="shared" si="3"/>
        <v>-4396.60246056</v>
      </c>
      <c r="BQ15" s="505">
        <f t="shared" si="3"/>
        <v>-4382.52527212</v>
      </c>
      <c r="BR15" s="505">
        <f t="shared" si="3"/>
        <v>-6017.69441115817</v>
      </c>
      <c r="BS15" s="505">
        <f t="shared" si="3"/>
        <v>-7994.92095640729</v>
      </c>
      <c r="BT15" s="505">
        <f t="shared" si="3"/>
        <v>-8802.62051338348</v>
      </c>
      <c r="BU15" s="505">
        <f t="shared" si="3"/>
        <v>-8342.60383699742</v>
      </c>
      <c r="BV15" s="505">
        <f t="shared" si="3"/>
        <v>-8832.89017258045</v>
      </c>
      <c r="BW15" s="505">
        <f t="shared" si="3"/>
        <v>-11023.6973335564</v>
      </c>
      <c r="BX15" s="505">
        <f t="shared" si="3"/>
        <v>-10416.6922981148</v>
      </c>
    </row>
    <row r="16" outlineLevel="2" spans="2:76">
      <c r="B16" t="s">
        <v>92</v>
      </c>
      <c r="C16" t="s">
        <v>93</v>
      </c>
      <c r="D16" t="str">
        <f t="shared" si="0"/>
        <v>CNY</v>
      </c>
      <c r="F16" s="505">
        <f>-[5]Model!E19</f>
        <v>-10.77461007204</v>
      </c>
      <c r="G16" s="505">
        <f>-[5]Model!F19</f>
        <v>-14.29251886856</v>
      </c>
      <c r="H16" s="505">
        <f>-[5]Model!G19</f>
        <v>-16.20166231823</v>
      </c>
      <c r="I16" s="505">
        <f>-[5]Model!H19</f>
        <v>-18.18896454</v>
      </c>
      <c r="J16" s="505">
        <f>-[5]Model!I19</f>
        <v>-23.42025289</v>
      </c>
      <c r="K16" s="505">
        <f>-[5]Model!J19</f>
        <v>-29.25614945</v>
      </c>
      <c r="L16" s="505">
        <f>-[5]Model!K19</f>
        <v>-44.921106523136</v>
      </c>
      <c r="M16" s="505">
        <f>-[5]Model!L19</f>
        <v>-52.66466969</v>
      </c>
      <c r="N16" s="505">
        <f>-[5]Model!M19</f>
        <v>-81.34319845</v>
      </c>
      <c r="O16" s="505">
        <f>-[5]Model!N19</f>
        <v>-85.08281993</v>
      </c>
      <c r="P16" s="505">
        <f>-[5]Model!O19</f>
        <v>-108.42423218</v>
      </c>
      <c r="Q16" s="505">
        <f>-[5]Model!P19</f>
        <v>-187.24136194</v>
      </c>
      <c r="R16" s="505">
        <f>-[5]Model!Q19</f>
        <v>-133.77450155</v>
      </c>
      <c r="S16" s="505">
        <f>-[5]Model!R19</f>
        <v>-403.1686236</v>
      </c>
      <c r="T16" s="505">
        <f>-[5]Model!S19</f>
        <v>-702.14384824</v>
      </c>
      <c r="U16" s="505">
        <f>-[5]Model!T19</f>
        <v>-730.30908567</v>
      </c>
      <c r="V16" s="505">
        <f>-[5]Model!U19</f>
        <v>-950</v>
      </c>
      <c r="W16" s="505">
        <f>-[5]Model!V19</f>
        <v>-984.4</v>
      </c>
      <c r="X16" s="505"/>
      <c r="Y16" s="505">
        <f>-[5]Model!AB19</f>
        <v>-5.382050048172</v>
      </c>
      <c r="Z16" s="505">
        <f>-[5]Model!AC19</f>
        <v>-6.342699200022</v>
      </c>
      <c r="AA16" s="505">
        <f>-[5]Model!AD19</f>
        <v>-5.41782188214</v>
      </c>
      <c r="AB16" s="505">
        <f>-[5]Model!AE19</f>
        <v>-6.293484682119</v>
      </c>
      <c r="AC16" s="505">
        <f>-[5]Model!AF19</f>
        <v>-5.99916110947</v>
      </c>
      <c r="AD16" s="505">
        <f>-[5]Model!AG19</f>
        <v>-7.90445689765</v>
      </c>
      <c r="AE16" s="505">
        <f>-[5]Model!AH19</f>
        <v>-6.99120395852</v>
      </c>
      <c r="AF16" s="505">
        <f>-[5]Model!AI19</f>
        <v>-8.37637571757</v>
      </c>
      <c r="AG16" s="505">
        <f>-[5]Model!AJ19</f>
        <v>-9.806628349952</v>
      </c>
      <c r="AH16" s="505">
        <f>-[5]Model!AK19</f>
        <v>-12.245854802432</v>
      </c>
      <c r="AI16" s="505">
        <f>-[5]Model!AL19</f>
        <v>-11.838033360384</v>
      </c>
      <c r="AJ16" s="505">
        <f>-[5]Model!AM19</f>
        <v>-11.030590010368</v>
      </c>
      <c r="AK16" s="505">
        <f>-[5]Model!AN19</f>
        <v>-12.30136873119</v>
      </c>
      <c r="AL16" s="505">
        <f>-[5]Model!AO19</f>
        <v>-16.31070897881</v>
      </c>
      <c r="AM16" s="505">
        <f>-[5]Model!AP19</f>
        <v>-13.30703421</v>
      </c>
      <c r="AN16" s="505">
        <f>-[5]Model!AQ19</f>
        <v>-10.74555777</v>
      </c>
      <c r="AO16" s="505">
        <f>-[5]Model!AR19</f>
        <v>-11.85216023</v>
      </c>
      <c r="AP16" s="505">
        <f>-[5]Model!AS19</f>
        <v>-19.61628019</v>
      </c>
      <c r="AQ16" s="505">
        <f>-[5]Model!AT19</f>
        <v>-23.72388488</v>
      </c>
      <c r="AR16" s="505">
        <f>-[5]Model!AU19</f>
        <v>-26.15087315</v>
      </c>
      <c r="AS16" s="505">
        <f>-[5]Model!AV19</f>
        <v>-15.02545612</v>
      </c>
      <c r="AT16" s="505">
        <f>-[5]Model!AW19</f>
        <v>-24.0947912</v>
      </c>
      <c r="AU16" s="505">
        <f>-[5]Model!AX19</f>
        <v>-25.91029576</v>
      </c>
      <c r="AV16" s="505">
        <f>-[5]Model!AY19</f>
        <v>-20.05227685</v>
      </c>
      <c r="AW16" s="505">
        <f>-[5]Model!AZ19</f>
        <v>-17.72663118</v>
      </c>
      <c r="AX16" s="505">
        <f>-[5]Model!BA19</f>
        <v>-15.52303896</v>
      </c>
      <c r="AY16" s="505">
        <f>-[5]Model!BB19</f>
        <v>-21.66167505</v>
      </c>
      <c r="AZ16" s="505">
        <f>-[5]Model!BC19</f>
        <v>-53.51288699</v>
      </c>
      <c r="BA16" s="505">
        <f>-[5]Model!BD19</f>
        <v>-36.82673998</v>
      </c>
      <c r="BB16" s="505">
        <f>-[5]Model!BE19</f>
        <v>-28.36320069</v>
      </c>
      <c r="BC16" s="505">
        <f>-[5]Model!BF19</f>
        <v>-46.24608016</v>
      </c>
      <c r="BD16" s="505">
        <f>-[5]Model!BG19</f>
        <v>-75.80534111</v>
      </c>
      <c r="BE16" s="505">
        <f>-[5]Model!BH19</f>
        <v>-31.57793624</v>
      </c>
      <c r="BF16" s="505">
        <f>-[5]Model!BI19</f>
        <v>-29.23529009</v>
      </c>
      <c r="BG16" s="505">
        <f>-[5]Model!BJ19</f>
        <v>-39.46999666</v>
      </c>
      <c r="BH16" s="505">
        <f>-[5]Model!BK19</f>
        <v>-33.49127856</v>
      </c>
      <c r="BI16" s="505">
        <f>-[5]Model!BL19</f>
        <v>-53.18913031</v>
      </c>
      <c r="BJ16" s="505">
        <f>-[5]Model!BM19</f>
        <v>-76.38059619</v>
      </c>
      <c r="BK16" s="505">
        <f>-[5]Model!BN19</f>
        <v>-71.28638816</v>
      </c>
      <c r="BL16" s="505">
        <f>-[5]Model!BO19</f>
        <v>-202.31250894</v>
      </c>
      <c r="BM16" s="505">
        <f>-[5]Model!BP19</f>
        <v>-117.88531689</v>
      </c>
      <c r="BN16" s="505">
        <f>-[5]Model!BQ19</f>
        <v>-215.83030265</v>
      </c>
      <c r="BO16" s="505">
        <f>-[5]Model!BR19</f>
        <v>-167.55891718</v>
      </c>
      <c r="BP16" s="505">
        <f>-[5]Model!BS19</f>
        <v>-200.86931152</v>
      </c>
      <c r="BQ16" s="505">
        <f>-[5]Model!BT19</f>
        <v>-119.90908567</v>
      </c>
      <c r="BR16" s="505">
        <f>-[5]Model!BU19</f>
        <v>-160.23</v>
      </c>
      <c r="BS16" s="505">
        <f>-[5]Model!BV19</f>
        <v>-167.86</v>
      </c>
      <c r="BT16" s="505">
        <f>-[5]Model!BW19</f>
        <v>-282.31</v>
      </c>
      <c r="BU16" s="505">
        <f>-[5]Model!BX19</f>
        <v>-190</v>
      </c>
      <c r="BV16" s="505">
        <f>-[5]Model!BY19</f>
        <v>-209</v>
      </c>
      <c r="BW16" s="505">
        <f>-[5]Model!BZ19</f>
        <v>-218.5</v>
      </c>
      <c r="BX16" s="505">
        <f>-[5]Model!CA19</f>
        <v>-332.5</v>
      </c>
    </row>
    <row r="17" outlineLevel="2" spans="2:76">
      <c r="B17" t="s">
        <v>94</v>
      </c>
      <c r="C17" t="s">
        <v>95</v>
      </c>
      <c r="D17" t="str">
        <f t="shared" si="0"/>
        <v>CNY</v>
      </c>
      <c r="F17" s="505"/>
      <c r="G17" s="505"/>
      <c r="H17" s="505"/>
      <c r="I17" s="505"/>
      <c r="J17" s="505"/>
      <c r="K17" s="505"/>
      <c r="L17" s="505"/>
      <c r="M17" s="505"/>
      <c r="N17" s="505"/>
      <c r="O17" s="505"/>
      <c r="P17" s="505"/>
      <c r="Q17" s="505"/>
      <c r="R17" s="505"/>
      <c r="S17" s="505"/>
      <c r="T17" s="505"/>
      <c r="U17" s="505"/>
      <c r="V17" s="505"/>
      <c r="W17" s="505"/>
      <c r="X17" s="505"/>
      <c r="Y17" s="505"/>
      <c r="Z17" s="505"/>
      <c r="AA17" s="505"/>
      <c r="AB17" s="505"/>
      <c r="AC17" s="505"/>
      <c r="AD17" s="505"/>
      <c r="AE17" s="505"/>
      <c r="AF17" s="505"/>
      <c r="AG17" s="505"/>
      <c r="AH17" s="505"/>
      <c r="AI17" s="505"/>
      <c r="AJ17" s="505"/>
      <c r="AK17" s="505"/>
      <c r="AL17" s="505"/>
      <c r="AM17" s="505"/>
      <c r="AN17" s="505"/>
      <c r="AO17" s="505"/>
      <c r="AP17" s="505"/>
      <c r="AQ17" s="505"/>
      <c r="AR17" s="505"/>
      <c r="AS17" s="505"/>
      <c r="AT17" s="505"/>
      <c r="AU17" s="505"/>
      <c r="AV17" s="505"/>
      <c r="AW17" s="505"/>
      <c r="AX17" s="505"/>
      <c r="AY17" s="505"/>
      <c r="AZ17" s="505"/>
      <c r="BA17" s="505"/>
      <c r="BB17" s="505"/>
      <c r="BC17" s="505"/>
      <c r="BD17" s="505"/>
      <c r="BE17" s="505"/>
      <c r="BF17" s="505"/>
      <c r="BG17" s="505"/>
      <c r="BH17" s="505"/>
      <c r="BI17" s="505"/>
      <c r="BJ17" s="505"/>
      <c r="BK17" s="505"/>
      <c r="BL17" s="505"/>
      <c r="BM17" s="505"/>
      <c r="BN17" s="505"/>
      <c r="BO17" s="505"/>
      <c r="BP17" s="505"/>
      <c r="BQ17" s="505"/>
      <c r="BR17" s="505"/>
      <c r="BS17" s="505"/>
      <c r="BT17" s="505"/>
      <c r="BU17" s="505"/>
      <c r="BV17" s="505"/>
      <c r="BW17" s="505"/>
      <c r="BX17" s="505"/>
    </row>
    <row r="18" outlineLevel="2" spans="2:76">
      <c r="B18" t="s">
        <v>96</v>
      </c>
      <c r="C18" t="s">
        <v>97</v>
      </c>
      <c r="D18" t="str">
        <f t="shared" si="0"/>
        <v>CNY</v>
      </c>
      <c r="F18" s="505">
        <f t="shared" ref="F18:W18" si="4">F15+F16</f>
        <v>-238.01555727</v>
      </c>
      <c r="G18" s="505">
        <f t="shared" si="4"/>
        <v>-268.47124692</v>
      </c>
      <c r="H18" s="505">
        <f t="shared" si="4"/>
        <v>-366.3103612</v>
      </c>
      <c r="I18" s="505">
        <f t="shared" si="4"/>
        <v>-411.77510408</v>
      </c>
      <c r="J18" s="505">
        <f t="shared" si="4"/>
        <v>-501.52274427</v>
      </c>
      <c r="K18" s="505">
        <f t="shared" si="4"/>
        <v>-590.25784996</v>
      </c>
      <c r="L18" s="505">
        <f t="shared" si="4"/>
        <v>-748.75191481</v>
      </c>
      <c r="M18" s="505">
        <f t="shared" si="4"/>
        <v>-716.86479193</v>
      </c>
      <c r="N18" s="505">
        <f t="shared" si="4"/>
        <v>-907.38283688</v>
      </c>
      <c r="O18" s="505">
        <f t="shared" si="4"/>
        <v>-1419.12939803</v>
      </c>
      <c r="P18" s="505">
        <f t="shared" si="4"/>
        <v>-2158.63416002</v>
      </c>
      <c r="Q18" s="505">
        <f t="shared" si="4"/>
        <v>-2428.51181418</v>
      </c>
      <c r="R18" s="505">
        <f t="shared" si="4"/>
        <v>-2402.02328036</v>
      </c>
      <c r="S18" s="505">
        <f t="shared" si="4"/>
        <v>-5521.75455135</v>
      </c>
      <c r="T18" s="505">
        <f t="shared" si="4"/>
        <v>-14133.40150657</v>
      </c>
      <c r="U18" s="505">
        <f t="shared" si="4"/>
        <v>-27928.0702387389</v>
      </c>
      <c r="V18" s="505">
        <f t="shared" si="4"/>
        <v>-39565.883641249</v>
      </c>
      <c r="W18" s="505">
        <f t="shared" si="4"/>
        <v>-45492.4571594136</v>
      </c>
      <c r="X18" s="505"/>
      <c r="Y18" s="505">
        <f t="shared" ref="Y18:BD18" si="5">Y15+Y16</f>
        <v>-112.11306116</v>
      </c>
      <c r="Z18" s="505">
        <f t="shared" si="5"/>
        <v>-135.78665233</v>
      </c>
      <c r="AA18" s="505">
        <f t="shared" si="5"/>
        <v>-116.55519009</v>
      </c>
      <c r="AB18" s="505">
        <f t="shared" si="5"/>
        <v>-137.06784069</v>
      </c>
      <c r="AC18" s="505">
        <f t="shared" si="5"/>
        <v>-121.90914596</v>
      </c>
      <c r="AD18" s="505">
        <f t="shared" si="5"/>
        <v>-158.71790038</v>
      </c>
      <c r="AE18" s="505">
        <f t="shared" si="5"/>
        <v>-134.31461746</v>
      </c>
      <c r="AF18" s="505">
        <f t="shared" si="5"/>
        <v>-175.31618616</v>
      </c>
      <c r="AG18" s="505">
        <f t="shared" si="5"/>
        <v>-158.66241078</v>
      </c>
      <c r="AH18" s="505">
        <f t="shared" si="5"/>
        <v>-197.39268149</v>
      </c>
      <c r="AI18" s="505">
        <f t="shared" si="5"/>
        <v>-188.74871612</v>
      </c>
      <c r="AJ18" s="505">
        <f t="shared" si="5"/>
        <v>-203.94810642</v>
      </c>
      <c r="AK18" s="505">
        <f t="shared" si="5"/>
        <v>-175.05406046</v>
      </c>
      <c r="AL18" s="505">
        <f t="shared" si="5"/>
        <v>-168.43448178</v>
      </c>
      <c r="AM18" s="505">
        <f t="shared" si="5"/>
        <v>-181.61680289</v>
      </c>
      <c r="AN18" s="505">
        <f t="shared" si="5"/>
        <v>-191.7594468</v>
      </c>
      <c r="AO18" s="505">
        <f t="shared" si="5"/>
        <v>-181.12105905</v>
      </c>
      <c r="AP18" s="505">
        <f t="shared" si="5"/>
        <v>-209.11410789</v>
      </c>
      <c r="AQ18" s="505">
        <f t="shared" si="5"/>
        <v>-226.94306041</v>
      </c>
      <c r="AR18" s="505">
        <f t="shared" si="5"/>
        <v>-290.20460953</v>
      </c>
      <c r="AS18" s="505">
        <f t="shared" si="5"/>
        <v>-201.78474433</v>
      </c>
      <c r="AT18" s="505">
        <f t="shared" si="5"/>
        <v>-391.91977568</v>
      </c>
      <c r="AU18" s="505">
        <f t="shared" si="5"/>
        <v>-413.71149432</v>
      </c>
      <c r="AV18" s="505">
        <f t="shared" si="5"/>
        <v>-411.7133837</v>
      </c>
      <c r="AW18" s="505">
        <f t="shared" si="5"/>
        <v>-466.7173948</v>
      </c>
      <c r="AX18" s="505">
        <f t="shared" si="5"/>
        <v>-571.06966373</v>
      </c>
      <c r="AY18" s="505">
        <f t="shared" si="5"/>
        <v>-445.77215926</v>
      </c>
      <c r="AZ18" s="505">
        <f t="shared" si="5"/>
        <v>-675.07494223</v>
      </c>
      <c r="BA18" s="505">
        <f t="shared" si="5"/>
        <v>-544.74269128</v>
      </c>
      <c r="BB18" s="505">
        <f t="shared" si="5"/>
        <v>-563.92711903</v>
      </c>
      <c r="BC18" s="505">
        <f t="shared" si="5"/>
        <v>-665.95630287</v>
      </c>
      <c r="BD18" s="505">
        <f t="shared" si="5"/>
        <v>-653.885701</v>
      </c>
      <c r="BE18" s="505">
        <f t="shared" ref="BE18:BX18" si="6">BE15+BE16</f>
        <v>-455.03204014</v>
      </c>
      <c r="BF18" s="505">
        <f t="shared" si="6"/>
        <v>-587.25194863</v>
      </c>
      <c r="BG18" s="505">
        <f t="shared" si="6"/>
        <v>-653.50453122</v>
      </c>
      <c r="BH18" s="505">
        <f t="shared" si="6"/>
        <v>-706.23476037</v>
      </c>
      <c r="BI18" s="505">
        <f t="shared" si="6"/>
        <v>-749.93470962</v>
      </c>
      <c r="BJ18" s="505">
        <f t="shared" si="6"/>
        <v>-1047.2335999</v>
      </c>
      <c r="BK18" s="505">
        <f t="shared" si="6"/>
        <v>-1536.89258134</v>
      </c>
      <c r="BL18" s="505">
        <f t="shared" si="6"/>
        <v>-2187.69366049</v>
      </c>
      <c r="BM18" s="505">
        <f t="shared" si="6"/>
        <v>-2299.31141696</v>
      </c>
      <c r="BN18" s="505">
        <f t="shared" si="6"/>
        <v>-3744.1376971</v>
      </c>
      <c r="BO18" s="505">
        <f t="shared" si="6"/>
        <v>-3492.48062043</v>
      </c>
      <c r="BP18" s="505">
        <f t="shared" si="6"/>
        <v>-4597.47177208</v>
      </c>
      <c r="BQ18" s="505">
        <f t="shared" si="6"/>
        <v>-4502.43435779</v>
      </c>
      <c r="BR18" s="505">
        <f t="shared" si="6"/>
        <v>-6177.92441115817</v>
      </c>
      <c r="BS18" s="505">
        <f t="shared" si="6"/>
        <v>-8162.78095640729</v>
      </c>
      <c r="BT18" s="505">
        <f t="shared" si="6"/>
        <v>-9084.93051338348</v>
      </c>
      <c r="BU18" s="505">
        <f t="shared" si="6"/>
        <v>-8532.60383699742</v>
      </c>
      <c r="BV18" s="505">
        <f t="shared" si="6"/>
        <v>-9041.89017258045</v>
      </c>
      <c r="BW18" s="505">
        <f t="shared" si="6"/>
        <v>-11242.1973335564</v>
      </c>
      <c r="BX18" s="505">
        <f t="shared" si="6"/>
        <v>-10749.1922981148</v>
      </c>
    </row>
    <row r="19" outlineLevel="2" spans="2:76">
      <c r="B19" t="s">
        <v>98</v>
      </c>
      <c r="C19" t="s">
        <v>99</v>
      </c>
      <c r="D19" t="str">
        <f t="shared" si="0"/>
        <v>CNY</v>
      </c>
      <c r="F19" s="505">
        <f t="shared" ref="F19:W19" si="7">F18-F21-F22</f>
        <v>-235.09805727</v>
      </c>
      <c r="G19" s="505">
        <f t="shared" si="7"/>
        <v>-265.56484692</v>
      </c>
      <c r="H19" s="505">
        <f t="shared" si="7"/>
        <v>-360.81015026</v>
      </c>
      <c r="I19" s="505">
        <f t="shared" si="7"/>
        <v>-399.38828792</v>
      </c>
      <c r="J19" s="505">
        <f t="shared" si="7"/>
        <v>-485.87516143</v>
      </c>
      <c r="K19" s="505">
        <f t="shared" si="7"/>
        <v>-565.94531429</v>
      </c>
      <c r="L19" s="505">
        <f t="shared" si="7"/>
        <v>-701.46852447</v>
      </c>
      <c r="M19" s="505">
        <f t="shared" si="7"/>
        <v>-662.95614204</v>
      </c>
      <c r="N19" s="505">
        <f t="shared" si="7"/>
        <v>-872.53133676</v>
      </c>
      <c r="O19" s="505">
        <f t="shared" si="7"/>
        <v>-1369.12246914</v>
      </c>
      <c r="P19" s="505">
        <f t="shared" si="7"/>
        <v>-2086.39126355</v>
      </c>
      <c r="Q19" s="505">
        <f t="shared" si="7"/>
        <v>-2331.52231794</v>
      </c>
      <c r="R19" s="505">
        <f t="shared" si="7"/>
        <v>-2275.85088248</v>
      </c>
      <c r="S19" s="505">
        <f t="shared" si="7"/>
        <v>-5311.2703568196</v>
      </c>
      <c r="T19" s="505">
        <f t="shared" si="7"/>
        <v>-13745.6977779775</v>
      </c>
      <c r="U19" s="505">
        <f t="shared" si="7"/>
        <v>-27315.6171483992</v>
      </c>
      <c r="V19" s="505">
        <f t="shared" si="7"/>
        <v>-38718.2919172442</v>
      </c>
      <c r="W19" s="505">
        <f t="shared" si="7"/>
        <v>-44458.6903137724</v>
      </c>
      <c r="X19" s="505"/>
      <c r="Y19" s="505">
        <f t="shared" ref="Y19:BD19" si="8">Y18-Y21-Y22</f>
        <v>-108.46432607</v>
      </c>
      <c r="Z19" s="505">
        <f t="shared" si="8"/>
        <v>-132.13791724</v>
      </c>
      <c r="AA19" s="505">
        <f t="shared" si="8"/>
        <v>-112.906455</v>
      </c>
      <c r="AB19" s="505">
        <f t="shared" si="8"/>
        <v>-133.4191056</v>
      </c>
      <c r="AC19" s="505">
        <f t="shared" si="8"/>
        <v>-118.26041087</v>
      </c>
      <c r="AD19" s="505">
        <f t="shared" si="8"/>
        <v>-155.06916529</v>
      </c>
      <c r="AE19" s="505">
        <f t="shared" si="8"/>
        <v>-125.81846872</v>
      </c>
      <c r="AF19" s="505">
        <f t="shared" si="8"/>
        <v>-166.82003742</v>
      </c>
      <c r="AG19" s="505">
        <f t="shared" si="8"/>
        <v>-148.43837129</v>
      </c>
      <c r="AH19" s="505">
        <f t="shared" si="8"/>
        <v>-187.168642</v>
      </c>
      <c r="AI19" s="505">
        <f t="shared" si="8"/>
        <v>-175.4090286</v>
      </c>
      <c r="AJ19" s="505">
        <f t="shared" si="8"/>
        <v>-190.6084189</v>
      </c>
      <c r="AK19" s="505">
        <f t="shared" si="8"/>
        <v>-160.04367139</v>
      </c>
      <c r="AL19" s="505">
        <f t="shared" si="8"/>
        <v>-153.42409271</v>
      </c>
      <c r="AM19" s="505">
        <f t="shared" si="8"/>
        <v>-169.72221818</v>
      </c>
      <c r="AN19" s="505">
        <f t="shared" si="8"/>
        <v>-179.86486209</v>
      </c>
      <c r="AO19" s="505">
        <f t="shared" si="8"/>
        <v>-172.78599518</v>
      </c>
      <c r="AP19" s="505">
        <f t="shared" si="8"/>
        <v>-200.77904402</v>
      </c>
      <c r="AQ19" s="505">
        <f t="shared" si="8"/>
        <v>-219.265661495</v>
      </c>
      <c r="AR19" s="505">
        <f t="shared" si="8"/>
        <v>-282.527210615</v>
      </c>
      <c r="AS19" s="505">
        <f t="shared" si="8"/>
        <v>-191.39769315</v>
      </c>
      <c r="AT19" s="505">
        <f t="shared" si="8"/>
        <v>-381.5327245</v>
      </c>
      <c r="AU19" s="505">
        <f t="shared" si="8"/>
        <v>-399.335693455</v>
      </c>
      <c r="AV19" s="505">
        <f t="shared" si="8"/>
        <v>-397.337582835</v>
      </c>
      <c r="AW19" s="505">
        <f t="shared" si="8"/>
        <v>-449.68834998</v>
      </c>
      <c r="AX19" s="505">
        <f t="shared" si="8"/>
        <v>-554.04061891</v>
      </c>
      <c r="AY19" s="505">
        <f t="shared" si="8"/>
        <v>-426.81462091</v>
      </c>
      <c r="AZ19" s="505">
        <f t="shared" si="8"/>
        <v>-656.11740388</v>
      </c>
      <c r="BA19" s="505">
        <f t="shared" si="8"/>
        <v>-521.73850053</v>
      </c>
      <c r="BB19" s="505">
        <f t="shared" si="8"/>
        <v>-540.92292828</v>
      </c>
      <c r="BC19" s="505">
        <f t="shared" si="8"/>
        <v>-639.009588095</v>
      </c>
      <c r="BD19" s="505">
        <f t="shared" si="8"/>
        <v>-626.938986225</v>
      </c>
      <c r="BE19" s="505">
        <f t="shared" ref="BE19:BX19" si="9">BE18-BE21-BE22</f>
        <v>-426.11787661</v>
      </c>
      <c r="BF19" s="505">
        <f t="shared" si="9"/>
        <v>-558.3377851</v>
      </c>
      <c r="BG19" s="505">
        <f t="shared" si="9"/>
        <v>-625.50453122</v>
      </c>
      <c r="BH19" s="505">
        <f t="shared" si="9"/>
        <v>-665.89068955</v>
      </c>
      <c r="BI19" s="505">
        <f t="shared" si="9"/>
        <v>-697.3136609874</v>
      </c>
      <c r="BJ19" s="505">
        <f t="shared" si="9"/>
        <v>-994.6125512674</v>
      </c>
      <c r="BK19" s="505">
        <f t="shared" si="9"/>
        <v>-1484.2715327074</v>
      </c>
      <c r="BL19" s="505">
        <f t="shared" si="9"/>
        <v>-2135.0726118574</v>
      </c>
      <c r="BM19" s="505">
        <f t="shared" si="9"/>
        <v>-2202.38548481186</v>
      </c>
      <c r="BN19" s="505">
        <f t="shared" si="9"/>
        <v>-3647.21176495186</v>
      </c>
      <c r="BO19" s="505">
        <f t="shared" si="9"/>
        <v>-3395.55468828186</v>
      </c>
      <c r="BP19" s="505">
        <f t="shared" si="9"/>
        <v>-4500.54583993186</v>
      </c>
      <c r="BQ19" s="505">
        <f t="shared" si="9"/>
        <v>-4349.32108520507</v>
      </c>
      <c r="BR19" s="505">
        <f t="shared" si="9"/>
        <v>-6024.81113857324</v>
      </c>
      <c r="BS19" s="505">
        <f t="shared" si="9"/>
        <v>-8009.66768382236</v>
      </c>
      <c r="BT19" s="505">
        <f t="shared" si="9"/>
        <v>-8931.81724079855</v>
      </c>
      <c r="BU19" s="505">
        <f t="shared" si="9"/>
        <v>-8320.70590599621</v>
      </c>
      <c r="BV19" s="505">
        <f t="shared" si="9"/>
        <v>-8829.99224157924</v>
      </c>
      <c r="BW19" s="505">
        <f t="shared" si="9"/>
        <v>-11030.2994025552</v>
      </c>
      <c r="BX19" s="505">
        <f t="shared" si="9"/>
        <v>-10537.2943671136</v>
      </c>
    </row>
    <row r="20" outlineLevel="2" spans="2:76">
      <c r="B20" t="s">
        <v>100</v>
      </c>
      <c r="C20" t="s">
        <v>101</v>
      </c>
      <c r="D20" t="str">
        <f t="shared" si="0"/>
        <v>CNY</v>
      </c>
      <c r="F20" s="505">
        <f>[5]Model!E46</f>
        <v>69.83037025</v>
      </c>
      <c r="G20" s="505">
        <f>[5]Model!F46</f>
        <v>82.00321992</v>
      </c>
      <c r="H20" s="505">
        <f>[5]Model!G46</f>
        <v>100.2388455</v>
      </c>
      <c r="I20" s="505">
        <f>[5]Model!H46</f>
        <v>123.24598041</v>
      </c>
      <c r="J20" s="505">
        <f>[5]Model!I46</f>
        <v>129.2444137</v>
      </c>
      <c r="K20" s="505">
        <f>[5]Model!J46</f>
        <v>147.98633652</v>
      </c>
      <c r="L20" s="505">
        <f>[5]Model!K46</f>
        <v>175.89683731</v>
      </c>
      <c r="M20" s="505">
        <f>[5]Model!L46</f>
        <v>96.9941424599999</v>
      </c>
      <c r="N20" s="505">
        <f>[5]Model!M46</f>
        <v>292.3423456</v>
      </c>
      <c r="O20" s="505">
        <f>[5]Model!N46</f>
        <v>628.81527713</v>
      </c>
      <c r="P20" s="505">
        <f>[5]Model!O46</f>
        <v>821.98480021</v>
      </c>
      <c r="Q20" s="505">
        <f>[5]Model!P46</f>
        <v>979.05147259</v>
      </c>
      <c r="R20" s="505">
        <f>[5]Model!Q46</f>
        <v>821.75486804</v>
      </c>
      <c r="S20" s="505">
        <f>[5]Model!R46</f>
        <v>3335.5607775004</v>
      </c>
      <c r="T20" s="505">
        <f>[5]Model!S46</f>
        <v>11096.1570622425</v>
      </c>
      <c r="U20" s="505">
        <f>[5]Model!T46</f>
        <v>24140.9223495242</v>
      </c>
      <c r="V20" s="505">
        <f>[5]Model!U46</f>
        <v>35192.2987696829</v>
      </c>
      <c r="W20" s="505">
        <f>[5]Model!V46</f>
        <v>40516.6853164126</v>
      </c>
      <c r="X20" s="505"/>
      <c r="Y20" s="505">
        <f>[5]Model!AB46</f>
        <v>32.79683005</v>
      </c>
      <c r="Z20" s="505">
        <f>[5]Model!AC46</f>
        <v>34.33712738</v>
      </c>
      <c r="AA20" s="505">
        <f>[5]Model!AD46</f>
        <v>29.2935944</v>
      </c>
      <c r="AB20" s="505">
        <f>[5]Model!AE46</f>
        <v>31.76421939</v>
      </c>
      <c r="AC20" s="505">
        <f>[5]Model!AF46</f>
        <v>28.0605918</v>
      </c>
      <c r="AD20" s="505">
        <f>[5]Model!AG46</f>
        <v>37.72246636</v>
      </c>
      <c r="AE20" s="505">
        <f>[5]Model!AH46</f>
        <v>44.698701</v>
      </c>
      <c r="AF20" s="505">
        <f>[5]Model!AI46</f>
        <v>37.48180935</v>
      </c>
      <c r="AG20" s="505">
        <f>[5]Model!AJ46</f>
        <v>43.09733867</v>
      </c>
      <c r="AH20" s="505">
        <f>[5]Model!AK46</f>
        <v>52.00820961</v>
      </c>
      <c r="AI20" s="505">
        <f>[5]Model!AL46</f>
        <v>55.80256047</v>
      </c>
      <c r="AJ20" s="505">
        <f>[5]Model!AM46</f>
        <v>24.83279224</v>
      </c>
      <c r="AK20" s="505">
        <f>[5]Model!AN46</f>
        <v>17.46525691</v>
      </c>
      <c r="AL20" s="505">
        <f>[5]Model!AO46</f>
        <v>5.14533545999997</v>
      </c>
      <c r="AM20" s="505">
        <f>[5]Model!AP46</f>
        <v>28.26434821</v>
      </c>
      <c r="AN20" s="505">
        <f>[5]Model!AQ46</f>
        <v>46.02049955</v>
      </c>
      <c r="AO20" s="505">
        <f>[5]Model!AR46</f>
        <v>51.10041996</v>
      </c>
      <c r="AP20" s="505">
        <f>[5]Model!AS46</f>
        <v>55.67429594</v>
      </c>
      <c r="AQ20" s="505">
        <f>[5]Model!AT46</f>
        <v>71.639932165</v>
      </c>
      <c r="AR20" s="505">
        <f>[5]Model!AU46</f>
        <v>111.101122985</v>
      </c>
      <c r="AS20" s="505">
        <f>[5]Model!AV46</f>
        <v>78.63319282</v>
      </c>
      <c r="AT20" s="505">
        <f>[5]Model!AW46</f>
        <v>184.98802252</v>
      </c>
      <c r="AU20" s="505">
        <f>[5]Model!AX46</f>
        <v>201.567773835</v>
      </c>
      <c r="AV20" s="505">
        <f>[5]Model!AY46</f>
        <v>163.145063155</v>
      </c>
      <c r="AW20" s="505">
        <f>[5]Model!AZ46</f>
        <v>174.63881311</v>
      </c>
      <c r="AX20" s="505">
        <f>[5]Model!BA46</f>
        <v>262.83479366</v>
      </c>
      <c r="AY20" s="505">
        <f>[5]Model!BB46</f>
        <v>151.27372738</v>
      </c>
      <c r="AZ20" s="505">
        <f>[5]Model!BC46</f>
        <v>232.96773593</v>
      </c>
      <c r="BA20" s="505">
        <f>[5]Model!BD46</f>
        <v>216.77480333</v>
      </c>
      <c r="BB20" s="505">
        <f>[5]Model!BE46</f>
        <v>199.41172398</v>
      </c>
      <c r="BC20" s="505">
        <f>[5]Model!BF46</f>
        <v>296.649568445</v>
      </c>
      <c r="BD20" s="505">
        <f>[5]Model!BG46</f>
        <v>269.127691645</v>
      </c>
      <c r="BE20" s="505">
        <f>[5]Model!BH46</f>
        <v>174.10501449</v>
      </c>
      <c r="BF20" s="505">
        <f>[5]Model!BI46</f>
        <v>146.12314882</v>
      </c>
      <c r="BG20" s="505">
        <f>[5]Model!BJ46</f>
        <v>156.85919558</v>
      </c>
      <c r="BH20" s="505">
        <f>[5]Model!BK46</f>
        <v>344.66750915</v>
      </c>
      <c r="BI20" s="505">
        <f>[5]Model!BL46</f>
        <v>415.5402335026</v>
      </c>
      <c r="BJ20" s="505">
        <f>[5]Model!BM46</f>
        <v>620.2083256326</v>
      </c>
      <c r="BK20" s="505">
        <f>[5]Model!BN46</f>
        <v>918.4895044226</v>
      </c>
      <c r="BL20" s="505">
        <f>[5]Model!BO46</f>
        <v>1381.3227139426</v>
      </c>
      <c r="BM20" s="505">
        <f>[5]Model!BP46</f>
        <v>1849.87105355814</v>
      </c>
      <c r="BN20" s="505">
        <f>[5]Model!BQ46</f>
        <v>2737.70196217814</v>
      </c>
      <c r="BO20" s="505">
        <f>[5]Model!BR46</f>
        <v>2672.06625751813</v>
      </c>
      <c r="BP20" s="505">
        <f>[5]Model!BS46</f>
        <v>3836.51778898814</v>
      </c>
      <c r="BQ20" s="505">
        <f>[5]Model!BT46</f>
        <v>3988.58095553493</v>
      </c>
      <c r="BR20" s="505">
        <f>[5]Model!BU46</f>
        <v>5258.43701954293</v>
      </c>
      <c r="BS20" s="505">
        <f>[5]Model!BV46</f>
        <v>7154.25312488238</v>
      </c>
      <c r="BT20" s="505">
        <f>[5]Model!BW46</f>
        <v>7739.65124956396</v>
      </c>
      <c r="BU20" s="505">
        <f>[5]Model!BX46</f>
        <v>6851.38088457136</v>
      </c>
      <c r="BV20" s="505">
        <f>[5]Model!BY46</f>
        <v>7970.28792268722</v>
      </c>
      <c r="BW20" s="505">
        <f>[5]Model!BZ46</f>
        <v>10631.0209842904</v>
      </c>
      <c r="BX20" s="505">
        <f>[5]Model!CA46</f>
        <v>9739.6089781339</v>
      </c>
    </row>
    <row r="21" outlineLevel="2" spans="2:76">
      <c r="B21" t="s">
        <v>102</v>
      </c>
      <c r="C21" t="s">
        <v>103</v>
      </c>
      <c r="D21" t="str">
        <f t="shared" si="0"/>
        <v>CNY</v>
      </c>
      <c r="F21" s="505">
        <f>-[5]Model!E44</f>
        <v>-2.7811</v>
      </c>
      <c r="G21" s="505">
        <f>-[5]Model!F44</f>
        <v>-2.8049</v>
      </c>
      <c r="H21" s="505">
        <f>-[5]Model!G44</f>
        <v>-5.27212379</v>
      </c>
      <c r="I21" s="505">
        <f>-[5]Model!H44</f>
        <v>-12.06805423</v>
      </c>
      <c r="J21" s="505">
        <f>-[5]Model!I44</f>
        <v>-15.21401706</v>
      </c>
      <c r="K21" s="505">
        <f>-[5]Model!J44</f>
        <v>-23.89663331</v>
      </c>
      <c r="L21" s="505">
        <f>-[5]Model!K44</f>
        <v>-46.8622836</v>
      </c>
      <c r="M21" s="505">
        <f>-[5]Model!L44</f>
        <v>-53.23269965</v>
      </c>
      <c r="N21" s="505">
        <f>-[5]Model!M44</f>
        <v>-33.98267841</v>
      </c>
      <c r="O21" s="505">
        <f>-[5]Model!N44</f>
        <v>-49.14134274</v>
      </c>
      <c r="P21" s="505">
        <f>-[5]Model!O44</f>
        <v>-71.31767662</v>
      </c>
      <c r="Q21" s="505">
        <f>-[5]Model!P44</f>
        <v>-84.04826139</v>
      </c>
      <c r="R21" s="505">
        <f>-[5]Model!Q44</f>
        <v>-102.96081444</v>
      </c>
      <c r="S21" s="505">
        <f>-[5]Model!R44</f>
        <v>-183.4543323256</v>
      </c>
      <c r="T21" s="505">
        <f>-[5]Model!S44</f>
        <v>-364.458047096416</v>
      </c>
      <c r="U21" s="505">
        <f>-[5]Model!T44</f>
        <v>-592.461804253058</v>
      </c>
      <c r="V21" s="505">
        <f>-[5]Model!U44</f>
        <v>-830.399217970291</v>
      </c>
      <c r="W21" s="505">
        <f>-[5]Model!V44</f>
        <v>-1018.98129045148</v>
      </c>
      <c r="X21" s="505"/>
      <c r="Y21" s="505">
        <f>-[5]Model!AB44</f>
        <v>-3.54344109</v>
      </c>
      <c r="Z21" s="505">
        <f>-[5]Model!AC44</f>
        <v>-3.54344109</v>
      </c>
      <c r="AA21" s="505">
        <f>-[5]Model!AD44</f>
        <v>-3.54344109</v>
      </c>
      <c r="AB21" s="505">
        <f>-[5]Model!AE44</f>
        <v>-3.54344109</v>
      </c>
      <c r="AC21" s="505">
        <f>-[5]Model!AF44</f>
        <v>-3.54344109</v>
      </c>
      <c r="AD21" s="505">
        <f>-[5]Model!AG44</f>
        <v>-3.54344109</v>
      </c>
      <c r="AE21" s="505">
        <f>-[5]Model!AH44</f>
        <v>-8.39349156</v>
      </c>
      <c r="AF21" s="505">
        <f>-[5]Model!AI44</f>
        <v>-8.39349156</v>
      </c>
      <c r="AG21" s="505">
        <f>-[5]Model!AJ44</f>
        <v>-10.1210434</v>
      </c>
      <c r="AH21" s="505">
        <f>-[5]Model!AK44</f>
        <v>-10.1210434</v>
      </c>
      <c r="AI21" s="505">
        <f>-[5]Model!AL44</f>
        <v>-13.23213024</v>
      </c>
      <c r="AJ21" s="505">
        <f>-[5]Model!AM44</f>
        <v>-13.23213024</v>
      </c>
      <c r="AK21" s="505">
        <f>-[5]Model!AN44</f>
        <v>-14.87500408</v>
      </c>
      <c r="AL21" s="505">
        <f>-[5]Model!AO44</f>
        <v>-14.87500408</v>
      </c>
      <c r="AM21" s="505">
        <f>-[5]Model!AP44</f>
        <v>-11.69199458</v>
      </c>
      <c r="AN21" s="505">
        <f>-[5]Model!AQ44</f>
        <v>-11.69199458</v>
      </c>
      <c r="AO21" s="505">
        <f>-[5]Model!AR44</f>
        <v>-8.121581115</v>
      </c>
      <c r="AP21" s="505">
        <f>-[5]Model!AS44</f>
        <v>-8.121581115</v>
      </c>
      <c r="AQ21" s="505">
        <f>-[5]Model!AT44</f>
        <v>-7.456470815</v>
      </c>
      <c r="AR21" s="505">
        <f>-[5]Model!AU44</f>
        <v>-7.456470815</v>
      </c>
      <c r="AS21" s="505">
        <f>-[5]Model!AV44</f>
        <v>-10.170185385</v>
      </c>
      <c r="AT21" s="505">
        <f>-[5]Model!AW44</f>
        <v>-10.170185385</v>
      </c>
      <c r="AU21" s="505">
        <f>-[5]Model!AX44</f>
        <v>-14.159873585</v>
      </c>
      <c r="AV21" s="505">
        <f>-[5]Model!AY44</f>
        <v>-14.159873585</v>
      </c>
      <c r="AW21" s="505">
        <f>-[5]Model!AZ44</f>
        <v>-16.80756973</v>
      </c>
      <c r="AX21" s="505">
        <f>-[5]Model!BA44</f>
        <v>-16.80756973</v>
      </c>
      <c r="AY21" s="505">
        <f>-[5]Model!BB44</f>
        <v>-18.716403515</v>
      </c>
      <c r="AZ21" s="505">
        <f>-[5]Model!BC44</f>
        <v>-18.716403515</v>
      </c>
      <c r="BA21" s="505">
        <f>-[5]Model!BD44</f>
        <v>-21.37230848</v>
      </c>
      <c r="BB21" s="505">
        <f>-[5]Model!BE44</f>
        <v>-21.37230848</v>
      </c>
      <c r="BC21" s="505">
        <f>-[5]Model!BF44</f>
        <v>-22.10797962</v>
      </c>
      <c r="BD21" s="505">
        <f>-[5]Model!BG44</f>
        <v>-22.10797962</v>
      </c>
      <c r="BE21" s="505">
        <f>-[5]Model!BH44</f>
        <v>-23.48991841</v>
      </c>
      <c r="BF21" s="505">
        <f>-[5]Model!BI44</f>
        <v>-23.48991841</v>
      </c>
      <c r="BG21" s="505">
        <f>-[5]Model!BJ44</f>
        <v>-23</v>
      </c>
      <c r="BH21" s="505">
        <f>-[5]Model!BK44</f>
        <v>-32.98097762</v>
      </c>
      <c r="BI21" s="505">
        <f>-[5]Model!BL44</f>
        <v>-45.8635830814</v>
      </c>
      <c r="BJ21" s="505">
        <f>-[5]Model!BM44</f>
        <v>-45.8635830814</v>
      </c>
      <c r="BK21" s="505">
        <f>-[5]Model!BN44</f>
        <v>-45.8635830814</v>
      </c>
      <c r="BL21" s="505">
        <f>-[5]Model!BO44</f>
        <v>-45.8635830814</v>
      </c>
      <c r="BM21" s="505">
        <f>-[5]Model!BP44</f>
        <v>-91.114511774104</v>
      </c>
      <c r="BN21" s="505">
        <f>-[5]Model!BQ44</f>
        <v>-91.114511774104</v>
      </c>
      <c r="BO21" s="505">
        <f>-[5]Model!BR44</f>
        <v>-91.114511774104</v>
      </c>
      <c r="BP21" s="505">
        <f>-[5]Model!BS44</f>
        <v>-91.114511774104</v>
      </c>
      <c r="BQ21" s="505">
        <f>-[5]Model!BT44</f>
        <v>-148.115451063264</v>
      </c>
      <c r="BR21" s="505">
        <f>-[5]Model!BU44</f>
        <v>-148.115451063264</v>
      </c>
      <c r="BS21" s="505">
        <f>-[5]Model!BV44</f>
        <v>-148.115451063264</v>
      </c>
      <c r="BT21" s="505">
        <f>-[5]Model!BW44</f>
        <v>-148.115451063264</v>
      </c>
      <c r="BU21" s="505">
        <f>-[5]Model!BX44</f>
        <v>-207.599804492573</v>
      </c>
      <c r="BV21" s="505">
        <f>-[5]Model!BY44</f>
        <v>-207.599804492573</v>
      </c>
      <c r="BW21" s="505">
        <f>-[5]Model!BZ44</f>
        <v>-207.599804492573</v>
      </c>
      <c r="BX21" s="505">
        <f>-[5]Model!CA44</f>
        <v>-207.599804492573</v>
      </c>
    </row>
    <row r="22" outlineLevel="2" spans="2:76">
      <c r="B22" t="s">
        <v>104</v>
      </c>
      <c r="C22" t="s">
        <v>105</v>
      </c>
      <c r="D22" t="str">
        <f t="shared" si="0"/>
        <v>CNY</v>
      </c>
      <c r="F22" s="505">
        <f>-[5]Model!E45</f>
        <v>-0.1364</v>
      </c>
      <c r="G22" s="505">
        <f>-[5]Model!F45</f>
        <v>-0.1015</v>
      </c>
      <c r="H22" s="505">
        <f>-[5]Model!G45</f>
        <v>-0.22808715</v>
      </c>
      <c r="I22" s="505">
        <f>-[5]Model!H45</f>
        <v>-0.31876193</v>
      </c>
      <c r="J22" s="505">
        <f>-[5]Model!I45</f>
        <v>-0.43356578</v>
      </c>
      <c r="K22" s="505">
        <f>-[5]Model!J45</f>
        <v>-0.41590236</v>
      </c>
      <c r="L22" s="505">
        <f>-[5]Model!K45</f>
        <v>-0.42110674</v>
      </c>
      <c r="M22" s="505">
        <f>-[5]Model!L45</f>
        <v>-0.67595024</v>
      </c>
      <c r="N22" s="505">
        <f>-[5]Model!M45</f>
        <v>-0.86882171</v>
      </c>
      <c r="O22" s="505">
        <f>-[5]Model!N45</f>
        <v>-0.86558615</v>
      </c>
      <c r="P22" s="505">
        <f>-[5]Model!O45</f>
        <v>-0.92521985</v>
      </c>
      <c r="Q22" s="505">
        <f>-[5]Model!P45</f>
        <v>-12.94123485</v>
      </c>
      <c r="R22" s="505">
        <f>-[5]Model!Q45</f>
        <v>-23.21158344</v>
      </c>
      <c r="S22" s="505">
        <f>-[5]Model!R45</f>
        <v>-27.0298622048</v>
      </c>
      <c r="T22" s="505">
        <f>-[5]Model!S45</f>
        <v>-23.245681496128</v>
      </c>
      <c r="U22" s="505">
        <f>-[5]Model!T45</f>
        <v>-19.9912860866701</v>
      </c>
      <c r="V22" s="505">
        <f>-[5]Model!U45</f>
        <v>-17.1925060345363</v>
      </c>
      <c r="W22" s="505">
        <f>-[5]Model!V45</f>
        <v>-14.7855551897012</v>
      </c>
      <c r="X22" s="505"/>
      <c r="Y22" s="505">
        <f>-[5]Model!AB45</f>
        <v>-0.105294</v>
      </c>
      <c r="Z22" s="505">
        <f>-[5]Model!AC45</f>
        <v>-0.105294</v>
      </c>
      <c r="AA22" s="505">
        <f>-[5]Model!AD45</f>
        <v>-0.105294</v>
      </c>
      <c r="AB22" s="505">
        <f>-[5]Model!AE45</f>
        <v>-0.105294</v>
      </c>
      <c r="AC22" s="505">
        <f>-[5]Model!AF45</f>
        <v>-0.105294</v>
      </c>
      <c r="AD22" s="505">
        <f>-[5]Model!AG45</f>
        <v>-0.105294</v>
      </c>
      <c r="AE22" s="505">
        <f>-[5]Model!AH45</f>
        <v>-0.10265718</v>
      </c>
      <c r="AF22" s="505">
        <f>-[5]Model!AI45</f>
        <v>-0.10265718</v>
      </c>
      <c r="AG22" s="505">
        <f>-[5]Model!AJ45</f>
        <v>-0.10299609</v>
      </c>
      <c r="AH22" s="505">
        <f>-[5]Model!AK45</f>
        <v>-0.10299609</v>
      </c>
      <c r="AI22" s="505">
        <f>-[5]Model!AL45</f>
        <v>-0.10755728</v>
      </c>
      <c r="AJ22" s="505">
        <f>-[5]Model!AM45</f>
        <v>-0.10755728</v>
      </c>
      <c r="AK22" s="505">
        <f>-[5]Model!AN45</f>
        <v>-0.13538499</v>
      </c>
      <c r="AL22" s="505">
        <f>-[5]Model!AO45</f>
        <v>-0.13538499</v>
      </c>
      <c r="AM22" s="505">
        <f>-[5]Model!AP45</f>
        <v>-0.20259013</v>
      </c>
      <c r="AN22" s="505">
        <f>-[5]Model!AQ45</f>
        <v>-0.20259013</v>
      </c>
      <c r="AO22" s="505">
        <f>-[5]Model!AR45</f>
        <v>-0.213482755</v>
      </c>
      <c r="AP22" s="505">
        <f>-[5]Model!AS45</f>
        <v>-0.213482755</v>
      </c>
      <c r="AQ22" s="505">
        <f>-[5]Model!AT45</f>
        <v>-0.2209281</v>
      </c>
      <c r="AR22" s="505">
        <f>-[5]Model!AU45</f>
        <v>-0.2209281</v>
      </c>
      <c r="AS22" s="505">
        <f>-[5]Model!AV45</f>
        <v>-0.216865795</v>
      </c>
      <c r="AT22" s="505">
        <f>-[5]Model!AW45</f>
        <v>-0.216865795</v>
      </c>
      <c r="AU22" s="505">
        <f>-[5]Model!AX45</f>
        <v>-0.21592728</v>
      </c>
      <c r="AV22" s="505">
        <f>-[5]Model!AY45</f>
        <v>-0.21592728</v>
      </c>
      <c r="AW22" s="505">
        <f>-[5]Model!AZ45</f>
        <v>-0.22147509</v>
      </c>
      <c r="AX22" s="505">
        <f>-[5]Model!BA45</f>
        <v>-0.22147509</v>
      </c>
      <c r="AY22" s="505">
        <f>-[5]Model!BB45</f>
        <v>-0.241134835</v>
      </c>
      <c r="AZ22" s="505">
        <f>-[5]Model!BC45</f>
        <v>-0.241134835</v>
      </c>
      <c r="BA22" s="505">
        <f>-[5]Model!BD45</f>
        <v>-1.63188227</v>
      </c>
      <c r="BB22" s="505">
        <f>-[5]Model!BE45</f>
        <v>-1.63188227</v>
      </c>
      <c r="BC22" s="505">
        <f>-[5]Model!BF45</f>
        <v>-4.838735155</v>
      </c>
      <c r="BD22" s="505">
        <f>-[5]Model!BG45</f>
        <v>-4.838735155</v>
      </c>
      <c r="BE22" s="505">
        <f>-[5]Model!BH45</f>
        <v>-5.42424512</v>
      </c>
      <c r="BF22" s="505">
        <f>-[5]Model!BI45</f>
        <v>-5.42424512</v>
      </c>
      <c r="BG22" s="505">
        <f>-[5]Model!BJ45</f>
        <v>-5</v>
      </c>
      <c r="BH22" s="505">
        <f>-[5]Model!BK45</f>
        <v>-7.3630932</v>
      </c>
      <c r="BI22" s="505">
        <f>-[5]Model!BL45</f>
        <v>-6.7574655512</v>
      </c>
      <c r="BJ22" s="505">
        <f>-[5]Model!BM45</f>
        <v>-6.7574655512</v>
      </c>
      <c r="BK22" s="505">
        <f>-[5]Model!BN45</f>
        <v>-6.7574655512</v>
      </c>
      <c r="BL22" s="505">
        <f>-[5]Model!BO45</f>
        <v>-6.7574655512</v>
      </c>
      <c r="BM22" s="505">
        <f>-[5]Model!BP45</f>
        <v>-5.811420374032</v>
      </c>
      <c r="BN22" s="505">
        <f>-[5]Model!BQ45</f>
        <v>-5.811420374032</v>
      </c>
      <c r="BO22" s="505">
        <f>-[5]Model!BR45</f>
        <v>-5.811420374032</v>
      </c>
      <c r="BP22" s="505">
        <f>-[5]Model!BS45</f>
        <v>-5.811420374032</v>
      </c>
      <c r="BQ22" s="505">
        <f>-[5]Model!BT45</f>
        <v>-4.99782152166752</v>
      </c>
      <c r="BR22" s="505">
        <f>-[5]Model!BU45</f>
        <v>-4.99782152166752</v>
      </c>
      <c r="BS22" s="505">
        <f>-[5]Model!BV45</f>
        <v>-4.99782152166752</v>
      </c>
      <c r="BT22" s="505">
        <f>-[5]Model!BW45</f>
        <v>-4.99782152166752</v>
      </c>
      <c r="BU22" s="505">
        <f>-[5]Model!BX45</f>
        <v>-4.29812650863407</v>
      </c>
      <c r="BV22" s="505">
        <f>-[5]Model!BY45</f>
        <v>-4.29812650863407</v>
      </c>
      <c r="BW22" s="505">
        <f>-[5]Model!BZ45</f>
        <v>-4.29812650863407</v>
      </c>
      <c r="BX22" s="505">
        <f>-[5]Model!CA45</f>
        <v>-4.29812650863407</v>
      </c>
    </row>
    <row r="23" outlineLevel="2" spans="2:76">
      <c r="B23" t="s">
        <v>106</v>
      </c>
      <c r="C23" t="s">
        <v>107</v>
      </c>
      <c r="D23" t="str">
        <f t="shared" si="0"/>
        <v>CNY</v>
      </c>
      <c r="F23" s="505">
        <f>[5]Model!E43</f>
        <v>66.91287025</v>
      </c>
      <c r="G23" s="505">
        <f>[5]Model!F43</f>
        <v>79.09681992</v>
      </c>
      <c r="H23" s="505">
        <f>[5]Model!G43</f>
        <v>94.7386345599999</v>
      </c>
      <c r="I23" s="505">
        <f>[5]Model!H43</f>
        <v>110.85916425</v>
      </c>
      <c r="J23" s="505">
        <f>[5]Model!I43</f>
        <v>113.59683086</v>
      </c>
      <c r="K23" s="505">
        <f>[5]Model!J43</f>
        <v>123.67380085</v>
      </c>
      <c r="L23" s="505">
        <f>[5]Model!K43</f>
        <v>128.61344697</v>
      </c>
      <c r="M23" s="505">
        <f>[5]Model!L43</f>
        <v>43.0854925699999</v>
      </c>
      <c r="N23" s="505">
        <f>[5]Model!M43</f>
        <v>257.49084548</v>
      </c>
      <c r="O23" s="505">
        <f>[5]Model!N43</f>
        <v>578.80834824</v>
      </c>
      <c r="P23" s="505">
        <f>[5]Model!O43</f>
        <v>749.74190374</v>
      </c>
      <c r="Q23" s="505">
        <f>[5]Model!P43</f>
        <v>882.06197635</v>
      </c>
      <c r="R23" s="505">
        <f>[5]Model!Q43</f>
        <v>695.58247016</v>
      </c>
      <c r="S23" s="505">
        <f>[5]Model!R43</f>
        <v>3125.07658297</v>
      </c>
      <c r="T23" s="505">
        <f>[5]Model!S43</f>
        <v>10708.45333365</v>
      </c>
      <c r="U23" s="505">
        <f>[5]Model!T43</f>
        <v>23528.4692591845</v>
      </c>
      <c r="V23" s="505">
        <f>[5]Model!U43</f>
        <v>34344.7070456781</v>
      </c>
      <c r="W23" s="505">
        <f>[5]Model!V43</f>
        <v>39482.9184707714</v>
      </c>
      <c r="X23" s="505"/>
      <c r="Y23" s="505">
        <f>[5]Model!AB43</f>
        <v>29.14809496</v>
      </c>
      <c r="Z23" s="505">
        <f>[5]Model!AC43</f>
        <v>30.68839229</v>
      </c>
      <c r="AA23" s="505">
        <f>[5]Model!AD43</f>
        <v>25.64485931</v>
      </c>
      <c r="AB23" s="505">
        <f>[5]Model!AE43</f>
        <v>28.1154843</v>
      </c>
      <c r="AC23" s="505">
        <f>[5]Model!AF43</f>
        <v>24.41185671</v>
      </c>
      <c r="AD23" s="505">
        <f>[5]Model!AG43</f>
        <v>34.07373127</v>
      </c>
      <c r="AE23" s="505">
        <f>[5]Model!AH43</f>
        <v>36.20255226</v>
      </c>
      <c r="AF23" s="505">
        <f>[5]Model!AI43</f>
        <v>28.98566061</v>
      </c>
      <c r="AG23" s="505">
        <f>[5]Model!AJ43</f>
        <v>32.87329918</v>
      </c>
      <c r="AH23" s="505">
        <f>[5]Model!AK43</f>
        <v>41.78417012</v>
      </c>
      <c r="AI23" s="505">
        <f>[5]Model!AL43</f>
        <v>42.46287295</v>
      </c>
      <c r="AJ23" s="505">
        <f>[5]Model!AM43</f>
        <v>11.49310472</v>
      </c>
      <c r="AK23" s="505">
        <f>[5]Model!AN43</f>
        <v>2.45486784000001</v>
      </c>
      <c r="AL23" s="505">
        <f>[5]Model!AO43</f>
        <v>-9.86505361000003</v>
      </c>
      <c r="AM23" s="505">
        <f>[5]Model!AP43</f>
        <v>16.3697635</v>
      </c>
      <c r="AN23" s="505">
        <f>[5]Model!AQ43</f>
        <v>34.12591484</v>
      </c>
      <c r="AO23" s="505">
        <f>[5]Model!AR43</f>
        <v>42.76535609</v>
      </c>
      <c r="AP23" s="505">
        <f>[5]Model!AS43</f>
        <v>47.33923207</v>
      </c>
      <c r="AQ23" s="505">
        <f>[5]Model!AT43</f>
        <v>63.96253325</v>
      </c>
      <c r="AR23" s="505">
        <f>[5]Model!AU43</f>
        <v>103.42372407</v>
      </c>
      <c r="AS23" s="505">
        <f>[5]Model!AV43</f>
        <v>68.24614164</v>
      </c>
      <c r="AT23" s="505">
        <f>[5]Model!AW43</f>
        <v>174.60097134</v>
      </c>
      <c r="AU23" s="505">
        <f>[5]Model!AX43</f>
        <v>187.19197297</v>
      </c>
      <c r="AV23" s="505">
        <f>[5]Model!AY43</f>
        <v>148.76926229</v>
      </c>
      <c r="AW23" s="505">
        <f>[5]Model!AZ43</f>
        <v>157.60976829</v>
      </c>
      <c r="AX23" s="505">
        <f>[5]Model!BA43</f>
        <v>245.80574884</v>
      </c>
      <c r="AY23" s="505">
        <f>[5]Model!BB43</f>
        <v>132.31618903</v>
      </c>
      <c r="AZ23" s="505">
        <f>[5]Model!BC43</f>
        <v>214.01019758</v>
      </c>
      <c r="BA23" s="505">
        <f>[5]Model!BD43</f>
        <v>193.77061258</v>
      </c>
      <c r="BB23" s="505">
        <f>[5]Model!BE43</f>
        <v>176.40753323</v>
      </c>
      <c r="BC23" s="505">
        <f>[5]Model!BF43</f>
        <v>269.70285367</v>
      </c>
      <c r="BD23" s="505">
        <f>[5]Model!BG43</f>
        <v>242.18097687</v>
      </c>
      <c r="BE23" s="505">
        <f>[5]Model!BH43</f>
        <v>145.19085096</v>
      </c>
      <c r="BF23" s="505">
        <f>[5]Model!BI43</f>
        <v>117.20898529</v>
      </c>
      <c r="BG23" s="505">
        <f>[5]Model!BJ43</f>
        <v>128.85919558</v>
      </c>
      <c r="BH23" s="505">
        <f>[5]Model!BK43</f>
        <v>304.32343833</v>
      </c>
      <c r="BI23" s="505">
        <f>[5]Model!BL43</f>
        <v>362.91918487</v>
      </c>
      <c r="BJ23" s="505">
        <f>[5]Model!BM43</f>
        <v>567.587277</v>
      </c>
      <c r="BK23" s="505">
        <f>[5]Model!BN43</f>
        <v>865.86845579</v>
      </c>
      <c r="BL23" s="505">
        <f>[5]Model!BO43</f>
        <v>1328.70166531</v>
      </c>
      <c r="BM23" s="505">
        <f>[5]Model!BP43</f>
        <v>1752.94512141</v>
      </c>
      <c r="BN23" s="505">
        <f>[5]Model!BQ43</f>
        <v>2640.77603003</v>
      </c>
      <c r="BO23" s="505">
        <f>[5]Model!BR43</f>
        <v>2575.14032537</v>
      </c>
      <c r="BP23" s="505">
        <f>[5]Model!BS43</f>
        <v>3739.59185684</v>
      </c>
      <c r="BQ23" s="505">
        <f>[5]Model!BT43</f>
        <v>3835.46768295</v>
      </c>
      <c r="BR23" s="505">
        <f>[5]Model!BU43</f>
        <v>5105.323746958</v>
      </c>
      <c r="BS23" s="505">
        <f>[5]Model!BV43</f>
        <v>7001.13985229744</v>
      </c>
      <c r="BT23" s="505">
        <f>[5]Model!BW43</f>
        <v>7586.53797697903</v>
      </c>
      <c r="BU23" s="505">
        <f>[5]Model!BX43</f>
        <v>6639.48295357015</v>
      </c>
      <c r="BV23" s="505">
        <f>[5]Model!BY43</f>
        <v>7758.38999168601</v>
      </c>
      <c r="BW23" s="505">
        <f>[5]Model!BZ43</f>
        <v>10419.1230532892</v>
      </c>
      <c r="BX23" s="505">
        <f>[5]Model!CA43</f>
        <v>9527.7110471327</v>
      </c>
    </row>
    <row r="24" outlineLevel="2" spans="2:76">
      <c r="B24" t="s">
        <v>108</v>
      </c>
      <c r="C24" t="s">
        <v>109</v>
      </c>
      <c r="D24" t="str">
        <f t="shared" si="0"/>
        <v>CNY</v>
      </c>
      <c r="F24" s="505">
        <f>[5]Model!E24</f>
        <v>0</v>
      </c>
      <c r="G24" s="505">
        <f>[5]Model!F24</f>
        <v>0</v>
      </c>
      <c r="H24" s="505">
        <f>[5]Model!G24</f>
        <v>0</v>
      </c>
      <c r="I24" s="505">
        <f>[5]Model!H24</f>
        <v>0</v>
      </c>
      <c r="J24" s="505">
        <f>[5]Model!I24</f>
        <v>0</v>
      </c>
      <c r="K24" s="505">
        <f>[5]Model!J24</f>
        <v>0</v>
      </c>
      <c r="L24" s="505">
        <f>[5]Model!K24</f>
        <v>0</v>
      </c>
      <c r="M24" s="505">
        <f>[5]Model!L24</f>
        <v>1.67588665</v>
      </c>
      <c r="N24" s="505">
        <f>[5]Model!M24</f>
        <v>3.89195895</v>
      </c>
      <c r="O24" s="505">
        <f>[5]Model!N24</f>
        <v>2.6946375</v>
      </c>
      <c r="P24" s="505">
        <f>[5]Model!O24</f>
        <v>24.81654117</v>
      </c>
      <c r="Q24" s="505">
        <f>[5]Model!P24</f>
        <v>21.51306124</v>
      </c>
      <c r="R24" s="505">
        <f>[5]Model!Q24</f>
        <v>74.55697385</v>
      </c>
      <c r="S24" s="505">
        <f>[5]Model!R24</f>
        <v>72.84041097</v>
      </c>
      <c r="T24" s="505">
        <f>[5]Model!S24</f>
        <v>77.94911125</v>
      </c>
      <c r="U24" s="505">
        <f>[5]Model!T24</f>
        <v>32</v>
      </c>
      <c r="V24" s="505">
        <f>[5]Model!U24</f>
        <v>32</v>
      </c>
      <c r="W24" s="505">
        <f>[5]Model!V24</f>
        <v>32</v>
      </c>
      <c r="X24" s="505"/>
      <c r="Y24" s="505">
        <f>[5]Model!AB24</f>
        <v>0</v>
      </c>
      <c r="Z24" s="505">
        <f>[5]Model!AC24</f>
        <v>0</v>
      </c>
      <c r="AA24" s="505">
        <f>[5]Model!AD24</f>
        <v>0</v>
      </c>
      <c r="AB24" s="505">
        <f>[5]Model!AE24</f>
        <v>0</v>
      </c>
      <c r="AC24" s="505">
        <f>[5]Model!AF24</f>
        <v>0</v>
      </c>
      <c r="AD24" s="505">
        <f>[5]Model!AG24</f>
        <v>0</v>
      </c>
      <c r="AE24" s="505">
        <f>[5]Model!AH24</f>
        <v>0</v>
      </c>
      <c r="AF24" s="505">
        <f>[5]Model!AI24</f>
        <v>0</v>
      </c>
      <c r="AG24" s="505">
        <f>[5]Model!AJ24</f>
        <v>0</v>
      </c>
      <c r="AH24" s="505">
        <f>[5]Model!AK24</f>
        <v>0</v>
      </c>
      <c r="AI24" s="505">
        <f>[5]Model!AL24</f>
        <v>0</v>
      </c>
      <c r="AJ24" s="505">
        <f>[5]Model!AM24</f>
        <v>0</v>
      </c>
      <c r="AK24" s="505">
        <f>[5]Model!AN24</f>
        <v>0.212792255</v>
      </c>
      <c r="AL24" s="505">
        <f>[5]Model!AO24</f>
        <v>0.212792255</v>
      </c>
      <c r="AM24" s="505">
        <f>[5]Model!AP24</f>
        <v>1.01004228</v>
      </c>
      <c r="AN24" s="505">
        <f>[5]Model!AQ24</f>
        <v>0</v>
      </c>
      <c r="AO24" s="505">
        <f>[5]Model!AR24</f>
        <v>1.02077753</v>
      </c>
      <c r="AP24" s="505">
        <f>[5]Model!AS24</f>
        <v>0.89600147</v>
      </c>
      <c r="AQ24" s="505">
        <f>[5]Model!AT24</f>
        <v>0.7709664</v>
      </c>
      <c r="AR24" s="505">
        <f>[5]Model!AU24</f>
        <v>1.20421355</v>
      </c>
      <c r="AS24" s="505">
        <f>[5]Model!AV24</f>
        <v>0.80168869</v>
      </c>
      <c r="AT24" s="505">
        <f>[5]Model!AW24</f>
        <v>0.51127851</v>
      </c>
      <c r="AU24" s="505">
        <f>[5]Model!AX24</f>
        <v>0.41057836</v>
      </c>
      <c r="AV24" s="505">
        <f>[5]Model!AY24</f>
        <v>0.97109194</v>
      </c>
      <c r="AW24" s="505">
        <f>[5]Model!AZ24</f>
        <v>5.18892597</v>
      </c>
      <c r="AX24" s="505">
        <f>[5]Model!BA24</f>
        <v>6.76898063</v>
      </c>
      <c r="AY24" s="505">
        <f>[5]Model!BB24</f>
        <v>6.37382356</v>
      </c>
      <c r="AZ24" s="505">
        <f>[5]Model!BC24</f>
        <v>6.48481101</v>
      </c>
      <c r="BA24" s="505">
        <f>[5]Model!BD24</f>
        <v>4.20317352</v>
      </c>
      <c r="BB24" s="505">
        <f>[5]Model!BE24</f>
        <v>5.09752096</v>
      </c>
      <c r="BC24" s="505">
        <f>[5]Model!BF24</f>
        <v>5.46163002</v>
      </c>
      <c r="BD24" s="505">
        <f>[5]Model!BG24</f>
        <v>6.75073674</v>
      </c>
      <c r="BE24" s="505">
        <f>[5]Model!BH24</f>
        <v>11.37104027</v>
      </c>
      <c r="BF24" s="505">
        <f>[5]Model!BI24</f>
        <v>13.28179459</v>
      </c>
      <c r="BG24" s="505">
        <f>[5]Model!BJ24</f>
        <v>26.39285905</v>
      </c>
      <c r="BH24" s="505">
        <f>[5]Model!BK24</f>
        <v>23.51127994</v>
      </c>
      <c r="BI24" s="505">
        <f>[5]Model!BL24</f>
        <v>22.63011344</v>
      </c>
      <c r="BJ24" s="505">
        <f>[5]Model!BM24</f>
        <v>23.78794006</v>
      </c>
      <c r="BK24" s="505">
        <f>[5]Model!BN24</f>
        <v>16.92450893</v>
      </c>
      <c r="BL24" s="505">
        <f>[5]Model!BO24</f>
        <v>9.49784854</v>
      </c>
      <c r="BM24" s="505">
        <f>[5]Model!BP24</f>
        <v>7.76761607</v>
      </c>
      <c r="BN24" s="505">
        <f>[5]Model!BQ24</f>
        <v>8.85234634</v>
      </c>
      <c r="BO24" s="505">
        <f>[5]Model!BR24</f>
        <v>20.95348048</v>
      </c>
      <c r="BP24" s="505">
        <f>[5]Model!BS24</f>
        <v>40.37566836</v>
      </c>
      <c r="BQ24" s="505">
        <f>[5]Model!BT24</f>
        <v>8</v>
      </c>
      <c r="BR24" s="505">
        <f>[5]Model!BU24</f>
        <v>8</v>
      </c>
      <c r="BS24" s="505">
        <f>[5]Model!BV24</f>
        <v>8</v>
      </c>
      <c r="BT24" s="505">
        <f>[5]Model!BW24</f>
        <v>8</v>
      </c>
      <c r="BU24" s="505">
        <f>[5]Model!BX24</f>
        <v>8</v>
      </c>
      <c r="BV24" s="505">
        <f>[5]Model!BY24</f>
        <v>8</v>
      </c>
      <c r="BW24" s="505">
        <f>[5]Model!BZ24</f>
        <v>8</v>
      </c>
      <c r="BX24" s="505">
        <f>[5]Model!CA24</f>
        <v>8</v>
      </c>
    </row>
    <row r="25" outlineLevel="2" spans="2:76">
      <c r="B25" t="s">
        <v>110</v>
      </c>
      <c r="C25" t="s">
        <v>111</v>
      </c>
      <c r="D25" t="str">
        <f t="shared" si="0"/>
        <v>CNY</v>
      </c>
      <c r="F25" s="505">
        <f>[5]Model!E25</f>
        <v>0</v>
      </c>
      <c r="G25" s="505">
        <f>[5]Model!F25</f>
        <v>0</v>
      </c>
      <c r="H25" s="505">
        <f>[5]Model!G25</f>
        <v>0</v>
      </c>
      <c r="I25" s="505">
        <f>[5]Model!H25</f>
        <v>0</v>
      </c>
      <c r="J25" s="505">
        <f>[5]Model!I25</f>
        <v>0</v>
      </c>
      <c r="K25" s="505">
        <f>[5]Model!J25</f>
        <v>0</v>
      </c>
      <c r="L25" s="505">
        <f>[5]Model!K25</f>
        <v>0</v>
      </c>
      <c r="M25" s="505">
        <f>[5]Model!L25</f>
        <v>-0.16884679</v>
      </c>
      <c r="N25" s="505">
        <f>[5]Model!M25</f>
        <v>0</v>
      </c>
      <c r="O25" s="505">
        <f>[5]Model!N25</f>
        <v>-1.15747521</v>
      </c>
      <c r="P25" s="505">
        <f>[5]Model!O25</f>
        <v>-0.28331815</v>
      </c>
      <c r="Q25" s="505">
        <f>[5]Model!P25</f>
        <v>0</v>
      </c>
      <c r="R25" s="505">
        <f>[5]Model!Q25</f>
        <v>-1.54815764</v>
      </c>
      <c r="S25" s="505">
        <f>[5]Model!R25</f>
        <v>-1.37641141</v>
      </c>
      <c r="T25" s="505">
        <f>[5]Model!S25</f>
        <v>-1.18644797</v>
      </c>
      <c r="U25" s="505">
        <f>[5]Model!T25</f>
        <v>0</v>
      </c>
      <c r="V25" s="505">
        <f>[5]Model!U25</f>
        <v>0</v>
      </c>
      <c r="W25" s="505">
        <f>[5]Model!V25</f>
        <v>0</v>
      </c>
      <c r="X25" s="505"/>
      <c r="Y25" s="505">
        <f>[5]Model!AB25</f>
        <v>0</v>
      </c>
      <c r="Z25" s="505">
        <f>[5]Model!AC25</f>
        <v>0</v>
      </c>
      <c r="AA25" s="505">
        <f>[5]Model!AD25</f>
        <v>0</v>
      </c>
      <c r="AB25" s="505">
        <f>[5]Model!AE25</f>
        <v>0</v>
      </c>
      <c r="AC25" s="505">
        <f>[5]Model!AF25</f>
        <v>0</v>
      </c>
      <c r="AD25" s="505">
        <f>[5]Model!AG25</f>
        <v>0</v>
      </c>
      <c r="AE25" s="505">
        <f>[5]Model!AH25</f>
        <v>0</v>
      </c>
      <c r="AF25" s="505">
        <f>[5]Model!AI25</f>
        <v>0</v>
      </c>
      <c r="AG25" s="505">
        <f>[5]Model!AJ25</f>
        <v>0</v>
      </c>
      <c r="AH25" s="505">
        <f>[5]Model!AK25</f>
        <v>0</v>
      </c>
      <c r="AI25" s="505">
        <f>[5]Model!AL25</f>
        <v>0</v>
      </c>
      <c r="AJ25" s="505">
        <f>[5]Model!AM25</f>
        <v>0</v>
      </c>
      <c r="AK25" s="505">
        <f>[5]Model!AN25</f>
        <v>-0.07954927</v>
      </c>
      <c r="AL25" s="505">
        <f>[5]Model!AO25</f>
        <v>-0.07954927</v>
      </c>
      <c r="AM25" s="505">
        <f>[5]Model!AP25</f>
        <v>-0.00730599</v>
      </c>
      <c r="AN25" s="505">
        <f>[5]Model!AQ25</f>
        <v>-0.00244226</v>
      </c>
      <c r="AO25" s="505">
        <f>[5]Model!AR25</f>
        <v>0</v>
      </c>
      <c r="AP25" s="505">
        <f>[5]Model!AS25</f>
        <v>0</v>
      </c>
      <c r="AQ25" s="505">
        <f>[5]Model!AT25</f>
        <v>0</v>
      </c>
      <c r="AR25" s="505">
        <f>[5]Model!AU25</f>
        <v>0</v>
      </c>
      <c r="AS25" s="505">
        <f>[5]Model!AV25</f>
        <v>0</v>
      </c>
      <c r="AT25" s="505">
        <f>[5]Model!AW25</f>
        <v>-0.06289191</v>
      </c>
      <c r="AU25" s="505">
        <f>[5]Model!AX25</f>
        <v>-1.0945833</v>
      </c>
      <c r="AV25" s="505">
        <f>[5]Model!AY25</f>
        <v>0</v>
      </c>
      <c r="AW25" s="505">
        <f>[5]Model!AZ25</f>
        <v>-0.28331815</v>
      </c>
      <c r="AX25" s="505">
        <f>[5]Model!BA25</f>
        <v>0</v>
      </c>
      <c r="AY25" s="505">
        <f>[5]Model!BB25</f>
        <v>0</v>
      </c>
      <c r="AZ25" s="505">
        <f>[5]Model!BC25</f>
        <v>0</v>
      </c>
      <c r="BA25" s="505">
        <f>[5]Model!BD25</f>
        <v>0</v>
      </c>
      <c r="BB25" s="505">
        <f>[5]Model!BE25</f>
        <v>0</v>
      </c>
      <c r="BC25" s="505">
        <f>[5]Model!BF25</f>
        <v>0</v>
      </c>
      <c r="BD25" s="505">
        <f>[5]Model!BG25</f>
        <v>0</v>
      </c>
      <c r="BE25" s="505">
        <f>[5]Model!BH25</f>
        <v>0</v>
      </c>
      <c r="BF25" s="505">
        <f>[5]Model!BI25</f>
        <v>0</v>
      </c>
      <c r="BG25" s="505">
        <f>[5]Model!BJ25</f>
        <v>0</v>
      </c>
      <c r="BH25" s="505">
        <f>[5]Model!BK25</f>
        <v>-1.54815764</v>
      </c>
      <c r="BI25" s="505">
        <f>[5]Model!BL25</f>
        <v>0</v>
      </c>
      <c r="BJ25" s="505">
        <f>[5]Model!BM25</f>
        <v>0</v>
      </c>
      <c r="BK25" s="505">
        <f>[5]Model!BN25</f>
        <v>-1.04690278</v>
      </c>
      <c r="BL25" s="505">
        <f>[5]Model!BO25</f>
        <v>-0.32950863</v>
      </c>
      <c r="BM25" s="505">
        <f>[5]Model!BP25</f>
        <v>-0.30235204</v>
      </c>
      <c r="BN25" s="505">
        <f>[5]Model!BQ25</f>
        <v>-0.32073607</v>
      </c>
      <c r="BO25" s="505">
        <f>[5]Model!BR25</f>
        <v>-0.29008276</v>
      </c>
      <c r="BP25" s="505">
        <f>[5]Model!BS25</f>
        <v>-0.2732771</v>
      </c>
      <c r="BQ25" s="505">
        <f>[5]Model!BT25</f>
        <v>0</v>
      </c>
      <c r="BR25" s="505">
        <f>[5]Model!BU25</f>
        <v>0</v>
      </c>
      <c r="BS25" s="505">
        <f>[5]Model!BV25</f>
        <v>0</v>
      </c>
      <c r="BT25" s="505">
        <f>[5]Model!BW25</f>
        <v>0</v>
      </c>
      <c r="BU25" s="505">
        <f>[5]Model!BX25</f>
        <v>0</v>
      </c>
      <c r="BV25" s="505">
        <f>[5]Model!BY25</f>
        <v>0</v>
      </c>
      <c r="BW25" s="505">
        <f>[5]Model!BZ25</f>
        <v>0</v>
      </c>
      <c r="BX25" s="505">
        <f>[5]Model!CA25</f>
        <v>0</v>
      </c>
    </row>
    <row r="26" outlineLevel="2" spans="2:76">
      <c r="B26" t="s">
        <v>112</v>
      </c>
      <c r="C26" t="s">
        <v>113</v>
      </c>
      <c r="D26" t="str">
        <f t="shared" si="0"/>
        <v>CNY</v>
      </c>
      <c r="F26" s="505">
        <f>[5]Model!E23</f>
        <v>0</v>
      </c>
      <c r="G26" s="505">
        <f>[5]Model!F23</f>
        <v>0</v>
      </c>
      <c r="H26" s="505">
        <f>[5]Model!G23</f>
        <v>0</v>
      </c>
      <c r="I26" s="505">
        <f>[5]Model!H23</f>
        <v>0</v>
      </c>
      <c r="J26" s="505">
        <f>[5]Model!I23</f>
        <v>0</v>
      </c>
      <c r="K26" s="505">
        <f>[5]Model!J23</f>
        <v>0</v>
      </c>
      <c r="L26" s="505">
        <f>[5]Model!K23</f>
        <v>0</v>
      </c>
      <c r="M26" s="505">
        <f>[5]Model!L23</f>
        <v>1.50703986</v>
      </c>
      <c r="N26" s="505">
        <f>[5]Model!M23</f>
        <v>3.89195895</v>
      </c>
      <c r="O26" s="505">
        <f>[5]Model!N23</f>
        <v>1.53716229</v>
      </c>
      <c r="P26" s="505">
        <f>[5]Model!O23</f>
        <v>24.53322302</v>
      </c>
      <c r="Q26" s="505">
        <f>[5]Model!P23</f>
        <v>21.51306124</v>
      </c>
      <c r="R26" s="505">
        <f>[5]Model!Q23</f>
        <v>73.00881621</v>
      </c>
      <c r="S26" s="505">
        <f>[5]Model!R23</f>
        <v>71.46399956</v>
      </c>
      <c r="T26" s="505">
        <f>[5]Model!S23</f>
        <v>76.76266328</v>
      </c>
      <c r="U26" s="505">
        <f>[5]Model!T23</f>
        <v>32</v>
      </c>
      <c r="V26" s="505">
        <f>[5]Model!U23</f>
        <v>32</v>
      </c>
      <c r="W26" s="505">
        <f>[5]Model!V23</f>
        <v>32</v>
      </c>
      <c r="X26" s="505"/>
      <c r="Y26" s="505">
        <f>[5]Model!AB23</f>
        <v>0</v>
      </c>
      <c r="Z26" s="505">
        <f>[5]Model!AC23</f>
        <v>0</v>
      </c>
      <c r="AA26" s="505">
        <f>[5]Model!AD23</f>
        <v>0</v>
      </c>
      <c r="AB26" s="505">
        <f>[5]Model!AE23</f>
        <v>0</v>
      </c>
      <c r="AC26" s="505">
        <f>[5]Model!AF23</f>
        <v>0</v>
      </c>
      <c r="AD26" s="505">
        <f>[5]Model!AG23</f>
        <v>0</v>
      </c>
      <c r="AE26" s="505">
        <f>[5]Model!AH23</f>
        <v>0</v>
      </c>
      <c r="AF26" s="505">
        <f>[5]Model!AI23</f>
        <v>0</v>
      </c>
      <c r="AG26" s="505">
        <f>[5]Model!AJ23</f>
        <v>0</v>
      </c>
      <c r="AH26" s="505">
        <f>[5]Model!AK23</f>
        <v>0</v>
      </c>
      <c r="AI26" s="505">
        <f>[5]Model!AL23</f>
        <v>0</v>
      </c>
      <c r="AJ26" s="505">
        <f>[5]Model!AM23</f>
        <v>0</v>
      </c>
      <c r="AK26" s="505">
        <f>[5]Model!AN23</f>
        <v>0.133242985</v>
      </c>
      <c r="AL26" s="505">
        <f>[5]Model!AO23</f>
        <v>0.133242985</v>
      </c>
      <c r="AM26" s="505">
        <f>[5]Model!AP23</f>
        <v>1.00273629</v>
      </c>
      <c r="AN26" s="505">
        <f>[5]Model!AQ23</f>
        <v>-0.00244226</v>
      </c>
      <c r="AO26" s="505">
        <f>[5]Model!AR23</f>
        <v>1.02077753</v>
      </c>
      <c r="AP26" s="505">
        <f>[5]Model!AS23</f>
        <v>0.89600147</v>
      </c>
      <c r="AQ26" s="505">
        <f>[5]Model!AT23</f>
        <v>0.7709664</v>
      </c>
      <c r="AR26" s="505">
        <f>[5]Model!AU23</f>
        <v>1.20421355</v>
      </c>
      <c r="AS26" s="505">
        <f>[5]Model!AV23</f>
        <v>0.80168869</v>
      </c>
      <c r="AT26" s="505">
        <f>[5]Model!AW23</f>
        <v>0.4483866</v>
      </c>
      <c r="AU26" s="505">
        <f>[5]Model!AX23</f>
        <v>-0.68400494</v>
      </c>
      <c r="AV26" s="505">
        <f>[5]Model!AY23</f>
        <v>0.97109194</v>
      </c>
      <c r="AW26" s="505">
        <f>[5]Model!AZ23</f>
        <v>4.90560782</v>
      </c>
      <c r="AX26" s="505">
        <f>[5]Model!BA23</f>
        <v>6.76898063</v>
      </c>
      <c r="AY26" s="505">
        <f>[5]Model!BB23</f>
        <v>6.37382356</v>
      </c>
      <c r="AZ26" s="505">
        <f>[5]Model!BC23</f>
        <v>6.48481101</v>
      </c>
      <c r="BA26" s="505">
        <f>[5]Model!BD23</f>
        <v>4.20317352</v>
      </c>
      <c r="BB26" s="505">
        <f>[5]Model!BE23</f>
        <v>5.09752096</v>
      </c>
      <c r="BC26" s="505">
        <f>[5]Model!BF23</f>
        <v>5.46163002</v>
      </c>
      <c r="BD26" s="505">
        <f>[5]Model!BG23</f>
        <v>6.75073674</v>
      </c>
      <c r="BE26" s="505">
        <f>[5]Model!BH23</f>
        <v>11.37104027</v>
      </c>
      <c r="BF26" s="505">
        <f>[5]Model!BI23</f>
        <v>13.28179459</v>
      </c>
      <c r="BG26" s="505">
        <f>[5]Model!BJ23</f>
        <v>26.39285905</v>
      </c>
      <c r="BH26" s="505">
        <f>[5]Model!BK23</f>
        <v>21.9631223</v>
      </c>
      <c r="BI26" s="505">
        <f>[5]Model!BL23</f>
        <v>22.63011344</v>
      </c>
      <c r="BJ26" s="505">
        <f>[5]Model!BM23</f>
        <v>23.78794006</v>
      </c>
      <c r="BK26" s="505">
        <f>[5]Model!BN23</f>
        <v>15.87760615</v>
      </c>
      <c r="BL26" s="505">
        <f>[5]Model!BO23</f>
        <v>9.16833991</v>
      </c>
      <c r="BM26" s="505">
        <f>[5]Model!BP23</f>
        <v>7.46526403</v>
      </c>
      <c r="BN26" s="505">
        <f>[5]Model!BQ23</f>
        <v>8.53161027</v>
      </c>
      <c r="BO26" s="505">
        <f>[5]Model!BR23</f>
        <v>20.66339772</v>
      </c>
      <c r="BP26" s="505">
        <f>[5]Model!BS23</f>
        <v>40.10239126</v>
      </c>
      <c r="BQ26" s="505">
        <f>[5]Model!BT23</f>
        <v>8</v>
      </c>
      <c r="BR26" s="505">
        <f>[5]Model!BU23</f>
        <v>8</v>
      </c>
      <c r="BS26" s="505">
        <f>[5]Model!BV23</f>
        <v>8</v>
      </c>
      <c r="BT26" s="505">
        <f>[5]Model!BW23</f>
        <v>8</v>
      </c>
      <c r="BU26" s="505">
        <f>[5]Model!BX23</f>
        <v>8</v>
      </c>
      <c r="BV26" s="505">
        <f>[5]Model!BY23</f>
        <v>8</v>
      </c>
      <c r="BW26" s="505">
        <f>[5]Model!BZ23</f>
        <v>8</v>
      </c>
      <c r="BX26" s="505">
        <f>[5]Model!CA23</f>
        <v>8</v>
      </c>
    </row>
    <row r="27" outlineLevel="2" spans="2:76">
      <c r="B27" t="s">
        <v>114</v>
      </c>
      <c r="C27" t="s">
        <v>115</v>
      </c>
      <c r="D27" t="str">
        <f t="shared" si="0"/>
        <v>CNY</v>
      </c>
      <c r="F27" s="505">
        <f>[5]Model!E29+[5]Model!E30</f>
        <v>0</v>
      </c>
      <c r="G27" s="505">
        <f>[5]Model!F29+[5]Model!F30</f>
        <v>0</v>
      </c>
      <c r="H27" s="505">
        <f>[5]Model!G29+[5]Model!G30</f>
        <v>0</v>
      </c>
      <c r="I27" s="505">
        <f>[5]Model!H29+[5]Model!H30</f>
        <v>0</v>
      </c>
      <c r="J27" s="505">
        <f>[5]Model!I29+[5]Model!I30</f>
        <v>0</v>
      </c>
      <c r="K27" s="505">
        <f>[5]Model!J29+[5]Model!J30</f>
        <v>0</v>
      </c>
      <c r="L27" s="505">
        <f>[5]Model!K29+[5]Model!K30</f>
        <v>0</v>
      </c>
      <c r="M27" s="505">
        <f>[5]Model!L29+[5]Model!L30</f>
        <v>-3.1526989</v>
      </c>
      <c r="N27" s="505">
        <f>[5]Model!M29+[5]Model!M30</f>
        <v>-1.31658562</v>
      </c>
      <c r="O27" s="505">
        <f>[5]Model!N29+[5]Model!N30</f>
        <v>0.28141801</v>
      </c>
      <c r="P27" s="505">
        <f>[5]Model!O29+[5]Model!O30</f>
        <v>-3.75628633</v>
      </c>
      <c r="Q27" s="505">
        <f>[5]Model!P29+[5]Model!P30</f>
        <v>-1.97634996</v>
      </c>
      <c r="R27" s="505">
        <f>[5]Model!Q29+[5]Model!Q30</f>
        <v>2</v>
      </c>
      <c r="S27" s="505">
        <f>[5]Model!R29+[5]Model!R30</f>
        <v>10</v>
      </c>
      <c r="T27" s="505">
        <f>[5]Model!S29+[5]Model!S30</f>
        <v>10</v>
      </c>
      <c r="U27" s="505">
        <f>[5]Model!T29+[5]Model!T30</f>
        <v>0</v>
      </c>
      <c r="V27" s="505">
        <f>[5]Model!U29+[5]Model!U30</f>
        <v>0</v>
      </c>
      <c r="W27" s="505">
        <f>[5]Model!V29+[5]Model!V30</f>
        <v>0</v>
      </c>
      <c r="X27" s="505"/>
      <c r="Y27" s="505">
        <f>[5]Model!AB29+[5]Model!AB30</f>
        <v>0</v>
      </c>
      <c r="Z27" s="505">
        <f>[5]Model!AC29+[5]Model!AC30</f>
        <v>0</v>
      </c>
      <c r="AA27" s="505">
        <f>[5]Model!AD29+[5]Model!AD30</f>
        <v>0</v>
      </c>
      <c r="AB27" s="505">
        <f>[5]Model!AE29+[5]Model!AE30</f>
        <v>0</v>
      </c>
      <c r="AC27" s="505">
        <f>[5]Model!AF29+[5]Model!AF30</f>
        <v>0</v>
      </c>
      <c r="AD27" s="505">
        <f>[5]Model!AG29+[5]Model!AG30</f>
        <v>0</v>
      </c>
      <c r="AE27" s="505">
        <f>[5]Model!AH29+[5]Model!AH30</f>
        <v>0</v>
      </c>
      <c r="AF27" s="505">
        <f>[5]Model!AI29+[5]Model!AI30</f>
        <v>0</v>
      </c>
      <c r="AG27" s="505">
        <f>[5]Model!AJ29+[5]Model!AJ30</f>
        <v>0</v>
      </c>
      <c r="AH27" s="505">
        <f>[5]Model!AK29+[5]Model!AK30</f>
        <v>0</v>
      </c>
      <c r="AI27" s="505">
        <f>[5]Model!AL29+[5]Model!AL30</f>
        <v>0</v>
      </c>
      <c r="AJ27" s="505">
        <f>[5]Model!AM29+[5]Model!AM30</f>
        <v>0</v>
      </c>
      <c r="AK27" s="505">
        <f>[5]Model!AN29+[5]Model!AN30</f>
        <v>0</v>
      </c>
      <c r="AL27" s="505">
        <f>[5]Model!AO29+[5]Model!AO30</f>
        <v>0</v>
      </c>
      <c r="AM27" s="505">
        <f>[5]Model!AP29+[5]Model!AP30</f>
        <v>0</v>
      </c>
      <c r="AN27" s="505">
        <f>[5]Model!AQ29+[5]Model!AQ30</f>
        <v>-3.1526989</v>
      </c>
      <c r="AO27" s="505">
        <f>[5]Model!AR29+[5]Model!AR30</f>
        <v>-1.27427729</v>
      </c>
      <c r="AP27" s="505">
        <f>[5]Model!AS29+[5]Model!AS30</f>
        <v>-0.66912725</v>
      </c>
      <c r="AQ27" s="505">
        <f>[5]Model!AT29+[5]Model!AT30</f>
        <v>-1.13648248</v>
      </c>
      <c r="AR27" s="505">
        <f>[5]Model!AU29+[5]Model!AU30</f>
        <v>1.7633014</v>
      </c>
      <c r="AS27" s="505">
        <f>[5]Model!AV29+[5]Model!AV30</f>
        <v>0.79623006</v>
      </c>
      <c r="AT27" s="505">
        <f>[5]Model!AW29+[5]Model!AW30</f>
        <v>0.95373568</v>
      </c>
      <c r="AU27" s="505">
        <f>[5]Model!AX29+[5]Model!AX30</f>
        <v>-1.59170595</v>
      </c>
      <c r="AV27" s="505">
        <f>[5]Model!AY29+[5]Model!AY30</f>
        <v>0.12315822</v>
      </c>
      <c r="AW27" s="505">
        <f>[5]Model!AZ29+[5]Model!AZ30</f>
        <v>-0.11154186</v>
      </c>
      <c r="AX27" s="505">
        <f>[5]Model!BA29+[5]Model!BA30</f>
        <v>-2.16414028</v>
      </c>
      <c r="AY27" s="505">
        <f>[5]Model!BB29+[5]Model!BB30</f>
        <v>-0.74584312</v>
      </c>
      <c r="AZ27" s="505">
        <f>[5]Model!BC29+[5]Model!BC30</f>
        <v>-0.73476107</v>
      </c>
      <c r="BA27" s="505">
        <f>[5]Model!BD29+[5]Model!BD30</f>
        <v>-2.34363881</v>
      </c>
      <c r="BB27" s="505">
        <f>[5]Model!BE29+[5]Model!BE30</f>
        <v>-1.01602688</v>
      </c>
      <c r="BC27" s="505">
        <f>[5]Model!BF29+[5]Model!BF30</f>
        <v>0</v>
      </c>
      <c r="BD27" s="505">
        <f>[5]Model!BG29+[5]Model!BG30</f>
        <v>1.38331573</v>
      </c>
      <c r="BE27" s="505">
        <f>[5]Model!BH29+[5]Model!BH30</f>
        <v>0</v>
      </c>
      <c r="BF27" s="505">
        <f>[5]Model!BI29+[5]Model!BI30</f>
        <v>0</v>
      </c>
      <c r="BG27" s="505">
        <f>[5]Model!BJ29+[5]Model!BJ30</f>
        <v>1</v>
      </c>
      <c r="BH27" s="505">
        <f>[5]Model!BK29+[5]Model!BK30</f>
        <v>1</v>
      </c>
      <c r="BI27" s="505">
        <f>[5]Model!BL29+[5]Model!BL30</f>
        <v>1</v>
      </c>
      <c r="BJ27" s="505">
        <f>[5]Model!BM29+[5]Model!BM30</f>
        <v>2</v>
      </c>
      <c r="BK27" s="505">
        <f>[5]Model!BN29+[5]Model!BN30</f>
        <v>3</v>
      </c>
      <c r="BL27" s="505">
        <f>[5]Model!BO29+[5]Model!BO30</f>
        <v>4</v>
      </c>
      <c r="BM27" s="505">
        <f>[5]Model!BP29+[5]Model!BP30</f>
        <v>5</v>
      </c>
      <c r="BN27" s="505">
        <f>[5]Model!BQ29+[5]Model!BQ30</f>
        <v>5</v>
      </c>
      <c r="BO27" s="505">
        <f>[5]Model!BR29+[5]Model!BR30</f>
        <v>0</v>
      </c>
      <c r="BP27" s="505">
        <f>[5]Model!BS29+[5]Model!BS30</f>
        <v>0</v>
      </c>
      <c r="BQ27" s="505">
        <f>[5]Model!BT29+[5]Model!BT30</f>
        <v>0</v>
      </c>
      <c r="BR27" s="505">
        <f>[5]Model!BU29+[5]Model!BU30</f>
        <v>0</v>
      </c>
      <c r="BS27" s="505">
        <f>[5]Model!BV29+[5]Model!BV30</f>
        <v>0</v>
      </c>
      <c r="BT27" s="505">
        <f>[5]Model!BW29+[5]Model!BW30</f>
        <v>0</v>
      </c>
      <c r="BU27" s="505">
        <f>[5]Model!BX29+[5]Model!BX30</f>
        <v>0</v>
      </c>
      <c r="BV27" s="505">
        <f>[5]Model!BY29+[5]Model!BY30</f>
        <v>0</v>
      </c>
      <c r="BW27" s="505">
        <f>[5]Model!BZ29+[5]Model!BZ30</f>
        <v>0</v>
      </c>
      <c r="BX27" s="505">
        <f>[5]Model!CA29+[5]Model!CA30</f>
        <v>0</v>
      </c>
    </row>
    <row r="28" outlineLevel="2" spans="2:76">
      <c r="B28" t="s">
        <v>116</v>
      </c>
      <c r="C28" t="s">
        <v>117</v>
      </c>
      <c r="D28" t="str">
        <f t="shared" si="0"/>
        <v>CNY</v>
      </c>
      <c r="F28" s="505">
        <f>[5]Model!E27</f>
        <v>0</v>
      </c>
      <c r="G28" s="505">
        <f>[5]Model!F27</f>
        <v>0</v>
      </c>
      <c r="H28" s="505">
        <f>[5]Model!G27</f>
        <v>0</v>
      </c>
      <c r="I28" s="505">
        <f>[5]Model!H27</f>
        <v>0</v>
      </c>
      <c r="J28" s="505">
        <f>[5]Model!I27</f>
        <v>0</v>
      </c>
      <c r="K28" s="505">
        <f>[5]Model!J27</f>
        <v>0</v>
      </c>
      <c r="L28" s="505">
        <f>[5]Model!K27</f>
        <v>0.0014594</v>
      </c>
      <c r="M28" s="505">
        <f>[5]Model!L27</f>
        <v>-0.00519486</v>
      </c>
      <c r="N28" s="505">
        <f>[5]Model!M27</f>
        <v>-0.23568619</v>
      </c>
      <c r="O28" s="505">
        <f>[5]Model!N27</f>
        <v>0</v>
      </c>
      <c r="P28" s="505">
        <f>[5]Model!O27</f>
        <v>0</v>
      </c>
      <c r="Q28" s="505">
        <f>[5]Model!P27</f>
        <v>0</v>
      </c>
      <c r="R28" s="505">
        <f>[5]Model!Q27</f>
        <v>0</v>
      </c>
      <c r="S28" s="505">
        <f>[5]Model!R27</f>
        <v>0</v>
      </c>
      <c r="T28" s="505">
        <f>[5]Model!S27</f>
        <v>0</v>
      </c>
      <c r="U28" s="505">
        <f>[5]Model!T27</f>
        <v>0</v>
      </c>
      <c r="V28" s="505">
        <f>[5]Model!U27</f>
        <v>0</v>
      </c>
      <c r="W28" s="505">
        <f>[5]Model!V27</f>
        <v>0</v>
      </c>
      <c r="X28" s="505"/>
      <c r="Y28" s="505">
        <f>[5]Model!AB27</f>
        <v>0</v>
      </c>
      <c r="Z28" s="505">
        <f>[5]Model!AC27</f>
        <v>0</v>
      </c>
      <c r="AA28" s="505">
        <f>[5]Model!AD27</f>
        <v>0</v>
      </c>
      <c r="AB28" s="505">
        <f>[5]Model!AE27</f>
        <v>0</v>
      </c>
      <c r="AC28" s="505">
        <f>[5]Model!AF27</f>
        <v>0</v>
      </c>
      <c r="AD28" s="505">
        <f>[5]Model!AG27</f>
        <v>0</v>
      </c>
      <c r="AE28" s="505">
        <f>[5]Model!AH27</f>
        <v>0</v>
      </c>
      <c r="AF28" s="505">
        <f>[5]Model!AI27</f>
        <v>0</v>
      </c>
      <c r="AG28" s="505">
        <f>[5]Model!AJ27</f>
        <v>0</v>
      </c>
      <c r="AH28" s="505">
        <f>[5]Model!AK27</f>
        <v>0</v>
      </c>
      <c r="AI28" s="505">
        <f>[5]Model!AL27</f>
        <v>0</v>
      </c>
      <c r="AJ28" s="505">
        <f>[5]Model!AM27</f>
        <v>0.0014594</v>
      </c>
      <c r="AK28" s="505">
        <f>[5]Model!AN27</f>
        <v>0</v>
      </c>
      <c r="AL28" s="505">
        <f>[5]Model!AO27</f>
        <v>-0.00028033</v>
      </c>
      <c r="AM28" s="505">
        <f>[5]Model!AP27</f>
        <v>-0.00491453</v>
      </c>
      <c r="AN28" s="505">
        <f>[5]Model!AQ27</f>
        <v>0</v>
      </c>
      <c r="AO28" s="505">
        <f>[5]Model!AR27</f>
        <v>-0.015131</v>
      </c>
      <c r="AP28" s="505">
        <f>[5]Model!AS27</f>
        <v>0</v>
      </c>
      <c r="AQ28" s="505">
        <f>[5]Model!AT27</f>
        <v>-4.206e-5</v>
      </c>
      <c r="AR28" s="505">
        <f>[5]Model!AU27</f>
        <v>-0.22051313</v>
      </c>
      <c r="AS28" s="505">
        <f>[5]Model!AV27</f>
        <v>0</v>
      </c>
      <c r="AT28" s="505">
        <f>[5]Model!AW27</f>
        <v>0</v>
      </c>
      <c r="AU28" s="505">
        <f>[5]Model!AX27</f>
        <v>0</v>
      </c>
      <c r="AV28" s="505">
        <f>[5]Model!AY27</f>
        <v>0</v>
      </c>
      <c r="AW28" s="505">
        <f>[5]Model!AZ27</f>
        <v>0</v>
      </c>
      <c r="AX28" s="505">
        <f>[5]Model!BA27</f>
        <v>0</v>
      </c>
      <c r="AY28" s="505">
        <f>[5]Model!BB27</f>
        <v>0</v>
      </c>
      <c r="AZ28" s="505">
        <f>[5]Model!BC27</f>
        <v>0</v>
      </c>
      <c r="BA28" s="505">
        <f>[5]Model!BD27</f>
        <v>0</v>
      </c>
      <c r="BB28" s="505">
        <f>[5]Model!BE27</f>
        <v>0</v>
      </c>
      <c r="BC28" s="505">
        <f>[5]Model!BF27</f>
        <v>0</v>
      </c>
      <c r="BD28" s="505">
        <f>[5]Model!BG27</f>
        <v>0</v>
      </c>
      <c r="BE28" s="505">
        <f>[5]Model!BH27</f>
        <v>0</v>
      </c>
      <c r="BF28" s="505">
        <f>[5]Model!BI27</f>
        <v>0</v>
      </c>
      <c r="BG28" s="505">
        <f>[5]Model!BJ27</f>
        <v>0</v>
      </c>
      <c r="BH28" s="505">
        <f>[5]Model!BK27</f>
        <v>0</v>
      </c>
      <c r="BI28" s="505">
        <f>[5]Model!BL27</f>
        <v>0</v>
      </c>
      <c r="BJ28" s="505">
        <f>[5]Model!BM27</f>
        <v>0</v>
      </c>
      <c r="BK28" s="505">
        <f>[5]Model!BN27</f>
        <v>0</v>
      </c>
      <c r="BL28" s="505">
        <f>[5]Model!BO27</f>
        <v>0</v>
      </c>
      <c r="BM28" s="505">
        <f>[5]Model!BP27</f>
        <v>0</v>
      </c>
      <c r="BN28" s="505">
        <f>[5]Model!BQ27</f>
        <v>0</v>
      </c>
      <c r="BO28" s="505">
        <f>[5]Model!BR27</f>
        <v>0</v>
      </c>
      <c r="BP28" s="505">
        <f>[5]Model!BS27</f>
        <v>0</v>
      </c>
      <c r="BQ28" s="505">
        <f>[5]Model!BT27</f>
        <v>0</v>
      </c>
      <c r="BR28" s="505">
        <f>[5]Model!BU27</f>
        <v>0</v>
      </c>
      <c r="BS28" s="505">
        <f>[5]Model!BV27</f>
        <v>0</v>
      </c>
      <c r="BT28" s="505">
        <f>[5]Model!BW27</f>
        <v>0</v>
      </c>
      <c r="BU28" s="505">
        <f>[5]Model!BX27</f>
        <v>0</v>
      </c>
      <c r="BV28" s="505">
        <f>[5]Model!BY27</f>
        <v>0</v>
      </c>
      <c r="BW28" s="505">
        <f>[5]Model!BZ27</f>
        <v>0</v>
      </c>
      <c r="BX28" s="505">
        <f>[5]Model!CA27</f>
        <v>0</v>
      </c>
    </row>
    <row r="29" outlineLevel="2" spans="2:76">
      <c r="B29" t="s">
        <v>118</v>
      </c>
      <c r="C29" t="s">
        <v>119</v>
      </c>
      <c r="D29" t="str">
        <f t="shared" si="0"/>
        <v>CNY</v>
      </c>
      <c r="F29" s="505">
        <f>[5]Model!E31+[5]Model!E26+[5]Model!E28</f>
        <v>-4.28497254999996</v>
      </c>
      <c r="G29" s="505">
        <f>[5]Model!F31+[5]Model!F26+[5]Model!F28</f>
        <v>-1.51988785999997</v>
      </c>
      <c r="H29" s="505">
        <f>[5]Model!G31+[5]Model!G26+[5]Model!G28</f>
        <v>-1.37942802999994</v>
      </c>
      <c r="I29" s="505">
        <f>[5]Model!H31+[5]Model!H26+[5]Model!H28</f>
        <v>-2.66374950999994</v>
      </c>
      <c r="J29" s="505">
        <f>[5]Model!I31+[5]Model!I26+[5]Model!I28</f>
        <v>-3.12361652000007</v>
      </c>
      <c r="K29" s="505">
        <f>[5]Model!J31+[5]Model!J26+[5]Model!J28</f>
        <v>4.35477832000005</v>
      </c>
      <c r="L29" s="505">
        <f>[5]Model!K31+[5]Model!K26+[5]Model!K28</f>
        <v>-1.07751772999999</v>
      </c>
      <c r="M29" s="505">
        <f>[5]Model!L31+[5]Model!L26+[5]Model!L28</f>
        <v>-5.92426492999987</v>
      </c>
      <c r="N29" s="505">
        <f>[5]Model!M31+[5]Model!M26+[5]Model!M28</f>
        <v>-15.8793395499999</v>
      </c>
      <c r="O29" s="505">
        <f>[5]Model!N31+[5]Model!N26+[5]Model!N28</f>
        <v>-19.02783199</v>
      </c>
      <c r="P29" s="505">
        <f>[5]Model!O31+[5]Model!O26+[5]Model!O28</f>
        <v>-7.44566472000023</v>
      </c>
      <c r="Q29" s="505">
        <f>[5]Model!P31+[5]Model!P26+[5]Model!P28</f>
        <v>126.26615544</v>
      </c>
      <c r="R29" s="505">
        <f>[5]Model!Q31+[5]Model!Q26+[5]Model!Q28</f>
        <v>18.13683392</v>
      </c>
      <c r="S29" s="505">
        <f>[5]Model!R31+[5]Model!R26+[5]Model!R28</f>
        <v>27.6694541999999</v>
      </c>
      <c r="T29" s="505">
        <f>[5]Model!S31+[5]Model!S26+[5]Model!S28</f>
        <v>70.503039930001</v>
      </c>
      <c r="U29" s="505">
        <f>[5]Model!T31+[5]Model!T26</f>
        <v>153.11671241</v>
      </c>
      <c r="V29" s="505">
        <f>[5]Model!U31+[5]Model!U26</f>
        <v>0</v>
      </c>
      <c r="W29" s="505">
        <f>[5]Model!V31+[5]Model!V26</f>
        <v>0</v>
      </c>
      <c r="X29" s="505"/>
      <c r="Y29" s="505">
        <f>[5]Model!AB31+[5]Model!AB26</f>
        <v>-0.000532200000008753</v>
      </c>
      <c r="Z29" s="505">
        <f>[5]Model!AC31+[5]Model!AC26</f>
        <v>0.770515350000007</v>
      </c>
      <c r="AA29" s="505">
        <f>[5]Model!AD31+[5]Model!AD26</f>
        <v>-1.03705459000001</v>
      </c>
      <c r="AB29" s="505">
        <f>[5]Model!AE31+[5]Model!AE26</f>
        <v>-1.60702714000002</v>
      </c>
      <c r="AC29" s="505">
        <f>[5]Model!AF31+[5]Model!AF26</f>
        <v>0.711007720000023</v>
      </c>
      <c r="AD29" s="505">
        <f>[5]Model!AG31+[5]Model!AG26</f>
        <v>-1.92590626</v>
      </c>
      <c r="AE29" s="505">
        <f>[5]Model!AH31+[5]Model!AH26</f>
        <v>3.75835476000002</v>
      </c>
      <c r="AF29" s="505">
        <f>[5]Model!AI31+[5]Model!AI26</f>
        <v>-0.43464277</v>
      </c>
      <c r="AG29" s="505">
        <f>[5]Model!AJ31+[5]Model!AJ26</f>
        <v>2.48452160999997</v>
      </c>
      <c r="AH29" s="505">
        <f>[5]Model!AK31+[5]Model!AK26</f>
        <v>-2.74600167000004</v>
      </c>
      <c r="AI29" s="505">
        <f>[5]Model!AL31+[5]Model!AL26</f>
        <v>-0.954660500000008</v>
      </c>
      <c r="AJ29" s="505">
        <f>[5]Model!AM31+[5]Model!AM26</f>
        <v>1.21793634000002</v>
      </c>
      <c r="AK29" s="505">
        <f>[5]Model!AN31+[5]Model!AN26</f>
        <v>-5.29280355000001</v>
      </c>
      <c r="AL29" s="505">
        <f>[5]Model!AO31+[5]Model!AO26</f>
        <v>-8.99413186999997</v>
      </c>
      <c r="AM29" s="505">
        <f>[5]Model!AP31+[5]Model!AP26</f>
        <v>0.956823780000023</v>
      </c>
      <c r="AN29" s="505">
        <f>[5]Model!AQ31+[5]Model!AQ26</f>
        <v>-1.46388503</v>
      </c>
      <c r="AO29" s="505">
        <f>[5]Model!AR31+[5]Model!AR26</f>
        <v>-0.621427299999968</v>
      </c>
      <c r="AP29" s="505">
        <f>[5]Model!AS31+[5]Model!AS26</f>
        <v>5.81760549999998</v>
      </c>
      <c r="AQ29" s="505">
        <f>[5]Model!AT31+[5]Model!AT26</f>
        <v>-7.42142262000005</v>
      </c>
      <c r="AR29" s="505">
        <f>[5]Model!AU31+[5]Model!AU26</f>
        <v>-15.29472935</v>
      </c>
      <c r="AS29" s="505">
        <f>[5]Model!AV31+[5]Model!AV26</f>
        <v>-5.88843710000004</v>
      </c>
      <c r="AT29" s="505">
        <f>[5]Model!AW31+[5]Model!AW26</f>
        <v>-16.6478776</v>
      </c>
      <c r="AU29" s="505">
        <f>[5]Model!AX31+[5]Model!AX26</f>
        <v>-5.79198600000001</v>
      </c>
      <c r="AV29" s="505">
        <f>[5]Model!AY31+[5]Model!AY26</f>
        <v>20.12014282</v>
      </c>
      <c r="AW29" s="505">
        <f>[5]Model!AZ31+[5]Model!AZ26</f>
        <v>-28.59505746</v>
      </c>
      <c r="AX29" s="505">
        <f>[5]Model!BA31+[5]Model!BA26</f>
        <v>-0.480349770000114</v>
      </c>
      <c r="AY29" s="505">
        <f>[5]Model!BB31+[5]Model!BB26</f>
        <v>17.76756391</v>
      </c>
      <c r="AZ29" s="505">
        <f>[5]Model!BC31+[5]Model!BC26</f>
        <v>20.844108</v>
      </c>
      <c r="BA29" s="505">
        <f>[5]Model!BD31+[5]Model!BD26</f>
        <v>-36.0068907000001</v>
      </c>
      <c r="BB29" s="505">
        <f>[5]Model!BE31+[5]Model!BE26</f>
        <v>125.13853453</v>
      </c>
      <c r="BC29" s="505">
        <f>[5]Model!BF31+[5]Model!BF26</f>
        <v>-21.6999917499999</v>
      </c>
      <c r="BD29" s="505">
        <f>[5]Model!BG31+[5]Model!BG26</f>
        <v>-44.1699178</v>
      </c>
      <c r="BE29" s="505">
        <f>[5]Model!BH31+[5]Model!BH26</f>
        <v>-3.18757794999997</v>
      </c>
      <c r="BF29" s="505">
        <f>[5]Model!BI31+[5]Model!BI26</f>
        <v>-25.46094271</v>
      </c>
      <c r="BG29" s="505">
        <f>[5]Model!BJ31+[5]Model!BJ26</f>
        <v>17.01915663</v>
      </c>
      <c r="BH29" s="505">
        <f>[5]Model!BK31+[5]Model!BK26</f>
        <v>-5.46893477999994</v>
      </c>
      <c r="BI29" s="505">
        <f>[5]Model!BL31+[5]Model!BL26</f>
        <v>-12.3459593699999</v>
      </c>
      <c r="BJ29" s="505">
        <f>[5]Model!BM31+[5]Model!BM26</f>
        <v>-7.40798217000013</v>
      </c>
      <c r="BK29" s="505">
        <f>[5]Model!BN31+[5]Model!BN26</f>
        <v>-4.21231664000005</v>
      </c>
      <c r="BL29" s="505">
        <f>[5]Model!BO31+[5]Model!BO26</f>
        <v>-56.21692172</v>
      </c>
      <c r="BM29" s="505">
        <f>[5]Model!BP31+[5]Model!BP26</f>
        <v>-17.7780318699997</v>
      </c>
      <c r="BN29" s="505">
        <f>[5]Model!BQ31+[5]Model!BQ26</f>
        <v>-145.511561700001</v>
      </c>
      <c r="BO29" s="505">
        <f>[5]Model!BR31+[5]Model!BR26</f>
        <v>490.372689950003</v>
      </c>
      <c r="BP29" s="505">
        <f>[5]Model!BS31+[5]Model!BS26</f>
        <v>35.4912821999982</v>
      </c>
      <c r="BQ29" s="505">
        <f>[5]Model!BT31+[5]Model!BT26</f>
        <v>-596.88328759</v>
      </c>
      <c r="BR29" s="505">
        <f>[5]Model!BU31+[5]Model!BU26</f>
        <v>200</v>
      </c>
      <c r="BS29" s="505">
        <f>[5]Model!BV31+[5]Model!BV26</f>
        <v>250</v>
      </c>
      <c r="BT29" s="505">
        <f>[5]Model!BW31+[5]Model!BW26</f>
        <v>300</v>
      </c>
      <c r="BU29" s="505">
        <f>[5]Model!BX31+[5]Model!BX26</f>
        <v>0</v>
      </c>
      <c r="BV29" s="505">
        <f>[5]Model!BY31+[5]Model!BY26</f>
        <v>0</v>
      </c>
      <c r="BW29" s="505">
        <f>[5]Model!BZ31+[5]Model!BZ26</f>
        <v>0</v>
      </c>
      <c r="BX29" s="505">
        <f>[5]Model!CA31+[5]Model!CA26</f>
        <v>0</v>
      </c>
    </row>
    <row r="30" outlineLevel="2" spans="2:76">
      <c r="B30" t="s">
        <v>120</v>
      </c>
      <c r="C30" t="s">
        <v>121</v>
      </c>
      <c r="D30" t="str">
        <f t="shared" si="0"/>
        <v>CNY</v>
      </c>
      <c r="F30" s="505">
        <f>[5]Model!E33</f>
        <v>62.6278977</v>
      </c>
      <c r="G30" s="505">
        <f>[5]Model!F33</f>
        <v>77.57693206</v>
      </c>
      <c r="H30" s="505">
        <f>[5]Model!G33</f>
        <v>93.35920653</v>
      </c>
      <c r="I30" s="505">
        <f>[5]Model!H33</f>
        <v>108.19541474</v>
      </c>
      <c r="J30" s="505">
        <f>[5]Model!I33</f>
        <v>110.47321434</v>
      </c>
      <c r="K30" s="505">
        <f>[5]Model!J33</f>
        <v>128.02857917</v>
      </c>
      <c r="L30" s="505">
        <f>[5]Model!K33</f>
        <v>127.53738864</v>
      </c>
      <c r="M30" s="505">
        <f>[5]Model!L33</f>
        <v>35.51037374</v>
      </c>
      <c r="N30" s="505">
        <f>[5]Model!M33</f>
        <v>243.95119307</v>
      </c>
      <c r="O30" s="505">
        <f>[5]Model!N33</f>
        <v>561.59909655</v>
      </c>
      <c r="P30" s="505">
        <f>[5]Model!O33</f>
        <v>763.07317571</v>
      </c>
      <c r="Q30" s="505">
        <f>[5]Model!P33</f>
        <v>1027.86484307</v>
      </c>
      <c r="R30" s="505">
        <f>[5]Model!Q33</f>
        <v>788.72812029</v>
      </c>
      <c r="S30" s="505">
        <f>[5]Model!R33</f>
        <v>3234.21003673</v>
      </c>
      <c r="T30" s="505">
        <f>[5]Model!S33</f>
        <v>10865.71903686</v>
      </c>
      <c r="U30" s="505">
        <f>[5]Model!T33</f>
        <v>23713.5859715945</v>
      </c>
      <c r="V30" s="505">
        <f>[5]Model!U33</f>
        <v>34376.7070456781</v>
      </c>
      <c r="W30" s="505">
        <f>[5]Model!V33</f>
        <v>39514.9184707714</v>
      </c>
      <c r="X30" s="505"/>
      <c r="Y30" s="505">
        <f>[5]Model!AB33</f>
        <v>29.11439223</v>
      </c>
      <c r="Z30" s="505">
        <f>[5]Model!AC33</f>
        <v>31.22748051</v>
      </c>
      <c r="AA30" s="505">
        <f>[5]Model!AD33</f>
        <v>23.39950476</v>
      </c>
      <c r="AB30" s="505">
        <f>[5]Model!AE33</f>
        <v>26.73183684</v>
      </c>
      <c r="AC30" s="505">
        <f>[5]Model!AF33</f>
        <v>25.347175</v>
      </c>
      <c r="AD30" s="505">
        <f>[5]Model!AG33</f>
        <v>32.56912973</v>
      </c>
      <c r="AE30" s="505">
        <f>[5]Model!AH33</f>
        <v>40.45962127</v>
      </c>
      <c r="AF30" s="505">
        <f>[5]Model!AI33</f>
        <v>29.65265317</v>
      </c>
      <c r="AG30" s="505">
        <f>[5]Model!AJ33</f>
        <v>35.27624929</v>
      </c>
      <c r="AH30" s="505">
        <f>[5]Model!AK33</f>
        <v>38.86755318</v>
      </c>
      <c r="AI30" s="505">
        <f>[5]Model!AL33</f>
        <v>40.75793337</v>
      </c>
      <c r="AJ30" s="505">
        <f>[5]Model!AM33</f>
        <v>12.6356528</v>
      </c>
      <c r="AK30" s="505">
        <f>[5]Model!AN33</f>
        <v>-4.21533163</v>
      </c>
      <c r="AL30" s="505">
        <f>[5]Model!AO33</f>
        <v>-13.29411824</v>
      </c>
      <c r="AM30" s="505">
        <f>[5]Model!AP33</f>
        <v>24.25363277</v>
      </c>
      <c r="AN30" s="505">
        <f>[5]Model!AQ33</f>
        <v>28.76619084</v>
      </c>
      <c r="AO30" s="505">
        <f>[5]Model!AR33</f>
        <v>38.24166385</v>
      </c>
      <c r="AP30" s="505">
        <f>[5]Model!AS33</f>
        <v>56.84421744</v>
      </c>
      <c r="AQ30" s="505">
        <f>[5]Model!AT33</f>
        <v>61.94501851</v>
      </c>
      <c r="AR30" s="505">
        <f>[5]Model!AU33</f>
        <v>86.92029327</v>
      </c>
      <c r="AS30" s="505">
        <f>[5]Model!AV33</f>
        <v>66.22737772</v>
      </c>
      <c r="AT30" s="505">
        <f>[5]Model!AW33</f>
        <v>158.56192595</v>
      </c>
      <c r="AU30" s="505">
        <f>[5]Model!AX33</f>
        <v>177.45929785</v>
      </c>
      <c r="AV30" s="505">
        <f>[5]Model!AY33</f>
        <v>159.35049503</v>
      </c>
      <c r="AW30" s="505">
        <f>[5]Model!AZ33</f>
        <v>136.9955633</v>
      </c>
      <c r="AX30" s="505">
        <f>[5]Model!BA33</f>
        <v>243.10482493</v>
      </c>
      <c r="AY30" s="505">
        <f>[5]Model!BB33</f>
        <v>157.34392322</v>
      </c>
      <c r="AZ30" s="505">
        <f>[5]Model!BC33</f>
        <v>225.62886426</v>
      </c>
      <c r="BA30" s="505">
        <f>[5]Model!BD33</f>
        <v>156.25975137</v>
      </c>
      <c r="BB30" s="505">
        <f>[5]Model!BE33</f>
        <v>367.73023304</v>
      </c>
      <c r="BC30" s="505">
        <f>[5]Model!BF33</f>
        <v>338.76758483</v>
      </c>
      <c r="BD30" s="505">
        <f>[5]Model!BG33</f>
        <v>165.10727383</v>
      </c>
      <c r="BE30" s="505">
        <f>[5]Model!BH33</f>
        <v>127.79096911</v>
      </c>
      <c r="BF30" s="505">
        <f>[5]Model!BI33</f>
        <v>200.39036091</v>
      </c>
      <c r="BG30" s="505">
        <f>[5]Model!BJ33</f>
        <v>157.87316903</v>
      </c>
      <c r="BH30" s="505">
        <f>[5]Model!BK33</f>
        <v>302.67362124</v>
      </c>
      <c r="BI30" s="505">
        <f>[5]Model!BL33</f>
        <v>372.3710459</v>
      </c>
      <c r="BJ30" s="505">
        <f>[5]Model!BM33</f>
        <v>608.80105951</v>
      </c>
      <c r="BK30" s="505">
        <f>[5]Model!BN33</f>
        <v>888.62073582</v>
      </c>
      <c r="BL30" s="505">
        <f>[5]Model!BO33</f>
        <v>1364.4171955</v>
      </c>
      <c r="BM30" s="505">
        <f>[5]Model!BP33</f>
        <v>1773.2538348</v>
      </c>
      <c r="BN30" s="505">
        <f>[5]Model!BQ33</f>
        <v>2675.13137524</v>
      </c>
      <c r="BO30" s="505">
        <f>[5]Model!BR33</f>
        <v>2602.14829652</v>
      </c>
      <c r="BP30" s="505">
        <f>[5]Model!BS33</f>
        <v>3815.1855303</v>
      </c>
      <c r="BQ30" s="505">
        <f>[5]Model!BT33</f>
        <v>3246.58439536</v>
      </c>
      <c r="BR30" s="505">
        <f>[5]Model!BU33</f>
        <v>5313.323746958</v>
      </c>
      <c r="BS30" s="505">
        <f>[5]Model!BV33</f>
        <v>7259.13985229744</v>
      </c>
      <c r="BT30" s="505">
        <f>[5]Model!BW33</f>
        <v>7894.53797697903</v>
      </c>
      <c r="BU30" s="505">
        <f>[5]Model!BX33</f>
        <v>6647.48295357015</v>
      </c>
      <c r="BV30" s="505">
        <f>[5]Model!BY33</f>
        <v>7766.38999168601</v>
      </c>
      <c r="BW30" s="505">
        <f>[5]Model!BZ33</f>
        <v>10427.1230532892</v>
      </c>
      <c r="BX30" s="505">
        <f>[5]Model!CA33</f>
        <v>9535.7110471327</v>
      </c>
    </row>
    <row r="31" s="495" customFormat="1" outlineLevel="1" spans="1:4">
      <c r="A31" s="501" t="s">
        <v>122</v>
      </c>
      <c r="B31" s="501"/>
      <c r="C31" s="501"/>
      <c r="D31" s="501"/>
    </row>
    <row r="32" outlineLevel="2" spans="2:76">
      <c r="B32" t="s">
        <v>123</v>
      </c>
      <c r="C32" t="s">
        <v>124</v>
      </c>
      <c r="D32" t="str">
        <f t="shared" ref="D32:D39" si="10">E_CURRENCY_ISSR_208021942_REP</f>
        <v>CNY</v>
      </c>
      <c r="F32" s="506"/>
      <c r="G32" s="506"/>
      <c r="H32" s="506"/>
      <c r="I32" s="506"/>
      <c r="J32" s="506"/>
      <c r="K32" s="506"/>
      <c r="L32" s="506"/>
      <c r="M32" s="506"/>
      <c r="N32" s="506"/>
      <c r="O32" s="506"/>
      <c r="P32" s="506"/>
      <c r="Q32" s="506"/>
      <c r="R32" s="506"/>
      <c r="S32" s="506"/>
      <c r="T32" s="506"/>
      <c r="U32" s="506"/>
      <c r="V32" s="506"/>
      <c r="W32" s="506"/>
      <c r="X32" s="506"/>
      <c r="Y32" s="506"/>
      <c r="Z32" s="506"/>
      <c r="AA32" s="506"/>
      <c r="AB32" s="506"/>
      <c r="AC32" s="506"/>
      <c r="AD32" s="506"/>
      <c r="AE32" s="506"/>
      <c r="AF32" s="506"/>
      <c r="AG32" s="506"/>
      <c r="AH32" s="506"/>
      <c r="AI32" s="506"/>
      <c r="AJ32" s="506"/>
      <c r="AK32" s="506"/>
      <c r="AL32" s="506"/>
      <c r="AM32" s="506"/>
      <c r="AN32" s="506"/>
      <c r="AO32" s="506"/>
      <c r="AP32" s="506"/>
      <c r="AQ32" s="506"/>
      <c r="AR32" s="506"/>
      <c r="AS32" s="506"/>
      <c r="AT32" s="506"/>
      <c r="AU32" s="506"/>
      <c r="AV32" s="506"/>
      <c r="AW32" s="506"/>
      <c r="AX32" s="506"/>
      <c r="AY32" s="506"/>
      <c r="AZ32" s="506"/>
      <c r="BA32" s="506"/>
      <c r="BB32" s="506"/>
      <c r="BC32" s="506"/>
      <c r="BD32" s="506"/>
      <c r="BE32" s="506"/>
      <c r="BF32" s="506"/>
      <c r="BG32" s="506"/>
      <c r="BH32" s="506"/>
      <c r="BI32" s="506"/>
      <c r="BJ32" s="506"/>
      <c r="BK32" s="506"/>
      <c r="BL32" s="506"/>
      <c r="BM32" s="506"/>
      <c r="BN32" s="506"/>
      <c r="BO32" s="506"/>
      <c r="BP32" s="506"/>
      <c r="BQ32" s="506"/>
      <c r="BR32" s="506"/>
      <c r="BS32" s="506"/>
      <c r="BT32" s="506"/>
      <c r="BU32" s="506"/>
      <c r="BV32" s="506"/>
      <c r="BW32" s="506"/>
      <c r="BX32" s="506"/>
    </row>
    <row r="33" outlineLevel="2" spans="2:76">
      <c r="B33" t="s">
        <v>125</v>
      </c>
      <c r="C33" t="s">
        <v>126</v>
      </c>
      <c r="D33" t="str">
        <f t="shared" si="10"/>
        <v>CNY</v>
      </c>
      <c r="F33" s="505"/>
      <c r="G33" s="505"/>
      <c r="H33" s="505"/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Y33" s="505"/>
      <c r="Z33" s="505"/>
      <c r="AA33" s="505"/>
      <c r="AB33" s="505"/>
      <c r="AC33" s="505"/>
      <c r="AD33" s="505"/>
      <c r="AE33" s="505"/>
      <c r="AF33" s="505"/>
      <c r="AG33" s="505"/>
      <c r="AH33" s="505"/>
      <c r="AI33" s="505"/>
      <c r="AJ33" s="505"/>
      <c r="AK33" s="505"/>
      <c r="AL33" s="505"/>
      <c r="AM33" s="505"/>
      <c r="AN33" s="505"/>
      <c r="AO33" s="505"/>
      <c r="AP33" s="505"/>
      <c r="AQ33" s="505"/>
      <c r="AR33" s="505"/>
      <c r="AS33" s="505"/>
      <c r="AT33" s="505"/>
      <c r="AU33" s="505"/>
      <c r="AV33" s="505"/>
      <c r="AW33" s="505"/>
      <c r="AX33" s="505"/>
      <c r="AY33" s="505"/>
      <c r="AZ33" s="505"/>
      <c r="BA33" s="505"/>
      <c r="BB33" s="505"/>
      <c r="BC33" s="505"/>
      <c r="BD33" s="505"/>
      <c r="BE33" s="505"/>
      <c r="BF33" s="505"/>
      <c r="BG33" s="505"/>
      <c r="BH33" s="505"/>
      <c r="BI33" s="505"/>
      <c r="BJ33" s="505"/>
      <c r="BK33" s="505"/>
      <c r="BL33" s="505"/>
      <c r="BM33" s="505"/>
      <c r="BN33" s="505"/>
      <c r="BO33" s="505"/>
      <c r="BP33" s="505"/>
      <c r="BQ33" s="505"/>
      <c r="BR33" s="505"/>
      <c r="BS33" s="505"/>
      <c r="BT33" s="505"/>
      <c r="BU33" s="505"/>
      <c r="BV33" s="505"/>
      <c r="BW33" s="505"/>
      <c r="BX33" s="505"/>
    </row>
    <row r="34" outlineLevel="2" spans="2:76">
      <c r="B34" t="s">
        <v>127</v>
      </c>
      <c r="C34" t="s">
        <v>128</v>
      </c>
      <c r="D34" t="str">
        <f t="shared" si="10"/>
        <v>CNY</v>
      </c>
      <c r="F34" s="505"/>
      <c r="G34" s="505"/>
      <c r="H34" s="505"/>
      <c r="I34" s="505"/>
      <c r="J34" s="505"/>
      <c r="K34" s="505"/>
      <c r="L34" s="505"/>
      <c r="M34" s="505"/>
      <c r="N34" s="505"/>
      <c r="O34" s="505"/>
      <c r="P34" s="505"/>
      <c r="Q34" s="505"/>
      <c r="R34" s="505"/>
      <c r="S34" s="505"/>
      <c r="T34" s="505"/>
      <c r="U34" s="505"/>
      <c r="V34" s="505"/>
      <c r="W34" s="505"/>
      <c r="X34" s="505"/>
      <c r="Y34" s="505"/>
      <c r="Z34" s="505"/>
      <c r="AA34" s="505"/>
      <c r="AB34" s="505"/>
      <c r="AC34" s="505"/>
      <c r="AD34" s="505"/>
      <c r="AE34" s="505"/>
      <c r="AF34" s="505"/>
      <c r="AG34" s="505"/>
      <c r="AH34" s="505"/>
      <c r="AI34" s="505"/>
      <c r="AJ34" s="505"/>
      <c r="AK34" s="505"/>
      <c r="AL34" s="505"/>
      <c r="AM34" s="505"/>
      <c r="AN34" s="505"/>
      <c r="AO34" s="505"/>
      <c r="AP34" s="505"/>
      <c r="AQ34" s="505"/>
      <c r="AR34" s="505"/>
      <c r="AS34" s="505"/>
      <c r="AT34" s="505"/>
      <c r="AU34" s="505"/>
      <c r="AV34" s="505"/>
      <c r="AW34" s="505"/>
      <c r="AX34" s="505"/>
      <c r="AY34" s="505"/>
      <c r="AZ34" s="505"/>
      <c r="BA34" s="505"/>
      <c r="BB34" s="505"/>
      <c r="BC34" s="505"/>
      <c r="BD34" s="505"/>
      <c r="BE34" s="505"/>
      <c r="BF34" s="505"/>
      <c r="BG34" s="505"/>
      <c r="BH34" s="505"/>
      <c r="BI34" s="505"/>
      <c r="BJ34" s="505"/>
      <c r="BK34" s="505"/>
      <c r="BL34" s="505"/>
      <c r="BM34" s="505"/>
      <c r="BN34" s="505"/>
      <c r="BO34" s="505"/>
      <c r="BP34" s="505"/>
      <c r="BQ34" s="505"/>
      <c r="BR34" s="505"/>
      <c r="BS34" s="505"/>
      <c r="BT34" s="505"/>
      <c r="BU34" s="505"/>
      <c r="BV34" s="505"/>
      <c r="BW34" s="505"/>
      <c r="BX34" s="505"/>
    </row>
    <row r="35" outlineLevel="2" spans="2:76">
      <c r="B35" t="s">
        <v>129</v>
      </c>
      <c r="C35" t="s">
        <v>130</v>
      </c>
      <c r="D35" t="str">
        <f t="shared" si="10"/>
        <v>CNY</v>
      </c>
      <c r="F35" s="505"/>
      <c r="G35" s="505"/>
      <c r="H35" s="505"/>
      <c r="I35" s="505"/>
      <c r="J35" s="505"/>
      <c r="K35" s="505"/>
      <c r="L35" s="505"/>
      <c r="M35" s="505"/>
      <c r="N35" s="505"/>
      <c r="O35" s="505"/>
      <c r="P35" s="505"/>
      <c r="Q35" s="505"/>
      <c r="R35" s="505"/>
      <c r="S35" s="505"/>
      <c r="T35" s="505"/>
      <c r="U35" s="505"/>
      <c r="V35" s="505"/>
      <c r="W35" s="505"/>
      <c r="X35" s="505"/>
      <c r="Y35" s="505"/>
      <c r="Z35" s="505"/>
      <c r="AA35" s="505"/>
      <c r="AB35" s="505"/>
      <c r="AC35" s="505"/>
      <c r="AD35" s="505"/>
      <c r="AE35" s="505"/>
      <c r="AF35" s="505"/>
      <c r="AG35" s="505"/>
      <c r="AH35" s="505"/>
      <c r="AI35" s="505"/>
      <c r="AJ35" s="505"/>
      <c r="AK35" s="505"/>
      <c r="AL35" s="505"/>
      <c r="AM35" s="505"/>
      <c r="AN35" s="505"/>
      <c r="AO35" s="505"/>
      <c r="AP35" s="505"/>
      <c r="AQ35" s="505"/>
      <c r="AR35" s="505"/>
      <c r="AS35" s="505"/>
      <c r="AT35" s="505"/>
      <c r="AU35" s="505"/>
      <c r="AV35" s="505"/>
      <c r="AW35" s="505"/>
      <c r="AX35" s="505"/>
      <c r="AY35" s="505"/>
      <c r="AZ35" s="505"/>
      <c r="BA35" s="505"/>
      <c r="BB35" s="505"/>
      <c r="BC35" s="505"/>
      <c r="BD35" s="505"/>
      <c r="BE35" s="505"/>
      <c r="BF35" s="505"/>
      <c r="BG35" s="505"/>
      <c r="BH35" s="505"/>
      <c r="BI35" s="505"/>
      <c r="BJ35" s="505"/>
      <c r="BK35" s="505"/>
      <c r="BL35" s="505"/>
      <c r="BM35" s="505"/>
      <c r="BN35" s="505"/>
      <c r="BO35" s="505"/>
      <c r="BP35" s="505"/>
      <c r="BQ35" s="505"/>
      <c r="BR35" s="505"/>
      <c r="BS35" s="505"/>
      <c r="BT35" s="505"/>
      <c r="BU35" s="505"/>
      <c r="BV35" s="505"/>
      <c r="BW35" s="505"/>
      <c r="BX35" s="505"/>
    </row>
    <row r="36" outlineLevel="2" spans="2:76">
      <c r="B36" t="s">
        <v>131</v>
      </c>
      <c r="C36" t="s">
        <v>132</v>
      </c>
      <c r="D36" t="str">
        <f t="shared" si="10"/>
        <v>CNY</v>
      </c>
      <c r="F36" s="505"/>
      <c r="G36" s="505"/>
      <c r="H36" s="505"/>
      <c r="I36" s="505"/>
      <c r="J36" s="505"/>
      <c r="K36" s="505"/>
      <c r="L36" s="505"/>
      <c r="M36" s="505"/>
      <c r="N36" s="505"/>
      <c r="O36" s="505"/>
      <c r="P36" s="505"/>
      <c r="Q36" s="505"/>
      <c r="R36" s="505"/>
      <c r="S36" s="505"/>
      <c r="T36" s="505"/>
      <c r="U36" s="505"/>
      <c r="V36" s="505"/>
      <c r="W36" s="505"/>
      <c r="X36" s="505"/>
      <c r="Y36" s="505"/>
      <c r="Z36" s="505"/>
      <c r="AA36" s="505"/>
      <c r="AB36" s="505"/>
      <c r="AC36" s="505"/>
      <c r="AD36" s="505"/>
      <c r="AE36" s="505"/>
      <c r="AF36" s="505"/>
      <c r="AG36" s="505"/>
      <c r="AH36" s="505"/>
      <c r="AI36" s="505"/>
      <c r="AJ36" s="505"/>
      <c r="AK36" s="505"/>
      <c r="AL36" s="505"/>
      <c r="AM36" s="505"/>
      <c r="AN36" s="505"/>
      <c r="AO36" s="505"/>
      <c r="AP36" s="505"/>
      <c r="AQ36" s="505"/>
      <c r="AR36" s="505"/>
      <c r="AS36" s="505"/>
      <c r="AT36" s="505"/>
      <c r="AU36" s="505"/>
      <c r="AV36" s="505"/>
      <c r="AW36" s="505"/>
      <c r="AX36" s="505"/>
      <c r="AY36" s="505"/>
      <c r="AZ36" s="505"/>
      <c r="BA36" s="505"/>
      <c r="BB36" s="505"/>
      <c r="BC36" s="505"/>
      <c r="BD36" s="505"/>
      <c r="BE36" s="505"/>
      <c r="BF36" s="505"/>
      <c r="BG36" s="505"/>
      <c r="BH36" s="505"/>
      <c r="BI36" s="505"/>
      <c r="BJ36" s="505"/>
      <c r="BK36" s="505"/>
      <c r="BL36" s="505"/>
      <c r="BM36" s="505"/>
      <c r="BN36" s="505"/>
      <c r="BO36" s="505"/>
      <c r="BP36" s="505"/>
      <c r="BQ36" s="505"/>
      <c r="BR36" s="505"/>
      <c r="BS36" s="505"/>
      <c r="BT36" s="505"/>
      <c r="BU36" s="505"/>
      <c r="BV36" s="505"/>
      <c r="BW36" s="505"/>
      <c r="BX36" s="505"/>
    </row>
    <row r="37" outlineLevel="2" spans="2:76">
      <c r="B37" t="s">
        <v>133</v>
      </c>
      <c r="C37" t="s">
        <v>134</v>
      </c>
      <c r="D37" t="str">
        <f t="shared" si="10"/>
        <v>CNY</v>
      </c>
      <c r="F37" s="505"/>
      <c r="G37" s="505"/>
      <c r="H37" s="505"/>
      <c r="I37" s="505"/>
      <c r="J37" s="505"/>
      <c r="K37" s="505"/>
      <c r="L37" s="505"/>
      <c r="M37" s="505"/>
      <c r="N37" s="505"/>
      <c r="O37" s="505"/>
      <c r="P37" s="505"/>
      <c r="Q37" s="505"/>
      <c r="R37" s="505"/>
      <c r="S37" s="505"/>
      <c r="T37" s="505"/>
      <c r="U37" s="505"/>
      <c r="V37" s="505"/>
      <c r="W37" s="505"/>
      <c r="X37" s="505"/>
      <c r="Y37" s="505"/>
      <c r="Z37" s="505"/>
      <c r="AA37" s="505"/>
      <c r="AB37" s="505"/>
      <c r="AC37" s="505"/>
      <c r="AD37" s="505"/>
      <c r="AE37" s="505"/>
      <c r="AF37" s="505"/>
      <c r="AG37" s="505"/>
      <c r="AH37" s="505"/>
      <c r="AI37" s="505"/>
      <c r="AJ37" s="505"/>
      <c r="AK37" s="505"/>
      <c r="AL37" s="505"/>
      <c r="AM37" s="505"/>
      <c r="AN37" s="505"/>
      <c r="AO37" s="505"/>
      <c r="AP37" s="505"/>
      <c r="AQ37" s="505"/>
      <c r="AR37" s="505"/>
      <c r="AS37" s="505"/>
      <c r="AT37" s="505"/>
      <c r="AU37" s="505"/>
      <c r="AV37" s="505"/>
      <c r="AW37" s="505"/>
      <c r="AX37" s="505"/>
      <c r="AY37" s="505"/>
      <c r="AZ37" s="505"/>
      <c r="BA37" s="505"/>
      <c r="BB37" s="505"/>
      <c r="BC37" s="505"/>
      <c r="BD37" s="505"/>
      <c r="BE37" s="505"/>
      <c r="BF37" s="505"/>
      <c r="BG37" s="505"/>
      <c r="BH37" s="505"/>
      <c r="BI37" s="505"/>
      <c r="BJ37" s="505"/>
      <c r="BK37" s="505"/>
      <c r="BL37" s="505"/>
      <c r="BM37" s="505"/>
      <c r="BN37" s="505"/>
      <c r="BO37" s="505"/>
      <c r="BP37" s="505"/>
      <c r="BQ37" s="505"/>
      <c r="BR37" s="505"/>
      <c r="BS37" s="505"/>
      <c r="BT37" s="505"/>
      <c r="BU37" s="505"/>
      <c r="BV37" s="505"/>
      <c r="BW37" s="505"/>
      <c r="BX37" s="505"/>
    </row>
    <row r="38" outlineLevel="2" spans="2:76">
      <c r="B38" t="s">
        <v>135</v>
      </c>
      <c r="C38" t="s">
        <v>136</v>
      </c>
      <c r="D38" t="str">
        <f t="shared" si="10"/>
        <v>CNY</v>
      </c>
      <c r="F38" s="505"/>
      <c r="G38" s="505"/>
      <c r="H38" s="505"/>
      <c r="I38" s="505"/>
      <c r="J38" s="505"/>
      <c r="K38" s="505"/>
      <c r="L38" s="505"/>
      <c r="M38" s="505"/>
      <c r="N38" s="505"/>
      <c r="O38" s="505"/>
      <c r="P38" s="505"/>
      <c r="Q38" s="505"/>
      <c r="R38" s="505"/>
      <c r="S38" s="505"/>
      <c r="T38" s="505"/>
      <c r="U38" s="505"/>
      <c r="V38" s="505"/>
      <c r="W38" s="505"/>
      <c r="X38" s="505"/>
      <c r="Y38" s="505"/>
      <c r="Z38" s="505"/>
      <c r="AA38" s="505"/>
      <c r="AB38" s="505"/>
      <c r="AC38" s="505"/>
      <c r="AD38" s="505"/>
      <c r="AE38" s="505"/>
      <c r="AF38" s="505"/>
      <c r="AG38" s="505"/>
      <c r="AH38" s="505"/>
      <c r="AI38" s="505"/>
      <c r="AJ38" s="505"/>
      <c r="AK38" s="505"/>
      <c r="AL38" s="505"/>
      <c r="AM38" s="505"/>
      <c r="AN38" s="505"/>
      <c r="AO38" s="505"/>
      <c r="AP38" s="505"/>
      <c r="AQ38" s="505"/>
      <c r="AR38" s="505"/>
      <c r="AS38" s="505"/>
      <c r="AT38" s="505"/>
      <c r="AU38" s="505"/>
      <c r="AV38" s="505"/>
      <c r="AW38" s="505"/>
      <c r="AX38" s="505"/>
      <c r="AY38" s="505"/>
      <c r="AZ38" s="505"/>
      <c r="BA38" s="505"/>
      <c r="BB38" s="505"/>
      <c r="BC38" s="505"/>
      <c r="BD38" s="505"/>
      <c r="BE38" s="505"/>
      <c r="BF38" s="505"/>
      <c r="BG38" s="505"/>
      <c r="BH38" s="505"/>
      <c r="BI38" s="505"/>
      <c r="BJ38" s="505"/>
      <c r="BK38" s="505"/>
      <c r="BL38" s="505"/>
      <c r="BM38" s="505"/>
      <c r="BN38" s="505"/>
      <c r="BO38" s="505"/>
      <c r="BP38" s="505"/>
      <c r="BQ38" s="505"/>
      <c r="BR38" s="505"/>
      <c r="BS38" s="505"/>
      <c r="BT38" s="505"/>
      <c r="BU38" s="505"/>
      <c r="BV38" s="505"/>
      <c r="BW38" s="505"/>
      <c r="BX38" s="505"/>
    </row>
    <row r="39" outlineLevel="2" spans="2:76">
      <c r="B39" t="s">
        <v>137</v>
      </c>
      <c r="C39" t="s">
        <v>138</v>
      </c>
      <c r="D39" t="str">
        <f t="shared" si="10"/>
        <v>CNY</v>
      </c>
      <c r="F39" s="505"/>
      <c r="G39" s="505"/>
      <c r="H39" s="505"/>
      <c r="I39" s="505"/>
      <c r="J39" s="505"/>
      <c r="K39" s="505"/>
      <c r="L39" s="505"/>
      <c r="M39" s="505"/>
      <c r="N39" s="505"/>
      <c r="O39" s="505"/>
      <c r="P39" s="505"/>
      <c r="Q39" s="505"/>
      <c r="R39" s="505"/>
      <c r="S39" s="505"/>
      <c r="T39" s="505"/>
      <c r="U39" s="505"/>
      <c r="V39" s="505"/>
      <c r="W39" s="505"/>
      <c r="X39" s="505"/>
      <c r="Y39" s="505"/>
      <c r="Z39" s="505"/>
      <c r="AA39" s="505"/>
      <c r="AB39" s="505"/>
      <c r="AC39" s="505"/>
      <c r="AD39" s="505"/>
      <c r="AE39" s="505"/>
      <c r="AF39" s="505"/>
      <c r="AG39" s="505"/>
      <c r="AH39" s="505"/>
      <c r="AI39" s="505"/>
      <c r="AJ39" s="505"/>
      <c r="AK39" s="505"/>
      <c r="AL39" s="505"/>
      <c r="AM39" s="505"/>
      <c r="AN39" s="505"/>
      <c r="AO39" s="505"/>
      <c r="AP39" s="505"/>
      <c r="AQ39" s="505"/>
      <c r="AR39" s="505"/>
      <c r="AS39" s="505"/>
      <c r="AT39" s="505"/>
      <c r="AU39" s="505"/>
      <c r="AV39" s="505"/>
      <c r="AW39" s="505"/>
      <c r="AX39" s="505"/>
      <c r="AY39" s="505"/>
      <c r="AZ39" s="505"/>
      <c r="BA39" s="505"/>
      <c r="BB39" s="505"/>
      <c r="BC39" s="505"/>
      <c r="BD39" s="505"/>
      <c r="BE39" s="505"/>
      <c r="BF39" s="505"/>
      <c r="BG39" s="505"/>
      <c r="BH39" s="505"/>
      <c r="BI39" s="505"/>
      <c r="BJ39" s="505"/>
      <c r="BK39" s="505"/>
      <c r="BL39" s="505"/>
      <c r="BM39" s="505"/>
      <c r="BN39" s="505"/>
      <c r="BO39" s="505"/>
      <c r="BP39" s="505"/>
      <c r="BQ39" s="505"/>
      <c r="BR39" s="505"/>
      <c r="BS39" s="505"/>
      <c r="BT39" s="505"/>
      <c r="BU39" s="505"/>
      <c r="BV39" s="505"/>
      <c r="BW39" s="505"/>
      <c r="BX39" s="505"/>
    </row>
    <row r="40" outlineLevel="2" spans="2:5">
      <c r="B40" t="s">
        <v>139</v>
      </c>
      <c r="C40" t="s">
        <v>140</v>
      </c>
      <c r="E40" s="507" t="s">
        <v>141</v>
      </c>
    </row>
    <row r="41" s="495" customFormat="1" outlineLevel="1" spans="1:4">
      <c r="A41" s="501" t="s">
        <v>142</v>
      </c>
      <c r="B41" s="501"/>
      <c r="C41" s="501"/>
      <c r="D41" s="501"/>
    </row>
    <row r="42" outlineLevel="2" spans="2:76">
      <c r="B42" t="s">
        <v>143</v>
      </c>
      <c r="C42" t="s">
        <v>144</v>
      </c>
      <c r="D42" t="str">
        <f t="shared" ref="D42:D71" si="11">E_CURRENCY_ISSR_208021942_REP</f>
        <v>CNY</v>
      </c>
      <c r="F42" s="505">
        <f>[5]Model!E121</f>
        <v>106.83875803</v>
      </c>
      <c r="G42" s="505">
        <f>[5]Model!F121</f>
        <v>98.53904271</v>
      </c>
      <c r="H42" s="505">
        <f>[5]Model!G121</f>
        <v>62.52412164</v>
      </c>
      <c r="I42" s="505">
        <f>[5]Model!H121</f>
        <v>89.89609736</v>
      </c>
      <c r="J42" s="505">
        <f>[5]Model!I121</f>
        <v>79.31808351</v>
      </c>
      <c r="K42" s="505">
        <f>[5]Model!J121</f>
        <v>135.60739867</v>
      </c>
      <c r="L42" s="505">
        <f>[5]Model!K121</f>
        <v>108.06688407</v>
      </c>
      <c r="M42" s="505">
        <f>[5]Model!L121</f>
        <v>237.00026683</v>
      </c>
      <c r="N42" s="505">
        <f>[5]Model!M121</f>
        <v>253.40360322</v>
      </c>
      <c r="O42" s="505">
        <f>[5]Model!N121</f>
        <v>1931.39998619</v>
      </c>
      <c r="P42" s="505">
        <f>[5]Model!O121</f>
        <v>1579.77817945</v>
      </c>
      <c r="Q42" s="505">
        <f>[5]Model!P121</f>
        <v>1784.96853053</v>
      </c>
      <c r="R42" s="505">
        <f>[5]Model!Q121</f>
        <v>2515.32317661</v>
      </c>
      <c r="S42" s="505">
        <f>[5]Model!R121</f>
        <v>1600.2691037</v>
      </c>
      <c r="T42" s="505">
        <f>[5]Model!S121</f>
        <v>8155.613938</v>
      </c>
      <c r="U42" s="505">
        <f>[5]Model!T121</f>
        <v>15393.7526700418</v>
      </c>
      <c r="V42" s="505">
        <f>[5]Model!U121</f>
        <v>39089.3118467892</v>
      </c>
      <c r="W42" s="505">
        <f>[5]Model!V121</f>
        <v>57966.2091934597</v>
      </c>
      <c r="X42" s="505"/>
      <c r="Y42" s="505"/>
      <c r="Z42" s="505"/>
      <c r="AA42" s="505"/>
      <c r="AB42" s="505"/>
      <c r="AC42" s="505"/>
      <c r="AD42" s="505"/>
      <c r="AE42" s="505"/>
      <c r="AF42" s="505"/>
      <c r="AG42" s="505"/>
      <c r="AH42" s="505"/>
      <c r="AI42" s="505"/>
      <c r="AJ42" s="505"/>
      <c r="AK42" s="505"/>
      <c r="AL42" s="505"/>
      <c r="AM42" s="505"/>
      <c r="AN42" s="505"/>
      <c r="AO42" s="505"/>
      <c r="AP42" s="505"/>
      <c r="AQ42" s="505"/>
      <c r="AR42" s="505"/>
      <c r="AS42" s="505"/>
      <c r="AT42" s="505"/>
      <c r="AU42" s="505"/>
      <c r="AV42" s="505"/>
      <c r="AW42" s="505"/>
      <c r="AX42" s="505"/>
      <c r="AY42" s="505"/>
      <c r="AZ42" s="505"/>
      <c r="BA42" s="505"/>
      <c r="BB42" s="505"/>
      <c r="BC42" s="505"/>
      <c r="BD42" s="505"/>
      <c r="BE42" s="505"/>
      <c r="BF42" s="505"/>
      <c r="BG42" s="505"/>
      <c r="BH42" s="505"/>
      <c r="BI42" s="505"/>
      <c r="BJ42" s="505"/>
      <c r="BK42" s="505"/>
      <c r="BL42" s="505"/>
      <c r="BM42" s="505"/>
      <c r="BN42" s="505"/>
      <c r="BO42" s="505"/>
      <c r="BP42" s="505"/>
      <c r="BQ42" s="505"/>
      <c r="BR42" s="505"/>
      <c r="BS42" s="505"/>
      <c r="BT42" s="505"/>
      <c r="BU42" s="505"/>
      <c r="BV42" s="505"/>
      <c r="BW42" s="505"/>
      <c r="BX42" s="505"/>
    </row>
    <row r="43" outlineLevel="2" spans="2:76">
      <c r="B43" t="s">
        <v>145</v>
      </c>
      <c r="C43" t="s">
        <v>146</v>
      </c>
      <c r="D43" t="str">
        <f t="shared" si="11"/>
        <v>CNY</v>
      </c>
      <c r="F43" s="505">
        <f>[5]Model!E122</f>
        <v>85.10242322</v>
      </c>
      <c r="G43" s="505">
        <f>[5]Model!F122</f>
        <v>86.14089897</v>
      </c>
      <c r="H43" s="505">
        <f>[5]Model!G122</f>
        <v>146.06796812</v>
      </c>
      <c r="I43" s="505">
        <f>[5]Model!H122</f>
        <v>197.93570764</v>
      </c>
      <c r="J43" s="505">
        <f>[5]Model!I122</f>
        <v>222.84343814</v>
      </c>
      <c r="K43" s="505">
        <f>[5]Model!J122</f>
        <v>292.11326915</v>
      </c>
      <c r="L43" s="505">
        <f>[5]Model!K122</f>
        <v>424.13408351</v>
      </c>
      <c r="M43" s="505">
        <f>[5]Model!L122</f>
        <v>330.83003526</v>
      </c>
      <c r="N43" s="505">
        <f>[5]Model!M122</f>
        <v>311.92776471</v>
      </c>
      <c r="O43" s="505">
        <f>[5]Model!N122</f>
        <v>368.87359536</v>
      </c>
      <c r="P43" s="505">
        <f>[5]Model!O122</f>
        <v>577.20937992</v>
      </c>
      <c r="Q43" s="505">
        <f>[5]Model!P122</f>
        <v>695.42809874</v>
      </c>
      <c r="R43" s="505">
        <f>[5]Model!Q122</f>
        <v>741.12715954</v>
      </c>
      <c r="S43" s="505">
        <f>[5]Model!R122</f>
        <v>2549.78917396</v>
      </c>
      <c r="T43" s="505">
        <f>[5]Model!S122</f>
        <v>4441.88254259</v>
      </c>
      <c r="U43" s="505">
        <f>[5]Model!T122</f>
        <v>11450.1871718443</v>
      </c>
      <c r="V43" s="505">
        <f>[5]Model!U122</f>
        <v>13401.6406639102</v>
      </c>
      <c r="W43" s="505">
        <f>[5]Model!V122</f>
        <v>17498.7225290685</v>
      </c>
      <c r="X43" s="505"/>
      <c r="Y43" s="505"/>
      <c r="Z43" s="505"/>
      <c r="AA43" s="505"/>
      <c r="AB43" s="505"/>
      <c r="AC43" s="505"/>
      <c r="AD43" s="505"/>
      <c r="AE43" s="505"/>
      <c r="AF43" s="505"/>
      <c r="AG43" s="505"/>
      <c r="AH43" s="505"/>
      <c r="AI43" s="505"/>
      <c r="AJ43" s="505"/>
      <c r="AK43" s="505"/>
      <c r="AL43" s="505"/>
      <c r="AM43" s="505"/>
      <c r="AN43" s="505"/>
      <c r="AO43" s="505"/>
      <c r="AP43" s="505"/>
      <c r="AQ43" s="505"/>
      <c r="AR43" s="505"/>
      <c r="AS43" s="505"/>
      <c r="AT43" s="505"/>
      <c r="AU43" s="505"/>
      <c r="AV43" s="505"/>
      <c r="AW43" s="505"/>
      <c r="AX43" s="505"/>
      <c r="AY43" s="505"/>
      <c r="AZ43" s="505"/>
      <c r="BA43" s="505"/>
      <c r="BB43" s="505"/>
      <c r="BC43" s="505"/>
      <c r="BD43" s="505"/>
      <c r="BE43" s="505"/>
      <c r="BF43" s="505"/>
      <c r="BG43" s="505"/>
      <c r="BH43" s="505"/>
      <c r="BI43" s="505"/>
      <c r="BJ43" s="505"/>
      <c r="BK43" s="505"/>
      <c r="BL43" s="505"/>
      <c r="BM43" s="505"/>
      <c r="BN43" s="505"/>
      <c r="BO43" s="505"/>
      <c r="BP43" s="505"/>
      <c r="BQ43" s="505"/>
      <c r="BR43" s="505"/>
      <c r="BS43" s="505"/>
      <c r="BT43" s="505"/>
      <c r="BU43" s="505"/>
      <c r="BV43" s="505"/>
      <c r="BW43" s="505"/>
      <c r="BX43" s="505"/>
    </row>
    <row r="44" outlineLevel="2" spans="2:76">
      <c r="B44" t="s">
        <v>147</v>
      </c>
      <c r="C44" t="s">
        <v>148</v>
      </c>
      <c r="D44" t="str">
        <f t="shared" si="11"/>
        <v>CNY</v>
      </c>
      <c r="F44" s="505">
        <f>[5]Model!E123</f>
        <v>72.28068889</v>
      </c>
      <c r="G44" s="505">
        <f>[5]Model!F123</f>
        <v>80.49080207</v>
      </c>
      <c r="H44" s="505">
        <f>[5]Model!G123</f>
        <v>115.46272829</v>
      </c>
      <c r="I44" s="505">
        <f>[5]Model!H123</f>
        <v>124.84103549</v>
      </c>
      <c r="J44" s="505">
        <f>[5]Model!I123</f>
        <v>207.71725451</v>
      </c>
      <c r="K44" s="505">
        <f>[5]Model!J123</f>
        <v>283.69801721</v>
      </c>
      <c r="L44" s="505">
        <f>[5]Model!K123</f>
        <v>433.53856049</v>
      </c>
      <c r="M44" s="505">
        <f>[5]Model!L123</f>
        <v>291.23772835</v>
      </c>
      <c r="N44" s="505">
        <f>[5]Model!M123</f>
        <v>352.13864476</v>
      </c>
      <c r="O44" s="505">
        <f>[5]Model!N123</f>
        <v>971.78565628</v>
      </c>
      <c r="P44" s="505">
        <f>[5]Model!O123</f>
        <v>1526.18234847</v>
      </c>
      <c r="Q44" s="505">
        <f>[5]Model!P123</f>
        <v>1469.20358793</v>
      </c>
      <c r="R44" s="505">
        <f>[5]Model!Q123</f>
        <v>963.34819868</v>
      </c>
      <c r="S44" s="505">
        <f>[5]Model!R123</f>
        <v>4132.06724434</v>
      </c>
      <c r="T44" s="505">
        <f>[5]Model!S123</f>
        <v>7234.33346899</v>
      </c>
      <c r="U44" s="505">
        <f>[5]Model!T123</f>
        <v>16127.5980455938</v>
      </c>
      <c r="V44" s="505">
        <f>[5]Model!U123</f>
        <v>17211.6424450331</v>
      </c>
      <c r="W44" s="505">
        <f>[5]Model!V123</f>
        <v>21026.4602885865</v>
      </c>
      <c r="X44" s="505"/>
      <c r="Y44" s="505"/>
      <c r="Z44" s="505"/>
      <c r="AA44" s="505"/>
      <c r="AB44" s="505"/>
      <c r="AC44" s="505"/>
      <c r="AD44" s="505"/>
      <c r="AE44" s="505"/>
      <c r="AF44" s="505"/>
      <c r="AG44" s="505"/>
      <c r="AH44" s="505"/>
      <c r="AI44" s="505"/>
      <c r="AJ44" s="505"/>
      <c r="AK44" s="505"/>
      <c r="AL44" s="505"/>
      <c r="AM44" s="505"/>
      <c r="AN44" s="505"/>
      <c r="AO44" s="505"/>
      <c r="AP44" s="505"/>
      <c r="AQ44" s="505"/>
      <c r="AR44" s="505"/>
      <c r="AS44" s="505"/>
      <c r="AT44" s="505"/>
      <c r="AU44" s="505"/>
      <c r="AV44" s="505"/>
      <c r="AW44" s="505"/>
      <c r="AX44" s="505"/>
      <c r="AY44" s="505"/>
      <c r="AZ44" s="505"/>
      <c r="BA44" s="505"/>
      <c r="BB44" s="505"/>
      <c r="BC44" s="505"/>
      <c r="BD44" s="505"/>
      <c r="BE44" s="505"/>
      <c r="BF44" s="505"/>
      <c r="BG44" s="505"/>
      <c r="BH44" s="505"/>
      <c r="BI44" s="505"/>
      <c r="BJ44" s="505"/>
      <c r="BK44" s="505"/>
      <c r="BL44" s="505"/>
      <c r="BM44" s="505"/>
      <c r="BN44" s="505"/>
      <c r="BO44" s="505"/>
      <c r="BP44" s="505"/>
      <c r="BQ44" s="505"/>
      <c r="BR44" s="505"/>
      <c r="BS44" s="505"/>
      <c r="BT44" s="505"/>
      <c r="BU44" s="505"/>
      <c r="BV44" s="505"/>
      <c r="BW44" s="505"/>
      <c r="BX44" s="505"/>
    </row>
    <row r="45" outlineLevel="2" spans="2:76">
      <c r="B45" t="s">
        <v>149</v>
      </c>
      <c r="C45" t="s">
        <v>150</v>
      </c>
      <c r="D45" t="str">
        <f t="shared" si="11"/>
        <v>CNY</v>
      </c>
      <c r="F45" s="505">
        <f>[5]Model!E124</f>
        <v>7.29104733000003</v>
      </c>
      <c r="G45" s="505">
        <f>[5]Model!F124</f>
        <v>12.59033286</v>
      </c>
      <c r="H45" s="505">
        <f>[5]Model!G124</f>
        <v>11.72395402</v>
      </c>
      <c r="I45" s="505">
        <f>[5]Model!H124</f>
        <v>9.86902248000001</v>
      </c>
      <c r="J45" s="505">
        <f>[5]Model!I124</f>
        <v>14.1234349499999</v>
      </c>
      <c r="K45" s="505">
        <f>[5]Model!J124</f>
        <v>196.69454644</v>
      </c>
      <c r="L45" s="505">
        <f>[5]Model!K124</f>
        <v>51.21182185</v>
      </c>
      <c r="M45" s="505">
        <f>[5]Model!L124</f>
        <v>105.35122193</v>
      </c>
      <c r="N45" s="505">
        <f>[5]Model!M124</f>
        <v>253.55390122</v>
      </c>
      <c r="O45" s="505">
        <f>[5]Model!N124</f>
        <v>235.23815715</v>
      </c>
      <c r="P45" s="505">
        <f>[5]Model!O124</f>
        <v>240.9792827</v>
      </c>
      <c r="Q45" s="505">
        <f>[5]Model!P124</f>
        <v>255.76584285</v>
      </c>
      <c r="R45" s="505">
        <f>[5]Model!Q124</f>
        <v>115.61509394</v>
      </c>
      <c r="S45" s="505">
        <f>[5]Model!R124</f>
        <v>643.310084930001</v>
      </c>
      <c r="T45" s="505">
        <f>[5]Model!S124</f>
        <v>684.161735059999</v>
      </c>
      <c r="U45" s="505">
        <f>[5]Model!T124</f>
        <v>36.5428612819596</v>
      </c>
      <c r="V45" s="505">
        <f>[5]Model!U124</f>
        <v>36.5428612819524</v>
      </c>
      <c r="W45" s="505">
        <f>[5]Model!V124</f>
        <v>36.5428612819524</v>
      </c>
      <c r="X45" s="505"/>
      <c r="Y45" s="505"/>
      <c r="Z45" s="505"/>
      <c r="AA45" s="505"/>
      <c r="AB45" s="505"/>
      <c r="AC45" s="505"/>
      <c r="AD45" s="505"/>
      <c r="AE45" s="505"/>
      <c r="AF45" s="505"/>
      <c r="AG45" s="505"/>
      <c r="AH45" s="505"/>
      <c r="AI45" s="505"/>
      <c r="AJ45" s="505"/>
      <c r="AK45" s="505"/>
      <c r="AL45" s="505"/>
      <c r="AM45" s="505"/>
      <c r="AN45" s="505"/>
      <c r="AO45" s="505"/>
      <c r="AP45" s="505"/>
      <c r="AQ45" s="505"/>
      <c r="AR45" s="505"/>
      <c r="AS45" s="505"/>
      <c r="AT45" s="505"/>
      <c r="AU45" s="505"/>
      <c r="AV45" s="505"/>
      <c r="AW45" s="505"/>
      <c r="AX45" s="505"/>
      <c r="AY45" s="505"/>
      <c r="AZ45" s="505"/>
      <c r="BA45" s="505"/>
      <c r="BB45" s="505"/>
      <c r="BC45" s="505"/>
      <c r="BD45" s="505"/>
      <c r="BE45" s="505"/>
      <c r="BF45" s="505"/>
      <c r="BG45" s="505"/>
      <c r="BH45" s="505"/>
      <c r="BI45" s="505"/>
      <c r="BJ45" s="505"/>
      <c r="BK45" s="505"/>
      <c r="BL45" s="505"/>
      <c r="BM45" s="505"/>
      <c r="BN45" s="505"/>
      <c r="BO45" s="505"/>
      <c r="BP45" s="505"/>
      <c r="BQ45" s="505"/>
      <c r="BR45" s="505"/>
      <c r="BS45" s="505"/>
      <c r="BT45" s="505"/>
      <c r="BU45" s="505"/>
      <c r="BV45" s="505"/>
      <c r="BW45" s="505"/>
      <c r="BX45" s="505"/>
    </row>
    <row r="46" outlineLevel="2" spans="2:76">
      <c r="B46" t="s">
        <v>151</v>
      </c>
      <c r="C46" t="s">
        <v>152</v>
      </c>
      <c r="D46" t="str">
        <f t="shared" si="11"/>
        <v>CNY</v>
      </c>
      <c r="F46" s="505">
        <f>[5]Model!E125</f>
        <v>271.51291747</v>
      </c>
      <c r="G46" s="505">
        <f>[5]Model!F125</f>
        <v>277.76107661</v>
      </c>
      <c r="H46" s="505">
        <f>[5]Model!G125</f>
        <v>335.77877207</v>
      </c>
      <c r="I46" s="505">
        <f>[5]Model!H125</f>
        <v>422.54186297</v>
      </c>
      <c r="J46" s="505">
        <f>[5]Model!I125</f>
        <v>524.00221111</v>
      </c>
      <c r="K46" s="505">
        <f>[5]Model!J125</f>
        <v>908.11323147</v>
      </c>
      <c r="L46" s="505">
        <f>[5]Model!K125</f>
        <v>1016.95134992</v>
      </c>
      <c r="M46" s="505">
        <f>[5]Model!L125</f>
        <v>964.41925237</v>
      </c>
      <c r="N46" s="505">
        <f>[5]Model!M125</f>
        <v>1171.02391391</v>
      </c>
      <c r="O46" s="505">
        <f>[5]Model!N125</f>
        <v>3507.29739498</v>
      </c>
      <c r="P46" s="505">
        <f>[5]Model!O125</f>
        <v>3924.14919054</v>
      </c>
      <c r="Q46" s="505">
        <f>[5]Model!P125</f>
        <v>4205.36606005</v>
      </c>
      <c r="R46" s="505">
        <f>[5]Model!Q125</f>
        <v>4335.41362877</v>
      </c>
      <c r="S46" s="505">
        <f>[5]Model!R125</f>
        <v>8925.43560693</v>
      </c>
      <c r="T46" s="505">
        <f>[5]Model!S125</f>
        <v>20515.99168464</v>
      </c>
      <c r="U46" s="505">
        <f>[5]Model!T125</f>
        <v>43008.0807487619</v>
      </c>
      <c r="V46" s="505">
        <f>[5]Model!U125</f>
        <v>69739.1378170145</v>
      </c>
      <c r="W46" s="505">
        <f>[5]Model!V125</f>
        <v>96527.9348723967</v>
      </c>
      <c r="X46" s="505"/>
      <c r="Y46" s="505"/>
      <c r="Z46" s="505"/>
      <c r="AA46" s="505"/>
      <c r="AB46" s="505"/>
      <c r="AC46" s="505"/>
      <c r="AD46" s="505"/>
      <c r="AE46" s="505"/>
      <c r="AF46" s="505"/>
      <c r="AG46" s="505"/>
      <c r="AH46" s="505"/>
      <c r="AI46" s="505"/>
      <c r="AJ46" s="505"/>
      <c r="AK46" s="505"/>
      <c r="AL46" s="505"/>
      <c r="AM46" s="505"/>
      <c r="AN46" s="505"/>
      <c r="AO46" s="505"/>
      <c r="AP46" s="505"/>
      <c r="AQ46" s="505"/>
      <c r="AR46" s="505"/>
      <c r="AS46" s="505"/>
      <c r="AT46" s="505"/>
      <c r="AU46" s="505"/>
      <c r="AV46" s="505"/>
      <c r="AW46" s="505"/>
      <c r="AX46" s="505"/>
      <c r="AY46" s="505"/>
      <c r="AZ46" s="505"/>
      <c r="BA46" s="505"/>
      <c r="BB46" s="505"/>
      <c r="BC46" s="505"/>
      <c r="BD46" s="505"/>
      <c r="BE46" s="505"/>
      <c r="BF46" s="505"/>
      <c r="BG46" s="505"/>
      <c r="BH46" s="505"/>
      <c r="BI46" s="505"/>
      <c r="BJ46" s="505"/>
      <c r="BK46" s="505"/>
      <c r="BL46" s="505"/>
      <c r="BM46" s="505"/>
      <c r="BN46" s="505"/>
      <c r="BO46" s="505"/>
      <c r="BP46" s="505"/>
      <c r="BQ46" s="505"/>
      <c r="BR46" s="505"/>
      <c r="BS46" s="505"/>
      <c r="BT46" s="505"/>
      <c r="BU46" s="505"/>
      <c r="BV46" s="505"/>
      <c r="BW46" s="505"/>
      <c r="BX46" s="505"/>
    </row>
    <row r="47" outlineLevel="2" spans="2:76">
      <c r="B47" t="s">
        <v>153</v>
      </c>
      <c r="C47" t="s">
        <v>154</v>
      </c>
      <c r="D47" t="str">
        <f t="shared" si="11"/>
        <v>CNY</v>
      </c>
      <c r="F47" s="505">
        <f>[5]Model!E127</f>
        <v>27.71232909</v>
      </c>
      <c r="G47" s="505">
        <f>[5]Model!F127</f>
        <v>33.34520114</v>
      </c>
      <c r="H47" s="505">
        <f>[5]Model!G127</f>
        <v>128.77974772</v>
      </c>
      <c r="I47" s="505">
        <f>[5]Model!H127</f>
        <v>139.80540317</v>
      </c>
      <c r="J47" s="505">
        <f>[5]Model!I127</f>
        <v>179.35463225</v>
      </c>
      <c r="K47" s="505">
        <f>[5]Model!J127</f>
        <v>285.84733025</v>
      </c>
      <c r="L47" s="505">
        <f>[5]Model!K127</f>
        <v>425.31414436</v>
      </c>
      <c r="M47" s="505">
        <f>[5]Model!L127</f>
        <v>472.77134137</v>
      </c>
      <c r="N47" s="505">
        <f>[5]Model!M127</f>
        <v>531.3193654</v>
      </c>
      <c r="O47" s="505">
        <f>[5]Model!N127</f>
        <v>767.15651826</v>
      </c>
      <c r="P47" s="505">
        <f>[5]Model!O127</f>
        <v>924.02553553</v>
      </c>
      <c r="Q47" s="505">
        <f>[5]Model!P127</f>
        <v>1063.15658914</v>
      </c>
      <c r="R47" s="505">
        <f>[5]Model!Q127</f>
        <v>1814.60978006</v>
      </c>
      <c r="S47" s="505">
        <f>[5]Model!R127</f>
        <v>2690.48462853</v>
      </c>
      <c r="T47" s="505">
        <f>[5]Model!S127</f>
        <v>4387.01943529642</v>
      </c>
      <c r="U47" s="505">
        <f>[5]Model!T127</f>
        <v>7557.04158685155</v>
      </c>
      <c r="V47" s="505">
        <f>[5]Model!U127</f>
        <v>9734.45560825889</v>
      </c>
      <c r="W47" s="505">
        <f>[5]Model!V127</f>
        <v>11802.9989285959</v>
      </c>
      <c r="X47" s="505"/>
      <c r="Y47" s="505"/>
      <c r="Z47" s="505"/>
      <c r="AA47" s="505"/>
      <c r="AB47" s="505"/>
      <c r="AC47" s="505"/>
      <c r="AD47" s="505"/>
      <c r="AE47" s="505"/>
      <c r="AF47" s="505"/>
      <c r="AG47" s="505"/>
      <c r="AH47" s="505"/>
      <c r="AI47" s="505"/>
      <c r="AJ47" s="505"/>
      <c r="AK47" s="505"/>
      <c r="AL47" s="505"/>
      <c r="AM47" s="505"/>
      <c r="AN47" s="505"/>
      <c r="AO47" s="505"/>
      <c r="AP47" s="505"/>
      <c r="AQ47" s="505"/>
      <c r="AR47" s="505"/>
      <c r="AS47" s="505"/>
      <c r="AT47" s="505"/>
      <c r="AU47" s="505"/>
      <c r="AV47" s="505"/>
      <c r="AW47" s="505"/>
      <c r="AX47" s="505"/>
      <c r="AY47" s="505"/>
      <c r="AZ47" s="505"/>
      <c r="BA47" s="505"/>
      <c r="BB47" s="505"/>
      <c r="BC47" s="505"/>
      <c r="BD47" s="505"/>
      <c r="BE47" s="505"/>
      <c r="BF47" s="505"/>
      <c r="BG47" s="505"/>
      <c r="BH47" s="505"/>
      <c r="BI47" s="505"/>
      <c r="BJ47" s="505"/>
      <c r="BK47" s="505"/>
      <c r="BL47" s="505"/>
      <c r="BM47" s="505"/>
      <c r="BN47" s="505"/>
      <c r="BO47" s="505"/>
      <c r="BP47" s="505"/>
      <c r="BQ47" s="505"/>
      <c r="BR47" s="505"/>
      <c r="BS47" s="505"/>
      <c r="BT47" s="505"/>
      <c r="BU47" s="505"/>
      <c r="BV47" s="505"/>
      <c r="BW47" s="505"/>
      <c r="BX47" s="505"/>
    </row>
    <row r="48" outlineLevel="2" spans="2:76">
      <c r="B48" t="s">
        <v>155</v>
      </c>
      <c r="C48" t="s">
        <v>156</v>
      </c>
      <c r="D48" t="str">
        <f t="shared" si="11"/>
        <v>CNY</v>
      </c>
      <c r="F48" s="505">
        <f>[5]Model!E128</f>
        <v>-17.6691409</v>
      </c>
      <c r="G48" s="505">
        <f>[5]Model!F128</f>
        <v>-20.4502409</v>
      </c>
      <c r="H48" s="505">
        <f>[5]Model!G128</f>
        <v>-23.2551409</v>
      </c>
      <c r="I48" s="505">
        <f>[5]Model!H128</f>
        <v>-28.52726469</v>
      </c>
      <c r="J48" s="505">
        <f>[5]Model!I128</f>
        <v>-40.59531892</v>
      </c>
      <c r="K48" s="505">
        <f>[5]Model!J128</f>
        <v>-64.46918422</v>
      </c>
      <c r="L48" s="505">
        <f>[5]Model!K128</f>
        <v>-111.1755315</v>
      </c>
      <c r="M48" s="505">
        <f>[5]Model!L128</f>
        <v>-164.30952882</v>
      </c>
      <c r="N48" s="505">
        <f>[5]Model!M128</f>
        <v>-195.46563268</v>
      </c>
      <c r="O48" s="505">
        <f>[5]Model!N128</f>
        <v>-244.12575062</v>
      </c>
      <c r="P48" s="505">
        <f>[5]Model!O128</f>
        <v>-315.17369711</v>
      </c>
      <c r="Q48" s="505">
        <f>[5]Model!P128</f>
        <v>-402.13427331</v>
      </c>
      <c r="R48" s="505">
        <f>[5]Model!Q128</f>
        <v>-504.22169202</v>
      </c>
      <c r="S48" s="505">
        <f>[5]Model!R128</f>
        <v>-668.69875</v>
      </c>
      <c r="T48" s="505">
        <f>[5]Model!S128</f>
        <v>-1033.15679709642</v>
      </c>
      <c r="U48" s="505">
        <f>[5]Model!T128</f>
        <v>-1625.61860134947</v>
      </c>
      <c r="V48" s="505">
        <f>[5]Model!U128</f>
        <v>-2456.01781931976</v>
      </c>
      <c r="W48" s="505">
        <f>[5]Model!V128</f>
        <v>-3474.99910977124</v>
      </c>
      <c r="X48" s="505"/>
      <c r="Y48" s="505"/>
      <c r="Z48" s="505"/>
      <c r="AA48" s="505"/>
      <c r="AB48" s="505"/>
      <c r="AC48" s="505"/>
      <c r="AD48" s="505"/>
      <c r="AE48" s="505"/>
      <c r="AF48" s="505"/>
      <c r="AG48" s="505"/>
      <c r="AH48" s="505"/>
      <c r="AI48" s="505"/>
      <c r="AJ48" s="505"/>
      <c r="AK48" s="505"/>
      <c r="AL48" s="505"/>
      <c r="AM48" s="505"/>
      <c r="AN48" s="505"/>
      <c r="AO48" s="505"/>
      <c r="AP48" s="505"/>
      <c r="AQ48" s="505"/>
      <c r="AR48" s="505"/>
      <c r="AS48" s="505"/>
      <c r="AT48" s="505"/>
      <c r="AU48" s="505"/>
      <c r="AV48" s="505"/>
      <c r="AW48" s="505"/>
      <c r="AX48" s="505"/>
      <c r="AY48" s="505"/>
      <c r="AZ48" s="505"/>
      <c r="BA48" s="505"/>
      <c r="BB48" s="505"/>
      <c r="BC48" s="505"/>
      <c r="BD48" s="505"/>
      <c r="BE48" s="505"/>
      <c r="BF48" s="505"/>
      <c r="BG48" s="505"/>
      <c r="BH48" s="505"/>
      <c r="BI48" s="505"/>
      <c r="BJ48" s="505"/>
      <c r="BK48" s="505"/>
      <c r="BL48" s="505"/>
      <c r="BM48" s="505"/>
      <c r="BN48" s="505"/>
      <c r="BO48" s="505"/>
      <c r="BP48" s="505"/>
      <c r="BQ48" s="505"/>
      <c r="BR48" s="505"/>
      <c r="BS48" s="505"/>
      <c r="BT48" s="505"/>
      <c r="BU48" s="505"/>
      <c r="BV48" s="505"/>
      <c r="BW48" s="505"/>
      <c r="BX48" s="505"/>
    </row>
    <row r="49" outlineLevel="2" spans="2:76">
      <c r="B49" t="s">
        <v>157</v>
      </c>
      <c r="C49" t="s">
        <v>158</v>
      </c>
      <c r="D49" t="str">
        <f t="shared" si="11"/>
        <v>CNY</v>
      </c>
      <c r="F49" s="505">
        <f>[5]Model!E129</f>
        <v>10.04318819</v>
      </c>
      <c r="G49" s="505">
        <f>[5]Model!F129</f>
        <v>12.89496024</v>
      </c>
      <c r="H49" s="505">
        <f>[5]Model!G129</f>
        <v>105.52460682</v>
      </c>
      <c r="I49" s="505">
        <f>[5]Model!H129</f>
        <v>111.27813848</v>
      </c>
      <c r="J49" s="505">
        <f>[5]Model!I129</f>
        <v>138.75931333</v>
      </c>
      <c r="K49" s="505">
        <f>[5]Model!J129</f>
        <v>221.37814603</v>
      </c>
      <c r="L49" s="505">
        <f>[5]Model!K129</f>
        <v>314.13861286</v>
      </c>
      <c r="M49" s="505">
        <f>[5]Model!L129</f>
        <v>308.46181255</v>
      </c>
      <c r="N49" s="505">
        <f>[5]Model!M129</f>
        <v>335.85373272</v>
      </c>
      <c r="O49" s="505">
        <f>[5]Model!N129</f>
        <v>523.03076764</v>
      </c>
      <c r="P49" s="505">
        <f>[5]Model!O129</f>
        <v>608.85183842</v>
      </c>
      <c r="Q49" s="505">
        <f>[5]Model!P129</f>
        <v>661.02231583</v>
      </c>
      <c r="R49" s="505">
        <f>[5]Model!Q129</f>
        <v>1310.38808804</v>
      </c>
      <c r="S49" s="505">
        <f>[5]Model!R129</f>
        <v>2021.78587853</v>
      </c>
      <c r="T49" s="505">
        <f>[5]Model!S129</f>
        <v>3353.8626382</v>
      </c>
      <c r="U49" s="505">
        <f>[5]Model!T129</f>
        <v>5931.42298550208</v>
      </c>
      <c r="V49" s="505">
        <f>[5]Model!U129</f>
        <v>7278.43778893913</v>
      </c>
      <c r="W49" s="505">
        <f>[5]Model!V129</f>
        <v>8327.99981882462</v>
      </c>
      <c r="X49" s="505"/>
      <c r="Y49" s="505"/>
      <c r="Z49" s="505"/>
      <c r="AA49" s="505"/>
      <c r="AB49" s="505"/>
      <c r="AC49" s="505"/>
      <c r="AD49" s="505"/>
      <c r="AE49" s="505"/>
      <c r="AF49" s="505"/>
      <c r="AG49" s="505"/>
      <c r="AH49" s="505"/>
      <c r="AI49" s="505"/>
      <c r="AJ49" s="505"/>
      <c r="AK49" s="505"/>
      <c r="AL49" s="505"/>
      <c r="AM49" s="505"/>
      <c r="AN49" s="505"/>
      <c r="AO49" s="505"/>
      <c r="AP49" s="505"/>
      <c r="AQ49" s="505"/>
      <c r="AR49" s="505"/>
      <c r="AS49" s="505"/>
      <c r="AT49" s="505"/>
      <c r="AU49" s="505"/>
      <c r="AV49" s="505"/>
      <c r="AW49" s="505"/>
      <c r="AX49" s="505"/>
      <c r="AY49" s="505"/>
      <c r="AZ49" s="505"/>
      <c r="BA49" s="505"/>
      <c r="BB49" s="505"/>
      <c r="BC49" s="505"/>
      <c r="BD49" s="505"/>
      <c r="BE49" s="505"/>
      <c r="BF49" s="505"/>
      <c r="BG49" s="505"/>
      <c r="BH49" s="505"/>
      <c r="BI49" s="505"/>
      <c r="BJ49" s="505"/>
      <c r="BK49" s="505"/>
      <c r="BL49" s="505"/>
      <c r="BM49" s="505"/>
      <c r="BN49" s="505"/>
      <c r="BO49" s="505"/>
      <c r="BP49" s="505"/>
      <c r="BQ49" s="505"/>
      <c r="BR49" s="505"/>
      <c r="BS49" s="505"/>
      <c r="BT49" s="505"/>
      <c r="BU49" s="505"/>
      <c r="BV49" s="505"/>
      <c r="BW49" s="505"/>
      <c r="BX49" s="505"/>
    </row>
    <row r="50" outlineLevel="2" spans="2:76">
      <c r="B50" t="s">
        <v>159</v>
      </c>
      <c r="C50" t="s">
        <v>160</v>
      </c>
      <c r="D50" t="str">
        <f t="shared" si="11"/>
        <v>CNY</v>
      </c>
      <c r="F50" s="505">
        <f>[5]Model!E130</f>
        <v>0.38778088</v>
      </c>
      <c r="G50" s="505">
        <f>[5]Model!F130</f>
        <v>0.28629652</v>
      </c>
      <c r="H50" s="505">
        <f>[5]Model!G130</f>
        <v>5.7639664</v>
      </c>
      <c r="I50" s="505">
        <f>[5]Model!H130</f>
        <v>6.29364029</v>
      </c>
      <c r="J50" s="505">
        <f>[5]Model!I130</f>
        <v>7.57796894</v>
      </c>
      <c r="K50" s="505">
        <f>[5]Model!J130</f>
        <v>7.6308792</v>
      </c>
      <c r="L50" s="505">
        <f>[5]Model!K130</f>
        <v>7.73338524</v>
      </c>
      <c r="M50" s="505">
        <f>[5]Model!L130</f>
        <v>10.09515214</v>
      </c>
      <c r="N50" s="505">
        <f>[5]Model!M130</f>
        <v>11.02134014</v>
      </c>
      <c r="O50" s="505">
        <f>[5]Model!N130</f>
        <v>11.2634222</v>
      </c>
      <c r="P50" s="505">
        <f>[5]Model!O130</f>
        <v>11.91846642</v>
      </c>
      <c r="Q50" s="505">
        <f>[5]Model!P130</f>
        <v>195.70064501</v>
      </c>
      <c r="R50" s="505">
        <f>[5]Model!Q130</f>
        <v>234.8211903</v>
      </c>
      <c r="S50" s="505">
        <f>[5]Model!R130</f>
        <v>213.26865312</v>
      </c>
      <c r="T50" s="505">
        <f>[5]Model!S130</f>
        <v>258.160922866128</v>
      </c>
      <c r="U50" s="505">
        <f>[5]Model!T130</f>
        <v>207.7913280952</v>
      </c>
      <c r="V50" s="505">
        <f>[5]Model!U130</f>
        <v>207.7913280952</v>
      </c>
      <c r="W50" s="505">
        <f>[5]Model!V130</f>
        <v>207.7913280952</v>
      </c>
      <c r="X50" s="505"/>
      <c r="Y50" s="505"/>
      <c r="Z50" s="505"/>
      <c r="AA50" s="505"/>
      <c r="AB50" s="505"/>
      <c r="AC50" s="505"/>
      <c r="AD50" s="505"/>
      <c r="AE50" s="505"/>
      <c r="AF50" s="505"/>
      <c r="AG50" s="505"/>
      <c r="AH50" s="505"/>
      <c r="AI50" s="505"/>
      <c r="AJ50" s="505"/>
      <c r="AK50" s="505"/>
      <c r="AL50" s="505"/>
      <c r="AM50" s="505"/>
      <c r="AN50" s="505"/>
      <c r="AO50" s="505"/>
      <c r="AP50" s="505"/>
      <c r="AQ50" s="505"/>
      <c r="AR50" s="505"/>
      <c r="AS50" s="505"/>
      <c r="AT50" s="505"/>
      <c r="AU50" s="505"/>
      <c r="AV50" s="505"/>
      <c r="AW50" s="505"/>
      <c r="AX50" s="505"/>
      <c r="AY50" s="505"/>
      <c r="AZ50" s="505"/>
      <c r="BA50" s="505"/>
      <c r="BB50" s="505"/>
      <c r="BC50" s="505"/>
      <c r="BD50" s="505"/>
      <c r="BE50" s="505"/>
      <c r="BF50" s="505"/>
      <c r="BG50" s="505"/>
      <c r="BH50" s="505"/>
      <c r="BI50" s="505"/>
      <c r="BJ50" s="505"/>
      <c r="BK50" s="505"/>
      <c r="BL50" s="505"/>
      <c r="BM50" s="505"/>
      <c r="BN50" s="505"/>
      <c r="BO50" s="505"/>
      <c r="BP50" s="505"/>
      <c r="BQ50" s="505"/>
      <c r="BR50" s="505"/>
      <c r="BS50" s="505"/>
      <c r="BT50" s="505"/>
      <c r="BU50" s="505"/>
      <c r="BV50" s="505"/>
      <c r="BW50" s="505"/>
      <c r="BX50" s="505"/>
    </row>
    <row r="51" outlineLevel="2" spans="2:76">
      <c r="B51" t="s">
        <v>161</v>
      </c>
      <c r="C51" t="s">
        <v>162</v>
      </c>
      <c r="D51" t="str">
        <f t="shared" si="11"/>
        <v>CNY</v>
      </c>
      <c r="F51" s="505">
        <f>[5]Model!E131</f>
        <v>0</v>
      </c>
      <c r="G51" s="505">
        <f>[5]Model!F131</f>
        <v>0</v>
      </c>
      <c r="H51" s="505">
        <f>[5]Model!G131</f>
        <v>0</v>
      </c>
      <c r="I51" s="505">
        <f>[5]Model!H131</f>
        <v>0</v>
      </c>
      <c r="J51" s="505">
        <f>[5]Model!I131</f>
        <v>-1.42174058</v>
      </c>
      <c r="K51" s="505">
        <f>[5]Model!J131</f>
        <v>-1.83764294</v>
      </c>
      <c r="L51" s="505">
        <f>[5]Model!K131</f>
        <v>-2.25874968</v>
      </c>
      <c r="M51" s="505">
        <f>[5]Model!L131</f>
        <v>-2.93469992</v>
      </c>
      <c r="N51" s="505">
        <f>[5]Model!M131</f>
        <v>-3.80352163</v>
      </c>
      <c r="O51" s="505">
        <f>[5]Model!N131</f>
        <v>-4.66910778</v>
      </c>
      <c r="P51" s="505">
        <f>[5]Model!O131</f>
        <v>-5.59432763</v>
      </c>
      <c r="Q51" s="505">
        <f>[5]Model!P131</f>
        <v>-18.53556248</v>
      </c>
      <c r="R51" s="505">
        <f>[5]Model!Q131</f>
        <v>-41.75074598</v>
      </c>
      <c r="S51" s="505">
        <f>[5]Model!R131</f>
        <v>-41.75074598</v>
      </c>
      <c r="T51" s="505">
        <f>[5]Model!S131</f>
        <v>-64.996427476128</v>
      </c>
      <c r="U51" s="505">
        <f>[5]Model!T131</f>
        <v>-84.9877135627981</v>
      </c>
      <c r="V51" s="505">
        <f>[5]Model!U131</f>
        <v>-102.180219597334</v>
      </c>
      <c r="W51" s="505">
        <f>[5]Model!V131</f>
        <v>-116.965774787036</v>
      </c>
      <c r="X51" s="505"/>
      <c r="Y51" s="505"/>
      <c r="Z51" s="505"/>
      <c r="AA51" s="505"/>
      <c r="AB51" s="505"/>
      <c r="AC51" s="505"/>
      <c r="AD51" s="505"/>
      <c r="AE51" s="505"/>
      <c r="AF51" s="505"/>
      <c r="AG51" s="505"/>
      <c r="AH51" s="505"/>
      <c r="AI51" s="505"/>
      <c r="AJ51" s="505"/>
      <c r="AK51" s="505"/>
      <c r="AL51" s="505"/>
      <c r="AM51" s="505"/>
      <c r="AN51" s="505"/>
      <c r="AO51" s="505"/>
      <c r="AP51" s="505"/>
      <c r="AQ51" s="505"/>
      <c r="AR51" s="505"/>
      <c r="AS51" s="505"/>
      <c r="AT51" s="505"/>
      <c r="AU51" s="505"/>
      <c r="AV51" s="505"/>
      <c r="AW51" s="505"/>
      <c r="AX51" s="505"/>
      <c r="AY51" s="505"/>
      <c r="AZ51" s="505"/>
      <c r="BA51" s="505"/>
      <c r="BB51" s="505"/>
      <c r="BC51" s="505"/>
      <c r="BD51" s="505"/>
      <c r="BE51" s="505"/>
      <c r="BF51" s="505"/>
      <c r="BG51" s="505"/>
      <c r="BH51" s="505"/>
      <c r="BI51" s="505"/>
      <c r="BJ51" s="505"/>
      <c r="BK51" s="505"/>
      <c r="BL51" s="505"/>
      <c r="BM51" s="505"/>
      <c r="BN51" s="505"/>
      <c r="BO51" s="505"/>
      <c r="BP51" s="505"/>
      <c r="BQ51" s="505"/>
      <c r="BR51" s="505"/>
      <c r="BS51" s="505"/>
      <c r="BT51" s="505"/>
      <c r="BU51" s="505"/>
      <c r="BV51" s="505"/>
      <c r="BW51" s="505"/>
      <c r="BX51" s="505"/>
    </row>
    <row r="52" outlineLevel="2" spans="2:76">
      <c r="B52" t="s">
        <v>163</v>
      </c>
      <c r="C52" t="s">
        <v>164</v>
      </c>
      <c r="D52" t="str">
        <f t="shared" si="11"/>
        <v>CNY</v>
      </c>
      <c r="F52" s="505">
        <f>[5]Model!E132</f>
        <v>0.38778088</v>
      </c>
      <c r="G52" s="505">
        <f>[5]Model!F132</f>
        <v>0.28629652</v>
      </c>
      <c r="H52" s="505">
        <f>[5]Model!G132</f>
        <v>5.7639664</v>
      </c>
      <c r="I52" s="505">
        <f>[5]Model!H132</f>
        <v>6.29364029</v>
      </c>
      <c r="J52" s="505">
        <f>[5]Model!I132</f>
        <v>6.15622836</v>
      </c>
      <c r="K52" s="505">
        <f>[5]Model!J132</f>
        <v>5.79323626</v>
      </c>
      <c r="L52" s="505">
        <f>[5]Model!K132</f>
        <v>5.47463556</v>
      </c>
      <c r="M52" s="505">
        <f>[5]Model!L132</f>
        <v>7.16045222</v>
      </c>
      <c r="N52" s="505">
        <f>[5]Model!M132</f>
        <v>7.21781851</v>
      </c>
      <c r="O52" s="505">
        <f>[5]Model!N132</f>
        <v>6.59431442</v>
      </c>
      <c r="P52" s="505">
        <f>[5]Model!O132</f>
        <v>6.32413879</v>
      </c>
      <c r="Q52" s="505">
        <f>[5]Model!P132</f>
        <v>177.16508253</v>
      </c>
      <c r="R52" s="505">
        <f>[5]Model!Q132</f>
        <v>193.07044432</v>
      </c>
      <c r="S52" s="505">
        <f>[5]Model!R132</f>
        <v>171.51790714</v>
      </c>
      <c r="T52" s="505">
        <f>[5]Model!S132</f>
        <v>193.16449539</v>
      </c>
      <c r="U52" s="505">
        <f>[5]Model!T132</f>
        <v>122.803614532402</v>
      </c>
      <c r="V52" s="505">
        <f>[5]Model!U132</f>
        <v>105.611108497866</v>
      </c>
      <c r="W52" s="505">
        <f>[5]Model!V132</f>
        <v>90.8255533081644</v>
      </c>
      <c r="X52" s="505"/>
      <c r="Y52" s="505"/>
      <c r="Z52" s="505"/>
      <c r="AA52" s="505"/>
      <c r="AB52" s="505"/>
      <c r="AC52" s="505"/>
      <c r="AD52" s="505"/>
      <c r="AE52" s="505"/>
      <c r="AF52" s="505"/>
      <c r="AG52" s="505"/>
      <c r="AH52" s="505"/>
      <c r="AI52" s="505"/>
      <c r="AJ52" s="505"/>
      <c r="AK52" s="505"/>
      <c r="AL52" s="505"/>
      <c r="AM52" s="505"/>
      <c r="AN52" s="505"/>
      <c r="AO52" s="505"/>
      <c r="AP52" s="505"/>
      <c r="AQ52" s="505"/>
      <c r="AR52" s="505"/>
      <c r="AS52" s="505"/>
      <c r="AT52" s="505"/>
      <c r="AU52" s="505"/>
      <c r="AV52" s="505"/>
      <c r="AW52" s="505"/>
      <c r="AX52" s="505"/>
      <c r="AY52" s="505"/>
      <c r="AZ52" s="505"/>
      <c r="BA52" s="505"/>
      <c r="BB52" s="505"/>
      <c r="BC52" s="505"/>
      <c r="BD52" s="505"/>
      <c r="BE52" s="505"/>
      <c r="BF52" s="505"/>
      <c r="BG52" s="505"/>
      <c r="BH52" s="505"/>
      <c r="BI52" s="505"/>
      <c r="BJ52" s="505"/>
      <c r="BK52" s="505"/>
      <c r="BL52" s="505"/>
      <c r="BM52" s="505"/>
      <c r="BN52" s="505"/>
      <c r="BO52" s="505"/>
      <c r="BP52" s="505"/>
      <c r="BQ52" s="505"/>
      <c r="BR52" s="505"/>
      <c r="BS52" s="505"/>
      <c r="BT52" s="505"/>
      <c r="BU52" s="505"/>
      <c r="BV52" s="505"/>
      <c r="BW52" s="505"/>
      <c r="BX52" s="505"/>
    </row>
    <row r="53" outlineLevel="2" spans="2:76">
      <c r="B53" t="s">
        <v>165</v>
      </c>
      <c r="C53" t="s">
        <v>166</v>
      </c>
      <c r="D53" t="str">
        <f t="shared" si="11"/>
        <v>CNY</v>
      </c>
      <c r="F53" s="505"/>
      <c r="G53" s="505"/>
      <c r="H53" s="505"/>
      <c r="I53" s="505"/>
      <c r="J53" s="505"/>
      <c r="K53" s="505"/>
      <c r="L53" s="505"/>
      <c r="M53" s="505"/>
      <c r="N53" s="505"/>
      <c r="O53" s="505"/>
      <c r="P53" s="505"/>
      <c r="Q53" s="505"/>
      <c r="R53" s="505"/>
      <c r="S53" s="505"/>
      <c r="T53" s="505"/>
      <c r="U53" s="505"/>
      <c r="V53" s="505"/>
      <c r="W53" s="505"/>
      <c r="X53" s="505"/>
      <c r="Y53" s="505"/>
      <c r="Z53" s="505"/>
      <c r="AA53" s="505"/>
      <c r="AB53" s="505"/>
      <c r="AC53" s="505"/>
      <c r="AD53" s="505"/>
      <c r="AE53" s="505"/>
      <c r="AF53" s="505"/>
      <c r="AG53" s="505"/>
      <c r="AH53" s="505"/>
      <c r="AI53" s="505"/>
      <c r="AJ53" s="505"/>
      <c r="AK53" s="505"/>
      <c r="AL53" s="505"/>
      <c r="AM53" s="505"/>
      <c r="AN53" s="505"/>
      <c r="AO53" s="505"/>
      <c r="AP53" s="505"/>
      <c r="AQ53" s="505"/>
      <c r="AR53" s="505"/>
      <c r="AS53" s="505"/>
      <c r="AT53" s="505"/>
      <c r="AU53" s="505"/>
      <c r="AV53" s="505"/>
      <c r="AW53" s="505"/>
      <c r="AX53" s="505"/>
      <c r="AY53" s="505"/>
      <c r="AZ53" s="505"/>
      <c r="BA53" s="505"/>
      <c r="BB53" s="505"/>
      <c r="BC53" s="505"/>
      <c r="BD53" s="505"/>
      <c r="BE53" s="505"/>
      <c r="BF53" s="505"/>
      <c r="BG53" s="505"/>
      <c r="BH53" s="505"/>
      <c r="BI53" s="505"/>
      <c r="BJ53" s="505"/>
      <c r="BK53" s="505"/>
      <c r="BL53" s="505"/>
      <c r="BM53" s="505"/>
      <c r="BN53" s="505"/>
      <c r="BO53" s="505"/>
      <c r="BP53" s="505"/>
      <c r="BQ53" s="505"/>
      <c r="BR53" s="505"/>
      <c r="BS53" s="505"/>
      <c r="BT53" s="505"/>
      <c r="BU53" s="505"/>
      <c r="BV53" s="505"/>
      <c r="BW53" s="505"/>
      <c r="BX53" s="505"/>
    </row>
    <row r="54" outlineLevel="2" spans="2:76">
      <c r="B54" t="s">
        <v>167</v>
      </c>
      <c r="C54" t="s">
        <v>168</v>
      </c>
      <c r="D54" t="str">
        <f t="shared" si="11"/>
        <v>CNY</v>
      </c>
      <c r="F54" s="505">
        <f>[5]Model!E133</f>
        <v>0</v>
      </c>
      <c r="G54" s="505">
        <f>[5]Model!F133</f>
        <v>0</v>
      </c>
      <c r="H54" s="505">
        <f>[5]Model!G133</f>
        <v>0</v>
      </c>
      <c r="I54" s="505">
        <f>[5]Model!H133</f>
        <v>0</v>
      </c>
      <c r="J54" s="505">
        <f>[5]Model!I133</f>
        <v>0</v>
      </c>
      <c r="K54" s="505">
        <f>[5]Model!J133</f>
        <v>30</v>
      </c>
      <c r="L54" s="505">
        <f>[5]Model!K133</f>
        <v>49.6026</v>
      </c>
      <c r="M54" s="505">
        <f>[5]Model!L133</f>
        <v>74.1627011</v>
      </c>
      <c r="N54" s="505">
        <f>[5]Model!M133</f>
        <v>42.65011546</v>
      </c>
      <c r="O54" s="505">
        <f>[5]Model!N133</f>
        <v>43.5987468</v>
      </c>
      <c r="P54" s="505">
        <f>[5]Model!O133</f>
        <v>40.55856287</v>
      </c>
      <c r="Q54" s="505">
        <f>[5]Model!P133</f>
        <v>0</v>
      </c>
      <c r="R54" s="505">
        <f>[5]Model!Q133</f>
        <v>0</v>
      </c>
      <c r="S54" s="505">
        <f>[5]Model!R133</f>
        <v>0</v>
      </c>
      <c r="T54" s="505">
        <f>[5]Model!S133</f>
        <v>0</v>
      </c>
      <c r="U54" s="505">
        <f>[5]Model!T133</f>
        <v>0</v>
      </c>
      <c r="V54" s="505">
        <f>[5]Model!U133</f>
        <v>0</v>
      </c>
      <c r="W54" s="505">
        <f>[5]Model!V133</f>
        <v>0</v>
      </c>
      <c r="X54" s="505"/>
      <c r="Y54" s="505"/>
      <c r="Z54" s="505"/>
      <c r="AA54" s="505"/>
      <c r="AB54" s="505"/>
      <c r="AC54" s="505"/>
      <c r="AD54" s="505"/>
      <c r="AE54" s="505"/>
      <c r="AF54" s="505"/>
      <c r="AG54" s="505"/>
      <c r="AH54" s="505"/>
      <c r="AI54" s="505"/>
      <c r="AJ54" s="505"/>
      <c r="AK54" s="505"/>
      <c r="AL54" s="505"/>
      <c r="AM54" s="505"/>
      <c r="AN54" s="505"/>
      <c r="AO54" s="505"/>
      <c r="AP54" s="505"/>
      <c r="AQ54" s="505"/>
      <c r="AR54" s="505"/>
      <c r="AS54" s="505"/>
      <c r="AT54" s="505"/>
      <c r="AU54" s="505"/>
      <c r="AV54" s="505"/>
      <c r="AW54" s="505"/>
      <c r="AX54" s="505"/>
      <c r="AY54" s="505"/>
      <c r="AZ54" s="505"/>
      <c r="BA54" s="505"/>
      <c r="BB54" s="505"/>
      <c r="BC54" s="505"/>
      <c r="BD54" s="505"/>
      <c r="BE54" s="505"/>
      <c r="BF54" s="505"/>
      <c r="BG54" s="505"/>
      <c r="BH54" s="505"/>
      <c r="BI54" s="505"/>
      <c r="BJ54" s="505"/>
      <c r="BK54" s="505"/>
      <c r="BL54" s="505"/>
      <c r="BM54" s="505"/>
      <c r="BN54" s="505"/>
      <c r="BO54" s="505"/>
      <c r="BP54" s="505"/>
      <c r="BQ54" s="505"/>
      <c r="BR54" s="505"/>
      <c r="BS54" s="505"/>
      <c r="BT54" s="505"/>
      <c r="BU54" s="505"/>
      <c r="BV54" s="505"/>
      <c r="BW54" s="505"/>
      <c r="BX54" s="505"/>
    </row>
    <row r="55" outlineLevel="2" spans="2:76">
      <c r="B55" t="s">
        <v>169</v>
      </c>
      <c r="C55" t="s">
        <v>170</v>
      </c>
      <c r="D55" t="str">
        <f t="shared" si="11"/>
        <v>CNY</v>
      </c>
      <c r="F55" s="505">
        <f>[5]Model!E134</f>
        <v>1.67899458</v>
      </c>
      <c r="G55" s="505">
        <f>[5]Model!F134</f>
        <v>35.10478297</v>
      </c>
      <c r="H55" s="505">
        <f>[5]Model!G134</f>
        <v>9.50351340000002</v>
      </c>
      <c r="I55" s="505">
        <f>[5]Model!H134</f>
        <v>18.22724731</v>
      </c>
      <c r="J55" s="505">
        <f>[5]Model!I134</f>
        <v>19.085089</v>
      </c>
      <c r="K55" s="505">
        <f>[5]Model!J134</f>
        <v>32.04945083</v>
      </c>
      <c r="L55" s="505">
        <f>[5]Model!K134</f>
        <v>16.1912932299999</v>
      </c>
      <c r="M55" s="505">
        <f>[5]Model!L134</f>
        <v>25.3305095400001</v>
      </c>
      <c r="N55" s="505">
        <f>[5]Model!M134</f>
        <v>108.43698753</v>
      </c>
      <c r="O55" s="505">
        <f>[5]Model!N134</f>
        <v>136.59441901</v>
      </c>
      <c r="P55" s="505">
        <f>[5]Model!O134</f>
        <v>284.3510324</v>
      </c>
      <c r="Q55" s="505">
        <f>[5]Model!P134</f>
        <v>832.50803788</v>
      </c>
      <c r="R55" s="505">
        <f>[5]Model!Q134</f>
        <v>601.11139921</v>
      </c>
      <c r="S55" s="505">
        <f>[5]Model!R134</f>
        <v>1147.81046129</v>
      </c>
      <c r="T55" s="505">
        <f>[5]Model!S134</f>
        <v>1818.05235824</v>
      </c>
      <c r="U55" s="505">
        <f>[5]Model!T134</f>
        <v>1818.05235824</v>
      </c>
      <c r="V55" s="505">
        <f>[5]Model!U134</f>
        <v>1818.05235824</v>
      </c>
      <c r="W55" s="505">
        <f>[5]Model!V134</f>
        <v>1818.05235824</v>
      </c>
      <c r="X55" s="505"/>
      <c r="Y55" s="505"/>
      <c r="Z55" s="505"/>
      <c r="AA55" s="505"/>
      <c r="AB55" s="505"/>
      <c r="AC55" s="505"/>
      <c r="AD55" s="505"/>
      <c r="AE55" s="505"/>
      <c r="AF55" s="505"/>
      <c r="AG55" s="505"/>
      <c r="AH55" s="505"/>
      <c r="AI55" s="505"/>
      <c r="AJ55" s="505"/>
      <c r="AK55" s="505"/>
      <c r="AL55" s="505"/>
      <c r="AM55" s="505"/>
      <c r="AN55" s="505"/>
      <c r="AO55" s="505"/>
      <c r="AP55" s="505"/>
      <c r="AQ55" s="505"/>
      <c r="AR55" s="505"/>
      <c r="AS55" s="505"/>
      <c r="AT55" s="505"/>
      <c r="AU55" s="505"/>
      <c r="AV55" s="505"/>
      <c r="AW55" s="505"/>
      <c r="AX55" s="505"/>
      <c r="AY55" s="505"/>
      <c r="AZ55" s="505"/>
      <c r="BA55" s="505"/>
      <c r="BB55" s="505"/>
      <c r="BC55" s="505"/>
      <c r="BD55" s="505"/>
      <c r="BE55" s="505"/>
      <c r="BF55" s="505"/>
      <c r="BG55" s="505"/>
      <c r="BH55" s="505"/>
      <c r="BI55" s="505"/>
      <c r="BJ55" s="505"/>
      <c r="BK55" s="505"/>
      <c r="BL55" s="505"/>
      <c r="BM55" s="505"/>
      <c r="BN55" s="505"/>
      <c r="BO55" s="505"/>
      <c r="BP55" s="505"/>
      <c r="BQ55" s="505"/>
      <c r="BR55" s="505"/>
      <c r="BS55" s="505"/>
      <c r="BT55" s="505"/>
      <c r="BU55" s="505"/>
      <c r="BV55" s="505"/>
      <c r="BW55" s="505"/>
      <c r="BX55" s="505"/>
    </row>
    <row r="56" outlineLevel="2" spans="2:76">
      <c r="B56" t="s">
        <v>171</v>
      </c>
      <c r="C56" t="s">
        <v>172</v>
      </c>
      <c r="D56" t="str">
        <f t="shared" si="11"/>
        <v>CNY</v>
      </c>
      <c r="F56" s="505">
        <f>[5]Model!E136</f>
        <v>283.62288112</v>
      </c>
      <c r="G56" s="505">
        <f>[5]Model!F136</f>
        <v>326.04711634</v>
      </c>
      <c r="H56" s="505">
        <f>[5]Model!G136</f>
        <v>456.57085869</v>
      </c>
      <c r="I56" s="505">
        <f>[5]Model!H136</f>
        <v>558.34088905</v>
      </c>
      <c r="J56" s="505">
        <f>[5]Model!I136</f>
        <v>688.0028418</v>
      </c>
      <c r="K56" s="505">
        <f>[5]Model!J136</f>
        <v>1197.33406459</v>
      </c>
      <c r="L56" s="505">
        <f>[5]Model!K136</f>
        <v>1402.35849157</v>
      </c>
      <c r="M56" s="505">
        <f>[5]Model!L136</f>
        <v>1379.53472778</v>
      </c>
      <c r="N56" s="505">
        <f>[5]Model!M136</f>
        <v>1665.18256813</v>
      </c>
      <c r="O56" s="505">
        <f>[5]Model!N136</f>
        <v>4217.11564285</v>
      </c>
      <c r="P56" s="505">
        <f>[5]Model!O136</f>
        <v>4864.23476302</v>
      </c>
      <c r="Q56" s="505">
        <f>[5]Model!P136</f>
        <v>5876.06149629</v>
      </c>
      <c r="R56" s="505">
        <f>[5]Model!Q136</f>
        <v>6439.98356034</v>
      </c>
      <c r="S56" s="505">
        <f>[5]Model!R136</f>
        <v>12266.54985389</v>
      </c>
      <c r="T56" s="505">
        <f>[5]Model!S136</f>
        <v>25881.07117647</v>
      </c>
      <c r="U56" s="505">
        <f>[5]Model!T136</f>
        <v>50880.3597070363</v>
      </c>
      <c r="V56" s="505">
        <f>[5]Model!U136</f>
        <v>78941.2390726915</v>
      </c>
      <c r="W56" s="505">
        <f>[5]Model!V136</f>
        <v>106764.812602769</v>
      </c>
      <c r="X56" s="505"/>
      <c r="Y56" s="505"/>
      <c r="Z56" s="505"/>
      <c r="AA56" s="505"/>
      <c r="AB56" s="505"/>
      <c r="AC56" s="505"/>
      <c r="AD56" s="505"/>
      <c r="AE56" s="505"/>
      <c r="AF56" s="505"/>
      <c r="AG56" s="505"/>
      <c r="AH56" s="505"/>
      <c r="AI56" s="505"/>
      <c r="AJ56" s="505"/>
      <c r="AK56" s="505"/>
      <c r="AL56" s="505"/>
      <c r="AM56" s="505"/>
      <c r="AN56" s="505"/>
      <c r="AO56" s="505"/>
      <c r="AP56" s="505"/>
      <c r="AQ56" s="505"/>
      <c r="AR56" s="505"/>
      <c r="AS56" s="505"/>
      <c r="AT56" s="505"/>
      <c r="AU56" s="505"/>
      <c r="AV56" s="505"/>
      <c r="AW56" s="505"/>
      <c r="AX56" s="505"/>
      <c r="AY56" s="505"/>
      <c r="AZ56" s="505"/>
      <c r="BA56" s="505"/>
      <c r="BB56" s="505"/>
      <c r="BC56" s="505"/>
      <c r="BD56" s="505"/>
      <c r="BE56" s="505"/>
      <c r="BF56" s="505"/>
      <c r="BG56" s="505"/>
      <c r="BH56" s="505"/>
      <c r="BI56" s="505"/>
      <c r="BJ56" s="505"/>
      <c r="BK56" s="505"/>
      <c r="BL56" s="505"/>
      <c r="BM56" s="505"/>
      <c r="BN56" s="505"/>
      <c r="BO56" s="505"/>
      <c r="BP56" s="505"/>
      <c r="BQ56" s="505"/>
      <c r="BR56" s="505"/>
      <c r="BS56" s="505"/>
      <c r="BT56" s="505"/>
      <c r="BU56" s="505"/>
      <c r="BV56" s="505"/>
      <c r="BW56" s="505"/>
      <c r="BX56" s="505"/>
    </row>
    <row r="57" outlineLevel="2" spans="2:76">
      <c r="B57" t="s">
        <v>173</v>
      </c>
      <c r="C57" t="s">
        <v>174</v>
      </c>
      <c r="D57" t="str">
        <f t="shared" si="11"/>
        <v>CNY</v>
      </c>
      <c r="F57" s="505">
        <f>[5]Model!E138</f>
        <v>54.29681295</v>
      </c>
      <c r="G57" s="505">
        <f>[5]Model!F138</f>
        <v>46.50863049</v>
      </c>
      <c r="H57" s="505">
        <f>[5]Model!G138</f>
        <v>75.88395005</v>
      </c>
      <c r="I57" s="505">
        <f>[5]Model!H138</f>
        <v>81.65273673</v>
      </c>
      <c r="J57" s="505">
        <f>[5]Model!I138</f>
        <v>122.17952446</v>
      </c>
      <c r="K57" s="505">
        <f>[5]Model!J138</f>
        <v>143.87786812</v>
      </c>
      <c r="L57" s="505">
        <f>[5]Model!K138</f>
        <v>179.24891039</v>
      </c>
      <c r="M57" s="505">
        <f>[5]Model!L138</f>
        <v>159.52687639</v>
      </c>
      <c r="N57" s="505">
        <f>[5]Model!M138</f>
        <v>210.53010337</v>
      </c>
      <c r="O57" s="505">
        <f>[5]Model!N138</f>
        <v>568.19712602</v>
      </c>
      <c r="P57" s="505">
        <f>[5]Model!O138</f>
        <v>752.30147056</v>
      </c>
      <c r="Q57" s="505">
        <f>[5]Model!P138</f>
        <v>605.16260445</v>
      </c>
      <c r="R57" s="505">
        <f>[5]Model!Q138</f>
        <v>632.55517737</v>
      </c>
      <c r="S57" s="505">
        <f>[5]Model!R138</f>
        <v>2844.36950572</v>
      </c>
      <c r="T57" s="505">
        <f>[5]Model!S138</f>
        <v>5275.32826208</v>
      </c>
      <c r="U57" s="505">
        <f>[5]Model!T138</f>
        <v>11413.4924081257</v>
      </c>
      <c r="V57" s="505">
        <f>[5]Model!U138</f>
        <v>12402.7149753093</v>
      </c>
      <c r="W57" s="505">
        <f>[5]Model!V138</f>
        <v>9108.29020965487</v>
      </c>
      <c r="X57" s="505"/>
      <c r="Y57" s="505"/>
      <c r="Z57" s="505"/>
      <c r="AA57" s="505"/>
      <c r="AB57" s="505"/>
      <c r="AC57" s="505"/>
      <c r="AD57" s="505"/>
      <c r="AE57" s="505"/>
      <c r="AF57" s="505"/>
      <c r="AG57" s="505"/>
      <c r="AH57" s="505"/>
      <c r="AI57" s="505"/>
      <c r="AJ57" s="505"/>
      <c r="AK57" s="505"/>
      <c r="AL57" s="505"/>
      <c r="AM57" s="505"/>
      <c r="AN57" s="505"/>
      <c r="AO57" s="505"/>
      <c r="AP57" s="505"/>
      <c r="AQ57" s="505"/>
      <c r="AR57" s="505"/>
      <c r="AS57" s="505"/>
      <c r="AT57" s="505"/>
      <c r="AU57" s="505"/>
      <c r="AV57" s="505"/>
      <c r="AW57" s="505"/>
      <c r="AX57" s="505"/>
      <c r="AY57" s="505"/>
      <c r="AZ57" s="505"/>
      <c r="BA57" s="505"/>
      <c r="BB57" s="505"/>
      <c r="BC57" s="505"/>
      <c r="BD57" s="505"/>
      <c r="BE57" s="505"/>
      <c r="BF57" s="505"/>
      <c r="BG57" s="505"/>
      <c r="BH57" s="505"/>
      <c r="BI57" s="505"/>
      <c r="BJ57" s="505"/>
      <c r="BK57" s="505"/>
      <c r="BL57" s="505"/>
      <c r="BM57" s="505"/>
      <c r="BN57" s="505"/>
      <c r="BO57" s="505"/>
      <c r="BP57" s="505"/>
      <c r="BQ57" s="505"/>
      <c r="BR57" s="505"/>
      <c r="BS57" s="505"/>
      <c r="BT57" s="505"/>
      <c r="BU57" s="505"/>
      <c r="BV57" s="505"/>
      <c r="BW57" s="505"/>
      <c r="BX57" s="505"/>
    </row>
    <row r="58" outlineLevel="2" spans="2:76">
      <c r="B58" t="s">
        <v>175</v>
      </c>
      <c r="C58" t="s">
        <v>176</v>
      </c>
      <c r="D58" t="str">
        <f t="shared" si="11"/>
        <v>CNY</v>
      </c>
      <c r="F58" s="505">
        <f>[5]Model!E139</f>
        <v>17</v>
      </c>
      <c r="G58" s="505">
        <f>[5]Model!F139</f>
        <v>0</v>
      </c>
      <c r="H58" s="505">
        <f>[5]Model!G139</f>
        <v>10</v>
      </c>
      <c r="I58" s="505">
        <f>[5]Model!H139</f>
        <v>5</v>
      </c>
      <c r="J58" s="505">
        <f>[5]Model!I139</f>
        <v>0</v>
      </c>
      <c r="K58" s="505">
        <f>[5]Model!J139</f>
        <v>0</v>
      </c>
      <c r="L58" s="505">
        <f>[5]Model!K139</f>
        <v>21.23851268</v>
      </c>
      <c r="M58" s="505">
        <f>[5]Model!L139</f>
        <v>0</v>
      </c>
      <c r="N58" s="505">
        <f>[5]Model!M139</f>
        <v>0</v>
      </c>
      <c r="O58" s="505">
        <f>[5]Model!N139</f>
        <v>71.56789944</v>
      </c>
      <c r="P58" s="505">
        <f>[5]Model!O139</f>
        <v>0</v>
      </c>
      <c r="Q58" s="505">
        <f>[5]Model!P139</f>
        <v>3.14850772</v>
      </c>
      <c r="R58" s="505">
        <f>[5]Model!Q139</f>
        <v>3.77726413</v>
      </c>
      <c r="S58" s="505">
        <f>[5]Model!R139</f>
        <v>3.68320656</v>
      </c>
      <c r="T58" s="505">
        <f>[5]Model!S139</f>
        <v>3.62242457</v>
      </c>
      <c r="U58" s="505">
        <f>[5]Model!T139</f>
        <v>3.62242457</v>
      </c>
      <c r="V58" s="505">
        <f>[5]Model!U139</f>
        <v>3.62242457</v>
      </c>
      <c r="W58" s="505">
        <f>[5]Model!V139</f>
        <v>3.62242457</v>
      </c>
      <c r="X58" s="505"/>
      <c r="Y58" s="505"/>
      <c r="Z58" s="505"/>
      <c r="AA58" s="505"/>
      <c r="AB58" s="505"/>
      <c r="AC58" s="505"/>
      <c r="AD58" s="505"/>
      <c r="AE58" s="505"/>
      <c r="AF58" s="505"/>
      <c r="AG58" s="505"/>
      <c r="AH58" s="505"/>
      <c r="AI58" s="505"/>
      <c r="AJ58" s="505"/>
      <c r="AK58" s="505"/>
      <c r="AL58" s="505"/>
      <c r="AM58" s="505"/>
      <c r="AN58" s="505"/>
      <c r="AO58" s="505"/>
      <c r="AP58" s="505"/>
      <c r="AQ58" s="505"/>
      <c r="AR58" s="505"/>
      <c r="AS58" s="505"/>
      <c r="AT58" s="505"/>
      <c r="AU58" s="505"/>
      <c r="AV58" s="505"/>
      <c r="AW58" s="505"/>
      <c r="AX58" s="505"/>
      <c r="AY58" s="505"/>
      <c r="AZ58" s="505"/>
      <c r="BA58" s="505"/>
      <c r="BB58" s="505"/>
      <c r="BC58" s="505"/>
      <c r="BD58" s="505"/>
      <c r="BE58" s="505"/>
      <c r="BF58" s="505"/>
      <c r="BG58" s="505"/>
      <c r="BH58" s="505"/>
      <c r="BI58" s="505"/>
      <c r="BJ58" s="505"/>
      <c r="BK58" s="505"/>
      <c r="BL58" s="505"/>
      <c r="BM58" s="505"/>
      <c r="BN58" s="505"/>
      <c r="BO58" s="505"/>
      <c r="BP58" s="505"/>
      <c r="BQ58" s="505"/>
      <c r="BR58" s="505"/>
      <c r="BS58" s="505"/>
      <c r="BT58" s="505"/>
      <c r="BU58" s="505"/>
      <c r="BV58" s="505"/>
      <c r="BW58" s="505"/>
      <c r="BX58" s="505"/>
    </row>
    <row r="59" outlineLevel="2" spans="2:76">
      <c r="B59" t="s">
        <v>177</v>
      </c>
      <c r="C59" t="s">
        <v>178</v>
      </c>
      <c r="D59" t="str">
        <f t="shared" si="11"/>
        <v>CNY</v>
      </c>
      <c r="F59" s="505"/>
      <c r="G59" s="505"/>
      <c r="H59" s="505"/>
      <c r="I59" s="505"/>
      <c r="J59" s="505"/>
      <c r="K59" s="505"/>
      <c r="L59" s="505"/>
      <c r="M59" s="505"/>
      <c r="N59" s="505"/>
      <c r="O59" s="505"/>
      <c r="P59" s="505"/>
      <c r="Q59" s="505"/>
      <c r="R59" s="505"/>
      <c r="S59" s="505"/>
      <c r="T59" s="505"/>
      <c r="U59" s="505"/>
      <c r="V59" s="505"/>
      <c r="W59" s="505"/>
      <c r="X59" s="505"/>
      <c r="Y59" s="505"/>
      <c r="Z59" s="505"/>
      <c r="AA59" s="505"/>
      <c r="AB59" s="505"/>
      <c r="AC59" s="505"/>
      <c r="AD59" s="505"/>
      <c r="AE59" s="505"/>
      <c r="AF59" s="505"/>
      <c r="AG59" s="505"/>
      <c r="AH59" s="505"/>
      <c r="AI59" s="505"/>
      <c r="AJ59" s="505"/>
      <c r="AK59" s="505"/>
      <c r="AL59" s="505"/>
      <c r="AM59" s="505"/>
      <c r="AN59" s="505"/>
      <c r="AO59" s="505"/>
      <c r="AP59" s="505"/>
      <c r="AQ59" s="505"/>
      <c r="AR59" s="505"/>
      <c r="AS59" s="505"/>
      <c r="AT59" s="505"/>
      <c r="AU59" s="505"/>
      <c r="AV59" s="505"/>
      <c r="AW59" s="505"/>
      <c r="AX59" s="505"/>
      <c r="AY59" s="505"/>
      <c r="AZ59" s="505"/>
      <c r="BA59" s="505"/>
      <c r="BB59" s="505"/>
      <c r="BC59" s="505"/>
      <c r="BD59" s="505"/>
      <c r="BE59" s="505"/>
      <c r="BF59" s="505"/>
      <c r="BG59" s="505"/>
      <c r="BH59" s="505"/>
      <c r="BI59" s="505"/>
      <c r="BJ59" s="505"/>
      <c r="BK59" s="505"/>
      <c r="BL59" s="505"/>
      <c r="BM59" s="505"/>
      <c r="BN59" s="505"/>
      <c r="BO59" s="505"/>
      <c r="BP59" s="505"/>
      <c r="BQ59" s="505"/>
      <c r="BR59" s="505"/>
      <c r="BS59" s="505"/>
      <c r="BT59" s="505"/>
      <c r="BU59" s="505"/>
      <c r="BV59" s="505"/>
      <c r="BW59" s="505"/>
      <c r="BX59" s="505"/>
    </row>
    <row r="60" outlineLevel="2" spans="2:76">
      <c r="B60" t="s">
        <v>179</v>
      </c>
      <c r="C60" t="s">
        <v>180</v>
      </c>
      <c r="D60" t="str">
        <f t="shared" si="11"/>
        <v>CNY</v>
      </c>
      <c r="F60" s="505">
        <f>[5]Model!E140</f>
        <v>32.28360002</v>
      </c>
      <c r="G60" s="505">
        <f>[5]Model!F140</f>
        <v>18.33635982</v>
      </c>
      <c r="H60" s="505">
        <f>[5]Model!G140</f>
        <v>23.25414353</v>
      </c>
      <c r="I60" s="505">
        <f>[5]Model!H140</f>
        <v>31.21048578</v>
      </c>
      <c r="J60" s="505">
        <f>[5]Model!I140</f>
        <v>32.29260628</v>
      </c>
      <c r="K60" s="505">
        <f>[5]Model!J140</f>
        <v>51.64175266</v>
      </c>
      <c r="L60" s="505">
        <f>[5]Model!K140</f>
        <v>110.16957199</v>
      </c>
      <c r="M60" s="505">
        <f>[5]Model!L140</f>
        <v>78.49434932</v>
      </c>
      <c r="N60" s="505">
        <f>[5]Model!M140</f>
        <v>115.37312924</v>
      </c>
      <c r="O60" s="505">
        <f>[5]Model!N140</f>
        <v>122.20701458</v>
      </c>
      <c r="P60" s="505">
        <f>[5]Model!O140</f>
        <v>142.0331201</v>
      </c>
      <c r="Q60" s="505">
        <f>[5]Model!P140</f>
        <v>323.42105473</v>
      </c>
      <c r="R60" s="505">
        <f>[5]Model!Q140</f>
        <v>231.05449552</v>
      </c>
      <c r="S60" s="505">
        <f>[5]Model!R140</f>
        <v>976.52407152</v>
      </c>
      <c r="T60" s="505">
        <f>[5]Model!S140</f>
        <v>1617.30022397</v>
      </c>
      <c r="U60" s="505">
        <f>[5]Model!T140</f>
        <v>1617.30022397</v>
      </c>
      <c r="V60" s="505">
        <f>[5]Model!U140</f>
        <v>1617.30022397</v>
      </c>
      <c r="W60" s="505">
        <f>[5]Model!V140</f>
        <v>1617.30022397</v>
      </c>
      <c r="X60" s="505"/>
      <c r="Y60" s="505"/>
      <c r="Z60" s="505"/>
      <c r="AA60" s="505"/>
      <c r="AB60" s="505"/>
      <c r="AC60" s="505"/>
      <c r="AD60" s="505"/>
      <c r="AE60" s="505"/>
      <c r="AF60" s="505"/>
      <c r="AG60" s="505"/>
      <c r="AH60" s="505"/>
      <c r="AI60" s="505"/>
      <c r="AJ60" s="505"/>
      <c r="AK60" s="505"/>
      <c r="AL60" s="505"/>
      <c r="AM60" s="505"/>
      <c r="AN60" s="505"/>
      <c r="AO60" s="505"/>
      <c r="AP60" s="505"/>
      <c r="AQ60" s="505"/>
      <c r="AR60" s="505"/>
      <c r="AS60" s="505"/>
      <c r="AT60" s="505"/>
      <c r="AU60" s="505"/>
      <c r="AV60" s="505"/>
      <c r="AW60" s="505"/>
      <c r="AX60" s="505"/>
      <c r="AY60" s="505"/>
      <c r="AZ60" s="505"/>
      <c r="BA60" s="505"/>
      <c r="BB60" s="505"/>
      <c r="BC60" s="505"/>
      <c r="BD60" s="505"/>
      <c r="BE60" s="505"/>
      <c r="BF60" s="505"/>
      <c r="BG60" s="505"/>
      <c r="BH60" s="505"/>
      <c r="BI60" s="505"/>
      <c r="BJ60" s="505"/>
      <c r="BK60" s="505"/>
      <c r="BL60" s="505"/>
      <c r="BM60" s="505"/>
      <c r="BN60" s="505"/>
      <c r="BO60" s="505"/>
      <c r="BP60" s="505"/>
      <c r="BQ60" s="505"/>
      <c r="BR60" s="505"/>
      <c r="BS60" s="505"/>
      <c r="BT60" s="505"/>
      <c r="BU60" s="505"/>
      <c r="BV60" s="505"/>
      <c r="BW60" s="505"/>
      <c r="BX60" s="505"/>
    </row>
    <row r="61" outlineLevel="2" spans="2:76">
      <c r="B61" t="s">
        <v>181</v>
      </c>
      <c r="C61" t="s">
        <v>182</v>
      </c>
      <c r="D61" t="str">
        <f t="shared" si="11"/>
        <v>CNY</v>
      </c>
      <c r="F61" s="505">
        <f>[5]Model!E141</f>
        <v>103.58041297</v>
      </c>
      <c r="G61" s="505">
        <f>[5]Model!F141</f>
        <v>64.84499031</v>
      </c>
      <c r="H61" s="505">
        <f>[5]Model!G141</f>
        <v>109.13809358</v>
      </c>
      <c r="I61" s="505">
        <f>[5]Model!H141</f>
        <v>117.86322251</v>
      </c>
      <c r="J61" s="505">
        <f>[5]Model!I141</f>
        <v>154.47213074</v>
      </c>
      <c r="K61" s="505">
        <f>[5]Model!J141</f>
        <v>195.51962078</v>
      </c>
      <c r="L61" s="505">
        <f>[5]Model!K141</f>
        <v>310.65699506</v>
      </c>
      <c r="M61" s="505">
        <f>[5]Model!L141</f>
        <v>238.02122571</v>
      </c>
      <c r="N61" s="505">
        <f>[5]Model!M141</f>
        <v>325.90323261</v>
      </c>
      <c r="O61" s="505">
        <f>[5]Model!N141</f>
        <v>761.97204004</v>
      </c>
      <c r="P61" s="505">
        <f>[5]Model!O141</f>
        <v>894.33459066</v>
      </c>
      <c r="Q61" s="505">
        <f>[5]Model!P141</f>
        <v>931.7321669</v>
      </c>
      <c r="R61" s="505">
        <f>[5]Model!Q141</f>
        <v>867.38693702</v>
      </c>
      <c r="S61" s="505">
        <f>[5]Model!R141</f>
        <v>3824.5767838</v>
      </c>
      <c r="T61" s="505">
        <f>[5]Model!S141</f>
        <v>6896.25091062</v>
      </c>
      <c r="U61" s="505">
        <f>[5]Model!T141</f>
        <v>13034.4150566657</v>
      </c>
      <c r="V61" s="505">
        <f>[5]Model!U141</f>
        <v>14023.6376238493</v>
      </c>
      <c r="W61" s="505">
        <f>[5]Model!V141</f>
        <v>10729.2128581949</v>
      </c>
      <c r="X61" s="505"/>
      <c r="Y61" s="505"/>
      <c r="Z61" s="505"/>
      <c r="AA61" s="505"/>
      <c r="AB61" s="505"/>
      <c r="AC61" s="505"/>
      <c r="AD61" s="505"/>
      <c r="AE61" s="505"/>
      <c r="AF61" s="505"/>
      <c r="AG61" s="505"/>
      <c r="AH61" s="505"/>
      <c r="AI61" s="505"/>
      <c r="AJ61" s="505"/>
      <c r="AK61" s="505"/>
      <c r="AL61" s="505"/>
      <c r="AM61" s="505"/>
      <c r="AN61" s="505"/>
      <c r="AO61" s="505"/>
      <c r="AP61" s="505"/>
      <c r="AQ61" s="505"/>
      <c r="AR61" s="505"/>
      <c r="AS61" s="505"/>
      <c r="AT61" s="505"/>
      <c r="AU61" s="505"/>
      <c r="AV61" s="505"/>
      <c r="AW61" s="505"/>
      <c r="AX61" s="505"/>
      <c r="AY61" s="505"/>
      <c r="AZ61" s="505"/>
      <c r="BA61" s="505"/>
      <c r="BB61" s="505"/>
      <c r="BC61" s="505"/>
      <c r="BD61" s="505"/>
      <c r="BE61" s="505"/>
      <c r="BF61" s="505"/>
      <c r="BG61" s="505"/>
      <c r="BH61" s="505"/>
      <c r="BI61" s="505"/>
      <c r="BJ61" s="505"/>
      <c r="BK61" s="505"/>
      <c r="BL61" s="505"/>
      <c r="BM61" s="505"/>
      <c r="BN61" s="505"/>
      <c r="BO61" s="505"/>
      <c r="BP61" s="505"/>
      <c r="BQ61" s="505"/>
      <c r="BR61" s="505"/>
      <c r="BS61" s="505"/>
      <c r="BT61" s="505"/>
      <c r="BU61" s="505"/>
      <c r="BV61" s="505"/>
      <c r="BW61" s="505"/>
      <c r="BX61" s="505"/>
    </row>
    <row r="62" outlineLevel="2" spans="2:76">
      <c r="B62" t="s">
        <v>183</v>
      </c>
      <c r="C62" t="s">
        <v>184</v>
      </c>
      <c r="D62" t="str">
        <f t="shared" si="11"/>
        <v>CNY</v>
      </c>
      <c r="F62" s="505">
        <f>[5]Model!E143</f>
        <v>0</v>
      </c>
      <c r="G62" s="505">
        <f>[5]Model!F143</f>
        <v>0</v>
      </c>
      <c r="H62" s="505">
        <f>[5]Model!G143</f>
        <v>0</v>
      </c>
      <c r="I62" s="505">
        <f>[5]Model!H143</f>
        <v>0</v>
      </c>
      <c r="J62" s="505">
        <f>[5]Model!I143</f>
        <v>0</v>
      </c>
      <c r="K62" s="505">
        <f>[5]Model!J143</f>
        <v>0</v>
      </c>
      <c r="L62" s="505">
        <f>[5]Model!K143</f>
        <v>0</v>
      </c>
      <c r="M62" s="505">
        <f>[5]Model!L143</f>
        <v>0</v>
      </c>
      <c r="N62" s="505">
        <f>[5]Model!M143</f>
        <v>0</v>
      </c>
      <c r="O62" s="505">
        <f>[5]Model!N143</f>
        <v>0</v>
      </c>
      <c r="P62" s="505">
        <f>[5]Model!O143</f>
        <v>0</v>
      </c>
      <c r="Q62" s="505">
        <f>[5]Model!P143</f>
        <v>0</v>
      </c>
      <c r="R62" s="505">
        <f>[5]Model!Q143</f>
        <v>0</v>
      </c>
      <c r="S62" s="505">
        <f>[5]Model!R143</f>
        <v>0</v>
      </c>
      <c r="T62" s="505">
        <f>[5]Model!S143</f>
        <v>0</v>
      </c>
      <c r="U62" s="505">
        <f>[5]Model!T143</f>
        <v>0</v>
      </c>
      <c r="V62" s="505">
        <f>[5]Model!U143</f>
        <v>0</v>
      </c>
      <c r="W62" s="505">
        <f>[5]Model!V143</f>
        <v>0</v>
      </c>
      <c r="X62" s="505"/>
      <c r="Y62" s="505"/>
      <c r="Z62" s="505"/>
      <c r="AA62" s="505"/>
      <c r="AB62" s="505"/>
      <c r="AC62" s="505"/>
      <c r="AD62" s="505"/>
      <c r="AE62" s="505"/>
      <c r="AF62" s="505"/>
      <c r="AG62" s="505"/>
      <c r="AH62" s="505"/>
      <c r="AI62" s="505"/>
      <c r="AJ62" s="505"/>
      <c r="AK62" s="505"/>
      <c r="AL62" s="505"/>
      <c r="AM62" s="505"/>
      <c r="AN62" s="505"/>
      <c r="AO62" s="505"/>
      <c r="AP62" s="505"/>
      <c r="AQ62" s="505"/>
      <c r="AR62" s="505"/>
      <c r="AS62" s="505"/>
      <c r="AT62" s="505"/>
      <c r="AU62" s="505"/>
      <c r="AV62" s="505"/>
      <c r="AW62" s="505"/>
      <c r="AX62" s="505"/>
      <c r="AY62" s="505"/>
      <c r="AZ62" s="505"/>
      <c r="BA62" s="505"/>
      <c r="BB62" s="505"/>
      <c r="BC62" s="505"/>
      <c r="BD62" s="505"/>
      <c r="BE62" s="505"/>
      <c r="BF62" s="505"/>
      <c r="BG62" s="505"/>
      <c r="BH62" s="505"/>
      <c r="BI62" s="505"/>
      <c r="BJ62" s="505"/>
      <c r="BK62" s="505"/>
      <c r="BL62" s="505"/>
      <c r="BM62" s="505"/>
      <c r="BN62" s="505"/>
      <c r="BO62" s="505"/>
      <c r="BP62" s="505"/>
      <c r="BQ62" s="505"/>
      <c r="BR62" s="505"/>
      <c r="BS62" s="505"/>
      <c r="BT62" s="505"/>
      <c r="BU62" s="505"/>
      <c r="BV62" s="505"/>
      <c r="BW62" s="505"/>
      <c r="BX62" s="505"/>
    </row>
    <row r="63" outlineLevel="2" spans="2:76">
      <c r="B63" t="s">
        <v>185</v>
      </c>
      <c r="C63" t="s">
        <v>186</v>
      </c>
      <c r="D63" t="str">
        <f t="shared" si="11"/>
        <v>CNY</v>
      </c>
      <c r="F63" s="505"/>
      <c r="G63" s="505"/>
      <c r="H63" s="505"/>
      <c r="I63" s="505"/>
      <c r="J63" s="505"/>
      <c r="K63" s="505"/>
      <c r="L63" s="505"/>
      <c r="M63" s="505"/>
      <c r="N63" s="505"/>
      <c r="O63" s="505"/>
      <c r="P63" s="505"/>
      <c r="Q63" s="505"/>
      <c r="R63" s="505"/>
      <c r="S63" s="505"/>
      <c r="T63" s="505"/>
      <c r="U63" s="505"/>
      <c r="V63" s="505"/>
      <c r="W63" s="505"/>
      <c r="X63" s="505"/>
      <c r="Y63" s="505"/>
      <c r="Z63" s="505"/>
      <c r="AA63" s="505"/>
      <c r="AB63" s="505"/>
      <c r="AC63" s="505"/>
      <c r="AD63" s="505"/>
      <c r="AE63" s="505"/>
      <c r="AF63" s="505"/>
      <c r="AG63" s="505"/>
      <c r="AH63" s="505"/>
      <c r="AI63" s="505"/>
      <c r="AJ63" s="505"/>
      <c r="AK63" s="505"/>
      <c r="AL63" s="505"/>
      <c r="AM63" s="505"/>
      <c r="AN63" s="505"/>
      <c r="AO63" s="505"/>
      <c r="AP63" s="505"/>
      <c r="AQ63" s="505"/>
      <c r="AR63" s="505"/>
      <c r="AS63" s="505"/>
      <c r="AT63" s="505"/>
      <c r="AU63" s="505"/>
      <c r="AV63" s="505"/>
      <c r="AW63" s="505"/>
      <c r="AX63" s="505"/>
      <c r="AY63" s="505"/>
      <c r="AZ63" s="505"/>
      <c r="BA63" s="505"/>
      <c r="BB63" s="505"/>
      <c r="BC63" s="505"/>
      <c r="BD63" s="505"/>
      <c r="BE63" s="505"/>
      <c r="BF63" s="505"/>
      <c r="BG63" s="505"/>
      <c r="BH63" s="505"/>
      <c r="BI63" s="505"/>
      <c r="BJ63" s="505"/>
      <c r="BK63" s="505"/>
      <c r="BL63" s="505"/>
      <c r="BM63" s="505"/>
      <c r="BN63" s="505"/>
      <c r="BO63" s="505"/>
      <c r="BP63" s="505"/>
      <c r="BQ63" s="505"/>
      <c r="BR63" s="505"/>
      <c r="BS63" s="505"/>
      <c r="BT63" s="505"/>
      <c r="BU63" s="505"/>
      <c r="BV63" s="505"/>
      <c r="BW63" s="505"/>
      <c r="BX63" s="505"/>
    </row>
    <row r="64" outlineLevel="2" spans="2:76">
      <c r="B64" t="s">
        <v>187</v>
      </c>
      <c r="C64" t="s">
        <v>188</v>
      </c>
      <c r="D64" t="str">
        <f t="shared" si="11"/>
        <v>CNY</v>
      </c>
      <c r="F64" s="505">
        <f>[5]Model!E144</f>
        <v>0</v>
      </c>
      <c r="G64" s="505">
        <f>[5]Model!F144</f>
        <v>1.7</v>
      </c>
      <c r="H64" s="505">
        <f>[5]Model!G144</f>
        <v>8.57187179</v>
      </c>
      <c r="I64" s="505">
        <f>[5]Model!H144</f>
        <v>9.2182385</v>
      </c>
      <c r="J64" s="505">
        <f>[5]Model!I144</f>
        <v>7.82095493</v>
      </c>
      <c r="K64" s="505">
        <f>[5]Model!J144</f>
        <v>6.26569419</v>
      </c>
      <c r="L64" s="505">
        <f>[5]Model!K144</f>
        <v>3.9895053</v>
      </c>
      <c r="M64" s="505">
        <f>[5]Model!L144</f>
        <v>5.73603853</v>
      </c>
      <c r="N64" s="505">
        <f>[5]Model!M144</f>
        <v>11.2855071</v>
      </c>
      <c r="O64" s="505">
        <f>[5]Model!N144</f>
        <v>11.11620096</v>
      </c>
      <c r="P64" s="505">
        <f>[5]Model!O144</f>
        <v>11.17650091</v>
      </c>
      <c r="Q64" s="505">
        <f>[5]Model!P144</f>
        <v>115.16171354</v>
      </c>
      <c r="R64" s="505">
        <f>[5]Model!Q144</f>
        <v>106.61814978</v>
      </c>
      <c r="S64" s="505">
        <f>[5]Model!R144</f>
        <v>113.84325223</v>
      </c>
      <c r="T64" s="505">
        <f>[5]Model!S144</f>
        <v>920.56461435</v>
      </c>
      <c r="U64" s="505">
        <f>[5]Model!T144</f>
        <v>1220.56461435</v>
      </c>
      <c r="V64" s="505">
        <f>[5]Model!U144</f>
        <v>1220.56461435</v>
      </c>
      <c r="W64" s="505">
        <f>[5]Model!V144</f>
        <v>1220.56461435</v>
      </c>
      <c r="X64" s="505"/>
      <c r="Y64" s="505"/>
      <c r="Z64" s="505"/>
      <c r="AA64" s="505"/>
      <c r="AB64" s="505"/>
      <c r="AC64" s="505"/>
      <c r="AD64" s="505"/>
      <c r="AE64" s="505"/>
      <c r="AF64" s="505"/>
      <c r="AG64" s="505"/>
      <c r="AH64" s="505"/>
      <c r="AI64" s="505"/>
      <c r="AJ64" s="505"/>
      <c r="AK64" s="505"/>
      <c r="AL64" s="505"/>
      <c r="AM64" s="505"/>
      <c r="AN64" s="505"/>
      <c r="AO64" s="505"/>
      <c r="AP64" s="505"/>
      <c r="AQ64" s="505"/>
      <c r="AR64" s="505"/>
      <c r="AS64" s="505"/>
      <c r="AT64" s="505"/>
      <c r="AU64" s="505"/>
      <c r="AV64" s="505"/>
      <c r="AW64" s="505"/>
      <c r="AX64" s="505"/>
      <c r="AY64" s="505"/>
      <c r="AZ64" s="505"/>
      <c r="BA64" s="505"/>
      <c r="BB64" s="505"/>
      <c r="BC64" s="505"/>
      <c r="BD64" s="505"/>
      <c r="BE64" s="505"/>
      <c r="BF64" s="505"/>
      <c r="BG64" s="505"/>
      <c r="BH64" s="505"/>
      <c r="BI64" s="505"/>
      <c r="BJ64" s="505"/>
      <c r="BK64" s="505"/>
      <c r="BL64" s="505"/>
      <c r="BM64" s="505"/>
      <c r="BN64" s="505"/>
      <c r="BO64" s="505"/>
      <c r="BP64" s="505"/>
      <c r="BQ64" s="505"/>
      <c r="BR64" s="505"/>
      <c r="BS64" s="505"/>
      <c r="BT64" s="505"/>
      <c r="BU64" s="505"/>
      <c r="BV64" s="505"/>
      <c r="BW64" s="505"/>
      <c r="BX64" s="505"/>
    </row>
    <row r="65" outlineLevel="2" spans="2:76">
      <c r="B65" t="s">
        <v>189</v>
      </c>
      <c r="C65" t="s">
        <v>190</v>
      </c>
      <c r="D65" t="str">
        <f t="shared" si="11"/>
        <v>CNY</v>
      </c>
      <c r="F65" s="505">
        <f>[5]Model!E145</f>
        <v>0</v>
      </c>
      <c r="G65" s="505">
        <f>[5]Model!F145</f>
        <v>1.7</v>
      </c>
      <c r="H65" s="505">
        <f>[5]Model!G145</f>
        <v>8.57187179</v>
      </c>
      <c r="I65" s="505">
        <f>[5]Model!H145</f>
        <v>9.2182385</v>
      </c>
      <c r="J65" s="505">
        <f>[5]Model!I145</f>
        <v>7.82095493</v>
      </c>
      <c r="K65" s="505">
        <f>[5]Model!J145</f>
        <v>6.26569419</v>
      </c>
      <c r="L65" s="505">
        <f>[5]Model!K145</f>
        <v>3.9895053</v>
      </c>
      <c r="M65" s="505">
        <f>[5]Model!L145</f>
        <v>5.73603853</v>
      </c>
      <c r="N65" s="505">
        <f>[5]Model!M145</f>
        <v>11.2855071</v>
      </c>
      <c r="O65" s="505">
        <f>[5]Model!N145</f>
        <v>11.11620096</v>
      </c>
      <c r="P65" s="505">
        <f>[5]Model!O145</f>
        <v>11.17650091</v>
      </c>
      <c r="Q65" s="505">
        <f>[5]Model!P145</f>
        <v>115.16171354</v>
      </c>
      <c r="R65" s="505">
        <f>[5]Model!Q145</f>
        <v>106.61814978</v>
      </c>
      <c r="S65" s="505">
        <f>[5]Model!R145</f>
        <v>113.84325223</v>
      </c>
      <c r="T65" s="505">
        <f>[5]Model!S145</f>
        <v>920.56461435</v>
      </c>
      <c r="U65" s="505">
        <f>[5]Model!T145</f>
        <v>1220.56461435</v>
      </c>
      <c r="V65" s="505">
        <f>[5]Model!U145</f>
        <v>1220.56461435</v>
      </c>
      <c r="W65" s="505">
        <f>[5]Model!V145</f>
        <v>1220.56461435</v>
      </c>
      <c r="X65" s="505"/>
      <c r="Y65" s="505"/>
      <c r="Z65" s="505"/>
      <c r="AA65" s="505"/>
      <c r="AB65" s="505"/>
      <c r="AC65" s="505"/>
      <c r="AD65" s="505"/>
      <c r="AE65" s="505"/>
      <c r="AF65" s="505"/>
      <c r="AG65" s="505"/>
      <c r="AH65" s="505"/>
      <c r="AI65" s="505"/>
      <c r="AJ65" s="505"/>
      <c r="AK65" s="505"/>
      <c r="AL65" s="505"/>
      <c r="AM65" s="505"/>
      <c r="AN65" s="505"/>
      <c r="AO65" s="505"/>
      <c r="AP65" s="505"/>
      <c r="AQ65" s="505"/>
      <c r="AR65" s="505"/>
      <c r="AS65" s="505"/>
      <c r="AT65" s="505"/>
      <c r="AU65" s="505"/>
      <c r="AV65" s="505"/>
      <c r="AW65" s="505"/>
      <c r="AX65" s="505"/>
      <c r="AY65" s="505"/>
      <c r="AZ65" s="505"/>
      <c r="BA65" s="505"/>
      <c r="BB65" s="505"/>
      <c r="BC65" s="505"/>
      <c r="BD65" s="505"/>
      <c r="BE65" s="505"/>
      <c r="BF65" s="505"/>
      <c r="BG65" s="505"/>
      <c r="BH65" s="505"/>
      <c r="BI65" s="505"/>
      <c r="BJ65" s="505"/>
      <c r="BK65" s="505"/>
      <c r="BL65" s="505"/>
      <c r="BM65" s="505"/>
      <c r="BN65" s="505"/>
      <c r="BO65" s="505"/>
      <c r="BP65" s="505"/>
      <c r="BQ65" s="505"/>
      <c r="BR65" s="505"/>
      <c r="BS65" s="505"/>
      <c r="BT65" s="505"/>
      <c r="BU65" s="505"/>
      <c r="BV65" s="505"/>
      <c r="BW65" s="505"/>
      <c r="BX65" s="505"/>
    </row>
    <row r="66" outlineLevel="2" spans="2:76">
      <c r="B66" t="s">
        <v>191</v>
      </c>
      <c r="C66" t="s">
        <v>192</v>
      </c>
      <c r="D66" t="str">
        <f t="shared" si="11"/>
        <v>CNY</v>
      </c>
      <c r="F66" s="505">
        <f>[5]Model!E146</f>
        <v>103.58041297</v>
      </c>
      <c r="G66" s="505">
        <f>[5]Model!F146</f>
        <v>66.54499031</v>
      </c>
      <c r="H66" s="505">
        <f>[5]Model!G146</f>
        <v>117.70996537</v>
      </c>
      <c r="I66" s="505">
        <f>[5]Model!H146</f>
        <v>127.08146101</v>
      </c>
      <c r="J66" s="505">
        <f>[5]Model!I146</f>
        <v>162.29308567</v>
      </c>
      <c r="K66" s="505">
        <f>[5]Model!J146</f>
        <v>201.78531497</v>
      </c>
      <c r="L66" s="505">
        <f>[5]Model!K146</f>
        <v>314.64650036</v>
      </c>
      <c r="M66" s="505">
        <f>[5]Model!L146</f>
        <v>243.75726424</v>
      </c>
      <c r="N66" s="505">
        <f>[5]Model!M146</f>
        <v>337.18873971</v>
      </c>
      <c r="O66" s="505">
        <f>[5]Model!N146</f>
        <v>773.088241</v>
      </c>
      <c r="P66" s="505">
        <f>[5]Model!O146</f>
        <v>905.51109157</v>
      </c>
      <c r="Q66" s="505">
        <f>[5]Model!P146</f>
        <v>1046.89388044</v>
      </c>
      <c r="R66" s="505">
        <f>[5]Model!Q146</f>
        <v>974.0050868</v>
      </c>
      <c r="S66" s="505">
        <f>[5]Model!R146</f>
        <v>3938.42003603</v>
      </c>
      <c r="T66" s="505">
        <f>[5]Model!S146</f>
        <v>7816.81552497</v>
      </c>
      <c r="U66" s="505">
        <f>[5]Model!T146</f>
        <v>14254.9796710157</v>
      </c>
      <c r="V66" s="505">
        <f>[5]Model!U146</f>
        <v>15244.2022381993</v>
      </c>
      <c r="W66" s="505">
        <f>[5]Model!V146</f>
        <v>11949.7774725449</v>
      </c>
      <c r="X66" s="505"/>
      <c r="Y66" s="505"/>
      <c r="Z66" s="505"/>
      <c r="AA66" s="505"/>
      <c r="AB66" s="505"/>
      <c r="AC66" s="505"/>
      <c r="AD66" s="505"/>
      <c r="AE66" s="505"/>
      <c r="AF66" s="505"/>
      <c r="AG66" s="505"/>
      <c r="AH66" s="505"/>
      <c r="AI66" s="505"/>
      <c r="AJ66" s="505"/>
      <c r="AK66" s="505"/>
      <c r="AL66" s="505"/>
      <c r="AM66" s="505"/>
      <c r="AN66" s="505"/>
      <c r="AO66" s="505"/>
      <c r="AP66" s="505"/>
      <c r="AQ66" s="505"/>
      <c r="AR66" s="505"/>
      <c r="AS66" s="505"/>
      <c r="AT66" s="505"/>
      <c r="AU66" s="505"/>
      <c r="AV66" s="505"/>
      <c r="AW66" s="505"/>
      <c r="AX66" s="505"/>
      <c r="AY66" s="505"/>
      <c r="AZ66" s="505"/>
      <c r="BA66" s="505"/>
      <c r="BB66" s="505"/>
      <c r="BC66" s="505"/>
      <c r="BD66" s="505"/>
      <c r="BE66" s="505"/>
      <c r="BF66" s="505"/>
      <c r="BG66" s="505"/>
      <c r="BH66" s="505"/>
      <c r="BI66" s="505"/>
      <c r="BJ66" s="505"/>
      <c r="BK66" s="505"/>
      <c r="BL66" s="505"/>
      <c r="BM66" s="505"/>
      <c r="BN66" s="505"/>
      <c r="BO66" s="505"/>
      <c r="BP66" s="505"/>
      <c r="BQ66" s="505"/>
      <c r="BR66" s="505"/>
      <c r="BS66" s="505"/>
      <c r="BT66" s="505"/>
      <c r="BU66" s="505"/>
      <c r="BV66" s="505"/>
      <c r="BW66" s="505"/>
      <c r="BX66" s="505"/>
    </row>
    <row r="67" outlineLevel="2" spans="2:76">
      <c r="B67" t="s">
        <v>193</v>
      </c>
      <c r="C67" t="s">
        <v>194</v>
      </c>
      <c r="D67" t="str">
        <f t="shared" si="11"/>
        <v>CNY</v>
      </c>
      <c r="F67" s="505"/>
      <c r="G67" s="505"/>
      <c r="H67" s="505"/>
      <c r="I67" s="505"/>
      <c r="J67" s="505"/>
      <c r="K67" s="505"/>
      <c r="L67" s="505"/>
      <c r="M67" s="505"/>
      <c r="N67" s="505"/>
      <c r="O67" s="505"/>
      <c r="P67" s="505"/>
      <c r="Q67" s="505"/>
      <c r="R67" s="505"/>
      <c r="S67" s="505"/>
      <c r="T67" s="505"/>
      <c r="U67" s="505"/>
      <c r="V67" s="505"/>
      <c r="W67" s="505"/>
      <c r="X67" s="505"/>
      <c r="Y67" s="505"/>
      <c r="Z67" s="505"/>
      <c r="AA67" s="505"/>
      <c r="AB67" s="505"/>
      <c r="AC67" s="505"/>
      <c r="AD67" s="505"/>
      <c r="AE67" s="505"/>
      <c r="AF67" s="505"/>
      <c r="AG67" s="505"/>
      <c r="AH67" s="505"/>
      <c r="AI67" s="505"/>
      <c r="AJ67" s="505"/>
      <c r="AK67" s="505"/>
      <c r="AL67" s="505"/>
      <c r="AM67" s="505"/>
      <c r="AN67" s="505"/>
      <c r="AO67" s="505"/>
      <c r="AP67" s="505"/>
      <c r="AQ67" s="505"/>
      <c r="AR67" s="505"/>
      <c r="AS67" s="505"/>
      <c r="AT67" s="505"/>
      <c r="AU67" s="505"/>
      <c r="AV67" s="505"/>
      <c r="AW67" s="505"/>
      <c r="AX67" s="505"/>
      <c r="AY67" s="505"/>
      <c r="AZ67" s="505"/>
      <c r="BA67" s="505"/>
      <c r="BB67" s="505"/>
      <c r="BC67" s="505"/>
      <c r="BD67" s="505"/>
      <c r="BE67" s="505"/>
      <c r="BF67" s="505"/>
      <c r="BG67" s="505"/>
      <c r="BH67" s="505"/>
      <c r="BI67" s="505"/>
      <c r="BJ67" s="505"/>
      <c r="BK67" s="505"/>
      <c r="BL67" s="505"/>
      <c r="BM67" s="505"/>
      <c r="BN67" s="505"/>
      <c r="BO67" s="505"/>
      <c r="BP67" s="505"/>
      <c r="BQ67" s="505"/>
      <c r="BR67" s="505"/>
      <c r="BS67" s="505"/>
      <c r="BT67" s="505"/>
      <c r="BU67" s="505"/>
      <c r="BV67" s="505"/>
      <c r="BW67" s="505"/>
      <c r="BX67" s="505"/>
    </row>
    <row r="68" outlineLevel="2" spans="2:76">
      <c r="B68" t="s">
        <v>195</v>
      </c>
      <c r="C68" t="s">
        <v>196</v>
      </c>
      <c r="D68" t="str">
        <f t="shared" si="11"/>
        <v>CNY</v>
      </c>
      <c r="F68" s="505">
        <f>[5]Model!E153</f>
        <v>180.04246815</v>
      </c>
      <c r="G68" s="505">
        <f>[5]Model!F153</f>
        <v>259.50212603</v>
      </c>
      <c r="H68" s="505">
        <f>[5]Model!G153</f>
        <v>338.86089332</v>
      </c>
      <c r="I68" s="505">
        <f>[5]Model!H153</f>
        <v>431.25942804</v>
      </c>
      <c r="J68" s="505">
        <f>[5]Model!I153</f>
        <v>525.70975613</v>
      </c>
      <c r="K68" s="505">
        <f>[5]Model!J153</f>
        <v>995.54874962</v>
      </c>
      <c r="L68" s="505">
        <f>[5]Model!K153</f>
        <v>1087.71199121</v>
      </c>
      <c r="M68" s="505">
        <f>[5]Model!L153</f>
        <v>1135.77746354</v>
      </c>
      <c r="N68" s="505">
        <f>[5]Model!M153</f>
        <v>1327.99382842</v>
      </c>
      <c r="O68" s="505">
        <f>[5]Model!N153</f>
        <v>3444.02740185</v>
      </c>
      <c r="P68" s="505">
        <f>[5]Model!O153</f>
        <v>3958.72367145</v>
      </c>
      <c r="Q68" s="505">
        <f>[5]Model!P153</f>
        <v>4829.16761585</v>
      </c>
      <c r="R68" s="505">
        <f>[5]Model!Q153</f>
        <v>5465.97847354</v>
      </c>
      <c r="S68" s="505">
        <f>[5]Model!R153</f>
        <v>8328.12981786</v>
      </c>
      <c r="T68" s="505">
        <f>[5]Model!S153</f>
        <v>17922.92108815</v>
      </c>
      <c r="U68" s="505">
        <f>[5]Model!T153</f>
        <v>36537.4614664407</v>
      </c>
      <c r="V68" s="505">
        <f>[5]Model!U153</f>
        <v>63609.1182649122</v>
      </c>
      <c r="W68" s="505">
        <f>[5]Model!V153</f>
        <v>94727.1165606446</v>
      </c>
      <c r="X68" s="505"/>
      <c r="Y68" s="505"/>
      <c r="Z68" s="505"/>
      <c r="AA68" s="505"/>
      <c r="AB68" s="505"/>
      <c r="AC68" s="505"/>
      <c r="AD68" s="505"/>
      <c r="AE68" s="505"/>
      <c r="AF68" s="505"/>
      <c r="AG68" s="505"/>
      <c r="AH68" s="505"/>
      <c r="AI68" s="505"/>
      <c r="AJ68" s="505"/>
      <c r="AK68" s="505"/>
      <c r="AL68" s="505"/>
      <c r="AM68" s="505"/>
      <c r="AN68" s="505"/>
      <c r="AO68" s="505"/>
      <c r="AP68" s="505"/>
      <c r="AQ68" s="505"/>
      <c r="AR68" s="505"/>
      <c r="AS68" s="505"/>
      <c r="AT68" s="505"/>
      <c r="AU68" s="505"/>
      <c r="AV68" s="505"/>
      <c r="AW68" s="505"/>
      <c r="AX68" s="505"/>
      <c r="AY68" s="505"/>
      <c r="AZ68" s="505"/>
      <c r="BA68" s="505"/>
      <c r="BB68" s="505"/>
      <c r="BC68" s="505"/>
      <c r="BD68" s="505"/>
      <c r="BE68" s="505"/>
      <c r="BF68" s="505"/>
      <c r="BG68" s="505"/>
      <c r="BH68" s="505"/>
      <c r="BI68" s="505"/>
      <c r="BJ68" s="505"/>
      <c r="BK68" s="505"/>
      <c r="BL68" s="505"/>
      <c r="BM68" s="505"/>
      <c r="BN68" s="505"/>
      <c r="BO68" s="505"/>
      <c r="BP68" s="505"/>
      <c r="BQ68" s="505"/>
      <c r="BR68" s="505"/>
      <c r="BS68" s="505"/>
      <c r="BT68" s="505"/>
      <c r="BU68" s="505"/>
      <c r="BV68" s="505"/>
      <c r="BW68" s="505"/>
      <c r="BX68" s="505"/>
    </row>
    <row r="69" outlineLevel="2" spans="2:76">
      <c r="B69" t="s">
        <v>197</v>
      </c>
      <c r="C69" t="s">
        <v>198</v>
      </c>
      <c r="D69" t="str">
        <f t="shared" si="11"/>
        <v>CNY</v>
      </c>
      <c r="F69" s="505">
        <f>[5]Model!E154</f>
        <v>0</v>
      </c>
      <c r="G69" s="505">
        <f>[5]Model!F154</f>
        <v>0</v>
      </c>
      <c r="H69" s="505">
        <f>[5]Model!G154</f>
        <v>0</v>
      </c>
      <c r="I69" s="505">
        <f>[5]Model!H154</f>
        <v>0</v>
      </c>
      <c r="J69" s="505">
        <f>[5]Model!I154</f>
        <v>0</v>
      </c>
      <c r="K69" s="505">
        <f>[5]Model!J154</f>
        <v>0</v>
      </c>
      <c r="L69" s="505">
        <f>[5]Model!K154</f>
        <v>0</v>
      </c>
      <c r="M69" s="505">
        <f>[5]Model!L154</f>
        <v>0</v>
      </c>
      <c r="N69" s="505">
        <f>[5]Model!M154</f>
        <v>0</v>
      </c>
      <c r="O69" s="505">
        <f>[5]Model!N154</f>
        <v>0</v>
      </c>
      <c r="P69" s="505">
        <f>[5]Model!O154</f>
        <v>0</v>
      </c>
      <c r="Q69" s="505">
        <f>[5]Model!P154</f>
        <v>0</v>
      </c>
      <c r="R69" s="505">
        <f>[5]Model!Q154</f>
        <v>0</v>
      </c>
      <c r="S69" s="505">
        <f>[5]Model!R154</f>
        <v>0</v>
      </c>
      <c r="T69" s="505">
        <f>[5]Model!S154</f>
        <v>21.353486980001</v>
      </c>
      <c r="U69" s="505">
        <f>[5]Model!T154</f>
        <v>87.9185695800011</v>
      </c>
      <c r="V69" s="505">
        <f>[5]Model!U154</f>
        <v>87.9185695800011</v>
      </c>
      <c r="W69" s="505">
        <f>[5]Model!V154</f>
        <v>87.9185695800011</v>
      </c>
      <c r="X69" s="505"/>
      <c r="Y69" s="505"/>
      <c r="Z69" s="505"/>
      <c r="AA69" s="505"/>
      <c r="AB69" s="505"/>
      <c r="AC69" s="505"/>
      <c r="AD69" s="505"/>
      <c r="AE69" s="505"/>
      <c r="AF69" s="505"/>
      <c r="AG69" s="505"/>
      <c r="AH69" s="505"/>
      <c r="AI69" s="505"/>
      <c r="AJ69" s="505"/>
      <c r="AK69" s="505"/>
      <c r="AL69" s="505"/>
      <c r="AM69" s="505"/>
      <c r="AN69" s="505"/>
      <c r="AO69" s="505"/>
      <c r="AP69" s="505"/>
      <c r="AQ69" s="505"/>
      <c r="AR69" s="505"/>
      <c r="AS69" s="505"/>
      <c r="AT69" s="505"/>
      <c r="AU69" s="505"/>
      <c r="AV69" s="505"/>
      <c r="AW69" s="505"/>
      <c r="AX69" s="505"/>
      <c r="AY69" s="505"/>
      <c r="AZ69" s="505"/>
      <c r="BA69" s="505"/>
      <c r="BB69" s="505"/>
      <c r="BC69" s="505"/>
      <c r="BD69" s="505"/>
      <c r="BE69" s="505"/>
      <c r="BF69" s="505"/>
      <c r="BG69" s="505"/>
      <c r="BH69" s="505"/>
      <c r="BI69" s="505"/>
      <c r="BJ69" s="505"/>
      <c r="BK69" s="505"/>
      <c r="BL69" s="505"/>
      <c r="BM69" s="505"/>
      <c r="BN69" s="505"/>
      <c r="BO69" s="505"/>
      <c r="BP69" s="505"/>
      <c r="BQ69" s="505"/>
      <c r="BR69" s="505"/>
      <c r="BS69" s="505"/>
      <c r="BT69" s="505"/>
      <c r="BU69" s="505"/>
      <c r="BV69" s="505"/>
      <c r="BW69" s="505"/>
      <c r="BX69" s="505"/>
    </row>
    <row r="70" outlineLevel="2" spans="2:76">
      <c r="B70" t="s">
        <v>199</v>
      </c>
      <c r="C70" t="s">
        <v>200</v>
      </c>
      <c r="D70" t="str">
        <f t="shared" si="11"/>
        <v>CNY</v>
      </c>
      <c r="F70" s="505">
        <f>[5]Model!E155</f>
        <v>180.04246815</v>
      </c>
      <c r="G70" s="505">
        <f>[5]Model!F155</f>
        <v>259.50212603</v>
      </c>
      <c r="H70" s="505">
        <f>[5]Model!G155</f>
        <v>338.86089332</v>
      </c>
      <c r="I70" s="505">
        <f>[5]Model!H155</f>
        <v>431.25942804</v>
      </c>
      <c r="J70" s="505">
        <f>[5]Model!I155</f>
        <v>525.70975613</v>
      </c>
      <c r="K70" s="505">
        <f>[5]Model!J155</f>
        <v>995.54874962</v>
      </c>
      <c r="L70" s="505">
        <f>[5]Model!K155</f>
        <v>1087.71199121</v>
      </c>
      <c r="M70" s="505">
        <f>[5]Model!L155</f>
        <v>1135.77746354</v>
      </c>
      <c r="N70" s="505">
        <f>[5]Model!M155</f>
        <v>1327.99382842</v>
      </c>
      <c r="O70" s="505">
        <f>[5]Model!N155</f>
        <v>3444.02740185</v>
      </c>
      <c r="P70" s="505">
        <f>[5]Model!O155</f>
        <v>3958.72367145</v>
      </c>
      <c r="Q70" s="505">
        <f>[5]Model!P155</f>
        <v>4829.16761585</v>
      </c>
      <c r="R70" s="505">
        <f>[5]Model!Q155</f>
        <v>5465.97847354</v>
      </c>
      <c r="S70" s="505">
        <f>[5]Model!R155</f>
        <v>8328.12981786</v>
      </c>
      <c r="T70" s="505">
        <f>[5]Model!S155</f>
        <v>18064.2556515</v>
      </c>
      <c r="U70" s="505">
        <f>[5]Model!T155</f>
        <v>36625.3800360207</v>
      </c>
      <c r="V70" s="505">
        <f>[5]Model!U155</f>
        <v>63697.0368344922</v>
      </c>
      <c r="W70" s="505">
        <f>[5]Model!V155</f>
        <v>94815.0351302246</v>
      </c>
      <c r="X70" s="505"/>
      <c r="Y70" s="505"/>
      <c r="Z70" s="505"/>
      <c r="AA70" s="505"/>
      <c r="AB70" s="505"/>
      <c r="AC70" s="505"/>
      <c r="AD70" s="505"/>
      <c r="AE70" s="505"/>
      <c r="AF70" s="505"/>
      <c r="AG70" s="505"/>
      <c r="AH70" s="505"/>
      <c r="AI70" s="505"/>
      <c r="AJ70" s="505"/>
      <c r="AK70" s="505"/>
      <c r="AL70" s="505"/>
      <c r="AM70" s="505"/>
      <c r="AN70" s="505"/>
      <c r="AO70" s="505"/>
      <c r="AP70" s="505"/>
      <c r="AQ70" s="505"/>
      <c r="AR70" s="505"/>
      <c r="AS70" s="505"/>
      <c r="AT70" s="505"/>
      <c r="AU70" s="505"/>
      <c r="AV70" s="505"/>
      <c r="AW70" s="505"/>
      <c r="AX70" s="505"/>
      <c r="AY70" s="505"/>
      <c r="AZ70" s="505"/>
      <c r="BA70" s="505"/>
      <c r="BB70" s="505"/>
      <c r="BC70" s="505"/>
      <c r="BD70" s="505"/>
      <c r="BE70" s="505"/>
      <c r="BF70" s="505"/>
      <c r="BG70" s="505"/>
      <c r="BH70" s="505"/>
      <c r="BI70" s="505"/>
      <c r="BJ70" s="505"/>
      <c r="BK70" s="505"/>
      <c r="BL70" s="505"/>
      <c r="BM70" s="505"/>
      <c r="BN70" s="505"/>
      <c r="BO70" s="505"/>
      <c r="BP70" s="505"/>
      <c r="BQ70" s="505"/>
      <c r="BR70" s="505"/>
      <c r="BS70" s="505"/>
      <c r="BT70" s="505"/>
      <c r="BU70" s="505"/>
      <c r="BV70" s="505"/>
      <c r="BW70" s="505"/>
      <c r="BX70" s="505"/>
    </row>
    <row r="71" outlineLevel="2" spans="2:76">
      <c r="B71" t="s">
        <v>201</v>
      </c>
      <c r="C71" t="s">
        <v>202</v>
      </c>
      <c r="D71" t="str">
        <f t="shared" si="11"/>
        <v>CNY</v>
      </c>
      <c r="F71" s="505">
        <f>[5]Model!E156</f>
        <v>283.62288112</v>
      </c>
      <c r="G71" s="505">
        <f>[5]Model!F156</f>
        <v>326.04711634</v>
      </c>
      <c r="H71" s="505">
        <f>[5]Model!G156</f>
        <v>456.57085869</v>
      </c>
      <c r="I71" s="505">
        <f>[5]Model!H156</f>
        <v>558.34088905</v>
      </c>
      <c r="J71" s="505">
        <f>[5]Model!I156</f>
        <v>688.0028418</v>
      </c>
      <c r="K71" s="505">
        <f>[5]Model!J156</f>
        <v>1197.33406459</v>
      </c>
      <c r="L71" s="505">
        <f>[5]Model!K156</f>
        <v>1402.35849157</v>
      </c>
      <c r="M71" s="505">
        <f>[5]Model!L156</f>
        <v>1379.53472778</v>
      </c>
      <c r="N71" s="505">
        <f>[5]Model!M156</f>
        <v>1665.18256813</v>
      </c>
      <c r="O71" s="505">
        <f>[5]Model!N156</f>
        <v>4217.11564285</v>
      </c>
      <c r="P71" s="505">
        <f>[5]Model!O156</f>
        <v>4864.23476302</v>
      </c>
      <c r="Q71" s="505">
        <f>[5]Model!P156</f>
        <v>5876.06149629</v>
      </c>
      <c r="R71" s="505">
        <f>[5]Model!Q156</f>
        <v>6439.98356034</v>
      </c>
      <c r="S71" s="505">
        <f>[5]Model!R156</f>
        <v>12266.54985389</v>
      </c>
      <c r="T71" s="505">
        <f>[5]Model!S156</f>
        <v>25881.07117647</v>
      </c>
      <c r="U71" s="505">
        <f>[5]Model!T156</f>
        <v>50880.3597070363</v>
      </c>
      <c r="V71" s="505">
        <f>[5]Model!U156</f>
        <v>78941.2390726915</v>
      </c>
      <c r="W71" s="505">
        <f>[5]Model!V156</f>
        <v>106764.812602769</v>
      </c>
      <c r="X71" s="505"/>
      <c r="Y71" s="505"/>
      <c r="Z71" s="505"/>
      <c r="AA71" s="505"/>
      <c r="AB71" s="505"/>
      <c r="AC71" s="505"/>
      <c r="AD71" s="505"/>
      <c r="AE71" s="505"/>
      <c r="AF71" s="505"/>
      <c r="AG71" s="505"/>
      <c r="AH71" s="505"/>
      <c r="AI71" s="505"/>
      <c r="AJ71" s="505"/>
      <c r="AK71" s="505"/>
      <c r="AL71" s="505"/>
      <c r="AM71" s="505"/>
      <c r="AN71" s="505"/>
      <c r="AO71" s="505"/>
      <c r="AP71" s="505"/>
      <c r="AQ71" s="505"/>
      <c r="AR71" s="505"/>
      <c r="AS71" s="505"/>
      <c r="AT71" s="505"/>
      <c r="AU71" s="505"/>
      <c r="AV71" s="505"/>
      <c r="AW71" s="505"/>
      <c r="AX71" s="505"/>
      <c r="AY71" s="505"/>
      <c r="AZ71" s="505"/>
      <c r="BA71" s="505"/>
      <c r="BB71" s="505"/>
      <c r="BC71" s="505"/>
      <c r="BD71" s="505"/>
      <c r="BE71" s="505"/>
      <c r="BF71" s="505"/>
      <c r="BG71" s="505"/>
      <c r="BH71" s="505"/>
      <c r="BI71" s="505"/>
      <c r="BJ71" s="505"/>
      <c r="BK71" s="505"/>
      <c r="BL71" s="505"/>
      <c r="BM71" s="505"/>
      <c r="BN71" s="505"/>
      <c r="BO71" s="505"/>
      <c r="BP71" s="505"/>
      <c r="BQ71" s="505"/>
      <c r="BR71" s="505"/>
      <c r="BS71" s="505"/>
      <c r="BT71" s="505"/>
      <c r="BU71" s="505"/>
      <c r="BV71" s="505"/>
      <c r="BW71" s="505"/>
      <c r="BX71" s="505"/>
    </row>
    <row r="72" s="495" customFormat="1" outlineLevel="1" spans="1:4">
      <c r="A72" s="501" t="s">
        <v>203</v>
      </c>
      <c r="B72" s="501"/>
      <c r="C72" s="501"/>
      <c r="D72" s="501"/>
    </row>
    <row r="73" outlineLevel="2" spans="2:76">
      <c r="B73" t="s">
        <v>204</v>
      </c>
      <c r="C73" t="s">
        <v>205</v>
      </c>
      <c r="F73" s="505"/>
      <c r="G73" s="505"/>
      <c r="H73" s="505"/>
      <c r="I73" s="505"/>
      <c r="J73" s="505"/>
      <c r="K73" s="505"/>
      <c r="L73" s="505"/>
      <c r="M73" s="505"/>
      <c r="N73" s="505"/>
      <c r="O73" s="505"/>
      <c r="P73" s="505"/>
      <c r="Q73" s="505"/>
      <c r="R73" s="505"/>
      <c r="S73" s="505"/>
      <c r="T73" s="505"/>
      <c r="U73" s="505"/>
      <c r="V73" s="505"/>
      <c r="W73" s="505"/>
      <c r="X73" s="505"/>
      <c r="Y73" s="505"/>
      <c r="Z73" s="505"/>
      <c r="AA73" s="505"/>
      <c r="AB73" s="505"/>
      <c r="AC73" s="505"/>
      <c r="AD73" s="505"/>
      <c r="AE73" s="505"/>
      <c r="AF73" s="505"/>
      <c r="AG73" s="505"/>
      <c r="AH73" s="505"/>
      <c r="AI73" s="505"/>
      <c r="AJ73" s="505"/>
      <c r="AK73" s="505"/>
      <c r="AL73" s="505"/>
      <c r="AM73" s="505"/>
      <c r="AN73" s="505"/>
      <c r="AO73" s="505"/>
      <c r="AP73" s="505"/>
      <c r="AQ73" s="505"/>
      <c r="AR73" s="505"/>
      <c r="AS73" s="505"/>
      <c r="AT73" s="505"/>
      <c r="AU73" s="505"/>
      <c r="AV73" s="505"/>
      <c r="AW73" s="505"/>
      <c r="AX73" s="505"/>
      <c r="AY73" s="505"/>
      <c r="AZ73" s="505"/>
      <c r="BA73" s="505"/>
      <c r="BB73" s="505"/>
      <c r="BC73" s="505"/>
      <c r="BD73" s="505"/>
      <c r="BE73" s="505"/>
      <c r="BF73" s="505"/>
      <c r="BG73" s="505"/>
      <c r="BH73" s="505"/>
      <c r="BI73" s="505"/>
      <c r="BJ73" s="505"/>
      <c r="BK73" s="505"/>
      <c r="BL73" s="505"/>
      <c r="BM73" s="505"/>
      <c r="BN73" s="505"/>
      <c r="BO73" s="505"/>
      <c r="BP73" s="505"/>
      <c r="BQ73" s="505"/>
      <c r="BR73" s="505"/>
      <c r="BS73" s="505"/>
      <c r="BT73" s="505"/>
      <c r="BU73" s="505"/>
      <c r="BV73" s="505"/>
      <c r="BW73" s="505"/>
      <c r="BX73" s="505"/>
    </row>
    <row r="74" outlineLevel="2" spans="2:76">
      <c r="B74" t="s">
        <v>206</v>
      </c>
      <c r="C74" t="s">
        <v>207</v>
      </c>
      <c r="F74" s="506"/>
      <c r="G74" s="506"/>
      <c r="H74" s="506"/>
      <c r="I74" s="506"/>
      <c r="J74" s="506"/>
      <c r="K74" s="506"/>
      <c r="L74" s="506"/>
      <c r="M74" s="506"/>
      <c r="N74" s="506"/>
      <c r="O74" s="506"/>
      <c r="P74" s="506"/>
      <c r="Q74" s="506"/>
      <c r="R74" s="506"/>
      <c r="S74" s="506"/>
      <c r="T74" s="506"/>
      <c r="U74" s="506"/>
      <c r="V74" s="506"/>
      <c r="W74" s="506"/>
      <c r="X74" s="506"/>
      <c r="Y74" s="506"/>
      <c r="Z74" s="506"/>
      <c r="AA74" s="506"/>
      <c r="AB74" s="506"/>
      <c r="AC74" s="506"/>
      <c r="AD74" s="506"/>
      <c r="AE74" s="506"/>
      <c r="AF74" s="506"/>
      <c r="AG74" s="506"/>
      <c r="AH74" s="506"/>
      <c r="AI74" s="506"/>
      <c r="AJ74" s="506"/>
      <c r="AK74" s="506"/>
      <c r="AL74" s="506"/>
      <c r="AM74" s="506"/>
      <c r="AN74" s="506"/>
      <c r="AO74" s="506"/>
      <c r="AP74" s="506"/>
      <c r="AQ74" s="506"/>
      <c r="AR74" s="506"/>
      <c r="AS74" s="506"/>
      <c r="AT74" s="506"/>
      <c r="AU74" s="506"/>
      <c r="AV74" s="506"/>
      <c r="AW74" s="506"/>
      <c r="AX74" s="506"/>
      <c r="AY74" s="506"/>
      <c r="AZ74" s="506"/>
      <c r="BA74" s="506"/>
      <c r="BB74" s="506"/>
      <c r="BC74" s="506"/>
      <c r="BD74" s="506"/>
      <c r="BE74" s="506"/>
      <c r="BF74" s="506"/>
      <c r="BG74" s="506"/>
      <c r="BH74" s="506"/>
      <c r="BI74" s="506"/>
      <c r="BJ74" s="506"/>
      <c r="BK74" s="506"/>
      <c r="BL74" s="506"/>
      <c r="BM74" s="506"/>
      <c r="BN74" s="506"/>
      <c r="BO74" s="506"/>
      <c r="BP74" s="506"/>
      <c r="BQ74" s="506"/>
      <c r="BR74" s="506"/>
      <c r="BS74" s="506"/>
      <c r="BT74" s="506"/>
      <c r="BU74" s="506"/>
      <c r="BV74" s="506"/>
      <c r="BW74" s="506"/>
      <c r="BX74" s="506"/>
    </row>
    <row r="75" outlineLevel="2" spans="2:76">
      <c r="B75" t="s">
        <v>208</v>
      </c>
      <c r="C75" t="s">
        <v>209</v>
      </c>
      <c r="F75" s="506"/>
      <c r="G75" s="506"/>
      <c r="H75" s="506"/>
      <c r="I75" s="506"/>
      <c r="J75" s="506"/>
      <c r="K75" s="506"/>
      <c r="L75" s="506"/>
      <c r="M75" s="506"/>
      <c r="N75" s="506"/>
      <c r="O75" s="506"/>
      <c r="P75" s="506"/>
      <c r="Q75" s="506"/>
      <c r="R75" s="506"/>
      <c r="S75" s="506"/>
      <c r="T75" s="506"/>
      <c r="U75" s="506"/>
      <c r="V75" s="506"/>
      <c r="W75" s="506"/>
      <c r="X75" s="506"/>
      <c r="Y75" s="506"/>
      <c r="Z75" s="506"/>
      <c r="AA75" s="506"/>
      <c r="AB75" s="506"/>
      <c r="AC75" s="506"/>
      <c r="AD75" s="506"/>
      <c r="AE75" s="506"/>
      <c r="AF75" s="506"/>
      <c r="AG75" s="506"/>
      <c r="AH75" s="506"/>
      <c r="AI75" s="506"/>
      <c r="AJ75" s="506"/>
      <c r="AK75" s="506"/>
      <c r="AL75" s="506"/>
      <c r="AM75" s="506"/>
      <c r="AN75" s="506"/>
      <c r="AO75" s="506"/>
      <c r="AP75" s="506"/>
      <c r="AQ75" s="506"/>
      <c r="AR75" s="506"/>
      <c r="AS75" s="506"/>
      <c r="AT75" s="506"/>
      <c r="AU75" s="506"/>
      <c r="AV75" s="506"/>
      <c r="AW75" s="506"/>
      <c r="AX75" s="506"/>
      <c r="AY75" s="506"/>
      <c r="AZ75" s="506"/>
      <c r="BA75" s="506"/>
      <c r="BB75" s="506"/>
      <c r="BC75" s="506"/>
      <c r="BD75" s="506"/>
      <c r="BE75" s="506"/>
      <c r="BF75" s="506"/>
      <c r="BG75" s="506"/>
      <c r="BH75" s="506"/>
      <c r="BI75" s="506"/>
      <c r="BJ75" s="506"/>
      <c r="BK75" s="506"/>
      <c r="BL75" s="506"/>
      <c r="BM75" s="506"/>
      <c r="BN75" s="506"/>
      <c r="BO75" s="506"/>
      <c r="BP75" s="506"/>
      <c r="BQ75" s="506"/>
      <c r="BR75" s="506"/>
      <c r="BS75" s="506"/>
      <c r="BT75" s="506"/>
      <c r="BU75" s="506"/>
      <c r="BV75" s="506"/>
      <c r="BW75" s="506"/>
      <c r="BX75" s="506"/>
    </row>
    <row r="76" outlineLevel="2" spans="2:76">
      <c r="B76" t="s">
        <v>210</v>
      </c>
      <c r="C76" t="s">
        <v>211</v>
      </c>
      <c r="F76" s="506"/>
      <c r="G76" s="506"/>
      <c r="H76" s="506"/>
      <c r="I76" s="506"/>
      <c r="J76" s="506"/>
      <c r="K76" s="506"/>
      <c r="L76" s="506"/>
      <c r="M76" s="506"/>
      <c r="N76" s="506"/>
      <c r="O76" s="506"/>
      <c r="P76" s="506"/>
      <c r="Q76" s="506"/>
      <c r="R76" s="506"/>
      <c r="S76" s="506"/>
      <c r="T76" s="506"/>
      <c r="U76" s="506"/>
      <c r="V76" s="506"/>
      <c r="W76" s="506"/>
      <c r="X76" s="506"/>
      <c r="Y76" s="506"/>
      <c r="Z76" s="506"/>
      <c r="AA76" s="506"/>
      <c r="AB76" s="506"/>
      <c r="AC76" s="506"/>
      <c r="AD76" s="506"/>
      <c r="AE76" s="506"/>
      <c r="AF76" s="506"/>
      <c r="AG76" s="506"/>
      <c r="AH76" s="506"/>
      <c r="AI76" s="506"/>
      <c r="AJ76" s="506"/>
      <c r="AK76" s="506"/>
      <c r="AL76" s="506"/>
      <c r="AM76" s="506"/>
      <c r="AN76" s="506"/>
      <c r="AO76" s="506"/>
      <c r="AP76" s="506"/>
      <c r="AQ76" s="506"/>
      <c r="AR76" s="506"/>
      <c r="AS76" s="506"/>
      <c r="AT76" s="506"/>
      <c r="AU76" s="506"/>
      <c r="AV76" s="506"/>
      <c r="AW76" s="506"/>
      <c r="AX76" s="506"/>
      <c r="AY76" s="506"/>
      <c r="AZ76" s="506"/>
      <c r="BA76" s="506"/>
      <c r="BB76" s="506"/>
      <c r="BC76" s="506"/>
      <c r="BD76" s="506"/>
      <c r="BE76" s="506"/>
      <c r="BF76" s="506"/>
      <c r="BG76" s="506"/>
      <c r="BH76" s="506"/>
      <c r="BI76" s="506"/>
      <c r="BJ76" s="506"/>
      <c r="BK76" s="506"/>
      <c r="BL76" s="506"/>
      <c r="BM76" s="506"/>
      <c r="BN76" s="506"/>
      <c r="BO76" s="506"/>
      <c r="BP76" s="506"/>
      <c r="BQ76" s="506"/>
      <c r="BR76" s="506"/>
      <c r="BS76" s="506"/>
      <c r="BT76" s="506"/>
      <c r="BU76" s="506"/>
      <c r="BV76" s="506"/>
      <c r="BW76" s="506"/>
      <c r="BX76" s="506"/>
    </row>
    <row r="77" outlineLevel="2" spans="2:76">
      <c r="B77" t="s">
        <v>212</v>
      </c>
      <c r="C77" t="s">
        <v>213</v>
      </c>
      <c r="D77" t="str">
        <f>E_CURRENCY_ISSR_208021942_REP</f>
        <v>CNY</v>
      </c>
      <c r="F77" s="505">
        <f t="shared" ref="F77:W77" si="12">F58+F59+F62+F63-F42</f>
        <v>-89.83875803</v>
      </c>
      <c r="G77" s="505">
        <f t="shared" si="12"/>
        <v>-98.53904271</v>
      </c>
      <c r="H77" s="505">
        <f t="shared" si="12"/>
        <v>-52.52412164</v>
      </c>
      <c r="I77" s="505">
        <f t="shared" si="12"/>
        <v>-84.89609736</v>
      </c>
      <c r="J77" s="505">
        <f t="shared" si="12"/>
        <v>-79.31808351</v>
      </c>
      <c r="K77" s="505">
        <f t="shared" si="12"/>
        <v>-135.60739867</v>
      </c>
      <c r="L77" s="505">
        <f t="shared" si="12"/>
        <v>-86.82837139</v>
      </c>
      <c r="M77" s="505">
        <f t="shared" si="12"/>
        <v>-237.00026683</v>
      </c>
      <c r="N77" s="505">
        <f t="shared" si="12"/>
        <v>-253.40360322</v>
      </c>
      <c r="O77" s="505">
        <f t="shared" si="12"/>
        <v>-1859.83208675</v>
      </c>
      <c r="P77" s="505">
        <f t="shared" si="12"/>
        <v>-1579.77817945</v>
      </c>
      <c r="Q77" s="505">
        <f t="shared" si="12"/>
        <v>-1781.82002281</v>
      </c>
      <c r="R77" s="505">
        <f t="shared" si="12"/>
        <v>-2511.54591248</v>
      </c>
      <c r="S77" s="505">
        <f t="shared" si="12"/>
        <v>-1596.58589714</v>
      </c>
      <c r="T77" s="505">
        <f t="shared" si="12"/>
        <v>-8151.99151343</v>
      </c>
      <c r="U77" s="505">
        <f t="shared" si="12"/>
        <v>-15390.1302454718</v>
      </c>
      <c r="V77" s="505">
        <f t="shared" si="12"/>
        <v>-39085.6894222192</v>
      </c>
      <c r="W77" s="505">
        <f t="shared" si="12"/>
        <v>-57962.5867688897</v>
      </c>
      <c r="X77" s="505"/>
      <c r="Y77" s="505"/>
      <c r="Z77" s="505"/>
      <c r="AA77" s="505"/>
      <c r="AB77" s="505"/>
      <c r="AC77" s="505"/>
      <c r="AD77" s="505"/>
      <c r="AE77" s="505"/>
      <c r="AF77" s="505"/>
      <c r="AG77" s="505"/>
      <c r="AH77" s="505"/>
      <c r="AI77" s="505"/>
      <c r="AJ77" s="505"/>
      <c r="AK77" s="505"/>
      <c r="AL77" s="505"/>
      <c r="AM77" s="505"/>
      <c r="AN77" s="505"/>
      <c r="AO77" s="505"/>
      <c r="AP77" s="505"/>
      <c r="AQ77" s="505"/>
      <c r="AR77" s="505"/>
      <c r="AS77" s="505"/>
      <c r="AT77" s="505"/>
      <c r="AU77" s="505"/>
      <c r="AV77" s="505"/>
      <c r="AW77" s="505"/>
      <c r="AX77" s="505"/>
      <c r="AY77" s="505"/>
      <c r="AZ77" s="505"/>
      <c r="BA77" s="505"/>
      <c r="BB77" s="505"/>
      <c r="BC77" s="505"/>
      <c r="BD77" s="505"/>
      <c r="BE77" s="505"/>
      <c r="BF77" s="505"/>
      <c r="BG77" s="505"/>
      <c r="BH77" s="505"/>
      <c r="BI77" s="505"/>
      <c r="BJ77" s="505"/>
      <c r="BK77" s="505"/>
      <c r="BL77" s="505"/>
      <c r="BM77" s="505"/>
      <c r="BN77" s="505"/>
      <c r="BO77" s="505"/>
      <c r="BP77" s="505"/>
      <c r="BQ77" s="505"/>
      <c r="BR77" s="505"/>
      <c r="BS77" s="505"/>
      <c r="BT77" s="505"/>
      <c r="BU77" s="505"/>
      <c r="BV77" s="505"/>
      <c r="BW77" s="505"/>
      <c r="BX77" s="505"/>
    </row>
    <row r="78" outlineLevel="2" spans="2:76">
      <c r="B78" t="s">
        <v>214</v>
      </c>
      <c r="C78" t="s">
        <v>215</v>
      </c>
      <c r="D78" t="str">
        <f>E_CURRENCY_ISSR_208021942_REP</f>
        <v>CNY</v>
      </c>
      <c r="F78" s="505"/>
      <c r="G78" s="505"/>
      <c r="H78" s="505"/>
      <c r="I78" s="505"/>
      <c r="J78" s="505"/>
      <c r="K78" s="505"/>
      <c r="L78" s="505"/>
      <c r="M78" s="505"/>
      <c r="N78" s="505"/>
      <c r="O78" s="505"/>
      <c r="P78" s="505"/>
      <c r="Q78" s="505"/>
      <c r="R78" s="505"/>
      <c r="S78" s="505"/>
      <c r="T78" s="505"/>
      <c r="U78" s="505"/>
      <c r="V78" s="505"/>
      <c r="W78" s="505"/>
      <c r="X78" s="505"/>
      <c r="Y78" s="505"/>
      <c r="Z78" s="505"/>
      <c r="AA78" s="505"/>
      <c r="AB78" s="505"/>
      <c r="AC78" s="505"/>
      <c r="AD78" s="505"/>
      <c r="AE78" s="505"/>
      <c r="AF78" s="505"/>
      <c r="AG78" s="505"/>
      <c r="AH78" s="505"/>
      <c r="AI78" s="505"/>
      <c r="AJ78" s="505"/>
      <c r="AK78" s="505"/>
      <c r="AL78" s="505"/>
      <c r="AM78" s="505"/>
      <c r="AN78" s="505"/>
      <c r="AO78" s="505"/>
      <c r="AP78" s="505"/>
      <c r="AQ78" s="505"/>
      <c r="AR78" s="505"/>
      <c r="AS78" s="505"/>
      <c r="AT78" s="505"/>
      <c r="AU78" s="505"/>
      <c r="AV78" s="505"/>
      <c r="AW78" s="505"/>
      <c r="AX78" s="505"/>
      <c r="AY78" s="505"/>
      <c r="AZ78" s="505"/>
      <c r="BA78" s="505"/>
      <c r="BB78" s="505"/>
      <c r="BC78" s="505"/>
      <c r="BD78" s="505"/>
      <c r="BE78" s="505"/>
      <c r="BF78" s="505"/>
      <c r="BG78" s="505"/>
      <c r="BH78" s="505"/>
      <c r="BI78" s="505"/>
      <c r="BJ78" s="505"/>
      <c r="BK78" s="505"/>
      <c r="BL78" s="505"/>
      <c r="BM78" s="505"/>
      <c r="BN78" s="505"/>
      <c r="BO78" s="505"/>
      <c r="BP78" s="505"/>
      <c r="BQ78" s="505"/>
      <c r="BR78" s="505"/>
      <c r="BS78" s="505"/>
      <c r="BT78" s="505"/>
      <c r="BU78" s="505"/>
      <c r="BV78" s="505"/>
      <c r="BW78" s="505"/>
      <c r="BX78" s="505"/>
    </row>
    <row r="79" outlineLevel="2" spans="2:76">
      <c r="B79" t="s">
        <v>216</v>
      </c>
      <c r="C79" t="s">
        <v>217</v>
      </c>
      <c r="D79" t="str">
        <f>E_CURRENCY_ISSR_208021942_REP</f>
        <v>CNY</v>
      </c>
      <c r="F79" s="505"/>
      <c r="G79" s="505"/>
      <c r="H79" s="505"/>
      <c r="I79" s="505"/>
      <c r="J79" s="505"/>
      <c r="K79" s="505"/>
      <c r="L79" s="505"/>
      <c r="M79" s="505"/>
      <c r="N79" s="505"/>
      <c r="O79" s="505"/>
      <c r="P79" s="505"/>
      <c r="Q79" s="505"/>
      <c r="R79" s="505"/>
      <c r="S79" s="505"/>
      <c r="T79" s="505"/>
      <c r="U79" s="505"/>
      <c r="V79" s="505"/>
      <c r="W79" s="505"/>
      <c r="X79" s="505"/>
      <c r="Y79" s="505"/>
      <c r="Z79" s="505"/>
      <c r="AA79" s="505"/>
      <c r="AB79" s="505"/>
      <c r="AC79" s="505"/>
      <c r="AD79" s="505"/>
      <c r="AE79" s="505"/>
      <c r="AF79" s="505"/>
      <c r="AG79" s="505"/>
      <c r="AH79" s="505"/>
      <c r="AI79" s="505"/>
      <c r="AJ79" s="505"/>
      <c r="AK79" s="505"/>
      <c r="AL79" s="505"/>
      <c r="AM79" s="505"/>
      <c r="AN79" s="505"/>
      <c r="AO79" s="505"/>
      <c r="AP79" s="505"/>
      <c r="AQ79" s="505"/>
      <c r="AR79" s="505"/>
      <c r="AS79" s="505"/>
      <c r="AT79" s="505"/>
      <c r="AU79" s="505"/>
      <c r="AV79" s="505"/>
      <c r="AW79" s="505"/>
      <c r="AX79" s="505"/>
      <c r="AY79" s="505"/>
      <c r="AZ79" s="505"/>
      <c r="BA79" s="505"/>
      <c r="BB79" s="505"/>
      <c r="BC79" s="505"/>
      <c r="BD79" s="505"/>
      <c r="BE79" s="505"/>
      <c r="BF79" s="505"/>
      <c r="BG79" s="505"/>
      <c r="BH79" s="505"/>
      <c r="BI79" s="505"/>
      <c r="BJ79" s="505"/>
      <c r="BK79" s="505"/>
      <c r="BL79" s="505"/>
      <c r="BM79" s="505"/>
      <c r="BN79" s="505"/>
      <c r="BO79" s="505"/>
      <c r="BP79" s="505"/>
      <c r="BQ79" s="505"/>
      <c r="BR79" s="505"/>
      <c r="BS79" s="505"/>
      <c r="BT79" s="505"/>
      <c r="BU79" s="505"/>
      <c r="BV79" s="505"/>
      <c r="BW79" s="505"/>
      <c r="BX79" s="505"/>
    </row>
    <row r="80" outlineLevel="2" spans="2:76">
      <c r="B80" t="s">
        <v>218</v>
      </c>
      <c r="C80" t="s">
        <v>219</v>
      </c>
      <c r="D80" t="str">
        <f>E_CURRENCY_ISSR_208021942_REP</f>
        <v>CNY</v>
      </c>
      <c r="F80" s="505"/>
      <c r="G80" s="505"/>
      <c r="H80" s="505"/>
      <c r="I80" s="505"/>
      <c r="J80" s="505"/>
      <c r="K80" s="505"/>
      <c r="L80" s="505"/>
      <c r="M80" s="505"/>
      <c r="N80" s="505"/>
      <c r="O80" s="505"/>
      <c r="P80" s="505"/>
      <c r="Q80" s="505"/>
      <c r="R80" s="505"/>
      <c r="S80" s="505"/>
      <c r="T80" s="505"/>
      <c r="U80" s="505"/>
      <c r="V80" s="505"/>
      <c r="W80" s="505"/>
      <c r="X80" s="505"/>
      <c r="Y80" s="505"/>
      <c r="Z80" s="505"/>
      <c r="AA80" s="505"/>
      <c r="AB80" s="505"/>
      <c r="AC80" s="505"/>
      <c r="AD80" s="505"/>
      <c r="AE80" s="505"/>
      <c r="AF80" s="505"/>
      <c r="AG80" s="505"/>
      <c r="AH80" s="505"/>
      <c r="AI80" s="505"/>
      <c r="AJ80" s="505"/>
      <c r="AK80" s="505"/>
      <c r="AL80" s="505"/>
      <c r="AM80" s="505"/>
      <c r="AN80" s="505"/>
      <c r="AO80" s="505"/>
      <c r="AP80" s="505"/>
      <c r="AQ80" s="505"/>
      <c r="AR80" s="505"/>
      <c r="AS80" s="505"/>
      <c r="AT80" s="505"/>
      <c r="AU80" s="505"/>
      <c r="AV80" s="505"/>
      <c r="AW80" s="505"/>
      <c r="AX80" s="505"/>
      <c r="AY80" s="505"/>
      <c r="AZ80" s="505"/>
      <c r="BA80" s="505"/>
      <c r="BB80" s="505"/>
      <c r="BC80" s="505"/>
      <c r="BD80" s="505"/>
      <c r="BE80" s="505"/>
      <c r="BF80" s="505"/>
      <c r="BG80" s="505"/>
      <c r="BH80" s="505"/>
      <c r="BI80" s="505"/>
      <c r="BJ80" s="505"/>
      <c r="BK80" s="505"/>
      <c r="BL80" s="505"/>
      <c r="BM80" s="505"/>
      <c r="BN80" s="505"/>
      <c r="BO80" s="505"/>
      <c r="BP80" s="505"/>
      <c r="BQ80" s="505"/>
      <c r="BR80" s="505"/>
      <c r="BS80" s="505"/>
      <c r="BT80" s="505"/>
      <c r="BU80" s="505"/>
      <c r="BV80" s="505"/>
      <c r="BW80" s="505"/>
      <c r="BX80" s="505"/>
    </row>
    <row r="81" outlineLevel="2" spans="2:76">
      <c r="B81" t="s">
        <v>220</v>
      </c>
      <c r="C81" t="s">
        <v>221</v>
      </c>
      <c r="D81" t="str">
        <f>E_CURRENCY_ISSR_208021942_REP</f>
        <v>CNY</v>
      </c>
      <c r="F81" s="505"/>
      <c r="G81" s="505"/>
      <c r="H81" s="505"/>
      <c r="I81" s="505"/>
      <c r="J81" s="505"/>
      <c r="K81" s="505"/>
      <c r="L81" s="505"/>
      <c r="M81" s="505"/>
      <c r="N81" s="505"/>
      <c r="O81" s="505"/>
      <c r="P81" s="505"/>
      <c r="Q81" s="505"/>
      <c r="R81" s="505"/>
      <c r="S81" s="505"/>
      <c r="T81" s="505"/>
      <c r="U81" s="505"/>
      <c r="V81" s="505"/>
      <c r="W81" s="505"/>
      <c r="X81" s="505"/>
      <c r="Y81" s="505"/>
      <c r="Z81" s="505"/>
      <c r="AA81" s="505"/>
      <c r="AB81" s="505"/>
      <c r="AC81" s="505"/>
      <c r="AD81" s="505"/>
      <c r="AE81" s="505"/>
      <c r="AF81" s="505"/>
      <c r="AG81" s="505"/>
      <c r="AH81" s="505"/>
      <c r="AI81" s="505"/>
      <c r="AJ81" s="505"/>
      <c r="AK81" s="505"/>
      <c r="AL81" s="505"/>
      <c r="AM81" s="505"/>
      <c r="AN81" s="505"/>
      <c r="AO81" s="505"/>
      <c r="AP81" s="505"/>
      <c r="AQ81" s="505"/>
      <c r="AR81" s="505"/>
      <c r="AS81" s="505"/>
      <c r="AT81" s="505"/>
      <c r="AU81" s="505"/>
      <c r="AV81" s="505"/>
      <c r="AW81" s="505"/>
      <c r="AX81" s="505"/>
      <c r="AY81" s="505"/>
      <c r="AZ81" s="505"/>
      <c r="BA81" s="505"/>
      <c r="BB81" s="505"/>
      <c r="BC81" s="505"/>
      <c r="BD81" s="505"/>
      <c r="BE81" s="505"/>
      <c r="BF81" s="505"/>
      <c r="BG81" s="505"/>
      <c r="BH81" s="505"/>
      <c r="BI81" s="505"/>
      <c r="BJ81" s="505"/>
      <c r="BK81" s="505"/>
      <c r="BL81" s="505"/>
      <c r="BM81" s="505"/>
      <c r="BN81" s="505"/>
      <c r="BO81" s="505"/>
      <c r="BP81" s="505"/>
      <c r="BQ81" s="505"/>
      <c r="BR81" s="505"/>
      <c r="BS81" s="505"/>
      <c r="BT81" s="505"/>
      <c r="BU81" s="505"/>
      <c r="BV81" s="505"/>
      <c r="BW81" s="505"/>
      <c r="BX81" s="505"/>
    </row>
    <row r="82" outlineLevel="2" spans="2:76">
      <c r="B82" t="s">
        <v>222</v>
      </c>
      <c r="C82" t="s">
        <v>223</v>
      </c>
      <c r="F82" s="508"/>
      <c r="G82" s="508"/>
      <c r="H82" s="508"/>
      <c r="I82" s="508"/>
      <c r="J82" s="508"/>
      <c r="K82" s="508"/>
      <c r="L82" s="508"/>
      <c r="M82" s="508"/>
      <c r="N82" s="508"/>
      <c r="O82" s="508"/>
      <c r="P82" s="508"/>
      <c r="Q82" s="508"/>
      <c r="R82" s="508"/>
      <c r="S82" s="508"/>
      <c r="T82" s="508"/>
      <c r="U82" s="508"/>
      <c r="V82" s="508"/>
      <c r="W82" s="508"/>
      <c r="X82" s="508"/>
      <c r="Y82" s="508"/>
      <c r="Z82" s="508"/>
      <c r="AA82" s="508"/>
      <c r="AB82" s="508"/>
      <c r="AC82" s="508"/>
      <c r="AD82" s="508"/>
      <c r="AE82" s="508"/>
      <c r="AF82" s="508"/>
      <c r="AG82" s="508"/>
      <c r="AH82" s="508"/>
      <c r="AI82" s="508"/>
      <c r="AJ82" s="508"/>
      <c r="AK82" s="508"/>
      <c r="AL82" s="508"/>
      <c r="AM82" s="508"/>
      <c r="AN82" s="508"/>
      <c r="AO82" s="508"/>
      <c r="AP82" s="508"/>
      <c r="AQ82" s="508"/>
      <c r="AR82" s="508"/>
      <c r="AS82" s="508"/>
      <c r="AT82" s="508"/>
      <c r="AU82" s="508"/>
      <c r="AV82" s="508"/>
      <c r="AW82" s="508"/>
      <c r="AX82" s="508"/>
      <c r="AY82" s="508"/>
      <c r="AZ82" s="508"/>
      <c r="BA82" s="508"/>
      <c r="BB82" s="508"/>
      <c r="BC82" s="508"/>
      <c r="BD82" s="508"/>
      <c r="BE82" s="508"/>
      <c r="BF82" s="508"/>
      <c r="BG82" s="508"/>
      <c r="BH82" s="508"/>
      <c r="BI82" s="508"/>
      <c r="BJ82" s="508"/>
      <c r="BK82" s="508"/>
      <c r="BL82" s="508"/>
      <c r="BM82" s="508"/>
      <c r="BN82" s="508"/>
      <c r="BO82" s="508"/>
      <c r="BP82" s="508"/>
      <c r="BQ82" s="508"/>
      <c r="BR82" s="508"/>
      <c r="BS82" s="508"/>
      <c r="BT82" s="508"/>
      <c r="BU82" s="508"/>
      <c r="BV82" s="508"/>
      <c r="BW82" s="508"/>
      <c r="BX82" s="508"/>
    </row>
    <row r="83" outlineLevel="2" spans="2:76">
      <c r="B83" t="s">
        <v>224</v>
      </c>
      <c r="C83" t="s">
        <v>225</v>
      </c>
      <c r="D83" t="str">
        <f>E_CURRENCY_ISSR_208021942_REP</f>
        <v>CNY</v>
      </c>
      <c r="F83" s="505"/>
      <c r="G83" s="505"/>
      <c r="H83" s="505"/>
      <c r="I83" s="505"/>
      <c r="J83" s="505"/>
      <c r="K83" s="505"/>
      <c r="L83" s="505"/>
      <c r="M83" s="505"/>
      <c r="N83" s="505"/>
      <c r="O83" s="505"/>
      <c r="P83" s="505"/>
      <c r="Q83" s="505"/>
      <c r="R83" s="505"/>
      <c r="S83" s="505"/>
      <c r="T83" s="505"/>
      <c r="U83" s="505"/>
      <c r="V83" s="505"/>
      <c r="W83" s="505"/>
      <c r="X83" s="505"/>
      <c r="Y83" s="505"/>
      <c r="Z83" s="505"/>
      <c r="AA83" s="505"/>
      <c r="AB83" s="505"/>
      <c r="AC83" s="505"/>
      <c r="AD83" s="505"/>
      <c r="AE83" s="505"/>
      <c r="AF83" s="505"/>
      <c r="AG83" s="505"/>
      <c r="AH83" s="505"/>
      <c r="AI83" s="505"/>
      <c r="AJ83" s="505"/>
      <c r="AK83" s="505"/>
      <c r="AL83" s="505"/>
      <c r="AM83" s="505"/>
      <c r="AN83" s="505"/>
      <c r="AO83" s="505"/>
      <c r="AP83" s="505"/>
      <c r="AQ83" s="505"/>
      <c r="AR83" s="505"/>
      <c r="AS83" s="505"/>
      <c r="AT83" s="505"/>
      <c r="AU83" s="505"/>
      <c r="AV83" s="505"/>
      <c r="AW83" s="505"/>
      <c r="AX83" s="505"/>
      <c r="AY83" s="505"/>
      <c r="AZ83" s="505"/>
      <c r="BA83" s="505"/>
      <c r="BB83" s="505"/>
      <c r="BC83" s="505"/>
      <c r="BD83" s="505"/>
      <c r="BE83" s="505"/>
      <c r="BF83" s="505"/>
      <c r="BG83" s="505"/>
      <c r="BH83" s="505"/>
      <c r="BI83" s="505"/>
      <c r="BJ83" s="505"/>
      <c r="BK83" s="505"/>
      <c r="BL83" s="505"/>
      <c r="BM83" s="505"/>
      <c r="BN83" s="505"/>
      <c r="BO83" s="505"/>
      <c r="BP83" s="505"/>
      <c r="BQ83" s="505"/>
      <c r="BR83" s="505"/>
      <c r="BS83" s="505"/>
      <c r="BT83" s="505"/>
      <c r="BU83" s="505"/>
      <c r="BV83" s="505"/>
      <c r="BW83" s="505"/>
      <c r="BX83" s="505"/>
    </row>
    <row r="84" outlineLevel="2" spans="2:76">
      <c r="B84" t="s">
        <v>226</v>
      </c>
      <c r="C84" t="s">
        <v>227</v>
      </c>
      <c r="D84" t="str">
        <f>E_CURRENCY_ISSR_208021942_REP</f>
        <v>CNY</v>
      </c>
      <c r="F84" s="505"/>
      <c r="G84" s="505"/>
      <c r="H84" s="505"/>
      <c r="I84" s="505"/>
      <c r="J84" s="505"/>
      <c r="K84" s="505"/>
      <c r="L84" s="505"/>
      <c r="M84" s="505"/>
      <c r="N84" s="505"/>
      <c r="O84" s="505"/>
      <c r="P84" s="505"/>
      <c r="Q84" s="505"/>
      <c r="R84" s="505"/>
      <c r="S84" s="505"/>
      <c r="T84" s="505"/>
      <c r="U84" s="505"/>
      <c r="V84" s="505"/>
      <c r="W84" s="505"/>
      <c r="X84" s="505"/>
      <c r="Y84" s="505"/>
      <c r="Z84" s="505"/>
      <c r="AA84" s="505"/>
      <c r="AB84" s="505"/>
      <c r="AC84" s="505"/>
      <c r="AD84" s="505"/>
      <c r="AE84" s="505"/>
      <c r="AF84" s="505"/>
      <c r="AG84" s="505"/>
      <c r="AH84" s="505"/>
      <c r="AI84" s="505"/>
      <c r="AJ84" s="505"/>
      <c r="AK84" s="505"/>
      <c r="AL84" s="505"/>
      <c r="AM84" s="505"/>
      <c r="AN84" s="505"/>
      <c r="AO84" s="505"/>
      <c r="AP84" s="505"/>
      <c r="AQ84" s="505"/>
      <c r="AR84" s="505"/>
      <c r="AS84" s="505"/>
      <c r="AT84" s="505"/>
      <c r="AU84" s="505"/>
      <c r="AV84" s="505"/>
      <c r="AW84" s="505"/>
      <c r="AX84" s="505"/>
      <c r="AY84" s="505"/>
      <c r="AZ84" s="505"/>
      <c r="BA84" s="505"/>
      <c r="BB84" s="505"/>
      <c r="BC84" s="505"/>
      <c r="BD84" s="505"/>
      <c r="BE84" s="505"/>
      <c r="BF84" s="505"/>
      <c r="BG84" s="505"/>
      <c r="BH84" s="505"/>
      <c r="BI84" s="505"/>
      <c r="BJ84" s="505"/>
      <c r="BK84" s="505"/>
      <c r="BL84" s="505"/>
      <c r="BM84" s="505"/>
      <c r="BN84" s="505"/>
      <c r="BO84" s="505"/>
      <c r="BP84" s="505"/>
      <c r="BQ84" s="505"/>
      <c r="BR84" s="505"/>
      <c r="BS84" s="505"/>
      <c r="BT84" s="505"/>
      <c r="BU84" s="505"/>
      <c r="BV84" s="505"/>
      <c r="BW84" s="505"/>
      <c r="BX84" s="505"/>
    </row>
    <row r="85" outlineLevel="2" spans="2:76">
      <c r="B85" t="s">
        <v>228</v>
      </c>
      <c r="C85" t="s">
        <v>229</v>
      </c>
      <c r="D85" t="str">
        <f>E_CURRENCY_ISSR_208021942_REP</f>
        <v>CNY</v>
      </c>
      <c r="F85" s="505"/>
      <c r="G85" s="505"/>
      <c r="H85" s="505"/>
      <c r="I85" s="505"/>
      <c r="J85" s="505"/>
      <c r="K85" s="505"/>
      <c r="L85" s="505"/>
      <c r="M85" s="505"/>
      <c r="N85" s="505"/>
      <c r="O85" s="505"/>
      <c r="P85" s="505"/>
      <c r="Q85" s="505"/>
      <c r="R85" s="505"/>
      <c r="S85" s="505"/>
      <c r="T85" s="505"/>
      <c r="U85" s="505"/>
      <c r="V85" s="505"/>
      <c r="W85" s="505"/>
      <c r="X85" s="505"/>
      <c r="Y85" s="505"/>
      <c r="Z85" s="505"/>
      <c r="AA85" s="505"/>
      <c r="AB85" s="505"/>
      <c r="AC85" s="505"/>
      <c r="AD85" s="505"/>
      <c r="AE85" s="505"/>
      <c r="AF85" s="505"/>
      <c r="AG85" s="505"/>
      <c r="AH85" s="505"/>
      <c r="AI85" s="505"/>
      <c r="AJ85" s="505"/>
      <c r="AK85" s="505"/>
      <c r="AL85" s="505"/>
      <c r="AM85" s="505"/>
      <c r="AN85" s="505"/>
      <c r="AO85" s="505"/>
      <c r="AP85" s="505"/>
      <c r="AQ85" s="505"/>
      <c r="AR85" s="505"/>
      <c r="AS85" s="505"/>
      <c r="AT85" s="505"/>
      <c r="AU85" s="505"/>
      <c r="AV85" s="505"/>
      <c r="AW85" s="505"/>
      <c r="AX85" s="505"/>
      <c r="AY85" s="505"/>
      <c r="AZ85" s="505"/>
      <c r="BA85" s="505"/>
      <c r="BB85" s="505"/>
      <c r="BC85" s="505"/>
      <c r="BD85" s="505"/>
      <c r="BE85" s="505"/>
      <c r="BF85" s="505"/>
      <c r="BG85" s="505"/>
      <c r="BH85" s="505"/>
      <c r="BI85" s="505"/>
      <c r="BJ85" s="505"/>
      <c r="BK85" s="505"/>
      <c r="BL85" s="505"/>
      <c r="BM85" s="505"/>
      <c r="BN85" s="505"/>
      <c r="BO85" s="505"/>
      <c r="BP85" s="505"/>
      <c r="BQ85" s="505"/>
      <c r="BR85" s="505"/>
      <c r="BS85" s="505"/>
      <c r="BT85" s="505"/>
      <c r="BU85" s="505"/>
      <c r="BV85" s="505"/>
      <c r="BW85" s="505"/>
      <c r="BX85" s="505"/>
    </row>
    <row r="86" outlineLevel="2" spans="2:76">
      <c r="B86" t="s">
        <v>230</v>
      </c>
      <c r="C86" t="s">
        <v>231</v>
      </c>
      <c r="D86" t="str">
        <f>E_CURRENCY_ISSR_208021942_REP</f>
        <v>CNY</v>
      </c>
      <c r="F86" s="505"/>
      <c r="G86" s="505"/>
      <c r="H86" s="505"/>
      <c r="I86" s="505"/>
      <c r="J86" s="505"/>
      <c r="K86" s="505"/>
      <c r="L86" s="505"/>
      <c r="M86" s="505"/>
      <c r="N86" s="505"/>
      <c r="O86" s="505"/>
      <c r="P86" s="505"/>
      <c r="Q86" s="505"/>
      <c r="R86" s="505"/>
      <c r="S86" s="505"/>
      <c r="T86" s="505"/>
      <c r="U86" s="505"/>
      <c r="V86" s="505"/>
      <c r="W86" s="505"/>
      <c r="X86" s="505"/>
      <c r="Y86" s="505"/>
      <c r="Z86" s="505"/>
      <c r="AA86" s="505"/>
      <c r="AB86" s="505"/>
      <c r="AC86" s="505"/>
      <c r="AD86" s="505"/>
      <c r="AE86" s="505"/>
      <c r="AF86" s="505"/>
      <c r="AG86" s="505"/>
      <c r="AH86" s="505"/>
      <c r="AI86" s="505"/>
      <c r="AJ86" s="505"/>
      <c r="AK86" s="505"/>
      <c r="AL86" s="505"/>
      <c r="AM86" s="505"/>
      <c r="AN86" s="505"/>
      <c r="AO86" s="505"/>
      <c r="AP86" s="505"/>
      <c r="AQ86" s="505"/>
      <c r="AR86" s="505"/>
      <c r="AS86" s="505"/>
      <c r="AT86" s="505"/>
      <c r="AU86" s="505"/>
      <c r="AV86" s="505"/>
      <c r="AW86" s="505"/>
      <c r="AX86" s="505"/>
      <c r="AY86" s="505"/>
      <c r="AZ86" s="505"/>
      <c r="BA86" s="505"/>
      <c r="BB86" s="505"/>
      <c r="BC86" s="505"/>
      <c r="BD86" s="505"/>
      <c r="BE86" s="505"/>
      <c r="BF86" s="505"/>
      <c r="BG86" s="505"/>
      <c r="BH86" s="505"/>
      <c r="BI86" s="505"/>
      <c r="BJ86" s="505"/>
      <c r="BK86" s="505"/>
      <c r="BL86" s="505"/>
      <c r="BM86" s="505"/>
      <c r="BN86" s="505"/>
      <c r="BO86" s="505"/>
      <c r="BP86" s="505"/>
      <c r="BQ86" s="505"/>
      <c r="BR86" s="505"/>
      <c r="BS86" s="505"/>
      <c r="BT86" s="505"/>
      <c r="BU86" s="505"/>
      <c r="BV86" s="505"/>
      <c r="BW86" s="505"/>
      <c r="BX86" s="505"/>
    </row>
    <row r="87" outlineLevel="2" spans="2:76">
      <c r="B87" t="s">
        <v>232</v>
      </c>
      <c r="C87" t="s">
        <v>233</v>
      </c>
      <c r="D87" t="str">
        <f>E_CURRENCY_ISSR_208021942_REP</f>
        <v>CNY</v>
      </c>
      <c r="F87" s="505"/>
      <c r="G87" s="505"/>
      <c r="H87" s="505"/>
      <c r="I87" s="505"/>
      <c r="J87" s="505"/>
      <c r="K87" s="505"/>
      <c r="L87" s="505"/>
      <c r="M87" s="505"/>
      <c r="N87" s="505"/>
      <c r="O87" s="505"/>
      <c r="P87" s="505"/>
      <c r="Q87" s="505"/>
      <c r="R87" s="505"/>
      <c r="S87" s="505"/>
      <c r="T87" s="505"/>
      <c r="U87" s="505"/>
      <c r="V87" s="505"/>
      <c r="W87" s="505"/>
      <c r="X87" s="505"/>
      <c r="Y87" s="505"/>
      <c r="Z87" s="505"/>
      <c r="AA87" s="505"/>
      <c r="AB87" s="505"/>
      <c r="AC87" s="505"/>
      <c r="AD87" s="505"/>
      <c r="AE87" s="505"/>
      <c r="AF87" s="505"/>
      <c r="AG87" s="505"/>
      <c r="AH87" s="505"/>
      <c r="AI87" s="505"/>
      <c r="AJ87" s="505"/>
      <c r="AK87" s="505"/>
      <c r="AL87" s="505"/>
      <c r="AM87" s="505"/>
      <c r="AN87" s="505"/>
      <c r="AO87" s="505"/>
      <c r="AP87" s="505"/>
      <c r="AQ87" s="505"/>
      <c r="AR87" s="505"/>
      <c r="AS87" s="505"/>
      <c r="AT87" s="505"/>
      <c r="AU87" s="505"/>
      <c r="AV87" s="505"/>
      <c r="AW87" s="505"/>
      <c r="AX87" s="505"/>
      <c r="AY87" s="505"/>
      <c r="AZ87" s="505"/>
      <c r="BA87" s="505"/>
      <c r="BB87" s="505"/>
      <c r="BC87" s="505"/>
      <c r="BD87" s="505"/>
      <c r="BE87" s="505"/>
      <c r="BF87" s="505"/>
      <c r="BG87" s="505"/>
      <c r="BH87" s="505"/>
      <c r="BI87" s="505"/>
      <c r="BJ87" s="505"/>
      <c r="BK87" s="505"/>
      <c r="BL87" s="505"/>
      <c r="BM87" s="505"/>
      <c r="BN87" s="505"/>
      <c r="BO87" s="505"/>
      <c r="BP87" s="505"/>
      <c r="BQ87" s="505"/>
      <c r="BR87" s="505"/>
      <c r="BS87" s="505"/>
      <c r="BT87" s="505"/>
      <c r="BU87" s="505"/>
      <c r="BV87" s="505"/>
      <c r="BW87" s="505"/>
      <c r="BX87" s="505"/>
    </row>
    <row r="88" outlineLevel="2" spans="2:76">
      <c r="B88" t="s">
        <v>234</v>
      </c>
      <c r="C88" t="s">
        <v>235</v>
      </c>
      <c r="F88" s="505"/>
      <c r="G88" s="505"/>
      <c r="H88" s="505"/>
      <c r="I88" s="505"/>
      <c r="J88" s="505"/>
      <c r="K88" s="505"/>
      <c r="L88" s="505"/>
      <c r="M88" s="505"/>
      <c r="N88" s="505"/>
      <c r="O88" s="505"/>
      <c r="P88" s="505"/>
      <c r="Q88" s="505"/>
      <c r="R88" s="505"/>
      <c r="S88" s="505"/>
      <c r="T88" s="505"/>
      <c r="U88" s="505"/>
      <c r="V88" s="505"/>
      <c r="W88" s="505"/>
      <c r="X88" s="505"/>
      <c r="Y88" s="505"/>
      <c r="Z88" s="505"/>
      <c r="AA88" s="505"/>
      <c r="AB88" s="505"/>
      <c r="AC88" s="505"/>
      <c r="AD88" s="505"/>
      <c r="AE88" s="505"/>
      <c r="AF88" s="505"/>
      <c r="AG88" s="505"/>
      <c r="AH88" s="505"/>
      <c r="AI88" s="505"/>
      <c r="AJ88" s="505"/>
      <c r="AK88" s="505"/>
      <c r="AL88" s="505"/>
      <c r="AM88" s="505"/>
      <c r="AN88" s="505"/>
      <c r="AO88" s="505"/>
      <c r="AP88" s="505"/>
      <c r="AQ88" s="505"/>
      <c r="AR88" s="505"/>
      <c r="AS88" s="505"/>
      <c r="AT88" s="505"/>
      <c r="AU88" s="505"/>
      <c r="AV88" s="505"/>
      <c r="AW88" s="505"/>
      <c r="AX88" s="505"/>
      <c r="AY88" s="505"/>
      <c r="AZ88" s="505"/>
      <c r="BA88" s="505"/>
      <c r="BB88" s="505"/>
      <c r="BC88" s="505"/>
      <c r="BD88" s="505"/>
      <c r="BE88" s="505"/>
      <c r="BF88" s="505"/>
      <c r="BG88" s="505"/>
      <c r="BH88" s="505"/>
      <c r="BI88" s="505"/>
      <c r="BJ88" s="505"/>
      <c r="BK88" s="505"/>
      <c r="BL88" s="505"/>
      <c r="BM88" s="505"/>
      <c r="BN88" s="505"/>
      <c r="BO88" s="505"/>
      <c r="BP88" s="505"/>
      <c r="BQ88" s="505"/>
      <c r="BR88" s="505"/>
      <c r="BS88" s="505"/>
      <c r="BT88" s="505"/>
      <c r="BU88" s="505"/>
      <c r="BV88" s="505"/>
      <c r="BW88" s="505"/>
      <c r="BX88" s="505"/>
    </row>
    <row r="89" outlineLevel="2" spans="2:76">
      <c r="B89" t="s">
        <v>197</v>
      </c>
      <c r="C89" t="s">
        <v>236</v>
      </c>
      <c r="D89" t="str">
        <f>E_CURRENCY_ISSR_208021942_REP</f>
        <v>CNY</v>
      </c>
      <c r="F89" s="505">
        <f t="shared" ref="F89:W89" si="13">F69</f>
        <v>0</v>
      </c>
      <c r="G89" s="505">
        <f t="shared" si="13"/>
        <v>0</v>
      </c>
      <c r="H89" s="505">
        <f t="shared" si="13"/>
        <v>0</v>
      </c>
      <c r="I89" s="505">
        <f t="shared" si="13"/>
        <v>0</v>
      </c>
      <c r="J89" s="505">
        <f t="shared" si="13"/>
        <v>0</v>
      </c>
      <c r="K89" s="505">
        <f t="shared" si="13"/>
        <v>0</v>
      </c>
      <c r="L89" s="505">
        <f t="shared" si="13"/>
        <v>0</v>
      </c>
      <c r="M89" s="505">
        <f t="shared" si="13"/>
        <v>0</v>
      </c>
      <c r="N89" s="505">
        <f t="shared" si="13"/>
        <v>0</v>
      </c>
      <c r="O89" s="505">
        <f t="shared" si="13"/>
        <v>0</v>
      </c>
      <c r="P89" s="505">
        <f t="shared" si="13"/>
        <v>0</v>
      </c>
      <c r="Q89" s="505">
        <f t="shared" si="13"/>
        <v>0</v>
      </c>
      <c r="R89" s="505">
        <f t="shared" si="13"/>
        <v>0</v>
      </c>
      <c r="S89" s="505">
        <f t="shared" si="13"/>
        <v>0</v>
      </c>
      <c r="T89" s="505">
        <f t="shared" si="13"/>
        <v>21.353486980001</v>
      </c>
      <c r="U89" s="505">
        <f t="shared" si="13"/>
        <v>87.9185695800011</v>
      </c>
      <c r="V89" s="505">
        <f t="shared" si="13"/>
        <v>87.9185695800011</v>
      </c>
      <c r="W89" s="505">
        <f t="shared" si="13"/>
        <v>87.9185695800011</v>
      </c>
      <c r="X89" s="505"/>
      <c r="Y89" s="505"/>
      <c r="Z89" s="505"/>
      <c r="AA89" s="505"/>
      <c r="AB89" s="505"/>
      <c r="AC89" s="505"/>
      <c r="AD89" s="505"/>
      <c r="AE89" s="505"/>
      <c r="AF89" s="505"/>
      <c r="AG89" s="505"/>
      <c r="AH89" s="505"/>
      <c r="AI89" s="505"/>
      <c r="AJ89" s="505"/>
      <c r="AK89" s="505"/>
      <c r="AL89" s="505"/>
      <c r="AM89" s="505"/>
      <c r="AN89" s="505"/>
      <c r="AO89" s="505"/>
      <c r="AP89" s="505"/>
      <c r="AQ89" s="505"/>
      <c r="AR89" s="505"/>
      <c r="AS89" s="505"/>
      <c r="AT89" s="505"/>
      <c r="AU89" s="505"/>
      <c r="AV89" s="505"/>
      <c r="AW89" s="505"/>
      <c r="AX89" s="505"/>
      <c r="AY89" s="505"/>
      <c r="AZ89" s="505"/>
      <c r="BA89" s="505"/>
      <c r="BB89" s="505"/>
      <c r="BC89" s="505"/>
      <c r="BD89" s="505"/>
      <c r="BE89" s="505"/>
      <c r="BF89" s="505"/>
      <c r="BG89" s="505"/>
      <c r="BH89" s="505"/>
      <c r="BI89" s="505"/>
      <c r="BJ89" s="505"/>
      <c r="BK89" s="505"/>
      <c r="BL89" s="505"/>
      <c r="BM89" s="505"/>
      <c r="BN89" s="505"/>
      <c r="BO89" s="505"/>
      <c r="BP89" s="505"/>
      <c r="BQ89" s="505"/>
      <c r="BR89" s="505"/>
      <c r="BS89" s="505"/>
      <c r="BT89" s="505"/>
      <c r="BU89" s="505"/>
      <c r="BV89" s="505"/>
      <c r="BW89" s="505"/>
      <c r="BX89" s="505"/>
    </row>
    <row r="90" outlineLevel="2" spans="2:76">
      <c r="B90" t="s">
        <v>237</v>
      </c>
      <c r="C90" t="s">
        <v>238</v>
      </c>
      <c r="D90" t="str">
        <f>E_CURRENCY_ISSR_208021942_REP</f>
        <v>CNY</v>
      </c>
      <c r="F90" s="505"/>
      <c r="G90" s="505"/>
      <c r="H90" s="505"/>
      <c r="I90" s="505"/>
      <c r="J90" s="505"/>
      <c r="K90" s="505"/>
      <c r="L90" s="505"/>
      <c r="M90" s="505"/>
      <c r="N90" s="505"/>
      <c r="O90" s="505"/>
      <c r="P90" s="505"/>
      <c r="Q90" s="505"/>
      <c r="R90" s="505"/>
      <c r="S90" s="505"/>
      <c r="T90" s="505"/>
      <c r="U90" s="505"/>
      <c r="V90" s="505"/>
      <c r="W90" s="505"/>
      <c r="X90" s="505"/>
      <c r="Y90" s="505"/>
      <c r="Z90" s="505"/>
      <c r="AA90" s="505"/>
      <c r="AB90" s="505"/>
      <c r="AC90" s="505"/>
      <c r="AD90" s="505"/>
      <c r="AE90" s="505"/>
      <c r="AF90" s="505"/>
      <c r="AG90" s="505"/>
      <c r="AH90" s="505"/>
      <c r="AI90" s="505"/>
      <c r="AJ90" s="505"/>
      <c r="AK90" s="505"/>
      <c r="AL90" s="505"/>
      <c r="AM90" s="505"/>
      <c r="AN90" s="505"/>
      <c r="AO90" s="505"/>
      <c r="AP90" s="505"/>
      <c r="AQ90" s="505"/>
      <c r="AR90" s="505"/>
      <c r="AS90" s="505"/>
      <c r="AT90" s="505"/>
      <c r="AU90" s="505"/>
      <c r="AV90" s="505"/>
      <c r="AW90" s="505"/>
      <c r="AX90" s="505"/>
      <c r="AY90" s="505"/>
      <c r="AZ90" s="505"/>
      <c r="BA90" s="505"/>
      <c r="BB90" s="505"/>
      <c r="BC90" s="505"/>
      <c r="BD90" s="505"/>
      <c r="BE90" s="505"/>
      <c r="BF90" s="505"/>
      <c r="BG90" s="505"/>
      <c r="BH90" s="505"/>
      <c r="BI90" s="505"/>
      <c r="BJ90" s="505"/>
      <c r="BK90" s="505"/>
      <c r="BL90" s="505"/>
      <c r="BM90" s="505"/>
      <c r="BN90" s="505"/>
      <c r="BO90" s="505"/>
      <c r="BP90" s="505"/>
      <c r="BQ90" s="505"/>
      <c r="BR90" s="505"/>
      <c r="BS90" s="505"/>
      <c r="BT90" s="505"/>
      <c r="BU90" s="505"/>
      <c r="BV90" s="505"/>
      <c r="BW90" s="505"/>
      <c r="BX90" s="505"/>
    </row>
    <row r="91" s="495" customFormat="1" outlineLevel="1" spans="1:4">
      <c r="A91" s="501" t="s">
        <v>239</v>
      </c>
      <c r="B91" s="501"/>
      <c r="C91" s="501"/>
      <c r="D91" s="501"/>
    </row>
    <row r="92" outlineLevel="2" spans="2:76">
      <c r="B92" t="s">
        <v>240</v>
      </c>
      <c r="C92" t="s">
        <v>241</v>
      </c>
      <c r="D92" t="str">
        <f t="shared" ref="D92:D108" si="14">E_CURRENCY_ISSR_208021942_REP</f>
        <v>CNY</v>
      </c>
      <c r="F92" s="505">
        <f>[5]Model!E203</f>
        <v>0</v>
      </c>
      <c r="G92" s="505">
        <f>[5]Model!F203</f>
        <v>0</v>
      </c>
      <c r="H92" s="505">
        <f>[5]Model!G203</f>
        <v>0</v>
      </c>
      <c r="I92" s="505">
        <f>[5]Model!H203</f>
        <v>0</v>
      </c>
      <c r="J92" s="505">
        <f>[5]Model!I203</f>
        <v>0</v>
      </c>
      <c r="K92" s="505">
        <f>[5]Model!J203</f>
        <v>0</v>
      </c>
      <c r="L92" s="505">
        <f>[5]Model!K203</f>
        <v>0</v>
      </c>
      <c r="M92" s="505">
        <f>[5]Model!L203</f>
        <v>0</v>
      </c>
      <c r="N92" s="505">
        <f>[5]Model!M203</f>
        <v>0</v>
      </c>
      <c r="O92" s="505">
        <f>[5]Model!N203</f>
        <v>0</v>
      </c>
      <c r="P92" s="505">
        <f>[5]Model!O203</f>
        <v>0</v>
      </c>
      <c r="Q92" s="505">
        <f>[5]Model!P203</f>
        <v>-2.8421709430404e-14</v>
      </c>
      <c r="R92" s="505">
        <f>[5]Model!Q203</f>
        <v>4.2632564145606e-14</v>
      </c>
      <c r="S92" s="505">
        <f>[5]Model!R203</f>
        <v>-1.13686837721616e-13</v>
      </c>
      <c r="T92" s="505">
        <f>[5]Model!S203</f>
        <v>21.353486980001</v>
      </c>
      <c r="U92" s="505">
        <f>[5]Model!T203</f>
        <v>66.5650826000001</v>
      </c>
      <c r="V92" s="505">
        <f>[5]Model!U203</f>
        <v>0</v>
      </c>
      <c r="W92" s="505">
        <f>[5]Model!V203</f>
        <v>0</v>
      </c>
      <c r="X92" s="505"/>
      <c r="Y92" s="505"/>
      <c r="Z92" s="505"/>
      <c r="AA92" s="505"/>
      <c r="AB92" s="505"/>
      <c r="AC92" s="505"/>
      <c r="AD92" s="505"/>
      <c r="AE92" s="505"/>
      <c r="AF92" s="505"/>
      <c r="AG92" s="505"/>
      <c r="AH92" s="505"/>
      <c r="AI92" s="505"/>
      <c r="AJ92" s="505"/>
      <c r="AK92" s="505"/>
      <c r="AL92" s="505"/>
      <c r="AM92" s="505"/>
      <c r="AN92" s="505"/>
      <c r="AO92" s="505"/>
      <c r="AP92" s="505"/>
      <c r="AQ92" s="505"/>
      <c r="AR92" s="505"/>
      <c r="AS92" s="505"/>
      <c r="AT92" s="505"/>
      <c r="AU92" s="505"/>
      <c r="AV92" s="505"/>
      <c r="AW92" s="505"/>
      <c r="AX92" s="505"/>
      <c r="AY92" s="505"/>
      <c r="AZ92" s="505"/>
      <c r="BA92" s="505"/>
      <c r="BB92" s="505"/>
      <c r="BC92" s="505"/>
      <c r="BD92" s="505"/>
      <c r="BE92" s="505"/>
      <c r="BF92" s="505"/>
      <c r="BG92" s="505"/>
      <c r="BH92" s="505"/>
      <c r="BI92" s="505"/>
      <c r="BJ92" s="505"/>
      <c r="BK92" s="505"/>
      <c r="BL92" s="505"/>
      <c r="BM92" s="505"/>
      <c r="BN92" s="505"/>
      <c r="BO92" s="505"/>
      <c r="BP92" s="505"/>
      <c r="BQ92" s="505"/>
      <c r="BR92" s="505"/>
      <c r="BS92" s="505"/>
      <c r="BT92" s="505"/>
      <c r="BU92" s="505"/>
      <c r="BV92" s="505"/>
      <c r="BW92" s="505"/>
      <c r="BX92" s="505"/>
    </row>
    <row r="93" outlineLevel="2" spans="2:76">
      <c r="B93" t="s">
        <v>242</v>
      </c>
      <c r="C93" t="s">
        <v>243</v>
      </c>
      <c r="D93" t="str">
        <f t="shared" si="14"/>
        <v>CNY</v>
      </c>
      <c r="F93" s="505">
        <f>[5]Model!E204</f>
        <v>2.9175</v>
      </c>
      <c r="G93" s="505">
        <f>[5]Model!F204</f>
        <v>2.9064</v>
      </c>
      <c r="H93" s="505">
        <f>[5]Model!G204</f>
        <v>5.50021094</v>
      </c>
      <c r="I93" s="505">
        <f>[5]Model!H204</f>
        <v>12.38681616</v>
      </c>
      <c r="J93" s="505">
        <f>[5]Model!I204</f>
        <v>15.64758284</v>
      </c>
      <c r="K93" s="505">
        <f>[5]Model!J204</f>
        <v>24.31253567</v>
      </c>
      <c r="L93" s="505">
        <f>[5]Model!K204</f>
        <v>47.28339034</v>
      </c>
      <c r="M93" s="505">
        <f>[5]Model!L204</f>
        <v>53.90864989</v>
      </c>
      <c r="N93" s="505">
        <f>[5]Model!M204</f>
        <v>34.85150012</v>
      </c>
      <c r="O93" s="505">
        <f>[5]Model!N204</f>
        <v>50.00692889</v>
      </c>
      <c r="P93" s="505">
        <f>[5]Model!O204</f>
        <v>72.24289647</v>
      </c>
      <c r="Q93" s="505">
        <f>[5]Model!P204</f>
        <v>96.98949624</v>
      </c>
      <c r="R93" s="505">
        <f>[5]Model!Q204</f>
        <v>126.17239788</v>
      </c>
      <c r="S93" s="505">
        <f>[5]Model!R204</f>
        <v>210.4841945304</v>
      </c>
      <c r="T93" s="505">
        <f>[5]Model!S204</f>
        <v>387.703728592544</v>
      </c>
      <c r="U93" s="505">
        <f>[5]Model!T204</f>
        <v>612.453090339728</v>
      </c>
      <c r="V93" s="505">
        <f>[5]Model!U204</f>
        <v>847.591724004827</v>
      </c>
      <c r="W93" s="505">
        <f>[5]Model!V204</f>
        <v>1033.76684564118</v>
      </c>
      <c r="X93" s="505"/>
      <c r="Y93" s="505"/>
      <c r="Z93" s="505"/>
      <c r="AA93" s="505"/>
      <c r="AB93" s="505"/>
      <c r="AC93" s="505"/>
      <c r="AD93" s="505"/>
      <c r="AE93" s="505"/>
      <c r="AF93" s="505"/>
      <c r="AG93" s="505"/>
      <c r="AH93" s="505"/>
      <c r="AI93" s="505"/>
      <c r="AJ93" s="505"/>
      <c r="AK93" s="505"/>
      <c r="AL93" s="505"/>
      <c r="AM93" s="505"/>
      <c r="AN93" s="505"/>
      <c r="AO93" s="505"/>
      <c r="AP93" s="505"/>
      <c r="AQ93" s="505"/>
      <c r="AR93" s="505"/>
      <c r="AS93" s="505"/>
      <c r="AT93" s="505"/>
      <c r="AU93" s="505"/>
      <c r="AV93" s="505"/>
      <c r="AW93" s="505"/>
      <c r="AX93" s="505"/>
      <c r="AY93" s="505"/>
      <c r="AZ93" s="505"/>
      <c r="BA93" s="505"/>
      <c r="BB93" s="505"/>
      <c r="BC93" s="505"/>
      <c r="BD93" s="505"/>
      <c r="BE93" s="505"/>
      <c r="BF93" s="505"/>
      <c r="BG93" s="505"/>
      <c r="BH93" s="505"/>
      <c r="BI93" s="505"/>
      <c r="BJ93" s="505"/>
      <c r="BK93" s="505"/>
      <c r="BL93" s="505"/>
      <c r="BM93" s="505"/>
      <c r="BN93" s="505"/>
      <c r="BO93" s="505"/>
      <c r="BP93" s="505"/>
      <c r="BQ93" s="505"/>
      <c r="BR93" s="505"/>
      <c r="BS93" s="505"/>
      <c r="BT93" s="505"/>
      <c r="BU93" s="505"/>
      <c r="BV93" s="505"/>
      <c r="BW93" s="505"/>
      <c r="BX93" s="505"/>
    </row>
    <row r="94" outlineLevel="2" spans="2:76">
      <c r="B94" t="s">
        <v>244</v>
      </c>
      <c r="C94" t="s">
        <v>245</v>
      </c>
      <c r="D94" t="str">
        <f t="shared" si="14"/>
        <v>CNY</v>
      </c>
      <c r="F94" s="505">
        <f>[5]Model!E207</f>
        <v>-103.08629916</v>
      </c>
      <c r="G94" s="505">
        <f>[5]Model!F207</f>
        <v>-17.03677139</v>
      </c>
      <c r="H94" s="505">
        <f>[5]Model!G207</f>
        <v>-65.52367581</v>
      </c>
      <c r="I94" s="505">
        <f>[5]Model!H207</f>
        <v>-55.47726004</v>
      </c>
      <c r="J94" s="505">
        <f>[5]Model!I207</f>
        <v>-67.25716179</v>
      </c>
      <c r="K94" s="505">
        <f>[5]Model!J207</f>
        <v>-123.55225005</v>
      </c>
      <c r="L94" s="505">
        <f>[5]Model!K207</f>
        <v>-246.49031537</v>
      </c>
      <c r="M94" s="505">
        <f>[5]Model!L207</f>
        <v>215.88284639</v>
      </c>
      <c r="N94" s="505">
        <f>[5]Model!M207</f>
        <v>9.00458112000007</v>
      </c>
      <c r="O94" s="505">
        <f>[5]Model!N207</f>
        <v>-318.92581952</v>
      </c>
      <c r="P94" s="505">
        <f>[5]Model!O207</f>
        <v>-578.62813221</v>
      </c>
      <c r="Q94" s="505">
        <f>[5]Model!P207</f>
        <v>-208.37882439</v>
      </c>
      <c r="R94" s="505">
        <f>[5]Model!Q207</f>
        <v>487.54890137</v>
      </c>
      <c r="S94" s="505">
        <f>[5]Model!R207</f>
        <v>-2765.56673173</v>
      </c>
      <c r="T94" s="505">
        <f>[5]Model!S207</f>
        <v>-2563.40083692</v>
      </c>
      <c r="U94" s="505">
        <f>[5]Model!T207</f>
        <v>-9763.4050598124</v>
      </c>
      <c r="V94" s="505">
        <f>[5]Model!U207</f>
        <v>-2046.27532432164</v>
      </c>
      <c r="W94" s="505">
        <f>[5]Model!V207</f>
        <v>-11206.3244743661</v>
      </c>
      <c r="X94" s="505"/>
      <c r="Y94" s="505"/>
      <c r="Z94" s="505"/>
      <c r="AA94" s="505"/>
      <c r="AB94" s="505"/>
      <c r="AC94" s="505"/>
      <c r="AD94" s="505"/>
      <c r="AE94" s="505"/>
      <c r="AF94" s="505"/>
      <c r="AG94" s="505"/>
      <c r="AH94" s="505"/>
      <c r="AI94" s="505"/>
      <c r="AJ94" s="505"/>
      <c r="AK94" s="505"/>
      <c r="AL94" s="505"/>
      <c r="AM94" s="505"/>
      <c r="AN94" s="505"/>
      <c r="AO94" s="505"/>
      <c r="AP94" s="505"/>
      <c r="AQ94" s="505"/>
      <c r="AR94" s="505"/>
      <c r="AS94" s="505"/>
      <c r="AT94" s="505"/>
      <c r="AU94" s="505"/>
      <c r="AV94" s="505"/>
      <c r="AW94" s="505"/>
      <c r="AX94" s="505"/>
      <c r="AY94" s="505"/>
      <c r="AZ94" s="505"/>
      <c r="BA94" s="505"/>
      <c r="BB94" s="505"/>
      <c r="BC94" s="505"/>
      <c r="BD94" s="505"/>
      <c r="BE94" s="505"/>
      <c r="BF94" s="505"/>
      <c r="BG94" s="505"/>
      <c r="BH94" s="505"/>
      <c r="BI94" s="505"/>
      <c r="BJ94" s="505"/>
      <c r="BK94" s="505"/>
      <c r="BL94" s="505"/>
      <c r="BM94" s="505"/>
      <c r="BN94" s="505"/>
      <c r="BO94" s="505"/>
      <c r="BP94" s="505"/>
      <c r="BQ94" s="505"/>
      <c r="BR94" s="505"/>
      <c r="BS94" s="505"/>
      <c r="BT94" s="505"/>
      <c r="BU94" s="505"/>
      <c r="BV94" s="505"/>
      <c r="BW94" s="505"/>
      <c r="BX94" s="505"/>
    </row>
    <row r="95" outlineLevel="2" spans="2:76">
      <c r="B95" t="s">
        <v>246</v>
      </c>
      <c r="C95" t="s">
        <v>247</v>
      </c>
      <c r="D95" t="str">
        <f t="shared" si="14"/>
        <v>CNY</v>
      </c>
      <c r="F95" s="505">
        <f>[5]Model!E205+[5]Model!E206+[5]Model!E211</f>
        <v>93.85811424</v>
      </c>
      <c r="G95" s="505">
        <f>[5]Model!F205+[5]Model!F206+[5]Model!F211</f>
        <v>-5.68173649000004</v>
      </c>
      <c r="H95" s="505">
        <f>[5]Model!G205+[5]Model!G206+[5]Model!G211</f>
        <v>7.40728012000004</v>
      </c>
      <c r="I95" s="505">
        <f>[5]Model!H205+[5]Model!H206+[5]Model!H211</f>
        <v>7.90599025999995</v>
      </c>
      <c r="J95" s="505">
        <f>[5]Model!I205+[5]Model!I206+[5]Model!I211</f>
        <v>-10.16713292</v>
      </c>
      <c r="K95" s="505">
        <f>[5]Model!J205+[5]Model!J206+[5]Model!J211</f>
        <v>0.268359509999939</v>
      </c>
      <c r="L95" s="505">
        <f>[5]Model!K205+[5]Model!K206+[5]Model!K211</f>
        <v>15.1798453600001</v>
      </c>
      <c r="M95" s="505">
        <f>[5]Model!L205+[5]Model!L206+[5]Model!L211</f>
        <v>19.00291218</v>
      </c>
      <c r="N95" s="505">
        <f>[5]Model!M205+[5]Model!M206+[5]Model!M211</f>
        <v>-147.23672329</v>
      </c>
      <c r="O95" s="505">
        <f>[5]Model!N205+[5]Model!N206+[5]Model!N211</f>
        <v>-68.4063280299999</v>
      </c>
      <c r="P95" s="505">
        <f>[5]Model!O205+[5]Model!O206+[5]Model!O211</f>
        <v>62.9909202599999</v>
      </c>
      <c r="Q95" s="505">
        <f>[5]Model!P205+[5]Model!P206+[5]Model!P211</f>
        <v>39.1604491999998</v>
      </c>
      <c r="R95" s="505">
        <f>[5]Model!Q205+[5]Model!Q206+[5]Model!Q211</f>
        <v>-56.0975849099998</v>
      </c>
      <c r="S95" s="505">
        <f>[5]Model!R205+[5]Model!R206+[5]Model!R211</f>
        <v>358.1990584096</v>
      </c>
      <c r="T95" s="505">
        <f>[5]Model!S205+[5]Model!S206+[5]Model!S211</f>
        <v>323.655542177456</v>
      </c>
      <c r="U95" s="505">
        <f>[5]Model!T205+[5]Model!T206+[5]Model!T211</f>
        <v>0</v>
      </c>
      <c r="V95" s="505">
        <f>[5]Model!U205+[5]Model!U206+[5]Model!U211</f>
        <v>0</v>
      </c>
      <c r="W95" s="505">
        <f>[5]Model!V205+[5]Model!V206+[5]Model!V211</f>
        <v>0</v>
      </c>
      <c r="X95" s="505"/>
      <c r="Y95" s="505"/>
      <c r="Z95" s="505"/>
      <c r="AA95" s="505"/>
      <c r="AB95" s="505"/>
      <c r="AC95" s="505"/>
      <c r="AD95" s="505"/>
      <c r="AE95" s="505"/>
      <c r="AF95" s="505"/>
      <c r="AG95" s="505"/>
      <c r="AH95" s="505"/>
      <c r="AI95" s="505"/>
      <c r="AJ95" s="505"/>
      <c r="AK95" s="505"/>
      <c r="AL95" s="505"/>
      <c r="AM95" s="505"/>
      <c r="AN95" s="505"/>
      <c r="AO95" s="505"/>
      <c r="AP95" s="505"/>
      <c r="AQ95" s="505"/>
      <c r="AR95" s="505"/>
      <c r="AS95" s="505"/>
      <c r="AT95" s="505"/>
      <c r="AU95" s="505"/>
      <c r="AV95" s="505"/>
      <c r="AW95" s="505"/>
      <c r="AX95" s="505"/>
      <c r="AY95" s="505"/>
      <c r="AZ95" s="505"/>
      <c r="BA95" s="505"/>
      <c r="BB95" s="505"/>
      <c r="BC95" s="505"/>
      <c r="BD95" s="505"/>
      <c r="BE95" s="505"/>
      <c r="BF95" s="505"/>
      <c r="BG95" s="505"/>
      <c r="BH95" s="505"/>
      <c r="BI95" s="505"/>
      <c r="BJ95" s="505"/>
      <c r="BK95" s="505"/>
      <c r="BL95" s="505"/>
      <c r="BM95" s="505"/>
      <c r="BN95" s="505"/>
      <c r="BO95" s="505"/>
      <c r="BP95" s="505"/>
      <c r="BQ95" s="505"/>
      <c r="BR95" s="505"/>
      <c r="BS95" s="505"/>
      <c r="BT95" s="505"/>
      <c r="BU95" s="505"/>
      <c r="BV95" s="505"/>
      <c r="BW95" s="505"/>
      <c r="BX95" s="505"/>
    </row>
    <row r="96" outlineLevel="2" spans="2:76">
      <c r="B96" t="s">
        <v>248</v>
      </c>
      <c r="C96" t="s">
        <v>249</v>
      </c>
      <c r="D96" t="str">
        <f t="shared" si="14"/>
        <v>CNY</v>
      </c>
      <c r="F96" s="505">
        <f>[5]Model!E212</f>
        <v>46.2641</v>
      </c>
      <c r="G96" s="505">
        <f>[5]Model!F212</f>
        <v>45.9356</v>
      </c>
      <c r="H96" s="505">
        <f>[5]Model!G212</f>
        <v>26.74258254</v>
      </c>
      <c r="I96" s="505">
        <f>[5]Model!H212</f>
        <v>57.2140811</v>
      </c>
      <c r="J96" s="505">
        <f>[5]Model!I212</f>
        <v>32.67361622</v>
      </c>
      <c r="K96" s="505">
        <f>[5]Model!J212</f>
        <v>6.31542829</v>
      </c>
      <c r="L96" s="505">
        <f>[5]Model!K212</f>
        <v>-72.93617403</v>
      </c>
      <c r="M96" s="505">
        <f>[5]Model!L212</f>
        <v>320.62674205</v>
      </c>
      <c r="N96" s="505">
        <f>[5]Model!M212</f>
        <v>109.47591446</v>
      </c>
      <c r="O96" s="505">
        <f>[5]Model!N212</f>
        <v>154.43318481</v>
      </c>
      <c r="P96" s="505">
        <f>[5]Model!O212</f>
        <v>218.53182357</v>
      </c>
      <c r="Q96" s="505">
        <f>[5]Model!P212</f>
        <v>831.35221186</v>
      </c>
      <c r="R96" s="505">
        <f>[5]Model!Q212</f>
        <v>1245.98480946</v>
      </c>
      <c r="S96" s="505">
        <f>[5]Model!R212</f>
        <v>640.93014558</v>
      </c>
      <c r="T96" s="505">
        <f>[5]Model!S212</f>
        <v>7701.234651</v>
      </c>
      <c r="U96" s="505">
        <f>[5]Model!T212</f>
        <v>11598.4357556725</v>
      </c>
      <c r="V96" s="505">
        <f>[5]Model!U212</f>
        <v>28880.9350646515</v>
      </c>
      <c r="W96" s="505">
        <f>[5]Model!V212</f>
        <v>24402.9960332001</v>
      </c>
      <c r="X96" s="505"/>
      <c r="Y96" s="505"/>
      <c r="Z96" s="505"/>
      <c r="AA96" s="505"/>
      <c r="AB96" s="505"/>
      <c r="AC96" s="505"/>
      <c r="AD96" s="505"/>
      <c r="AE96" s="505"/>
      <c r="AF96" s="505"/>
      <c r="AG96" s="505"/>
      <c r="AH96" s="505"/>
      <c r="AI96" s="505"/>
      <c r="AJ96" s="505"/>
      <c r="AK96" s="505"/>
      <c r="AL96" s="505"/>
      <c r="AM96" s="505"/>
      <c r="AN96" s="505"/>
      <c r="AO96" s="505"/>
      <c r="AP96" s="505"/>
      <c r="AQ96" s="505"/>
      <c r="AR96" s="505"/>
      <c r="AS96" s="505"/>
      <c r="AT96" s="505"/>
      <c r="AU96" s="505"/>
      <c r="AV96" s="505"/>
      <c r="AW96" s="505"/>
      <c r="AX96" s="505"/>
      <c r="AY96" s="505"/>
      <c r="AZ96" s="505"/>
      <c r="BA96" s="505"/>
      <c r="BB96" s="505"/>
      <c r="BC96" s="505"/>
      <c r="BD96" s="505"/>
      <c r="BE96" s="505"/>
      <c r="BF96" s="505"/>
      <c r="BG96" s="505"/>
      <c r="BH96" s="505"/>
      <c r="BI96" s="505"/>
      <c r="BJ96" s="505"/>
      <c r="BK96" s="505"/>
      <c r="BL96" s="505"/>
      <c r="BM96" s="505"/>
      <c r="BN96" s="505"/>
      <c r="BO96" s="505"/>
      <c r="BP96" s="505"/>
      <c r="BQ96" s="505"/>
      <c r="BR96" s="505"/>
      <c r="BS96" s="505"/>
      <c r="BT96" s="505"/>
      <c r="BU96" s="505"/>
      <c r="BV96" s="505"/>
      <c r="BW96" s="505"/>
      <c r="BX96" s="505"/>
    </row>
    <row r="97" outlineLevel="2" spans="2:76">
      <c r="B97" t="s">
        <v>250</v>
      </c>
      <c r="C97" t="s">
        <v>251</v>
      </c>
      <c r="D97" t="str">
        <f t="shared" si="14"/>
        <v>CNY</v>
      </c>
      <c r="F97" s="505">
        <f>[5]Model!E214</f>
        <v>-5.03358718</v>
      </c>
      <c r="G97" s="505">
        <f>[5]Model!F214</f>
        <v>-39.01859826</v>
      </c>
      <c r="H97" s="505">
        <f>[5]Model!G214</f>
        <v>-74.19091972</v>
      </c>
      <c r="I97" s="505">
        <f>[5]Model!H214</f>
        <v>-28.24924452</v>
      </c>
      <c r="J97" s="505">
        <f>[5]Model!I214</f>
        <v>-37.63873224</v>
      </c>
      <c r="K97" s="505">
        <f>[5]Model!J214</f>
        <v>-130.77671301</v>
      </c>
      <c r="L97" s="505">
        <f>[5]Model!K214</f>
        <v>-135.73533282</v>
      </c>
      <c r="M97" s="505">
        <f>[5]Model!L214</f>
        <v>-68.77890037</v>
      </c>
      <c r="N97" s="505">
        <f>[5]Model!M214</f>
        <v>-99.13486822</v>
      </c>
      <c r="O97" s="505">
        <f>[5]Model!N214</f>
        <v>-290.64016386</v>
      </c>
      <c r="P97" s="505">
        <f>[5]Model!O214</f>
        <v>-273.49673873</v>
      </c>
      <c r="Q97" s="505">
        <f>[5]Model!P214</f>
        <v>-364.71799399</v>
      </c>
      <c r="R97" s="505">
        <f>[5]Model!Q214</f>
        <v>-554.30905704</v>
      </c>
      <c r="S97" s="505">
        <f>[5]Model!R214</f>
        <v>-1476.33800926</v>
      </c>
      <c r="T97" s="505">
        <f>[5]Model!S214</f>
        <v>-1993.056312501</v>
      </c>
      <c r="U97" s="505">
        <f>[5]Model!T214</f>
        <v>-2292.01475937615</v>
      </c>
      <c r="V97" s="505">
        <f>[5]Model!U214</f>
        <v>-2177.41402140734</v>
      </c>
      <c r="W97" s="505">
        <f>[5]Model!V214</f>
        <v>-2068.54332033697</v>
      </c>
      <c r="X97" s="505"/>
      <c r="Y97" s="505"/>
      <c r="Z97" s="505"/>
      <c r="AA97" s="505"/>
      <c r="AB97" s="505"/>
      <c r="AC97" s="505"/>
      <c r="AD97" s="505"/>
      <c r="AE97" s="505"/>
      <c r="AF97" s="505"/>
      <c r="AG97" s="505"/>
      <c r="AH97" s="505"/>
      <c r="AI97" s="505"/>
      <c r="AJ97" s="505"/>
      <c r="AK97" s="505"/>
      <c r="AL97" s="505"/>
      <c r="AM97" s="505"/>
      <c r="AN97" s="505"/>
      <c r="AO97" s="505"/>
      <c r="AP97" s="505"/>
      <c r="AQ97" s="505"/>
      <c r="AR97" s="505"/>
      <c r="AS97" s="505"/>
      <c r="AT97" s="505"/>
      <c r="AU97" s="505"/>
      <c r="AV97" s="505"/>
      <c r="AW97" s="505"/>
      <c r="AX97" s="505"/>
      <c r="AY97" s="505"/>
      <c r="AZ97" s="505"/>
      <c r="BA97" s="505"/>
      <c r="BB97" s="505"/>
      <c r="BC97" s="505"/>
      <c r="BD97" s="505"/>
      <c r="BE97" s="505"/>
      <c r="BF97" s="505"/>
      <c r="BG97" s="505"/>
      <c r="BH97" s="505"/>
      <c r="BI97" s="505"/>
      <c r="BJ97" s="505"/>
      <c r="BK97" s="505"/>
      <c r="BL97" s="505"/>
      <c r="BM97" s="505"/>
      <c r="BN97" s="505"/>
      <c r="BO97" s="505"/>
      <c r="BP97" s="505"/>
      <c r="BQ97" s="505"/>
      <c r="BR97" s="505"/>
      <c r="BS97" s="505"/>
      <c r="BT97" s="505"/>
      <c r="BU97" s="505"/>
      <c r="BV97" s="505"/>
      <c r="BW97" s="505"/>
      <c r="BX97" s="505"/>
    </row>
    <row r="98" outlineLevel="2" spans="2:76">
      <c r="B98" t="s">
        <v>252</v>
      </c>
      <c r="C98" t="s">
        <v>253</v>
      </c>
      <c r="D98" t="str">
        <f t="shared" si="14"/>
        <v>CNY</v>
      </c>
      <c r="F98" s="505">
        <f>IF([5]Model!E215&lt;0,[5]Model!E215,0)</f>
        <v>0</v>
      </c>
      <c r="G98" s="505">
        <f>IF([5]Model!F215&lt;0,[5]Model!F215,0)</f>
        <v>0</v>
      </c>
      <c r="H98" s="505">
        <f>IF([5]Model!G215&lt;0,[5]Model!G215,0)</f>
        <v>0</v>
      </c>
      <c r="I98" s="505">
        <f>IF([5]Model!H215&lt;0,[5]Model!H215,0)</f>
        <v>0</v>
      </c>
      <c r="J98" s="505">
        <f>IF([5]Model!I215&lt;0,[5]Model!I215,0)</f>
        <v>0</v>
      </c>
      <c r="K98" s="505">
        <f>IF([5]Model!J215&lt;0,[5]Model!J215,0)</f>
        <v>0</v>
      </c>
      <c r="L98" s="505">
        <f>IF([5]Model!K215&lt;0,[5]Model!K215,0)</f>
        <v>0</v>
      </c>
      <c r="M98" s="505">
        <f>IF([5]Model!L215&lt;0,[5]Model!L215,0)</f>
        <v>0</v>
      </c>
      <c r="N98" s="505">
        <f>IF([5]Model!M215&lt;0,[5]Model!M215,0)</f>
        <v>0</v>
      </c>
      <c r="O98" s="505">
        <f>IF([5]Model!N215&lt;0,[5]Model!N215,0)</f>
        <v>0</v>
      </c>
      <c r="P98" s="505">
        <f>IF([5]Model!O215&lt;0,[5]Model!O215,0)</f>
        <v>0</v>
      </c>
      <c r="Q98" s="505">
        <f>IF([5]Model!P215&lt;0,[5]Model!P215,0)</f>
        <v>-124.66449821</v>
      </c>
      <c r="R98" s="505">
        <f>IF([5]Model!Q215&lt;0,[5]Model!Q215,0)</f>
        <v>-63.80098772</v>
      </c>
      <c r="S98" s="505">
        <f>IF([5]Model!R215&lt;0,[5]Model!R215,0)</f>
        <v>-27.73212881</v>
      </c>
      <c r="T98" s="505">
        <f>IF([5]Model!S215&lt;0,[5]Model!S215,0)</f>
        <v>0</v>
      </c>
      <c r="U98" s="505">
        <f>IF([5]Model!T215&lt;0,[5]Model!T215,0)</f>
        <v>0</v>
      </c>
      <c r="V98" s="505">
        <f>IF([5]Model!U215&lt;0,[5]Model!U215,0)</f>
        <v>0</v>
      </c>
      <c r="W98" s="505">
        <f>IF([5]Model!V215&lt;0,[5]Model!V215,0)</f>
        <v>0</v>
      </c>
      <c r="X98" s="505"/>
      <c r="Y98" s="505"/>
      <c r="Z98" s="505"/>
      <c r="AA98" s="505"/>
      <c r="AB98" s="505"/>
      <c r="AC98" s="505"/>
      <c r="AD98" s="505"/>
      <c r="AE98" s="505"/>
      <c r="AF98" s="505"/>
      <c r="AG98" s="505"/>
      <c r="AH98" s="505"/>
      <c r="AI98" s="505"/>
      <c r="AJ98" s="505"/>
      <c r="AK98" s="505"/>
      <c r="AL98" s="505"/>
      <c r="AM98" s="505"/>
      <c r="AN98" s="505"/>
      <c r="AO98" s="505"/>
      <c r="AP98" s="505"/>
      <c r="AQ98" s="505"/>
      <c r="AR98" s="505"/>
      <c r="AS98" s="505"/>
      <c r="AT98" s="505"/>
      <c r="AU98" s="505"/>
      <c r="AV98" s="505"/>
      <c r="AW98" s="505"/>
      <c r="AX98" s="505"/>
      <c r="AY98" s="505"/>
      <c r="AZ98" s="505"/>
      <c r="BA98" s="505"/>
      <c r="BB98" s="505"/>
      <c r="BC98" s="505"/>
      <c r="BD98" s="505"/>
      <c r="BE98" s="505"/>
      <c r="BF98" s="505"/>
      <c r="BG98" s="505"/>
      <c r="BH98" s="505"/>
      <c r="BI98" s="505"/>
      <c r="BJ98" s="505"/>
      <c r="BK98" s="505"/>
      <c r="BL98" s="505"/>
      <c r="BM98" s="505"/>
      <c r="BN98" s="505"/>
      <c r="BO98" s="505"/>
      <c r="BP98" s="505"/>
      <c r="BQ98" s="505"/>
      <c r="BR98" s="505"/>
      <c r="BS98" s="505"/>
      <c r="BT98" s="505"/>
      <c r="BU98" s="505"/>
      <c r="BV98" s="505"/>
      <c r="BW98" s="505"/>
      <c r="BX98" s="505"/>
    </row>
    <row r="99" outlineLevel="2" spans="2:76">
      <c r="B99" t="s">
        <v>254</v>
      </c>
      <c r="C99" t="s">
        <v>255</v>
      </c>
      <c r="D99" t="str">
        <f t="shared" si="14"/>
        <v>CNY</v>
      </c>
      <c r="F99" s="505">
        <f>IF([5]Model!E215&lt;0,0,[5]Model!E215)</f>
        <v>0</v>
      </c>
      <c r="G99" s="505">
        <f>IF([5]Model!F215&lt;0,0,[5]Model!F215)</f>
        <v>0</v>
      </c>
      <c r="H99" s="505">
        <f>IF([5]Model!G215&lt;0,0,[5]Model!G215)</f>
        <v>0</v>
      </c>
      <c r="I99" s="505">
        <f>IF([5]Model!H215&lt;0,0,[5]Model!H215)</f>
        <v>0</v>
      </c>
      <c r="J99" s="505">
        <f>IF([5]Model!I215&lt;0,0,[5]Model!I215)</f>
        <v>0</v>
      </c>
      <c r="K99" s="505">
        <f>IF([5]Model!J215&lt;0,0,[5]Model!J215)</f>
        <v>0</v>
      </c>
      <c r="L99" s="505">
        <f>IF([5]Model!K215&lt;0,0,[5]Model!K215)</f>
        <v>0</v>
      </c>
      <c r="M99" s="505">
        <f>IF([5]Model!L215&lt;0,0,[5]Model!L215)</f>
        <v>0</v>
      </c>
      <c r="N99" s="505">
        <f>IF([5]Model!M215&lt;0,0,[5]Model!M215)</f>
        <v>0</v>
      </c>
      <c r="O99" s="505">
        <f>IF([5]Model!N215&lt;0,0,[5]Model!N215)</f>
        <v>0</v>
      </c>
      <c r="P99" s="505">
        <f>IF([5]Model!O215&lt;0,0,[5]Model!O215)</f>
        <v>0</v>
      </c>
      <c r="Q99" s="505">
        <f>IF([5]Model!P215&lt;0,0,[5]Model!P215)</f>
        <v>0</v>
      </c>
      <c r="R99" s="505">
        <f>IF([5]Model!Q215&lt;0,0,[5]Model!Q215)</f>
        <v>0</v>
      </c>
      <c r="S99" s="505">
        <f>IF([5]Model!R215&lt;0,0,[5]Model!R215)</f>
        <v>0</v>
      </c>
      <c r="T99" s="505">
        <f>IF([5]Model!S215&lt;0,0,[5]Model!S215)</f>
        <v>0</v>
      </c>
      <c r="U99" s="505">
        <f>IF([5]Model!T215&lt;0,0,[5]Model!T215)</f>
        <v>0</v>
      </c>
      <c r="V99" s="505">
        <f>IF([5]Model!U215&lt;0,0,[5]Model!U215)</f>
        <v>0</v>
      </c>
      <c r="W99" s="505">
        <f>IF([5]Model!V215&lt;0,0,[5]Model!V215)</f>
        <v>0</v>
      </c>
      <c r="X99" s="505"/>
      <c r="Y99" s="505"/>
      <c r="Z99" s="505"/>
      <c r="AA99" s="505"/>
      <c r="AB99" s="505"/>
      <c r="AC99" s="505"/>
      <c r="AD99" s="505"/>
      <c r="AE99" s="505"/>
      <c r="AF99" s="505"/>
      <c r="AG99" s="505"/>
      <c r="AH99" s="505"/>
      <c r="AI99" s="505"/>
      <c r="AJ99" s="505"/>
      <c r="AK99" s="505"/>
      <c r="AL99" s="505"/>
      <c r="AM99" s="505"/>
      <c r="AN99" s="505"/>
      <c r="AO99" s="505"/>
      <c r="AP99" s="505"/>
      <c r="AQ99" s="505"/>
      <c r="AR99" s="505"/>
      <c r="AS99" s="505"/>
      <c r="AT99" s="505"/>
      <c r="AU99" s="505"/>
      <c r="AV99" s="505"/>
      <c r="AW99" s="505"/>
      <c r="AX99" s="505"/>
      <c r="AY99" s="505"/>
      <c r="AZ99" s="505"/>
      <c r="BA99" s="505"/>
      <c r="BB99" s="505"/>
      <c r="BC99" s="505"/>
      <c r="BD99" s="505"/>
      <c r="BE99" s="505"/>
      <c r="BF99" s="505"/>
      <c r="BG99" s="505"/>
      <c r="BH99" s="505"/>
      <c r="BI99" s="505"/>
      <c r="BJ99" s="505"/>
      <c r="BK99" s="505"/>
      <c r="BL99" s="505"/>
      <c r="BM99" s="505"/>
      <c r="BN99" s="505"/>
      <c r="BO99" s="505"/>
      <c r="BP99" s="505"/>
      <c r="BQ99" s="505"/>
      <c r="BR99" s="505"/>
      <c r="BS99" s="505"/>
      <c r="BT99" s="505"/>
      <c r="BU99" s="505"/>
      <c r="BV99" s="505"/>
      <c r="BW99" s="505"/>
      <c r="BX99" s="505"/>
    </row>
    <row r="100" outlineLevel="2" spans="2:76">
      <c r="B100" t="s">
        <v>256</v>
      </c>
      <c r="C100" t="s">
        <v>257</v>
      </c>
      <c r="D100" t="str">
        <f t="shared" si="14"/>
        <v>CNY</v>
      </c>
      <c r="F100" s="505">
        <f>[5]Model!E216+[5]Model!E217</f>
        <v>-1.65947725</v>
      </c>
      <c r="G100" s="505">
        <f>[5]Model!F216+[5]Model!F217</f>
        <v>3.00157954</v>
      </c>
      <c r="H100" s="505">
        <f>[5]Model!G216+[5]Model!G217</f>
        <v>-3</v>
      </c>
      <c r="I100" s="505">
        <f>[5]Model!H216+[5]Model!H217</f>
        <v>1.00367521</v>
      </c>
      <c r="J100" s="505">
        <f>[5]Model!I216+[5]Model!I217</f>
        <v>0</v>
      </c>
      <c r="K100" s="505">
        <f>[5]Model!J216+[5]Model!J217</f>
        <v>-191.19359943</v>
      </c>
      <c r="L100" s="505">
        <f>[5]Model!K216+[5]Model!K217</f>
        <v>126.69743971</v>
      </c>
      <c r="M100" s="505">
        <f>[5]Model!L216+[5]Model!L217</f>
        <v>-84.13547807</v>
      </c>
      <c r="N100" s="505">
        <f>[5]Model!M216+[5]Model!M217</f>
        <v>53.75806425</v>
      </c>
      <c r="O100" s="505">
        <f>[5]Model!N216+[5]Model!N217</f>
        <v>34.3369589</v>
      </c>
      <c r="P100" s="505">
        <f>[5]Model!O216+[5]Model!O217</f>
        <v>13.57281506</v>
      </c>
      <c r="Q100" s="505">
        <f>[5]Model!P216+[5]Model!P217</f>
        <v>-150.28016335</v>
      </c>
      <c r="R100" s="505">
        <f>[5]Model!Q216+[5]Model!Q217</f>
        <v>168.51975142</v>
      </c>
      <c r="S100" s="505">
        <f>[5]Model!R216+[5]Model!R217</f>
        <v>7.05600000000009</v>
      </c>
      <c r="T100" s="505">
        <f>[5]Model!S216+[5]Model!S217</f>
        <v>633.628805741</v>
      </c>
      <c r="U100" s="505">
        <f>[5]Model!T216+[5]Model!T217</f>
        <v>0</v>
      </c>
      <c r="V100" s="505">
        <f>[5]Model!U216+[5]Model!U217</f>
        <v>0</v>
      </c>
      <c r="W100" s="505">
        <f>[5]Model!V216+[5]Model!V217</f>
        <v>0</v>
      </c>
      <c r="X100" s="505"/>
      <c r="Y100" s="505"/>
      <c r="Z100" s="505"/>
      <c r="AA100" s="505"/>
      <c r="AB100" s="505"/>
      <c r="AC100" s="505"/>
      <c r="AD100" s="505"/>
      <c r="AE100" s="505"/>
      <c r="AF100" s="505"/>
      <c r="AG100" s="505"/>
      <c r="AH100" s="505"/>
      <c r="AI100" s="505"/>
      <c r="AJ100" s="505"/>
      <c r="AK100" s="505"/>
      <c r="AL100" s="505"/>
      <c r="AM100" s="505"/>
      <c r="AN100" s="505"/>
      <c r="AO100" s="505"/>
      <c r="AP100" s="505"/>
      <c r="AQ100" s="505"/>
      <c r="AR100" s="505"/>
      <c r="AS100" s="505"/>
      <c r="AT100" s="505"/>
      <c r="AU100" s="505"/>
      <c r="AV100" s="505"/>
      <c r="AW100" s="505"/>
      <c r="AX100" s="505"/>
      <c r="AY100" s="505"/>
      <c r="AZ100" s="505"/>
      <c r="BA100" s="505"/>
      <c r="BB100" s="505"/>
      <c r="BC100" s="505"/>
      <c r="BD100" s="505"/>
      <c r="BE100" s="505"/>
      <c r="BF100" s="505"/>
      <c r="BG100" s="505"/>
      <c r="BH100" s="505"/>
      <c r="BI100" s="505"/>
      <c r="BJ100" s="505"/>
      <c r="BK100" s="505"/>
      <c r="BL100" s="505"/>
      <c r="BM100" s="505"/>
      <c r="BN100" s="505"/>
      <c r="BO100" s="505"/>
      <c r="BP100" s="505"/>
      <c r="BQ100" s="505"/>
      <c r="BR100" s="505"/>
      <c r="BS100" s="505"/>
      <c r="BT100" s="505"/>
      <c r="BU100" s="505"/>
      <c r="BV100" s="505"/>
      <c r="BW100" s="505"/>
      <c r="BX100" s="505"/>
    </row>
    <row r="101" outlineLevel="2" spans="2:76">
      <c r="B101" t="s">
        <v>258</v>
      </c>
      <c r="C101" t="s">
        <v>259</v>
      </c>
      <c r="D101" t="str">
        <f t="shared" si="14"/>
        <v>CNY</v>
      </c>
      <c r="F101" s="505">
        <f>[5]Model!E218</f>
        <v>-6.69306443</v>
      </c>
      <c r="G101" s="505">
        <f>[5]Model!F218</f>
        <v>-36.01701872</v>
      </c>
      <c r="H101" s="505">
        <f>[5]Model!G218</f>
        <v>-77.19091972</v>
      </c>
      <c r="I101" s="505">
        <f>[5]Model!H218</f>
        <v>-27.24556931</v>
      </c>
      <c r="J101" s="505">
        <f>[5]Model!I218</f>
        <v>-37.63873224</v>
      </c>
      <c r="K101" s="505">
        <f>[5]Model!J218</f>
        <v>-321.97031244</v>
      </c>
      <c r="L101" s="505">
        <f>[5]Model!K218</f>
        <v>-9.03789311</v>
      </c>
      <c r="M101" s="505">
        <f>[5]Model!L218</f>
        <v>-152.91437844</v>
      </c>
      <c r="N101" s="505">
        <f>[5]Model!M218</f>
        <v>-45.37680397</v>
      </c>
      <c r="O101" s="505">
        <f>[5]Model!N218</f>
        <v>-256.30320496</v>
      </c>
      <c r="P101" s="505">
        <f>[5]Model!O218</f>
        <v>-259.92392367</v>
      </c>
      <c r="Q101" s="505">
        <f>[5]Model!P218</f>
        <v>-639.66265555</v>
      </c>
      <c r="R101" s="505">
        <f>[5]Model!Q218</f>
        <v>-449.59029334</v>
      </c>
      <c r="S101" s="505">
        <f>[5]Model!R218</f>
        <v>-1497.01413807</v>
      </c>
      <c r="T101" s="505">
        <f>[5]Model!S218</f>
        <v>-1359.42750676</v>
      </c>
      <c r="U101" s="505">
        <f>[5]Model!T218</f>
        <v>-2292.01475937615</v>
      </c>
      <c r="V101" s="505">
        <f>[5]Model!U218</f>
        <v>-2177.41402140734</v>
      </c>
      <c r="W101" s="505">
        <f>[5]Model!V218</f>
        <v>-2068.54332033697</v>
      </c>
      <c r="X101" s="505"/>
      <c r="Y101" s="505"/>
      <c r="Z101" s="505"/>
      <c r="AA101" s="505"/>
      <c r="AB101" s="505"/>
      <c r="AC101" s="505"/>
      <c r="AD101" s="505"/>
      <c r="AE101" s="505"/>
      <c r="AF101" s="505"/>
      <c r="AG101" s="505"/>
      <c r="AH101" s="505"/>
      <c r="AI101" s="505"/>
      <c r="AJ101" s="505"/>
      <c r="AK101" s="505"/>
      <c r="AL101" s="505"/>
      <c r="AM101" s="505"/>
      <c r="AN101" s="505"/>
      <c r="AO101" s="505"/>
      <c r="AP101" s="505"/>
      <c r="AQ101" s="505"/>
      <c r="AR101" s="505"/>
      <c r="AS101" s="505"/>
      <c r="AT101" s="505"/>
      <c r="AU101" s="505"/>
      <c r="AV101" s="505"/>
      <c r="AW101" s="505"/>
      <c r="AX101" s="505"/>
      <c r="AY101" s="505"/>
      <c r="AZ101" s="505"/>
      <c r="BA101" s="505"/>
      <c r="BB101" s="505"/>
      <c r="BC101" s="505"/>
      <c r="BD101" s="505"/>
      <c r="BE101" s="505"/>
      <c r="BF101" s="505"/>
      <c r="BG101" s="505"/>
      <c r="BH101" s="505"/>
      <c r="BI101" s="505"/>
      <c r="BJ101" s="505"/>
      <c r="BK101" s="505"/>
      <c r="BL101" s="505"/>
      <c r="BM101" s="505"/>
      <c r="BN101" s="505"/>
      <c r="BO101" s="505"/>
      <c r="BP101" s="505"/>
      <c r="BQ101" s="505"/>
      <c r="BR101" s="505"/>
      <c r="BS101" s="505"/>
      <c r="BT101" s="505"/>
      <c r="BU101" s="505"/>
      <c r="BV101" s="505"/>
      <c r="BW101" s="505"/>
      <c r="BX101" s="505"/>
    </row>
    <row r="102" outlineLevel="2" spans="2:76">
      <c r="B102" t="s">
        <v>260</v>
      </c>
      <c r="C102" t="s">
        <v>261</v>
      </c>
      <c r="D102" t="str">
        <f t="shared" si="14"/>
        <v>CNY</v>
      </c>
      <c r="F102" s="505">
        <f>[5]Model!E220</f>
        <v>0</v>
      </c>
      <c r="G102" s="505">
        <f>[5]Model!F220</f>
        <v>0</v>
      </c>
      <c r="H102" s="505">
        <f>[5]Model!G220</f>
        <v>0</v>
      </c>
      <c r="I102" s="505">
        <f>[5]Model!H220</f>
        <v>0</v>
      </c>
      <c r="J102" s="505">
        <f>[5]Model!I220</f>
        <v>0</v>
      </c>
      <c r="K102" s="505">
        <f>[5]Model!J220</f>
        <v>0</v>
      </c>
      <c r="L102" s="505">
        <f>[5]Model!K220</f>
        <v>-27.47131305</v>
      </c>
      <c r="M102" s="505">
        <f>[5]Model!L220</f>
        <v>-28.78124085</v>
      </c>
      <c r="N102" s="505">
        <f>[5]Model!M220</f>
        <v>-28.5927</v>
      </c>
      <c r="O102" s="505">
        <f>[5]Model!N220</f>
        <v>-42.8539046</v>
      </c>
      <c r="P102" s="505">
        <f>[5]Model!O220</f>
        <v>-98.89333993</v>
      </c>
      <c r="Q102" s="505">
        <f>[5]Model!P220</f>
        <v>-57.17949382</v>
      </c>
      <c r="R102" s="505">
        <f>[5]Model!Q220</f>
        <v>-63.89233439</v>
      </c>
      <c r="S102" s="505">
        <f>[5]Model!R220</f>
        <v>-109.86503106</v>
      </c>
      <c r="T102" s="505">
        <f>[5]Model!S220</f>
        <v>-953.192273017</v>
      </c>
      <c r="U102" s="505">
        <f>[5]Model!T220</f>
        <v>-2068.28226425452</v>
      </c>
      <c r="V102" s="505">
        <f>[5]Model!U220</f>
        <v>-3007.96186649683</v>
      </c>
      <c r="W102" s="505">
        <f>[5]Model!V220</f>
        <v>-3457.5553661925</v>
      </c>
      <c r="X102" s="505"/>
      <c r="Y102" s="505"/>
      <c r="Z102" s="505"/>
      <c r="AA102" s="505"/>
      <c r="AB102" s="505"/>
      <c r="AC102" s="505"/>
      <c r="AD102" s="505"/>
      <c r="AE102" s="505"/>
      <c r="AF102" s="505"/>
      <c r="AG102" s="505"/>
      <c r="AH102" s="505"/>
      <c r="AI102" s="505"/>
      <c r="AJ102" s="505"/>
      <c r="AK102" s="505"/>
      <c r="AL102" s="505"/>
      <c r="AM102" s="505"/>
      <c r="AN102" s="505"/>
      <c r="AO102" s="505"/>
      <c r="AP102" s="505"/>
      <c r="AQ102" s="505"/>
      <c r="AR102" s="505"/>
      <c r="AS102" s="505"/>
      <c r="AT102" s="505"/>
      <c r="AU102" s="505"/>
      <c r="AV102" s="505"/>
      <c r="AW102" s="505"/>
      <c r="AX102" s="505"/>
      <c r="AY102" s="505"/>
      <c r="AZ102" s="505"/>
      <c r="BA102" s="505"/>
      <c r="BB102" s="505"/>
      <c r="BC102" s="505"/>
      <c r="BD102" s="505"/>
      <c r="BE102" s="505"/>
      <c r="BF102" s="505"/>
      <c r="BG102" s="505"/>
      <c r="BH102" s="505"/>
      <c r="BI102" s="505"/>
      <c r="BJ102" s="505"/>
      <c r="BK102" s="505"/>
      <c r="BL102" s="505"/>
      <c r="BM102" s="505"/>
      <c r="BN102" s="505"/>
      <c r="BO102" s="505"/>
      <c r="BP102" s="505"/>
      <c r="BQ102" s="505"/>
      <c r="BR102" s="505"/>
      <c r="BS102" s="505"/>
      <c r="BT102" s="505"/>
      <c r="BU102" s="505"/>
      <c r="BV102" s="505"/>
      <c r="BW102" s="505"/>
      <c r="BX102" s="505"/>
    </row>
    <row r="103" outlineLevel="2" spans="2:76">
      <c r="B103" t="s">
        <v>262</v>
      </c>
      <c r="C103" t="s">
        <v>263</v>
      </c>
      <c r="D103" t="str">
        <f t="shared" si="14"/>
        <v>CNY</v>
      </c>
      <c r="F103" s="505">
        <f>[5]Model!E221+[5]Model!E223+[5]Model!E224</f>
        <v>55.5882</v>
      </c>
      <c r="G103" s="505">
        <f>[5]Model!F221+[5]Model!F223+[5]Model!F224</f>
        <v>2.6118</v>
      </c>
      <c r="H103" s="505">
        <f>[5]Model!G221+[5]Model!G223+[5]Model!G224</f>
        <v>0</v>
      </c>
      <c r="I103" s="505">
        <f>[5]Model!H221+[5]Model!H223+[5]Model!H224</f>
        <v>0</v>
      </c>
      <c r="J103" s="505">
        <f>[5]Model!I221+[5]Model!I223+[5]Model!I224</f>
        <v>0</v>
      </c>
      <c r="K103" s="505">
        <f>[5]Model!J221+[5]Model!J223+[5]Model!J224</f>
        <v>19.4</v>
      </c>
      <c r="L103" s="505">
        <f>[5]Model!K221+[5]Model!K223+[5]Model!K224</f>
        <v>160.1425</v>
      </c>
      <c r="M103" s="505">
        <f>[5]Model!L221+[5]Model!L223+[5]Model!L224</f>
        <v>0.620000000000005</v>
      </c>
      <c r="N103" s="505">
        <f>[5]Model!M221+[5]Model!M223+[5]Model!M224</f>
        <v>-1.90335000000002</v>
      </c>
      <c r="O103" s="505">
        <f>[5]Model!N221+[5]Model!N223+[5]Model!N224</f>
        <v>125.745316</v>
      </c>
      <c r="P103" s="505">
        <f>[5]Model!O221+[5]Model!O223+[5]Model!O224</f>
        <v>144.881753</v>
      </c>
      <c r="Q103" s="505">
        <f>[5]Model!P221+[5]Model!P223+[5]Model!P224</f>
        <v>0</v>
      </c>
      <c r="R103" s="505">
        <f>[5]Model!Q221+[5]Model!Q223+[5]Model!Q224</f>
        <v>202.832807</v>
      </c>
      <c r="S103" s="505">
        <f>[5]Model!R221+[5]Model!R223+[5]Model!R224</f>
        <v>-1.11237400000005</v>
      </c>
      <c r="T103" s="505">
        <f>[5]Model!S221+[5]Model!S223+[5]Model!S224</f>
        <v>285.20266</v>
      </c>
      <c r="U103" s="505">
        <f>[5]Model!T221+[5]Model!T223+[5]Model!T224</f>
        <v>0</v>
      </c>
      <c r="V103" s="505">
        <f>[5]Model!U221+[5]Model!U223+[5]Model!U224</f>
        <v>0</v>
      </c>
      <c r="W103" s="505">
        <f>[5]Model!V221+[5]Model!V223+[5]Model!V224</f>
        <v>0</v>
      </c>
      <c r="X103" s="505"/>
      <c r="Y103" s="505"/>
      <c r="Z103" s="505"/>
      <c r="AA103" s="505"/>
      <c r="AB103" s="505"/>
      <c r="AC103" s="505"/>
      <c r="AD103" s="505"/>
      <c r="AE103" s="505"/>
      <c r="AF103" s="505"/>
      <c r="AG103" s="505"/>
      <c r="AH103" s="505"/>
      <c r="AI103" s="505"/>
      <c r="AJ103" s="505"/>
      <c r="AK103" s="505"/>
      <c r="AL103" s="505"/>
      <c r="AM103" s="505"/>
      <c r="AN103" s="505"/>
      <c r="AO103" s="505"/>
      <c r="AP103" s="505"/>
      <c r="AQ103" s="505"/>
      <c r="AR103" s="505"/>
      <c r="AS103" s="505"/>
      <c r="AT103" s="505"/>
      <c r="AU103" s="505"/>
      <c r="AV103" s="505"/>
      <c r="AW103" s="505"/>
      <c r="AX103" s="505"/>
      <c r="AY103" s="505"/>
      <c r="AZ103" s="505"/>
      <c r="BA103" s="505"/>
      <c r="BB103" s="505"/>
      <c r="BC103" s="505"/>
      <c r="BD103" s="505"/>
      <c r="BE103" s="505"/>
      <c r="BF103" s="505"/>
      <c r="BG103" s="505"/>
      <c r="BH103" s="505"/>
      <c r="BI103" s="505"/>
      <c r="BJ103" s="505"/>
      <c r="BK103" s="505"/>
      <c r="BL103" s="505"/>
      <c r="BM103" s="505"/>
      <c r="BN103" s="505"/>
      <c r="BO103" s="505"/>
      <c r="BP103" s="505"/>
      <c r="BQ103" s="505"/>
      <c r="BR103" s="505"/>
      <c r="BS103" s="505"/>
      <c r="BT103" s="505"/>
      <c r="BU103" s="505"/>
      <c r="BV103" s="505"/>
      <c r="BW103" s="505"/>
      <c r="BX103" s="505"/>
    </row>
    <row r="104" outlineLevel="2" spans="2:76">
      <c r="B104" t="s">
        <v>264</v>
      </c>
      <c r="C104" t="s">
        <v>265</v>
      </c>
      <c r="D104" t="str">
        <f t="shared" si="14"/>
        <v>CNY</v>
      </c>
      <c r="F104" s="505">
        <f>[5]Model!E222</f>
        <v>17</v>
      </c>
      <c r="G104" s="505">
        <f>[5]Model!F222</f>
        <v>-17</v>
      </c>
      <c r="H104" s="505">
        <f>[5]Model!G222</f>
        <v>10</v>
      </c>
      <c r="I104" s="505">
        <f>[5]Model!H222</f>
        <v>-5</v>
      </c>
      <c r="J104" s="505">
        <f>[5]Model!I222</f>
        <v>-5</v>
      </c>
      <c r="K104" s="505">
        <f>[5]Model!J222</f>
        <v>0</v>
      </c>
      <c r="L104" s="505">
        <f>[5]Model!K222</f>
        <v>21.23851268</v>
      </c>
      <c r="M104" s="505">
        <f>[5]Model!L222</f>
        <v>-21.23851268</v>
      </c>
      <c r="N104" s="505">
        <f>[5]Model!M222</f>
        <v>0</v>
      </c>
      <c r="O104" s="505">
        <f>[5]Model!N222</f>
        <v>71.56789944</v>
      </c>
      <c r="P104" s="505">
        <f>[5]Model!O222</f>
        <v>-71.56789944</v>
      </c>
      <c r="Q104" s="505">
        <f>[5]Model!P222</f>
        <v>3.14850772</v>
      </c>
      <c r="R104" s="505">
        <f>[5]Model!Q222</f>
        <v>0.62875641</v>
      </c>
      <c r="S104" s="505">
        <f>[5]Model!R222</f>
        <v>-0.0940575699999999</v>
      </c>
      <c r="T104" s="505">
        <f>[5]Model!S222</f>
        <v>-0.0607819899999997</v>
      </c>
      <c r="U104" s="505">
        <f>[5]Model!T222</f>
        <v>0</v>
      </c>
      <c r="V104" s="505">
        <f>[5]Model!U222</f>
        <v>0</v>
      </c>
      <c r="W104" s="505">
        <f>[5]Model!V222</f>
        <v>0</v>
      </c>
      <c r="X104" s="505"/>
      <c r="Y104" s="505"/>
      <c r="Z104" s="505"/>
      <c r="AA104" s="505"/>
      <c r="AB104" s="505"/>
      <c r="AC104" s="505"/>
      <c r="AD104" s="505"/>
      <c r="AE104" s="505"/>
      <c r="AF104" s="505"/>
      <c r="AG104" s="505"/>
      <c r="AH104" s="505"/>
      <c r="AI104" s="505"/>
      <c r="AJ104" s="505"/>
      <c r="AK104" s="505"/>
      <c r="AL104" s="505"/>
      <c r="AM104" s="505"/>
      <c r="AN104" s="505"/>
      <c r="AO104" s="505"/>
      <c r="AP104" s="505"/>
      <c r="AQ104" s="505"/>
      <c r="AR104" s="505"/>
      <c r="AS104" s="505"/>
      <c r="AT104" s="505"/>
      <c r="AU104" s="505"/>
      <c r="AV104" s="505"/>
      <c r="AW104" s="505"/>
      <c r="AX104" s="505"/>
      <c r="AY104" s="505"/>
      <c r="AZ104" s="505"/>
      <c r="BA104" s="505"/>
      <c r="BB104" s="505"/>
      <c r="BC104" s="505"/>
      <c r="BD104" s="505"/>
      <c r="BE104" s="505"/>
      <c r="BF104" s="505"/>
      <c r="BG104" s="505"/>
      <c r="BH104" s="505"/>
      <c r="BI104" s="505"/>
      <c r="BJ104" s="505"/>
      <c r="BK104" s="505"/>
      <c r="BL104" s="505"/>
      <c r="BM104" s="505"/>
      <c r="BN104" s="505"/>
      <c r="BO104" s="505"/>
      <c r="BP104" s="505"/>
      <c r="BQ104" s="505"/>
      <c r="BR104" s="505"/>
      <c r="BS104" s="505"/>
      <c r="BT104" s="505"/>
      <c r="BU104" s="505"/>
      <c r="BV104" s="505"/>
      <c r="BW104" s="505"/>
      <c r="BX104" s="505"/>
    </row>
    <row r="105" outlineLevel="2" spans="2:76">
      <c r="B105" t="s">
        <v>266</v>
      </c>
      <c r="C105" t="s">
        <v>267</v>
      </c>
      <c r="D105" t="str">
        <f t="shared" si="14"/>
        <v>CNY</v>
      </c>
      <c r="F105" s="505"/>
      <c r="G105" s="505"/>
      <c r="H105" s="505"/>
      <c r="I105" s="505"/>
      <c r="J105" s="505"/>
      <c r="K105" s="505"/>
      <c r="L105" s="505"/>
      <c r="M105" s="505"/>
      <c r="N105" s="505"/>
      <c r="O105" s="505"/>
      <c r="P105" s="505"/>
      <c r="Q105" s="505"/>
      <c r="R105" s="505"/>
      <c r="S105" s="505"/>
      <c r="T105" s="505"/>
      <c r="U105" s="505"/>
      <c r="V105" s="505"/>
      <c r="W105" s="505"/>
      <c r="X105" s="505"/>
      <c r="Y105" s="505"/>
      <c r="Z105" s="505"/>
      <c r="AA105" s="505"/>
      <c r="AB105" s="505"/>
      <c r="AC105" s="505"/>
      <c r="AD105" s="505"/>
      <c r="AE105" s="505"/>
      <c r="AF105" s="505"/>
      <c r="AG105" s="505"/>
      <c r="AH105" s="505"/>
      <c r="AI105" s="505"/>
      <c r="AJ105" s="505"/>
      <c r="AK105" s="505"/>
      <c r="AL105" s="505"/>
      <c r="AM105" s="505"/>
      <c r="AN105" s="505"/>
      <c r="AO105" s="505"/>
      <c r="AP105" s="505"/>
      <c r="AQ105" s="505"/>
      <c r="AR105" s="505"/>
      <c r="AS105" s="505"/>
      <c r="AT105" s="505"/>
      <c r="AU105" s="505"/>
      <c r="AV105" s="505"/>
      <c r="AW105" s="505"/>
      <c r="AX105" s="505"/>
      <c r="AY105" s="505"/>
      <c r="AZ105" s="505"/>
      <c r="BA105" s="505"/>
      <c r="BB105" s="505"/>
      <c r="BC105" s="505"/>
      <c r="BD105" s="505"/>
      <c r="BE105" s="505"/>
      <c r="BF105" s="505"/>
      <c r="BG105" s="505"/>
      <c r="BH105" s="505"/>
      <c r="BI105" s="505"/>
      <c r="BJ105" s="505"/>
      <c r="BK105" s="505"/>
      <c r="BL105" s="505"/>
      <c r="BM105" s="505"/>
      <c r="BN105" s="505"/>
      <c r="BO105" s="505"/>
      <c r="BP105" s="505"/>
      <c r="BQ105" s="505"/>
      <c r="BR105" s="505"/>
      <c r="BS105" s="505"/>
      <c r="BT105" s="505"/>
      <c r="BU105" s="505"/>
      <c r="BV105" s="505"/>
      <c r="BW105" s="505"/>
      <c r="BX105" s="505"/>
    </row>
    <row r="106" outlineLevel="2" spans="2:76">
      <c r="B106" t="s">
        <v>268</v>
      </c>
      <c r="C106" t="s">
        <v>269</v>
      </c>
      <c r="D106" t="str">
        <f t="shared" si="14"/>
        <v>CNY</v>
      </c>
      <c r="F106" s="505">
        <f>[5]Model!E225+[5]Model!E228+[5]Model!E229</f>
        <v>-5.32047754</v>
      </c>
      <c r="G106" s="505">
        <f>[5]Model!F225+[5]Model!F228+[5]Model!F229</f>
        <v>-3.83009660000003</v>
      </c>
      <c r="H106" s="505">
        <f>[5]Model!G225+[5]Model!G228+[5]Model!G229</f>
        <v>4.43341611</v>
      </c>
      <c r="I106" s="505">
        <f>[5]Model!H225+[5]Model!H228+[5]Model!H229</f>
        <v>2.40346393</v>
      </c>
      <c r="J106" s="505">
        <f>[5]Model!I225+[5]Model!I228+[5]Model!I229</f>
        <v>-0.612897829999986</v>
      </c>
      <c r="K106" s="505">
        <f>[5]Model!J225+[5]Model!J228+[5]Model!J229</f>
        <v>352.54419931</v>
      </c>
      <c r="L106" s="505">
        <f>[5]Model!K225+[5]Model!K228+[5]Model!K229</f>
        <v>-99.47614709</v>
      </c>
      <c r="M106" s="505">
        <f>[5]Model!L225+[5]Model!L228+[5]Model!L229</f>
        <v>10.62077268</v>
      </c>
      <c r="N106" s="505">
        <f>[5]Model!M225+[5]Model!M228+[5]Model!M229</f>
        <v>-17.1997241</v>
      </c>
      <c r="O106" s="505">
        <f>[5]Model!N225+[5]Model!N228+[5]Model!N229</f>
        <v>1625.40709228</v>
      </c>
      <c r="P106" s="505">
        <f>[5]Model!O225+[5]Model!O228+[5]Model!O229</f>
        <v>-284.65022027</v>
      </c>
      <c r="Q106" s="505">
        <f>[5]Model!P225+[5]Model!P228+[5]Model!P229</f>
        <v>67.5317808699997</v>
      </c>
      <c r="R106" s="505">
        <f>[5]Model!Q225+[5]Model!Q228+[5]Model!Q229</f>
        <v>-205.60909906</v>
      </c>
      <c r="S106" s="505">
        <f>[5]Model!R225+[5]Model!R228+[5]Model!R229</f>
        <v>52.1013822099996</v>
      </c>
      <c r="T106" s="505">
        <f>[5]Model!S225+[5]Model!S228+[5]Model!S229</f>
        <v>881.588085067</v>
      </c>
      <c r="U106" s="505">
        <f>[5]Model!T225+[5]Model!T228+[5]Model!T229</f>
        <v>0</v>
      </c>
      <c r="V106" s="505">
        <f>[5]Model!U225+[5]Model!U228+[5]Model!U229</f>
        <v>0</v>
      </c>
      <c r="W106" s="505">
        <f>[5]Model!V225+[5]Model!V228+[5]Model!V229</f>
        <v>0</v>
      </c>
      <c r="X106" s="505"/>
      <c r="Y106" s="505"/>
      <c r="Z106" s="505"/>
      <c r="AA106" s="505"/>
      <c r="AB106" s="505"/>
      <c r="AC106" s="505"/>
      <c r="AD106" s="505"/>
      <c r="AE106" s="505"/>
      <c r="AF106" s="505"/>
      <c r="AG106" s="505"/>
      <c r="AH106" s="505"/>
      <c r="AI106" s="505"/>
      <c r="AJ106" s="505"/>
      <c r="AK106" s="505"/>
      <c r="AL106" s="505"/>
      <c r="AM106" s="505"/>
      <c r="AN106" s="505"/>
      <c r="AO106" s="505"/>
      <c r="AP106" s="505"/>
      <c r="AQ106" s="505"/>
      <c r="AR106" s="505"/>
      <c r="AS106" s="505"/>
      <c r="AT106" s="505"/>
      <c r="AU106" s="505"/>
      <c r="AV106" s="505"/>
      <c r="AW106" s="505"/>
      <c r="AX106" s="505"/>
      <c r="AY106" s="505"/>
      <c r="AZ106" s="505"/>
      <c r="BA106" s="505"/>
      <c r="BB106" s="505"/>
      <c r="BC106" s="505"/>
      <c r="BD106" s="505"/>
      <c r="BE106" s="505"/>
      <c r="BF106" s="505"/>
      <c r="BG106" s="505"/>
      <c r="BH106" s="505"/>
      <c r="BI106" s="505"/>
      <c r="BJ106" s="505"/>
      <c r="BK106" s="505"/>
      <c r="BL106" s="505"/>
      <c r="BM106" s="505"/>
      <c r="BN106" s="505"/>
      <c r="BO106" s="505"/>
      <c r="BP106" s="505"/>
      <c r="BQ106" s="505"/>
      <c r="BR106" s="505"/>
      <c r="BS106" s="505"/>
      <c r="BT106" s="505"/>
      <c r="BU106" s="505"/>
      <c r="BV106" s="505"/>
      <c r="BW106" s="505"/>
      <c r="BX106" s="505"/>
    </row>
    <row r="107" outlineLevel="2" spans="2:76">
      <c r="B107" t="s">
        <v>270</v>
      </c>
      <c r="C107" t="s">
        <v>271</v>
      </c>
      <c r="D107" t="str">
        <f t="shared" si="14"/>
        <v>CNY</v>
      </c>
      <c r="F107" s="505">
        <f>[5]Model!E226+[5]Model!E228+[5]Model!E229</f>
        <v>67.26772246</v>
      </c>
      <c r="G107" s="505">
        <f>[5]Model!F226+[5]Model!F228+[5]Model!F229</f>
        <v>-18.2182966</v>
      </c>
      <c r="H107" s="505">
        <f>[5]Model!G226+[5]Model!G228+[5]Model!G229</f>
        <v>14.43341611</v>
      </c>
      <c r="I107" s="505">
        <f>[5]Model!H226+[5]Model!H228+[5]Model!H229</f>
        <v>-2.59653607</v>
      </c>
      <c r="J107" s="505">
        <f>[5]Model!I226+[5]Model!I228+[5]Model!I229</f>
        <v>-5.61289782999999</v>
      </c>
      <c r="K107" s="505">
        <f>[5]Model!J226+[5]Model!J228+[5]Model!J229</f>
        <v>371.94419931</v>
      </c>
      <c r="L107" s="505">
        <f>[5]Model!K226+[5]Model!K228+[5]Model!K229</f>
        <v>54.43355254</v>
      </c>
      <c r="M107" s="505">
        <f>[5]Model!L226+[5]Model!L228+[5]Model!L229</f>
        <v>-38.77898085</v>
      </c>
      <c r="N107" s="505">
        <f>[5]Model!M226+[5]Model!M228+[5]Model!M229</f>
        <v>-47.6957741</v>
      </c>
      <c r="O107" s="505">
        <f>[5]Model!N226+[5]Model!N228+[5]Model!N229</f>
        <v>1779.86640312</v>
      </c>
      <c r="P107" s="505">
        <f>[5]Model!O226+[5]Model!O228+[5]Model!O229</f>
        <v>-310.22970664</v>
      </c>
      <c r="Q107" s="505">
        <f>[5]Model!P226+[5]Model!P228+[5]Model!P229</f>
        <v>13.5007947699997</v>
      </c>
      <c r="R107" s="505">
        <f>[5]Model!Q226+[5]Model!Q228+[5]Model!Q229</f>
        <v>-66.0398700399996</v>
      </c>
      <c r="S107" s="505">
        <f>[5]Model!R226+[5]Model!R228+[5]Model!R229</f>
        <v>-58.9700804200005</v>
      </c>
      <c r="T107" s="505">
        <f>[5]Model!S226+[5]Model!S228+[5]Model!S229</f>
        <v>213.53769006</v>
      </c>
      <c r="U107" s="505">
        <f>[5]Model!T226+[5]Model!T228+[5]Model!T229</f>
        <v>-2068.28226425452</v>
      </c>
      <c r="V107" s="505">
        <f>[5]Model!U226+[5]Model!U228+[5]Model!U229</f>
        <v>-3007.96186649683</v>
      </c>
      <c r="W107" s="505">
        <f>[5]Model!V226+[5]Model!V228+[5]Model!V229</f>
        <v>-3457.5553661925</v>
      </c>
      <c r="X107" s="505"/>
      <c r="Y107" s="505"/>
      <c r="Z107" s="505"/>
      <c r="AA107" s="505"/>
      <c r="AB107" s="505"/>
      <c r="AC107" s="505"/>
      <c r="AD107" s="505"/>
      <c r="AE107" s="505"/>
      <c r="AF107" s="505"/>
      <c r="AG107" s="505"/>
      <c r="AH107" s="505"/>
      <c r="AI107" s="505"/>
      <c r="AJ107" s="505"/>
      <c r="AK107" s="505"/>
      <c r="AL107" s="505"/>
      <c r="AM107" s="505"/>
      <c r="AN107" s="505"/>
      <c r="AO107" s="505"/>
      <c r="AP107" s="505"/>
      <c r="AQ107" s="505"/>
      <c r="AR107" s="505"/>
      <c r="AS107" s="505"/>
      <c r="AT107" s="505"/>
      <c r="AU107" s="505"/>
      <c r="AV107" s="505"/>
      <c r="AW107" s="505"/>
      <c r="AX107" s="505"/>
      <c r="AY107" s="505"/>
      <c r="AZ107" s="505"/>
      <c r="BA107" s="505"/>
      <c r="BB107" s="505"/>
      <c r="BC107" s="505"/>
      <c r="BD107" s="505"/>
      <c r="BE107" s="505"/>
      <c r="BF107" s="505"/>
      <c r="BG107" s="505"/>
      <c r="BH107" s="505"/>
      <c r="BI107" s="505"/>
      <c r="BJ107" s="505"/>
      <c r="BK107" s="505"/>
      <c r="BL107" s="505"/>
      <c r="BM107" s="505"/>
      <c r="BN107" s="505"/>
      <c r="BO107" s="505"/>
      <c r="BP107" s="505"/>
      <c r="BQ107" s="505"/>
      <c r="BR107" s="505"/>
      <c r="BS107" s="505"/>
      <c r="BT107" s="505"/>
      <c r="BU107" s="505"/>
      <c r="BV107" s="505"/>
      <c r="BW107" s="505"/>
      <c r="BX107" s="505"/>
    </row>
    <row r="108" outlineLevel="2" spans="2:76">
      <c r="B108" t="s">
        <v>272</v>
      </c>
      <c r="C108" t="s">
        <v>273</v>
      </c>
      <c r="D108" t="str">
        <f t="shared" si="14"/>
        <v>CNY</v>
      </c>
      <c r="F108" s="505">
        <f>[5]Model!E230</f>
        <v>106.83875803</v>
      </c>
      <c r="G108" s="505">
        <f>[5]Model!F230</f>
        <v>-8.29971532000002</v>
      </c>
      <c r="H108" s="505">
        <f>[5]Model!G230</f>
        <v>-36.01492107</v>
      </c>
      <c r="I108" s="505">
        <f>[5]Model!H230</f>
        <v>27.37197572</v>
      </c>
      <c r="J108" s="505">
        <f>[5]Model!I230</f>
        <v>-10.57801385</v>
      </c>
      <c r="K108" s="505">
        <f>[5]Model!J230</f>
        <v>56.28931516</v>
      </c>
      <c r="L108" s="505">
        <f>[5]Model!K230</f>
        <v>-27.5405146</v>
      </c>
      <c r="M108" s="505">
        <f>[5]Model!L230</f>
        <v>128.93338276</v>
      </c>
      <c r="N108" s="505">
        <f>[5]Model!M230</f>
        <v>16.40333639</v>
      </c>
      <c r="O108" s="505">
        <f>[5]Model!N230</f>
        <v>1677.99638297</v>
      </c>
      <c r="P108" s="505">
        <f>[5]Model!O230</f>
        <v>-351.62180674</v>
      </c>
      <c r="Q108" s="505">
        <f>[5]Model!P230</f>
        <v>205.19035108</v>
      </c>
      <c r="R108" s="505">
        <f>[5]Model!Q230</f>
        <v>730.35464608</v>
      </c>
      <c r="S108" s="505">
        <f>[5]Model!R230</f>
        <v>-915.05407291</v>
      </c>
      <c r="T108" s="505">
        <f>[5]Model!S230</f>
        <v>6555.3448343</v>
      </c>
      <c r="U108" s="505">
        <f>[5]Model!T230</f>
        <v>7238.13873204182</v>
      </c>
      <c r="V108" s="505">
        <f>[5]Model!U230</f>
        <v>23695.5591767473</v>
      </c>
      <c r="W108" s="505">
        <f>[5]Model!V230</f>
        <v>18876.8973466706</v>
      </c>
      <c r="X108" s="505"/>
      <c r="Y108" s="505"/>
      <c r="Z108" s="505"/>
      <c r="AA108" s="505"/>
      <c r="AB108" s="505"/>
      <c r="AC108" s="505"/>
      <c r="AD108" s="505"/>
      <c r="AE108" s="505"/>
      <c r="AF108" s="505"/>
      <c r="AG108" s="505"/>
      <c r="AH108" s="505"/>
      <c r="AI108" s="505"/>
      <c r="AJ108" s="505"/>
      <c r="AK108" s="505"/>
      <c r="AL108" s="505"/>
      <c r="AM108" s="505"/>
      <c r="AN108" s="505"/>
      <c r="AO108" s="505"/>
      <c r="AP108" s="505"/>
      <c r="AQ108" s="505"/>
      <c r="AR108" s="505"/>
      <c r="AS108" s="505"/>
      <c r="AT108" s="505"/>
      <c r="AU108" s="505"/>
      <c r="AV108" s="505"/>
      <c r="AW108" s="505"/>
      <c r="AX108" s="505"/>
      <c r="AY108" s="505"/>
      <c r="AZ108" s="505"/>
      <c r="BA108" s="505"/>
      <c r="BB108" s="505"/>
      <c r="BC108" s="505"/>
      <c r="BD108" s="505"/>
      <c r="BE108" s="505"/>
      <c r="BF108" s="505"/>
      <c r="BG108" s="505"/>
      <c r="BH108" s="505"/>
      <c r="BI108" s="505"/>
      <c r="BJ108" s="505"/>
      <c r="BK108" s="505"/>
      <c r="BL108" s="505"/>
      <c r="BM108" s="505"/>
      <c r="BN108" s="505"/>
      <c r="BO108" s="505"/>
      <c r="BP108" s="505"/>
      <c r="BQ108" s="505"/>
      <c r="BR108" s="505"/>
      <c r="BS108" s="505"/>
      <c r="BT108" s="505"/>
      <c r="BU108" s="505"/>
      <c r="BV108" s="505"/>
      <c r="BW108" s="505"/>
      <c r="BX108" s="505"/>
    </row>
    <row r="109" s="495" customFormat="1" outlineLevel="1" spans="1:4">
      <c r="A109" s="501" t="s">
        <v>274</v>
      </c>
      <c r="B109" s="501"/>
      <c r="C109" s="501"/>
      <c r="D109" s="501"/>
    </row>
    <row r="110" outlineLevel="2" spans="2:76">
      <c r="B110" t="s">
        <v>275</v>
      </c>
      <c r="C110" t="s">
        <v>276</v>
      </c>
      <c r="D110" t="str">
        <f t="shared" ref="D110:D120" si="15">E_CURRENCY_ISSR_208021942_REP</f>
        <v>CNY</v>
      </c>
      <c r="F110" s="505"/>
      <c r="G110" s="505"/>
      <c r="H110" s="505"/>
      <c r="I110" s="505"/>
      <c r="J110" s="505"/>
      <c r="K110" s="505"/>
      <c r="L110" s="505"/>
      <c r="M110" s="505"/>
      <c r="N110" s="505"/>
      <c r="O110" s="505"/>
      <c r="P110" s="505"/>
      <c r="Q110" s="505"/>
      <c r="R110" s="505"/>
      <c r="S110" s="505"/>
      <c r="T110" s="505"/>
      <c r="U110" s="505"/>
      <c r="V110" s="505"/>
      <c r="W110" s="505"/>
      <c r="X110" s="505"/>
      <c r="Y110" s="505"/>
      <c r="Z110" s="505"/>
      <c r="AA110" s="505"/>
      <c r="AB110" s="505"/>
      <c r="AC110" s="505"/>
      <c r="AD110" s="505"/>
      <c r="AE110" s="505"/>
      <c r="AF110" s="505"/>
      <c r="AG110" s="505"/>
      <c r="AH110" s="505"/>
      <c r="AI110" s="505"/>
      <c r="AJ110" s="505"/>
      <c r="AK110" s="505"/>
      <c r="AL110" s="505"/>
      <c r="AM110" s="505"/>
      <c r="AN110" s="505"/>
      <c r="AO110" s="505"/>
      <c r="AP110" s="505"/>
      <c r="AQ110" s="505"/>
      <c r="AR110" s="505"/>
      <c r="AS110" s="505"/>
      <c r="AT110" s="505"/>
      <c r="AU110" s="505"/>
      <c r="AV110" s="505"/>
      <c r="AW110" s="505"/>
      <c r="AX110" s="505"/>
      <c r="AY110" s="505"/>
      <c r="AZ110" s="505"/>
      <c r="BA110" s="505"/>
      <c r="BB110" s="505"/>
      <c r="BC110" s="505"/>
      <c r="BD110" s="505"/>
      <c r="BE110" s="505"/>
      <c r="BF110" s="505"/>
      <c r="BG110" s="505"/>
      <c r="BH110" s="505"/>
      <c r="BI110" s="505"/>
      <c r="BJ110" s="505"/>
      <c r="BK110" s="505"/>
      <c r="BL110" s="505"/>
      <c r="BM110" s="505"/>
      <c r="BN110" s="505"/>
      <c r="BO110" s="505"/>
      <c r="BP110" s="505"/>
      <c r="BQ110" s="505"/>
      <c r="BR110" s="505"/>
      <c r="BS110" s="505"/>
      <c r="BT110" s="505"/>
      <c r="BU110" s="505"/>
      <c r="BV110" s="505"/>
      <c r="BW110" s="505"/>
      <c r="BX110" s="505"/>
    </row>
    <row r="111" outlineLevel="2" spans="2:76">
      <c r="B111" t="s">
        <v>277</v>
      </c>
      <c r="C111" t="s">
        <v>278</v>
      </c>
      <c r="D111" t="str">
        <f t="shared" si="15"/>
        <v>CNY</v>
      </c>
      <c r="F111" s="505"/>
      <c r="G111" s="505"/>
      <c r="H111" s="505"/>
      <c r="I111" s="505"/>
      <c r="J111" s="505"/>
      <c r="K111" s="505"/>
      <c r="L111" s="505"/>
      <c r="M111" s="505"/>
      <c r="N111" s="505"/>
      <c r="O111" s="505"/>
      <c r="P111" s="505"/>
      <c r="Q111" s="505"/>
      <c r="R111" s="505"/>
      <c r="S111" s="505"/>
      <c r="T111" s="505"/>
      <c r="U111" s="505"/>
      <c r="V111" s="505"/>
      <c r="W111" s="505"/>
      <c r="X111" s="505"/>
      <c r="Y111" s="505"/>
      <c r="Z111" s="505"/>
      <c r="AA111" s="505"/>
      <c r="AB111" s="505"/>
      <c r="AC111" s="505"/>
      <c r="AD111" s="505"/>
      <c r="AE111" s="505"/>
      <c r="AF111" s="505"/>
      <c r="AG111" s="505"/>
      <c r="AH111" s="505"/>
      <c r="AI111" s="505"/>
      <c r="AJ111" s="505"/>
      <c r="AK111" s="505"/>
      <c r="AL111" s="505"/>
      <c r="AM111" s="505"/>
      <c r="AN111" s="505"/>
      <c r="AO111" s="505"/>
      <c r="AP111" s="505"/>
      <c r="AQ111" s="505"/>
      <c r="AR111" s="505"/>
      <c r="AS111" s="505"/>
      <c r="AT111" s="505"/>
      <c r="AU111" s="505"/>
      <c r="AV111" s="505"/>
      <c r="AW111" s="505"/>
      <c r="AX111" s="505"/>
      <c r="AY111" s="505"/>
      <c r="AZ111" s="505"/>
      <c r="BA111" s="505"/>
      <c r="BB111" s="505"/>
      <c r="BC111" s="505"/>
      <c r="BD111" s="505"/>
      <c r="BE111" s="505"/>
      <c r="BF111" s="505"/>
      <c r="BG111" s="505"/>
      <c r="BH111" s="505"/>
      <c r="BI111" s="505"/>
      <c r="BJ111" s="505"/>
      <c r="BK111" s="505"/>
      <c r="BL111" s="505"/>
      <c r="BM111" s="505"/>
      <c r="BN111" s="505"/>
      <c r="BO111" s="505"/>
      <c r="BP111" s="505"/>
      <c r="BQ111" s="505"/>
      <c r="BR111" s="505"/>
      <c r="BS111" s="505"/>
      <c r="BT111" s="505"/>
      <c r="BU111" s="505"/>
      <c r="BV111" s="505"/>
      <c r="BW111" s="505"/>
      <c r="BX111" s="505"/>
    </row>
    <row r="112" outlineLevel="2" spans="2:76">
      <c r="B112" t="s">
        <v>279</v>
      </c>
      <c r="C112" t="s">
        <v>280</v>
      </c>
      <c r="D112" t="str">
        <f t="shared" si="15"/>
        <v>CNY</v>
      </c>
      <c r="F112" s="505"/>
      <c r="G112" s="505"/>
      <c r="H112" s="505"/>
      <c r="I112" s="505"/>
      <c r="J112" s="505"/>
      <c r="K112" s="505"/>
      <c r="L112" s="505"/>
      <c r="M112" s="505"/>
      <c r="N112" s="505"/>
      <c r="O112" s="505"/>
      <c r="P112" s="505"/>
      <c r="Q112" s="505"/>
      <c r="R112" s="505"/>
      <c r="S112" s="505"/>
      <c r="T112" s="505"/>
      <c r="U112" s="505"/>
      <c r="V112" s="505"/>
      <c r="W112" s="505"/>
      <c r="X112" s="505"/>
      <c r="Y112" s="505"/>
      <c r="Z112" s="505"/>
      <c r="AA112" s="505"/>
      <c r="AB112" s="505"/>
      <c r="AC112" s="505"/>
      <c r="AD112" s="505"/>
      <c r="AE112" s="505"/>
      <c r="AF112" s="505"/>
      <c r="AG112" s="505"/>
      <c r="AH112" s="505"/>
      <c r="AI112" s="505"/>
      <c r="AJ112" s="505"/>
      <c r="AK112" s="505"/>
      <c r="AL112" s="505"/>
      <c r="AM112" s="505"/>
      <c r="AN112" s="505"/>
      <c r="AO112" s="505"/>
      <c r="AP112" s="505"/>
      <c r="AQ112" s="505"/>
      <c r="AR112" s="505"/>
      <c r="AS112" s="505"/>
      <c r="AT112" s="505"/>
      <c r="AU112" s="505"/>
      <c r="AV112" s="505"/>
      <c r="AW112" s="505"/>
      <c r="AX112" s="505"/>
      <c r="AY112" s="505"/>
      <c r="AZ112" s="505"/>
      <c r="BA112" s="505"/>
      <c r="BB112" s="505"/>
      <c r="BC112" s="505"/>
      <c r="BD112" s="505"/>
      <c r="BE112" s="505"/>
      <c r="BF112" s="505"/>
      <c r="BG112" s="505"/>
      <c r="BH112" s="505"/>
      <c r="BI112" s="505"/>
      <c r="BJ112" s="505"/>
      <c r="BK112" s="505"/>
      <c r="BL112" s="505"/>
      <c r="BM112" s="505"/>
      <c r="BN112" s="505"/>
      <c r="BO112" s="505"/>
      <c r="BP112" s="505"/>
      <c r="BQ112" s="505"/>
      <c r="BR112" s="505"/>
      <c r="BS112" s="505"/>
      <c r="BT112" s="505"/>
      <c r="BU112" s="505"/>
      <c r="BV112" s="505"/>
      <c r="BW112" s="505"/>
      <c r="BX112" s="505"/>
    </row>
    <row r="113" outlineLevel="2" spans="2:76">
      <c r="B113" t="s">
        <v>281</v>
      </c>
      <c r="C113" t="s">
        <v>282</v>
      </c>
      <c r="D113" t="str">
        <f t="shared" si="15"/>
        <v>CNY</v>
      </c>
      <c r="F113" s="505"/>
      <c r="G113" s="505"/>
      <c r="H113" s="505"/>
      <c r="I113" s="505"/>
      <c r="J113" s="505"/>
      <c r="K113" s="505"/>
      <c r="L113" s="505"/>
      <c r="M113" s="505"/>
      <c r="N113" s="505"/>
      <c r="O113" s="505"/>
      <c r="P113" s="505"/>
      <c r="Q113" s="505"/>
      <c r="R113" s="505"/>
      <c r="S113" s="505"/>
      <c r="T113" s="505"/>
      <c r="U113" s="505"/>
      <c r="V113" s="505"/>
      <c r="W113" s="505"/>
      <c r="X113" s="505"/>
      <c r="Y113" s="505"/>
      <c r="Z113" s="505"/>
      <c r="AA113" s="505"/>
      <c r="AB113" s="505"/>
      <c r="AC113" s="505"/>
      <c r="AD113" s="505"/>
      <c r="AE113" s="505"/>
      <c r="AF113" s="505"/>
      <c r="AG113" s="505"/>
      <c r="AH113" s="505"/>
      <c r="AI113" s="505"/>
      <c r="AJ113" s="505"/>
      <c r="AK113" s="505"/>
      <c r="AL113" s="505"/>
      <c r="AM113" s="505"/>
      <c r="AN113" s="505"/>
      <c r="AO113" s="505"/>
      <c r="AP113" s="505"/>
      <c r="AQ113" s="505"/>
      <c r="AR113" s="505"/>
      <c r="AS113" s="505"/>
      <c r="AT113" s="505"/>
      <c r="AU113" s="505"/>
      <c r="AV113" s="505"/>
      <c r="AW113" s="505"/>
      <c r="AX113" s="505"/>
      <c r="AY113" s="505"/>
      <c r="AZ113" s="505"/>
      <c r="BA113" s="505"/>
      <c r="BB113" s="505"/>
      <c r="BC113" s="505"/>
      <c r="BD113" s="505"/>
      <c r="BE113" s="505"/>
      <c r="BF113" s="505"/>
      <c r="BG113" s="505"/>
      <c r="BH113" s="505"/>
      <c r="BI113" s="505"/>
      <c r="BJ113" s="505"/>
      <c r="BK113" s="505"/>
      <c r="BL113" s="505"/>
      <c r="BM113" s="505"/>
      <c r="BN113" s="505"/>
      <c r="BO113" s="505"/>
      <c r="BP113" s="505"/>
      <c r="BQ113" s="505"/>
      <c r="BR113" s="505"/>
      <c r="BS113" s="505"/>
      <c r="BT113" s="505"/>
      <c r="BU113" s="505"/>
      <c r="BV113" s="505"/>
      <c r="BW113" s="505"/>
      <c r="BX113" s="505"/>
    </row>
    <row r="114" outlineLevel="2" spans="2:76">
      <c r="B114" t="s">
        <v>283</v>
      </c>
      <c r="C114" t="s">
        <v>284</v>
      </c>
      <c r="D114" t="str">
        <f t="shared" si="15"/>
        <v>CNY</v>
      </c>
      <c r="F114" s="505"/>
      <c r="G114" s="505"/>
      <c r="H114" s="505"/>
      <c r="I114" s="505"/>
      <c r="J114" s="505"/>
      <c r="K114" s="505"/>
      <c r="L114" s="505"/>
      <c r="M114" s="505"/>
      <c r="N114" s="505"/>
      <c r="O114" s="505"/>
      <c r="P114" s="505"/>
      <c r="Q114" s="505"/>
      <c r="R114" s="505"/>
      <c r="S114" s="505"/>
      <c r="T114" s="505"/>
      <c r="U114" s="505"/>
      <c r="V114" s="505"/>
      <c r="W114" s="505"/>
      <c r="X114" s="505"/>
      <c r="Y114" s="505"/>
      <c r="Z114" s="505"/>
      <c r="AA114" s="505"/>
      <c r="AB114" s="505"/>
      <c r="AC114" s="505"/>
      <c r="AD114" s="505"/>
      <c r="AE114" s="505"/>
      <c r="AF114" s="505"/>
      <c r="AG114" s="505"/>
      <c r="AH114" s="505"/>
      <c r="AI114" s="505"/>
      <c r="AJ114" s="505"/>
      <c r="AK114" s="505"/>
      <c r="AL114" s="505"/>
      <c r="AM114" s="505"/>
      <c r="AN114" s="505"/>
      <c r="AO114" s="505"/>
      <c r="AP114" s="505"/>
      <c r="AQ114" s="505"/>
      <c r="AR114" s="505"/>
      <c r="AS114" s="505"/>
      <c r="AT114" s="505"/>
      <c r="AU114" s="505"/>
      <c r="AV114" s="505"/>
      <c r="AW114" s="505"/>
      <c r="AX114" s="505"/>
      <c r="AY114" s="505"/>
      <c r="AZ114" s="505"/>
      <c r="BA114" s="505"/>
      <c r="BB114" s="505"/>
      <c r="BC114" s="505"/>
      <c r="BD114" s="505"/>
      <c r="BE114" s="505"/>
      <c r="BF114" s="505"/>
      <c r="BG114" s="505"/>
      <c r="BH114" s="505"/>
      <c r="BI114" s="505"/>
      <c r="BJ114" s="505"/>
      <c r="BK114" s="505"/>
      <c r="BL114" s="505"/>
      <c r="BM114" s="505"/>
      <c r="BN114" s="505"/>
      <c r="BO114" s="505"/>
      <c r="BP114" s="505"/>
      <c r="BQ114" s="505"/>
      <c r="BR114" s="505"/>
      <c r="BS114" s="505"/>
      <c r="BT114" s="505"/>
      <c r="BU114" s="505"/>
      <c r="BV114" s="505"/>
      <c r="BW114" s="505"/>
      <c r="BX114" s="505"/>
    </row>
    <row r="115" outlineLevel="2" spans="2:76">
      <c r="B115" t="s">
        <v>285</v>
      </c>
      <c r="C115" t="s">
        <v>286</v>
      </c>
      <c r="D115" t="str">
        <f t="shared" si="15"/>
        <v>CNY</v>
      </c>
      <c r="F115" s="505"/>
      <c r="G115" s="505"/>
      <c r="H115" s="505"/>
      <c r="I115" s="505"/>
      <c r="J115" s="505"/>
      <c r="K115" s="505"/>
      <c r="L115" s="505"/>
      <c r="M115" s="505"/>
      <c r="N115" s="505"/>
      <c r="O115" s="505"/>
      <c r="P115" s="505"/>
      <c r="Q115" s="505"/>
      <c r="R115" s="505"/>
      <c r="S115" s="505"/>
      <c r="T115" s="505"/>
      <c r="U115" s="505"/>
      <c r="V115" s="505"/>
      <c r="W115" s="505"/>
      <c r="X115" s="505"/>
      <c r="Y115" s="505"/>
      <c r="Z115" s="505"/>
      <c r="AA115" s="505"/>
      <c r="AB115" s="505"/>
      <c r="AC115" s="505"/>
      <c r="AD115" s="505"/>
      <c r="AE115" s="505"/>
      <c r="AF115" s="505"/>
      <c r="AG115" s="505"/>
      <c r="AH115" s="505"/>
      <c r="AI115" s="505"/>
      <c r="AJ115" s="505"/>
      <c r="AK115" s="505"/>
      <c r="AL115" s="505"/>
      <c r="AM115" s="505"/>
      <c r="AN115" s="505"/>
      <c r="AO115" s="505"/>
      <c r="AP115" s="505"/>
      <c r="AQ115" s="505"/>
      <c r="AR115" s="505"/>
      <c r="AS115" s="505"/>
      <c r="AT115" s="505"/>
      <c r="AU115" s="505"/>
      <c r="AV115" s="505"/>
      <c r="AW115" s="505"/>
      <c r="AX115" s="505"/>
      <c r="AY115" s="505"/>
      <c r="AZ115" s="505"/>
      <c r="BA115" s="505"/>
      <c r="BB115" s="505"/>
      <c r="BC115" s="505"/>
      <c r="BD115" s="505"/>
      <c r="BE115" s="505"/>
      <c r="BF115" s="505"/>
      <c r="BG115" s="505"/>
      <c r="BH115" s="505"/>
      <c r="BI115" s="505"/>
      <c r="BJ115" s="505"/>
      <c r="BK115" s="505"/>
      <c r="BL115" s="505"/>
      <c r="BM115" s="505"/>
      <c r="BN115" s="505"/>
      <c r="BO115" s="505"/>
      <c r="BP115" s="505"/>
      <c r="BQ115" s="505"/>
      <c r="BR115" s="505"/>
      <c r="BS115" s="505"/>
      <c r="BT115" s="505"/>
      <c r="BU115" s="505"/>
      <c r="BV115" s="505"/>
      <c r="BW115" s="505"/>
      <c r="BX115" s="505"/>
    </row>
    <row r="116" outlineLevel="2" spans="2:76">
      <c r="B116" t="s">
        <v>287</v>
      </c>
      <c r="C116" t="s">
        <v>288</v>
      </c>
      <c r="D116" t="str">
        <f t="shared" si="15"/>
        <v>CNY</v>
      </c>
      <c r="F116" s="505"/>
      <c r="G116" s="505"/>
      <c r="H116" s="505"/>
      <c r="I116" s="505"/>
      <c r="J116" s="505"/>
      <c r="K116" s="505"/>
      <c r="L116" s="505"/>
      <c r="M116" s="505"/>
      <c r="N116" s="505"/>
      <c r="O116" s="505"/>
      <c r="P116" s="505"/>
      <c r="Q116" s="505"/>
      <c r="R116" s="505"/>
      <c r="S116" s="505"/>
      <c r="T116" s="505"/>
      <c r="U116" s="505"/>
      <c r="V116" s="505"/>
      <c r="W116" s="505"/>
      <c r="X116" s="505"/>
      <c r="Y116" s="505"/>
      <c r="Z116" s="505"/>
      <c r="AA116" s="505"/>
      <c r="AB116" s="505"/>
      <c r="AC116" s="505"/>
      <c r="AD116" s="505"/>
      <c r="AE116" s="505"/>
      <c r="AF116" s="505"/>
      <c r="AG116" s="505"/>
      <c r="AH116" s="505"/>
      <c r="AI116" s="505"/>
      <c r="AJ116" s="505"/>
      <c r="AK116" s="505"/>
      <c r="AL116" s="505"/>
      <c r="AM116" s="505"/>
      <c r="AN116" s="505"/>
      <c r="AO116" s="505"/>
      <c r="AP116" s="505"/>
      <c r="AQ116" s="505"/>
      <c r="AR116" s="505"/>
      <c r="AS116" s="505"/>
      <c r="AT116" s="505"/>
      <c r="AU116" s="505"/>
      <c r="AV116" s="505"/>
      <c r="AW116" s="505"/>
      <c r="AX116" s="505"/>
      <c r="AY116" s="505"/>
      <c r="AZ116" s="505"/>
      <c r="BA116" s="505"/>
      <c r="BB116" s="505"/>
      <c r="BC116" s="505"/>
      <c r="BD116" s="505"/>
      <c r="BE116" s="505"/>
      <c r="BF116" s="505"/>
      <c r="BG116" s="505"/>
      <c r="BH116" s="505"/>
      <c r="BI116" s="505"/>
      <c r="BJ116" s="505"/>
      <c r="BK116" s="505"/>
      <c r="BL116" s="505"/>
      <c r="BM116" s="505"/>
      <c r="BN116" s="505"/>
      <c r="BO116" s="505"/>
      <c r="BP116" s="505"/>
      <c r="BQ116" s="505"/>
      <c r="BR116" s="505"/>
      <c r="BS116" s="505"/>
      <c r="BT116" s="505"/>
      <c r="BU116" s="505"/>
      <c r="BV116" s="505"/>
      <c r="BW116" s="505"/>
      <c r="BX116" s="505"/>
    </row>
    <row r="117" outlineLevel="2" spans="2:76">
      <c r="B117" t="s">
        <v>289</v>
      </c>
      <c r="C117" t="s">
        <v>290</v>
      </c>
      <c r="D117" t="str">
        <f t="shared" si="15"/>
        <v>CNY</v>
      </c>
      <c r="F117" s="505"/>
      <c r="G117" s="505"/>
      <c r="H117" s="505"/>
      <c r="I117" s="505"/>
      <c r="J117" s="505"/>
      <c r="K117" s="505"/>
      <c r="L117" s="505"/>
      <c r="M117" s="505"/>
      <c r="N117" s="505"/>
      <c r="O117" s="505"/>
      <c r="P117" s="505"/>
      <c r="Q117" s="505"/>
      <c r="R117" s="505"/>
      <c r="S117" s="505"/>
      <c r="T117" s="505"/>
      <c r="U117" s="505"/>
      <c r="V117" s="505"/>
      <c r="W117" s="505"/>
      <c r="X117" s="505"/>
      <c r="Y117" s="505"/>
      <c r="Z117" s="505"/>
      <c r="AA117" s="505"/>
      <c r="AB117" s="505"/>
      <c r="AC117" s="505"/>
      <c r="AD117" s="505"/>
      <c r="AE117" s="505"/>
      <c r="AF117" s="505"/>
      <c r="AG117" s="505"/>
      <c r="AH117" s="505"/>
      <c r="AI117" s="505"/>
      <c r="AJ117" s="505"/>
      <c r="AK117" s="505"/>
      <c r="AL117" s="505"/>
      <c r="AM117" s="505"/>
      <c r="AN117" s="505"/>
      <c r="AO117" s="505"/>
      <c r="AP117" s="505"/>
      <c r="AQ117" s="505"/>
      <c r="AR117" s="505"/>
      <c r="AS117" s="505"/>
      <c r="AT117" s="505"/>
      <c r="AU117" s="505"/>
      <c r="AV117" s="505"/>
      <c r="AW117" s="505"/>
      <c r="AX117" s="505"/>
      <c r="AY117" s="505"/>
      <c r="AZ117" s="505"/>
      <c r="BA117" s="505"/>
      <c r="BB117" s="505"/>
      <c r="BC117" s="505"/>
      <c r="BD117" s="505"/>
      <c r="BE117" s="505"/>
      <c r="BF117" s="505"/>
      <c r="BG117" s="505"/>
      <c r="BH117" s="505"/>
      <c r="BI117" s="505"/>
      <c r="BJ117" s="505"/>
      <c r="BK117" s="505"/>
      <c r="BL117" s="505"/>
      <c r="BM117" s="505"/>
      <c r="BN117" s="505"/>
      <c r="BO117" s="505"/>
      <c r="BP117" s="505"/>
      <c r="BQ117" s="505"/>
      <c r="BR117" s="505"/>
      <c r="BS117" s="505"/>
      <c r="BT117" s="505"/>
      <c r="BU117" s="505"/>
      <c r="BV117" s="505"/>
      <c r="BW117" s="505"/>
      <c r="BX117" s="505"/>
    </row>
    <row r="118" outlineLevel="2" spans="2:76">
      <c r="B118" t="s">
        <v>291</v>
      </c>
      <c r="C118" t="s">
        <v>292</v>
      </c>
      <c r="D118" t="str">
        <f t="shared" si="15"/>
        <v>CNY</v>
      </c>
      <c r="F118" s="505"/>
      <c r="G118" s="505"/>
      <c r="H118" s="505"/>
      <c r="I118" s="505"/>
      <c r="J118" s="505"/>
      <c r="K118" s="505"/>
      <c r="L118" s="505"/>
      <c r="M118" s="505"/>
      <c r="N118" s="505"/>
      <c r="O118" s="505"/>
      <c r="P118" s="505"/>
      <c r="Q118" s="505"/>
      <c r="R118" s="505"/>
      <c r="S118" s="505"/>
      <c r="T118" s="505"/>
      <c r="U118" s="505"/>
      <c r="V118" s="505"/>
      <c r="W118" s="505"/>
      <c r="X118" s="505"/>
      <c r="Y118" s="505"/>
      <c r="Z118" s="505"/>
      <c r="AA118" s="505"/>
      <c r="AB118" s="505"/>
      <c r="AC118" s="505"/>
      <c r="AD118" s="505"/>
      <c r="AE118" s="505"/>
      <c r="AF118" s="505"/>
      <c r="AG118" s="505"/>
      <c r="AH118" s="505"/>
      <c r="AI118" s="505"/>
      <c r="AJ118" s="505"/>
      <c r="AK118" s="505"/>
      <c r="AL118" s="505"/>
      <c r="AM118" s="505"/>
      <c r="AN118" s="505"/>
      <c r="AO118" s="505"/>
      <c r="AP118" s="505"/>
      <c r="AQ118" s="505"/>
      <c r="AR118" s="505"/>
      <c r="AS118" s="505"/>
      <c r="AT118" s="505"/>
      <c r="AU118" s="505"/>
      <c r="AV118" s="505"/>
      <c r="AW118" s="505"/>
      <c r="AX118" s="505"/>
      <c r="AY118" s="505"/>
      <c r="AZ118" s="505"/>
      <c r="BA118" s="505"/>
      <c r="BB118" s="505"/>
      <c r="BC118" s="505"/>
      <c r="BD118" s="505"/>
      <c r="BE118" s="505"/>
      <c r="BF118" s="505"/>
      <c r="BG118" s="505"/>
      <c r="BH118" s="505"/>
      <c r="BI118" s="505"/>
      <c r="BJ118" s="505"/>
      <c r="BK118" s="505"/>
      <c r="BL118" s="505"/>
      <c r="BM118" s="505"/>
      <c r="BN118" s="505"/>
      <c r="BO118" s="505"/>
      <c r="BP118" s="505"/>
      <c r="BQ118" s="505"/>
      <c r="BR118" s="505"/>
      <c r="BS118" s="505"/>
      <c r="BT118" s="505"/>
      <c r="BU118" s="505"/>
      <c r="BV118" s="505"/>
      <c r="BW118" s="505"/>
      <c r="BX118" s="505"/>
    </row>
    <row r="119" outlineLevel="2" spans="2:76">
      <c r="B119" t="s">
        <v>293</v>
      </c>
      <c r="C119" t="s">
        <v>294</v>
      </c>
      <c r="D119" t="str">
        <f t="shared" si="15"/>
        <v>CNY</v>
      </c>
      <c r="F119" s="505"/>
      <c r="G119" s="505"/>
      <c r="H119" s="505"/>
      <c r="I119" s="505"/>
      <c r="J119" s="505"/>
      <c r="K119" s="505"/>
      <c r="L119" s="505"/>
      <c r="M119" s="505"/>
      <c r="N119" s="505"/>
      <c r="O119" s="505"/>
      <c r="P119" s="505"/>
      <c r="Q119" s="505"/>
      <c r="R119" s="505"/>
      <c r="S119" s="505"/>
      <c r="T119" s="505"/>
      <c r="U119" s="505"/>
      <c r="V119" s="505"/>
      <c r="W119" s="505"/>
      <c r="X119" s="505"/>
      <c r="Y119" s="505"/>
      <c r="Z119" s="505"/>
      <c r="AA119" s="505"/>
      <c r="AB119" s="505"/>
      <c r="AC119" s="505"/>
      <c r="AD119" s="505"/>
      <c r="AE119" s="505"/>
      <c r="AF119" s="505"/>
      <c r="AG119" s="505"/>
      <c r="AH119" s="505"/>
      <c r="AI119" s="505"/>
      <c r="AJ119" s="505"/>
      <c r="AK119" s="505"/>
      <c r="AL119" s="505"/>
      <c r="AM119" s="505"/>
      <c r="AN119" s="505"/>
      <c r="AO119" s="505"/>
      <c r="AP119" s="505"/>
      <c r="AQ119" s="505"/>
      <c r="AR119" s="505"/>
      <c r="AS119" s="505"/>
      <c r="AT119" s="505"/>
      <c r="AU119" s="505"/>
      <c r="AV119" s="505"/>
      <c r="AW119" s="505"/>
      <c r="AX119" s="505"/>
      <c r="AY119" s="505"/>
      <c r="AZ119" s="505"/>
      <c r="BA119" s="505"/>
      <c r="BB119" s="505"/>
      <c r="BC119" s="505"/>
      <c r="BD119" s="505"/>
      <c r="BE119" s="505"/>
      <c r="BF119" s="505"/>
      <c r="BG119" s="505"/>
      <c r="BH119" s="505"/>
      <c r="BI119" s="505"/>
      <c r="BJ119" s="505"/>
      <c r="BK119" s="505"/>
      <c r="BL119" s="505"/>
      <c r="BM119" s="505"/>
      <c r="BN119" s="505"/>
      <c r="BO119" s="505"/>
      <c r="BP119" s="505"/>
      <c r="BQ119" s="505"/>
      <c r="BR119" s="505"/>
      <c r="BS119" s="505"/>
      <c r="BT119" s="505"/>
      <c r="BU119" s="505"/>
      <c r="BV119" s="505"/>
      <c r="BW119" s="505"/>
      <c r="BX119" s="505"/>
    </row>
    <row r="120" outlineLevel="2" spans="2:76">
      <c r="B120" t="s">
        <v>295</v>
      </c>
      <c r="C120" t="s">
        <v>296</v>
      </c>
      <c r="D120" t="str">
        <f t="shared" si="15"/>
        <v>CNY</v>
      </c>
      <c r="F120" s="505"/>
      <c r="G120" s="505"/>
      <c r="H120" s="505"/>
      <c r="I120" s="505"/>
      <c r="J120" s="505"/>
      <c r="K120" s="505"/>
      <c r="L120" s="505"/>
      <c r="M120" s="505"/>
      <c r="N120" s="505"/>
      <c r="O120" s="505"/>
      <c r="P120" s="505"/>
      <c r="Q120" s="505"/>
      <c r="R120" s="505"/>
      <c r="S120" s="505"/>
      <c r="T120" s="505"/>
      <c r="U120" s="505"/>
      <c r="V120" s="505"/>
      <c r="W120" s="505"/>
      <c r="X120" s="505"/>
      <c r="Y120" s="505"/>
      <c r="Z120" s="505"/>
      <c r="AA120" s="505"/>
      <c r="AB120" s="505"/>
      <c r="AC120" s="505"/>
      <c r="AD120" s="505"/>
      <c r="AE120" s="505"/>
      <c r="AF120" s="505"/>
      <c r="AG120" s="505"/>
      <c r="AH120" s="505"/>
      <c r="AI120" s="505"/>
      <c r="AJ120" s="505"/>
      <c r="AK120" s="505"/>
      <c r="AL120" s="505"/>
      <c r="AM120" s="505"/>
      <c r="AN120" s="505"/>
      <c r="AO120" s="505"/>
      <c r="AP120" s="505"/>
      <c r="AQ120" s="505"/>
      <c r="AR120" s="505"/>
      <c r="AS120" s="505"/>
      <c r="AT120" s="505"/>
      <c r="AU120" s="505"/>
      <c r="AV120" s="505"/>
      <c r="AW120" s="505"/>
      <c r="AX120" s="505"/>
      <c r="AY120" s="505"/>
      <c r="AZ120" s="505"/>
      <c r="BA120" s="505"/>
      <c r="BB120" s="505"/>
      <c r="BC120" s="505"/>
      <c r="BD120" s="505"/>
      <c r="BE120" s="505"/>
      <c r="BF120" s="505"/>
      <c r="BG120" s="505"/>
      <c r="BH120" s="505"/>
      <c r="BI120" s="505"/>
      <c r="BJ120" s="505"/>
      <c r="BK120" s="505"/>
      <c r="BL120" s="505"/>
      <c r="BM120" s="505"/>
      <c r="BN120" s="505"/>
      <c r="BO120" s="505"/>
      <c r="BP120" s="505"/>
      <c r="BQ120" s="505"/>
      <c r="BR120" s="505"/>
      <c r="BS120" s="505"/>
      <c r="BT120" s="505"/>
      <c r="BU120" s="505"/>
      <c r="BV120" s="505"/>
      <c r="BW120" s="505"/>
      <c r="BX120" s="505"/>
    </row>
    <row r="121" s="495" customFormat="1" outlineLevel="1" spans="1:4">
      <c r="A121" s="501" t="s">
        <v>297</v>
      </c>
      <c r="B121" s="501"/>
      <c r="C121" s="501"/>
      <c r="D121" s="501"/>
    </row>
    <row r="122" outlineLevel="2" spans="2:76">
      <c r="B122" t="s">
        <v>298</v>
      </c>
      <c r="C122" t="s">
        <v>299</v>
      </c>
      <c r="F122" s="505"/>
      <c r="G122" s="505"/>
      <c r="H122" s="505"/>
      <c r="I122" s="505"/>
      <c r="J122" s="505"/>
      <c r="K122" s="505"/>
      <c r="L122" s="505"/>
      <c r="M122" s="505"/>
      <c r="N122" s="505"/>
      <c r="O122" s="505"/>
      <c r="P122" s="505"/>
      <c r="Q122" s="505"/>
      <c r="R122" s="505"/>
      <c r="S122" s="505"/>
      <c r="T122" s="505"/>
      <c r="U122" s="505"/>
      <c r="V122" s="505"/>
      <c r="W122" s="505"/>
      <c r="X122" s="505"/>
      <c r="Y122" s="505"/>
      <c r="Z122" s="505"/>
      <c r="AA122" s="505"/>
      <c r="AB122" s="505"/>
      <c r="AC122" s="505"/>
      <c r="AD122" s="505"/>
      <c r="AE122" s="505"/>
      <c r="AF122" s="505"/>
      <c r="AG122" s="505"/>
      <c r="AH122" s="505"/>
      <c r="AI122" s="505"/>
      <c r="AJ122" s="505"/>
      <c r="AK122" s="505"/>
      <c r="AL122" s="505"/>
      <c r="AM122" s="505"/>
      <c r="AN122" s="505"/>
      <c r="AO122" s="505"/>
      <c r="AP122" s="505"/>
      <c r="AQ122" s="505"/>
      <c r="AR122" s="505"/>
      <c r="AS122" s="505"/>
      <c r="AT122" s="505"/>
      <c r="AU122" s="505"/>
      <c r="AV122" s="505"/>
      <c r="AW122" s="505"/>
      <c r="AX122" s="505"/>
      <c r="AY122" s="505"/>
      <c r="AZ122" s="505"/>
      <c r="BA122" s="505"/>
      <c r="BB122" s="505"/>
      <c r="BC122" s="505"/>
      <c r="BD122" s="505"/>
      <c r="BE122" s="505"/>
      <c r="BF122" s="505"/>
      <c r="BG122" s="505"/>
      <c r="BH122" s="505"/>
      <c r="BI122" s="505"/>
      <c r="BJ122" s="505"/>
      <c r="BK122" s="505"/>
      <c r="BL122" s="505"/>
      <c r="BM122" s="505"/>
      <c r="BN122" s="505"/>
      <c r="BO122" s="505"/>
      <c r="BP122" s="505"/>
      <c r="BQ122" s="505"/>
      <c r="BR122" s="505"/>
      <c r="BS122" s="505"/>
      <c r="BT122" s="505"/>
      <c r="BU122" s="505"/>
      <c r="BV122" s="505"/>
      <c r="BW122" s="505"/>
      <c r="BX122" s="505"/>
    </row>
    <row r="123" s="495" customFormat="1" outlineLevel="1" spans="1:4">
      <c r="A123" s="501" t="s">
        <v>300</v>
      </c>
      <c r="B123" s="501"/>
      <c r="C123" s="501"/>
      <c r="D123" s="501"/>
    </row>
    <row r="124" outlineLevel="2" spans="2:76">
      <c r="B124" t="s">
        <v>301</v>
      </c>
      <c r="C124" t="s">
        <v>302</v>
      </c>
      <c r="F124" s="509"/>
      <c r="G124" s="509"/>
      <c r="H124" s="509"/>
      <c r="I124" s="509"/>
      <c r="J124" s="509"/>
      <c r="K124" s="509"/>
      <c r="L124" s="509"/>
      <c r="M124" s="509"/>
      <c r="N124" s="509"/>
      <c r="O124" s="509"/>
      <c r="P124" s="509"/>
      <c r="Q124" s="509">
        <v>0.1</v>
      </c>
      <c r="R124" s="509">
        <v>0.1</v>
      </c>
      <c r="S124" s="509">
        <v>0.1</v>
      </c>
      <c r="T124" s="509">
        <v>0.1</v>
      </c>
      <c r="U124" s="509"/>
      <c r="V124" s="509"/>
      <c r="W124" s="509"/>
      <c r="X124" s="509"/>
      <c r="Y124" s="509"/>
      <c r="Z124" s="509"/>
      <c r="AA124" s="509"/>
      <c r="AB124" s="509"/>
      <c r="AC124" s="509"/>
      <c r="AD124" s="509"/>
      <c r="AE124" s="509"/>
      <c r="AF124" s="509"/>
      <c r="AG124" s="509"/>
      <c r="AH124" s="509"/>
      <c r="AI124" s="509"/>
      <c r="AJ124" s="509"/>
      <c r="AK124" s="509"/>
      <c r="AL124" s="509"/>
      <c r="AM124" s="509"/>
      <c r="AN124" s="509"/>
      <c r="AO124" s="509"/>
      <c r="AP124" s="509"/>
      <c r="AQ124" s="509"/>
      <c r="AR124" s="509"/>
      <c r="AS124" s="509"/>
      <c r="AT124" s="509"/>
      <c r="AU124" s="509"/>
      <c r="AV124" s="509"/>
      <c r="AW124" s="509"/>
      <c r="AX124" s="509"/>
      <c r="AY124" s="509"/>
      <c r="AZ124" s="509"/>
      <c r="BA124" s="509"/>
      <c r="BB124" s="509"/>
      <c r="BC124" s="509"/>
      <c r="BD124" s="509"/>
      <c r="BE124" s="509"/>
      <c r="BF124" s="509"/>
      <c r="BG124" s="509"/>
      <c r="BH124" s="509"/>
      <c r="BI124" s="509"/>
      <c r="BJ124" s="509"/>
      <c r="BK124" s="509"/>
      <c r="BL124" s="509"/>
      <c r="BM124" s="509"/>
      <c r="BN124" s="509"/>
      <c r="BO124" s="509"/>
      <c r="BP124" s="509"/>
      <c r="BQ124" s="509"/>
      <c r="BR124" s="509"/>
      <c r="BS124" s="509"/>
      <c r="BT124" s="509"/>
      <c r="BU124" s="509"/>
      <c r="BV124" s="509"/>
      <c r="BW124" s="509"/>
      <c r="BX124" s="509"/>
    </row>
    <row r="125" outlineLevel="2" spans="2:76">
      <c r="B125" t="s">
        <v>303</v>
      </c>
      <c r="C125" t="s">
        <v>304</v>
      </c>
      <c r="F125" s="509"/>
      <c r="G125" s="509"/>
      <c r="H125" s="509"/>
      <c r="I125" s="509"/>
      <c r="J125" s="509"/>
      <c r="K125" s="509"/>
      <c r="L125" s="509"/>
      <c r="M125" s="509"/>
      <c r="N125" s="509"/>
      <c r="O125" s="509"/>
      <c r="P125" s="509"/>
      <c r="Q125" s="509">
        <v>0.1</v>
      </c>
      <c r="R125" s="509">
        <v>0.1</v>
      </c>
      <c r="S125" s="509">
        <v>0.1</v>
      </c>
      <c r="T125" s="509">
        <v>0.1</v>
      </c>
      <c r="U125" s="509"/>
      <c r="V125" s="509"/>
      <c r="W125" s="509"/>
      <c r="X125" s="509"/>
      <c r="Y125" s="509"/>
      <c r="Z125" s="509"/>
      <c r="AA125" s="509"/>
      <c r="AB125" s="509"/>
      <c r="AC125" s="509"/>
      <c r="AD125" s="509"/>
      <c r="AE125" s="509"/>
      <c r="AF125" s="509"/>
      <c r="AG125" s="509"/>
      <c r="AH125" s="509"/>
      <c r="AI125" s="509"/>
      <c r="AJ125" s="509"/>
      <c r="AK125" s="509"/>
      <c r="AL125" s="509"/>
      <c r="AM125" s="509"/>
      <c r="AN125" s="509"/>
      <c r="AO125" s="509"/>
      <c r="AP125" s="509"/>
      <c r="AQ125" s="509"/>
      <c r="AR125" s="509"/>
      <c r="AS125" s="509"/>
      <c r="AT125" s="509"/>
      <c r="AU125" s="509"/>
      <c r="AV125" s="509"/>
      <c r="AW125" s="509"/>
      <c r="AX125" s="509"/>
      <c r="AY125" s="509"/>
      <c r="AZ125" s="509"/>
      <c r="BA125" s="509"/>
      <c r="BB125" s="509"/>
      <c r="BC125" s="509"/>
      <c r="BD125" s="509"/>
      <c r="BE125" s="509"/>
      <c r="BF125" s="509"/>
      <c r="BG125" s="509"/>
      <c r="BH125" s="509"/>
      <c r="BI125" s="509"/>
      <c r="BJ125" s="509"/>
      <c r="BK125" s="509"/>
      <c r="BL125" s="509"/>
      <c r="BM125" s="509"/>
      <c r="BN125" s="509"/>
      <c r="BO125" s="509"/>
      <c r="BP125" s="509"/>
      <c r="BQ125" s="509"/>
      <c r="BR125" s="509"/>
      <c r="BS125" s="509"/>
      <c r="BT125" s="509"/>
      <c r="BU125" s="509"/>
      <c r="BV125" s="509"/>
      <c r="BW125" s="509"/>
      <c r="BX125" s="509"/>
    </row>
    <row r="126" outlineLevel="2" spans="2:76">
      <c r="B126" t="s">
        <v>305</v>
      </c>
      <c r="C126" t="s">
        <v>306</v>
      </c>
      <c r="F126" s="509"/>
      <c r="G126" s="509"/>
      <c r="H126" s="509"/>
      <c r="I126" s="509"/>
      <c r="J126" s="509"/>
      <c r="K126" s="509"/>
      <c r="L126" s="509"/>
      <c r="M126" s="509"/>
      <c r="N126" s="509"/>
      <c r="O126" s="509"/>
      <c r="P126" s="509"/>
      <c r="Q126" s="509">
        <v>0</v>
      </c>
      <c r="R126" s="509">
        <v>0</v>
      </c>
      <c r="S126" s="509">
        <v>0</v>
      </c>
      <c r="T126" s="509">
        <v>0</v>
      </c>
      <c r="U126" s="509"/>
      <c r="V126" s="509"/>
      <c r="W126" s="509"/>
      <c r="X126" s="509"/>
      <c r="Y126" s="509"/>
      <c r="Z126" s="509"/>
      <c r="AA126" s="509"/>
      <c r="AB126" s="509"/>
      <c r="AC126" s="509"/>
      <c r="AD126" s="509"/>
      <c r="AE126" s="509"/>
      <c r="AF126" s="509"/>
      <c r="AG126" s="509"/>
      <c r="AH126" s="509"/>
      <c r="AI126" s="509"/>
      <c r="AJ126" s="509"/>
      <c r="AK126" s="509"/>
      <c r="AL126" s="509"/>
      <c r="AM126" s="509"/>
      <c r="AN126" s="509"/>
      <c r="AO126" s="509"/>
      <c r="AP126" s="509"/>
      <c r="AQ126" s="509"/>
      <c r="AR126" s="509"/>
      <c r="AS126" s="509"/>
      <c r="AT126" s="509"/>
      <c r="AU126" s="509"/>
      <c r="AV126" s="509"/>
      <c r="AW126" s="509"/>
      <c r="AX126" s="509"/>
      <c r="AY126" s="509"/>
      <c r="AZ126" s="509"/>
      <c r="BA126" s="509"/>
      <c r="BB126" s="509"/>
      <c r="BC126" s="509"/>
      <c r="BD126" s="509"/>
      <c r="BE126" s="509"/>
      <c r="BF126" s="509"/>
      <c r="BG126" s="509"/>
      <c r="BH126" s="509"/>
      <c r="BI126" s="509"/>
      <c r="BJ126" s="509"/>
      <c r="BK126" s="509"/>
      <c r="BL126" s="509"/>
      <c r="BM126" s="509"/>
      <c r="BN126" s="509"/>
      <c r="BO126" s="509"/>
      <c r="BP126" s="509"/>
      <c r="BQ126" s="509"/>
      <c r="BR126" s="509"/>
      <c r="BS126" s="509"/>
      <c r="BT126" s="509"/>
      <c r="BU126" s="509"/>
      <c r="BV126" s="509"/>
      <c r="BW126" s="509"/>
      <c r="BX126" s="509"/>
    </row>
    <row r="127" outlineLevel="2" spans="2:76">
      <c r="B127" t="s">
        <v>307</v>
      </c>
      <c r="C127" t="s">
        <v>308</v>
      </c>
      <c r="F127" s="509"/>
      <c r="G127" s="509"/>
      <c r="H127" s="509"/>
      <c r="I127" s="509"/>
      <c r="J127" s="509"/>
      <c r="K127" s="509"/>
      <c r="L127" s="509"/>
      <c r="M127" s="509"/>
      <c r="N127" s="509"/>
      <c r="O127" s="509"/>
      <c r="P127" s="509"/>
      <c r="Q127" s="509">
        <v>0</v>
      </c>
      <c r="R127" s="509">
        <v>0</v>
      </c>
      <c r="S127" s="509">
        <v>0</v>
      </c>
      <c r="T127" s="509">
        <v>0</v>
      </c>
      <c r="U127" s="509"/>
      <c r="V127" s="509"/>
      <c r="W127" s="509"/>
      <c r="X127" s="509"/>
      <c r="Y127" s="509"/>
      <c r="Z127" s="509"/>
      <c r="AA127" s="509"/>
      <c r="AB127" s="509"/>
      <c r="AC127" s="509"/>
      <c r="AD127" s="509"/>
      <c r="AE127" s="509"/>
      <c r="AF127" s="509"/>
      <c r="AG127" s="509"/>
      <c r="AH127" s="509"/>
      <c r="AI127" s="509"/>
      <c r="AJ127" s="509"/>
      <c r="AK127" s="509"/>
      <c r="AL127" s="509"/>
      <c r="AM127" s="509"/>
      <c r="AN127" s="509"/>
      <c r="AO127" s="509"/>
      <c r="AP127" s="509"/>
      <c r="AQ127" s="509"/>
      <c r="AR127" s="509"/>
      <c r="AS127" s="509"/>
      <c r="AT127" s="509"/>
      <c r="AU127" s="509"/>
      <c r="AV127" s="509"/>
      <c r="AW127" s="509"/>
      <c r="AX127" s="509"/>
      <c r="AY127" s="509"/>
      <c r="AZ127" s="509"/>
      <c r="BA127" s="509"/>
      <c r="BB127" s="509"/>
      <c r="BC127" s="509"/>
      <c r="BD127" s="509"/>
      <c r="BE127" s="509"/>
      <c r="BF127" s="509"/>
      <c r="BG127" s="509"/>
      <c r="BH127" s="509"/>
      <c r="BI127" s="509"/>
      <c r="BJ127" s="509"/>
      <c r="BK127" s="509"/>
      <c r="BL127" s="509"/>
      <c r="BM127" s="509"/>
      <c r="BN127" s="509"/>
      <c r="BO127" s="509"/>
      <c r="BP127" s="509"/>
      <c r="BQ127" s="509"/>
      <c r="BR127" s="509"/>
      <c r="BS127" s="509"/>
      <c r="BT127" s="509"/>
      <c r="BU127" s="509"/>
      <c r="BV127" s="509"/>
      <c r="BW127" s="509"/>
      <c r="BX127" s="509"/>
    </row>
    <row r="128" outlineLevel="2" spans="2:76">
      <c r="B128" t="s">
        <v>309</v>
      </c>
      <c r="C128" t="s">
        <v>310</v>
      </c>
      <c r="F128" s="509"/>
      <c r="G128" s="509"/>
      <c r="H128" s="509"/>
      <c r="I128" s="509"/>
      <c r="J128" s="509"/>
      <c r="K128" s="509"/>
      <c r="L128" s="509"/>
      <c r="M128" s="509"/>
      <c r="N128" s="509"/>
      <c r="O128" s="509"/>
      <c r="P128" s="509"/>
      <c r="Q128" s="509">
        <v>0</v>
      </c>
      <c r="R128" s="509">
        <v>0</v>
      </c>
      <c r="S128" s="509">
        <v>0</v>
      </c>
      <c r="T128" s="509">
        <v>0</v>
      </c>
      <c r="U128" s="509"/>
      <c r="V128" s="509"/>
      <c r="W128" s="509"/>
      <c r="X128" s="509"/>
      <c r="Y128" s="509"/>
      <c r="Z128" s="509"/>
      <c r="AA128" s="509"/>
      <c r="AB128" s="509"/>
      <c r="AC128" s="509"/>
      <c r="AD128" s="509"/>
      <c r="AE128" s="509"/>
      <c r="AF128" s="509"/>
      <c r="AG128" s="509"/>
      <c r="AH128" s="509"/>
      <c r="AI128" s="509"/>
      <c r="AJ128" s="509"/>
      <c r="AK128" s="509"/>
      <c r="AL128" s="509"/>
      <c r="AM128" s="509"/>
      <c r="AN128" s="509"/>
      <c r="AO128" s="509"/>
      <c r="AP128" s="509"/>
      <c r="AQ128" s="509"/>
      <c r="AR128" s="509"/>
      <c r="AS128" s="509"/>
      <c r="AT128" s="509"/>
      <c r="AU128" s="509"/>
      <c r="AV128" s="509"/>
      <c r="AW128" s="509"/>
      <c r="AX128" s="509"/>
      <c r="AY128" s="509"/>
      <c r="AZ128" s="509"/>
      <c r="BA128" s="509"/>
      <c r="BB128" s="509"/>
      <c r="BC128" s="509"/>
      <c r="BD128" s="509"/>
      <c r="BE128" s="509"/>
      <c r="BF128" s="509"/>
      <c r="BG128" s="509"/>
      <c r="BH128" s="509"/>
      <c r="BI128" s="509"/>
      <c r="BJ128" s="509"/>
      <c r="BK128" s="509"/>
      <c r="BL128" s="509"/>
      <c r="BM128" s="509"/>
      <c r="BN128" s="509"/>
      <c r="BO128" s="509"/>
      <c r="BP128" s="509"/>
      <c r="BQ128" s="509"/>
      <c r="BR128" s="509"/>
      <c r="BS128" s="509"/>
      <c r="BT128" s="509"/>
      <c r="BU128" s="509"/>
      <c r="BV128" s="509"/>
      <c r="BW128" s="509"/>
      <c r="BX128" s="509"/>
    </row>
    <row r="129" outlineLevel="2" spans="2:76">
      <c r="B129" t="s">
        <v>311</v>
      </c>
      <c r="C129" t="s">
        <v>312</v>
      </c>
      <c r="F129" s="509"/>
      <c r="G129" s="509"/>
      <c r="H129" s="509"/>
      <c r="I129" s="509"/>
      <c r="J129" s="509"/>
      <c r="K129" s="509"/>
      <c r="L129" s="509"/>
      <c r="M129" s="509"/>
      <c r="N129" s="509"/>
      <c r="O129" s="509"/>
      <c r="P129" s="509"/>
      <c r="Q129" s="509">
        <v>0</v>
      </c>
      <c r="R129" s="509">
        <v>0</v>
      </c>
      <c r="S129" s="509">
        <v>0</v>
      </c>
      <c r="T129" s="509">
        <v>0</v>
      </c>
      <c r="U129" s="509"/>
      <c r="V129" s="509"/>
      <c r="W129" s="509"/>
      <c r="X129" s="509"/>
      <c r="Y129" s="509"/>
      <c r="Z129" s="509"/>
      <c r="AA129" s="509"/>
      <c r="AB129" s="509"/>
      <c r="AC129" s="509"/>
      <c r="AD129" s="509"/>
      <c r="AE129" s="509"/>
      <c r="AF129" s="509"/>
      <c r="AG129" s="509"/>
      <c r="AH129" s="509"/>
      <c r="AI129" s="509"/>
      <c r="AJ129" s="509"/>
      <c r="AK129" s="509"/>
      <c r="AL129" s="509"/>
      <c r="AM129" s="509"/>
      <c r="AN129" s="509"/>
      <c r="AO129" s="509"/>
      <c r="AP129" s="509"/>
      <c r="AQ129" s="509"/>
      <c r="AR129" s="509"/>
      <c r="AS129" s="509"/>
      <c r="AT129" s="509"/>
      <c r="AU129" s="509"/>
      <c r="AV129" s="509"/>
      <c r="AW129" s="509"/>
      <c r="AX129" s="509"/>
      <c r="AY129" s="509"/>
      <c r="AZ129" s="509"/>
      <c r="BA129" s="509"/>
      <c r="BB129" s="509"/>
      <c r="BC129" s="509"/>
      <c r="BD129" s="509"/>
      <c r="BE129" s="509"/>
      <c r="BF129" s="509"/>
      <c r="BG129" s="509"/>
      <c r="BH129" s="509"/>
      <c r="BI129" s="509"/>
      <c r="BJ129" s="509"/>
      <c r="BK129" s="509"/>
      <c r="BL129" s="509"/>
      <c r="BM129" s="509"/>
      <c r="BN129" s="509"/>
      <c r="BO129" s="509"/>
      <c r="BP129" s="509"/>
      <c r="BQ129" s="509"/>
      <c r="BR129" s="509"/>
      <c r="BS129" s="509"/>
      <c r="BT129" s="509"/>
      <c r="BU129" s="509"/>
      <c r="BV129" s="509"/>
      <c r="BW129" s="509"/>
      <c r="BX129" s="509"/>
    </row>
    <row r="130" outlineLevel="2" spans="2:76">
      <c r="B130" t="s">
        <v>313</v>
      </c>
      <c r="C130" t="s">
        <v>314</v>
      </c>
      <c r="F130" s="509"/>
      <c r="G130" s="509"/>
      <c r="H130" s="509"/>
      <c r="I130" s="509"/>
      <c r="J130" s="509"/>
      <c r="K130" s="509"/>
      <c r="L130" s="509"/>
      <c r="M130" s="509"/>
      <c r="N130" s="509"/>
      <c r="O130" s="509"/>
      <c r="P130" s="509"/>
      <c r="Q130" s="509">
        <v>0</v>
      </c>
      <c r="R130" s="509">
        <v>0</v>
      </c>
      <c r="S130" s="509">
        <v>0</v>
      </c>
      <c r="T130" s="509">
        <v>0</v>
      </c>
      <c r="U130" s="509"/>
      <c r="V130" s="509"/>
      <c r="W130" s="509"/>
      <c r="X130" s="509"/>
      <c r="Y130" s="509"/>
      <c r="Z130" s="509"/>
      <c r="AA130" s="509"/>
      <c r="AB130" s="509"/>
      <c r="AC130" s="509"/>
      <c r="AD130" s="509"/>
      <c r="AE130" s="509"/>
      <c r="AF130" s="509"/>
      <c r="AG130" s="509"/>
      <c r="AH130" s="509"/>
      <c r="AI130" s="509"/>
      <c r="AJ130" s="509"/>
      <c r="AK130" s="509"/>
      <c r="AL130" s="509"/>
      <c r="AM130" s="509"/>
      <c r="AN130" s="509"/>
      <c r="AO130" s="509"/>
      <c r="AP130" s="509"/>
      <c r="AQ130" s="509"/>
      <c r="AR130" s="509"/>
      <c r="AS130" s="509"/>
      <c r="AT130" s="509"/>
      <c r="AU130" s="509"/>
      <c r="AV130" s="509"/>
      <c r="AW130" s="509"/>
      <c r="AX130" s="509"/>
      <c r="AY130" s="509"/>
      <c r="AZ130" s="509"/>
      <c r="BA130" s="509"/>
      <c r="BB130" s="509"/>
      <c r="BC130" s="509"/>
      <c r="BD130" s="509"/>
      <c r="BE130" s="509"/>
      <c r="BF130" s="509"/>
      <c r="BG130" s="509"/>
      <c r="BH130" s="509"/>
      <c r="BI130" s="509"/>
      <c r="BJ130" s="509"/>
      <c r="BK130" s="509"/>
      <c r="BL130" s="509"/>
      <c r="BM130" s="509"/>
      <c r="BN130" s="509"/>
      <c r="BO130" s="509"/>
      <c r="BP130" s="509"/>
      <c r="BQ130" s="509"/>
      <c r="BR130" s="509"/>
      <c r="BS130" s="509"/>
      <c r="BT130" s="509"/>
      <c r="BU130" s="509"/>
      <c r="BV130" s="509"/>
      <c r="BW130" s="509"/>
      <c r="BX130" s="509"/>
    </row>
    <row r="131" outlineLevel="2" spans="2:76">
      <c r="B131" t="s">
        <v>315</v>
      </c>
      <c r="C131" t="s">
        <v>316</v>
      </c>
      <c r="F131" s="509"/>
      <c r="G131" s="509"/>
      <c r="H131" s="509"/>
      <c r="I131" s="509"/>
      <c r="J131" s="509"/>
      <c r="K131" s="509"/>
      <c r="L131" s="509"/>
      <c r="M131" s="509"/>
      <c r="N131" s="509"/>
      <c r="O131" s="509"/>
      <c r="P131" s="509"/>
      <c r="Q131" s="509">
        <v>0</v>
      </c>
      <c r="R131" s="509">
        <v>0</v>
      </c>
      <c r="S131" s="509">
        <v>0</v>
      </c>
      <c r="T131" s="509">
        <v>0</v>
      </c>
      <c r="U131" s="509"/>
      <c r="V131" s="509"/>
      <c r="W131" s="509"/>
      <c r="X131" s="509"/>
      <c r="Y131" s="509"/>
      <c r="Z131" s="509"/>
      <c r="AA131" s="509"/>
      <c r="AB131" s="509"/>
      <c r="AC131" s="509"/>
      <c r="AD131" s="509"/>
      <c r="AE131" s="509"/>
      <c r="AF131" s="509"/>
      <c r="AG131" s="509"/>
      <c r="AH131" s="509"/>
      <c r="AI131" s="509"/>
      <c r="AJ131" s="509"/>
      <c r="AK131" s="509"/>
      <c r="AL131" s="509"/>
      <c r="AM131" s="509"/>
      <c r="AN131" s="509"/>
      <c r="AO131" s="509"/>
      <c r="AP131" s="509"/>
      <c r="AQ131" s="509"/>
      <c r="AR131" s="509"/>
      <c r="AS131" s="509"/>
      <c r="AT131" s="509"/>
      <c r="AU131" s="509"/>
      <c r="AV131" s="509"/>
      <c r="AW131" s="509"/>
      <c r="AX131" s="509"/>
      <c r="AY131" s="509"/>
      <c r="AZ131" s="509"/>
      <c r="BA131" s="509"/>
      <c r="BB131" s="509"/>
      <c r="BC131" s="509"/>
      <c r="BD131" s="509"/>
      <c r="BE131" s="509"/>
      <c r="BF131" s="509"/>
      <c r="BG131" s="509"/>
      <c r="BH131" s="509"/>
      <c r="BI131" s="509"/>
      <c r="BJ131" s="509"/>
      <c r="BK131" s="509"/>
      <c r="BL131" s="509"/>
      <c r="BM131" s="509"/>
      <c r="BN131" s="509"/>
      <c r="BO131" s="509"/>
      <c r="BP131" s="509"/>
      <c r="BQ131" s="509"/>
      <c r="BR131" s="509"/>
      <c r="BS131" s="509"/>
      <c r="BT131" s="509"/>
      <c r="BU131" s="509"/>
      <c r="BV131" s="509"/>
      <c r="BW131" s="509"/>
      <c r="BX131" s="509"/>
    </row>
    <row r="132" outlineLevel="2" spans="2:76">
      <c r="B132" t="s">
        <v>317</v>
      </c>
      <c r="C132" t="s">
        <v>318</v>
      </c>
      <c r="F132" s="509"/>
      <c r="G132" s="509"/>
      <c r="H132" s="509"/>
      <c r="I132" s="509"/>
      <c r="J132" s="509"/>
      <c r="K132" s="509"/>
      <c r="L132" s="509"/>
      <c r="M132" s="509"/>
      <c r="N132" s="509"/>
      <c r="O132" s="509"/>
      <c r="P132" s="509"/>
      <c r="Q132" s="509">
        <v>0</v>
      </c>
      <c r="R132" s="509">
        <v>0</v>
      </c>
      <c r="S132" s="509">
        <v>0</v>
      </c>
      <c r="T132" s="509">
        <v>0</v>
      </c>
      <c r="U132" s="509"/>
      <c r="V132" s="509"/>
      <c r="W132" s="509"/>
      <c r="X132" s="509"/>
      <c r="Y132" s="509"/>
      <c r="Z132" s="509"/>
      <c r="AA132" s="509"/>
      <c r="AB132" s="509"/>
      <c r="AC132" s="509"/>
      <c r="AD132" s="509"/>
      <c r="AE132" s="509"/>
      <c r="AF132" s="509"/>
      <c r="AG132" s="509"/>
      <c r="AH132" s="509"/>
      <c r="AI132" s="509"/>
      <c r="AJ132" s="509"/>
      <c r="AK132" s="509"/>
      <c r="AL132" s="509"/>
      <c r="AM132" s="509"/>
      <c r="AN132" s="509"/>
      <c r="AO132" s="509"/>
      <c r="AP132" s="509"/>
      <c r="AQ132" s="509"/>
      <c r="AR132" s="509"/>
      <c r="AS132" s="509"/>
      <c r="AT132" s="509"/>
      <c r="AU132" s="509"/>
      <c r="AV132" s="509"/>
      <c r="AW132" s="509"/>
      <c r="AX132" s="509"/>
      <c r="AY132" s="509"/>
      <c r="AZ132" s="509"/>
      <c r="BA132" s="509"/>
      <c r="BB132" s="509"/>
      <c r="BC132" s="509"/>
      <c r="BD132" s="509"/>
      <c r="BE132" s="509"/>
      <c r="BF132" s="509"/>
      <c r="BG132" s="509"/>
      <c r="BH132" s="509"/>
      <c r="BI132" s="509"/>
      <c r="BJ132" s="509"/>
      <c r="BK132" s="509"/>
      <c r="BL132" s="509"/>
      <c r="BM132" s="509"/>
      <c r="BN132" s="509"/>
      <c r="BO132" s="509"/>
      <c r="BP132" s="509"/>
      <c r="BQ132" s="509"/>
      <c r="BR132" s="509"/>
      <c r="BS132" s="509"/>
      <c r="BT132" s="509"/>
      <c r="BU132" s="509"/>
      <c r="BV132" s="509"/>
      <c r="BW132" s="509"/>
      <c r="BX132" s="509"/>
    </row>
    <row r="133" outlineLevel="2" spans="2:76">
      <c r="B133" t="s">
        <v>319</v>
      </c>
      <c r="C133" t="s">
        <v>320</v>
      </c>
      <c r="F133" s="509"/>
      <c r="G133" s="509"/>
      <c r="H133" s="509"/>
      <c r="I133" s="509"/>
      <c r="J133" s="509"/>
      <c r="K133" s="509"/>
      <c r="L133" s="509"/>
      <c r="M133" s="509"/>
      <c r="N133" s="509"/>
      <c r="O133" s="509"/>
      <c r="P133" s="509"/>
      <c r="Q133" s="509">
        <v>0</v>
      </c>
      <c r="R133" s="509">
        <v>0</v>
      </c>
      <c r="S133" s="509">
        <v>0</v>
      </c>
      <c r="T133" s="509">
        <v>0</v>
      </c>
      <c r="U133" s="509"/>
      <c r="V133" s="509"/>
      <c r="W133" s="509"/>
      <c r="X133" s="509"/>
      <c r="Y133" s="509"/>
      <c r="Z133" s="509"/>
      <c r="AA133" s="509"/>
      <c r="AB133" s="509"/>
      <c r="AC133" s="509"/>
      <c r="AD133" s="509"/>
      <c r="AE133" s="509"/>
      <c r="AF133" s="509"/>
      <c r="AG133" s="509"/>
      <c r="AH133" s="509"/>
      <c r="AI133" s="509"/>
      <c r="AJ133" s="509"/>
      <c r="AK133" s="509"/>
      <c r="AL133" s="509"/>
      <c r="AM133" s="509"/>
      <c r="AN133" s="509"/>
      <c r="AO133" s="509"/>
      <c r="AP133" s="509"/>
      <c r="AQ133" s="509"/>
      <c r="AR133" s="509"/>
      <c r="AS133" s="509"/>
      <c r="AT133" s="509"/>
      <c r="AU133" s="509"/>
      <c r="AV133" s="509"/>
      <c r="AW133" s="509"/>
      <c r="AX133" s="509"/>
      <c r="AY133" s="509"/>
      <c r="AZ133" s="509"/>
      <c r="BA133" s="509"/>
      <c r="BB133" s="509"/>
      <c r="BC133" s="509"/>
      <c r="BD133" s="509"/>
      <c r="BE133" s="509"/>
      <c r="BF133" s="509"/>
      <c r="BG133" s="509"/>
      <c r="BH133" s="509"/>
      <c r="BI133" s="509"/>
      <c r="BJ133" s="509"/>
      <c r="BK133" s="509"/>
      <c r="BL133" s="509"/>
      <c r="BM133" s="509"/>
      <c r="BN133" s="509"/>
      <c r="BO133" s="509"/>
      <c r="BP133" s="509"/>
      <c r="BQ133" s="509"/>
      <c r="BR133" s="509"/>
      <c r="BS133" s="509"/>
      <c r="BT133" s="509"/>
      <c r="BU133" s="509"/>
      <c r="BV133" s="509"/>
      <c r="BW133" s="509"/>
      <c r="BX133" s="509"/>
    </row>
    <row r="134" outlineLevel="2" spans="2:76">
      <c r="B134" t="s">
        <v>321</v>
      </c>
      <c r="C134" t="s">
        <v>322</v>
      </c>
      <c r="F134" s="509"/>
      <c r="G134" s="509"/>
      <c r="H134" s="509"/>
      <c r="I134" s="509"/>
      <c r="J134" s="509"/>
      <c r="K134" s="509"/>
      <c r="L134" s="509"/>
      <c r="M134" s="509"/>
      <c r="N134" s="509"/>
      <c r="O134" s="509"/>
      <c r="P134" s="509"/>
      <c r="Q134" s="509">
        <v>0</v>
      </c>
      <c r="R134" s="509">
        <v>0</v>
      </c>
      <c r="S134" s="509">
        <v>0</v>
      </c>
      <c r="T134" s="509">
        <v>0</v>
      </c>
      <c r="U134" s="509"/>
      <c r="V134" s="509"/>
      <c r="W134" s="509"/>
      <c r="X134" s="509"/>
      <c r="Y134" s="509"/>
      <c r="Z134" s="509"/>
      <c r="AA134" s="509"/>
      <c r="AB134" s="509"/>
      <c r="AC134" s="509"/>
      <c r="AD134" s="509"/>
      <c r="AE134" s="509"/>
      <c r="AF134" s="509"/>
      <c r="AG134" s="509"/>
      <c r="AH134" s="509"/>
      <c r="AI134" s="509"/>
      <c r="AJ134" s="509"/>
      <c r="AK134" s="509"/>
      <c r="AL134" s="509"/>
      <c r="AM134" s="509"/>
      <c r="AN134" s="509"/>
      <c r="AO134" s="509"/>
      <c r="AP134" s="509"/>
      <c r="AQ134" s="509"/>
      <c r="AR134" s="509"/>
      <c r="AS134" s="509"/>
      <c r="AT134" s="509"/>
      <c r="AU134" s="509"/>
      <c r="AV134" s="509"/>
      <c r="AW134" s="509"/>
      <c r="AX134" s="509"/>
      <c r="AY134" s="509"/>
      <c r="AZ134" s="509"/>
      <c r="BA134" s="509"/>
      <c r="BB134" s="509"/>
      <c r="BC134" s="509"/>
      <c r="BD134" s="509"/>
      <c r="BE134" s="509"/>
      <c r="BF134" s="509"/>
      <c r="BG134" s="509"/>
      <c r="BH134" s="509"/>
      <c r="BI134" s="509"/>
      <c r="BJ134" s="509"/>
      <c r="BK134" s="509"/>
      <c r="BL134" s="509"/>
      <c r="BM134" s="509"/>
      <c r="BN134" s="509"/>
      <c r="BO134" s="509"/>
      <c r="BP134" s="509"/>
      <c r="BQ134" s="509"/>
      <c r="BR134" s="509"/>
      <c r="BS134" s="509"/>
      <c r="BT134" s="509"/>
      <c r="BU134" s="509"/>
      <c r="BV134" s="509"/>
      <c r="BW134" s="509"/>
      <c r="BX134" s="509"/>
    </row>
    <row r="135" outlineLevel="2" spans="2:76">
      <c r="B135" t="s">
        <v>323</v>
      </c>
      <c r="C135" t="s">
        <v>324</v>
      </c>
      <c r="F135" s="509"/>
      <c r="G135" s="509"/>
      <c r="H135" s="509"/>
      <c r="I135" s="509"/>
      <c r="J135" s="509"/>
      <c r="K135" s="509"/>
      <c r="L135" s="509"/>
      <c r="M135" s="509"/>
      <c r="N135" s="509"/>
      <c r="O135" s="509"/>
      <c r="P135" s="509"/>
      <c r="Q135" s="509">
        <v>0</v>
      </c>
      <c r="R135" s="509">
        <v>0</v>
      </c>
      <c r="S135" s="509">
        <v>0</v>
      </c>
      <c r="T135" s="509">
        <v>0</v>
      </c>
      <c r="U135" s="509"/>
      <c r="V135" s="509"/>
      <c r="W135" s="509"/>
      <c r="X135" s="509"/>
      <c r="Y135" s="509"/>
      <c r="Z135" s="509"/>
      <c r="AA135" s="509"/>
      <c r="AB135" s="509"/>
      <c r="AC135" s="509"/>
      <c r="AD135" s="509"/>
      <c r="AE135" s="509"/>
      <c r="AF135" s="509"/>
      <c r="AG135" s="509"/>
      <c r="AH135" s="509"/>
      <c r="AI135" s="509"/>
      <c r="AJ135" s="509"/>
      <c r="AK135" s="509"/>
      <c r="AL135" s="509"/>
      <c r="AM135" s="509"/>
      <c r="AN135" s="509"/>
      <c r="AO135" s="509"/>
      <c r="AP135" s="509"/>
      <c r="AQ135" s="509"/>
      <c r="AR135" s="509"/>
      <c r="AS135" s="509"/>
      <c r="AT135" s="509"/>
      <c r="AU135" s="509"/>
      <c r="AV135" s="509"/>
      <c r="AW135" s="509"/>
      <c r="AX135" s="509"/>
      <c r="AY135" s="509"/>
      <c r="AZ135" s="509"/>
      <c r="BA135" s="509"/>
      <c r="BB135" s="509"/>
      <c r="BC135" s="509"/>
      <c r="BD135" s="509"/>
      <c r="BE135" s="509"/>
      <c r="BF135" s="509"/>
      <c r="BG135" s="509"/>
      <c r="BH135" s="509"/>
      <c r="BI135" s="509"/>
      <c r="BJ135" s="509"/>
      <c r="BK135" s="509"/>
      <c r="BL135" s="509"/>
      <c r="BM135" s="509"/>
      <c r="BN135" s="509"/>
      <c r="BO135" s="509"/>
      <c r="BP135" s="509"/>
      <c r="BQ135" s="509"/>
      <c r="BR135" s="509"/>
      <c r="BS135" s="509"/>
      <c r="BT135" s="509"/>
      <c r="BU135" s="509"/>
      <c r="BV135" s="509"/>
      <c r="BW135" s="509"/>
      <c r="BX135" s="509"/>
    </row>
    <row r="136" outlineLevel="2" spans="2:76">
      <c r="B136" t="s">
        <v>325</v>
      </c>
      <c r="C136" t="s">
        <v>326</v>
      </c>
      <c r="F136" s="509"/>
      <c r="G136" s="509"/>
      <c r="H136" s="509"/>
      <c r="I136" s="509"/>
      <c r="J136" s="509"/>
      <c r="K136" s="509"/>
      <c r="L136" s="509"/>
      <c r="M136" s="509"/>
      <c r="N136" s="509"/>
      <c r="O136" s="509"/>
      <c r="P136" s="509"/>
      <c r="Q136" s="509">
        <v>0</v>
      </c>
      <c r="R136" s="509">
        <v>0</v>
      </c>
      <c r="S136" s="509">
        <v>0</v>
      </c>
      <c r="T136" s="509">
        <v>0</v>
      </c>
      <c r="U136" s="509"/>
      <c r="V136" s="509"/>
      <c r="W136" s="509"/>
      <c r="X136" s="509"/>
      <c r="Y136" s="509"/>
      <c r="Z136" s="509"/>
      <c r="AA136" s="509"/>
      <c r="AB136" s="509"/>
      <c r="AC136" s="509"/>
      <c r="AD136" s="509"/>
      <c r="AE136" s="509"/>
      <c r="AF136" s="509"/>
      <c r="AG136" s="509"/>
      <c r="AH136" s="509"/>
      <c r="AI136" s="509"/>
      <c r="AJ136" s="509"/>
      <c r="AK136" s="509"/>
      <c r="AL136" s="509"/>
      <c r="AM136" s="509"/>
      <c r="AN136" s="509"/>
      <c r="AO136" s="509"/>
      <c r="AP136" s="509"/>
      <c r="AQ136" s="509"/>
      <c r="AR136" s="509"/>
      <c r="AS136" s="509"/>
      <c r="AT136" s="509"/>
      <c r="AU136" s="509"/>
      <c r="AV136" s="509"/>
      <c r="AW136" s="509"/>
      <c r="AX136" s="509"/>
      <c r="AY136" s="509"/>
      <c r="AZ136" s="509"/>
      <c r="BA136" s="509"/>
      <c r="BB136" s="509"/>
      <c r="BC136" s="509"/>
      <c r="BD136" s="509"/>
      <c r="BE136" s="509"/>
      <c r="BF136" s="509"/>
      <c r="BG136" s="509"/>
      <c r="BH136" s="509"/>
      <c r="BI136" s="509"/>
      <c r="BJ136" s="509"/>
      <c r="BK136" s="509"/>
      <c r="BL136" s="509"/>
      <c r="BM136" s="509"/>
      <c r="BN136" s="509"/>
      <c r="BO136" s="509"/>
      <c r="BP136" s="509"/>
      <c r="BQ136" s="509"/>
      <c r="BR136" s="509"/>
      <c r="BS136" s="509"/>
      <c r="BT136" s="509"/>
      <c r="BU136" s="509"/>
      <c r="BV136" s="509"/>
      <c r="BW136" s="509"/>
      <c r="BX136" s="509"/>
    </row>
    <row r="137" outlineLevel="2" spans="2:76">
      <c r="B137" t="s">
        <v>327</v>
      </c>
      <c r="C137" t="s">
        <v>328</v>
      </c>
      <c r="F137" s="509"/>
      <c r="G137" s="509"/>
      <c r="H137" s="509"/>
      <c r="I137" s="509"/>
      <c r="J137" s="509"/>
      <c r="K137" s="509"/>
      <c r="L137" s="509"/>
      <c r="M137" s="509"/>
      <c r="N137" s="509"/>
      <c r="O137" s="509"/>
      <c r="P137" s="509"/>
      <c r="Q137" s="509">
        <v>0</v>
      </c>
      <c r="R137" s="509">
        <v>0</v>
      </c>
      <c r="S137" s="509">
        <v>0</v>
      </c>
      <c r="T137" s="509">
        <v>0</v>
      </c>
      <c r="U137" s="509"/>
      <c r="V137" s="509"/>
      <c r="W137" s="509"/>
      <c r="X137" s="509"/>
      <c r="Y137" s="509"/>
      <c r="Z137" s="509"/>
      <c r="AA137" s="509"/>
      <c r="AB137" s="509"/>
      <c r="AC137" s="509"/>
      <c r="AD137" s="509"/>
      <c r="AE137" s="509"/>
      <c r="AF137" s="509"/>
      <c r="AG137" s="509"/>
      <c r="AH137" s="509"/>
      <c r="AI137" s="509"/>
      <c r="AJ137" s="509"/>
      <c r="AK137" s="509"/>
      <c r="AL137" s="509"/>
      <c r="AM137" s="509"/>
      <c r="AN137" s="509"/>
      <c r="AO137" s="509"/>
      <c r="AP137" s="509"/>
      <c r="AQ137" s="509"/>
      <c r="AR137" s="509"/>
      <c r="AS137" s="509"/>
      <c r="AT137" s="509"/>
      <c r="AU137" s="509"/>
      <c r="AV137" s="509"/>
      <c r="AW137" s="509"/>
      <c r="AX137" s="509"/>
      <c r="AY137" s="509"/>
      <c r="AZ137" s="509"/>
      <c r="BA137" s="509"/>
      <c r="BB137" s="509"/>
      <c r="BC137" s="509"/>
      <c r="BD137" s="509"/>
      <c r="BE137" s="509"/>
      <c r="BF137" s="509"/>
      <c r="BG137" s="509"/>
      <c r="BH137" s="509"/>
      <c r="BI137" s="509"/>
      <c r="BJ137" s="509"/>
      <c r="BK137" s="509"/>
      <c r="BL137" s="509"/>
      <c r="BM137" s="509"/>
      <c r="BN137" s="509"/>
      <c r="BO137" s="509"/>
      <c r="BP137" s="509"/>
      <c r="BQ137" s="509"/>
      <c r="BR137" s="509"/>
      <c r="BS137" s="509"/>
      <c r="BT137" s="509"/>
      <c r="BU137" s="509"/>
      <c r="BV137" s="509"/>
      <c r="BW137" s="509"/>
      <c r="BX137" s="509"/>
    </row>
    <row r="138" outlineLevel="2" spans="2:76">
      <c r="B138" t="s">
        <v>329</v>
      </c>
      <c r="C138" t="s">
        <v>330</v>
      </c>
      <c r="F138" s="509"/>
      <c r="G138" s="509"/>
      <c r="H138" s="509"/>
      <c r="I138" s="509"/>
      <c r="J138" s="509"/>
      <c r="K138" s="509"/>
      <c r="L138" s="509"/>
      <c r="M138" s="509"/>
      <c r="N138" s="509"/>
      <c r="O138" s="509"/>
      <c r="P138" s="509"/>
      <c r="Q138" s="509">
        <v>0</v>
      </c>
      <c r="R138" s="509">
        <v>0</v>
      </c>
      <c r="S138" s="509">
        <v>0</v>
      </c>
      <c r="T138" s="509">
        <v>0</v>
      </c>
      <c r="U138" s="509"/>
      <c r="V138" s="509"/>
      <c r="W138" s="509"/>
      <c r="X138" s="509"/>
      <c r="Y138" s="509"/>
      <c r="Z138" s="509"/>
      <c r="AA138" s="509"/>
      <c r="AB138" s="509"/>
      <c r="AC138" s="509"/>
      <c r="AD138" s="509"/>
      <c r="AE138" s="509"/>
      <c r="AF138" s="509"/>
      <c r="AG138" s="509"/>
      <c r="AH138" s="509"/>
      <c r="AI138" s="509"/>
      <c r="AJ138" s="509"/>
      <c r="AK138" s="509"/>
      <c r="AL138" s="509"/>
      <c r="AM138" s="509"/>
      <c r="AN138" s="509"/>
      <c r="AO138" s="509"/>
      <c r="AP138" s="509"/>
      <c r="AQ138" s="509"/>
      <c r="AR138" s="509"/>
      <c r="AS138" s="509"/>
      <c r="AT138" s="509"/>
      <c r="AU138" s="509"/>
      <c r="AV138" s="509"/>
      <c r="AW138" s="509"/>
      <c r="AX138" s="509"/>
      <c r="AY138" s="509"/>
      <c r="AZ138" s="509"/>
      <c r="BA138" s="509"/>
      <c r="BB138" s="509"/>
      <c r="BC138" s="509"/>
      <c r="BD138" s="509"/>
      <c r="BE138" s="509"/>
      <c r="BF138" s="509"/>
      <c r="BG138" s="509"/>
      <c r="BH138" s="509"/>
      <c r="BI138" s="509"/>
      <c r="BJ138" s="509"/>
      <c r="BK138" s="509"/>
      <c r="BL138" s="509"/>
      <c r="BM138" s="509"/>
      <c r="BN138" s="509"/>
      <c r="BO138" s="509"/>
      <c r="BP138" s="509"/>
      <c r="BQ138" s="509"/>
      <c r="BR138" s="509"/>
      <c r="BS138" s="509"/>
      <c r="BT138" s="509"/>
      <c r="BU138" s="509"/>
      <c r="BV138" s="509"/>
      <c r="BW138" s="509"/>
      <c r="BX138" s="509"/>
    </row>
    <row r="139" outlineLevel="2" spans="2:76">
      <c r="B139" t="s">
        <v>331</v>
      </c>
      <c r="C139" t="s">
        <v>332</v>
      </c>
      <c r="F139" s="509"/>
      <c r="G139" s="509"/>
      <c r="H139" s="509"/>
      <c r="I139" s="509"/>
      <c r="J139" s="509"/>
      <c r="K139" s="509"/>
      <c r="L139" s="509"/>
      <c r="M139" s="509"/>
      <c r="N139" s="509"/>
      <c r="O139" s="509"/>
      <c r="P139" s="509"/>
      <c r="Q139" s="509">
        <v>0</v>
      </c>
      <c r="R139" s="509">
        <v>0</v>
      </c>
      <c r="S139" s="509">
        <v>0</v>
      </c>
      <c r="T139" s="509">
        <v>0</v>
      </c>
      <c r="U139" s="509"/>
      <c r="V139" s="509"/>
      <c r="W139" s="509"/>
      <c r="X139" s="509"/>
      <c r="Y139" s="509"/>
      <c r="Z139" s="509"/>
      <c r="AA139" s="509"/>
      <c r="AB139" s="509"/>
      <c r="AC139" s="509"/>
      <c r="AD139" s="509"/>
      <c r="AE139" s="509"/>
      <c r="AF139" s="509"/>
      <c r="AG139" s="509"/>
      <c r="AH139" s="509"/>
      <c r="AI139" s="509"/>
      <c r="AJ139" s="509"/>
      <c r="AK139" s="509"/>
      <c r="AL139" s="509"/>
      <c r="AM139" s="509"/>
      <c r="AN139" s="509"/>
      <c r="AO139" s="509"/>
      <c r="AP139" s="509"/>
      <c r="AQ139" s="509"/>
      <c r="AR139" s="509"/>
      <c r="AS139" s="509"/>
      <c r="AT139" s="509"/>
      <c r="AU139" s="509"/>
      <c r="AV139" s="509"/>
      <c r="AW139" s="509"/>
      <c r="AX139" s="509"/>
      <c r="AY139" s="509"/>
      <c r="AZ139" s="509"/>
      <c r="BA139" s="509"/>
      <c r="BB139" s="509"/>
      <c r="BC139" s="509"/>
      <c r="BD139" s="509"/>
      <c r="BE139" s="509"/>
      <c r="BF139" s="509"/>
      <c r="BG139" s="509"/>
      <c r="BH139" s="509"/>
      <c r="BI139" s="509"/>
      <c r="BJ139" s="509"/>
      <c r="BK139" s="509"/>
      <c r="BL139" s="509"/>
      <c r="BM139" s="509"/>
      <c r="BN139" s="509"/>
      <c r="BO139" s="509"/>
      <c r="BP139" s="509"/>
      <c r="BQ139" s="509"/>
      <c r="BR139" s="509"/>
      <c r="BS139" s="509"/>
      <c r="BT139" s="509"/>
      <c r="BU139" s="509"/>
      <c r="BV139" s="509"/>
      <c r="BW139" s="509"/>
      <c r="BX139" s="509"/>
    </row>
    <row r="140" outlineLevel="2" spans="2:76">
      <c r="B140" t="s">
        <v>333</v>
      </c>
      <c r="C140" t="s">
        <v>334</v>
      </c>
      <c r="F140" s="509"/>
      <c r="G140" s="509"/>
      <c r="H140" s="509"/>
      <c r="I140" s="509"/>
      <c r="J140" s="509"/>
      <c r="K140" s="509"/>
      <c r="L140" s="509"/>
      <c r="M140" s="509"/>
      <c r="N140" s="509"/>
      <c r="O140" s="509"/>
      <c r="P140" s="509"/>
      <c r="Q140" s="509">
        <v>0</v>
      </c>
      <c r="R140" s="509">
        <v>0</v>
      </c>
      <c r="S140" s="509">
        <v>0</v>
      </c>
      <c r="T140" s="509">
        <v>0</v>
      </c>
      <c r="U140" s="509"/>
      <c r="V140" s="509"/>
      <c r="W140" s="509"/>
      <c r="X140" s="509"/>
      <c r="Y140" s="509"/>
      <c r="Z140" s="509"/>
      <c r="AA140" s="509"/>
      <c r="AB140" s="509"/>
      <c r="AC140" s="509"/>
      <c r="AD140" s="509"/>
      <c r="AE140" s="509"/>
      <c r="AF140" s="509"/>
      <c r="AG140" s="509"/>
      <c r="AH140" s="509"/>
      <c r="AI140" s="509"/>
      <c r="AJ140" s="509"/>
      <c r="AK140" s="509"/>
      <c r="AL140" s="509"/>
      <c r="AM140" s="509"/>
      <c r="AN140" s="509"/>
      <c r="AO140" s="509"/>
      <c r="AP140" s="509"/>
      <c r="AQ140" s="509"/>
      <c r="AR140" s="509"/>
      <c r="AS140" s="509"/>
      <c r="AT140" s="509"/>
      <c r="AU140" s="509"/>
      <c r="AV140" s="509"/>
      <c r="AW140" s="509"/>
      <c r="AX140" s="509"/>
      <c r="AY140" s="509"/>
      <c r="AZ140" s="509"/>
      <c r="BA140" s="509"/>
      <c r="BB140" s="509"/>
      <c r="BC140" s="509"/>
      <c r="BD140" s="509"/>
      <c r="BE140" s="509"/>
      <c r="BF140" s="509"/>
      <c r="BG140" s="509"/>
      <c r="BH140" s="509"/>
      <c r="BI140" s="509"/>
      <c r="BJ140" s="509"/>
      <c r="BK140" s="509"/>
      <c r="BL140" s="509"/>
      <c r="BM140" s="509"/>
      <c r="BN140" s="509"/>
      <c r="BO140" s="509"/>
      <c r="BP140" s="509"/>
      <c r="BQ140" s="509"/>
      <c r="BR140" s="509"/>
      <c r="BS140" s="509"/>
      <c r="BT140" s="509"/>
      <c r="BU140" s="509"/>
      <c r="BV140" s="509"/>
      <c r="BW140" s="509"/>
      <c r="BX140" s="509"/>
    </row>
    <row r="141" outlineLevel="2" spans="2:76">
      <c r="B141" t="s">
        <v>335</v>
      </c>
      <c r="C141" t="s">
        <v>336</v>
      </c>
      <c r="F141" s="509"/>
      <c r="G141" s="509"/>
      <c r="H141" s="509"/>
      <c r="I141" s="509"/>
      <c r="J141" s="509"/>
      <c r="K141" s="509"/>
      <c r="L141" s="509"/>
      <c r="M141" s="509"/>
      <c r="N141" s="509"/>
      <c r="O141" s="509"/>
      <c r="P141" s="509"/>
      <c r="Q141" s="509">
        <v>0</v>
      </c>
      <c r="R141" s="509">
        <v>0</v>
      </c>
      <c r="S141" s="509">
        <v>0</v>
      </c>
      <c r="T141" s="509">
        <v>0</v>
      </c>
      <c r="U141" s="509"/>
      <c r="V141" s="509"/>
      <c r="W141" s="509"/>
      <c r="X141" s="509"/>
      <c r="Y141" s="509"/>
      <c r="Z141" s="509"/>
      <c r="AA141" s="509"/>
      <c r="AB141" s="509"/>
      <c r="AC141" s="509"/>
      <c r="AD141" s="509"/>
      <c r="AE141" s="509"/>
      <c r="AF141" s="509"/>
      <c r="AG141" s="509"/>
      <c r="AH141" s="509"/>
      <c r="AI141" s="509"/>
      <c r="AJ141" s="509"/>
      <c r="AK141" s="509"/>
      <c r="AL141" s="509"/>
      <c r="AM141" s="509"/>
      <c r="AN141" s="509"/>
      <c r="AO141" s="509"/>
      <c r="AP141" s="509"/>
      <c r="AQ141" s="509"/>
      <c r="AR141" s="509"/>
      <c r="AS141" s="509"/>
      <c r="AT141" s="509"/>
      <c r="AU141" s="509"/>
      <c r="AV141" s="509"/>
      <c r="AW141" s="509"/>
      <c r="AX141" s="509"/>
      <c r="AY141" s="509"/>
      <c r="AZ141" s="509"/>
      <c r="BA141" s="509"/>
      <c r="BB141" s="509"/>
      <c r="BC141" s="509"/>
      <c r="BD141" s="509"/>
      <c r="BE141" s="509"/>
      <c r="BF141" s="509"/>
      <c r="BG141" s="509"/>
      <c r="BH141" s="509"/>
      <c r="BI141" s="509"/>
      <c r="BJ141" s="509"/>
      <c r="BK141" s="509"/>
      <c r="BL141" s="509"/>
      <c r="BM141" s="509"/>
      <c r="BN141" s="509"/>
      <c r="BO141" s="509"/>
      <c r="BP141" s="509"/>
      <c r="BQ141" s="509"/>
      <c r="BR141" s="509"/>
      <c r="BS141" s="509"/>
      <c r="BT141" s="509"/>
      <c r="BU141" s="509"/>
      <c r="BV141" s="509"/>
      <c r="BW141" s="509"/>
      <c r="BX141" s="509"/>
    </row>
    <row r="142" outlineLevel="2" spans="2:76">
      <c r="B142" t="s">
        <v>337</v>
      </c>
      <c r="C142" t="s">
        <v>338</v>
      </c>
      <c r="F142" s="509"/>
      <c r="G142" s="509"/>
      <c r="H142" s="509"/>
      <c r="I142" s="509"/>
      <c r="J142" s="509"/>
      <c r="K142" s="509"/>
      <c r="L142" s="509"/>
      <c r="M142" s="509"/>
      <c r="N142" s="509"/>
      <c r="O142" s="509"/>
      <c r="P142" s="509"/>
      <c r="Q142" s="509">
        <v>0</v>
      </c>
      <c r="R142" s="509">
        <v>0</v>
      </c>
      <c r="S142" s="509">
        <v>0</v>
      </c>
      <c r="T142" s="509">
        <v>0</v>
      </c>
      <c r="U142" s="509"/>
      <c r="V142" s="509"/>
      <c r="W142" s="509"/>
      <c r="X142" s="509"/>
      <c r="Y142" s="509"/>
      <c r="Z142" s="509"/>
      <c r="AA142" s="509"/>
      <c r="AB142" s="509"/>
      <c r="AC142" s="509"/>
      <c r="AD142" s="509"/>
      <c r="AE142" s="509"/>
      <c r="AF142" s="509"/>
      <c r="AG142" s="509"/>
      <c r="AH142" s="509"/>
      <c r="AI142" s="509"/>
      <c r="AJ142" s="509"/>
      <c r="AK142" s="509"/>
      <c r="AL142" s="509"/>
      <c r="AM142" s="509"/>
      <c r="AN142" s="509"/>
      <c r="AO142" s="509"/>
      <c r="AP142" s="509"/>
      <c r="AQ142" s="509"/>
      <c r="AR142" s="509"/>
      <c r="AS142" s="509"/>
      <c r="AT142" s="509"/>
      <c r="AU142" s="509"/>
      <c r="AV142" s="509"/>
      <c r="AW142" s="509"/>
      <c r="AX142" s="509"/>
      <c r="AY142" s="509"/>
      <c r="AZ142" s="509"/>
      <c r="BA142" s="509"/>
      <c r="BB142" s="509"/>
      <c r="BC142" s="509"/>
      <c r="BD142" s="509"/>
      <c r="BE142" s="509"/>
      <c r="BF142" s="509"/>
      <c r="BG142" s="509"/>
      <c r="BH142" s="509"/>
      <c r="BI142" s="509"/>
      <c r="BJ142" s="509"/>
      <c r="BK142" s="509"/>
      <c r="BL142" s="509"/>
      <c r="BM142" s="509"/>
      <c r="BN142" s="509"/>
      <c r="BO142" s="509"/>
      <c r="BP142" s="509"/>
      <c r="BQ142" s="509"/>
      <c r="BR142" s="509"/>
      <c r="BS142" s="509"/>
      <c r="BT142" s="509"/>
      <c r="BU142" s="509"/>
      <c r="BV142" s="509"/>
      <c r="BW142" s="509"/>
      <c r="BX142" s="509"/>
    </row>
    <row r="143" outlineLevel="2" spans="2:76">
      <c r="B143" t="s">
        <v>339</v>
      </c>
      <c r="C143" t="s">
        <v>340</v>
      </c>
      <c r="F143" s="509"/>
      <c r="G143" s="509"/>
      <c r="H143" s="509"/>
      <c r="I143" s="509"/>
      <c r="J143" s="509"/>
      <c r="K143" s="509"/>
      <c r="L143" s="509"/>
      <c r="M143" s="509"/>
      <c r="N143" s="509"/>
      <c r="O143" s="509"/>
      <c r="P143" s="509"/>
      <c r="Q143" s="509">
        <v>0</v>
      </c>
      <c r="R143" s="509">
        <v>0</v>
      </c>
      <c r="S143" s="509">
        <v>0</v>
      </c>
      <c r="T143" s="509">
        <v>0</v>
      </c>
      <c r="U143" s="509"/>
      <c r="V143" s="509"/>
      <c r="W143" s="509"/>
      <c r="X143" s="509"/>
      <c r="Y143" s="509"/>
      <c r="Z143" s="509"/>
      <c r="AA143" s="509"/>
      <c r="AB143" s="509"/>
      <c r="AC143" s="509"/>
      <c r="AD143" s="509"/>
      <c r="AE143" s="509"/>
      <c r="AF143" s="509"/>
      <c r="AG143" s="509"/>
      <c r="AH143" s="509"/>
      <c r="AI143" s="509"/>
      <c r="AJ143" s="509"/>
      <c r="AK143" s="509"/>
      <c r="AL143" s="509"/>
      <c r="AM143" s="509"/>
      <c r="AN143" s="509"/>
      <c r="AO143" s="509"/>
      <c r="AP143" s="509"/>
      <c r="AQ143" s="509"/>
      <c r="AR143" s="509"/>
      <c r="AS143" s="509"/>
      <c r="AT143" s="509"/>
      <c r="AU143" s="509"/>
      <c r="AV143" s="509"/>
      <c r="AW143" s="509"/>
      <c r="AX143" s="509"/>
      <c r="AY143" s="509"/>
      <c r="AZ143" s="509"/>
      <c r="BA143" s="509"/>
      <c r="BB143" s="509"/>
      <c r="BC143" s="509"/>
      <c r="BD143" s="509"/>
      <c r="BE143" s="509"/>
      <c r="BF143" s="509"/>
      <c r="BG143" s="509"/>
      <c r="BH143" s="509"/>
      <c r="BI143" s="509"/>
      <c r="BJ143" s="509"/>
      <c r="BK143" s="509"/>
      <c r="BL143" s="509"/>
      <c r="BM143" s="509"/>
      <c r="BN143" s="509"/>
      <c r="BO143" s="509"/>
      <c r="BP143" s="509"/>
      <c r="BQ143" s="509"/>
      <c r="BR143" s="509"/>
      <c r="BS143" s="509"/>
      <c r="BT143" s="509"/>
      <c r="BU143" s="509"/>
      <c r="BV143" s="509"/>
      <c r="BW143" s="509"/>
      <c r="BX143" s="509"/>
    </row>
    <row r="144" outlineLevel="2" spans="2:76">
      <c r="B144" t="s">
        <v>341</v>
      </c>
      <c r="C144" t="s">
        <v>342</v>
      </c>
      <c r="F144" s="509"/>
      <c r="G144" s="509"/>
      <c r="H144" s="509"/>
      <c r="I144" s="509"/>
      <c r="J144" s="509"/>
      <c r="K144" s="509"/>
      <c r="L144" s="509"/>
      <c r="M144" s="509"/>
      <c r="N144" s="509"/>
      <c r="O144" s="509"/>
      <c r="P144" s="509"/>
      <c r="Q144" s="509">
        <v>0</v>
      </c>
      <c r="R144" s="509">
        <v>0</v>
      </c>
      <c r="S144" s="509">
        <v>0</v>
      </c>
      <c r="T144" s="509">
        <v>0</v>
      </c>
      <c r="U144" s="509"/>
      <c r="V144" s="509"/>
      <c r="W144" s="509"/>
      <c r="X144" s="509"/>
      <c r="Y144" s="509"/>
      <c r="Z144" s="509"/>
      <c r="AA144" s="509"/>
      <c r="AB144" s="509"/>
      <c r="AC144" s="509"/>
      <c r="AD144" s="509"/>
      <c r="AE144" s="509"/>
      <c r="AF144" s="509"/>
      <c r="AG144" s="509"/>
      <c r="AH144" s="509"/>
      <c r="AI144" s="509"/>
      <c r="AJ144" s="509"/>
      <c r="AK144" s="509"/>
      <c r="AL144" s="509"/>
      <c r="AM144" s="509"/>
      <c r="AN144" s="509"/>
      <c r="AO144" s="509"/>
      <c r="AP144" s="509"/>
      <c r="AQ144" s="509"/>
      <c r="AR144" s="509"/>
      <c r="AS144" s="509"/>
      <c r="AT144" s="509"/>
      <c r="AU144" s="509"/>
      <c r="AV144" s="509"/>
      <c r="AW144" s="509"/>
      <c r="AX144" s="509"/>
      <c r="AY144" s="509"/>
      <c r="AZ144" s="509"/>
      <c r="BA144" s="509"/>
      <c r="BB144" s="509"/>
      <c r="BC144" s="509"/>
      <c r="BD144" s="509"/>
      <c r="BE144" s="509"/>
      <c r="BF144" s="509"/>
      <c r="BG144" s="509"/>
      <c r="BH144" s="509"/>
      <c r="BI144" s="509"/>
      <c r="BJ144" s="509"/>
      <c r="BK144" s="509"/>
      <c r="BL144" s="509"/>
      <c r="BM144" s="509"/>
      <c r="BN144" s="509"/>
      <c r="BO144" s="509"/>
      <c r="BP144" s="509"/>
      <c r="BQ144" s="509"/>
      <c r="BR144" s="509"/>
      <c r="BS144" s="509"/>
      <c r="BT144" s="509"/>
      <c r="BU144" s="509"/>
      <c r="BV144" s="509"/>
      <c r="BW144" s="509"/>
      <c r="BX144" s="509"/>
    </row>
    <row r="145" outlineLevel="2" spans="2:76">
      <c r="B145" t="s">
        <v>343</v>
      </c>
      <c r="C145" t="s">
        <v>344</v>
      </c>
      <c r="F145" s="509"/>
      <c r="G145" s="509"/>
      <c r="H145" s="509"/>
      <c r="I145" s="509"/>
      <c r="J145" s="509"/>
      <c r="K145" s="509"/>
      <c r="L145" s="509"/>
      <c r="M145" s="509"/>
      <c r="N145" s="509"/>
      <c r="O145" s="509"/>
      <c r="P145" s="509"/>
      <c r="Q145" s="509">
        <v>0</v>
      </c>
      <c r="R145" s="509">
        <v>0</v>
      </c>
      <c r="S145" s="509">
        <v>0</v>
      </c>
      <c r="T145" s="509">
        <v>0</v>
      </c>
      <c r="U145" s="509"/>
      <c r="V145" s="509"/>
      <c r="W145" s="509"/>
      <c r="X145" s="509"/>
      <c r="Y145" s="509"/>
      <c r="Z145" s="509"/>
      <c r="AA145" s="509"/>
      <c r="AB145" s="509"/>
      <c r="AC145" s="509"/>
      <c r="AD145" s="509"/>
      <c r="AE145" s="509"/>
      <c r="AF145" s="509"/>
      <c r="AG145" s="509"/>
      <c r="AH145" s="509"/>
      <c r="AI145" s="509"/>
      <c r="AJ145" s="509"/>
      <c r="AK145" s="509"/>
      <c r="AL145" s="509"/>
      <c r="AM145" s="509"/>
      <c r="AN145" s="509"/>
      <c r="AO145" s="509"/>
      <c r="AP145" s="509"/>
      <c r="AQ145" s="509"/>
      <c r="AR145" s="509"/>
      <c r="AS145" s="509"/>
      <c r="AT145" s="509"/>
      <c r="AU145" s="509"/>
      <c r="AV145" s="509"/>
      <c r="AW145" s="509"/>
      <c r="AX145" s="509"/>
      <c r="AY145" s="509"/>
      <c r="AZ145" s="509"/>
      <c r="BA145" s="509"/>
      <c r="BB145" s="509"/>
      <c r="BC145" s="509"/>
      <c r="BD145" s="509"/>
      <c r="BE145" s="509"/>
      <c r="BF145" s="509"/>
      <c r="BG145" s="509"/>
      <c r="BH145" s="509"/>
      <c r="BI145" s="509"/>
      <c r="BJ145" s="509"/>
      <c r="BK145" s="509"/>
      <c r="BL145" s="509"/>
      <c r="BM145" s="509"/>
      <c r="BN145" s="509"/>
      <c r="BO145" s="509"/>
      <c r="BP145" s="509"/>
      <c r="BQ145" s="509"/>
      <c r="BR145" s="509"/>
      <c r="BS145" s="509"/>
      <c r="BT145" s="509"/>
      <c r="BU145" s="509"/>
      <c r="BV145" s="509"/>
      <c r="BW145" s="509"/>
      <c r="BX145" s="509"/>
    </row>
    <row r="146" outlineLevel="2" spans="2:76">
      <c r="B146" t="s">
        <v>345</v>
      </c>
      <c r="C146" t="s">
        <v>346</v>
      </c>
      <c r="F146" s="509"/>
      <c r="G146" s="509"/>
      <c r="H146" s="509"/>
      <c r="I146" s="509"/>
      <c r="J146" s="509"/>
      <c r="K146" s="509"/>
      <c r="L146" s="509"/>
      <c r="M146" s="509"/>
      <c r="N146" s="509"/>
      <c r="O146" s="509"/>
      <c r="P146" s="509"/>
      <c r="Q146" s="509">
        <v>0</v>
      </c>
      <c r="R146" s="509">
        <v>0</v>
      </c>
      <c r="S146" s="509">
        <v>0</v>
      </c>
      <c r="T146" s="509">
        <v>0</v>
      </c>
      <c r="U146" s="509"/>
      <c r="V146" s="509"/>
      <c r="W146" s="509"/>
      <c r="X146" s="509"/>
      <c r="Y146" s="509"/>
      <c r="Z146" s="509"/>
      <c r="AA146" s="509"/>
      <c r="AB146" s="509"/>
      <c r="AC146" s="509"/>
      <c r="AD146" s="509"/>
      <c r="AE146" s="509"/>
      <c r="AF146" s="509"/>
      <c r="AG146" s="509"/>
      <c r="AH146" s="509"/>
      <c r="AI146" s="509"/>
      <c r="AJ146" s="509"/>
      <c r="AK146" s="509"/>
      <c r="AL146" s="509"/>
      <c r="AM146" s="509"/>
      <c r="AN146" s="509"/>
      <c r="AO146" s="509"/>
      <c r="AP146" s="509"/>
      <c r="AQ146" s="509"/>
      <c r="AR146" s="509"/>
      <c r="AS146" s="509"/>
      <c r="AT146" s="509"/>
      <c r="AU146" s="509"/>
      <c r="AV146" s="509"/>
      <c r="AW146" s="509"/>
      <c r="AX146" s="509"/>
      <c r="AY146" s="509"/>
      <c r="AZ146" s="509"/>
      <c r="BA146" s="509"/>
      <c r="BB146" s="509"/>
      <c r="BC146" s="509"/>
      <c r="BD146" s="509"/>
      <c r="BE146" s="509"/>
      <c r="BF146" s="509"/>
      <c r="BG146" s="509"/>
      <c r="BH146" s="509"/>
      <c r="BI146" s="509"/>
      <c r="BJ146" s="509"/>
      <c r="BK146" s="509"/>
      <c r="BL146" s="509"/>
      <c r="BM146" s="509"/>
      <c r="BN146" s="509"/>
      <c r="BO146" s="509"/>
      <c r="BP146" s="509"/>
      <c r="BQ146" s="509"/>
      <c r="BR146" s="509"/>
      <c r="BS146" s="509"/>
      <c r="BT146" s="509"/>
      <c r="BU146" s="509"/>
      <c r="BV146" s="509"/>
      <c r="BW146" s="509"/>
      <c r="BX146" s="509"/>
    </row>
    <row r="147" outlineLevel="2" spans="2:76">
      <c r="B147" t="s">
        <v>347</v>
      </c>
      <c r="C147" t="s">
        <v>348</v>
      </c>
      <c r="F147" s="509"/>
      <c r="G147" s="509"/>
      <c r="H147" s="509"/>
      <c r="I147" s="509"/>
      <c r="J147" s="509"/>
      <c r="K147" s="509"/>
      <c r="L147" s="509"/>
      <c r="M147" s="509"/>
      <c r="N147" s="509"/>
      <c r="O147" s="509"/>
      <c r="P147" s="509"/>
      <c r="Q147" s="509">
        <v>0</v>
      </c>
      <c r="R147" s="509">
        <v>0</v>
      </c>
      <c r="S147" s="509">
        <v>0</v>
      </c>
      <c r="T147" s="509">
        <v>0</v>
      </c>
      <c r="U147" s="509"/>
      <c r="V147" s="509"/>
      <c r="W147" s="509"/>
      <c r="X147" s="509"/>
      <c r="Y147" s="509"/>
      <c r="Z147" s="509"/>
      <c r="AA147" s="509"/>
      <c r="AB147" s="509"/>
      <c r="AC147" s="509"/>
      <c r="AD147" s="509"/>
      <c r="AE147" s="509"/>
      <c r="AF147" s="509"/>
      <c r="AG147" s="509"/>
      <c r="AH147" s="509"/>
      <c r="AI147" s="509"/>
      <c r="AJ147" s="509"/>
      <c r="AK147" s="509"/>
      <c r="AL147" s="509"/>
      <c r="AM147" s="509"/>
      <c r="AN147" s="509"/>
      <c r="AO147" s="509"/>
      <c r="AP147" s="509"/>
      <c r="AQ147" s="509"/>
      <c r="AR147" s="509"/>
      <c r="AS147" s="509"/>
      <c r="AT147" s="509"/>
      <c r="AU147" s="509"/>
      <c r="AV147" s="509"/>
      <c r="AW147" s="509"/>
      <c r="AX147" s="509"/>
      <c r="AY147" s="509"/>
      <c r="AZ147" s="509"/>
      <c r="BA147" s="509"/>
      <c r="BB147" s="509"/>
      <c r="BC147" s="509"/>
      <c r="BD147" s="509"/>
      <c r="BE147" s="509"/>
      <c r="BF147" s="509"/>
      <c r="BG147" s="509"/>
      <c r="BH147" s="509"/>
      <c r="BI147" s="509"/>
      <c r="BJ147" s="509"/>
      <c r="BK147" s="509"/>
      <c r="BL147" s="509"/>
      <c r="BM147" s="509"/>
      <c r="BN147" s="509"/>
      <c r="BO147" s="509"/>
      <c r="BP147" s="509"/>
      <c r="BQ147" s="509"/>
      <c r="BR147" s="509"/>
      <c r="BS147" s="509"/>
      <c r="BT147" s="509"/>
      <c r="BU147" s="509"/>
      <c r="BV147" s="509"/>
      <c r="BW147" s="509"/>
      <c r="BX147" s="509"/>
    </row>
    <row r="148" outlineLevel="2" spans="2:76">
      <c r="B148" t="s">
        <v>349</v>
      </c>
      <c r="C148" t="s">
        <v>350</v>
      </c>
      <c r="F148" s="509"/>
      <c r="G148" s="509"/>
      <c r="H148" s="509"/>
      <c r="I148" s="509"/>
      <c r="J148" s="509"/>
      <c r="K148" s="509"/>
      <c r="L148" s="509"/>
      <c r="M148" s="509"/>
      <c r="N148" s="509"/>
      <c r="O148" s="509"/>
      <c r="P148" s="509"/>
      <c r="Q148" s="509">
        <v>0</v>
      </c>
      <c r="R148" s="509">
        <v>0</v>
      </c>
      <c r="S148" s="509">
        <v>0</v>
      </c>
      <c r="T148" s="509">
        <v>0</v>
      </c>
      <c r="U148" s="509"/>
      <c r="V148" s="509"/>
      <c r="W148" s="509"/>
      <c r="X148" s="509"/>
      <c r="Y148" s="509"/>
      <c r="Z148" s="509"/>
      <c r="AA148" s="509"/>
      <c r="AB148" s="509"/>
      <c r="AC148" s="509"/>
      <c r="AD148" s="509"/>
      <c r="AE148" s="509"/>
      <c r="AF148" s="509"/>
      <c r="AG148" s="509"/>
      <c r="AH148" s="509"/>
      <c r="AI148" s="509"/>
      <c r="AJ148" s="509"/>
      <c r="AK148" s="509"/>
      <c r="AL148" s="509"/>
      <c r="AM148" s="509"/>
      <c r="AN148" s="509"/>
      <c r="AO148" s="509"/>
      <c r="AP148" s="509"/>
      <c r="AQ148" s="509"/>
      <c r="AR148" s="509"/>
      <c r="AS148" s="509"/>
      <c r="AT148" s="509"/>
      <c r="AU148" s="509"/>
      <c r="AV148" s="509"/>
      <c r="AW148" s="509"/>
      <c r="AX148" s="509"/>
      <c r="AY148" s="509"/>
      <c r="AZ148" s="509"/>
      <c r="BA148" s="509"/>
      <c r="BB148" s="509"/>
      <c r="BC148" s="509"/>
      <c r="BD148" s="509"/>
      <c r="BE148" s="509"/>
      <c r="BF148" s="509"/>
      <c r="BG148" s="509"/>
      <c r="BH148" s="509"/>
      <c r="BI148" s="509"/>
      <c r="BJ148" s="509"/>
      <c r="BK148" s="509"/>
      <c r="BL148" s="509"/>
      <c r="BM148" s="509"/>
      <c r="BN148" s="509"/>
      <c r="BO148" s="509"/>
      <c r="BP148" s="509"/>
      <c r="BQ148" s="509"/>
      <c r="BR148" s="509"/>
      <c r="BS148" s="509"/>
      <c r="BT148" s="509"/>
      <c r="BU148" s="509"/>
      <c r="BV148" s="509"/>
      <c r="BW148" s="509"/>
      <c r="BX148" s="509"/>
    </row>
    <row r="149" outlineLevel="2" spans="2:76">
      <c r="B149" t="s">
        <v>351</v>
      </c>
      <c r="C149" t="s">
        <v>352</v>
      </c>
      <c r="F149" s="509"/>
      <c r="G149" s="509"/>
      <c r="H149" s="509"/>
      <c r="I149" s="509"/>
      <c r="J149" s="509"/>
      <c r="K149" s="509"/>
      <c r="L149" s="509"/>
      <c r="M149" s="509"/>
      <c r="N149" s="509"/>
      <c r="O149" s="509"/>
      <c r="P149" s="509"/>
      <c r="Q149" s="509">
        <v>0</v>
      </c>
      <c r="R149" s="509">
        <v>0</v>
      </c>
      <c r="S149" s="509">
        <v>0</v>
      </c>
      <c r="T149" s="509">
        <v>0</v>
      </c>
      <c r="U149" s="509"/>
      <c r="V149" s="509"/>
      <c r="W149" s="509"/>
      <c r="X149" s="509"/>
      <c r="Y149" s="509"/>
      <c r="Z149" s="509"/>
      <c r="AA149" s="509"/>
      <c r="AB149" s="509"/>
      <c r="AC149" s="509"/>
      <c r="AD149" s="509"/>
      <c r="AE149" s="509"/>
      <c r="AF149" s="509"/>
      <c r="AG149" s="509"/>
      <c r="AH149" s="509"/>
      <c r="AI149" s="509"/>
      <c r="AJ149" s="509"/>
      <c r="AK149" s="509"/>
      <c r="AL149" s="509"/>
      <c r="AM149" s="509"/>
      <c r="AN149" s="509"/>
      <c r="AO149" s="509"/>
      <c r="AP149" s="509"/>
      <c r="AQ149" s="509"/>
      <c r="AR149" s="509"/>
      <c r="AS149" s="509"/>
      <c r="AT149" s="509"/>
      <c r="AU149" s="509"/>
      <c r="AV149" s="509"/>
      <c r="AW149" s="509"/>
      <c r="AX149" s="509"/>
      <c r="AY149" s="509"/>
      <c r="AZ149" s="509"/>
      <c r="BA149" s="509"/>
      <c r="BB149" s="509"/>
      <c r="BC149" s="509"/>
      <c r="BD149" s="509"/>
      <c r="BE149" s="509"/>
      <c r="BF149" s="509"/>
      <c r="BG149" s="509"/>
      <c r="BH149" s="509"/>
      <c r="BI149" s="509"/>
      <c r="BJ149" s="509"/>
      <c r="BK149" s="509"/>
      <c r="BL149" s="509"/>
      <c r="BM149" s="509"/>
      <c r="BN149" s="509"/>
      <c r="BO149" s="509"/>
      <c r="BP149" s="509"/>
      <c r="BQ149" s="509"/>
      <c r="BR149" s="509"/>
      <c r="BS149" s="509"/>
      <c r="BT149" s="509"/>
      <c r="BU149" s="509"/>
      <c r="BV149" s="509"/>
      <c r="BW149" s="509"/>
      <c r="BX149" s="509"/>
    </row>
    <row r="150" outlineLevel="2" spans="2:76">
      <c r="B150" t="s">
        <v>353</v>
      </c>
      <c r="C150" t="s">
        <v>354</v>
      </c>
      <c r="F150" s="509"/>
      <c r="G150" s="509"/>
      <c r="H150" s="509"/>
      <c r="I150" s="509"/>
      <c r="J150" s="509"/>
      <c r="K150" s="509"/>
      <c r="L150" s="509"/>
      <c r="M150" s="509"/>
      <c r="N150" s="509"/>
      <c r="O150" s="509"/>
      <c r="P150" s="509"/>
      <c r="Q150" s="509">
        <v>0</v>
      </c>
      <c r="R150" s="509">
        <v>0</v>
      </c>
      <c r="S150" s="509">
        <v>0</v>
      </c>
      <c r="T150" s="509">
        <v>0</v>
      </c>
      <c r="U150" s="509"/>
      <c r="V150" s="509"/>
      <c r="W150" s="509"/>
      <c r="X150" s="509"/>
      <c r="Y150" s="509"/>
      <c r="Z150" s="509"/>
      <c r="AA150" s="509"/>
      <c r="AB150" s="509"/>
      <c r="AC150" s="509"/>
      <c r="AD150" s="509"/>
      <c r="AE150" s="509"/>
      <c r="AF150" s="509"/>
      <c r="AG150" s="509"/>
      <c r="AH150" s="509"/>
      <c r="AI150" s="509"/>
      <c r="AJ150" s="509"/>
      <c r="AK150" s="509"/>
      <c r="AL150" s="509"/>
      <c r="AM150" s="509"/>
      <c r="AN150" s="509"/>
      <c r="AO150" s="509"/>
      <c r="AP150" s="509"/>
      <c r="AQ150" s="509"/>
      <c r="AR150" s="509"/>
      <c r="AS150" s="509"/>
      <c r="AT150" s="509"/>
      <c r="AU150" s="509"/>
      <c r="AV150" s="509"/>
      <c r="AW150" s="509"/>
      <c r="AX150" s="509"/>
      <c r="AY150" s="509"/>
      <c r="AZ150" s="509"/>
      <c r="BA150" s="509"/>
      <c r="BB150" s="509"/>
      <c r="BC150" s="509"/>
      <c r="BD150" s="509"/>
      <c r="BE150" s="509"/>
      <c r="BF150" s="509"/>
      <c r="BG150" s="509"/>
      <c r="BH150" s="509"/>
      <c r="BI150" s="509"/>
      <c r="BJ150" s="509"/>
      <c r="BK150" s="509"/>
      <c r="BL150" s="509"/>
      <c r="BM150" s="509"/>
      <c r="BN150" s="509"/>
      <c r="BO150" s="509"/>
      <c r="BP150" s="509"/>
      <c r="BQ150" s="509"/>
      <c r="BR150" s="509"/>
      <c r="BS150" s="509"/>
      <c r="BT150" s="509"/>
      <c r="BU150" s="509"/>
      <c r="BV150" s="509"/>
      <c r="BW150" s="509"/>
      <c r="BX150" s="509"/>
    </row>
    <row r="151" outlineLevel="2" spans="2:76">
      <c r="B151" t="s">
        <v>355</v>
      </c>
      <c r="C151" t="s">
        <v>356</v>
      </c>
      <c r="F151" s="509"/>
      <c r="G151" s="509"/>
      <c r="H151" s="509"/>
      <c r="I151" s="509"/>
      <c r="J151" s="509"/>
      <c r="K151" s="509"/>
      <c r="L151" s="509"/>
      <c r="M151" s="509"/>
      <c r="N151" s="509"/>
      <c r="O151" s="509"/>
      <c r="P151" s="509"/>
      <c r="Q151" s="509">
        <v>0</v>
      </c>
      <c r="R151" s="509">
        <v>0</v>
      </c>
      <c r="S151" s="509">
        <v>0</v>
      </c>
      <c r="T151" s="509">
        <v>0</v>
      </c>
      <c r="U151" s="509"/>
      <c r="V151" s="509"/>
      <c r="W151" s="509"/>
      <c r="X151" s="509"/>
      <c r="Y151" s="509"/>
      <c r="Z151" s="509"/>
      <c r="AA151" s="509"/>
      <c r="AB151" s="509"/>
      <c r="AC151" s="509"/>
      <c r="AD151" s="509"/>
      <c r="AE151" s="509"/>
      <c r="AF151" s="509"/>
      <c r="AG151" s="509"/>
      <c r="AH151" s="509"/>
      <c r="AI151" s="509"/>
      <c r="AJ151" s="509"/>
      <c r="AK151" s="509"/>
      <c r="AL151" s="509"/>
      <c r="AM151" s="509"/>
      <c r="AN151" s="509"/>
      <c r="AO151" s="509"/>
      <c r="AP151" s="509"/>
      <c r="AQ151" s="509"/>
      <c r="AR151" s="509"/>
      <c r="AS151" s="509"/>
      <c r="AT151" s="509"/>
      <c r="AU151" s="509"/>
      <c r="AV151" s="509"/>
      <c r="AW151" s="509"/>
      <c r="AX151" s="509"/>
      <c r="AY151" s="509"/>
      <c r="AZ151" s="509"/>
      <c r="BA151" s="509"/>
      <c r="BB151" s="509"/>
      <c r="BC151" s="509"/>
      <c r="BD151" s="509"/>
      <c r="BE151" s="509"/>
      <c r="BF151" s="509"/>
      <c r="BG151" s="509"/>
      <c r="BH151" s="509"/>
      <c r="BI151" s="509"/>
      <c r="BJ151" s="509"/>
      <c r="BK151" s="509"/>
      <c r="BL151" s="509"/>
      <c r="BM151" s="509"/>
      <c r="BN151" s="509"/>
      <c r="BO151" s="509"/>
      <c r="BP151" s="509"/>
      <c r="BQ151" s="509"/>
      <c r="BR151" s="509"/>
      <c r="BS151" s="509"/>
      <c r="BT151" s="509"/>
      <c r="BU151" s="509"/>
      <c r="BV151" s="509"/>
      <c r="BW151" s="509"/>
      <c r="BX151" s="509"/>
    </row>
    <row r="152" outlineLevel="2" spans="2:76">
      <c r="B152" t="s">
        <v>357</v>
      </c>
      <c r="C152" t="s">
        <v>358</v>
      </c>
      <c r="F152" s="509"/>
      <c r="G152" s="509"/>
      <c r="H152" s="509"/>
      <c r="I152" s="509"/>
      <c r="J152" s="509"/>
      <c r="K152" s="509"/>
      <c r="L152" s="509"/>
      <c r="M152" s="509"/>
      <c r="N152" s="509"/>
      <c r="O152" s="509"/>
      <c r="P152" s="509"/>
      <c r="Q152" s="509">
        <v>0</v>
      </c>
      <c r="R152" s="509">
        <v>0</v>
      </c>
      <c r="S152" s="509">
        <v>0</v>
      </c>
      <c r="T152" s="509">
        <v>0</v>
      </c>
      <c r="U152" s="509"/>
      <c r="V152" s="509"/>
      <c r="W152" s="509"/>
      <c r="X152" s="509"/>
      <c r="Y152" s="509"/>
      <c r="Z152" s="509"/>
      <c r="AA152" s="509"/>
      <c r="AB152" s="509"/>
      <c r="AC152" s="509"/>
      <c r="AD152" s="509"/>
      <c r="AE152" s="509"/>
      <c r="AF152" s="509"/>
      <c r="AG152" s="509"/>
      <c r="AH152" s="509"/>
      <c r="AI152" s="509"/>
      <c r="AJ152" s="509"/>
      <c r="AK152" s="509"/>
      <c r="AL152" s="509"/>
      <c r="AM152" s="509"/>
      <c r="AN152" s="509"/>
      <c r="AO152" s="509"/>
      <c r="AP152" s="509"/>
      <c r="AQ152" s="509"/>
      <c r="AR152" s="509"/>
      <c r="AS152" s="509"/>
      <c r="AT152" s="509"/>
      <c r="AU152" s="509"/>
      <c r="AV152" s="509"/>
      <c r="AW152" s="509"/>
      <c r="AX152" s="509"/>
      <c r="AY152" s="509"/>
      <c r="AZ152" s="509"/>
      <c r="BA152" s="509"/>
      <c r="BB152" s="509"/>
      <c r="BC152" s="509"/>
      <c r="BD152" s="509"/>
      <c r="BE152" s="509"/>
      <c r="BF152" s="509"/>
      <c r="BG152" s="509"/>
      <c r="BH152" s="509"/>
      <c r="BI152" s="509"/>
      <c r="BJ152" s="509"/>
      <c r="BK152" s="509"/>
      <c r="BL152" s="509"/>
      <c r="BM152" s="509"/>
      <c r="BN152" s="509"/>
      <c r="BO152" s="509"/>
      <c r="BP152" s="509"/>
      <c r="BQ152" s="509"/>
      <c r="BR152" s="509"/>
      <c r="BS152" s="509"/>
      <c r="BT152" s="509"/>
      <c r="BU152" s="509"/>
      <c r="BV152" s="509"/>
      <c r="BW152" s="509"/>
      <c r="BX152" s="509"/>
    </row>
    <row r="153" outlineLevel="2" spans="2:76">
      <c r="B153" t="s">
        <v>359</v>
      </c>
      <c r="C153" t="s">
        <v>360</v>
      </c>
      <c r="F153" s="509"/>
      <c r="G153" s="509"/>
      <c r="H153" s="509"/>
      <c r="I153" s="509"/>
      <c r="J153" s="509"/>
      <c r="K153" s="509"/>
      <c r="L153" s="509"/>
      <c r="M153" s="509"/>
      <c r="N153" s="509"/>
      <c r="O153" s="509"/>
      <c r="P153" s="509"/>
      <c r="Q153" s="509">
        <v>0</v>
      </c>
      <c r="R153" s="509">
        <v>0</v>
      </c>
      <c r="S153" s="509">
        <v>0</v>
      </c>
      <c r="T153" s="509">
        <v>0</v>
      </c>
      <c r="U153" s="509"/>
      <c r="V153" s="509"/>
      <c r="W153" s="509"/>
      <c r="X153" s="509"/>
      <c r="Y153" s="509"/>
      <c r="Z153" s="509"/>
      <c r="AA153" s="509"/>
      <c r="AB153" s="509"/>
      <c r="AC153" s="509"/>
      <c r="AD153" s="509"/>
      <c r="AE153" s="509"/>
      <c r="AF153" s="509"/>
      <c r="AG153" s="509"/>
      <c r="AH153" s="509"/>
      <c r="AI153" s="509"/>
      <c r="AJ153" s="509"/>
      <c r="AK153" s="509"/>
      <c r="AL153" s="509"/>
      <c r="AM153" s="509"/>
      <c r="AN153" s="509"/>
      <c r="AO153" s="509"/>
      <c r="AP153" s="509"/>
      <c r="AQ153" s="509"/>
      <c r="AR153" s="509"/>
      <c r="AS153" s="509"/>
      <c r="AT153" s="509"/>
      <c r="AU153" s="509"/>
      <c r="AV153" s="509"/>
      <c r="AW153" s="509"/>
      <c r="AX153" s="509"/>
      <c r="AY153" s="509"/>
      <c r="AZ153" s="509"/>
      <c r="BA153" s="509"/>
      <c r="BB153" s="509"/>
      <c r="BC153" s="509"/>
      <c r="BD153" s="509"/>
      <c r="BE153" s="509"/>
      <c r="BF153" s="509"/>
      <c r="BG153" s="509"/>
      <c r="BH153" s="509"/>
      <c r="BI153" s="509"/>
      <c r="BJ153" s="509"/>
      <c r="BK153" s="509"/>
      <c r="BL153" s="509"/>
      <c r="BM153" s="509"/>
      <c r="BN153" s="509"/>
      <c r="BO153" s="509"/>
      <c r="BP153" s="509"/>
      <c r="BQ153" s="509"/>
      <c r="BR153" s="509"/>
      <c r="BS153" s="509"/>
      <c r="BT153" s="509"/>
      <c r="BU153" s="509"/>
      <c r="BV153" s="509"/>
      <c r="BW153" s="509"/>
      <c r="BX153" s="509"/>
    </row>
    <row r="154" outlineLevel="2" spans="2:76">
      <c r="B154" t="s">
        <v>361</v>
      </c>
      <c r="C154" t="s">
        <v>362</v>
      </c>
      <c r="F154" s="509"/>
      <c r="G154" s="509"/>
      <c r="H154" s="509"/>
      <c r="I154" s="509"/>
      <c r="J154" s="509"/>
      <c r="K154" s="509"/>
      <c r="L154" s="509"/>
      <c r="M154" s="509"/>
      <c r="N154" s="509"/>
      <c r="O154" s="509"/>
      <c r="P154" s="509"/>
      <c r="Q154" s="509">
        <v>0</v>
      </c>
      <c r="R154" s="509">
        <v>0</v>
      </c>
      <c r="S154" s="509">
        <v>0</v>
      </c>
      <c r="T154" s="509">
        <v>0</v>
      </c>
      <c r="U154" s="509"/>
      <c r="V154" s="509"/>
      <c r="W154" s="509"/>
      <c r="X154" s="509"/>
      <c r="Y154" s="509"/>
      <c r="Z154" s="509"/>
      <c r="AA154" s="509"/>
      <c r="AB154" s="509"/>
      <c r="AC154" s="509"/>
      <c r="AD154" s="509"/>
      <c r="AE154" s="509"/>
      <c r="AF154" s="509"/>
      <c r="AG154" s="509"/>
      <c r="AH154" s="509"/>
      <c r="AI154" s="509"/>
      <c r="AJ154" s="509"/>
      <c r="AK154" s="509"/>
      <c r="AL154" s="509"/>
      <c r="AM154" s="509"/>
      <c r="AN154" s="509"/>
      <c r="AO154" s="509"/>
      <c r="AP154" s="509"/>
      <c r="AQ154" s="509"/>
      <c r="AR154" s="509"/>
      <c r="AS154" s="509"/>
      <c r="AT154" s="509"/>
      <c r="AU154" s="509"/>
      <c r="AV154" s="509"/>
      <c r="AW154" s="509"/>
      <c r="AX154" s="509"/>
      <c r="AY154" s="509"/>
      <c r="AZ154" s="509"/>
      <c r="BA154" s="509"/>
      <c r="BB154" s="509"/>
      <c r="BC154" s="509"/>
      <c r="BD154" s="509"/>
      <c r="BE154" s="509"/>
      <c r="BF154" s="509"/>
      <c r="BG154" s="509"/>
      <c r="BH154" s="509"/>
      <c r="BI154" s="509"/>
      <c r="BJ154" s="509"/>
      <c r="BK154" s="509"/>
      <c r="BL154" s="509"/>
      <c r="BM154" s="509"/>
      <c r="BN154" s="509"/>
      <c r="BO154" s="509"/>
      <c r="BP154" s="509"/>
      <c r="BQ154" s="509"/>
      <c r="BR154" s="509"/>
      <c r="BS154" s="509"/>
      <c r="BT154" s="509"/>
      <c r="BU154" s="509"/>
      <c r="BV154" s="509"/>
      <c r="BW154" s="509"/>
      <c r="BX154" s="509"/>
    </row>
    <row r="155" outlineLevel="2" spans="2:76">
      <c r="B155" t="s">
        <v>363</v>
      </c>
      <c r="C155" t="s">
        <v>364</v>
      </c>
      <c r="F155" s="509"/>
      <c r="G155" s="509"/>
      <c r="H155" s="509"/>
      <c r="I155" s="509"/>
      <c r="J155" s="509"/>
      <c r="K155" s="509"/>
      <c r="L155" s="509"/>
      <c r="M155" s="509"/>
      <c r="N155" s="509"/>
      <c r="O155" s="509"/>
      <c r="P155" s="509"/>
      <c r="Q155" s="509">
        <v>0</v>
      </c>
      <c r="R155" s="509">
        <v>0</v>
      </c>
      <c r="S155" s="509">
        <v>0</v>
      </c>
      <c r="T155" s="509">
        <v>0</v>
      </c>
      <c r="U155" s="509"/>
      <c r="V155" s="509"/>
      <c r="W155" s="509"/>
      <c r="X155" s="509"/>
      <c r="Y155" s="509"/>
      <c r="Z155" s="509"/>
      <c r="AA155" s="509"/>
      <c r="AB155" s="509"/>
      <c r="AC155" s="509"/>
      <c r="AD155" s="509"/>
      <c r="AE155" s="509"/>
      <c r="AF155" s="509"/>
      <c r="AG155" s="509"/>
      <c r="AH155" s="509"/>
      <c r="AI155" s="509"/>
      <c r="AJ155" s="509"/>
      <c r="AK155" s="509"/>
      <c r="AL155" s="509"/>
      <c r="AM155" s="509"/>
      <c r="AN155" s="509"/>
      <c r="AO155" s="509"/>
      <c r="AP155" s="509"/>
      <c r="AQ155" s="509"/>
      <c r="AR155" s="509"/>
      <c r="AS155" s="509"/>
      <c r="AT155" s="509"/>
      <c r="AU155" s="509"/>
      <c r="AV155" s="509"/>
      <c r="AW155" s="509"/>
      <c r="AX155" s="509"/>
      <c r="AY155" s="509"/>
      <c r="AZ155" s="509"/>
      <c r="BA155" s="509"/>
      <c r="BB155" s="509"/>
      <c r="BC155" s="509"/>
      <c r="BD155" s="509"/>
      <c r="BE155" s="509"/>
      <c r="BF155" s="509"/>
      <c r="BG155" s="509"/>
      <c r="BH155" s="509"/>
      <c r="BI155" s="509"/>
      <c r="BJ155" s="509"/>
      <c r="BK155" s="509"/>
      <c r="BL155" s="509"/>
      <c r="BM155" s="509"/>
      <c r="BN155" s="509"/>
      <c r="BO155" s="509"/>
      <c r="BP155" s="509"/>
      <c r="BQ155" s="509"/>
      <c r="BR155" s="509"/>
      <c r="BS155" s="509"/>
      <c r="BT155" s="509"/>
      <c r="BU155" s="509"/>
      <c r="BV155" s="509"/>
      <c r="BW155" s="509"/>
      <c r="BX155" s="509"/>
    </row>
    <row r="156" outlineLevel="2" spans="2:76">
      <c r="B156" t="s">
        <v>365</v>
      </c>
      <c r="C156" t="s">
        <v>366</v>
      </c>
      <c r="F156" s="509"/>
      <c r="G156" s="509"/>
      <c r="H156" s="509"/>
      <c r="I156" s="509"/>
      <c r="J156" s="509"/>
      <c r="K156" s="509"/>
      <c r="L156" s="509"/>
      <c r="M156" s="509"/>
      <c r="N156" s="509"/>
      <c r="O156" s="509"/>
      <c r="P156" s="509"/>
      <c r="Q156" s="509">
        <v>0</v>
      </c>
      <c r="R156" s="509">
        <v>0</v>
      </c>
      <c r="S156" s="509">
        <v>0</v>
      </c>
      <c r="T156" s="509">
        <v>0</v>
      </c>
      <c r="U156" s="509"/>
      <c r="V156" s="509"/>
      <c r="W156" s="509"/>
      <c r="X156" s="509"/>
      <c r="Y156" s="509"/>
      <c r="Z156" s="509"/>
      <c r="AA156" s="509"/>
      <c r="AB156" s="509"/>
      <c r="AC156" s="509"/>
      <c r="AD156" s="509"/>
      <c r="AE156" s="509"/>
      <c r="AF156" s="509"/>
      <c r="AG156" s="509"/>
      <c r="AH156" s="509"/>
      <c r="AI156" s="509"/>
      <c r="AJ156" s="509"/>
      <c r="AK156" s="509"/>
      <c r="AL156" s="509"/>
      <c r="AM156" s="509"/>
      <c r="AN156" s="509"/>
      <c r="AO156" s="509"/>
      <c r="AP156" s="509"/>
      <c r="AQ156" s="509"/>
      <c r="AR156" s="509"/>
      <c r="AS156" s="509"/>
      <c r="AT156" s="509"/>
      <c r="AU156" s="509"/>
      <c r="AV156" s="509"/>
      <c r="AW156" s="509"/>
      <c r="AX156" s="509"/>
      <c r="AY156" s="509"/>
      <c r="AZ156" s="509"/>
      <c r="BA156" s="509"/>
      <c r="BB156" s="509"/>
      <c r="BC156" s="509"/>
      <c r="BD156" s="509"/>
      <c r="BE156" s="509"/>
      <c r="BF156" s="509"/>
      <c r="BG156" s="509"/>
      <c r="BH156" s="509"/>
      <c r="BI156" s="509"/>
      <c r="BJ156" s="509"/>
      <c r="BK156" s="509"/>
      <c r="BL156" s="509"/>
      <c r="BM156" s="509"/>
      <c r="BN156" s="509"/>
      <c r="BO156" s="509"/>
      <c r="BP156" s="509"/>
      <c r="BQ156" s="509"/>
      <c r="BR156" s="509"/>
      <c r="BS156" s="509"/>
      <c r="BT156" s="509"/>
      <c r="BU156" s="509"/>
      <c r="BV156" s="509"/>
      <c r="BW156" s="509"/>
      <c r="BX156" s="509"/>
    </row>
    <row r="157" outlineLevel="2" spans="2:76">
      <c r="B157" t="s">
        <v>367</v>
      </c>
      <c r="C157" t="s">
        <v>368</v>
      </c>
      <c r="F157" s="509"/>
      <c r="G157" s="509"/>
      <c r="H157" s="509"/>
      <c r="I157" s="509"/>
      <c r="J157" s="509"/>
      <c r="K157" s="509"/>
      <c r="L157" s="509"/>
      <c r="M157" s="509"/>
      <c r="N157" s="509"/>
      <c r="O157" s="509"/>
      <c r="P157" s="509"/>
      <c r="Q157" s="509">
        <v>0</v>
      </c>
      <c r="R157" s="509">
        <v>0</v>
      </c>
      <c r="S157" s="509">
        <v>0</v>
      </c>
      <c r="T157" s="509">
        <v>0</v>
      </c>
      <c r="U157" s="509"/>
      <c r="V157" s="509"/>
      <c r="W157" s="509"/>
      <c r="X157" s="509"/>
      <c r="Y157" s="509"/>
      <c r="Z157" s="509"/>
      <c r="AA157" s="509"/>
      <c r="AB157" s="509"/>
      <c r="AC157" s="509"/>
      <c r="AD157" s="509"/>
      <c r="AE157" s="509"/>
      <c r="AF157" s="509"/>
      <c r="AG157" s="509"/>
      <c r="AH157" s="509"/>
      <c r="AI157" s="509"/>
      <c r="AJ157" s="509"/>
      <c r="AK157" s="509"/>
      <c r="AL157" s="509"/>
      <c r="AM157" s="509"/>
      <c r="AN157" s="509"/>
      <c r="AO157" s="509"/>
      <c r="AP157" s="509"/>
      <c r="AQ157" s="509"/>
      <c r="AR157" s="509"/>
      <c r="AS157" s="509"/>
      <c r="AT157" s="509"/>
      <c r="AU157" s="509"/>
      <c r="AV157" s="509"/>
      <c r="AW157" s="509"/>
      <c r="AX157" s="509"/>
      <c r="AY157" s="509"/>
      <c r="AZ157" s="509"/>
      <c r="BA157" s="509"/>
      <c r="BB157" s="509"/>
      <c r="BC157" s="509"/>
      <c r="BD157" s="509"/>
      <c r="BE157" s="509"/>
      <c r="BF157" s="509"/>
      <c r="BG157" s="509"/>
      <c r="BH157" s="509"/>
      <c r="BI157" s="509"/>
      <c r="BJ157" s="509"/>
      <c r="BK157" s="509"/>
      <c r="BL157" s="509"/>
      <c r="BM157" s="509"/>
      <c r="BN157" s="509"/>
      <c r="BO157" s="509"/>
      <c r="BP157" s="509"/>
      <c r="BQ157" s="509"/>
      <c r="BR157" s="509"/>
      <c r="BS157" s="509"/>
      <c r="BT157" s="509"/>
      <c r="BU157" s="509"/>
      <c r="BV157" s="509"/>
      <c r="BW157" s="509"/>
      <c r="BX157" s="509"/>
    </row>
    <row r="158" outlineLevel="2" spans="2:76">
      <c r="B158" t="s">
        <v>369</v>
      </c>
      <c r="C158" t="s">
        <v>370</v>
      </c>
      <c r="F158" s="509"/>
      <c r="G158" s="509"/>
      <c r="H158" s="509"/>
      <c r="I158" s="509"/>
      <c r="J158" s="509"/>
      <c r="K158" s="509"/>
      <c r="L158" s="509"/>
      <c r="M158" s="509"/>
      <c r="N158" s="509"/>
      <c r="O158" s="509"/>
      <c r="P158" s="509"/>
      <c r="Q158" s="509">
        <v>0</v>
      </c>
      <c r="R158" s="509">
        <v>0</v>
      </c>
      <c r="S158" s="509">
        <v>0</v>
      </c>
      <c r="T158" s="509">
        <v>0</v>
      </c>
      <c r="U158" s="509"/>
      <c r="V158" s="509"/>
      <c r="W158" s="509"/>
      <c r="X158" s="509"/>
      <c r="Y158" s="509"/>
      <c r="Z158" s="509"/>
      <c r="AA158" s="509"/>
      <c r="AB158" s="509"/>
      <c r="AC158" s="509"/>
      <c r="AD158" s="509"/>
      <c r="AE158" s="509"/>
      <c r="AF158" s="509"/>
      <c r="AG158" s="509"/>
      <c r="AH158" s="509"/>
      <c r="AI158" s="509"/>
      <c r="AJ158" s="509"/>
      <c r="AK158" s="509"/>
      <c r="AL158" s="509"/>
      <c r="AM158" s="509"/>
      <c r="AN158" s="509"/>
      <c r="AO158" s="509"/>
      <c r="AP158" s="509"/>
      <c r="AQ158" s="509"/>
      <c r="AR158" s="509"/>
      <c r="AS158" s="509"/>
      <c r="AT158" s="509"/>
      <c r="AU158" s="509"/>
      <c r="AV158" s="509"/>
      <c r="AW158" s="509"/>
      <c r="AX158" s="509"/>
      <c r="AY158" s="509"/>
      <c r="AZ158" s="509"/>
      <c r="BA158" s="509"/>
      <c r="BB158" s="509"/>
      <c r="BC158" s="509"/>
      <c r="BD158" s="509"/>
      <c r="BE158" s="509"/>
      <c r="BF158" s="509"/>
      <c r="BG158" s="509"/>
      <c r="BH158" s="509"/>
      <c r="BI158" s="509"/>
      <c r="BJ158" s="509"/>
      <c r="BK158" s="509"/>
      <c r="BL158" s="509"/>
      <c r="BM158" s="509"/>
      <c r="BN158" s="509"/>
      <c r="BO158" s="509"/>
      <c r="BP158" s="509"/>
      <c r="BQ158" s="509"/>
      <c r="BR158" s="509"/>
      <c r="BS158" s="509"/>
      <c r="BT158" s="509"/>
      <c r="BU158" s="509"/>
      <c r="BV158" s="509"/>
      <c r="BW158" s="509"/>
      <c r="BX158" s="509"/>
    </row>
    <row r="159" outlineLevel="2" spans="2:76">
      <c r="B159" t="s">
        <v>371</v>
      </c>
      <c r="C159" t="s">
        <v>372</v>
      </c>
      <c r="F159" s="509"/>
      <c r="G159" s="509"/>
      <c r="H159" s="509"/>
      <c r="I159" s="509"/>
      <c r="J159" s="509"/>
      <c r="K159" s="509"/>
      <c r="L159" s="509"/>
      <c r="M159" s="509"/>
      <c r="N159" s="509"/>
      <c r="O159" s="509"/>
      <c r="P159" s="509"/>
      <c r="Q159" s="509">
        <v>0</v>
      </c>
      <c r="R159" s="509">
        <v>0</v>
      </c>
      <c r="S159" s="509">
        <v>0</v>
      </c>
      <c r="T159" s="509">
        <v>0</v>
      </c>
      <c r="U159" s="509"/>
      <c r="V159" s="509"/>
      <c r="W159" s="509"/>
      <c r="X159" s="509"/>
      <c r="Y159" s="509"/>
      <c r="Z159" s="509"/>
      <c r="AA159" s="509"/>
      <c r="AB159" s="509"/>
      <c r="AC159" s="509"/>
      <c r="AD159" s="509"/>
      <c r="AE159" s="509"/>
      <c r="AF159" s="509"/>
      <c r="AG159" s="509"/>
      <c r="AH159" s="509"/>
      <c r="AI159" s="509"/>
      <c r="AJ159" s="509"/>
      <c r="AK159" s="509"/>
      <c r="AL159" s="509"/>
      <c r="AM159" s="509"/>
      <c r="AN159" s="509"/>
      <c r="AO159" s="509"/>
      <c r="AP159" s="509"/>
      <c r="AQ159" s="509"/>
      <c r="AR159" s="509"/>
      <c r="AS159" s="509"/>
      <c r="AT159" s="509"/>
      <c r="AU159" s="509"/>
      <c r="AV159" s="509"/>
      <c r="AW159" s="509"/>
      <c r="AX159" s="509"/>
      <c r="AY159" s="509"/>
      <c r="AZ159" s="509"/>
      <c r="BA159" s="509"/>
      <c r="BB159" s="509"/>
      <c r="BC159" s="509"/>
      <c r="BD159" s="509"/>
      <c r="BE159" s="509"/>
      <c r="BF159" s="509"/>
      <c r="BG159" s="509"/>
      <c r="BH159" s="509"/>
      <c r="BI159" s="509"/>
      <c r="BJ159" s="509"/>
      <c r="BK159" s="509"/>
      <c r="BL159" s="509"/>
      <c r="BM159" s="509"/>
      <c r="BN159" s="509"/>
      <c r="BO159" s="509"/>
      <c r="BP159" s="509"/>
      <c r="BQ159" s="509"/>
      <c r="BR159" s="509"/>
      <c r="BS159" s="509"/>
      <c r="BT159" s="509"/>
      <c r="BU159" s="509"/>
      <c r="BV159" s="509"/>
      <c r="BW159" s="509"/>
      <c r="BX159" s="509"/>
    </row>
    <row r="160" outlineLevel="2" spans="2:76">
      <c r="B160" t="s">
        <v>373</v>
      </c>
      <c r="C160" t="s">
        <v>374</v>
      </c>
      <c r="F160" s="509"/>
      <c r="G160" s="509"/>
      <c r="H160" s="509"/>
      <c r="I160" s="509"/>
      <c r="J160" s="509"/>
      <c r="K160" s="509"/>
      <c r="L160" s="509"/>
      <c r="M160" s="509"/>
      <c r="N160" s="509"/>
      <c r="O160" s="509"/>
      <c r="P160" s="509"/>
      <c r="Q160" s="509">
        <v>0</v>
      </c>
      <c r="R160" s="509">
        <v>0</v>
      </c>
      <c r="S160" s="509">
        <v>0</v>
      </c>
      <c r="T160" s="509">
        <v>0</v>
      </c>
      <c r="U160" s="509"/>
      <c r="V160" s="509"/>
      <c r="W160" s="509"/>
      <c r="X160" s="509"/>
      <c r="Y160" s="509"/>
      <c r="Z160" s="509"/>
      <c r="AA160" s="509"/>
      <c r="AB160" s="509"/>
      <c r="AC160" s="509"/>
      <c r="AD160" s="509"/>
      <c r="AE160" s="509"/>
      <c r="AF160" s="509"/>
      <c r="AG160" s="509"/>
      <c r="AH160" s="509"/>
      <c r="AI160" s="509"/>
      <c r="AJ160" s="509"/>
      <c r="AK160" s="509"/>
      <c r="AL160" s="509"/>
      <c r="AM160" s="509"/>
      <c r="AN160" s="509"/>
      <c r="AO160" s="509"/>
      <c r="AP160" s="509"/>
      <c r="AQ160" s="509"/>
      <c r="AR160" s="509"/>
      <c r="AS160" s="509"/>
      <c r="AT160" s="509"/>
      <c r="AU160" s="509"/>
      <c r="AV160" s="509"/>
      <c r="AW160" s="509"/>
      <c r="AX160" s="509"/>
      <c r="AY160" s="509"/>
      <c r="AZ160" s="509"/>
      <c r="BA160" s="509"/>
      <c r="BB160" s="509"/>
      <c r="BC160" s="509"/>
      <c r="BD160" s="509"/>
      <c r="BE160" s="509"/>
      <c r="BF160" s="509"/>
      <c r="BG160" s="509"/>
      <c r="BH160" s="509"/>
      <c r="BI160" s="509"/>
      <c r="BJ160" s="509"/>
      <c r="BK160" s="509"/>
      <c r="BL160" s="509"/>
      <c r="BM160" s="509"/>
      <c r="BN160" s="509"/>
      <c r="BO160" s="509"/>
      <c r="BP160" s="509"/>
      <c r="BQ160" s="509"/>
      <c r="BR160" s="509"/>
      <c r="BS160" s="509"/>
      <c r="BT160" s="509"/>
      <c r="BU160" s="509"/>
      <c r="BV160" s="509"/>
      <c r="BW160" s="509"/>
      <c r="BX160" s="509"/>
    </row>
    <row r="161" outlineLevel="2" spans="2:76">
      <c r="B161" t="s">
        <v>375</v>
      </c>
      <c r="C161" t="s">
        <v>376</v>
      </c>
      <c r="F161" s="509"/>
      <c r="G161" s="509"/>
      <c r="H161" s="509"/>
      <c r="I161" s="509"/>
      <c r="J161" s="509"/>
      <c r="K161" s="509"/>
      <c r="L161" s="509"/>
      <c r="M161" s="509"/>
      <c r="N161" s="509"/>
      <c r="O161" s="509"/>
      <c r="P161" s="509"/>
      <c r="Q161" s="509">
        <v>0</v>
      </c>
      <c r="R161" s="509">
        <v>0</v>
      </c>
      <c r="S161" s="509">
        <v>0</v>
      </c>
      <c r="T161" s="509">
        <v>0</v>
      </c>
      <c r="U161" s="509"/>
      <c r="V161" s="509"/>
      <c r="W161" s="509"/>
      <c r="X161" s="509"/>
      <c r="Y161" s="509"/>
      <c r="Z161" s="509"/>
      <c r="AA161" s="509"/>
      <c r="AB161" s="509"/>
      <c r="AC161" s="509"/>
      <c r="AD161" s="509"/>
      <c r="AE161" s="509"/>
      <c r="AF161" s="509"/>
      <c r="AG161" s="509"/>
      <c r="AH161" s="509"/>
      <c r="AI161" s="509"/>
      <c r="AJ161" s="509"/>
      <c r="AK161" s="509"/>
      <c r="AL161" s="509"/>
      <c r="AM161" s="509"/>
      <c r="AN161" s="509"/>
      <c r="AO161" s="509"/>
      <c r="AP161" s="509"/>
      <c r="AQ161" s="509"/>
      <c r="AR161" s="509"/>
      <c r="AS161" s="509"/>
      <c r="AT161" s="509"/>
      <c r="AU161" s="509"/>
      <c r="AV161" s="509"/>
      <c r="AW161" s="509"/>
      <c r="AX161" s="509"/>
      <c r="AY161" s="509"/>
      <c r="AZ161" s="509"/>
      <c r="BA161" s="509"/>
      <c r="BB161" s="509"/>
      <c r="BC161" s="509"/>
      <c r="BD161" s="509"/>
      <c r="BE161" s="509"/>
      <c r="BF161" s="509"/>
      <c r="BG161" s="509"/>
      <c r="BH161" s="509"/>
      <c r="BI161" s="509"/>
      <c r="BJ161" s="509"/>
      <c r="BK161" s="509"/>
      <c r="BL161" s="509"/>
      <c r="BM161" s="509"/>
      <c r="BN161" s="509"/>
      <c r="BO161" s="509"/>
      <c r="BP161" s="509"/>
      <c r="BQ161" s="509"/>
      <c r="BR161" s="509"/>
      <c r="BS161" s="509"/>
      <c r="BT161" s="509"/>
      <c r="BU161" s="509"/>
      <c r="BV161" s="509"/>
      <c r="BW161" s="509"/>
      <c r="BX161" s="509"/>
    </row>
    <row r="162" outlineLevel="2" spans="2:76">
      <c r="B162" t="s">
        <v>377</v>
      </c>
      <c r="C162" t="s">
        <v>378</v>
      </c>
      <c r="F162" s="509"/>
      <c r="G162" s="509"/>
      <c r="H162" s="509"/>
      <c r="I162" s="509"/>
      <c r="J162" s="509"/>
      <c r="K162" s="509"/>
      <c r="L162" s="509"/>
      <c r="M162" s="509"/>
      <c r="N162" s="509"/>
      <c r="O162" s="509"/>
      <c r="P162" s="509"/>
      <c r="Q162" s="509">
        <v>0</v>
      </c>
      <c r="R162" s="509">
        <v>0</v>
      </c>
      <c r="S162" s="509">
        <v>0</v>
      </c>
      <c r="T162" s="509">
        <v>0</v>
      </c>
      <c r="U162" s="509"/>
      <c r="V162" s="509"/>
      <c r="W162" s="509"/>
      <c r="X162" s="509"/>
      <c r="Y162" s="509"/>
      <c r="Z162" s="509"/>
      <c r="AA162" s="509"/>
      <c r="AB162" s="509"/>
      <c r="AC162" s="509"/>
      <c r="AD162" s="509"/>
      <c r="AE162" s="509"/>
      <c r="AF162" s="509"/>
      <c r="AG162" s="509"/>
      <c r="AH162" s="509"/>
      <c r="AI162" s="509"/>
      <c r="AJ162" s="509"/>
      <c r="AK162" s="509"/>
      <c r="AL162" s="509"/>
      <c r="AM162" s="509"/>
      <c r="AN162" s="509"/>
      <c r="AO162" s="509"/>
      <c r="AP162" s="509"/>
      <c r="AQ162" s="509"/>
      <c r="AR162" s="509"/>
      <c r="AS162" s="509"/>
      <c r="AT162" s="509"/>
      <c r="AU162" s="509"/>
      <c r="AV162" s="509"/>
      <c r="AW162" s="509"/>
      <c r="AX162" s="509"/>
      <c r="AY162" s="509"/>
      <c r="AZ162" s="509"/>
      <c r="BA162" s="509"/>
      <c r="BB162" s="509"/>
      <c r="BC162" s="509"/>
      <c r="BD162" s="509"/>
      <c r="BE162" s="509"/>
      <c r="BF162" s="509"/>
      <c r="BG162" s="509"/>
      <c r="BH162" s="509"/>
      <c r="BI162" s="509"/>
      <c r="BJ162" s="509"/>
      <c r="BK162" s="509"/>
      <c r="BL162" s="509"/>
      <c r="BM162" s="509"/>
      <c r="BN162" s="509"/>
      <c r="BO162" s="509"/>
      <c r="BP162" s="509"/>
      <c r="BQ162" s="509"/>
      <c r="BR162" s="509"/>
      <c r="BS162" s="509"/>
      <c r="BT162" s="509"/>
      <c r="BU162" s="509"/>
      <c r="BV162" s="509"/>
      <c r="BW162" s="509"/>
      <c r="BX162" s="509"/>
    </row>
    <row r="163" outlineLevel="2" spans="2:76">
      <c r="B163" t="s">
        <v>379</v>
      </c>
      <c r="C163" t="s">
        <v>380</v>
      </c>
      <c r="F163" s="509"/>
      <c r="G163" s="509"/>
      <c r="H163" s="509"/>
      <c r="I163" s="509"/>
      <c r="J163" s="509"/>
      <c r="K163" s="509"/>
      <c r="L163" s="509"/>
      <c r="M163" s="509"/>
      <c r="N163" s="509"/>
      <c r="O163" s="509"/>
      <c r="P163" s="509"/>
      <c r="Q163" s="509">
        <v>0</v>
      </c>
      <c r="R163" s="509">
        <v>0</v>
      </c>
      <c r="S163" s="509">
        <v>0</v>
      </c>
      <c r="T163" s="509">
        <v>0</v>
      </c>
      <c r="U163" s="509"/>
      <c r="V163" s="509"/>
      <c r="W163" s="509"/>
      <c r="X163" s="509"/>
      <c r="Y163" s="509"/>
      <c r="Z163" s="509"/>
      <c r="AA163" s="509"/>
      <c r="AB163" s="509"/>
      <c r="AC163" s="509"/>
      <c r="AD163" s="509"/>
      <c r="AE163" s="509"/>
      <c r="AF163" s="509"/>
      <c r="AG163" s="509"/>
      <c r="AH163" s="509"/>
      <c r="AI163" s="509"/>
      <c r="AJ163" s="509"/>
      <c r="AK163" s="509"/>
      <c r="AL163" s="509"/>
      <c r="AM163" s="509"/>
      <c r="AN163" s="509"/>
      <c r="AO163" s="509"/>
      <c r="AP163" s="509"/>
      <c r="AQ163" s="509"/>
      <c r="AR163" s="509"/>
      <c r="AS163" s="509"/>
      <c r="AT163" s="509"/>
      <c r="AU163" s="509"/>
      <c r="AV163" s="509"/>
      <c r="AW163" s="509"/>
      <c r="AX163" s="509"/>
      <c r="AY163" s="509"/>
      <c r="AZ163" s="509"/>
      <c r="BA163" s="509"/>
      <c r="BB163" s="509"/>
      <c r="BC163" s="509"/>
      <c r="BD163" s="509"/>
      <c r="BE163" s="509"/>
      <c r="BF163" s="509"/>
      <c r="BG163" s="509"/>
      <c r="BH163" s="509"/>
      <c r="BI163" s="509"/>
      <c r="BJ163" s="509"/>
      <c r="BK163" s="509"/>
      <c r="BL163" s="509"/>
      <c r="BM163" s="509"/>
      <c r="BN163" s="509"/>
      <c r="BO163" s="509"/>
      <c r="BP163" s="509"/>
      <c r="BQ163" s="509"/>
      <c r="BR163" s="509"/>
      <c r="BS163" s="509"/>
      <c r="BT163" s="509"/>
      <c r="BU163" s="509"/>
      <c r="BV163" s="509"/>
      <c r="BW163" s="509"/>
      <c r="BX163" s="509"/>
    </row>
    <row r="164" outlineLevel="2" spans="2:76">
      <c r="B164" t="s">
        <v>381</v>
      </c>
      <c r="C164" t="s">
        <v>382</v>
      </c>
      <c r="F164" s="509"/>
      <c r="G164" s="509"/>
      <c r="H164" s="509"/>
      <c r="I164" s="509"/>
      <c r="J164" s="509"/>
      <c r="K164" s="509"/>
      <c r="L164" s="509"/>
      <c r="M164" s="509"/>
      <c r="N164" s="509"/>
      <c r="O164" s="509"/>
      <c r="P164" s="509"/>
      <c r="Q164" s="509">
        <v>0</v>
      </c>
      <c r="R164" s="509">
        <v>0</v>
      </c>
      <c r="S164" s="509">
        <v>0</v>
      </c>
      <c r="T164" s="509">
        <v>0</v>
      </c>
      <c r="U164" s="509"/>
      <c r="V164" s="509"/>
      <c r="W164" s="509"/>
      <c r="X164" s="509"/>
      <c r="Y164" s="509"/>
      <c r="Z164" s="509"/>
      <c r="AA164" s="509"/>
      <c r="AB164" s="509"/>
      <c r="AC164" s="509"/>
      <c r="AD164" s="509"/>
      <c r="AE164" s="509"/>
      <c r="AF164" s="509"/>
      <c r="AG164" s="509"/>
      <c r="AH164" s="509"/>
      <c r="AI164" s="509"/>
      <c r="AJ164" s="509"/>
      <c r="AK164" s="509"/>
      <c r="AL164" s="509"/>
      <c r="AM164" s="509"/>
      <c r="AN164" s="509"/>
      <c r="AO164" s="509"/>
      <c r="AP164" s="509"/>
      <c r="AQ164" s="509"/>
      <c r="AR164" s="509"/>
      <c r="AS164" s="509"/>
      <c r="AT164" s="509"/>
      <c r="AU164" s="509"/>
      <c r="AV164" s="509"/>
      <c r="AW164" s="509"/>
      <c r="AX164" s="509"/>
      <c r="AY164" s="509"/>
      <c r="AZ164" s="509"/>
      <c r="BA164" s="509"/>
      <c r="BB164" s="509"/>
      <c r="BC164" s="509"/>
      <c r="BD164" s="509"/>
      <c r="BE164" s="509"/>
      <c r="BF164" s="509"/>
      <c r="BG164" s="509"/>
      <c r="BH164" s="509"/>
      <c r="BI164" s="509"/>
      <c r="BJ164" s="509"/>
      <c r="BK164" s="509"/>
      <c r="BL164" s="509"/>
      <c r="BM164" s="509"/>
      <c r="BN164" s="509"/>
      <c r="BO164" s="509"/>
      <c r="BP164" s="509"/>
      <c r="BQ164" s="509"/>
      <c r="BR164" s="509"/>
      <c r="BS164" s="509"/>
      <c r="BT164" s="509"/>
      <c r="BU164" s="509"/>
      <c r="BV164" s="509"/>
      <c r="BW164" s="509"/>
      <c r="BX164" s="509"/>
    </row>
    <row r="165" outlineLevel="2" spans="2:76">
      <c r="B165" t="s">
        <v>383</v>
      </c>
      <c r="C165" t="s">
        <v>384</v>
      </c>
      <c r="F165" s="509"/>
      <c r="G165" s="509"/>
      <c r="H165" s="509"/>
      <c r="I165" s="509"/>
      <c r="J165" s="509"/>
      <c r="K165" s="509"/>
      <c r="L165" s="509"/>
      <c r="M165" s="509"/>
      <c r="N165" s="509"/>
      <c r="O165" s="509"/>
      <c r="P165" s="509"/>
      <c r="Q165" s="509">
        <v>0.8</v>
      </c>
      <c r="R165" s="509">
        <v>0.8</v>
      </c>
      <c r="S165" s="509">
        <v>0.8</v>
      </c>
      <c r="T165" s="509">
        <v>0.8</v>
      </c>
      <c r="U165" s="509"/>
      <c r="V165" s="509"/>
      <c r="W165" s="509"/>
      <c r="X165" s="509"/>
      <c r="Y165" s="509"/>
      <c r="Z165" s="509"/>
      <c r="AA165" s="509"/>
      <c r="AB165" s="509"/>
      <c r="AC165" s="509"/>
      <c r="AD165" s="509"/>
      <c r="AE165" s="509"/>
      <c r="AF165" s="509"/>
      <c r="AG165" s="509"/>
      <c r="AH165" s="509"/>
      <c r="AI165" s="509"/>
      <c r="AJ165" s="509"/>
      <c r="AK165" s="509"/>
      <c r="AL165" s="509"/>
      <c r="AM165" s="509"/>
      <c r="AN165" s="509"/>
      <c r="AO165" s="509"/>
      <c r="AP165" s="509"/>
      <c r="AQ165" s="509"/>
      <c r="AR165" s="509"/>
      <c r="AS165" s="509"/>
      <c r="AT165" s="509"/>
      <c r="AU165" s="509"/>
      <c r="AV165" s="509"/>
      <c r="AW165" s="509"/>
      <c r="AX165" s="509"/>
      <c r="AY165" s="509"/>
      <c r="AZ165" s="509"/>
      <c r="BA165" s="509"/>
      <c r="BB165" s="509"/>
      <c r="BC165" s="509"/>
      <c r="BD165" s="509"/>
      <c r="BE165" s="509"/>
      <c r="BF165" s="509"/>
      <c r="BG165" s="509"/>
      <c r="BH165" s="509"/>
      <c r="BI165" s="509"/>
      <c r="BJ165" s="509"/>
      <c r="BK165" s="509"/>
      <c r="BL165" s="509"/>
      <c r="BM165" s="509"/>
      <c r="BN165" s="509"/>
      <c r="BO165" s="509"/>
      <c r="BP165" s="509"/>
      <c r="BQ165" s="509"/>
      <c r="BR165" s="509"/>
      <c r="BS165" s="509"/>
      <c r="BT165" s="509"/>
      <c r="BU165" s="509"/>
      <c r="BV165" s="509"/>
      <c r="BW165" s="509"/>
      <c r="BX165" s="509"/>
    </row>
    <row r="166" outlineLevel="2" spans="2:76">
      <c r="B166" t="s">
        <v>385</v>
      </c>
      <c r="C166" t="s">
        <v>386</v>
      </c>
      <c r="F166" s="509"/>
      <c r="G166" s="509"/>
      <c r="H166" s="509"/>
      <c r="I166" s="509"/>
      <c r="J166" s="509"/>
      <c r="K166" s="509"/>
      <c r="L166" s="509"/>
      <c r="M166" s="509"/>
      <c r="N166" s="509"/>
      <c r="O166" s="509"/>
      <c r="P166" s="509"/>
      <c r="Q166" s="509">
        <v>0</v>
      </c>
      <c r="R166" s="509">
        <v>0</v>
      </c>
      <c r="S166" s="509">
        <v>0</v>
      </c>
      <c r="T166" s="509">
        <v>0</v>
      </c>
      <c r="U166" s="509"/>
      <c r="V166" s="509"/>
      <c r="W166" s="509"/>
      <c r="X166" s="509"/>
      <c r="Y166" s="509"/>
      <c r="Z166" s="509"/>
      <c r="AA166" s="509"/>
      <c r="AB166" s="509"/>
      <c r="AC166" s="509"/>
      <c r="AD166" s="509"/>
      <c r="AE166" s="509"/>
      <c r="AF166" s="509"/>
      <c r="AG166" s="509"/>
      <c r="AH166" s="509"/>
      <c r="AI166" s="509"/>
      <c r="AJ166" s="509"/>
      <c r="AK166" s="509"/>
      <c r="AL166" s="509"/>
      <c r="AM166" s="509"/>
      <c r="AN166" s="509"/>
      <c r="AO166" s="509"/>
      <c r="AP166" s="509"/>
      <c r="AQ166" s="509"/>
      <c r="AR166" s="509"/>
      <c r="AS166" s="509"/>
      <c r="AT166" s="509"/>
      <c r="AU166" s="509"/>
      <c r="AV166" s="509"/>
      <c r="AW166" s="509"/>
      <c r="AX166" s="509"/>
      <c r="AY166" s="509"/>
      <c r="AZ166" s="509"/>
      <c r="BA166" s="509"/>
      <c r="BB166" s="509"/>
      <c r="BC166" s="509"/>
      <c r="BD166" s="509"/>
      <c r="BE166" s="509"/>
      <c r="BF166" s="509"/>
      <c r="BG166" s="509"/>
      <c r="BH166" s="509"/>
      <c r="BI166" s="509"/>
      <c r="BJ166" s="509"/>
      <c r="BK166" s="509"/>
      <c r="BL166" s="509"/>
      <c r="BM166" s="509"/>
      <c r="BN166" s="509"/>
      <c r="BO166" s="509"/>
      <c r="BP166" s="509"/>
      <c r="BQ166" s="509"/>
      <c r="BR166" s="509"/>
      <c r="BS166" s="509"/>
      <c r="BT166" s="509"/>
      <c r="BU166" s="509"/>
      <c r="BV166" s="509"/>
      <c r="BW166" s="509"/>
      <c r="BX166" s="509"/>
    </row>
    <row r="167" outlineLevel="2" spans="2:76">
      <c r="B167" t="s">
        <v>387</v>
      </c>
      <c r="C167" t="s">
        <v>388</v>
      </c>
      <c r="F167" s="509"/>
      <c r="G167" s="509"/>
      <c r="H167" s="509"/>
      <c r="I167" s="509"/>
      <c r="J167" s="509"/>
      <c r="K167" s="509"/>
      <c r="L167" s="509"/>
      <c r="M167" s="509"/>
      <c r="N167" s="509"/>
      <c r="O167" s="509"/>
      <c r="P167" s="509"/>
      <c r="Q167" s="509">
        <v>0</v>
      </c>
      <c r="R167" s="509">
        <v>0</v>
      </c>
      <c r="S167" s="509">
        <v>0</v>
      </c>
      <c r="T167" s="509">
        <v>0</v>
      </c>
      <c r="U167" s="509"/>
      <c r="V167" s="509"/>
      <c r="W167" s="509"/>
      <c r="X167" s="509"/>
      <c r="Y167" s="509"/>
      <c r="Z167" s="509"/>
      <c r="AA167" s="509"/>
      <c r="AB167" s="509"/>
      <c r="AC167" s="509"/>
      <c r="AD167" s="509"/>
      <c r="AE167" s="509"/>
      <c r="AF167" s="509"/>
      <c r="AG167" s="509"/>
      <c r="AH167" s="509"/>
      <c r="AI167" s="509"/>
      <c r="AJ167" s="509"/>
      <c r="AK167" s="509"/>
      <c r="AL167" s="509"/>
      <c r="AM167" s="509"/>
      <c r="AN167" s="509"/>
      <c r="AO167" s="509"/>
      <c r="AP167" s="509"/>
      <c r="AQ167" s="509"/>
      <c r="AR167" s="509"/>
      <c r="AS167" s="509"/>
      <c r="AT167" s="509"/>
      <c r="AU167" s="509"/>
      <c r="AV167" s="509"/>
      <c r="AW167" s="509"/>
      <c r="AX167" s="509"/>
      <c r="AY167" s="509"/>
      <c r="AZ167" s="509"/>
      <c r="BA167" s="509"/>
      <c r="BB167" s="509"/>
      <c r="BC167" s="509"/>
      <c r="BD167" s="509"/>
      <c r="BE167" s="509"/>
      <c r="BF167" s="509"/>
      <c r="BG167" s="509"/>
      <c r="BH167" s="509"/>
      <c r="BI167" s="509"/>
      <c r="BJ167" s="509"/>
      <c r="BK167" s="509"/>
      <c r="BL167" s="509"/>
      <c r="BM167" s="509"/>
      <c r="BN167" s="509"/>
      <c r="BO167" s="509"/>
      <c r="BP167" s="509"/>
      <c r="BQ167" s="509"/>
      <c r="BR167" s="509"/>
      <c r="BS167" s="509"/>
      <c r="BT167" s="509"/>
      <c r="BU167" s="509"/>
      <c r="BV167" s="509"/>
      <c r="BW167" s="509"/>
      <c r="BX167" s="509"/>
    </row>
    <row r="168" outlineLevel="2" spans="2:76">
      <c r="B168" t="s">
        <v>389</v>
      </c>
      <c r="C168" t="s">
        <v>390</v>
      </c>
      <c r="F168" s="509"/>
      <c r="G168" s="509"/>
      <c r="H168" s="509"/>
      <c r="I168" s="509"/>
      <c r="J168" s="509"/>
      <c r="K168" s="509"/>
      <c r="L168" s="509"/>
      <c r="M168" s="509"/>
      <c r="N168" s="509"/>
      <c r="O168" s="509"/>
      <c r="P168" s="509"/>
      <c r="Q168" s="509">
        <v>0</v>
      </c>
      <c r="R168" s="509">
        <v>0</v>
      </c>
      <c r="S168" s="509">
        <v>0</v>
      </c>
      <c r="T168" s="509">
        <v>0</v>
      </c>
      <c r="U168" s="509"/>
      <c r="V168" s="509"/>
      <c r="W168" s="509"/>
      <c r="X168" s="509"/>
      <c r="Y168" s="509"/>
      <c r="Z168" s="509"/>
      <c r="AA168" s="509"/>
      <c r="AB168" s="509"/>
      <c r="AC168" s="509"/>
      <c r="AD168" s="509"/>
      <c r="AE168" s="509"/>
      <c r="AF168" s="509"/>
      <c r="AG168" s="509"/>
      <c r="AH168" s="509"/>
      <c r="AI168" s="509"/>
      <c r="AJ168" s="509"/>
      <c r="AK168" s="509"/>
      <c r="AL168" s="509"/>
      <c r="AM168" s="509"/>
      <c r="AN168" s="509"/>
      <c r="AO168" s="509"/>
      <c r="AP168" s="509"/>
      <c r="AQ168" s="509"/>
      <c r="AR168" s="509"/>
      <c r="AS168" s="509"/>
      <c r="AT168" s="509"/>
      <c r="AU168" s="509"/>
      <c r="AV168" s="509"/>
      <c r="AW168" s="509"/>
      <c r="AX168" s="509"/>
      <c r="AY168" s="509"/>
      <c r="AZ168" s="509"/>
      <c r="BA168" s="509"/>
      <c r="BB168" s="509"/>
      <c r="BC168" s="509"/>
      <c r="BD168" s="509"/>
      <c r="BE168" s="509"/>
      <c r="BF168" s="509"/>
      <c r="BG168" s="509"/>
      <c r="BH168" s="509"/>
      <c r="BI168" s="509"/>
      <c r="BJ168" s="509"/>
      <c r="BK168" s="509"/>
      <c r="BL168" s="509"/>
      <c r="BM168" s="509"/>
      <c r="BN168" s="509"/>
      <c r="BO168" s="509"/>
      <c r="BP168" s="509"/>
      <c r="BQ168" s="509"/>
      <c r="BR168" s="509"/>
      <c r="BS168" s="509"/>
      <c r="BT168" s="509"/>
      <c r="BU168" s="509"/>
      <c r="BV168" s="509"/>
      <c r="BW168" s="509"/>
      <c r="BX168" s="509"/>
    </row>
    <row r="169" outlineLevel="2" spans="2:76">
      <c r="B169" t="s">
        <v>391</v>
      </c>
      <c r="C169" t="s">
        <v>392</v>
      </c>
      <c r="F169" s="509"/>
      <c r="G169" s="509"/>
      <c r="H169" s="509"/>
      <c r="I169" s="509"/>
      <c r="J169" s="509"/>
      <c r="K169" s="509"/>
      <c r="L169" s="509"/>
      <c r="M169" s="509"/>
      <c r="N169" s="509"/>
      <c r="O169" s="509"/>
      <c r="P169" s="509"/>
      <c r="Q169" s="509">
        <v>0</v>
      </c>
      <c r="R169" s="509">
        <v>0</v>
      </c>
      <c r="S169" s="509">
        <v>0</v>
      </c>
      <c r="T169" s="509">
        <v>0</v>
      </c>
      <c r="U169" s="509"/>
      <c r="V169" s="509"/>
      <c r="W169" s="509"/>
      <c r="X169" s="509"/>
      <c r="Y169" s="509"/>
      <c r="Z169" s="509"/>
      <c r="AA169" s="509"/>
      <c r="AB169" s="509"/>
      <c r="AC169" s="509"/>
      <c r="AD169" s="509"/>
      <c r="AE169" s="509"/>
      <c r="AF169" s="509"/>
      <c r="AG169" s="509"/>
      <c r="AH169" s="509"/>
      <c r="AI169" s="509"/>
      <c r="AJ169" s="509"/>
      <c r="AK169" s="509"/>
      <c r="AL169" s="509"/>
      <c r="AM169" s="509"/>
      <c r="AN169" s="509"/>
      <c r="AO169" s="509"/>
      <c r="AP169" s="509"/>
      <c r="AQ169" s="509"/>
      <c r="AR169" s="509"/>
      <c r="AS169" s="509"/>
      <c r="AT169" s="509"/>
      <c r="AU169" s="509"/>
      <c r="AV169" s="509"/>
      <c r="AW169" s="509"/>
      <c r="AX169" s="509"/>
      <c r="AY169" s="509"/>
      <c r="AZ169" s="509"/>
      <c r="BA169" s="509"/>
      <c r="BB169" s="509"/>
      <c r="BC169" s="509"/>
      <c r="BD169" s="509"/>
      <c r="BE169" s="509"/>
      <c r="BF169" s="509"/>
      <c r="BG169" s="509"/>
      <c r="BH169" s="509"/>
      <c r="BI169" s="509"/>
      <c r="BJ169" s="509"/>
      <c r="BK169" s="509"/>
      <c r="BL169" s="509"/>
      <c r="BM169" s="509"/>
      <c r="BN169" s="509"/>
      <c r="BO169" s="509"/>
      <c r="BP169" s="509"/>
      <c r="BQ169" s="509"/>
      <c r="BR169" s="509"/>
      <c r="BS169" s="509"/>
      <c r="BT169" s="509"/>
      <c r="BU169" s="509"/>
      <c r="BV169" s="509"/>
      <c r="BW169" s="509"/>
      <c r="BX169" s="509"/>
    </row>
    <row r="170" outlineLevel="2" spans="2:76">
      <c r="B170" t="s">
        <v>393</v>
      </c>
      <c r="C170" t="s">
        <v>394</v>
      </c>
      <c r="F170" s="509"/>
      <c r="G170" s="509"/>
      <c r="H170" s="509"/>
      <c r="I170" s="509"/>
      <c r="J170" s="509"/>
      <c r="K170" s="509"/>
      <c r="L170" s="509"/>
      <c r="M170" s="509"/>
      <c r="N170" s="509"/>
      <c r="O170" s="509"/>
      <c r="P170" s="509"/>
      <c r="Q170" s="509">
        <v>0</v>
      </c>
      <c r="R170" s="509">
        <v>0</v>
      </c>
      <c r="S170" s="509">
        <v>0</v>
      </c>
      <c r="T170" s="509">
        <v>0</v>
      </c>
      <c r="U170" s="509"/>
      <c r="V170" s="509"/>
      <c r="W170" s="509"/>
      <c r="X170" s="509"/>
      <c r="Y170" s="509"/>
      <c r="Z170" s="509"/>
      <c r="AA170" s="509"/>
      <c r="AB170" s="509"/>
      <c r="AC170" s="509"/>
      <c r="AD170" s="509"/>
      <c r="AE170" s="509"/>
      <c r="AF170" s="509"/>
      <c r="AG170" s="509"/>
      <c r="AH170" s="509"/>
      <c r="AI170" s="509"/>
      <c r="AJ170" s="509"/>
      <c r="AK170" s="509"/>
      <c r="AL170" s="509"/>
      <c r="AM170" s="509"/>
      <c r="AN170" s="509"/>
      <c r="AO170" s="509"/>
      <c r="AP170" s="509"/>
      <c r="AQ170" s="509"/>
      <c r="AR170" s="509"/>
      <c r="AS170" s="509"/>
      <c r="AT170" s="509"/>
      <c r="AU170" s="509"/>
      <c r="AV170" s="509"/>
      <c r="AW170" s="509"/>
      <c r="AX170" s="509"/>
      <c r="AY170" s="509"/>
      <c r="AZ170" s="509"/>
      <c r="BA170" s="509"/>
      <c r="BB170" s="509"/>
      <c r="BC170" s="509"/>
      <c r="BD170" s="509"/>
      <c r="BE170" s="509"/>
      <c r="BF170" s="509"/>
      <c r="BG170" s="509"/>
      <c r="BH170" s="509"/>
      <c r="BI170" s="509"/>
      <c r="BJ170" s="509"/>
      <c r="BK170" s="509"/>
      <c r="BL170" s="509"/>
      <c r="BM170" s="509"/>
      <c r="BN170" s="509"/>
      <c r="BO170" s="509"/>
      <c r="BP170" s="509"/>
      <c r="BQ170" s="509"/>
      <c r="BR170" s="509"/>
      <c r="BS170" s="509"/>
      <c r="BT170" s="509"/>
      <c r="BU170" s="509"/>
      <c r="BV170" s="509"/>
      <c r="BW170" s="509"/>
      <c r="BX170" s="509"/>
    </row>
    <row r="171" outlineLevel="2" spans="2:76">
      <c r="B171" t="s">
        <v>395</v>
      </c>
      <c r="C171" t="s">
        <v>396</v>
      </c>
      <c r="F171" s="509"/>
      <c r="G171" s="509"/>
      <c r="H171" s="509"/>
      <c r="I171" s="509"/>
      <c r="J171" s="509"/>
      <c r="K171" s="509"/>
      <c r="L171" s="509"/>
      <c r="M171" s="509"/>
      <c r="N171" s="509"/>
      <c r="O171" s="509"/>
      <c r="P171" s="509"/>
      <c r="Q171" s="509">
        <v>0</v>
      </c>
      <c r="R171" s="509">
        <v>0</v>
      </c>
      <c r="S171" s="509">
        <v>0</v>
      </c>
      <c r="T171" s="509">
        <v>0</v>
      </c>
      <c r="U171" s="509"/>
      <c r="V171" s="509"/>
      <c r="W171" s="509"/>
      <c r="X171" s="509"/>
      <c r="Y171" s="509"/>
      <c r="Z171" s="509"/>
      <c r="AA171" s="509"/>
      <c r="AB171" s="509"/>
      <c r="AC171" s="509"/>
      <c r="AD171" s="509"/>
      <c r="AE171" s="509"/>
      <c r="AF171" s="509"/>
      <c r="AG171" s="509"/>
      <c r="AH171" s="509"/>
      <c r="AI171" s="509"/>
      <c r="AJ171" s="509"/>
      <c r="AK171" s="509"/>
      <c r="AL171" s="509"/>
      <c r="AM171" s="509"/>
      <c r="AN171" s="509"/>
      <c r="AO171" s="509"/>
      <c r="AP171" s="509"/>
      <c r="AQ171" s="509"/>
      <c r="AR171" s="509"/>
      <c r="AS171" s="509"/>
      <c r="AT171" s="509"/>
      <c r="AU171" s="509"/>
      <c r="AV171" s="509"/>
      <c r="AW171" s="509"/>
      <c r="AX171" s="509"/>
      <c r="AY171" s="509"/>
      <c r="AZ171" s="509"/>
      <c r="BA171" s="509"/>
      <c r="BB171" s="509"/>
      <c r="BC171" s="509"/>
      <c r="BD171" s="509"/>
      <c r="BE171" s="509"/>
      <c r="BF171" s="509"/>
      <c r="BG171" s="509"/>
      <c r="BH171" s="509"/>
      <c r="BI171" s="509"/>
      <c r="BJ171" s="509"/>
      <c r="BK171" s="509"/>
      <c r="BL171" s="509"/>
      <c r="BM171" s="509"/>
      <c r="BN171" s="509"/>
      <c r="BO171" s="509"/>
      <c r="BP171" s="509"/>
      <c r="BQ171" s="509"/>
      <c r="BR171" s="509"/>
      <c r="BS171" s="509"/>
      <c r="BT171" s="509"/>
      <c r="BU171" s="509"/>
      <c r="BV171" s="509"/>
      <c r="BW171" s="509"/>
      <c r="BX171" s="509"/>
    </row>
    <row r="172" outlineLevel="2" spans="2:76">
      <c r="B172" t="s">
        <v>397</v>
      </c>
      <c r="C172" t="s">
        <v>398</v>
      </c>
      <c r="F172" s="509"/>
      <c r="G172" s="509"/>
      <c r="H172" s="509"/>
      <c r="I172" s="509"/>
      <c r="J172" s="509"/>
      <c r="K172" s="509"/>
      <c r="L172" s="509"/>
      <c r="M172" s="509"/>
      <c r="N172" s="509"/>
      <c r="O172" s="509"/>
      <c r="P172" s="509"/>
      <c r="Q172" s="509">
        <v>0</v>
      </c>
      <c r="R172" s="509">
        <v>0</v>
      </c>
      <c r="S172" s="509">
        <v>0</v>
      </c>
      <c r="T172" s="509">
        <v>0</v>
      </c>
      <c r="U172" s="509"/>
      <c r="V172" s="509"/>
      <c r="W172" s="509"/>
      <c r="X172" s="509"/>
      <c r="Y172" s="509"/>
      <c r="Z172" s="509"/>
      <c r="AA172" s="509"/>
      <c r="AB172" s="509"/>
      <c r="AC172" s="509"/>
      <c r="AD172" s="509"/>
      <c r="AE172" s="509"/>
      <c r="AF172" s="509"/>
      <c r="AG172" s="509"/>
      <c r="AH172" s="509"/>
      <c r="AI172" s="509"/>
      <c r="AJ172" s="509"/>
      <c r="AK172" s="509"/>
      <c r="AL172" s="509"/>
      <c r="AM172" s="509"/>
      <c r="AN172" s="509"/>
      <c r="AO172" s="509"/>
      <c r="AP172" s="509"/>
      <c r="AQ172" s="509"/>
      <c r="AR172" s="509"/>
      <c r="AS172" s="509"/>
      <c r="AT172" s="509"/>
      <c r="AU172" s="509"/>
      <c r="AV172" s="509"/>
      <c r="AW172" s="509"/>
      <c r="AX172" s="509"/>
      <c r="AY172" s="509"/>
      <c r="AZ172" s="509"/>
      <c r="BA172" s="509"/>
      <c r="BB172" s="509"/>
      <c r="BC172" s="509"/>
      <c r="BD172" s="509"/>
      <c r="BE172" s="509"/>
      <c r="BF172" s="509"/>
      <c r="BG172" s="509"/>
      <c r="BH172" s="509"/>
      <c r="BI172" s="509"/>
      <c r="BJ172" s="509"/>
      <c r="BK172" s="509"/>
      <c r="BL172" s="509"/>
      <c r="BM172" s="509"/>
      <c r="BN172" s="509"/>
      <c r="BO172" s="509"/>
      <c r="BP172" s="509"/>
      <c r="BQ172" s="509"/>
      <c r="BR172" s="509"/>
      <c r="BS172" s="509"/>
      <c r="BT172" s="509"/>
      <c r="BU172" s="509"/>
      <c r="BV172" s="509"/>
      <c r="BW172" s="509"/>
      <c r="BX172" s="509"/>
    </row>
    <row r="173" outlineLevel="2" spans="2:76">
      <c r="B173" t="s">
        <v>399</v>
      </c>
      <c r="C173" t="s">
        <v>400</v>
      </c>
      <c r="F173" s="509"/>
      <c r="G173" s="509"/>
      <c r="H173" s="509"/>
      <c r="I173" s="509"/>
      <c r="J173" s="509"/>
      <c r="K173" s="509"/>
      <c r="L173" s="509"/>
      <c r="M173" s="509"/>
      <c r="N173" s="509"/>
      <c r="O173" s="509"/>
      <c r="P173" s="509"/>
      <c r="Q173" s="509">
        <v>0</v>
      </c>
      <c r="R173" s="509">
        <v>0</v>
      </c>
      <c r="S173" s="509">
        <v>0</v>
      </c>
      <c r="T173" s="509"/>
      <c r="U173" s="509"/>
      <c r="V173" s="509"/>
      <c r="W173" s="509"/>
      <c r="X173" s="509"/>
      <c r="Y173" s="509"/>
      <c r="Z173" s="509"/>
      <c r="AA173" s="509"/>
      <c r="AB173" s="509"/>
      <c r="AC173" s="509"/>
      <c r="AD173" s="509"/>
      <c r="AE173" s="509"/>
      <c r="AF173" s="509"/>
      <c r="AG173" s="509"/>
      <c r="AH173" s="509"/>
      <c r="AI173" s="509"/>
      <c r="AJ173" s="509"/>
      <c r="AK173" s="509"/>
      <c r="AL173" s="509"/>
      <c r="AM173" s="509"/>
      <c r="AN173" s="509"/>
      <c r="AO173" s="509"/>
      <c r="AP173" s="509"/>
      <c r="AQ173" s="509"/>
      <c r="AR173" s="509"/>
      <c r="AS173" s="509"/>
      <c r="AT173" s="509"/>
      <c r="AU173" s="509"/>
      <c r="AV173" s="509"/>
      <c r="AW173" s="509"/>
      <c r="AX173" s="509"/>
      <c r="AY173" s="509"/>
      <c r="AZ173" s="509"/>
      <c r="BA173" s="509"/>
      <c r="BB173" s="509"/>
      <c r="BC173" s="509"/>
      <c r="BD173" s="509"/>
      <c r="BE173" s="509"/>
      <c r="BF173" s="509"/>
      <c r="BG173" s="509"/>
      <c r="BH173" s="509"/>
      <c r="BI173" s="509"/>
      <c r="BJ173" s="509"/>
      <c r="BK173" s="509"/>
      <c r="BL173" s="509"/>
      <c r="BM173" s="509"/>
      <c r="BN173" s="509"/>
      <c r="BO173" s="509"/>
      <c r="BP173" s="509"/>
      <c r="BQ173" s="509"/>
      <c r="BR173" s="509"/>
      <c r="BS173" s="509"/>
      <c r="BT173" s="509"/>
      <c r="BU173" s="509"/>
      <c r="BV173" s="509"/>
      <c r="BW173" s="509"/>
      <c r="BX173" s="509"/>
    </row>
    <row r="174" outlineLevel="2" spans="2:76">
      <c r="B174" t="s">
        <v>401</v>
      </c>
      <c r="C174" t="s">
        <v>402</v>
      </c>
      <c r="F174" s="509"/>
      <c r="G174" s="509"/>
      <c r="H174" s="509"/>
      <c r="I174" s="509"/>
      <c r="J174" s="509"/>
      <c r="K174" s="509"/>
      <c r="L174" s="509"/>
      <c r="M174" s="509"/>
      <c r="N174" s="509"/>
      <c r="O174" s="509"/>
      <c r="P174" s="509"/>
      <c r="Q174" s="509">
        <v>1</v>
      </c>
      <c r="R174" s="509">
        <v>1</v>
      </c>
      <c r="S174" s="509">
        <v>1</v>
      </c>
      <c r="T174" s="509"/>
      <c r="U174" s="509"/>
      <c r="V174" s="509"/>
      <c r="W174" s="509"/>
      <c r="X174" s="509"/>
      <c r="Y174" s="509"/>
      <c r="Z174" s="509"/>
      <c r="AA174" s="509"/>
      <c r="AB174" s="509"/>
      <c r="AC174" s="509"/>
      <c r="AD174" s="509"/>
      <c r="AE174" s="509"/>
      <c r="AF174" s="509"/>
      <c r="AG174" s="509"/>
      <c r="AH174" s="509"/>
      <c r="AI174" s="509"/>
      <c r="AJ174" s="509"/>
      <c r="AK174" s="509"/>
      <c r="AL174" s="509"/>
      <c r="AM174" s="509"/>
      <c r="AN174" s="509"/>
      <c r="AO174" s="509"/>
      <c r="AP174" s="509"/>
      <c r="AQ174" s="509"/>
      <c r="AR174" s="509"/>
      <c r="AS174" s="509"/>
      <c r="AT174" s="509"/>
      <c r="AU174" s="509"/>
      <c r="AV174" s="509"/>
      <c r="AW174" s="509"/>
      <c r="AX174" s="509"/>
      <c r="AY174" s="509"/>
      <c r="AZ174" s="509"/>
      <c r="BA174" s="509"/>
      <c r="BB174" s="509"/>
      <c r="BC174" s="509"/>
      <c r="BD174" s="509"/>
      <c r="BE174" s="509"/>
      <c r="BF174" s="509"/>
      <c r="BG174" s="509"/>
      <c r="BH174" s="509"/>
      <c r="BI174" s="509"/>
      <c r="BJ174" s="509"/>
      <c r="BK174" s="509"/>
      <c r="BL174" s="509"/>
      <c r="BM174" s="509"/>
      <c r="BN174" s="509"/>
      <c r="BO174" s="509"/>
      <c r="BP174" s="509"/>
      <c r="BQ174" s="509"/>
      <c r="BR174" s="509"/>
      <c r="BS174" s="509"/>
      <c r="BT174" s="509"/>
      <c r="BU174" s="509"/>
      <c r="BV174" s="509"/>
      <c r="BW174" s="509"/>
      <c r="BX174" s="509"/>
    </row>
    <row r="175" outlineLevel="2" spans="2:76">
      <c r="B175" t="s">
        <v>403</v>
      </c>
      <c r="C175" t="s">
        <v>404</v>
      </c>
      <c r="F175" s="509"/>
      <c r="G175" s="509"/>
      <c r="H175" s="509"/>
      <c r="I175" s="509"/>
      <c r="J175" s="509"/>
      <c r="K175" s="509"/>
      <c r="L175" s="509"/>
      <c r="M175" s="509"/>
      <c r="N175" s="509"/>
      <c r="O175" s="509"/>
      <c r="P175" s="509"/>
      <c r="Q175" s="509">
        <v>0</v>
      </c>
      <c r="R175" s="509">
        <v>0</v>
      </c>
      <c r="S175" s="509">
        <v>0</v>
      </c>
      <c r="T175" s="509"/>
      <c r="U175" s="509"/>
      <c r="V175" s="509"/>
      <c r="W175" s="509"/>
      <c r="X175" s="509"/>
      <c r="Y175" s="509"/>
      <c r="Z175" s="509"/>
      <c r="AA175" s="509"/>
      <c r="AB175" s="509"/>
      <c r="AC175" s="509"/>
      <c r="AD175" s="509"/>
      <c r="AE175" s="509"/>
      <c r="AF175" s="509"/>
      <c r="AG175" s="509"/>
      <c r="AH175" s="509"/>
      <c r="AI175" s="509"/>
      <c r="AJ175" s="509"/>
      <c r="AK175" s="509"/>
      <c r="AL175" s="509"/>
      <c r="AM175" s="509"/>
      <c r="AN175" s="509"/>
      <c r="AO175" s="509"/>
      <c r="AP175" s="509"/>
      <c r="AQ175" s="509"/>
      <c r="AR175" s="509"/>
      <c r="AS175" s="509"/>
      <c r="AT175" s="509"/>
      <c r="AU175" s="509"/>
      <c r="AV175" s="509"/>
      <c r="AW175" s="509"/>
      <c r="AX175" s="509"/>
      <c r="AY175" s="509"/>
      <c r="AZ175" s="509"/>
      <c r="BA175" s="509"/>
      <c r="BB175" s="509"/>
      <c r="BC175" s="509"/>
      <c r="BD175" s="509"/>
      <c r="BE175" s="509"/>
      <c r="BF175" s="509"/>
      <c r="BG175" s="509"/>
      <c r="BH175" s="509"/>
      <c r="BI175" s="509"/>
      <c r="BJ175" s="509"/>
      <c r="BK175" s="509"/>
      <c r="BL175" s="509"/>
      <c r="BM175" s="509"/>
      <c r="BN175" s="509"/>
      <c r="BO175" s="509"/>
      <c r="BP175" s="509"/>
      <c r="BQ175" s="509"/>
      <c r="BR175" s="509"/>
      <c r="BS175" s="509"/>
      <c r="BT175" s="509"/>
      <c r="BU175" s="509"/>
      <c r="BV175" s="509"/>
      <c r="BW175" s="509"/>
      <c r="BX175" s="509"/>
    </row>
    <row r="176" outlineLevel="2" spans="2:76">
      <c r="B176" t="s">
        <v>405</v>
      </c>
      <c r="C176" t="s">
        <v>406</v>
      </c>
      <c r="F176" s="509"/>
      <c r="G176" s="509"/>
      <c r="H176" s="509"/>
      <c r="I176" s="509"/>
      <c r="J176" s="509"/>
      <c r="K176" s="509"/>
      <c r="L176" s="509"/>
      <c r="M176" s="509"/>
      <c r="N176" s="509"/>
      <c r="O176" s="509"/>
      <c r="P176" s="509"/>
      <c r="Q176" s="509">
        <v>1</v>
      </c>
      <c r="R176" s="509">
        <v>1</v>
      </c>
      <c r="S176" s="509">
        <v>1</v>
      </c>
      <c r="T176" s="509"/>
      <c r="U176" s="509"/>
      <c r="V176" s="509"/>
      <c r="W176" s="509"/>
      <c r="X176" s="509"/>
      <c r="Y176" s="509"/>
      <c r="Z176" s="509"/>
      <c r="AA176" s="509"/>
      <c r="AB176" s="509"/>
      <c r="AC176" s="509"/>
      <c r="AD176" s="509"/>
      <c r="AE176" s="509"/>
      <c r="AF176" s="509"/>
      <c r="AG176" s="509"/>
      <c r="AH176" s="509"/>
      <c r="AI176" s="509"/>
      <c r="AJ176" s="509"/>
      <c r="AK176" s="509"/>
      <c r="AL176" s="509"/>
      <c r="AM176" s="509"/>
      <c r="AN176" s="509"/>
      <c r="AO176" s="509"/>
      <c r="AP176" s="509"/>
      <c r="AQ176" s="509"/>
      <c r="AR176" s="509"/>
      <c r="AS176" s="509"/>
      <c r="AT176" s="509"/>
      <c r="AU176" s="509"/>
      <c r="AV176" s="509"/>
      <c r="AW176" s="509"/>
      <c r="AX176" s="509"/>
      <c r="AY176" s="509"/>
      <c r="AZ176" s="509"/>
      <c r="BA176" s="509"/>
      <c r="BB176" s="509"/>
      <c r="BC176" s="509"/>
      <c r="BD176" s="509"/>
      <c r="BE176" s="509"/>
      <c r="BF176" s="509"/>
      <c r="BG176" s="509"/>
      <c r="BH176" s="509"/>
      <c r="BI176" s="509"/>
      <c r="BJ176" s="509"/>
      <c r="BK176" s="509"/>
      <c r="BL176" s="509"/>
      <c r="BM176" s="509"/>
      <c r="BN176" s="509"/>
      <c r="BO176" s="509"/>
      <c r="BP176" s="509"/>
      <c r="BQ176" s="509"/>
      <c r="BR176" s="509"/>
      <c r="BS176" s="509"/>
      <c r="BT176" s="509"/>
      <c r="BU176" s="509"/>
      <c r="BV176" s="509"/>
      <c r="BW176" s="509"/>
      <c r="BX176" s="509"/>
    </row>
    <row r="177" outlineLevel="2" spans="2:76">
      <c r="B177" t="s">
        <v>407</v>
      </c>
      <c r="C177" t="s">
        <v>408</v>
      </c>
      <c r="F177" s="509"/>
      <c r="G177" s="509"/>
      <c r="H177" s="509"/>
      <c r="I177" s="509"/>
      <c r="J177" s="509"/>
      <c r="K177" s="509"/>
      <c r="L177" s="509"/>
      <c r="M177" s="509"/>
      <c r="N177" s="509"/>
      <c r="O177" s="509"/>
      <c r="P177" s="509"/>
      <c r="Q177" s="509">
        <v>0</v>
      </c>
      <c r="R177" s="509">
        <v>0</v>
      </c>
      <c r="S177" s="509">
        <v>0</v>
      </c>
      <c r="T177" s="509">
        <v>0</v>
      </c>
      <c r="U177" s="509"/>
      <c r="V177" s="509"/>
      <c r="W177" s="509"/>
      <c r="X177" s="509"/>
      <c r="Y177" s="509"/>
      <c r="Z177" s="509"/>
      <c r="AA177" s="509"/>
      <c r="AB177" s="509"/>
      <c r="AC177" s="509"/>
      <c r="AD177" s="509"/>
      <c r="AE177" s="509"/>
      <c r="AF177" s="509"/>
      <c r="AG177" s="509"/>
      <c r="AH177" s="509"/>
      <c r="AI177" s="509"/>
      <c r="AJ177" s="509"/>
      <c r="AK177" s="509"/>
      <c r="AL177" s="509"/>
      <c r="AM177" s="509"/>
      <c r="AN177" s="509"/>
      <c r="AO177" s="509"/>
      <c r="AP177" s="509"/>
      <c r="AQ177" s="509"/>
      <c r="AR177" s="509"/>
      <c r="AS177" s="509"/>
      <c r="AT177" s="509"/>
      <c r="AU177" s="509"/>
      <c r="AV177" s="509"/>
      <c r="AW177" s="509"/>
      <c r="AX177" s="509"/>
      <c r="AY177" s="509"/>
      <c r="AZ177" s="509"/>
      <c r="BA177" s="509"/>
      <c r="BB177" s="509"/>
      <c r="BC177" s="509"/>
      <c r="BD177" s="509"/>
      <c r="BE177" s="509"/>
      <c r="BF177" s="509"/>
      <c r="BG177" s="509"/>
      <c r="BH177" s="509"/>
      <c r="BI177" s="509"/>
      <c r="BJ177" s="509"/>
      <c r="BK177" s="509"/>
      <c r="BL177" s="509"/>
      <c r="BM177" s="509"/>
      <c r="BN177" s="509"/>
      <c r="BO177" s="509"/>
      <c r="BP177" s="509"/>
      <c r="BQ177" s="509"/>
      <c r="BR177" s="509"/>
      <c r="BS177" s="509"/>
      <c r="BT177" s="509"/>
      <c r="BU177" s="509"/>
      <c r="BV177" s="509"/>
      <c r="BW177" s="509"/>
      <c r="BX177" s="509"/>
    </row>
    <row r="178" outlineLevel="2" spans="2:76">
      <c r="B178" t="s">
        <v>409</v>
      </c>
      <c r="C178" t="s">
        <v>410</v>
      </c>
      <c r="F178" s="509"/>
      <c r="G178" s="509"/>
      <c r="H178" s="509"/>
      <c r="I178" s="509"/>
      <c r="J178" s="509"/>
      <c r="K178" s="509"/>
      <c r="L178" s="509"/>
      <c r="M178" s="509"/>
      <c r="N178" s="509"/>
      <c r="O178" s="509"/>
      <c r="P178" s="509"/>
      <c r="Q178" s="509">
        <v>1</v>
      </c>
      <c r="R178" s="509">
        <v>1</v>
      </c>
      <c r="S178" s="509">
        <v>1</v>
      </c>
      <c r="T178" s="509">
        <v>1</v>
      </c>
      <c r="U178" s="509"/>
      <c r="V178" s="509"/>
      <c r="W178" s="509"/>
      <c r="X178" s="509"/>
      <c r="Y178" s="509"/>
      <c r="Z178" s="509"/>
      <c r="AA178" s="509"/>
      <c r="AB178" s="509"/>
      <c r="AC178" s="509"/>
      <c r="AD178" s="509"/>
      <c r="AE178" s="509"/>
      <c r="AF178" s="509"/>
      <c r="AG178" s="509"/>
      <c r="AH178" s="509"/>
      <c r="AI178" s="509"/>
      <c r="AJ178" s="509"/>
      <c r="AK178" s="509"/>
      <c r="AL178" s="509"/>
      <c r="AM178" s="509"/>
      <c r="AN178" s="509"/>
      <c r="AO178" s="509"/>
      <c r="AP178" s="509"/>
      <c r="AQ178" s="509"/>
      <c r="AR178" s="509"/>
      <c r="AS178" s="509"/>
      <c r="AT178" s="509"/>
      <c r="AU178" s="509"/>
      <c r="AV178" s="509"/>
      <c r="AW178" s="509"/>
      <c r="AX178" s="509"/>
      <c r="AY178" s="509"/>
      <c r="AZ178" s="509"/>
      <c r="BA178" s="509"/>
      <c r="BB178" s="509"/>
      <c r="BC178" s="509"/>
      <c r="BD178" s="509"/>
      <c r="BE178" s="509"/>
      <c r="BF178" s="509"/>
      <c r="BG178" s="509"/>
      <c r="BH178" s="509"/>
      <c r="BI178" s="509"/>
      <c r="BJ178" s="509"/>
      <c r="BK178" s="509"/>
      <c r="BL178" s="509"/>
      <c r="BM178" s="509"/>
      <c r="BN178" s="509"/>
      <c r="BO178" s="509"/>
      <c r="BP178" s="509"/>
      <c r="BQ178" s="509"/>
      <c r="BR178" s="509"/>
      <c r="BS178" s="509"/>
      <c r="BT178" s="509"/>
      <c r="BU178" s="509"/>
      <c r="BV178" s="509"/>
      <c r="BW178" s="509"/>
      <c r="BX178" s="509"/>
    </row>
    <row r="179" outlineLevel="2" spans="2:76">
      <c r="B179" t="s">
        <v>411</v>
      </c>
      <c r="C179" t="s">
        <v>412</v>
      </c>
      <c r="F179" s="509"/>
      <c r="G179" s="509"/>
      <c r="H179" s="509"/>
      <c r="I179" s="509"/>
      <c r="J179" s="509"/>
      <c r="K179" s="509"/>
      <c r="L179" s="509"/>
      <c r="M179" s="509"/>
      <c r="N179" s="509"/>
      <c r="O179" s="509"/>
      <c r="P179" s="509"/>
      <c r="Q179" s="509">
        <v>0</v>
      </c>
      <c r="R179" s="509">
        <v>0</v>
      </c>
      <c r="S179" s="509">
        <v>0</v>
      </c>
      <c r="T179" s="509">
        <v>0</v>
      </c>
      <c r="U179" s="509"/>
      <c r="V179" s="509"/>
      <c r="W179" s="509"/>
      <c r="X179" s="509"/>
      <c r="Y179" s="509"/>
      <c r="Z179" s="509"/>
      <c r="AA179" s="509"/>
      <c r="AB179" s="509"/>
      <c r="AC179" s="509"/>
      <c r="AD179" s="509"/>
      <c r="AE179" s="509"/>
      <c r="AF179" s="509"/>
      <c r="AG179" s="509"/>
      <c r="AH179" s="509"/>
      <c r="AI179" s="509"/>
      <c r="AJ179" s="509"/>
      <c r="AK179" s="509"/>
      <c r="AL179" s="509"/>
      <c r="AM179" s="509"/>
      <c r="AN179" s="509"/>
      <c r="AO179" s="509"/>
      <c r="AP179" s="509"/>
      <c r="AQ179" s="509"/>
      <c r="AR179" s="509"/>
      <c r="AS179" s="509"/>
      <c r="AT179" s="509"/>
      <c r="AU179" s="509"/>
      <c r="AV179" s="509"/>
      <c r="AW179" s="509"/>
      <c r="AX179" s="509"/>
      <c r="AY179" s="509"/>
      <c r="AZ179" s="509"/>
      <c r="BA179" s="509"/>
      <c r="BB179" s="509"/>
      <c r="BC179" s="509"/>
      <c r="BD179" s="509"/>
      <c r="BE179" s="509"/>
      <c r="BF179" s="509"/>
      <c r="BG179" s="509"/>
      <c r="BH179" s="509"/>
      <c r="BI179" s="509"/>
      <c r="BJ179" s="509"/>
      <c r="BK179" s="509"/>
      <c r="BL179" s="509"/>
      <c r="BM179" s="509"/>
      <c r="BN179" s="509"/>
      <c r="BO179" s="509"/>
      <c r="BP179" s="509"/>
      <c r="BQ179" s="509"/>
      <c r="BR179" s="509"/>
      <c r="BS179" s="509"/>
      <c r="BT179" s="509"/>
      <c r="BU179" s="509"/>
      <c r="BV179" s="509"/>
      <c r="BW179" s="509"/>
      <c r="BX179" s="509"/>
    </row>
    <row r="180" outlineLevel="2" spans="2:76">
      <c r="B180" t="s">
        <v>413</v>
      </c>
      <c r="C180" t="s">
        <v>414</v>
      </c>
      <c r="F180" s="509"/>
      <c r="G180" s="509"/>
      <c r="H180" s="509"/>
      <c r="I180" s="509"/>
      <c r="J180" s="509"/>
      <c r="K180" s="509"/>
      <c r="L180" s="509"/>
      <c r="M180" s="509"/>
      <c r="N180" s="509"/>
      <c r="O180" s="509"/>
      <c r="P180" s="509"/>
      <c r="Q180" s="509">
        <v>0</v>
      </c>
      <c r="R180" s="509">
        <v>0</v>
      </c>
      <c r="S180" s="509">
        <v>0</v>
      </c>
      <c r="T180" s="509">
        <v>0</v>
      </c>
      <c r="U180" s="509"/>
      <c r="V180" s="509"/>
      <c r="W180" s="509"/>
      <c r="X180" s="509"/>
      <c r="Y180" s="509"/>
      <c r="Z180" s="509"/>
      <c r="AA180" s="509"/>
      <c r="AB180" s="509"/>
      <c r="AC180" s="509"/>
      <c r="AD180" s="509"/>
      <c r="AE180" s="509"/>
      <c r="AF180" s="509"/>
      <c r="AG180" s="509"/>
      <c r="AH180" s="509"/>
      <c r="AI180" s="509"/>
      <c r="AJ180" s="509"/>
      <c r="AK180" s="509"/>
      <c r="AL180" s="509"/>
      <c r="AM180" s="509"/>
      <c r="AN180" s="509"/>
      <c r="AO180" s="509"/>
      <c r="AP180" s="509"/>
      <c r="AQ180" s="509"/>
      <c r="AR180" s="509"/>
      <c r="AS180" s="509"/>
      <c r="AT180" s="509"/>
      <c r="AU180" s="509"/>
      <c r="AV180" s="509"/>
      <c r="AW180" s="509"/>
      <c r="AX180" s="509"/>
      <c r="AY180" s="509"/>
      <c r="AZ180" s="509"/>
      <c r="BA180" s="509"/>
      <c r="BB180" s="509"/>
      <c r="BC180" s="509"/>
      <c r="BD180" s="509"/>
      <c r="BE180" s="509"/>
      <c r="BF180" s="509"/>
      <c r="BG180" s="509"/>
      <c r="BH180" s="509"/>
      <c r="BI180" s="509"/>
      <c r="BJ180" s="509"/>
      <c r="BK180" s="509"/>
      <c r="BL180" s="509"/>
      <c r="BM180" s="509"/>
      <c r="BN180" s="509"/>
      <c r="BO180" s="509"/>
      <c r="BP180" s="509"/>
      <c r="BQ180" s="509"/>
      <c r="BR180" s="509"/>
      <c r="BS180" s="509"/>
      <c r="BT180" s="509"/>
      <c r="BU180" s="509"/>
      <c r="BV180" s="509"/>
      <c r="BW180" s="509"/>
      <c r="BX180" s="509"/>
    </row>
    <row r="181" outlineLevel="2" spans="2:76">
      <c r="B181" t="s">
        <v>415</v>
      </c>
      <c r="C181" t="s">
        <v>416</v>
      </c>
      <c r="F181" s="509"/>
      <c r="G181" s="509"/>
      <c r="H181" s="509"/>
      <c r="I181" s="509"/>
      <c r="J181" s="509"/>
      <c r="K181" s="509"/>
      <c r="L181" s="509"/>
      <c r="M181" s="509"/>
      <c r="N181" s="509"/>
      <c r="O181" s="509"/>
      <c r="P181" s="509"/>
      <c r="Q181" s="509">
        <v>0</v>
      </c>
      <c r="R181" s="509">
        <v>0</v>
      </c>
      <c r="S181" s="509">
        <v>0</v>
      </c>
      <c r="T181" s="509">
        <v>0</v>
      </c>
      <c r="U181" s="509"/>
      <c r="V181" s="509"/>
      <c r="W181" s="509"/>
      <c r="X181" s="509"/>
      <c r="Y181" s="509"/>
      <c r="Z181" s="509"/>
      <c r="AA181" s="509"/>
      <c r="AB181" s="509"/>
      <c r="AC181" s="509"/>
      <c r="AD181" s="509"/>
      <c r="AE181" s="509"/>
      <c r="AF181" s="509"/>
      <c r="AG181" s="509"/>
      <c r="AH181" s="509"/>
      <c r="AI181" s="509"/>
      <c r="AJ181" s="509"/>
      <c r="AK181" s="509"/>
      <c r="AL181" s="509"/>
      <c r="AM181" s="509"/>
      <c r="AN181" s="509"/>
      <c r="AO181" s="509"/>
      <c r="AP181" s="509"/>
      <c r="AQ181" s="509"/>
      <c r="AR181" s="509"/>
      <c r="AS181" s="509"/>
      <c r="AT181" s="509"/>
      <c r="AU181" s="509"/>
      <c r="AV181" s="509"/>
      <c r="AW181" s="509"/>
      <c r="AX181" s="509"/>
      <c r="AY181" s="509"/>
      <c r="AZ181" s="509"/>
      <c r="BA181" s="509"/>
      <c r="BB181" s="509"/>
      <c r="BC181" s="509"/>
      <c r="BD181" s="509"/>
      <c r="BE181" s="509"/>
      <c r="BF181" s="509"/>
      <c r="BG181" s="509"/>
      <c r="BH181" s="509"/>
      <c r="BI181" s="509"/>
      <c r="BJ181" s="509"/>
      <c r="BK181" s="509"/>
      <c r="BL181" s="509"/>
      <c r="BM181" s="509"/>
      <c r="BN181" s="509"/>
      <c r="BO181" s="509"/>
      <c r="BP181" s="509"/>
      <c r="BQ181" s="509"/>
      <c r="BR181" s="509"/>
      <c r="BS181" s="509"/>
      <c r="BT181" s="509"/>
      <c r="BU181" s="509"/>
      <c r="BV181" s="509"/>
      <c r="BW181" s="509"/>
      <c r="BX181" s="509"/>
    </row>
    <row r="182" s="495" customFormat="1" outlineLevel="1" spans="1:4">
      <c r="A182" s="501" t="s">
        <v>417</v>
      </c>
      <c r="B182" s="501"/>
      <c r="C182" s="501"/>
      <c r="D182" s="501"/>
    </row>
    <row r="183" outlineLevel="2" spans="2:76">
      <c r="B183" t="s">
        <v>418</v>
      </c>
      <c r="C183" t="s">
        <v>419</v>
      </c>
      <c r="F183" s="506"/>
      <c r="G183" s="506"/>
      <c r="H183" s="506"/>
      <c r="I183" s="506"/>
      <c r="J183" s="506"/>
      <c r="K183" s="506"/>
      <c r="L183" s="506"/>
      <c r="M183" s="506"/>
      <c r="N183" s="506"/>
      <c r="O183" s="506"/>
      <c r="P183" s="506"/>
      <c r="Q183" s="506"/>
      <c r="R183" s="506"/>
      <c r="S183" s="506"/>
      <c r="T183" s="506"/>
      <c r="U183" s="506"/>
      <c r="V183" s="506"/>
      <c r="W183" s="506"/>
      <c r="X183" s="506"/>
      <c r="Y183" s="506"/>
      <c r="Z183" s="506"/>
      <c r="AA183" s="506"/>
      <c r="AB183" s="506"/>
      <c r="AC183" s="506"/>
      <c r="AD183" s="506"/>
      <c r="AE183" s="506"/>
      <c r="AF183" s="506"/>
      <c r="AG183" s="506"/>
      <c r="AH183" s="506"/>
      <c r="AI183" s="506"/>
      <c r="AJ183" s="506"/>
      <c r="AK183" s="506"/>
      <c r="AL183" s="506"/>
      <c r="AM183" s="506"/>
      <c r="AN183" s="506"/>
      <c r="AO183" s="506"/>
      <c r="AP183" s="506"/>
      <c r="AQ183" s="506"/>
      <c r="AR183" s="506"/>
      <c r="AS183" s="506"/>
      <c r="AT183" s="506"/>
      <c r="AU183" s="506"/>
      <c r="AV183" s="506"/>
      <c r="AW183" s="506"/>
      <c r="AX183" s="506"/>
      <c r="AY183" s="506"/>
      <c r="AZ183" s="506"/>
      <c r="BA183" s="506"/>
      <c r="BB183" s="506"/>
      <c r="BC183" s="506"/>
      <c r="BD183" s="506"/>
      <c r="BE183" s="506"/>
      <c r="BF183" s="506"/>
      <c r="BG183" s="506"/>
      <c r="BH183" s="506"/>
      <c r="BI183" s="506"/>
      <c r="BJ183" s="506"/>
      <c r="BK183" s="506"/>
      <c r="BL183" s="506"/>
      <c r="BM183" s="506"/>
      <c r="BN183" s="506"/>
      <c r="BO183" s="506"/>
      <c r="BP183" s="506"/>
      <c r="BQ183" s="506"/>
      <c r="BR183" s="506"/>
      <c r="BS183" s="506"/>
      <c r="BT183" s="506"/>
      <c r="BU183" s="506"/>
      <c r="BV183" s="506"/>
      <c r="BW183" s="506"/>
      <c r="BX183" s="506"/>
    </row>
    <row r="184" outlineLevel="2" spans="2:76">
      <c r="B184" t="s">
        <v>420</v>
      </c>
      <c r="C184" t="s">
        <v>421</v>
      </c>
      <c r="F184" s="506"/>
      <c r="G184" s="506"/>
      <c r="H184" s="506"/>
      <c r="I184" s="506"/>
      <c r="J184" s="506"/>
      <c r="K184" s="506"/>
      <c r="L184" s="506"/>
      <c r="M184" s="506"/>
      <c r="N184" s="506"/>
      <c r="O184" s="506"/>
      <c r="P184" s="506"/>
      <c r="Q184" s="506"/>
      <c r="R184" s="506"/>
      <c r="S184" s="506"/>
      <c r="T184" s="506"/>
      <c r="U184" s="506"/>
      <c r="V184" s="506"/>
      <c r="W184" s="506"/>
      <c r="X184" s="506"/>
      <c r="Y184" s="506"/>
      <c r="Z184" s="506"/>
      <c r="AA184" s="506"/>
      <c r="AB184" s="506"/>
      <c r="AC184" s="506"/>
      <c r="AD184" s="506"/>
      <c r="AE184" s="506"/>
      <c r="AF184" s="506"/>
      <c r="AG184" s="506"/>
      <c r="AH184" s="506"/>
      <c r="AI184" s="506"/>
      <c r="AJ184" s="506"/>
      <c r="AK184" s="506"/>
      <c r="AL184" s="506"/>
      <c r="AM184" s="506"/>
      <c r="AN184" s="506"/>
      <c r="AO184" s="506"/>
      <c r="AP184" s="506"/>
      <c r="AQ184" s="506"/>
      <c r="AR184" s="506"/>
      <c r="AS184" s="506"/>
      <c r="AT184" s="506"/>
      <c r="AU184" s="506"/>
      <c r="AV184" s="506"/>
      <c r="AW184" s="506"/>
      <c r="AX184" s="506"/>
      <c r="AY184" s="506"/>
      <c r="AZ184" s="506"/>
      <c r="BA184" s="506"/>
      <c r="BB184" s="506"/>
      <c r="BC184" s="506"/>
      <c r="BD184" s="506"/>
      <c r="BE184" s="506"/>
      <c r="BF184" s="506"/>
      <c r="BG184" s="506"/>
      <c r="BH184" s="506"/>
      <c r="BI184" s="506"/>
      <c r="BJ184" s="506"/>
      <c r="BK184" s="506"/>
      <c r="BL184" s="506"/>
      <c r="BM184" s="506"/>
      <c r="BN184" s="506"/>
      <c r="BO184" s="506"/>
      <c r="BP184" s="506"/>
      <c r="BQ184" s="506"/>
      <c r="BR184" s="506"/>
      <c r="BS184" s="506"/>
      <c r="BT184" s="506"/>
      <c r="BU184" s="506"/>
      <c r="BV184" s="506"/>
      <c r="BW184" s="506"/>
      <c r="BX184" s="506"/>
    </row>
    <row r="185" s="495" customFormat="1" outlineLevel="1" spans="1:4">
      <c r="A185" s="501" t="s">
        <v>422</v>
      </c>
      <c r="B185" s="501"/>
      <c r="C185" s="501"/>
      <c r="D185" s="501"/>
    </row>
    <row r="186" outlineLevel="2" spans="2:76">
      <c r="B186" t="s">
        <v>423</v>
      </c>
      <c r="C186" t="s">
        <v>424</v>
      </c>
      <c r="F186" s="506"/>
      <c r="G186" s="506"/>
      <c r="H186" s="506"/>
      <c r="I186" s="506"/>
      <c r="J186" s="506"/>
      <c r="K186" s="506"/>
      <c r="L186" s="506"/>
      <c r="M186" s="506"/>
      <c r="N186" s="506"/>
      <c r="O186" s="506"/>
      <c r="P186" s="506"/>
      <c r="Q186" s="506">
        <v>0</v>
      </c>
      <c r="R186" s="506">
        <v>0</v>
      </c>
      <c r="S186" s="506">
        <v>0</v>
      </c>
      <c r="T186" s="506">
        <v>0</v>
      </c>
      <c r="U186" s="506"/>
      <c r="V186" s="506"/>
      <c r="W186" s="506"/>
      <c r="X186" s="506"/>
      <c r="Y186" s="506"/>
      <c r="Z186" s="506"/>
      <c r="AA186" s="506"/>
      <c r="AB186" s="506"/>
      <c r="AC186" s="506"/>
      <c r="AD186" s="506"/>
      <c r="AE186" s="506"/>
      <c r="AF186" s="506"/>
      <c r="AG186" s="506"/>
      <c r="AH186" s="506"/>
      <c r="AI186" s="506"/>
      <c r="AJ186" s="506"/>
      <c r="AK186" s="506"/>
      <c r="AL186" s="506"/>
      <c r="AM186" s="506"/>
      <c r="AN186" s="506"/>
      <c r="AO186" s="506"/>
      <c r="AP186" s="506"/>
      <c r="AQ186" s="506"/>
      <c r="AR186" s="506"/>
      <c r="AS186" s="506"/>
      <c r="AT186" s="506"/>
      <c r="AU186" s="506"/>
      <c r="AV186" s="506"/>
      <c r="AW186" s="506"/>
      <c r="AX186" s="506"/>
      <c r="AY186" s="506"/>
      <c r="AZ186" s="506"/>
      <c r="BA186" s="506"/>
      <c r="BB186" s="506"/>
      <c r="BC186" s="506"/>
      <c r="BD186" s="506"/>
      <c r="BE186" s="506"/>
      <c r="BF186" s="506"/>
      <c r="BG186" s="506"/>
      <c r="BH186" s="506"/>
      <c r="BI186" s="506"/>
      <c r="BJ186" s="506"/>
      <c r="BK186" s="506"/>
      <c r="BL186" s="506"/>
      <c r="BM186" s="506"/>
      <c r="BN186" s="506"/>
      <c r="BO186" s="506"/>
      <c r="BP186" s="506"/>
      <c r="BQ186" s="506"/>
      <c r="BR186" s="506"/>
      <c r="BS186" s="506"/>
      <c r="BT186" s="506"/>
      <c r="BU186" s="506"/>
      <c r="BV186" s="506"/>
      <c r="BW186" s="506"/>
      <c r="BX186" s="506"/>
    </row>
    <row r="187" outlineLevel="2" spans="2:76">
      <c r="B187" t="s">
        <v>425</v>
      </c>
      <c r="C187" t="s">
        <v>426</v>
      </c>
      <c r="F187" s="506"/>
      <c r="G187" s="506"/>
      <c r="H187" s="506"/>
      <c r="I187" s="506"/>
      <c r="J187" s="506"/>
      <c r="K187" s="506"/>
      <c r="L187" s="506"/>
      <c r="M187" s="506"/>
      <c r="N187" s="506"/>
      <c r="O187" s="506"/>
      <c r="P187" s="506"/>
      <c r="Q187" s="506">
        <v>0</v>
      </c>
      <c r="R187" s="506">
        <v>0</v>
      </c>
      <c r="S187" s="506">
        <v>0</v>
      </c>
      <c r="T187" s="506">
        <v>0</v>
      </c>
      <c r="U187" s="506"/>
      <c r="V187" s="506"/>
      <c r="W187" s="506"/>
      <c r="X187" s="506"/>
      <c r="Y187" s="506"/>
      <c r="Z187" s="506"/>
      <c r="AA187" s="506"/>
      <c r="AB187" s="506"/>
      <c r="AC187" s="506"/>
      <c r="AD187" s="506"/>
      <c r="AE187" s="506"/>
      <c r="AF187" s="506"/>
      <c r="AG187" s="506"/>
      <c r="AH187" s="506"/>
      <c r="AI187" s="506"/>
      <c r="AJ187" s="506"/>
      <c r="AK187" s="506"/>
      <c r="AL187" s="506"/>
      <c r="AM187" s="506"/>
      <c r="AN187" s="506"/>
      <c r="AO187" s="506"/>
      <c r="AP187" s="506"/>
      <c r="AQ187" s="506"/>
      <c r="AR187" s="506"/>
      <c r="AS187" s="506"/>
      <c r="AT187" s="506"/>
      <c r="AU187" s="506"/>
      <c r="AV187" s="506"/>
      <c r="AW187" s="506"/>
      <c r="AX187" s="506"/>
      <c r="AY187" s="506"/>
      <c r="AZ187" s="506"/>
      <c r="BA187" s="506"/>
      <c r="BB187" s="506"/>
      <c r="BC187" s="506"/>
      <c r="BD187" s="506"/>
      <c r="BE187" s="506"/>
      <c r="BF187" s="506"/>
      <c r="BG187" s="506"/>
      <c r="BH187" s="506"/>
      <c r="BI187" s="506"/>
      <c r="BJ187" s="506"/>
      <c r="BK187" s="506"/>
      <c r="BL187" s="506"/>
      <c r="BM187" s="506"/>
      <c r="BN187" s="506"/>
      <c r="BO187" s="506"/>
      <c r="BP187" s="506"/>
      <c r="BQ187" s="506"/>
      <c r="BR187" s="506"/>
      <c r="BS187" s="506"/>
      <c r="BT187" s="506"/>
      <c r="BU187" s="506"/>
      <c r="BV187" s="506"/>
      <c r="BW187" s="506"/>
      <c r="BX187" s="506"/>
    </row>
    <row r="188" outlineLevel="2" spans="2:76">
      <c r="B188" t="s">
        <v>427</v>
      </c>
      <c r="C188" t="s">
        <v>428</v>
      </c>
      <c r="F188" s="506"/>
      <c r="G188" s="506"/>
      <c r="H188" s="506"/>
      <c r="I188" s="506"/>
      <c r="J188" s="506"/>
      <c r="K188" s="506"/>
      <c r="L188" s="506"/>
      <c r="M188" s="506"/>
      <c r="N188" s="506"/>
      <c r="O188" s="506"/>
      <c r="P188" s="506"/>
      <c r="Q188" s="506"/>
      <c r="R188" s="506"/>
      <c r="S188" s="506"/>
      <c r="T188" s="506"/>
      <c r="U188" s="506"/>
      <c r="V188" s="506"/>
      <c r="W188" s="506"/>
      <c r="X188" s="506"/>
      <c r="Y188" s="506"/>
      <c r="Z188" s="506"/>
      <c r="AA188" s="506"/>
      <c r="AB188" s="506"/>
      <c r="AC188" s="506"/>
      <c r="AD188" s="506"/>
      <c r="AE188" s="506"/>
      <c r="AF188" s="506"/>
      <c r="AG188" s="506"/>
      <c r="AH188" s="506"/>
      <c r="AI188" s="506"/>
      <c r="AJ188" s="506"/>
      <c r="AK188" s="506"/>
      <c r="AL188" s="506"/>
      <c r="AM188" s="506"/>
      <c r="AN188" s="506"/>
      <c r="AO188" s="506"/>
      <c r="AP188" s="506"/>
      <c r="AQ188" s="506"/>
      <c r="AR188" s="506"/>
      <c r="AS188" s="506"/>
      <c r="AT188" s="506"/>
      <c r="AU188" s="506"/>
      <c r="AV188" s="506"/>
      <c r="AW188" s="506"/>
      <c r="AX188" s="506"/>
      <c r="AY188" s="506"/>
      <c r="AZ188" s="506"/>
      <c r="BA188" s="506"/>
      <c r="BB188" s="506"/>
      <c r="BC188" s="506"/>
      <c r="BD188" s="506"/>
      <c r="BE188" s="506"/>
      <c r="BF188" s="506"/>
      <c r="BG188" s="506"/>
      <c r="BH188" s="506"/>
      <c r="BI188" s="506"/>
      <c r="BJ188" s="506"/>
      <c r="BK188" s="506"/>
      <c r="BL188" s="506"/>
      <c r="BM188" s="506"/>
      <c r="BN188" s="506"/>
      <c r="BO188" s="506"/>
      <c r="BP188" s="506"/>
      <c r="BQ188" s="506"/>
      <c r="BR188" s="506"/>
      <c r="BS188" s="506"/>
      <c r="BT188" s="506"/>
      <c r="BU188" s="506"/>
      <c r="BV188" s="506"/>
      <c r="BW188" s="506"/>
      <c r="BX188" s="506"/>
    </row>
    <row r="189" outlineLevel="2" spans="2:76">
      <c r="B189" t="s">
        <v>429</v>
      </c>
      <c r="C189" t="s">
        <v>430</v>
      </c>
      <c r="F189" s="506"/>
      <c r="G189" s="506"/>
      <c r="H189" s="506"/>
      <c r="I189" s="506"/>
      <c r="J189" s="506"/>
      <c r="K189" s="506"/>
      <c r="L189" s="506"/>
      <c r="M189" s="506"/>
      <c r="N189" s="506"/>
      <c r="O189" s="506"/>
      <c r="P189" s="506"/>
      <c r="Q189" s="506"/>
      <c r="R189" s="506"/>
      <c r="S189" s="506"/>
      <c r="T189" s="506"/>
      <c r="U189" s="506"/>
      <c r="V189" s="506"/>
      <c r="W189" s="506"/>
      <c r="X189" s="506"/>
      <c r="Y189" s="506"/>
      <c r="Z189" s="506"/>
      <c r="AA189" s="506"/>
      <c r="AB189" s="506"/>
      <c r="AC189" s="506"/>
      <c r="AD189" s="506"/>
      <c r="AE189" s="506"/>
      <c r="AF189" s="506"/>
      <c r="AG189" s="506"/>
      <c r="AH189" s="506"/>
      <c r="AI189" s="506"/>
      <c r="AJ189" s="506"/>
      <c r="AK189" s="506"/>
      <c r="AL189" s="506"/>
      <c r="AM189" s="506"/>
      <c r="AN189" s="506"/>
      <c r="AO189" s="506"/>
      <c r="AP189" s="506"/>
      <c r="AQ189" s="506"/>
      <c r="AR189" s="506"/>
      <c r="AS189" s="506"/>
      <c r="AT189" s="506"/>
      <c r="AU189" s="506"/>
      <c r="AV189" s="506"/>
      <c r="AW189" s="506"/>
      <c r="AX189" s="506"/>
      <c r="AY189" s="506"/>
      <c r="AZ189" s="506"/>
      <c r="BA189" s="506"/>
      <c r="BB189" s="506"/>
      <c r="BC189" s="506"/>
      <c r="BD189" s="506"/>
      <c r="BE189" s="506"/>
      <c r="BF189" s="506"/>
      <c r="BG189" s="506"/>
      <c r="BH189" s="506"/>
      <c r="BI189" s="506"/>
      <c r="BJ189" s="506"/>
      <c r="BK189" s="506"/>
      <c r="BL189" s="506"/>
      <c r="BM189" s="506"/>
      <c r="BN189" s="506"/>
      <c r="BO189" s="506"/>
      <c r="BP189" s="506"/>
      <c r="BQ189" s="506"/>
      <c r="BR189" s="506"/>
      <c r="BS189" s="506"/>
      <c r="BT189" s="506"/>
      <c r="BU189" s="506"/>
      <c r="BV189" s="506"/>
      <c r="BW189" s="506"/>
      <c r="BX189" s="506"/>
    </row>
    <row r="190" outlineLevel="2" spans="2:76">
      <c r="B190" t="s">
        <v>431</v>
      </c>
      <c r="C190" t="s">
        <v>432</v>
      </c>
      <c r="F190" s="506"/>
      <c r="G190" s="506"/>
      <c r="H190" s="506"/>
      <c r="I190" s="506"/>
      <c r="J190" s="506"/>
      <c r="K190" s="506"/>
      <c r="L190" s="506"/>
      <c r="M190" s="506"/>
      <c r="N190" s="506"/>
      <c r="O190" s="506"/>
      <c r="P190" s="506"/>
      <c r="Q190" s="506"/>
      <c r="R190" s="506"/>
      <c r="S190" s="506"/>
      <c r="T190" s="506"/>
      <c r="U190" s="506"/>
      <c r="V190" s="506"/>
      <c r="W190" s="506"/>
      <c r="X190" s="506"/>
      <c r="Y190" s="506"/>
      <c r="Z190" s="506"/>
      <c r="AA190" s="506"/>
      <c r="AB190" s="506"/>
      <c r="AC190" s="506"/>
      <c r="AD190" s="506"/>
      <c r="AE190" s="506"/>
      <c r="AF190" s="506"/>
      <c r="AG190" s="506"/>
      <c r="AH190" s="506"/>
      <c r="AI190" s="506"/>
      <c r="AJ190" s="506"/>
      <c r="AK190" s="506"/>
      <c r="AL190" s="506"/>
      <c r="AM190" s="506"/>
      <c r="AN190" s="506"/>
      <c r="AO190" s="506"/>
      <c r="AP190" s="506"/>
      <c r="AQ190" s="506"/>
      <c r="AR190" s="506"/>
      <c r="AS190" s="506"/>
      <c r="AT190" s="506"/>
      <c r="AU190" s="506"/>
      <c r="AV190" s="506"/>
      <c r="AW190" s="506"/>
      <c r="AX190" s="506"/>
      <c r="AY190" s="506"/>
      <c r="AZ190" s="506"/>
      <c r="BA190" s="506"/>
      <c r="BB190" s="506"/>
      <c r="BC190" s="506"/>
      <c r="BD190" s="506"/>
      <c r="BE190" s="506"/>
      <c r="BF190" s="506"/>
      <c r="BG190" s="506"/>
      <c r="BH190" s="506"/>
      <c r="BI190" s="506"/>
      <c r="BJ190" s="506"/>
      <c r="BK190" s="506"/>
      <c r="BL190" s="506"/>
      <c r="BM190" s="506"/>
      <c r="BN190" s="506"/>
      <c r="BO190" s="506"/>
      <c r="BP190" s="506"/>
      <c r="BQ190" s="506"/>
      <c r="BR190" s="506"/>
      <c r="BS190" s="506"/>
      <c r="BT190" s="506"/>
      <c r="BU190" s="506"/>
      <c r="BV190" s="506"/>
      <c r="BW190" s="506"/>
      <c r="BX190" s="506"/>
    </row>
    <row r="191" outlineLevel="2" spans="2:76">
      <c r="B191" t="s">
        <v>433</v>
      </c>
      <c r="C191" t="s">
        <v>434</v>
      </c>
      <c r="F191" s="506"/>
      <c r="G191" s="506"/>
      <c r="H191" s="506"/>
      <c r="I191" s="506"/>
      <c r="J191" s="506"/>
      <c r="K191" s="506"/>
      <c r="L191" s="506"/>
      <c r="M191" s="506"/>
      <c r="N191" s="506"/>
      <c r="O191" s="506"/>
      <c r="P191" s="506"/>
      <c r="Q191" s="506"/>
      <c r="R191" s="506"/>
      <c r="S191" s="506"/>
      <c r="T191" s="506"/>
      <c r="U191" s="506"/>
      <c r="V191" s="506"/>
      <c r="W191" s="506"/>
      <c r="X191" s="506"/>
      <c r="Y191" s="506"/>
      <c r="Z191" s="506"/>
      <c r="AA191" s="506"/>
      <c r="AB191" s="506"/>
      <c r="AC191" s="506"/>
      <c r="AD191" s="506"/>
      <c r="AE191" s="506"/>
      <c r="AF191" s="506"/>
      <c r="AG191" s="506"/>
      <c r="AH191" s="506"/>
      <c r="AI191" s="506"/>
      <c r="AJ191" s="506"/>
      <c r="AK191" s="506"/>
      <c r="AL191" s="506"/>
      <c r="AM191" s="506"/>
      <c r="AN191" s="506"/>
      <c r="AO191" s="506"/>
      <c r="AP191" s="506"/>
      <c r="AQ191" s="506"/>
      <c r="AR191" s="506"/>
      <c r="AS191" s="506"/>
      <c r="AT191" s="506"/>
      <c r="AU191" s="506"/>
      <c r="AV191" s="506"/>
      <c r="AW191" s="506"/>
      <c r="AX191" s="506"/>
      <c r="AY191" s="506"/>
      <c r="AZ191" s="506"/>
      <c r="BA191" s="506"/>
      <c r="BB191" s="506"/>
      <c r="BC191" s="506"/>
      <c r="BD191" s="506"/>
      <c r="BE191" s="506"/>
      <c r="BF191" s="506"/>
      <c r="BG191" s="506"/>
      <c r="BH191" s="506"/>
      <c r="BI191" s="506"/>
      <c r="BJ191" s="506"/>
      <c r="BK191" s="506"/>
      <c r="BL191" s="506"/>
      <c r="BM191" s="506"/>
      <c r="BN191" s="506"/>
      <c r="BO191" s="506"/>
      <c r="BP191" s="506"/>
      <c r="BQ191" s="506"/>
      <c r="BR191" s="506"/>
      <c r="BS191" s="506"/>
      <c r="BT191" s="506"/>
      <c r="BU191" s="506"/>
      <c r="BV191" s="506"/>
      <c r="BW191" s="506"/>
      <c r="BX191" s="506"/>
    </row>
    <row r="192" outlineLevel="2" spans="2:76">
      <c r="B192" t="s">
        <v>435</v>
      </c>
      <c r="C192" t="s">
        <v>436</v>
      </c>
      <c r="F192" s="506"/>
      <c r="G192" s="506"/>
      <c r="H192" s="506"/>
      <c r="I192" s="506"/>
      <c r="J192" s="506"/>
      <c r="K192" s="506"/>
      <c r="L192" s="506"/>
      <c r="M192" s="506"/>
      <c r="N192" s="506"/>
      <c r="O192" s="506"/>
      <c r="P192" s="506"/>
      <c r="Q192" s="506"/>
      <c r="R192" s="506"/>
      <c r="S192" s="506"/>
      <c r="T192" s="506"/>
      <c r="U192" s="506"/>
      <c r="V192" s="506"/>
      <c r="W192" s="506"/>
      <c r="X192" s="506"/>
      <c r="Y192" s="506"/>
      <c r="Z192" s="506"/>
      <c r="AA192" s="506"/>
      <c r="AB192" s="506"/>
      <c r="AC192" s="506"/>
      <c r="AD192" s="506"/>
      <c r="AE192" s="506"/>
      <c r="AF192" s="506"/>
      <c r="AG192" s="506"/>
      <c r="AH192" s="506"/>
      <c r="AI192" s="506"/>
      <c r="AJ192" s="506"/>
      <c r="AK192" s="506"/>
      <c r="AL192" s="506"/>
      <c r="AM192" s="506"/>
      <c r="AN192" s="506"/>
      <c r="AO192" s="506"/>
      <c r="AP192" s="506"/>
      <c r="AQ192" s="506"/>
      <c r="AR192" s="506"/>
      <c r="AS192" s="506"/>
      <c r="AT192" s="506"/>
      <c r="AU192" s="506"/>
      <c r="AV192" s="506"/>
      <c r="AW192" s="506"/>
      <c r="AX192" s="506"/>
      <c r="AY192" s="506"/>
      <c r="AZ192" s="506"/>
      <c r="BA192" s="506"/>
      <c r="BB192" s="506"/>
      <c r="BC192" s="506"/>
      <c r="BD192" s="506"/>
      <c r="BE192" s="506"/>
      <c r="BF192" s="506"/>
      <c r="BG192" s="506"/>
      <c r="BH192" s="506"/>
      <c r="BI192" s="506"/>
      <c r="BJ192" s="506"/>
      <c r="BK192" s="506"/>
      <c r="BL192" s="506"/>
      <c r="BM192" s="506"/>
      <c r="BN192" s="506"/>
      <c r="BO192" s="506"/>
      <c r="BP192" s="506"/>
      <c r="BQ192" s="506"/>
      <c r="BR192" s="506"/>
      <c r="BS192" s="506"/>
      <c r="BT192" s="506"/>
      <c r="BU192" s="506"/>
      <c r="BV192" s="506"/>
      <c r="BW192" s="506"/>
      <c r="BX192" s="506"/>
    </row>
    <row r="193" outlineLevel="2" spans="2:76">
      <c r="B193" t="s">
        <v>437</v>
      </c>
      <c r="C193" t="s">
        <v>438</v>
      </c>
      <c r="F193" s="506"/>
      <c r="G193" s="506"/>
      <c r="H193" s="506"/>
      <c r="I193" s="506"/>
      <c r="J193" s="506"/>
      <c r="K193" s="506"/>
      <c r="L193" s="506"/>
      <c r="M193" s="506"/>
      <c r="N193" s="506"/>
      <c r="O193" s="506"/>
      <c r="P193" s="506"/>
      <c r="Q193" s="506"/>
      <c r="R193" s="506"/>
      <c r="S193" s="506"/>
      <c r="T193" s="506"/>
      <c r="U193" s="506"/>
      <c r="V193" s="506"/>
      <c r="W193" s="506"/>
      <c r="X193" s="506"/>
      <c r="Y193" s="506"/>
      <c r="Z193" s="506"/>
      <c r="AA193" s="506"/>
      <c r="AB193" s="506"/>
      <c r="AC193" s="506"/>
      <c r="AD193" s="506"/>
      <c r="AE193" s="506"/>
      <c r="AF193" s="506"/>
      <c r="AG193" s="506"/>
      <c r="AH193" s="506"/>
      <c r="AI193" s="506"/>
      <c r="AJ193" s="506"/>
      <c r="AK193" s="506"/>
      <c r="AL193" s="506"/>
      <c r="AM193" s="506"/>
      <c r="AN193" s="506"/>
      <c r="AO193" s="506"/>
      <c r="AP193" s="506"/>
      <c r="AQ193" s="506"/>
      <c r="AR193" s="506"/>
      <c r="AS193" s="506"/>
      <c r="AT193" s="506"/>
      <c r="AU193" s="506"/>
      <c r="AV193" s="506"/>
      <c r="AW193" s="506"/>
      <c r="AX193" s="506"/>
      <c r="AY193" s="506"/>
      <c r="AZ193" s="506"/>
      <c r="BA193" s="506"/>
      <c r="BB193" s="506"/>
      <c r="BC193" s="506"/>
      <c r="BD193" s="506"/>
      <c r="BE193" s="506"/>
      <c r="BF193" s="506"/>
      <c r="BG193" s="506"/>
      <c r="BH193" s="506"/>
      <c r="BI193" s="506"/>
      <c r="BJ193" s="506"/>
      <c r="BK193" s="506"/>
      <c r="BL193" s="506"/>
      <c r="BM193" s="506"/>
      <c r="BN193" s="506"/>
      <c r="BO193" s="506"/>
      <c r="BP193" s="506"/>
      <c r="BQ193" s="506"/>
      <c r="BR193" s="506"/>
      <c r="BS193" s="506"/>
      <c r="BT193" s="506"/>
      <c r="BU193" s="506"/>
      <c r="BV193" s="506"/>
      <c r="BW193" s="506"/>
      <c r="BX193" s="506"/>
    </row>
    <row r="194" outlineLevel="2" spans="2:76">
      <c r="B194" t="s">
        <v>439</v>
      </c>
      <c r="C194" t="s">
        <v>440</v>
      </c>
      <c r="F194" s="506"/>
      <c r="G194" s="506"/>
      <c r="H194" s="506"/>
      <c r="I194" s="506"/>
      <c r="J194" s="506"/>
      <c r="K194" s="506"/>
      <c r="L194" s="506"/>
      <c r="M194" s="506"/>
      <c r="N194" s="506"/>
      <c r="O194" s="506"/>
      <c r="P194" s="506"/>
      <c r="Q194" s="506"/>
      <c r="R194" s="506"/>
      <c r="S194" s="506"/>
      <c r="T194" s="506"/>
      <c r="U194" s="506"/>
      <c r="V194" s="506"/>
      <c r="W194" s="506"/>
      <c r="X194" s="506"/>
      <c r="Y194" s="506"/>
      <c r="Z194" s="506"/>
      <c r="AA194" s="506"/>
      <c r="AB194" s="506"/>
      <c r="AC194" s="506"/>
      <c r="AD194" s="506"/>
      <c r="AE194" s="506"/>
      <c r="AF194" s="506"/>
      <c r="AG194" s="506"/>
      <c r="AH194" s="506"/>
      <c r="AI194" s="506"/>
      <c r="AJ194" s="506"/>
      <c r="AK194" s="506"/>
      <c r="AL194" s="506"/>
      <c r="AM194" s="506"/>
      <c r="AN194" s="506"/>
      <c r="AO194" s="506"/>
      <c r="AP194" s="506"/>
      <c r="AQ194" s="506"/>
      <c r="AR194" s="506"/>
      <c r="AS194" s="506"/>
      <c r="AT194" s="506"/>
      <c r="AU194" s="506"/>
      <c r="AV194" s="506"/>
      <c r="AW194" s="506"/>
      <c r="AX194" s="506"/>
      <c r="AY194" s="506"/>
      <c r="AZ194" s="506"/>
      <c r="BA194" s="506"/>
      <c r="BB194" s="506"/>
      <c r="BC194" s="506"/>
      <c r="BD194" s="506"/>
      <c r="BE194" s="506"/>
      <c r="BF194" s="506"/>
      <c r="BG194" s="506"/>
      <c r="BH194" s="506"/>
      <c r="BI194" s="506"/>
      <c r="BJ194" s="506"/>
      <c r="BK194" s="506"/>
      <c r="BL194" s="506"/>
      <c r="BM194" s="506"/>
      <c r="BN194" s="506"/>
      <c r="BO194" s="506"/>
      <c r="BP194" s="506"/>
      <c r="BQ194" s="506"/>
      <c r="BR194" s="506"/>
      <c r="BS194" s="506"/>
      <c r="BT194" s="506"/>
      <c r="BU194" s="506"/>
      <c r="BV194" s="506"/>
      <c r="BW194" s="506"/>
      <c r="BX194" s="506"/>
    </row>
    <row r="195" outlineLevel="2" spans="2:76">
      <c r="B195" t="s">
        <v>441</v>
      </c>
      <c r="C195" t="s">
        <v>442</v>
      </c>
      <c r="F195" s="506"/>
      <c r="G195" s="506"/>
      <c r="H195" s="506"/>
      <c r="I195" s="506"/>
      <c r="J195" s="506"/>
      <c r="K195" s="506"/>
      <c r="L195" s="506"/>
      <c r="M195" s="506"/>
      <c r="N195" s="506"/>
      <c r="O195" s="506"/>
      <c r="P195" s="506"/>
      <c r="Q195" s="506"/>
      <c r="R195" s="506"/>
      <c r="S195" s="506"/>
      <c r="T195" s="506"/>
      <c r="U195" s="506"/>
      <c r="V195" s="506"/>
      <c r="W195" s="506"/>
      <c r="X195" s="506"/>
      <c r="Y195" s="506"/>
      <c r="Z195" s="506"/>
      <c r="AA195" s="506"/>
      <c r="AB195" s="506"/>
      <c r="AC195" s="506"/>
      <c r="AD195" s="506"/>
      <c r="AE195" s="506"/>
      <c r="AF195" s="506"/>
      <c r="AG195" s="506"/>
      <c r="AH195" s="506"/>
      <c r="AI195" s="506"/>
      <c r="AJ195" s="506"/>
      <c r="AK195" s="506"/>
      <c r="AL195" s="506"/>
      <c r="AM195" s="506"/>
      <c r="AN195" s="506"/>
      <c r="AO195" s="506"/>
      <c r="AP195" s="506"/>
      <c r="AQ195" s="506"/>
      <c r="AR195" s="506"/>
      <c r="AS195" s="506"/>
      <c r="AT195" s="506"/>
      <c r="AU195" s="506"/>
      <c r="AV195" s="506"/>
      <c r="AW195" s="506"/>
      <c r="AX195" s="506"/>
      <c r="AY195" s="506"/>
      <c r="AZ195" s="506"/>
      <c r="BA195" s="506"/>
      <c r="BB195" s="506"/>
      <c r="BC195" s="506"/>
      <c r="BD195" s="506"/>
      <c r="BE195" s="506"/>
      <c r="BF195" s="506"/>
      <c r="BG195" s="506"/>
      <c r="BH195" s="506"/>
      <c r="BI195" s="506"/>
      <c r="BJ195" s="506"/>
      <c r="BK195" s="506"/>
      <c r="BL195" s="506"/>
      <c r="BM195" s="506"/>
      <c r="BN195" s="506"/>
      <c r="BO195" s="506"/>
      <c r="BP195" s="506"/>
      <c r="BQ195" s="506"/>
      <c r="BR195" s="506"/>
      <c r="BS195" s="506"/>
      <c r="BT195" s="506"/>
      <c r="BU195" s="506"/>
      <c r="BV195" s="506"/>
      <c r="BW195" s="506"/>
      <c r="BX195" s="506"/>
    </row>
    <row r="196" outlineLevel="2" spans="2:76">
      <c r="B196" t="s">
        <v>443</v>
      </c>
      <c r="C196" t="s">
        <v>444</v>
      </c>
      <c r="F196" s="506"/>
      <c r="G196" s="506"/>
      <c r="H196" s="506"/>
      <c r="I196" s="506"/>
      <c r="J196" s="506"/>
      <c r="K196" s="506"/>
      <c r="L196" s="506"/>
      <c r="M196" s="506"/>
      <c r="N196" s="506"/>
      <c r="O196" s="506"/>
      <c r="P196" s="506"/>
      <c r="Q196" s="506"/>
      <c r="R196" s="506"/>
      <c r="S196" s="506"/>
      <c r="T196" s="506"/>
      <c r="U196" s="506"/>
      <c r="V196" s="506"/>
      <c r="W196" s="506"/>
      <c r="X196" s="506"/>
      <c r="Y196" s="506"/>
      <c r="Z196" s="506"/>
      <c r="AA196" s="506"/>
      <c r="AB196" s="506"/>
      <c r="AC196" s="506"/>
      <c r="AD196" s="506"/>
      <c r="AE196" s="506"/>
      <c r="AF196" s="506"/>
      <c r="AG196" s="506"/>
      <c r="AH196" s="506"/>
      <c r="AI196" s="506"/>
      <c r="AJ196" s="506"/>
      <c r="AK196" s="506"/>
      <c r="AL196" s="506"/>
      <c r="AM196" s="506"/>
      <c r="AN196" s="506"/>
      <c r="AO196" s="506"/>
      <c r="AP196" s="506"/>
      <c r="AQ196" s="506"/>
      <c r="AR196" s="506"/>
      <c r="AS196" s="506"/>
      <c r="AT196" s="506"/>
      <c r="AU196" s="506"/>
      <c r="AV196" s="506"/>
      <c r="AW196" s="506"/>
      <c r="AX196" s="506"/>
      <c r="AY196" s="506"/>
      <c r="AZ196" s="506"/>
      <c r="BA196" s="506"/>
      <c r="BB196" s="506"/>
      <c r="BC196" s="506"/>
      <c r="BD196" s="506"/>
      <c r="BE196" s="506"/>
      <c r="BF196" s="506"/>
      <c r="BG196" s="506"/>
      <c r="BH196" s="506"/>
      <c r="BI196" s="506"/>
      <c r="BJ196" s="506"/>
      <c r="BK196" s="506"/>
      <c r="BL196" s="506"/>
      <c r="BM196" s="506"/>
      <c r="BN196" s="506"/>
      <c r="BO196" s="506"/>
      <c r="BP196" s="506"/>
      <c r="BQ196" s="506"/>
      <c r="BR196" s="506"/>
      <c r="BS196" s="506"/>
      <c r="BT196" s="506"/>
      <c r="BU196" s="506"/>
      <c r="BV196" s="506"/>
      <c r="BW196" s="506"/>
      <c r="BX196" s="506"/>
    </row>
    <row r="197" outlineLevel="2" spans="2:76">
      <c r="B197" t="s">
        <v>445</v>
      </c>
      <c r="C197" t="s">
        <v>446</v>
      </c>
      <c r="F197" s="506"/>
      <c r="G197" s="506"/>
      <c r="H197" s="506"/>
      <c r="I197" s="506"/>
      <c r="J197" s="506"/>
      <c r="K197" s="506"/>
      <c r="L197" s="506"/>
      <c r="M197" s="506"/>
      <c r="N197" s="506"/>
      <c r="O197" s="506"/>
      <c r="P197" s="506"/>
      <c r="Q197" s="506"/>
      <c r="R197" s="506"/>
      <c r="S197" s="506"/>
      <c r="T197" s="506"/>
      <c r="U197" s="506"/>
      <c r="V197" s="506"/>
      <c r="W197" s="506"/>
      <c r="X197" s="506"/>
      <c r="Y197" s="506"/>
      <c r="Z197" s="506"/>
      <c r="AA197" s="506"/>
      <c r="AB197" s="506"/>
      <c r="AC197" s="506"/>
      <c r="AD197" s="506"/>
      <c r="AE197" s="506"/>
      <c r="AF197" s="506"/>
      <c r="AG197" s="506"/>
      <c r="AH197" s="506"/>
      <c r="AI197" s="506"/>
      <c r="AJ197" s="506"/>
      <c r="AK197" s="506"/>
      <c r="AL197" s="506"/>
      <c r="AM197" s="506"/>
      <c r="AN197" s="506"/>
      <c r="AO197" s="506"/>
      <c r="AP197" s="506"/>
      <c r="AQ197" s="506"/>
      <c r="AR197" s="506"/>
      <c r="AS197" s="506"/>
      <c r="AT197" s="506"/>
      <c r="AU197" s="506"/>
      <c r="AV197" s="506"/>
      <c r="AW197" s="506"/>
      <c r="AX197" s="506"/>
      <c r="AY197" s="506"/>
      <c r="AZ197" s="506"/>
      <c r="BA197" s="506"/>
      <c r="BB197" s="506"/>
      <c r="BC197" s="506"/>
      <c r="BD197" s="506"/>
      <c r="BE197" s="506"/>
      <c r="BF197" s="506"/>
      <c r="BG197" s="506"/>
      <c r="BH197" s="506"/>
      <c r="BI197" s="506"/>
      <c r="BJ197" s="506"/>
      <c r="BK197" s="506"/>
      <c r="BL197" s="506"/>
      <c r="BM197" s="506"/>
      <c r="BN197" s="506"/>
      <c r="BO197" s="506"/>
      <c r="BP197" s="506"/>
      <c r="BQ197" s="506"/>
      <c r="BR197" s="506"/>
      <c r="BS197" s="506"/>
      <c r="BT197" s="506"/>
      <c r="BU197" s="506"/>
      <c r="BV197" s="506"/>
      <c r="BW197" s="506"/>
      <c r="BX197" s="506"/>
    </row>
    <row r="198" outlineLevel="2" spans="2:76">
      <c r="B198" t="s">
        <v>447</v>
      </c>
      <c r="C198" t="s">
        <v>448</v>
      </c>
      <c r="F198" s="506"/>
      <c r="G198" s="506"/>
      <c r="H198" s="506"/>
      <c r="I198" s="506"/>
      <c r="J198" s="506"/>
      <c r="K198" s="506"/>
      <c r="L198" s="506"/>
      <c r="M198" s="506"/>
      <c r="N198" s="506"/>
      <c r="O198" s="506"/>
      <c r="P198" s="506"/>
      <c r="Q198" s="506"/>
      <c r="R198" s="506"/>
      <c r="S198" s="506"/>
      <c r="T198" s="506"/>
      <c r="U198" s="506"/>
      <c r="V198" s="506"/>
      <c r="W198" s="506"/>
      <c r="X198" s="506"/>
      <c r="Y198" s="506"/>
      <c r="Z198" s="506"/>
      <c r="AA198" s="506"/>
      <c r="AB198" s="506"/>
      <c r="AC198" s="506"/>
      <c r="AD198" s="506"/>
      <c r="AE198" s="506"/>
      <c r="AF198" s="506"/>
      <c r="AG198" s="506"/>
      <c r="AH198" s="506"/>
      <c r="AI198" s="506"/>
      <c r="AJ198" s="506"/>
      <c r="AK198" s="506"/>
      <c r="AL198" s="506"/>
      <c r="AM198" s="506"/>
      <c r="AN198" s="506"/>
      <c r="AO198" s="506"/>
      <c r="AP198" s="506"/>
      <c r="AQ198" s="506"/>
      <c r="AR198" s="506"/>
      <c r="AS198" s="506"/>
      <c r="AT198" s="506"/>
      <c r="AU198" s="506"/>
      <c r="AV198" s="506"/>
      <c r="AW198" s="506"/>
      <c r="AX198" s="506"/>
      <c r="AY198" s="506"/>
      <c r="AZ198" s="506"/>
      <c r="BA198" s="506"/>
      <c r="BB198" s="506"/>
      <c r="BC198" s="506"/>
      <c r="BD198" s="506"/>
      <c r="BE198" s="506"/>
      <c r="BF198" s="506"/>
      <c r="BG198" s="506"/>
      <c r="BH198" s="506"/>
      <c r="BI198" s="506"/>
      <c r="BJ198" s="506"/>
      <c r="BK198" s="506"/>
      <c r="BL198" s="506"/>
      <c r="BM198" s="506"/>
      <c r="BN198" s="506"/>
      <c r="BO198" s="506"/>
      <c r="BP198" s="506"/>
      <c r="BQ198" s="506"/>
      <c r="BR198" s="506"/>
      <c r="BS198" s="506"/>
      <c r="BT198" s="506"/>
      <c r="BU198" s="506"/>
      <c r="BV198" s="506"/>
      <c r="BW198" s="506"/>
      <c r="BX198" s="506"/>
    </row>
    <row r="199" outlineLevel="2" spans="2:76">
      <c r="B199" t="s">
        <v>449</v>
      </c>
      <c r="C199" t="s">
        <v>450</v>
      </c>
      <c r="F199" s="506"/>
      <c r="G199" s="506"/>
      <c r="H199" s="506"/>
      <c r="I199" s="506"/>
      <c r="J199" s="506"/>
      <c r="K199" s="506"/>
      <c r="L199" s="506"/>
      <c r="M199" s="506"/>
      <c r="N199" s="506"/>
      <c r="O199" s="506"/>
      <c r="P199" s="506"/>
      <c r="Q199" s="506"/>
      <c r="R199" s="506"/>
      <c r="S199" s="506"/>
      <c r="T199" s="506"/>
      <c r="U199" s="506"/>
      <c r="V199" s="506"/>
      <c r="W199" s="506"/>
      <c r="X199" s="506"/>
      <c r="Y199" s="506"/>
      <c r="Z199" s="506"/>
      <c r="AA199" s="506"/>
      <c r="AB199" s="506"/>
      <c r="AC199" s="506"/>
      <c r="AD199" s="506"/>
      <c r="AE199" s="506"/>
      <c r="AF199" s="506"/>
      <c r="AG199" s="506"/>
      <c r="AH199" s="506"/>
      <c r="AI199" s="506"/>
      <c r="AJ199" s="506"/>
      <c r="AK199" s="506"/>
      <c r="AL199" s="506"/>
      <c r="AM199" s="506"/>
      <c r="AN199" s="506"/>
      <c r="AO199" s="506"/>
      <c r="AP199" s="506"/>
      <c r="AQ199" s="506"/>
      <c r="AR199" s="506"/>
      <c r="AS199" s="506"/>
      <c r="AT199" s="506"/>
      <c r="AU199" s="506"/>
      <c r="AV199" s="506"/>
      <c r="AW199" s="506"/>
      <c r="AX199" s="506"/>
      <c r="AY199" s="506"/>
      <c r="AZ199" s="506"/>
      <c r="BA199" s="506"/>
      <c r="BB199" s="506"/>
      <c r="BC199" s="506"/>
      <c r="BD199" s="506"/>
      <c r="BE199" s="506"/>
      <c r="BF199" s="506"/>
      <c r="BG199" s="506"/>
      <c r="BH199" s="506"/>
      <c r="BI199" s="506"/>
      <c r="BJ199" s="506"/>
      <c r="BK199" s="506"/>
      <c r="BL199" s="506"/>
      <c r="BM199" s="506"/>
      <c r="BN199" s="506"/>
      <c r="BO199" s="506"/>
      <c r="BP199" s="506"/>
      <c r="BQ199" s="506"/>
      <c r="BR199" s="506"/>
      <c r="BS199" s="506"/>
      <c r="BT199" s="506"/>
      <c r="BU199" s="506"/>
      <c r="BV199" s="506"/>
      <c r="BW199" s="506"/>
      <c r="BX199" s="506"/>
    </row>
    <row r="200" outlineLevel="2" spans="2:76">
      <c r="B200" t="s">
        <v>451</v>
      </c>
      <c r="C200" t="s">
        <v>452</v>
      </c>
      <c r="F200" s="506"/>
      <c r="G200" s="506"/>
      <c r="H200" s="506"/>
      <c r="I200" s="506"/>
      <c r="J200" s="506"/>
      <c r="K200" s="506"/>
      <c r="L200" s="506"/>
      <c r="M200" s="506"/>
      <c r="N200" s="506"/>
      <c r="O200" s="506"/>
      <c r="P200" s="506"/>
      <c r="Q200" s="506"/>
      <c r="R200" s="506"/>
      <c r="S200" s="506"/>
      <c r="T200" s="506"/>
      <c r="U200" s="506"/>
      <c r="V200" s="506"/>
      <c r="W200" s="506"/>
      <c r="X200" s="506"/>
      <c r="Y200" s="506"/>
      <c r="Z200" s="506"/>
      <c r="AA200" s="506"/>
      <c r="AB200" s="506"/>
      <c r="AC200" s="506"/>
      <c r="AD200" s="506"/>
      <c r="AE200" s="506"/>
      <c r="AF200" s="506"/>
      <c r="AG200" s="506"/>
      <c r="AH200" s="506"/>
      <c r="AI200" s="506"/>
      <c r="AJ200" s="506"/>
      <c r="AK200" s="506"/>
      <c r="AL200" s="506"/>
      <c r="AM200" s="506"/>
      <c r="AN200" s="506"/>
      <c r="AO200" s="506"/>
      <c r="AP200" s="506"/>
      <c r="AQ200" s="506"/>
      <c r="AR200" s="506"/>
      <c r="AS200" s="506"/>
      <c r="AT200" s="506"/>
      <c r="AU200" s="506"/>
      <c r="AV200" s="506"/>
      <c r="AW200" s="506"/>
      <c r="AX200" s="506"/>
      <c r="AY200" s="506"/>
      <c r="AZ200" s="506"/>
      <c r="BA200" s="506"/>
      <c r="BB200" s="506"/>
      <c r="BC200" s="506"/>
      <c r="BD200" s="506"/>
      <c r="BE200" s="506"/>
      <c r="BF200" s="506"/>
      <c r="BG200" s="506"/>
      <c r="BH200" s="506"/>
      <c r="BI200" s="506"/>
      <c r="BJ200" s="506"/>
      <c r="BK200" s="506"/>
      <c r="BL200" s="506"/>
      <c r="BM200" s="506"/>
      <c r="BN200" s="506"/>
      <c r="BO200" s="506"/>
      <c r="BP200" s="506"/>
      <c r="BQ200" s="506"/>
      <c r="BR200" s="506"/>
      <c r="BS200" s="506"/>
      <c r="BT200" s="506"/>
      <c r="BU200" s="506"/>
      <c r="BV200" s="506"/>
      <c r="BW200" s="506"/>
      <c r="BX200" s="506"/>
    </row>
    <row r="201" s="495" customFormat="1" outlineLevel="1" spans="1:4">
      <c r="A201" s="501" t="s">
        <v>453</v>
      </c>
      <c r="B201" s="501"/>
      <c r="C201" s="501"/>
      <c r="D201" s="501"/>
    </row>
    <row r="202" outlineLevel="2" spans="2:76">
      <c r="B202" t="s">
        <v>454</v>
      </c>
      <c r="C202" t="s">
        <v>455</v>
      </c>
      <c r="F202" s="506"/>
      <c r="G202" s="506"/>
      <c r="H202" s="506"/>
      <c r="I202" s="506"/>
      <c r="J202" s="506"/>
      <c r="K202" s="506"/>
      <c r="L202" s="506"/>
      <c r="M202" s="506"/>
      <c r="N202" s="506"/>
      <c r="O202" s="506"/>
      <c r="P202" s="506"/>
      <c r="Q202" s="506"/>
      <c r="R202" s="506"/>
      <c r="S202" s="506"/>
      <c r="T202" s="506"/>
      <c r="U202" s="506"/>
      <c r="V202" s="506"/>
      <c r="W202" s="506"/>
      <c r="X202" s="506"/>
      <c r="Y202" s="506"/>
      <c r="Z202" s="506"/>
      <c r="AA202" s="506"/>
      <c r="AB202" s="506"/>
      <c r="AC202" s="506"/>
      <c r="AD202" s="506"/>
      <c r="AE202" s="506"/>
      <c r="AF202" s="506"/>
      <c r="AG202" s="506"/>
      <c r="AH202" s="506"/>
      <c r="AI202" s="506"/>
      <c r="AJ202" s="506"/>
      <c r="AK202" s="506"/>
      <c r="AL202" s="506"/>
      <c r="AM202" s="506"/>
      <c r="AN202" s="506"/>
      <c r="AO202" s="506"/>
      <c r="AP202" s="506"/>
      <c r="AQ202" s="506"/>
      <c r="AR202" s="506"/>
      <c r="AS202" s="506"/>
      <c r="AT202" s="506"/>
      <c r="AU202" s="506"/>
      <c r="AV202" s="506"/>
      <c r="AW202" s="506"/>
      <c r="AX202" s="506"/>
      <c r="AY202" s="506"/>
      <c r="AZ202" s="506"/>
      <c r="BA202" s="506"/>
      <c r="BB202" s="506"/>
      <c r="BC202" s="506"/>
      <c r="BD202" s="506"/>
      <c r="BE202" s="506"/>
      <c r="BF202" s="506"/>
      <c r="BG202" s="506"/>
      <c r="BH202" s="506"/>
      <c r="BI202" s="506"/>
      <c r="BJ202" s="506"/>
      <c r="BK202" s="506"/>
      <c r="BL202" s="506"/>
      <c r="BM202" s="506"/>
      <c r="BN202" s="506"/>
      <c r="BO202" s="506"/>
      <c r="BP202" s="506"/>
      <c r="BQ202" s="506"/>
      <c r="BR202" s="506"/>
      <c r="BS202" s="506"/>
      <c r="BT202" s="506"/>
      <c r="BU202" s="506"/>
      <c r="BV202" s="506"/>
      <c r="BW202" s="506"/>
      <c r="BX202" s="506"/>
    </row>
    <row r="203" outlineLevel="2" spans="2:76">
      <c r="B203" t="s">
        <v>456</v>
      </c>
      <c r="C203" t="s">
        <v>457</v>
      </c>
      <c r="F203" s="506"/>
      <c r="G203" s="506"/>
      <c r="H203" s="506"/>
      <c r="I203" s="506"/>
      <c r="J203" s="506"/>
      <c r="K203" s="506"/>
      <c r="L203" s="506"/>
      <c r="M203" s="506"/>
      <c r="N203" s="506"/>
      <c r="O203" s="506"/>
      <c r="P203" s="506"/>
      <c r="Q203" s="506"/>
      <c r="R203" s="506"/>
      <c r="S203" s="506"/>
      <c r="T203" s="506"/>
      <c r="U203" s="506"/>
      <c r="V203" s="506"/>
      <c r="W203" s="506"/>
      <c r="X203" s="506"/>
      <c r="Y203" s="506"/>
      <c r="Z203" s="506"/>
      <c r="AA203" s="506"/>
      <c r="AB203" s="506"/>
      <c r="AC203" s="506"/>
      <c r="AD203" s="506"/>
      <c r="AE203" s="506"/>
      <c r="AF203" s="506"/>
      <c r="AG203" s="506"/>
      <c r="AH203" s="506"/>
      <c r="AI203" s="506"/>
      <c r="AJ203" s="506"/>
      <c r="AK203" s="506"/>
      <c r="AL203" s="506"/>
      <c r="AM203" s="506"/>
      <c r="AN203" s="506"/>
      <c r="AO203" s="506"/>
      <c r="AP203" s="506"/>
      <c r="AQ203" s="506"/>
      <c r="AR203" s="506"/>
      <c r="AS203" s="506"/>
      <c r="AT203" s="506"/>
      <c r="AU203" s="506"/>
      <c r="AV203" s="506"/>
      <c r="AW203" s="506"/>
      <c r="AX203" s="506"/>
      <c r="AY203" s="506"/>
      <c r="AZ203" s="506"/>
      <c r="BA203" s="506"/>
      <c r="BB203" s="506"/>
      <c r="BC203" s="506"/>
      <c r="BD203" s="506"/>
      <c r="BE203" s="506"/>
      <c r="BF203" s="506"/>
      <c r="BG203" s="506"/>
      <c r="BH203" s="506"/>
      <c r="BI203" s="506"/>
      <c r="BJ203" s="506"/>
      <c r="BK203" s="506"/>
      <c r="BL203" s="506"/>
      <c r="BM203" s="506"/>
      <c r="BN203" s="506"/>
      <c r="BO203" s="506"/>
      <c r="BP203" s="506"/>
      <c r="BQ203" s="506"/>
      <c r="BR203" s="506"/>
      <c r="BS203" s="506"/>
      <c r="BT203" s="506"/>
      <c r="BU203" s="506"/>
      <c r="BV203" s="506"/>
      <c r="BW203" s="506"/>
      <c r="BX203" s="506"/>
    </row>
    <row r="204" outlineLevel="2" spans="2:76">
      <c r="B204" t="s">
        <v>458</v>
      </c>
      <c r="C204" t="s">
        <v>459</v>
      </c>
      <c r="F204" s="506"/>
      <c r="G204" s="506"/>
      <c r="H204" s="506"/>
      <c r="I204" s="506"/>
      <c r="J204" s="506"/>
      <c r="K204" s="506"/>
      <c r="L204" s="506"/>
      <c r="M204" s="506"/>
      <c r="N204" s="506"/>
      <c r="O204" s="506"/>
      <c r="P204" s="506"/>
      <c r="Q204" s="506"/>
      <c r="R204" s="506"/>
      <c r="S204" s="506"/>
      <c r="T204" s="506"/>
      <c r="U204" s="506"/>
      <c r="V204" s="506"/>
      <c r="W204" s="506"/>
      <c r="X204" s="506"/>
      <c r="Y204" s="506"/>
      <c r="Z204" s="506"/>
      <c r="AA204" s="506"/>
      <c r="AB204" s="506"/>
      <c r="AC204" s="506"/>
      <c r="AD204" s="506"/>
      <c r="AE204" s="506"/>
      <c r="AF204" s="506"/>
      <c r="AG204" s="506"/>
      <c r="AH204" s="506"/>
      <c r="AI204" s="506"/>
      <c r="AJ204" s="506"/>
      <c r="AK204" s="506"/>
      <c r="AL204" s="506"/>
      <c r="AM204" s="506"/>
      <c r="AN204" s="506"/>
      <c r="AO204" s="506"/>
      <c r="AP204" s="506"/>
      <c r="AQ204" s="506"/>
      <c r="AR204" s="506"/>
      <c r="AS204" s="506"/>
      <c r="AT204" s="506"/>
      <c r="AU204" s="506"/>
      <c r="AV204" s="506"/>
      <c r="AW204" s="506"/>
      <c r="AX204" s="506"/>
      <c r="AY204" s="506"/>
      <c r="AZ204" s="506"/>
      <c r="BA204" s="506"/>
      <c r="BB204" s="506"/>
      <c r="BC204" s="506"/>
      <c r="BD204" s="506"/>
      <c r="BE204" s="506"/>
      <c r="BF204" s="506"/>
      <c r="BG204" s="506"/>
      <c r="BH204" s="506"/>
      <c r="BI204" s="506"/>
      <c r="BJ204" s="506"/>
      <c r="BK204" s="506"/>
      <c r="BL204" s="506"/>
      <c r="BM204" s="506"/>
      <c r="BN204" s="506"/>
      <c r="BO204" s="506"/>
      <c r="BP204" s="506"/>
      <c r="BQ204" s="506"/>
      <c r="BR204" s="506"/>
      <c r="BS204" s="506"/>
      <c r="BT204" s="506"/>
      <c r="BU204" s="506"/>
      <c r="BV204" s="506"/>
      <c r="BW204" s="506"/>
      <c r="BX204" s="506"/>
    </row>
    <row r="205" outlineLevel="2" spans="2:76">
      <c r="B205" t="s">
        <v>460</v>
      </c>
      <c r="C205" t="s">
        <v>461</v>
      </c>
      <c r="F205" s="506"/>
      <c r="G205" s="506"/>
      <c r="H205" s="506"/>
      <c r="I205" s="506"/>
      <c r="J205" s="506"/>
      <c r="K205" s="506"/>
      <c r="L205" s="506"/>
      <c r="M205" s="506"/>
      <c r="N205" s="506"/>
      <c r="O205" s="506"/>
      <c r="P205" s="506"/>
      <c r="Q205" s="506"/>
      <c r="R205" s="506"/>
      <c r="S205" s="506"/>
      <c r="T205" s="506"/>
      <c r="U205" s="506"/>
      <c r="V205" s="506"/>
      <c r="W205" s="506"/>
      <c r="X205" s="506"/>
      <c r="Y205" s="506"/>
      <c r="Z205" s="506"/>
      <c r="AA205" s="506"/>
      <c r="AB205" s="506"/>
      <c r="AC205" s="506"/>
      <c r="AD205" s="506"/>
      <c r="AE205" s="506"/>
      <c r="AF205" s="506"/>
      <c r="AG205" s="506"/>
      <c r="AH205" s="506"/>
      <c r="AI205" s="506"/>
      <c r="AJ205" s="506"/>
      <c r="AK205" s="506"/>
      <c r="AL205" s="506"/>
      <c r="AM205" s="506"/>
      <c r="AN205" s="506"/>
      <c r="AO205" s="506"/>
      <c r="AP205" s="506"/>
      <c r="AQ205" s="506"/>
      <c r="AR205" s="506"/>
      <c r="AS205" s="506"/>
      <c r="AT205" s="506"/>
      <c r="AU205" s="506"/>
      <c r="AV205" s="506"/>
      <c r="AW205" s="506"/>
      <c r="AX205" s="506"/>
      <c r="AY205" s="506"/>
      <c r="AZ205" s="506"/>
      <c r="BA205" s="506"/>
      <c r="BB205" s="506"/>
      <c r="BC205" s="506"/>
      <c r="BD205" s="506"/>
      <c r="BE205" s="506"/>
      <c r="BF205" s="506"/>
      <c r="BG205" s="506"/>
      <c r="BH205" s="506"/>
      <c r="BI205" s="506"/>
      <c r="BJ205" s="506"/>
      <c r="BK205" s="506"/>
      <c r="BL205" s="506"/>
      <c r="BM205" s="506"/>
      <c r="BN205" s="506"/>
      <c r="BO205" s="506"/>
      <c r="BP205" s="506"/>
      <c r="BQ205" s="506"/>
      <c r="BR205" s="506"/>
      <c r="BS205" s="506"/>
      <c r="BT205" s="506"/>
      <c r="BU205" s="506"/>
      <c r="BV205" s="506"/>
      <c r="BW205" s="506"/>
      <c r="BX205" s="506"/>
    </row>
    <row r="206" outlineLevel="2" spans="2:76">
      <c r="B206" t="s">
        <v>462</v>
      </c>
      <c r="C206" t="s">
        <v>463</v>
      </c>
      <c r="F206" s="506"/>
      <c r="G206" s="506"/>
      <c r="H206" s="506"/>
      <c r="I206" s="506"/>
      <c r="J206" s="506"/>
      <c r="K206" s="506"/>
      <c r="L206" s="506"/>
      <c r="M206" s="506"/>
      <c r="N206" s="506"/>
      <c r="O206" s="506"/>
      <c r="P206" s="506"/>
      <c r="Q206" s="506"/>
      <c r="R206" s="506"/>
      <c r="S206" s="506"/>
      <c r="T206" s="506"/>
      <c r="U206" s="506"/>
      <c r="V206" s="506"/>
      <c r="W206" s="506"/>
      <c r="X206" s="506"/>
      <c r="Y206" s="506"/>
      <c r="Z206" s="506"/>
      <c r="AA206" s="506"/>
      <c r="AB206" s="506"/>
      <c r="AC206" s="506"/>
      <c r="AD206" s="506"/>
      <c r="AE206" s="506"/>
      <c r="AF206" s="506"/>
      <c r="AG206" s="506"/>
      <c r="AH206" s="506"/>
      <c r="AI206" s="506"/>
      <c r="AJ206" s="506"/>
      <c r="AK206" s="506"/>
      <c r="AL206" s="506"/>
      <c r="AM206" s="506"/>
      <c r="AN206" s="506"/>
      <c r="AO206" s="506"/>
      <c r="AP206" s="506"/>
      <c r="AQ206" s="506"/>
      <c r="AR206" s="506"/>
      <c r="AS206" s="506"/>
      <c r="AT206" s="506"/>
      <c r="AU206" s="506"/>
      <c r="AV206" s="506"/>
      <c r="AW206" s="506"/>
      <c r="AX206" s="506"/>
      <c r="AY206" s="506"/>
      <c r="AZ206" s="506"/>
      <c r="BA206" s="506"/>
      <c r="BB206" s="506"/>
      <c r="BC206" s="506"/>
      <c r="BD206" s="506"/>
      <c r="BE206" s="506"/>
      <c r="BF206" s="506"/>
      <c r="BG206" s="506"/>
      <c r="BH206" s="506"/>
      <c r="BI206" s="506"/>
      <c r="BJ206" s="506"/>
      <c r="BK206" s="506"/>
      <c r="BL206" s="506"/>
      <c r="BM206" s="506"/>
      <c r="BN206" s="506"/>
      <c r="BO206" s="506"/>
      <c r="BP206" s="506"/>
      <c r="BQ206" s="506"/>
      <c r="BR206" s="506"/>
      <c r="BS206" s="506"/>
      <c r="BT206" s="506"/>
      <c r="BU206" s="506"/>
      <c r="BV206" s="506"/>
      <c r="BW206" s="506"/>
      <c r="BX206" s="506"/>
    </row>
    <row r="207" outlineLevel="2" spans="2:76">
      <c r="B207" t="s">
        <v>464</v>
      </c>
      <c r="C207" t="s">
        <v>465</v>
      </c>
      <c r="F207" s="506"/>
      <c r="G207" s="506"/>
      <c r="H207" s="506"/>
      <c r="I207" s="506"/>
      <c r="J207" s="506"/>
      <c r="K207" s="506"/>
      <c r="L207" s="506"/>
      <c r="M207" s="506"/>
      <c r="N207" s="506"/>
      <c r="O207" s="506"/>
      <c r="P207" s="506"/>
      <c r="Q207" s="506"/>
      <c r="R207" s="506"/>
      <c r="S207" s="506"/>
      <c r="T207" s="506"/>
      <c r="U207" s="506"/>
      <c r="V207" s="506"/>
      <c r="W207" s="506"/>
      <c r="X207" s="506"/>
      <c r="Y207" s="506"/>
      <c r="Z207" s="506"/>
      <c r="AA207" s="506"/>
      <c r="AB207" s="506"/>
      <c r="AC207" s="506"/>
      <c r="AD207" s="506"/>
      <c r="AE207" s="506"/>
      <c r="AF207" s="506"/>
      <c r="AG207" s="506"/>
      <c r="AH207" s="506"/>
      <c r="AI207" s="506"/>
      <c r="AJ207" s="506"/>
      <c r="AK207" s="506"/>
      <c r="AL207" s="506"/>
      <c r="AM207" s="506"/>
      <c r="AN207" s="506"/>
      <c r="AO207" s="506"/>
      <c r="AP207" s="506"/>
      <c r="AQ207" s="506"/>
      <c r="AR207" s="506"/>
      <c r="AS207" s="506"/>
      <c r="AT207" s="506"/>
      <c r="AU207" s="506"/>
      <c r="AV207" s="506"/>
      <c r="AW207" s="506"/>
      <c r="AX207" s="506"/>
      <c r="AY207" s="506"/>
      <c r="AZ207" s="506"/>
      <c r="BA207" s="506"/>
      <c r="BB207" s="506"/>
      <c r="BC207" s="506"/>
      <c r="BD207" s="506"/>
      <c r="BE207" s="506"/>
      <c r="BF207" s="506"/>
      <c r="BG207" s="506"/>
      <c r="BH207" s="506"/>
      <c r="BI207" s="506"/>
      <c r="BJ207" s="506"/>
      <c r="BK207" s="506"/>
      <c r="BL207" s="506"/>
      <c r="BM207" s="506"/>
      <c r="BN207" s="506"/>
      <c r="BO207" s="506"/>
      <c r="BP207" s="506"/>
      <c r="BQ207" s="506"/>
      <c r="BR207" s="506"/>
      <c r="BS207" s="506"/>
      <c r="BT207" s="506"/>
      <c r="BU207" s="506"/>
      <c r="BV207" s="506"/>
      <c r="BW207" s="506"/>
      <c r="BX207" s="506"/>
    </row>
    <row r="208" outlineLevel="2" spans="2:76">
      <c r="B208" t="s">
        <v>466</v>
      </c>
      <c r="C208" t="s">
        <v>467</v>
      </c>
      <c r="F208" s="506"/>
      <c r="G208" s="506"/>
      <c r="H208" s="506"/>
      <c r="I208" s="506"/>
      <c r="J208" s="506"/>
      <c r="K208" s="506"/>
      <c r="L208" s="506"/>
      <c r="M208" s="506"/>
      <c r="N208" s="506"/>
      <c r="O208" s="506"/>
      <c r="P208" s="506"/>
      <c r="Q208" s="506"/>
      <c r="R208" s="506"/>
      <c r="S208" s="506"/>
      <c r="T208" s="506"/>
      <c r="U208" s="506"/>
      <c r="V208" s="506"/>
      <c r="W208" s="506"/>
      <c r="X208" s="506"/>
      <c r="Y208" s="506"/>
      <c r="Z208" s="506"/>
      <c r="AA208" s="506"/>
      <c r="AB208" s="506"/>
      <c r="AC208" s="506"/>
      <c r="AD208" s="506"/>
      <c r="AE208" s="506"/>
      <c r="AF208" s="506"/>
      <c r="AG208" s="506"/>
      <c r="AH208" s="506"/>
      <c r="AI208" s="506"/>
      <c r="AJ208" s="506"/>
      <c r="AK208" s="506"/>
      <c r="AL208" s="506"/>
      <c r="AM208" s="506"/>
      <c r="AN208" s="506"/>
      <c r="AO208" s="506"/>
      <c r="AP208" s="506"/>
      <c r="AQ208" s="506"/>
      <c r="AR208" s="506"/>
      <c r="AS208" s="506"/>
      <c r="AT208" s="506"/>
      <c r="AU208" s="506"/>
      <c r="AV208" s="506"/>
      <c r="AW208" s="506"/>
      <c r="AX208" s="506"/>
      <c r="AY208" s="506"/>
      <c r="AZ208" s="506"/>
      <c r="BA208" s="506"/>
      <c r="BB208" s="506"/>
      <c r="BC208" s="506"/>
      <c r="BD208" s="506"/>
      <c r="BE208" s="506"/>
      <c r="BF208" s="506"/>
      <c r="BG208" s="506"/>
      <c r="BH208" s="506"/>
      <c r="BI208" s="506"/>
      <c r="BJ208" s="506"/>
      <c r="BK208" s="506"/>
      <c r="BL208" s="506"/>
      <c r="BM208" s="506"/>
      <c r="BN208" s="506"/>
      <c r="BO208" s="506"/>
      <c r="BP208" s="506"/>
      <c r="BQ208" s="506"/>
      <c r="BR208" s="506"/>
      <c r="BS208" s="506"/>
      <c r="BT208" s="506"/>
      <c r="BU208" s="506"/>
      <c r="BV208" s="506"/>
      <c r="BW208" s="506"/>
      <c r="BX208" s="506"/>
    </row>
    <row r="209" outlineLevel="2" spans="2:76">
      <c r="B209" t="s">
        <v>468</v>
      </c>
      <c r="C209" t="s">
        <v>469</v>
      </c>
      <c r="F209" s="506"/>
      <c r="G209" s="506"/>
      <c r="H209" s="506"/>
      <c r="I209" s="506"/>
      <c r="J209" s="506"/>
      <c r="K209" s="506"/>
      <c r="L209" s="506"/>
      <c r="M209" s="506"/>
      <c r="N209" s="506"/>
      <c r="O209" s="506"/>
      <c r="P209" s="506"/>
      <c r="Q209" s="506"/>
      <c r="R209" s="506"/>
      <c r="S209" s="506"/>
      <c r="T209" s="506"/>
      <c r="U209" s="506"/>
      <c r="V209" s="506"/>
      <c r="W209" s="506"/>
      <c r="X209" s="506"/>
      <c r="Y209" s="506"/>
      <c r="Z209" s="506"/>
      <c r="AA209" s="506"/>
      <c r="AB209" s="506"/>
      <c r="AC209" s="506"/>
      <c r="AD209" s="506"/>
      <c r="AE209" s="506"/>
      <c r="AF209" s="506"/>
      <c r="AG209" s="506"/>
      <c r="AH209" s="506"/>
      <c r="AI209" s="506"/>
      <c r="AJ209" s="506"/>
      <c r="AK209" s="506"/>
      <c r="AL209" s="506"/>
      <c r="AM209" s="506"/>
      <c r="AN209" s="506"/>
      <c r="AO209" s="506"/>
      <c r="AP209" s="506"/>
      <c r="AQ209" s="506"/>
      <c r="AR209" s="506"/>
      <c r="AS209" s="506"/>
      <c r="AT209" s="506"/>
      <c r="AU209" s="506"/>
      <c r="AV209" s="506"/>
      <c r="AW209" s="506"/>
      <c r="AX209" s="506"/>
      <c r="AY209" s="506"/>
      <c r="AZ209" s="506"/>
      <c r="BA209" s="506"/>
      <c r="BB209" s="506"/>
      <c r="BC209" s="506"/>
      <c r="BD209" s="506"/>
      <c r="BE209" s="506"/>
      <c r="BF209" s="506"/>
      <c r="BG209" s="506"/>
      <c r="BH209" s="506"/>
      <c r="BI209" s="506"/>
      <c r="BJ209" s="506"/>
      <c r="BK209" s="506"/>
      <c r="BL209" s="506"/>
      <c r="BM209" s="506"/>
      <c r="BN209" s="506"/>
      <c r="BO209" s="506"/>
      <c r="BP209" s="506"/>
      <c r="BQ209" s="506"/>
      <c r="BR209" s="506"/>
      <c r="BS209" s="506"/>
      <c r="BT209" s="506"/>
      <c r="BU209" s="506"/>
      <c r="BV209" s="506"/>
      <c r="BW209" s="506"/>
      <c r="BX209" s="506"/>
    </row>
    <row r="210" outlineLevel="2" spans="2:76">
      <c r="B210" t="s">
        <v>470</v>
      </c>
      <c r="C210" t="s">
        <v>471</v>
      </c>
      <c r="F210" s="506"/>
      <c r="G210" s="506"/>
      <c r="H210" s="506"/>
      <c r="I210" s="506"/>
      <c r="J210" s="506"/>
      <c r="K210" s="506"/>
      <c r="L210" s="506"/>
      <c r="M210" s="506"/>
      <c r="N210" s="506"/>
      <c r="O210" s="506"/>
      <c r="P210" s="506"/>
      <c r="Q210" s="506"/>
      <c r="R210" s="506"/>
      <c r="S210" s="506"/>
      <c r="T210" s="506"/>
      <c r="U210" s="506"/>
      <c r="V210" s="506"/>
      <c r="W210" s="506"/>
      <c r="X210" s="506"/>
      <c r="Y210" s="506"/>
      <c r="Z210" s="506"/>
      <c r="AA210" s="506"/>
      <c r="AB210" s="506"/>
      <c r="AC210" s="506"/>
      <c r="AD210" s="506"/>
      <c r="AE210" s="506"/>
      <c r="AF210" s="506"/>
      <c r="AG210" s="506"/>
      <c r="AH210" s="506"/>
      <c r="AI210" s="506"/>
      <c r="AJ210" s="506"/>
      <c r="AK210" s="506"/>
      <c r="AL210" s="506"/>
      <c r="AM210" s="506"/>
      <c r="AN210" s="506"/>
      <c r="AO210" s="506"/>
      <c r="AP210" s="506"/>
      <c r="AQ210" s="506"/>
      <c r="AR210" s="506"/>
      <c r="AS210" s="506"/>
      <c r="AT210" s="506"/>
      <c r="AU210" s="506"/>
      <c r="AV210" s="506"/>
      <c r="AW210" s="506"/>
      <c r="AX210" s="506"/>
      <c r="AY210" s="506"/>
      <c r="AZ210" s="506"/>
      <c r="BA210" s="506"/>
      <c r="BB210" s="506"/>
      <c r="BC210" s="506"/>
      <c r="BD210" s="506"/>
      <c r="BE210" s="506"/>
      <c r="BF210" s="506"/>
      <c r="BG210" s="506"/>
      <c r="BH210" s="506"/>
      <c r="BI210" s="506"/>
      <c r="BJ210" s="506"/>
      <c r="BK210" s="506"/>
      <c r="BL210" s="506"/>
      <c r="BM210" s="506"/>
      <c r="BN210" s="506"/>
      <c r="BO210" s="506"/>
      <c r="BP210" s="506"/>
      <c r="BQ210" s="506"/>
      <c r="BR210" s="506"/>
      <c r="BS210" s="506"/>
      <c r="BT210" s="506"/>
      <c r="BU210" s="506"/>
      <c r="BV210" s="506"/>
      <c r="BW210" s="506"/>
      <c r="BX210" s="506"/>
    </row>
    <row r="211" outlineLevel="2" spans="2:76">
      <c r="B211" t="s">
        <v>472</v>
      </c>
      <c r="C211" t="s">
        <v>473</v>
      </c>
      <c r="F211" s="506"/>
      <c r="G211" s="506"/>
      <c r="H211" s="506"/>
      <c r="I211" s="506"/>
      <c r="J211" s="506"/>
      <c r="K211" s="506"/>
      <c r="L211" s="506"/>
      <c r="M211" s="506"/>
      <c r="N211" s="506"/>
      <c r="O211" s="506"/>
      <c r="P211" s="506"/>
      <c r="Q211" s="506"/>
      <c r="R211" s="506"/>
      <c r="S211" s="506"/>
      <c r="T211" s="506"/>
      <c r="U211" s="506"/>
      <c r="V211" s="506"/>
      <c r="W211" s="506"/>
      <c r="X211" s="506"/>
      <c r="Y211" s="506"/>
      <c r="Z211" s="506"/>
      <c r="AA211" s="506"/>
      <c r="AB211" s="506"/>
      <c r="AC211" s="506"/>
      <c r="AD211" s="506"/>
      <c r="AE211" s="506"/>
      <c r="AF211" s="506"/>
      <c r="AG211" s="506"/>
      <c r="AH211" s="506"/>
      <c r="AI211" s="506"/>
      <c r="AJ211" s="506"/>
      <c r="AK211" s="506"/>
      <c r="AL211" s="506"/>
      <c r="AM211" s="506"/>
      <c r="AN211" s="506"/>
      <c r="AO211" s="506"/>
      <c r="AP211" s="506"/>
      <c r="AQ211" s="506"/>
      <c r="AR211" s="506"/>
      <c r="AS211" s="506"/>
      <c r="AT211" s="506"/>
      <c r="AU211" s="506"/>
      <c r="AV211" s="506"/>
      <c r="AW211" s="506"/>
      <c r="AX211" s="506"/>
      <c r="AY211" s="506"/>
      <c r="AZ211" s="506"/>
      <c r="BA211" s="506"/>
      <c r="BB211" s="506"/>
      <c r="BC211" s="506"/>
      <c r="BD211" s="506"/>
      <c r="BE211" s="506"/>
      <c r="BF211" s="506"/>
      <c r="BG211" s="506"/>
      <c r="BH211" s="506"/>
      <c r="BI211" s="506"/>
      <c r="BJ211" s="506"/>
      <c r="BK211" s="506"/>
      <c r="BL211" s="506"/>
      <c r="BM211" s="506"/>
      <c r="BN211" s="506"/>
      <c r="BO211" s="506"/>
      <c r="BP211" s="506"/>
      <c r="BQ211" s="506"/>
      <c r="BR211" s="506"/>
      <c r="BS211" s="506"/>
      <c r="BT211" s="506"/>
      <c r="BU211" s="506"/>
      <c r="BV211" s="506"/>
      <c r="BW211" s="506"/>
      <c r="BX211" s="506"/>
    </row>
    <row r="212" outlineLevel="2" spans="2:76">
      <c r="B212" t="s">
        <v>474</v>
      </c>
      <c r="C212" t="s">
        <v>475</v>
      </c>
      <c r="F212" s="506"/>
      <c r="G212" s="506"/>
      <c r="H212" s="506"/>
      <c r="I212" s="506"/>
      <c r="J212" s="506"/>
      <c r="K212" s="506"/>
      <c r="L212" s="506"/>
      <c r="M212" s="506"/>
      <c r="N212" s="506"/>
      <c r="O212" s="506"/>
      <c r="P212" s="506"/>
      <c r="Q212" s="506"/>
      <c r="R212" s="506"/>
      <c r="S212" s="506"/>
      <c r="T212" s="506"/>
      <c r="U212" s="506"/>
      <c r="V212" s="506"/>
      <c r="W212" s="506"/>
      <c r="X212" s="506"/>
      <c r="Y212" s="506"/>
      <c r="Z212" s="506"/>
      <c r="AA212" s="506"/>
      <c r="AB212" s="506"/>
      <c r="AC212" s="506"/>
      <c r="AD212" s="506"/>
      <c r="AE212" s="506"/>
      <c r="AF212" s="506"/>
      <c r="AG212" s="506"/>
      <c r="AH212" s="506"/>
      <c r="AI212" s="506"/>
      <c r="AJ212" s="506"/>
      <c r="AK212" s="506"/>
      <c r="AL212" s="506"/>
      <c r="AM212" s="506"/>
      <c r="AN212" s="506"/>
      <c r="AO212" s="506"/>
      <c r="AP212" s="506"/>
      <c r="AQ212" s="506"/>
      <c r="AR212" s="506"/>
      <c r="AS212" s="506"/>
      <c r="AT212" s="506"/>
      <c r="AU212" s="506"/>
      <c r="AV212" s="506"/>
      <c r="AW212" s="506"/>
      <c r="AX212" s="506"/>
      <c r="AY212" s="506"/>
      <c r="AZ212" s="506"/>
      <c r="BA212" s="506"/>
      <c r="BB212" s="506"/>
      <c r="BC212" s="506"/>
      <c r="BD212" s="506"/>
      <c r="BE212" s="506"/>
      <c r="BF212" s="506"/>
      <c r="BG212" s="506"/>
      <c r="BH212" s="506"/>
      <c r="BI212" s="506"/>
      <c r="BJ212" s="506"/>
      <c r="BK212" s="506"/>
      <c r="BL212" s="506"/>
      <c r="BM212" s="506"/>
      <c r="BN212" s="506"/>
      <c r="BO212" s="506"/>
      <c r="BP212" s="506"/>
      <c r="BQ212" s="506"/>
      <c r="BR212" s="506"/>
      <c r="BS212" s="506"/>
      <c r="BT212" s="506"/>
      <c r="BU212" s="506"/>
      <c r="BV212" s="506"/>
      <c r="BW212" s="506"/>
      <c r="BX212" s="506"/>
    </row>
    <row r="213" s="495" customFormat="1" outlineLevel="1" spans="1:4">
      <c r="A213" s="501" t="s">
        <v>476</v>
      </c>
      <c r="B213" s="501"/>
      <c r="C213" s="501"/>
      <c r="D213" s="501"/>
    </row>
    <row r="214" outlineLevel="2" spans="2:76">
      <c r="B214" t="s">
        <v>477</v>
      </c>
      <c r="C214" t="s">
        <v>478</v>
      </c>
      <c r="F214" s="509"/>
      <c r="G214" s="509"/>
      <c r="H214" s="509"/>
      <c r="I214" s="509"/>
      <c r="J214" s="509"/>
      <c r="K214" s="509"/>
      <c r="L214" s="509"/>
      <c r="M214" s="509"/>
      <c r="N214" s="509"/>
      <c r="O214" s="509"/>
      <c r="P214" s="509"/>
      <c r="Q214" s="509"/>
      <c r="R214" s="509"/>
      <c r="S214" s="509"/>
      <c r="T214" s="509"/>
      <c r="U214" s="509"/>
      <c r="V214" s="509"/>
      <c r="W214" s="509"/>
      <c r="X214" s="509"/>
      <c r="Y214" s="509"/>
      <c r="Z214" s="509"/>
      <c r="AA214" s="509"/>
      <c r="AB214" s="509"/>
      <c r="AC214" s="509"/>
      <c r="AD214" s="509"/>
      <c r="AE214" s="509"/>
      <c r="AF214" s="509"/>
      <c r="AG214" s="509"/>
      <c r="AH214" s="509"/>
      <c r="AI214" s="509"/>
      <c r="AJ214" s="509"/>
      <c r="AK214" s="509"/>
      <c r="AL214" s="509"/>
      <c r="AM214" s="509"/>
      <c r="AN214" s="509"/>
      <c r="AO214" s="509"/>
      <c r="AP214" s="509"/>
      <c r="AQ214" s="509"/>
      <c r="AR214" s="509"/>
      <c r="AS214" s="509"/>
      <c r="AT214" s="509"/>
      <c r="AU214" s="509"/>
      <c r="AV214" s="509"/>
      <c r="AW214" s="509"/>
      <c r="AX214" s="509"/>
      <c r="AY214" s="509"/>
      <c r="AZ214" s="509"/>
      <c r="BA214" s="509"/>
      <c r="BB214" s="509"/>
      <c r="BC214" s="509"/>
      <c r="BD214" s="509"/>
      <c r="BE214" s="509"/>
      <c r="BF214" s="509"/>
      <c r="BG214" s="509"/>
      <c r="BH214" s="509"/>
      <c r="BI214" s="509"/>
      <c r="BJ214" s="509"/>
      <c r="BK214" s="509"/>
      <c r="BL214" s="509"/>
      <c r="BM214" s="509"/>
      <c r="BN214" s="509"/>
      <c r="BO214" s="509"/>
      <c r="BP214" s="509"/>
      <c r="BQ214" s="509"/>
      <c r="BR214" s="509"/>
      <c r="BS214" s="509"/>
      <c r="BT214" s="509"/>
      <c r="BU214" s="509"/>
      <c r="BV214" s="509"/>
      <c r="BW214" s="509"/>
      <c r="BX214" s="509"/>
    </row>
    <row r="215" outlineLevel="2" spans="2:76">
      <c r="B215" t="s">
        <v>479</v>
      </c>
      <c r="C215" t="s">
        <v>480</v>
      </c>
      <c r="F215" s="509"/>
      <c r="G215" s="509"/>
      <c r="H215" s="509"/>
      <c r="I215" s="509"/>
      <c r="J215" s="509"/>
      <c r="K215" s="509"/>
      <c r="L215" s="509"/>
      <c r="M215" s="509"/>
      <c r="N215" s="509"/>
      <c r="O215" s="509"/>
      <c r="P215" s="509"/>
      <c r="Q215" s="509"/>
      <c r="R215" s="509"/>
      <c r="S215" s="509"/>
      <c r="T215" s="509"/>
      <c r="U215" s="509"/>
      <c r="V215" s="509"/>
      <c r="W215" s="509"/>
      <c r="X215" s="509"/>
      <c r="Y215" s="509"/>
      <c r="Z215" s="509"/>
      <c r="AA215" s="509"/>
      <c r="AB215" s="509"/>
      <c r="AC215" s="509"/>
      <c r="AD215" s="509"/>
      <c r="AE215" s="509"/>
      <c r="AF215" s="509"/>
      <c r="AG215" s="509"/>
      <c r="AH215" s="509"/>
      <c r="AI215" s="509"/>
      <c r="AJ215" s="509"/>
      <c r="AK215" s="509"/>
      <c r="AL215" s="509"/>
      <c r="AM215" s="509"/>
      <c r="AN215" s="509"/>
      <c r="AO215" s="509"/>
      <c r="AP215" s="509"/>
      <c r="AQ215" s="509"/>
      <c r="AR215" s="509"/>
      <c r="AS215" s="509"/>
      <c r="AT215" s="509"/>
      <c r="AU215" s="509"/>
      <c r="AV215" s="509"/>
      <c r="AW215" s="509"/>
      <c r="AX215" s="509"/>
      <c r="AY215" s="509"/>
      <c r="AZ215" s="509"/>
      <c r="BA215" s="509"/>
      <c r="BB215" s="509"/>
      <c r="BC215" s="509"/>
      <c r="BD215" s="509"/>
      <c r="BE215" s="509"/>
      <c r="BF215" s="509"/>
      <c r="BG215" s="509"/>
      <c r="BH215" s="509"/>
      <c r="BI215" s="509"/>
      <c r="BJ215" s="509"/>
      <c r="BK215" s="509"/>
      <c r="BL215" s="509"/>
      <c r="BM215" s="509"/>
      <c r="BN215" s="509"/>
      <c r="BO215" s="509"/>
      <c r="BP215" s="509"/>
      <c r="BQ215" s="509"/>
      <c r="BR215" s="509"/>
      <c r="BS215" s="509"/>
      <c r="BT215" s="509"/>
      <c r="BU215" s="509"/>
      <c r="BV215" s="509"/>
      <c r="BW215" s="509"/>
      <c r="BX215" s="509"/>
    </row>
    <row r="216" outlineLevel="2" spans="2:76">
      <c r="B216" t="s">
        <v>481</v>
      </c>
      <c r="C216" t="s">
        <v>482</v>
      </c>
      <c r="F216" s="509"/>
      <c r="G216" s="509"/>
      <c r="H216" s="509"/>
      <c r="I216" s="509"/>
      <c r="J216" s="509"/>
      <c r="K216" s="509"/>
      <c r="L216" s="509"/>
      <c r="M216" s="509"/>
      <c r="N216" s="509"/>
      <c r="O216" s="509"/>
      <c r="P216" s="509"/>
      <c r="Q216" s="509"/>
      <c r="R216" s="509"/>
      <c r="S216" s="509"/>
      <c r="T216" s="509"/>
      <c r="U216" s="509"/>
      <c r="V216" s="509"/>
      <c r="W216" s="509"/>
      <c r="X216" s="509"/>
      <c r="Y216" s="509"/>
      <c r="Z216" s="509"/>
      <c r="AA216" s="509"/>
      <c r="AB216" s="509"/>
      <c r="AC216" s="509"/>
      <c r="AD216" s="509"/>
      <c r="AE216" s="509"/>
      <c r="AF216" s="509"/>
      <c r="AG216" s="509"/>
      <c r="AH216" s="509"/>
      <c r="AI216" s="509"/>
      <c r="AJ216" s="509"/>
      <c r="AK216" s="509"/>
      <c r="AL216" s="509"/>
      <c r="AM216" s="509"/>
      <c r="AN216" s="509"/>
      <c r="AO216" s="509"/>
      <c r="AP216" s="509"/>
      <c r="AQ216" s="509"/>
      <c r="AR216" s="509"/>
      <c r="AS216" s="509"/>
      <c r="AT216" s="509"/>
      <c r="AU216" s="509"/>
      <c r="AV216" s="509"/>
      <c r="AW216" s="509"/>
      <c r="AX216" s="509"/>
      <c r="AY216" s="509"/>
      <c r="AZ216" s="509"/>
      <c r="BA216" s="509"/>
      <c r="BB216" s="509"/>
      <c r="BC216" s="509"/>
      <c r="BD216" s="509"/>
      <c r="BE216" s="509"/>
      <c r="BF216" s="509"/>
      <c r="BG216" s="509"/>
      <c r="BH216" s="509"/>
      <c r="BI216" s="509"/>
      <c r="BJ216" s="509"/>
      <c r="BK216" s="509"/>
      <c r="BL216" s="509"/>
      <c r="BM216" s="509"/>
      <c r="BN216" s="509"/>
      <c r="BO216" s="509"/>
      <c r="BP216" s="509"/>
      <c r="BQ216" s="509"/>
      <c r="BR216" s="509"/>
      <c r="BS216" s="509"/>
      <c r="BT216" s="509"/>
      <c r="BU216" s="509"/>
      <c r="BV216" s="509"/>
      <c r="BW216" s="509"/>
      <c r="BX216" s="509"/>
    </row>
    <row r="217" outlineLevel="2" spans="2:76">
      <c r="B217" t="s">
        <v>483</v>
      </c>
      <c r="C217" t="s">
        <v>484</v>
      </c>
      <c r="F217" s="509"/>
      <c r="G217" s="509"/>
      <c r="H217" s="509"/>
      <c r="I217" s="509"/>
      <c r="J217" s="509"/>
      <c r="K217" s="509"/>
      <c r="L217" s="509"/>
      <c r="M217" s="509"/>
      <c r="N217" s="509"/>
      <c r="O217" s="509"/>
      <c r="P217" s="509"/>
      <c r="Q217" s="509"/>
      <c r="R217" s="509"/>
      <c r="S217" s="509"/>
      <c r="T217" s="509"/>
      <c r="U217" s="509"/>
      <c r="V217" s="509"/>
      <c r="W217" s="509"/>
      <c r="X217" s="509"/>
      <c r="Y217" s="509"/>
      <c r="Z217" s="509"/>
      <c r="AA217" s="509"/>
      <c r="AB217" s="509"/>
      <c r="AC217" s="509"/>
      <c r="AD217" s="509"/>
      <c r="AE217" s="509"/>
      <c r="AF217" s="509"/>
      <c r="AG217" s="509"/>
      <c r="AH217" s="509"/>
      <c r="AI217" s="509"/>
      <c r="AJ217" s="509"/>
      <c r="AK217" s="509"/>
      <c r="AL217" s="509"/>
      <c r="AM217" s="509"/>
      <c r="AN217" s="509"/>
      <c r="AO217" s="509"/>
      <c r="AP217" s="509"/>
      <c r="AQ217" s="509"/>
      <c r="AR217" s="509"/>
      <c r="AS217" s="509"/>
      <c r="AT217" s="509"/>
      <c r="AU217" s="509"/>
      <c r="AV217" s="509"/>
      <c r="AW217" s="509"/>
      <c r="AX217" s="509"/>
      <c r="AY217" s="509"/>
      <c r="AZ217" s="509"/>
      <c r="BA217" s="509"/>
      <c r="BB217" s="509"/>
      <c r="BC217" s="509"/>
      <c r="BD217" s="509"/>
      <c r="BE217" s="509"/>
      <c r="BF217" s="509"/>
      <c r="BG217" s="509"/>
      <c r="BH217" s="509"/>
      <c r="BI217" s="509"/>
      <c r="BJ217" s="509"/>
      <c r="BK217" s="509"/>
      <c r="BL217" s="509"/>
      <c r="BM217" s="509"/>
      <c r="BN217" s="509"/>
      <c r="BO217" s="509"/>
      <c r="BP217" s="509"/>
      <c r="BQ217" s="509"/>
      <c r="BR217" s="509"/>
      <c r="BS217" s="509"/>
      <c r="BT217" s="509"/>
      <c r="BU217" s="509"/>
      <c r="BV217" s="509"/>
      <c r="BW217" s="509"/>
      <c r="BX217" s="509"/>
    </row>
    <row r="218" outlineLevel="2" spans="2:76">
      <c r="B218" t="s">
        <v>485</v>
      </c>
      <c r="C218" t="s">
        <v>486</v>
      </c>
      <c r="F218" s="509"/>
      <c r="G218" s="509"/>
      <c r="H218" s="509"/>
      <c r="I218" s="509"/>
      <c r="J218" s="509"/>
      <c r="K218" s="509"/>
      <c r="L218" s="509"/>
      <c r="M218" s="509"/>
      <c r="N218" s="509"/>
      <c r="O218" s="509"/>
      <c r="P218" s="509"/>
      <c r="Q218" s="509"/>
      <c r="R218" s="509"/>
      <c r="S218" s="509"/>
      <c r="T218" s="509"/>
      <c r="U218" s="509"/>
      <c r="V218" s="509"/>
      <c r="W218" s="509"/>
      <c r="X218" s="509"/>
      <c r="Y218" s="509"/>
      <c r="Z218" s="509"/>
      <c r="AA218" s="509"/>
      <c r="AB218" s="509"/>
      <c r="AC218" s="509"/>
      <c r="AD218" s="509"/>
      <c r="AE218" s="509"/>
      <c r="AF218" s="509"/>
      <c r="AG218" s="509"/>
      <c r="AH218" s="509"/>
      <c r="AI218" s="509"/>
      <c r="AJ218" s="509"/>
      <c r="AK218" s="509"/>
      <c r="AL218" s="509"/>
      <c r="AM218" s="509"/>
      <c r="AN218" s="509"/>
      <c r="AO218" s="509"/>
      <c r="AP218" s="509"/>
      <c r="AQ218" s="509"/>
      <c r="AR218" s="509"/>
      <c r="AS218" s="509"/>
      <c r="AT218" s="509"/>
      <c r="AU218" s="509"/>
      <c r="AV218" s="509"/>
      <c r="AW218" s="509"/>
      <c r="AX218" s="509"/>
      <c r="AY218" s="509"/>
      <c r="AZ218" s="509"/>
      <c r="BA218" s="509"/>
      <c r="BB218" s="509"/>
      <c r="BC218" s="509"/>
      <c r="BD218" s="509"/>
      <c r="BE218" s="509"/>
      <c r="BF218" s="509"/>
      <c r="BG218" s="509"/>
      <c r="BH218" s="509"/>
      <c r="BI218" s="509"/>
      <c r="BJ218" s="509"/>
      <c r="BK218" s="509"/>
      <c r="BL218" s="509"/>
      <c r="BM218" s="509"/>
      <c r="BN218" s="509"/>
      <c r="BO218" s="509"/>
      <c r="BP218" s="509"/>
      <c r="BQ218" s="509"/>
      <c r="BR218" s="509"/>
      <c r="BS218" s="509"/>
      <c r="BT218" s="509"/>
      <c r="BU218" s="509"/>
      <c r="BV218" s="509"/>
      <c r="BW218" s="509"/>
      <c r="BX218" s="509"/>
    </row>
    <row r="219" outlineLevel="2" spans="2:76">
      <c r="B219" t="s">
        <v>487</v>
      </c>
      <c r="C219" t="s">
        <v>488</v>
      </c>
      <c r="F219" s="509"/>
      <c r="G219" s="509"/>
      <c r="H219" s="509"/>
      <c r="I219" s="509"/>
      <c r="J219" s="509"/>
      <c r="K219" s="509"/>
      <c r="L219" s="509"/>
      <c r="M219" s="509"/>
      <c r="N219" s="509"/>
      <c r="O219" s="509"/>
      <c r="P219" s="509"/>
      <c r="Q219" s="509"/>
      <c r="R219" s="509"/>
      <c r="S219" s="509"/>
      <c r="T219" s="509"/>
      <c r="U219" s="509"/>
      <c r="V219" s="509"/>
      <c r="W219" s="509"/>
      <c r="X219" s="509"/>
      <c r="Y219" s="509"/>
      <c r="Z219" s="509"/>
      <c r="AA219" s="509"/>
      <c r="AB219" s="509"/>
      <c r="AC219" s="509"/>
      <c r="AD219" s="509"/>
      <c r="AE219" s="509"/>
      <c r="AF219" s="509"/>
      <c r="AG219" s="509"/>
      <c r="AH219" s="509"/>
      <c r="AI219" s="509"/>
      <c r="AJ219" s="509"/>
      <c r="AK219" s="509"/>
      <c r="AL219" s="509"/>
      <c r="AM219" s="509"/>
      <c r="AN219" s="509"/>
      <c r="AO219" s="509"/>
      <c r="AP219" s="509"/>
      <c r="AQ219" s="509"/>
      <c r="AR219" s="509"/>
      <c r="AS219" s="509"/>
      <c r="AT219" s="509"/>
      <c r="AU219" s="509"/>
      <c r="AV219" s="509"/>
      <c r="AW219" s="509"/>
      <c r="AX219" s="509"/>
      <c r="AY219" s="509"/>
      <c r="AZ219" s="509"/>
      <c r="BA219" s="509"/>
      <c r="BB219" s="509"/>
      <c r="BC219" s="509"/>
      <c r="BD219" s="509"/>
      <c r="BE219" s="509"/>
      <c r="BF219" s="509"/>
      <c r="BG219" s="509"/>
      <c r="BH219" s="509"/>
      <c r="BI219" s="509"/>
      <c r="BJ219" s="509"/>
      <c r="BK219" s="509"/>
      <c r="BL219" s="509"/>
      <c r="BM219" s="509"/>
      <c r="BN219" s="509"/>
      <c r="BO219" s="509"/>
      <c r="BP219" s="509"/>
      <c r="BQ219" s="509"/>
      <c r="BR219" s="509"/>
      <c r="BS219" s="509"/>
      <c r="BT219" s="509"/>
      <c r="BU219" s="509"/>
      <c r="BV219" s="509"/>
      <c r="BW219" s="509"/>
      <c r="BX219" s="509"/>
    </row>
    <row r="220" outlineLevel="2" spans="2:76">
      <c r="B220" t="s">
        <v>489</v>
      </c>
      <c r="C220" t="s">
        <v>490</v>
      </c>
      <c r="F220" s="509"/>
      <c r="G220" s="509"/>
      <c r="H220" s="509"/>
      <c r="I220" s="509"/>
      <c r="J220" s="509"/>
      <c r="K220" s="509"/>
      <c r="L220" s="509"/>
      <c r="M220" s="509"/>
      <c r="N220" s="509"/>
      <c r="O220" s="509"/>
      <c r="P220" s="509"/>
      <c r="Q220" s="509"/>
      <c r="R220" s="509"/>
      <c r="S220" s="509"/>
      <c r="T220" s="509"/>
      <c r="U220" s="509"/>
      <c r="V220" s="509"/>
      <c r="W220" s="509"/>
      <c r="X220" s="509"/>
      <c r="Y220" s="509"/>
      <c r="Z220" s="509"/>
      <c r="AA220" s="509"/>
      <c r="AB220" s="509"/>
      <c r="AC220" s="509"/>
      <c r="AD220" s="509"/>
      <c r="AE220" s="509"/>
      <c r="AF220" s="509"/>
      <c r="AG220" s="509"/>
      <c r="AH220" s="509"/>
      <c r="AI220" s="509"/>
      <c r="AJ220" s="509"/>
      <c r="AK220" s="509"/>
      <c r="AL220" s="509"/>
      <c r="AM220" s="509"/>
      <c r="AN220" s="509"/>
      <c r="AO220" s="509"/>
      <c r="AP220" s="509"/>
      <c r="AQ220" s="509"/>
      <c r="AR220" s="509"/>
      <c r="AS220" s="509"/>
      <c r="AT220" s="509"/>
      <c r="AU220" s="509"/>
      <c r="AV220" s="509"/>
      <c r="AW220" s="509"/>
      <c r="AX220" s="509"/>
      <c r="AY220" s="509"/>
      <c r="AZ220" s="509"/>
      <c r="BA220" s="509"/>
      <c r="BB220" s="509"/>
      <c r="BC220" s="509"/>
      <c r="BD220" s="509"/>
      <c r="BE220" s="509"/>
      <c r="BF220" s="509"/>
      <c r="BG220" s="509"/>
      <c r="BH220" s="509"/>
      <c r="BI220" s="509"/>
      <c r="BJ220" s="509"/>
      <c r="BK220" s="509"/>
      <c r="BL220" s="509"/>
      <c r="BM220" s="509"/>
      <c r="BN220" s="509"/>
      <c r="BO220" s="509"/>
      <c r="BP220" s="509"/>
      <c r="BQ220" s="509"/>
      <c r="BR220" s="509"/>
      <c r="BS220" s="509"/>
      <c r="BT220" s="509"/>
      <c r="BU220" s="509"/>
      <c r="BV220" s="509"/>
      <c r="BW220" s="509"/>
      <c r="BX220" s="509"/>
    </row>
    <row r="221" outlineLevel="2" spans="2:76">
      <c r="B221" t="s">
        <v>491</v>
      </c>
      <c r="C221" t="s">
        <v>492</v>
      </c>
      <c r="F221" s="509"/>
      <c r="G221" s="509"/>
      <c r="H221" s="509"/>
      <c r="I221" s="509"/>
      <c r="J221" s="509"/>
      <c r="K221" s="509"/>
      <c r="L221" s="509"/>
      <c r="M221" s="509"/>
      <c r="N221" s="509"/>
      <c r="O221" s="509"/>
      <c r="P221" s="509"/>
      <c r="Q221" s="509"/>
      <c r="R221" s="509"/>
      <c r="S221" s="509"/>
      <c r="T221" s="509"/>
      <c r="U221" s="509"/>
      <c r="V221" s="509"/>
      <c r="W221" s="509"/>
      <c r="X221" s="509"/>
      <c r="Y221" s="509"/>
      <c r="Z221" s="509"/>
      <c r="AA221" s="509"/>
      <c r="AB221" s="509"/>
      <c r="AC221" s="509"/>
      <c r="AD221" s="509"/>
      <c r="AE221" s="509"/>
      <c r="AF221" s="509"/>
      <c r="AG221" s="509"/>
      <c r="AH221" s="509"/>
      <c r="AI221" s="509"/>
      <c r="AJ221" s="509"/>
      <c r="AK221" s="509"/>
      <c r="AL221" s="509"/>
      <c r="AM221" s="509"/>
      <c r="AN221" s="509"/>
      <c r="AO221" s="509"/>
      <c r="AP221" s="509"/>
      <c r="AQ221" s="509"/>
      <c r="AR221" s="509"/>
      <c r="AS221" s="509"/>
      <c r="AT221" s="509"/>
      <c r="AU221" s="509"/>
      <c r="AV221" s="509"/>
      <c r="AW221" s="509"/>
      <c r="AX221" s="509"/>
      <c r="AY221" s="509"/>
      <c r="AZ221" s="509"/>
      <c r="BA221" s="509"/>
      <c r="BB221" s="509"/>
      <c r="BC221" s="509"/>
      <c r="BD221" s="509"/>
      <c r="BE221" s="509"/>
      <c r="BF221" s="509"/>
      <c r="BG221" s="509"/>
      <c r="BH221" s="509"/>
      <c r="BI221" s="509"/>
      <c r="BJ221" s="509"/>
      <c r="BK221" s="509"/>
      <c r="BL221" s="509"/>
      <c r="BM221" s="509"/>
      <c r="BN221" s="509"/>
      <c r="BO221" s="509"/>
      <c r="BP221" s="509"/>
      <c r="BQ221" s="509"/>
      <c r="BR221" s="509"/>
      <c r="BS221" s="509"/>
      <c r="BT221" s="509"/>
      <c r="BU221" s="509"/>
      <c r="BV221" s="509"/>
      <c r="BW221" s="509"/>
      <c r="BX221" s="509"/>
    </row>
    <row r="222" outlineLevel="2" spans="2:76">
      <c r="B222" t="s">
        <v>493</v>
      </c>
      <c r="C222" t="s">
        <v>494</v>
      </c>
      <c r="F222" s="509"/>
      <c r="G222" s="509"/>
      <c r="H222" s="509"/>
      <c r="I222" s="509"/>
      <c r="J222" s="509"/>
      <c r="K222" s="509"/>
      <c r="L222" s="509"/>
      <c r="M222" s="509"/>
      <c r="N222" s="509"/>
      <c r="O222" s="509"/>
      <c r="P222" s="509"/>
      <c r="Q222" s="509"/>
      <c r="R222" s="509"/>
      <c r="S222" s="509"/>
      <c r="T222" s="509"/>
      <c r="U222" s="509"/>
      <c r="V222" s="509"/>
      <c r="W222" s="509"/>
      <c r="X222" s="509"/>
      <c r="Y222" s="509"/>
      <c r="Z222" s="509"/>
      <c r="AA222" s="509"/>
      <c r="AB222" s="509"/>
      <c r="AC222" s="509"/>
      <c r="AD222" s="509"/>
      <c r="AE222" s="509"/>
      <c r="AF222" s="509"/>
      <c r="AG222" s="509"/>
      <c r="AH222" s="509"/>
      <c r="AI222" s="509"/>
      <c r="AJ222" s="509"/>
      <c r="AK222" s="509"/>
      <c r="AL222" s="509"/>
      <c r="AM222" s="509"/>
      <c r="AN222" s="509"/>
      <c r="AO222" s="509"/>
      <c r="AP222" s="509"/>
      <c r="AQ222" s="509"/>
      <c r="AR222" s="509"/>
      <c r="AS222" s="509"/>
      <c r="AT222" s="509"/>
      <c r="AU222" s="509"/>
      <c r="AV222" s="509"/>
      <c r="AW222" s="509"/>
      <c r="AX222" s="509"/>
      <c r="AY222" s="509"/>
      <c r="AZ222" s="509"/>
      <c r="BA222" s="509"/>
      <c r="BB222" s="509"/>
      <c r="BC222" s="509"/>
      <c r="BD222" s="509"/>
      <c r="BE222" s="509"/>
      <c r="BF222" s="509"/>
      <c r="BG222" s="509"/>
      <c r="BH222" s="509"/>
      <c r="BI222" s="509"/>
      <c r="BJ222" s="509"/>
      <c r="BK222" s="509"/>
      <c r="BL222" s="509"/>
      <c r="BM222" s="509"/>
      <c r="BN222" s="509"/>
      <c r="BO222" s="509"/>
      <c r="BP222" s="509"/>
      <c r="BQ222" s="509"/>
      <c r="BR222" s="509"/>
      <c r="BS222" s="509"/>
      <c r="BT222" s="509"/>
      <c r="BU222" s="509"/>
      <c r="BV222" s="509"/>
      <c r="BW222" s="509"/>
      <c r="BX222" s="509"/>
    </row>
    <row r="223" outlineLevel="2" spans="2:76">
      <c r="B223" t="s">
        <v>495</v>
      </c>
      <c r="C223" t="s">
        <v>496</v>
      </c>
      <c r="F223" s="509"/>
      <c r="G223" s="509"/>
      <c r="H223" s="509"/>
      <c r="I223" s="509"/>
      <c r="J223" s="509"/>
      <c r="K223" s="509"/>
      <c r="L223" s="509"/>
      <c r="M223" s="509"/>
      <c r="N223" s="509"/>
      <c r="O223" s="509"/>
      <c r="P223" s="509"/>
      <c r="Q223" s="509"/>
      <c r="R223" s="509"/>
      <c r="S223" s="509"/>
      <c r="T223" s="509"/>
      <c r="U223" s="509"/>
      <c r="V223" s="509"/>
      <c r="W223" s="509"/>
      <c r="X223" s="509"/>
      <c r="Y223" s="509"/>
      <c r="Z223" s="509"/>
      <c r="AA223" s="509"/>
      <c r="AB223" s="509"/>
      <c r="AC223" s="509"/>
      <c r="AD223" s="509"/>
      <c r="AE223" s="509"/>
      <c r="AF223" s="509"/>
      <c r="AG223" s="509"/>
      <c r="AH223" s="509"/>
      <c r="AI223" s="509"/>
      <c r="AJ223" s="509"/>
      <c r="AK223" s="509"/>
      <c r="AL223" s="509"/>
      <c r="AM223" s="509"/>
      <c r="AN223" s="509"/>
      <c r="AO223" s="509"/>
      <c r="AP223" s="509"/>
      <c r="AQ223" s="509"/>
      <c r="AR223" s="509"/>
      <c r="AS223" s="509"/>
      <c r="AT223" s="509"/>
      <c r="AU223" s="509"/>
      <c r="AV223" s="509"/>
      <c r="AW223" s="509"/>
      <c r="AX223" s="509"/>
      <c r="AY223" s="509"/>
      <c r="AZ223" s="509"/>
      <c r="BA223" s="509"/>
      <c r="BB223" s="509"/>
      <c r="BC223" s="509"/>
      <c r="BD223" s="509"/>
      <c r="BE223" s="509"/>
      <c r="BF223" s="509"/>
      <c r="BG223" s="509"/>
      <c r="BH223" s="509"/>
      <c r="BI223" s="509"/>
      <c r="BJ223" s="509"/>
      <c r="BK223" s="509"/>
      <c r="BL223" s="509"/>
      <c r="BM223" s="509"/>
      <c r="BN223" s="509"/>
      <c r="BO223" s="509"/>
      <c r="BP223" s="509"/>
      <c r="BQ223" s="509"/>
      <c r="BR223" s="509"/>
      <c r="BS223" s="509"/>
      <c r="BT223" s="509"/>
      <c r="BU223" s="509"/>
      <c r="BV223" s="509"/>
      <c r="BW223" s="509"/>
      <c r="BX223" s="509"/>
    </row>
    <row r="224" s="494" customFormat="1" spans="1:4">
      <c r="A224" s="500" t="s">
        <v>497</v>
      </c>
      <c r="B224" s="500"/>
      <c r="C224" s="500"/>
      <c r="D224" s="500"/>
    </row>
    <row r="225" s="495" customFormat="1" outlineLevel="1" spans="1:4">
      <c r="A225" s="501" t="s">
        <v>74</v>
      </c>
      <c r="B225" s="501"/>
      <c r="C225" s="501"/>
      <c r="D225" s="501"/>
    </row>
    <row r="226" outlineLevel="2" spans="2:5">
      <c r="B226" t="s">
        <v>498</v>
      </c>
      <c r="C226" t="s">
        <v>498</v>
      </c>
      <c r="E226" s="502" t="s">
        <v>499</v>
      </c>
    </row>
    <row r="227" outlineLevel="2" spans="2:5">
      <c r="B227" t="s">
        <v>500</v>
      </c>
      <c r="C227" t="s">
        <v>500</v>
      </c>
      <c r="E227" s="502" t="s">
        <v>76</v>
      </c>
    </row>
    <row r="228" outlineLevel="2" spans="2:5">
      <c r="B228" t="s">
        <v>501</v>
      </c>
      <c r="C228" t="s">
        <v>501</v>
      </c>
      <c r="E228" s="502" t="s">
        <v>502</v>
      </c>
    </row>
    <row r="229" outlineLevel="2" spans="2:5">
      <c r="B229" t="s">
        <v>503</v>
      </c>
      <c r="C229" t="s">
        <v>504</v>
      </c>
      <c r="E229" s="502" t="s">
        <v>10</v>
      </c>
    </row>
    <row r="230" outlineLevel="2" spans="2:5">
      <c r="B230" t="s">
        <v>505</v>
      </c>
      <c r="C230" t="s">
        <v>506</v>
      </c>
      <c r="E230" s="502" t="s">
        <v>10</v>
      </c>
    </row>
    <row r="231" outlineLevel="2" spans="2:5">
      <c r="B231" t="s">
        <v>77</v>
      </c>
      <c r="C231" t="s">
        <v>78</v>
      </c>
      <c r="E231" s="502" t="s">
        <v>10</v>
      </c>
    </row>
    <row r="232" s="495" customFormat="1" outlineLevel="1" spans="1:4">
      <c r="A232" s="501" t="s">
        <v>79</v>
      </c>
      <c r="B232" s="501"/>
      <c r="C232" s="501"/>
      <c r="D232" s="501"/>
    </row>
    <row r="233" outlineLevel="2" spans="2:5">
      <c r="B233" t="s">
        <v>507</v>
      </c>
      <c r="C233" t="s">
        <v>508</v>
      </c>
      <c r="E233" s="507" t="s">
        <v>3</v>
      </c>
    </row>
    <row r="234" outlineLevel="2" spans="2:5">
      <c r="B234" t="s">
        <v>509</v>
      </c>
      <c r="C234" t="s">
        <v>510</v>
      </c>
      <c r="E234" s="507"/>
    </row>
    <row r="235" outlineLevel="2" spans="2:5">
      <c r="B235" t="s">
        <v>511</v>
      </c>
      <c r="C235" t="s">
        <v>512</v>
      </c>
      <c r="E235" s="507"/>
    </row>
    <row r="236" outlineLevel="2" spans="2:5">
      <c r="B236" t="s">
        <v>513</v>
      </c>
      <c r="C236" t="s">
        <v>514</v>
      </c>
      <c r="D236" t="str">
        <f>E_CURRENCY_EQTY_200022336_PRI</f>
        <v>CNY</v>
      </c>
      <c r="E236" s="510">
        <f>ROUND([5]Valuation!B4,0)</f>
        <v>633</v>
      </c>
    </row>
    <row r="237" outlineLevel="2" spans="2:5">
      <c r="B237" t="s">
        <v>515</v>
      </c>
      <c r="C237" t="s">
        <v>516</v>
      </c>
      <c r="E237" s="507" t="s">
        <v>517</v>
      </c>
    </row>
    <row r="238" outlineLevel="2" spans="2:5">
      <c r="B238" t="s">
        <v>518</v>
      </c>
      <c r="C238" t="s">
        <v>519</v>
      </c>
      <c r="D238" t="str">
        <f>E_CURRENCY_EQTY_200022336_PRI</f>
        <v>CNY</v>
      </c>
      <c r="E238" s="510"/>
    </row>
    <row r="239" outlineLevel="2" spans="2:5">
      <c r="B239" t="s">
        <v>520</v>
      </c>
      <c r="C239" t="s">
        <v>521</v>
      </c>
      <c r="D239" t="str">
        <f>E_CURRENCY_EQTY_200022336_PRI</f>
        <v>CNY</v>
      </c>
      <c r="E239" s="510"/>
    </row>
    <row r="240" outlineLevel="2" spans="2:5">
      <c r="B240" t="s">
        <v>522</v>
      </c>
      <c r="C240" t="s">
        <v>523</v>
      </c>
      <c r="E240" s="511">
        <f>[5]Model!BR55</f>
        <v>1391.5612928</v>
      </c>
    </row>
    <row r="241" outlineLevel="2" spans="2:5">
      <c r="B241" t="s">
        <v>524</v>
      </c>
      <c r="C241" t="s">
        <v>525</v>
      </c>
      <c r="E241" s="512"/>
    </row>
    <row r="242" outlineLevel="2" spans="2:5">
      <c r="B242" t="s">
        <v>526</v>
      </c>
      <c r="C242" t="s">
        <v>527</v>
      </c>
      <c r="E242" s="512"/>
    </row>
    <row r="243" outlineLevel="2" spans="2:5">
      <c r="B243" t="s">
        <v>528</v>
      </c>
      <c r="C243" t="s">
        <v>529</v>
      </c>
      <c r="E243" s="513"/>
    </row>
    <row r="244" outlineLevel="2" spans="2:5">
      <c r="B244" t="s">
        <v>530</v>
      </c>
      <c r="C244" t="s">
        <v>531</v>
      </c>
      <c r="E244" s="514"/>
    </row>
    <row r="245" outlineLevel="2" spans="2:5">
      <c r="B245" t="s">
        <v>532</v>
      </c>
      <c r="C245" t="s">
        <v>533</v>
      </c>
      <c r="E245" s="513"/>
    </row>
    <row r="246" outlineLevel="2" spans="2:5">
      <c r="B246" t="s">
        <v>534</v>
      </c>
      <c r="C246" t="s">
        <v>535</v>
      </c>
      <c r="E246" s="514"/>
    </row>
    <row r="247" outlineLevel="2" spans="2:5">
      <c r="B247" t="s">
        <v>536</v>
      </c>
      <c r="C247" t="s">
        <v>537</v>
      </c>
      <c r="E247" s="513"/>
    </row>
    <row r="248" outlineLevel="2" spans="2:5">
      <c r="B248" t="s">
        <v>538</v>
      </c>
      <c r="C248" t="s">
        <v>539</v>
      </c>
      <c r="E248" s="514"/>
    </row>
    <row r="249" outlineLevel="2" spans="2:5">
      <c r="B249" t="s">
        <v>540</v>
      </c>
      <c r="C249" t="s">
        <v>541</v>
      </c>
      <c r="E249" s="513"/>
    </row>
    <row r="250" outlineLevel="2" spans="2:5">
      <c r="B250" t="s">
        <v>542</v>
      </c>
      <c r="C250" t="s">
        <v>543</v>
      </c>
      <c r="E250" s="514"/>
    </row>
    <row r="251" outlineLevel="2" spans="2:5">
      <c r="B251" t="s">
        <v>544</v>
      </c>
      <c r="C251" t="s">
        <v>545</v>
      </c>
      <c r="E251" s="513"/>
    </row>
    <row r="252" outlineLevel="2" spans="2:5">
      <c r="B252" t="s">
        <v>546</v>
      </c>
      <c r="C252" t="s">
        <v>547</v>
      </c>
      <c r="E252" s="514"/>
    </row>
    <row r="253" outlineLevel="2" spans="2:5">
      <c r="B253" t="s">
        <v>548</v>
      </c>
      <c r="C253" t="s">
        <v>549</v>
      </c>
      <c r="E253" s="507"/>
    </row>
    <row r="254" outlineLevel="2" spans="2:5">
      <c r="B254" t="s">
        <v>550</v>
      </c>
      <c r="C254" t="s">
        <v>551</v>
      </c>
      <c r="E254" s="514"/>
    </row>
    <row r="255" s="495" customFormat="1" outlineLevel="1" spans="1:4">
      <c r="A255" s="501" t="s">
        <v>552</v>
      </c>
      <c r="B255" s="501"/>
      <c r="C255" s="501"/>
      <c r="D255" s="501"/>
    </row>
    <row r="256" outlineLevel="2" spans="2:76">
      <c r="B256" t="s">
        <v>553</v>
      </c>
      <c r="C256" t="s">
        <v>554</v>
      </c>
      <c r="D256" t="str">
        <f t="shared" ref="D256:D270" si="16">E_CURRENCY_EQTY_200022336_PUB</f>
        <v>CNY</v>
      </c>
      <c r="F256" s="515">
        <f t="shared" ref="F256:W256" si="17">F292</f>
        <v>2.3237693697078</v>
      </c>
      <c r="G256" s="515">
        <f t="shared" si="17"/>
        <v>3.18574280674224</v>
      </c>
      <c r="H256" s="515">
        <f t="shared" si="17"/>
        <v>4.14798723256299</v>
      </c>
      <c r="I256" s="515">
        <f t="shared" si="17"/>
        <v>5.30081450705066</v>
      </c>
      <c r="J256" s="515">
        <f t="shared" si="17"/>
        <v>6.43839972667877</v>
      </c>
      <c r="K256" s="515">
        <f t="shared" si="17"/>
        <v>9.7932905836766</v>
      </c>
      <c r="L256" s="515">
        <f t="shared" si="17"/>
        <v>5.12358903708962</v>
      </c>
      <c r="M256" s="515">
        <f t="shared" si="17"/>
        <v>3.39979369018122</v>
      </c>
      <c r="N256" s="515">
        <f t="shared" si="17"/>
        <v>4.00003538242563</v>
      </c>
      <c r="O256" s="515">
        <f t="shared" si="17"/>
        <v>7.57628058135902</v>
      </c>
      <c r="P256" s="515">
        <f t="shared" si="17"/>
        <v>4.25355799894975</v>
      </c>
      <c r="Q256" s="515">
        <f t="shared" si="17"/>
        <v>4.85856513070318</v>
      </c>
      <c r="R256" s="515">
        <f t="shared" si="17"/>
        <v>4.17465871553972</v>
      </c>
      <c r="S256" s="515">
        <f t="shared" si="17"/>
        <v>5.98533168475635</v>
      </c>
      <c r="T256" s="515">
        <f t="shared" si="17"/>
        <v>12.9825740084638</v>
      </c>
      <c r="U256" s="515">
        <f t="shared" si="17"/>
        <v>26.3222418946595</v>
      </c>
      <c r="V256" s="515">
        <f t="shared" si="17"/>
        <v>45.7783321260168</v>
      </c>
      <c r="W256" s="515">
        <f t="shared" si="17"/>
        <v>68.142481729715</v>
      </c>
      <c r="X256" s="515"/>
      <c r="Y256" s="515">
        <f t="shared" ref="Y256:BD256" si="18">Y292</f>
        <v>0</v>
      </c>
      <c r="Z256" s="515">
        <f t="shared" si="18"/>
        <v>0</v>
      </c>
      <c r="AA256" s="515">
        <f t="shared" si="18"/>
        <v>0</v>
      </c>
      <c r="AB256" s="515">
        <f t="shared" si="18"/>
        <v>0</v>
      </c>
      <c r="AC256" s="515">
        <f t="shared" si="18"/>
        <v>0</v>
      </c>
      <c r="AD256" s="515">
        <f t="shared" si="18"/>
        <v>0</v>
      </c>
      <c r="AE256" s="515">
        <f t="shared" si="18"/>
        <v>0</v>
      </c>
      <c r="AF256" s="515">
        <f t="shared" si="18"/>
        <v>0</v>
      </c>
      <c r="AG256" s="515">
        <f t="shared" si="18"/>
        <v>0</v>
      </c>
      <c r="AH256" s="515">
        <f t="shared" si="18"/>
        <v>0</v>
      </c>
      <c r="AI256" s="515">
        <f t="shared" si="18"/>
        <v>0</v>
      </c>
      <c r="AJ256" s="515">
        <f t="shared" si="18"/>
        <v>0</v>
      </c>
      <c r="AK256" s="515">
        <f t="shared" si="18"/>
        <v>0</v>
      </c>
      <c r="AL256" s="515">
        <f t="shared" si="18"/>
        <v>0</v>
      </c>
      <c r="AM256" s="515">
        <f t="shared" si="18"/>
        <v>0</v>
      </c>
      <c r="AN256" s="515">
        <f t="shared" si="18"/>
        <v>0</v>
      </c>
      <c r="AO256" s="515">
        <f t="shared" si="18"/>
        <v>0</v>
      </c>
      <c r="AP256" s="515">
        <f t="shared" si="18"/>
        <v>0</v>
      </c>
      <c r="AQ256" s="515">
        <f t="shared" si="18"/>
        <v>0</v>
      </c>
      <c r="AR256" s="515">
        <f t="shared" si="18"/>
        <v>0</v>
      </c>
      <c r="AS256" s="515">
        <f t="shared" si="18"/>
        <v>0</v>
      </c>
      <c r="AT256" s="515">
        <f t="shared" si="18"/>
        <v>0</v>
      </c>
      <c r="AU256" s="515">
        <f t="shared" si="18"/>
        <v>0</v>
      </c>
      <c r="AV256" s="515">
        <f t="shared" si="18"/>
        <v>0</v>
      </c>
      <c r="AW256" s="515">
        <f t="shared" si="18"/>
        <v>0</v>
      </c>
      <c r="AX256" s="515">
        <f t="shared" si="18"/>
        <v>0</v>
      </c>
      <c r="AY256" s="515">
        <f t="shared" si="18"/>
        <v>0</v>
      </c>
      <c r="AZ256" s="515">
        <f t="shared" si="18"/>
        <v>0</v>
      </c>
      <c r="BA256" s="515">
        <f t="shared" si="18"/>
        <v>0</v>
      </c>
      <c r="BB256" s="515">
        <f t="shared" si="18"/>
        <v>0</v>
      </c>
      <c r="BC256" s="515">
        <f t="shared" si="18"/>
        <v>0</v>
      </c>
      <c r="BD256" s="515">
        <f t="shared" si="18"/>
        <v>0</v>
      </c>
      <c r="BE256" s="515">
        <f t="shared" ref="BE256:BX256" si="19">BE292</f>
        <v>0</v>
      </c>
      <c r="BF256" s="515">
        <f t="shared" si="19"/>
        <v>0</v>
      </c>
      <c r="BG256" s="515">
        <f t="shared" si="19"/>
        <v>0</v>
      </c>
      <c r="BH256" s="515">
        <f t="shared" si="19"/>
        <v>0</v>
      </c>
      <c r="BI256" s="515">
        <f t="shared" si="19"/>
        <v>0</v>
      </c>
      <c r="BJ256" s="515">
        <f t="shared" si="19"/>
        <v>0</v>
      </c>
      <c r="BK256" s="515">
        <f t="shared" si="19"/>
        <v>0</v>
      </c>
      <c r="BL256" s="515">
        <f t="shared" si="19"/>
        <v>0</v>
      </c>
      <c r="BM256" s="515">
        <f t="shared" si="19"/>
        <v>0</v>
      </c>
      <c r="BN256" s="515">
        <f t="shared" si="19"/>
        <v>0</v>
      </c>
      <c r="BO256" s="515">
        <f t="shared" si="19"/>
        <v>0</v>
      </c>
      <c r="BP256" s="515">
        <f t="shared" si="19"/>
        <v>0</v>
      </c>
      <c r="BQ256" s="515">
        <f t="shared" si="19"/>
        <v>0</v>
      </c>
      <c r="BR256" s="515">
        <f t="shared" si="19"/>
        <v>0</v>
      </c>
      <c r="BS256" s="515">
        <f t="shared" si="19"/>
        <v>0</v>
      </c>
      <c r="BT256" s="515">
        <f t="shared" si="19"/>
        <v>0</v>
      </c>
      <c r="BU256" s="515">
        <f t="shared" si="19"/>
        <v>0</v>
      </c>
      <c r="BV256" s="515">
        <f t="shared" si="19"/>
        <v>0</v>
      </c>
      <c r="BW256" s="515">
        <f t="shared" si="19"/>
        <v>0</v>
      </c>
      <c r="BX256" s="515">
        <f t="shared" si="19"/>
        <v>0</v>
      </c>
    </row>
    <row r="257" outlineLevel="2" spans="2:76">
      <c r="B257" t="s">
        <v>555</v>
      </c>
      <c r="C257" t="s">
        <v>556</v>
      </c>
      <c r="D257" t="str">
        <f t="shared" si="16"/>
        <v>CNY</v>
      </c>
      <c r="F257" s="515">
        <f t="shared" ref="F257:W257" si="20">F284</f>
        <v>0</v>
      </c>
      <c r="G257" s="515">
        <f t="shared" si="20"/>
        <v>0</v>
      </c>
      <c r="H257" s="515">
        <f t="shared" si="20"/>
        <v>0</v>
      </c>
      <c r="I257" s="515">
        <f t="shared" si="20"/>
        <v>0</v>
      </c>
      <c r="J257" s="515">
        <f t="shared" si="20"/>
        <v>0</v>
      </c>
      <c r="K257" s="515">
        <f t="shared" si="20"/>
        <v>0.126</v>
      </c>
      <c r="L257" s="515">
        <f t="shared" si="20"/>
        <v>0.113</v>
      </c>
      <c r="M257" s="515">
        <f t="shared" si="20"/>
        <v>0.2717</v>
      </c>
      <c r="N257" s="515">
        <f t="shared" si="20"/>
        <v>0.18</v>
      </c>
      <c r="O257" s="515">
        <f t="shared" si="20"/>
        <v>0.12</v>
      </c>
      <c r="P257" s="515">
        <f t="shared" si="20"/>
        <v>0.12</v>
      </c>
      <c r="Q257" s="515">
        <f t="shared" si="20"/>
        <v>0.35</v>
      </c>
      <c r="R257" s="515">
        <f t="shared" si="20"/>
        <v>0.155</v>
      </c>
      <c r="S257" s="515">
        <f t="shared" si="20"/>
        <v>0.229235061402478</v>
      </c>
      <c r="T257" s="515">
        <f t="shared" si="20"/>
        <v>0.685048388789355</v>
      </c>
      <c r="U257" s="515">
        <f t="shared" si="20"/>
        <v>1.48645081669046</v>
      </c>
      <c r="V257" s="515">
        <f t="shared" si="20"/>
        <v>2.16178780348414</v>
      </c>
      <c r="W257" s="515">
        <f t="shared" si="20"/>
        <v>2.48490551152203</v>
      </c>
      <c r="X257" s="515"/>
      <c r="Y257" s="515">
        <f t="shared" ref="Y257:BD257" si="21">Y284</f>
        <v>0</v>
      </c>
      <c r="Z257" s="515">
        <f t="shared" si="21"/>
        <v>0</v>
      </c>
      <c r="AA257" s="515">
        <f t="shared" si="21"/>
        <v>0</v>
      </c>
      <c r="AB257" s="515">
        <f t="shared" si="21"/>
        <v>0</v>
      </c>
      <c r="AC257" s="515">
        <f t="shared" si="21"/>
        <v>0</v>
      </c>
      <c r="AD257" s="515">
        <f t="shared" si="21"/>
        <v>0</v>
      </c>
      <c r="AE257" s="515">
        <f t="shared" si="21"/>
        <v>0</v>
      </c>
      <c r="AF257" s="515">
        <f t="shared" si="21"/>
        <v>0</v>
      </c>
      <c r="AG257" s="515">
        <f t="shared" si="21"/>
        <v>0</v>
      </c>
      <c r="AH257" s="515">
        <f t="shared" si="21"/>
        <v>0</v>
      </c>
      <c r="AI257" s="515">
        <f t="shared" si="21"/>
        <v>0</v>
      </c>
      <c r="AJ257" s="515">
        <f t="shared" si="21"/>
        <v>0</v>
      </c>
      <c r="AK257" s="515">
        <f t="shared" si="21"/>
        <v>0</v>
      </c>
      <c r="AL257" s="515">
        <f t="shared" si="21"/>
        <v>0</v>
      </c>
      <c r="AM257" s="515">
        <f t="shared" si="21"/>
        <v>0</v>
      </c>
      <c r="AN257" s="515">
        <f t="shared" si="21"/>
        <v>0</v>
      </c>
      <c r="AO257" s="515">
        <f t="shared" si="21"/>
        <v>0</v>
      </c>
      <c r="AP257" s="515">
        <f t="shared" si="21"/>
        <v>0</v>
      </c>
      <c r="AQ257" s="515">
        <f t="shared" si="21"/>
        <v>0</v>
      </c>
      <c r="AR257" s="515">
        <f t="shared" si="21"/>
        <v>0</v>
      </c>
      <c r="AS257" s="515">
        <f t="shared" si="21"/>
        <v>0</v>
      </c>
      <c r="AT257" s="515">
        <f t="shared" si="21"/>
        <v>0</v>
      </c>
      <c r="AU257" s="515">
        <f t="shared" si="21"/>
        <v>0</v>
      </c>
      <c r="AV257" s="515">
        <f t="shared" si="21"/>
        <v>0</v>
      </c>
      <c r="AW257" s="515">
        <f t="shared" si="21"/>
        <v>0</v>
      </c>
      <c r="AX257" s="515">
        <f t="shared" si="21"/>
        <v>0</v>
      </c>
      <c r="AY257" s="515">
        <f t="shared" si="21"/>
        <v>0</v>
      </c>
      <c r="AZ257" s="515">
        <f t="shared" si="21"/>
        <v>0</v>
      </c>
      <c r="BA257" s="515">
        <f t="shared" si="21"/>
        <v>0</v>
      </c>
      <c r="BB257" s="515">
        <f t="shared" si="21"/>
        <v>0</v>
      </c>
      <c r="BC257" s="515">
        <f t="shared" si="21"/>
        <v>0</v>
      </c>
      <c r="BD257" s="515">
        <f t="shared" si="21"/>
        <v>0</v>
      </c>
      <c r="BE257" s="515">
        <f t="shared" ref="BE257:BX257" si="22">BE284</f>
        <v>0</v>
      </c>
      <c r="BF257" s="515">
        <f t="shared" si="22"/>
        <v>0</v>
      </c>
      <c r="BG257" s="515">
        <f t="shared" si="22"/>
        <v>0</v>
      </c>
      <c r="BH257" s="515">
        <f t="shared" si="22"/>
        <v>0</v>
      </c>
      <c r="BI257" s="515">
        <f t="shared" si="22"/>
        <v>0</v>
      </c>
      <c r="BJ257" s="515">
        <f t="shared" si="22"/>
        <v>0</v>
      </c>
      <c r="BK257" s="515">
        <f t="shared" si="22"/>
        <v>0</v>
      </c>
      <c r="BL257" s="515">
        <f t="shared" si="22"/>
        <v>0</v>
      </c>
      <c r="BM257" s="515">
        <f t="shared" si="22"/>
        <v>0</v>
      </c>
      <c r="BN257" s="515">
        <f t="shared" si="22"/>
        <v>0</v>
      </c>
      <c r="BO257" s="515">
        <f t="shared" si="22"/>
        <v>0</v>
      </c>
      <c r="BP257" s="515">
        <f t="shared" si="22"/>
        <v>0</v>
      </c>
      <c r="BQ257" s="515">
        <f t="shared" si="22"/>
        <v>0</v>
      </c>
      <c r="BR257" s="515">
        <f t="shared" si="22"/>
        <v>0</v>
      </c>
      <c r="BS257" s="515">
        <f t="shared" si="22"/>
        <v>0</v>
      </c>
      <c r="BT257" s="515">
        <f t="shared" si="22"/>
        <v>0</v>
      </c>
      <c r="BU257" s="515">
        <f t="shared" si="22"/>
        <v>0</v>
      </c>
      <c r="BV257" s="515">
        <f t="shared" si="22"/>
        <v>0</v>
      </c>
      <c r="BW257" s="515">
        <f t="shared" si="22"/>
        <v>0</v>
      </c>
      <c r="BX257" s="515">
        <f t="shared" si="22"/>
        <v>0</v>
      </c>
    </row>
    <row r="258" outlineLevel="2" spans="2:76">
      <c r="B258" t="s">
        <v>557</v>
      </c>
      <c r="C258" t="s">
        <v>558</v>
      </c>
      <c r="D258" t="str">
        <f t="shared" si="16"/>
        <v>CNY</v>
      </c>
      <c r="F258" s="515"/>
      <c r="G258" s="515"/>
      <c r="H258" s="515"/>
      <c r="I258" s="515"/>
      <c r="J258" s="515"/>
      <c r="K258" s="515"/>
      <c r="L258" s="515"/>
      <c r="M258" s="515"/>
      <c r="N258" s="515"/>
      <c r="O258" s="515"/>
      <c r="P258" s="515"/>
      <c r="Q258" s="515"/>
      <c r="R258" s="515"/>
      <c r="S258" s="515"/>
      <c r="T258" s="515"/>
      <c r="U258" s="515"/>
      <c r="V258" s="515"/>
      <c r="W258" s="515"/>
      <c r="X258" s="515"/>
      <c r="Y258" s="515"/>
      <c r="Z258" s="515"/>
      <c r="AA258" s="515"/>
      <c r="AB258" s="515"/>
      <c r="AC258" s="515"/>
      <c r="AD258" s="515"/>
      <c r="AE258" s="515"/>
      <c r="AF258" s="515"/>
      <c r="AG258" s="515"/>
      <c r="AH258" s="515"/>
      <c r="AI258" s="515"/>
      <c r="AJ258" s="515"/>
      <c r="AK258" s="515"/>
      <c r="AL258" s="515"/>
      <c r="AM258" s="515"/>
      <c r="AN258" s="515"/>
      <c r="AO258" s="515"/>
      <c r="AP258" s="515"/>
      <c r="AQ258" s="515"/>
      <c r="AR258" s="515"/>
      <c r="AS258" s="515"/>
      <c r="AT258" s="515"/>
      <c r="AU258" s="515"/>
      <c r="AV258" s="515"/>
      <c r="AW258" s="515"/>
      <c r="AX258" s="515"/>
      <c r="AY258" s="515"/>
      <c r="AZ258" s="515"/>
      <c r="BA258" s="515"/>
      <c r="BB258" s="515"/>
      <c r="BC258" s="515"/>
      <c r="BD258" s="515"/>
      <c r="BE258" s="515"/>
      <c r="BF258" s="515"/>
      <c r="BG258" s="515"/>
      <c r="BH258" s="515"/>
      <c r="BI258" s="515"/>
      <c r="BJ258" s="515"/>
      <c r="BK258" s="515"/>
      <c r="BL258" s="515"/>
      <c r="BM258" s="515"/>
      <c r="BN258" s="515"/>
      <c r="BO258" s="515"/>
      <c r="BP258" s="515"/>
      <c r="BQ258" s="515"/>
      <c r="BR258" s="515"/>
      <c r="BS258" s="515"/>
      <c r="BT258" s="515"/>
      <c r="BU258" s="515"/>
      <c r="BV258" s="515"/>
      <c r="BW258" s="515"/>
      <c r="BX258" s="515"/>
    </row>
    <row r="259" outlineLevel="2" spans="2:76">
      <c r="B259" t="s">
        <v>559</v>
      </c>
      <c r="C259" t="s">
        <v>560</v>
      </c>
      <c r="D259" t="str">
        <f t="shared" si="16"/>
        <v>CNY</v>
      </c>
      <c r="F259" s="505">
        <f>[5]Model!E46</f>
        <v>69.83037025</v>
      </c>
      <c r="G259" s="505">
        <f>[5]Model!F46</f>
        <v>82.00321992</v>
      </c>
      <c r="H259" s="505">
        <f>[5]Model!G46</f>
        <v>100.2388455</v>
      </c>
      <c r="I259" s="505">
        <f>[5]Model!H46</f>
        <v>123.24598041</v>
      </c>
      <c r="J259" s="505">
        <f>[5]Model!I46</f>
        <v>129.2444137</v>
      </c>
      <c r="K259" s="505">
        <f>[5]Model!J46</f>
        <v>147.98633652</v>
      </c>
      <c r="L259" s="505">
        <f>[5]Model!K46</f>
        <v>175.89683731</v>
      </c>
      <c r="M259" s="505">
        <f>[5]Model!L46</f>
        <v>96.9941424599999</v>
      </c>
      <c r="N259" s="505">
        <f>[5]Model!M46</f>
        <v>292.3423456</v>
      </c>
      <c r="O259" s="505">
        <f>[5]Model!N46</f>
        <v>628.81527713</v>
      </c>
      <c r="P259" s="505">
        <f>[5]Model!O46</f>
        <v>821.98480021</v>
      </c>
      <c r="Q259" s="505">
        <f>[5]Model!P46</f>
        <v>979.05147259</v>
      </c>
      <c r="R259" s="505">
        <f>[5]Model!Q46</f>
        <v>821.75486804</v>
      </c>
      <c r="S259" s="505">
        <f>[5]Model!R46</f>
        <v>3335.5607775004</v>
      </c>
      <c r="T259" s="505">
        <f>[5]Model!S46</f>
        <v>11096.1570622425</v>
      </c>
      <c r="U259" s="505">
        <f>[5]Model!T46</f>
        <v>24140.9223495242</v>
      </c>
      <c r="V259" s="505">
        <f>[5]Model!U46</f>
        <v>35192.2987696829</v>
      </c>
      <c r="W259" s="505">
        <f>[5]Model!V46</f>
        <v>40516.6853164126</v>
      </c>
      <c r="X259" s="505"/>
      <c r="Y259" s="505">
        <f>[5]Model!AB46</f>
        <v>32.79683005</v>
      </c>
      <c r="Z259" s="505">
        <f>[5]Model!AC46</f>
        <v>34.33712738</v>
      </c>
      <c r="AA259" s="505">
        <f>[5]Model!AD46</f>
        <v>29.2935944</v>
      </c>
      <c r="AB259" s="505">
        <f>[5]Model!AE46</f>
        <v>31.76421939</v>
      </c>
      <c r="AC259" s="505">
        <f>[5]Model!AF46</f>
        <v>28.0605918</v>
      </c>
      <c r="AD259" s="505">
        <f>[5]Model!AG46</f>
        <v>37.72246636</v>
      </c>
      <c r="AE259" s="505">
        <f>[5]Model!AH46</f>
        <v>44.698701</v>
      </c>
      <c r="AF259" s="505">
        <f>[5]Model!AI46</f>
        <v>37.48180935</v>
      </c>
      <c r="AG259" s="505">
        <f>[5]Model!AJ46</f>
        <v>43.09733867</v>
      </c>
      <c r="AH259" s="505">
        <f>[5]Model!AK46</f>
        <v>52.00820961</v>
      </c>
      <c r="AI259" s="505">
        <f>[5]Model!AL46</f>
        <v>55.80256047</v>
      </c>
      <c r="AJ259" s="505">
        <f>[5]Model!AM46</f>
        <v>24.83279224</v>
      </c>
      <c r="AK259" s="505">
        <f>[5]Model!AN46</f>
        <v>17.46525691</v>
      </c>
      <c r="AL259" s="505">
        <f>[5]Model!AO46</f>
        <v>5.14533545999997</v>
      </c>
      <c r="AM259" s="505">
        <f>[5]Model!AP46</f>
        <v>28.26434821</v>
      </c>
      <c r="AN259" s="505">
        <f>[5]Model!AQ46</f>
        <v>46.02049955</v>
      </c>
      <c r="AO259" s="505">
        <f>[5]Model!AR46</f>
        <v>51.10041996</v>
      </c>
      <c r="AP259" s="505">
        <f>[5]Model!AS46</f>
        <v>55.67429594</v>
      </c>
      <c r="AQ259" s="505">
        <f>[5]Model!AT46</f>
        <v>71.639932165</v>
      </c>
      <c r="AR259" s="505">
        <f>[5]Model!AU46</f>
        <v>111.101122985</v>
      </c>
      <c r="AS259" s="505">
        <f>[5]Model!AV46</f>
        <v>78.63319282</v>
      </c>
      <c r="AT259" s="505">
        <f>[5]Model!AW46</f>
        <v>184.98802252</v>
      </c>
      <c r="AU259" s="505">
        <f>[5]Model!AX46</f>
        <v>201.567773835</v>
      </c>
      <c r="AV259" s="505">
        <f>[5]Model!AY46</f>
        <v>163.145063155</v>
      </c>
      <c r="AW259" s="505">
        <f>[5]Model!AZ46</f>
        <v>174.63881311</v>
      </c>
      <c r="AX259" s="505">
        <f>[5]Model!BA46</f>
        <v>262.83479366</v>
      </c>
      <c r="AY259" s="505">
        <f>[5]Model!BB46</f>
        <v>151.27372738</v>
      </c>
      <c r="AZ259" s="505">
        <f>[5]Model!BC46</f>
        <v>232.96773593</v>
      </c>
      <c r="BA259" s="505">
        <f>[5]Model!BD46</f>
        <v>216.77480333</v>
      </c>
      <c r="BB259" s="505">
        <f>[5]Model!BE46</f>
        <v>199.41172398</v>
      </c>
      <c r="BC259" s="505">
        <f>[5]Model!BF46</f>
        <v>296.649568445</v>
      </c>
      <c r="BD259" s="505">
        <f>[5]Model!BG46</f>
        <v>269.127691645</v>
      </c>
      <c r="BE259" s="505">
        <f>[5]Model!BH46</f>
        <v>174.10501449</v>
      </c>
      <c r="BF259" s="505">
        <f>[5]Model!BI46</f>
        <v>146.12314882</v>
      </c>
      <c r="BG259" s="505">
        <f>[5]Model!BJ46</f>
        <v>156.85919558</v>
      </c>
      <c r="BH259" s="505">
        <f>[5]Model!BK46</f>
        <v>344.66750915</v>
      </c>
      <c r="BI259" s="505">
        <f>[5]Model!BL46</f>
        <v>415.5402335026</v>
      </c>
      <c r="BJ259" s="505">
        <f>[5]Model!BM46</f>
        <v>620.2083256326</v>
      </c>
      <c r="BK259" s="505">
        <f>[5]Model!BN46</f>
        <v>918.4895044226</v>
      </c>
      <c r="BL259" s="505">
        <f>[5]Model!BO46</f>
        <v>1381.3227139426</v>
      </c>
      <c r="BM259" s="505">
        <f>[5]Model!BP46</f>
        <v>1849.87105355814</v>
      </c>
      <c r="BN259" s="505">
        <f>[5]Model!BQ46</f>
        <v>2737.70196217814</v>
      </c>
      <c r="BO259" s="505">
        <f>[5]Model!BR46</f>
        <v>2672.06625751813</v>
      </c>
      <c r="BP259" s="505">
        <f>[5]Model!BS46</f>
        <v>3836.51778898814</v>
      </c>
      <c r="BQ259" s="505">
        <f>[5]Model!BT46</f>
        <v>3988.58095553493</v>
      </c>
      <c r="BR259" s="505">
        <f>[5]Model!BU46</f>
        <v>5258.43701954293</v>
      </c>
      <c r="BS259" s="505">
        <f>[5]Model!BV46</f>
        <v>7154.25312488238</v>
      </c>
      <c r="BT259" s="505">
        <f>[5]Model!BW46</f>
        <v>7739.65124956396</v>
      </c>
      <c r="BU259" s="505">
        <f>[5]Model!BX46</f>
        <v>6851.38088457136</v>
      </c>
      <c r="BV259" s="505">
        <f>[5]Model!BY46</f>
        <v>7970.28792268722</v>
      </c>
      <c r="BW259" s="505">
        <f>[5]Model!BZ46</f>
        <v>10631.0209842904</v>
      </c>
      <c r="BX259" s="505">
        <f>[5]Model!CA46</f>
        <v>9739.6089781339</v>
      </c>
    </row>
    <row r="260" outlineLevel="2" spans="2:76">
      <c r="B260" t="s">
        <v>561</v>
      </c>
      <c r="C260" t="s">
        <v>562</v>
      </c>
      <c r="D260" t="str">
        <f t="shared" si="16"/>
        <v>CNY</v>
      </c>
      <c r="F260" s="515">
        <f>[5]Model!E48</f>
        <v>0.678571428571428</v>
      </c>
      <c r="G260" s="515">
        <f>[5]Model!F48</f>
        <v>0.807142857142857</v>
      </c>
      <c r="H260" s="515">
        <f>[5]Model!G48</f>
        <v>0.971428571428572</v>
      </c>
      <c r="I260" s="515">
        <f>[5]Model!H48</f>
        <v>1.13571428571429</v>
      </c>
      <c r="J260" s="515">
        <f>[5]Model!I48</f>
        <v>1.15673897900613</v>
      </c>
      <c r="K260" s="515">
        <f>[5]Model!J48</f>
        <v>1.03571428571429</v>
      </c>
      <c r="L260" s="515">
        <f>[5]Model!K48</f>
        <v>0.523285714285714</v>
      </c>
      <c r="M260" s="515">
        <f>[5]Model!L48</f>
        <v>0.0952857142857143</v>
      </c>
      <c r="N260" s="515">
        <f>[5]Model!M48</f>
        <v>0.641142857142857</v>
      </c>
      <c r="O260" s="515">
        <f>[5]Model!N48</f>
        <v>1.08178571428571</v>
      </c>
      <c r="P260" s="515">
        <f>[5]Model!O48</f>
        <v>0.711224489795918</v>
      </c>
      <c r="Q260" s="515">
        <f>[5]Model!P48</f>
        <v>0.909081632653061</v>
      </c>
      <c r="R260" s="515">
        <f>[5]Model!Q48</f>
        <v>0.525738009963303</v>
      </c>
      <c r="S260" s="515">
        <f>[5]Model!R48</f>
        <v>2.03950420716899</v>
      </c>
      <c r="T260" s="515">
        <f>[5]Model!S48</f>
        <v>6.85273619111277</v>
      </c>
      <c r="U260" s="515">
        <f>[5]Model!T48</f>
        <v>14.8630338811226</v>
      </c>
      <c r="V260" s="515">
        <f>[5]Model!U48</f>
        <v>21.6157339389947</v>
      </c>
      <c r="W260" s="515">
        <f>[5]Model!V48</f>
        <v>24.8465905460438</v>
      </c>
      <c r="X260" s="515"/>
      <c r="Y260" s="515">
        <f>[5]Model!AB48</f>
        <v>0.307142857142857</v>
      </c>
      <c r="Z260" s="515">
        <f>[5]Model!AC48</f>
        <v>0.321428571428571</v>
      </c>
      <c r="AA260" s="515">
        <f>[5]Model!AD48</f>
        <v>0.24509612186327</v>
      </c>
      <c r="AB260" s="515">
        <f>[5]Model!AE48</f>
        <v>0.283071428571429</v>
      </c>
      <c r="AC260" s="515">
        <f>[5]Model!AF48</f>
        <v>0.264285714285714</v>
      </c>
      <c r="AD260" s="515">
        <f>[5]Model!AG48</f>
        <v>0.248428571428571</v>
      </c>
      <c r="AE260" s="515">
        <f>[5]Model!AH48</f>
        <v>0.294785714285714</v>
      </c>
      <c r="AF260" s="515">
        <f>[5]Model!AI48</f>
        <v>0.228214285714286</v>
      </c>
      <c r="AG260" s="515">
        <f>[5]Model!AJ48</f>
        <v>0.275</v>
      </c>
      <c r="AH260" s="515">
        <f>[5]Model!AK48</f>
        <v>0.100571428571429</v>
      </c>
      <c r="AI260" s="515">
        <f>[5]Model!AL48</f>
        <v>0.104214285714286</v>
      </c>
      <c r="AJ260" s="515">
        <f>[5]Model!AM48</f>
        <v>0.0435</v>
      </c>
      <c r="AK260" s="515">
        <f>[5]Model!AN48</f>
        <v>-0.0109285714285714</v>
      </c>
      <c r="AL260" s="515">
        <f>[5]Model!AO48</f>
        <v>-0.0345714285714286</v>
      </c>
      <c r="AM260" s="515">
        <f>[5]Model!AP48</f>
        <v>0.0616428571428572</v>
      </c>
      <c r="AN260" s="515">
        <f>[5]Model!AQ48</f>
        <v>0.0791428571428572</v>
      </c>
      <c r="AO260" s="515">
        <f>[5]Model!AR48</f>
        <v>0.0971428571428571</v>
      </c>
      <c r="AP260" s="515">
        <f>[5]Model!AS48</f>
        <v>0.144642857142857</v>
      </c>
      <c r="AQ260" s="515">
        <f>[5]Model!AT48</f>
        <v>0.158071428571429</v>
      </c>
      <c r="AR260" s="515">
        <f>[5]Model!AU48</f>
        <v>0.241285714285714</v>
      </c>
      <c r="AS260" s="515">
        <f>[5]Model!AV48</f>
        <v>0.169785714285714</v>
      </c>
      <c r="AT260" s="515">
        <f>[5]Model!AW48</f>
        <v>0.291285714285714</v>
      </c>
      <c r="AU260" s="515">
        <f>[5]Model!AX48</f>
        <v>0.325071428571429</v>
      </c>
      <c r="AV260" s="515">
        <f>[5]Model!AY48</f>
        <v>0.295642857142857</v>
      </c>
      <c r="AW260" s="515">
        <f>[5]Model!AZ48</f>
        <v>0.158316326530612</v>
      </c>
      <c r="AX260" s="515">
        <f>[5]Model!BA48</f>
        <v>0.211887755102041</v>
      </c>
      <c r="AY260" s="515">
        <f>[5]Model!BB48</f>
        <v>0.142755102040816</v>
      </c>
      <c r="AZ260" s="515">
        <f>[5]Model!BC48</f>
        <v>0.198265306122449</v>
      </c>
      <c r="BA260" s="515">
        <f>[5]Model!BD48</f>
        <v>0.133214285714286</v>
      </c>
      <c r="BB260" s="515">
        <f>[5]Model!BE48</f>
        <v>0.330663265306122</v>
      </c>
      <c r="BC260" s="515">
        <f>[5]Model!BF48</f>
        <v>0.303214285714286</v>
      </c>
      <c r="BD260" s="515">
        <f>[5]Model!BG48</f>
        <v>0.141989795918367</v>
      </c>
      <c r="BE260" s="515">
        <f>[5]Model!BH48</f>
        <v>0.108520408163265</v>
      </c>
      <c r="BF260" s="515">
        <f>[5]Model!BI48</f>
        <v>0.129744897959184</v>
      </c>
      <c r="BG260" s="515">
        <f>[5]Model!BJ48</f>
        <v>0.10147783358556</v>
      </c>
      <c r="BH260" s="515">
        <f>[5]Model!BK48</f>
        <v>0.185994870255294</v>
      </c>
      <c r="BI260" s="515">
        <f>[5]Model!BL48</f>
        <v>0.233243571471369</v>
      </c>
      <c r="BJ260" s="515">
        <f>[5]Model!BM48</f>
        <v>0.388524160442186</v>
      </c>
      <c r="BK260" s="515">
        <f>[5]Model!BN48</f>
        <v>0.561246021107256</v>
      </c>
      <c r="BL260" s="515">
        <f>[5]Model!BO48</f>
        <v>0.856490454148185</v>
      </c>
      <c r="BM260" s="515">
        <f>[5]Model!BP48</f>
        <v>1.1301563060569</v>
      </c>
      <c r="BN260" s="515">
        <f>[5]Model!BQ48</f>
        <v>1.70577624821933</v>
      </c>
      <c r="BO260" s="515">
        <f>[5]Model!BR48</f>
        <v>1.71375723930311</v>
      </c>
      <c r="BP260" s="515">
        <f>[5]Model!BS48</f>
        <v>2.30304639753343</v>
      </c>
      <c r="BQ260" s="515">
        <f>[5]Model!BT48</f>
        <v>1.99358539052057</v>
      </c>
      <c r="BR260" s="515">
        <f>[5]Model!BU48</f>
        <v>3.34096550589845</v>
      </c>
      <c r="BS260" s="515">
        <f>[5]Model!BV48</f>
        <v>4.56447545905774</v>
      </c>
      <c r="BT260" s="515">
        <f>[5]Model!BW48</f>
        <v>4.96400752564584</v>
      </c>
      <c r="BU260" s="515">
        <f>[5]Model!BX48</f>
        <v>4.17987164091798</v>
      </c>
      <c r="BV260" s="515">
        <f>[5]Model!BY48</f>
        <v>4.88342933788541</v>
      </c>
      <c r="BW260" s="515">
        <f>[5]Model!BZ48</f>
        <v>6.55647201372635</v>
      </c>
      <c r="BX260" s="515">
        <f>[5]Model!CA48</f>
        <v>5.99596094646497</v>
      </c>
    </row>
    <row r="261" outlineLevel="2" spans="2:76">
      <c r="B261" t="s">
        <v>563</v>
      </c>
      <c r="C261" t="s">
        <v>564</v>
      </c>
      <c r="D261" t="str">
        <f t="shared" si="16"/>
        <v>CNY</v>
      </c>
      <c r="F261" s="505"/>
      <c r="G261" s="505"/>
      <c r="H261" s="505"/>
      <c r="I261" s="505"/>
      <c r="J261" s="505"/>
      <c r="K261" s="505"/>
      <c r="L261" s="505"/>
      <c r="M261" s="505"/>
      <c r="N261" s="505"/>
      <c r="O261" s="505"/>
      <c r="P261" s="505"/>
      <c r="Q261" s="505"/>
      <c r="R261" s="505"/>
      <c r="S261" s="505"/>
      <c r="T261" s="505"/>
      <c r="U261" s="505"/>
      <c r="V261" s="505"/>
      <c r="W261" s="505"/>
      <c r="X261" s="505"/>
      <c r="Y261" s="505"/>
      <c r="Z261" s="505"/>
      <c r="AA261" s="505"/>
      <c r="AB261" s="505"/>
      <c r="AC261" s="505"/>
      <c r="AD261" s="505"/>
      <c r="AE261" s="505"/>
      <c r="AF261" s="505"/>
      <c r="AG261" s="505"/>
      <c r="AH261" s="505"/>
      <c r="AI261" s="505"/>
      <c r="AJ261" s="505"/>
      <c r="AK261" s="505"/>
      <c r="AL261" s="505"/>
      <c r="AM261" s="505"/>
      <c r="AN261" s="505"/>
      <c r="AO261" s="505"/>
      <c r="AP261" s="505"/>
      <c r="AQ261" s="505"/>
      <c r="AR261" s="505"/>
      <c r="AS261" s="505"/>
      <c r="AT261" s="505"/>
      <c r="AU261" s="505"/>
      <c r="AV261" s="505"/>
      <c r="AW261" s="505"/>
      <c r="AX261" s="505"/>
      <c r="AY261" s="505"/>
      <c r="AZ261" s="505"/>
      <c r="BA261" s="505"/>
      <c r="BB261" s="505"/>
      <c r="BC261" s="505"/>
      <c r="BD261" s="505"/>
      <c r="BE261" s="505"/>
      <c r="BF261" s="505"/>
      <c r="BG261" s="505"/>
      <c r="BH261" s="505"/>
      <c r="BI261" s="505"/>
      <c r="BJ261" s="505"/>
      <c r="BK261" s="505"/>
      <c r="BL261" s="505"/>
      <c r="BM261" s="505"/>
      <c r="BN261" s="505"/>
      <c r="BO261" s="505"/>
      <c r="BP261" s="505"/>
      <c r="BQ261" s="505"/>
      <c r="BR261" s="505"/>
      <c r="BS261" s="505"/>
      <c r="BT261" s="505"/>
      <c r="BU261" s="505"/>
      <c r="BV261" s="505"/>
      <c r="BW261" s="505"/>
      <c r="BX261" s="505"/>
    </row>
    <row r="262" outlineLevel="2" spans="2:76">
      <c r="B262" t="s">
        <v>565</v>
      </c>
      <c r="C262" t="s">
        <v>566</v>
      </c>
      <c r="D262" t="str">
        <f t="shared" si="16"/>
        <v>CNY</v>
      </c>
      <c r="F262" s="505">
        <f>[5]Model!E171</f>
        <v>-89.83875803</v>
      </c>
      <c r="G262" s="505">
        <f>[5]Model!F171</f>
        <v>-98.53904271</v>
      </c>
      <c r="H262" s="505">
        <f>[5]Model!G171</f>
        <v>-52.52412164</v>
      </c>
      <c r="I262" s="505">
        <f>[5]Model!H171</f>
        <v>-84.89609736</v>
      </c>
      <c r="J262" s="505">
        <f>[5]Model!I171</f>
        <v>-79.31808351</v>
      </c>
      <c r="K262" s="505">
        <f>[5]Model!J171</f>
        <v>-135.60739867</v>
      </c>
      <c r="L262" s="505">
        <f>[5]Model!K171</f>
        <v>-86.82837139</v>
      </c>
      <c r="M262" s="505">
        <f>[5]Model!L171</f>
        <v>-237.00026683</v>
      </c>
      <c r="N262" s="505">
        <f>[5]Model!M171</f>
        <v>-253.40360322</v>
      </c>
      <c r="O262" s="505">
        <f>[5]Model!N171</f>
        <v>-1859.83208675</v>
      </c>
      <c r="P262" s="505">
        <f>[5]Model!O171</f>
        <v>-1579.77817945</v>
      </c>
      <c r="Q262" s="505">
        <f>[5]Model!P171</f>
        <v>-1781.82002281</v>
      </c>
      <c r="R262" s="505">
        <f>[5]Model!Q171</f>
        <v>-2511.54591248</v>
      </c>
      <c r="S262" s="505">
        <f>[5]Model!R171</f>
        <v>-1596.58589714</v>
      </c>
      <c r="T262" s="505">
        <f>[5]Model!S171</f>
        <v>-8151.99151343</v>
      </c>
      <c r="U262" s="505">
        <f>[5]Model!T171</f>
        <v>-15390.1302454718</v>
      </c>
      <c r="V262" s="505">
        <f>[5]Model!U171</f>
        <v>-39085.6894222192</v>
      </c>
      <c r="W262" s="505">
        <f>[5]Model!V171</f>
        <v>-57962.5867688897</v>
      </c>
      <c r="X262" s="505"/>
      <c r="Y262" s="505">
        <f>[5]Model!AB171</f>
        <v>0</v>
      </c>
      <c r="Z262" s="505">
        <f>[5]Model!AC171</f>
        <v>0</v>
      </c>
      <c r="AA262" s="505">
        <f>[5]Model!AD171</f>
        <v>0</v>
      </c>
      <c r="AB262" s="505">
        <f>[5]Model!AE171</f>
        <v>0</v>
      </c>
      <c r="AC262" s="505">
        <f>[5]Model!AF171</f>
        <v>0</v>
      </c>
      <c r="AD262" s="505">
        <f>[5]Model!AG171</f>
        <v>0</v>
      </c>
      <c r="AE262" s="505">
        <f>[5]Model!AH171</f>
        <v>0</v>
      </c>
      <c r="AF262" s="505">
        <f>[5]Model!AI171</f>
        <v>0</v>
      </c>
      <c r="AG262" s="505">
        <f>[5]Model!AJ171</f>
        <v>0</v>
      </c>
      <c r="AH262" s="505">
        <f>[5]Model!AK171</f>
        <v>0</v>
      </c>
      <c r="AI262" s="505">
        <f>[5]Model!AL171</f>
        <v>0</v>
      </c>
      <c r="AJ262" s="505">
        <f>[5]Model!AM171</f>
        <v>0</v>
      </c>
      <c r="AK262" s="505">
        <f>[5]Model!AN171</f>
        <v>0</v>
      </c>
      <c r="AL262" s="505">
        <f>[5]Model!AO171</f>
        <v>0</v>
      </c>
      <c r="AM262" s="505">
        <f>[5]Model!AP171</f>
        <v>0</v>
      </c>
      <c r="AN262" s="505">
        <f>[5]Model!AQ171</f>
        <v>0</v>
      </c>
      <c r="AO262" s="505">
        <f>[5]Model!AR171</f>
        <v>0</v>
      </c>
      <c r="AP262" s="505">
        <f>[5]Model!AS171</f>
        <v>0</v>
      </c>
      <c r="AQ262" s="505">
        <f>[5]Model!AT171</f>
        <v>0</v>
      </c>
      <c r="AR262" s="505">
        <f>[5]Model!AU171</f>
        <v>0</v>
      </c>
      <c r="AS262" s="505">
        <f>[5]Model!AV171</f>
        <v>0</v>
      </c>
      <c r="AT262" s="505">
        <f>[5]Model!AW171</f>
        <v>0</v>
      </c>
      <c r="AU262" s="505">
        <f>[5]Model!AX171</f>
        <v>0</v>
      </c>
      <c r="AV262" s="505">
        <f>[5]Model!AY171</f>
        <v>0</v>
      </c>
      <c r="AW262" s="505">
        <f>[5]Model!AZ171</f>
        <v>0</v>
      </c>
      <c r="AX262" s="505">
        <f>[5]Model!BA171</f>
        <v>0</v>
      </c>
      <c r="AY262" s="505">
        <f>[5]Model!BB171</f>
        <v>0</v>
      </c>
      <c r="AZ262" s="505">
        <f>[5]Model!BC171</f>
        <v>0</v>
      </c>
      <c r="BA262" s="505">
        <f>[5]Model!BD171</f>
        <v>0</v>
      </c>
      <c r="BB262" s="505">
        <f>[5]Model!BE171</f>
        <v>0</v>
      </c>
      <c r="BC262" s="505">
        <f>[5]Model!BF171</f>
        <v>0</v>
      </c>
      <c r="BD262" s="505">
        <f>[5]Model!BG171</f>
        <v>0</v>
      </c>
      <c r="BE262" s="505">
        <f>[5]Model!BH171</f>
        <v>0</v>
      </c>
      <c r="BF262" s="505">
        <f>[5]Model!BI171</f>
        <v>0</v>
      </c>
      <c r="BG262" s="505">
        <f>[5]Model!BJ171</f>
        <v>0</v>
      </c>
      <c r="BH262" s="505">
        <f>[5]Model!BK171</f>
        <v>0</v>
      </c>
      <c r="BI262" s="505">
        <f>[5]Model!BL171</f>
        <v>0</v>
      </c>
      <c r="BJ262" s="505">
        <f>[5]Model!BM171</f>
        <v>0</v>
      </c>
      <c r="BK262" s="505">
        <f>[5]Model!BN171</f>
        <v>0</v>
      </c>
      <c r="BL262" s="505">
        <f>[5]Model!BO171</f>
        <v>0</v>
      </c>
      <c r="BM262" s="505">
        <f>[5]Model!BP171</f>
        <v>0</v>
      </c>
      <c r="BN262" s="505">
        <f>[5]Model!BQ171</f>
        <v>0</v>
      </c>
      <c r="BO262" s="505">
        <f>[5]Model!BR171</f>
        <v>0</v>
      </c>
      <c r="BP262" s="505">
        <f>[5]Model!BS171</f>
        <v>0</v>
      </c>
      <c r="BQ262" s="505">
        <f>[5]Model!BT171</f>
        <v>0</v>
      </c>
      <c r="BR262" s="505">
        <f>[5]Model!BU171</f>
        <v>0</v>
      </c>
      <c r="BS262" s="505">
        <f>[5]Model!BV171</f>
        <v>0</v>
      </c>
      <c r="BT262" s="505">
        <f>[5]Model!BW171</f>
        <v>0</v>
      </c>
      <c r="BU262" s="505">
        <f>[5]Model!BX171</f>
        <v>0</v>
      </c>
      <c r="BV262" s="505">
        <f>[5]Model!BY171</f>
        <v>0</v>
      </c>
      <c r="BW262" s="505">
        <f>[5]Model!BZ171</f>
        <v>0</v>
      </c>
      <c r="BX262" s="505">
        <f>[5]Model!CA171</f>
        <v>0</v>
      </c>
    </row>
    <row r="263" outlineLevel="2" spans="2:76">
      <c r="B263" t="s">
        <v>567</v>
      </c>
      <c r="C263" t="s">
        <v>568</v>
      </c>
      <c r="D263" t="str">
        <f t="shared" si="16"/>
        <v>CNY</v>
      </c>
      <c r="F263" s="505">
        <f t="shared" ref="F263:W263" si="23">F262-F59-F63</f>
        <v>-89.83875803</v>
      </c>
      <c r="G263" s="505">
        <f t="shared" si="23"/>
        <v>-98.53904271</v>
      </c>
      <c r="H263" s="505">
        <f t="shared" si="23"/>
        <v>-52.52412164</v>
      </c>
      <c r="I263" s="505">
        <f t="shared" si="23"/>
        <v>-84.89609736</v>
      </c>
      <c r="J263" s="505">
        <f t="shared" si="23"/>
        <v>-79.31808351</v>
      </c>
      <c r="K263" s="505">
        <f t="shared" si="23"/>
        <v>-135.60739867</v>
      </c>
      <c r="L263" s="505">
        <f t="shared" si="23"/>
        <v>-86.82837139</v>
      </c>
      <c r="M263" s="505">
        <f t="shared" si="23"/>
        <v>-237.00026683</v>
      </c>
      <c r="N263" s="505">
        <f t="shared" si="23"/>
        <v>-253.40360322</v>
      </c>
      <c r="O263" s="505">
        <f t="shared" si="23"/>
        <v>-1859.83208675</v>
      </c>
      <c r="P263" s="505">
        <f t="shared" si="23"/>
        <v>-1579.77817945</v>
      </c>
      <c r="Q263" s="505">
        <f t="shared" si="23"/>
        <v>-1781.82002281</v>
      </c>
      <c r="R263" s="505">
        <f t="shared" si="23"/>
        <v>-2511.54591248</v>
      </c>
      <c r="S263" s="505">
        <f t="shared" si="23"/>
        <v>-1596.58589714</v>
      </c>
      <c r="T263" s="505">
        <f t="shared" si="23"/>
        <v>-8151.99151343</v>
      </c>
      <c r="U263" s="505">
        <f t="shared" si="23"/>
        <v>-15390.1302454718</v>
      </c>
      <c r="V263" s="505">
        <f t="shared" si="23"/>
        <v>-39085.6894222192</v>
      </c>
      <c r="W263" s="505">
        <f t="shared" si="23"/>
        <v>-57962.5867688897</v>
      </c>
      <c r="X263" s="505"/>
      <c r="Y263" s="505">
        <f t="shared" ref="Y263:BD263" si="24">Y262-Y59-Y63</f>
        <v>0</v>
      </c>
      <c r="Z263" s="505">
        <f t="shared" si="24"/>
        <v>0</v>
      </c>
      <c r="AA263" s="505">
        <f t="shared" si="24"/>
        <v>0</v>
      </c>
      <c r="AB263" s="505">
        <f t="shared" si="24"/>
        <v>0</v>
      </c>
      <c r="AC263" s="505">
        <f t="shared" si="24"/>
        <v>0</v>
      </c>
      <c r="AD263" s="505">
        <f t="shared" si="24"/>
        <v>0</v>
      </c>
      <c r="AE263" s="505">
        <f t="shared" si="24"/>
        <v>0</v>
      </c>
      <c r="AF263" s="505">
        <f t="shared" si="24"/>
        <v>0</v>
      </c>
      <c r="AG263" s="505">
        <f t="shared" si="24"/>
        <v>0</v>
      </c>
      <c r="AH263" s="505">
        <f t="shared" si="24"/>
        <v>0</v>
      </c>
      <c r="AI263" s="505">
        <f t="shared" si="24"/>
        <v>0</v>
      </c>
      <c r="AJ263" s="505">
        <f t="shared" si="24"/>
        <v>0</v>
      </c>
      <c r="AK263" s="505">
        <f t="shared" si="24"/>
        <v>0</v>
      </c>
      <c r="AL263" s="505">
        <f t="shared" si="24"/>
        <v>0</v>
      </c>
      <c r="AM263" s="505">
        <f t="shared" si="24"/>
        <v>0</v>
      </c>
      <c r="AN263" s="505">
        <f t="shared" si="24"/>
        <v>0</v>
      </c>
      <c r="AO263" s="505">
        <f t="shared" si="24"/>
        <v>0</v>
      </c>
      <c r="AP263" s="505">
        <f t="shared" si="24"/>
        <v>0</v>
      </c>
      <c r="AQ263" s="505">
        <f t="shared" si="24"/>
        <v>0</v>
      </c>
      <c r="AR263" s="505">
        <f t="shared" si="24"/>
        <v>0</v>
      </c>
      <c r="AS263" s="505">
        <f t="shared" si="24"/>
        <v>0</v>
      </c>
      <c r="AT263" s="505">
        <f t="shared" si="24"/>
        <v>0</v>
      </c>
      <c r="AU263" s="505">
        <f t="shared" si="24"/>
        <v>0</v>
      </c>
      <c r="AV263" s="505">
        <f t="shared" si="24"/>
        <v>0</v>
      </c>
      <c r="AW263" s="505">
        <f t="shared" si="24"/>
        <v>0</v>
      </c>
      <c r="AX263" s="505">
        <f t="shared" si="24"/>
        <v>0</v>
      </c>
      <c r="AY263" s="505">
        <f t="shared" si="24"/>
        <v>0</v>
      </c>
      <c r="AZ263" s="505">
        <f t="shared" si="24"/>
        <v>0</v>
      </c>
      <c r="BA263" s="505">
        <f t="shared" si="24"/>
        <v>0</v>
      </c>
      <c r="BB263" s="505">
        <f t="shared" si="24"/>
        <v>0</v>
      </c>
      <c r="BC263" s="505">
        <f t="shared" si="24"/>
        <v>0</v>
      </c>
      <c r="BD263" s="505">
        <f t="shared" si="24"/>
        <v>0</v>
      </c>
      <c r="BE263" s="505">
        <f t="shared" ref="BE263:BX263" si="25">BE262-BE59-BE63</f>
        <v>0</v>
      </c>
      <c r="BF263" s="505">
        <f t="shared" si="25"/>
        <v>0</v>
      </c>
      <c r="BG263" s="505">
        <f t="shared" si="25"/>
        <v>0</v>
      </c>
      <c r="BH263" s="505">
        <f t="shared" si="25"/>
        <v>0</v>
      </c>
      <c r="BI263" s="505">
        <f t="shared" si="25"/>
        <v>0</v>
      </c>
      <c r="BJ263" s="505">
        <f t="shared" si="25"/>
        <v>0</v>
      </c>
      <c r="BK263" s="505">
        <f t="shared" si="25"/>
        <v>0</v>
      </c>
      <c r="BL263" s="505">
        <f t="shared" si="25"/>
        <v>0</v>
      </c>
      <c r="BM263" s="505">
        <f t="shared" si="25"/>
        <v>0</v>
      </c>
      <c r="BN263" s="505">
        <f t="shared" si="25"/>
        <v>0</v>
      </c>
      <c r="BO263" s="505">
        <f t="shared" si="25"/>
        <v>0</v>
      </c>
      <c r="BP263" s="505">
        <f t="shared" si="25"/>
        <v>0</v>
      </c>
      <c r="BQ263" s="505">
        <f t="shared" si="25"/>
        <v>0</v>
      </c>
      <c r="BR263" s="505">
        <f t="shared" si="25"/>
        <v>0</v>
      </c>
      <c r="BS263" s="505">
        <f t="shared" si="25"/>
        <v>0</v>
      </c>
      <c r="BT263" s="505">
        <f t="shared" si="25"/>
        <v>0</v>
      </c>
      <c r="BU263" s="505">
        <f t="shared" si="25"/>
        <v>0</v>
      </c>
      <c r="BV263" s="505">
        <f t="shared" si="25"/>
        <v>0</v>
      </c>
      <c r="BW263" s="505">
        <f t="shared" si="25"/>
        <v>0</v>
      </c>
      <c r="BX263" s="505">
        <f t="shared" si="25"/>
        <v>0</v>
      </c>
    </row>
    <row r="264" outlineLevel="2" spans="2:76">
      <c r="B264" t="s">
        <v>569</v>
      </c>
      <c r="C264" t="s">
        <v>570</v>
      </c>
      <c r="D264" t="str">
        <f t="shared" si="16"/>
        <v>CNY</v>
      </c>
      <c r="F264" s="505"/>
      <c r="G264" s="505"/>
      <c r="H264" s="505"/>
      <c r="I264" s="505"/>
      <c r="J264" s="505"/>
      <c r="K264" s="505"/>
      <c r="L264" s="505"/>
      <c r="M264" s="505"/>
      <c r="N264" s="505"/>
      <c r="O264" s="505"/>
      <c r="P264" s="505"/>
      <c r="Q264" s="505"/>
      <c r="R264" s="505"/>
      <c r="S264" s="505"/>
      <c r="T264" s="505"/>
      <c r="U264" s="505"/>
      <c r="V264" s="505"/>
      <c r="W264" s="505"/>
      <c r="X264" s="505"/>
      <c r="Y264" s="505"/>
      <c r="Z264" s="505"/>
      <c r="AA264" s="505"/>
      <c r="AB264" s="505"/>
      <c r="AC264" s="505"/>
      <c r="AD264" s="505"/>
      <c r="AE264" s="505"/>
      <c r="AF264" s="505"/>
      <c r="AG264" s="505"/>
      <c r="AH264" s="505"/>
      <c r="AI264" s="505"/>
      <c r="AJ264" s="505"/>
      <c r="AK264" s="505"/>
      <c r="AL264" s="505"/>
      <c r="AM264" s="505"/>
      <c r="AN264" s="505"/>
      <c r="AO264" s="505"/>
      <c r="AP264" s="505"/>
      <c r="AQ264" s="505"/>
      <c r="AR264" s="505"/>
      <c r="AS264" s="505"/>
      <c r="AT264" s="505"/>
      <c r="AU264" s="505"/>
      <c r="AV264" s="505"/>
      <c r="AW264" s="505"/>
      <c r="AX264" s="505"/>
      <c r="AY264" s="505"/>
      <c r="AZ264" s="505"/>
      <c r="BA264" s="505"/>
      <c r="BB264" s="505"/>
      <c r="BC264" s="505"/>
      <c r="BD264" s="505"/>
      <c r="BE264" s="505"/>
      <c r="BF264" s="505"/>
      <c r="BG264" s="505"/>
      <c r="BH264" s="505"/>
      <c r="BI264" s="505"/>
      <c r="BJ264" s="505"/>
      <c r="BK264" s="505"/>
      <c r="BL264" s="505"/>
      <c r="BM264" s="505"/>
      <c r="BN264" s="505"/>
      <c r="BO264" s="505"/>
      <c r="BP264" s="505"/>
      <c r="BQ264" s="505"/>
      <c r="BR264" s="505"/>
      <c r="BS264" s="505"/>
      <c r="BT264" s="505"/>
      <c r="BU264" s="505"/>
      <c r="BV264" s="505"/>
      <c r="BW264" s="505"/>
      <c r="BX264" s="505"/>
    </row>
    <row r="265" outlineLevel="2" spans="2:76">
      <c r="B265" t="s">
        <v>571</v>
      </c>
      <c r="C265" t="s">
        <v>572</v>
      </c>
      <c r="D265" t="str">
        <f t="shared" si="16"/>
        <v>CNY</v>
      </c>
      <c r="F265" s="505">
        <f>[5]Model!E40</f>
        <v>52.57478492</v>
      </c>
      <c r="G265" s="505">
        <f>[5]Model!F40</f>
        <v>65.74770788</v>
      </c>
      <c r="H265" s="505">
        <f>[5]Model!G40</f>
        <v>79.35876729</v>
      </c>
      <c r="I265" s="505">
        <f>[5]Model!H40</f>
        <v>92.39853472</v>
      </c>
      <c r="J265" s="505">
        <f>[5]Model!I40</f>
        <v>94.45032809</v>
      </c>
      <c r="K265" s="505">
        <f>[5]Model!J40</f>
        <v>105.28678316</v>
      </c>
      <c r="L265" s="505">
        <f>[5]Model!K40</f>
        <v>111.09090564</v>
      </c>
      <c r="M265" s="505">
        <f>[5]Model!L40</f>
        <v>31.83233359</v>
      </c>
      <c r="N265" s="505">
        <f>[5]Model!M40</f>
        <v>212.85655651</v>
      </c>
      <c r="O265" s="505">
        <f>[5]Model!N40</f>
        <v>491.75840347</v>
      </c>
      <c r="P265" s="505">
        <f>[5]Model!O40</f>
        <v>661.92613905</v>
      </c>
      <c r="Q265" s="505">
        <f>[5]Model!P40</f>
        <v>903.58109081</v>
      </c>
      <c r="R265" s="505">
        <f>[5]Model!Q40</f>
        <v>688.36109512</v>
      </c>
      <c r="S265" s="505">
        <f>[5]Model!R40</f>
        <v>2837.81362437</v>
      </c>
      <c r="T265" s="505">
        <f>[5]Model!S40</f>
        <v>9531.92273017</v>
      </c>
      <c r="U265" s="505">
        <f>[5]Model!T40</f>
        <v>20682.8226425452</v>
      </c>
      <c r="V265" s="505">
        <f>[5]Model!U40</f>
        <v>30079.6186649683</v>
      </c>
      <c r="W265" s="505">
        <f>[5]Model!V40</f>
        <v>34575.553661925</v>
      </c>
      <c r="X265" s="505"/>
      <c r="Y265" s="505">
        <f>[5]Model!AB40</f>
        <v>24.77889013</v>
      </c>
      <c r="Z265" s="505">
        <f>[5]Model!AC40</f>
        <v>26.63656237</v>
      </c>
      <c r="AA265" s="505">
        <f>[5]Model!AD40</f>
        <v>19.97033158</v>
      </c>
      <c r="AB265" s="505">
        <f>[5]Model!AE40</f>
        <v>23.06454401</v>
      </c>
      <c r="AC265" s="505">
        <f>[5]Model!AF40</f>
        <v>21.47887805</v>
      </c>
      <c r="AD265" s="505">
        <f>[5]Model!AG40</f>
        <v>26.9914283</v>
      </c>
      <c r="AE265" s="505">
        <f>[5]Model!AH40</f>
        <v>32.02592016</v>
      </c>
      <c r="AF265" s="505">
        <f>[5]Model!AI40</f>
        <v>24.79055665</v>
      </c>
      <c r="AG265" s="505">
        <f>[5]Model!AJ40</f>
        <v>29.87642649</v>
      </c>
      <c r="AH265" s="505">
        <f>[5]Model!AK40</f>
        <v>32.78217957</v>
      </c>
      <c r="AI265" s="505">
        <f>[5]Model!AL40</f>
        <v>33.96296973</v>
      </c>
      <c r="AJ265" s="505">
        <f>[5]Model!AM40</f>
        <v>14.46932985</v>
      </c>
      <c r="AK265" s="505">
        <f>[5]Model!AN40</f>
        <v>-3.63741626</v>
      </c>
      <c r="AL265" s="505">
        <f>[5]Model!AO40</f>
        <v>-11.51713697</v>
      </c>
      <c r="AM265" s="505">
        <f>[5]Model!AP40</f>
        <v>20.57002931</v>
      </c>
      <c r="AN265" s="505">
        <f>[5]Model!AQ40</f>
        <v>26.41685751</v>
      </c>
      <c r="AO265" s="505">
        <f>[5]Model!AR40</f>
        <v>32.41134491</v>
      </c>
      <c r="AP265" s="505">
        <f>[5]Model!AS40</f>
        <v>48.25165445</v>
      </c>
      <c r="AQ265" s="505">
        <f>[5]Model!AT40</f>
        <v>52.31819203</v>
      </c>
      <c r="AR265" s="505">
        <f>[5]Model!AU40</f>
        <v>79.87536512</v>
      </c>
      <c r="AS265" s="505">
        <f>[5]Model!AV40</f>
        <v>56.21620726</v>
      </c>
      <c r="AT265" s="505">
        <f>[5]Model!AW40</f>
        <v>135.0007077</v>
      </c>
      <c r="AU265" s="505">
        <f>[5]Model!AX40</f>
        <v>150.63100665</v>
      </c>
      <c r="AV265" s="505">
        <f>[5]Model!AY40</f>
        <v>149.91048186</v>
      </c>
      <c r="AW265" s="505">
        <f>[5]Model!AZ40</f>
        <v>112.40595296</v>
      </c>
      <c r="AX265" s="505">
        <f>[5]Model!BA40</f>
        <v>210.59925804</v>
      </c>
      <c r="AY265" s="505">
        <f>[5]Model!BB40</f>
        <v>141.86229487</v>
      </c>
      <c r="AZ265" s="505">
        <f>[5]Model!BC40</f>
        <v>197.05863318</v>
      </c>
      <c r="BA265" s="505">
        <f>[5]Model!BD40</f>
        <v>132.42283512</v>
      </c>
      <c r="BB265" s="505">
        <f>[5]Model!BE40</f>
        <v>328.66406072</v>
      </c>
      <c r="BC265" s="505">
        <f>[5]Model!BF40</f>
        <v>301.34735604</v>
      </c>
      <c r="BD265" s="505">
        <f>[5]Model!BG40</f>
        <v>141.14683893</v>
      </c>
      <c r="BE265" s="505">
        <f>[5]Model!BH40</f>
        <v>107.83481302</v>
      </c>
      <c r="BF265" s="505">
        <f>[5]Model!BI40</f>
        <v>180.5300709</v>
      </c>
      <c r="BG265" s="505">
        <f>[5]Model!BJ40</f>
        <v>141.1986196</v>
      </c>
      <c r="BH265" s="505">
        <f>[5]Model!BK40</f>
        <v>258.7975916</v>
      </c>
      <c r="BI265" s="505">
        <f>[5]Model!BL40</f>
        <v>324.54053421</v>
      </c>
      <c r="BJ265" s="505">
        <f>[5]Model!BM40</f>
        <v>540.60155994</v>
      </c>
      <c r="BK265" s="505">
        <f>[5]Model!BN40</f>
        <v>780.93077706</v>
      </c>
      <c r="BL265" s="505">
        <f>[5]Model!BO40</f>
        <v>1191.74075316</v>
      </c>
      <c r="BM265" s="505">
        <f>[5]Model!BP40</f>
        <v>1572.52578922</v>
      </c>
      <c r="BN265" s="505">
        <f>[5]Model!BQ40</f>
        <v>2369.76847915</v>
      </c>
      <c r="BO265" s="505">
        <f>[5]Model!BR40</f>
        <v>2384.79823947</v>
      </c>
      <c r="BP265" s="505">
        <f>[5]Model!BS40</f>
        <v>3204.83022233</v>
      </c>
      <c r="BQ265" s="505">
        <f>[5]Model!BT40</f>
        <v>2774.19626334</v>
      </c>
      <c r="BR265" s="505">
        <f>[5]Model!BU40</f>
        <v>4649.15827858825</v>
      </c>
      <c r="BS265" s="505">
        <f>[5]Model!BV40</f>
        <v>6351.74737076026</v>
      </c>
      <c r="BT265" s="505">
        <f>[5]Model!BW40</f>
        <v>6907.72072985665</v>
      </c>
      <c r="BU265" s="505">
        <f>[5]Model!BX40</f>
        <v>5816.54758437388</v>
      </c>
      <c r="BV265" s="505">
        <f>[5]Model!BY40</f>
        <v>6795.59124272526</v>
      </c>
      <c r="BW265" s="505">
        <f>[5]Model!BZ40</f>
        <v>9123.73267162806</v>
      </c>
      <c r="BX265" s="505">
        <f>[5]Model!CA40</f>
        <v>8343.74716624111</v>
      </c>
    </row>
    <row r="266" outlineLevel="2" spans="2:76">
      <c r="B266" t="s">
        <v>573</v>
      </c>
      <c r="C266" t="s">
        <v>574</v>
      </c>
      <c r="D266" t="str">
        <f t="shared" si="16"/>
        <v>CNY</v>
      </c>
      <c r="F266" s="505">
        <f>[5]Model!E43</f>
        <v>66.91287025</v>
      </c>
      <c r="G266" s="505">
        <f>[5]Model!F43</f>
        <v>79.09681992</v>
      </c>
      <c r="H266" s="505">
        <f>[5]Model!G43</f>
        <v>94.7386345599999</v>
      </c>
      <c r="I266" s="505">
        <f>[5]Model!H43</f>
        <v>110.85916425</v>
      </c>
      <c r="J266" s="505">
        <f>[5]Model!I43</f>
        <v>113.59683086</v>
      </c>
      <c r="K266" s="505">
        <f>[5]Model!J43</f>
        <v>123.67380085</v>
      </c>
      <c r="L266" s="505">
        <f>[5]Model!K43</f>
        <v>128.61344697</v>
      </c>
      <c r="M266" s="505">
        <f>[5]Model!L43</f>
        <v>43.0854925699999</v>
      </c>
      <c r="N266" s="505">
        <f>[5]Model!M43</f>
        <v>257.49084548</v>
      </c>
      <c r="O266" s="505">
        <f>[5]Model!N43</f>
        <v>578.80834824</v>
      </c>
      <c r="P266" s="505">
        <f>[5]Model!O43</f>
        <v>749.74190374</v>
      </c>
      <c r="Q266" s="505">
        <f>[5]Model!P43</f>
        <v>882.06197635</v>
      </c>
      <c r="R266" s="505">
        <f>[5]Model!Q43</f>
        <v>695.58247016</v>
      </c>
      <c r="S266" s="505">
        <f>[5]Model!R43</f>
        <v>3125.07658297</v>
      </c>
      <c r="T266" s="505">
        <f>[5]Model!S43</f>
        <v>10708.45333365</v>
      </c>
      <c r="U266" s="505">
        <f>[5]Model!T43</f>
        <v>23528.4692591845</v>
      </c>
      <c r="V266" s="505">
        <f>[5]Model!U43</f>
        <v>34344.7070456781</v>
      </c>
      <c r="W266" s="505">
        <f>[5]Model!V43</f>
        <v>39482.9184707714</v>
      </c>
      <c r="X266" s="505"/>
      <c r="Y266" s="505">
        <f>[5]Model!AB43</f>
        <v>29.14809496</v>
      </c>
      <c r="Z266" s="505">
        <f>[5]Model!AC43</f>
        <v>30.68839229</v>
      </c>
      <c r="AA266" s="505">
        <f>[5]Model!AD43</f>
        <v>25.64485931</v>
      </c>
      <c r="AB266" s="505">
        <f>[5]Model!AE43</f>
        <v>28.1154843</v>
      </c>
      <c r="AC266" s="505">
        <f>[5]Model!AF43</f>
        <v>24.41185671</v>
      </c>
      <c r="AD266" s="505">
        <f>[5]Model!AG43</f>
        <v>34.07373127</v>
      </c>
      <c r="AE266" s="505">
        <f>[5]Model!AH43</f>
        <v>36.20255226</v>
      </c>
      <c r="AF266" s="505">
        <f>[5]Model!AI43</f>
        <v>28.98566061</v>
      </c>
      <c r="AG266" s="505">
        <f>[5]Model!AJ43</f>
        <v>32.87329918</v>
      </c>
      <c r="AH266" s="505">
        <f>[5]Model!AK43</f>
        <v>41.78417012</v>
      </c>
      <c r="AI266" s="505">
        <f>[5]Model!AL43</f>
        <v>42.46287295</v>
      </c>
      <c r="AJ266" s="505">
        <f>[5]Model!AM43</f>
        <v>11.49310472</v>
      </c>
      <c r="AK266" s="505">
        <f>[5]Model!AN43</f>
        <v>2.45486784000001</v>
      </c>
      <c r="AL266" s="505">
        <f>[5]Model!AO43</f>
        <v>-9.86505361000003</v>
      </c>
      <c r="AM266" s="505">
        <f>[5]Model!AP43</f>
        <v>16.3697635</v>
      </c>
      <c r="AN266" s="505">
        <f>[5]Model!AQ43</f>
        <v>34.12591484</v>
      </c>
      <c r="AO266" s="505">
        <f>[5]Model!AR43</f>
        <v>42.76535609</v>
      </c>
      <c r="AP266" s="505">
        <f>[5]Model!AS43</f>
        <v>47.33923207</v>
      </c>
      <c r="AQ266" s="505">
        <f>[5]Model!AT43</f>
        <v>63.96253325</v>
      </c>
      <c r="AR266" s="505">
        <f>[5]Model!AU43</f>
        <v>103.42372407</v>
      </c>
      <c r="AS266" s="505">
        <f>[5]Model!AV43</f>
        <v>68.24614164</v>
      </c>
      <c r="AT266" s="505">
        <f>[5]Model!AW43</f>
        <v>174.60097134</v>
      </c>
      <c r="AU266" s="505">
        <f>[5]Model!AX43</f>
        <v>187.19197297</v>
      </c>
      <c r="AV266" s="505">
        <f>[5]Model!AY43</f>
        <v>148.76926229</v>
      </c>
      <c r="AW266" s="505">
        <f>[5]Model!AZ43</f>
        <v>157.60976829</v>
      </c>
      <c r="AX266" s="505">
        <f>[5]Model!BA43</f>
        <v>245.80574884</v>
      </c>
      <c r="AY266" s="505">
        <f>[5]Model!BB43</f>
        <v>132.31618903</v>
      </c>
      <c r="AZ266" s="505">
        <f>[5]Model!BC43</f>
        <v>214.01019758</v>
      </c>
      <c r="BA266" s="505">
        <f>[5]Model!BD43</f>
        <v>193.77061258</v>
      </c>
      <c r="BB266" s="505">
        <f>[5]Model!BE43</f>
        <v>176.40753323</v>
      </c>
      <c r="BC266" s="505">
        <f>[5]Model!BF43</f>
        <v>269.70285367</v>
      </c>
      <c r="BD266" s="505">
        <f>[5]Model!BG43</f>
        <v>242.18097687</v>
      </c>
      <c r="BE266" s="505">
        <f>[5]Model!BH43</f>
        <v>145.19085096</v>
      </c>
      <c r="BF266" s="505">
        <f>[5]Model!BI43</f>
        <v>117.20898529</v>
      </c>
      <c r="BG266" s="505">
        <f>[5]Model!BJ43</f>
        <v>128.85919558</v>
      </c>
      <c r="BH266" s="505">
        <f>[5]Model!BK43</f>
        <v>304.32343833</v>
      </c>
      <c r="BI266" s="505">
        <f>[5]Model!BL43</f>
        <v>362.91918487</v>
      </c>
      <c r="BJ266" s="505">
        <f>[5]Model!BM43</f>
        <v>567.587277</v>
      </c>
      <c r="BK266" s="505">
        <f>[5]Model!BN43</f>
        <v>865.86845579</v>
      </c>
      <c r="BL266" s="505">
        <f>[5]Model!BO43</f>
        <v>1328.70166531</v>
      </c>
      <c r="BM266" s="505">
        <f>[5]Model!BP43</f>
        <v>1752.94512141</v>
      </c>
      <c r="BN266" s="505">
        <f>[5]Model!BQ43</f>
        <v>2640.77603003</v>
      </c>
      <c r="BO266" s="505">
        <f>[5]Model!BR43</f>
        <v>2575.14032537</v>
      </c>
      <c r="BP266" s="505">
        <f>[5]Model!BS43</f>
        <v>3739.59185684</v>
      </c>
      <c r="BQ266" s="505">
        <f>[5]Model!BT43</f>
        <v>3835.46768295</v>
      </c>
      <c r="BR266" s="505">
        <f>[5]Model!BU43</f>
        <v>5105.323746958</v>
      </c>
      <c r="BS266" s="505">
        <f>[5]Model!BV43</f>
        <v>7001.13985229744</v>
      </c>
      <c r="BT266" s="505">
        <f>[5]Model!BW43</f>
        <v>7586.53797697903</v>
      </c>
      <c r="BU266" s="505">
        <f>[5]Model!BX43</f>
        <v>6639.48295357015</v>
      </c>
      <c r="BV266" s="505">
        <f>[5]Model!BY43</f>
        <v>7758.38999168601</v>
      </c>
      <c r="BW266" s="505">
        <f>[5]Model!BZ43</f>
        <v>10419.1230532892</v>
      </c>
      <c r="BX266" s="505">
        <f>[5]Model!CA43</f>
        <v>9527.7110471327</v>
      </c>
    </row>
    <row r="267" outlineLevel="2" spans="2:76">
      <c r="B267" t="s">
        <v>575</v>
      </c>
      <c r="C267" t="s">
        <v>576</v>
      </c>
      <c r="D267" t="str">
        <f t="shared" si="16"/>
        <v>CNY</v>
      </c>
      <c r="F267" s="505">
        <f t="shared" ref="F267:W267" si="26">F30</f>
        <v>62.6278977</v>
      </c>
      <c r="G267" s="505">
        <f t="shared" si="26"/>
        <v>77.57693206</v>
      </c>
      <c r="H267" s="505">
        <f t="shared" si="26"/>
        <v>93.35920653</v>
      </c>
      <c r="I267" s="505">
        <f t="shared" si="26"/>
        <v>108.19541474</v>
      </c>
      <c r="J267" s="505">
        <f t="shared" si="26"/>
        <v>110.47321434</v>
      </c>
      <c r="K267" s="505">
        <f t="shared" si="26"/>
        <v>128.02857917</v>
      </c>
      <c r="L267" s="505">
        <f t="shared" si="26"/>
        <v>127.53738864</v>
      </c>
      <c r="M267" s="505">
        <f t="shared" si="26"/>
        <v>35.51037374</v>
      </c>
      <c r="N267" s="505">
        <f t="shared" si="26"/>
        <v>243.95119307</v>
      </c>
      <c r="O267" s="505">
        <f t="shared" si="26"/>
        <v>561.59909655</v>
      </c>
      <c r="P267" s="505">
        <f t="shared" si="26"/>
        <v>763.07317571</v>
      </c>
      <c r="Q267" s="505">
        <f t="shared" si="26"/>
        <v>1027.86484307</v>
      </c>
      <c r="R267" s="505">
        <f t="shared" si="26"/>
        <v>788.72812029</v>
      </c>
      <c r="S267" s="505">
        <f t="shared" si="26"/>
        <v>3234.21003673</v>
      </c>
      <c r="T267" s="505">
        <f t="shared" si="26"/>
        <v>10865.71903686</v>
      </c>
      <c r="U267" s="505">
        <f t="shared" si="26"/>
        <v>23713.5859715945</v>
      </c>
      <c r="V267" s="505">
        <f t="shared" si="26"/>
        <v>34376.7070456781</v>
      </c>
      <c r="W267" s="505">
        <f t="shared" si="26"/>
        <v>39514.9184707714</v>
      </c>
      <c r="X267" s="505"/>
      <c r="Y267" s="505">
        <f t="shared" ref="Y267:BD267" si="27">Y30</f>
        <v>29.11439223</v>
      </c>
      <c r="Z267" s="505">
        <f t="shared" si="27"/>
        <v>31.22748051</v>
      </c>
      <c r="AA267" s="505">
        <f t="shared" si="27"/>
        <v>23.39950476</v>
      </c>
      <c r="AB267" s="505">
        <f t="shared" si="27"/>
        <v>26.73183684</v>
      </c>
      <c r="AC267" s="505">
        <f t="shared" si="27"/>
        <v>25.347175</v>
      </c>
      <c r="AD267" s="505">
        <f t="shared" si="27"/>
        <v>32.56912973</v>
      </c>
      <c r="AE267" s="505">
        <f t="shared" si="27"/>
        <v>40.45962127</v>
      </c>
      <c r="AF267" s="505">
        <f t="shared" si="27"/>
        <v>29.65265317</v>
      </c>
      <c r="AG267" s="505">
        <f t="shared" si="27"/>
        <v>35.27624929</v>
      </c>
      <c r="AH267" s="505">
        <f t="shared" si="27"/>
        <v>38.86755318</v>
      </c>
      <c r="AI267" s="505">
        <f t="shared" si="27"/>
        <v>40.75793337</v>
      </c>
      <c r="AJ267" s="505">
        <f t="shared" si="27"/>
        <v>12.6356528</v>
      </c>
      <c r="AK267" s="505">
        <f t="shared" si="27"/>
        <v>-4.21533163</v>
      </c>
      <c r="AL267" s="505">
        <f t="shared" si="27"/>
        <v>-13.29411824</v>
      </c>
      <c r="AM267" s="505">
        <f t="shared" si="27"/>
        <v>24.25363277</v>
      </c>
      <c r="AN267" s="505">
        <f t="shared" si="27"/>
        <v>28.76619084</v>
      </c>
      <c r="AO267" s="505">
        <f t="shared" si="27"/>
        <v>38.24166385</v>
      </c>
      <c r="AP267" s="505">
        <f t="shared" si="27"/>
        <v>56.84421744</v>
      </c>
      <c r="AQ267" s="505">
        <f t="shared" si="27"/>
        <v>61.94501851</v>
      </c>
      <c r="AR267" s="505">
        <f t="shared" si="27"/>
        <v>86.92029327</v>
      </c>
      <c r="AS267" s="505">
        <f t="shared" si="27"/>
        <v>66.22737772</v>
      </c>
      <c r="AT267" s="505">
        <f t="shared" si="27"/>
        <v>158.56192595</v>
      </c>
      <c r="AU267" s="505">
        <f t="shared" si="27"/>
        <v>177.45929785</v>
      </c>
      <c r="AV267" s="505">
        <f t="shared" si="27"/>
        <v>159.35049503</v>
      </c>
      <c r="AW267" s="505">
        <f t="shared" si="27"/>
        <v>136.9955633</v>
      </c>
      <c r="AX267" s="505">
        <f t="shared" si="27"/>
        <v>243.10482493</v>
      </c>
      <c r="AY267" s="505">
        <f t="shared" si="27"/>
        <v>157.34392322</v>
      </c>
      <c r="AZ267" s="505">
        <f t="shared" si="27"/>
        <v>225.62886426</v>
      </c>
      <c r="BA267" s="505">
        <f t="shared" si="27"/>
        <v>156.25975137</v>
      </c>
      <c r="BB267" s="505">
        <f t="shared" si="27"/>
        <v>367.73023304</v>
      </c>
      <c r="BC267" s="505">
        <f t="shared" si="27"/>
        <v>338.76758483</v>
      </c>
      <c r="BD267" s="505">
        <f t="shared" si="27"/>
        <v>165.10727383</v>
      </c>
      <c r="BE267" s="505">
        <f t="shared" ref="BE267:BX267" si="28">BE30</f>
        <v>127.79096911</v>
      </c>
      <c r="BF267" s="505">
        <f t="shared" si="28"/>
        <v>200.39036091</v>
      </c>
      <c r="BG267" s="505">
        <f t="shared" si="28"/>
        <v>157.87316903</v>
      </c>
      <c r="BH267" s="505">
        <f t="shared" si="28"/>
        <v>302.67362124</v>
      </c>
      <c r="BI267" s="505">
        <f t="shared" si="28"/>
        <v>372.3710459</v>
      </c>
      <c r="BJ267" s="505">
        <f t="shared" si="28"/>
        <v>608.80105951</v>
      </c>
      <c r="BK267" s="505">
        <f t="shared" si="28"/>
        <v>888.62073582</v>
      </c>
      <c r="BL267" s="505">
        <f t="shared" si="28"/>
        <v>1364.4171955</v>
      </c>
      <c r="BM267" s="505">
        <f t="shared" si="28"/>
        <v>1773.2538348</v>
      </c>
      <c r="BN267" s="505">
        <f t="shared" si="28"/>
        <v>2675.13137524</v>
      </c>
      <c r="BO267" s="505">
        <f t="shared" si="28"/>
        <v>2602.14829652</v>
      </c>
      <c r="BP267" s="505">
        <f t="shared" si="28"/>
        <v>3815.1855303</v>
      </c>
      <c r="BQ267" s="505">
        <f t="shared" si="28"/>
        <v>3246.58439536</v>
      </c>
      <c r="BR267" s="505">
        <f t="shared" si="28"/>
        <v>5313.323746958</v>
      </c>
      <c r="BS267" s="505">
        <f t="shared" si="28"/>
        <v>7259.13985229744</v>
      </c>
      <c r="BT267" s="505">
        <f t="shared" si="28"/>
        <v>7894.53797697903</v>
      </c>
      <c r="BU267" s="505">
        <f t="shared" si="28"/>
        <v>6647.48295357015</v>
      </c>
      <c r="BV267" s="505">
        <f t="shared" si="28"/>
        <v>7766.38999168601</v>
      </c>
      <c r="BW267" s="505">
        <f t="shared" si="28"/>
        <v>10427.1230532892</v>
      </c>
      <c r="BX267" s="505">
        <f t="shared" si="28"/>
        <v>9535.7110471327</v>
      </c>
    </row>
    <row r="268" outlineLevel="2" spans="2:76">
      <c r="B268" t="s">
        <v>577</v>
      </c>
      <c r="C268" t="s">
        <v>578</v>
      </c>
      <c r="D268" t="str">
        <f t="shared" si="16"/>
        <v>CNY</v>
      </c>
      <c r="F268" s="505">
        <f t="shared" ref="F268:W268" si="29">F11</f>
        <v>304.92842752</v>
      </c>
      <c r="G268" s="505">
        <f t="shared" si="29"/>
        <v>347.56806684</v>
      </c>
      <c r="H268" s="505">
        <f t="shared" si="29"/>
        <v>461.04899576</v>
      </c>
      <c r="I268" s="505">
        <f t="shared" si="29"/>
        <v>522.63426833</v>
      </c>
      <c r="J268" s="505">
        <f t="shared" si="29"/>
        <v>615.11957513</v>
      </c>
      <c r="K268" s="505">
        <f t="shared" si="29"/>
        <v>713.93165081</v>
      </c>
      <c r="L268" s="505">
        <f t="shared" si="29"/>
        <v>877.36536178</v>
      </c>
      <c r="M268" s="505">
        <f t="shared" si="29"/>
        <v>759.9502845</v>
      </c>
      <c r="N268" s="505">
        <f t="shared" si="29"/>
        <v>1164.87368236</v>
      </c>
      <c r="O268" s="505">
        <f t="shared" si="29"/>
        <v>1997.93774627</v>
      </c>
      <c r="P268" s="505">
        <f t="shared" si="29"/>
        <v>2908.37606376</v>
      </c>
      <c r="Q268" s="505">
        <f t="shared" si="29"/>
        <v>3310.57379053</v>
      </c>
      <c r="R268" s="505">
        <f t="shared" si="29"/>
        <v>3097.60575052</v>
      </c>
      <c r="S268" s="505">
        <f t="shared" si="29"/>
        <v>8646.83113432</v>
      </c>
      <c r="T268" s="505">
        <f t="shared" si="29"/>
        <v>24841.85484022</v>
      </c>
      <c r="U268" s="505">
        <f t="shared" si="29"/>
        <v>51456.5394979234</v>
      </c>
      <c r="V268" s="505">
        <f t="shared" si="29"/>
        <v>73910.5906869271</v>
      </c>
      <c r="W268" s="505">
        <f t="shared" si="29"/>
        <v>84975.3756301849</v>
      </c>
      <c r="X268" s="505"/>
      <c r="Y268" s="505">
        <f t="shared" ref="Y268:BD268" si="30">Y11</f>
        <v>141.26115612</v>
      </c>
      <c r="Z268" s="505">
        <f t="shared" si="30"/>
        <v>166.47504462</v>
      </c>
      <c r="AA268" s="505">
        <f t="shared" si="30"/>
        <v>142.2000494</v>
      </c>
      <c r="AB268" s="505">
        <f t="shared" si="30"/>
        <v>165.18332499</v>
      </c>
      <c r="AC268" s="505">
        <f t="shared" si="30"/>
        <v>146.32100267</v>
      </c>
      <c r="AD268" s="505">
        <f t="shared" si="30"/>
        <v>192.79163165</v>
      </c>
      <c r="AE268" s="505">
        <f t="shared" si="30"/>
        <v>170.51716972</v>
      </c>
      <c r="AF268" s="505">
        <f t="shared" si="30"/>
        <v>204.30184677</v>
      </c>
      <c r="AG268" s="505">
        <f t="shared" si="30"/>
        <v>191.53570996</v>
      </c>
      <c r="AH268" s="505">
        <f t="shared" si="30"/>
        <v>239.17685161</v>
      </c>
      <c r="AI268" s="505">
        <f t="shared" si="30"/>
        <v>231.21158907</v>
      </c>
      <c r="AJ268" s="505">
        <f t="shared" si="30"/>
        <v>215.44121114</v>
      </c>
      <c r="AK268" s="505">
        <f t="shared" si="30"/>
        <v>177.5089283</v>
      </c>
      <c r="AL268" s="505">
        <f t="shared" si="30"/>
        <v>158.56942817</v>
      </c>
      <c r="AM268" s="505">
        <f t="shared" si="30"/>
        <v>197.98656639</v>
      </c>
      <c r="AN268" s="505">
        <f t="shared" si="30"/>
        <v>225.88536164</v>
      </c>
      <c r="AO268" s="505">
        <f t="shared" si="30"/>
        <v>223.88641514</v>
      </c>
      <c r="AP268" s="505">
        <f t="shared" si="30"/>
        <v>256.45333996</v>
      </c>
      <c r="AQ268" s="505">
        <f t="shared" si="30"/>
        <v>290.90559366</v>
      </c>
      <c r="AR268" s="505">
        <f t="shared" si="30"/>
        <v>393.6283336</v>
      </c>
      <c r="AS268" s="505">
        <f t="shared" si="30"/>
        <v>270.03088597</v>
      </c>
      <c r="AT268" s="505">
        <f t="shared" si="30"/>
        <v>566.52074702</v>
      </c>
      <c r="AU268" s="505">
        <f t="shared" si="30"/>
        <v>600.90346729</v>
      </c>
      <c r="AV268" s="505">
        <f t="shared" si="30"/>
        <v>560.48264599</v>
      </c>
      <c r="AW268" s="505">
        <f t="shared" si="30"/>
        <v>624.32716309</v>
      </c>
      <c r="AX268" s="505">
        <f t="shared" si="30"/>
        <v>816.87541257</v>
      </c>
      <c r="AY268" s="505">
        <f t="shared" si="30"/>
        <v>578.08834829</v>
      </c>
      <c r="AZ268" s="505">
        <f t="shared" si="30"/>
        <v>889.08513981</v>
      </c>
      <c r="BA268" s="505">
        <f t="shared" si="30"/>
        <v>738.51330386</v>
      </c>
      <c r="BB268" s="505">
        <f t="shared" si="30"/>
        <v>740.33465226</v>
      </c>
      <c r="BC268" s="505">
        <f t="shared" si="30"/>
        <v>935.65915654</v>
      </c>
      <c r="BD268" s="505">
        <f t="shared" si="30"/>
        <v>896.06667787</v>
      </c>
      <c r="BE268" s="505">
        <f t="shared" ref="BE268:BX268" si="31">BE11</f>
        <v>600.2228911</v>
      </c>
      <c r="BF268" s="505">
        <f t="shared" si="31"/>
        <v>704.46093392</v>
      </c>
      <c r="BG268" s="505">
        <f t="shared" si="31"/>
        <v>782.3637268</v>
      </c>
      <c r="BH268" s="505">
        <f t="shared" si="31"/>
        <v>1010.5581987</v>
      </c>
      <c r="BI268" s="505">
        <f t="shared" si="31"/>
        <v>1112.85389449</v>
      </c>
      <c r="BJ268" s="505">
        <f t="shared" si="31"/>
        <v>1614.8208769</v>
      </c>
      <c r="BK268" s="505">
        <f t="shared" si="31"/>
        <v>2402.76103713</v>
      </c>
      <c r="BL268" s="505">
        <f t="shared" si="31"/>
        <v>3516.3953258</v>
      </c>
      <c r="BM268" s="505">
        <f t="shared" si="31"/>
        <v>4052.25653837</v>
      </c>
      <c r="BN268" s="505">
        <f t="shared" si="31"/>
        <v>6384.91372713</v>
      </c>
      <c r="BO268" s="505">
        <f t="shared" si="31"/>
        <v>6067.6209458</v>
      </c>
      <c r="BP268" s="505">
        <f t="shared" si="31"/>
        <v>8337.06362892</v>
      </c>
      <c r="BQ268" s="505">
        <f t="shared" si="31"/>
        <v>8337.90204074</v>
      </c>
      <c r="BR268" s="505">
        <f t="shared" si="31"/>
        <v>11283.2481581162</v>
      </c>
      <c r="BS268" s="505">
        <f t="shared" si="31"/>
        <v>15163.9208087047</v>
      </c>
      <c r="BT268" s="505">
        <f t="shared" si="31"/>
        <v>16671.4684903625</v>
      </c>
      <c r="BU268" s="505">
        <f t="shared" si="31"/>
        <v>15172.0867905676</v>
      </c>
      <c r="BV268" s="505">
        <f t="shared" si="31"/>
        <v>16800.2801642665</v>
      </c>
      <c r="BW268" s="505">
        <f t="shared" si="31"/>
        <v>21661.3203868456</v>
      </c>
      <c r="BX268" s="505">
        <f t="shared" si="31"/>
        <v>20276.9033452475</v>
      </c>
    </row>
    <row r="269" outlineLevel="2" spans="2:76">
      <c r="B269" t="s">
        <v>579</v>
      </c>
      <c r="C269" t="s">
        <v>580</v>
      </c>
      <c r="D269" t="str">
        <f t="shared" si="16"/>
        <v>CNY</v>
      </c>
      <c r="F269" s="505">
        <f t="shared" ref="F269:W269" si="32">F70</f>
        <v>180.04246815</v>
      </c>
      <c r="G269" s="505">
        <f t="shared" si="32"/>
        <v>259.50212603</v>
      </c>
      <c r="H269" s="505">
        <f t="shared" si="32"/>
        <v>338.86089332</v>
      </c>
      <c r="I269" s="505">
        <f t="shared" si="32"/>
        <v>431.25942804</v>
      </c>
      <c r="J269" s="505">
        <f t="shared" si="32"/>
        <v>525.70975613</v>
      </c>
      <c r="K269" s="505">
        <f t="shared" si="32"/>
        <v>995.54874962</v>
      </c>
      <c r="L269" s="505">
        <f t="shared" si="32"/>
        <v>1087.71199121</v>
      </c>
      <c r="M269" s="505">
        <f t="shared" si="32"/>
        <v>1135.77746354</v>
      </c>
      <c r="N269" s="505">
        <f t="shared" si="32"/>
        <v>1327.99382842</v>
      </c>
      <c r="O269" s="505">
        <f t="shared" si="32"/>
        <v>3444.02740185</v>
      </c>
      <c r="P269" s="505">
        <f t="shared" si="32"/>
        <v>3958.72367145</v>
      </c>
      <c r="Q269" s="505">
        <f t="shared" si="32"/>
        <v>4829.16761585</v>
      </c>
      <c r="R269" s="505">
        <f t="shared" si="32"/>
        <v>5465.97847354</v>
      </c>
      <c r="S269" s="505">
        <f t="shared" si="32"/>
        <v>8328.12981786</v>
      </c>
      <c r="T269" s="505">
        <f t="shared" si="32"/>
        <v>18064.2556515</v>
      </c>
      <c r="U269" s="505">
        <f t="shared" si="32"/>
        <v>36625.3800360207</v>
      </c>
      <c r="V269" s="505">
        <f t="shared" si="32"/>
        <v>63697.0368344922</v>
      </c>
      <c r="W269" s="505">
        <f t="shared" si="32"/>
        <v>94815.0351302246</v>
      </c>
      <c r="X269" s="505"/>
      <c r="Y269" s="505">
        <f t="shared" ref="Y269:BD269" si="33">Y70</f>
        <v>0</v>
      </c>
      <c r="Z269" s="505">
        <f t="shared" si="33"/>
        <v>0</v>
      </c>
      <c r="AA269" s="505">
        <f t="shared" si="33"/>
        <v>0</v>
      </c>
      <c r="AB269" s="505">
        <f t="shared" si="33"/>
        <v>0</v>
      </c>
      <c r="AC269" s="505">
        <f t="shared" si="33"/>
        <v>0</v>
      </c>
      <c r="AD269" s="505">
        <f t="shared" si="33"/>
        <v>0</v>
      </c>
      <c r="AE269" s="505">
        <f t="shared" si="33"/>
        <v>0</v>
      </c>
      <c r="AF269" s="505">
        <f t="shared" si="33"/>
        <v>0</v>
      </c>
      <c r="AG269" s="505">
        <f t="shared" si="33"/>
        <v>0</v>
      </c>
      <c r="AH269" s="505">
        <f t="shared" si="33"/>
        <v>0</v>
      </c>
      <c r="AI269" s="505">
        <f t="shared" si="33"/>
        <v>0</v>
      </c>
      <c r="AJ269" s="505">
        <f t="shared" si="33"/>
        <v>0</v>
      </c>
      <c r="AK269" s="505">
        <f t="shared" si="33"/>
        <v>0</v>
      </c>
      <c r="AL269" s="505">
        <f t="shared" si="33"/>
        <v>0</v>
      </c>
      <c r="AM269" s="505">
        <f t="shared" si="33"/>
        <v>0</v>
      </c>
      <c r="AN269" s="505">
        <f t="shared" si="33"/>
        <v>0</v>
      </c>
      <c r="AO269" s="505">
        <f t="shared" si="33"/>
        <v>0</v>
      </c>
      <c r="AP269" s="505">
        <f t="shared" si="33"/>
        <v>0</v>
      </c>
      <c r="AQ269" s="505">
        <f t="shared" si="33"/>
        <v>0</v>
      </c>
      <c r="AR269" s="505">
        <f t="shared" si="33"/>
        <v>0</v>
      </c>
      <c r="AS269" s="505">
        <f t="shared" si="33"/>
        <v>0</v>
      </c>
      <c r="AT269" s="505">
        <f t="shared" si="33"/>
        <v>0</v>
      </c>
      <c r="AU269" s="505">
        <f t="shared" si="33"/>
        <v>0</v>
      </c>
      <c r="AV269" s="505">
        <f t="shared" si="33"/>
        <v>0</v>
      </c>
      <c r="AW269" s="505">
        <f t="shared" si="33"/>
        <v>0</v>
      </c>
      <c r="AX269" s="505">
        <f t="shared" si="33"/>
        <v>0</v>
      </c>
      <c r="AY269" s="505">
        <f t="shared" si="33"/>
        <v>0</v>
      </c>
      <c r="AZ269" s="505">
        <f t="shared" si="33"/>
        <v>0</v>
      </c>
      <c r="BA269" s="505">
        <f t="shared" si="33"/>
        <v>0</v>
      </c>
      <c r="BB269" s="505">
        <f t="shared" si="33"/>
        <v>0</v>
      </c>
      <c r="BC269" s="505">
        <f t="shared" si="33"/>
        <v>0</v>
      </c>
      <c r="BD269" s="505">
        <f t="shared" si="33"/>
        <v>0</v>
      </c>
      <c r="BE269" s="505">
        <f t="shared" ref="BE269:BX269" si="34">BE70</f>
        <v>0</v>
      </c>
      <c r="BF269" s="505">
        <f t="shared" si="34"/>
        <v>0</v>
      </c>
      <c r="BG269" s="505">
        <f t="shared" si="34"/>
        <v>0</v>
      </c>
      <c r="BH269" s="505">
        <f t="shared" si="34"/>
        <v>0</v>
      </c>
      <c r="BI269" s="505">
        <f t="shared" si="34"/>
        <v>0</v>
      </c>
      <c r="BJ269" s="505">
        <f t="shared" si="34"/>
        <v>0</v>
      </c>
      <c r="BK269" s="505">
        <f t="shared" si="34"/>
        <v>0</v>
      </c>
      <c r="BL269" s="505">
        <f t="shared" si="34"/>
        <v>0</v>
      </c>
      <c r="BM269" s="505">
        <f t="shared" si="34"/>
        <v>0</v>
      </c>
      <c r="BN269" s="505">
        <f t="shared" si="34"/>
        <v>0</v>
      </c>
      <c r="BO269" s="505">
        <f t="shared" si="34"/>
        <v>0</v>
      </c>
      <c r="BP269" s="505">
        <f t="shared" si="34"/>
        <v>0</v>
      </c>
      <c r="BQ269" s="505">
        <f t="shared" si="34"/>
        <v>0</v>
      </c>
      <c r="BR269" s="505">
        <f t="shared" si="34"/>
        <v>0</v>
      </c>
      <c r="BS269" s="505">
        <f t="shared" si="34"/>
        <v>0</v>
      </c>
      <c r="BT269" s="505">
        <f t="shared" si="34"/>
        <v>0</v>
      </c>
      <c r="BU269" s="505">
        <f t="shared" si="34"/>
        <v>0</v>
      </c>
      <c r="BV269" s="505">
        <f t="shared" si="34"/>
        <v>0</v>
      </c>
      <c r="BW269" s="505">
        <f t="shared" si="34"/>
        <v>0</v>
      </c>
      <c r="BX269" s="505">
        <f t="shared" si="34"/>
        <v>0</v>
      </c>
    </row>
    <row r="270" outlineLevel="2" spans="2:76">
      <c r="B270" t="s">
        <v>581</v>
      </c>
      <c r="C270" t="s">
        <v>582</v>
      </c>
      <c r="D270" t="str">
        <f t="shared" si="16"/>
        <v>CNY</v>
      </c>
      <c r="F270" s="515"/>
      <c r="G270" s="515"/>
      <c r="H270" s="515"/>
      <c r="I270" s="515"/>
      <c r="J270" s="515"/>
      <c r="K270" s="515"/>
      <c r="L270" s="515"/>
      <c r="M270" s="515"/>
      <c r="N270" s="515"/>
      <c r="O270" s="515"/>
      <c r="P270" s="515"/>
      <c r="Q270" s="515"/>
      <c r="R270" s="515"/>
      <c r="S270" s="515"/>
      <c r="T270" s="515"/>
      <c r="U270" s="515"/>
      <c r="V270" s="515"/>
      <c r="W270" s="515"/>
      <c r="X270" s="515"/>
      <c r="Y270" s="515"/>
      <c r="Z270" s="515"/>
      <c r="AA270" s="515"/>
      <c r="AB270" s="515"/>
      <c r="AC270" s="515"/>
      <c r="AD270" s="515"/>
      <c r="AE270" s="515"/>
      <c r="AF270" s="515"/>
      <c r="AG270" s="515"/>
      <c r="AH270" s="515"/>
      <c r="AI270" s="515"/>
      <c r="AJ270" s="515"/>
      <c r="AK270" s="515"/>
      <c r="AL270" s="515"/>
      <c r="AM270" s="515"/>
      <c r="AN270" s="515"/>
      <c r="AO270" s="515"/>
      <c r="AP270" s="515"/>
      <c r="AQ270" s="515"/>
      <c r="AR270" s="515"/>
      <c r="AS270" s="515"/>
      <c r="AT270" s="515"/>
      <c r="AU270" s="515"/>
      <c r="AV270" s="515"/>
      <c r="AW270" s="515"/>
      <c r="AX270" s="515"/>
      <c r="AY270" s="515"/>
      <c r="AZ270" s="515"/>
      <c r="BA270" s="515"/>
      <c r="BB270" s="515"/>
      <c r="BC270" s="515"/>
      <c r="BD270" s="515"/>
      <c r="BE270" s="515"/>
      <c r="BF270" s="515"/>
      <c r="BG270" s="515"/>
      <c r="BH270" s="515"/>
      <c r="BI270" s="515"/>
      <c r="BJ270" s="515"/>
      <c r="BK270" s="515"/>
      <c r="BL270" s="515"/>
      <c r="BM270" s="515"/>
      <c r="BN270" s="515"/>
      <c r="BO270" s="515"/>
      <c r="BP270" s="515"/>
      <c r="BQ270" s="515"/>
      <c r="BR270" s="515"/>
      <c r="BS270" s="515"/>
      <c r="BT270" s="515"/>
      <c r="BU270" s="515"/>
      <c r="BV270" s="515"/>
      <c r="BW270" s="515"/>
      <c r="BX270" s="515"/>
    </row>
    <row r="271" s="495" customFormat="1" outlineLevel="1" spans="1:4">
      <c r="A271" s="501" t="s">
        <v>81</v>
      </c>
      <c r="B271" s="501"/>
      <c r="C271" s="501"/>
      <c r="D271" s="501"/>
    </row>
    <row r="272" outlineLevel="2" spans="2:76">
      <c r="B272" t="s">
        <v>583</v>
      </c>
      <c r="C272" t="s">
        <v>584</v>
      </c>
      <c r="D272" t="str">
        <f t="shared" ref="D272:D284" si="35">E_CURRENCY_EQTY_200022336_REP</f>
        <v>CNY</v>
      </c>
      <c r="F272" s="505">
        <f>-[5]Model!E36</f>
        <v>-10.05311278</v>
      </c>
      <c r="G272" s="505">
        <f>-[5]Model!F36</f>
        <v>-11.82922418</v>
      </c>
      <c r="H272" s="505">
        <f>-[5]Model!G36</f>
        <v>-14.00043924</v>
      </c>
      <c r="I272" s="505">
        <f>-[5]Model!H36</f>
        <v>-15.79688002</v>
      </c>
      <c r="J272" s="505">
        <f>-[5]Model!I36</f>
        <v>-16.02288625</v>
      </c>
      <c r="K272" s="505">
        <f>-[5]Model!J36</f>
        <v>-22.74179601</v>
      </c>
      <c r="L272" s="505">
        <f>-[5]Model!K36</f>
        <v>-16.446483</v>
      </c>
      <c r="M272" s="505">
        <f>-[5]Model!L36</f>
        <v>-3.67804015</v>
      </c>
      <c r="N272" s="505">
        <f>-[5]Model!M36</f>
        <v>-31.09463656</v>
      </c>
      <c r="O272" s="505">
        <f>-[5]Model!N36</f>
        <v>-69.84069308</v>
      </c>
      <c r="P272" s="505">
        <f>-[5]Model!O36</f>
        <v>-101.14703666</v>
      </c>
      <c r="Q272" s="505">
        <f>-[5]Model!P36</f>
        <v>-124.28375226</v>
      </c>
      <c r="R272" s="505">
        <f>-[5]Model!Q36</f>
        <v>-100.36702517</v>
      </c>
      <c r="S272" s="505">
        <f>-[5]Model!R36</f>
        <v>-396.39641236</v>
      </c>
      <c r="T272" s="505">
        <f>-[5]Model!S36</f>
        <v>-1312.44281971</v>
      </c>
      <c r="U272" s="505">
        <f>-[5]Model!T36</f>
        <v>-2964.19824644931</v>
      </c>
      <c r="V272" s="505">
        <f>-[5]Model!U36</f>
        <v>-4297.08838070976</v>
      </c>
      <c r="W272" s="505">
        <f>-[5]Model!V36</f>
        <v>-4939.36480884642</v>
      </c>
      <c r="X272" s="505"/>
      <c r="Y272" s="505">
        <f>-[5]Model!AB36</f>
        <v>-4.3355021</v>
      </c>
      <c r="Z272" s="505">
        <f>-[5]Model!AC36</f>
        <v>-4.59091814</v>
      </c>
      <c r="AA272" s="505">
        <f>-[5]Model!AD36</f>
        <v>-3.42917318</v>
      </c>
      <c r="AB272" s="505">
        <f>-[5]Model!AE36</f>
        <v>-3.66729283</v>
      </c>
      <c r="AC272" s="505">
        <f>-[5]Model!AF36</f>
        <v>-3.86829695</v>
      </c>
      <c r="AD272" s="505">
        <f>-[5]Model!AG36</f>
        <v>-5.57770143</v>
      </c>
      <c r="AE272" s="505">
        <f>-[5]Model!AH36</f>
        <v>-8.43370111</v>
      </c>
      <c r="AF272" s="505">
        <f>-[5]Model!AI36</f>
        <v>-4.86209652</v>
      </c>
      <c r="AG272" s="505">
        <f>-[5]Model!AJ36</f>
        <v>-5.3998228</v>
      </c>
      <c r="AH272" s="505">
        <f>-[5]Model!AK36</f>
        <v>-6.08537361</v>
      </c>
      <c r="AI272" s="505">
        <f>-[5]Model!AL36</f>
        <v>-6.79496364</v>
      </c>
      <c r="AJ272" s="505">
        <f>-[5]Model!AM36</f>
        <v>1.83367705</v>
      </c>
      <c r="AK272" s="505">
        <f>-[5]Model!AN36</f>
        <v>0.57791537</v>
      </c>
      <c r="AL272" s="505">
        <f>-[5]Model!AO36</f>
        <v>1.77698127</v>
      </c>
      <c r="AM272" s="505">
        <f>-[5]Model!AP36</f>
        <v>-3.68360346</v>
      </c>
      <c r="AN272" s="505">
        <f>-[5]Model!AQ36</f>
        <v>-2.34933333</v>
      </c>
      <c r="AO272" s="505">
        <f>-[5]Model!AR36</f>
        <v>-5.83031894</v>
      </c>
      <c r="AP272" s="505">
        <f>-[5]Model!AS36</f>
        <v>-8.59256299</v>
      </c>
      <c r="AQ272" s="505">
        <f>-[5]Model!AT36</f>
        <v>-9.62682648</v>
      </c>
      <c r="AR272" s="505">
        <f>-[5]Model!AU36</f>
        <v>-7.04492815</v>
      </c>
      <c r="AS272" s="505">
        <f>-[5]Model!AV36</f>
        <v>-10.01117046</v>
      </c>
      <c r="AT272" s="505">
        <f>-[5]Model!AW36</f>
        <v>-23.56121825</v>
      </c>
      <c r="AU272" s="505">
        <f>-[5]Model!AX36</f>
        <v>-26.8282912</v>
      </c>
      <c r="AV272" s="505">
        <f>-[5]Model!AY36</f>
        <v>-9.44001317</v>
      </c>
      <c r="AW272" s="505">
        <f>-[5]Model!AZ36</f>
        <v>-24.58961034</v>
      </c>
      <c r="AX272" s="505">
        <f>-[5]Model!BA36</f>
        <v>-32.50556689</v>
      </c>
      <c r="AY272" s="505">
        <f>-[5]Model!BB36</f>
        <v>-15.48162835</v>
      </c>
      <c r="AZ272" s="505">
        <f>-[5]Model!BC36</f>
        <v>-28.57023108</v>
      </c>
      <c r="BA272" s="505">
        <f>-[5]Model!BD36</f>
        <v>-23.83691625</v>
      </c>
      <c r="BB272" s="505">
        <f>-[5]Model!BE36</f>
        <v>-39.06617232</v>
      </c>
      <c r="BC272" s="505">
        <f>-[5]Model!BF36</f>
        <v>-37.42022879</v>
      </c>
      <c r="BD272" s="505">
        <f>-[5]Model!BG36</f>
        <v>-23.9604349</v>
      </c>
      <c r="BE272" s="505">
        <f>-[5]Model!BH36</f>
        <v>-19.95615609</v>
      </c>
      <c r="BF272" s="505">
        <f>-[5]Model!BI36</f>
        <v>-19.86029001</v>
      </c>
      <c r="BG272" s="505">
        <f>-[5]Model!BJ36</f>
        <v>-16.67454943</v>
      </c>
      <c r="BH272" s="505">
        <f>-[5]Model!BK36</f>
        <v>-43.87602964</v>
      </c>
      <c r="BI272" s="505">
        <f>-[5]Model!BL36</f>
        <v>-47.83051169</v>
      </c>
      <c r="BJ272" s="505">
        <f>-[5]Model!BM36</f>
        <v>-68.19949957</v>
      </c>
      <c r="BK272" s="505">
        <f>-[5]Model!BN36</f>
        <v>-107.68995876</v>
      </c>
      <c r="BL272" s="505">
        <f>-[5]Model!BO36</f>
        <v>-172.67644234</v>
      </c>
      <c r="BM272" s="505">
        <f>-[5]Model!BP36</f>
        <v>-200.72804558</v>
      </c>
      <c r="BN272" s="505">
        <f>-[5]Model!BQ36</f>
        <v>-305.36289609</v>
      </c>
      <c r="BO272" s="505">
        <f>-[5]Model!BR36</f>
        <v>-217.35005705</v>
      </c>
      <c r="BP272" s="505">
        <f>-[5]Model!BS36</f>
        <v>-589.00182099</v>
      </c>
      <c r="BQ272" s="505">
        <f>-[5]Model!BT36</f>
        <v>-405.82304942</v>
      </c>
      <c r="BR272" s="505">
        <f>-[5]Model!BU36</f>
        <v>-664.16546836975</v>
      </c>
      <c r="BS272" s="505">
        <f>-[5]Model!BV36</f>
        <v>-907.39248153718</v>
      </c>
      <c r="BT272" s="505">
        <f>-[5]Model!BW36</f>
        <v>-986.817247122379</v>
      </c>
      <c r="BU272" s="505">
        <f>-[5]Model!BX36</f>
        <v>-830.935369196269</v>
      </c>
      <c r="BV272" s="505">
        <f>-[5]Model!BY36</f>
        <v>-970.798748960752</v>
      </c>
      <c r="BW272" s="505">
        <f>-[5]Model!BZ36</f>
        <v>-1303.39038166115</v>
      </c>
      <c r="BX272" s="505">
        <f>-[5]Model!CA36</f>
        <v>-1191.96388089159</v>
      </c>
    </row>
    <row r="273" outlineLevel="2" spans="2:76">
      <c r="B273" t="s">
        <v>197</v>
      </c>
      <c r="C273" t="s">
        <v>585</v>
      </c>
      <c r="D273" t="str">
        <f t="shared" si="35"/>
        <v>CNY</v>
      </c>
      <c r="F273" s="505">
        <f>-[5]Model!E37</f>
        <v>0</v>
      </c>
      <c r="G273" s="505">
        <f>-[5]Model!F37</f>
        <v>0</v>
      </c>
      <c r="H273" s="505">
        <f>-[5]Model!G37</f>
        <v>0</v>
      </c>
      <c r="I273" s="505">
        <f>-[5]Model!H37</f>
        <v>0</v>
      </c>
      <c r="J273" s="505">
        <f>-[5]Model!I37</f>
        <v>0</v>
      </c>
      <c r="K273" s="505">
        <f>-[5]Model!J37</f>
        <v>0</v>
      </c>
      <c r="L273" s="505">
        <f>-[5]Model!K37</f>
        <v>0</v>
      </c>
      <c r="M273" s="505">
        <f>-[5]Model!L37</f>
        <v>0</v>
      </c>
      <c r="N273" s="505">
        <f>-[5]Model!M37</f>
        <v>0</v>
      </c>
      <c r="O273" s="505">
        <f>-[5]Model!N37</f>
        <v>0</v>
      </c>
      <c r="P273" s="505">
        <f>-[5]Model!O37</f>
        <v>0</v>
      </c>
      <c r="Q273" s="505">
        <f>-[5]Model!P37</f>
        <v>2.8421709430404e-14</v>
      </c>
      <c r="R273" s="505">
        <f>-[5]Model!Q37</f>
        <v>-4.2632564145606e-14</v>
      </c>
      <c r="S273" s="505">
        <f>-[5]Model!R37</f>
        <v>1.13686837721616e-13</v>
      </c>
      <c r="T273" s="505">
        <f>-[5]Model!S37</f>
        <v>-21.353486980001</v>
      </c>
      <c r="U273" s="505">
        <f>-[5]Model!T37</f>
        <v>-66.5650826000001</v>
      </c>
      <c r="V273" s="505">
        <f>-[5]Model!U37</f>
        <v>0</v>
      </c>
      <c r="W273" s="505">
        <f>-[5]Model!V37</f>
        <v>0</v>
      </c>
      <c r="X273" s="505"/>
      <c r="Y273" s="505">
        <f>-[5]Model!AB37</f>
        <v>0</v>
      </c>
      <c r="Z273" s="505">
        <f>-[5]Model!AC37</f>
        <v>0</v>
      </c>
      <c r="AA273" s="505">
        <f>-[5]Model!AD37</f>
        <v>0</v>
      </c>
      <c r="AB273" s="505">
        <f>-[5]Model!AE37</f>
        <v>0</v>
      </c>
      <c r="AC273" s="505">
        <f>-[5]Model!AF37</f>
        <v>0</v>
      </c>
      <c r="AD273" s="505">
        <f>-[5]Model!AG37</f>
        <v>0</v>
      </c>
      <c r="AE273" s="505">
        <f>-[5]Model!AH37</f>
        <v>0</v>
      </c>
      <c r="AF273" s="505">
        <f>-[5]Model!AI37</f>
        <v>0</v>
      </c>
      <c r="AG273" s="505">
        <f>-[5]Model!AJ37</f>
        <v>0</v>
      </c>
      <c r="AH273" s="505">
        <f>-[5]Model!AK37</f>
        <v>0</v>
      </c>
      <c r="AI273" s="505">
        <f>-[5]Model!AL37</f>
        <v>0</v>
      </c>
      <c r="AJ273" s="505">
        <f>-[5]Model!AM37</f>
        <v>0</v>
      </c>
      <c r="AK273" s="505">
        <f>-[5]Model!AN37</f>
        <v>0</v>
      </c>
      <c r="AL273" s="505">
        <f>-[5]Model!AO37</f>
        <v>0</v>
      </c>
      <c r="AM273" s="505">
        <f>-[5]Model!AP37</f>
        <v>0</v>
      </c>
      <c r="AN273" s="505">
        <f>-[5]Model!AQ37</f>
        <v>3.5527136788005e-15</v>
      </c>
      <c r="AO273" s="505">
        <f>-[5]Model!AR37</f>
        <v>-7.105427357601e-15</v>
      </c>
      <c r="AP273" s="505">
        <f>-[5]Model!AS37</f>
        <v>7.105427357601e-15</v>
      </c>
      <c r="AQ273" s="505">
        <f>-[5]Model!AT37</f>
        <v>0</v>
      </c>
      <c r="AR273" s="505">
        <f>-[5]Model!AU37</f>
        <v>0</v>
      </c>
      <c r="AS273" s="505">
        <f>-[5]Model!AV37</f>
        <v>7.105427357601e-15</v>
      </c>
      <c r="AT273" s="505">
        <f>-[5]Model!AW37</f>
        <v>0</v>
      </c>
      <c r="AU273" s="505">
        <f>-[5]Model!AX37</f>
        <v>2.8421709430404e-14</v>
      </c>
      <c r="AV273" s="505">
        <f>-[5]Model!AY37</f>
        <v>0</v>
      </c>
      <c r="AW273" s="505">
        <f>-[5]Model!AZ37</f>
        <v>-1.4210854715202e-14</v>
      </c>
      <c r="AX273" s="505">
        <f>-[5]Model!BA37</f>
        <v>0</v>
      </c>
      <c r="AY273" s="505">
        <f>-[5]Model!BB37</f>
        <v>0</v>
      </c>
      <c r="AZ273" s="505">
        <f>-[5]Model!BC37</f>
        <v>0</v>
      </c>
      <c r="BA273" s="505">
        <f>-[5]Model!BD37</f>
        <v>0</v>
      </c>
      <c r="BB273" s="505">
        <f>-[5]Model!BE37</f>
        <v>0</v>
      </c>
      <c r="BC273" s="505">
        <f>-[5]Model!BF37</f>
        <v>5.6843418860808e-14</v>
      </c>
      <c r="BD273" s="505">
        <f>-[5]Model!BG37</f>
        <v>-2.8421709430404e-14</v>
      </c>
      <c r="BE273" s="505">
        <f>-[5]Model!BH37</f>
        <v>-1.4210854715202e-14</v>
      </c>
      <c r="BF273" s="505">
        <f>-[5]Model!BI37</f>
        <v>0</v>
      </c>
      <c r="BG273" s="505">
        <f>-[5]Model!BJ37</f>
        <v>-2.8421709430404e-14</v>
      </c>
      <c r="BH273" s="505">
        <f>-[5]Model!BK37</f>
        <v>0</v>
      </c>
      <c r="BI273" s="505">
        <f>-[5]Model!BL37</f>
        <v>0</v>
      </c>
      <c r="BJ273" s="505">
        <f>-[5]Model!BM37</f>
        <v>0</v>
      </c>
      <c r="BK273" s="505">
        <f>-[5]Model!BN37</f>
        <v>-1.13686837721616e-13</v>
      </c>
      <c r="BL273" s="505">
        <f>-[5]Model!BO37</f>
        <v>2.27373675443232e-13</v>
      </c>
      <c r="BM273" s="505">
        <f>-[5]Model!BP37</f>
        <v>0</v>
      </c>
      <c r="BN273" s="505">
        <f>-[5]Model!BQ37</f>
        <v>4.54747350886464e-13</v>
      </c>
      <c r="BO273" s="505">
        <f>-[5]Model!BR37</f>
        <v>-9.09494701772928e-13</v>
      </c>
      <c r="BP273" s="505">
        <f>-[5]Model!BS37</f>
        <v>-21.3534869800005</v>
      </c>
      <c r="BQ273" s="505">
        <f>-[5]Model!BT37</f>
        <v>-66.5650826000001</v>
      </c>
      <c r="BR273" s="505">
        <f>-[5]Model!BU37</f>
        <v>0</v>
      </c>
      <c r="BS273" s="505">
        <f>-[5]Model!BV37</f>
        <v>0</v>
      </c>
      <c r="BT273" s="505">
        <f>-[5]Model!BW37</f>
        <v>0</v>
      </c>
      <c r="BU273" s="505">
        <f>-[5]Model!BX37</f>
        <v>0</v>
      </c>
      <c r="BV273" s="505">
        <f>-[5]Model!BY37</f>
        <v>0</v>
      </c>
      <c r="BW273" s="505">
        <f>-[5]Model!BZ37</f>
        <v>0</v>
      </c>
      <c r="BX273" s="505">
        <f>-[5]Model!CA37</f>
        <v>0</v>
      </c>
    </row>
    <row r="274" outlineLevel="2" spans="2:76">
      <c r="B274" t="s">
        <v>586</v>
      </c>
      <c r="C274" t="s">
        <v>587</v>
      </c>
      <c r="D274" t="str">
        <f t="shared" si="35"/>
        <v>CNY</v>
      </c>
      <c r="F274" s="505">
        <f t="shared" ref="F274:W274" si="36">F30+F272+F273</f>
        <v>52.57478492</v>
      </c>
      <c r="G274" s="505">
        <f t="shared" si="36"/>
        <v>65.74770788</v>
      </c>
      <c r="H274" s="505">
        <f t="shared" si="36"/>
        <v>79.35876729</v>
      </c>
      <c r="I274" s="505">
        <f t="shared" si="36"/>
        <v>92.39853472</v>
      </c>
      <c r="J274" s="505">
        <f t="shared" si="36"/>
        <v>94.45032809</v>
      </c>
      <c r="K274" s="505">
        <f t="shared" si="36"/>
        <v>105.28678316</v>
      </c>
      <c r="L274" s="505">
        <f t="shared" si="36"/>
        <v>111.09090564</v>
      </c>
      <c r="M274" s="505">
        <f t="shared" si="36"/>
        <v>31.83233359</v>
      </c>
      <c r="N274" s="505">
        <f t="shared" si="36"/>
        <v>212.85655651</v>
      </c>
      <c r="O274" s="505">
        <f t="shared" si="36"/>
        <v>491.75840347</v>
      </c>
      <c r="P274" s="505">
        <f t="shared" si="36"/>
        <v>661.92613905</v>
      </c>
      <c r="Q274" s="505">
        <f t="shared" si="36"/>
        <v>903.58109081</v>
      </c>
      <c r="R274" s="505">
        <f t="shared" si="36"/>
        <v>688.36109512</v>
      </c>
      <c r="S274" s="505">
        <f t="shared" si="36"/>
        <v>2837.81362437</v>
      </c>
      <c r="T274" s="505">
        <f t="shared" si="36"/>
        <v>9531.92273017</v>
      </c>
      <c r="U274" s="505">
        <f t="shared" si="36"/>
        <v>20682.8226425452</v>
      </c>
      <c r="V274" s="505">
        <f t="shared" si="36"/>
        <v>30079.6186649683</v>
      </c>
      <c r="W274" s="505">
        <f t="shared" si="36"/>
        <v>34575.553661925</v>
      </c>
      <c r="X274" s="505"/>
      <c r="Y274" s="505">
        <f t="shared" ref="Y274:BD274" si="37">Y30+Y272+Y273</f>
        <v>24.77889013</v>
      </c>
      <c r="Z274" s="505">
        <f t="shared" si="37"/>
        <v>26.63656237</v>
      </c>
      <c r="AA274" s="505">
        <f t="shared" si="37"/>
        <v>19.97033158</v>
      </c>
      <c r="AB274" s="505">
        <f t="shared" si="37"/>
        <v>23.06454401</v>
      </c>
      <c r="AC274" s="505">
        <f t="shared" si="37"/>
        <v>21.47887805</v>
      </c>
      <c r="AD274" s="505">
        <f t="shared" si="37"/>
        <v>26.9914283</v>
      </c>
      <c r="AE274" s="505">
        <f t="shared" si="37"/>
        <v>32.02592016</v>
      </c>
      <c r="AF274" s="505">
        <f t="shared" si="37"/>
        <v>24.79055665</v>
      </c>
      <c r="AG274" s="505">
        <f t="shared" si="37"/>
        <v>29.87642649</v>
      </c>
      <c r="AH274" s="505">
        <f t="shared" si="37"/>
        <v>32.78217957</v>
      </c>
      <c r="AI274" s="505">
        <f t="shared" si="37"/>
        <v>33.96296973</v>
      </c>
      <c r="AJ274" s="505">
        <f t="shared" si="37"/>
        <v>14.46932985</v>
      </c>
      <c r="AK274" s="505">
        <f t="shared" si="37"/>
        <v>-3.63741626</v>
      </c>
      <c r="AL274" s="505">
        <f t="shared" si="37"/>
        <v>-11.51713697</v>
      </c>
      <c r="AM274" s="505">
        <f t="shared" si="37"/>
        <v>20.57002931</v>
      </c>
      <c r="AN274" s="505">
        <f t="shared" si="37"/>
        <v>26.41685751</v>
      </c>
      <c r="AO274" s="505">
        <f t="shared" si="37"/>
        <v>32.41134491</v>
      </c>
      <c r="AP274" s="505">
        <f t="shared" si="37"/>
        <v>48.25165445</v>
      </c>
      <c r="AQ274" s="505">
        <f t="shared" si="37"/>
        <v>52.31819203</v>
      </c>
      <c r="AR274" s="505">
        <f t="shared" si="37"/>
        <v>79.87536512</v>
      </c>
      <c r="AS274" s="505">
        <f t="shared" si="37"/>
        <v>56.21620726</v>
      </c>
      <c r="AT274" s="505">
        <f t="shared" si="37"/>
        <v>135.0007077</v>
      </c>
      <c r="AU274" s="505">
        <f t="shared" si="37"/>
        <v>150.63100665</v>
      </c>
      <c r="AV274" s="505">
        <f t="shared" si="37"/>
        <v>149.91048186</v>
      </c>
      <c r="AW274" s="505">
        <f t="shared" si="37"/>
        <v>112.40595296</v>
      </c>
      <c r="AX274" s="505">
        <f t="shared" si="37"/>
        <v>210.59925804</v>
      </c>
      <c r="AY274" s="505">
        <f t="shared" si="37"/>
        <v>141.86229487</v>
      </c>
      <c r="AZ274" s="505">
        <f t="shared" si="37"/>
        <v>197.05863318</v>
      </c>
      <c r="BA274" s="505">
        <f t="shared" si="37"/>
        <v>132.42283512</v>
      </c>
      <c r="BB274" s="505">
        <f t="shared" si="37"/>
        <v>328.66406072</v>
      </c>
      <c r="BC274" s="505">
        <f t="shared" si="37"/>
        <v>301.34735604</v>
      </c>
      <c r="BD274" s="505">
        <f t="shared" si="37"/>
        <v>141.14683893</v>
      </c>
      <c r="BE274" s="505">
        <f t="shared" ref="BE274:BX274" si="38">BE30+BE272+BE273</f>
        <v>107.83481302</v>
      </c>
      <c r="BF274" s="505">
        <f t="shared" si="38"/>
        <v>180.5300709</v>
      </c>
      <c r="BG274" s="505">
        <f t="shared" si="38"/>
        <v>141.1986196</v>
      </c>
      <c r="BH274" s="505">
        <f t="shared" si="38"/>
        <v>258.7975916</v>
      </c>
      <c r="BI274" s="505">
        <f t="shared" si="38"/>
        <v>324.54053421</v>
      </c>
      <c r="BJ274" s="505">
        <f t="shared" si="38"/>
        <v>540.60155994</v>
      </c>
      <c r="BK274" s="505">
        <f t="shared" si="38"/>
        <v>780.93077706</v>
      </c>
      <c r="BL274" s="505">
        <f t="shared" si="38"/>
        <v>1191.74075316</v>
      </c>
      <c r="BM274" s="505">
        <f t="shared" si="38"/>
        <v>1572.52578922</v>
      </c>
      <c r="BN274" s="505">
        <f t="shared" si="38"/>
        <v>2369.76847915</v>
      </c>
      <c r="BO274" s="505">
        <f t="shared" si="38"/>
        <v>2384.79823947</v>
      </c>
      <c r="BP274" s="505">
        <f t="shared" si="38"/>
        <v>3204.83022233</v>
      </c>
      <c r="BQ274" s="505">
        <f t="shared" si="38"/>
        <v>2774.19626334</v>
      </c>
      <c r="BR274" s="505">
        <f t="shared" si="38"/>
        <v>4649.15827858825</v>
      </c>
      <c r="BS274" s="505">
        <f t="shared" si="38"/>
        <v>6351.74737076026</v>
      </c>
      <c r="BT274" s="505">
        <f t="shared" si="38"/>
        <v>6907.72072985665</v>
      </c>
      <c r="BU274" s="505">
        <f t="shared" si="38"/>
        <v>5816.54758437388</v>
      </c>
      <c r="BV274" s="505">
        <f t="shared" si="38"/>
        <v>6795.59124272526</v>
      </c>
      <c r="BW274" s="505">
        <f t="shared" si="38"/>
        <v>9123.73267162806</v>
      </c>
      <c r="BX274" s="505">
        <f t="shared" si="38"/>
        <v>8343.74716624111</v>
      </c>
    </row>
    <row r="275" outlineLevel="2" spans="2:76">
      <c r="B275" t="s">
        <v>588</v>
      </c>
      <c r="C275" t="s">
        <v>589</v>
      </c>
      <c r="D275" t="str">
        <f t="shared" si="35"/>
        <v>CNY</v>
      </c>
      <c r="F275" s="505">
        <f>-[5]Model!E37</f>
        <v>0</v>
      </c>
      <c r="G275" s="505">
        <f>-[5]Model!F37</f>
        <v>0</v>
      </c>
      <c r="H275" s="505">
        <f>-[5]Model!G37</f>
        <v>0</v>
      </c>
      <c r="I275" s="505">
        <f>-[5]Model!H37</f>
        <v>0</v>
      </c>
      <c r="J275" s="505">
        <f>-[5]Model!I37</f>
        <v>0</v>
      </c>
      <c r="K275" s="505">
        <f>-[5]Model!J37</f>
        <v>0</v>
      </c>
      <c r="L275" s="505">
        <f>-[5]Model!K37</f>
        <v>0</v>
      </c>
      <c r="M275" s="505">
        <f>-[5]Model!L37</f>
        <v>0</v>
      </c>
      <c r="N275" s="505">
        <f>-[5]Model!M37</f>
        <v>0</v>
      </c>
      <c r="O275" s="505">
        <f>-[5]Model!N37</f>
        <v>0</v>
      </c>
      <c r="P275" s="505">
        <f>-[5]Model!O37</f>
        <v>0</v>
      </c>
      <c r="Q275" s="505">
        <f>-[5]Model!P37</f>
        <v>2.8421709430404e-14</v>
      </c>
      <c r="R275" s="505">
        <f>-[5]Model!Q37</f>
        <v>-4.2632564145606e-14</v>
      </c>
      <c r="S275" s="505">
        <f>-[5]Model!R37</f>
        <v>1.13686837721616e-13</v>
      </c>
      <c r="T275" s="505">
        <f>-[5]Model!S37</f>
        <v>-21.353486980001</v>
      </c>
      <c r="U275" s="505">
        <f>-[5]Model!T37</f>
        <v>-66.5650826000001</v>
      </c>
      <c r="V275" s="505">
        <f>-[5]Model!U37</f>
        <v>0</v>
      </c>
      <c r="W275" s="505">
        <f>-[5]Model!V37</f>
        <v>0</v>
      </c>
      <c r="X275" s="505"/>
      <c r="Y275" s="505">
        <f>-[5]Model!AB37</f>
        <v>0</v>
      </c>
      <c r="Z275" s="505">
        <f>-[5]Model!AC37</f>
        <v>0</v>
      </c>
      <c r="AA275" s="505">
        <f>-[5]Model!AD37</f>
        <v>0</v>
      </c>
      <c r="AB275" s="505">
        <f>-[5]Model!AE37</f>
        <v>0</v>
      </c>
      <c r="AC275" s="505">
        <f>-[5]Model!AF37</f>
        <v>0</v>
      </c>
      <c r="AD275" s="505">
        <f>-[5]Model!AG37</f>
        <v>0</v>
      </c>
      <c r="AE275" s="505">
        <f>-[5]Model!AH37</f>
        <v>0</v>
      </c>
      <c r="AF275" s="505">
        <f>-[5]Model!AI37</f>
        <v>0</v>
      </c>
      <c r="AG275" s="505">
        <f>-[5]Model!AJ37</f>
        <v>0</v>
      </c>
      <c r="AH275" s="505">
        <f>-[5]Model!AK37</f>
        <v>0</v>
      </c>
      <c r="AI275" s="505">
        <f>-[5]Model!AL37</f>
        <v>0</v>
      </c>
      <c r="AJ275" s="505">
        <f>-[5]Model!AM37</f>
        <v>0</v>
      </c>
      <c r="AK275" s="505">
        <f>-[5]Model!AN37</f>
        <v>0</v>
      </c>
      <c r="AL275" s="505">
        <f>-[5]Model!AO37</f>
        <v>0</v>
      </c>
      <c r="AM275" s="505">
        <f>-[5]Model!AP37</f>
        <v>0</v>
      </c>
      <c r="AN275" s="505">
        <f>-[5]Model!AQ37</f>
        <v>3.5527136788005e-15</v>
      </c>
      <c r="AO275" s="505">
        <f>-[5]Model!AR37</f>
        <v>-7.105427357601e-15</v>
      </c>
      <c r="AP275" s="505">
        <f>-[5]Model!AS37</f>
        <v>7.105427357601e-15</v>
      </c>
      <c r="AQ275" s="505">
        <f>-[5]Model!AT37</f>
        <v>0</v>
      </c>
      <c r="AR275" s="505">
        <f>-[5]Model!AU37</f>
        <v>0</v>
      </c>
      <c r="AS275" s="505">
        <f>-[5]Model!AV37</f>
        <v>7.105427357601e-15</v>
      </c>
      <c r="AT275" s="505">
        <f>-[5]Model!AW37</f>
        <v>0</v>
      </c>
      <c r="AU275" s="505">
        <f>-[5]Model!AX37</f>
        <v>2.8421709430404e-14</v>
      </c>
      <c r="AV275" s="505">
        <f>-[5]Model!AY37</f>
        <v>0</v>
      </c>
      <c r="AW275" s="505">
        <f>-[5]Model!AZ37</f>
        <v>-1.4210854715202e-14</v>
      </c>
      <c r="AX275" s="505">
        <f>-[5]Model!BA37</f>
        <v>0</v>
      </c>
      <c r="AY275" s="505">
        <f>-[5]Model!BB37</f>
        <v>0</v>
      </c>
      <c r="AZ275" s="505">
        <f>-[5]Model!BC37</f>
        <v>0</v>
      </c>
      <c r="BA275" s="505">
        <f>-[5]Model!BD37</f>
        <v>0</v>
      </c>
      <c r="BB275" s="505">
        <f>-[5]Model!BE37</f>
        <v>0</v>
      </c>
      <c r="BC275" s="505">
        <f>-[5]Model!BF37</f>
        <v>5.6843418860808e-14</v>
      </c>
      <c r="BD275" s="505">
        <f>-[5]Model!BG37</f>
        <v>-2.8421709430404e-14</v>
      </c>
      <c r="BE275" s="505">
        <f>-[5]Model!BH37</f>
        <v>-1.4210854715202e-14</v>
      </c>
      <c r="BF275" s="505">
        <f>-[5]Model!BI37</f>
        <v>0</v>
      </c>
      <c r="BG275" s="505">
        <f>-[5]Model!BJ37</f>
        <v>-2.8421709430404e-14</v>
      </c>
      <c r="BH275" s="505">
        <f>-[5]Model!BK37</f>
        <v>0</v>
      </c>
      <c r="BI275" s="505">
        <f>-[5]Model!BL37</f>
        <v>0</v>
      </c>
      <c r="BJ275" s="505">
        <f>-[5]Model!BM37</f>
        <v>0</v>
      </c>
      <c r="BK275" s="505">
        <f>-[5]Model!BN37</f>
        <v>-1.13686837721616e-13</v>
      </c>
      <c r="BL275" s="505">
        <f>-[5]Model!BO37</f>
        <v>2.27373675443232e-13</v>
      </c>
      <c r="BM275" s="505">
        <f>-[5]Model!BP37</f>
        <v>0</v>
      </c>
      <c r="BN275" s="505">
        <f>-[5]Model!BQ37</f>
        <v>4.54747350886464e-13</v>
      </c>
      <c r="BO275" s="505">
        <f>-[5]Model!BR37</f>
        <v>-9.09494701772928e-13</v>
      </c>
      <c r="BP275" s="505">
        <f>-[5]Model!BS37</f>
        <v>-21.3534869800005</v>
      </c>
      <c r="BQ275" s="505">
        <f>-[5]Model!BT37</f>
        <v>-66.5650826000001</v>
      </c>
      <c r="BR275" s="505">
        <f>-[5]Model!BU37</f>
        <v>0</v>
      </c>
      <c r="BS275" s="505">
        <f>-[5]Model!BV37</f>
        <v>0</v>
      </c>
      <c r="BT275" s="505">
        <f>-[5]Model!BW37</f>
        <v>0</v>
      </c>
      <c r="BU275" s="505">
        <f>-[5]Model!BX37</f>
        <v>0</v>
      </c>
      <c r="BV275" s="505">
        <f>-[5]Model!BY37</f>
        <v>0</v>
      </c>
      <c r="BW275" s="505">
        <f>-[5]Model!BZ37</f>
        <v>0</v>
      </c>
      <c r="BX275" s="505">
        <f>-[5]Model!CA37</f>
        <v>0</v>
      </c>
    </row>
    <row r="276" outlineLevel="2" spans="2:76">
      <c r="B276" t="s">
        <v>590</v>
      </c>
      <c r="C276" t="s">
        <v>591</v>
      </c>
      <c r="D276" t="str">
        <f t="shared" si="35"/>
        <v>CNY</v>
      </c>
      <c r="F276" s="505">
        <f t="shared" ref="F276:W276" si="39">F274+F275</f>
        <v>52.57478492</v>
      </c>
      <c r="G276" s="505">
        <f t="shared" si="39"/>
        <v>65.74770788</v>
      </c>
      <c r="H276" s="505">
        <f t="shared" si="39"/>
        <v>79.35876729</v>
      </c>
      <c r="I276" s="505">
        <f t="shared" si="39"/>
        <v>92.39853472</v>
      </c>
      <c r="J276" s="505">
        <f t="shared" si="39"/>
        <v>94.45032809</v>
      </c>
      <c r="K276" s="505">
        <f t="shared" si="39"/>
        <v>105.28678316</v>
      </c>
      <c r="L276" s="505">
        <f t="shared" si="39"/>
        <v>111.09090564</v>
      </c>
      <c r="M276" s="505">
        <f t="shared" si="39"/>
        <v>31.83233359</v>
      </c>
      <c r="N276" s="505">
        <f t="shared" si="39"/>
        <v>212.85655651</v>
      </c>
      <c r="O276" s="505">
        <f t="shared" si="39"/>
        <v>491.75840347</v>
      </c>
      <c r="P276" s="505">
        <f t="shared" si="39"/>
        <v>661.92613905</v>
      </c>
      <c r="Q276" s="505">
        <f t="shared" si="39"/>
        <v>903.58109081</v>
      </c>
      <c r="R276" s="505">
        <f t="shared" si="39"/>
        <v>688.36109512</v>
      </c>
      <c r="S276" s="505">
        <f t="shared" si="39"/>
        <v>2837.81362437</v>
      </c>
      <c r="T276" s="505">
        <f t="shared" si="39"/>
        <v>9510.56924319</v>
      </c>
      <c r="U276" s="505">
        <f t="shared" si="39"/>
        <v>20616.2575599452</v>
      </c>
      <c r="V276" s="505">
        <f t="shared" si="39"/>
        <v>30079.6186649683</v>
      </c>
      <c r="W276" s="505">
        <f t="shared" si="39"/>
        <v>34575.553661925</v>
      </c>
      <c r="X276" s="505"/>
      <c r="Y276" s="505">
        <f t="shared" ref="Y276:BD276" si="40">Y274+Y275</f>
        <v>24.77889013</v>
      </c>
      <c r="Z276" s="505">
        <f t="shared" si="40"/>
        <v>26.63656237</v>
      </c>
      <c r="AA276" s="505">
        <f t="shared" si="40"/>
        <v>19.97033158</v>
      </c>
      <c r="AB276" s="505">
        <f t="shared" si="40"/>
        <v>23.06454401</v>
      </c>
      <c r="AC276" s="505">
        <f t="shared" si="40"/>
        <v>21.47887805</v>
      </c>
      <c r="AD276" s="505">
        <f t="shared" si="40"/>
        <v>26.9914283</v>
      </c>
      <c r="AE276" s="505">
        <f t="shared" si="40"/>
        <v>32.02592016</v>
      </c>
      <c r="AF276" s="505">
        <f t="shared" si="40"/>
        <v>24.79055665</v>
      </c>
      <c r="AG276" s="505">
        <f t="shared" si="40"/>
        <v>29.87642649</v>
      </c>
      <c r="AH276" s="505">
        <f t="shared" si="40"/>
        <v>32.78217957</v>
      </c>
      <c r="AI276" s="505">
        <f t="shared" si="40"/>
        <v>33.96296973</v>
      </c>
      <c r="AJ276" s="505">
        <f t="shared" si="40"/>
        <v>14.46932985</v>
      </c>
      <c r="AK276" s="505">
        <f t="shared" si="40"/>
        <v>-3.63741626</v>
      </c>
      <c r="AL276" s="505">
        <f t="shared" si="40"/>
        <v>-11.51713697</v>
      </c>
      <c r="AM276" s="505">
        <f t="shared" si="40"/>
        <v>20.57002931</v>
      </c>
      <c r="AN276" s="505">
        <f t="shared" si="40"/>
        <v>26.41685751</v>
      </c>
      <c r="AO276" s="505">
        <f t="shared" si="40"/>
        <v>32.41134491</v>
      </c>
      <c r="AP276" s="505">
        <f t="shared" si="40"/>
        <v>48.25165445</v>
      </c>
      <c r="AQ276" s="505">
        <f t="shared" si="40"/>
        <v>52.31819203</v>
      </c>
      <c r="AR276" s="505">
        <f t="shared" si="40"/>
        <v>79.87536512</v>
      </c>
      <c r="AS276" s="505">
        <f t="shared" si="40"/>
        <v>56.21620726</v>
      </c>
      <c r="AT276" s="505">
        <f t="shared" si="40"/>
        <v>135.0007077</v>
      </c>
      <c r="AU276" s="505">
        <f t="shared" si="40"/>
        <v>150.63100665</v>
      </c>
      <c r="AV276" s="505">
        <f t="shared" si="40"/>
        <v>149.91048186</v>
      </c>
      <c r="AW276" s="505">
        <f t="shared" si="40"/>
        <v>112.40595296</v>
      </c>
      <c r="AX276" s="505">
        <f t="shared" si="40"/>
        <v>210.59925804</v>
      </c>
      <c r="AY276" s="505">
        <f t="shared" si="40"/>
        <v>141.86229487</v>
      </c>
      <c r="AZ276" s="505">
        <f t="shared" si="40"/>
        <v>197.05863318</v>
      </c>
      <c r="BA276" s="505">
        <f t="shared" si="40"/>
        <v>132.42283512</v>
      </c>
      <c r="BB276" s="505">
        <f t="shared" si="40"/>
        <v>328.66406072</v>
      </c>
      <c r="BC276" s="505">
        <f t="shared" si="40"/>
        <v>301.34735604</v>
      </c>
      <c r="BD276" s="505">
        <f t="shared" si="40"/>
        <v>141.14683893</v>
      </c>
      <c r="BE276" s="505">
        <f t="shared" ref="BE276:BX276" si="41">BE274+BE275</f>
        <v>107.83481302</v>
      </c>
      <c r="BF276" s="505">
        <f t="shared" si="41"/>
        <v>180.5300709</v>
      </c>
      <c r="BG276" s="505">
        <f t="shared" si="41"/>
        <v>141.1986196</v>
      </c>
      <c r="BH276" s="505">
        <f t="shared" si="41"/>
        <v>258.7975916</v>
      </c>
      <c r="BI276" s="505">
        <f t="shared" si="41"/>
        <v>324.54053421</v>
      </c>
      <c r="BJ276" s="505">
        <f t="shared" si="41"/>
        <v>540.60155994</v>
      </c>
      <c r="BK276" s="505">
        <f t="shared" si="41"/>
        <v>780.93077706</v>
      </c>
      <c r="BL276" s="505">
        <f t="shared" si="41"/>
        <v>1191.74075316</v>
      </c>
      <c r="BM276" s="505">
        <f t="shared" si="41"/>
        <v>1572.52578922</v>
      </c>
      <c r="BN276" s="505">
        <f t="shared" si="41"/>
        <v>2369.76847915</v>
      </c>
      <c r="BO276" s="505">
        <f t="shared" si="41"/>
        <v>2384.79823947</v>
      </c>
      <c r="BP276" s="505">
        <f t="shared" si="41"/>
        <v>3183.47673535</v>
      </c>
      <c r="BQ276" s="505">
        <f t="shared" si="41"/>
        <v>2707.63118074</v>
      </c>
      <c r="BR276" s="505">
        <f t="shared" si="41"/>
        <v>4649.15827858825</v>
      </c>
      <c r="BS276" s="505">
        <f t="shared" si="41"/>
        <v>6351.74737076026</v>
      </c>
      <c r="BT276" s="505">
        <f t="shared" si="41"/>
        <v>6907.72072985665</v>
      </c>
      <c r="BU276" s="505">
        <f t="shared" si="41"/>
        <v>5816.54758437388</v>
      </c>
      <c r="BV276" s="505">
        <f t="shared" si="41"/>
        <v>6795.59124272526</v>
      </c>
      <c r="BW276" s="505">
        <f t="shared" si="41"/>
        <v>9123.73267162806</v>
      </c>
      <c r="BX276" s="505">
        <f t="shared" si="41"/>
        <v>8343.74716624111</v>
      </c>
    </row>
    <row r="277" outlineLevel="2" spans="2:76">
      <c r="B277" t="s">
        <v>592</v>
      </c>
      <c r="C277" t="s">
        <v>593</v>
      </c>
      <c r="D277" t="str">
        <f t="shared" si="35"/>
        <v>CNY</v>
      </c>
      <c r="F277" s="505">
        <f>[5]Model!E39</f>
        <v>0</v>
      </c>
      <c r="G277" s="505">
        <f>[5]Model!F39</f>
        <v>0</v>
      </c>
      <c r="H277" s="505">
        <f>[5]Model!G39</f>
        <v>0</v>
      </c>
      <c r="I277" s="505">
        <f>[5]Model!H39</f>
        <v>0</v>
      </c>
      <c r="J277" s="505">
        <f>[5]Model!I39</f>
        <v>0</v>
      </c>
      <c r="K277" s="505">
        <f>[5]Model!J39</f>
        <v>0</v>
      </c>
      <c r="L277" s="505">
        <f>[5]Model!K39</f>
        <v>0</v>
      </c>
      <c r="M277" s="505">
        <f>[5]Model!L39</f>
        <v>0</v>
      </c>
      <c r="N277" s="505">
        <f>[5]Model!M39</f>
        <v>0</v>
      </c>
      <c r="O277" s="505">
        <f>[5]Model!N39</f>
        <v>0</v>
      </c>
      <c r="P277" s="505">
        <f>[5]Model!O39</f>
        <v>0</v>
      </c>
      <c r="Q277" s="505">
        <f>[5]Model!P39</f>
        <v>0</v>
      </c>
      <c r="R277" s="505">
        <f>[5]Model!Q39</f>
        <v>0</v>
      </c>
      <c r="S277" s="505">
        <f>[5]Model!R39</f>
        <v>0</v>
      </c>
      <c r="T277" s="505">
        <f>[5]Model!S39</f>
        <v>0</v>
      </c>
      <c r="U277" s="505">
        <f>[5]Model!T39</f>
        <v>0</v>
      </c>
      <c r="V277" s="505">
        <f>[5]Model!U39</f>
        <v>0</v>
      </c>
      <c r="W277" s="505">
        <f>[5]Model!V39</f>
        <v>0</v>
      </c>
      <c r="X277" s="505"/>
      <c r="Y277" s="505">
        <f>[5]Model!AB39</f>
        <v>0</v>
      </c>
      <c r="Z277" s="505">
        <f>[5]Model!AC39</f>
        <v>0</v>
      </c>
      <c r="AA277" s="505">
        <f>[5]Model!AD39</f>
        <v>0</v>
      </c>
      <c r="AB277" s="505">
        <f>[5]Model!AE39</f>
        <v>0</v>
      </c>
      <c r="AC277" s="505">
        <f>[5]Model!AF39</f>
        <v>0</v>
      </c>
      <c r="AD277" s="505">
        <f>[5]Model!AG39</f>
        <v>0</v>
      </c>
      <c r="AE277" s="505">
        <f>[5]Model!AH39</f>
        <v>0</v>
      </c>
      <c r="AF277" s="505">
        <f>[5]Model!AI39</f>
        <v>0</v>
      </c>
      <c r="AG277" s="505">
        <f>[5]Model!AJ39</f>
        <v>0</v>
      </c>
      <c r="AH277" s="505">
        <f>[5]Model!AK39</f>
        <v>0</v>
      </c>
      <c r="AI277" s="505">
        <f>[5]Model!AL39</f>
        <v>0</v>
      </c>
      <c r="AJ277" s="505">
        <f>[5]Model!AM39</f>
        <v>0</v>
      </c>
      <c r="AK277" s="505">
        <f>[5]Model!AN39</f>
        <v>0</v>
      </c>
      <c r="AL277" s="505">
        <f>[5]Model!AO39</f>
        <v>0</v>
      </c>
      <c r="AM277" s="505">
        <f>[5]Model!AP39</f>
        <v>0</v>
      </c>
      <c r="AN277" s="505">
        <f>[5]Model!AQ39</f>
        <v>0</v>
      </c>
      <c r="AO277" s="505">
        <f>[5]Model!AR39</f>
        <v>0</v>
      </c>
      <c r="AP277" s="505">
        <f>[5]Model!AS39</f>
        <v>0</v>
      </c>
      <c r="AQ277" s="505">
        <f>[5]Model!AT39</f>
        <v>0</v>
      </c>
      <c r="AR277" s="505">
        <f>[5]Model!AU39</f>
        <v>0</v>
      </c>
      <c r="AS277" s="505">
        <f>[5]Model!AV39</f>
        <v>0</v>
      </c>
      <c r="AT277" s="505">
        <f>[5]Model!AW39</f>
        <v>0</v>
      </c>
      <c r="AU277" s="505">
        <f>[5]Model!AX39</f>
        <v>0</v>
      </c>
      <c r="AV277" s="505">
        <f>[5]Model!AY39</f>
        <v>0</v>
      </c>
      <c r="AW277" s="505">
        <f>[5]Model!AZ39</f>
        <v>0</v>
      </c>
      <c r="AX277" s="505">
        <f>[5]Model!BA39</f>
        <v>0</v>
      </c>
      <c r="AY277" s="505">
        <f>[5]Model!BB39</f>
        <v>0</v>
      </c>
      <c r="AZ277" s="505">
        <f>[5]Model!BC39</f>
        <v>0</v>
      </c>
      <c r="BA277" s="505">
        <f>[5]Model!BD39</f>
        <v>0</v>
      </c>
      <c r="BB277" s="505">
        <f>[5]Model!BE39</f>
        <v>0</v>
      </c>
      <c r="BC277" s="505">
        <f>[5]Model!BF39</f>
        <v>0</v>
      </c>
      <c r="BD277" s="505">
        <f>[5]Model!BG39</f>
        <v>0</v>
      </c>
      <c r="BE277" s="505">
        <f>[5]Model!BH39</f>
        <v>0</v>
      </c>
      <c r="BF277" s="505">
        <f>[5]Model!BI39</f>
        <v>0</v>
      </c>
      <c r="BG277" s="505">
        <f>[5]Model!BJ39</f>
        <v>0</v>
      </c>
      <c r="BH277" s="505">
        <f>[5]Model!BK39</f>
        <v>0</v>
      </c>
      <c r="BI277" s="505">
        <f>[5]Model!BL39</f>
        <v>0</v>
      </c>
      <c r="BJ277" s="505">
        <f>[5]Model!BM39</f>
        <v>0</v>
      </c>
      <c r="BK277" s="505">
        <f>[5]Model!BN39</f>
        <v>0</v>
      </c>
      <c r="BL277" s="505">
        <f>[5]Model!BO39</f>
        <v>0</v>
      </c>
      <c r="BM277" s="505">
        <f>[5]Model!BP39</f>
        <v>0</v>
      </c>
      <c r="BN277" s="505">
        <f>[5]Model!BQ39</f>
        <v>0</v>
      </c>
      <c r="BO277" s="505">
        <f>[5]Model!BR39</f>
        <v>0</v>
      </c>
      <c r="BP277" s="505">
        <f>[5]Model!BS39</f>
        <v>0</v>
      </c>
      <c r="BQ277" s="505">
        <f>[5]Model!BT39</f>
        <v>0</v>
      </c>
      <c r="BR277" s="505">
        <f>[5]Model!BU39</f>
        <v>0</v>
      </c>
      <c r="BS277" s="505">
        <f>[5]Model!BV39</f>
        <v>0</v>
      </c>
      <c r="BT277" s="505">
        <f>[5]Model!BW39</f>
        <v>0</v>
      </c>
      <c r="BU277" s="505">
        <f>[5]Model!BX39</f>
        <v>0</v>
      </c>
      <c r="BV277" s="505">
        <f>[5]Model!BY39</f>
        <v>0</v>
      </c>
      <c r="BW277" s="505">
        <f>[5]Model!BZ39</f>
        <v>0</v>
      </c>
      <c r="BX277" s="505">
        <f>[5]Model!CA39</f>
        <v>0</v>
      </c>
    </row>
    <row r="278" outlineLevel="2" spans="2:76">
      <c r="B278" t="s">
        <v>594</v>
      </c>
      <c r="C278" t="s">
        <v>595</v>
      </c>
      <c r="D278" t="str">
        <f t="shared" si="35"/>
        <v>CNY</v>
      </c>
      <c r="F278" s="505">
        <f>[5]Model!E40</f>
        <v>52.57478492</v>
      </c>
      <c r="G278" s="505">
        <f>[5]Model!F40</f>
        <v>65.74770788</v>
      </c>
      <c r="H278" s="505">
        <f>[5]Model!G40</f>
        <v>79.35876729</v>
      </c>
      <c r="I278" s="505">
        <f>[5]Model!H40</f>
        <v>92.39853472</v>
      </c>
      <c r="J278" s="505">
        <f>[5]Model!I40</f>
        <v>94.45032809</v>
      </c>
      <c r="K278" s="505">
        <f>[5]Model!J40</f>
        <v>105.28678316</v>
      </c>
      <c r="L278" s="505">
        <f>[5]Model!K40</f>
        <v>111.09090564</v>
      </c>
      <c r="M278" s="505">
        <f>[5]Model!L40</f>
        <v>31.83233359</v>
      </c>
      <c r="N278" s="505">
        <f>[5]Model!M40</f>
        <v>212.85655651</v>
      </c>
      <c r="O278" s="505">
        <f>[5]Model!N40</f>
        <v>491.75840347</v>
      </c>
      <c r="P278" s="505">
        <f>[5]Model!O40</f>
        <v>661.92613905</v>
      </c>
      <c r="Q278" s="505">
        <f>[5]Model!P40</f>
        <v>903.58109081</v>
      </c>
      <c r="R278" s="505">
        <f>[5]Model!Q40</f>
        <v>688.36109512</v>
      </c>
      <c r="S278" s="505">
        <f>[5]Model!R40</f>
        <v>2837.81362437</v>
      </c>
      <c r="T278" s="505">
        <f>[5]Model!S40</f>
        <v>9531.92273017</v>
      </c>
      <c r="U278" s="505">
        <f>[5]Model!T40</f>
        <v>20682.8226425452</v>
      </c>
      <c r="V278" s="505">
        <f>[5]Model!U40</f>
        <v>30079.6186649683</v>
      </c>
      <c r="W278" s="505">
        <f>[5]Model!V40</f>
        <v>34575.553661925</v>
      </c>
      <c r="X278" s="505"/>
      <c r="Y278" s="505">
        <f>[5]Model!AB40</f>
        <v>24.77889013</v>
      </c>
      <c r="Z278" s="505">
        <f>[5]Model!AC40</f>
        <v>26.63656237</v>
      </c>
      <c r="AA278" s="505">
        <f>[5]Model!AD40</f>
        <v>19.97033158</v>
      </c>
      <c r="AB278" s="505">
        <f>[5]Model!AE40</f>
        <v>23.06454401</v>
      </c>
      <c r="AC278" s="505">
        <f>[5]Model!AF40</f>
        <v>21.47887805</v>
      </c>
      <c r="AD278" s="505">
        <f>[5]Model!AG40</f>
        <v>26.9914283</v>
      </c>
      <c r="AE278" s="505">
        <f>[5]Model!AH40</f>
        <v>32.02592016</v>
      </c>
      <c r="AF278" s="505">
        <f>[5]Model!AI40</f>
        <v>24.79055665</v>
      </c>
      <c r="AG278" s="505">
        <f>[5]Model!AJ40</f>
        <v>29.87642649</v>
      </c>
      <c r="AH278" s="505">
        <f>[5]Model!AK40</f>
        <v>32.78217957</v>
      </c>
      <c r="AI278" s="505">
        <f>[5]Model!AL40</f>
        <v>33.96296973</v>
      </c>
      <c r="AJ278" s="505">
        <f>[5]Model!AM40</f>
        <v>14.46932985</v>
      </c>
      <c r="AK278" s="505">
        <f>[5]Model!AN40</f>
        <v>-3.63741626</v>
      </c>
      <c r="AL278" s="505">
        <f>[5]Model!AO40</f>
        <v>-11.51713697</v>
      </c>
      <c r="AM278" s="505">
        <f>[5]Model!AP40</f>
        <v>20.57002931</v>
      </c>
      <c r="AN278" s="505">
        <f>[5]Model!AQ40</f>
        <v>26.41685751</v>
      </c>
      <c r="AO278" s="505">
        <f>[5]Model!AR40</f>
        <v>32.41134491</v>
      </c>
      <c r="AP278" s="505">
        <f>[5]Model!AS40</f>
        <v>48.25165445</v>
      </c>
      <c r="AQ278" s="505">
        <f>[5]Model!AT40</f>
        <v>52.31819203</v>
      </c>
      <c r="AR278" s="505">
        <f>[5]Model!AU40</f>
        <v>79.87536512</v>
      </c>
      <c r="AS278" s="505">
        <f>[5]Model!AV40</f>
        <v>56.21620726</v>
      </c>
      <c r="AT278" s="505">
        <f>[5]Model!AW40</f>
        <v>135.0007077</v>
      </c>
      <c r="AU278" s="505">
        <f>[5]Model!AX40</f>
        <v>150.63100665</v>
      </c>
      <c r="AV278" s="505">
        <f>[5]Model!AY40</f>
        <v>149.91048186</v>
      </c>
      <c r="AW278" s="505">
        <f>[5]Model!AZ40</f>
        <v>112.40595296</v>
      </c>
      <c r="AX278" s="505">
        <f>[5]Model!BA40</f>
        <v>210.59925804</v>
      </c>
      <c r="AY278" s="505">
        <f>[5]Model!BB40</f>
        <v>141.86229487</v>
      </c>
      <c r="AZ278" s="505">
        <f>[5]Model!BC40</f>
        <v>197.05863318</v>
      </c>
      <c r="BA278" s="505">
        <f>[5]Model!BD40</f>
        <v>132.42283512</v>
      </c>
      <c r="BB278" s="505">
        <f>[5]Model!BE40</f>
        <v>328.66406072</v>
      </c>
      <c r="BC278" s="505">
        <f>[5]Model!BF40</f>
        <v>301.34735604</v>
      </c>
      <c r="BD278" s="505">
        <f>[5]Model!BG40</f>
        <v>141.14683893</v>
      </c>
      <c r="BE278" s="505">
        <f>[5]Model!BH40</f>
        <v>107.83481302</v>
      </c>
      <c r="BF278" s="505">
        <f>[5]Model!BI40</f>
        <v>180.5300709</v>
      </c>
      <c r="BG278" s="505">
        <f>[5]Model!BJ40</f>
        <v>141.1986196</v>
      </c>
      <c r="BH278" s="505">
        <f>[5]Model!BK40</f>
        <v>258.7975916</v>
      </c>
      <c r="BI278" s="505">
        <f>[5]Model!BL40</f>
        <v>324.54053421</v>
      </c>
      <c r="BJ278" s="505">
        <f>[5]Model!BM40</f>
        <v>540.60155994</v>
      </c>
      <c r="BK278" s="505">
        <f>[5]Model!BN40</f>
        <v>780.93077706</v>
      </c>
      <c r="BL278" s="505">
        <f>[5]Model!BO40</f>
        <v>1191.74075316</v>
      </c>
      <c r="BM278" s="505">
        <f>[5]Model!BP40</f>
        <v>1572.52578922</v>
      </c>
      <c r="BN278" s="505">
        <f>[5]Model!BQ40</f>
        <v>2369.76847915</v>
      </c>
      <c r="BO278" s="505">
        <f>[5]Model!BR40</f>
        <v>2384.79823947</v>
      </c>
      <c r="BP278" s="505">
        <f>[5]Model!BS40</f>
        <v>3204.83022233</v>
      </c>
      <c r="BQ278" s="505">
        <f>[5]Model!BT40</f>
        <v>2774.19626334</v>
      </c>
      <c r="BR278" s="505">
        <f>[5]Model!BU40</f>
        <v>4649.15827858825</v>
      </c>
      <c r="BS278" s="505">
        <f>[5]Model!BV40</f>
        <v>6351.74737076026</v>
      </c>
      <c r="BT278" s="505">
        <f>[5]Model!BW40</f>
        <v>6907.72072985665</v>
      </c>
      <c r="BU278" s="505">
        <f>[5]Model!BX40</f>
        <v>5816.54758437388</v>
      </c>
      <c r="BV278" s="505">
        <f>[5]Model!BY40</f>
        <v>6795.59124272526</v>
      </c>
      <c r="BW278" s="505">
        <f>[5]Model!BZ40</f>
        <v>9123.73267162806</v>
      </c>
      <c r="BX278" s="505">
        <f>[5]Model!CA40</f>
        <v>8343.74716624111</v>
      </c>
    </row>
    <row r="279" outlineLevel="2" spans="2:76">
      <c r="B279" t="s">
        <v>596</v>
      </c>
      <c r="C279" t="s">
        <v>597</v>
      </c>
      <c r="D279" t="str">
        <f t="shared" si="35"/>
        <v>CNY</v>
      </c>
      <c r="F279" s="515">
        <f>[5]Model!E48</f>
        <v>0.678571428571428</v>
      </c>
      <c r="G279" s="515">
        <f>[5]Model!F48</f>
        <v>0.807142857142857</v>
      </c>
      <c r="H279" s="515">
        <f>[5]Model!G48</f>
        <v>0.971428571428572</v>
      </c>
      <c r="I279" s="515">
        <f>[5]Model!H48</f>
        <v>1.13571428571429</v>
      </c>
      <c r="J279" s="515">
        <f>[5]Model!I48</f>
        <v>1.15673897900613</v>
      </c>
      <c r="K279" s="515">
        <f>[5]Model!J48</f>
        <v>1.03571428571429</v>
      </c>
      <c r="L279" s="515">
        <f>[5]Model!K48</f>
        <v>0.523285714285714</v>
      </c>
      <c r="M279" s="515">
        <f>[5]Model!L48</f>
        <v>0.0952857142857143</v>
      </c>
      <c r="N279" s="515">
        <f>[5]Model!M48</f>
        <v>0.641142857142857</v>
      </c>
      <c r="O279" s="515">
        <f>[5]Model!N48</f>
        <v>1.08178571428571</v>
      </c>
      <c r="P279" s="515">
        <f>[5]Model!O48</f>
        <v>0.711224489795918</v>
      </c>
      <c r="Q279" s="515">
        <f>[5]Model!P48</f>
        <v>0.909081632653061</v>
      </c>
      <c r="R279" s="515">
        <f>[5]Model!Q48</f>
        <v>0.525738009963303</v>
      </c>
      <c r="S279" s="515">
        <f>[5]Model!R48</f>
        <v>2.03950420716899</v>
      </c>
      <c r="T279" s="515">
        <f>[5]Model!S48</f>
        <v>6.85273619111277</v>
      </c>
      <c r="U279" s="515">
        <f>[5]Model!T48</f>
        <v>14.8630338811226</v>
      </c>
      <c r="V279" s="515">
        <f>[5]Model!U48</f>
        <v>21.6157339389947</v>
      </c>
      <c r="W279" s="515">
        <f>[5]Model!V48</f>
        <v>24.8465905460438</v>
      </c>
      <c r="X279" s="515"/>
      <c r="Y279" s="515">
        <f>[5]Model!AB48</f>
        <v>0.307142857142857</v>
      </c>
      <c r="Z279" s="515">
        <f>[5]Model!AC48</f>
        <v>0.321428571428571</v>
      </c>
      <c r="AA279" s="515">
        <f>[5]Model!AD48</f>
        <v>0.24509612186327</v>
      </c>
      <c r="AB279" s="515">
        <f>[5]Model!AE48</f>
        <v>0.283071428571429</v>
      </c>
      <c r="AC279" s="515">
        <f>[5]Model!AF48</f>
        <v>0.264285714285714</v>
      </c>
      <c r="AD279" s="515">
        <f>[5]Model!AG48</f>
        <v>0.248428571428571</v>
      </c>
      <c r="AE279" s="515">
        <f>[5]Model!AH48</f>
        <v>0.294785714285714</v>
      </c>
      <c r="AF279" s="515">
        <f>[5]Model!AI48</f>
        <v>0.228214285714286</v>
      </c>
      <c r="AG279" s="515">
        <f>[5]Model!AJ48</f>
        <v>0.275</v>
      </c>
      <c r="AH279" s="515">
        <f>[5]Model!AK48</f>
        <v>0.100571428571429</v>
      </c>
      <c r="AI279" s="515">
        <f>[5]Model!AL48</f>
        <v>0.104214285714286</v>
      </c>
      <c r="AJ279" s="515">
        <f>[5]Model!AM48</f>
        <v>0.0435</v>
      </c>
      <c r="AK279" s="515">
        <f>[5]Model!AN48</f>
        <v>-0.0109285714285714</v>
      </c>
      <c r="AL279" s="515">
        <f>[5]Model!AO48</f>
        <v>-0.0345714285714286</v>
      </c>
      <c r="AM279" s="515">
        <f>[5]Model!AP48</f>
        <v>0.0616428571428572</v>
      </c>
      <c r="AN279" s="515">
        <f>[5]Model!AQ48</f>
        <v>0.0791428571428572</v>
      </c>
      <c r="AO279" s="515">
        <f>[5]Model!AR48</f>
        <v>0.0971428571428571</v>
      </c>
      <c r="AP279" s="515">
        <f>[5]Model!AS48</f>
        <v>0.144642857142857</v>
      </c>
      <c r="AQ279" s="515">
        <f>[5]Model!AT48</f>
        <v>0.158071428571429</v>
      </c>
      <c r="AR279" s="515">
        <f>[5]Model!AU48</f>
        <v>0.241285714285714</v>
      </c>
      <c r="AS279" s="515">
        <f>[5]Model!AV48</f>
        <v>0.169785714285714</v>
      </c>
      <c r="AT279" s="515">
        <f>[5]Model!AW48</f>
        <v>0.291285714285714</v>
      </c>
      <c r="AU279" s="515">
        <f>[5]Model!AX48</f>
        <v>0.325071428571429</v>
      </c>
      <c r="AV279" s="515">
        <f>[5]Model!AY48</f>
        <v>0.295642857142857</v>
      </c>
      <c r="AW279" s="515">
        <f>[5]Model!AZ48</f>
        <v>0.158316326530612</v>
      </c>
      <c r="AX279" s="515">
        <f>[5]Model!BA48</f>
        <v>0.211887755102041</v>
      </c>
      <c r="AY279" s="515">
        <f>[5]Model!BB48</f>
        <v>0.142755102040816</v>
      </c>
      <c r="AZ279" s="515">
        <f>[5]Model!BC48</f>
        <v>0.198265306122449</v>
      </c>
      <c r="BA279" s="515">
        <f>[5]Model!BD48</f>
        <v>0.133214285714286</v>
      </c>
      <c r="BB279" s="515">
        <f>[5]Model!BE48</f>
        <v>0.330663265306122</v>
      </c>
      <c r="BC279" s="515">
        <f>[5]Model!BF48</f>
        <v>0.303214285714286</v>
      </c>
      <c r="BD279" s="515">
        <f>[5]Model!BG48</f>
        <v>0.141989795918367</v>
      </c>
      <c r="BE279" s="515">
        <f>[5]Model!BH48</f>
        <v>0.108520408163265</v>
      </c>
      <c r="BF279" s="515">
        <f>[5]Model!BI48</f>
        <v>0.129744897959184</v>
      </c>
      <c r="BG279" s="515">
        <f>[5]Model!BJ48</f>
        <v>0.10147783358556</v>
      </c>
      <c r="BH279" s="515">
        <f>[5]Model!BK48</f>
        <v>0.185994870255294</v>
      </c>
      <c r="BI279" s="515">
        <f>[5]Model!BL48</f>
        <v>0.233243571471369</v>
      </c>
      <c r="BJ279" s="515">
        <f>[5]Model!BM48</f>
        <v>0.388524160442186</v>
      </c>
      <c r="BK279" s="515">
        <f>[5]Model!BN48</f>
        <v>0.561246021107256</v>
      </c>
      <c r="BL279" s="515">
        <f>[5]Model!BO48</f>
        <v>0.856490454148185</v>
      </c>
      <c r="BM279" s="515">
        <f>[5]Model!BP48</f>
        <v>1.1301563060569</v>
      </c>
      <c r="BN279" s="515">
        <f>[5]Model!BQ48</f>
        <v>1.70577624821933</v>
      </c>
      <c r="BO279" s="515">
        <f>[5]Model!BR48</f>
        <v>1.71375723930311</v>
      </c>
      <c r="BP279" s="515">
        <f>[5]Model!BS48</f>
        <v>2.30304639753343</v>
      </c>
      <c r="BQ279" s="515">
        <f>[5]Model!BT48</f>
        <v>1.99358539052057</v>
      </c>
      <c r="BR279" s="515">
        <f>[5]Model!BU48</f>
        <v>3.34096550589845</v>
      </c>
      <c r="BS279" s="515">
        <f>[5]Model!BV48</f>
        <v>4.56447545905774</v>
      </c>
      <c r="BT279" s="515">
        <f>[5]Model!BW48</f>
        <v>4.96400752564584</v>
      </c>
      <c r="BU279" s="515">
        <f>[5]Model!BX48</f>
        <v>4.17987164091798</v>
      </c>
      <c r="BV279" s="515">
        <f>[5]Model!BY48</f>
        <v>4.88342933788541</v>
      </c>
      <c r="BW279" s="515">
        <f>[5]Model!BZ48</f>
        <v>6.55647201372635</v>
      </c>
      <c r="BX279" s="515">
        <f>[5]Model!CA48</f>
        <v>5.99596094646497</v>
      </c>
    </row>
    <row r="280" outlineLevel="2" spans="2:76">
      <c r="B280" t="s">
        <v>598</v>
      </c>
      <c r="C280" t="s">
        <v>599</v>
      </c>
      <c r="D280" t="str">
        <f t="shared" si="35"/>
        <v>CNY</v>
      </c>
      <c r="F280" s="515">
        <f>[5]Model!E49</f>
        <v>0.678571428571428</v>
      </c>
      <c r="G280" s="515">
        <f>[5]Model!F49</f>
        <v>0.807142857142857</v>
      </c>
      <c r="H280" s="515">
        <f>[5]Model!G49</f>
        <v>0.971428571428572</v>
      </c>
      <c r="I280" s="515">
        <f>[5]Model!H49</f>
        <v>1.13571428571429</v>
      </c>
      <c r="J280" s="515">
        <f>[5]Model!I49</f>
        <v>1.15673897900613</v>
      </c>
      <c r="K280" s="515">
        <f>[5]Model!J49</f>
        <v>1.03571428571429</v>
      </c>
      <c r="L280" s="515">
        <f>[5]Model!K49</f>
        <v>0.523285714285714</v>
      </c>
      <c r="M280" s="515">
        <f>[5]Model!L49</f>
        <v>0.0952857142857143</v>
      </c>
      <c r="N280" s="515">
        <f>[5]Model!M49</f>
        <v>0.641142857142857</v>
      </c>
      <c r="O280" s="515">
        <f>[5]Model!N49</f>
        <v>1.08178571428571</v>
      </c>
      <c r="P280" s="515">
        <f>[5]Model!O49</f>
        <v>0.711224489795918</v>
      </c>
      <c r="Q280" s="515">
        <f>[5]Model!P49</f>
        <v>0.909081632653061</v>
      </c>
      <c r="R280" s="515">
        <f>[5]Model!Q49</f>
        <v>0.525738009963303</v>
      </c>
      <c r="S280" s="515">
        <f>[5]Model!R49</f>
        <v>2.03950420716899</v>
      </c>
      <c r="T280" s="515">
        <f>[5]Model!S49</f>
        <v>6.85273619111277</v>
      </c>
      <c r="U280" s="515">
        <f>[5]Model!T49</f>
        <v>14.8630338811226</v>
      </c>
      <c r="V280" s="515">
        <f>[5]Model!U49</f>
        <v>21.6157339389947</v>
      </c>
      <c r="W280" s="515">
        <f>[5]Model!V49</f>
        <v>24.8465905460438</v>
      </c>
      <c r="X280" s="515"/>
      <c r="Y280" s="515">
        <f>[5]Model!AB49</f>
        <v>0.307142857142857</v>
      </c>
      <c r="Z280" s="515">
        <f>[5]Model!AC49</f>
        <v>0.321428571428571</v>
      </c>
      <c r="AA280" s="515">
        <f>[5]Model!AD49</f>
        <v>0.24509612186327</v>
      </c>
      <c r="AB280" s="515">
        <f>[5]Model!AE49</f>
        <v>0.283071428571429</v>
      </c>
      <c r="AC280" s="515">
        <f>[5]Model!AF49</f>
        <v>0.264285714285714</v>
      </c>
      <c r="AD280" s="515">
        <f>[5]Model!AG49</f>
        <v>0.248428571428571</v>
      </c>
      <c r="AE280" s="515">
        <f>[5]Model!AH49</f>
        <v>0.294785714285714</v>
      </c>
      <c r="AF280" s="515">
        <f>[5]Model!AI49</f>
        <v>0.228214285714286</v>
      </c>
      <c r="AG280" s="515">
        <f>[5]Model!AJ49</f>
        <v>0.275</v>
      </c>
      <c r="AH280" s="515">
        <f>[5]Model!AK49</f>
        <v>0.100571428571429</v>
      </c>
      <c r="AI280" s="515">
        <f>[5]Model!AL49</f>
        <v>0.104214285714286</v>
      </c>
      <c r="AJ280" s="515">
        <f>[5]Model!AM49</f>
        <v>0.0435</v>
      </c>
      <c r="AK280" s="515">
        <f>[5]Model!AN49</f>
        <v>-0.0109285714285714</v>
      </c>
      <c r="AL280" s="515">
        <f>[5]Model!AO49</f>
        <v>-0.0345714285714286</v>
      </c>
      <c r="AM280" s="515">
        <f>[5]Model!AP49</f>
        <v>0.0616428571428572</v>
      </c>
      <c r="AN280" s="515">
        <f>[5]Model!AQ49</f>
        <v>0.0791428571428572</v>
      </c>
      <c r="AO280" s="515">
        <f>[5]Model!AR49</f>
        <v>0.0971428571428571</v>
      </c>
      <c r="AP280" s="515">
        <f>[5]Model!AS49</f>
        <v>0.144642857142857</v>
      </c>
      <c r="AQ280" s="515">
        <f>[5]Model!AT49</f>
        <v>0.158071428571429</v>
      </c>
      <c r="AR280" s="515">
        <f>[5]Model!AU49</f>
        <v>0.241285714285714</v>
      </c>
      <c r="AS280" s="515">
        <f>[5]Model!AV49</f>
        <v>0.169785714285714</v>
      </c>
      <c r="AT280" s="515">
        <f>[5]Model!AW49</f>
        <v>0.291285714285714</v>
      </c>
      <c r="AU280" s="515">
        <f>[5]Model!AX49</f>
        <v>0.325071428571429</v>
      </c>
      <c r="AV280" s="515">
        <f>[5]Model!AY49</f>
        <v>0.295642857142857</v>
      </c>
      <c r="AW280" s="515">
        <f>[5]Model!AZ49</f>
        <v>0.158316326530612</v>
      </c>
      <c r="AX280" s="515">
        <f>[5]Model!BA49</f>
        <v>0.211887755102041</v>
      </c>
      <c r="AY280" s="515">
        <f>[5]Model!BB49</f>
        <v>0.142755102040816</v>
      </c>
      <c r="AZ280" s="515">
        <f>[5]Model!BC49</f>
        <v>0.198265306122449</v>
      </c>
      <c r="BA280" s="515">
        <f>[5]Model!BD49</f>
        <v>0.133214285714286</v>
      </c>
      <c r="BB280" s="515">
        <f>[5]Model!BE49</f>
        <v>0.330663265306122</v>
      </c>
      <c r="BC280" s="515">
        <f>[5]Model!BF49</f>
        <v>0.303214285714286</v>
      </c>
      <c r="BD280" s="515">
        <f>[5]Model!BG49</f>
        <v>0.141989795918367</v>
      </c>
      <c r="BE280" s="515">
        <f>[5]Model!BH49</f>
        <v>0.108520408163265</v>
      </c>
      <c r="BF280" s="515">
        <f>[5]Model!BI49</f>
        <v>0.129744897959184</v>
      </c>
      <c r="BG280" s="515">
        <f>[5]Model!BJ49</f>
        <v>0.10147783358556</v>
      </c>
      <c r="BH280" s="515">
        <f>[5]Model!BK49</f>
        <v>0.185994870255294</v>
      </c>
      <c r="BI280" s="515">
        <f>[5]Model!BL49</f>
        <v>0.233243571471369</v>
      </c>
      <c r="BJ280" s="515">
        <f>[5]Model!BM49</f>
        <v>0.388524160442186</v>
      </c>
      <c r="BK280" s="515">
        <f>[5]Model!BN49</f>
        <v>0.561246021107256</v>
      </c>
      <c r="BL280" s="515">
        <f>[5]Model!BO49</f>
        <v>0.856490454148185</v>
      </c>
      <c r="BM280" s="515">
        <f>[5]Model!BP49</f>
        <v>1.1301563060569</v>
      </c>
      <c r="BN280" s="515">
        <f>[5]Model!BQ49</f>
        <v>1.70577624821933</v>
      </c>
      <c r="BO280" s="515">
        <f>[5]Model!BR49</f>
        <v>1.71375723930311</v>
      </c>
      <c r="BP280" s="515">
        <f>[5]Model!BS49</f>
        <v>2.30304639753343</v>
      </c>
      <c r="BQ280" s="515">
        <f>[5]Model!BT49</f>
        <v>1.99358539052057</v>
      </c>
      <c r="BR280" s="515">
        <f>[5]Model!BU49</f>
        <v>3.34096550589845</v>
      </c>
      <c r="BS280" s="515">
        <f>[5]Model!BV49</f>
        <v>4.56447545905774</v>
      </c>
      <c r="BT280" s="515">
        <f>[5]Model!BW49</f>
        <v>4.96400752564584</v>
      </c>
      <c r="BU280" s="515">
        <f>[5]Model!BX49</f>
        <v>4.17987164091798</v>
      </c>
      <c r="BV280" s="515">
        <f>[5]Model!BY49</f>
        <v>4.88342933788541</v>
      </c>
      <c r="BW280" s="515">
        <f>[5]Model!BZ49</f>
        <v>6.55647201372635</v>
      </c>
      <c r="BX280" s="515">
        <f>[5]Model!CA49</f>
        <v>5.99596094646497</v>
      </c>
    </row>
    <row r="281" outlineLevel="2" spans="2:76">
      <c r="B281" t="s">
        <v>600</v>
      </c>
      <c r="C281" t="s">
        <v>601</v>
      </c>
      <c r="D281" t="str">
        <f t="shared" si="35"/>
        <v>CNY</v>
      </c>
      <c r="F281" s="515">
        <f t="shared" ref="F281:W281" si="42">F278/F285</f>
        <v>0.678571428571428</v>
      </c>
      <c r="G281" s="515">
        <f t="shared" si="42"/>
        <v>0.807142857142857</v>
      </c>
      <c r="H281" s="515">
        <f t="shared" si="42"/>
        <v>0.971428571428572</v>
      </c>
      <c r="I281" s="515">
        <f t="shared" si="42"/>
        <v>1.13571428571429</v>
      </c>
      <c r="J281" s="515">
        <f t="shared" si="42"/>
        <v>1.15673897900613</v>
      </c>
      <c r="K281" s="515">
        <f t="shared" si="42"/>
        <v>1.03571428571429</v>
      </c>
      <c r="L281" s="515">
        <f t="shared" si="42"/>
        <v>0.523285714285714</v>
      </c>
      <c r="M281" s="515">
        <f t="shared" si="42"/>
        <v>0.0952857142857143</v>
      </c>
      <c r="N281" s="515">
        <f t="shared" si="42"/>
        <v>0.641142857142857</v>
      </c>
      <c r="O281" s="515">
        <f t="shared" si="42"/>
        <v>1.08178571428571</v>
      </c>
      <c r="P281" s="515">
        <f t="shared" si="42"/>
        <v>0.711224489795918</v>
      </c>
      <c r="Q281" s="515">
        <f t="shared" si="42"/>
        <v>0.909081632653061</v>
      </c>
      <c r="R281" s="515">
        <f t="shared" si="42"/>
        <v>0.525738009963303</v>
      </c>
      <c r="S281" s="515">
        <f t="shared" si="42"/>
        <v>2.03950420716899</v>
      </c>
      <c r="T281" s="515">
        <f t="shared" si="42"/>
        <v>6.85048388789355</v>
      </c>
      <c r="U281" s="515">
        <f t="shared" si="42"/>
        <v>14.8645081669046</v>
      </c>
      <c r="V281" s="515">
        <f t="shared" si="42"/>
        <v>21.6178780348414</v>
      </c>
      <c r="W281" s="515">
        <f t="shared" si="42"/>
        <v>24.8490551152203</v>
      </c>
      <c r="X281" s="515"/>
      <c r="Y281" s="515">
        <f t="shared" ref="Y281:BD281" si="43">Y278/Y285</f>
        <v>0.307142857142857</v>
      </c>
      <c r="Z281" s="515">
        <f t="shared" si="43"/>
        <v>0.321428571428571</v>
      </c>
      <c r="AA281" s="515">
        <f t="shared" si="43"/>
        <v>0.24509612186327</v>
      </c>
      <c r="AB281" s="515">
        <f t="shared" si="43"/>
        <v>0.283071428571429</v>
      </c>
      <c r="AC281" s="515">
        <f t="shared" si="43"/>
        <v>0.264285714285714</v>
      </c>
      <c r="AD281" s="515">
        <f t="shared" si="43"/>
        <v>0.248428571428571</v>
      </c>
      <c r="AE281" s="515">
        <f t="shared" si="43"/>
        <v>0.294785714285714</v>
      </c>
      <c r="AF281" s="515">
        <f t="shared" si="43"/>
        <v>0.228214285714286</v>
      </c>
      <c r="AG281" s="515">
        <f t="shared" si="43"/>
        <v>0.275</v>
      </c>
      <c r="AH281" s="515">
        <f t="shared" si="43"/>
        <v>0.100571428571429</v>
      </c>
      <c r="AI281" s="515">
        <f t="shared" si="43"/>
        <v>0.104214285714286</v>
      </c>
      <c r="AJ281" s="515">
        <f t="shared" si="43"/>
        <v>0.0435</v>
      </c>
      <c r="AK281" s="515">
        <f t="shared" si="43"/>
        <v>-0.0109285714285714</v>
      </c>
      <c r="AL281" s="515">
        <f t="shared" si="43"/>
        <v>-0.0345714285714286</v>
      </c>
      <c r="AM281" s="515">
        <f t="shared" si="43"/>
        <v>0.0616428571428572</v>
      </c>
      <c r="AN281" s="515">
        <f t="shared" si="43"/>
        <v>0.0791428571428572</v>
      </c>
      <c r="AO281" s="515">
        <f t="shared" si="43"/>
        <v>0.0971428571428571</v>
      </c>
      <c r="AP281" s="515">
        <f t="shared" si="43"/>
        <v>0.144642857142857</v>
      </c>
      <c r="AQ281" s="515">
        <f t="shared" si="43"/>
        <v>0.158071428571429</v>
      </c>
      <c r="AR281" s="515">
        <f t="shared" si="43"/>
        <v>0.241285714285714</v>
      </c>
      <c r="AS281" s="515">
        <f t="shared" si="43"/>
        <v>0.169785714285714</v>
      </c>
      <c r="AT281" s="515">
        <f t="shared" si="43"/>
        <v>0.291285714285714</v>
      </c>
      <c r="AU281" s="515">
        <f t="shared" si="43"/>
        <v>0.325071428571429</v>
      </c>
      <c r="AV281" s="515">
        <f t="shared" si="43"/>
        <v>0.295642857142857</v>
      </c>
      <c r="AW281" s="515">
        <f t="shared" si="43"/>
        <v>0.158316326530612</v>
      </c>
      <c r="AX281" s="515">
        <f t="shared" si="43"/>
        <v>0.211887755102041</v>
      </c>
      <c r="AY281" s="515">
        <f t="shared" si="43"/>
        <v>0.142755102040816</v>
      </c>
      <c r="AZ281" s="515">
        <f t="shared" si="43"/>
        <v>0.198265306122449</v>
      </c>
      <c r="BA281" s="515">
        <f t="shared" si="43"/>
        <v>0.133214285714286</v>
      </c>
      <c r="BB281" s="515">
        <f t="shared" si="43"/>
        <v>0.330663265306122</v>
      </c>
      <c r="BC281" s="515">
        <f t="shared" si="43"/>
        <v>0.303214285714286</v>
      </c>
      <c r="BD281" s="515">
        <f t="shared" si="43"/>
        <v>0.141989795918367</v>
      </c>
      <c r="BE281" s="515">
        <f t="shared" ref="BE281:BX281" si="44">BE278/BE285</f>
        <v>0.108520408163265</v>
      </c>
      <c r="BF281" s="515">
        <f t="shared" si="44"/>
        <v>0.129744897959184</v>
      </c>
      <c r="BG281" s="515">
        <f t="shared" si="44"/>
        <v>0.10147783358556</v>
      </c>
      <c r="BH281" s="515">
        <f t="shared" si="44"/>
        <v>0.185994870255294</v>
      </c>
      <c r="BI281" s="515">
        <f t="shared" si="44"/>
        <v>0.233243571471369</v>
      </c>
      <c r="BJ281" s="515">
        <f t="shared" si="44"/>
        <v>0.388524160442186</v>
      </c>
      <c r="BK281" s="515">
        <f t="shared" si="44"/>
        <v>0.561246021107256</v>
      </c>
      <c r="BL281" s="515">
        <f t="shared" si="44"/>
        <v>0.856490454148185</v>
      </c>
      <c r="BM281" s="515">
        <f t="shared" si="44"/>
        <v>1.1301563060569</v>
      </c>
      <c r="BN281" s="515">
        <f t="shared" si="44"/>
        <v>1.70577624821933</v>
      </c>
      <c r="BO281" s="515">
        <f t="shared" si="44"/>
        <v>1.71375723930311</v>
      </c>
      <c r="BP281" s="515">
        <f t="shared" si="44"/>
        <v>2.30304639753343</v>
      </c>
      <c r="BQ281" s="515">
        <f t="shared" si="44"/>
        <v>1.99358539052057</v>
      </c>
      <c r="BR281" s="515">
        <f t="shared" si="44"/>
        <v>3.34096550589845</v>
      </c>
      <c r="BS281" s="515">
        <f t="shared" si="44"/>
        <v>4.56447545905774</v>
      </c>
      <c r="BT281" s="515">
        <f t="shared" si="44"/>
        <v>4.96400752564584</v>
      </c>
      <c r="BU281" s="515">
        <f t="shared" si="44"/>
        <v>4.17987164091798</v>
      </c>
      <c r="BV281" s="515">
        <f t="shared" si="44"/>
        <v>4.88342933788541</v>
      </c>
      <c r="BW281" s="515">
        <f t="shared" si="44"/>
        <v>6.55647201372635</v>
      </c>
      <c r="BX281" s="515">
        <f t="shared" si="44"/>
        <v>5.99596094646497</v>
      </c>
    </row>
    <row r="282" outlineLevel="2" spans="2:76">
      <c r="B282" t="s">
        <v>602</v>
      </c>
      <c r="C282" t="s">
        <v>603</v>
      </c>
      <c r="D282" t="str">
        <f t="shared" si="35"/>
        <v>CNY</v>
      </c>
      <c r="F282" s="515">
        <f t="shared" ref="F282:W282" si="45">F278/F286</f>
        <v>0.678571428571428</v>
      </c>
      <c r="G282" s="515">
        <f t="shared" si="45"/>
        <v>0.807142857142857</v>
      </c>
      <c r="H282" s="515">
        <f t="shared" si="45"/>
        <v>0.971428571428572</v>
      </c>
      <c r="I282" s="515">
        <f t="shared" si="45"/>
        <v>1.13571428571429</v>
      </c>
      <c r="J282" s="515">
        <f t="shared" si="45"/>
        <v>1.15673897900613</v>
      </c>
      <c r="K282" s="515">
        <f t="shared" si="45"/>
        <v>1.03571428571429</v>
      </c>
      <c r="L282" s="515">
        <f t="shared" si="45"/>
        <v>0.523285714285714</v>
      </c>
      <c r="M282" s="515">
        <f t="shared" si="45"/>
        <v>0.0952857142857143</v>
      </c>
      <c r="N282" s="515">
        <f t="shared" si="45"/>
        <v>0.641142857142857</v>
      </c>
      <c r="O282" s="515">
        <f t="shared" si="45"/>
        <v>1.08178571428571</v>
      </c>
      <c r="P282" s="515">
        <f t="shared" si="45"/>
        <v>0.711224489795918</v>
      </c>
      <c r="Q282" s="515">
        <f t="shared" si="45"/>
        <v>0.909081632653061</v>
      </c>
      <c r="R282" s="515">
        <f t="shared" si="45"/>
        <v>0.525738009963303</v>
      </c>
      <c r="S282" s="515">
        <f t="shared" si="45"/>
        <v>2.03950420716899</v>
      </c>
      <c r="T282" s="515">
        <f t="shared" si="45"/>
        <v>6.85048388789355</v>
      </c>
      <c r="U282" s="515">
        <f t="shared" si="45"/>
        <v>14.8645081669046</v>
      </c>
      <c r="V282" s="515">
        <f t="shared" si="45"/>
        <v>21.6178780348414</v>
      </c>
      <c r="W282" s="515">
        <f t="shared" si="45"/>
        <v>24.8490551152203</v>
      </c>
      <c r="X282" s="515"/>
      <c r="Y282" s="515">
        <f t="shared" ref="Y282:BD282" si="46">Y278/Y286</f>
        <v>0.307142857142857</v>
      </c>
      <c r="Z282" s="515">
        <f t="shared" si="46"/>
        <v>0.321428571428571</v>
      </c>
      <c r="AA282" s="515">
        <f t="shared" si="46"/>
        <v>0.24509612186327</v>
      </c>
      <c r="AB282" s="515">
        <f t="shared" si="46"/>
        <v>0.283071428571429</v>
      </c>
      <c r="AC282" s="515">
        <f t="shared" si="46"/>
        <v>0.264285714285714</v>
      </c>
      <c r="AD282" s="515">
        <f t="shared" si="46"/>
        <v>0.248428571428571</v>
      </c>
      <c r="AE282" s="515">
        <f t="shared" si="46"/>
        <v>0.294785714285714</v>
      </c>
      <c r="AF282" s="515">
        <f t="shared" si="46"/>
        <v>0.228214285714286</v>
      </c>
      <c r="AG282" s="515">
        <f t="shared" si="46"/>
        <v>0.275</v>
      </c>
      <c r="AH282" s="515">
        <f t="shared" si="46"/>
        <v>0.100571428571429</v>
      </c>
      <c r="AI282" s="515">
        <f t="shared" si="46"/>
        <v>0.104214285714286</v>
      </c>
      <c r="AJ282" s="515">
        <f t="shared" si="46"/>
        <v>0.0435</v>
      </c>
      <c r="AK282" s="515">
        <f t="shared" si="46"/>
        <v>-0.0109285714285714</v>
      </c>
      <c r="AL282" s="515">
        <f t="shared" si="46"/>
        <v>-0.0345714285714286</v>
      </c>
      <c r="AM282" s="515">
        <f t="shared" si="46"/>
        <v>0.0616428571428572</v>
      </c>
      <c r="AN282" s="515">
        <f t="shared" si="46"/>
        <v>0.0791428571428572</v>
      </c>
      <c r="AO282" s="515">
        <f t="shared" si="46"/>
        <v>0.0971428571428571</v>
      </c>
      <c r="AP282" s="515">
        <f t="shared" si="46"/>
        <v>0.144642857142857</v>
      </c>
      <c r="AQ282" s="515">
        <f t="shared" si="46"/>
        <v>0.158071428571429</v>
      </c>
      <c r="AR282" s="515">
        <f t="shared" si="46"/>
        <v>0.241285714285714</v>
      </c>
      <c r="AS282" s="515">
        <f t="shared" si="46"/>
        <v>0.169785714285714</v>
      </c>
      <c r="AT282" s="515">
        <f t="shared" si="46"/>
        <v>0.291285714285714</v>
      </c>
      <c r="AU282" s="515">
        <f t="shared" si="46"/>
        <v>0.325071428571429</v>
      </c>
      <c r="AV282" s="515">
        <f t="shared" si="46"/>
        <v>0.295642857142857</v>
      </c>
      <c r="AW282" s="515">
        <f t="shared" si="46"/>
        <v>0.158316326530612</v>
      </c>
      <c r="AX282" s="515">
        <f t="shared" si="46"/>
        <v>0.211887755102041</v>
      </c>
      <c r="AY282" s="515">
        <f t="shared" si="46"/>
        <v>0.142755102040816</v>
      </c>
      <c r="AZ282" s="515">
        <f t="shared" si="46"/>
        <v>0.198265306122449</v>
      </c>
      <c r="BA282" s="515">
        <f t="shared" si="46"/>
        <v>0.133214285714286</v>
      </c>
      <c r="BB282" s="515">
        <f t="shared" si="46"/>
        <v>0.330663265306122</v>
      </c>
      <c r="BC282" s="515">
        <f t="shared" si="46"/>
        <v>0.303214285714286</v>
      </c>
      <c r="BD282" s="515">
        <f t="shared" si="46"/>
        <v>0.141989795918367</v>
      </c>
      <c r="BE282" s="515">
        <f t="shared" ref="BE282:BX282" si="47">BE278/BE286</f>
        <v>0.108520408163265</v>
      </c>
      <c r="BF282" s="515">
        <f t="shared" si="47"/>
        <v>0.129744897959184</v>
      </c>
      <c r="BG282" s="515">
        <f t="shared" si="47"/>
        <v>0.10147783358556</v>
      </c>
      <c r="BH282" s="515">
        <f t="shared" si="47"/>
        <v>0.185994870255294</v>
      </c>
      <c r="BI282" s="515">
        <f t="shared" si="47"/>
        <v>0.233243571471369</v>
      </c>
      <c r="BJ282" s="515">
        <f t="shared" si="47"/>
        <v>0.388524160442186</v>
      </c>
      <c r="BK282" s="515">
        <f t="shared" si="47"/>
        <v>0.561246021107256</v>
      </c>
      <c r="BL282" s="515">
        <f t="shared" si="47"/>
        <v>0.856490454148185</v>
      </c>
      <c r="BM282" s="515">
        <f t="shared" si="47"/>
        <v>1.1301563060569</v>
      </c>
      <c r="BN282" s="515">
        <f t="shared" si="47"/>
        <v>1.70577624821933</v>
      </c>
      <c r="BO282" s="515">
        <f t="shared" si="47"/>
        <v>1.71375723930311</v>
      </c>
      <c r="BP282" s="515">
        <f t="shared" si="47"/>
        <v>2.30304639753343</v>
      </c>
      <c r="BQ282" s="515">
        <f t="shared" si="47"/>
        <v>1.99358539052057</v>
      </c>
      <c r="BR282" s="515">
        <f t="shared" si="47"/>
        <v>3.34096550589845</v>
      </c>
      <c r="BS282" s="515">
        <f t="shared" si="47"/>
        <v>4.56447545905774</v>
      </c>
      <c r="BT282" s="515">
        <f t="shared" si="47"/>
        <v>4.96400752564584</v>
      </c>
      <c r="BU282" s="515">
        <f t="shared" si="47"/>
        <v>4.17987164091798</v>
      </c>
      <c r="BV282" s="515">
        <f t="shared" si="47"/>
        <v>4.88342933788541</v>
      </c>
      <c r="BW282" s="515">
        <f t="shared" si="47"/>
        <v>6.55647201372635</v>
      </c>
      <c r="BX282" s="515">
        <f t="shared" si="47"/>
        <v>5.99596094646497</v>
      </c>
    </row>
    <row r="283" outlineLevel="2" spans="2:76">
      <c r="B283" t="s">
        <v>604</v>
      </c>
      <c r="C283" t="s">
        <v>605</v>
      </c>
      <c r="D283" t="str">
        <f t="shared" si="35"/>
        <v>CNY</v>
      </c>
      <c r="F283" s="505">
        <f>-[5]Model!E53</f>
        <v>0</v>
      </c>
      <c r="G283" s="505">
        <f>-[5]Model!F53</f>
        <v>0</v>
      </c>
      <c r="H283" s="505">
        <f>-[5]Model!G53</f>
        <v>0</v>
      </c>
      <c r="I283" s="505">
        <f>-[5]Model!H53</f>
        <v>0</v>
      </c>
      <c r="J283" s="505">
        <f>-[5]Model!I53</f>
        <v>0</v>
      </c>
      <c r="K283" s="505">
        <f>-[5]Model!J53</f>
        <v>-12.8086817582235</v>
      </c>
      <c r="L283" s="505">
        <f>-[5]Model!K53</f>
        <v>-23.9893274259459</v>
      </c>
      <c r="M283" s="505">
        <f>-[5]Model!L53</f>
        <v>-90.7674891376627</v>
      </c>
      <c r="N283" s="505">
        <f>-[5]Model!M53</f>
        <v>-59.7591936725936</v>
      </c>
      <c r="O283" s="505">
        <f>-[5]Model!N53</f>
        <v>-54.5496281168438</v>
      </c>
      <c r="P283" s="505">
        <f>-[5]Model!O53</f>
        <v>-111.682229486772</v>
      </c>
      <c r="Q283" s="505">
        <f>-[5]Model!P53</f>
        <v>-347.882269780929</v>
      </c>
      <c r="R283" s="505">
        <f>-[5]Model!Q53</f>
        <v>-202.945131836763</v>
      </c>
      <c r="S283" s="505">
        <f>-[5]Model!R53</f>
        <v>-318.963</v>
      </c>
      <c r="T283" s="505">
        <f>-[5]Model!S53</f>
        <v>-953.192273017</v>
      </c>
      <c r="U283" s="505">
        <f>-[5]Model!T53</f>
        <v>-2068.28226425452</v>
      </c>
      <c r="V283" s="505">
        <f>-[5]Model!U53</f>
        <v>-3007.96186649683</v>
      </c>
      <c r="W283" s="505">
        <f>-[5]Model!V53</f>
        <v>-3457.5553661925</v>
      </c>
      <c r="X283" s="505"/>
      <c r="Y283" s="505">
        <f>-[5]Model!AB53</f>
        <v>0</v>
      </c>
      <c r="Z283" s="505">
        <f>-[5]Model!AC53</f>
        <v>0</v>
      </c>
      <c r="AA283" s="505">
        <f>-[5]Model!AD53</f>
        <v>0</v>
      </c>
      <c r="AB283" s="505">
        <f>-[5]Model!AE53</f>
        <v>0</v>
      </c>
      <c r="AC283" s="505">
        <f>-[5]Model!AF53</f>
        <v>0</v>
      </c>
      <c r="AD283" s="505">
        <f>-[5]Model!AG53</f>
        <v>0</v>
      </c>
      <c r="AE283" s="505">
        <f>-[5]Model!AH53</f>
        <v>0</v>
      </c>
      <c r="AF283" s="505">
        <f>-[5]Model!AI53</f>
        <v>0</v>
      </c>
      <c r="AG283" s="505">
        <f>-[5]Model!AJ53</f>
        <v>0</v>
      </c>
      <c r="AH283" s="505">
        <f>-[5]Model!AK53</f>
        <v>0</v>
      </c>
      <c r="AI283" s="505">
        <f>-[5]Model!AL53</f>
        <v>0</v>
      </c>
      <c r="AJ283" s="505">
        <f>-[5]Model!AM53</f>
        <v>0</v>
      </c>
      <c r="AK283" s="505">
        <f>-[5]Model!AN53</f>
        <v>0</v>
      </c>
      <c r="AL283" s="505">
        <f>-[5]Model!AO53</f>
        <v>0</v>
      </c>
      <c r="AM283" s="505">
        <f>-[5]Model!AP53</f>
        <v>0</v>
      </c>
      <c r="AN283" s="505">
        <f>-[5]Model!AQ53</f>
        <v>0</v>
      </c>
      <c r="AO283" s="505">
        <f>-[5]Model!AR53</f>
        <v>0</v>
      </c>
      <c r="AP283" s="505">
        <f>-[5]Model!AS53</f>
        <v>0</v>
      </c>
      <c r="AQ283" s="505">
        <f>-[5]Model!AT53</f>
        <v>0</v>
      </c>
      <c r="AR283" s="505">
        <f>-[5]Model!AU53</f>
        <v>0</v>
      </c>
      <c r="AS283" s="505">
        <f>-[5]Model!AV53</f>
        <v>0</v>
      </c>
      <c r="AT283" s="505">
        <f>-[5]Model!AW53</f>
        <v>0</v>
      </c>
      <c r="AU283" s="505">
        <f>-[5]Model!AX53</f>
        <v>0</v>
      </c>
      <c r="AV283" s="505">
        <f>-[5]Model!AY53</f>
        <v>0</v>
      </c>
      <c r="AW283" s="505">
        <f>-[5]Model!AZ53</f>
        <v>-994.012036488043</v>
      </c>
      <c r="AX283" s="505">
        <f>-[5]Model!BA53</f>
        <v>-1391.48654963101</v>
      </c>
      <c r="AY283" s="505">
        <f>-[5]Model!BB53</f>
        <v>-1391.24423560858</v>
      </c>
      <c r="AZ283" s="505">
        <f>-[5]Model!BC53</f>
        <v>-1391.4793861192</v>
      </c>
      <c r="BA283" s="505">
        <f>-[5]Model!BD53</f>
        <v>-1391.68234227989</v>
      </c>
      <c r="BB283" s="505">
        <f>-[5]Model!BE53</f>
        <v>-1391.53553867564</v>
      </c>
      <c r="BC283" s="505">
        <f>-[5]Model!BF53</f>
        <v>-1391.38001846502</v>
      </c>
      <c r="BD283" s="505">
        <f>-[5]Model!BG53</f>
        <v>-1391.68855919483</v>
      </c>
      <c r="BE283" s="505">
        <f>-[5]Model!BH53</f>
        <v>-1391.15527469149</v>
      </c>
      <c r="BF283" s="505">
        <f>-[5]Model!BI53</f>
        <v>-1947.99258572395</v>
      </c>
      <c r="BG283" s="505">
        <f>-[5]Model!BJ53</f>
        <v>-1947.99258572395</v>
      </c>
      <c r="BH283" s="505">
        <f>-[5]Model!BK53</f>
        <v>-1947.99258572395</v>
      </c>
      <c r="BI283" s="505">
        <f>-[5]Model!BL53</f>
        <v>-1947.99258572395</v>
      </c>
      <c r="BJ283" s="505">
        <f>-[5]Model!BM53</f>
        <v>-1947.99258572395</v>
      </c>
      <c r="BK283" s="505">
        <f>-[5]Model!BN53</f>
        <v>-1947.99258572395</v>
      </c>
      <c r="BL283" s="505">
        <f>-[5]Model!BO53</f>
        <v>-1947.99258572395</v>
      </c>
      <c r="BM283" s="505">
        <f>-[5]Model!BP53</f>
        <v>-1947.99258572395</v>
      </c>
      <c r="BN283" s="505">
        <f>-[5]Model!BQ53</f>
        <v>-1944.96545152</v>
      </c>
      <c r="BO283" s="505">
        <f>-[5]Model!BR53</f>
        <v>-1948.18580992</v>
      </c>
      <c r="BP283" s="505">
        <f>-[5]Model!BS53</f>
        <v>-1948.18580992</v>
      </c>
      <c r="BQ283" s="505">
        <f>-[5]Model!BT53</f>
        <v>-1948.18580992</v>
      </c>
      <c r="BR283" s="505">
        <f>-[5]Model!BU53</f>
        <v>-1948.18580992</v>
      </c>
      <c r="BS283" s="505">
        <f>-[5]Model!BV53</f>
        <v>-1948.18580992</v>
      </c>
      <c r="BT283" s="505">
        <f>-[5]Model!BW53</f>
        <v>-1948.18580992</v>
      </c>
      <c r="BU283" s="505">
        <f>-[5]Model!BX53</f>
        <v>-1948.18580992</v>
      </c>
      <c r="BV283" s="505">
        <f>-[5]Model!BY53</f>
        <v>-1948.18580992</v>
      </c>
      <c r="BW283" s="505">
        <f>-[5]Model!BZ53</f>
        <v>-1948.18580992</v>
      </c>
      <c r="BX283" s="505">
        <f>-[5]Model!CA53</f>
        <v>-1948.18580992</v>
      </c>
    </row>
    <row r="284" outlineLevel="2" spans="2:76">
      <c r="B284" t="s">
        <v>606</v>
      </c>
      <c r="C284" t="s">
        <v>607</v>
      </c>
      <c r="D284" t="str">
        <f t="shared" si="35"/>
        <v>CNY</v>
      </c>
      <c r="F284" s="515">
        <f>[5]Model!E54</f>
        <v>0</v>
      </c>
      <c r="G284" s="515">
        <f>[5]Model!F54</f>
        <v>0</v>
      </c>
      <c r="H284" s="515">
        <f>[5]Model!G54</f>
        <v>0</v>
      </c>
      <c r="I284" s="515">
        <f>[5]Model!H54</f>
        <v>0</v>
      </c>
      <c r="J284" s="515">
        <f>[5]Model!I54</f>
        <v>0</v>
      </c>
      <c r="K284" s="515">
        <f>[5]Model!J54</f>
        <v>0.126</v>
      </c>
      <c r="L284" s="515">
        <f>[5]Model!K54</f>
        <v>0.113</v>
      </c>
      <c r="M284" s="515">
        <f>[5]Model!L54</f>
        <v>0.2717</v>
      </c>
      <c r="N284" s="515">
        <f>[5]Model!M54</f>
        <v>0.18</v>
      </c>
      <c r="O284" s="515">
        <f>[5]Model!N54</f>
        <v>0.12</v>
      </c>
      <c r="P284" s="515">
        <f>[5]Model!O54</f>
        <v>0.12</v>
      </c>
      <c r="Q284" s="515">
        <f>[5]Model!P54</f>
        <v>0.35</v>
      </c>
      <c r="R284" s="515">
        <f>[5]Model!Q54</f>
        <v>0.155</v>
      </c>
      <c r="S284" s="515">
        <f>[5]Model!R54</f>
        <v>0.229235061402478</v>
      </c>
      <c r="T284" s="515">
        <f>[5]Model!S54</f>
        <v>0.685048388789355</v>
      </c>
      <c r="U284" s="515">
        <f>[5]Model!T54</f>
        <v>1.48645081669046</v>
      </c>
      <c r="V284" s="515">
        <f>[5]Model!U54</f>
        <v>2.16178780348414</v>
      </c>
      <c r="W284" s="515">
        <f>[5]Model!V54</f>
        <v>2.48490551152203</v>
      </c>
      <c r="X284" s="515"/>
      <c r="Y284" s="515">
        <f>[5]Model!AB54</f>
        <v>0</v>
      </c>
      <c r="Z284" s="515">
        <f>[5]Model!AC54</f>
        <v>0</v>
      </c>
      <c r="AA284" s="515">
        <f>[5]Model!AD54</f>
        <v>0</v>
      </c>
      <c r="AB284" s="515">
        <f>[5]Model!AE54</f>
        <v>0</v>
      </c>
      <c r="AC284" s="515">
        <f>[5]Model!AF54</f>
        <v>0</v>
      </c>
      <c r="AD284" s="515">
        <f>[5]Model!AG54</f>
        <v>0</v>
      </c>
      <c r="AE284" s="515">
        <f>[5]Model!AH54</f>
        <v>0</v>
      </c>
      <c r="AF284" s="515">
        <f>[5]Model!AI54</f>
        <v>0</v>
      </c>
      <c r="AG284" s="515">
        <f>[5]Model!AJ54</f>
        <v>0</v>
      </c>
      <c r="AH284" s="515">
        <f>[5]Model!AK54</f>
        <v>0</v>
      </c>
      <c r="AI284" s="515">
        <f>[5]Model!AL54</f>
        <v>0</v>
      </c>
      <c r="AJ284" s="515">
        <f>[5]Model!AM54</f>
        <v>0</v>
      </c>
      <c r="AK284" s="515">
        <f>[5]Model!AN54</f>
        <v>0</v>
      </c>
      <c r="AL284" s="515">
        <f>[5]Model!AO54</f>
        <v>0</v>
      </c>
      <c r="AM284" s="515">
        <f>[5]Model!AP54</f>
        <v>0</v>
      </c>
      <c r="AN284" s="515">
        <f>[5]Model!AQ54</f>
        <v>0</v>
      </c>
      <c r="AO284" s="515">
        <f>[5]Model!AR54</f>
        <v>0</v>
      </c>
      <c r="AP284" s="515">
        <f>[5]Model!AS54</f>
        <v>0</v>
      </c>
      <c r="AQ284" s="515">
        <f>[5]Model!AT54</f>
        <v>0</v>
      </c>
      <c r="AR284" s="515">
        <f>[5]Model!AU54</f>
        <v>0</v>
      </c>
      <c r="AS284" s="515">
        <f>[5]Model!AV54</f>
        <v>0</v>
      </c>
      <c r="AT284" s="515">
        <f>[5]Model!AW54</f>
        <v>0</v>
      </c>
      <c r="AU284" s="515">
        <f>[5]Model!AX54</f>
        <v>0</v>
      </c>
      <c r="AV284" s="515">
        <f>[5]Model!AY54</f>
        <v>0</v>
      </c>
      <c r="AW284" s="515">
        <f>[5]Model!AZ54</f>
        <v>0</v>
      </c>
      <c r="AX284" s="515">
        <f>[5]Model!BA54</f>
        <v>0</v>
      </c>
      <c r="AY284" s="515">
        <f>[5]Model!BB54</f>
        <v>0</v>
      </c>
      <c r="AZ284" s="515">
        <f>[5]Model!BC54</f>
        <v>0</v>
      </c>
      <c r="BA284" s="515">
        <f>[5]Model!BD54</f>
        <v>0</v>
      </c>
      <c r="BB284" s="515">
        <f>[5]Model!BE54</f>
        <v>0</v>
      </c>
      <c r="BC284" s="515">
        <f>[5]Model!BF54</f>
        <v>0</v>
      </c>
      <c r="BD284" s="515">
        <f>[5]Model!BG54</f>
        <v>0</v>
      </c>
      <c r="BE284" s="515">
        <f>[5]Model!BH54</f>
        <v>0</v>
      </c>
      <c r="BF284" s="515">
        <f>[5]Model!BI54</f>
        <v>0</v>
      </c>
      <c r="BG284" s="515">
        <f>[5]Model!BJ54</f>
        <v>0</v>
      </c>
      <c r="BH284" s="515">
        <f>[5]Model!BK54</f>
        <v>0</v>
      </c>
      <c r="BI284" s="515">
        <f>[5]Model!BL54</f>
        <v>0</v>
      </c>
      <c r="BJ284" s="515">
        <f>[5]Model!BM54</f>
        <v>0</v>
      </c>
      <c r="BK284" s="515">
        <f>[5]Model!BN54</f>
        <v>0</v>
      </c>
      <c r="BL284" s="515">
        <f>[5]Model!BO54</f>
        <v>0</v>
      </c>
      <c r="BM284" s="515">
        <f>[5]Model!BP54</f>
        <v>0</v>
      </c>
      <c r="BN284" s="515">
        <f>[5]Model!BQ54</f>
        <v>0</v>
      </c>
      <c r="BO284" s="515">
        <f>[5]Model!BR54</f>
        <v>0</v>
      </c>
      <c r="BP284" s="515">
        <f>[5]Model!BS54</f>
        <v>0</v>
      </c>
      <c r="BQ284" s="515">
        <f>[5]Model!BT54</f>
        <v>0</v>
      </c>
      <c r="BR284" s="515">
        <f>[5]Model!BU54</f>
        <v>0</v>
      </c>
      <c r="BS284" s="515">
        <f>[5]Model!BV54</f>
        <v>0</v>
      </c>
      <c r="BT284" s="515">
        <f>[5]Model!BW54</f>
        <v>0</v>
      </c>
      <c r="BU284" s="515">
        <f>[5]Model!BX54</f>
        <v>0</v>
      </c>
      <c r="BV284" s="515">
        <f>[5]Model!BY54</f>
        <v>0</v>
      </c>
      <c r="BW284" s="515">
        <f>[5]Model!BZ54</f>
        <v>0</v>
      </c>
      <c r="BX284" s="515">
        <f>[5]Model!CA54</f>
        <v>0</v>
      </c>
    </row>
    <row r="285" outlineLevel="2" spans="2:76">
      <c r="B285" t="s">
        <v>608</v>
      </c>
      <c r="C285" t="s">
        <v>609</v>
      </c>
      <c r="F285" s="505">
        <f>[5]Model!E56</f>
        <v>77.4786304084211</v>
      </c>
      <c r="G285" s="505">
        <f>[5]Model!F56</f>
        <v>81.4573371964602</v>
      </c>
      <c r="H285" s="505">
        <f>[5]Model!G56</f>
        <v>81.6928486808823</v>
      </c>
      <c r="I285" s="505">
        <f>[5]Model!H56</f>
        <v>81.3572003823899</v>
      </c>
      <c r="J285" s="505">
        <f>[5]Model!I56</f>
        <v>81.6522394457149</v>
      </c>
      <c r="K285" s="505">
        <f>[5]Model!J56</f>
        <v>101.656204430345</v>
      </c>
      <c r="L285" s="505">
        <f>[5]Model!K56</f>
        <v>212.294932972973</v>
      </c>
      <c r="M285" s="505">
        <f>[5]Model!L56</f>
        <v>334.072466461769</v>
      </c>
      <c r="N285" s="505">
        <f>[5]Model!M56</f>
        <v>331.995520403298</v>
      </c>
      <c r="O285" s="505">
        <f>[5]Model!N56</f>
        <v>454.580234307032</v>
      </c>
      <c r="P285" s="505">
        <f>[5]Model!O56</f>
        <v>930.685245723099</v>
      </c>
      <c r="Q285" s="505">
        <f>[5]Model!P56</f>
        <v>993.949342231227</v>
      </c>
      <c r="R285" s="505">
        <f>[5]Model!Q56</f>
        <v>1309.32343120492</v>
      </c>
      <c r="S285" s="505">
        <f>[5]Model!R56</f>
        <v>1391.42327551711</v>
      </c>
      <c r="T285" s="505">
        <f>[5]Model!S56</f>
        <v>1391.42327551711</v>
      </c>
      <c r="U285" s="505">
        <f>[5]Model!T56</f>
        <v>1391.42327551711</v>
      </c>
      <c r="V285" s="505">
        <f>[5]Model!U56</f>
        <v>1391.42327551711</v>
      </c>
      <c r="W285" s="505">
        <f>[5]Model!V56</f>
        <v>1391.42327551711</v>
      </c>
      <c r="X285" s="505"/>
      <c r="Y285" s="505">
        <f>[5]Model!AB56</f>
        <v>80.6754562372093</v>
      </c>
      <c r="Z285" s="505">
        <f>[5]Model!AC56</f>
        <v>82.8693051511111</v>
      </c>
      <c r="AA285" s="505">
        <f>[5]Model!AD56</f>
        <v>81.4795902447641</v>
      </c>
      <c r="AB285" s="505">
        <f>[5]Model!AE56</f>
        <v>81.4795902447641</v>
      </c>
      <c r="AC285" s="505">
        <f>[5]Model!AF56</f>
        <v>81.2714304594595</v>
      </c>
      <c r="AD285" s="505">
        <f>[5]Model!AG56</f>
        <v>108.648647556067</v>
      </c>
      <c r="AE285" s="505">
        <f>[5]Model!AH56</f>
        <v>108.641357460625</v>
      </c>
      <c r="AF285" s="505">
        <f>[5]Model!AI56</f>
        <v>108.628417245696</v>
      </c>
      <c r="AG285" s="505">
        <f>[5]Model!AJ56</f>
        <v>108.641550872727</v>
      </c>
      <c r="AH285" s="505">
        <f>[5]Model!AK56</f>
        <v>325.959171860795</v>
      </c>
      <c r="AI285" s="505">
        <f>[5]Model!AL56</f>
        <v>325.895528594928</v>
      </c>
      <c r="AJ285" s="505">
        <f>[5]Model!AM56</f>
        <v>332.628272413793</v>
      </c>
      <c r="AK285" s="505">
        <f>[5]Model!AN56</f>
        <v>332.835474771242</v>
      </c>
      <c r="AL285" s="505">
        <f>[5]Model!AO56</f>
        <v>333.140325578512</v>
      </c>
      <c r="AM285" s="505">
        <f>[5]Model!AP56</f>
        <v>333.696883360371</v>
      </c>
      <c r="AN285" s="505">
        <f>[5]Model!AQ56</f>
        <v>333.787008249097</v>
      </c>
      <c r="AO285" s="505">
        <f>[5]Model!AR56</f>
        <v>333.646197602941</v>
      </c>
      <c r="AP285" s="505">
        <f>[5]Model!AS56</f>
        <v>333.59168508642</v>
      </c>
      <c r="AQ285" s="505">
        <f>[5]Model!AT56</f>
        <v>330.978169191143</v>
      </c>
      <c r="AR285" s="505">
        <f>[5]Model!AU56</f>
        <v>331.040589603316</v>
      </c>
      <c r="AS285" s="505">
        <f>[5]Model!AV56</f>
        <v>331.100926226336</v>
      </c>
      <c r="AT285" s="505">
        <f>[5]Model!AW56</f>
        <v>463.464911181952</v>
      </c>
      <c r="AU285" s="505">
        <f>[5]Model!AX56</f>
        <v>463.378179103494</v>
      </c>
      <c r="AV285" s="505">
        <f>[5]Model!AY56</f>
        <v>507.066138207296</v>
      </c>
      <c r="AW285" s="505">
        <f>[5]Model!AZ56</f>
        <v>710.00859749146</v>
      </c>
      <c r="AX285" s="505">
        <f>[5]Model!BA56</f>
        <v>993.918964022153</v>
      </c>
      <c r="AY285" s="505">
        <f>[5]Model!BB56</f>
        <v>993.745882577555</v>
      </c>
      <c r="AZ285" s="505">
        <f>[5]Model!BC56</f>
        <v>993.913847227998</v>
      </c>
      <c r="BA285" s="505">
        <f>[5]Model!BD56</f>
        <v>994.058815914209</v>
      </c>
      <c r="BB285" s="505">
        <f>[5]Model!BE56</f>
        <v>993.953956196883</v>
      </c>
      <c r="BC285" s="505">
        <f>[5]Model!BF56</f>
        <v>993.842870332155</v>
      </c>
      <c r="BD285" s="505">
        <f>[5]Model!BG56</f>
        <v>994.063256567733</v>
      </c>
      <c r="BE285" s="505">
        <f>[5]Model!BH56</f>
        <v>993.68233906535</v>
      </c>
      <c r="BF285" s="505">
        <f>[5]Model!BI56</f>
        <v>1391.42327551711</v>
      </c>
      <c r="BG285" s="505">
        <f>[5]Model!BJ56</f>
        <v>1391.42327551711</v>
      </c>
      <c r="BH285" s="505">
        <f>[5]Model!BK56</f>
        <v>1391.42327551711</v>
      </c>
      <c r="BI285" s="505">
        <f>[5]Model!BL56</f>
        <v>1391.42327551711</v>
      </c>
      <c r="BJ285" s="505">
        <f>[5]Model!BM56</f>
        <v>1391.42327551711</v>
      </c>
      <c r="BK285" s="505">
        <f>[5]Model!BN56</f>
        <v>1391.42327551711</v>
      </c>
      <c r="BL285" s="505">
        <f>[5]Model!BO56</f>
        <v>1391.42327551711</v>
      </c>
      <c r="BM285" s="505">
        <f>[5]Model!BP56</f>
        <v>1391.42327551711</v>
      </c>
      <c r="BN285" s="505">
        <f>[5]Model!BQ56</f>
        <v>1389.2610368</v>
      </c>
      <c r="BO285" s="505">
        <f>[5]Model!BR56</f>
        <v>1391.5612928</v>
      </c>
      <c r="BP285" s="505">
        <f>[5]Model!BS56</f>
        <v>1391.5612928</v>
      </c>
      <c r="BQ285" s="505">
        <f>[5]Model!BT56</f>
        <v>1391.5612928</v>
      </c>
      <c r="BR285" s="505">
        <f>[5]Model!BU56</f>
        <v>1391.5612928</v>
      </c>
      <c r="BS285" s="505">
        <f>[5]Model!BV56</f>
        <v>1391.5612928</v>
      </c>
      <c r="BT285" s="505">
        <f>[5]Model!BW56</f>
        <v>1391.5612928</v>
      </c>
      <c r="BU285" s="505">
        <f>[5]Model!BX56</f>
        <v>1391.5612928</v>
      </c>
      <c r="BV285" s="505">
        <f>[5]Model!BY56</f>
        <v>1391.5612928</v>
      </c>
      <c r="BW285" s="505">
        <f>[5]Model!BZ56</f>
        <v>1391.5612928</v>
      </c>
      <c r="BX285" s="505">
        <f>[5]Model!CA56</f>
        <v>1391.5612928</v>
      </c>
    </row>
    <row r="286" outlineLevel="2" spans="2:76">
      <c r="B286" t="s">
        <v>610</v>
      </c>
      <c r="C286" t="s">
        <v>611</v>
      </c>
      <c r="F286" s="505">
        <f>[5]Model!E56</f>
        <v>77.4786304084211</v>
      </c>
      <c r="G286" s="505">
        <f>[5]Model!F56</f>
        <v>81.4573371964602</v>
      </c>
      <c r="H286" s="505">
        <f>[5]Model!G56</f>
        <v>81.6928486808823</v>
      </c>
      <c r="I286" s="505">
        <f>[5]Model!H56</f>
        <v>81.3572003823899</v>
      </c>
      <c r="J286" s="505">
        <f>[5]Model!I56</f>
        <v>81.6522394457149</v>
      </c>
      <c r="K286" s="505">
        <f>[5]Model!J56</f>
        <v>101.656204430345</v>
      </c>
      <c r="L286" s="505">
        <f>[5]Model!K56</f>
        <v>212.294932972973</v>
      </c>
      <c r="M286" s="505">
        <f>[5]Model!L56</f>
        <v>334.072466461769</v>
      </c>
      <c r="N286" s="505">
        <f>[5]Model!M56</f>
        <v>331.995520403298</v>
      </c>
      <c r="O286" s="505">
        <f>[5]Model!N56</f>
        <v>454.580234307032</v>
      </c>
      <c r="P286" s="505">
        <f>[5]Model!O56</f>
        <v>930.685245723099</v>
      </c>
      <c r="Q286" s="505">
        <f>[5]Model!P56</f>
        <v>993.949342231227</v>
      </c>
      <c r="R286" s="505">
        <f>[5]Model!Q56</f>
        <v>1309.32343120492</v>
      </c>
      <c r="S286" s="505">
        <f>[5]Model!R56</f>
        <v>1391.42327551711</v>
      </c>
      <c r="T286" s="505">
        <f>[5]Model!S56</f>
        <v>1391.42327551711</v>
      </c>
      <c r="U286" s="505">
        <f>[5]Model!T56</f>
        <v>1391.42327551711</v>
      </c>
      <c r="V286" s="505">
        <f>[5]Model!U56</f>
        <v>1391.42327551711</v>
      </c>
      <c r="W286" s="505">
        <f>[5]Model!V56</f>
        <v>1391.42327551711</v>
      </c>
      <c r="X286" s="505"/>
      <c r="Y286" s="505">
        <f>[5]Model!AB56</f>
        <v>80.6754562372093</v>
      </c>
      <c r="Z286" s="505">
        <f>[5]Model!AC56</f>
        <v>82.8693051511111</v>
      </c>
      <c r="AA286" s="505">
        <f>[5]Model!AD56</f>
        <v>81.4795902447641</v>
      </c>
      <c r="AB286" s="505">
        <f>[5]Model!AE56</f>
        <v>81.4795902447641</v>
      </c>
      <c r="AC286" s="505">
        <f>[5]Model!AF56</f>
        <v>81.2714304594595</v>
      </c>
      <c r="AD286" s="505">
        <f>[5]Model!AG56</f>
        <v>108.648647556067</v>
      </c>
      <c r="AE286" s="505">
        <f>[5]Model!AH56</f>
        <v>108.641357460625</v>
      </c>
      <c r="AF286" s="505">
        <f>[5]Model!AI56</f>
        <v>108.628417245696</v>
      </c>
      <c r="AG286" s="505">
        <f>[5]Model!AJ56</f>
        <v>108.641550872727</v>
      </c>
      <c r="AH286" s="505">
        <f>[5]Model!AK56</f>
        <v>325.959171860795</v>
      </c>
      <c r="AI286" s="505">
        <f>[5]Model!AL56</f>
        <v>325.895528594928</v>
      </c>
      <c r="AJ286" s="505">
        <f>[5]Model!AM56</f>
        <v>332.628272413793</v>
      </c>
      <c r="AK286" s="505">
        <f>[5]Model!AN56</f>
        <v>332.835474771242</v>
      </c>
      <c r="AL286" s="505">
        <f>[5]Model!AO56</f>
        <v>333.140325578512</v>
      </c>
      <c r="AM286" s="505">
        <f>[5]Model!AP56</f>
        <v>333.696883360371</v>
      </c>
      <c r="AN286" s="505">
        <f>[5]Model!AQ56</f>
        <v>333.787008249097</v>
      </c>
      <c r="AO286" s="505">
        <f>[5]Model!AR56</f>
        <v>333.646197602941</v>
      </c>
      <c r="AP286" s="505">
        <f>[5]Model!AS56</f>
        <v>333.59168508642</v>
      </c>
      <c r="AQ286" s="505">
        <f>[5]Model!AT56</f>
        <v>330.978169191143</v>
      </c>
      <c r="AR286" s="505">
        <f>[5]Model!AU56</f>
        <v>331.040589603316</v>
      </c>
      <c r="AS286" s="505">
        <f>[5]Model!AV56</f>
        <v>331.100926226336</v>
      </c>
      <c r="AT286" s="505">
        <f>[5]Model!AW56</f>
        <v>463.464911181952</v>
      </c>
      <c r="AU286" s="505">
        <f>[5]Model!AX56</f>
        <v>463.378179103494</v>
      </c>
      <c r="AV286" s="505">
        <f>[5]Model!AY56</f>
        <v>507.066138207296</v>
      </c>
      <c r="AW286" s="505">
        <f>[5]Model!AZ56</f>
        <v>710.00859749146</v>
      </c>
      <c r="AX286" s="505">
        <f>[5]Model!BA56</f>
        <v>993.918964022153</v>
      </c>
      <c r="AY286" s="505">
        <f>[5]Model!BB56</f>
        <v>993.745882577555</v>
      </c>
      <c r="AZ286" s="505">
        <f>[5]Model!BC56</f>
        <v>993.913847227998</v>
      </c>
      <c r="BA286" s="505">
        <f>[5]Model!BD56</f>
        <v>994.058815914209</v>
      </c>
      <c r="BB286" s="505">
        <f>[5]Model!BE56</f>
        <v>993.953956196883</v>
      </c>
      <c r="BC286" s="505">
        <f>[5]Model!BF56</f>
        <v>993.842870332155</v>
      </c>
      <c r="BD286" s="505">
        <f>[5]Model!BG56</f>
        <v>994.063256567733</v>
      </c>
      <c r="BE286" s="505">
        <f>[5]Model!BH56</f>
        <v>993.68233906535</v>
      </c>
      <c r="BF286" s="505">
        <f>[5]Model!BI56</f>
        <v>1391.42327551711</v>
      </c>
      <c r="BG286" s="505">
        <f>[5]Model!BJ56</f>
        <v>1391.42327551711</v>
      </c>
      <c r="BH286" s="505">
        <f>[5]Model!BK56</f>
        <v>1391.42327551711</v>
      </c>
      <c r="BI286" s="505">
        <f>[5]Model!BL56</f>
        <v>1391.42327551711</v>
      </c>
      <c r="BJ286" s="505">
        <f>[5]Model!BM56</f>
        <v>1391.42327551711</v>
      </c>
      <c r="BK286" s="505">
        <f>[5]Model!BN56</f>
        <v>1391.42327551711</v>
      </c>
      <c r="BL286" s="505">
        <f>[5]Model!BO56</f>
        <v>1391.42327551711</v>
      </c>
      <c r="BM286" s="505">
        <f>[5]Model!BP56</f>
        <v>1391.42327551711</v>
      </c>
      <c r="BN286" s="505">
        <f>[5]Model!BQ56</f>
        <v>1389.2610368</v>
      </c>
      <c r="BO286" s="505">
        <f>[5]Model!BR56</f>
        <v>1391.5612928</v>
      </c>
      <c r="BP286" s="505">
        <f>[5]Model!BS56</f>
        <v>1391.5612928</v>
      </c>
      <c r="BQ286" s="505">
        <f>[5]Model!BT56</f>
        <v>1391.5612928</v>
      </c>
      <c r="BR286" s="505">
        <f>[5]Model!BU56</f>
        <v>1391.5612928</v>
      </c>
      <c r="BS286" s="505">
        <f>[5]Model!BV56</f>
        <v>1391.5612928</v>
      </c>
      <c r="BT286" s="505">
        <f>[5]Model!BW56</f>
        <v>1391.5612928</v>
      </c>
      <c r="BU286" s="505">
        <f>[5]Model!BX56</f>
        <v>1391.5612928</v>
      </c>
      <c r="BV286" s="505">
        <f>[5]Model!BY56</f>
        <v>1391.5612928</v>
      </c>
      <c r="BW286" s="505">
        <f>[5]Model!BZ56</f>
        <v>1391.5612928</v>
      </c>
      <c r="BX286" s="505">
        <f>[5]Model!CA56</f>
        <v>1391.5612928</v>
      </c>
    </row>
    <row r="287" outlineLevel="2" spans="2:76">
      <c r="B287" t="s">
        <v>612</v>
      </c>
      <c r="C287" t="s">
        <v>613</v>
      </c>
      <c r="F287" s="505">
        <f>[5]Model!E57</f>
        <v>77.4786304084211</v>
      </c>
      <c r="G287" s="505">
        <f>[5]Model!F57</f>
        <v>81.4573371964602</v>
      </c>
      <c r="H287" s="505">
        <f>[5]Model!G57</f>
        <v>81.6928486808823</v>
      </c>
      <c r="I287" s="505">
        <f>[5]Model!H57</f>
        <v>81.3572003823899</v>
      </c>
      <c r="J287" s="505">
        <f>[5]Model!I57</f>
        <v>81.6522394457149</v>
      </c>
      <c r="K287" s="505">
        <f>[5]Model!J57</f>
        <v>101.656204430345</v>
      </c>
      <c r="L287" s="505">
        <f>[5]Model!K57</f>
        <v>212.294932972973</v>
      </c>
      <c r="M287" s="505">
        <f>[5]Model!L57</f>
        <v>334.072466461769</v>
      </c>
      <c r="N287" s="505">
        <f>[5]Model!M57</f>
        <v>331.995520403298</v>
      </c>
      <c r="O287" s="505">
        <f>[5]Model!N57</f>
        <v>454.580234307032</v>
      </c>
      <c r="P287" s="505">
        <f>[5]Model!O57</f>
        <v>930.685245723099</v>
      </c>
      <c r="Q287" s="505">
        <f>[5]Model!P57</f>
        <v>993.949342231227</v>
      </c>
      <c r="R287" s="505">
        <f>[5]Model!Q57</f>
        <v>1309.32343120492</v>
      </c>
      <c r="S287" s="505">
        <f>[5]Model!R57</f>
        <v>1391.42327551711</v>
      </c>
      <c r="T287" s="505">
        <f>[5]Model!S57</f>
        <v>1391.42327551711</v>
      </c>
      <c r="U287" s="505">
        <f>[5]Model!T57</f>
        <v>1391.42327551711</v>
      </c>
      <c r="V287" s="505">
        <f>[5]Model!U57</f>
        <v>1391.42327551711</v>
      </c>
      <c r="W287" s="505">
        <f>[5]Model!V57</f>
        <v>1391.42327551711</v>
      </c>
      <c r="X287" s="505"/>
      <c r="Y287" s="505">
        <f>[5]Model!AB57</f>
        <v>80.6754562372093</v>
      </c>
      <c r="Z287" s="505">
        <f>[5]Model!AC57</f>
        <v>82.8693051511111</v>
      </c>
      <c r="AA287" s="505">
        <f>[5]Model!AD57</f>
        <v>58.1997073176886</v>
      </c>
      <c r="AB287" s="505">
        <f>[5]Model!AE57</f>
        <v>81.4795902447641</v>
      </c>
      <c r="AC287" s="505">
        <f>[5]Model!AF57</f>
        <v>81.2714304594595</v>
      </c>
      <c r="AD287" s="505">
        <f>[5]Model!AG57</f>
        <v>108.648647556067</v>
      </c>
      <c r="AE287" s="505">
        <f>[5]Model!AH57</f>
        <v>108.641357460625</v>
      </c>
      <c r="AF287" s="505">
        <f>[5]Model!AI57</f>
        <v>108.628417245696</v>
      </c>
      <c r="AG287" s="505">
        <f>[5]Model!AJ57</f>
        <v>108.641550872727</v>
      </c>
      <c r="AH287" s="505">
        <f>[5]Model!AK57</f>
        <v>325.959171860795</v>
      </c>
      <c r="AI287" s="505">
        <f>[5]Model!AL57</f>
        <v>325.895528594928</v>
      </c>
      <c r="AJ287" s="505">
        <f>[5]Model!AM57</f>
        <v>332.628272413793</v>
      </c>
      <c r="AK287" s="505">
        <f>[5]Model!AN57</f>
        <v>332.835474771242</v>
      </c>
      <c r="AL287" s="505">
        <f>[5]Model!AO57</f>
        <v>333.140325578512</v>
      </c>
      <c r="AM287" s="505">
        <f>[5]Model!AP57</f>
        <v>333.696883360371</v>
      </c>
      <c r="AN287" s="505">
        <f>[5]Model!AQ57</f>
        <v>333.787008249097</v>
      </c>
      <c r="AO287" s="505">
        <f>[5]Model!AR57</f>
        <v>333.646197602941</v>
      </c>
      <c r="AP287" s="505">
        <f>[5]Model!AS57</f>
        <v>333.59168508642</v>
      </c>
      <c r="AQ287" s="505">
        <f>[5]Model!AT57</f>
        <v>330.978169191143</v>
      </c>
      <c r="AR287" s="505">
        <f>[5]Model!AU57</f>
        <v>331.040589603316</v>
      </c>
      <c r="AS287" s="505">
        <f>[5]Model!AV57</f>
        <v>331.100926226336</v>
      </c>
      <c r="AT287" s="505">
        <f>[5]Model!AW57</f>
        <v>463.464911181952</v>
      </c>
      <c r="AU287" s="505">
        <f>[5]Model!AX57</f>
        <v>463.378179103494</v>
      </c>
      <c r="AV287" s="505">
        <f>[5]Model!AY57</f>
        <v>507.066138207296</v>
      </c>
      <c r="AW287" s="505">
        <f>[5]Model!AZ57</f>
        <v>710.00859749146</v>
      </c>
      <c r="AX287" s="505">
        <f>[5]Model!BA57</f>
        <v>993.918964022153</v>
      </c>
      <c r="AY287" s="505">
        <f>[5]Model!BB57</f>
        <v>993.745882577555</v>
      </c>
      <c r="AZ287" s="505">
        <f>[5]Model!BC57</f>
        <v>993.913847227998</v>
      </c>
      <c r="BA287" s="505">
        <f>[5]Model!BD57</f>
        <v>994.058815914209</v>
      </c>
      <c r="BB287" s="505">
        <f>[5]Model!BE57</f>
        <v>993.953956196883</v>
      </c>
      <c r="BC287" s="505">
        <f>[5]Model!BF57</f>
        <v>993.842870332155</v>
      </c>
      <c r="BD287" s="505">
        <f>[5]Model!BG57</f>
        <v>994.063256567733</v>
      </c>
      <c r="BE287" s="505">
        <f>[5]Model!BH57</f>
        <v>993.68233906535</v>
      </c>
      <c r="BF287" s="505">
        <f>[5]Model!BI57</f>
        <v>1391.42327551711</v>
      </c>
      <c r="BG287" s="505">
        <f>[5]Model!BJ57</f>
        <v>1391.42327551711</v>
      </c>
      <c r="BH287" s="505">
        <f>[5]Model!BK57</f>
        <v>1391.42327551711</v>
      </c>
      <c r="BI287" s="505">
        <f>[5]Model!BL57</f>
        <v>1391.42327551711</v>
      </c>
      <c r="BJ287" s="505">
        <f>[5]Model!BM57</f>
        <v>1391.42327551711</v>
      </c>
      <c r="BK287" s="505">
        <f>[5]Model!BN57</f>
        <v>1391.42327551711</v>
      </c>
      <c r="BL287" s="505">
        <f>[5]Model!BO57</f>
        <v>1391.42327551711</v>
      </c>
      <c r="BM287" s="505">
        <f>[5]Model!BP57</f>
        <v>1391.42327551711</v>
      </c>
      <c r="BN287" s="505">
        <f>[5]Model!BQ57</f>
        <v>1389.2610368</v>
      </c>
      <c r="BO287" s="505">
        <f>[5]Model!BR57</f>
        <v>1391.5612928</v>
      </c>
      <c r="BP287" s="505">
        <f>[5]Model!BS57</f>
        <v>1391.5612928</v>
      </c>
      <c r="BQ287" s="505">
        <f>[5]Model!BT57</f>
        <v>1391.5612928</v>
      </c>
      <c r="BR287" s="505">
        <f>[5]Model!BU57</f>
        <v>1391.5612928</v>
      </c>
      <c r="BS287" s="505">
        <f>[5]Model!BV57</f>
        <v>1391.5612928</v>
      </c>
      <c r="BT287" s="505">
        <f>[5]Model!BW57</f>
        <v>1391.5612928</v>
      </c>
      <c r="BU287" s="505">
        <f>[5]Model!BX57</f>
        <v>1391.5612928</v>
      </c>
      <c r="BV287" s="505">
        <f>[5]Model!BY57</f>
        <v>1391.5612928</v>
      </c>
      <c r="BW287" s="505">
        <f>[5]Model!BZ57</f>
        <v>1391.5612928</v>
      </c>
      <c r="BX287" s="505">
        <f>[5]Model!CA57</f>
        <v>1391.5612928</v>
      </c>
    </row>
    <row r="288" s="495" customFormat="1" outlineLevel="1" spans="1:4">
      <c r="A288" s="501" t="s">
        <v>122</v>
      </c>
      <c r="B288" s="501"/>
      <c r="C288" s="501"/>
      <c r="D288" s="501"/>
    </row>
    <row r="289" outlineLevel="2" spans="2:76">
      <c r="B289" t="s">
        <v>614</v>
      </c>
      <c r="C289" t="s">
        <v>615</v>
      </c>
      <c r="F289" s="508">
        <f>IF([5]Model!E87&lt;0,0,IF([5]Model!E87&gt;1,1,[5]Model!E87))</f>
        <v>0.160521319558839</v>
      </c>
      <c r="G289" s="508">
        <f>IF([5]Model!F87&lt;0,0,IF([5]Model!F87&gt;1,1,[5]Model!F87))</f>
        <v>0.152483784365834</v>
      </c>
      <c r="H289" s="508">
        <f>IF([5]Model!G87&lt;0,0,IF([5]Model!G87&gt;1,1,[5]Model!G87))</f>
        <v>0.149963134439249</v>
      </c>
      <c r="I289" s="508">
        <f>IF([5]Model!H87&lt;0,0,IF([5]Model!H87&gt;1,1,[5]Model!H87))</f>
        <v>0.14600322997015</v>
      </c>
      <c r="J289" s="508">
        <f>IF([5]Model!I87&lt;0,0,IF([5]Model!I87&gt;1,1,[5]Model!I87))</f>
        <v>0.14503865344849</v>
      </c>
      <c r="K289" s="508">
        <f>IF([5]Model!J87&lt;0,0,IF([5]Model!J87&gt;1,1,[5]Model!J87))</f>
        <v>0.177630620892877</v>
      </c>
      <c r="L289" s="508">
        <f>IF([5]Model!K87&lt;0,0,IF([5]Model!K87&gt;1,1,[5]Model!K87))</f>
        <v>0.128954208451167</v>
      </c>
      <c r="M289" s="508">
        <f>IF([5]Model!L87&lt;0,0,IF([5]Model!L87&gt;1,1,[5]Model!L87))</f>
        <v>0.103576497868761</v>
      </c>
      <c r="N289" s="508">
        <f>IF([5]Model!M87&lt;0,0,IF([5]Model!M87&gt;1,1,[5]Model!M87))</f>
        <v>0.127462531208354</v>
      </c>
      <c r="O289" s="508">
        <f>IF([5]Model!N87&lt;0,0,IF([5]Model!N87&gt;1,1,[5]Model!N87))</f>
        <v>0.124360408535276</v>
      </c>
      <c r="P289" s="508">
        <f>IF([5]Model!O87&lt;0,0,IF([5]Model!O87&gt;1,1,[5]Model!O87))</f>
        <v>0.132552211084983</v>
      </c>
      <c r="Q289" s="508">
        <f>IF([5]Model!P87&lt;0,0,IF([5]Model!P87&gt;1,1,[5]Model!P87))</f>
        <v>0.120914488999149</v>
      </c>
      <c r="R289" s="508">
        <f>IF([5]Model!Q87&lt;0,0,IF([5]Model!Q87&gt;1,1,[5]Model!Q87))</f>
        <v>0.127251739335852</v>
      </c>
      <c r="S289" s="508">
        <f>IF([5]Model!R87&lt;0,0,IF([5]Model!R87&gt;1,1,[5]Model!R87))</f>
        <v>0.122563596012083</v>
      </c>
      <c r="T289" s="508">
        <f>IF([5]Model!S87&lt;0,0,IF([5]Model!S87&gt;1,1,[5]Model!S87))</f>
        <v>0.120787479895051</v>
      </c>
      <c r="U289" s="508">
        <f>IF([5]Model!T87&lt;0,0,IF([5]Model!T87&gt;1,1,[5]Model!T87))</f>
        <v>0.125</v>
      </c>
      <c r="V289" s="508">
        <f>IF([5]Model!U87&lt;0,0,IF([5]Model!U87&gt;1,1,[5]Model!U87))</f>
        <v>0.125</v>
      </c>
      <c r="W289" s="508">
        <f>IF([5]Model!V87&lt;0,0,IF([5]Model!V87&gt;1,1,[5]Model!V87))</f>
        <v>0.125</v>
      </c>
      <c r="X289" s="508"/>
      <c r="Y289" s="508">
        <f>IF([5]Model!AB87&lt;0,0,IF([5]Model!AB87&gt;1,1,[5]Model!AB87))</f>
        <v>0.148912677474085</v>
      </c>
      <c r="Z289" s="508">
        <f>IF([5]Model!AC87&lt;0,0,IF([5]Model!AC87&gt;1,1,[5]Model!AC87))</f>
        <v>0.147015323203223</v>
      </c>
      <c r="AA289" s="508">
        <f>IF([5]Model!AD87&lt;0,0,IF([5]Model!AD87&gt;1,1,[5]Model!AD87))</f>
        <v>0.146548963970467</v>
      </c>
      <c r="AB289" s="508">
        <f>IF([5]Model!AE87&lt;0,0,IF([5]Model!AE87&gt;1,1,[5]Model!AE87))</f>
        <v>0.137188209398034</v>
      </c>
      <c r="AC289" s="508">
        <f>IF([5]Model!AF87&lt;0,0,IF([5]Model!AF87&gt;1,1,[5]Model!AF87))</f>
        <v>0.152612547552143</v>
      </c>
      <c r="AD289" s="508">
        <f>IF([5]Model!AG87&lt;0,0,IF([5]Model!AG87&gt;1,1,[5]Model!AG87))</f>
        <v>0.171257306419897</v>
      </c>
      <c r="AE289" s="508">
        <f>IF([5]Model!AH87&lt;0,0,IF([5]Model!AH87&gt;1,1,[5]Model!AH87))</f>
        <v>0.20844735677873</v>
      </c>
      <c r="AF289" s="508">
        <f>IF([5]Model!AI87&lt;0,0,IF([5]Model!AI87&gt;1,1,[5]Model!AI87))</f>
        <v>0.163968346849956</v>
      </c>
      <c r="AG289" s="508">
        <f>IF([5]Model!AJ87&lt;0,0,IF([5]Model!AJ87&gt;1,1,[5]Model!AJ87))</f>
        <v>0.153072475353289</v>
      </c>
      <c r="AH289" s="508">
        <f>IF([5]Model!AK87&lt;0,0,IF([5]Model!AK87&gt;1,1,[5]Model!AK87))</f>
        <v>0.156566933396037</v>
      </c>
      <c r="AI289" s="508">
        <f>IF([5]Model!AL87&lt;0,0,IF([5]Model!AL87&gt;1,1,[5]Model!AL87))</f>
        <v>0.16671511723412</v>
      </c>
      <c r="AJ289" s="508">
        <f>IF([5]Model!AM87&lt;0,0,IF([5]Model!AM87&gt;1,1,[5]Model!AM87))</f>
        <v>0</v>
      </c>
      <c r="AK289" s="508">
        <f>IF([5]Model!AN87&lt;0,0,IF([5]Model!AN87&gt;1,1,[5]Model!AN87))</f>
        <v>0.137098435123597</v>
      </c>
      <c r="AL289" s="508">
        <f>IF([5]Model!AO87&lt;0,0,IF([5]Model!AO87&gt;1,1,[5]Model!AO87))</f>
        <v>0.133666726737342</v>
      </c>
      <c r="AM289" s="508">
        <f>IF([5]Model!AP87&lt;0,0,IF([5]Model!AP87&gt;1,1,[5]Model!AP87))</f>
        <v>0.151878421469148</v>
      </c>
      <c r="AN289" s="508">
        <f>IF([5]Model!AQ87&lt;0,0,IF([5]Model!AQ87&gt;1,1,[5]Model!AQ87))</f>
        <v>0.0816699486931444</v>
      </c>
      <c r="AO289" s="508">
        <f>IF([5]Model!AR87&lt;0,0,IF([5]Model!AR87&gt;1,1,[5]Model!AR87))</f>
        <v>0.152459865838186</v>
      </c>
      <c r="AP289" s="508">
        <f>IF([5]Model!AS87&lt;0,0,IF([5]Model!AS87&gt;1,1,[5]Model!AS87))</f>
        <v>0.151159843111036</v>
      </c>
      <c r="AQ289" s="508">
        <f>IF([5]Model!AT87&lt;0,0,IF([5]Model!AT87&gt;1,1,[5]Model!AT87))</f>
        <v>0.155409211451699</v>
      </c>
      <c r="AR289" s="508">
        <f>IF([5]Model!AU87&lt;0,0,IF([5]Model!AU87&gt;1,1,[5]Model!AU87))</f>
        <v>0.0810504415593305</v>
      </c>
      <c r="AS289" s="508">
        <f>IF([5]Model!AV87&lt;0,0,IF([5]Model!AV87&gt;1,1,[5]Model!AV87))</f>
        <v>0.151163624540984</v>
      </c>
      <c r="AT289" s="508">
        <f>IF([5]Model!AW87&lt;0,0,IF([5]Model!AW87&gt;1,1,[5]Model!AW87))</f>
        <v>0.148593163893769</v>
      </c>
      <c r="AU289" s="508">
        <f>IF([5]Model!AX87&lt;0,0,IF([5]Model!AX87&gt;1,1,[5]Model!AX87))</f>
        <v>0.151179969294576</v>
      </c>
      <c r="AV289" s="508">
        <f>IF([5]Model!AY87&lt;0,0,IF([5]Model!AY87&gt;1,1,[5]Model!AY87))</f>
        <v>0.0592405638164022</v>
      </c>
      <c r="AW289" s="508">
        <f>IF([5]Model!AZ87&lt;0,0,IF([5]Model!AZ87&gt;1,1,[5]Model!AZ87))</f>
        <v>0.179492019651413</v>
      </c>
      <c r="AX289" s="508">
        <f>IF([5]Model!BA87&lt;0,0,IF([5]Model!BA87&gt;1,1,[5]Model!BA87))</f>
        <v>0.133710085348408</v>
      </c>
      <c r="AY289" s="508">
        <f>IF([5]Model!BB87&lt;0,0,IF([5]Model!BB87&gt;1,1,[5]Model!BB87))</f>
        <v>0.0983935574579097</v>
      </c>
      <c r="AZ289" s="508">
        <f>IF([5]Model!BC87&lt;0,0,IF([5]Model!BC87&gt;1,1,[5]Model!BC87))</f>
        <v>0.126624894264758</v>
      </c>
      <c r="BA289" s="508">
        <f>IF([5]Model!BD87&lt;0,0,IF([5]Model!BD87&gt;1,1,[5]Model!BD87))</f>
        <v>0.15254674374566</v>
      </c>
      <c r="BB289" s="508">
        <f>IF([5]Model!BE87&lt;0,0,IF([5]Model!BE87&gt;1,1,[5]Model!BE87))</f>
        <v>0.106235954539399</v>
      </c>
      <c r="BC289" s="508">
        <f>IF([5]Model!BF87&lt;0,0,IF([5]Model!BF87&gt;1,1,[5]Model!BF87))</f>
        <v>0.110459885968069</v>
      </c>
      <c r="BD289" s="508">
        <f>IF([5]Model!BG87&lt;0,0,IF([5]Model!BG87&gt;1,1,[5]Model!BG87))</f>
        <v>0.145120407745757</v>
      </c>
      <c r="BE289" s="508">
        <f>IF([5]Model!BH87&lt;0,0,IF([5]Model!BH87&gt;1,1,[5]Model!BH87))</f>
        <v>0.1561624912072</v>
      </c>
      <c r="BF289" s="508">
        <f>IF([5]Model!BI87&lt;0,0,IF([5]Model!BI87&gt;1,1,[5]Model!BI87))</f>
        <v>0.0991080105840007</v>
      </c>
      <c r="BG289" s="508">
        <f>IF([5]Model!BJ87&lt;0,0,IF([5]Model!BJ87&gt;1,1,[5]Model!BJ87))</f>
        <v>0.105619906995288</v>
      </c>
      <c r="BH289" s="508">
        <f>IF([5]Model!BK87&lt;0,0,IF([5]Model!BK87&gt;1,1,[5]Model!BK87))</f>
        <v>0.144961524761384</v>
      </c>
      <c r="BI289" s="508">
        <f>IF([5]Model!BL87&lt;0,0,IF([5]Model!BL87&gt;1,1,[5]Model!BL87))</f>
        <v>0.128448525245555</v>
      </c>
      <c r="BJ289" s="508">
        <f>IF([5]Model!BM87&lt;0,0,IF([5]Model!BM87&gt;1,1,[5]Model!BM87))</f>
        <v>0.112022636138135</v>
      </c>
      <c r="BK289" s="508">
        <f>IF([5]Model!BN87&lt;0,0,IF([5]Model!BN87&gt;1,1,[5]Model!BN87))</f>
        <v>0.121187762584255</v>
      </c>
      <c r="BL289" s="508">
        <f>IF([5]Model!BO87&lt;0,0,IF([5]Model!BO87&gt;1,1,[5]Model!BO87))</f>
        <v>0.126556923285272</v>
      </c>
      <c r="BM289" s="508">
        <f>IF([5]Model!BP87&lt;0,0,IF([5]Model!BP87&gt;1,1,[5]Model!BP87))</f>
        <v>0.113197581553596</v>
      </c>
      <c r="BN289" s="508">
        <f>IF([5]Model!BQ87&lt;0,0,IF([5]Model!BQ87&gt;1,1,[5]Model!BQ87))</f>
        <v>0.114148747577903</v>
      </c>
      <c r="BO289" s="508">
        <f>IF([5]Model!BR87&lt;0,0,IF([5]Model!BR87&gt;1,1,[5]Model!BR87))</f>
        <v>0.083527159978036</v>
      </c>
      <c r="BP289" s="508">
        <f>IF([5]Model!BS87&lt;0,0,IF([5]Model!BS87&gt;1,1,[5]Model!BS87))</f>
        <v>0.11</v>
      </c>
      <c r="BQ289" s="508">
        <f>IF([5]Model!BT87&lt;0,0,IF([5]Model!BT87&gt;1,1,[5]Model!BT87))</f>
        <v>0.125</v>
      </c>
      <c r="BR289" s="508">
        <f>IF([5]Model!BU87&lt;0,0,IF([5]Model!BU87&gt;1,1,[5]Model!BU87))</f>
        <v>0.125</v>
      </c>
      <c r="BS289" s="508">
        <f>IF([5]Model!BV87&lt;0,0,IF([5]Model!BV87&gt;1,1,[5]Model!BV87))</f>
        <v>0.125</v>
      </c>
      <c r="BT289" s="508">
        <f>IF([5]Model!BW87&lt;0,0,IF([5]Model!BW87&gt;1,1,[5]Model!BW87))</f>
        <v>0.125</v>
      </c>
      <c r="BU289" s="508">
        <f>IF([5]Model!BX87&lt;0,0,IF([5]Model!BX87&gt;1,1,[5]Model!BX87))</f>
        <v>0.125</v>
      </c>
      <c r="BV289" s="508">
        <f>IF([5]Model!BY87&lt;0,0,IF([5]Model!BY87&gt;1,1,[5]Model!BY87))</f>
        <v>0.125</v>
      </c>
      <c r="BW289" s="508">
        <f>IF([5]Model!BZ87&lt;0,0,IF([5]Model!BZ87&gt;1,1,[5]Model!BZ87))</f>
        <v>0.125</v>
      </c>
      <c r="BX289" s="508">
        <f>IF([5]Model!CA87&lt;0,0,IF([5]Model!CA87&gt;1,1,[5]Model!CA87))</f>
        <v>0.125</v>
      </c>
    </row>
    <row r="290" outlineLevel="2" spans="2:76">
      <c r="B290" t="s">
        <v>616</v>
      </c>
      <c r="C290" t="s">
        <v>617</v>
      </c>
      <c r="D290" t="str">
        <f>E_CURRENCY_EQTY_200022336_REP</f>
        <v>CNY</v>
      </c>
      <c r="F290" s="505"/>
      <c r="G290" s="505"/>
      <c r="H290" s="505"/>
      <c r="I290" s="505"/>
      <c r="J290" s="505"/>
      <c r="K290" s="505"/>
      <c r="L290" s="505"/>
      <c r="M290" s="505"/>
      <c r="N290" s="505"/>
      <c r="O290" s="505"/>
      <c r="P290" s="505"/>
      <c r="Q290" s="505"/>
      <c r="R290" s="505"/>
      <c r="S290" s="505"/>
      <c r="T290" s="505"/>
      <c r="U290" s="505"/>
      <c r="V290" s="505"/>
      <c r="W290" s="505"/>
      <c r="X290" s="505"/>
      <c r="Y290" s="505"/>
      <c r="Z290" s="505"/>
      <c r="AA290" s="505"/>
      <c r="AB290" s="505"/>
      <c r="AC290" s="505"/>
      <c r="AD290" s="505"/>
      <c r="AE290" s="505"/>
      <c r="AF290" s="505"/>
      <c r="AG290" s="505"/>
      <c r="AH290" s="505"/>
      <c r="AI290" s="505"/>
      <c r="AJ290" s="505"/>
      <c r="AK290" s="505"/>
      <c r="AL290" s="505"/>
      <c r="AM290" s="505"/>
      <c r="AN290" s="505"/>
      <c r="AO290" s="505"/>
      <c r="AP290" s="505"/>
      <c r="AQ290" s="505"/>
      <c r="AR290" s="505"/>
      <c r="AS290" s="505"/>
      <c r="AT290" s="505"/>
      <c r="AU290" s="505"/>
      <c r="AV290" s="505"/>
      <c r="AW290" s="505"/>
      <c r="AX290" s="505"/>
      <c r="AY290" s="505"/>
      <c r="AZ290" s="505"/>
      <c r="BA290" s="505"/>
      <c r="BB290" s="505"/>
      <c r="BC290" s="505"/>
      <c r="BD290" s="505"/>
      <c r="BE290" s="505"/>
      <c r="BF290" s="505"/>
      <c r="BG290" s="505"/>
      <c r="BH290" s="505"/>
      <c r="BI290" s="505"/>
      <c r="BJ290" s="505"/>
      <c r="BK290" s="505"/>
      <c r="BL290" s="505"/>
      <c r="BM290" s="505"/>
      <c r="BN290" s="505"/>
      <c r="BO290" s="505"/>
      <c r="BP290" s="505"/>
      <c r="BQ290" s="505"/>
      <c r="BR290" s="505"/>
      <c r="BS290" s="505"/>
      <c r="BT290" s="505"/>
      <c r="BU290" s="505"/>
      <c r="BV290" s="505"/>
      <c r="BW290" s="505"/>
      <c r="BX290" s="505"/>
    </row>
    <row r="291" s="495" customFormat="1" outlineLevel="1" spans="1:4">
      <c r="A291" s="501" t="s">
        <v>142</v>
      </c>
      <c r="B291" s="501"/>
      <c r="C291" s="501"/>
      <c r="D291" s="501"/>
    </row>
    <row r="292" outlineLevel="2" spans="2:76">
      <c r="B292" t="s">
        <v>618</v>
      </c>
      <c r="C292" t="s">
        <v>619</v>
      </c>
      <c r="D292" t="str">
        <f>E_CURRENCY_EQTY_200022336_REP</f>
        <v>CNY</v>
      </c>
      <c r="F292" s="515">
        <f t="shared" ref="F292:W292" si="48">F70/F285</f>
        <v>2.3237693697078</v>
      </c>
      <c r="G292" s="515">
        <f t="shared" si="48"/>
        <v>3.18574280674224</v>
      </c>
      <c r="H292" s="515">
        <f t="shared" si="48"/>
        <v>4.14798723256299</v>
      </c>
      <c r="I292" s="515">
        <f t="shared" si="48"/>
        <v>5.30081450705066</v>
      </c>
      <c r="J292" s="515">
        <f t="shared" si="48"/>
        <v>6.43839972667877</v>
      </c>
      <c r="K292" s="515">
        <f t="shared" si="48"/>
        <v>9.7932905836766</v>
      </c>
      <c r="L292" s="515">
        <f t="shared" si="48"/>
        <v>5.12358903708962</v>
      </c>
      <c r="M292" s="515">
        <f t="shared" si="48"/>
        <v>3.39979369018122</v>
      </c>
      <c r="N292" s="515">
        <f t="shared" si="48"/>
        <v>4.00003538242563</v>
      </c>
      <c r="O292" s="515">
        <f t="shared" si="48"/>
        <v>7.57628058135902</v>
      </c>
      <c r="P292" s="515">
        <f t="shared" si="48"/>
        <v>4.25355799894975</v>
      </c>
      <c r="Q292" s="515">
        <f t="shared" si="48"/>
        <v>4.85856513070318</v>
      </c>
      <c r="R292" s="515">
        <f t="shared" si="48"/>
        <v>4.17465871553972</v>
      </c>
      <c r="S292" s="515">
        <f t="shared" si="48"/>
        <v>5.98533168475635</v>
      </c>
      <c r="T292" s="515">
        <f t="shared" si="48"/>
        <v>12.9825740084638</v>
      </c>
      <c r="U292" s="515">
        <f t="shared" si="48"/>
        <v>26.3222418946595</v>
      </c>
      <c r="V292" s="515">
        <f t="shared" si="48"/>
        <v>45.7783321260168</v>
      </c>
      <c r="W292" s="515">
        <f t="shared" si="48"/>
        <v>68.142481729715</v>
      </c>
      <c r="X292" s="515"/>
      <c r="Y292" s="515"/>
      <c r="Z292" s="515"/>
      <c r="AA292" s="515"/>
      <c r="AB292" s="515"/>
      <c r="AC292" s="515"/>
      <c r="AD292" s="515"/>
      <c r="AE292" s="515"/>
      <c r="AF292" s="515"/>
      <c r="AG292" s="515"/>
      <c r="AH292" s="515"/>
      <c r="AI292" s="515"/>
      <c r="AJ292" s="515"/>
      <c r="AK292" s="515"/>
      <c r="AL292" s="515"/>
      <c r="AM292" s="515"/>
      <c r="AN292" s="515"/>
      <c r="AO292" s="515"/>
      <c r="AP292" s="515"/>
      <c r="AQ292" s="515"/>
      <c r="AR292" s="515"/>
      <c r="AS292" s="515"/>
      <c r="AT292" s="515"/>
      <c r="AU292" s="515"/>
      <c r="AV292" s="515"/>
      <c r="AW292" s="515"/>
      <c r="AX292" s="515"/>
      <c r="AY292" s="515"/>
      <c r="AZ292" s="515"/>
      <c r="BA292" s="515"/>
      <c r="BB292" s="515"/>
      <c r="BC292" s="515"/>
      <c r="BD292" s="515"/>
      <c r="BE292" s="515"/>
      <c r="BF292" s="515"/>
      <c r="BG292" s="515"/>
      <c r="BH292" s="515"/>
      <c r="BI292" s="515"/>
      <c r="BJ292" s="515"/>
      <c r="BK292" s="515"/>
      <c r="BL292" s="515"/>
      <c r="BM292" s="515"/>
      <c r="BN292" s="515"/>
      <c r="BO292" s="515"/>
      <c r="BP292" s="515"/>
      <c r="BQ292" s="515"/>
      <c r="BR292" s="515"/>
      <c r="BS292" s="515"/>
      <c r="BT292" s="515"/>
      <c r="BU292" s="515"/>
      <c r="BV292" s="515"/>
      <c r="BW292" s="515"/>
      <c r="BX292" s="515"/>
    </row>
    <row r="293" s="495" customFormat="1" outlineLevel="1" spans="1:4">
      <c r="A293" s="501" t="s">
        <v>239</v>
      </c>
      <c r="B293" s="501"/>
      <c r="C293" s="501"/>
      <c r="D293" s="501"/>
    </row>
    <row r="294" outlineLevel="2" spans="2:76">
      <c r="B294" t="s">
        <v>586</v>
      </c>
      <c r="C294" t="s">
        <v>620</v>
      </c>
      <c r="D294" t="str">
        <f>E_CURRENCY_EQTY_200022336_REP</f>
        <v>CNY</v>
      </c>
      <c r="F294" s="505">
        <f>[5]Model!E202</f>
        <v>52.57478492</v>
      </c>
      <c r="G294" s="505">
        <f>[5]Model!F202</f>
        <v>65.74770788</v>
      </c>
      <c r="H294" s="505">
        <f>[5]Model!G202</f>
        <v>79.35876729</v>
      </c>
      <c r="I294" s="505">
        <f>[5]Model!H202</f>
        <v>92.39853472</v>
      </c>
      <c r="J294" s="505">
        <f>[5]Model!I202</f>
        <v>94.45032809</v>
      </c>
      <c r="K294" s="505">
        <f>[5]Model!J202</f>
        <v>105.28678316</v>
      </c>
      <c r="L294" s="505">
        <f>[5]Model!K202</f>
        <v>111.09090564</v>
      </c>
      <c r="M294" s="505">
        <f>[5]Model!L202</f>
        <v>31.83233359</v>
      </c>
      <c r="N294" s="505">
        <f>[5]Model!M202</f>
        <v>212.85655651</v>
      </c>
      <c r="O294" s="505">
        <f>[5]Model!N202</f>
        <v>491.75840347</v>
      </c>
      <c r="P294" s="505">
        <f>[5]Model!O202</f>
        <v>661.92613905</v>
      </c>
      <c r="Q294" s="505">
        <f>[5]Model!P202</f>
        <v>903.58109081</v>
      </c>
      <c r="R294" s="505">
        <f>[5]Model!Q202</f>
        <v>688.36109512</v>
      </c>
      <c r="S294" s="505">
        <f>[5]Model!R202</f>
        <v>2837.81362437</v>
      </c>
      <c r="T294" s="505">
        <f>[5]Model!S202</f>
        <v>9531.92273017</v>
      </c>
      <c r="U294" s="505">
        <f>[5]Model!T202</f>
        <v>20682.8226425452</v>
      </c>
      <c r="V294" s="505">
        <f>[5]Model!U202</f>
        <v>30079.6186649683</v>
      </c>
      <c r="W294" s="505">
        <f>[5]Model!V202</f>
        <v>34575.553661925</v>
      </c>
      <c r="X294" s="505"/>
      <c r="Y294" s="505"/>
      <c r="Z294" s="505"/>
      <c r="AA294" s="505"/>
      <c r="AB294" s="505"/>
      <c r="AC294" s="505"/>
      <c r="AD294" s="505"/>
      <c r="AE294" s="505"/>
      <c r="AF294" s="505"/>
      <c r="AG294" s="505"/>
      <c r="AH294" s="505"/>
      <c r="AI294" s="505"/>
      <c r="AJ294" s="505"/>
      <c r="AK294" s="505"/>
      <c r="AL294" s="505"/>
      <c r="AM294" s="505"/>
      <c r="AN294" s="505"/>
      <c r="AO294" s="505"/>
      <c r="AP294" s="505"/>
      <c r="AQ294" s="505"/>
      <c r="AR294" s="505"/>
      <c r="AS294" s="505"/>
      <c r="AT294" s="505"/>
      <c r="AU294" s="505"/>
      <c r="AV294" s="505"/>
      <c r="AW294" s="505"/>
      <c r="AX294" s="505"/>
      <c r="AY294" s="505"/>
      <c r="AZ294" s="505"/>
      <c r="BA294" s="505"/>
      <c r="BB294" s="505"/>
      <c r="BC294" s="505"/>
      <c r="BD294" s="505"/>
      <c r="BE294" s="505"/>
      <c r="BF294" s="505"/>
      <c r="BG294" s="505"/>
      <c r="BH294" s="505"/>
      <c r="BI294" s="505"/>
      <c r="BJ294" s="505"/>
      <c r="BK294" s="505"/>
      <c r="BL294" s="505"/>
      <c r="BM294" s="505"/>
      <c r="BN294" s="505"/>
      <c r="BO294" s="505"/>
      <c r="BP294" s="505"/>
      <c r="BQ294" s="505"/>
      <c r="BR294" s="505"/>
      <c r="BS294" s="505"/>
      <c r="BT294" s="505"/>
      <c r="BU294" s="505"/>
      <c r="BV294" s="505"/>
      <c r="BW294" s="505"/>
      <c r="BX294" s="505"/>
    </row>
    <row r="295" s="495" customFormat="1" outlineLevel="1" spans="1:4">
      <c r="A295" s="501" t="s">
        <v>297</v>
      </c>
      <c r="B295" s="501"/>
      <c r="C295" s="501"/>
      <c r="D295" s="501"/>
    </row>
    <row r="296" outlineLevel="2" spans="2:5">
      <c r="B296" t="s">
        <v>621</v>
      </c>
      <c r="C296" t="s">
        <v>622</v>
      </c>
      <c r="E296" s="510"/>
    </row>
    <row r="297" outlineLevel="2" spans="2:5">
      <c r="B297" t="s">
        <v>623</v>
      </c>
      <c r="C297" t="s">
        <v>624</v>
      </c>
      <c r="E297" s="516"/>
    </row>
    <row r="298" outlineLevel="2" spans="2:5">
      <c r="B298" t="s">
        <v>625</v>
      </c>
      <c r="C298" t="s">
        <v>626</v>
      </c>
      <c r="E298" s="516"/>
    </row>
  </sheetData>
  <sheetProtection algorithmName="SHA-512" hashValue="EXHBK+izEbXuxzGoVmJsmagTjraC8KOmdRHtDDqKomvrc7bNfCWa3mifWk4VHsPXi93DYou06+9NeqyOqt53LQ==" saltValue="KR9khmfgfAdFWVIXi5u3QQ==" spinCount="100000" sheet="1" formatCells="0" formatColumns="0" formatRows="0" objects="1" scenarios="1"/>
  <conditionalFormatting sqref="1:1">
    <cfRule type="expression" dxfId="0" priority="1">
      <formula>AND(COLUMN()&gt;5,COLUMNS(A_ALL_300502.SZ)&gt;=COLUMN(),NOT(ISBLANK(INDEX(A_ALL_300502.SZ,4,COLUMN()))))</formula>
    </cfRule>
  </conditionalFormatting>
  <conditionalFormatting sqref="2:3 A11:C30 E11:XFD30 A32:C39 E32:XFD39 A42:C71 E42:XFD71 A73:V76 W73:XFD90 A77:C81 E77:V81 A82:V82 A83:C87 E83:V87 A88:V88 A89:C90 E89:V90 A92:C108 E92:XFD108 A110:C120 E110:XFD120 122:122 124:181 183:184 186:200 202:212 214:223">
    <cfRule type="expression" dxfId="1" priority="8">
      <formula>"Preliminary"=INDEX(M_ALL_208021942,2,COLUMN())</formula>
    </cfRule>
    <cfRule type="expression" dxfId="2" priority="9">
      <formula>"Actual"=INDEX(M_ALL_208021942,2,COLUMN())</formula>
    </cfRule>
    <cfRule type="expression" dxfId="3" priority="10">
      <formula>"Restated"=INDEX(M_ALL_208021942,2,COLUMN())</formula>
    </cfRule>
  </conditionalFormatting>
  <conditionalFormatting sqref="2:3 A11:C30 E11:XFD30 A42:C71 E42:XFD71 A73:V76 W73:XFD90 A77:C81 E77:V81 A82:V82 A83:C87 E83:V87 A88:V88 A89:C90 E89:V90 A92:C108 E92:XFD108 A110:C120 E110:XFD120 122:122 124:181 183:184 186:200 202:212 214:223 A32:C39 E32:XFD39">
    <cfRule type="expression" dxfId="4" priority="7">
      <formula>"Estimate"=INDEX(M_ALL_208021942,2,COLUMN())</formula>
    </cfRule>
  </conditionalFormatting>
  <conditionalFormatting sqref="2:3 A11:C30 E11:XFD30 A42:C71 E42:XFD71 A73:V76 W73:XFD90 A77:C81 E77:V81 A82:V82 A83:C87 E83:V87 A88:V88 A89:C90 E89:V90 A92:C108 E92:XFD108 A110:C120 E110:XFD120 122:122 124:181 183:184 186:200 202:212 214:223">
    <cfRule type="expression" dxfId="5" priority="5">
      <formula>"ERROR"=INDEX(V_ALL_300502.SZ,ROW(),COLUMN())</formula>
    </cfRule>
    <cfRule type="expression" dxfId="6" priority="6">
      <formula>NOT(EXACT(IF(ISNUMBER(INDEX(M_ALL_208021942,ROW(),COLUMN())),ROUND(INDEX(M_ALL_208021942,ROW(),COLUMN()),6),INDEX(M_ALL_208021942,ROW(),COLUMN())),IF(ISNUMBER(INDEX(L_ALL_300502.SZ,ROW(),COLUMN())),ROUND(INDEX(L_ALL_300502.SZ,ROW(),COLUMN()),6),INDEX(L_ALL_300502.SZ,ROW(),COLUMN()))))</formula>
    </cfRule>
  </conditionalFormatting>
  <conditionalFormatting sqref="A6:D7 F6:V7 X6:BT7 BY6:XFD7">
    <cfRule type="expression" dxfId="7" priority="11">
      <formula>"ERROR"=INDEX(V_ALL_300502.SZ,ROW(),COLUMN())</formula>
    </cfRule>
    <cfRule type="expression" dxfId="8" priority="12">
      <formula>NOT(EXACT(IF(ISNUMBER(INDEX(M_ALL_208021942,ROW(),COLUMN())),ROUND(INDEX(M_ALL_208021942,ROW(),COLUMN()),6),INDEX(M_ALL_208021942,ROW(),COLUMN())),IF(ISNUMBER(INDEX(L_ALL_300502.SZ,ROW(),COLUMN())),ROUND(INDEX(L_ALL_300502.SZ,ROW(),COLUMN()),6),INDEX(L_ALL_300502.SZ,ROW(),COLUMN()))))</formula>
    </cfRule>
  </conditionalFormatting>
  <conditionalFormatting sqref="A9:V9 X9:BT9 BY9:XFD9 A32:C39 E32:V39 W32:XFD40 A40:V40">
    <cfRule type="expression" dxfId="9" priority="2">
      <formula>"ERROR"=INDEX(V_ALL_300502.SZ,ROW(),COLUMN())</formula>
    </cfRule>
    <cfRule type="expression" dxfId="10" priority="3">
      <formula>NOT(EXACT(IF(ISNUMBER(INDEX(M_ALL_208021942,ROW(),COLUMN())),ROUND(INDEX(M_ALL_208021942,ROW(),COLUMN()),6),INDEX(M_ALL_208021942,ROW(),COLUMN())),IF(ISNUMBER(INDEX(L_ALL_300502.SZ,ROW(),COLUMN())),ROUND(INDEX(L_ALL_300502.SZ,ROW(),COLUMN()),6),INDEX(L_ALL_300502.SZ,ROW(),COLUMN()))))</formula>
    </cfRule>
  </conditionalFormatting>
  <conditionalFormatting sqref="U11 U18 U26:U29 E236 U260:W260 BS260:BV260 U272:U273 U275 U277:U278">
    <cfRule type="cellIs" dxfId="11" priority="4" operator="greaterThan">
      <formula>-9007199254740990</formula>
    </cfRule>
  </conditionalFormatting>
  <conditionalFormatting sqref="A226:D231 F226:XFD231">
    <cfRule type="expression" dxfId="12" priority="21">
      <formula>"ERROR"=INDEX(V_ALL_300502.SZ,ROW(),COLUMN())</formula>
    </cfRule>
    <cfRule type="expression" dxfId="13" priority="22">
      <formula>NOT(EXACT(IF(ISNUMBER(INDEX(M_ALL_208021942,ROW(),COLUMN())),ROUND(INDEX(M_ALL_208021942,ROW(),COLUMN()),6),INDEX(M_ALL_208021942,ROW(),COLUMN())),IF(ISNUMBER(INDEX(L_ALL_300502.SZ,ROW(),COLUMN())),ROUND(INDEX(L_ALL_300502.SZ,ROW(),COLUMN()),6),INDEX(L_ALL_300502.SZ,ROW(),COLUMN()))))</formula>
    </cfRule>
  </conditionalFormatting>
  <conditionalFormatting sqref="A233:V235 W233:XFD254 A236:C236 E236:V236 A237:V237 A238:C239 E238:V239 A240:V254 A296:V298 X296:BT298 BY296:XFD298">
    <cfRule type="expression" dxfId="14" priority="13">
      <formula>"ERROR"=INDEX(V_ALL_300502.SZ,ROW(),COLUMN())</formula>
    </cfRule>
    <cfRule type="expression" dxfId="15" priority="14">
      <formula>NOT(EXACT(IF(ISNUMBER(INDEX(M_ALL_208021942,ROW(),COLUMN())),ROUND(INDEX(M_ALL_208021942,ROW(),COLUMN()),6),INDEX(M_ALL_208021942,ROW(),COLUMN())),IF(ISNUMBER(INDEX(L_ALL_300502.SZ,ROW(),COLUMN())),ROUND(INDEX(L_ALL_300502.SZ,ROW(),COLUMN()),6),INDEX(L_ALL_300502.SZ,ROW(),COLUMN()))))</formula>
    </cfRule>
  </conditionalFormatting>
  <conditionalFormatting sqref="A256:C270 E256:XFD270 A272:C284 E272:V284 W272:XFD287 A285:V287 A289:V289 W289:XFD290 A290:C290 E290:V290 A292:C292 E292:XFD292 A294:C294 E294:XFD294">
    <cfRule type="expression" dxfId="16" priority="15">
      <formula>"ERROR"=INDEX(V_ALL_300502.SZ,ROW(),COLUMN())</formula>
    </cfRule>
    <cfRule type="expression" dxfId="17" priority="16">
      <formula>NOT(EXACT(IF(ISNUMBER(INDEX(M_ALL_208021942,ROW(),COLUMN())),ROUND(INDEX(M_ALL_208021942,ROW(),COLUMN()),6),INDEX(M_ALL_208021942,ROW(),COLUMN())),IF(ISNUMBER(INDEX(L_ALL_300502.SZ,ROW(),COLUMN())),ROUND(INDEX(L_ALL_300502.SZ,ROW(),COLUMN()),6),INDEX(L_ALL_300502.SZ,ROW(),COLUMN()))))</formula>
    </cfRule>
    <cfRule type="expression" dxfId="18" priority="17">
      <formula>"Estimate"=INDEX(M_ALL_208021942,2,COLUMN())</formula>
    </cfRule>
    <cfRule type="expression" dxfId="19" priority="18">
      <formula>"Preliminary"=INDEX(M_ALL_208021942,2,COLUMN())</formula>
    </cfRule>
    <cfRule type="expression" dxfId="20" priority="19">
      <formula>"Actual"=INDEX(M_ALL_208021942,2,COLUMN())</formula>
    </cfRule>
    <cfRule type="expression" dxfId="21" priority="20">
      <formula>"Restated"=INDEX(M_ALL_208021942,2,COLUMN())</formula>
    </cfRule>
  </conditionalFormatting>
  <dataValidations count="5">
    <dataValidation type="list" allowBlank="1" showInputMessage="1" showErrorMessage="1" sqref="E235">
      <formula1>"Not Rated,Coverage Suspended,Rating Suspended,Early-Stage Biotech"</formula1>
    </dataValidation>
    <dataValidation type="list" allowBlank="1" showInputMessage="1" showErrorMessage="1" sqref="E233">
      <formula1>"Buy,Sell"</formula1>
    </dataValidation>
    <dataValidation type="list" allowBlank="1" showInputMessage="1" showErrorMessage="1" sqref="E40">
      <formula1>"Y,N"</formula1>
    </dataValidation>
    <dataValidation type="list" allowBlank="1" showInputMessage="1" showErrorMessage="1" sqref="E237">
      <formula1>"6 months,12 months,18 months,2 years,1 month,3 months,9 months,3 years"</formula1>
    </dataValidation>
    <dataValidation type="list" allowBlank="1" showInputMessage="1" showErrorMessage="1" sqref="F2:BX2">
      <formula1>"Estimate,Preliminary,Actual,Restated"</formula1>
    </dataValidation>
  </dataValidations>
  <pageMargins left="0.699305555555556" right="0.699305555555556" top="0.75" bottom="0.75" header="0.3" footer="0.3"/>
  <headerFooter/>
  <customProperties>
    <customPr name="Qube.Worksheet.Visibility" r:id="rId1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pageSetUpPr autoPageBreaks="0"/>
  </sheetPr>
  <dimension ref="A1:DQ246"/>
  <sheetViews>
    <sheetView showGridLines="0" zoomScale="85" zoomScaleNormal="85" workbookViewId="0">
      <selection activeCell="T40" sqref="T40"/>
    </sheetView>
  </sheetViews>
  <sheetFormatPr defaultColWidth="9.64285714285714" defaultRowHeight="12.75"/>
  <cols>
    <col min="1" max="1" width="1.42857142857143" customWidth="1"/>
    <col min="2" max="2" width="34.8571428571429" customWidth="1"/>
    <col min="3" max="3" width="13.5714285714286" hidden="1" customWidth="1" outlineLevel="1"/>
    <col min="4" max="10" width="9.14285714285714" hidden="1" customWidth="1" outlineLevel="1"/>
    <col min="11" max="11" width="9.14285714285714" hidden="1" customWidth="1" collapsed="1"/>
    <col min="12" max="12" width="9.14285714285714" hidden="1" customWidth="1"/>
    <col min="13" max="13" width="9.71428571428571" hidden="1" customWidth="1"/>
    <col min="14" max="23" width="9.14285714285714" customWidth="1"/>
    <col min="24" max="26" width="5.28571428571429" hidden="1" customWidth="1" outlineLevel="1"/>
    <col min="27" max="27" width="5.28571428571429" style="241" hidden="1" customWidth="1" outlineLevel="1"/>
    <col min="28" max="30" width="7.14285714285714" hidden="1" customWidth="1" outlineLevel="1"/>
    <col min="31" max="31" width="7.57142857142857" style="241" hidden="1" customWidth="1" outlineLevel="1"/>
    <col min="32" max="32" width="7.57142857142857" hidden="1" customWidth="1" outlineLevel="1"/>
    <col min="33" max="34" width="7.14285714285714" hidden="1" customWidth="1" outlineLevel="1"/>
    <col min="35" max="35" width="7.14285714285714" style="241" hidden="1" customWidth="1" outlineLevel="1"/>
    <col min="36" max="38" width="7.14285714285714" hidden="1" customWidth="1" outlineLevel="1"/>
    <col min="39" max="39" width="7.14285714285714" style="241" hidden="1" customWidth="1" outlineLevel="1"/>
    <col min="40" max="42" width="7.14285714285714" hidden="1" customWidth="1" outlineLevel="1"/>
    <col min="43" max="43" width="7.14285714285714" style="241" hidden="1" customWidth="1" outlineLevel="1"/>
    <col min="44" max="44" width="8.14285714285714" hidden="1" customWidth="1" collapsed="1"/>
    <col min="45" max="46" width="7.14285714285714" hidden="1" customWidth="1"/>
    <col min="47" max="47" width="7.14285714285714" style="241" hidden="1" customWidth="1"/>
    <col min="48" max="50" width="7.14285714285714" hidden="1" customWidth="1"/>
    <col min="51" max="51" width="7.14285714285714" style="241" hidden="1" customWidth="1"/>
    <col min="52" max="54" width="7.14285714285714" hidden="1" customWidth="1"/>
    <col min="55" max="55" width="7.14285714285714" style="241" hidden="1" customWidth="1"/>
    <col min="56" max="58" width="7.14285714285714" hidden="1" customWidth="1"/>
    <col min="59" max="59" width="7.14285714285714" style="241" hidden="1" customWidth="1"/>
    <col min="60" max="62" width="9.14285714285714" hidden="1" customWidth="1" outlineLevel="1"/>
    <col min="63" max="63" width="9.14285714285714" style="241" hidden="1" customWidth="1" outlineLevel="1"/>
    <col min="64" max="66" width="9.14285714285714" hidden="1" customWidth="1" outlineLevel="1"/>
    <col min="67" max="67" width="9.14285714285714" style="241" hidden="1" customWidth="1" outlineLevel="1"/>
    <col min="68" max="70" width="9.14285714285714" customWidth="1" outlineLevel="1"/>
    <col min="71" max="71" width="9.14285714285714" style="241" customWidth="1" outlineLevel="1"/>
    <col min="72" max="84" width="9.14285714285714" customWidth="1" outlineLevel="1"/>
    <col min="85" max="85" width="14.5714285714286" customWidth="1"/>
    <col min="86" max="86" width="9.57142857142857" customWidth="1"/>
  </cols>
  <sheetData>
    <row r="1" spans="1:85">
      <c r="A1" s="242"/>
      <c r="B1" s="242"/>
      <c r="C1" s="243"/>
      <c r="D1" s="243"/>
      <c r="E1" s="243"/>
      <c r="F1" s="243"/>
      <c r="G1" s="243"/>
      <c r="H1" s="243"/>
      <c r="I1" s="243"/>
      <c r="J1" s="283"/>
      <c r="K1" s="284"/>
      <c r="L1" s="285"/>
      <c r="M1" s="285"/>
      <c r="N1" s="285"/>
      <c r="O1" s="285"/>
      <c r="P1" s="285"/>
      <c r="Q1" s="285"/>
      <c r="R1" s="285"/>
      <c r="S1" s="285"/>
      <c r="T1" s="285"/>
      <c r="U1" s="285"/>
      <c r="V1" s="285"/>
      <c r="X1" s="284"/>
      <c r="Y1" s="284"/>
      <c r="Z1" s="284"/>
      <c r="AA1" s="311"/>
      <c r="AB1" s="284"/>
      <c r="AC1" s="284"/>
      <c r="AD1" s="284"/>
      <c r="AE1" s="311"/>
      <c r="AF1" s="284"/>
      <c r="AG1" s="284"/>
      <c r="AH1" s="284"/>
      <c r="AI1" s="311"/>
      <c r="AJ1" s="284"/>
      <c r="AK1" s="284"/>
      <c r="AL1" s="284"/>
      <c r="AM1" s="311"/>
      <c r="AN1" s="284"/>
      <c r="AO1" s="284"/>
      <c r="AP1" s="284"/>
      <c r="AQ1" s="337"/>
      <c r="AR1" s="303"/>
      <c r="AS1" s="303"/>
      <c r="AT1" s="303"/>
      <c r="AU1" s="337"/>
      <c r="AV1" s="303"/>
      <c r="AW1" s="303"/>
      <c r="AX1" s="303"/>
      <c r="AY1" s="337"/>
      <c r="AZ1" s="303"/>
      <c r="BA1" s="303"/>
      <c r="BB1" s="303"/>
      <c r="BC1" s="337"/>
      <c r="BD1" s="303"/>
      <c r="BE1" s="303"/>
      <c r="BF1" s="303"/>
      <c r="BG1" s="337"/>
      <c r="BH1" s="303"/>
      <c r="BI1" s="303"/>
      <c r="BJ1" s="303"/>
      <c r="BK1" s="337"/>
      <c r="BL1" s="303"/>
      <c r="BM1" s="303"/>
      <c r="BN1" s="303"/>
      <c r="BO1" s="337"/>
      <c r="BP1" s="303"/>
      <c r="BQ1" s="303"/>
      <c r="BR1" s="303"/>
      <c r="BS1" s="337"/>
      <c r="BT1" s="303"/>
      <c r="BU1" s="303"/>
      <c r="BV1" s="303"/>
      <c r="BW1" s="303"/>
      <c r="BX1" s="303"/>
      <c r="BY1" s="303"/>
      <c r="BZ1" s="303"/>
      <c r="CA1" s="303"/>
      <c r="CB1" s="303"/>
      <c r="CC1" s="303"/>
      <c r="CD1" s="303"/>
      <c r="CE1" s="303"/>
      <c r="CF1" s="303"/>
      <c r="CG1" s="303"/>
    </row>
    <row r="2" ht="15.75" spans="1:120">
      <c r="A2" s="528" t="s">
        <v>627</v>
      </c>
      <c r="B2" s="244"/>
      <c r="C2" s="244"/>
      <c r="D2" s="244"/>
      <c r="E2" s="244"/>
      <c r="F2" s="244"/>
      <c r="G2" s="244"/>
      <c r="H2" s="244"/>
      <c r="I2" s="246"/>
      <c r="J2" s="246"/>
      <c r="K2" s="246"/>
      <c r="L2" s="246"/>
      <c r="M2" s="246"/>
      <c r="N2" s="246"/>
      <c r="O2" s="246"/>
      <c r="P2" s="246"/>
      <c r="Q2" s="246"/>
      <c r="R2" s="246"/>
      <c r="S2" s="246"/>
      <c r="T2" s="246"/>
      <c r="U2" s="246"/>
      <c r="V2" s="246"/>
      <c r="W2" s="300"/>
      <c r="X2" s="246"/>
      <c r="Y2" s="246"/>
      <c r="Z2" s="246"/>
      <c r="AA2" s="312"/>
      <c r="AB2" s="246"/>
      <c r="AC2" s="246"/>
      <c r="AD2" s="246"/>
      <c r="AE2" s="312"/>
      <c r="AF2" s="246"/>
      <c r="AG2" s="246"/>
      <c r="AH2" s="246"/>
      <c r="AI2" s="312"/>
      <c r="AJ2" s="246"/>
      <c r="AK2" s="246"/>
      <c r="AL2" s="246"/>
      <c r="AM2" s="312"/>
      <c r="AN2" s="246"/>
      <c r="AO2" s="246"/>
      <c r="AP2" s="246"/>
      <c r="AQ2" s="338"/>
      <c r="AR2" s="339"/>
      <c r="AS2" s="339"/>
      <c r="AT2" s="339"/>
      <c r="AU2" s="338"/>
      <c r="AV2" s="339"/>
      <c r="AW2" s="339"/>
      <c r="AX2" s="339"/>
      <c r="AY2" s="338"/>
      <c r="AZ2" s="339"/>
      <c r="BA2" s="339"/>
      <c r="BB2" s="339"/>
      <c r="BC2" s="338"/>
      <c r="BD2" s="339"/>
      <c r="BE2" s="339"/>
      <c r="BF2" s="339"/>
      <c r="BG2" s="338"/>
      <c r="BH2" s="339"/>
      <c r="BI2" s="339"/>
      <c r="BJ2" s="339"/>
      <c r="BK2" s="338"/>
      <c r="BL2" s="339"/>
      <c r="BM2" s="339"/>
      <c r="BN2" s="339"/>
      <c r="BO2" s="338"/>
      <c r="BP2" s="339"/>
      <c r="BQ2" s="339"/>
      <c r="BR2" s="339"/>
      <c r="BS2" s="338"/>
      <c r="BT2" s="339"/>
      <c r="BU2" s="339"/>
      <c r="BV2" s="339"/>
      <c r="BW2" s="338"/>
      <c r="BX2" s="339"/>
      <c r="BY2" s="339"/>
      <c r="BZ2" s="339"/>
      <c r="CA2" s="338"/>
      <c r="CB2" s="339"/>
      <c r="CC2" s="339"/>
      <c r="CD2" s="339"/>
      <c r="CE2" s="338"/>
      <c r="CF2" s="339"/>
      <c r="CG2" s="339"/>
      <c r="CH2" s="339"/>
      <c r="CI2" s="339"/>
      <c r="CJ2" s="339"/>
      <c r="CK2" s="339"/>
      <c r="CL2" s="339"/>
      <c r="CM2" s="339"/>
      <c r="CN2" s="339"/>
      <c r="CO2" s="339"/>
      <c r="CP2" s="339"/>
      <c r="CQ2" s="339"/>
      <c r="CR2" s="339"/>
      <c r="CS2" s="339"/>
      <c r="CT2" s="339"/>
      <c r="CU2" s="339"/>
      <c r="CV2" s="339"/>
      <c r="CW2" s="339"/>
      <c r="CX2" s="339"/>
      <c r="CY2" s="339"/>
      <c r="CZ2" s="339"/>
      <c r="DA2" s="339"/>
      <c r="DB2" s="339"/>
      <c r="DC2" s="339"/>
      <c r="DD2" s="339"/>
      <c r="DE2" s="339"/>
      <c r="DF2" s="339"/>
      <c r="DG2" s="339"/>
      <c r="DH2" s="339"/>
      <c r="DI2" s="339"/>
      <c r="DJ2" s="339"/>
      <c r="DK2" s="339"/>
      <c r="DL2" s="339"/>
      <c r="DM2" s="339"/>
      <c r="DN2" s="339"/>
      <c r="DO2" s="339"/>
      <c r="DP2" s="339"/>
    </row>
    <row r="3" s="240" customFormat="1" spans="1:120">
      <c r="A3" s="245" t="s">
        <v>628</v>
      </c>
      <c r="B3" s="245"/>
      <c r="C3" s="246"/>
      <c r="D3" s="246"/>
      <c r="E3" s="246"/>
      <c r="F3" s="246"/>
      <c r="G3" s="246"/>
      <c r="H3" s="246"/>
      <c r="I3" s="246"/>
      <c r="J3" s="246"/>
      <c r="K3" s="246"/>
      <c r="L3" s="286"/>
      <c r="M3" s="286"/>
      <c r="N3" s="286"/>
      <c r="O3" s="286"/>
      <c r="P3" s="286"/>
      <c r="Q3" s="286"/>
      <c r="R3" s="286"/>
      <c r="S3" s="286"/>
      <c r="T3" s="286"/>
      <c r="U3" s="286"/>
      <c r="V3" s="286"/>
      <c r="W3" s="300"/>
      <c r="X3" s="246">
        <v>2014</v>
      </c>
      <c r="Y3" s="246">
        <v>2014</v>
      </c>
      <c r="Z3" s="246">
        <v>2014</v>
      </c>
      <c r="AA3" s="312">
        <v>2014</v>
      </c>
      <c r="AB3" s="246">
        <f>X3+1</f>
        <v>2015</v>
      </c>
      <c r="AC3" s="246">
        <f t="shared" ref="AC3:CA3" si="0">Y3+1</f>
        <v>2015</v>
      </c>
      <c r="AD3" s="246">
        <f t="shared" si="0"/>
        <v>2015</v>
      </c>
      <c r="AE3" s="312">
        <f t="shared" si="0"/>
        <v>2015</v>
      </c>
      <c r="AF3" s="246">
        <f t="shared" si="0"/>
        <v>2016</v>
      </c>
      <c r="AG3" s="246">
        <f t="shared" si="0"/>
        <v>2016</v>
      </c>
      <c r="AH3" s="246">
        <f t="shared" si="0"/>
        <v>2016</v>
      </c>
      <c r="AI3" s="312">
        <f t="shared" si="0"/>
        <v>2016</v>
      </c>
      <c r="AJ3" s="246">
        <f t="shared" si="0"/>
        <v>2017</v>
      </c>
      <c r="AK3" s="246">
        <f t="shared" si="0"/>
        <v>2017</v>
      </c>
      <c r="AL3" s="246">
        <f t="shared" si="0"/>
        <v>2017</v>
      </c>
      <c r="AM3" s="312">
        <f t="shared" si="0"/>
        <v>2017</v>
      </c>
      <c r="AN3" s="246">
        <f t="shared" si="0"/>
        <v>2018</v>
      </c>
      <c r="AO3" s="246">
        <f t="shared" si="0"/>
        <v>2018</v>
      </c>
      <c r="AP3" s="246">
        <f t="shared" si="0"/>
        <v>2018</v>
      </c>
      <c r="AQ3" s="312">
        <f t="shared" si="0"/>
        <v>2018</v>
      </c>
      <c r="AR3" s="246">
        <f t="shared" si="0"/>
        <v>2019</v>
      </c>
      <c r="AS3" s="246">
        <f t="shared" si="0"/>
        <v>2019</v>
      </c>
      <c r="AT3" s="246">
        <f t="shared" si="0"/>
        <v>2019</v>
      </c>
      <c r="AU3" s="312">
        <f t="shared" si="0"/>
        <v>2019</v>
      </c>
      <c r="AV3" s="246">
        <f t="shared" si="0"/>
        <v>2020</v>
      </c>
      <c r="AW3" s="246">
        <f t="shared" si="0"/>
        <v>2020</v>
      </c>
      <c r="AX3" s="246">
        <f t="shared" si="0"/>
        <v>2020</v>
      </c>
      <c r="AY3" s="312">
        <f t="shared" si="0"/>
        <v>2020</v>
      </c>
      <c r="AZ3" s="246">
        <f t="shared" si="0"/>
        <v>2021</v>
      </c>
      <c r="BA3" s="246">
        <f t="shared" si="0"/>
        <v>2021</v>
      </c>
      <c r="BB3" s="246">
        <f t="shared" si="0"/>
        <v>2021</v>
      </c>
      <c r="BC3" s="312">
        <f t="shared" si="0"/>
        <v>2021</v>
      </c>
      <c r="BD3" s="246">
        <f t="shared" si="0"/>
        <v>2022</v>
      </c>
      <c r="BE3" s="246">
        <f t="shared" si="0"/>
        <v>2022</v>
      </c>
      <c r="BF3" s="246">
        <f t="shared" si="0"/>
        <v>2022</v>
      </c>
      <c r="BG3" s="312">
        <f t="shared" si="0"/>
        <v>2022</v>
      </c>
      <c r="BH3" s="246">
        <f t="shared" si="0"/>
        <v>2023</v>
      </c>
      <c r="BI3" s="246">
        <f t="shared" si="0"/>
        <v>2023</v>
      </c>
      <c r="BJ3" s="246">
        <f t="shared" si="0"/>
        <v>2023</v>
      </c>
      <c r="BK3" s="312">
        <f t="shared" si="0"/>
        <v>2023</v>
      </c>
      <c r="BL3" s="246">
        <f t="shared" si="0"/>
        <v>2024</v>
      </c>
      <c r="BM3" s="246">
        <f t="shared" si="0"/>
        <v>2024</v>
      </c>
      <c r="BN3" s="246">
        <f t="shared" si="0"/>
        <v>2024</v>
      </c>
      <c r="BO3" s="312">
        <f t="shared" si="0"/>
        <v>2024</v>
      </c>
      <c r="BP3" s="246">
        <f t="shared" si="0"/>
        <v>2025</v>
      </c>
      <c r="BQ3" s="246">
        <f t="shared" si="0"/>
        <v>2025</v>
      </c>
      <c r="BR3" s="246">
        <f t="shared" si="0"/>
        <v>2025</v>
      </c>
      <c r="BS3" s="312">
        <f t="shared" si="0"/>
        <v>2025</v>
      </c>
      <c r="BT3" s="246">
        <f t="shared" si="0"/>
        <v>2026</v>
      </c>
      <c r="BU3" s="312">
        <f t="shared" si="0"/>
        <v>2026</v>
      </c>
      <c r="BV3" s="312">
        <f t="shared" si="0"/>
        <v>2026</v>
      </c>
      <c r="BW3" s="312">
        <f t="shared" si="0"/>
        <v>2026</v>
      </c>
      <c r="BX3" s="312">
        <f t="shared" si="0"/>
        <v>2027</v>
      </c>
      <c r="BY3" s="312">
        <f t="shared" si="0"/>
        <v>2027</v>
      </c>
      <c r="BZ3" s="312">
        <f t="shared" si="0"/>
        <v>2027</v>
      </c>
      <c r="CA3" s="312">
        <f t="shared" si="0"/>
        <v>2027</v>
      </c>
      <c r="CB3" s="312">
        <f t="shared" ref="CB3" si="1">BX3+1</f>
        <v>2028</v>
      </c>
      <c r="CC3" s="312">
        <f t="shared" ref="CC3" si="2">BY3+1</f>
        <v>2028</v>
      </c>
      <c r="CD3" s="312">
        <f t="shared" ref="CD3" si="3">BZ3+1</f>
        <v>2028</v>
      </c>
      <c r="CE3" s="312">
        <f t="shared" ref="CE3" si="4">CA3+1</f>
        <v>2028</v>
      </c>
      <c r="CF3" s="382"/>
      <c r="CG3" s="382"/>
      <c r="CU3" s="300"/>
      <c r="CV3" s="300"/>
      <c r="CW3" s="300"/>
      <c r="CX3" s="300"/>
      <c r="CY3" s="300"/>
      <c r="CZ3" s="300"/>
      <c r="DA3" s="300"/>
      <c r="DB3" s="300"/>
      <c r="DC3" s="300"/>
      <c r="DD3" s="300"/>
      <c r="DE3" s="300"/>
      <c r="DF3" s="300"/>
      <c r="DG3" s="300"/>
      <c r="DH3" s="300"/>
      <c r="DI3" s="300"/>
      <c r="DJ3" s="300"/>
      <c r="DK3" s="300"/>
      <c r="DL3" s="300"/>
      <c r="DM3" s="300"/>
      <c r="DN3" s="300"/>
      <c r="DO3" s="300"/>
      <c r="DP3" s="300"/>
    </row>
    <row r="4" spans="1:120">
      <c r="A4" s="245"/>
      <c r="B4" s="245"/>
      <c r="C4" s="247"/>
      <c r="D4" s="247"/>
      <c r="E4" s="247">
        <v>2011</v>
      </c>
      <c r="F4" s="247">
        <v>2012</v>
      </c>
      <c r="G4" s="247">
        <v>2013</v>
      </c>
      <c r="H4" s="247">
        <v>2014</v>
      </c>
      <c r="I4" s="247">
        <v>2015</v>
      </c>
      <c r="J4" s="247">
        <v>2016</v>
      </c>
      <c r="K4" s="247">
        <v>2017</v>
      </c>
      <c r="L4" s="247">
        <f t="shared" ref="L4:V4" si="5">K4+1</f>
        <v>2018</v>
      </c>
      <c r="M4" s="247">
        <f t="shared" si="5"/>
        <v>2019</v>
      </c>
      <c r="N4" s="247">
        <f t="shared" si="5"/>
        <v>2020</v>
      </c>
      <c r="O4" s="247">
        <f t="shared" si="5"/>
        <v>2021</v>
      </c>
      <c r="P4" s="247">
        <f t="shared" si="5"/>
        <v>2022</v>
      </c>
      <c r="Q4" s="247">
        <f t="shared" si="5"/>
        <v>2023</v>
      </c>
      <c r="R4" s="247">
        <f t="shared" si="5"/>
        <v>2024</v>
      </c>
      <c r="S4" s="247">
        <f t="shared" si="5"/>
        <v>2025</v>
      </c>
      <c r="T4" s="296">
        <f t="shared" si="5"/>
        <v>2026</v>
      </c>
      <c r="U4" s="296">
        <f t="shared" si="5"/>
        <v>2027</v>
      </c>
      <c r="V4" s="296">
        <f t="shared" si="5"/>
        <v>2028</v>
      </c>
      <c r="W4" s="301"/>
      <c r="X4" s="529" t="s">
        <v>629</v>
      </c>
      <c r="Y4" s="529" t="s">
        <v>630</v>
      </c>
      <c r="Z4" s="529" t="s">
        <v>631</v>
      </c>
      <c r="AA4" s="530" t="s">
        <v>632</v>
      </c>
      <c r="AB4" s="529" t="s">
        <v>633</v>
      </c>
      <c r="AC4" s="529" t="s">
        <v>634</v>
      </c>
      <c r="AD4" s="529" t="s">
        <v>635</v>
      </c>
      <c r="AE4" s="530" t="s">
        <v>636</v>
      </c>
      <c r="AF4" s="529" t="s">
        <v>637</v>
      </c>
      <c r="AG4" s="529" t="s">
        <v>638</v>
      </c>
      <c r="AH4" s="529" t="s">
        <v>639</v>
      </c>
      <c r="AI4" s="530" t="s">
        <v>640</v>
      </c>
      <c r="AJ4" s="529" t="s">
        <v>641</v>
      </c>
      <c r="AK4" s="529" t="s">
        <v>642</v>
      </c>
      <c r="AL4" s="529" t="s">
        <v>643</v>
      </c>
      <c r="AM4" s="530" t="s">
        <v>644</v>
      </c>
      <c r="AN4" s="529" t="s">
        <v>645</v>
      </c>
      <c r="AO4" s="529" t="s">
        <v>646</v>
      </c>
      <c r="AP4" s="529" t="s">
        <v>647</v>
      </c>
      <c r="AQ4" s="530" t="s">
        <v>648</v>
      </c>
      <c r="AR4" s="529" t="s">
        <v>649</v>
      </c>
      <c r="AS4" s="529" t="s">
        <v>650</v>
      </c>
      <c r="AT4" s="529" t="s">
        <v>651</v>
      </c>
      <c r="AU4" s="530" t="s">
        <v>652</v>
      </c>
      <c r="AV4" s="529" t="s">
        <v>653</v>
      </c>
      <c r="AW4" s="247" t="s">
        <v>654</v>
      </c>
      <c r="AX4" s="247" t="s">
        <v>655</v>
      </c>
      <c r="AY4" s="313" t="s">
        <v>656</v>
      </c>
      <c r="AZ4" s="247" t="s">
        <v>657</v>
      </c>
      <c r="BA4" s="247" t="s">
        <v>658</v>
      </c>
      <c r="BB4" s="247" t="s">
        <v>659</v>
      </c>
      <c r="BC4" s="313" t="s">
        <v>660</v>
      </c>
      <c r="BD4" s="247" t="s">
        <v>661</v>
      </c>
      <c r="BE4" s="247" t="s">
        <v>662</v>
      </c>
      <c r="BF4" s="247" t="s">
        <v>663</v>
      </c>
      <c r="BG4" s="313" t="s">
        <v>664</v>
      </c>
      <c r="BH4" s="247" t="s">
        <v>665</v>
      </c>
      <c r="BI4" s="247" t="s">
        <v>666</v>
      </c>
      <c r="BJ4" s="247" t="s">
        <v>667</v>
      </c>
      <c r="BK4" s="313" t="s">
        <v>668</v>
      </c>
      <c r="BL4" s="247" t="s">
        <v>669</v>
      </c>
      <c r="BM4" s="247" t="s">
        <v>670</v>
      </c>
      <c r="BN4" s="247" t="s">
        <v>671</v>
      </c>
      <c r="BO4" s="313" t="s">
        <v>672</v>
      </c>
      <c r="BP4" s="247" t="s">
        <v>673</v>
      </c>
      <c r="BQ4" s="531" t="s">
        <v>674</v>
      </c>
      <c r="BR4" s="531" t="s">
        <v>675</v>
      </c>
      <c r="BS4" s="313" t="s">
        <v>676</v>
      </c>
      <c r="BT4" s="247" t="s">
        <v>677</v>
      </c>
      <c r="BU4" s="532" t="s">
        <v>678</v>
      </c>
      <c r="BV4" s="532" t="s">
        <v>679</v>
      </c>
      <c r="BW4" s="533" t="s">
        <v>680</v>
      </c>
      <c r="BX4" s="532" t="s">
        <v>681</v>
      </c>
      <c r="BY4" s="532" t="s">
        <v>682</v>
      </c>
      <c r="BZ4" s="532" t="s">
        <v>683</v>
      </c>
      <c r="CA4" s="533" t="s">
        <v>684</v>
      </c>
      <c r="CB4" s="532" t="s">
        <v>685</v>
      </c>
      <c r="CC4" s="532" t="s">
        <v>686</v>
      </c>
      <c r="CD4" s="532" t="s">
        <v>687</v>
      </c>
      <c r="CE4" s="533" t="s">
        <v>688</v>
      </c>
      <c r="CF4" s="383"/>
      <c r="CG4" s="383"/>
      <c r="CH4" s="283"/>
      <c r="CI4" s="283"/>
      <c r="CJ4" s="283"/>
      <c r="CK4" s="283"/>
      <c r="CL4" s="283"/>
      <c r="CM4" s="283"/>
      <c r="CN4" s="283"/>
      <c r="CO4" s="283"/>
      <c r="CP4" s="283"/>
      <c r="CQ4" s="283"/>
      <c r="CR4" s="283"/>
      <c r="CS4" s="283"/>
      <c r="CT4" s="283"/>
      <c r="CU4" s="301"/>
      <c r="CV4" s="301"/>
      <c r="CW4" s="301"/>
      <c r="CX4" s="301"/>
      <c r="CY4" s="301"/>
      <c r="CZ4" s="301"/>
      <c r="DA4" s="301"/>
      <c r="DB4" s="301"/>
      <c r="DC4" s="301"/>
      <c r="DD4" s="301"/>
      <c r="DE4" s="301"/>
      <c r="DF4" s="301"/>
      <c r="DG4" s="301"/>
      <c r="DH4" s="301"/>
      <c r="DI4" s="301"/>
      <c r="DJ4" s="301"/>
      <c r="DK4" s="301"/>
      <c r="DL4" s="301"/>
      <c r="DM4" s="301"/>
      <c r="DN4" s="301"/>
      <c r="DO4" s="301"/>
      <c r="DP4" s="301"/>
    </row>
    <row r="5" spans="1:120">
      <c r="A5" s="248"/>
      <c r="B5" s="245" t="s">
        <v>689</v>
      </c>
      <c r="C5" s="247"/>
      <c r="D5" s="247"/>
      <c r="E5" s="247">
        <f t="shared" ref="E5:V5" si="6">E4</f>
        <v>2011</v>
      </c>
      <c r="F5" s="247">
        <f t="shared" si="6"/>
        <v>2012</v>
      </c>
      <c r="G5" s="247">
        <f t="shared" si="6"/>
        <v>2013</v>
      </c>
      <c r="H5" s="247">
        <f t="shared" si="6"/>
        <v>2014</v>
      </c>
      <c r="I5" s="247">
        <f t="shared" si="6"/>
        <v>2015</v>
      </c>
      <c r="J5" s="247">
        <f t="shared" si="6"/>
        <v>2016</v>
      </c>
      <c r="K5" s="247">
        <f t="shared" si="6"/>
        <v>2017</v>
      </c>
      <c r="L5" s="247">
        <f t="shared" si="6"/>
        <v>2018</v>
      </c>
      <c r="M5" s="247">
        <f t="shared" si="6"/>
        <v>2019</v>
      </c>
      <c r="N5" s="247">
        <f t="shared" si="6"/>
        <v>2020</v>
      </c>
      <c r="O5" s="247">
        <f t="shared" si="6"/>
        <v>2021</v>
      </c>
      <c r="P5" s="247">
        <f t="shared" si="6"/>
        <v>2022</v>
      </c>
      <c r="Q5" s="247">
        <f t="shared" si="6"/>
        <v>2023</v>
      </c>
      <c r="R5" s="247">
        <f t="shared" si="6"/>
        <v>2024</v>
      </c>
      <c r="S5" s="247">
        <f t="shared" si="6"/>
        <v>2025</v>
      </c>
      <c r="T5" s="296">
        <f t="shared" si="6"/>
        <v>2026</v>
      </c>
      <c r="U5" s="296">
        <f t="shared" si="6"/>
        <v>2027</v>
      </c>
      <c r="V5" s="296">
        <f t="shared" si="6"/>
        <v>2028</v>
      </c>
      <c r="W5" s="300"/>
      <c r="X5" s="247" t="str">
        <f t="shared" ref="X5:CA5" si="7">X4</f>
        <v>1Q14</v>
      </c>
      <c r="Y5" s="247" t="str">
        <f t="shared" si="7"/>
        <v>2Q14</v>
      </c>
      <c r="Z5" s="247" t="str">
        <f t="shared" si="7"/>
        <v>3Q14</v>
      </c>
      <c r="AA5" s="313" t="str">
        <f t="shared" si="7"/>
        <v>4Q14</v>
      </c>
      <c r="AB5" s="247" t="str">
        <f t="shared" si="7"/>
        <v>1Q15</v>
      </c>
      <c r="AC5" s="247" t="str">
        <f t="shared" si="7"/>
        <v>2Q15</v>
      </c>
      <c r="AD5" s="247" t="str">
        <f t="shared" si="7"/>
        <v>3Q15</v>
      </c>
      <c r="AE5" s="313" t="str">
        <f t="shared" si="7"/>
        <v>4Q15</v>
      </c>
      <c r="AF5" s="247" t="str">
        <f t="shared" si="7"/>
        <v>1Q16</v>
      </c>
      <c r="AG5" s="247" t="str">
        <f t="shared" si="7"/>
        <v>2Q16</v>
      </c>
      <c r="AH5" s="247" t="str">
        <f t="shared" si="7"/>
        <v>3Q16</v>
      </c>
      <c r="AI5" s="313" t="str">
        <f t="shared" si="7"/>
        <v>4Q16</v>
      </c>
      <c r="AJ5" s="247" t="str">
        <f t="shared" si="7"/>
        <v>1Q17</v>
      </c>
      <c r="AK5" s="247" t="str">
        <f t="shared" si="7"/>
        <v>2Q17</v>
      </c>
      <c r="AL5" s="247" t="str">
        <f t="shared" si="7"/>
        <v>3Q17</v>
      </c>
      <c r="AM5" s="313" t="str">
        <f t="shared" si="7"/>
        <v>4Q17</v>
      </c>
      <c r="AN5" s="247" t="str">
        <f t="shared" si="7"/>
        <v>1Q18</v>
      </c>
      <c r="AO5" s="247" t="str">
        <f t="shared" si="7"/>
        <v>2Q18</v>
      </c>
      <c r="AP5" s="247" t="str">
        <f t="shared" si="7"/>
        <v>3Q18</v>
      </c>
      <c r="AQ5" s="313" t="str">
        <f t="shared" si="7"/>
        <v>4Q18</v>
      </c>
      <c r="AR5" s="247" t="str">
        <f t="shared" si="7"/>
        <v>1Q19</v>
      </c>
      <c r="AS5" s="247" t="str">
        <f t="shared" si="7"/>
        <v>2Q19</v>
      </c>
      <c r="AT5" s="247" t="str">
        <f t="shared" si="7"/>
        <v>3Q19</v>
      </c>
      <c r="AU5" s="313" t="str">
        <f t="shared" si="7"/>
        <v>4Q19</v>
      </c>
      <c r="AV5" s="247" t="str">
        <f t="shared" si="7"/>
        <v>1Q20</v>
      </c>
      <c r="AW5" s="247" t="str">
        <f t="shared" si="7"/>
        <v>2Q20</v>
      </c>
      <c r="AX5" s="247" t="str">
        <f t="shared" si="7"/>
        <v>3Q20</v>
      </c>
      <c r="AY5" s="313" t="str">
        <f t="shared" si="7"/>
        <v>4Q20</v>
      </c>
      <c r="AZ5" s="247" t="str">
        <f t="shared" si="7"/>
        <v>1Q21</v>
      </c>
      <c r="BA5" s="247" t="str">
        <f t="shared" si="7"/>
        <v>2Q21</v>
      </c>
      <c r="BB5" s="247" t="str">
        <f t="shared" si="7"/>
        <v>3Q21</v>
      </c>
      <c r="BC5" s="313" t="str">
        <f t="shared" si="7"/>
        <v>4Q21</v>
      </c>
      <c r="BD5" s="247" t="str">
        <f t="shared" si="7"/>
        <v>1Q22</v>
      </c>
      <c r="BE5" s="247" t="str">
        <f t="shared" si="7"/>
        <v>2Q22</v>
      </c>
      <c r="BF5" s="247" t="str">
        <f t="shared" si="7"/>
        <v>3Q22</v>
      </c>
      <c r="BG5" s="313" t="str">
        <f t="shared" si="7"/>
        <v>4Q22</v>
      </c>
      <c r="BH5" s="247" t="str">
        <f t="shared" si="7"/>
        <v>1Q23</v>
      </c>
      <c r="BI5" s="247" t="str">
        <f t="shared" si="7"/>
        <v>2Q23</v>
      </c>
      <c r="BJ5" s="247" t="str">
        <f t="shared" si="7"/>
        <v>3Q23</v>
      </c>
      <c r="BK5" s="313" t="str">
        <f t="shared" si="7"/>
        <v>4Q23</v>
      </c>
      <c r="BL5" s="247" t="str">
        <f t="shared" si="7"/>
        <v>1Q24</v>
      </c>
      <c r="BM5" s="247" t="str">
        <f t="shared" si="7"/>
        <v>2Q24</v>
      </c>
      <c r="BN5" s="247" t="str">
        <f t="shared" si="7"/>
        <v>3Q24</v>
      </c>
      <c r="BO5" s="313" t="str">
        <f t="shared" si="7"/>
        <v>4Q24</v>
      </c>
      <c r="BP5" s="247" t="str">
        <f t="shared" si="7"/>
        <v>1Q25</v>
      </c>
      <c r="BQ5" s="531" t="str">
        <f t="shared" si="7"/>
        <v>2Q25</v>
      </c>
      <c r="BR5" s="531" t="str">
        <f t="shared" si="7"/>
        <v>3Q25</v>
      </c>
      <c r="BS5" s="313" t="str">
        <f t="shared" si="7"/>
        <v>4Q25</v>
      </c>
      <c r="BT5" s="247" t="str">
        <f t="shared" si="7"/>
        <v>1Q26</v>
      </c>
      <c r="BU5" s="532" t="str">
        <f t="shared" si="7"/>
        <v>2Q26</v>
      </c>
      <c r="BV5" s="532" t="str">
        <f t="shared" si="7"/>
        <v>3Q26</v>
      </c>
      <c r="BW5" s="533" t="str">
        <f t="shared" si="7"/>
        <v>4Q26</v>
      </c>
      <c r="BX5" s="532" t="str">
        <f t="shared" si="7"/>
        <v>1Q27</v>
      </c>
      <c r="BY5" s="532" t="str">
        <f t="shared" si="7"/>
        <v>2Q27</v>
      </c>
      <c r="BZ5" s="532" t="str">
        <f t="shared" si="7"/>
        <v>3Q27</v>
      </c>
      <c r="CA5" s="533" t="str">
        <f t="shared" si="7"/>
        <v>4Q27</v>
      </c>
      <c r="CB5" s="532" t="str">
        <f t="shared" ref="CB5:CE5" si="8">CB4</f>
        <v>1Q28</v>
      </c>
      <c r="CC5" s="532" t="str">
        <f t="shared" si="8"/>
        <v>2Q28</v>
      </c>
      <c r="CD5" s="532" t="str">
        <f t="shared" si="8"/>
        <v>3Q28</v>
      </c>
      <c r="CE5" s="533" t="str">
        <f t="shared" si="8"/>
        <v>4Q28</v>
      </c>
      <c r="CF5" s="383"/>
      <c r="CG5" s="383"/>
      <c r="CH5" s="283"/>
      <c r="CI5" s="283"/>
      <c r="CJ5" s="283"/>
      <c r="CK5" s="283"/>
      <c r="CL5" s="283"/>
      <c r="CM5" s="283"/>
      <c r="CN5" s="283"/>
      <c r="CO5" s="283"/>
      <c r="CP5" s="283"/>
      <c r="CQ5" s="283"/>
      <c r="CR5" s="283"/>
      <c r="CS5" s="283"/>
      <c r="CT5" s="283"/>
      <c r="CU5" s="301"/>
      <c r="CV5" s="301"/>
      <c r="CW5" s="301"/>
      <c r="CX5" s="301"/>
      <c r="CY5" s="301"/>
      <c r="CZ5" s="301"/>
      <c r="DA5" s="301"/>
      <c r="DB5" s="301"/>
      <c r="DC5" s="301"/>
      <c r="DD5" s="301"/>
      <c r="DE5" s="301"/>
      <c r="DF5" s="301"/>
      <c r="DG5" s="301"/>
      <c r="DH5" s="301"/>
      <c r="DI5" s="301"/>
      <c r="DJ5" s="301"/>
      <c r="DK5" s="301"/>
      <c r="DL5" s="301"/>
      <c r="DM5" s="301"/>
      <c r="DN5" s="301"/>
      <c r="DO5" s="301"/>
      <c r="DP5" s="301"/>
    </row>
    <row r="6" spans="1:117">
      <c r="A6" s="248"/>
      <c r="B6" s="223"/>
      <c r="C6" s="249"/>
      <c r="D6" s="249"/>
      <c r="E6" s="249"/>
      <c r="F6" s="249"/>
      <c r="G6" s="249"/>
      <c r="H6" s="282"/>
      <c r="I6" s="282"/>
      <c r="J6" s="282"/>
      <c r="K6" s="282"/>
      <c r="L6" s="287"/>
      <c r="M6" s="287"/>
      <c r="N6" s="249"/>
      <c r="O6" s="249"/>
      <c r="P6" s="249"/>
      <c r="Q6" s="249"/>
      <c r="R6" s="249"/>
      <c r="S6" s="249"/>
      <c r="T6" s="249"/>
      <c r="U6" s="249"/>
      <c r="V6" s="249"/>
      <c r="W6" s="302"/>
      <c r="X6" s="282"/>
      <c r="Y6" s="282"/>
      <c r="Z6" s="282"/>
      <c r="AA6" s="314"/>
      <c r="AB6" s="282"/>
      <c r="AC6" s="282"/>
      <c r="AD6" s="282"/>
      <c r="AE6" s="314"/>
      <c r="AF6" s="282"/>
      <c r="AG6" s="282"/>
      <c r="AH6" s="282"/>
      <c r="AI6" s="314"/>
      <c r="AJ6" s="282"/>
      <c r="AK6" s="282"/>
      <c r="AL6" s="282"/>
      <c r="AM6" s="314"/>
      <c r="AN6" s="282"/>
      <c r="AO6" s="282"/>
      <c r="AP6" s="282"/>
      <c r="AQ6" s="340"/>
      <c r="AR6" s="310"/>
      <c r="AS6" s="342"/>
      <c r="AT6" s="310"/>
      <c r="AU6" s="340"/>
      <c r="AV6" s="310"/>
      <c r="AW6" s="310"/>
      <c r="AX6" s="310"/>
      <c r="AY6" s="340"/>
      <c r="AZ6" s="310"/>
      <c r="BA6" s="310"/>
      <c r="BB6" s="310"/>
      <c r="BC6" s="340"/>
      <c r="BD6" s="310"/>
      <c r="BE6" s="310"/>
      <c r="BF6" s="310"/>
      <c r="BG6" s="340"/>
      <c r="BH6" s="310"/>
      <c r="BI6" s="310"/>
      <c r="BJ6" s="310"/>
      <c r="BK6" s="340"/>
      <c r="BL6" s="310"/>
      <c r="BM6" s="310"/>
      <c r="BN6" s="310"/>
      <c r="BO6" s="340"/>
      <c r="BP6" s="310"/>
      <c r="BQ6" s="310"/>
      <c r="BR6" s="310"/>
      <c r="BS6" s="340">
        <f>AVERAGE(BT6:BU6)</f>
        <v>5225.80373666</v>
      </c>
      <c r="BT6" s="310">
        <f>7000-BT40</f>
        <v>4225.80373666</v>
      </c>
      <c r="BU6" s="310">
        <f>9000-BT40</f>
        <v>6225.80373666</v>
      </c>
      <c r="BV6" s="377">
        <f>BT6/BQ40-1</f>
        <v>0.783213750136356</v>
      </c>
      <c r="BW6" s="378">
        <f>BU6/BQ40-1</f>
        <v>1.62717805196443</v>
      </c>
      <c r="BX6" s="310"/>
      <c r="BY6" s="310"/>
      <c r="BZ6" s="310"/>
      <c r="CA6" s="340"/>
      <c r="CB6" s="310"/>
      <c r="CC6" s="310"/>
      <c r="CD6" s="310"/>
      <c r="CE6" s="340"/>
      <c r="CF6" s="310"/>
      <c r="CG6" s="310"/>
      <c r="DA6" s="391"/>
      <c r="DE6" s="391"/>
      <c r="DI6" s="391"/>
      <c r="DM6" s="391"/>
    </row>
    <row r="7" spans="1:120">
      <c r="A7" s="250"/>
      <c r="B7" s="251" t="s">
        <v>690</v>
      </c>
      <c r="C7" s="251"/>
      <c r="D7" s="251"/>
      <c r="E7" s="251">
        <v>304.92842752</v>
      </c>
      <c r="F7" s="251">
        <v>347.56806684</v>
      </c>
      <c r="G7" s="251">
        <v>461.04899576</v>
      </c>
      <c r="H7" s="251">
        <v>522.63426833</v>
      </c>
      <c r="I7" s="251">
        <v>615.11957513</v>
      </c>
      <c r="J7" s="251">
        <v>713.93165081</v>
      </c>
      <c r="K7" s="251">
        <v>877.36536178</v>
      </c>
      <c r="L7" s="251">
        <v>759.9502845</v>
      </c>
      <c r="M7" s="251">
        <v>1164.87368236</v>
      </c>
      <c r="N7" s="251">
        <v>1997.93774627</v>
      </c>
      <c r="O7" s="251">
        <v>2908.37606376</v>
      </c>
      <c r="P7" s="251">
        <f t="shared" ref="P7:S8" si="9">SUMIF($X$3:$BS$3,P$4,$X7:$BS7)</f>
        <v>3310.57379053</v>
      </c>
      <c r="Q7" s="251">
        <f t="shared" si="9"/>
        <v>3097.60575052</v>
      </c>
      <c r="R7" s="251">
        <f t="shared" si="9"/>
        <v>8646.83113432</v>
      </c>
      <c r="S7" s="251">
        <f t="shared" si="9"/>
        <v>24841.85484022</v>
      </c>
      <c r="T7" s="251">
        <f>SUMIF($X$3:$CA$3,T$4,$X7:$CA7)</f>
        <v>51456.5394979234</v>
      </c>
      <c r="U7" s="251">
        <f>SUMIF($X$3:$CA$3,U$4,$X7:$CA7)</f>
        <v>73910.5906869271</v>
      </c>
      <c r="V7" s="251">
        <f>SUMIF($X$3:$CE$3,V$4,$X7:$CE7)</f>
        <v>84975.3756301849</v>
      </c>
      <c r="W7" s="302"/>
      <c r="X7" s="251">
        <v>0</v>
      </c>
      <c r="Y7" s="251">
        <v>0</v>
      </c>
      <c r="Z7" s="251">
        <v>0</v>
      </c>
      <c r="AA7" s="315">
        <v>0</v>
      </c>
      <c r="AB7" s="251">
        <v>141.26115612</v>
      </c>
      <c r="AC7" s="251">
        <v>166.47504462</v>
      </c>
      <c r="AD7" s="251">
        <v>142.2000494</v>
      </c>
      <c r="AE7" s="315">
        <v>165.18332499</v>
      </c>
      <c r="AF7" s="251">
        <v>146.32100267</v>
      </c>
      <c r="AG7" s="251">
        <v>192.79163165</v>
      </c>
      <c r="AH7" s="251">
        <v>170.51716972</v>
      </c>
      <c r="AI7" s="315">
        <v>204.30184677</v>
      </c>
      <c r="AJ7" s="251">
        <v>191.53570996</v>
      </c>
      <c r="AK7" s="251">
        <v>239.17685161</v>
      </c>
      <c r="AL7" s="251">
        <v>231.21158907</v>
      </c>
      <c r="AM7" s="315">
        <v>215.44121114</v>
      </c>
      <c r="AN7" s="251">
        <v>177.5089283</v>
      </c>
      <c r="AO7" s="251">
        <v>158.56942817</v>
      </c>
      <c r="AP7" s="251">
        <v>197.98656639</v>
      </c>
      <c r="AQ7" s="315">
        <v>225.88536164</v>
      </c>
      <c r="AR7" s="251">
        <v>223.88641514</v>
      </c>
      <c r="AS7" s="251">
        <v>256.45333996</v>
      </c>
      <c r="AT7" s="251">
        <v>290.90559366</v>
      </c>
      <c r="AU7" s="315">
        <v>393.6283336</v>
      </c>
      <c r="AV7" s="251">
        <v>270.03088597</v>
      </c>
      <c r="AW7" s="251">
        <v>566.52074702</v>
      </c>
      <c r="AX7" s="251">
        <v>600.90346729</v>
      </c>
      <c r="AY7" s="315">
        <v>560.48264599</v>
      </c>
      <c r="AZ7" s="251">
        <v>624.32716309</v>
      </c>
      <c r="BA7" s="251">
        <v>816.87541257</v>
      </c>
      <c r="BB7" s="251">
        <v>578.08834829</v>
      </c>
      <c r="BC7" s="315">
        <v>889.08513981</v>
      </c>
      <c r="BD7" s="251">
        <v>738.51330386</v>
      </c>
      <c r="BE7" s="251">
        <v>740.33465226</v>
      </c>
      <c r="BF7" s="251">
        <v>935.65915654</v>
      </c>
      <c r="BG7" s="315">
        <v>896.06667787</v>
      </c>
      <c r="BH7" s="355">
        <v>600.2228911</v>
      </c>
      <c r="BI7" s="251">
        <v>704.46093392</v>
      </c>
      <c r="BJ7" s="251">
        <v>782.3637268</v>
      </c>
      <c r="BK7" s="315">
        <v>1010.5581987</v>
      </c>
      <c r="BL7" s="251">
        <v>1112.85389449</v>
      </c>
      <c r="BM7" s="251">
        <v>1614.8208769</v>
      </c>
      <c r="BN7" s="251">
        <v>2402.76103713</v>
      </c>
      <c r="BO7" s="315">
        <v>3516.3953258</v>
      </c>
      <c r="BP7" s="251">
        <v>4052.25653837</v>
      </c>
      <c r="BQ7" s="251">
        <v>6384.91372713</v>
      </c>
      <c r="BR7" s="251">
        <f>16504.7912113-SUM(BP7:BQ7)</f>
        <v>6067.6209458</v>
      </c>
      <c r="BS7" s="315">
        <f>24841.85484022-SUM(BP7:BR7)</f>
        <v>8337.06362892</v>
      </c>
      <c r="BT7" s="251">
        <v>8337.90204074</v>
      </c>
      <c r="BU7" s="251">
        <f>Assumption!S5</f>
        <v>11283.2481581162</v>
      </c>
      <c r="BV7" s="251">
        <f>Assumption!T5</f>
        <v>15163.9208087047</v>
      </c>
      <c r="BW7" s="315">
        <f>Assumption!U5</f>
        <v>16671.4684903625</v>
      </c>
      <c r="BX7" s="251">
        <f>Assumption!V5</f>
        <v>15172.0867905676</v>
      </c>
      <c r="BY7" s="251">
        <f>Assumption!W5</f>
        <v>16800.2801642665</v>
      </c>
      <c r="BZ7" s="251">
        <f>Assumption!X5</f>
        <v>21661.3203868456</v>
      </c>
      <c r="CA7" s="315">
        <f>Assumption!Y5</f>
        <v>20276.9033452475</v>
      </c>
      <c r="CB7" s="251">
        <f>Assumption!Z5</f>
        <v>14673.6482484406</v>
      </c>
      <c r="CC7" s="251">
        <f>Assumption!AA5</f>
        <v>19149.9489607845</v>
      </c>
      <c r="CD7" s="251">
        <f>Assumption!AB5</f>
        <v>26466.8998469363</v>
      </c>
      <c r="CE7" s="315">
        <f>Assumption!AC5</f>
        <v>24684.8785740236</v>
      </c>
      <c r="CF7" s="251"/>
      <c r="CG7" s="384"/>
      <c r="CH7" s="251"/>
      <c r="CI7" s="251"/>
      <c r="CJ7" s="251"/>
      <c r="CK7" s="251"/>
      <c r="CL7" s="251"/>
      <c r="CM7" s="251"/>
      <c r="CN7" s="251"/>
      <c r="CO7" s="251"/>
      <c r="CP7" s="251"/>
      <c r="CQ7" s="251"/>
      <c r="CR7" s="251"/>
      <c r="CS7" s="251"/>
      <c r="CT7" s="251"/>
      <c r="CU7" s="388"/>
      <c r="CV7" s="388"/>
      <c r="CW7" s="388"/>
      <c r="CX7" s="388"/>
      <c r="CY7" s="388"/>
      <c r="CZ7" s="388"/>
      <c r="DA7" s="388"/>
      <c r="DB7" s="388"/>
      <c r="DC7" s="388"/>
      <c r="DD7" s="388"/>
      <c r="DE7" s="388"/>
      <c r="DF7" s="388"/>
      <c r="DG7" s="388"/>
      <c r="DH7" s="388"/>
      <c r="DI7" s="388"/>
      <c r="DJ7" s="388"/>
      <c r="DK7" s="388"/>
      <c r="DL7" s="388"/>
      <c r="DM7" s="388"/>
      <c r="DN7" s="388"/>
      <c r="DO7" s="388"/>
      <c r="DP7" s="388"/>
    </row>
    <row r="8" spans="1:120">
      <c r="A8" s="250"/>
      <c r="B8" s="252" t="s">
        <v>691</v>
      </c>
      <c r="C8" s="253"/>
      <c r="D8" s="253"/>
      <c r="E8" s="253">
        <v>213.53675789</v>
      </c>
      <c r="F8" s="253">
        <v>234.62009193</v>
      </c>
      <c r="G8" s="253">
        <v>330.78361892</v>
      </c>
      <c r="H8" s="253">
        <v>363.06988665</v>
      </c>
      <c r="I8" s="253">
        <v>446.55321688</v>
      </c>
      <c r="J8" s="253">
        <v>525.65300142</v>
      </c>
      <c r="K8" s="253">
        <v>666.78476179</v>
      </c>
      <c r="L8" s="253">
        <v>611.69329119</v>
      </c>
      <c r="M8" s="253">
        <v>760.44480471</v>
      </c>
      <c r="N8" s="253">
        <v>1261.4844989</v>
      </c>
      <c r="O8" s="253">
        <v>1972.70890067</v>
      </c>
      <c r="P8" s="253">
        <f t="shared" si="9"/>
        <v>2096.85854263</v>
      </c>
      <c r="Q8" s="253">
        <f t="shared" si="9"/>
        <v>2137.65637716</v>
      </c>
      <c r="R8" s="253">
        <f t="shared" si="9"/>
        <v>4780.19194172</v>
      </c>
      <c r="S8" s="253">
        <f t="shared" si="9"/>
        <v>12966.04997921</v>
      </c>
      <c r="T8" s="253">
        <f>SUMIF($X$3:$CA$3,T$4,$X8:$CA8)</f>
        <v>26649.7706062512</v>
      </c>
      <c r="U8" s="253">
        <f>SUMIF($X$3:$CA$3,U$4,$X8:$CA8)</f>
        <v>38031.235161665</v>
      </c>
      <c r="V8" s="253">
        <f>SUMIF($X$3:$CE$3,V$4,$X8:$CE8)</f>
        <v>43619.5382917329</v>
      </c>
      <c r="W8" s="303"/>
      <c r="X8" s="253">
        <v>0</v>
      </c>
      <c r="Y8" s="253">
        <v>0</v>
      </c>
      <c r="Z8" s="253">
        <v>0</v>
      </c>
      <c r="AA8" s="316">
        <v>0</v>
      </c>
      <c r="AB8" s="253">
        <v>101.06669567</v>
      </c>
      <c r="AC8" s="253">
        <v>121.38812637</v>
      </c>
      <c r="AD8" s="253">
        <v>103.18520839</v>
      </c>
      <c r="AE8" s="316">
        <v>120.91318645</v>
      </c>
      <c r="AF8" s="253">
        <v>110.12174565</v>
      </c>
      <c r="AG8" s="253">
        <v>143.06902778</v>
      </c>
      <c r="AH8" s="253">
        <v>117.13323979</v>
      </c>
      <c r="AI8" s="316">
        <v>155.3289882</v>
      </c>
      <c r="AJ8" s="253">
        <v>142.59411948</v>
      </c>
      <c r="AK8" s="253">
        <v>178.48530379</v>
      </c>
      <c r="AL8" s="253">
        <v>171.3163131</v>
      </c>
      <c r="AM8" s="316">
        <v>174.38902542</v>
      </c>
      <c r="AN8" s="253">
        <v>150.94580438</v>
      </c>
      <c r="AO8" s="253">
        <v>136.60421844</v>
      </c>
      <c r="AP8" s="253">
        <v>155.17414592</v>
      </c>
      <c r="AQ8" s="316">
        <v>168.96912245</v>
      </c>
      <c r="AR8" s="253">
        <v>157.55869661</v>
      </c>
      <c r="AS8" s="253">
        <v>173.87351495</v>
      </c>
      <c r="AT8" s="253">
        <v>187.61455064</v>
      </c>
      <c r="AU8" s="316">
        <v>241.39804251</v>
      </c>
      <c r="AV8" s="253">
        <v>174.83515983</v>
      </c>
      <c r="AW8" s="253">
        <v>348.03935434</v>
      </c>
      <c r="AX8" s="253">
        <v>367.81341488</v>
      </c>
      <c r="AY8" s="316">
        <v>370.79656985</v>
      </c>
      <c r="AZ8" s="253">
        <v>433.70045535</v>
      </c>
      <c r="BA8" s="253">
        <v>534.2511115</v>
      </c>
      <c r="BB8" s="253">
        <v>405.85493354</v>
      </c>
      <c r="BC8" s="316">
        <v>598.90240028</v>
      </c>
      <c r="BD8" s="253">
        <v>493.94298278</v>
      </c>
      <c r="BE8" s="253">
        <v>485.96081021</v>
      </c>
      <c r="BF8" s="253">
        <v>583.91813207</v>
      </c>
      <c r="BG8" s="316">
        <v>533.03661757</v>
      </c>
      <c r="BH8" s="356">
        <v>395.88122838</v>
      </c>
      <c r="BI8" s="253">
        <v>525.06194765</v>
      </c>
      <c r="BJ8" s="253">
        <v>577.71865905</v>
      </c>
      <c r="BK8" s="316">
        <v>638.99454208</v>
      </c>
      <c r="BL8" s="253">
        <v>645.40063395</v>
      </c>
      <c r="BM8" s="253">
        <v>908.16531626</v>
      </c>
      <c r="BN8" s="253">
        <v>1404.88348429</v>
      </c>
      <c r="BO8" s="316">
        <v>1821.74250722</v>
      </c>
      <c r="BP8" s="253">
        <v>2080.43929173</v>
      </c>
      <c r="BQ8" s="253">
        <v>3406.76517409</v>
      </c>
      <c r="BR8" s="253">
        <f>8706.77662539-SUM(BP8:BQ8)</f>
        <v>3219.57215957</v>
      </c>
      <c r="BS8" s="316">
        <f>12966.04997921-SUM(BP8:BR8)</f>
        <v>4259.27335382</v>
      </c>
      <c r="BT8" s="253">
        <f>4238.90975812</f>
        <v>4238.90975812</v>
      </c>
      <c r="BU8" s="253">
        <f t="shared" ref="BU8:CA8" si="10">(BU7-BU12)</f>
        <v>5899.64398803773</v>
      </c>
      <c r="BV8" s="253">
        <f t="shared" si="10"/>
        <v>7864.1977562747</v>
      </c>
      <c r="BW8" s="316">
        <f t="shared" si="10"/>
        <v>8647.01910381876</v>
      </c>
      <c r="BX8" s="253">
        <f t="shared" si="10"/>
        <v>8221.03849817105</v>
      </c>
      <c r="BY8" s="253">
        <f t="shared" si="10"/>
        <v>8701.55857827777</v>
      </c>
      <c r="BZ8" s="253">
        <f t="shared" si="10"/>
        <v>10874.8917543794</v>
      </c>
      <c r="CA8" s="316">
        <f t="shared" si="10"/>
        <v>10233.7463308368</v>
      </c>
      <c r="CB8" s="253">
        <f t="shared" ref="CB8:CE8" si="11">(CB7-CB12)</f>
        <v>8375.88737328321</v>
      </c>
      <c r="CC8" s="253">
        <f t="shared" si="11"/>
        <v>9755.0336664234</v>
      </c>
      <c r="CD8" s="253">
        <f t="shared" si="11"/>
        <v>13162.2463514232</v>
      </c>
      <c r="CE8" s="316">
        <f t="shared" si="11"/>
        <v>12326.3709006031</v>
      </c>
      <c r="CF8" s="253"/>
      <c r="CG8" s="384"/>
      <c r="CH8" s="253"/>
      <c r="CI8" s="253"/>
      <c r="CJ8" s="253"/>
      <c r="CK8" s="253"/>
      <c r="CL8" s="253"/>
      <c r="CM8" s="253"/>
      <c r="CN8" s="253"/>
      <c r="CO8" s="253"/>
      <c r="CP8" s="253"/>
      <c r="CQ8" s="253"/>
      <c r="CR8" s="253"/>
      <c r="CS8" s="253"/>
      <c r="CT8" s="253"/>
      <c r="CU8" s="255"/>
      <c r="CV8" s="255"/>
      <c r="CW8" s="255"/>
      <c r="CX8" s="255"/>
      <c r="CY8" s="255"/>
      <c r="CZ8" s="255"/>
      <c r="DA8" s="255"/>
      <c r="DB8" s="255"/>
      <c r="DC8" s="255"/>
      <c r="DD8" s="255"/>
      <c r="DE8" s="255"/>
      <c r="DF8" s="255"/>
      <c r="DG8" s="255"/>
      <c r="DH8" s="255"/>
      <c r="DI8" s="255"/>
      <c r="DJ8" s="255"/>
      <c r="DK8" s="255"/>
      <c r="DL8" s="255"/>
      <c r="DM8" s="255"/>
      <c r="DN8" s="255"/>
      <c r="DO8" s="255"/>
      <c r="DP8" s="255"/>
    </row>
    <row r="9" spans="1:120">
      <c r="A9" s="250"/>
      <c r="B9" s="254" t="s">
        <v>692</v>
      </c>
      <c r="C9" s="255"/>
      <c r="D9" s="255"/>
      <c r="E9" s="255"/>
      <c r="F9" s="255"/>
      <c r="G9" s="255"/>
      <c r="H9" s="255"/>
      <c r="I9" s="255"/>
      <c r="J9" s="255"/>
      <c r="K9" s="255"/>
      <c r="L9" s="255"/>
      <c r="M9" s="255"/>
      <c r="N9" s="255"/>
      <c r="O9" s="253"/>
      <c r="P9" s="253"/>
      <c r="Q9" s="253"/>
      <c r="R9" s="253"/>
      <c r="S9" s="253"/>
      <c r="T9" s="253"/>
      <c r="U9" s="253"/>
      <c r="V9" s="253"/>
      <c r="W9" s="303"/>
      <c r="X9" s="255"/>
      <c r="Y9" s="255"/>
      <c r="Z9" s="255"/>
      <c r="AA9" s="317"/>
      <c r="AB9" s="255"/>
      <c r="AC9" s="255"/>
      <c r="AD9" s="255"/>
      <c r="AE9" s="317"/>
      <c r="AF9" s="255"/>
      <c r="AG9" s="255"/>
      <c r="AH9" s="255"/>
      <c r="AI9" s="317"/>
      <c r="AJ9" s="255"/>
      <c r="AK9" s="255"/>
      <c r="AL9" s="255"/>
      <c r="AM9" s="317"/>
      <c r="AN9" s="255"/>
      <c r="AO9" s="255"/>
      <c r="AP9" s="255"/>
      <c r="AQ9" s="317"/>
      <c r="AR9" s="255"/>
      <c r="AS9" s="255"/>
      <c r="AT9" s="255"/>
      <c r="AU9" s="317"/>
      <c r="AV9" s="255"/>
      <c r="AW9" s="255"/>
      <c r="AX9" s="272"/>
      <c r="AY9" s="323"/>
      <c r="AZ9" s="272"/>
      <c r="BA9" s="272"/>
      <c r="BB9" s="272">
        <v>0</v>
      </c>
      <c r="BC9" s="323">
        <v>0</v>
      </c>
      <c r="BD9" s="272">
        <v>0</v>
      </c>
      <c r="BE9" s="272">
        <v>0</v>
      </c>
      <c r="BF9" s="272">
        <v>0</v>
      </c>
      <c r="BG9" s="323">
        <v>0</v>
      </c>
      <c r="BH9" s="357">
        <v>0</v>
      </c>
      <c r="BI9" s="272">
        <v>0</v>
      </c>
      <c r="BJ9" s="272">
        <v>0</v>
      </c>
      <c r="BK9" s="323">
        <v>0</v>
      </c>
      <c r="BL9" s="272">
        <v>0</v>
      </c>
      <c r="BM9" s="272"/>
      <c r="BN9" s="272"/>
      <c r="BO9" s="323"/>
      <c r="BR9">
        <v>0</v>
      </c>
      <c r="BS9" s="323">
        <v>0</v>
      </c>
      <c r="BT9">
        <v>0</v>
      </c>
      <c r="BU9" s="272">
        <v>0</v>
      </c>
      <c r="BV9" s="272">
        <v>0</v>
      </c>
      <c r="BW9" s="323">
        <v>0</v>
      </c>
      <c r="BX9" s="272">
        <v>0</v>
      </c>
      <c r="BY9" s="272">
        <v>0</v>
      </c>
      <c r="BZ9" s="272">
        <v>0</v>
      </c>
      <c r="CA9" s="323">
        <v>0</v>
      </c>
      <c r="CB9" s="272">
        <v>0</v>
      </c>
      <c r="CC9" s="272">
        <v>0</v>
      </c>
      <c r="CD9" s="272">
        <v>0</v>
      </c>
      <c r="CE9" s="323">
        <v>0</v>
      </c>
      <c r="CF9" s="272"/>
      <c r="CG9" s="272"/>
      <c r="CH9" s="253"/>
      <c r="CI9" s="253"/>
      <c r="CJ9" s="253"/>
      <c r="CK9" s="253"/>
      <c r="CL9" s="253"/>
      <c r="CM9" s="253"/>
      <c r="CN9" s="253"/>
      <c r="CO9" s="253"/>
      <c r="CP9" s="253"/>
      <c r="CQ9" s="253"/>
      <c r="CR9" s="253"/>
      <c r="CS9" s="253"/>
      <c r="CT9" s="253"/>
      <c r="CU9" s="255"/>
      <c r="CV9" s="255"/>
      <c r="CW9" s="255"/>
      <c r="CX9" s="255"/>
      <c r="CY9" s="255"/>
      <c r="CZ9" s="255"/>
      <c r="DA9" s="255"/>
      <c r="DB9" s="255"/>
      <c r="DC9" s="255"/>
      <c r="DD9" s="255"/>
      <c r="DE9" s="255"/>
      <c r="DF9" s="255"/>
      <c r="DG9" s="255"/>
      <c r="DH9" s="255"/>
      <c r="DI9" s="255"/>
      <c r="DJ9" s="255"/>
      <c r="DK9" s="255"/>
      <c r="DL9" s="255"/>
      <c r="DM9" s="255"/>
      <c r="DN9" s="255"/>
      <c r="DO9" s="255"/>
      <c r="DP9" s="255"/>
    </row>
    <row r="10" spans="1:120">
      <c r="A10" s="250"/>
      <c r="B10" s="251" t="s">
        <v>693</v>
      </c>
      <c r="C10" s="251"/>
      <c r="D10" s="251"/>
      <c r="E10" s="251">
        <f t="shared" ref="E10:V10" si="12">E8+E9</f>
        <v>213.53675789</v>
      </c>
      <c r="F10" s="251">
        <f t="shared" si="12"/>
        <v>234.62009193</v>
      </c>
      <c r="G10" s="251">
        <f t="shared" si="12"/>
        <v>330.78361892</v>
      </c>
      <c r="H10" s="251">
        <f t="shared" si="12"/>
        <v>363.06988665</v>
      </c>
      <c r="I10" s="251">
        <f t="shared" si="12"/>
        <v>446.55321688</v>
      </c>
      <c r="J10" s="251">
        <f t="shared" si="12"/>
        <v>525.65300142</v>
      </c>
      <c r="K10" s="251">
        <f t="shared" si="12"/>
        <v>666.78476179</v>
      </c>
      <c r="L10" s="251">
        <f t="shared" si="12"/>
        <v>611.69329119</v>
      </c>
      <c r="M10" s="251">
        <f t="shared" si="12"/>
        <v>760.44480471</v>
      </c>
      <c r="N10" s="251">
        <f t="shared" si="12"/>
        <v>1261.4844989</v>
      </c>
      <c r="O10" s="251">
        <f t="shared" si="12"/>
        <v>1972.70890067</v>
      </c>
      <c r="P10" s="251">
        <f t="shared" si="12"/>
        <v>2096.85854263</v>
      </c>
      <c r="Q10" s="251">
        <f t="shared" si="12"/>
        <v>2137.65637716</v>
      </c>
      <c r="R10" s="251">
        <f t="shared" si="12"/>
        <v>4780.19194172</v>
      </c>
      <c r="S10" s="251">
        <f t="shared" si="12"/>
        <v>12966.04997921</v>
      </c>
      <c r="T10" s="251">
        <f t="shared" si="12"/>
        <v>26649.7706062512</v>
      </c>
      <c r="U10" s="251">
        <f t="shared" si="12"/>
        <v>38031.235161665</v>
      </c>
      <c r="V10" s="251">
        <f t="shared" si="12"/>
        <v>43619.5382917329</v>
      </c>
      <c r="W10" s="303"/>
      <c r="X10" s="251">
        <f>X8+X9</f>
        <v>0</v>
      </c>
      <c r="Y10" s="251">
        <f t="shared" ref="Y10:BO10" si="13">Y8+Y9</f>
        <v>0</v>
      </c>
      <c r="Z10" s="251">
        <f t="shared" si="13"/>
        <v>0</v>
      </c>
      <c r="AA10" s="315">
        <f t="shared" si="13"/>
        <v>0</v>
      </c>
      <c r="AB10" s="251">
        <f t="shared" si="13"/>
        <v>101.06669567</v>
      </c>
      <c r="AC10" s="251">
        <f t="shared" si="13"/>
        <v>121.38812637</v>
      </c>
      <c r="AD10" s="251">
        <f t="shared" si="13"/>
        <v>103.18520839</v>
      </c>
      <c r="AE10" s="315">
        <f t="shared" si="13"/>
        <v>120.91318645</v>
      </c>
      <c r="AF10" s="251">
        <f t="shared" si="13"/>
        <v>110.12174565</v>
      </c>
      <c r="AG10" s="251">
        <f t="shared" si="13"/>
        <v>143.06902778</v>
      </c>
      <c r="AH10" s="251">
        <f t="shared" si="13"/>
        <v>117.13323979</v>
      </c>
      <c r="AI10" s="315">
        <f t="shared" si="13"/>
        <v>155.3289882</v>
      </c>
      <c r="AJ10" s="251">
        <f t="shared" si="13"/>
        <v>142.59411948</v>
      </c>
      <c r="AK10" s="251">
        <f t="shared" si="13"/>
        <v>178.48530379</v>
      </c>
      <c r="AL10" s="251">
        <f t="shared" si="13"/>
        <v>171.3163131</v>
      </c>
      <c r="AM10" s="315">
        <f t="shared" si="13"/>
        <v>174.38902542</v>
      </c>
      <c r="AN10" s="251">
        <f t="shared" si="13"/>
        <v>150.94580438</v>
      </c>
      <c r="AO10" s="251">
        <f t="shared" si="13"/>
        <v>136.60421844</v>
      </c>
      <c r="AP10" s="251">
        <f t="shared" si="13"/>
        <v>155.17414592</v>
      </c>
      <c r="AQ10" s="315">
        <f t="shared" si="13"/>
        <v>168.96912245</v>
      </c>
      <c r="AR10" s="251">
        <f t="shared" si="13"/>
        <v>157.55869661</v>
      </c>
      <c r="AS10" s="251">
        <f t="shared" si="13"/>
        <v>173.87351495</v>
      </c>
      <c r="AT10" s="251">
        <f t="shared" si="13"/>
        <v>187.61455064</v>
      </c>
      <c r="AU10" s="315">
        <f t="shared" si="13"/>
        <v>241.39804251</v>
      </c>
      <c r="AV10" s="251">
        <f t="shared" si="13"/>
        <v>174.83515983</v>
      </c>
      <c r="AW10" s="251">
        <f t="shared" si="13"/>
        <v>348.03935434</v>
      </c>
      <c r="AX10" s="251">
        <f t="shared" si="13"/>
        <v>367.81341488</v>
      </c>
      <c r="AY10" s="315">
        <f t="shared" si="13"/>
        <v>370.79656985</v>
      </c>
      <c r="AZ10" s="251">
        <f t="shared" si="13"/>
        <v>433.70045535</v>
      </c>
      <c r="BA10" s="251">
        <f t="shared" si="13"/>
        <v>534.2511115</v>
      </c>
      <c r="BB10" s="251">
        <f t="shared" si="13"/>
        <v>405.85493354</v>
      </c>
      <c r="BC10" s="349">
        <f t="shared" si="13"/>
        <v>598.90240028</v>
      </c>
      <c r="BD10" s="251">
        <f t="shared" si="13"/>
        <v>493.94298278</v>
      </c>
      <c r="BE10" s="358">
        <f t="shared" si="13"/>
        <v>485.96081021</v>
      </c>
      <c r="BF10" s="358">
        <f t="shared" si="13"/>
        <v>583.91813207</v>
      </c>
      <c r="BG10" s="349">
        <f t="shared" si="13"/>
        <v>533.03661757</v>
      </c>
      <c r="BH10" s="359">
        <f t="shared" si="13"/>
        <v>395.88122838</v>
      </c>
      <c r="BI10" s="358">
        <f t="shared" si="13"/>
        <v>525.06194765</v>
      </c>
      <c r="BJ10" s="358">
        <f t="shared" si="13"/>
        <v>577.71865905</v>
      </c>
      <c r="BK10" s="349">
        <f t="shared" si="13"/>
        <v>638.99454208</v>
      </c>
      <c r="BL10" s="358">
        <f t="shared" si="13"/>
        <v>645.40063395</v>
      </c>
      <c r="BM10" s="358">
        <f t="shared" si="13"/>
        <v>908.16531626</v>
      </c>
      <c r="BN10" s="358">
        <f t="shared" si="13"/>
        <v>1404.88348429</v>
      </c>
      <c r="BO10" s="349">
        <f t="shared" si="13"/>
        <v>1821.74250722</v>
      </c>
      <c r="BP10" s="358">
        <f>BP8+BP52</f>
        <v>2080.43929173</v>
      </c>
      <c r="BQ10" s="358">
        <f>BQ8+BQ52</f>
        <v>3406.76517409</v>
      </c>
      <c r="BR10" s="358">
        <f>BR8+BR9</f>
        <v>3219.57215957</v>
      </c>
      <c r="BS10" s="349">
        <f>BS8+BS9</f>
        <v>4259.27335382</v>
      </c>
      <c r="BT10" s="358">
        <f t="shared" ref="BT10:CA10" si="14">BT8+BT9</f>
        <v>4238.90975812</v>
      </c>
      <c r="BU10" s="358">
        <f t="shared" si="14"/>
        <v>5899.64398803773</v>
      </c>
      <c r="BV10" s="358">
        <f t="shared" si="14"/>
        <v>7864.1977562747</v>
      </c>
      <c r="BW10" s="349">
        <f t="shared" si="14"/>
        <v>8647.01910381876</v>
      </c>
      <c r="BX10" s="358">
        <f t="shared" si="14"/>
        <v>8221.03849817105</v>
      </c>
      <c r="BY10" s="358">
        <f t="shared" si="14"/>
        <v>8701.55857827777</v>
      </c>
      <c r="BZ10" s="358">
        <f t="shared" si="14"/>
        <v>10874.8917543794</v>
      </c>
      <c r="CA10" s="349">
        <f t="shared" si="14"/>
        <v>10233.7463308368</v>
      </c>
      <c r="CB10" s="358">
        <f t="shared" ref="CB10:CE10" si="15">CB8+CB9</f>
        <v>8375.88737328321</v>
      </c>
      <c r="CC10" s="358">
        <f t="shared" si="15"/>
        <v>9755.0336664234</v>
      </c>
      <c r="CD10" s="358">
        <f t="shared" si="15"/>
        <v>13162.2463514232</v>
      </c>
      <c r="CE10" s="349">
        <f t="shared" si="15"/>
        <v>12326.3709006031</v>
      </c>
      <c r="CF10" s="358"/>
      <c r="CG10" s="358"/>
      <c r="CH10" s="253"/>
      <c r="CI10" s="253"/>
      <c r="CJ10" s="253"/>
      <c r="CK10" s="253"/>
      <c r="CL10" s="253"/>
      <c r="CM10" s="253"/>
      <c r="CN10" s="253"/>
      <c r="CO10" s="253"/>
      <c r="CP10" s="253"/>
      <c r="CQ10" s="253"/>
      <c r="CR10" s="253"/>
      <c r="CS10" s="253"/>
      <c r="CT10" s="358"/>
      <c r="CU10" s="358"/>
      <c r="CV10" s="358"/>
      <c r="CW10" s="358"/>
      <c r="CX10" s="358"/>
      <c r="CY10" s="358"/>
      <c r="CZ10" s="358"/>
      <c r="DA10" s="358"/>
      <c r="DB10" s="358"/>
      <c r="DC10" s="358"/>
      <c r="DD10" s="358"/>
      <c r="DE10" s="358"/>
      <c r="DF10" s="358"/>
      <c r="DG10" s="358"/>
      <c r="DH10" s="358"/>
      <c r="DI10" s="358"/>
      <c r="DJ10" s="358"/>
      <c r="DK10" s="358"/>
      <c r="DL10" s="358"/>
      <c r="DM10" s="358"/>
      <c r="DN10" s="358"/>
      <c r="DO10" s="358"/>
      <c r="DP10" s="358"/>
    </row>
    <row r="11" spans="1:85">
      <c r="A11" s="250"/>
      <c r="B11" s="256"/>
      <c r="C11" s="253"/>
      <c r="D11" s="253"/>
      <c r="E11" s="253"/>
      <c r="F11" s="253"/>
      <c r="G11" s="253"/>
      <c r="H11" s="253"/>
      <c r="I11" s="253"/>
      <c r="J11" s="253"/>
      <c r="K11" s="253"/>
      <c r="L11" s="253"/>
      <c r="M11" s="253"/>
      <c r="N11" s="253"/>
      <c r="O11" s="292"/>
      <c r="P11" s="253"/>
      <c r="Q11" s="253"/>
      <c r="R11" s="253"/>
      <c r="S11" s="253"/>
      <c r="T11" s="253"/>
      <c r="U11" s="292"/>
      <c r="V11" s="292"/>
      <c r="W11" s="303"/>
      <c r="X11" s="253"/>
      <c r="Y11" s="253"/>
      <c r="Z11" s="253"/>
      <c r="AA11" s="316"/>
      <c r="AB11" s="253"/>
      <c r="AC11" s="253"/>
      <c r="AD11" s="253"/>
      <c r="AE11" s="316"/>
      <c r="AF11" s="253"/>
      <c r="AG11" s="253"/>
      <c r="AH11" s="253"/>
      <c r="AI11" s="316"/>
      <c r="AJ11" s="253"/>
      <c r="AK11" s="253"/>
      <c r="AL11" s="253"/>
      <c r="AM11" s="316"/>
      <c r="AN11" s="253"/>
      <c r="AO11" s="253"/>
      <c r="AP11" s="253"/>
      <c r="AQ11" s="316"/>
      <c r="AR11" s="253"/>
      <c r="AS11" s="253"/>
      <c r="AT11" s="253"/>
      <c r="AU11" s="316"/>
      <c r="AV11" s="253"/>
      <c r="AW11" s="253"/>
      <c r="AX11" s="251"/>
      <c r="AY11" s="315"/>
      <c r="AZ11" s="251"/>
      <c r="BA11" s="350"/>
      <c r="BB11" s="350"/>
      <c r="BC11" s="351"/>
      <c r="BD11" s="251"/>
      <c r="BE11" s="350"/>
      <c r="BF11" s="350"/>
      <c r="BG11" s="351"/>
      <c r="BH11" s="360"/>
      <c r="BI11" s="350"/>
      <c r="BJ11" s="371"/>
      <c r="BK11" s="372"/>
      <c r="BL11" s="371"/>
      <c r="BM11" s="371"/>
      <c r="BN11" s="371"/>
      <c r="BO11" s="372"/>
      <c r="BP11" s="371"/>
      <c r="BQ11" s="371"/>
      <c r="BR11" s="371"/>
      <c r="BS11" s="372"/>
      <c r="BT11" s="371"/>
      <c r="BU11" s="310"/>
      <c r="BV11" s="310"/>
      <c r="BW11" s="340"/>
      <c r="BX11" s="310"/>
      <c r="BY11" s="310"/>
      <c r="BZ11" s="310"/>
      <c r="CA11" s="340"/>
      <c r="CB11" s="310"/>
      <c r="CC11" s="310"/>
      <c r="CD11" s="310"/>
      <c r="CE11" s="340"/>
      <c r="CF11" s="310"/>
      <c r="CG11" s="310"/>
    </row>
    <row r="12" spans="1:120">
      <c r="A12" s="250"/>
      <c r="B12" s="257" t="s">
        <v>694</v>
      </c>
      <c r="C12" s="257"/>
      <c r="D12" s="257"/>
      <c r="E12" s="257">
        <f t="shared" ref="E12:V12" si="16">+E7-E10</f>
        <v>91.39166963</v>
      </c>
      <c r="F12" s="257">
        <f t="shared" si="16"/>
        <v>112.94797491</v>
      </c>
      <c r="G12" s="257">
        <f t="shared" si="16"/>
        <v>130.26537684</v>
      </c>
      <c r="H12" s="257">
        <f t="shared" si="16"/>
        <v>159.56438168</v>
      </c>
      <c r="I12" s="257">
        <f t="shared" si="16"/>
        <v>168.56635825</v>
      </c>
      <c r="J12" s="257">
        <f t="shared" si="16"/>
        <v>188.27864939</v>
      </c>
      <c r="K12" s="257">
        <f t="shared" si="16"/>
        <v>210.58059999</v>
      </c>
      <c r="L12" s="257">
        <f t="shared" si="16"/>
        <v>148.25699331</v>
      </c>
      <c r="M12" s="257">
        <f t="shared" si="16"/>
        <v>404.42887765</v>
      </c>
      <c r="N12" s="257">
        <f t="shared" si="16"/>
        <v>736.45324737</v>
      </c>
      <c r="O12" s="257">
        <f t="shared" si="16"/>
        <v>935.66716309</v>
      </c>
      <c r="P12" s="257">
        <f t="shared" si="16"/>
        <v>1213.7152479</v>
      </c>
      <c r="Q12" s="257">
        <f t="shared" si="16"/>
        <v>959.94937336</v>
      </c>
      <c r="R12" s="257">
        <f t="shared" si="16"/>
        <v>3866.6391926</v>
      </c>
      <c r="S12" s="257">
        <f t="shared" si="16"/>
        <v>11875.80486101</v>
      </c>
      <c r="T12" s="257">
        <f t="shared" si="16"/>
        <v>24806.7688916722</v>
      </c>
      <c r="U12" s="251">
        <f t="shared" si="16"/>
        <v>35879.3555252621</v>
      </c>
      <c r="V12" s="251">
        <f t="shared" si="16"/>
        <v>41355.837338452</v>
      </c>
      <c r="W12" s="303"/>
      <c r="X12" s="257">
        <f>+X7-X8</f>
        <v>0</v>
      </c>
      <c r="Y12" s="257">
        <f t="shared" ref="Y12:BT12" si="17">+Y7-Y8</f>
        <v>0</v>
      </c>
      <c r="Z12" s="257">
        <f t="shared" si="17"/>
        <v>0</v>
      </c>
      <c r="AA12" s="318">
        <f t="shared" si="17"/>
        <v>0</v>
      </c>
      <c r="AB12" s="257">
        <f t="shared" si="17"/>
        <v>40.19446045</v>
      </c>
      <c r="AC12" s="257">
        <f t="shared" si="17"/>
        <v>45.08691825</v>
      </c>
      <c r="AD12" s="257">
        <f t="shared" si="17"/>
        <v>39.01484101</v>
      </c>
      <c r="AE12" s="318">
        <f t="shared" si="17"/>
        <v>44.27013854</v>
      </c>
      <c r="AF12" s="257">
        <f t="shared" si="17"/>
        <v>36.19925702</v>
      </c>
      <c r="AG12" s="257">
        <f t="shared" si="17"/>
        <v>49.72260387</v>
      </c>
      <c r="AH12" s="257">
        <f t="shared" si="17"/>
        <v>53.38392993</v>
      </c>
      <c r="AI12" s="318">
        <f t="shared" si="17"/>
        <v>48.97285857</v>
      </c>
      <c r="AJ12" s="257">
        <f t="shared" si="17"/>
        <v>48.94159048</v>
      </c>
      <c r="AK12" s="257">
        <f t="shared" si="17"/>
        <v>60.69154782</v>
      </c>
      <c r="AL12" s="257">
        <f t="shared" si="17"/>
        <v>59.89527597</v>
      </c>
      <c r="AM12" s="318">
        <f t="shared" si="17"/>
        <v>41.05218572</v>
      </c>
      <c r="AN12" s="257">
        <f t="shared" si="17"/>
        <v>26.56312392</v>
      </c>
      <c r="AO12" s="257">
        <f t="shared" si="17"/>
        <v>21.96520973</v>
      </c>
      <c r="AP12" s="257">
        <f t="shared" si="17"/>
        <v>42.81242047</v>
      </c>
      <c r="AQ12" s="318">
        <f t="shared" si="17"/>
        <v>56.91623919</v>
      </c>
      <c r="AR12" s="257">
        <f t="shared" si="17"/>
        <v>66.32771853</v>
      </c>
      <c r="AS12" s="257">
        <f t="shared" si="17"/>
        <v>82.57982501</v>
      </c>
      <c r="AT12" s="257">
        <f t="shared" si="17"/>
        <v>103.29104302</v>
      </c>
      <c r="AU12" s="318">
        <f t="shared" si="17"/>
        <v>152.23029109</v>
      </c>
      <c r="AV12" s="257">
        <f t="shared" si="17"/>
        <v>95.19572614</v>
      </c>
      <c r="AW12" s="257">
        <f t="shared" si="17"/>
        <v>218.48139268</v>
      </c>
      <c r="AX12" s="257">
        <f t="shared" si="17"/>
        <v>233.09005241</v>
      </c>
      <c r="AY12" s="318">
        <f t="shared" si="17"/>
        <v>189.68607614</v>
      </c>
      <c r="AZ12" s="257">
        <f t="shared" si="17"/>
        <v>190.62670774</v>
      </c>
      <c r="BA12" s="257">
        <f t="shared" si="17"/>
        <v>282.62430107</v>
      </c>
      <c r="BB12" s="257">
        <f t="shared" si="17"/>
        <v>172.23341475</v>
      </c>
      <c r="BC12" s="318">
        <f t="shared" si="17"/>
        <v>290.18273953</v>
      </c>
      <c r="BD12" s="257">
        <f t="shared" si="17"/>
        <v>244.57032108</v>
      </c>
      <c r="BE12" s="257">
        <f t="shared" si="17"/>
        <v>254.37384205</v>
      </c>
      <c r="BF12" s="257">
        <f t="shared" si="17"/>
        <v>351.74102447</v>
      </c>
      <c r="BG12" s="318">
        <f t="shared" si="17"/>
        <v>363.0300603</v>
      </c>
      <c r="BH12" s="361">
        <f t="shared" si="17"/>
        <v>204.34166272</v>
      </c>
      <c r="BI12" s="257">
        <f t="shared" si="17"/>
        <v>179.39898627</v>
      </c>
      <c r="BJ12" s="257">
        <f t="shared" si="17"/>
        <v>204.64506775</v>
      </c>
      <c r="BK12" s="318">
        <f t="shared" si="17"/>
        <v>371.56365662</v>
      </c>
      <c r="BL12" s="257">
        <f t="shared" si="17"/>
        <v>467.45326054</v>
      </c>
      <c r="BM12" s="257">
        <f t="shared" si="17"/>
        <v>706.65556064</v>
      </c>
      <c r="BN12" s="257">
        <f t="shared" si="17"/>
        <v>997.87755284</v>
      </c>
      <c r="BO12" s="318">
        <f t="shared" si="17"/>
        <v>1694.65281858</v>
      </c>
      <c r="BP12" s="257">
        <f t="shared" si="17"/>
        <v>1971.81724664</v>
      </c>
      <c r="BQ12" s="257">
        <f t="shared" si="17"/>
        <v>2978.14855304</v>
      </c>
      <c r="BR12" s="257">
        <f t="shared" si="17"/>
        <v>2848.04878623</v>
      </c>
      <c r="BS12" s="257">
        <f t="shared" si="17"/>
        <v>4077.7902751</v>
      </c>
      <c r="BT12" s="257">
        <f t="shared" si="17"/>
        <v>4098.99228262</v>
      </c>
      <c r="BU12" s="257">
        <f>+Assumption!S354</f>
        <v>5383.60417007843</v>
      </c>
      <c r="BV12" s="257">
        <f>+Assumption!T354</f>
        <v>7299.72305243004</v>
      </c>
      <c r="BW12" s="318">
        <f>+Assumption!U354</f>
        <v>8024.44938654376</v>
      </c>
      <c r="BX12" s="257">
        <f>+Assumption!V354</f>
        <v>6951.04829239652</v>
      </c>
      <c r="BY12" s="257">
        <f>+Assumption!W354</f>
        <v>8098.72158598869</v>
      </c>
      <c r="BZ12" s="257">
        <f>+Assumption!X354</f>
        <v>10786.4286324662</v>
      </c>
      <c r="CA12" s="318">
        <f>+Assumption!Y354</f>
        <v>10043.1570144107</v>
      </c>
      <c r="CB12" s="257">
        <f>+Assumption!Z354</f>
        <v>6297.76087515738</v>
      </c>
      <c r="CC12" s="257">
        <f>+Assumption!AA354</f>
        <v>9394.9152943611</v>
      </c>
      <c r="CD12" s="257">
        <f>+Assumption!AB354</f>
        <v>13304.6534955131</v>
      </c>
      <c r="CE12" s="318">
        <f>+Assumption!AC354</f>
        <v>12358.5076734205</v>
      </c>
      <c r="CF12" s="251"/>
      <c r="CG12" s="251"/>
      <c r="CH12" s="253"/>
      <c r="CI12" s="253"/>
      <c r="CJ12" s="253"/>
      <c r="CK12" s="253"/>
      <c r="CL12" s="253"/>
      <c r="CM12" s="253"/>
      <c r="CN12" s="253"/>
      <c r="CO12" s="253"/>
      <c r="CP12" s="253"/>
      <c r="CQ12" s="253"/>
      <c r="CR12" s="253"/>
      <c r="CS12" s="253"/>
      <c r="CT12" s="358"/>
      <c r="CU12" s="358"/>
      <c r="CV12" s="358"/>
      <c r="CW12" s="358"/>
      <c r="CX12" s="358"/>
      <c r="CY12" s="358"/>
      <c r="CZ12" s="358"/>
      <c r="DA12" s="358"/>
      <c r="DB12" s="358"/>
      <c r="DC12" s="358"/>
      <c r="DD12" s="358"/>
      <c r="DE12" s="358"/>
      <c r="DF12" s="358"/>
      <c r="DG12" s="358"/>
      <c r="DH12" s="358"/>
      <c r="DI12" s="358"/>
      <c r="DJ12" s="358"/>
      <c r="DK12" s="358"/>
      <c r="DL12" s="358"/>
      <c r="DM12" s="358"/>
      <c r="DN12" s="358"/>
      <c r="DO12" s="358"/>
      <c r="DP12" s="358"/>
    </row>
    <row r="13" spans="1:120">
      <c r="A13" s="258"/>
      <c r="B13" s="259" t="s">
        <v>695</v>
      </c>
      <c r="C13" s="260"/>
      <c r="D13" s="260"/>
      <c r="E13" s="260">
        <f t="shared" ref="E13:V13" si="18">E12/E$7</f>
        <v>0.299715150775851</v>
      </c>
      <c r="F13" s="260">
        <f t="shared" si="18"/>
        <v>0.324966490555056</v>
      </c>
      <c r="G13" s="260">
        <f t="shared" si="18"/>
        <v>0.282541287450954</v>
      </c>
      <c r="H13" s="260">
        <f t="shared" si="18"/>
        <v>0.305307920565301</v>
      </c>
      <c r="I13" s="260">
        <f t="shared" si="18"/>
        <v>0.274038357849976</v>
      </c>
      <c r="J13" s="260">
        <f t="shared" si="18"/>
        <v>0.263720832626465</v>
      </c>
      <c r="K13" s="260">
        <f t="shared" si="18"/>
        <v>0.2400147181133</v>
      </c>
      <c r="L13" s="260">
        <f t="shared" si="18"/>
        <v>0.195087752888393</v>
      </c>
      <c r="M13" s="260">
        <f t="shared" si="18"/>
        <v>0.347186895690388</v>
      </c>
      <c r="N13" s="260">
        <f t="shared" si="18"/>
        <v>0.368606703960072</v>
      </c>
      <c r="O13" s="260">
        <f t="shared" si="18"/>
        <v>0.321714641634189</v>
      </c>
      <c r="P13" s="260">
        <f t="shared" si="18"/>
        <v>0.366617790357632</v>
      </c>
      <c r="Q13" s="260">
        <f t="shared" si="18"/>
        <v>0.30990043623171</v>
      </c>
      <c r="R13" s="260">
        <f t="shared" si="18"/>
        <v>0.44717413033001</v>
      </c>
      <c r="S13" s="260">
        <f t="shared" si="18"/>
        <v>0.478056285949412</v>
      </c>
      <c r="T13" s="260">
        <f t="shared" si="18"/>
        <v>0.482091666748661</v>
      </c>
      <c r="U13" s="260">
        <f t="shared" si="18"/>
        <v>0.485442684083544</v>
      </c>
      <c r="V13" s="260">
        <f t="shared" si="18"/>
        <v>0.486680253329314</v>
      </c>
      <c r="W13" s="303"/>
      <c r="X13" s="260"/>
      <c r="Y13" s="260"/>
      <c r="Z13" s="260"/>
      <c r="AA13" s="319"/>
      <c r="AB13" s="260">
        <f t="shared" ref="AB13:CA13" si="19">AB12/AB$7</f>
        <v>0.284540078490192</v>
      </c>
      <c r="AC13" s="260">
        <f t="shared" si="19"/>
        <v>0.270832894821662</v>
      </c>
      <c r="AD13" s="260">
        <f t="shared" si="19"/>
        <v>0.274365875220294</v>
      </c>
      <c r="AE13" s="319">
        <f t="shared" si="19"/>
        <v>0.268006098936924</v>
      </c>
      <c r="AF13" s="260">
        <f t="shared" si="19"/>
        <v>0.247396179355336</v>
      </c>
      <c r="AG13" s="260">
        <f t="shared" si="19"/>
        <v>0.257908517317121</v>
      </c>
      <c r="AH13" s="260">
        <f t="shared" si="19"/>
        <v>0.313070701429421</v>
      </c>
      <c r="AI13" s="319">
        <f t="shared" si="19"/>
        <v>0.239708349896283</v>
      </c>
      <c r="AJ13" s="260">
        <f t="shared" si="19"/>
        <v>0.2555220146166</v>
      </c>
      <c r="AK13" s="260">
        <f t="shared" si="19"/>
        <v>0.253751763230679</v>
      </c>
      <c r="AL13" s="260">
        <f t="shared" si="19"/>
        <v>0.259049627273945</v>
      </c>
      <c r="AM13" s="319">
        <f t="shared" si="19"/>
        <v>0.190549363804509</v>
      </c>
      <c r="AN13" s="260">
        <f t="shared" si="19"/>
        <v>0.14964387523712</v>
      </c>
      <c r="AO13" s="260">
        <f t="shared" si="19"/>
        <v>0.138521088103133</v>
      </c>
      <c r="AP13" s="260">
        <f t="shared" si="19"/>
        <v>0.216239016871815</v>
      </c>
      <c r="AQ13" s="319">
        <f t="shared" si="19"/>
        <v>0.251969577739655</v>
      </c>
      <c r="AR13" s="260">
        <f t="shared" si="19"/>
        <v>0.296256110441199</v>
      </c>
      <c r="AS13" s="260">
        <f t="shared" si="19"/>
        <v>0.322007212005429</v>
      </c>
      <c r="AT13" s="260">
        <f t="shared" si="19"/>
        <v>0.355067228926244</v>
      </c>
      <c r="AU13" s="319">
        <f t="shared" si="19"/>
        <v>0.38673611144236</v>
      </c>
      <c r="AV13" s="260">
        <f t="shared" si="19"/>
        <v>0.352536435963759</v>
      </c>
      <c r="AW13" s="260">
        <f t="shared" si="19"/>
        <v>0.385654706962192</v>
      </c>
      <c r="AX13" s="260">
        <f t="shared" si="19"/>
        <v>0.387899330089086</v>
      </c>
      <c r="AY13" s="319">
        <f t="shared" si="19"/>
        <v>0.338433451057081</v>
      </c>
      <c r="AZ13" s="260">
        <f t="shared" si="19"/>
        <v>0.305331433597292</v>
      </c>
      <c r="BA13" s="260">
        <f t="shared" si="19"/>
        <v>0.34598213720355</v>
      </c>
      <c r="BB13" s="260">
        <f t="shared" si="19"/>
        <v>0.297936146368407</v>
      </c>
      <c r="BC13" s="319">
        <f t="shared" si="19"/>
        <v>0.326383522271009</v>
      </c>
      <c r="BD13" s="260">
        <f t="shared" si="19"/>
        <v>0.331165762081333</v>
      </c>
      <c r="BE13" s="260">
        <f t="shared" si="19"/>
        <v>0.343593051160688</v>
      </c>
      <c r="BF13" s="260">
        <f t="shared" si="19"/>
        <v>0.375928586827187</v>
      </c>
      <c r="BG13" s="319">
        <f t="shared" si="19"/>
        <v>0.405137328801181</v>
      </c>
      <c r="BH13" s="362">
        <f t="shared" si="19"/>
        <v>0.340442968353827</v>
      </c>
      <c r="BI13" s="260">
        <f t="shared" si="19"/>
        <v>0.254661369611694</v>
      </c>
      <c r="BJ13" s="260">
        <f t="shared" si="19"/>
        <v>0.261572796309247</v>
      </c>
      <c r="BK13" s="319">
        <f t="shared" si="19"/>
        <v>0.367681601216027</v>
      </c>
      <c r="BL13" s="260">
        <f t="shared" si="19"/>
        <v>0.420049085378117</v>
      </c>
      <c r="BM13" s="260">
        <f t="shared" si="19"/>
        <v>0.437606158521172</v>
      </c>
      <c r="BN13" s="260">
        <f t="shared" si="19"/>
        <v>0.41530453400057</v>
      </c>
      <c r="BO13" s="319">
        <f t="shared" si="19"/>
        <v>0.481928981689354</v>
      </c>
      <c r="BP13" s="260">
        <f t="shared" si="19"/>
        <v>0.486597338537</v>
      </c>
      <c r="BQ13" s="260">
        <f t="shared" si="19"/>
        <v>0.466435206537813</v>
      </c>
      <c r="BR13" s="260">
        <f t="shared" si="19"/>
        <v>0.469384757497321</v>
      </c>
      <c r="BS13" s="319">
        <f t="shared" si="19"/>
        <v>0.489115887391668</v>
      </c>
      <c r="BT13" s="260">
        <f t="shared" si="19"/>
        <v>0.49160955149051</v>
      </c>
      <c r="BU13" s="260">
        <f t="shared" si="19"/>
        <v>0.477132479463012</v>
      </c>
      <c r="BV13" s="260">
        <f t="shared" si="19"/>
        <v>0.481387574131862</v>
      </c>
      <c r="BW13" s="319">
        <f t="shared" si="19"/>
        <v>0.481328287977904</v>
      </c>
      <c r="BX13" s="260">
        <f t="shared" si="19"/>
        <v>0.4581471480059</v>
      </c>
      <c r="BY13" s="260">
        <f t="shared" si="19"/>
        <v>0.482058722045264</v>
      </c>
      <c r="BZ13" s="260">
        <f t="shared" si="19"/>
        <v>0.497958039483895</v>
      </c>
      <c r="CA13" s="319">
        <f t="shared" si="19"/>
        <v>0.495300334740937</v>
      </c>
      <c r="CB13" s="260">
        <f t="shared" ref="CB13:CE13" si="20">CB12/CB$7</f>
        <v>0.429188485953155</v>
      </c>
      <c r="CC13" s="260">
        <f t="shared" si="20"/>
        <v>0.490597406478739</v>
      </c>
      <c r="CD13" s="260">
        <f t="shared" si="20"/>
        <v>0.50269028758399</v>
      </c>
      <c r="CE13" s="319">
        <f t="shared" si="20"/>
        <v>0.500650940467887</v>
      </c>
      <c r="CF13" s="260"/>
      <c r="CG13" s="260"/>
      <c r="CH13" s="260"/>
      <c r="CI13" s="260"/>
      <c r="CJ13" s="260"/>
      <c r="CK13" s="260"/>
      <c r="CL13" s="260"/>
      <c r="CM13" s="260"/>
      <c r="CN13" s="260"/>
      <c r="CO13" s="260"/>
      <c r="CP13" s="260"/>
      <c r="CQ13" s="260"/>
      <c r="CR13" s="260"/>
      <c r="CS13" s="260"/>
      <c r="CT13" s="260"/>
      <c r="CU13" s="260"/>
      <c r="CV13" s="260"/>
      <c r="CW13" s="260"/>
      <c r="CX13" s="260"/>
      <c r="CY13" s="260"/>
      <c r="CZ13" s="260"/>
      <c r="DA13" s="260"/>
      <c r="DB13" s="260"/>
      <c r="DC13" s="260"/>
      <c r="DD13" s="260"/>
      <c r="DE13" s="260"/>
      <c r="DF13" s="260"/>
      <c r="DG13" s="260"/>
      <c r="DH13" s="260"/>
      <c r="DI13" s="260"/>
      <c r="DJ13" s="260"/>
      <c r="DK13" s="260"/>
      <c r="DL13" s="260"/>
      <c r="DM13" s="260"/>
      <c r="DN13" s="260"/>
      <c r="DO13" s="260"/>
      <c r="DP13" s="260"/>
    </row>
    <row r="14" spans="1:85">
      <c r="A14" s="261"/>
      <c r="B14" s="29"/>
      <c r="C14" s="262"/>
      <c r="D14" s="262"/>
      <c r="E14" s="262"/>
      <c r="F14" s="262"/>
      <c r="G14" s="262"/>
      <c r="H14" s="262"/>
      <c r="I14" s="262"/>
      <c r="J14" s="262"/>
      <c r="K14" s="262"/>
      <c r="L14" s="262"/>
      <c r="M14" s="262"/>
      <c r="N14" s="262"/>
      <c r="O14" s="293"/>
      <c r="P14" s="293"/>
      <c r="Q14" s="293"/>
      <c r="R14" s="293"/>
      <c r="S14" s="293"/>
      <c r="T14" s="293"/>
      <c r="U14" s="293"/>
      <c r="V14" s="293"/>
      <c r="W14" s="303"/>
      <c r="X14" s="262"/>
      <c r="Y14" s="262"/>
      <c r="Z14" s="262"/>
      <c r="AA14" s="320"/>
      <c r="AB14" s="262"/>
      <c r="AC14" s="262"/>
      <c r="AD14" s="262"/>
      <c r="AE14" s="320"/>
      <c r="AF14" s="262"/>
      <c r="AG14" s="262"/>
      <c r="AH14" s="262"/>
      <c r="AI14" s="320"/>
      <c r="AJ14" s="262"/>
      <c r="AK14" s="262"/>
      <c r="AL14" s="262"/>
      <c r="AM14" s="320"/>
      <c r="AN14" s="262"/>
      <c r="AO14" s="262"/>
      <c r="AP14" s="262"/>
      <c r="AQ14" s="320"/>
      <c r="AR14" s="262"/>
      <c r="AS14" s="262"/>
      <c r="AT14" s="262"/>
      <c r="AU14" s="320"/>
      <c r="AV14" s="262"/>
      <c r="AW14" s="262"/>
      <c r="AX14" s="343"/>
      <c r="AY14" s="344"/>
      <c r="AZ14" s="343"/>
      <c r="BA14" s="343"/>
      <c r="BB14" s="343"/>
      <c r="BC14" s="344"/>
      <c r="BD14" s="343"/>
      <c r="BE14" s="363"/>
      <c r="BF14" s="343"/>
      <c r="BG14" s="344"/>
      <c r="BH14" s="364"/>
      <c r="BI14" s="343"/>
      <c r="BJ14" s="343"/>
      <c r="BK14" s="344"/>
      <c r="BL14" s="343"/>
      <c r="BM14" s="343"/>
      <c r="BN14" s="343"/>
      <c r="BO14" s="344"/>
      <c r="BP14" s="343"/>
      <c r="BQ14" s="343"/>
      <c r="BR14" s="343"/>
      <c r="BS14" s="344"/>
      <c r="BT14" s="343"/>
      <c r="BU14" s="343"/>
      <c r="BV14" s="343"/>
      <c r="BW14" s="344"/>
      <c r="BX14" s="343"/>
      <c r="BY14" s="343"/>
      <c r="BZ14" s="343"/>
      <c r="CA14" s="344"/>
      <c r="CB14" s="343"/>
      <c r="CC14" s="343"/>
      <c r="CD14" s="343"/>
      <c r="CE14" s="344"/>
      <c r="CF14" s="343"/>
      <c r="CG14" s="343"/>
    </row>
    <row r="15" spans="1:120">
      <c r="A15" s="251"/>
      <c r="B15" s="251" t="s">
        <v>696</v>
      </c>
      <c r="C15" s="263"/>
      <c r="D15" s="263"/>
      <c r="E15" s="263">
        <f t="shared" ref="E15:S15" si="21">E16+E17+E18+E19</f>
        <v>24.47879938</v>
      </c>
      <c r="F15" s="263">
        <f t="shared" si="21"/>
        <v>33.85115499</v>
      </c>
      <c r="G15" s="263">
        <f t="shared" si="21"/>
        <v>35.52674228</v>
      </c>
      <c r="H15" s="263">
        <f t="shared" si="21"/>
        <v>48.70521743</v>
      </c>
      <c r="I15" s="263">
        <f t="shared" si="21"/>
        <v>54.96952739</v>
      </c>
      <c r="J15" s="263">
        <f t="shared" si="21"/>
        <v>64.60484854</v>
      </c>
      <c r="K15" s="263">
        <f t="shared" si="21"/>
        <v>81.96715302</v>
      </c>
      <c r="L15" s="263">
        <f t="shared" si="21"/>
        <v>105.17150074</v>
      </c>
      <c r="M15" s="263">
        <f t="shared" si="21"/>
        <v>146.93803217</v>
      </c>
      <c r="N15" s="263">
        <f t="shared" si="21"/>
        <v>157.64489913</v>
      </c>
      <c r="O15" s="263">
        <f t="shared" si="21"/>
        <v>185.92525935</v>
      </c>
      <c r="P15" s="263">
        <f t="shared" si="21"/>
        <v>331.65327155</v>
      </c>
      <c r="Q15" s="263">
        <f t="shared" si="21"/>
        <v>264.3669032</v>
      </c>
      <c r="R15" s="263">
        <f t="shared" si="21"/>
        <v>741.56260963</v>
      </c>
      <c r="S15" s="263">
        <f t="shared" si="21"/>
        <v>1167.35152736</v>
      </c>
      <c r="T15" s="251">
        <f t="shared" ref="T15:U19" si="22">SUMIF($X$3:$CA$3,T$4,$X15:$CA15)</f>
        <v>1278.29963248776</v>
      </c>
      <c r="U15" s="251">
        <f t="shared" si="22"/>
        <v>1534.648479584</v>
      </c>
      <c r="V15" s="251">
        <f>SUMIF($X$3:$CE$3,V$4,$X15:$CE15)</f>
        <v>1872.91886768066</v>
      </c>
      <c r="W15" s="304"/>
      <c r="X15" s="263">
        <f>X16+X17+X18+X19</f>
        <v>0</v>
      </c>
      <c r="Y15" s="263">
        <f t="shared" ref="Y15:CA15" si="23">Y16+Y17+Y18+Y19</f>
        <v>0</v>
      </c>
      <c r="Z15" s="263">
        <f t="shared" si="23"/>
        <v>0</v>
      </c>
      <c r="AA15" s="321">
        <f t="shared" si="23"/>
        <v>0</v>
      </c>
      <c r="AB15" s="263">
        <f t="shared" si="23"/>
        <v>11.04636549</v>
      </c>
      <c r="AC15" s="263">
        <f t="shared" si="23"/>
        <v>14.39852596</v>
      </c>
      <c r="AD15" s="263">
        <f t="shared" si="23"/>
        <v>13.3699817</v>
      </c>
      <c r="AE15" s="321">
        <f t="shared" si="23"/>
        <v>16.15465424</v>
      </c>
      <c r="AF15" s="263">
        <f t="shared" si="23"/>
        <v>11.78740031</v>
      </c>
      <c r="AG15" s="263">
        <f t="shared" si="23"/>
        <v>15.6488726</v>
      </c>
      <c r="AH15" s="263">
        <f t="shared" si="23"/>
        <v>17.18137767</v>
      </c>
      <c r="AI15" s="321">
        <f t="shared" si="23"/>
        <v>19.98719796</v>
      </c>
      <c r="AJ15" s="263">
        <f t="shared" si="23"/>
        <v>16.0682913</v>
      </c>
      <c r="AK15" s="263">
        <f t="shared" si="23"/>
        <v>18.9073777</v>
      </c>
      <c r="AL15" s="263">
        <f t="shared" si="23"/>
        <v>17.43240302</v>
      </c>
      <c r="AM15" s="321">
        <f t="shared" si="23"/>
        <v>29.559081</v>
      </c>
      <c r="AN15" s="263">
        <f t="shared" si="23"/>
        <v>24.10825608</v>
      </c>
      <c r="AO15" s="263">
        <f t="shared" si="23"/>
        <v>31.83026334</v>
      </c>
      <c r="AP15" s="263">
        <f t="shared" si="23"/>
        <v>26.44265697</v>
      </c>
      <c r="AQ15" s="321">
        <f t="shared" si="23"/>
        <v>22.79032435</v>
      </c>
      <c r="AR15" s="263">
        <f t="shared" si="23"/>
        <v>23.56236244</v>
      </c>
      <c r="AS15" s="263">
        <f t="shared" si="23"/>
        <v>35.24059294</v>
      </c>
      <c r="AT15" s="263">
        <f t="shared" si="23"/>
        <v>39.32850977</v>
      </c>
      <c r="AU15" s="321">
        <f t="shared" si="23"/>
        <v>48.80656702</v>
      </c>
      <c r="AV15" s="263">
        <f t="shared" si="23"/>
        <v>26.9495845</v>
      </c>
      <c r="AW15" s="263">
        <f t="shared" si="23"/>
        <v>43.88042134</v>
      </c>
      <c r="AX15" s="263">
        <f t="shared" si="23"/>
        <v>45.89807944</v>
      </c>
      <c r="AY15" s="321">
        <f t="shared" si="23"/>
        <v>40.91681385</v>
      </c>
      <c r="AZ15" s="263">
        <f t="shared" si="23"/>
        <v>33.01693945</v>
      </c>
      <c r="BA15" s="263">
        <f t="shared" si="23"/>
        <v>36.81855223</v>
      </c>
      <c r="BB15" s="263">
        <f t="shared" si="23"/>
        <v>39.91722572</v>
      </c>
      <c r="BC15" s="321">
        <f t="shared" si="23"/>
        <v>76.17254195</v>
      </c>
      <c r="BD15" s="263">
        <f t="shared" si="23"/>
        <v>50.7997085</v>
      </c>
      <c r="BE15" s="263">
        <f t="shared" si="23"/>
        <v>77.96630882</v>
      </c>
      <c r="BF15" s="263">
        <f t="shared" si="23"/>
        <v>82.0381708</v>
      </c>
      <c r="BG15" s="321">
        <f t="shared" si="23"/>
        <v>120.84908343</v>
      </c>
      <c r="BH15" s="365">
        <f t="shared" si="23"/>
        <v>59.15081176</v>
      </c>
      <c r="BI15" s="263">
        <f t="shared" si="23"/>
        <v>62.19000098</v>
      </c>
      <c r="BJ15" s="263">
        <f t="shared" si="23"/>
        <v>75.78587217</v>
      </c>
      <c r="BK15" s="321">
        <f t="shared" si="23"/>
        <v>67.24021829</v>
      </c>
      <c r="BL15" s="263">
        <f t="shared" si="23"/>
        <v>104.53407567</v>
      </c>
      <c r="BM15" s="263">
        <f t="shared" si="23"/>
        <v>139.06828364</v>
      </c>
      <c r="BN15" s="263">
        <f t="shared" si="23"/>
        <v>132.00909705</v>
      </c>
      <c r="BO15" s="321">
        <f t="shared" si="23"/>
        <v>365.95115327</v>
      </c>
      <c r="BP15" s="263">
        <f t="shared" si="23"/>
        <v>218.87212523</v>
      </c>
      <c r="BQ15" s="263">
        <f t="shared" si="23"/>
        <v>337.37252301</v>
      </c>
      <c r="BR15" s="263">
        <f t="shared" si="23"/>
        <v>272.90846086</v>
      </c>
      <c r="BS15" s="321">
        <f t="shared" si="23"/>
        <v>338.19841826</v>
      </c>
      <c r="BT15" s="263">
        <f t="shared" si="23"/>
        <v>263.52459967</v>
      </c>
      <c r="BU15" s="263">
        <f t="shared" si="23"/>
        <v>278.280423120437</v>
      </c>
      <c r="BV15" s="263">
        <f t="shared" si="23"/>
        <v>298.583200132594</v>
      </c>
      <c r="BW15" s="321">
        <f t="shared" si="23"/>
        <v>437.911409564725</v>
      </c>
      <c r="BX15" s="263">
        <f t="shared" si="23"/>
        <v>311.565338826366</v>
      </c>
      <c r="BY15" s="263">
        <f t="shared" si="23"/>
        <v>340.331594302672</v>
      </c>
      <c r="BZ15" s="263">
        <f t="shared" si="23"/>
        <v>367.305579176959</v>
      </c>
      <c r="CA15" s="321">
        <f t="shared" si="23"/>
        <v>515.445967278</v>
      </c>
      <c r="CB15" s="263">
        <f t="shared" ref="CB15:CE15" si="24">CB16+CB17+CB18+CB19</f>
        <v>332.486752271345</v>
      </c>
      <c r="CC15" s="263">
        <f t="shared" si="24"/>
        <v>365.955176464164</v>
      </c>
      <c r="CD15" s="263">
        <f t="shared" si="24"/>
        <v>398.223796068002</v>
      </c>
      <c r="CE15" s="321">
        <f t="shared" si="24"/>
        <v>776.253142877148</v>
      </c>
      <c r="CF15" s="263"/>
      <c r="CG15" s="263"/>
      <c r="CH15" s="253"/>
      <c r="CI15" s="253"/>
      <c r="CJ15" s="253"/>
      <c r="CK15" s="253"/>
      <c r="CL15" s="253"/>
      <c r="CM15" s="253"/>
      <c r="CN15" s="253"/>
      <c r="CO15" s="253"/>
      <c r="CP15" s="253"/>
      <c r="CQ15" s="253"/>
      <c r="CR15" s="253"/>
      <c r="CS15" s="253"/>
      <c r="CT15" s="251"/>
      <c r="CU15" s="251"/>
      <c r="CV15" s="251"/>
      <c r="CW15" s="251"/>
      <c r="CX15" s="251"/>
      <c r="CY15" s="251"/>
      <c r="CZ15" s="251"/>
      <c r="DA15" s="251"/>
      <c r="DB15" s="251"/>
      <c r="DC15" s="251"/>
      <c r="DD15" s="251"/>
      <c r="DE15" s="251"/>
      <c r="DF15" s="251"/>
      <c r="DG15" s="251"/>
      <c r="DH15" s="251"/>
      <c r="DI15" s="251"/>
      <c r="DJ15" s="251"/>
      <c r="DK15" s="251"/>
      <c r="DL15" s="251"/>
      <c r="DM15" s="251"/>
      <c r="DN15" s="251"/>
      <c r="DO15" s="251"/>
      <c r="DP15" s="251"/>
    </row>
    <row r="16" spans="1:120">
      <c r="A16" s="250"/>
      <c r="B16" s="264" t="s">
        <v>697</v>
      </c>
      <c r="C16" s="253"/>
      <c r="D16" s="253"/>
      <c r="E16" s="253">
        <v>1.03098833</v>
      </c>
      <c r="F16" s="253">
        <v>3.14131193</v>
      </c>
      <c r="G16" s="253">
        <v>1.58324313</v>
      </c>
      <c r="H16" s="253">
        <v>2.79074126</v>
      </c>
      <c r="I16" s="253">
        <v>3.6306729</v>
      </c>
      <c r="J16" s="253">
        <v>3.02534889</v>
      </c>
      <c r="K16" s="253">
        <v>2.35474874</v>
      </c>
      <c r="L16" s="253">
        <v>7.46795425</v>
      </c>
      <c r="M16" s="253">
        <v>6.15212808</v>
      </c>
      <c r="N16" s="253">
        <v>7.66080408</v>
      </c>
      <c r="O16" s="253">
        <v>7.92120353</v>
      </c>
      <c r="P16" s="253">
        <f t="shared" ref="P16:S19" si="25">SUMIF($X$3:$BS$3,P$4,$X16:$BS16)</f>
        <v>7.38681552</v>
      </c>
      <c r="Q16" s="253">
        <f t="shared" si="25"/>
        <v>16.80748035</v>
      </c>
      <c r="R16" s="253">
        <f t="shared" si="25"/>
        <v>71.85721494</v>
      </c>
      <c r="S16" s="253">
        <f t="shared" si="25"/>
        <v>74.91117562</v>
      </c>
      <c r="T16" s="253">
        <f t="shared" si="22"/>
        <v>81.4861632746557</v>
      </c>
      <c r="U16" s="253">
        <f t="shared" si="22"/>
        <v>61.3692594672467</v>
      </c>
      <c r="V16" s="253">
        <f>SUMIF($X$3:$CE$3,V$4,$X16:$CE16)</f>
        <v>307.139282796397</v>
      </c>
      <c r="W16" s="303"/>
      <c r="X16" s="253">
        <v>0</v>
      </c>
      <c r="Y16" s="253">
        <v>0</v>
      </c>
      <c r="Z16" s="253">
        <v>0</v>
      </c>
      <c r="AA16" s="316">
        <v>0</v>
      </c>
      <c r="AB16" s="253">
        <v>1.53147915</v>
      </c>
      <c r="AC16" s="253">
        <v>1.12481046</v>
      </c>
      <c r="AD16" s="253">
        <v>0.11648197</v>
      </c>
      <c r="AE16" s="316">
        <v>0.85790132</v>
      </c>
      <c r="AF16" s="253">
        <v>0.70039975</v>
      </c>
      <c r="AG16" s="253">
        <v>0</v>
      </c>
      <c r="AH16" s="253">
        <v>0.91776698</v>
      </c>
      <c r="AI16" s="316">
        <v>1.40718216</v>
      </c>
      <c r="AJ16" s="332">
        <v>0.77571446</v>
      </c>
      <c r="AK16" s="332">
        <v>0.56946445</v>
      </c>
      <c r="AL16" s="332">
        <v>0.16460057</v>
      </c>
      <c r="AM16" s="334">
        <v>0.84496926</v>
      </c>
      <c r="AN16" s="253">
        <v>1.6107755</v>
      </c>
      <c r="AO16" s="253">
        <v>2.21727915</v>
      </c>
      <c r="AP16" s="253">
        <v>1.24191378</v>
      </c>
      <c r="AQ16" s="316">
        <v>2.39798582</v>
      </c>
      <c r="AR16" s="253">
        <v>1.07825308</v>
      </c>
      <c r="AS16" s="253">
        <v>1.84668572</v>
      </c>
      <c r="AT16" s="253">
        <v>1.41329131</v>
      </c>
      <c r="AU16" s="316">
        <v>1.81389797</v>
      </c>
      <c r="AV16" s="253">
        <v>0.92888749</v>
      </c>
      <c r="AW16" s="253">
        <v>2.05771461</v>
      </c>
      <c r="AX16" s="253">
        <v>2.14177005</v>
      </c>
      <c r="AY16" s="316">
        <v>2.53243193</v>
      </c>
      <c r="AZ16" s="253">
        <v>1.99150049</v>
      </c>
      <c r="BA16" s="253">
        <v>2.34947665</v>
      </c>
      <c r="BB16" s="253">
        <v>1.55921451</v>
      </c>
      <c r="BC16" s="316">
        <v>2.02101188</v>
      </c>
      <c r="BD16" s="253">
        <v>0.92598769</v>
      </c>
      <c r="BE16" s="253">
        <v>2.39078291</v>
      </c>
      <c r="BF16" s="253">
        <v>1.23088387</v>
      </c>
      <c r="BG16" s="316">
        <v>2.83916105</v>
      </c>
      <c r="BH16" s="356">
        <v>2.59804943</v>
      </c>
      <c r="BI16" s="253">
        <v>5.46071118</v>
      </c>
      <c r="BJ16" s="253">
        <v>6.03692734</v>
      </c>
      <c r="BK16" s="316">
        <v>2.7117924</v>
      </c>
      <c r="BL16" s="253">
        <v>2.30940552</v>
      </c>
      <c r="BM16" s="253">
        <v>4.53011549</v>
      </c>
      <c r="BN16" s="253">
        <v>3.06267426</v>
      </c>
      <c r="BO16" s="316">
        <v>61.95501967</v>
      </c>
      <c r="BP16" s="253">
        <v>3.36465966</v>
      </c>
      <c r="BQ16" s="253">
        <v>9.29384715</v>
      </c>
      <c r="BR16" s="253">
        <f>16.67433136-SUM(BP16:BQ16)</f>
        <v>4.01582455</v>
      </c>
      <c r="BS16" s="316">
        <f>74.91117562-SUM(BP16:BR16)</f>
        <v>58.23684426</v>
      </c>
      <c r="BT16" s="253">
        <f>45.68400251</f>
        <v>45.68400251</v>
      </c>
      <c r="BU16" s="253">
        <f t="shared" ref="BU16:CA16" si="26">BU$7*BU78</f>
        <v>9.36867879708665</v>
      </c>
      <c r="BV16" s="253">
        <f t="shared" si="26"/>
        <v>12.5908693463436</v>
      </c>
      <c r="BW16" s="316">
        <f t="shared" si="26"/>
        <v>13.8426126212254</v>
      </c>
      <c r="BX16" s="253">
        <f t="shared" si="26"/>
        <v>12.5976497042746</v>
      </c>
      <c r="BY16" s="253">
        <f t="shared" si="26"/>
        <v>13.9495672127765</v>
      </c>
      <c r="BZ16" s="253">
        <f t="shared" si="26"/>
        <v>17.985774147772</v>
      </c>
      <c r="CA16" s="316">
        <f t="shared" si="26"/>
        <v>16.8362684024236</v>
      </c>
      <c r="CB16" s="253">
        <f t="shared" ref="CB16:CE16" si="27">CB$7*CB78</f>
        <v>14.6736482484406</v>
      </c>
      <c r="CC16" s="253">
        <f t="shared" si="27"/>
        <v>19.1499489607845</v>
      </c>
      <c r="CD16" s="253">
        <f t="shared" si="27"/>
        <v>26.4668998469363</v>
      </c>
      <c r="CE16" s="316">
        <f t="shared" si="27"/>
        <v>246.848785740236</v>
      </c>
      <c r="CF16" s="253"/>
      <c r="CG16" s="384"/>
      <c r="CH16" s="253"/>
      <c r="CI16" s="253"/>
      <c r="CJ16" s="253"/>
      <c r="CK16" s="253"/>
      <c r="CL16" s="253"/>
      <c r="CM16" s="253"/>
      <c r="CN16" s="253"/>
      <c r="CO16" s="253"/>
      <c r="CP16" s="253"/>
      <c r="CQ16" s="253"/>
      <c r="CR16" s="253"/>
      <c r="CS16" s="253"/>
      <c r="CT16" s="253"/>
      <c r="CU16" s="253"/>
      <c r="CV16" s="253"/>
      <c r="CW16" s="253"/>
      <c r="CX16" s="253"/>
      <c r="CY16" s="253"/>
      <c r="CZ16" s="253"/>
      <c r="DA16" s="253"/>
      <c r="DB16" s="253"/>
      <c r="DC16" s="253"/>
      <c r="DD16" s="253"/>
      <c r="DE16" s="253"/>
      <c r="DF16" s="253"/>
      <c r="DG16" s="253"/>
      <c r="DH16" s="253"/>
      <c r="DI16" s="253"/>
      <c r="DJ16" s="253"/>
      <c r="DK16" s="253"/>
      <c r="DL16" s="253"/>
      <c r="DM16" s="253"/>
      <c r="DN16" s="253"/>
      <c r="DO16" s="253"/>
      <c r="DP16" s="253"/>
    </row>
    <row r="17" spans="1:120">
      <c r="A17" s="250"/>
      <c r="B17" s="264" t="s">
        <v>698</v>
      </c>
      <c r="C17" s="253"/>
      <c r="D17" s="253"/>
      <c r="E17" s="253">
        <v>4.58499084</v>
      </c>
      <c r="F17" s="253">
        <v>5.39151109</v>
      </c>
      <c r="G17" s="253">
        <v>6.95549557</v>
      </c>
      <c r="H17" s="253">
        <v>8.88690065</v>
      </c>
      <c r="I17" s="253">
        <v>9.37675607</v>
      </c>
      <c r="J17" s="253">
        <v>10.45975832</v>
      </c>
      <c r="K17" s="253">
        <v>13.32346714</v>
      </c>
      <c r="L17" s="253">
        <v>18.53402565</v>
      </c>
      <c r="M17" s="253">
        <v>25.77356518</v>
      </c>
      <c r="N17" s="253">
        <v>33.3379024</v>
      </c>
      <c r="O17" s="253">
        <v>35.69091042</v>
      </c>
      <c r="P17" s="253">
        <f t="shared" si="25"/>
        <v>52.50797612</v>
      </c>
      <c r="Q17" s="253">
        <f t="shared" si="25"/>
        <v>37.57197578</v>
      </c>
      <c r="R17" s="253">
        <f t="shared" si="25"/>
        <v>97.5195696</v>
      </c>
      <c r="S17" s="253">
        <f t="shared" si="25"/>
        <v>150.85483325</v>
      </c>
      <c r="T17" s="253">
        <f t="shared" si="22"/>
        <v>177.36131601125</v>
      </c>
      <c r="U17" s="253">
        <f t="shared" si="22"/>
        <v>205.124643453125</v>
      </c>
      <c r="V17" s="253">
        <f t="shared" ref="V17:V19" si="28">SUMIF($X$3:$CE$3,V$4,$X17:$CE17)</f>
        <v>232.346821721094</v>
      </c>
      <c r="W17" s="303"/>
      <c r="X17" s="253">
        <v>0</v>
      </c>
      <c r="Y17" s="253">
        <v>0</v>
      </c>
      <c r="Z17" s="253">
        <v>0</v>
      </c>
      <c r="AA17" s="316">
        <v>0</v>
      </c>
      <c r="AB17" s="253">
        <v>1.57837948</v>
      </c>
      <c r="AC17" s="253">
        <v>2.32415028</v>
      </c>
      <c r="AD17" s="253">
        <v>2.29193347</v>
      </c>
      <c r="AE17" s="316">
        <v>3.18229284</v>
      </c>
      <c r="AF17" s="253">
        <v>1.64154472</v>
      </c>
      <c r="AG17" s="253">
        <v>2.90332086</v>
      </c>
      <c r="AH17" s="253">
        <v>2.93794381</v>
      </c>
      <c r="AI17" s="316">
        <v>2.97694893</v>
      </c>
      <c r="AJ17" s="332">
        <v>2.7911682</v>
      </c>
      <c r="AK17" s="332">
        <v>2.61164579</v>
      </c>
      <c r="AL17" s="332">
        <v>2.72891705</v>
      </c>
      <c r="AM17" s="334">
        <v>5.1917361</v>
      </c>
      <c r="AN17" s="253">
        <v>3.4130193</v>
      </c>
      <c r="AO17" s="253">
        <v>4.33865444</v>
      </c>
      <c r="AP17" s="253">
        <v>3.80578286</v>
      </c>
      <c r="AQ17" s="316">
        <v>6.97656905</v>
      </c>
      <c r="AR17" s="253">
        <v>4.42092372</v>
      </c>
      <c r="AS17" s="253">
        <v>5.86298057</v>
      </c>
      <c r="AT17" s="253">
        <v>6.49671123</v>
      </c>
      <c r="AU17" s="316">
        <v>8.99294966</v>
      </c>
      <c r="AV17" s="253">
        <v>4.88755836</v>
      </c>
      <c r="AW17" s="253">
        <v>6.81803887</v>
      </c>
      <c r="AX17" s="253">
        <v>9.85000482</v>
      </c>
      <c r="AY17" s="316">
        <v>11.78230035</v>
      </c>
      <c r="AZ17" s="253">
        <v>6.55548159</v>
      </c>
      <c r="BA17" s="253">
        <v>11.5114207</v>
      </c>
      <c r="BB17" s="253">
        <v>9.1558312</v>
      </c>
      <c r="BC17" s="316">
        <v>8.46817693</v>
      </c>
      <c r="BD17" s="253">
        <v>6.4221203</v>
      </c>
      <c r="BE17" s="253">
        <v>14.14130639</v>
      </c>
      <c r="BF17" s="253">
        <v>14.57763827</v>
      </c>
      <c r="BG17" s="316">
        <v>17.36691116</v>
      </c>
      <c r="BH17" s="356">
        <v>7.53509681</v>
      </c>
      <c r="BI17" s="253">
        <v>9.49220947</v>
      </c>
      <c r="BJ17" s="253">
        <v>8.411287</v>
      </c>
      <c r="BK17" s="316">
        <v>12.1333825</v>
      </c>
      <c r="BL17" s="253">
        <v>20.4266914</v>
      </c>
      <c r="BM17" s="253">
        <v>19.06603749</v>
      </c>
      <c r="BN17" s="253">
        <v>23.14775986</v>
      </c>
      <c r="BO17" s="316">
        <v>34.87908085</v>
      </c>
      <c r="BP17" s="253">
        <v>37.83148917</v>
      </c>
      <c r="BQ17" s="253">
        <v>47.13314088</v>
      </c>
      <c r="BR17" s="253">
        <f>123.32511108-SUM(BP17:BQ17)</f>
        <v>38.36048103</v>
      </c>
      <c r="BS17" s="316">
        <f>150.85483325-SUM(BP17:BR17)</f>
        <v>27.52972217</v>
      </c>
      <c r="BT17" s="253">
        <f>35.61554813</f>
        <v>35.61554813</v>
      </c>
      <c r="BU17" s="253">
        <f>+Assumption!S382</f>
        <v>41.796828990625</v>
      </c>
      <c r="BV17" s="253">
        <f>+Assumption!T382</f>
        <v>45.431335859375</v>
      </c>
      <c r="BW17" s="316">
        <f>+Assumption!U382</f>
        <v>54.51760303125</v>
      </c>
      <c r="BX17" s="253">
        <f>+Assumption!V382</f>
        <v>38.9736822560938</v>
      </c>
      <c r="BY17" s="253">
        <f>+Assumption!W382</f>
        <v>41.024928690625</v>
      </c>
      <c r="BZ17" s="253">
        <f>+Assumption!X382</f>
        <v>51.2811608632813</v>
      </c>
      <c r="CA17" s="316">
        <f>+Assumption!Y382</f>
        <v>73.844871643125</v>
      </c>
      <c r="CB17" s="253">
        <f>+Assumption!Z382</f>
        <v>44.1458961270078</v>
      </c>
      <c r="CC17" s="253">
        <f>+Assumption!AA382</f>
        <v>46.4693643442188</v>
      </c>
      <c r="CD17" s="253">
        <f>+Assumption!AB382</f>
        <v>58.0867054302734</v>
      </c>
      <c r="CE17" s="316">
        <f>+Assumption!AC382</f>
        <v>83.6448558195938</v>
      </c>
      <c r="CF17" s="253"/>
      <c r="CG17" s="384"/>
      <c r="CH17" s="253"/>
      <c r="CI17" s="253"/>
      <c r="CJ17" s="253"/>
      <c r="CK17" s="253"/>
      <c r="CL17" s="253"/>
      <c r="CM17" s="253"/>
      <c r="CN17" s="253"/>
      <c r="CO17" s="253"/>
      <c r="CP17" s="253"/>
      <c r="CQ17" s="253"/>
      <c r="CR17" s="253"/>
      <c r="CS17" s="253"/>
      <c r="CT17" s="253"/>
      <c r="CU17" s="253"/>
      <c r="CV17" s="253"/>
      <c r="CW17" s="253"/>
      <c r="CX17" s="253"/>
      <c r="CY17" s="253"/>
      <c r="CZ17" s="253"/>
      <c r="DA17" s="253"/>
      <c r="DB17" s="253"/>
      <c r="DC17" s="253"/>
      <c r="DD17" s="253"/>
      <c r="DE17" s="253"/>
      <c r="DF17" s="253"/>
      <c r="DG17" s="253"/>
      <c r="DH17" s="253"/>
      <c r="DI17" s="253"/>
      <c r="DJ17" s="253"/>
      <c r="DK17" s="253"/>
      <c r="DL17" s="253"/>
      <c r="DM17" s="253"/>
      <c r="DN17" s="253"/>
      <c r="DO17" s="253"/>
      <c r="DP17" s="253"/>
    </row>
    <row r="18" spans="1:120">
      <c r="A18" s="250"/>
      <c r="B18" s="264" t="s">
        <v>699</v>
      </c>
      <c r="C18" s="253"/>
      <c r="D18" s="253"/>
      <c r="E18" s="253">
        <v>8.08821013796</v>
      </c>
      <c r="F18" s="253">
        <v>11.02581310144</v>
      </c>
      <c r="G18" s="253">
        <v>10.78634126177</v>
      </c>
      <c r="H18" s="253">
        <v>18.83861098</v>
      </c>
      <c r="I18" s="253">
        <v>18.54184553</v>
      </c>
      <c r="J18" s="253">
        <v>21.86359188</v>
      </c>
      <c r="K18" s="253">
        <v>21.367830616864</v>
      </c>
      <c r="L18" s="253">
        <v>26.50485115</v>
      </c>
      <c r="M18" s="253">
        <v>33.66914046</v>
      </c>
      <c r="N18" s="253">
        <v>31.56337272</v>
      </c>
      <c r="O18" s="253">
        <v>33.88891322</v>
      </c>
      <c r="P18" s="253">
        <f t="shared" si="25"/>
        <v>84.51711797</v>
      </c>
      <c r="Q18" s="253">
        <f t="shared" si="25"/>
        <v>76.21294552</v>
      </c>
      <c r="R18" s="253">
        <f t="shared" si="25"/>
        <v>169.01720149</v>
      </c>
      <c r="S18" s="253">
        <f t="shared" si="25"/>
        <v>239.44167025</v>
      </c>
      <c r="T18" s="253">
        <f t="shared" si="22"/>
        <v>289.14306753185</v>
      </c>
      <c r="U18" s="253">
        <f t="shared" si="22"/>
        <v>318.154576663625</v>
      </c>
      <c r="V18" s="253">
        <f t="shared" si="28"/>
        <v>349.032763163169</v>
      </c>
      <c r="W18" s="303"/>
      <c r="X18" s="253">
        <v>0</v>
      </c>
      <c r="Y18" s="253">
        <v>0</v>
      </c>
      <c r="Z18" s="253">
        <v>0</v>
      </c>
      <c r="AA18" s="316">
        <v>0</v>
      </c>
      <c r="AB18" s="253">
        <v>2.554456811828</v>
      </c>
      <c r="AC18" s="253">
        <v>4.606866019978</v>
      </c>
      <c r="AD18" s="253">
        <v>5.54374437786</v>
      </c>
      <c r="AE18" s="316">
        <v>5.820975397881</v>
      </c>
      <c r="AF18" s="253">
        <v>3.44629473053</v>
      </c>
      <c r="AG18" s="253">
        <v>4.84109484235</v>
      </c>
      <c r="AH18" s="253">
        <v>6.33446292148</v>
      </c>
      <c r="AI18" s="316">
        <v>7.22669115243</v>
      </c>
      <c r="AJ18" s="332">
        <v>2.694780290048</v>
      </c>
      <c r="AK18" s="332">
        <v>3.480412657568</v>
      </c>
      <c r="AL18" s="332">
        <v>2.700852039616</v>
      </c>
      <c r="AM18" s="334">
        <f>K18-SUM(AJ18:AL18)</f>
        <v>12.491785629632</v>
      </c>
      <c r="AN18" s="253">
        <v>6.78309254881</v>
      </c>
      <c r="AO18" s="253">
        <v>8.96362077119</v>
      </c>
      <c r="AP18" s="253">
        <v>8.08792612</v>
      </c>
      <c r="AQ18" s="316">
        <v>2.67021171</v>
      </c>
      <c r="AR18" s="253">
        <v>6.21102541</v>
      </c>
      <c r="AS18" s="253">
        <v>7.91464646</v>
      </c>
      <c r="AT18" s="253">
        <v>7.69462235</v>
      </c>
      <c r="AU18" s="316">
        <v>11.84884624</v>
      </c>
      <c r="AV18" s="253">
        <v>6.10768253</v>
      </c>
      <c r="AW18" s="253">
        <v>10.90987666</v>
      </c>
      <c r="AX18" s="253">
        <v>7.99600881</v>
      </c>
      <c r="AY18" s="316">
        <v>6.54980472</v>
      </c>
      <c r="AZ18" s="253">
        <v>6.74332619</v>
      </c>
      <c r="BA18" s="253">
        <v>7.43461592</v>
      </c>
      <c r="BB18" s="253">
        <v>7.54050496</v>
      </c>
      <c r="BC18" s="316">
        <v>12.17046615</v>
      </c>
      <c r="BD18" s="253">
        <v>6.62486053</v>
      </c>
      <c r="BE18" s="253">
        <v>33.07101883</v>
      </c>
      <c r="BF18" s="253">
        <v>19.9835685</v>
      </c>
      <c r="BG18" s="316">
        <v>24.83767011</v>
      </c>
      <c r="BH18" s="356">
        <v>17.43972928</v>
      </c>
      <c r="BI18" s="253">
        <v>18.00179024</v>
      </c>
      <c r="BJ18" s="253">
        <v>21.86766117</v>
      </c>
      <c r="BK18" s="316">
        <v>18.90376483</v>
      </c>
      <c r="BL18" s="253">
        <v>28.60884844</v>
      </c>
      <c r="BM18" s="253">
        <v>39.09153447</v>
      </c>
      <c r="BN18" s="253">
        <v>34.51227477</v>
      </c>
      <c r="BO18" s="316">
        <v>66.80454381</v>
      </c>
      <c r="BP18" s="253">
        <v>59.79065951</v>
      </c>
      <c r="BQ18" s="253">
        <v>65.11523233</v>
      </c>
      <c r="BR18" s="253">
        <f>187.87912994-SUM(BP18:BQ18)</f>
        <v>62.9732381</v>
      </c>
      <c r="BS18" s="316">
        <f>239.44167025-SUM(BP18:BR18)</f>
        <v>51.56254031</v>
      </c>
      <c r="BT18" s="253">
        <f>62.31596336</f>
        <v>62.31596336</v>
      </c>
      <c r="BU18" s="253">
        <f>+Assumption!S383</f>
        <v>66.884915332725</v>
      </c>
      <c r="BV18" s="253">
        <f>+Assumption!T383</f>
        <v>72.700994926875</v>
      </c>
      <c r="BW18" s="316">
        <f>+Assumption!U383</f>
        <v>87.24119391225</v>
      </c>
      <c r="BX18" s="253">
        <f>+Assumption!V383</f>
        <v>69.9940068659975</v>
      </c>
      <c r="BY18" s="253">
        <f>+Assumption!W383</f>
        <v>76.35709839927</v>
      </c>
      <c r="BZ18" s="253">
        <f>+Assumption!X383</f>
        <v>79.5386441659062</v>
      </c>
      <c r="CA18" s="316">
        <f>+Assumption!Y383</f>
        <v>92.2648272324512</v>
      </c>
      <c r="CB18" s="253">
        <f>+Assumption!Z383</f>
        <v>76.7872078958971</v>
      </c>
      <c r="CC18" s="253">
        <f>+Assumption!AA383</f>
        <v>83.7678631591605</v>
      </c>
      <c r="CD18" s="253">
        <f>+Assumption!AB383</f>
        <v>87.2581907907922</v>
      </c>
      <c r="CE18" s="316">
        <f>+Assumption!AC383</f>
        <v>101.219501317319</v>
      </c>
      <c r="CF18" s="253"/>
      <c r="CG18" s="384"/>
      <c r="CH18" s="253"/>
      <c r="CI18" s="253"/>
      <c r="CJ18" s="253"/>
      <c r="CK18" s="253"/>
      <c r="CL18" s="253"/>
      <c r="CM18" s="253"/>
      <c r="CN18" s="253"/>
      <c r="CO18" s="253"/>
      <c r="CP18" s="253"/>
      <c r="CQ18" s="253"/>
      <c r="CR18" s="253"/>
      <c r="CS18" s="253"/>
      <c r="CT18" s="253"/>
      <c r="CU18" s="253"/>
      <c r="CV18" s="253"/>
      <c r="CW18" s="253"/>
      <c r="CX18" s="253"/>
      <c r="CY18" s="253"/>
      <c r="CZ18" s="253"/>
      <c r="DA18" s="253"/>
      <c r="DB18" s="253"/>
      <c r="DC18" s="253"/>
      <c r="DD18" s="253"/>
      <c r="DE18" s="253"/>
      <c r="DF18" s="253"/>
      <c r="DG18" s="253"/>
      <c r="DH18" s="253"/>
      <c r="DI18" s="253"/>
      <c r="DJ18" s="253"/>
      <c r="DK18" s="253"/>
      <c r="DL18" s="253"/>
      <c r="DM18" s="253"/>
      <c r="DN18" s="253"/>
      <c r="DO18" s="253"/>
      <c r="DP18" s="253"/>
    </row>
    <row r="19" spans="1:120">
      <c r="A19" s="250"/>
      <c r="B19" s="264" t="s">
        <v>700</v>
      </c>
      <c r="C19" s="253"/>
      <c r="D19" s="253"/>
      <c r="E19" s="253">
        <v>10.77461007204</v>
      </c>
      <c r="F19" s="253">
        <v>14.29251886856</v>
      </c>
      <c r="G19" s="253">
        <v>16.20166231823</v>
      </c>
      <c r="H19" s="253">
        <v>18.18896454</v>
      </c>
      <c r="I19" s="253">
        <v>23.42025289</v>
      </c>
      <c r="J19" s="253">
        <v>29.25614945</v>
      </c>
      <c r="K19" s="253">
        <f>SUM(AJ19:AM19)</f>
        <v>44.921106523136</v>
      </c>
      <c r="L19" s="253">
        <v>52.66466969</v>
      </c>
      <c r="M19" s="253">
        <v>81.34319845</v>
      </c>
      <c r="N19" s="253">
        <v>85.08281993</v>
      </c>
      <c r="O19" s="253">
        <v>108.42423218</v>
      </c>
      <c r="P19" s="253">
        <f t="shared" si="25"/>
        <v>187.24136194</v>
      </c>
      <c r="Q19" s="253">
        <f t="shared" si="25"/>
        <v>133.77450155</v>
      </c>
      <c r="R19" s="253">
        <f t="shared" si="25"/>
        <v>403.1686236</v>
      </c>
      <c r="S19" s="253">
        <f t="shared" si="25"/>
        <v>702.14384824</v>
      </c>
      <c r="T19" s="253">
        <f t="shared" si="22"/>
        <v>730.30908567</v>
      </c>
      <c r="U19" s="253">
        <f t="shared" si="22"/>
        <v>950</v>
      </c>
      <c r="V19" s="253">
        <f t="shared" si="28"/>
        <v>984.4</v>
      </c>
      <c r="W19" s="303"/>
      <c r="X19" s="253">
        <v>0</v>
      </c>
      <c r="Y19" s="253">
        <v>0</v>
      </c>
      <c r="Z19" s="253">
        <v>0</v>
      </c>
      <c r="AA19" s="316">
        <v>0</v>
      </c>
      <c r="AB19" s="253">
        <v>5.382050048172</v>
      </c>
      <c r="AC19" s="253">
        <v>6.342699200022</v>
      </c>
      <c r="AD19" s="253">
        <v>5.41782188214</v>
      </c>
      <c r="AE19" s="316">
        <v>6.293484682119</v>
      </c>
      <c r="AF19" s="253">
        <v>5.99916110947</v>
      </c>
      <c r="AG19" s="253">
        <v>7.90445689765</v>
      </c>
      <c r="AH19" s="253">
        <v>6.99120395852</v>
      </c>
      <c r="AI19" s="316">
        <v>8.37637571757</v>
      </c>
      <c r="AJ19" s="332">
        <v>9.806628349952</v>
      </c>
      <c r="AK19" s="332">
        <v>12.245854802432</v>
      </c>
      <c r="AL19" s="332">
        <v>11.838033360384</v>
      </c>
      <c r="AM19" s="334">
        <v>11.030590010368</v>
      </c>
      <c r="AN19" s="253">
        <v>12.30136873119</v>
      </c>
      <c r="AO19" s="253">
        <v>16.31070897881</v>
      </c>
      <c r="AP19" s="253">
        <v>13.30703421</v>
      </c>
      <c r="AQ19" s="316">
        <v>10.74555777</v>
      </c>
      <c r="AR19" s="253">
        <v>11.85216023</v>
      </c>
      <c r="AS19" s="253">
        <v>19.61628019</v>
      </c>
      <c r="AT19" s="253">
        <v>23.72388488</v>
      </c>
      <c r="AU19" s="316">
        <v>26.15087315</v>
      </c>
      <c r="AV19" s="253">
        <v>15.02545612</v>
      </c>
      <c r="AW19" s="253">
        <v>24.0947912</v>
      </c>
      <c r="AX19" s="253">
        <v>25.91029576</v>
      </c>
      <c r="AY19" s="316">
        <v>20.05227685</v>
      </c>
      <c r="AZ19" s="253">
        <v>17.72663118</v>
      </c>
      <c r="BA19" s="253">
        <v>15.52303896</v>
      </c>
      <c r="BB19" s="253">
        <v>21.66167505</v>
      </c>
      <c r="BC19" s="316">
        <v>53.51288699</v>
      </c>
      <c r="BD19" s="253">
        <v>36.82673998</v>
      </c>
      <c r="BE19" s="253">
        <v>28.36320069</v>
      </c>
      <c r="BF19" s="253">
        <v>46.24608016</v>
      </c>
      <c r="BG19" s="316">
        <v>75.80534111</v>
      </c>
      <c r="BH19" s="356">
        <v>31.57793624</v>
      </c>
      <c r="BI19" s="253">
        <v>29.23529009</v>
      </c>
      <c r="BJ19" s="253">
        <v>39.46999666</v>
      </c>
      <c r="BK19" s="316">
        <v>33.49127856</v>
      </c>
      <c r="BL19" s="253">
        <v>53.18913031</v>
      </c>
      <c r="BM19" s="253">
        <v>76.38059619</v>
      </c>
      <c r="BN19" s="253">
        <v>71.28638816</v>
      </c>
      <c r="BO19" s="316">
        <v>202.31250894</v>
      </c>
      <c r="BP19" s="253">
        <v>117.88531689</v>
      </c>
      <c r="BQ19" s="253">
        <v>215.83030265</v>
      </c>
      <c r="BR19" s="253">
        <f>501.27453672-SUM(BP19:BQ19)</f>
        <v>167.55891718</v>
      </c>
      <c r="BS19" s="316">
        <f>702.14384824-SUM(BP19:BR19)</f>
        <v>200.86931152</v>
      </c>
      <c r="BT19" s="253">
        <f>119.90908567</f>
        <v>119.90908567</v>
      </c>
      <c r="BU19" s="253">
        <f>+Assumption!S384</f>
        <v>160.23</v>
      </c>
      <c r="BV19" s="253">
        <f>+Assumption!T384</f>
        <v>167.86</v>
      </c>
      <c r="BW19" s="316">
        <f>+Assumption!U384</f>
        <v>282.31</v>
      </c>
      <c r="BX19" s="253">
        <f>+Assumption!V384</f>
        <v>190</v>
      </c>
      <c r="BY19" s="253">
        <f>+Assumption!W384</f>
        <v>209</v>
      </c>
      <c r="BZ19" s="253">
        <f>+Assumption!X384</f>
        <v>218.5</v>
      </c>
      <c r="CA19" s="316">
        <f>+Assumption!Y384</f>
        <v>332.5</v>
      </c>
      <c r="CB19" s="253">
        <f>+Assumption!Z384</f>
        <v>196.88</v>
      </c>
      <c r="CC19" s="253">
        <f>+Assumption!AA384</f>
        <v>216.568</v>
      </c>
      <c r="CD19" s="253">
        <f>+Assumption!AB384</f>
        <v>226.412</v>
      </c>
      <c r="CE19" s="316">
        <f>+Assumption!AC384</f>
        <v>344.54</v>
      </c>
      <c r="CF19" s="253"/>
      <c r="CG19" s="384"/>
      <c r="CH19" s="253"/>
      <c r="CI19" s="253"/>
      <c r="CJ19" s="253"/>
      <c r="CK19" s="253"/>
      <c r="CL19" s="253"/>
      <c r="CM19" s="253"/>
      <c r="CN19" s="253"/>
      <c r="CO19" s="253"/>
      <c r="CP19" s="253"/>
      <c r="CQ19" s="253"/>
      <c r="CR19" s="253"/>
      <c r="CS19" s="253"/>
      <c r="CT19" s="253"/>
      <c r="CU19" s="255"/>
      <c r="CV19" s="255"/>
      <c r="CW19" s="255"/>
      <c r="CX19" s="255"/>
      <c r="CY19" s="255"/>
      <c r="CZ19" s="255"/>
      <c r="DA19" s="255"/>
      <c r="DB19" s="255"/>
      <c r="DC19" s="255"/>
      <c r="DD19" s="255"/>
      <c r="DE19" s="255"/>
      <c r="DF19" s="255"/>
      <c r="DG19" s="255"/>
      <c r="DH19" s="255"/>
      <c r="DI19" s="255"/>
      <c r="DJ19" s="255"/>
      <c r="DK19" s="255"/>
      <c r="DL19" s="255"/>
      <c r="DM19" s="255"/>
      <c r="DN19" s="255"/>
      <c r="DO19" s="255"/>
      <c r="DP19" s="255"/>
    </row>
    <row r="20" spans="1:120">
      <c r="A20" s="265"/>
      <c r="B20" s="266" t="s">
        <v>701</v>
      </c>
      <c r="C20" s="257"/>
      <c r="D20" s="257"/>
      <c r="E20" s="257">
        <f t="shared" ref="E20:V20" si="29">+E12-E15</f>
        <v>66.91287025</v>
      </c>
      <c r="F20" s="257">
        <f t="shared" si="29"/>
        <v>79.09681992</v>
      </c>
      <c r="G20" s="257">
        <f t="shared" si="29"/>
        <v>94.7386345599999</v>
      </c>
      <c r="H20" s="257">
        <f t="shared" si="29"/>
        <v>110.85916425</v>
      </c>
      <c r="I20" s="257">
        <f t="shared" si="29"/>
        <v>113.59683086</v>
      </c>
      <c r="J20" s="257">
        <f t="shared" si="29"/>
        <v>123.67380085</v>
      </c>
      <c r="K20" s="257">
        <f t="shared" si="29"/>
        <v>128.61344697</v>
      </c>
      <c r="L20" s="257">
        <f t="shared" si="29"/>
        <v>43.0854925699999</v>
      </c>
      <c r="M20" s="257">
        <f t="shared" si="29"/>
        <v>257.49084548</v>
      </c>
      <c r="N20" s="257">
        <f t="shared" si="29"/>
        <v>578.80834824</v>
      </c>
      <c r="O20" s="257">
        <f t="shared" si="29"/>
        <v>749.74190374</v>
      </c>
      <c r="P20" s="257">
        <f t="shared" si="29"/>
        <v>882.06197635</v>
      </c>
      <c r="Q20" s="257">
        <f t="shared" si="29"/>
        <v>695.58247016</v>
      </c>
      <c r="R20" s="257">
        <f t="shared" si="29"/>
        <v>3125.07658297</v>
      </c>
      <c r="S20" s="257">
        <f t="shared" si="29"/>
        <v>10708.45333365</v>
      </c>
      <c r="T20" s="257">
        <f t="shared" si="29"/>
        <v>23528.4692591845</v>
      </c>
      <c r="U20" s="257">
        <f t="shared" si="29"/>
        <v>34344.7070456781</v>
      </c>
      <c r="V20" s="257">
        <f t="shared" si="29"/>
        <v>39482.9184707714</v>
      </c>
      <c r="W20" s="303"/>
      <c r="X20" s="257">
        <f t="shared" ref="X20:CA20" si="30">X12-X15</f>
        <v>0</v>
      </c>
      <c r="Y20" s="257">
        <f t="shared" si="30"/>
        <v>0</v>
      </c>
      <c r="Z20" s="257">
        <f t="shared" si="30"/>
        <v>0</v>
      </c>
      <c r="AA20" s="318">
        <f t="shared" si="30"/>
        <v>0</v>
      </c>
      <c r="AB20" s="257">
        <f t="shared" si="30"/>
        <v>29.14809496</v>
      </c>
      <c r="AC20" s="257">
        <f t="shared" si="30"/>
        <v>30.68839229</v>
      </c>
      <c r="AD20" s="257">
        <f t="shared" si="30"/>
        <v>25.64485931</v>
      </c>
      <c r="AE20" s="318">
        <f t="shared" si="30"/>
        <v>28.1154843</v>
      </c>
      <c r="AF20" s="257">
        <f t="shared" si="30"/>
        <v>24.41185671</v>
      </c>
      <c r="AG20" s="257">
        <f t="shared" si="30"/>
        <v>34.07373127</v>
      </c>
      <c r="AH20" s="257">
        <f t="shared" si="30"/>
        <v>36.20255226</v>
      </c>
      <c r="AI20" s="318">
        <f t="shared" si="30"/>
        <v>28.98566061</v>
      </c>
      <c r="AJ20" s="333">
        <f t="shared" si="30"/>
        <v>32.87329918</v>
      </c>
      <c r="AK20" s="333">
        <f t="shared" si="30"/>
        <v>41.78417012</v>
      </c>
      <c r="AL20" s="333">
        <f t="shared" si="30"/>
        <v>42.46287295</v>
      </c>
      <c r="AM20" s="335">
        <f t="shared" si="30"/>
        <v>11.49310472</v>
      </c>
      <c r="AN20" s="257">
        <f t="shared" si="30"/>
        <v>2.45486784000001</v>
      </c>
      <c r="AO20" s="257">
        <f t="shared" si="30"/>
        <v>-9.86505361000003</v>
      </c>
      <c r="AP20" s="257">
        <f t="shared" si="30"/>
        <v>16.3697635</v>
      </c>
      <c r="AQ20" s="318">
        <f t="shared" si="30"/>
        <v>34.12591484</v>
      </c>
      <c r="AR20" s="257">
        <f t="shared" si="30"/>
        <v>42.76535609</v>
      </c>
      <c r="AS20" s="257">
        <f t="shared" si="30"/>
        <v>47.33923207</v>
      </c>
      <c r="AT20" s="257">
        <f t="shared" si="30"/>
        <v>63.96253325</v>
      </c>
      <c r="AU20" s="318">
        <f t="shared" si="30"/>
        <v>103.42372407</v>
      </c>
      <c r="AV20" s="257">
        <f t="shared" si="30"/>
        <v>68.24614164</v>
      </c>
      <c r="AW20" s="257">
        <f t="shared" si="30"/>
        <v>174.60097134</v>
      </c>
      <c r="AX20" s="257">
        <f t="shared" si="30"/>
        <v>187.19197297</v>
      </c>
      <c r="AY20" s="318">
        <f t="shared" si="30"/>
        <v>148.76926229</v>
      </c>
      <c r="AZ20" s="257">
        <f t="shared" si="30"/>
        <v>157.60976829</v>
      </c>
      <c r="BA20" s="257">
        <f t="shared" si="30"/>
        <v>245.80574884</v>
      </c>
      <c r="BB20" s="257">
        <f t="shared" si="30"/>
        <v>132.31618903</v>
      </c>
      <c r="BC20" s="318">
        <f t="shared" si="30"/>
        <v>214.01019758</v>
      </c>
      <c r="BD20" s="257">
        <f t="shared" si="30"/>
        <v>193.77061258</v>
      </c>
      <c r="BE20" s="257">
        <f t="shared" si="30"/>
        <v>176.40753323</v>
      </c>
      <c r="BF20" s="257">
        <f t="shared" si="30"/>
        <v>269.70285367</v>
      </c>
      <c r="BG20" s="318">
        <f t="shared" si="30"/>
        <v>242.18097687</v>
      </c>
      <c r="BH20" s="361">
        <f t="shared" si="30"/>
        <v>145.19085096</v>
      </c>
      <c r="BI20" s="257">
        <f t="shared" si="30"/>
        <v>117.20898529</v>
      </c>
      <c r="BJ20" s="257">
        <f t="shared" si="30"/>
        <v>128.85919558</v>
      </c>
      <c r="BK20" s="318">
        <f t="shared" si="30"/>
        <v>304.32343833</v>
      </c>
      <c r="BL20" s="257">
        <f t="shared" si="30"/>
        <v>362.91918487</v>
      </c>
      <c r="BM20" s="257">
        <f t="shared" si="30"/>
        <v>567.587277</v>
      </c>
      <c r="BN20" s="257">
        <f t="shared" si="30"/>
        <v>865.86845579</v>
      </c>
      <c r="BO20" s="318">
        <f t="shared" si="30"/>
        <v>1328.70166531</v>
      </c>
      <c r="BP20" s="257">
        <f t="shared" si="30"/>
        <v>1752.94512141</v>
      </c>
      <c r="BQ20" s="257">
        <f t="shared" si="30"/>
        <v>2640.77603003</v>
      </c>
      <c r="BR20" s="257">
        <f t="shared" si="30"/>
        <v>2575.14032537</v>
      </c>
      <c r="BS20" s="318">
        <f t="shared" si="30"/>
        <v>3739.59185684</v>
      </c>
      <c r="BT20" s="257">
        <f t="shared" si="30"/>
        <v>3835.46768295</v>
      </c>
      <c r="BU20" s="257">
        <f t="shared" si="30"/>
        <v>5105.323746958</v>
      </c>
      <c r="BV20" s="257">
        <f t="shared" si="30"/>
        <v>7001.13985229744</v>
      </c>
      <c r="BW20" s="318">
        <f t="shared" si="30"/>
        <v>7586.53797697903</v>
      </c>
      <c r="BX20" s="257">
        <f t="shared" si="30"/>
        <v>6639.48295357015</v>
      </c>
      <c r="BY20" s="257">
        <f t="shared" si="30"/>
        <v>7758.38999168601</v>
      </c>
      <c r="BZ20" s="257">
        <f t="shared" si="30"/>
        <v>10419.1230532892</v>
      </c>
      <c r="CA20" s="318">
        <f t="shared" si="30"/>
        <v>9527.7110471327</v>
      </c>
      <c r="CB20" s="257">
        <f t="shared" ref="CB20:CE20" si="31">CB12-CB15</f>
        <v>5965.27412288603</v>
      </c>
      <c r="CC20" s="257">
        <f t="shared" si="31"/>
        <v>9028.96011789693</v>
      </c>
      <c r="CD20" s="257">
        <f t="shared" si="31"/>
        <v>12906.4296994451</v>
      </c>
      <c r="CE20" s="318">
        <f t="shared" si="31"/>
        <v>11582.2545305433</v>
      </c>
      <c r="CF20" s="251"/>
      <c r="CG20" s="251"/>
      <c r="CH20" s="96"/>
      <c r="CI20" s="96"/>
      <c r="CJ20" s="96"/>
      <c r="CK20" s="96"/>
      <c r="CL20" s="96"/>
      <c r="CM20" s="96"/>
      <c r="CN20" s="96"/>
      <c r="CO20" s="96"/>
      <c r="CP20" s="96"/>
      <c r="CQ20" s="96"/>
      <c r="CR20" s="96"/>
      <c r="CS20" s="96"/>
      <c r="CT20" s="251"/>
      <c r="CU20" s="251"/>
      <c r="CV20" s="251"/>
      <c r="CW20" s="251"/>
      <c r="CX20" s="251"/>
      <c r="CY20" s="251"/>
      <c r="CZ20" s="251"/>
      <c r="DA20" s="251"/>
      <c r="DB20" s="251"/>
      <c r="DC20" s="251"/>
      <c r="DD20" s="251"/>
      <c r="DE20" s="251"/>
      <c r="DF20" s="251"/>
      <c r="DG20" s="251"/>
      <c r="DH20" s="251"/>
      <c r="DI20" s="251"/>
      <c r="DJ20" s="251"/>
      <c r="DK20" s="251"/>
      <c r="DL20" s="251"/>
      <c r="DM20" s="251"/>
      <c r="DN20" s="251"/>
      <c r="DO20" s="251"/>
      <c r="DP20" s="251"/>
    </row>
    <row r="21" spans="1:120">
      <c r="A21" s="261"/>
      <c r="B21" s="183"/>
      <c r="C21" s="267"/>
      <c r="D21" s="267"/>
      <c r="E21" s="267"/>
      <c r="F21" s="267"/>
      <c r="G21" s="267"/>
      <c r="H21" s="267"/>
      <c r="I21" s="27"/>
      <c r="J21" s="27"/>
      <c r="K21" s="27"/>
      <c r="L21" s="27"/>
      <c r="M21" s="27"/>
      <c r="N21" s="27"/>
      <c r="O21" s="267"/>
      <c r="P21" s="267"/>
      <c r="Q21" s="267"/>
      <c r="R21" s="267"/>
      <c r="S21" s="267"/>
      <c r="T21" s="267"/>
      <c r="U21" s="267"/>
      <c r="V21" s="267"/>
      <c r="W21" s="303"/>
      <c r="X21" s="267"/>
      <c r="Y21" s="267"/>
      <c r="Z21" s="267"/>
      <c r="AA21" s="322"/>
      <c r="AB21" s="267"/>
      <c r="AC21" s="267"/>
      <c r="AD21" s="267"/>
      <c r="AE21" s="322"/>
      <c r="AF21" s="267"/>
      <c r="AG21" s="267"/>
      <c r="AH21" s="267"/>
      <c r="AI21" s="322"/>
      <c r="AJ21" s="267"/>
      <c r="AK21" s="267"/>
      <c r="AL21" s="267"/>
      <c r="AM21" s="322"/>
      <c r="AN21" s="267"/>
      <c r="AO21" s="267"/>
      <c r="AP21" s="267"/>
      <c r="AQ21" s="322"/>
      <c r="AR21" s="267"/>
      <c r="AS21" s="267"/>
      <c r="AT21" s="267"/>
      <c r="AU21" s="322"/>
      <c r="AV21" s="267"/>
      <c r="AW21" s="267"/>
      <c r="AX21" s="267"/>
      <c r="AY21" s="322"/>
      <c r="AZ21" s="267"/>
      <c r="BA21" s="267"/>
      <c r="BB21" s="267"/>
      <c r="BC21" s="322"/>
      <c r="BD21" s="267"/>
      <c r="BE21" s="267"/>
      <c r="BF21" s="267"/>
      <c r="BG21" s="322"/>
      <c r="BH21" s="366"/>
      <c r="BI21" s="267"/>
      <c r="BJ21" s="267"/>
      <c r="BK21" s="322"/>
      <c r="BL21" s="267"/>
      <c r="BM21" s="267"/>
      <c r="BN21" s="267"/>
      <c r="BO21" s="322"/>
      <c r="BP21" s="267"/>
      <c r="BQ21" s="267"/>
      <c r="BR21" s="267"/>
      <c r="BS21" s="322"/>
      <c r="BT21" s="267"/>
      <c r="BU21" s="267"/>
      <c r="BV21" s="267"/>
      <c r="BW21" s="322"/>
      <c r="BX21" s="267"/>
      <c r="BY21" s="267"/>
      <c r="BZ21" s="267"/>
      <c r="CA21" s="322"/>
      <c r="CB21" s="267"/>
      <c r="CC21" s="267"/>
      <c r="CD21" s="267"/>
      <c r="CE21" s="322"/>
      <c r="CF21" s="267"/>
      <c r="CG21" s="267"/>
      <c r="CH21" s="96"/>
      <c r="CI21" s="96"/>
      <c r="CJ21" s="96"/>
      <c r="CK21" s="96"/>
      <c r="CL21" s="96"/>
      <c r="CM21" s="96"/>
      <c r="CN21" s="96"/>
      <c r="CO21" s="96"/>
      <c r="CP21" s="96"/>
      <c r="CQ21" s="96"/>
      <c r="CR21" s="96"/>
      <c r="CS21" s="96"/>
      <c r="CT21" s="267"/>
      <c r="CU21" s="267"/>
      <c r="CV21" s="267"/>
      <c r="CW21" s="267"/>
      <c r="CX21" s="267"/>
      <c r="CY21" s="267"/>
      <c r="CZ21" s="267"/>
      <c r="DA21" s="267"/>
      <c r="DB21" s="267"/>
      <c r="DC21" s="267"/>
      <c r="DD21" s="267"/>
      <c r="DE21" s="267"/>
      <c r="DF21" s="267"/>
      <c r="DG21" s="267"/>
      <c r="DH21" s="267"/>
      <c r="DI21" s="267"/>
      <c r="DJ21" s="267"/>
      <c r="DK21" s="267"/>
      <c r="DL21" s="267"/>
      <c r="DM21" s="267"/>
      <c r="DN21" s="267"/>
      <c r="DO21" s="267"/>
      <c r="DP21" s="267"/>
    </row>
    <row r="22" spans="1:120">
      <c r="A22" s="261"/>
      <c r="B22" s="36" t="s">
        <v>702</v>
      </c>
      <c r="C22" s="251"/>
      <c r="D22" s="251"/>
      <c r="E22" s="251"/>
      <c r="F22" s="251"/>
      <c r="G22" s="251"/>
      <c r="H22" s="251"/>
      <c r="I22" s="251"/>
      <c r="J22" s="251"/>
      <c r="K22" s="251"/>
      <c r="L22" s="251"/>
      <c r="M22" s="251"/>
      <c r="N22" s="251"/>
      <c r="O22" s="37"/>
      <c r="P22" s="30"/>
      <c r="Q22" s="30"/>
      <c r="R22" s="30"/>
      <c r="S22" s="30"/>
      <c r="T22" s="30"/>
      <c r="U22" s="30"/>
      <c r="V22" s="30"/>
      <c r="W22" s="303"/>
      <c r="X22" s="251"/>
      <c r="Y22" s="251"/>
      <c r="Z22" s="251"/>
      <c r="AA22" s="315"/>
      <c r="AB22" s="251"/>
      <c r="AC22" s="251"/>
      <c r="AD22" s="251"/>
      <c r="AE22" s="315"/>
      <c r="AF22" s="251"/>
      <c r="AG22" s="251"/>
      <c r="AH22" s="251"/>
      <c r="AI22" s="315"/>
      <c r="AJ22" s="251"/>
      <c r="AK22" s="251"/>
      <c r="AL22" s="251"/>
      <c r="AM22" s="315"/>
      <c r="AN22" s="251"/>
      <c r="AO22" s="251"/>
      <c r="AP22" s="251"/>
      <c r="AQ22" s="315"/>
      <c r="AR22" s="251"/>
      <c r="AS22" s="251"/>
      <c r="AT22" s="251"/>
      <c r="AU22" s="315"/>
      <c r="AV22" s="251"/>
      <c r="AW22" s="251"/>
      <c r="AX22" s="251"/>
      <c r="AY22" s="315"/>
      <c r="AZ22" s="251"/>
      <c r="BA22" s="251"/>
      <c r="BB22" s="251"/>
      <c r="BC22" s="315"/>
      <c r="BD22" s="251"/>
      <c r="BE22" s="251"/>
      <c r="BF22" s="251"/>
      <c r="BG22" s="315"/>
      <c r="BH22" s="355"/>
      <c r="BI22" s="251"/>
      <c r="BJ22" s="251"/>
      <c r="BK22" s="315"/>
      <c r="BL22" s="251"/>
      <c r="BM22" s="251"/>
      <c r="BN22" s="251"/>
      <c r="BO22" s="315"/>
      <c r="BP22" s="251"/>
      <c r="BQ22" s="251"/>
      <c r="BR22" s="251"/>
      <c r="BS22" s="315"/>
      <c r="BT22" s="251"/>
      <c r="BU22" s="251"/>
      <c r="BV22" s="251"/>
      <c r="BW22" s="315"/>
      <c r="BX22" s="251"/>
      <c r="BY22" s="251"/>
      <c r="BZ22" s="251"/>
      <c r="CA22" s="315"/>
      <c r="CB22" s="251"/>
      <c r="CC22" s="251"/>
      <c r="CD22" s="251"/>
      <c r="CE22" s="315"/>
      <c r="CF22" s="251"/>
      <c r="CG22" s="251"/>
      <c r="CH22" s="38"/>
      <c r="CI22" s="38"/>
      <c r="CJ22" s="38"/>
      <c r="CK22" s="38"/>
      <c r="CL22" s="38"/>
      <c r="CM22" s="38"/>
      <c r="CN22" s="38"/>
      <c r="CO22" s="38"/>
      <c r="CP22" s="38"/>
      <c r="CQ22" s="38"/>
      <c r="CR22" s="38"/>
      <c r="CS22" s="38"/>
      <c r="CT22" s="251"/>
      <c r="CU22" s="251"/>
      <c r="CV22" s="251"/>
      <c r="CW22" s="251"/>
      <c r="CX22" s="251"/>
      <c r="CY22" s="251"/>
      <c r="CZ22" s="251"/>
      <c r="DA22" s="251"/>
      <c r="DB22" s="251"/>
      <c r="DC22" s="251"/>
      <c r="DD22" s="251"/>
      <c r="DE22" s="251"/>
      <c r="DF22" s="251"/>
      <c r="DG22" s="251"/>
      <c r="DH22" s="251"/>
      <c r="DI22" s="251"/>
      <c r="DJ22" s="251"/>
      <c r="DK22" s="251"/>
      <c r="DL22" s="251"/>
      <c r="DM22" s="251"/>
      <c r="DN22" s="251"/>
      <c r="DO22" s="251"/>
      <c r="DP22" s="251"/>
    </row>
    <row r="23" spans="1:120">
      <c r="A23" s="250"/>
      <c r="B23" s="253" t="s">
        <v>703</v>
      </c>
      <c r="C23" s="253"/>
      <c r="D23" s="253"/>
      <c r="E23" s="253">
        <f t="shared" ref="E23:V23" si="32">E24+E25</f>
        <v>0</v>
      </c>
      <c r="F23" s="253">
        <f t="shared" si="32"/>
        <v>0</v>
      </c>
      <c r="G23" s="253">
        <f t="shared" si="32"/>
        <v>0</v>
      </c>
      <c r="H23" s="253">
        <f t="shared" si="32"/>
        <v>0</v>
      </c>
      <c r="I23" s="253">
        <f t="shared" si="32"/>
        <v>0</v>
      </c>
      <c r="J23" s="253">
        <f t="shared" si="32"/>
        <v>0</v>
      </c>
      <c r="K23" s="253">
        <f t="shared" si="32"/>
        <v>0</v>
      </c>
      <c r="L23" s="253">
        <f t="shared" si="32"/>
        <v>1.50703986</v>
      </c>
      <c r="M23" s="253">
        <f t="shared" si="32"/>
        <v>3.89195895</v>
      </c>
      <c r="N23" s="253">
        <f t="shared" si="32"/>
        <v>1.53716229</v>
      </c>
      <c r="O23" s="253">
        <f t="shared" si="32"/>
        <v>24.53322302</v>
      </c>
      <c r="P23" s="253">
        <f t="shared" si="32"/>
        <v>21.51306124</v>
      </c>
      <c r="Q23" s="253">
        <f t="shared" si="32"/>
        <v>73.00881621</v>
      </c>
      <c r="R23" s="253">
        <f t="shared" si="32"/>
        <v>71.46399956</v>
      </c>
      <c r="S23" s="253">
        <f t="shared" si="32"/>
        <v>76.76266328</v>
      </c>
      <c r="T23" s="253">
        <f t="shared" si="32"/>
        <v>32</v>
      </c>
      <c r="U23" s="253">
        <f t="shared" si="32"/>
        <v>32</v>
      </c>
      <c r="V23" s="253">
        <f t="shared" si="32"/>
        <v>32</v>
      </c>
      <c r="W23" s="253"/>
      <c r="X23" s="253">
        <f>X24+X25</f>
        <v>0</v>
      </c>
      <c r="Y23" s="253">
        <f t="shared" ref="Y23:CA23" si="33">Y24+Y25</f>
        <v>0</v>
      </c>
      <c r="Z23" s="253">
        <f t="shared" si="33"/>
        <v>0</v>
      </c>
      <c r="AA23" s="316">
        <f t="shared" si="33"/>
        <v>0</v>
      </c>
      <c r="AB23" s="253">
        <f t="shared" si="33"/>
        <v>0</v>
      </c>
      <c r="AC23" s="253">
        <f t="shared" si="33"/>
        <v>0</v>
      </c>
      <c r="AD23" s="253">
        <f t="shared" si="33"/>
        <v>0</v>
      </c>
      <c r="AE23" s="316">
        <f t="shared" si="33"/>
        <v>0</v>
      </c>
      <c r="AF23" s="253">
        <f t="shared" si="33"/>
        <v>0</v>
      </c>
      <c r="AG23" s="253">
        <f t="shared" si="33"/>
        <v>0</v>
      </c>
      <c r="AH23" s="253">
        <f t="shared" si="33"/>
        <v>0</v>
      </c>
      <c r="AI23" s="316">
        <f t="shared" si="33"/>
        <v>0</v>
      </c>
      <c r="AJ23" s="253">
        <f t="shared" si="33"/>
        <v>0</v>
      </c>
      <c r="AK23" s="253">
        <f t="shared" si="33"/>
        <v>0</v>
      </c>
      <c r="AL23" s="253">
        <f t="shared" si="33"/>
        <v>0</v>
      </c>
      <c r="AM23" s="316">
        <f t="shared" si="33"/>
        <v>0</v>
      </c>
      <c r="AN23" s="253">
        <f t="shared" si="33"/>
        <v>0.133242985</v>
      </c>
      <c r="AO23" s="253">
        <f t="shared" si="33"/>
        <v>0.133242985</v>
      </c>
      <c r="AP23" s="253">
        <f t="shared" si="33"/>
        <v>1.00273629</v>
      </c>
      <c r="AQ23" s="316">
        <f t="shared" si="33"/>
        <v>-0.00244226</v>
      </c>
      <c r="AR23" s="253">
        <f t="shared" si="33"/>
        <v>1.02077753</v>
      </c>
      <c r="AS23" s="253">
        <f t="shared" si="33"/>
        <v>0.89600147</v>
      </c>
      <c r="AT23" s="253">
        <f t="shared" si="33"/>
        <v>0.7709664</v>
      </c>
      <c r="AU23" s="316">
        <f t="shared" si="33"/>
        <v>1.20421355</v>
      </c>
      <c r="AV23" s="253">
        <f t="shared" si="33"/>
        <v>0.80168869</v>
      </c>
      <c r="AW23" s="253">
        <f t="shared" si="33"/>
        <v>0.4483866</v>
      </c>
      <c r="AX23" s="253">
        <f t="shared" si="33"/>
        <v>-0.68400494</v>
      </c>
      <c r="AY23" s="316">
        <f t="shared" si="33"/>
        <v>0.97109194</v>
      </c>
      <c r="AZ23" s="253">
        <f t="shared" si="33"/>
        <v>4.90560782</v>
      </c>
      <c r="BA23" s="253">
        <f t="shared" si="33"/>
        <v>6.76898063</v>
      </c>
      <c r="BB23" s="253">
        <f t="shared" si="33"/>
        <v>6.37382356</v>
      </c>
      <c r="BC23" s="316">
        <f t="shared" si="33"/>
        <v>6.48481101</v>
      </c>
      <c r="BD23" s="253">
        <f t="shared" si="33"/>
        <v>4.20317352</v>
      </c>
      <c r="BE23" s="253">
        <f t="shared" si="33"/>
        <v>5.09752096</v>
      </c>
      <c r="BF23" s="253">
        <f t="shared" si="33"/>
        <v>5.46163002</v>
      </c>
      <c r="BG23" s="316">
        <f t="shared" si="33"/>
        <v>6.75073674</v>
      </c>
      <c r="BH23" s="356">
        <f t="shared" si="33"/>
        <v>11.37104027</v>
      </c>
      <c r="BI23" s="253">
        <f t="shared" si="33"/>
        <v>13.28179459</v>
      </c>
      <c r="BJ23" s="253">
        <f t="shared" si="33"/>
        <v>26.39285905</v>
      </c>
      <c r="BK23" s="316">
        <f t="shared" si="33"/>
        <v>21.9631223</v>
      </c>
      <c r="BL23" s="253">
        <f t="shared" si="33"/>
        <v>22.63011344</v>
      </c>
      <c r="BM23" s="253">
        <f t="shared" si="33"/>
        <v>23.78794006</v>
      </c>
      <c r="BN23" s="253">
        <f t="shared" si="33"/>
        <v>15.87760615</v>
      </c>
      <c r="BO23" s="316">
        <f t="shared" si="33"/>
        <v>9.16833991</v>
      </c>
      <c r="BP23" s="253">
        <f t="shared" si="33"/>
        <v>7.46526403</v>
      </c>
      <c r="BQ23" s="253">
        <f t="shared" si="33"/>
        <v>8.53161027</v>
      </c>
      <c r="BR23" s="253">
        <f t="shared" si="33"/>
        <v>20.66339772</v>
      </c>
      <c r="BS23" s="316">
        <f t="shared" si="33"/>
        <v>40.10239126</v>
      </c>
      <c r="BT23" s="253">
        <f t="shared" si="33"/>
        <v>8</v>
      </c>
      <c r="BU23" s="253">
        <f t="shared" si="33"/>
        <v>8</v>
      </c>
      <c r="BV23" s="253">
        <f t="shared" si="33"/>
        <v>8</v>
      </c>
      <c r="BW23" s="316">
        <f t="shared" si="33"/>
        <v>8</v>
      </c>
      <c r="BX23" s="253">
        <f t="shared" si="33"/>
        <v>8</v>
      </c>
      <c r="BY23" s="253">
        <f t="shared" si="33"/>
        <v>8</v>
      </c>
      <c r="BZ23" s="253">
        <f t="shared" si="33"/>
        <v>8</v>
      </c>
      <c r="CA23" s="316">
        <f t="shared" si="33"/>
        <v>8</v>
      </c>
      <c r="CB23" s="253">
        <f t="shared" ref="CB23:CE23" si="34">CB24+CB25</f>
        <v>8</v>
      </c>
      <c r="CC23" s="253">
        <f t="shared" si="34"/>
        <v>8</v>
      </c>
      <c r="CD23" s="253">
        <f t="shared" si="34"/>
        <v>8</v>
      </c>
      <c r="CE23" s="316">
        <f t="shared" si="34"/>
        <v>8</v>
      </c>
      <c r="CF23" s="253"/>
      <c r="CG23" s="384"/>
      <c r="CH23" s="96"/>
      <c r="CI23" s="96"/>
      <c r="CJ23" s="96"/>
      <c r="CK23" s="96"/>
      <c r="CL23" s="96"/>
      <c r="CM23" s="96"/>
      <c r="CN23" s="96"/>
      <c r="CO23" s="96"/>
      <c r="CP23" s="96"/>
      <c r="CQ23" s="96"/>
      <c r="CR23" s="96"/>
      <c r="CS23" s="96"/>
      <c r="CT23" s="253"/>
      <c r="CU23" s="255"/>
      <c r="CV23" s="255"/>
      <c r="CW23" s="255"/>
      <c r="CX23" s="255"/>
      <c r="CY23" s="255"/>
      <c r="CZ23" s="255"/>
      <c r="DA23" s="255"/>
      <c r="DB23" s="255"/>
      <c r="DC23" s="255"/>
      <c r="DD23" s="255"/>
      <c r="DE23" s="255"/>
      <c r="DF23" s="255"/>
      <c r="DG23" s="255"/>
      <c r="DH23" s="255"/>
      <c r="DI23" s="255"/>
      <c r="DJ23" s="255"/>
      <c r="DK23" s="255"/>
      <c r="DL23" s="253"/>
      <c r="DM23" s="253"/>
      <c r="DN23" s="253"/>
      <c r="DO23" s="253"/>
      <c r="DP23" s="253"/>
    </row>
    <row r="24" spans="1:120">
      <c r="A24" s="250"/>
      <c r="B24" s="254" t="s">
        <v>108</v>
      </c>
      <c r="C24" s="253"/>
      <c r="D24" s="253"/>
      <c r="E24" s="253">
        <v>0</v>
      </c>
      <c r="F24" s="253">
        <v>0</v>
      </c>
      <c r="G24" s="253">
        <v>0</v>
      </c>
      <c r="H24" s="253">
        <v>0</v>
      </c>
      <c r="I24" s="253">
        <v>0</v>
      </c>
      <c r="J24" s="253">
        <v>0</v>
      </c>
      <c r="K24" s="253">
        <v>0</v>
      </c>
      <c r="L24" s="253">
        <v>1.67588665</v>
      </c>
      <c r="M24" s="253">
        <v>3.89195895</v>
      </c>
      <c r="N24" s="253">
        <v>2.6946375</v>
      </c>
      <c r="O24" s="253">
        <v>24.81654117</v>
      </c>
      <c r="P24" s="253">
        <f t="shared" ref="P24:U31" si="35">SUMIF($X$3:$CA$3,P$4,$X24:$CA24)</f>
        <v>21.51306124</v>
      </c>
      <c r="Q24" s="253">
        <f t="shared" si="35"/>
        <v>74.55697385</v>
      </c>
      <c r="R24" s="253">
        <f t="shared" si="35"/>
        <v>72.84041097</v>
      </c>
      <c r="S24" s="253">
        <f t="shared" si="35"/>
        <v>77.94911125</v>
      </c>
      <c r="T24" s="253">
        <f t="shared" si="35"/>
        <v>32</v>
      </c>
      <c r="U24" s="253">
        <f t="shared" si="35"/>
        <v>32</v>
      </c>
      <c r="V24" s="253">
        <f t="shared" ref="V24:V31" si="36">SUMIF($X$3:$CE$3,V$4,$X24:$CE24)</f>
        <v>32</v>
      </c>
      <c r="W24" s="253"/>
      <c r="X24" s="253">
        <v>0</v>
      </c>
      <c r="Y24" s="253">
        <v>0</v>
      </c>
      <c r="Z24" s="253">
        <v>0</v>
      </c>
      <c r="AA24" s="316">
        <v>0</v>
      </c>
      <c r="AB24" s="253">
        <v>0</v>
      </c>
      <c r="AC24" s="253">
        <v>0</v>
      </c>
      <c r="AD24" s="253">
        <v>0</v>
      </c>
      <c r="AE24" s="316">
        <v>0</v>
      </c>
      <c r="AF24" s="253">
        <v>0</v>
      </c>
      <c r="AG24" s="253">
        <v>0</v>
      </c>
      <c r="AH24" s="253">
        <v>0</v>
      </c>
      <c r="AI24" s="316">
        <v>0</v>
      </c>
      <c r="AJ24" s="253">
        <v>0</v>
      </c>
      <c r="AK24" s="253">
        <v>0</v>
      </c>
      <c r="AL24" s="253">
        <v>0</v>
      </c>
      <c r="AM24" s="316">
        <v>0</v>
      </c>
      <c r="AN24" s="253">
        <v>0.212792255</v>
      </c>
      <c r="AO24" s="253">
        <v>0.212792255</v>
      </c>
      <c r="AP24" s="253">
        <v>1.01004228</v>
      </c>
      <c r="AQ24" s="316">
        <v>0</v>
      </c>
      <c r="AR24" s="253">
        <v>1.02077753</v>
      </c>
      <c r="AS24" s="253">
        <v>0.89600147</v>
      </c>
      <c r="AT24" s="253">
        <v>0.7709664</v>
      </c>
      <c r="AU24" s="316">
        <v>1.20421355</v>
      </c>
      <c r="AV24" s="253">
        <v>0.80168869</v>
      </c>
      <c r="AW24" s="253">
        <v>0.51127851</v>
      </c>
      <c r="AX24" s="253">
        <v>0.41057836</v>
      </c>
      <c r="AY24" s="316">
        <v>0.97109194</v>
      </c>
      <c r="AZ24" s="253">
        <v>5.18892597</v>
      </c>
      <c r="BA24" s="253">
        <v>6.76898063</v>
      </c>
      <c r="BB24" s="253">
        <v>6.37382356</v>
      </c>
      <c r="BC24" s="316">
        <v>6.48481101</v>
      </c>
      <c r="BD24" s="253">
        <v>4.20317352</v>
      </c>
      <c r="BE24" s="253">
        <v>5.09752096</v>
      </c>
      <c r="BF24" s="253">
        <v>5.46163002</v>
      </c>
      <c r="BG24" s="316">
        <v>6.75073674</v>
      </c>
      <c r="BH24" s="356">
        <v>11.37104027</v>
      </c>
      <c r="BI24" s="253">
        <v>13.28179459</v>
      </c>
      <c r="BJ24" s="253">
        <v>26.39285905</v>
      </c>
      <c r="BK24" s="316">
        <v>23.51127994</v>
      </c>
      <c r="BL24" s="253">
        <v>22.63011344</v>
      </c>
      <c r="BM24" s="253">
        <v>23.78794006</v>
      </c>
      <c r="BN24" s="253">
        <v>16.92450893</v>
      </c>
      <c r="BO24" s="316">
        <v>9.49784854</v>
      </c>
      <c r="BP24" s="253">
        <v>7.76761607</v>
      </c>
      <c r="BQ24" s="253">
        <v>8.85234634</v>
      </c>
      <c r="BR24" s="253">
        <f>37.57344289-SUM(BP24:BQ24)</f>
        <v>20.95348048</v>
      </c>
      <c r="BS24" s="316">
        <f>77.94911125-SUM(BP24:BR24)</f>
        <v>40.37566836</v>
      </c>
      <c r="BT24" s="253">
        <v>8</v>
      </c>
      <c r="BU24" s="298">
        <v>8</v>
      </c>
      <c r="BV24" s="298">
        <v>8</v>
      </c>
      <c r="BW24" s="379">
        <v>8</v>
      </c>
      <c r="BX24" s="298">
        <v>8</v>
      </c>
      <c r="BY24" s="298">
        <v>8</v>
      </c>
      <c r="BZ24" s="298">
        <v>8</v>
      </c>
      <c r="CA24" s="379">
        <v>8</v>
      </c>
      <c r="CB24" s="298">
        <v>8</v>
      </c>
      <c r="CC24" s="298">
        <v>8</v>
      </c>
      <c r="CD24" s="298">
        <v>8</v>
      </c>
      <c r="CE24" s="379">
        <v>8</v>
      </c>
      <c r="CF24" s="272"/>
      <c r="CG24" s="384"/>
      <c r="CH24" s="96"/>
      <c r="CI24" s="96"/>
      <c r="CJ24" s="96"/>
      <c r="CK24" s="96"/>
      <c r="CL24" s="96"/>
      <c r="CM24" s="96"/>
      <c r="CN24" s="96"/>
      <c r="CO24" s="96"/>
      <c r="CP24" s="96"/>
      <c r="CQ24" s="96"/>
      <c r="CR24" s="96"/>
      <c r="CS24" s="96"/>
      <c r="CT24" s="253"/>
      <c r="CU24" s="255"/>
      <c r="CV24" s="255"/>
      <c r="CW24" s="255"/>
      <c r="CX24" s="255"/>
      <c r="CY24" s="255"/>
      <c r="CZ24" s="255"/>
      <c r="DA24" s="255"/>
      <c r="DB24" s="255"/>
      <c r="DC24" s="255"/>
      <c r="DD24" s="255"/>
      <c r="DE24" s="255"/>
      <c r="DF24" s="255"/>
      <c r="DG24" s="255"/>
      <c r="DH24" s="255"/>
      <c r="DI24" s="255"/>
      <c r="DJ24" s="255"/>
      <c r="DK24" s="255"/>
      <c r="DL24" s="255"/>
      <c r="DM24" s="255"/>
      <c r="DN24" s="255"/>
      <c r="DO24" s="255"/>
      <c r="DP24" s="255"/>
    </row>
    <row r="25" spans="1:120">
      <c r="A25" s="250"/>
      <c r="B25" s="254" t="s">
        <v>110</v>
      </c>
      <c r="C25" s="253"/>
      <c r="D25" s="253"/>
      <c r="E25" s="253">
        <v>0</v>
      </c>
      <c r="F25" s="253">
        <v>0</v>
      </c>
      <c r="G25" s="253">
        <v>0</v>
      </c>
      <c r="H25" s="253">
        <v>0</v>
      </c>
      <c r="I25" s="253">
        <v>0</v>
      </c>
      <c r="J25" s="253">
        <v>0</v>
      </c>
      <c r="K25" s="253">
        <v>0</v>
      </c>
      <c r="L25" s="253">
        <v>-0.16884679</v>
      </c>
      <c r="M25" s="253">
        <v>0</v>
      </c>
      <c r="N25" s="253">
        <f>SUM(AV25:AY25)</f>
        <v>-1.15747521</v>
      </c>
      <c r="O25" s="253">
        <f>SUM(AZ25:BC25)</f>
        <v>-0.28331815</v>
      </c>
      <c r="P25" s="253">
        <f t="shared" si="35"/>
        <v>0</v>
      </c>
      <c r="Q25" s="253">
        <f t="shared" si="35"/>
        <v>-1.54815764</v>
      </c>
      <c r="R25" s="253">
        <f t="shared" si="35"/>
        <v>-1.37641141</v>
      </c>
      <c r="S25" s="253">
        <f t="shared" si="35"/>
        <v>-1.18644797</v>
      </c>
      <c r="T25" s="253">
        <f t="shared" si="35"/>
        <v>0</v>
      </c>
      <c r="U25" s="253">
        <f t="shared" si="35"/>
        <v>0</v>
      </c>
      <c r="V25" s="253">
        <f t="shared" si="36"/>
        <v>0</v>
      </c>
      <c r="W25" s="253"/>
      <c r="X25" s="253">
        <v>0</v>
      </c>
      <c r="Y25" s="253">
        <v>0</v>
      </c>
      <c r="Z25" s="253">
        <v>0</v>
      </c>
      <c r="AA25" s="316">
        <v>0</v>
      </c>
      <c r="AB25" s="253">
        <v>0</v>
      </c>
      <c r="AC25" s="253">
        <v>0</v>
      </c>
      <c r="AD25" s="253">
        <v>0</v>
      </c>
      <c r="AE25" s="316">
        <v>0</v>
      </c>
      <c r="AF25" s="253">
        <v>0</v>
      </c>
      <c r="AG25" s="253">
        <v>0</v>
      </c>
      <c r="AH25" s="253">
        <v>0</v>
      </c>
      <c r="AI25" s="316">
        <v>0</v>
      </c>
      <c r="AJ25" s="253">
        <v>0</v>
      </c>
      <c r="AK25" s="253">
        <v>0</v>
      </c>
      <c r="AL25" s="253">
        <v>0</v>
      </c>
      <c r="AM25" s="316">
        <v>0</v>
      </c>
      <c r="AN25" s="253">
        <v>-0.07954927</v>
      </c>
      <c r="AO25" s="253">
        <v>-0.07954927</v>
      </c>
      <c r="AP25" s="253">
        <v>-0.00730599</v>
      </c>
      <c r="AQ25" s="316">
        <v>-0.00244226</v>
      </c>
      <c r="AR25" s="253">
        <v>0</v>
      </c>
      <c r="AS25" s="253">
        <v>0</v>
      </c>
      <c r="AT25" s="253">
        <v>0</v>
      </c>
      <c r="AU25" s="316">
        <v>0</v>
      </c>
      <c r="AV25" s="253">
        <v>0</v>
      </c>
      <c r="AW25" s="253">
        <v>-0.06289191</v>
      </c>
      <c r="AX25" s="253">
        <v>-1.0945833</v>
      </c>
      <c r="AY25" s="316">
        <v>0</v>
      </c>
      <c r="AZ25" s="253">
        <v>-0.28331815</v>
      </c>
      <c r="BA25" s="253">
        <v>0</v>
      </c>
      <c r="BB25" s="253">
        <v>0</v>
      </c>
      <c r="BC25" s="316">
        <v>0</v>
      </c>
      <c r="BD25" s="253">
        <v>0</v>
      </c>
      <c r="BE25" s="253">
        <v>0</v>
      </c>
      <c r="BF25" s="253">
        <v>0</v>
      </c>
      <c r="BG25" s="316">
        <v>0</v>
      </c>
      <c r="BH25" s="356">
        <v>0</v>
      </c>
      <c r="BI25" s="253">
        <v>0</v>
      </c>
      <c r="BJ25" s="253">
        <v>0</v>
      </c>
      <c r="BK25" s="316">
        <v>-1.54815764</v>
      </c>
      <c r="BL25" s="253">
        <v>0</v>
      </c>
      <c r="BM25" s="253">
        <v>0</v>
      </c>
      <c r="BN25" s="253">
        <v>-1.04690278</v>
      </c>
      <c r="BO25" s="316">
        <v>-0.32950863</v>
      </c>
      <c r="BP25" s="253">
        <v>-0.30235204</v>
      </c>
      <c r="BQ25" s="253">
        <v>-0.32073607</v>
      </c>
      <c r="BR25" s="253">
        <f>-0.91317087-SUM(BP25:BQ25)</f>
        <v>-0.29008276</v>
      </c>
      <c r="BS25" s="316">
        <f>-1.18644797-SUM(BP25:BR25)</f>
        <v>-0.2732771</v>
      </c>
      <c r="BT25" s="253">
        <v>0</v>
      </c>
      <c r="BU25" s="298">
        <v>0</v>
      </c>
      <c r="BV25" s="298">
        <v>0</v>
      </c>
      <c r="BW25" s="379">
        <v>0</v>
      </c>
      <c r="BX25" s="298">
        <v>0</v>
      </c>
      <c r="BY25" s="298">
        <v>0</v>
      </c>
      <c r="BZ25" s="298">
        <v>0</v>
      </c>
      <c r="CA25" s="379">
        <v>0</v>
      </c>
      <c r="CB25" s="298">
        <v>0</v>
      </c>
      <c r="CC25" s="298">
        <v>0</v>
      </c>
      <c r="CD25" s="298">
        <v>0</v>
      </c>
      <c r="CE25" s="379">
        <v>0</v>
      </c>
      <c r="CF25" s="272"/>
      <c r="CG25" s="384"/>
      <c r="CH25" s="96"/>
      <c r="CI25" s="96"/>
      <c r="CJ25" s="96"/>
      <c r="CK25" s="96"/>
      <c r="CL25" s="96"/>
      <c r="CM25" s="96"/>
      <c r="CN25" s="96"/>
      <c r="CO25" s="96"/>
      <c r="CP25" s="96"/>
      <c r="CQ25" s="96"/>
      <c r="CR25" s="96"/>
      <c r="CS25" s="96"/>
      <c r="CT25" s="253"/>
      <c r="CU25" s="255"/>
      <c r="CV25" s="255"/>
      <c r="CW25" s="255"/>
      <c r="CX25" s="255"/>
      <c r="CY25" s="255"/>
      <c r="CZ25" s="255"/>
      <c r="DA25" s="255"/>
      <c r="DB25" s="255"/>
      <c r="DC25" s="255"/>
      <c r="DD25" s="255"/>
      <c r="DE25" s="255"/>
      <c r="DF25" s="255"/>
      <c r="DG25" s="255"/>
      <c r="DH25" s="255"/>
      <c r="DI25" s="255"/>
      <c r="DJ25" s="255"/>
      <c r="DK25" s="255"/>
      <c r="DL25" s="255"/>
      <c r="DM25" s="255"/>
      <c r="DN25" s="255"/>
      <c r="DO25" s="255"/>
      <c r="DP25" s="255"/>
    </row>
    <row r="26" spans="1:120">
      <c r="A26" s="250"/>
      <c r="B26" s="268" t="s">
        <v>704</v>
      </c>
      <c r="C26" s="253"/>
      <c r="D26" s="253"/>
      <c r="E26" s="253">
        <v>-4.65157792</v>
      </c>
      <c r="F26" s="253">
        <v>-3.49606418</v>
      </c>
      <c r="G26" s="253">
        <v>-4.83856036</v>
      </c>
      <c r="H26" s="253">
        <v>-6.51367375</v>
      </c>
      <c r="I26" s="253">
        <v>-7.19122436</v>
      </c>
      <c r="J26" s="253">
        <v>-8.80610868</v>
      </c>
      <c r="K26" s="253">
        <v>-14.46274464</v>
      </c>
      <c r="L26" s="253">
        <v>-25.97636789</v>
      </c>
      <c r="M26" s="253">
        <v>22.73122699</v>
      </c>
      <c r="N26" s="253">
        <v>-44.01170734</v>
      </c>
      <c r="O26" s="253">
        <v>-55.46790948</v>
      </c>
      <c r="P26" s="253">
        <f t="shared" si="35"/>
        <v>-127.90718514</v>
      </c>
      <c r="Q26" s="253">
        <f t="shared" si="35"/>
        <v>-17.09092966</v>
      </c>
      <c r="R26" s="253">
        <f t="shared" si="35"/>
        <v>-79.47912657</v>
      </c>
      <c r="S26" s="253">
        <f t="shared" si="35"/>
        <v>-203.2747145</v>
      </c>
      <c r="T26" s="253">
        <f t="shared" si="35"/>
        <v>0</v>
      </c>
      <c r="U26" s="253">
        <f t="shared" si="35"/>
        <v>0</v>
      </c>
      <c r="V26" s="253">
        <f t="shared" si="36"/>
        <v>0</v>
      </c>
      <c r="W26" s="253"/>
      <c r="X26" s="253">
        <v>0</v>
      </c>
      <c r="Y26" s="253">
        <v>0</v>
      </c>
      <c r="Z26" s="253">
        <v>0</v>
      </c>
      <c r="AA26" s="316">
        <v>0</v>
      </c>
      <c r="AB26" s="253">
        <v>-0.52031621</v>
      </c>
      <c r="AC26" s="253">
        <v>-1.67884913</v>
      </c>
      <c r="AD26" s="253">
        <v>-1.51383557</v>
      </c>
      <c r="AE26" s="316">
        <v>-3.47822345</v>
      </c>
      <c r="AF26" s="253">
        <v>-0.37438521</v>
      </c>
      <c r="AG26" s="253">
        <v>-5.08780548</v>
      </c>
      <c r="AH26" s="253">
        <v>0.43037909</v>
      </c>
      <c r="AI26" s="316">
        <v>-3.77429708</v>
      </c>
      <c r="AJ26" s="253">
        <v>-0.33384969</v>
      </c>
      <c r="AK26" s="253">
        <v>-6.80743225</v>
      </c>
      <c r="AL26" s="253">
        <v>-1.69273264</v>
      </c>
      <c r="AM26" s="316">
        <v>-5.62873006</v>
      </c>
      <c r="AN26" s="253">
        <v>-7.80025387</v>
      </c>
      <c r="AO26" s="253">
        <v>-10.6392078</v>
      </c>
      <c r="AP26" s="253">
        <v>-0.35709419</v>
      </c>
      <c r="AQ26" s="316">
        <v>-7.17981203</v>
      </c>
      <c r="AR26" s="253">
        <v>-2.69428985</v>
      </c>
      <c r="AS26" s="253">
        <v>3.27181685</v>
      </c>
      <c r="AT26" s="253">
        <v>9.73058442</v>
      </c>
      <c r="AU26" s="316">
        <v>13.88180216</v>
      </c>
      <c r="AV26" s="253">
        <v>-12.13710214</v>
      </c>
      <c r="AW26" s="253">
        <v>-9.15215837</v>
      </c>
      <c r="AX26" s="253">
        <v>-10.24942619</v>
      </c>
      <c r="AY26" s="316">
        <v>-12.47302064</v>
      </c>
      <c r="AZ26" s="253">
        <v>-25.62357787</v>
      </c>
      <c r="BA26" s="253">
        <v>-19.55579619</v>
      </c>
      <c r="BB26" s="253">
        <v>-1.86662587</v>
      </c>
      <c r="BC26" s="316">
        <v>-8.42190955</v>
      </c>
      <c r="BD26" s="253">
        <v>-30.04297251</v>
      </c>
      <c r="BE26" s="253">
        <v>-15.98268516</v>
      </c>
      <c r="BF26" s="253">
        <v>-29.54844773</v>
      </c>
      <c r="BG26" s="316">
        <v>-52.33307974</v>
      </c>
      <c r="BH26" s="356">
        <v>-5.38419429</v>
      </c>
      <c r="BI26" s="253">
        <v>-27.73616193</v>
      </c>
      <c r="BJ26" s="253">
        <v>16.81457853</v>
      </c>
      <c r="BK26" s="316">
        <v>-0.78515197</v>
      </c>
      <c r="BL26" s="253">
        <v>-11.86355747</v>
      </c>
      <c r="BM26" s="253">
        <v>-5.46487968</v>
      </c>
      <c r="BN26" s="253">
        <v>-3.34882034</v>
      </c>
      <c r="BO26" s="316">
        <v>-58.80186908</v>
      </c>
      <c r="BP26" s="253">
        <v>-16.81665933</v>
      </c>
      <c r="BQ26" s="253">
        <v>-145.84896329</v>
      </c>
      <c r="BR26" s="253">
        <f>-203.2747145-SUM(BP26:BQ26)</f>
        <v>-40.60909188</v>
      </c>
      <c r="BS26" s="316">
        <v>0</v>
      </c>
      <c r="BT26" s="253">
        <v>0</v>
      </c>
      <c r="BU26" s="298">
        <v>0</v>
      </c>
      <c r="BV26" s="298">
        <v>0</v>
      </c>
      <c r="BW26" s="379">
        <v>0</v>
      </c>
      <c r="BX26" s="298">
        <v>0</v>
      </c>
      <c r="BY26" s="298">
        <v>0</v>
      </c>
      <c r="BZ26" s="298">
        <v>0</v>
      </c>
      <c r="CA26" s="379">
        <v>0</v>
      </c>
      <c r="CB26" s="298">
        <v>0</v>
      </c>
      <c r="CC26" s="298">
        <v>0</v>
      </c>
      <c r="CD26" s="298">
        <v>0</v>
      </c>
      <c r="CE26" s="379">
        <v>0</v>
      </c>
      <c r="CF26" s="272"/>
      <c r="CG26" s="384"/>
      <c r="CH26" s="96"/>
      <c r="CI26" s="96"/>
      <c r="CJ26" s="96"/>
      <c r="CK26" s="96"/>
      <c r="CL26" s="96"/>
      <c r="CM26" s="96"/>
      <c r="CN26" s="96"/>
      <c r="CO26" s="96"/>
      <c r="CP26" s="96"/>
      <c r="CQ26" s="96"/>
      <c r="CR26" s="96"/>
      <c r="CS26" s="96"/>
      <c r="CT26" s="253"/>
      <c r="CU26" s="255"/>
      <c r="CV26" s="255"/>
      <c r="CW26" s="255"/>
      <c r="CX26" s="255"/>
      <c r="CY26" s="255"/>
      <c r="CZ26" s="255"/>
      <c r="DA26" s="255"/>
      <c r="DB26" s="255"/>
      <c r="DC26" s="255"/>
      <c r="DD26" s="255"/>
      <c r="DE26" s="255"/>
      <c r="DF26" s="255"/>
      <c r="DG26" s="255"/>
      <c r="DH26" s="255"/>
      <c r="DI26" s="255"/>
      <c r="DJ26" s="255"/>
      <c r="DK26" s="255"/>
      <c r="DL26" s="255"/>
      <c r="DM26" s="255"/>
      <c r="DN26" s="255"/>
      <c r="DO26" s="255"/>
      <c r="DP26" s="255"/>
    </row>
    <row r="27" spans="1:120">
      <c r="A27" s="250"/>
      <c r="B27" s="253" t="s">
        <v>705</v>
      </c>
      <c r="C27" s="253"/>
      <c r="D27" s="253"/>
      <c r="E27" s="253">
        <v>0</v>
      </c>
      <c r="F27" s="253">
        <v>0</v>
      </c>
      <c r="G27" s="253">
        <v>0</v>
      </c>
      <c r="H27" s="253">
        <v>0</v>
      </c>
      <c r="I27" s="253">
        <v>0</v>
      </c>
      <c r="J27" s="253">
        <v>0</v>
      </c>
      <c r="K27" s="253">
        <f t="shared" ref="K27:O27" si="37">SUMIF($X$3:$BC$3,K$4,$X27:$BC27)</f>
        <v>0.0014594</v>
      </c>
      <c r="L27" s="253">
        <f t="shared" si="37"/>
        <v>-0.00519486</v>
      </c>
      <c r="M27" s="253">
        <f t="shared" si="37"/>
        <v>-0.23568619</v>
      </c>
      <c r="N27" s="253">
        <f t="shared" si="37"/>
        <v>0</v>
      </c>
      <c r="O27" s="253">
        <f t="shared" si="37"/>
        <v>0</v>
      </c>
      <c r="P27" s="253">
        <f t="shared" si="35"/>
        <v>0</v>
      </c>
      <c r="Q27" s="253">
        <f t="shared" si="35"/>
        <v>0</v>
      </c>
      <c r="R27" s="253">
        <f t="shared" si="35"/>
        <v>0</v>
      </c>
      <c r="S27" s="253">
        <f t="shared" si="35"/>
        <v>0</v>
      </c>
      <c r="T27" s="253">
        <f t="shared" si="35"/>
        <v>0</v>
      </c>
      <c r="U27" s="253">
        <f t="shared" si="35"/>
        <v>0</v>
      </c>
      <c r="V27" s="253">
        <f t="shared" si="36"/>
        <v>0</v>
      </c>
      <c r="W27" s="305"/>
      <c r="X27" s="253">
        <v>0</v>
      </c>
      <c r="Y27" s="253">
        <v>0</v>
      </c>
      <c r="Z27" s="253">
        <v>0</v>
      </c>
      <c r="AA27" s="316">
        <v>0</v>
      </c>
      <c r="AB27" s="253">
        <v>0</v>
      </c>
      <c r="AC27" s="253">
        <v>0</v>
      </c>
      <c r="AD27" s="253">
        <v>0</v>
      </c>
      <c r="AE27" s="316">
        <v>0</v>
      </c>
      <c r="AF27" s="253">
        <v>0</v>
      </c>
      <c r="AG27" s="253">
        <v>0</v>
      </c>
      <c r="AH27" s="253">
        <v>0</v>
      </c>
      <c r="AI27" s="316">
        <f>J27-SUM(AF27:AH27)</f>
        <v>0</v>
      </c>
      <c r="AJ27" s="253">
        <v>0</v>
      </c>
      <c r="AK27" s="253">
        <v>0</v>
      </c>
      <c r="AL27" s="253">
        <v>0</v>
      </c>
      <c r="AM27" s="316">
        <v>0.0014594</v>
      </c>
      <c r="AN27" s="253">
        <v>0</v>
      </c>
      <c r="AO27" s="253">
        <v>-0.00028033</v>
      </c>
      <c r="AP27" s="253">
        <v>-0.00491453</v>
      </c>
      <c r="AQ27" s="316">
        <v>0</v>
      </c>
      <c r="AR27" s="253">
        <v>-0.015131</v>
      </c>
      <c r="AS27" s="253">
        <v>0</v>
      </c>
      <c r="AT27" s="253">
        <v>-4.206e-5</v>
      </c>
      <c r="AU27" s="316">
        <v>-0.22051313</v>
      </c>
      <c r="AV27" s="253">
        <v>0</v>
      </c>
      <c r="AW27" s="253">
        <v>0</v>
      </c>
      <c r="AX27" s="253">
        <v>0</v>
      </c>
      <c r="AY27" s="316">
        <v>0</v>
      </c>
      <c r="AZ27" s="253">
        <v>0</v>
      </c>
      <c r="BA27" s="253">
        <v>0</v>
      </c>
      <c r="BB27" s="253">
        <v>0</v>
      </c>
      <c r="BC27" s="316">
        <v>0</v>
      </c>
      <c r="BD27" s="253">
        <v>0</v>
      </c>
      <c r="BE27" s="253">
        <v>0</v>
      </c>
      <c r="BF27" s="253">
        <v>0</v>
      </c>
      <c r="BG27" s="316">
        <v>0</v>
      </c>
      <c r="BH27" s="356">
        <v>0</v>
      </c>
      <c r="BI27" s="253">
        <v>0</v>
      </c>
      <c r="BJ27" s="253">
        <v>0</v>
      </c>
      <c r="BK27" s="316">
        <v>0</v>
      </c>
      <c r="BL27" s="253">
        <v>0</v>
      </c>
      <c r="BM27" s="253">
        <v>0</v>
      </c>
      <c r="BN27" s="253">
        <v>0</v>
      </c>
      <c r="BO27" s="316">
        <v>0</v>
      </c>
      <c r="BP27" s="253">
        <v>0</v>
      </c>
      <c r="BQ27" s="253">
        <v>0</v>
      </c>
      <c r="BR27" s="253">
        <v>0</v>
      </c>
      <c r="BS27" s="316"/>
      <c r="BT27" s="253"/>
      <c r="BU27" s="253"/>
      <c r="BV27" s="253"/>
      <c r="BW27" s="316"/>
      <c r="BX27" s="253"/>
      <c r="BY27" s="253"/>
      <c r="BZ27" s="253"/>
      <c r="CA27" s="316"/>
      <c r="CB27" s="253"/>
      <c r="CC27" s="253"/>
      <c r="CD27" s="253"/>
      <c r="CE27" s="316"/>
      <c r="CF27" s="253"/>
      <c r="CG27" s="384"/>
      <c r="CH27" s="96"/>
      <c r="CI27" s="96"/>
      <c r="CJ27" s="96"/>
      <c r="CK27" s="96"/>
      <c r="CL27" s="96"/>
      <c r="CM27" s="96"/>
      <c r="CN27" s="96"/>
      <c r="CO27" s="96"/>
      <c r="CP27" s="96"/>
      <c r="CQ27" s="96"/>
      <c r="CR27" s="96"/>
      <c r="CS27" s="96"/>
      <c r="CT27" s="253"/>
      <c r="CU27" s="305"/>
      <c r="CV27" s="305"/>
      <c r="CW27" s="305"/>
      <c r="CX27" s="305"/>
      <c r="CY27" s="305"/>
      <c r="CZ27" s="305"/>
      <c r="DA27" s="305"/>
      <c r="DB27" s="305"/>
      <c r="DC27" s="305"/>
      <c r="DD27" s="305"/>
      <c r="DE27" s="305"/>
      <c r="DF27" s="305"/>
      <c r="DG27" s="305"/>
      <c r="DH27" s="305"/>
      <c r="DI27" s="305"/>
      <c r="DJ27" s="305"/>
      <c r="DK27" s="305"/>
      <c r="DL27" s="305"/>
      <c r="DM27" s="305"/>
      <c r="DN27" s="305"/>
      <c r="DO27" s="305"/>
      <c r="DP27" s="305"/>
    </row>
    <row r="28" spans="1:120">
      <c r="A28" s="250"/>
      <c r="B28" s="253" t="s">
        <v>706</v>
      </c>
      <c r="C28" s="269"/>
      <c r="D28" s="269"/>
      <c r="E28" s="269">
        <v>-1.27598484</v>
      </c>
      <c r="F28" s="269">
        <v>0.87583712</v>
      </c>
      <c r="G28" s="269">
        <v>0.63505934</v>
      </c>
      <c r="H28" s="269">
        <v>-0.39697851</v>
      </c>
      <c r="I28" s="269">
        <v>-1.24951794</v>
      </c>
      <c r="J28" s="269">
        <v>2.24596487</v>
      </c>
      <c r="K28" s="288">
        <v>-1.07931351</v>
      </c>
      <c r="L28" s="288">
        <v>8.86973174</v>
      </c>
      <c r="M28" s="288">
        <v>1.64063422</v>
      </c>
      <c r="N28" s="288">
        <v>-10.81967411</v>
      </c>
      <c r="O28" s="288">
        <v>-16.9819294</v>
      </c>
      <c r="P28" s="253">
        <f t="shared" si="35"/>
        <v>103.00442116</v>
      </c>
      <c r="Q28" s="253">
        <f t="shared" si="35"/>
        <v>35.23513273</v>
      </c>
      <c r="R28" s="253">
        <f t="shared" si="35"/>
        <v>107.8526341</v>
      </c>
      <c r="S28" s="253">
        <f t="shared" si="35"/>
        <v>-292.07133865</v>
      </c>
      <c r="T28" s="253">
        <f t="shared" si="35"/>
        <v>0</v>
      </c>
      <c r="U28" s="253">
        <f t="shared" si="35"/>
        <v>0</v>
      </c>
      <c r="V28" s="253">
        <f t="shared" si="36"/>
        <v>0</v>
      </c>
      <c r="W28" s="305"/>
      <c r="X28" s="269">
        <v>0</v>
      </c>
      <c r="Y28" s="253">
        <v>0</v>
      </c>
      <c r="Z28" s="253">
        <v>0</v>
      </c>
      <c r="AA28" s="316">
        <v>0</v>
      </c>
      <c r="AB28" s="253">
        <v>-0.03317053</v>
      </c>
      <c r="AC28" s="253">
        <v>-0.23142713</v>
      </c>
      <c r="AD28" s="253">
        <v>-1.20829996</v>
      </c>
      <c r="AE28" s="316">
        <v>0.22337968</v>
      </c>
      <c r="AF28" s="253">
        <v>0.22431057</v>
      </c>
      <c r="AG28" s="253">
        <v>0.42130472</v>
      </c>
      <c r="AH28" s="253">
        <v>0.49871425</v>
      </c>
      <c r="AI28" s="316">
        <v>1.10163533</v>
      </c>
      <c r="AJ28" s="253">
        <v>-0.0815715</v>
      </c>
      <c r="AK28" s="253">
        <v>-0.17061527</v>
      </c>
      <c r="AL28" s="253">
        <v>-0.75027908</v>
      </c>
      <c r="AM28" s="316">
        <v>-0.07684766</v>
      </c>
      <c r="AN28" s="253">
        <v>-1.510638905</v>
      </c>
      <c r="AO28" s="253">
        <v>5.432104585</v>
      </c>
      <c r="AP28" s="253">
        <v>5.92922373</v>
      </c>
      <c r="AQ28" s="316">
        <v>-0.74069781</v>
      </c>
      <c r="AR28" s="253">
        <v>-3.63363418</v>
      </c>
      <c r="AS28" s="253">
        <v>3.46050565</v>
      </c>
      <c r="AT28" s="253">
        <v>5.76946602</v>
      </c>
      <c r="AU28" s="316">
        <v>-3.95570327</v>
      </c>
      <c r="AV28" s="253">
        <v>2.27175443</v>
      </c>
      <c r="AW28" s="253">
        <v>-0.79329007</v>
      </c>
      <c r="AX28" s="253">
        <v>-1.66497823</v>
      </c>
      <c r="AY28" s="316">
        <v>-10.63316024</v>
      </c>
      <c r="AZ28" s="253">
        <v>3.18678651</v>
      </c>
      <c r="BA28" s="253">
        <v>-6.82541449</v>
      </c>
      <c r="BB28" s="253">
        <v>1.63218984</v>
      </c>
      <c r="BC28" s="316">
        <v>-14.97549126</v>
      </c>
      <c r="BD28" s="253">
        <v>-3.36350522</v>
      </c>
      <c r="BE28" s="253">
        <v>62.1026712</v>
      </c>
      <c r="BF28" s="253">
        <v>85.30309289</v>
      </c>
      <c r="BG28" s="316">
        <v>-41.03783771</v>
      </c>
      <c r="BH28" s="356">
        <v>-25.58334417</v>
      </c>
      <c r="BI28" s="253">
        <v>95.36052374</v>
      </c>
      <c r="BJ28" s="253">
        <v>-15.39804223</v>
      </c>
      <c r="BK28" s="316">
        <v>-19.14400461</v>
      </c>
      <c r="BL28" s="253">
        <v>-1.83229304</v>
      </c>
      <c r="BM28" s="253">
        <v>22.83382462</v>
      </c>
      <c r="BN28" s="253">
        <v>8.08699052</v>
      </c>
      <c r="BO28" s="316">
        <v>78.764112</v>
      </c>
      <c r="BP28" s="253">
        <v>25.62148123</v>
      </c>
      <c r="BQ28" s="253">
        <v>166.33529664</v>
      </c>
      <c r="BR28" s="253">
        <f>-255.41106663-SUM(BP23:BR23,BP28:BQ28)</f>
        <v>-484.02811652</v>
      </c>
      <c r="BS28" s="316">
        <v>0</v>
      </c>
      <c r="BT28" s="253">
        <v>0</v>
      </c>
      <c r="BU28" s="298">
        <v>0</v>
      </c>
      <c r="BV28" s="298">
        <v>0</v>
      </c>
      <c r="BW28" s="379">
        <v>0</v>
      </c>
      <c r="BX28" s="298">
        <v>0</v>
      </c>
      <c r="BY28" s="298">
        <v>0</v>
      </c>
      <c r="BZ28" s="298">
        <v>0</v>
      </c>
      <c r="CA28" s="379">
        <v>0</v>
      </c>
      <c r="CB28" s="298">
        <v>0</v>
      </c>
      <c r="CC28" s="298">
        <v>0</v>
      </c>
      <c r="CD28" s="298">
        <v>0</v>
      </c>
      <c r="CE28" s="379">
        <v>0</v>
      </c>
      <c r="CF28" s="272"/>
      <c r="CG28" s="272"/>
      <c r="CH28" s="96"/>
      <c r="CI28" s="96"/>
      <c r="CJ28" s="96"/>
      <c r="CK28" s="96"/>
      <c r="CL28" s="96"/>
      <c r="CM28" s="96"/>
      <c r="CN28" s="96"/>
      <c r="CO28" s="96"/>
      <c r="CP28" s="96"/>
      <c r="CQ28" s="96"/>
      <c r="CR28" s="96"/>
      <c r="CS28" s="96"/>
      <c r="CT28" s="253"/>
      <c r="CU28" s="255"/>
      <c r="CV28" s="255"/>
      <c r="CW28" s="255"/>
      <c r="CX28" s="255"/>
      <c r="CY28" s="255"/>
      <c r="CZ28" s="255"/>
      <c r="DA28" s="255"/>
      <c r="DB28" s="255"/>
      <c r="DC28" s="255"/>
      <c r="DD28" s="255"/>
      <c r="DE28" s="255"/>
      <c r="DF28" s="255"/>
      <c r="DG28" s="255"/>
      <c r="DH28" s="255"/>
      <c r="DI28" s="255"/>
      <c r="DJ28" s="255"/>
      <c r="DK28" s="255"/>
      <c r="DL28" s="255"/>
      <c r="DM28" s="255"/>
      <c r="DN28" s="255"/>
      <c r="DO28" s="255"/>
      <c r="DP28" s="255"/>
    </row>
    <row r="29" spans="1:120">
      <c r="A29" s="250"/>
      <c r="B29" s="253" t="s">
        <v>707</v>
      </c>
      <c r="C29" s="253"/>
      <c r="D29" s="253"/>
      <c r="E29" s="253">
        <v>0</v>
      </c>
      <c r="F29" s="253">
        <v>0</v>
      </c>
      <c r="G29" s="253">
        <v>0</v>
      </c>
      <c r="H29" s="253">
        <f t="shared" ref="H29:O29" si="38">SUMIF($X$3:$BC$3,H$4,$X29:$BC29)</f>
        <v>0</v>
      </c>
      <c r="I29" s="253">
        <f t="shared" si="38"/>
        <v>0</v>
      </c>
      <c r="J29" s="253">
        <f t="shared" si="38"/>
        <v>0</v>
      </c>
      <c r="K29" s="253">
        <f t="shared" si="38"/>
        <v>0</v>
      </c>
      <c r="L29" s="253">
        <f t="shared" si="38"/>
        <v>-3.1526989</v>
      </c>
      <c r="M29" s="253">
        <f t="shared" si="38"/>
        <v>-1.31658562</v>
      </c>
      <c r="N29" s="253">
        <f t="shared" si="38"/>
        <v>0.28141801</v>
      </c>
      <c r="O29" s="253">
        <f t="shared" si="38"/>
        <v>-3.75628633</v>
      </c>
      <c r="P29" s="253">
        <f t="shared" si="35"/>
        <v>-1.97634996</v>
      </c>
      <c r="Q29" s="253">
        <f t="shared" si="35"/>
        <v>0</v>
      </c>
      <c r="R29" s="253">
        <f t="shared" si="35"/>
        <v>0</v>
      </c>
      <c r="S29" s="253">
        <f t="shared" si="35"/>
        <v>0</v>
      </c>
      <c r="T29" s="253">
        <f t="shared" si="35"/>
        <v>0</v>
      </c>
      <c r="U29" s="253">
        <f t="shared" si="35"/>
        <v>0</v>
      </c>
      <c r="V29" s="253">
        <f t="shared" si="36"/>
        <v>0</v>
      </c>
      <c r="W29" s="253"/>
      <c r="X29" s="253">
        <v>0</v>
      </c>
      <c r="Y29" s="253">
        <v>0</v>
      </c>
      <c r="Z29" s="253">
        <v>0</v>
      </c>
      <c r="AA29" s="316">
        <v>0</v>
      </c>
      <c r="AB29" s="253">
        <v>0</v>
      </c>
      <c r="AC29" s="253">
        <v>0</v>
      </c>
      <c r="AD29" s="253">
        <v>0</v>
      </c>
      <c r="AE29" s="316">
        <v>0</v>
      </c>
      <c r="AF29" s="253">
        <v>0</v>
      </c>
      <c r="AG29" s="253">
        <v>0</v>
      </c>
      <c r="AH29" s="253">
        <v>0</v>
      </c>
      <c r="AI29" s="316">
        <v>0</v>
      </c>
      <c r="AJ29" s="253">
        <v>0</v>
      </c>
      <c r="AK29" s="253">
        <v>0</v>
      </c>
      <c r="AL29" s="253">
        <v>0</v>
      </c>
      <c r="AM29" s="316">
        <v>0</v>
      </c>
      <c r="AN29" s="253">
        <v>0</v>
      </c>
      <c r="AO29" s="253">
        <v>0</v>
      </c>
      <c r="AP29" s="253">
        <v>0</v>
      </c>
      <c r="AQ29" s="316">
        <v>-3.1526989</v>
      </c>
      <c r="AR29" s="253">
        <v>-1.27427729</v>
      </c>
      <c r="AS29" s="253">
        <v>-0.66912725</v>
      </c>
      <c r="AT29" s="253">
        <v>-1.13648248</v>
      </c>
      <c r="AU29" s="316">
        <v>1.7633014</v>
      </c>
      <c r="AV29" s="253">
        <v>0.79623006</v>
      </c>
      <c r="AW29" s="253">
        <v>0.95373568</v>
      </c>
      <c r="AX29" s="253">
        <v>-1.59170595</v>
      </c>
      <c r="AY29" s="316">
        <v>0.12315822</v>
      </c>
      <c r="AZ29" s="253">
        <v>-0.11154186</v>
      </c>
      <c r="BA29" s="253">
        <v>-2.16414028</v>
      </c>
      <c r="BB29" s="253">
        <v>-0.74584312</v>
      </c>
      <c r="BC29" s="316">
        <v>-0.73476107</v>
      </c>
      <c r="BD29" s="253">
        <v>-2.34363881</v>
      </c>
      <c r="BE29" s="253">
        <v>-1.01602688</v>
      </c>
      <c r="BF29" s="253">
        <v>0</v>
      </c>
      <c r="BG29" s="316">
        <v>1.38331573</v>
      </c>
      <c r="BH29" s="356">
        <v>0</v>
      </c>
      <c r="BI29" s="253">
        <v>0</v>
      </c>
      <c r="BJ29" s="253">
        <v>0</v>
      </c>
      <c r="BK29" s="316">
        <v>0</v>
      </c>
      <c r="BL29" s="253">
        <v>0</v>
      </c>
      <c r="BM29" s="253">
        <v>0</v>
      </c>
      <c r="BN29" s="253">
        <v>0</v>
      </c>
      <c r="BO29" s="316">
        <v>0</v>
      </c>
      <c r="BP29" s="253">
        <v>0</v>
      </c>
      <c r="BQ29" s="253">
        <v>0</v>
      </c>
      <c r="BR29" s="253">
        <v>0</v>
      </c>
      <c r="BS29" s="316">
        <v>0</v>
      </c>
      <c r="BT29" s="253">
        <v>0</v>
      </c>
      <c r="BU29" s="298">
        <v>0</v>
      </c>
      <c r="BV29" s="298">
        <v>0</v>
      </c>
      <c r="BW29" s="379">
        <v>0</v>
      </c>
      <c r="BX29" s="298">
        <v>0</v>
      </c>
      <c r="BY29" s="298">
        <v>0</v>
      </c>
      <c r="BZ29" s="298">
        <v>0</v>
      </c>
      <c r="CA29" s="379">
        <v>0</v>
      </c>
      <c r="CB29" s="298">
        <v>0</v>
      </c>
      <c r="CC29" s="298">
        <v>0</v>
      </c>
      <c r="CD29" s="298">
        <v>0</v>
      </c>
      <c r="CE29" s="379">
        <v>0</v>
      </c>
      <c r="CF29" s="272"/>
      <c r="CG29" s="272"/>
      <c r="CH29" s="96"/>
      <c r="CI29" s="96"/>
      <c r="CJ29" s="96"/>
      <c r="CK29" s="96"/>
      <c r="CL29" s="96"/>
      <c r="CM29" s="96"/>
      <c r="CN29" s="96"/>
      <c r="CO29" s="96"/>
      <c r="CP29" s="96"/>
      <c r="CQ29" s="96"/>
      <c r="CR29" s="96"/>
      <c r="CS29" s="96"/>
      <c r="CT29" s="253"/>
      <c r="CU29" s="255"/>
      <c r="CV29" s="255"/>
      <c r="CW29" s="255"/>
      <c r="CX29" s="255"/>
      <c r="CY29" s="255"/>
      <c r="CZ29" s="255"/>
      <c r="DA29" s="255"/>
      <c r="DB29" s="255"/>
      <c r="DC29" s="255"/>
      <c r="DD29" s="255"/>
      <c r="DE29" s="255"/>
      <c r="DF29" s="255"/>
      <c r="DG29" s="255"/>
      <c r="DH29" s="255"/>
      <c r="DI29" s="255"/>
      <c r="DJ29" s="255"/>
      <c r="DK29" s="255"/>
      <c r="DL29" s="255"/>
      <c r="DM29" s="255"/>
      <c r="DN29" s="255"/>
      <c r="DO29" s="255"/>
      <c r="DP29" s="255"/>
    </row>
    <row r="30" spans="1:120">
      <c r="A30" s="250"/>
      <c r="B30" s="253" t="s">
        <v>708</v>
      </c>
      <c r="C30" s="253"/>
      <c r="D30" s="253"/>
      <c r="E30" s="253">
        <v>0</v>
      </c>
      <c r="F30" s="253">
        <v>0</v>
      </c>
      <c r="G30" s="253">
        <v>0</v>
      </c>
      <c r="H30" s="253">
        <v>0</v>
      </c>
      <c r="I30" s="253">
        <v>0</v>
      </c>
      <c r="J30" s="253">
        <v>0</v>
      </c>
      <c r="K30" s="253">
        <v>0</v>
      </c>
      <c r="L30" s="253">
        <v>0</v>
      </c>
      <c r="M30" s="253">
        <v>0</v>
      </c>
      <c r="N30" s="253">
        <v>0</v>
      </c>
      <c r="O30" s="253">
        <v>0</v>
      </c>
      <c r="P30" s="253">
        <f t="shared" si="35"/>
        <v>0</v>
      </c>
      <c r="Q30" s="253">
        <f t="shared" si="35"/>
        <v>2</v>
      </c>
      <c r="R30" s="253">
        <f t="shared" si="35"/>
        <v>10</v>
      </c>
      <c r="S30" s="253">
        <f t="shared" si="35"/>
        <v>10</v>
      </c>
      <c r="T30" s="253">
        <f t="shared" si="35"/>
        <v>0</v>
      </c>
      <c r="U30" s="253">
        <f t="shared" si="35"/>
        <v>0</v>
      </c>
      <c r="V30" s="253">
        <f t="shared" si="36"/>
        <v>0</v>
      </c>
      <c r="W30" s="253"/>
      <c r="X30" s="253">
        <v>0</v>
      </c>
      <c r="Y30" s="253">
        <v>0</v>
      </c>
      <c r="Z30" s="253">
        <v>0</v>
      </c>
      <c r="AA30" s="316">
        <v>0</v>
      </c>
      <c r="AB30" s="253">
        <v>0</v>
      </c>
      <c r="AC30" s="253">
        <v>0</v>
      </c>
      <c r="AD30" s="253">
        <v>0</v>
      </c>
      <c r="AE30" s="316">
        <v>0</v>
      </c>
      <c r="AF30" s="253">
        <v>0</v>
      </c>
      <c r="AG30" s="253">
        <v>0</v>
      </c>
      <c r="AH30" s="253">
        <v>0</v>
      </c>
      <c r="AI30" s="316">
        <v>0</v>
      </c>
      <c r="AJ30" s="253">
        <v>0</v>
      </c>
      <c r="AK30" s="253">
        <v>0</v>
      </c>
      <c r="AL30" s="253">
        <v>0</v>
      </c>
      <c r="AM30" s="316">
        <v>0</v>
      </c>
      <c r="AN30" s="253">
        <v>0</v>
      </c>
      <c r="AO30" s="253">
        <v>0</v>
      </c>
      <c r="AP30" s="253">
        <v>0</v>
      </c>
      <c r="AQ30" s="316">
        <v>0</v>
      </c>
      <c r="AR30" s="253">
        <v>0</v>
      </c>
      <c r="AS30" s="253">
        <v>0</v>
      </c>
      <c r="AT30" s="253">
        <v>0</v>
      </c>
      <c r="AU30" s="316">
        <v>0</v>
      </c>
      <c r="AV30" s="253">
        <v>0</v>
      </c>
      <c r="AW30" s="253">
        <v>0</v>
      </c>
      <c r="AX30" s="253">
        <v>0</v>
      </c>
      <c r="AY30" s="316">
        <v>0</v>
      </c>
      <c r="AZ30" s="253">
        <v>0</v>
      </c>
      <c r="BA30" s="253">
        <v>0</v>
      </c>
      <c r="BB30" s="253">
        <v>0</v>
      </c>
      <c r="BC30" s="316">
        <v>0</v>
      </c>
      <c r="BD30" s="253">
        <v>0</v>
      </c>
      <c r="BE30" s="253">
        <v>0</v>
      </c>
      <c r="BF30" s="253">
        <v>0</v>
      </c>
      <c r="BG30" s="316">
        <v>0</v>
      </c>
      <c r="BH30" s="356">
        <v>0</v>
      </c>
      <c r="BI30" s="253">
        <v>0</v>
      </c>
      <c r="BJ30" s="253">
        <v>1</v>
      </c>
      <c r="BK30" s="316">
        <v>1</v>
      </c>
      <c r="BL30" s="253">
        <v>1</v>
      </c>
      <c r="BM30" s="253">
        <v>2</v>
      </c>
      <c r="BN30" s="253">
        <v>3</v>
      </c>
      <c r="BO30" s="316">
        <v>4</v>
      </c>
      <c r="BP30" s="253">
        <v>5</v>
      </c>
      <c r="BQ30" s="253">
        <v>5</v>
      </c>
      <c r="BR30" s="253">
        <v>0</v>
      </c>
      <c r="BS30" s="316">
        <v>0</v>
      </c>
      <c r="BT30" s="253">
        <v>0</v>
      </c>
      <c r="BU30" s="298">
        <v>0</v>
      </c>
      <c r="BV30" s="298">
        <v>0</v>
      </c>
      <c r="BW30" s="379">
        <v>0</v>
      </c>
      <c r="BX30" s="298">
        <v>0</v>
      </c>
      <c r="BY30" s="298">
        <v>0</v>
      </c>
      <c r="BZ30" s="298">
        <v>0</v>
      </c>
      <c r="CA30" s="379">
        <v>0</v>
      </c>
      <c r="CB30" s="298">
        <v>0</v>
      </c>
      <c r="CC30" s="298">
        <v>0</v>
      </c>
      <c r="CD30" s="298">
        <v>0</v>
      </c>
      <c r="CE30" s="379">
        <v>0</v>
      </c>
      <c r="CF30" s="272"/>
      <c r="CG30" s="272"/>
      <c r="CH30" s="96"/>
      <c r="CI30" s="96"/>
      <c r="CJ30" s="96"/>
      <c r="CK30" s="96"/>
      <c r="CL30" s="96"/>
      <c r="CM30" s="96"/>
      <c r="CN30" s="96"/>
      <c r="CO30" s="96"/>
      <c r="CP30" s="96"/>
      <c r="CQ30" s="96"/>
      <c r="CR30" s="96"/>
      <c r="CS30" s="96"/>
      <c r="CT30" s="253"/>
      <c r="CU30" s="255"/>
      <c r="CV30" s="255"/>
      <c r="CW30" s="255"/>
      <c r="CX30" s="255"/>
      <c r="CY30" s="255"/>
      <c r="CZ30" s="255"/>
      <c r="DA30" s="255"/>
      <c r="DB30" s="255"/>
      <c r="DC30" s="255"/>
      <c r="DD30" s="255"/>
      <c r="DE30" s="255"/>
      <c r="DF30" s="255"/>
      <c r="DG30" s="255"/>
      <c r="DH30" s="255"/>
      <c r="DI30" s="255"/>
      <c r="DJ30" s="255"/>
      <c r="DK30" s="255"/>
      <c r="DL30" s="255"/>
      <c r="DM30" s="255"/>
      <c r="DN30" s="255"/>
      <c r="DO30" s="255"/>
      <c r="DP30" s="255"/>
    </row>
    <row r="31" spans="1:120">
      <c r="A31" s="250"/>
      <c r="B31" s="253" t="s">
        <v>709</v>
      </c>
      <c r="C31" s="253"/>
      <c r="D31" s="253"/>
      <c r="E31" s="253">
        <f t="shared" ref="E31:O31" si="39">+E32-E23-E26-E27-E29-E30-E28</f>
        <v>1.64259021000004</v>
      </c>
      <c r="F31" s="253">
        <f t="shared" si="39"/>
        <v>1.10033920000003</v>
      </c>
      <c r="G31" s="253">
        <f t="shared" si="39"/>
        <v>2.82407299000006</v>
      </c>
      <c r="H31" s="253">
        <f t="shared" si="39"/>
        <v>4.24690275000005</v>
      </c>
      <c r="I31" s="253">
        <f t="shared" si="39"/>
        <v>5.31712577999993</v>
      </c>
      <c r="J31" s="253">
        <f t="shared" si="39"/>
        <v>10.9149221300001</v>
      </c>
      <c r="K31" s="253">
        <f t="shared" si="39"/>
        <v>14.46454042</v>
      </c>
      <c r="L31" s="253">
        <f t="shared" si="39"/>
        <v>11.1823712200001</v>
      </c>
      <c r="M31" s="253">
        <f t="shared" si="39"/>
        <v>-40.2512007599999</v>
      </c>
      <c r="N31" s="253">
        <f t="shared" si="39"/>
        <v>35.80354946</v>
      </c>
      <c r="O31" s="253">
        <f t="shared" si="39"/>
        <v>65.0041741599998</v>
      </c>
      <c r="P31" s="253">
        <f t="shared" si="35"/>
        <v>151.16891942</v>
      </c>
      <c r="Q31" s="253">
        <f t="shared" si="35"/>
        <v>-0.00736914999998106</v>
      </c>
      <c r="R31" s="253">
        <f t="shared" si="35"/>
        <v>-0.7040533300001</v>
      </c>
      <c r="S31" s="253">
        <f t="shared" si="35"/>
        <v>565.849093080001</v>
      </c>
      <c r="T31" s="253">
        <f t="shared" si="35"/>
        <v>153.11671241</v>
      </c>
      <c r="U31" s="253">
        <f t="shared" si="35"/>
        <v>0</v>
      </c>
      <c r="V31" s="253">
        <f t="shared" si="36"/>
        <v>0</v>
      </c>
      <c r="W31" s="303"/>
      <c r="X31" s="253">
        <f t="shared" ref="X31:BR31" si="40">+X32-X23-X26-X27-X29-X30-X28</f>
        <v>0</v>
      </c>
      <c r="Y31" s="253">
        <f t="shared" si="40"/>
        <v>0</v>
      </c>
      <c r="Z31" s="253">
        <f t="shared" si="40"/>
        <v>0</v>
      </c>
      <c r="AA31" s="316">
        <f t="shared" si="40"/>
        <v>0</v>
      </c>
      <c r="AB31" s="253">
        <f t="shared" si="40"/>
        <v>0.519784009999991</v>
      </c>
      <c r="AC31" s="253">
        <f t="shared" si="40"/>
        <v>2.44936448000001</v>
      </c>
      <c r="AD31" s="253">
        <f t="shared" si="40"/>
        <v>0.476780979999991</v>
      </c>
      <c r="AE31" s="316">
        <f t="shared" si="40"/>
        <v>1.87119630999998</v>
      </c>
      <c r="AF31" s="253">
        <f t="shared" si="40"/>
        <v>1.08539293000002</v>
      </c>
      <c r="AG31" s="253">
        <f t="shared" si="40"/>
        <v>3.16189922</v>
      </c>
      <c r="AH31" s="253">
        <f t="shared" si="40"/>
        <v>3.32797567000002</v>
      </c>
      <c r="AI31" s="316">
        <f t="shared" si="40"/>
        <v>3.33965431</v>
      </c>
      <c r="AJ31" s="253">
        <f t="shared" si="40"/>
        <v>2.81837129999997</v>
      </c>
      <c r="AK31" s="253">
        <f t="shared" si="40"/>
        <v>4.06143057999996</v>
      </c>
      <c r="AL31" s="253">
        <f t="shared" si="40"/>
        <v>0.738072139999991</v>
      </c>
      <c r="AM31" s="316">
        <f t="shared" si="40"/>
        <v>6.84666640000002</v>
      </c>
      <c r="AN31" s="253">
        <f t="shared" si="40"/>
        <v>2.50745031999999</v>
      </c>
      <c r="AO31" s="253">
        <f t="shared" si="40"/>
        <v>1.64507593000003</v>
      </c>
      <c r="AP31" s="253">
        <f t="shared" si="40"/>
        <v>1.31391797000002</v>
      </c>
      <c r="AQ31" s="316">
        <f t="shared" si="40"/>
        <v>5.715927</v>
      </c>
      <c r="AR31" s="253">
        <f t="shared" si="40"/>
        <v>2.07286255000003</v>
      </c>
      <c r="AS31" s="253">
        <f t="shared" si="40"/>
        <v>2.54578864999999</v>
      </c>
      <c r="AT31" s="253">
        <f t="shared" si="40"/>
        <v>-17.1520070400001</v>
      </c>
      <c r="AU31" s="316">
        <f t="shared" si="40"/>
        <v>-29.17653151</v>
      </c>
      <c r="AV31" s="253">
        <f t="shared" si="40"/>
        <v>6.24866503999996</v>
      </c>
      <c r="AW31" s="253">
        <f t="shared" si="40"/>
        <v>-7.49571922999996</v>
      </c>
      <c r="AX31" s="253">
        <f t="shared" si="40"/>
        <v>4.45744018999999</v>
      </c>
      <c r="AY31" s="316">
        <f t="shared" si="40"/>
        <v>32.59316346</v>
      </c>
      <c r="AZ31" s="253">
        <f t="shared" si="40"/>
        <v>-2.97147958999996</v>
      </c>
      <c r="BA31" s="253">
        <f t="shared" si="40"/>
        <v>19.0754464199999</v>
      </c>
      <c r="BB31" s="253">
        <f t="shared" si="40"/>
        <v>19.63418978</v>
      </c>
      <c r="BC31" s="316">
        <f t="shared" si="40"/>
        <v>29.26601755</v>
      </c>
      <c r="BD31" s="253">
        <f t="shared" si="40"/>
        <v>-5.96391819000008</v>
      </c>
      <c r="BE31" s="253">
        <f t="shared" si="40"/>
        <v>141.12121969</v>
      </c>
      <c r="BF31" s="253">
        <f t="shared" si="40"/>
        <v>7.84845598000011</v>
      </c>
      <c r="BG31" s="316">
        <f t="shared" si="40"/>
        <v>8.16316193999998</v>
      </c>
      <c r="BH31" s="356">
        <f t="shared" si="40"/>
        <v>2.19661634000003</v>
      </c>
      <c r="BI31" s="253">
        <f t="shared" si="40"/>
        <v>2.27521921999998</v>
      </c>
      <c r="BJ31" s="253">
        <f t="shared" si="40"/>
        <v>0.204578099999949</v>
      </c>
      <c r="BK31" s="316">
        <f t="shared" si="40"/>
        <v>-4.68378280999994</v>
      </c>
      <c r="BL31" s="253">
        <f t="shared" si="40"/>
        <v>-0.48240189999991</v>
      </c>
      <c r="BM31" s="253">
        <f t="shared" si="40"/>
        <v>-1.94310249000013</v>
      </c>
      <c r="BN31" s="253">
        <f t="shared" si="40"/>
        <v>-0.863496300000051</v>
      </c>
      <c r="BO31" s="316">
        <f t="shared" si="40"/>
        <v>2.58494735999999</v>
      </c>
      <c r="BP31" s="253">
        <f t="shared" si="40"/>
        <v>-0.961372539999683</v>
      </c>
      <c r="BQ31" s="253">
        <f t="shared" si="40"/>
        <v>0.337401589999075</v>
      </c>
      <c r="BR31" s="253">
        <f t="shared" si="40"/>
        <v>530.981781830003</v>
      </c>
      <c r="BS31" s="253">
        <f t="shared" ref="BS31:BT31" si="41">+BS32-BS23-BS26-BS27-BS29-BS30-BS28</f>
        <v>35.4912821999982</v>
      </c>
      <c r="BT31" s="253">
        <f t="shared" si="41"/>
        <v>-596.88328759</v>
      </c>
      <c r="BU31" s="298">
        <v>200</v>
      </c>
      <c r="BV31" s="298">
        <v>250</v>
      </c>
      <c r="BW31" s="298">
        <v>300</v>
      </c>
      <c r="BX31" s="298">
        <v>0</v>
      </c>
      <c r="BY31" s="298">
        <v>0</v>
      </c>
      <c r="BZ31" s="298">
        <v>0</v>
      </c>
      <c r="CA31" s="379">
        <v>0</v>
      </c>
      <c r="CB31" s="298">
        <v>0</v>
      </c>
      <c r="CC31" s="298">
        <v>0</v>
      </c>
      <c r="CD31" s="298">
        <v>0</v>
      </c>
      <c r="CE31" s="379">
        <v>0</v>
      </c>
      <c r="CF31" s="272"/>
      <c r="CG31" s="272"/>
      <c r="CH31" s="96"/>
      <c r="CI31" s="96"/>
      <c r="CJ31" s="96"/>
      <c r="CK31" s="96"/>
      <c r="CL31" s="96"/>
      <c r="CM31" s="96"/>
      <c r="CN31" s="96"/>
      <c r="CO31" s="96"/>
      <c r="CP31" s="96"/>
      <c r="CQ31" s="96"/>
      <c r="CR31" s="96"/>
      <c r="CS31" s="96"/>
      <c r="CT31" s="253"/>
      <c r="CU31" s="255"/>
      <c r="CV31" s="255"/>
      <c r="CW31" s="255"/>
      <c r="CX31" s="255"/>
      <c r="CY31" s="255"/>
      <c r="CZ31" s="255"/>
      <c r="DA31" s="255"/>
      <c r="DB31" s="255"/>
      <c r="DC31" s="255"/>
      <c r="DD31" s="255"/>
      <c r="DE31" s="255"/>
      <c r="DF31" s="255"/>
      <c r="DG31" s="255"/>
      <c r="DH31" s="255"/>
      <c r="DI31" s="255"/>
      <c r="DJ31" s="255"/>
      <c r="DK31" s="255"/>
      <c r="DL31" s="255"/>
      <c r="DM31" s="255"/>
      <c r="DN31" s="255"/>
      <c r="DO31" s="255"/>
      <c r="DP31" s="255"/>
    </row>
    <row r="32" spans="1:120">
      <c r="A32" s="250"/>
      <c r="B32" s="266" t="s">
        <v>702</v>
      </c>
      <c r="C32" s="257"/>
      <c r="D32" s="257"/>
      <c r="E32" s="257">
        <f t="shared" ref="E32:O32" si="42">+E33-E20</f>
        <v>-4.28497254999996</v>
      </c>
      <c r="F32" s="257">
        <f t="shared" si="42"/>
        <v>-1.51988785999997</v>
      </c>
      <c r="G32" s="257">
        <f t="shared" si="42"/>
        <v>-1.37942802999994</v>
      </c>
      <c r="H32" s="257">
        <f t="shared" si="42"/>
        <v>-2.66374950999995</v>
      </c>
      <c r="I32" s="257">
        <f t="shared" si="42"/>
        <v>-3.12361652000007</v>
      </c>
      <c r="J32" s="257">
        <f t="shared" si="42"/>
        <v>4.35477832000005</v>
      </c>
      <c r="K32" s="257">
        <f t="shared" si="42"/>
        <v>-1.07605833</v>
      </c>
      <c r="L32" s="257">
        <f t="shared" si="42"/>
        <v>-7.57511882999987</v>
      </c>
      <c r="M32" s="257">
        <f t="shared" si="42"/>
        <v>-13.5396524099999</v>
      </c>
      <c r="N32" s="257">
        <f t="shared" si="42"/>
        <v>-17.20925169</v>
      </c>
      <c r="O32" s="257">
        <f t="shared" si="42"/>
        <v>13.3312719699998</v>
      </c>
      <c r="P32" s="257">
        <f t="shared" ref="P32:V32" si="43">SUM(P24:P31)</f>
        <v>145.80286672</v>
      </c>
      <c r="Q32" s="257">
        <f t="shared" si="43"/>
        <v>93.14565013</v>
      </c>
      <c r="R32" s="257">
        <f t="shared" si="43"/>
        <v>109.13345376</v>
      </c>
      <c r="S32" s="257">
        <f t="shared" si="43"/>
        <v>157.265703210001</v>
      </c>
      <c r="T32" s="257">
        <f t="shared" si="43"/>
        <v>185.11671241</v>
      </c>
      <c r="U32" s="257">
        <f t="shared" si="43"/>
        <v>32</v>
      </c>
      <c r="V32" s="257">
        <f t="shared" si="43"/>
        <v>32</v>
      </c>
      <c r="W32" s="303"/>
      <c r="X32" s="257">
        <f t="shared" ref="X32:BR32" si="44">+X33-X20</f>
        <v>0</v>
      </c>
      <c r="Y32" s="257">
        <f t="shared" si="44"/>
        <v>0</v>
      </c>
      <c r="Z32" s="257">
        <f t="shared" si="44"/>
        <v>0</v>
      </c>
      <c r="AA32" s="318">
        <f t="shared" si="44"/>
        <v>0</v>
      </c>
      <c r="AB32" s="257">
        <f t="shared" si="44"/>
        <v>-0.0337027300000088</v>
      </c>
      <c r="AC32" s="257">
        <f t="shared" si="44"/>
        <v>0.539088220000007</v>
      </c>
      <c r="AD32" s="257">
        <f t="shared" si="44"/>
        <v>-2.24535455000001</v>
      </c>
      <c r="AE32" s="318">
        <f t="shared" si="44"/>
        <v>-1.38364746000002</v>
      </c>
      <c r="AF32" s="257">
        <f t="shared" si="44"/>
        <v>0.935318290000023</v>
      </c>
      <c r="AG32" s="257">
        <f t="shared" si="44"/>
        <v>-1.50460154</v>
      </c>
      <c r="AH32" s="257">
        <f t="shared" si="44"/>
        <v>4.25706901000002</v>
      </c>
      <c r="AI32" s="318">
        <f t="shared" si="44"/>
        <v>0.666992560000001</v>
      </c>
      <c r="AJ32" s="257">
        <f t="shared" si="44"/>
        <v>2.40295010999997</v>
      </c>
      <c r="AK32" s="257">
        <f t="shared" si="44"/>
        <v>-2.91661694000004</v>
      </c>
      <c r="AL32" s="257">
        <f t="shared" si="44"/>
        <v>-1.70493958000001</v>
      </c>
      <c r="AM32" s="318">
        <f t="shared" si="44"/>
        <v>1.14254808000002</v>
      </c>
      <c r="AN32" s="257">
        <f t="shared" si="44"/>
        <v>-6.67019947000001</v>
      </c>
      <c r="AO32" s="257">
        <f t="shared" si="44"/>
        <v>-3.42906462999997</v>
      </c>
      <c r="AP32" s="257">
        <f t="shared" si="44"/>
        <v>7.88386927000002</v>
      </c>
      <c r="AQ32" s="318">
        <f t="shared" si="44"/>
        <v>-5.359724</v>
      </c>
      <c r="AR32" s="257">
        <f t="shared" si="44"/>
        <v>-4.52369223999997</v>
      </c>
      <c r="AS32" s="257">
        <f t="shared" si="44"/>
        <v>9.50498536999999</v>
      </c>
      <c r="AT32" s="257">
        <f t="shared" si="44"/>
        <v>-2.01751474000005</v>
      </c>
      <c r="AU32" s="318">
        <f t="shared" si="44"/>
        <v>-16.5034308</v>
      </c>
      <c r="AV32" s="257">
        <f t="shared" si="44"/>
        <v>-2.01876392000004</v>
      </c>
      <c r="AW32" s="257">
        <f t="shared" si="44"/>
        <v>-16.03904539</v>
      </c>
      <c r="AX32" s="257">
        <f t="shared" si="44"/>
        <v>-9.73267512000001</v>
      </c>
      <c r="AY32" s="318">
        <f t="shared" si="44"/>
        <v>10.58123274</v>
      </c>
      <c r="AZ32" s="257">
        <f t="shared" si="44"/>
        <v>-20.61420499</v>
      </c>
      <c r="BA32" s="257">
        <f t="shared" si="44"/>
        <v>-2.70092391000011</v>
      </c>
      <c r="BB32" s="257">
        <f t="shared" si="44"/>
        <v>25.02773419</v>
      </c>
      <c r="BC32" s="318">
        <f t="shared" si="44"/>
        <v>11.61866668</v>
      </c>
      <c r="BD32" s="257">
        <f t="shared" si="44"/>
        <v>-37.5108612100001</v>
      </c>
      <c r="BE32" s="257">
        <f t="shared" si="44"/>
        <v>191.32269981</v>
      </c>
      <c r="BF32" s="257">
        <f t="shared" si="44"/>
        <v>69.0647311600001</v>
      </c>
      <c r="BG32" s="318">
        <f t="shared" si="44"/>
        <v>-77.07370304</v>
      </c>
      <c r="BH32" s="361">
        <f t="shared" si="44"/>
        <v>-17.39988185</v>
      </c>
      <c r="BI32" s="257">
        <f t="shared" si="44"/>
        <v>83.18137562</v>
      </c>
      <c r="BJ32" s="257">
        <f t="shared" si="44"/>
        <v>29.01397345</v>
      </c>
      <c r="BK32" s="318">
        <f t="shared" si="44"/>
        <v>-1.64981708999994</v>
      </c>
      <c r="BL32" s="257">
        <f t="shared" si="44"/>
        <v>9.45186103000009</v>
      </c>
      <c r="BM32" s="257">
        <f t="shared" si="44"/>
        <v>41.2137825099999</v>
      </c>
      <c r="BN32" s="257">
        <f t="shared" si="44"/>
        <v>22.75228003</v>
      </c>
      <c r="BO32" s="318">
        <f t="shared" si="44"/>
        <v>35.71553019</v>
      </c>
      <c r="BP32" s="257">
        <f t="shared" si="44"/>
        <v>20.3087133900003</v>
      </c>
      <c r="BQ32" s="257">
        <f t="shared" si="44"/>
        <v>34.3553452099991</v>
      </c>
      <c r="BR32" s="257">
        <f t="shared" si="44"/>
        <v>27.0079711500034</v>
      </c>
      <c r="BS32" s="257">
        <f t="shared" ref="BS32:BT32" si="45">+BS33-BS20</f>
        <v>75.5936734599982</v>
      </c>
      <c r="BT32" s="257">
        <f t="shared" si="45"/>
        <v>-588.88328759</v>
      </c>
      <c r="BU32" s="257">
        <f t="shared" ref="BU32:CA32" si="46">SUM(BU24:BU31)</f>
        <v>208</v>
      </c>
      <c r="BV32" s="257">
        <f t="shared" si="46"/>
        <v>258</v>
      </c>
      <c r="BW32" s="318">
        <f t="shared" si="46"/>
        <v>308</v>
      </c>
      <c r="BX32" s="257">
        <f t="shared" si="46"/>
        <v>8</v>
      </c>
      <c r="BY32" s="257">
        <f t="shared" si="46"/>
        <v>8</v>
      </c>
      <c r="BZ32" s="257">
        <f t="shared" si="46"/>
        <v>8</v>
      </c>
      <c r="CA32" s="381">
        <f t="shared" si="46"/>
        <v>8</v>
      </c>
      <c r="CB32" s="257">
        <f t="shared" ref="CB32:CE32" si="47">SUM(CB24:CB31)</f>
        <v>8</v>
      </c>
      <c r="CC32" s="257">
        <f t="shared" si="47"/>
        <v>8</v>
      </c>
      <c r="CD32" s="257">
        <f t="shared" si="47"/>
        <v>8</v>
      </c>
      <c r="CE32" s="381">
        <f t="shared" si="47"/>
        <v>8</v>
      </c>
      <c r="CF32" s="251"/>
      <c r="CG32" s="251"/>
      <c r="CH32" s="96"/>
      <c r="CI32" s="96"/>
      <c r="CJ32" s="96"/>
      <c r="CK32" s="96"/>
      <c r="CL32" s="96"/>
      <c r="CM32" s="96"/>
      <c r="CN32" s="96"/>
      <c r="CO32" s="96"/>
      <c r="CP32" s="96"/>
      <c r="CQ32" s="96"/>
      <c r="CR32" s="96"/>
      <c r="CS32" s="96"/>
      <c r="CT32" s="251"/>
      <c r="CU32" s="251"/>
      <c r="CV32" s="251"/>
      <c r="CW32" s="251"/>
      <c r="CX32" s="251"/>
      <c r="CY32" s="251"/>
      <c r="CZ32" s="251"/>
      <c r="DA32" s="251"/>
      <c r="DB32" s="251"/>
      <c r="DC32" s="251"/>
      <c r="DD32" s="251"/>
      <c r="DE32" s="251"/>
      <c r="DF32" s="251"/>
      <c r="DG32" s="251"/>
      <c r="DH32" s="251"/>
      <c r="DI32" s="251"/>
      <c r="DJ32" s="251"/>
      <c r="DK32" s="251"/>
      <c r="DL32" s="251"/>
      <c r="DM32" s="251"/>
      <c r="DN32" s="251"/>
      <c r="DO32" s="251"/>
      <c r="DP32" s="251"/>
    </row>
    <row r="33" spans="1:120">
      <c r="A33" s="250"/>
      <c r="B33" s="257" t="s">
        <v>120</v>
      </c>
      <c r="C33" s="257"/>
      <c r="D33" s="257"/>
      <c r="E33" s="257">
        <v>62.6278977</v>
      </c>
      <c r="F33" s="257">
        <v>77.57693206</v>
      </c>
      <c r="G33" s="257">
        <v>93.35920653</v>
      </c>
      <c r="H33" s="257">
        <v>108.19541474</v>
      </c>
      <c r="I33" s="289">
        <f>SUM(AB33:AE33)</f>
        <v>110.47321434</v>
      </c>
      <c r="J33" s="257">
        <v>128.02857917</v>
      </c>
      <c r="K33" s="257">
        <f>SUM(AJ33:AM33)</f>
        <v>127.53738864</v>
      </c>
      <c r="L33" s="257">
        <v>35.51037374</v>
      </c>
      <c r="M33" s="257">
        <v>243.95119307</v>
      </c>
      <c r="N33" s="257">
        <v>561.59909655</v>
      </c>
      <c r="O33" s="257">
        <v>763.07317571</v>
      </c>
      <c r="P33" s="257">
        <f t="shared" ref="P33:V33" si="48">P20+P32</f>
        <v>1027.86484307</v>
      </c>
      <c r="Q33" s="257">
        <f t="shared" si="48"/>
        <v>788.72812029</v>
      </c>
      <c r="R33" s="257">
        <f t="shared" si="48"/>
        <v>3234.21003673</v>
      </c>
      <c r="S33" s="257">
        <f t="shared" si="48"/>
        <v>10865.71903686</v>
      </c>
      <c r="T33" s="257">
        <f t="shared" si="48"/>
        <v>23713.5859715945</v>
      </c>
      <c r="U33" s="257">
        <f t="shared" si="48"/>
        <v>34376.7070456781</v>
      </c>
      <c r="V33" s="257">
        <f t="shared" si="48"/>
        <v>39514.9184707714</v>
      </c>
      <c r="W33" s="303"/>
      <c r="X33" s="257">
        <v>0</v>
      </c>
      <c r="Y33" s="257">
        <v>0</v>
      </c>
      <c r="Z33" s="257">
        <v>0</v>
      </c>
      <c r="AA33" s="318">
        <v>0</v>
      </c>
      <c r="AB33" s="257">
        <v>29.11439223</v>
      </c>
      <c r="AC33" s="257">
        <v>31.22748051</v>
      </c>
      <c r="AD33" s="257">
        <v>23.39950476</v>
      </c>
      <c r="AE33" s="318">
        <v>26.73183684</v>
      </c>
      <c r="AF33" s="257">
        <v>25.347175</v>
      </c>
      <c r="AG33" s="257">
        <v>32.56912973</v>
      </c>
      <c r="AH33" s="257">
        <v>40.45962127</v>
      </c>
      <c r="AI33" s="318">
        <v>29.65265317</v>
      </c>
      <c r="AJ33" s="257">
        <v>35.27624929</v>
      </c>
      <c r="AK33" s="257">
        <v>38.86755318</v>
      </c>
      <c r="AL33" s="257">
        <v>40.75793337</v>
      </c>
      <c r="AM33" s="318">
        <v>12.6356528</v>
      </c>
      <c r="AN33" s="257">
        <v>-4.21533163</v>
      </c>
      <c r="AO33" s="257">
        <v>-13.29411824</v>
      </c>
      <c r="AP33" s="257">
        <v>24.25363277</v>
      </c>
      <c r="AQ33" s="318">
        <v>28.76619084</v>
      </c>
      <c r="AR33" s="257">
        <v>38.24166385</v>
      </c>
      <c r="AS33" s="257">
        <v>56.84421744</v>
      </c>
      <c r="AT33" s="257">
        <v>61.94501851</v>
      </c>
      <c r="AU33" s="318">
        <v>86.92029327</v>
      </c>
      <c r="AV33" s="257">
        <v>66.22737772</v>
      </c>
      <c r="AW33" s="257">
        <v>158.56192595</v>
      </c>
      <c r="AX33" s="257">
        <v>177.45929785</v>
      </c>
      <c r="AY33" s="318">
        <v>159.35049503</v>
      </c>
      <c r="AZ33" s="257">
        <v>136.9955633</v>
      </c>
      <c r="BA33" s="257">
        <v>243.10482493</v>
      </c>
      <c r="BB33" s="257">
        <v>157.34392322</v>
      </c>
      <c r="BC33" s="318">
        <v>225.62886426</v>
      </c>
      <c r="BD33" s="257">
        <v>156.25975137</v>
      </c>
      <c r="BE33" s="257">
        <v>367.73023304</v>
      </c>
      <c r="BF33" s="257">
        <v>338.76758483</v>
      </c>
      <c r="BG33" s="318">
        <v>165.10727383</v>
      </c>
      <c r="BH33" s="361">
        <v>127.79096911</v>
      </c>
      <c r="BI33" s="257">
        <v>200.39036091</v>
      </c>
      <c r="BJ33" s="257">
        <v>157.87316903</v>
      </c>
      <c r="BK33" s="318">
        <v>302.67362124</v>
      </c>
      <c r="BL33" s="257">
        <v>372.3710459</v>
      </c>
      <c r="BM33" s="257">
        <v>608.80105951</v>
      </c>
      <c r="BN33" s="257">
        <v>888.62073582</v>
      </c>
      <c r="BO33" s="318">
        <v>1364.4171955</v>
      </c>
      <c r="BP33" s="257">
        <v>1773.2538348</v>
      </c>
      <c r="BQ33" s="257">
        <v>2675.13137524</v>
      </c>
      <c r="BR33" s="257">
        <f>7050.53350656-SUM(BP33:BQ33)</f>
        <v>2602.14829652</v>
      </c>
      <c r="BS33" s="318">
        <f>10865.71903686-SUM(BP33:BR33)</f>
        <v>3815.1855303</v>
      </c>
      <c r="BT33" s="257">
        <f>3246.58439536</f>
        <v>3246.58439536</v>
      </c>
      <c r="BU33" s="257">
        <f t="shared" ref="BU33:CB33" si="49">BU20+BU32</f>
        <v>5313.323746958</v>
      </c>
      <c r="BV33" s="257">
        <f t="shared" si="49"/>
        <v>7259.13985229744</v>
      </c>
      <c r="BW33" s="318">
        <f t="shared" si="49"/>
        <v>7894.53797697903</v>
      </c>
      <c r="BX33" s="257">
        <f t="shared" si="49"/>
        <v>6647.48295357015</v>
      </c>
      <c r="BY33" s="257">
        <f t="shared" si="49"/>
        <v>7766.38999168601</v>
      </c>
      <c r="BZ33" s="257">
        <f t="shared" si="49"/>
        <v>10427.1230532892</v>
      </c>
      <c r="CA33" s="318">
        <f t="shared" si="49"/>
        <v>9535.7110471327</v>
      </c>
      <c r="CB33" s="257">
        <f t="shared" si="49"/>
        <v>5973.27412288603</v>
      </c>
      <c r="CC33" s="257">
        <f t="shared" ref="CC33:CE33" si="50">CC20+CC32</f>
        <v>9036.96011789693</v>
      </c>
      <c r="CD33" s="257">
        <f t="shared" si="50"/>
        <v>12914.4296994451</v>
      </c>
      <c r="CE33" s="318">
        <f t="shared" si="50"/>
        <v>11590.2545305433</v>
      </c>
      <c r="CF33" s="251"/>
      <c r="CG33" s="384"/>
      <c r="CH33" s="96"/>
      <c r="CI33" s="96"/>
      <c r="CJ33" s="96"/>
      <c r="CK33" s="96"/>
      <c r="CL33" s="96"/>
      <c r="CM33" s="96"/>
      <c r="CN33" s="96"/>
      <c r="CO33" s="96"/>
      <c r="CP33" s="96"/>
      <c r="CQ33" s="96"/>
      <c r="CR33" s="96"/>
      <c r="CS33" s="96"/>
      <c r="CT33" s="251"/>
      <c r="CU33" s="251"/>
      <c r="CV33" s="251"/>
      <c r="CW33" s="251"/>
      <c r="CX33" s="251"/>
      <c r="CY33" s="251"/>
      <c r="CZ33" s="251"/>
      <c r="DA33" s="251"/>
      <c r="DB33" s="251"/>
      <c r="DC33" s="251"/>
      <c r="DD33" s="251"/>
      <c r="DE33" s="251"/>
      <c r="DF33" s="251"/>
      <c r="DG33" s="251"/>
      <c r="DH33" s="251"/>
      <c r="DI33" s="251"/>
      <c r="DJ33" s="251"/>
      <c r="DK33" s="251"/>
      <c r="DL33" s="251"/>
      <c r="DM33" s="251"/>
      <c r="DN33" s="251"/>
      <c r="DO33" s="251"/>
      <c r="DP33" s="251"/>
    </row>
    <row r="34" spans="1:120">
      <c r="A34" s="270"/>
      <c r="B34" s="271"/>
      <c r="C34" s="272"/>
      <c r="D34" s="272"/>
      <c r="E34" s="272"/>
      <c r="F34" s="272"/>
      <c r="G34" s="272"/>
      <c r="H34" s="272"/>
      <c r="I34" s="272"/>
      <c r="J34" s="272"/>
      <c r="K34" s="272"/>
      <c r="L34" s="272"/>
      <c r="M34" s="272"/>
      <c r="N34" s="272"/>
      <c r="O34" s="272"/>
      <c r="P34" s="272"/>
      <c r="Q34" s="272"/>
      <c r="R34" s="272"/>
      <c r="S34" s="272"/>
      <c r="T34" s="272"/>
      <c r="U34" s="272"/>
      <c r="V34" s="272"/>
      <c r="W34" s="306"/>
      <c r="X34" s="272"/>
      <c r="Y34" s="272"/>
      <c r="Z34" s="272"/>
      <c r="AA34" s="323"/>
      <c r="AB34" s="272"/>
      <c r="AC34" s="272"/>
      <c r="AD34" s="272"/>
      <c r="AE34" s="323"/>
      <c r="AF34" s="272"/>
      <c r="AG34" s="272"/>
      <c r="AH34" s="272"/>
      <c r="AI34" s="323"/>
      <c r="AJ34" s="272"/>
      <c r="AK34" s="272"/>
      <c r="AL34" s="272"/>
      <c r="AM34" s="323"/>
      <c r="AN34" s="272"/>
      <c r="AO34" s="272"/>
      <c r="AP34" s="272"/>
      <c r="AQ34" s="323"/>
      <c r="AR34" s="272"/>
      <c r="AS34" s="272"/>
      <c r="AT34" s="272"/>
      <c r="AU34" s="323"/>
      <c r="AV34" s="272"/>
      <c r="AW34" s="272"/>
      <c r="AX34" s="272"/>
      <c r="AY34" s="323"/>
      <c r="AZ34" s="272"/>
      <c r="BA34" s="272"/>
      <c r="BB34" s="294"/>
      <c r="BC34" s="352"/>
      <c r="BD34" s="272"/>
      <c r="BE34" s="294"/>
      <c r="BF34" s="294"/>
      <c r="BG34" s="352"/>
      <c r="BH34" s="367"/>
      <c r="BI34" s="294"/>
      <c r="BJ34" s="294"/>
      <c r="BK34" s="352"/>
      <c r="BL34" s="294"/>
      <c r="BM34" s="294"/>
      <c r="BN34" s="294"/>
      <c r="BO34" s="352"/>
      <c r="BP34" s="294"/>
      <c r="BQ34" s="294"/>
      <c r="BR34" s="294"/>
      <c r="BS34" s="352"/>
      <c r="BT34" s="294"/>
      <c r="BU34" s="294"/>
      <c r="BV34" s="294"/>
      <c r="BW34" s="352"/>
      <c r="BX34" s="294"/>
      <c r="BY34" s="294"/>
      <c r="BZ34" s="294"/>
      <c r="CA34" s="352"/>
      <c r="CB34" s="294"/>
      <c r="CC34" s="294"/>
      <c r="CD34" s="294"/>
      <c r="CE34" s="352"/>
      <c r="CF34" s="294"/>
      <c r="CG34" s="294"/>
      <c r="CH34" s="38"/>
      <c r="CI34" s="38"/>
      <c r="CJ34" s="38"/>
      <c r="CK34" s="38"/>
      <c r="CL34" s="38"/>
      <c r="CM34" s="38"/>
      <c r="CN34" s="38"/>
      <c r="CO34" s="38"/>
      <c r="CP34" s="38"/>
      <c r="CQ34" s="38"/>
      <c r="CR34" s="38"/>
      <c r="CS34" s="38"/>
      <c r="CT34" s="251"/>
      <c r="CU34" s="294"/>
      <c r="CV34" s="294"/>
      <c r="CW34" s="294"/>
      <c r="CX34" s="294"/>
      <c r="CY34" s="294"/>
      <c r="CZ34" s="294"/>
      <c r="DA34" s="294"/>
      <c r="DB34" s="294"/>
      <c r="DC34" s="294"/>
      <c r="DD34" s="294"/>
      <c r="DE34" s="294"/>
      <c r="DF34" s="294"/>
      <c r="DG34" s="294"/>
      <c r="DH34" s="294"/>
      <c r="DI34" s="294"/>
      <c r="DJ34" s="294"/>
      <c r="DK34" s="294"/>
      <c r="DL34" s="294"/>
      <c r="DM34" s="294"/>
      <c r="DN34" s="294"/>
      <c r="DO34" s="294"/>
      <c r="DP34" s="294"/>
    </row>
    <row r="35" spans="1:120">
      <c r="A35" s="261"/>
      <c r="B35" s="271"/>
      <c r="C35" s="253"/>
      <c r="D35" s="253"/>
      <c r="E35" s="253"/>
      <c r="F35" s="253"/>
      <c r="G35" s="253"/>
      <c r="H35" s="253"/>
      <c r="I35" s="269"/>
      <c r="J35" s="269"/>
      <c r="K35" s="269"/>
      <c r="L35" s="269"/>
      <c r="M35" s="269"/>
      <c r="N35" s="269"/>
      <c r="O35" s="251"/>
      <c r="P35" s="251"/>
      <c r="Q35" s="251"/>
      <c r="R35" s="251"/>
      <c r="S35" s="251"/>
      <c r="T35" s="251"/>
      <c r="U35" s="251"/>
      <c r="V35" s="251"/>
      <c r="W35" s="303"/>
      <c r="X35" s="253"/>
      <c r="Y35" s="253"/>
      <c r="Z35" s="253"/>
      <c r="AA35" s="316"/>
      <c r="AB35" s="253"/>
      <c r="AC35" s="253"/>
      <c r="AD35" s="253"/>
      <c r="AE35" s="316"/>
      <c r="AF35" s="253"/>
      <c r="AG35" s="253"/>
      <c r="AH35" s="253"/>
      <c r="AI35" s="316"/>
      <c r="AJ35" s="253"/>
      <c r="AK35" s="253"/>
      <c r="AL35" s="253"/>
      <c r="AM35" s="316"/>
      <c r="AN35" s="253"/>
      <c r="AO35" s="253"/>
      <c r="AP35" s="253"/>
      <c r="AQ35" s="316"/>
      <c r="AR35" s="253"/>
      <c r="AS35" s="253"/>
      <c r="AT35" s="253"/>
      <c r="AU35" s="316"/>
      <c r="AV35" s="253"/>
      <c r="AW35" s="253"/>
      <c r="AX35" s="251"/>
      <c r="AY35" s="315"/>
      <c r="AZ35" s="251"/>
      <c r="BA35" s="251"/>
      <c r="BB35" s="251"/>
      <c r="BC35" s="315"/>
      <c r="BD35" s="251"/>
      <c r="BE35" s="251"/>
      <c r="BF35" s="251"/>
      <c r="BG35" s="315"/>
      <c r="BH35" s="355"/>
      <c r="BI35" s="251"/>
      <c r="BJ35" s="251"/>
      <c r="BK35" s="315"/>
      <c r="BL35" s="251"/>
      <c r="BM35" s="251"/>
      <c r="BN35" s="251"/>
      <c r="BO35" s="315"/>
      <c r="BP35" s="251"/>
      <c r="BQ35" s="251"/>
      <c r="BR35" s="251"/>
      <c r="BS35" s="315"/>
      <c r="BT35" s="251"/>
      <c r="BU35" s="251"/>
      <c r="BV35" s="251"/>
      <c r="BW35" s="315"/>
      <c r="BX35" s="251"/>
      <c r="BY35" s="251"/>
      <c r="BZ35" s="251"/>
      <c r="CA35" s="315"/>
      <c r="CB35" s="251"/>
      <c r="CC35" s="251"/>
      <c r="CD35" s="251"/>
      <c r="CE35" s="315"/>
      <c r="CF35" s="251"/>
      <c r="CG35" s="251"/>
      <c r="CH35" s="38"/>
      <c r="CI35" s="38"/>
      <c r="CJ35" s="38"/>
      <c r="CK35" s="38"/>
      <c r="CL35" s="38"/>
      <c r="CM35" s="38"/>
      <c r="CN35" s="38"/>
      <c r="CO35" s="38"/>
      <c r="CP35" s="38"/>
      <c r="CQ35" s="38"/>
      <c r="CR35" s="38"/>
      <c r="CS35" s="38"/>
      <c r="CT35" s="251"/>
      <c r="CU35" s="251"/>
      <c r="CV35" s="251"/>
      <c r="CW35" s="251"/>
      <c r="CX35" s="251"/>
      <c r="CY35" s="251"/>
      <c r="CZ35" s="251"/>
      <c r="DA35" s="251"/>
      <c r="DB35" s="251"/>
      <c r="DC35" s="251"/>
      <c r="DD35" s="251"/>
      <c r="DE35" s="251"/>
      <c r="DF35" s="251"/>
      <c r="DG35" s="251"/>
      <c r="DH35" s="251"/>
      <c r="DI35" s="251"/>
      <c r="DJ35" s="251"/>
      <c r="DK35" s="251"/>
      <c r="DL35" s="251"/>
      <c r="DM35" s="251"/>
      <c r="DN35" s="251"/>
      <c r="DO35" s="251"/>
      <c r="DP35" s="251"/>
    </row>
    <row r="36" spans="1:120">
      <c r="A36" s="250"/>
      <c r="B36" s="256" t="s">
        <v>710</v>
      </c>
      <c r="C36" s="253"/>
      <c r="D36" s="253"/>
      <c r="E36" s="253">
        <v>10.05311278</v>
      </c>
      <c r="F36" s="253">
        <v>11.82922418</v>
      </c>
      <c r="G36" s="253">
        <v>14.00043924</v>
      </c>
      <c r="H36" s="253">
        <v>15.79688002</v>
      </c>
      <c r="I36" s="253">
        <v>16.02288625</v>
      </c>
      <c r="J36" s="253">
        <v>22.74179601</v>
      </c>
      <c r="K36" s="253">
        <v>16.446483</v>
      </c>
      <c r="L36" s="253">
        <v>3.67804015</v>
      </c>
      <c r="M36" s="253">
        <v>31.09463656</v>
      </c>
      <c r="N36" s="253">
        <v>69.84069308</v>
      </c>
      <c r="O36" s="253">
        <v>101.14703666</v>
      </c>
      <c r="P36" s="253">
        <f t="shared" ref="P36:S39" si="51">SUMIF($X$3:$BS$3,P$4,$X36:$BS36)</f>
        <v>124.28375226</v>
      </c>
      <c r="Q36" s="253">
        <f t="shared" si="51"/>
        <v>100.36702517</v>
      </c>
      <c r="R36" s="253">
        <f t="shared" si="51"/>
        <v>396.39641236</v>
      </c>
      <c r="S36" s="253">
        <f t="shared" si="51"/>
        <v>1312.44281971</v>
      </c>
      <c r="T36" s="253">
        <f t="shared" ref="T36:U39" si="52">SUMIF($X$3:$CA$3,T$4,$X36:$CA36)</f>
        <v>2964.19824644931</v>
      </c>
      <c r="U36" s="253">
        <f t="shared" si="52"/>
        <v>4297.08838070976</v>
      </c>
      <c r="V36" s="253">
        <f>SUMIF($X$3:$CE$3,V$4,$X36:$CE36)</f>
        <v>4939.36480884642</v>
      </c>
      <c r="W36" s="303"/>
      <c r="X36" s="253">
        <v>0</v>
      </c>
      <c r="Y36" s="253">
        <v>0</v>
      </c>
      <c r="Z36" s="253">
        <v>0</v>
      </c>
      <c r="AA36" s="316">
        <v>0</v>
      </c>
      <c r="AB36" s="253">
        <v>4.3355021</v>
      </c>
      <c r="AC36" s="253">
        <v>4.59091814</v>
      </c>
      <c r="AD36" s="253">
        <v>3.42917318</v>
      </c>
      <c r="AE36" s="316">
        <v>3.66729283</v>
      </c>
      <c r="AF36" s="253">
        <v>3.86829695</v>
      </c>
      <c r="AG36" s="253">
        <v>5.57770143</v>
      </c>
      <c r="AH36" s="253">
        <v>8.43370111</v>
      </c>
      <c r="AI36" s="316">
        <v>4.86209652</v>
      </c>
      <c r="AJ36" s="253">
        <v>5.3998228</v>
      </c>
      <c r="AK36" s="253">
        <v>6.08537361</v>
      </c>
      <c r="AL36" s="253">
        <v>6.79496364</v>
      </c>
      <c r="AM36" s="316">
        <v>-1.83367705</v>
      </c>
      <c r="AN36" s="253">
        <v>-0.57791537</v>
      </c>
      <c r="AO36" s="253">
        <v>-1.77698127</v>
      </c>
      <c r="AP36" s="253">
        <v>3.68360346</v>
      </c>
      <c r="AQ36" s="316">
        <v>2.34933333</v>
      </c>
      <c r="AR36" s="253">
        <v>5.83031894</v>
      </c>
      <c r="AS36" s="253">
        <v>8.59256299</v>
      </c>
      <c r="AT36" s="253">
        <v>9.62682648</v>
      </c>
      <c r="AU36" s="316">
        <v>7.04492815</v>
      </c>
      <c r="AV36" s="253">
        <v>10.01117046</v>
      </c>
      <c r="AW36" s="253">
        <v>23.56121825</v>
      </c>
      <c r="AX36" s="253">
        <v>26.8282912</v>
      </c>
      <c r="AY36" s="316">
        <v>9.44001317</v>
      </c>
      <c r="AZ36" s="253">
        <v>24.58961034</v>
      </c>
      <c r="BA36" s="253">
        <v>32.50556689</v>
      </c>
      <c r="BB36" s="253">
        <v>15.48162835</v>
      </c>
      <c r="BC36" s="316">
        <v>28.57023108</v>
      </c>
      <c r="BD36" s="253">
        <v>23.83691625</v>
      </c>
      <c r="BE36" s="253">
        <v>39.06617232</v>
      </c>
      <c r="BF36" s="253">
        <v>37.42022879</v>
      </c>
      <c r="BG36" s="316">
        <v>23.9604349</v>
      </c>
      <c r="BH36" s="356">
        <v>19.95615609</v>
      </c>
      <c r="BI36" s="253">
        <v>19.86029001</v>
      </c>
      <c r="BJ36" s="253">
        <v>16.67454943</v>
      </c>
      <c r="BK36" s="316">
        <v>43.87602964</v>
      </c>
      <c r="BL36" s="253">
        <v>47.83051169</v>
      </c>
      <c r="BM36" s="253">
        <v>68.19949957</v>
      </c>
      <c r="BN36" s="253">
        <v>107.68995876</v>
      </c>
      <c r="BO36" s="316">
        <v>172.67644234</v>
      </c>
      <c r="BP36" s="253">
        <v>200.72804558</v>
      </c>
      <c r="BQ36" s="253">
        <v>305.36289609</v>
      </c>
      <c r="BR36" s="253">
        <f>723.44099872-SUM(BP36:BQ36)</f>
        <v>217.35005705</v>
      </c>
      <c r="BS36" s="316">
        <f>1312.44281971-SUM(BP36:BR36)</f>
        <v>589.00182099</v>
      </c>
      <c r="BT36" s="253">
        <f t="shared" ref="BT36:CA36" si="53">+BT87*BT33</f>
        <v>405.82304942</v>
      </c>
      <c r="BU36" s="33">
        <f t="shared" si="53"/>
        <v>664.16546836975</v>
      </c>
      <c r="BV36" s="33">
        <f t="shared" si="53"/>
        <v>907.39248153718</v>
      </c>
      <c r="BW36" s="57">
        <f t="shared" si="53"/>
        <v>986.817247122379</v>
      </c>
      <c r="BX36" s="33">
        <f t="shared" si="53"/>
        <v>830.935369196269</v>
      </c>
      <c r="BY36" s="33">
        <f t="shared" si="53"/>
        <v>970.798748960752</v>
      </c>
      <c r="BZ36" s="33">
        <f t="shared" si="53"/>
        <v>1303.39038166115</v>
      </c>
      <c r="CA36" s="57">
        <f t="shared" si="53"/>
        <v>1191.96388089159</v>
      </c>
      <c r="CB36" s="33">
        <f t="shared" ref="CB36:CE36" si="54">+CB87*CB33</f>
        <v>746.659265360754</v>
      </c>
      <c r="CC36" s="33">
        <f t="shared" si="54"/>
        <v>1129.62001473712</v>
      </c>
      <c r="CD36" s="33">
        <f t="shared" si="54"/>
        <v>1614.30371243063</v>
      </c>
      <c r="CE36" s="57">
        <f t="shared" si="54"/>
        <v>1448.78181631792</v>
      </c>
      <c r="CF36" s="33"/>
      <c r="CG36" s="33"/>
      <c r="CH36" s="96"/>
      <c r="CI36" s="96"/>
      <c r="CJ36" s="96"/>
      <c r="CK36" s="96"/>
      <c r="CL36" s="96"/>
      <c r="CM36" s="96"/>
      <c r="CN36" s="96"/>
      <c r="CO36" s="96"/>
      <c r="CP36" s="96"/>
      <c r="CQ36" s="96"/>
      <c r="CR36" s="96"/>
      <c r="CS36" s="96"/>
      <c r="CT36" s="253"/>
      <c r="CU36" s="255"/>
      <c r="CV36" s="255"/>
      <c r="CW36" s="255"/>
      <c r="CX36" s="255"/>
      <c r="CY36" s="255"/>
      <c r="CZ36" s="255"/>
      <c r="DA36" s="255"/>
      <c r="DB36" s="255"/>
      <c r="DC36" s="255"/>
      <c r="DD36" s="255"/>
      <c r="DE36" s="255"/>
      <c r="DF36" s="255"/>
      <c r="DG36" s="255"/>
      <c r="DH36" s="255"/>
      <c r="DI36" s="255"/>
      <c r="DJ36" s="255"/>
      <c r="DK36" s="255"/>
      <c r="DL36" s="255"/>
      <c r="DM36" s="255"/>
      <c r="DN36" s="255"/>
      <c r="DO36" s="255"/>
      <c r="DP36" s="255"/>
    </row>
    <row r="37" spans="1:120">
      <c r="A37" s="250"/>
      <c r="B37" s="253" t="s">
        <v>197</v>
      </c>
      <c r="C37" s="253"/>
      <c r="D37" s="253"/>
      <c r="E37" s="253">
        <f t="shared" ref="E37:O37" si="55">+E33-E36-E40</f>
        <v>0</v>
      </c>
      <c r="F37" s="253">
        <f t="shared" si="55"/>
        <v>0</v>
      </c>
      <c r="G37" s="253">
        <f t="shared" si="55"/>
        <v>0</v>
      </c>
      <c r="H37" s="253">
        <f t="shared" si="55"/>
        <v>0</v>
      </c>
      <c r="I37" s="253">
        <f t="shared" si="55"/>
        <v>0</v>
      </c>
      <c r="J37" s="253">
        <f t="shared" si="55"/>
        <v>0</v>
      </c>
      <c r="K37" s="253">
        <f t="shared" si="55"/>
        <v>0</v>
      </c>
      <c r="L37" s="253">
        <f t="shared" si="55"/>
        <v>0</v>
      </c>
      <c r="M37" s="253">
        <f t="shared" si="55"/>
        <v>0</v>
      </c>
      <c r="N37" s="253">
        <f t="shared" si="55"/>
        <v>0</v>
      </c>
      <c r="O37" s="253">
        <f t="shared" si="55"/>
        <v>0</v>
      </c>
      <c r="P37" s="253">
        <f t="shared" si="51"/>
        <v>-2.8421709430404e-14</v>
      </c>
      <c r="Q37" s="253">
        <f t="shared" si="51"/>
        <v>4.2632564145606e-14</v>
      </c>
      <c r="R37" s="253">
        <f t="shared" si="51"/>
        <v>-1.13686837721616e-13</v>
      </c>
      <c r="S37" s="253">
        <f t="shared" si="51"/>
        <v>21.353486980001</v>
      </c>
      <c r="T37" s="253">
        <f t="shared" si="52"/>
        <v>66.5650826000001</v>
      </c>
      <c r="U37" s="253">
        <f t="shared" si="52"/>
        <v>0</v>
      </c>
      <c r="V37" s="253">
        <f>SUMIF($X$3:$CE$3,V$4,$X37:$CE37)</f>
        <v>0</v>
      </c>
      <c r="W37" s="303"/>
      <c r="X37" s="253">
        <f>+X33-X36-X40</f>
        <v>0</v>
      </c>
      <c r="Y37" s="253">
        <f t="shared" ref="Y37:AO37" si="56">+Y33-Y36-Y40</f>
        <v>0</v>
      </c>
      <c r="Z37" s="253">
        <f t="shared" si="56"/>
        <v>0</v>
      </c>
      <c r="AA37" s="316">
        <f t="shared" si="56"/>
        <v>0</v>
      </c>
      <c r="AB37" s="253">
        <f t="shared" si="56"/>
        <v>0</v>
      </c>
      <c r="AC37" s="253">
        <f t="shared" si="56"/>
        <v>0</v>
      </c>
      <c r="AD37" s="253">
        <f t="shared" si="56"/>
        <v>0</v>
      </c>
      <c r="AE37" s="316">
        <f t="shared" si="56"/>
        <v>0</v>
      </c>
      <c r="AF37" s="253">
        <f t="shared" si="56"/>
        <v>0</v>
      </c>
      <c r="AG37" s="253">
        <f t="shared" si="56"/>
        <v>0</v>
      </c>
      <c r="AH37" s="253">
        <f t="shared" si="56"/>
        <v>0</v>
      </c>
      <c r="AI37" s="316">
        <f t="shared" si="56"/>
        <v>0</v>
      </c>
      <c r="AJ37" s="253">
        <f t="shared" si="56"/>
        <v>0</v>
      </c>
      <c r="AK37" s="253">
        <f t="shared" si="56"/>
        <v>0</v>
      </c>
      <c r="AL37" s="253">
        <f t="shared" si="56"/>
        <v>0</v>
      </c>
      <c r="AM37" s="316">
        <f t="shared" si="56"/>
        <v>0</v>
      </c>
      <c r="AN37" s="253">
        <f t="shared" si="56"/>
        <v>0</v>
      </c>
      <c r="AO37" s="253">
        <f t="shared" si="56"/>
        <v>0</v>
      </c>
      <c r="AP37" s="253">
        <f t="shared" ref="AP37:BT37" si="57">+AP33-AP36-AP40-AP38-AP39</f>
        <v>0</v>
      </c>
      <c r="AQ37" s="316">
        <f t="shared" si="57"/>
        <v>-3.5527136788005e-15</v>
      </c>
      <c r="AR37" s="253">
        <f t="shared" si="57"/>
        <v>7.105427357601e-15</v>
      </c>
      <c r="AS37" s="253">
        <f t="shared" si="57"/>
        <v>-7.105427357601e-15</v>
      </c>
      <c r="AT37" s="253">
        <f t="shared" si="57"/>
        <v>0</v>
      </c>
      <c r="AU37" s="316">
        <f t="shared" si="57"/>
        <v>0</v>
      </c>
      <c r="AV37" s="253">
        <f t="shared" si="57"/>
        <v>-7.105427357601e-15</v>
      </c>
      <c r="AW37" s="253">
        <f t="shared" si="57"/>
        <v>0</v>
      </c>
      <c r="AX37" s="253">
        <f t="shared" si="57"/>
        <v>-2.8421709430404e-14</v>
      </c>
      <c r="AY37" s="316">
        <f t="shared" si="57"/>
        <v>0</v>
      </c>
      <c r="AZ37" s="253">
        <f t="shared" si="57"/>
        <v>1.4210854715202e-14</v>
      </c>
      <c r="BA37" s="253">
        <f t="shared" si="57"/>
        <v>0</v>
      </c>
      <c r="BB37" s="253">
        <f t="shared" si="57"/>
        <v>0</v>
      </c>
      <c r="BC37" s="316">
        <f t="shared" si="57"/>
        <v>0</v>
      </c>
      <c r="BD37" s="253">
        <f t="shared" si="57"/>
        <v>0</v>
      </c>
      <c r="BE37" s="253">
        <f t="shared" si="57"/>
        <v>0</v>
      </c>
      <c r="BF37" s="253">
        <f t="shared" si="57"/>
        <v>-5.6843418860808e-14</v>
      </c>
      <c r="BG37" s="316">
        <f t="shared" si="57"/>
        <v>2.8421709430404e-14</v>
      </c>
      <c r="BH37" s="356">
        <f t="shared" si="57"/>
        <v>1.4210854715202e-14</v>
      </c>
      <c r="BI37" s="253">
        <f t="shared" si="57"/>
        <v>0</v>
      </c>
      <c r="BJ37" s="253">
        <f t="shared" si="57"/>
        <v>2.8421709430404e-14</v>
      </c>
      <c r="BK37" s="316">
        <f t="shared" si="57"/>
        <v>0</v>
      </c>
      <c r="BL37" s="253">
        <f t="shared" si="57"/>
        <v>0</v>
      </c>
      <c r="BM37" s="253">
        <f t="shared" si="57"/>
        <v>0</v>
      </c>
      <c r="BN37" s="253">
        <f t="shared" si="57"/>
        <v>1.13686837721616e-13</v>
      </c>
      <c r="BO37" s="316">
        <f t="shared" si="57"/>
        <v>-2.27373675443232e-13</v>
      </c>
      <c r="BP37" s="253">
        <f t="shared" si="57"/>
        <v>0</v>
      </c>
      <c r="BQ37" s="253">
        <f t="shared" si="57"/>
        <v>-4.54747350886464e-13</v>
      </c>
      <c r="BR37" s="253">
        <f t="shared" si="57"/>
        <v>9.09494701772928e-13</v>
      </c>
      <c r="BS37" s="253">
        <f t="shared" si="57"/>
        <v>21.3534869800005</v>
      </c>
      <c r="BT37" s="253">
        <f t="shared" si="57"/>
        <v>66.5650826000001</v>
      </c>
      <c r="BU37" s="298">
        <f>+Assumption!S197</f>
        <v>0</v>
      </c>
      <c r="BV37" s="298">
        <f>+Assumption!T197</f>
        <v>0</v>
      </c>
      <c r="BW37" s="379">
        <f>+Assumption!U197</f>
        <v>0</v>
      </c>
      <c r="BX37" s="298">
        <f>+Assumption!V197</f>
        <v>0</v>
      </c>
      <c r="BY37" s="298">
        <f>+Assumption!W197</f>
        <v>0</v>
      </c>
      <c r="BZ37" s="298">
        <f>+Assumption!X197</f>
        <v>0</v>
      </c>
      <c r="CA37" s="379">
        <f>+Assumption!Y197</f>
        <v>0</v>
      </c>
      <c r="CB37" s="298">
        <f>+Assumption!Z197</f>
        <v>0</v>
      </c>
      <c r="CC37" s="298">
        <f>+Assumption!AA197</f>
        <v>0</v>
      </c>
      <c r="CD37" s="298">
        <f>+Assumption!AB197</f>
        <v>0</v>
      </c>
      <c r="CE37" s="379">
        <f>+Assumption!AC197</f>
        <v>0</v>
      </c>
      <c r="CF37" s="272"/>
      <c r="CG37" s="384"/>
      <c r="CH37" s="96"/>
      <c r="CI37" s="96"/>
      <c r="CJ37" s="96"/>
      <c r="CK37" s="96"/>
      <c r="CL37" s="96"/>
      <c r="CM37" s="96"/>
      <c r="CN37" s="96"/>
      <c r="CO37" s="96"/>
      <c r="CP37" s="96"/>
      <c r="CQ37" s="96"/>
      <c r="CR37" s="96"/>
      <c r="CS37" s="96"/>
      <c r="CT37" s="253"/>
      <c r="CU37" s="255"/>
      <c r="CV37" s="255"/>
      <c r="CW37" s="255"/>
      <c r="CX37" s="255"/>
      <c r="CY37" s="255"/>
      <c r="CZ37" s="255"/>
      <c r="DA37" s="255"/>
      <c r="DB37" s="255"/>
      <c r="DC37" s="255"/>
      <c r="DD37" s="255"/>
      <c r="DE37" s="255"/>
      <c r="DF37" s="255"/>
      <c r="DG37" s="255"/>
      <c r="DH37" s="255"/>
      <c r="DI37" s="255"/>
      <c r="DJ37" s="255"/>
      <c r="DK37" s="255"/>
      <c r="DL37" s="255"/>
      <c r="DM37" s="255"/>
      <c r="DN37" s="255"/>
      <c r="DO37" s="255"/>
      <c r="DP37" s="255"/>
    </row>
    <row r="38" spans="1:120">
      <c r="A38" s="250"/>
      <c r="B38" s="253" t="s">
        <v>588</v>
      </c>
      <c r="C38" s="253"/>
      <c r="D38" s="253"/>
      <c r="E38" s="253">
        <v>0</v>
      </c>
      <c r="F38" s="253">
        <v>0</v>
      </c>
      <c r="G38" s="253">
        <v>0</v>
      </c>
      <c r="H38" s="253">
        <v>0</v>
      </c>
      <c r="I38" s="253">
        <v>0</v>
      </c>
      <c r="J38" s="253">
        <v>0</v>
      </c>
      <c r="K38" s="253">
        <v>0</v>
      </c>
      <c r="L38" s="253">
        <v>0</v>
      </c>
      <c r="M38" s="253">
        <v>0</v>
      </c>
      <c r="N38" s="253">
        <v>0</v>
      </c>
      <c r="O38" s="253">
        <v>0</v>
      </c>
      <c r="P38" s="253">
        <f t="shared" si="51"/>
        <v>0</v>
      </c>
      <c r="Q38" s="253">
        <f t="shared" si="51"/>
        <v>0</v>
      </c>
      <c r="R38" s="253">
        <f t="shared" si="51"/>
        <v>0</v>
      </c>
      <c r="S38" s="253">
        <f t="shared" si="51"/>
        <v>0</v>
      </c>
      <c r="T38" s="253">
        <f t="shared" si="52"/>
        <v>0</v>
      </c>
      <c r="U38" s="253">
        <f t="shared" si="52"/>
        <v>0</v>
      </c>
      <c r="V38" s="253">
        <f>SUMIF($X$3:$CE$3,V$4,$X38:$CE38)</f>
        <v>0</v>
      </c>
      <c r="W38" s="303"/>
      <c r="X38" s="253"/>
      <c r="Y38" s="253"/>
      <c r="Z38" s="253"/>
      <c r="AA38" s="316"/>
      <c r="AB38" s="253"/>
      <c r="AC38" s="253"/>
      <c r="AD38" s="253"/>
      <c r="AE38" s="316"/>
      <c r="AF38" s="253"/>
      <c r="AG38" s="253"/>
      <c r="AH38" s="253"/>
      <c r="AI38" s="316"/>
      <c r="AJ38" s="253">
        <v>0</v>
      </c>
      <c r="AK38" s="253">
        <v>0</v>
      </c>
      <c r="AL38" s="253">
        <v>0</v>
      </c>
      <c r="AM38" s="316">
        <v>0</v>
      </c>
      <c r="AN38" s="253">
        <v>0</v>
      </c>
      <c r="AO38" s="253">
        <v>0</v>
      </c>
      <c r="AP38" s="253">
        <v>0</v>
      </c>
      <c r="AQ38" s="316">
        <v>0</v>
      </c>
      <c r="AR38" s="253">
        <v>0</v>
      </c>
      <c r="AS38" s="253">
        <v>0</v>
      </c>
      <c r="AT38" s="253">
        <v>0</v>
      </c>
      <c r="AU38" s="316">
        <v>0</v>
      </c>
      <c r="AV38" s="253">
        <v>0</v>
      </c>
      <c r="AW38" s="253">
        <v>0</v>
      </c>
      <c r="AX38" s="253">
        <v>0</v>
      </c>
      <c r="AY38" s="316">
        <v>0</v>
      </c>
      <c r="AZ38" s="253">
        <v>0</v>
      </c>
      <c r="BA38" s="253">
        <v>0</v>
      </c>
      <c r="BB38" s="253">
        <v>0</v>
      </c>
      <c r="BC38" s="316">
        <v>0</v>
      </c>
      <c r="BD38" s="253">
        <v>0</v>
      </c>
      <c r="BE38" s="253">
        <v>0</v>
      </c>
      <c r="BF38" s="253">
        <v>0</v>
      </c>
      <c r="BG38" s="316">
        <v>0</v>
      </c>
      <c r="BH38" s="356">
        <v>0</v>
      </c>
      <c r="BI38" s="253">
        <v>0</v>
      </c>
      <c r="BJ38" s="253">
        <v>0</v>
      </c>
      <c r="BK38" s="316">
        <v>0</v>
      </c>
      <c r="BL38" s="253">
        <v>0</v>
      </c>
      <c r="BM38" s="253">
        <v>0</v>
      </c>
      <c r="BN38" s="253">
        <v>0</v>
      </c>
      <c r="BO38" s="316">
        <v>0</v>
      </c>
      <c r="BP38" s="253">
        <v>0</v>
      </c>
      <c r="BQ38" s="253">
        <v>0</v>
      </c>
      <c r="BR38" s="253">
        <v>0</v>
      </c>
      <c r="BS38" s="316">
        <v>0</v>
      </c>
      <c r="BT38" s="253"/>
      <c r="BU38" s="298"/>
      <c r="BV38" s="298"/>
      <c r="BW38" s="379"/>
      <c r="BX38" s="298"/>
      <c r="BY38" s="298"/>
      <c r="BZ38" s="298"/>
      <c r="CA38" s="379"/>
      <c r="CB38" s="298"/>
      <c r="CC38" s="298"/>
      <c r="CD38" s="298"/>
      <c r="CE38" s="379"/>
      <c r="CF38" s="272"/>
      <c r="CG38" s="272"/>
      <c r="CH38" s="96"/>
      <c r="CI38" s="96"/>
      <c r="CJ38" s="96"/>
      <c r="CK38" s="96"/>
      <c r="CL38" s="96"/>
      <c r="CM38" s="96"/>
      <c r="CN38" s="96"/>
      <c r="CO38" s="96"/>
      <c r="CP38" s="96"/>
      <c r="CQ38" s="96"/>
      <c r="CR38" s="96"/>
      <c r="CS38" s="96"/>
      <c r="CT38" s="253"/>
      <c r="CU38" s="255"/>
      <c r="CV38" s="255"/>
      <c r="CW38" s="255"/>
      <c r="CX38" s="255"/>
      <c r="CY38" s="255"/>
      <c r="CZ38" s="255"/>
      <c r="DA38" s="255"/>
      <c r="DB38" s="255"/>
      <c r="DC38" s="255"/>
      <c r="DD38" s="255"/>
      <c r="DE38" s="255"/>
      <c r="DF38" s="255"/>
      <c r="DG38" s="255"/>
      <c r="DH38" s="255"/>
      <c r="DI38" s="255"/>
      <c r="DJ38" s="255"/>
      <c r="DK38" s="255"/>
      <c r="DL38" s="255"/>
      <c r="DM38" s="255"/>
      <c r="DN38" s="255"/>
      <c r="DO38" s="255"/>
      <c r="DP38" s="255"/>
    </row>
    <row r="39" spans="1:120">
      <c r="A39" s="250"/>
      <c r="B39" s="256" t="s">
        <v>711</v>
      </c>
      <c r="C39" s="253"/>
      <c r="D39" s="253"/>
      <c r="E39" s="253">
        <v>0</v>
      </c>
      <c r="F39" s="253">
        <v>0</v>
      </c>
      <c r="G39" s="253">
        <v>0</v>
      </c>
      <c r="H39" s="253">
        <v>0</v>
      </c>
      <c r="I39" s="253">
        <v>0</v>
      </c>
      <c r="J39" s="253">
        <v>0</v>
      </c>
      <c r="K39" s="253">
        <v>0</v>
      </c>
      <c r="L39" s="253">
        <v>0</v>
      </c>
      <c r="M39" s="253">
        <v>0</v>
      </c>
      <c r="N39" s="253">
        <v>0</v>
      </c>
      <c r="O39" s="253">
        <v>0</v>
      </c>
      <c r="P39" s="253">
        <f t="shared" si="51"/>
        <v>0</v>
      </c>
      <c r="Q39" s="253">
        <f t="shared" si="51"/>
        <v>0</v>
      </c>
      <c r="R39" s="253">
        <f t="shared" si="51"/>
        <v>0</v>
      </c>
      <c r="S39" s="253">
        <f t="shared" si="51"/>
        <v>0</v>
      </c>
      <c r="T39" s="253">
        <f t="shared" si="52"/>
        <v>0</v>
      </c>
      <c r="U39" s="253">
        <f t="shared" si="52"/>
        <v>0</v>
      </c>
      <c r="V39" s="253">
        <f>SUMIF($X$3:$CE$3,V$4,$X39:$CE39)</f>
        <v>0</v>
      </c>
      <c r="W39" s="303"/>
      <c r="X39" s="253"/>
      <c r="Y39" s="253"/>
      <c r="Z39" s="253"/>
      <c r="AA39" s="316"/>
      <c r="AB39" s="253"/>
      <c r="AC39" s="253"/>
      <c r="AD39" s="253"/>
      <c r="AE39" s="316"/>
      <c r="AF39" s="253"/>
      <c r="AG39" s="253"/>
      <c r="AH39" s="253"/>
      <c r="AI39" s="316"/>
      <c r="AJ39" s="253">
        <v>0</v>
      </c>
      <c r="AK39" s="253">
        <v>0</v>
      </c>
      <c r="AL39" s="253">
        <v>0</v>
      </c>
      <c r="AM39" s="316">
        <v>0</v>
      </c>
      <c r="AN39" s="253">
        <v>0</v>
      </c>
      <c r="AO39" s="253">
        <v>0</v>
      </c>
      <c r="AP39" s="253">
        <v>0</v>
      </c>
      <c r="AQ39" s="316">
        <v>0</v>
      </c>
      <c r="AR39" s="253">
        <v>0</v>
      </c>
      <c r="AS39" s="253">
        <v>0</v>
      </c>
      <c r="AT39" s="253">
        <v>0</v>
      </c>
      <c r="AU39" s="316">
        <v>0</v>
      </c>
      <c r="AV39" s="253">
        <v>0</v>
      </c>
      <c r="AW39" s="253">
        <v>0</v>
      </c>
      <c r="AX39" s="253">
        <v>0</v>
      </c>
      <c r="AY39" s="316">
        <v>0</v>
      </c>
      <c r="AZ39" s="253">
        <v>0</v>
      </c>
      <c r="BA39" s="253">
        <v>0</v>
      </c>
      <c r="BB39" s="253">
        <v>0</v>
      </c>
      <c r="BC39" s="316">
        <v>0</v>
      </c>
      <c r="BD39" s="253">
        <v>0</v>
      </c>
      <c r="BE39" s="253">
        <v>0</v>
      </c>
      <c r="BF39" s="253">
        <v>0</v>
      </c>
      <c r="BG39" s="316">
        <v>0</v>
      </c>
      <c r="BH39" s="356">
        <v>0</v>
      </c>
      <c r="BI39" s="253">
        <v>0</v>
      </c>
      <c r="BJ39" s="253">
        <v>0</v>
      </c>
      <c r="BK39" s="316">
        <v>0</v>
      </c>
      <c r="BL39" s="253">
        <v>0</v>
      </c>
      <c r="BM39" s="253">
        <v>0</v>
      </c>
      <c r="BN39" s="253">
        <v>0</v>
      </c>
      <c r="BO39" s="316">
        <v>0</v>
      </c>
      <c r="BP39" s="253">
        <v>0</v>
      </c>
      <c r="BQ39" s="253">
        <v>0</v>
      </c>
      <c r="BR39" s="253">
        <v>0</v>
      </c>
      <c r="BS39" s="316">
        <v>0</v>
      </c>
      <c r="BT39" s="253"/>
      <c r="BU39" s="298"/>
      <c r="BV39" s="298"/>
      <c r="BW39" s="380"/>
      <c r="BX39" s="298"/>
      <c r="BY39" s="298"/>
      <c r="BZ39" s="298"/>
      <c r="CA39" s="379"/>
      <c r="CB39" s="298"/>
      <c r="CC39" s="298"/>
      <c r="CD39" s="298"/>
      <c r="CE39" s="379"/>
      <c r="CF39" s="272"/>
      <c r="CG39" s="272"/>
      <c r="CH39" s="96"/>
      <c r="CI39" s="96"/>
      <c r="CJ39" s="96"/>
      <c r="CK39" s="96"/>
      <c r="CL39" s="96"/>
      <c r="CM39" s="96"/>
      <c r="CN39" s="96"/>
      <c r="CO39" s="96"/>
      <c r="CP39" s="96"/>
      <c r="CQ39" s="96"/>
      <c r="CR39" s="96"/>
      <c r="CS39" s="96"/>
      <c r="CT39" s="253"/>
      <c r="CU39" s="255"/>
      <c r="CV39" s="255"/>
      <c r="CW39" s="255"/>
      <c r="CX39" s="255"/>
      <c r="CY39" s="255"/>
      <c r="CZ39" s="255"/>
      <c r="DA39" s="255"/>
      <c r="DB39" s="255"/>
      <c r="DC39" s="255"/>
      <c r="DD39" s="255"/>
      <c r="DE39" s="255"/>
      <c r="DF39" s="255"/>
      <c r="DG39" s="255"/>
      <c r="DH39" s="255"/>
      <c r="DI39" s="255"/>
      <c r="DJ39" s="255"/>
      <c r="DK39" s="255"/>
      <c r="DL39" s="255"/>
      <c r="DM39" s="255"/>
      <c r="DN39" s="255"/>
      <c r="DO39" s="255"/>
      <c r="DP39" s="255"/>
    </row>
    <row r="40" spans="1:120">
      <c r="A40" s="250"/>
      <c r="B40" s="257" t="s">
        <v>712</v>
      </c>
      <c r="C40" s="257"/>
      <c r="D40" s="257"/>
      <c r="E40" s="257">
        <v>52.57478492</v>
      </c>
      <c r="F40" s="257">
        <v>65.74770788</v>
      </c>
      <c r="G40" s="257">
        <v>79.35876729</v>
      </c>
      <c r="H40" s="257">
        <v>92.39853472</v>
      </c>
      <c r="I40" s="289">
        <f>SUM(AB40:AE40)</f>
        <v>94.45032809</v>
      </c>
      <c r="J40" s="289">
        <v>105.28678316</v>
      </c>
      <c r="K40" s="257">
        <f>SUM(AJ40:AM40)</f>
        <v>111.09090564</v>
      </c>
      <c r="L40" s="257">
        <v>31.83233359</v>
      </c>
      <c r="M40" s="257">
        <v>212.85655651</v>
      </c>
      <c r="N40" s="257">
        <v>491.75840347</v>
      </c>
      <c r="O40" s="257">
        <v>661.92613905</v>
      </c>
      <c r="P40" s="257">
        <f t="shared" ref="P40:V40" si="58">+P33-P36-P37-P38+P39</f>
        <v>903.58109081</v>
      </c>
      <c r="Q40" s="257">
        <f t="shared" si="58"/>
        <v>688.36109512</v>
      </c>
      <c r="R40" s="257">
        <f t="shared" si="58"/>
        <v>2837.81362437</v>
      </c>
      <c r="S40" s="257">
        <f t="shared" si="58"/>
        <v>9531.92273017</v>
      </c>
      <c r="T40" s="257">
        <f t="shared" si="58"/>
        <v>20682.8226425452</v>
      </c>
      <c r="U40" s="257">
        <f t="shared" si="58"/>
        <v>30079.6186649683</v>
      </c>
      <c r="V40" s="257">
        <f t="shared" si="58"/>
        <v>34575.553661925</v>
      </c>
      <c r="W40" s="302"/>
      <c r="X40" s="257">
        <v>0</v>
      </c>
      <c r="Y40" s="257">
        <v>0</v>
      </c>
      <c r="Z40" s="257">
        <v>0</v>
      </c>
      <c r="AA40" s="318">
        <v>0</v>
      </c>
      <c r="AB40" s="289">
        <v>24.77889013</v>
      </c>
      <c r="AC40" s="289">
        <v>26.63656237</v>
      </c>
      <c r="AD40" s="289">
        <v>19.97033158</v>
      </c>
      <c r="AE40" s="329">
        <v>23.06454401</v>
      </c>
      <c r="AF40" s="257">
        <v>21.47887805</v>
      </c>
      <c r="AG40" s="257">
        <v>26.9914283</v>
      </c>
      <c r="AH40" s="257">
        <v>32.02592016</v>
      </c>
      <c r="AI40" s="318">
        <v>24.79055665</v>
      </c>
      <c r="AJ40" s="257">
        <v>29.87642649</v>
      </c>
      <c r="AK40" s="257">
        <v>32.78217957</v>
      </c>
      <c r="AL40" s="257">
        <v>33.96296973</v>
      </c>
      <c r="AM40" s="318">
        <v>14.46932985</v>
      </c>
      <c r="AN40" s="257">
        <v>-3.63741626</v>
      </c>
      <c r="AO40" s="257">
        <v>-11.51713697</v>
      </c>
      <c r="AP40" s="257">
        <v>20.57002931</v>
      </c>
      <c r="AQ40" s="318">
        <v>26.41685751</v>
      </c>
      <c r="AR40" s="257">
        <v>32.41134491</v>
      </c>
      <c r="AS40" s="257">
        <v>48.25165445</v>
      </c>
      <c r="AT40" s="257">
        <v>52.31819203</v>
      </c>
      <c r="AU40" s="318">
        <v>79.87536512</v>
      </c>
      <c r="AV40" s="257">
        <v>56.21620726</v>
      </c>
      <c r="AW40" s="257">
        <v>135.0007077</v>
      </c>
      <c r="AX40" s="257">
        <v>150.63100665</v>
      </c>
      <c r="AY40" s="318">
        <v>149.91048186</v>
      </c>
      <c r="AZ40" s="257">
        <v>112.40595296</v>
      </c>
      <c r="BA40" s="257">
        <v>210.59925804</v>
      </c>
      <c r="BB40" s="257">
        <v>141.86229487</v>
      </c>
      <c r="BC40" s="318">
        <v>197.05863318</v>
      </c>
      <c r="BD40" s="257">
        <v>132.42283512</v>
      </c>
      <c r="BE40" s="257">
        <v>328.66406072</v>
      </c>
      <c r="BF40" s="257">
        <v>301.34735604</v>
      </c>
      <c r="BG40" s="318">
        <v>141.14683893</v>
      </c>
      <c r="BH40" s="361">
        <v>107.83481302</v>
      </c>
      <c r="BI40" s="257">
        <v>180.5300709</v>
      </c>
      <c r="BJ40" s="257">
        <v>141.1986196</v>
      </c>
      <c r="BK40" s="318">
        <v>258.7975916</v>
      </c>
      <c r="BL40" s="257">
        <v>324.54053421</v>
      </c>
      <c r="BM40" s="257">
        <v>540.60155994</v>
      </c>
      <c r="BN40" s="257">
        <v>780.93077706</v>
      </c>
      <c r="BO40" s="318">
        <v>1191.74075316</v>
      </c>
      <c r="BP40" s="257">
        <v>1572.52578922</v>
      </c>
      <c r="BQ40" s="257">
        <v>2369.76847915</v>
      </c>
      <c r="BR40" s="257">
        <f>6327.09250784-SUM(BP40:BQ40)</f>
        <v>2384.79823947</v>
      </c>
      <c r="BS40" s="318">
        <f>9531.92273017-SUM(BP40:BR40)</f>
        <v>3204.83022233</v>
      </c>
      <c r="BT40" s="257">
        <f>2774.19626334</f>
        <v>2774.19626334</v>
      </c>
      <c r="BU40" s="257">
        <f t="shared" ref="BU40:CA40" si="59">+BU33-BU36-BU37-BU38+BU39</f>
        <v>4649.15827858825</v>
      </c>
      <c r="BV40" s="257">
        <f t="shared" si="59"/>
        <v>6351.74737076026</v>
      </c>
      <c r="BW40" s="318">
        <f t="shared" si="59"/>
        <v>6907.72072985665</v>
      </c>
      <c r="BX40" s="257">
        <f t="shared" si="59"/>
        <v>5816.54758437388</v>
      </c>
      <c r="BY40" s="257">
        <f t="shared" si="59"/>
        <v>6795.59124272526</v>
      </c>
      <c r="BZ40" s="257">
        <f t="shared" si="59"/>
        <v>9123.73267162806</v>
      </c>
      <c r="CA40" s="318">
        <f t="shared" si="59"/>
        <v>8343.74716624111</v>
      </c>
      <c r="CB40" s="257">
        <f t="shared" ref="CB40:CE40" si="60">+CB33-CB36-CB37-CB38+CB39</f>
        <v>5226.61485752528</v>
      </c>
      <c r="CC40" s="257">
        <f t="shared" si="60"/>
        <v>7907.34010315982</v>
      </c>
      <c r="CD40" s="257">
        <f t="shared" si="60"/>
        <v>11300.1259870144</v>
      </c>
      <c r="CE40" s="318">
        <f t="shared" si="60"/>
        <v>10141.4727142254</v>
      </c>
      <c r="CF40" s="251"/>
      <c r="CG40" s="384"/>
      <c r="CH40" s="96"/>
      <c r="CI40" s="96"/>
      <c r="CJ40" s="96"/>
      <c r="CK40" s="96"/>
      <c r="CL40" s="96"/>
      <c r="CM40" s="96"/>
      <c r="CN40" s="96"/>
      <c r="CO40" s="96"/>
      <c r="CP40" s="96"/>
      <c r="CQ40" s="96"/>
      <c r="CR40" s="96"/>
      <c r="CS40" s="96"/>
      <c r="CT40" s="251"/>
      <c r="CU40" s="251"/>
      <c r="CV40" s="251"/>
      <c r="CW40" s="251"/>
      <c r="CX40" s="251"/>
      <c r="CY40" s="251"/>
      <c r="CZ40" s="251"/>
      <c r="DA40" s="251"/>
      <c r="DB40" s="251"/>
      <c r="DC40" s="251"/>
      <c r="DD40" s="251"/>
      <c r="DE40" s="251"/>
      <c r="DF40" s="251"/>
      <c r="DG40" s="251"/>
      <c r="DH40" s="251"/>
      <c r="DI40" s="251"/>
      <c r="DJ40" s="251"/>
      <c r="DK40" s="251"/>
      <c r="DL40" s="251"/>
      <c r="DM40" s="251"/>
      <c r="DN40" s="251"/>
      <c r="DO40" s="251"/>
      <c r="DP40" s="251"/>
    </row>
    <row r="41" spans="1:120">
      <c r="A41" s="270"/>
      <c r="B41" s="271"/>
      <c r="C41" s="272"/>
      <c r="D41" s="272"/>
      <c r="E41" s="272"/>
      <c r="F41" s="272"/>
      <c r="G41" s="272"/>
      <c r="H41" s="272"/>
      <c r="I41" s="272"/>
      <c r="J41" s="272"/>
      <c r="K41" s="272"/>
      <c r="L41" s="272"/>
      <c r="M41" s="272"/>
      <c r="N41" s="272"/>
      <c r="O41" s="272"/>
      <c r="P41" s="272"/>
      <c r="Q41" s="272"/>
      <c r="R41" s="272"/>
      <c r="S41" s="272"/>
      <c r="T41" s="272"/>
      <c r="U41" s="272"/>
      <c r="V41" s="272"/>
      <c r="W41" s="307"/>
      <c r="X41" s="272"/>
      <c r="Y41" s="272"/>
      <c r="Z41" s="272"/>
      <c r="AA41" s="323"/>
      <c r="AB41" s="272"/>
      <c r="AC41" s="272"/>
      <c r="AD41" s="272"/>
      <c r="AE41" s="323"/>
      <c r="AF41" s="272"/>
      <c r="AG41" s="272"/>
      <c r="AH41" s="272"/>
      <c r="AI41" s="323"/>
      <c r="AJ41" s="272"/>
      <c r="AK41" s="272"/>
      <c r="AL41" s="272"/>
      <c r="AM41" s="323"/>
      <c r="AN41" s="272"/>
      <c r="AO41" s="272"/>
      <c r="AP41" s="272"/>
      <c r="AQ41" s="323"/>
      <c r="AR41" s="272"/>
      <c r="AS41" s="272"/>
      <c r="AT41" s="272"/>
      <c r="AU41" s="323"/>
      <c r="AV41" s="272"/>
      <c r="AW41" s="272"/>
      <c r="AX41" s="272"/>
      <c r="AY41" s="323"/>
      <c r="AZ41" s="272"/>
      <c r="BA41" s="272"/>
      <c r="BB41" s="272"/>
      <c r="BC41" s="323"/>
      <c r="BD41" s="272"/>
      <c r="BE41" s="272"/>
      <c r="BF41" s="272"/>
      <c r="BG41" s="323"/>
      <c r="BH41" s="357"/>
      <c r="BI41" s="272"/>
      <c r="BJ41" s="272"/>
      <c r="BK41" s="323"/>
      <c r="BL41" s="272"/>
      <c r="BM41" s="272"/>
      <c r="BN41" s="272"/>
      <c r="BO41" s="323"/>
      <c r="BP41" s="272"/>
      <c r="BQ41" s="272"/>
      <c r="BR41" s="272"/>
      <c r="BS41" s="323"/>
      <c r="BT41" s="272"/>
      <c r="BU41" s="272"/>
      <c r="BV41" s="272"/>
      <c r="BW41" s="323"/>
      <c r="BX41" s="272"/>
      <c r="BY41" s="272"/>
      <c r="BZ41" s="272"/>
      <c r="CA41" s="323"/>
      <c r="CB41" s="272"/>
      <c r="CC41" s="272"/>
      <c r="CD41" s="272"/>
      <c r="CE41" s="323"/>
      <c r="CF41" s="272"/>
      <c r="CG41" s="272"/>
      <c r="CH41" s="385"/>
      <c r="CI41" s="385"/>
      <c r="CJ41" s="385"/>
      <c r="CK41" s="385"/>
      <c r="CL41" s="385"/>
      <c r="CM41" s="385"/>
      <c r="CN41" s="385"/>
      <c r="CO41" s="385"/>
      <c r="CP41" s="385"/>
      <c r="CQ41" s="385"/>
      <c r="CR41" s="385"/>
      <c r="CS41" s="385"/>
      <c r="CT41" s="389"/>
      <c r="CU41" s="343"/>
      <c r="CV41" s="343"/>
      <c r="CW41" s="343"/>
      <c r="CX41" s="343"/>
      <c r="CY41" s="343"/>
      <c r="CZ41" s="343"/>
      <c r="DA41" s="343"/>
      <c r="DB41" s="343"/>
      <c r="DC41" s="343"/>
      <c r="DD41" s="343"/>
      <c r="DE41" s="343"/>
      <c r="DF41" s="343"/>
      <c r="DG41" s="343"/>
      <c r="DH41" s="343"/>
      <c r="DI41" s="343"/>
      <c r="DJ41" s="343"/>
      <c r="DK41" s="343"/>
      <c r="DL41" s="343"/>
      <c r="DM41" s="343"/>
      <c r="DN41" s="343"/>
      <c r="DO41" s="343"/>
      <c r="DP41" s="343"/>
    </row>
    <row r="42" spans="1:120">
      <c r="A42" s="261"/>
      <c r="B42" s="271"/>
      <c r="C42" s="251"/>
      <c r="D42" s="251"/>
      <c r="E42" s="251"/>
      <c r="F42" s="251"/>
      <c r="G42" s="251"/>
      <c r="H42" s="251"/>
      <c r="I42" s="251"/>
      <c r="J42" s="251"/>
      <c r="K42" s="251"/>
      <c r="L42" s="251"/>
      <c r="M42" s="30"/>
      <c r="N42" s="30"/>
      <c r="O42" s="294"/>
      <c r="P42" s="295"/>
      <c r="Q42" s="297"/>
      <c r="R42" s="294"/>
      <c r="S42" s="294"/>
      <c r="T42" s="294"/>
      <c r="U42" s="294"/>
      <c r="V42" s="294"/>
      <c r="W42" s="297"/>
      <c r="X42" s="251"/>
      <c r="Y42" s="251"/>
      <c r="Z42" s="251"/>
      <c r="AA42" s="315"/>
      <c r="AB42" s="251"/>
      <c r="AC42" s="251"/>
      <c r="AD42" s="251"/>
      <c r="AE42" s="315"/>
      <c r="AF42" s="251"/>
      <c r="AG42" s="251"/>
      <c r="AH42" s="251"/>
      <c r="AI42" s="315"/>
      <c r="AJ42" s="251"/>
      <c r="AK42" s="251"/>
      <c r="AL42" s="251"/>
      <c r="AM42" s="315"/>
      <c r="AN42" s="251"/>
      <c r="AO42" s="251"/>
      <c r="AP42" s="251"/>
      <c r="AQ42" s="315"/>
      <c r="AR42" s="251"/>
      <c r="AS42" s="251"/>
      <c r="AT42" s="251"/>
      <c r="AU42" s="315"/>
      <c r="AV42" s="251"/>
      <c r="AW42" s="30"/>
      <c r="AX42" s="30"/>
      <c r="AY42" s="315"/>
      <c r="AZ42" s="251"/>
      <c r="BA42" s="251"/>
      <c r="BB42" s="251"/>
      <c r="BC42" s="315"/>
      <c r="BD42" s="251"/>
      <c r="BE42" s="251"/>
      <c r="BF42" s="251"/>
      <c r="BG42" s="368"/>
      <c r="BH42" s="369"/>
      <c r="BI42" s="251"/>
      <c r="BJ42" s="251"/>
      <c r="BK42" s="315"/>
      <c r="BL42" s="30"/>
      <c r="BM42" s="251"/>
      <c r="BN42" s="251"/>
      <c r="BO42" s="59"/>
      <c r="BP42">
        <v>1572.52578922</v>
      </c>
      <c r="BQ42" s="374">
        <v>2369.76847915</v>
      </c>
      <c r="BR42" s="374">
        <v>2667.26274098402</v>
      </c>
      <c r="BS42" s="59">
        <v>2827.46406109674</v>
      </c>
      <c r="BT42">
        <v>2907.20870511756</v>
      </c>
      <c r="BU42" s="251">
        <v>3522.60269087126</v>
      </c>
      <c r="BV42" s="251">
        <v>3867.50486553888</v>
      </c>
      <c r="BW42" s="315">
        <v>4315.61887105194</v>
      </c>
      <c r="BX42" s="251"/>
      <c r="BY42" s="251"/>
      <c r="BZ42" s="251"/>
      <c r="CA42" s="315"/>
      <c r="CB42" s="251"/>
      <c r="CC42" s="251"/>
      <c r="CD42" s="251"/>
      <c r="CE42" s="315"/>
      <c r="CF42" s="251"/>
      <c r="CG42" s="386"/>
      <c r="CH42" s="385"/>
      <c r="CI42" s="385"/>
      <c r="CJ42" s="385"/>
      <c r="CK42" s="385"/>
      <c r="CL42" s="385"/>
      <c r="CM42" s="385"/>
      <c r="CN42" s="385"/>
      <c r="CO42" s="385"/>
      <c r="CP42" s="385"/>
      <c r="CQ42" s="385"/>
      <c r="CR42" s="385"/>
      <c r="CS42" s="385"/>
      <c r="CT42" s="389"/>
      <c r="CU42" s="343"/>
      <c r="CV42" s="343"/>
      <c r="CW42" s="343"/>
      <c r="CX42" s="343"/>
      <c r="CY42" s="343"/>
      <c r="CZ42" s="343"/>
      <c r="DA42" s="343"/>
      <c r="DB42" s="343"/>
      <c r="DC42" s="343"/>
      <c r="DD42" s="343"/>
      <c r="DE42" s="343"/>
      <c r="DF42" s="343"/>
      <c r="DG42" s="343"/>
      <c r="DH42" s="343"/>
      <c r="DI42" s="343"/>
      <c r="DJ42" s="343"/>
      <c r="DK42" s="343"/>
      <c r="DL42" s="343"/>
      <c r="DM42" s="343"/>
      <c r="DN42" s="343"/>
      <c r="DO42" s="343"/>
      <c r="DP42" s="343"/>
    </row>
    <row r="43" spans="1:120">
      <c r="A43" s="250"/>
      <c r="B43" s="273" t="s">
        <v>107</v>
      </c>
      <c r="C43" s="274"/>
      <c r="D43" s="274"/>
      <c r="E43" s="274">
        <f t="shared" ref="E43:O43" si="61">+E20</f>
        <v>66.91287025</v>
      </c>
      <c r="F43" s="274">
        <f t="shared" si="61"/>
        <v>79.09681992</v>
      </c>
      <c r="G43" s="274">
        <f t="shared" si="61"/>
        <v>94.7386345599999</v>
      </c>
      <c r="H43" s="274">
        <f t="shared" si="61"/>
        <v>110.85916425</v>
      </c>
      <c r="I43" s="274">
        <f t="shared" si="61"/>
        <v>113.59683086</v>
      </c>
      <c r="J43" s="274">
        <f t="shared" si="61"/>
        <v>123.67380085</v>
      </c>
      <c r="K43" s="290">
        <f t="shared" si="61"/>
        <v>128.61344697</v>
      </c>
      <c r="L43" s="274">
        <f t="shared" si="61"/>
        <v>43.0854925699999</v>
      </c>
      <c r="M43" s="274">
        <f t="shared" si="61"/>
        <v>257.49084548</v>
      </c>
      <c r="N43" s="274">
        <f t="shared" si="61"/>
        <v>578.80834824</v>
      </c>
      <c r="O43" s="274">
        <f t="shared" si="61"/>
        <v>749.74190374</v>
      </c>
      <c r="P43" s="274">
        <f t="shared" ref="P43:V43" si="62">+P20</f>
        <v>882.06197635</v>
      </c>
      <c r="Q43" s="274">
        <f t="shared" si="62"/>
        <v>695.58247016</v>
      </c>
      <c r="R43" s="274">
        <f t="shared" si="62"/>
        <v>3125.07658297</v>
      </c>
      <c r="S43" s="274">
        <f t="shared" si="62"/>
        <v>10708.45333365</v>
      </c>
      <c r="T43" s="274">
        <f t="shared" si="62"/>
        <v>23528.4692591845</v>
      </c>
      <c r="U43" s="274">
        <f t="shared" si="62"/>
        <v>34344.7070456781</v>
      </c>
      <c r="V43" s="274">
        <f t="shared" si="62"/>
        <v>39482.9184707714</v>
      </c>
      <c r="W43" s="303"/>
      <c r="X43" s="274">
        <f t="shared" ref="X43:BG43" si="63">+X20</f>
        <v>0</v>
      </c>
      <c r="Y43" s="274">
        <f t="shared" si="63"/>
        <v>0</v>
      </c>
      <c r="Z43" s="274">
        <f t="shared" si="63"/>
        <v>0</v>
      </c>
      <c r="AA43" s="324">
        <f t="shared" si="63"/>
        <v>0</v>
      </c>
      <c r="AB43" s="274">
        <f t="shared" si="63"/>
        <v>29.14809496</v>
      </c>
      <c r="AC43" s="274">
        <f t="shared" si="63"/>
        <v>30.68839229</v>
      </c>
      <c r="AD43" s="274">
        <f t="shared" si="63"/>
        <v>25.64485931</v>
      </c>
      <c r="AE43" s="324">
        <f t="shared" si="63"/>
        <v>28.1154843</v>
      </c>
      <c r="AF43" s="274">
        <f t="shared" si="63"/>
        <v>24.41185671</v>
      </c>
      <c r="AG43" s="274">
        <f t="shared" si="63"/>
        <v>34.07373127</v>
      </c>
      <c r="AH43" s="274">
        <f t="shared" si="63"/>
        <v>36.20255226</v>
      </c>
      <c r="AI43" s="324">
        <f t="shared" si="63"/>
        <v>28.98566061</v>
      </c>
      <c r="AJ43" s="290">
        <f t="shared" si="63"/>
        <v>32.87329918</v>
      </c>
      <c r="AK43" s="290">
        <f t="shared" si="63"/>
        <v>41.78417012</v>
      </c>
      <c r="AL43" s="290">
        <f t="shared" si="63"/>
        <v>42.46287295</v>
      </c>
      <c r="AM43" s="336">
        <f t="shared" si="63"/>
        <v>11.49310472</v>
      </c>
      <c r="AN43" s="274">
        <f t="shared" si="63"/>
        <v>2.45486784000001</v>
      </c>
      <c r="AO43" s="274">
        <f t="shared" si="63"/>
        <v>-9.86505361000003</v>
      </c>
      <c r="AP43" s="274">
        <f t="shared" si="63"/>
        <v>16.3697635</v>
      </c>
      <c r="AQ43" s="324">
        <f t="shared" si="63"/>
        <v>34.12591484</v>
      </c>
      <c r="AR43" s="274">
        <f t="shared" si="63"/>
        <v>42.76535609</v>
      </c>
      <c r="AS43" s="274">
        <f t="shared" si="63"/>
        <v>47.33923207</v>
      </c>
      <c r="AT43" s="274">
        <f t="shared" si="63"/>
        <v>63.96253325</v>
      </c>
      <c r="AU43" s="324">
        <f t="shared" si="63"/>
        <v>103.42372407</v>
      </c>
      <c r="AV43" s="274">
        <f t="shared" si="63"/>
        <v>68.24614164</v>
      </c>
      <c r="AW43" s="274">
        <f t="shared" si="63"/>
        <v>174.60097134</v>
      </c>
      <c r="AX43" s="274">
        <f t="shared" si="63"/>
        <v>187.19197297</v>
      </c>
      <c r="AY43" s="324">
        <f t="shared" si="63"/>
        <v>148.76926229</v>
      </c>
      <c r="AZ43" s="274">
        <f t="shared" si="63"/>
        <v>157.60976829</v>
      </c>
      <c r="BA43" s="274">
        <f t="shared" si="63"/>
        <v>245.80574884</v>
      </c>
      <c r="BB43" s="274">
        <f t="shared" si="63"/>
        <v>132.31618903</v>
      </c>
      <c r="BC43" s="324">
        <f t="shared" si="63"/>
        <v>214.01019758</v>
      </c>
      <c r="BD43" s="274">
        <f t="shared" si="63"/>
        <v>193.77061258</v>
      </c>
      <c r="BE43" s="274">
        <f t="shared" si="63"/>
        <v>176.40753323</v>
      </c>
      <c r="BF43" s="274">
        <f t="shared" si="63"/>
        <v>269.70285367</v>
      </c>
      <c r="BG43" s="324">
        <f t="shared" si="63"/>
        <v>242.18097687</v>
      </c>
      <c r="BH43" s="274">
        <f t="shared" ref="BH43:BS43" si="64">+BH20</f>
        <v>145.19085096</v>
      </c>
      <c r="BI43" s="274">
        <f t="shared" si="64"/>
        <v>117.20898529</v>
      </c>
      <c r="BJ43" s="274">
        <f t="shared" si="64"/>
        <v>128.85919558</v>
      </c>
      <c r="BK43" s="324">
        <f t="shared" si="64"/>
        <v>304.32343833</v>
      </c>
      <c r="BL43" s="274">
        <f t="shared" si="64"/>
        <v>362.91918487</v>
      </c>
      <c r="BM43" s="274">
        <f t="shared" si="64"/>
        <v>567.587277</v>
      </c>
      <c r="BN43" s="274">
        <f t="shared" si="64"/>
        <v>865.86845579</v>
      </c>
      <c r="BO43" s="324">
        <f t="shared" si="64"/>
        <v>1328.70166531</v>
      </c>
      <c r="BP43" s="274">
        <f t="shared" si="64"/>
        <v>1752.94512141</v>
      </c>
      <c r="BQ43" s="274">
        <f t="shared" si="64"/>
        <v>2640.77603003</v>
      </c>
      <c r="BR43" s="274">
        <f t="shared" si="64"/>
        <v>2575.14032537</v>
      </c>
      <c r="BS43" s="324">
        <f t="shared" si="64"/>
        <v>3739.59185684</v>
      </c>
      <c r="BT43" s="274">
        <f t="shared" ref="BT43:CB43" si="65">+BT20</f>
        <v>3835.46768295</v>
      </c>
      <c r="BU43" s="274">
        <f t="shared" si="65"/>
        <v>5105.323746958</v>
      </c>
      <c r="BV43" s="274">
        <f t="shared" si="65"/>
        <v>7001.13985229744</v>
      </c>
      <c r="BW43" s="324">
        <f t="shared" si="65"/>
        <v>7586.53797697903</v>
      </c>
      <c r="BX43" s="274">
        <f t="shared" si="65"/>
        <v>6639.48295357015</v>
      </c>
      <c r="BY43" s="274">
        <f t="shared" si="65"/>
        <v>7758.38999168601</v>
      </c>
      <c r="BZ43" s="274">
        <f t="shared" si="65"/>
        <v>10419.1230532892</v>
      </c>
      <c r="CA43" s="324">
        <f t="shared" si="65"/>
        <v>9527.7110471327</v>
      </c>
      <c r="CB43" s="274">
        <f t="shared" si="65"/>
        <v>5965.27412288603</v>
      </c>
      <c r="CC43" s="274">
        <f t="shared" ref="CC43:CE43" si="66">+CC20</f>
        <v>9028.96011789693</v>
      </c>
      <c r="CD43" s="274">
        <f t="shared" si="66"/>
        <v>12906.4296994451</v>
      </c>
      <c r="CE43" s="324">
        <f t="shared" si="66"/>
        <v>11582.2545305433</v>
      </c>
      <c r="CF43" s="253"/>
      <c r="CG43" s="253"/>
      <c r="CH43" s="96"/>
      <c r="CI43" s="96"/>
      <c r="CJ43" s="96"/>
      <c r="CK43" s="96"/>
      <c r="CL43" s="96"/>
      <c r="CM43" s="96"/>
      <c r="CN43" s="96"/>
      <c r="CO43" s="96"/>
      <c r="CP43" s="96"/>
      <c r="CQ43" s="96"/>
      <c r="CR43" s="96"/>
      <c r="CS43" s="96"/>
      <c r="CT43" s="253"/>
      <c r="CU43" s="253"/>
      <c r="CV43" s="253"/>
      <c r="CW43" s="253"/>
      <c r="CX43" s="253"/>
      <c r="CY43" s="253"/>
      <c r="CZ43" s="253"/>
      <c r="DA43" s="253"/>
      <c r="DB43" s="253"/>
      <c r="DC43" s="253"/>
      <c r="DD43" s="253"/>
      <c r="DE43" s="253"/>
      <c r="DF43" s="253"/>
      <c r="DG43" s="253"/>
      <c r="DH43" s="253"/>
      <c r="DI43" s="253"/>
      <c r="DJ43" s="253"/>
      <c r="DK43" s="253"/>
      <c r="DL43" s="253"/>
      <c r="DM43" s="253"/>
      <c r="DN43" s="253"/>
      <c r="DO43" s="253"/>
      <c r="DP43" s="253"/>
    </row>
    <row r="44" spans="1:120">
      <c r="A44" s="250"/>
      <c r="B44" s="252" t="s">
        <v>102</v>
      </c>
      <c r="C44" s="253"/>
      <c r="D44" s="253"/>
      <c r="E44" s="253">
        <v>2.7811</v>
      </c>
      <c r="F44" s="253">
        <v>2.8049</v>
      </c>
      <c r="G44" s="253">
        <v>5.27212379</v>
      </c>
      <c r="H44" s="253">
        <v>12.06805423</v>
      </c>
      <c r="I44" s="253">
        <v>15.21401706</v>
      </c>
      <c r="J44" s="253">
        <v>23.89663331</v>
      </c>
      <c r="K44" s="253">
        <v>46.8622836</v>
      </c>
      <c r="L44" s="253">
        <v>53.23269965</v>
      </c>
      <c r="M44" s="253">
        <v>33.98267841</v>
      </c>
      <c r="N44" s="253">
        <v>49.14134274</v>
      </c>
      <c r="O44" s="253">
        <v>71.31767662</v>
      </c>
      <c r="P44" s="253">
        <v>84.04826139</v>
      </c>
      <c r="Q44" s="253">
        <f t="shared" ref="Q44:V44" si="67">+Q177</f>
        <v>102.96081444</v>
      </c>
      <c r="R44" s="253">
        <f t="shared" si="67"/>
        <v>183.4543323256</v>
      </c>
      <c r="S44" s="253">
        <f t="shared" si="67"/>
        <v>364.458047096416</v>
      </c>
      <c r="T44" s="253">
        <f t="shared" si="67"/>
        <v>592.461804253058</v>
      </c>
      <c r="U44" s="253">
        <f t="shared" si="67"/>
        <v>830.399217970291</v>
      </c>
      <c r="V44" s="253">
        <f t="shared" si="67"/>
        <v>1018.98129045148</v>
      </c>
      <c r="W44" s="303"/>
      <c r="X44" s="253">
        <v>0</v>
      </c>
      <c r="Y44" s="253">
        <v>0</v>
      </c>
      <c r="Z44" s="253">
        <v>0</v>
      </c>
      <c r="AA44" s="316">
        <v>0</v>
      </c>
      <c r="AB44" s="253">
        <v>3.54344109</v>
      </c>
      <c r="AC44" s="253">
        <v>3.54344109</v>
      </c>
      <c r="AD44" s="253">
        <v>3.54344109</v>
      </c>
      <c r="AE44" s="316">
        <v>3.54344109</v>
      </c>
      <c r="AF44" s="253">
        <v>3.54344109</v>
      </c>
      <c r="AG44" s="253">
        <v>3.54344109</v>
      </c>
      <c r="AH44" s="253">
        <v>8.39349156</v>
      </c>
      <c r="AI44" s="316">
        <v>8.39349156</v>
      </c>
      <c r="AJ44" s="253">
        <v>10.1210434</v>
      </c>
      <c r="AK44" s="253">
        <v>10.1210434</v>
      </c>
      <c r="AL44" s="253">
        <v>13.23213024</v>
      </c>
      <c r="AM44" s="316">
        <v>13.23213024</v>
      </c>
      <c r="AN44" s="253">
        <v>14.87500408</v>
      </c>
      <c r="AO44" s="253">
        <v>14.87500408</v>
      </c>
      <c r="AP44" s="253">
        <v>11.69199458</v>
      </c>
      <c r="AQ44" s="316">
        <v>11.69199458</v>
      </c>
      <c r="AR44" s="332">
        <v>8.121581115</v>
      </c>
      <c r="AS44" s="332">
        <v>8.121581115</v>
      </c>
      <c r="AT44" s="332">
        <v>7.456470815</v>
      </c>
      <c r="AU44" s="334">
        <v>7.456470815</v>
      </c>
      <c r="AV44" s="332">
        <v>10.170185385</v>
      </c>
      <c r="AW44" s="332">
        <v>10.170185385</v>
      </c>
      <c r="AX44" s="332">
        <v>14.159873585</v>
      </c>
      <c r="AY44" s="334">
        <v>14.159873585</v>
      </c>
      <c r="AZ44" s="332">
        <v>16.80756973</v>
      </c>
      <c r="BA44" s="332">
        <v>16.80756973</v>
      </c>
      <c r="BB44" s="332">
        <v>18.716403515</v>
      </c>
      <c r="BC44" s="334">
        <v>18.716403515</v>
      </c>
      <c r="BD44" s="253">
        <v>21.37230848</v>
      </c>
      <c r="BE44" s="253">
        <v>21.37230848</v>
      </c>
      <c r="BF44" s="253">
        <v>22.10797962</v>
      </c>
      <c r="BG44" s="316">
        <v>22.10797962</v>
      </c>
      <c r="BH44" s="253">
        <v>23.48991841</v>
      </c>
      <c r="BI44" s="253">
        <v>23.48991841</v>
      </c>
      <c r="BJ44" s="332">
        <v>23</v>
      </c>
      <c r="BK44" s="334">
        <f>Q44-SUM(BH44:BJ44)</f>
        <v>32.98097762</v>
      </c>
      <c r="BL44" s="332">
        <f>+$R44/4</f>
        <v>45.8635830814</v>
      </c>
      <c r="BM44" s="332">
        <f t="shared" ref="BM44:BO45" si="68">+$R44/4</f>
        <v>45.8635830814</v>
      </c>
      <c r="BN44" s="332">
        <f t="shared" si="68"/>
        <v>45.8635830814</v>
      </c>
      <c r="BO44" s="334">
        <f t="shared" si="68"/>
        <v>45.8635830814</v>
      </c>
      <c r="BP44" s="332">
        <f>+$S44/4</f>
        <v>91.114511774104</v>
      </c>
      <c r="BQ44" s="332">
        <f t="shared" ref="BQ44:BS45" si="69">+$S44/4</f>
        <v>91.114511774104</v>
      </c>
      <c r="BR44" s="332">
        <f t="shared" si="69"/>
        <v>91.114511774104</v>
      </c>
      <c r="BS44" s="334">
        <f t="shared" si="69"/>
        <v>91.114511774104</v>
      </c>
      <c r="BT44" s="332">
        <f>+$T44/4</f>
        <v>148.115451063264</v>
      </c>
      <c r="BU44" s="332">
        <f t="shared" ref="BU44:BW45" si="70">+$T44/4</f>
        <v>148.115451063264</v>
      </c>
      <c r="BV44" s="332">
        <f t="shared" si="70"/>
        <v>148.115451063264</v>
      </c>
      <c r="BW44" s="334">
        <f t="shared" si="70"/>
        <v>148.115451063264</v>
      </c>
      <c r="BX44" s="332">
        <f>+$U44/4</f>
        <v>207.599804492573</v>
      </c>
      <c r="BY44" s="332">
        <f t="shared" ref="BY44:CA45" si="71">+$U44/4</f>
        <v>207.599804492573</v>
      </c>
      <c r="BZ44" s="332">
        <f t="shared" si="71"/>
        <v>207.599804492573</v>
      </c>
      <c r="CA44" s="334">
        <f t="shared" si="71"/>
        <v>207.599804492573</v>
      </c>
      <c r="CB44" s="332">
        <f>+$V44/4</f>
        <v>254.74532261287</v>
      </c>
      <c r="CC44" s="332">
        <f t="shared" ref="CC44:CE45" si="72">+$V44/4</f>
        <v>254.74532261287</v>
      </c>
      <c r="CD44" s="332">
        <f t="shared" si="72"/>
        <v>254.74532261287</v>
      </c>
      <c r="CE44" s="334">
        <f t="shared" si="72"/>
        <v>254.74532261287</v>
      </c>
      <c r="CF44" s="332"/>
      <c r="CG44" s="384"/>
      <c r="CH44" s="96"/>
      <c r="CI44" s="96"/>
      <c r="CJ44" s="96"/>
      <c r="CK44" s="96"/>
      <c r="CL44" s="96"/>
      <c r="CM44" s="96"/>
      <c r="CN44" s="96"/>
      <c r="CO44" s="96"/>
      <c r="CP44" s="96"/>
      <c r="CQ44" s="96"/>
      <c r="CR44" s="96"/>
      <c r="CS44" s="96"/>
      <c r="CT44" s="253"/>
      <c r="CU44" s="255"/>
      <c r="CV44" s="255"/>
      <c r="CW44" s="255"/>
      <c r="CX44" s="255"/>
      <c r="CY44" s="255"/>
      <c r="CZ44" s="255"/>
      <c r="DA44" s="255"/>
      <c r="DB44" s="255"/>
      <c r="DC44" s="255"/>
      <c r="DD44" s="255"/>
      <c r="DE44" s="255"/>
      <c r="DF44" s="255"/>
      <c r="DG44" s="255"/>
      <c r="DH44" s="255"/>
      <c r="DI44" s="255"/>
      <c r="DJ44" s="255"/>
      <c r="DK44" s="255"/>
      <c r="DL44" s="255"/>
      <c r="DM44" s="255"/>
      <c r="DN44" s="255"/>
      <c r="DO44" s="255"/>
      <c r="DP44" s="255"/>
    </row>
    <row r="45" spans="1:120">
      <c r="A45" s="250"/>
      <c r="B45" s="252" t="s">
        <v>104</v>
      </c>
      <c r="C45" s="253"/>
      <c r="D45" s="253"/>
      <c r="E45" s="253">
        <v>0.1364</v>
      </c>
      <c r="F45" s="253">
        <v>0.1015</v>
      </c>
      <c r="G45" s="253">
        <v>0.22808715</v>
      </c>
      <c r="H45" s="253">
        <v>0.31876193</v>
      </c>
      <c r="I45" s="253">
        <v>0.43356578</v>
      </c>
      <c r="J45" s="253">
        <v>0.41590236</v>
      </c>
      <c r="K45" s="253">
        <v>0.42110674</v>
      </c>
      <c r="L45" s="253">
        <v>0.67595024</v>
      </c>
      <c r="M45" s="253">
        <v>0.86882171</v>
      </c>
      <c r="N45" s="253">
        <v>0.86558615</v>
      </c>
      <c r="O45" s="253">
        <v>0.92521985</v>
      </c>
      <c r="P45" s="253">
        <v>12.94123485</v>
      </c>
      <c r="Q45" s="253">
        <f t="shared" ref="Q45:V45" si="73">+Q185</f>
        <v>23.21158344</v>
      </c>
      <c r="R45" s="253">
        <f t="shared" si="73"/>
        <v>27.0298622048</v>
      </c>
      <c r="S45" s="253">
        <f t="shared" si="73"/>
        <v>23.245681496128</v>
      </c>
      <c r="T45" s="253">
        <f t="shared" si="73"/>
        <v>19.9912860866701</v>
      </c>
      <c r="U45" s="253">
        <f t="shared" si="73"/>
        <v>17.1925060345363</v>
      </c>
      <c r="V45" s="253">
        <f t="shared" si="73"/>
        <v>14.7855551897012</v>
      </c>
      <c r="W45" s="303"/>
      <c r="X45" s="253">
        <v>0</v>
      </c>
      <c r="Y45" s="253">
        <v>0</v>
      </c>
      <c r="Z45" s="253">
        <v>0</v>
      </c>
      <c r="AA45" s="316">
        <v>0</v>
      </c>
      <c r="AB45" s="253">
        <v>0.105294</v>
      </c>
      <c r="AC45" s="253">
        <v>0.105294</v>
      </c>
      <c r="AD45" s="253">
        <v>0.105294</v>
      </c>
      <c r="AE45" s="316">
        <v>0.105294</v>
      </c>
      <c r="AF45" s="253">
        <v>0.105294</v>
      </c>
      <c r="AG45" s="253">
        <v>0.105294</v>
      </c>
      <c r="AH45" s="253">
        <v>0.10265718</v>
      </c>
      <c r="AI45" s="316">
        <v>0.10265718</v>
      </c>
      <c r="AJ45" s="253">
        <v>0.10299609</v>
      </c>
      <c r="AK45" s="253">
        <v>0.10299609</v>
      </c>
      <c r="AL45" s="253">
        <v>0.10755728</v>
      </c>
      <c r="AM45" s="316">
        <v>0.10755728</v>
      </c>
      <c r="AN45" s="253">
        <v>0.13538499</v>
      </c>
      <c r="AO45" s="253">
        <v>0.13538499</v>
      </c>
      <c r="AP45" s="253">
        <v>0.20259013</v>
      </c>
      <c r="AQ45" s="316">
        <v>0.20259013</v>
      </c>
      <c r="AR45" s="253">
        <v>0.213482755</v>
      </c>
      <c r="AS45" s="253">
        <v>0.213482755</v>
      </c>
      <c r="AT45" s="253">
        <v>0.2209281</v>
      </c>
      <c r="AU45" s="316">
        <v>0.2209281</v>
      </c>
      <c r="AV45" s="332">
        <v>0.216865795</v>
      </c>
      <c r="AW45" s="332">
        <v>0.216865795</v>
      </c>
      <c r="AX45" s="332">
        <v>0.21592728</v>
      </c>
      <c r="AY45" s="334">
        <v>0.21592728</v>
      </c>
      <c r="AZ45" s="332">
        <v>0.22147509</v>
      </c>
      <c r="BA45" s="332">
        <v>0.22147509</v>
      </c>
      <c r="BB45" s="332">
        <v>0.241134835</v>
      </c>
      <c r="BC45" s="353">
        <v>0.241134835</v>
      </c>
      <c r="BD45" s="292">
        <v>1.63188227</v>
      </c>
      <c r="BE45" s="292">
        <v>1.63188227</v>
      </c>
      <c r="BF45" s="292">
        <v>4.838735155</v>
      </c>
      <c r="BG45" s="370">
        <v>4.838735155</v>
      </c>
      <c r="BH45" s="292">
        <v>5.42424512</v>
      </c>
      <c r="BI45" s="292">
        <v>5.42424512</v>
      </c>
      <c r="BJ45" s="33">
        <v>5</v>
      </c>
      <c r="BK45" s="334">
        <f>Q45-SUM(BH45:BJ45)</f>
        <v>7.3630932</v>
      </c>
      <c r="BL45" s="332">
        <f>+$R45/4</f>
        <v>6.7574655512</v>
      </c>
      <c r="BM45" s="332">
        <f t="shared" si="68"/>
        <v>6.7574655512</v>
      </c>
      <c r="BN45" s="332">
        <f t="shared" si="68"/>
        <v>6.7574655512</v>
      </c>
      <c r="BO45" s="334">
        <f t="shared" si="68"/>
        <v>6.7574655512</v>
      </c>
      <c r="BP45" s="332">
        <f>+$S45/4</f>
        <v>5.811420374032</v>
      </c>
      <c r="BQ45" s="332">
        <f t="shared" si="69"/>
        <v>5.811420374032</v>
      </c>
      <c r="BR45" s="332">
        <f t="shared" si="69"/>
        <v>5.811420374032</v>
      </c>
      <c r="BS45" s="334">
        <f t="shared" si="69"/>
        <v>5.811420374032</v>
      </c>
      <c r="BT45" s="332">
        <f>+$T45/4</f>
        <v>4.99782152166752</v>
      </c>
      <c r="BU45" s="332">
        <f t="shared" si="70"/>
        <v>4.99782152166752</v>
      </c>
      <c r="BV45" s="332">
        <f t="shared" si="70"/>
        <v>4.99782152166752</v>
      </c>
      <c r="BW45" s="334">
        <f t="shared" si="70"/>
        <v>4.99782152166752</v>
      </c>
      <c r="BX45" s="332">
        <f>+$U45/4</f>
        <v>4.29812650863407</v>
      </c>
      <c r="BY45" s="332">
        <f t="shared" si="71"/>
        <v>4.29812650863407</v>
      </c>
      <c r="BZ45" s="332">
        <f t="shared" si="71"/>
        <v>4.29812650863407</v>
      </c>
      <c r="CA45" s="334">
        <f>+$U45/4</f>
        <v>4.29812650863407</v>
      </c>
      <c r="CB45" s="332">
        <f>+$V45/4</f>
        <v>3.6963887974253</v>
      </c>
      <c r="CC45" s="332">
        <f t="shared" si="72"/>
        <v>3.6963887974253</v>
      </c>
      <c r="CD45" s="332">
        <f t="shared" si="72"/>
        <v>3.6963887974253</v>
      </c>
      <c r="CE45" s="334">
        <f t="shared" si="72"/>
        <v>3.6963887974253</v>
      </c>
      <c r="CF45" s="33"/>
      <c r="CG45" s="384"/>
      <c r="CH45" s="96"/>
      <c r="CI45" s="96"/>
      <c r="CJ45" s="96"/>
      <c r="CK45" s="96"/>
      <c r="CL45" s="96"/>
      <c r="CM45" s="96"/>
      <c r="CN45" s="96"/>
      <c r="CO45" s="96"/>
      <c r="CP45" s="96"/>
      <c r="CQ45" s="96"/>
      <c r="CR45" s="96"/>
      <c r="CS45" s="96"/>
      <c r="CT45" s="253"/>
      <c r="CU45" s="255"/>
      <c r="CV45" s="255"/>
      <c r="CW45" s="255"/>
      <c r="CX45" s="255"/>
      <c r="CY45" s="255"/>
      <c r="CZ45" s="255"/>
      <c r="DA45" s="255"/>
      <c r="DB45" s="255"/>
      <c r="DC45" s="255"/>
      <c r="DD45" s="255"/>
      <c r="DE45" s="255"/>
      <c r="DF45" s="255"/>
      <c r="DG45" s="255"/>
      <c r="DH45" s="255"/>
      <c r="DI45" s="255"/>
      <c r="DJ45" s="255"/>
      <c r="DK45" s="255"/>
      <c r="DL45" s="255"/>
      <c r="DM45" s="255"/>
      <c r="DN45" s="255"/>
      <c r="DO45" s="255"/>
      <c r="DP45" s="255"/>
    </row>
    <row r="46" spans="1:120">
      <c r="A46" s="261"/>
      <c r="B46" s="273" t="s">
        <v>100</v>
      </c>
      <c r="C46" s="273"/>
      <c r="D46" s="273"/>
      <c r="E46" s="273">
        <f t="shared" ref="E46:O46" si="74">+E43+E44+E45</f>
        <v>69.83037025</v>
      </c>
      <c r="F46" s="273">
        <f t="shared" si="74"/>
        <v>82.00321992</v>
      </c>
      <c r="G46" s="273">
        <f t="shared" si="74"/>
        <v>100.2388455</v>
      </c>
      <c r="H46" s="273">
        <f t="shared" si="74"/>
        <v>123.24598041</v>
      </c>
      <c r="I46" s="273">
        <f t="shared" si="74"/>
        <v>129.2444137</v>
      </c>
      <c r="J46" s="273">
        <f t="shared" si="74"/>
        <v>147.98633652</v>
      </c>
      <c r="K46" s="273">
        <f t="shared" si="74"/>
        <v>175.89683731</v>
      </c>
      <c r="L46" s="273">
        <f t="shared" si="74"/>
        <v>96.9941424599999</v>
      </c>
      <c r="M46" s="273">
        <f t="shared" si="74"/>
        <v>292.3423456</v>
      </c>
      <c r="N46" s="273">
        <f t="shared" si="74"/>
        <v>628.81527713</v>
      </c>
      <c r="O46" s="273">
        <f t="shared" si="74"/>
        <v>821.98480021</v>
      </c>
      <c r="P46" s="273">
        <f t="shared" ref="P46:V46" si="75">+P43+P44+P45</f>
        <v>979.05147259</v>
      </c>
      <c r="Q46" s="273">
        <f t="shared" si="75"/>
        <v>821.75486804</v>
      </c>
      <c r="R46" s="273">
        <f t="shared" si="75"/>
        <v>3335.5607775004</v>
      </c>
      <c r="S46" s="273">
        <f t="shared" si="75"/>
        <v>11096.1570622425</v>
      </c>
      <c r="T46" s="273">
        <f t="shared" si="75"/>
        <v>24140.9223495242</v>
      </c>
      <c r="U46" s="273">
        <f t="shared" si="75"/>
        <v>35192.2987696829</v>
      </c>
      <c r="V46" s="273">
        <f t="shared" si="75"/>
        <v>40516.6853164126</v>
      </c>
      <c r="W46" s="303"/>
      <c r="X46" s="273">
        <f>+X43+X44+X45</f>
        <v>0</v>
      </c>
      <c r="Y46" s="273">
        <f t="shared" ref="Y46:BG46" si="76">+Y43+Y44+Y45</f>
        <v>0</v>
      </c>
      <c r="Z46" s="273">
        <f t="shared" si="76"/>
        <v>0</v>
      </c>
      <c r="AA46" s="325">
        <f t="shared" si="76"/>
        <v>0</v>
      </c>
      <c r="AB46" s="273">
        <f t="shared" si="76"/>
        <v>32.79683005</v>
      </c>
      <c r="AC46" s="273">
        <f t="shared" si="76"/>
        <v>34.33712738</v>
      </c>
      <c r="AD46" s="273">
        <f t="shared" si="76"/>
        <v>29.2935944</v>
      </c>
      <c r="AE46" s="325">
        <f t="shared" si="76"/>
        <v>31.76421939</v>
      </c>
      <c r="AF46" s="273">
        <f t="shared" si="76"/>
        <v>28.0605918</v>
      </c>
      <c r="AG46" s="273">
        <f t="shared" si="76"/>
        <v>37.72246636</v>
      </c>
      <c r="AH46" s="273">
        <f t="shared" si="76"/>
        <v>44.698701</v>
      </c>
      <c r="AI46" s="325">
        <f t="shared" si="76"/>
        <v>37.48180935</v>
      </c>
      <c r="AJ46" s="273">
        <f t="shared" si="76"/>
        <v>43.09733867</v>
      </c>
      <c r="AK46" s="273">
        <f t="shared" si="76"/>
        <v>52.00820961</v>
      </c>
      <c r="AL46" s="273">
        <f t="shared" si="76"/>
        <v>55.80256047</v>
      </c>
      <c r="AM46" s="325">
        <f t="shared" si="76"/>
        <v>24.83279224</v>
      </c>
      <c r="AN46" s="273">
        <f t="shared" si="76"/>
        <v>17.46525691</v>
      </c>
      <c r="AO46" s="273">
        <f t="shared" si="76"/>
        <v>5.14533545999997</v>
      </c>
      <c r="AP46" s="273">
        <f t="shared" si="76"/>
        <v>28.26434821</v>
      </c>
      <c r="AQ46" s="325">
        <f t="shared" si="76"/>
        <v>46.02049955</v>
      </c>
      <c r="AR46" s="273">
        <f t="shared" si="76"/>
        <v>51.10041996</v>
      </c>
      <c r="AS46" s="273">
        <f t="shared" si="76"/>
        <v>55.67429594</v>
      </c>
      <c r="AT46" s="273">
        <f t="shared" si="76"/>
        <v>71.639932165</v>
      </c>
      <c r="AU46" s="325">
        <f t="shared" si="76"/>
        <v>111.101122985</v>
      </c>
      <c r="AV46" s="273">
        <f t="shared" si="76"/>
        <v>78.63319282</v>
      </c>
      <c r="AW46" s="273">
        <f t="shared" si="76"/>
        <v>184.98802252</v>
      </c>
      <c r="AX46" s="273">
        <f t="shared" si="76"/>
        <v>201.567773835</v>
      </c>
      <c r="AY46" s="325">
        <f t="shared" si="76"/>
        <v>163.145063155</v>
      </c>
      <c r="AZ46" s="273">
        <f t="shared" si="76"/>
        <v>174.63881311</v>
      </c>
      <c r="BA46" s="273">
        <f t="shared" si="76"/>
        <v>262.83479366</v>
      </c>
      <c r="BB46" s="273">
        <f t="shared" si="76"/>
        <v>151.27372738</v>
      </c>
      <c r="BC46" s="354">
        <f t="shared" si="76"/>
        <v>232.96773593</v>
      </c>
      <c r="BD46" s="256">
        <f t="shared" si="76"/>
        <v>216.77480333</v>
      </c>
      <c r="BE46" s="256">
        <f t="shared" si="76"/>
        <v>199.41172398</v>
      </c>
      <c r="BF46" s="256">
        <f t="shared" si="76"/>
        <v>296.649568445</v>
      </c>
      <c r="BG46" s="325">
        <f t="shared" si="76"/>
        <v>269.127691645</v>
      </c>
      <c r="BH46" s="256">
        <f t="shared" ref="BH46:BS46" si="77">+BH43+BH44+BH45</f>
        <v>174.10501449</v>
      </c>
      <c r="BI46" s="256">
        <f t="shared" si="77"/>
        <v>146.12314882</v>
      </c>
      <c r="BJ46" s="273">
        <f t="shared" si="77"/>
        <v>156.85919558</v>
      </c>
      <c r="BK46" s="325">
        <f t="shared" si="77"/>
        <v>344.66750915</v>
      </c>
      <c r="BL46" s="273">
        <f t="shared" si="77"/>
        <v>415.5402335026</v>
      </c>
      <c r="BM46" s="273">
        <f t="shared" si="77"/>
        <v>620.2083256326</v>
      </c>
      <c r="BN46" s="273">
        <f t="shared" si="77"/>
        <v>918.4895044226</v>
      </c>
      <c r="BO46" s="325">
        <f t="shared" si="77"/>
        <v>1381.3227139426</v>
      </c>
      <c r="BP46" s="273">
        <f t="shared" si="77"/>
        <v>1849.87105355814</v>
      </c>
      <c r="BQ46" s="273">
        <f t="shared" si="77"/>
        <v>2737.70196217814</v>
      </c>
      <c r="BR46" s="273">
        <f t="shared" si="77"/>
        <v>2672.06625751813</v>
      </c>
      <c r="BS46" s="325">
        <f t="shared" si="77"/>
        <v>3836.51778898814</v>
      </c>
      <c r="BT46" s="273">
        <f t="shared" ref="BT46:CB46" si="78">+BT43+BT44+BT45</f>
        <v>3988.58095553493</v>
      </c>
      <c r="BU46" s="273">
        <f t="shared" si="78"/>
        <v>5258.43701954293</v>
      </c>
      <c r="BV46" s="273">
        <f t="shared" si="78"/>
        <v>7154.25312488238</v>
      </c>
      <c r="BW46" s="325">
        <f t="shared" si="78"/>
        <v>7739.65124956396</v>
      </c>
      <c r="BX46" s="273">
        <f t="shared" si="78"/>
        <v>6851.38088457136</v>
      </c>
      <c r="BY46" s="273">
        <f t="shared" si="78"/>
        <v>7970.28792268722</v>
      </c>
      <c r="BZ46" s="273">
        <f t="shared" si="78"/>
        <v>10631.0209842904</v>
      </c>
      <c r="CA46" s="325">
        <f t="shared" si="78"/>
        <v>9739.6089781339</v>
      </c>
      <c r="CB46" s="273">
        <f t="shared" si="78"/>
        <v>6223.71583429633</v>
      </c>
      <c r="CC46" s="273">
        <f t="shared" ref="CC46:CE46" si="79">+CC43+CC44+CC45</f>
        <v>9287.40182930723</v>
      </c>
      <c r="CD46" s="273">
        <f t="shared" si="79"/>
        <v>13164.8714108554</v>
      </c>
      <c r="CE46" s="325">
        <f t="shared" si="79"/>
        <v>11840.6962419536</v>
      </c>
      <c r="CF46" s="256"/>
      <c r="CG46" s="256"/>
      <c r="CH46" s="96"/>
      <c r="CI46" s="96"/>
      <c r="CJ46" s="96"/>
      <c r="CK46" s="96"/>
      <c r="CL46" s="96"/>
      <c r="CM46" s="96"/>
      <c r="CN46" s="96"/>
      <c r="CO46" s="96"/>
      <c r="CP46" s="96"/>
      <c r="CQ46" s="96"/>
      <c r="CR46" s="96"/>
      <c r="CS46" s="96"/>
      <c r="CT46" s="267"/>
      <c r="CU46" s="267"/>
      <c r="CV46" s="267"/>
      <c r="CW46" s="267"/>
      <c r="CX46" s="267"/>
      <c r="CY46" s="267"/>
      <c r="CZ46" s="267"/>
      <c r="DA46" s="267"/>
      <c r="DB46" s="267"/>
      <c r="DC46" s="267"/>
      <c r="DD46" s="267"/>
      <c r="DE46" s="267"/>
      <c r="DF46" s="267"/>
      <c r="DG46" s="267"/>
      <c r="DH46" s="267"/>
      <c r="DI46" s="267"/>
      <c r="DJ46" s="267"/>
      <c r="DK46" s="267"/>
      <c r="DL46" s="267"/>
      <c r="DM46" s="267"/>
      <c r="DN46" s="267"/>
      <c r="DO46" s="267"/>
      <c r="DP46" s="267"/>
    </row>
    <row r="47" spans="1:120">
      <c r="A47" s="258"/>
      <c r="B47" s="259"/>
      <c r="C47" s="260"/>
      <c r="D47" s="260"/>
      <c r="E47" s="260"/>
      <c r="F47" s="260"/>
      <c r="G47" s="260"/>
      <c r="H47" s="260"/>
      <c r="I47" s="260"/>
      <c r="J47" s="260"/>
      <c r="K47" s="260"/>
      <c r="L47" s="260"/>
      <c r="M47" s="260"/>
      <c r="N47" s="260"/>
      <c r="O47" s="260"/>
      <c r="P47" s="260"/>
      <c r="Q47" s="260"/>
      <c r="R47" s="260"/>
      <c r="S47" s="260"/>
      <c r="T47" s="260"/>
      <c r="U47" s="260"/>
      <c r="V47" s="260"/>
      <c r="W47" s="303"/>
      <c r="X47" s="260"/>
      <c r="Y47" s="260"/>
      <c r="Z47" s="260"/>
      <c r="AA47" s="319"/>
      <c r="AB47" s="260"/>
      <c r="AC47" s="260"/>
      <c r="AD47" s="260"/>
      <c r="AE47" s="319"/>
      <c r="AF47" s="260"/>
      <c r="AG47" s="260"/>
      <c r="AH47" s="260"/>
      <c r="AI47" s="319"/>
      <c r="AJ47" s="260"/>
      <c r="AK47" s="260"/>
      <c r="AL47" s="260"/>
      <c r="AM47" s="319"/>
      <c r="AN47" s="260"/>
      <c r="AO47" s="260"/>
      <c r="AP47" s="260"/>
      <c r="AQ47" s="319"/>
      <c r="AR47" s="96"/>
      <c r="AS47" s="260"/>
      <c r="AT47" s="260"/>
      <c r="AU47" s="319"/>
      <c r="AV47" s="96"/>
      <c r="AW47" s="260"/>
      <c r="AX47" s="260"/>
      <c r="AY47" s="319"/>
      <c r="AZ47" s="260"/>
      <c r="BA47" s="260"/>
      <c r="BB47" s="260"/>
      <c r="BC47" s="319"/>
      <c r="BD47" s="260"/>
      <c r="BE47" s="260"/>
      <c r="BF47" s="260"/>
      <c r="BG47" s="319"/>
      <c r="BH47" s="260"/>
      <c r="BI47" s="260"/>
      <c r="BJ47" s="260"/>
      <c r="BK47" s="319"/>
      <c r="BL47" s="260"/>
      <c r="BM47" s="260"/>
      <c r="BN47" s="260"/>
      <c r="BO47" s="319"/>
      <c r="BP47" s="260"/>
      <c r="BQ47" s="260"/>
      <c r="BR47" s="260"/>
      <c r="BS47" s="319"/>
      <c r="BT47" s="260"/>
      <c r="BU47" s="260"/>
      <c r="BV47" s="260"/>
      <c r="BW47" s="319"/>
      <c r="BX47" s="260"/>
      <c r="BY47" s="260"/>
      <c r="BZ47" s="260"/>
      <c r="CA47" s="319"/>
      <c r="CB47" s="260"/>
      <c r="CC47" s="260"/>
      <c r="CD47" s="260"/>
      <c r="CE47" s="319"/>
      <c r="CF47" s="260"/>
      <c r="CG47" s="260"/>
      <c r="CH47" s="96"/>
      <c r="CI47" s="96"/>
      <c r="CJ47" s="96"/>
      <c r="CK47" s="96"/>
      <c r="CL47" s="96"/>
      <c r="CM47" s="96"/>
      <c r="CN47" s="96"/>
      <c r="CO47" s="96"/>
      <c r="CP47" s="96"/>
      <c r="CQ47" s="96"/>
      <c r="CR47" s="96"/>
      <c r="CS47" s="96"/>
      <c r="CT47" s="260"/>
      <c r="CU47" s="260"/>
      <c r="CV47" s="260"/>
      <c r="CW47" s="260"/>
      <c r="CX47" s="260"/>
      <c r="CY47" s="260"/>
      <c r="CZ47" s="260"/>
      <c r="DA47" s="260"/>
      <c r="DB47" s="260"/>
      <c r="DC47" s="260"/>
      <c r="DD47" s="260"/>
      <c r="DE47" s="260"/>
      <c r="DF47" s="260"/>
      <c r="DG47" s="260"/>
      <c r="DH47" s="260"/>
      <c r="DI47" s="260"/>
      <c r="DJ47" s="260"/>
      <c r="DK47" s="260"/>
      <c r="DL47" s="260"/>
      <c r="DM47" s="260"/>
      <c r="DN47" s="260"/>
      <c r="DO47" s="260"/>
      <c r="DP47" s="260"/>
    </row>
    <row r="48" spans="1:120">
      <c r="A48" s="261"/>
      <c r="B48" s="29" t="s">
        <v>713</v>
      </c>
      <c r="C48" s="96"/>
      <c r="D48" s="96"/>
      <c r="E48" s="96">
        <f t="shared" ref="E48:H48" si="80">+E40/E55</f>
        <v>0.678571428571428</v>
      </c>
      <c r="F48" s="96">
        <f t="shared" si="80"/>
        <v>0.807142857142857</v>
      </c>
      <c r="G48" s="96">
        <f t="shared" si="80"/>
        <v>0.971428571428572</v>
      </c>
      <c r="H48" s="96">
        <f t="shared" si="80"/>
        <v>1.13571428571429</v>
      </c>
      <c r="I48" s="96">
        <f t="shared" ref="I48:S49" si="81">SUMIF($X$3:$BS$3,I$4,$X48:$BS48)</f>
        <v>1.15673897900613</v>
      </c>
      <c r="J48" s="96">
        <f t="shared" si="81"/>
        <v>1.03571428571429</v>
      </c>
      <c r="K48" s="96">
        <f t="shared" si="81"/>
        <v>0.523285714285714</v>
      </c>
      <c r="L48" s="96">
        <f t="shared" si="81"/>
        <v>0.0952857142857143</v>
      </c>
      <c r="M48" s="96">
        <f t="shared" si="81"/>
        <v>0.641142857142857</v>
      </c>
      <c r="N48" s="96">
        <f t="shared" si="81"/>
        <v>1.08178571428571</v>
      </c>
      <c r="O48" s="96">
        <f t="shared" si="81"/>
        <v>0.711224489795918</v>
      </c>
      <c r="P48" s="96">
        <f t="shared" si="81"/>
        <v>0.909081632653061</v>
      </c>
      <c r="Q48" s="96">
        <f t="shared" si="81"/>
        <v>0.525738009963303</v>
      </c>
      <c r="R48" s="96">
        <f t="shared" si="81"/>
        <v>2.03950420716899</v>
      </c>
      <c r="S48" s="96">
        <f t="shared" si="81"/>
        <v>6.85273619111277</v>
      </c>
      <c r="T48" s="96">
        <f>SUMIF($X$3:$CA$3,T$4,$X48:$CA48)</f>
        <v>14.8630338811226</v>
      </c>
      <c r="U48" s="96">
        <f>SUMIF($X$3:$CA$3,U$4,$X48:$CA48)</f>
        <v>21.6157339389947</v>
      </c>
      <c r="V48" s="277">
        <f>SUMIF($X$3:$CE$3,V$4,$X48:$CE48)</f>
        <v>24.8465905460438</v>
      </c>
      <c r="W48" s="302"/>
      <c r="X48" s="277">
        <v>0</v>
      </c>
      <c r="Y48" s="277">
        <v>0</v>
      </c>
      <c r="Z48" s="277">
        <v>0</v>
      </c>
      <c r="AA48" s="326">
        <v>0</v>
      </c>
      <c r="AB48" s="277">
        <f t="shared" ref="AB48:AR48" si="82">+AB40/AB55</f>
        <v>0.307142857142857</v>
      </c>
      <c r="AC48" s="277">
        <f t="shared" si="82"/>
        <v>0.321428571428571</v>
      </c>
      <c r="AD48" s="277">
        <f t="shared" si="82"/>
        <v>0.24509612186327</v>
      </c>
      <c r="AE48" s="326">
        <f t="shared" si="82"/>
        <v>0.283071428571429</v>
      </c>
      <c r="AF48" s="277">
        <f t="shared" si="82"/>
        <v>0.264285714285714</v>
      </c>
      <c r="AG48" s="277">
        <f t="shared" si="82"/>
        <v>0.248428571428571</v>
      </c>
      <c r="AH48" s="277">
        <f t="shared" si="82"/>
        <v>0.294785714285714</v>
      </c>
      <c r="AI48" s="326">
        <f t="shared" si="82"/>
        <v>0.228214285714286</v>
      </c>
      <c r="AJ48" s="277">
        <f t="shared" si="82"/>
        <v>0.275</v>
      </c>
      <c r="AK48" s="277">
        <f t="shared" si="82"/>
        <v>0.100571428571429</v>
      </c>
      <c r="AL48" s="277">
        <f t="shared" si="82"/>
        <v>0.104214285714286</v>
      </c>
      <c r="AM48" s="326">
        <f t="shared" si="82"/>
        <v>0.0435</v>
      </c>
      <c r="AN48" s="277">
        <f t="shared" si="82"/>
        <v>-0.0109285714285714</v>
      </c>
      <c r="AO48" s="277">
        <f t="shared" si="82"/>
        <v>-0.0345714285714286</v>
      </c>
      <c r="AP48" s="277">
        <f t="shared" si="82"/>
        <v>0.0616428571428572</v>
      </c>
      <c r="AQ48" s="326">
        <f t="shared" si="82"/>
        <v>0.0791428571428572</v>
      </c>
      <c r="AR48" s="277">
        <f t="shared" si="82"/>
        <v>0.0971428571428571</v>
      </c>
      <c r="AS48" s="277">
        <f t="shared" ref="AS48:BS48" si="83">+AS40/AS55</f>
        <v>0.144642857142857</v>
      </c>
      <c r="AT48" s="277">
        <f t="shared" si="83"/>
        <v>0.158071428571429</v>
      </c>
      <c r="AU48" s="326">
        <f t="shared" si="83"/>
        <v>0.241285714285714</v>
      </c>
      <c r="AV48" s="277">
        <f t="shared" si="83"/>
        <v>0.169785714285714</v>
      </c>
      <c r="AW48" s="277">
        <f t="shared" si="83"/>
        <v>0.291285714285714</v>
      </c>
      <c r="AX48" s="277">
        <f t="shared" si="83"/>
        <v>0.325071428571429</v>
      </c>
      <c r="AY48" s="326">
        <f t="shared" si="83"/>
        <v>0.295642857142857</v>
      </c>
      <c r="AZ48" s="277">
        <f t="shared" si="83"/>
        <v>0.158316326530612</v>
      </c>
      <c r="BA48" s="277">
        <f t="shared" si="83"/>
        <v>0.211887755102041</v>
      </c>
      <c r="BB48" s="277">
        <f t="shared" si="83"/>
        <v>0.142755102040816</v>
      </c>
      <c r="BC48" s="326">
        <f t="shared" si="83"/>
        <v>0.198265306122449</v>
      </c>
      <c r="BD48" s="277">
        <f t="shared" si="83"/>
        <v>0.133214285714286</v>
      </c>
      <c r="BE48" s="277">
        <f t="shared" si="83"/>
        <v>0.330663265306122</v>
      </c>
      <c r="BF48" s="277">
        <f t="shared" si="83"/>
        <v>0.303214285714286</v>
      </c>
      <c r="BG48" s="326">
        <f t="shared" si="83"/>
        <v>0.141989795918367</v>
      </c>
      <c r="BH48" s="277">
        <f t="shared" si="83"/>
        <v>0.108520408163265</v>
      </c>
      <c r="BI48" s="277">
        <f t="shared" si="83"/>
        <v>0.129744897959184</v>
      </c>
      <c r="BJ48" s="277">
        <f t="shared" si="83"/>
        <v>0.10147783358556</v>
      </c>
      <c r="BK48" s="326">
        <f t="shared" si="83"/>
        <v>0.185994870255294</v>
      </c>
      <c r="BL48" s="277">
        <f t="shared" si="83"/>
        <v>0.233243571471369</v>
      </c>
      <c r="BM48" s="277">
        <f t="shared" si="83"/>
        <v>0.388524160442186</v>
      </c>
      <c r="BN48" s="277">
        <f t="shared" si="83"/>
        <v>0.561246021107256</v>
      </c>
      <c r="BO48" s="326">
        <f t="shared" si="83"/>
        <v>0.856490454148185</v>
      </c>
      <c r="BP48" s="277">
        <f t="shared" si="83"/>
        <v>1.1301563060569</v>
      </c>
      <c r="BQ48" s="277">
        <f t="shared" si="83"/>
        <v>1.70577624821933</v>
      </c>
      <c r="BR48" s="277">
        <f t="shared" si="83"/>
        <v>1.71375723930311</v>
      </c>
      <c r="BS48" s="326">
        <f t="shared" si="83"/>
        <v>2.30304639753343</v>
      </c>
      <c r="BT48" s="277">
        <f t="shared" ref="BT48:CA48" si="84">+BT40/BT55</f>
        <v>1.99358539052057</v>
      </c>
      <c r="BU48" s="277">
        <f t="shared" si="84"/>
        <v>3.34096550589845</v>
      </c>
      <c r="BV48" s="277">
        <f t="shared" si="84"/>
        <v>4.56447545905774</v>
      </c>
      <c r="BW48" s="326">
        <f t="shared" si="84"/>
        <v>4.96400752564584</v>
      </c>
      <c r="BX48" s="277">
        <f t="shared" si="84"/>
        <v>4.17987164091798</v>
      </c>
      <c r="BY48" s="277">
        <f t="shared" si="84"/>
        <v>4.88342933788541</v>
      </c>
      <c r="BZ48" s="277">
        <f t="shared" si="84"/>
        <v>6.55647201372635</v>
      </c>
      <c r="CA48" s="326">
        <f t="shared" si="84"/>
        <v>5.99596094646497</v>
      </c>
      <c r="CB48" s="277">
        <f t="shared" ref="CB48:CE48" si="85">+CB40/CB55</f>
        <v>3.75593578563015</v>
      </c>
      <c r="CC48" s="277">
        <f t="shared" si="85"/>
        <v>5.68235128705631</v>
      </c>
      <c r="CD48" s="277">
        <f t="shared" si="85"/>
        <v>8.12046587202576</v>
      </c>
      <c r="CE48" s="326">
        <f t="shared" si="85"/>
        <v>7.28783760133158</v>
      </c>
      <c r="CF48" s="277"/>
      <c r="CG48" s="387"/>
      <c r="CH48" s="96"/>
      <c r="CI48" s="96"/>
      <c r="CJ48" s="96"/>
      <c r="CK48" s="96"/>
      <c r="CL48" s="96"/>
      <c r="CM48" s="96"/>
      <c r="CN48" s="96"/>
      <c r="CO48" s="96"/>
      <c r="CP48" s="96"/>
      <c r="CQ48" s="96"/>
      <c r="CR48" s="96"/>
      <c r="CS48" s="96"/>
      <c r="CT48" s="277"/>
      <c r="CU48" s="390"/>
      <c r="CV48" s="390"/>
      <c r="CW48" s="390"/>
      <c r="CX48" s="390"/>
      <c r="CY48" s="390"/>
      <c r="CZ48" s="390"/>
      <c r="DA48" s="390"/>
      <c r="DB48" s="390"/>
      <c r="DC48" s="390"/>
      <c r="DD48" s="390"/>
      <c r="DE48" s="390"/>
      <c r="DF48" s="390"/>
      <c r="DG48" s="390"/>
      <c r="DH48" s="390"/>
      <c r="DI48" s="390"/>
      <c r="DJ48" s="390"/>
      <c r="DK48" s="390"/>
      <c r="DL48" s="390"/>
      <c r="DM48" s="390"/>
      <c r="DN48" s="390"/>
      <c r="DO48" s="390"/>
      <c r="DP48" s="390"/>
    </row>
    <row r="49" spans="1:120">
      <c r="A49" s="261"/>
      <c r="B49" s="29" t="s">
        <v>714</v>
      </c>
      <c r="C49" s="96"/>
      <c r="D49" s="96"/>
      <c r="E49" s="96">
        <f t="shared" ref="E49:H49" si="86">+E40/E56</f>
        <v>0.678571428571428</v>
      </c>
      <c r="F49" s="96">
        <f t="shared" si="86"/>
        <v>0.807142857142857</v>
      </c>
      <c r="G49" s="96">
        <f t="shared" si="86"/>
        <v>0.971428571428572</v>
      </c>
      <c r="H49" s="96">
        <f t="shared" si="86"/>
        <v>1.13571428571429</v>
      </c>
      <c r="I49" s="96">
        <f t="shared" si="81"/>
        <v>1.15673897900613</v>
      </c>
      <c r="J49" s="96">
        <f t="shared" si="81"/>
        <v>1.03571428571429</v>
      </c>
      <c r="K49" s="96">
        <f t="shared" si="81"/>
        <v>0.523285714285714</v>
      </c>
      <c r="L49" s="96">
        <f t="shared" si="81"/>
        <v>0.0952857142857143</v>
      </c>
      <c r="M49" s="96">
        <f t="shared" si="81"/>
        <v>0.641142857142857</v>
      </c>
      <c r="N49" s="96">
        <f t="shared" si="81"/>
        <v>1.08178571428571</v>
      </c>
      <c r="O49" s="96">
        <f t="shared" si="81"/>
        <v>0.711224489795918</v>
      </c>
      <c r="P49" s="96">
        <f t="shared" si="81"/>
        <v>0.909081632653061</v>
      </c>
      <c r="Q49" s="96">
        <f t="shared" si="81"/>
        <v>0.525738009963303</v>
      </c>
      <c r="R49" s="96">
        <f t="shared" si="81"/>
        <v>2.03950420716899</v>
      </c>
      <c r="S49" s="96">
        <f t="shared" si="81"/>
        <v>6.85273619111277</v>
      </c>
      <c r="T49" s="96">
        <f>SUMIF($X$3:$CA$3,T$4,$X49:$CA49)</f>
        <v>14.8630338811226</v>
      </c>
      <c r="U49" s="96">
        <f>SUMIF($X$3:$CA$3,U$4,$X49:$CA49)</f>
        <v>21.6157339389947</v>
      </c>
      <c r="V49" s="277">
        <f>SUMIF($X$3:$CE$3,V$4,$X49:$CE49)</f>
        <v>24.8465905460438</v>
      </c>
      <c r="W49" s="303"/>
      <c r="X49" s="277">
        <v>0</v>
      </c>
      <c r="Y49" s="277">
        <v>0</v>
      </c>
      <c r="Z49" s="277">
        <v>0</v>
      </c>
      <c r="AA49" s="326">
        <v>0</v>
      </c>
      <c r="AB49" s="277">
        <f t="shared" ref="AB49:AR49" si="87">+AB40/AB56</f>
        <v>0.307142857142857</v>
      </c>
      <c r="AC49" s="277">
        <f t="shared" si="87"/>
        <v>0.321428571428571</v>
      </c>
      <c r="AD49" s="277">
        <f t="shared" si="87"/>
        <v>0.24509612186327</v>
      </c>
      <c r="AE49" s="326">
        <f t="shared" si="87"/>
        <v>0.283071428571429</v>
      </c>
      <c r="AF49" s="277">
        <f t="shared" si="87"/>
        <v>0.264285714285714</v>
      </c>
      <c r="AG49" s="277">
        <f t="shared" si="87"/>
        <v>0.248428571428571</v>
      </c>
      <c r="AH49" s="277">
        <f t="shared" si="87"/>
        <v>0.294785714285714</v>
      </c>
      <c r="AI49" s="326">
        <f t="shared" si="87"/>
        <v>0.228214285714286</v>
      </c>
      <c r="AJ49" s="277">
        <f t="shared" si="87"/>
        <v>0.275</v>
      </c>
      <c r="AK49" s="277">
        <f t="shared" si="87"/>
        <v>0.100571428571429</v>
      </c>
      <c r="AL49" s="277">
        <f t="shared" si="87"/>
        <v>0.104214285714286</v>
      </c>
      <c r="AM49" s="326">
        <f t="shared" si="87"/>
        <v>0.0435</v>
      </c>
      <c r="AN49" s="277">
        <f t="shared" si="87"/>
        <v>-0.0109285714285714</v>
      </c>
      <c r="AO49" s="277">
        <f t="shared" si="87"/>
        <v>-0.0345714285714286</v>
      </c>
      <c r="AP49" s="277">
        <f t="shared" si="87"/>
        <v>0.0616428571428572</v>
      </c>
      <c r="AQ49" s="326">
        <f t="shared" si="87"/>
        <v>0.0791428571428572</v>
      </c>
      <c r="AR49" s="277">
        <f t="shared" si="87"/>
        <v>0.0971428571428571</v>
      </c>
      <c r="AS49" s="277">
        <f t="shared" ref="AS49:BS49" si="88">+AS40/AS56</f>
        <v>0.144642857142857</v>
      </c>
      <c r="AT49" s="277">
        <f t="shared" si="88"/>
        <v>0.158071428571429</v>
      </c>
      <c r="AU49" s="326">
        <f t="shared" si="88"/>
        <v>0.241285714285714</v>
      </c>
      <c r="AV49" s="277">
        <f t="shared" si="88"/>
        <v>0.169785714285714</v>
      </c>
      <c r="AW49" s="277">
        <f t="shared" si="88"/>
        <v>0.291285714285714</v>
      </c>
      <c r="AX49" s="277">
        <f t="shared" si="88"/>
        <v>0.325071428571429</v>
      </c>
      <c r="AY49" s="326">
        <f t="shared" si="88"/>
        <v>0.295642857142857</v>
      </c>
      <c r="AZ49" s="277">
        <f t="shared" si="88"/>
        <v>0.158316326530612</v>
      </c>
      <c r="BA49" s="277">
        <f t="shared" si="88"/>
        <v>0.211887755102041</v>
      </c>
      <c r="BB49" s="277">
        <f t="shared" si="88"/>
        <v>0.142755102040816</v>
      </c>
      <c r="BC49" s="326">
        <f t="shared" si="88"/>
        <v>0.198265306122449</v>
      </c>
      <c r="BD49" s="277">
        <f t="shared" si="88"/>
        <v>0.133214285714286</v>
      </c>
      <c r="BE49" s="277">
        <f t="shared" si="88"/>
        <v>0.330663265306122</v>
      </c>
      <c r="BF49" s="277">
        <f t="shared" si="88"/>
        <v>0.303214285714286</v>
      </c>
      <c r="BG49" s="326">
        <f t="shared" si="88"/>
        <v>0.141989795918367</v>
      </c>
      <c r="BH49" s="277">
        <f t="shared" si="88"/>
        <v>0.108520408163265</v>
      </c>
      <c r="BI49" s="277">
        <f t="shared" si="88"/>
        <v>0.129744897959184</v>
      </c>
      <c r="BJ49" s="277">
        <f t="shared" si="88"/>
        <v>0.10147783358556</v>
      </c>
      <c r="BK49" s="326">
        <f t="shared" si="88"/>
        <v>0.185994870255294</v>
      </c>
      <c r="BL49" s="277">
        <f t="shared" si="88"/>
        <v>0.233243571471369</v>
      </c>
      <c r="BM49" s="277">
        <f t="shared" si="88"/>
        <v>0.388524160442186</v>
      </c>
      <c r="BN49" s="277">
        <f t="shared" si="88"/>
        <v>0.561246021107256</v>
      </c>
      <c r="BO49" s="326">
        <f t="shared" si="88"/>
        <v>0.856490454148185</v>
      </c>
      <c r="BP49" s="277">
        <f t="shared" si="88"/>
        <v>1.1301563060569</v>
      </c>
      <c r="BQ49" s="277">
        <f t="shared" si="88"/>
        <v>1.70577624821933</v>
      </c>
      <c r="BR49" s="277">
        <f t="shared" si="88"/>
        <v>1.71375723930311</v>
      </c>
      <c r="BS49" s="326">
        <f t="shared" si="88"/>
        <v>2.30304639753343</v>
      </c>
      <c r="BT49" s="277">
        <f t="shared" ref="BT49:CA49" si="89">+BT40/BT56</f>
        <v>1.99358539052057</v>
      </c>
      <c r="BU49" s="277">
        <f t="shared" si="89"/>
        <v>3.34096550589845</v>
      </c>
      <c r="BV49" s="277">
        <f t="shared" si="89"/>
        <v>4.56447545905774</v>
      </c>
      <c r="BW49" s="326">
        <f t="shared" si="89"/>
        <v>4.96400752564584</v>
      </c>
      <c r="BX49" s="277">
        <f t="shared" si="89"/>
        <v>4.17987164091798</v>
      </c>
      <c r="BY49" s="277">
        <f t="shared" si="89"/>
        <v>4.88342933788541</v>
      </c>
      <c r="BZ49" s="277">
        <f t="shared" si="89"/>
        <v>6.55647201372635</v>
      </c>
      <c r="CA49" s="326">
        <f t="shared" si="89"/>
        <v>5.99596094646497</v>
      </c>
      <c r="CB49" s="277">
        <f t="shared" ref="CB49:CE49" si="90">+CB40/CB56</f>
        <v>3.75593578563015</v>
      </c>
      <c r="CC49" s="277">
        <f t="shared" si="90"/>
        <v>5.68235128705631</v>
      </c>
      <c r="CD49" s="277">
        <f t="shared" si="90"/>
        <v>8.12046587202576</v>
      </c>
      <c r="CE49" s="326">
        <f t="shared" si="90"/>
        <v>7.28783760133158</v>
      </c>
      <c r="CF49" s="277"/>
      <c r="CG49" s="387"/>
      <c r="CH49" s="96"/>
      <c r="CI49" s="96"/>
      <c r="CJ49" s="96"/>
      <c r="CK49" s="96"/>
      <c r="CL49" s="96"/>
      <c r="CM49" s="96"/>
      <c r="CN49" s="96"/>
      <c r="CO49" s="96"/>
      <c r="CP49" s="96"/>
      <c r="CQ49" s="96"/>
      <c r="CR49" s="96"/>
      <c r="CS49" s="96"/>
      <c r="CT49" s="277"/>
      <c r="CU49" s="390"/>
      <c r="CV49" s="390"/>
      <c r="CW49" s="390"/>
      <c r="CX49" s="390"/>
      <c r="CY49" s="390"/>
      <c r="CZ49" s="390"/>
      <c r="DA49" s="390"/>
      <c r="DB49" s="390"/>
      <c r="DC49" s="390"/>
      <c r="DD49" s="390"/>
      <c r="DE49" s="390"/>
      <c r="DF49" s="390"/>
      <c r="DG49" s="390"/>
      <c r="DH49" s="390"/>
      <c r="DI49" s="390"/>
      <c r="DJ49" s="390"/>
      <c r="DK49" s="390"/>
      <c r="DL49" s="390"/>
      <c r="DM49" s="390"/>
      <c r="DN49" s="390"/>
      <c r="DO49" s="390"/>
      <c r="DP49" s="390"/>
    </row>
    <row r="50" spans="1:120">
      <c r="A50" s="261"/>
      <c r="B50" s="29" t="s">
        <v>715</v>
      </c>
      <c r="C50" s="96"/>
      <c r="D50" s="96"/>
      <c r="E50" s="96">
        <f t="shared" ref="E50:V50" si="91">E40/E58</f>
        <v>0.678571428571428</v>
      </c>
      <c r="F50" s="96">
        <f t="shared" si="91"/>
        <v>0.807142857142857</v>
      </c>
      <c r="G50" s="96">
        <f t="shared" si="91"/>
        <v>0.971428571428572</v>
      </c>
      <c r="H50" s="96">
        <f t="shared" si="91"/>
        <v>1.13571428571429</v>
      </c>
      <c r="I50" s="96">
        <f t="shared" si="91"/>
        <v>1.15673897900613</v>
      </c>
      <c r="J50" s="96">
        <f t="shared" si="91"/>
        <v>1.03571428571429</v>
      </c>
      <c r="K50" s="96">
        <f t="shared" si="91"/>
        <v>0.523285714285714</v>
      </c>
      <c r="L50" s="96">
        <f t="shared" si="91"/>
        <v>0.0952857142857143</v>
      </c>
      <c r="M50" s="96">
        <f t="shared" si="91"/>
        <v>0.641142857142857</v>
      </c>
      <c r="N50" s="96">
        <f t="shared" si="91"/>
        <v>1.08178571428571</v>
      </c>
      <c r="O50" s="96">
        <f t="shared" si="91"/>
        <v>0.711224489795918</v>
      </c>
      <c r="P50" s="96">
        <f t="shared" si="91"/>
        <v>0.909081632653061</v>
      </c>
      <c r="Q50" s="96">
        <f t="shared" si="91"/>
        <v>0.525738009963303</v>
      </c>
      <c r="R50" s="96">
        <f t="shared" si="91"/>
        <v>2.03950420716899</v>
      </c>
      <c r="S50" s="96">
        <f t="shared" si="91"/>
        <v>6.85048388789355</v>
      </c>
      <c r="T50" s="96">
        <f t="shared" si="91"/>
        <v>14.8645081669046</v>
      </c>
      <c r="U50" s="96">
        <f t="shared" si="91"/>
        <v>21.6178780348414</v>
      </c>
      <c r="V50" s="96">
        <f t="shared" si="91"/>
        <v>24.8490551152203</v>
      </c>
      <c r="W50" s="303"/>
      <c r="X50" s="277"/>
      <c r="Y50" s="277"/>
      <c r="Z50" s="277"/>
      <c r="AA50" s="326"/>
      <c r="AB50" s="277"/>
      <c r="AC50" s="277"/>
      <c r="AD50" s="277"/>
      <c r="AE50" s="326"/>
      <c r="AF50" s="277"/>
      <c r="AG50" s="277"/>
      <c r="AH50" s="277"/>
      <c r="AI50" s="326"/>
      <c r="AJ50" s="277"/>
      <c r="AK50" s="277"/>
      <c r="AL50" s="277"/>
      <c r="AM50" s="326"/>
      <c r="AN50" s="277"/>
      <c r="AO50" s="277"/>
      <c r="AP50" s="277"/>
      <c r="AQ50" s="326"/>
      <c r="AR50" s="277"/>
      <c r="AS50" s="277"/>
      <c r="AT50" s="277"/>
      <c r="AU50" s="326"/>
      <c r="AV50" s="277"/>
      <c r="AW50" s="277"/>
      <c r="AX50" s="277"/>
      <c r="AY50" s="326"/>
      <c r="AZ50" s="96"/>
      <c r="BA50" s="277"/>
      <c r="BB50" s="277"/>
      <c r="BC50" s="326"/>
      <c r="BD50" s="96"/>
      <c r="BE50" s="277"/>
      <c r="BF50" s="277"/>
      <c r="BG50" s="326"/>
      <c r="BH50" s="277"/>
      <c r="BI50" s="277"/>
      <c r="BJ50" s="277"/>
      <c r="BK50" s="326"/>
      <c r="BL50" s="277"/>
      <c r="BM50" s="277"/>
      <c r="BN50" s="277"/>
      <c r="BO50" s="326"/>
      <c r="BP50" s="277"/>
      <c r="BQ50" s="277"/>
      <c r="BR50" s="277"/>
      <c r="BS50" s="326"/>
      <c r="BT50" s="277"/>
      <c r="BU50" s="277"/>
      <c r="BV50" s="277"/>
      <c r="BW50" s="326"/>
      <c r="BX50" s="277"/>
      <c r="BY50" s="277"/>
      <c r="BZ50" s="277"/>
      <c r="CA50" s="326"/>
      <c r="CB50" s="277"/>
      <c r="CC50" s="277"/>
      <c r="CD50" s="277"/>
      <c r="CE50" s="326"/>
      <c r="CF50" s="277"/>
      <c r="CG50" s="277"/>
      <c r="CH50" s="251"/>
      <c r="CI50" s="251"/>
      <c r="CJ50" s="251"/>
      <c r="CK50" s="277"/>
      <c r="CL50" s="277"/>
      <c r="CM50" s="277"/>
      <c r="CN50" s="277"/>
      <c r="CO50" s="277"/>
      <c r="CP50" s="277"/>
      <c r="CQ50" s="277"/>
      <c r="CR50" s="277"/>
      <c r="CS50" s="277"/>
      <c r="CT50" s="277"/>
      <c r="CU50" s="390"/>
      <c r="CV50" s="390"/>
      <c r="CW50" s="390"/>
      <c r="CX50" s="390"/>
      <c r="CY50" s="390"/>
      <c r="CZ50" s="390"/>
      <c r="DA50" s="390"/>
      <c r="DB50" s="390"/>
      <c r="DC50" s="390"/>
      <c r="DD50" s="390"/>
      <c r="DE50" s="390"/>
      <c r="DF50" s="390"/>
      <c r="DG50" s="390"/>
      <c r="DH50" s="390"/>
      <c r="DI50" s="390"/>
      <c r="DJ50" s="390"/>
      <c r="DK50" s="390"/>
      <c r="DL50" s="390"/>
      <c r="DM50" s="390"/>
      <c r="DN50" s="390"/>
      <c r="DO50" s="390"/>
      <c r="DP50" s="390"/>
    </row>
    <row r="51" spans="1:120">
      <c r="A51" s="261"/>
      <c r="B51" s="275"/>
      <c r="C51" s="253"/>
      <c r="D51" s="253"/>
      <c r="E51" s="253"/>
      <c r="F51" s="253"/>
      <c r="G51" s="277"/>
      <c r="H51" s="277"/>
      <c r="I51" s="291"/>
      <c r="J51" s="291"/>
      <c r="K51" s="291"/>
      <c r="L51" s="291"/>
      <c r="O51" s="96"/>
      <c r="Q51" s="125"/>
      <c r="R51" s="112"/>
      <c r="S51" s="112"/>
      <c r="T51" s="125"/>
      <c r="U51" s="125"/>
      <c r="V51" s="125"/>
      <c r="W51" s="303"/>
      <c r="X51" s="277"/>
      <c r="Y51" s="277"/>
      <c r="Z51" s="277"/>
      <c r="AA51" s="326"/>
      <c r="AB51" s="277"/>
      <c r="AC51" s="277"/>
      <c r="AD51" s="277"/>
      <c r="AE51" s="326"/>
      <c r="AF51" s="277"/>
      <c r="AG51" s="277"/>
      <c r="AH51" s="277"/>
      <c r="AI51" s="326"/>
      <c r="AJ51" s="277"/>
      <c r="AK51" s="277"/>
      <c r="AL51" s="277"/>
      <c r="AM51" s="326"/>
      <c r="AN51" s="277"/>
      <c r="AO51" s="277"/>
      <c r="AP51" s="277"/>
      <c r="AQ51" s="316"/>
      <c r="AR51" s="253"/>
      <c r="AS51" s="253"/>
      <c r="AT51" s="253"/>
      <c r="AU51" s="316"/>
      <c r="AV51" s="277"/>
      <c r="AW51" s="253"/>
      <c r="AX51" s="253"/>
      <c r="AY51" s="316"/>
      <c r="AZ51" s="345"/>
      <c r="BA51" s="253"/>
      <c r="BB51" s="345"/>
      <c r="BC51" s="316"/>
      <c r="BD51" s="345"/>
      <c r="BE51" s="253"/>
      <c r="BF51" s="253"/>
      <c r="BG51" s="316"/>
      <c r="BH51" s="253"/>
      <c r="BI51" s="253"/>
      <c r="BJ51" s="253"/>
      <c r="BK51" s="316"/>
      <c r="BL51" s="253"/>
      <c r="BM51" s="27"/>
      <c r="BN51" s="27"/>
      <c r="BO51" s="52"/>
      <c r="BP51" s="27"/>
      <c r="BQ51" s="253"/>
      <c r="BR51" s="27"/>
      <c r="BS51" s="52"/>
      <c r="BT51" s="27"/>
      <c r="BU51" s="253"/>
      <c r="BV51" s="253"/>
      <c r="BW51" s="316"/>
      <c r="BX51" s="253"/>
      <c r="BY51" s="253"/>
      <c r="BZ51" s="253"/>
      <c r="CA51" s="316"/>
      <c r="CB51" s="253"/>
      <c r="CC51" s="253"/>
      <c r="CD51" s="253"/>
      <c r="CE51" s="316"/>
      <c r="CF51" s="253"/>
      <c r="CG51" s="253"/>
      <c r="CH51" s="253"/>
      <c r="CI51" s="253"/>
      <c r="CJ51" s="253"/>
      <c r="CK51" s="253"/>
      <c r="CL51" s="253"/>
      <c r="CM51" s="253"/>
      <c r="CN51" s="253"/>
      <c r="CO51" s="253"/>
      <c r="CP51" s="253"/>
      <c r="CQ51" s="253"/>
      <c r="CR51" s="253"/>
      <c r="CS51" s="253"/>
      <c r="CT51" s="253"/>
      <c r="CU51" s="253"/>
      <c r="CV51" s="253"/>
      <c r="CW51" s="253"/>
      <c r="CX51" s="253"/>
      <c r="CY51" s="253"/>
      <c r="CZ51" s="253"/>
      <c r="DA51" s="253"/>
      <c r="DB51" s="253"/>
      <c r="DC51" s="253"/>
      <c r="DD51" s="253"/>
      <c r="DE51" s="253"/>
      <c r="DF51" s="253"/>
      <c r="DG51" s="253"/>
      <c r="DH51" s="253"/>
      <c r="DI51" s="253"/>
      <c r="DJ51" s="253"/>
      <c r="DK51" s="253"/>
      <c r="DL51" s="253"/>
      <c r="DM51" s="253"/>
      <c r="DN51" s="253"/>
      <c r="DO51" s="253"/>
      <c r="DP51" s="253"/>
    </row>
    <row r="52" spans="1:120">
      <c r="A52" s="261"/>
      <c r="B52" s="275"/>
      <c r="C52" s="253"/>
      <c r="D52" s="253"/>
      <c r="E52" s="253"/>
      <c r="F52" s="253"/>
      <c r="G52" s="277"/>
      <c r="H52" s="277"/>
      <c r="I52" s="291"/>
      <c r="J52" s="291"/>
      <c r="K52" s="291"/>
      <c r="L52" s="291"/>
      <c r="M52" s="291"/>
      <c r="N52" s="291"/>
      <c r="O52" s="156"/>
      <c r="P52" s="156"/>
      <c r="Q52" s="156"/>
      <c r="R52" s="156"/>
      <c r="S52" s="156"/>
      <c r="T52" s="156"/>
      <c r="U52" s="156"/>
      <c r="V52" s="156"/>
      <c r="W52" s="303"/>
      <c r="X52" s="277"/>
      <c r="Y52" s="277"/>
      <c r="Z52" s="277"/>
      <c r="AA52" s="326"/>
      <c r="AB52" s="277"/>
      <c r="AC52" s="277"/>
      <c r="AD52" s="277"/>
      <c r="AE52" s="326"/>
      <c r="AF52" s="277"/>
      <c r="AG52" s="277"/>
      <c r="AH52" s="277"/>
      <c r="AI52" s="326"/>
      <c r="AJ52" s="277"/>
      <c r="AK52" s="277"/>
      <c r="AL52" s="277"/>
      <c r="AM52" s="326"/>
      <c r="AN52" s="277"/>
      <c r="AO52" s="277"/>
      <c r="AP52" s="277"/>
      <c r="AQ52" s="326"/>
      <c r="AR52" s="277"/>
      <c r="AS52" s="277"/>
      <c r="AT52" s="277"/>
      <c r="AU52" s="326"/>
      <c r="AV52" s="277"/>
      <c r="AW52" s="277"/>
      <c r="AX52" s="277"/>
      <c r="AY52" s="326"/>
      <c r="AZ52" s="277"/>
      <c r="BA52" s="277"/>
      <c r="BB52" s="277"/>
      <c r="BC52" s="316"/>
      <c r="BD52" s="277"/>
      <c r="BE52" s="27"/>
      <c r="BF52" s="27"/>
      <c r="BG52" s="316"/>
      <c r="BH52" s="253"/>
      <c r="BI52" s="253"/>
      <c r="BJ52" s="27"/>
      <c r="BK52" s="316"/>
      <c r="BL52" s="253"/>
      <c r="BM52" s="272"/>
      <c r="BN52" s="272"/>
      <c r="BO52" s="323"/>
      <c r="BP52" s="272"/>
      <c r="BQ52" s="27"/>
      <c r="BR52" s="27"/>
      <c r="BS52" s="323"/>
      <c r="BT52" s="272"/>
      <c r="BU52" s="253"/>
      <c r="BV52" s="253"/>
      <c r="BW52" s="316"/>
      <c r="BX52" s="253"/>
      <c r="BY52" s="253"/>
      <c r="BZ52" s="253"/>
      <c r="CA52" s="316"/>
      <c r="CB52" s="253"/>
      <c r="CC52" s="253"/>
      <c r="CD52" s="253"/>
      <c r="CE52" s="316"/>
      <c r="CF52" s="253"/>
      <c r="CG52" s="253"/>
      <c r="CH52" s="253"/>
      <c r="CI52" s="253"/>
      <c r="CJ52" s="253"/>
      <c r="CK52" s="253"/>
      <c r="CL52" s="253"/>
      <c r="CM52" s="253"/>
      <c r="CN52" s="253"/>
      <c r="CO52" s="253"/>
      <c r="CP52" s="253"/>
      <c r="CQ52" s="253"/>
      <c r="CR52" s="253"/>
      <c r="CS52" s="253"/>
      <c r="CT52" s="253"/>
      <c r="CU52" s="253"/>
      <c r="CV52" s="253"/>
      <c r="CW52" s="253"/>
      <c r="CX52" s="253"/>
      <c r="CY52" s="253"/>
      <c r="CZ52" s="253"/>
      <c r="DA52" s="253"/>
      <c r="DB52" s="253"/>
      <c r="DC52" s="253"/>
      <c r="DD52" s="253"/>
      <c r="DE52" s="253"/>
      <c r="DF52" s="253"/>
      <c r="DG52" s="253"/>
      <c r="DH52" s="253"/>
      <c r="DI52" s="253"/>
      <c r="DJ52" s="253"/>
      <c r="DK52" s="253"/>
      <c r="DL52" s="253"/>
      <c r="DM52" s="253"/>
      <c r="DN52" s="253"/>
      <c r="DO52" s="253"/>
      <c r="DP52" s="253"/>
    </row>
    <row r="53" spans="1:120">
      <c r="A53" s="250"/>
      <c r="B53" s="253" t="s">
        <v>716</v>
      </c>
      <c r="C53" s="253"/>
      <c r="D53" s="253"/>
      <c r="E53" s="253">
        <v>0</v>
      </c>
      <c r="F53" s="253">
        <v>0</v>
      </c>
      <c r="G53" s="253">
        <v>0</v>
      </c>
      <c r="H53" s="253">
        <v>0</v>
      </c>
      <c r="I53" s="253">
        <v>0</v>
      </c>
      <c r="J53" s="33">
        <f>+J54*J58</f>
        <v>12.8086817582235</v>
      </c>
      <c r="K53" s="33">
        <f t="shared" ref="K53:Q53" si="92">+K54*K58</f>
        <v>23.9893274259459</v>
      </c>
      <c r="L53" s="33">
        <f t="shared" si="92"/>
        <v>90.7674891376627</v>
      </c>
      <c r="M53" s="33">
        <f t="shared" si="92"/>
        <v>59.7591936725936</v>
      </c>
      <c r="N53" s="33">
        <f t="shared" si="92"/>
        <v>54.5496281168438</v>
      </c>
      <c r="O53" s="33">
        <f t="shared" si="92"/>
        <v>111.682229486772</v>
      </c>
      <c r="P53" s="33">
        <f t="shared" si="92"/>
        <v>347.882269780929</v>
      </c>
      <c r="Q53" s="33">
        <f t="shared" si="92"/>
        <v>202.945131836763</v>
      </c>
      <c r="R53" s="253">
        <v>318.963</v>
      </c>
      <c r="S53" s="253">
        <f t="shared" ref="S53:V53" si="93">+S62</f>
        <v>953.192273017</v>
      </c>
      <c r="T53" s="253">
        <f t="shared" si="93"/>
        <v>2068.28226425452</v>
      </c>
      <c r="U53" s="253">
        <f t="shared" si="93"/>
        <v>3007.96186649683</v>
      </c>
      <c r="V53" s="253">
        <f t="shared" si="93"/>
        <v>3457.5553661925</v>
      </c>
      <c r="W53" s="303"/>
      <c r="X53" s="253"/>
      <c r="Y53" s="253"/>
      <c r="Z53" s="253"/>
      <c r="AA53" s="316"/>
      <c r="AB53" s="253"/>
      <c r="AC53" s="253"/>
      <c r="AD53" s="253"/>
      <c r="AE53" s="316"/>
      <c r="AF53" s="253"/>
      <c r="AG53" s="253"/>
      <c r="AH53" s="253"/>
      <c r="AI53" s="316"/>
      <c r="AJ53" s="96"/>
      <c r="AK53" s="96"/>
      <c r="AL53" s="96"/>
      <c r="AM53" s="128"/>
      <c r="AN53" s="253"/>
      <c r="AO53" s="253"/>
      <c r="AP53" s="253"/>
      <c r="AQ53" s="323"/>
      <c r="AR53" s="272"/>
      <c r="AS53" s="272"/>
      <c r="AV53" s="272"/>
      <c r="AW53" s="272"/>
      <c r="AX53" s="272"/>
      <c r="AY53" s="323"/>
      <c r="AZ53" s="346">
        <f>AZ55*1.4</f>
        <v>994.012036488043</v>
      </c>
      <c r="BA53" s="346">
        <f t="shared" ref="BA53:CE53" si="94">BA55*1.4</f>
        <v>1391.48654963101</v>
      </c>
      <c r="BB53" s="346">
        <f t="shared" si="94"/>
        <v>1391.24423560858</v>
      </c>
      <c r="BC53" s="346">
        <f t="shared" si="94"/>
        <v>1391.4793861192</v>
      </c>
      <c r="BD53" s="346">
        <f t="shared" si="94"/>
        <v>1391.68234227989</v>
      </c>
      <c r="BE53" s="346">
        <f t="shared" si="94"/>
        <v>1391.53553867564</v>
      </c>
      <c r="BF53" s="346">
        <f t="shared" si="94"/>
        <v>1391.38001846502</v>
      </c>
      <c r="BG53" s="346">
        <f t="shared" si="94"/>
        <v>1391.68855919483</v>
      </c>
      <c r="BH53" s="346">
        <f t="shared" si="94"/>
        <v>1391.15527469149</v>
      </c>
      <c r="BI53" s="346">
        <f t="shared" si="94"/>
        <v>1947.99258572395</v>
      </c>
      <c r="BJ53" s="346">
        <f t="shared" si="94"/>
        <v>1947.99258572395</v>
      </c>
      <c r="BK53" s="346">
        <f t="shared" si="94"/>
        <v>1947.99258572395</v>
      </c>
      <c r="BL53" s="346">
        <f t="shared" si="94"/>
        <v>1947.99258572395</v>
      </c>
      <c r="BM53" s="346">
        <f t="shared" si="94"/>
        <v>1947.99258572395</v>
      </c>
      <c r="BN53" s="346">
        <f t="shared" si="94"/>
        <v>1947.99258572395</v>
      </c>
      <c r="BO53" s="346">
        <f t="shared" si="94"/>
        <v>1947.99258572395</v>
      </c>
      <c r="BP53" s="346">
        <f t="shared" si="94"/>
        <v>1947.99258572395</v>
      </c>
      <c r="BQ53" s="346">
        <f t="shared" si="94"/>
        <v>1944.96545152</v>
      </c>
      <c r="BR53" s="346">
        <f t="shared" si="94"/>
        <v>1948.18580992</v>
      </c>
      <c r="BS53" s="346">
        <f t="shared" si="94"/>
        <v>1948.18580992</v>
      </c>
      <c r="BT53" s="346">
        <f t="shared" si="94"/>
        <v>1948.18580992</v>
      </c>
      <c r="BU53" s="346">
        <f t="shared" si="94"/>
        <v>1948.18580992</v>
      </c>
      <c r="BV53" s="346">
        <f t="shared" si="94"/>
        <v>1948.18580992</v>
      </c>
      <c r="BW53" s="346">
        <f t="shared" si="94"/>
        <v>1948.18580992</v>
      </c>
      <c r="BX53" s="346">
        <f t="shared" si="94"/>
        <v>1948.18580992</v>
      </c>
      <c r="BY53" s="346">
        <f t="shared" si="94"/>
        <v>1948.18580992</v>
      </c>
      <c r="BZ53" s="346">
        <f t="shared" si="94"/>
        <v>1948.18580992</v>
      </c>
      <c r="CA53" s="346">
        <f t="shared" si="94"/>
        <v>1948.18580992</v>
      </c>
      <c r="CB53" s="346">
        <f t="shared" si="94"/>
        <v>1948.18580992</v>
      </c>
      <c r="CC53" s="346">
        <f t="shared" si="94"/>
        <v>1948.18580992</v>
      </c>
      <c r="CD53" s="346">
        <f t="shared" si="94"/>
        <v>1948.18580992</v>
      </c>
      <c r="CE53" s="346">
        <f t="shared" si="94"/>
        <v>1948.18580992</v>
      </c>
      <c r="CF53" s="272"/>
      <c r="CG53" s="272"/>
      <c r="CH53" s="253"/>
      <c r="CI53" s="253"/>
      <c r="CJ53" s="253"/>
      <c r="CK53" s="253"/>
      <c r="CL53" s="253"/>
      <c r="CM53" s="253"/>
      <c r="CN53" s="253"/>
      <c r="CO53" s="253"/>
      <c r="CP53" s="253"/>
      <c r="CQ53" s="253"/>
      <c r="CR53" s="253"/>
      <c r="CS53" s="253"/>
      <c r="CT53" s="253"/>
      <c r="CU53" s="255"/>
      <c r="CV53" s="255"/>
      <c r="CW53" s="255"/>
      <c r="CX53" s="255"/>
      <c r="CY53" s="255"/>
      <c r="CZ53" s="255"/>
      <c r="DA53" s="255"/>
      <c r="DB53" s="255"/>
      <c r="DC53" s="255"/>
      <c r="DD53" s="255"/>
      <c r="DE53" s="255"/>
      <c r="DF53" s="255"/>
      <c r="DG53" s="255"/>
      <c r="DH53" s="255"/>
      <c r="DI53" s="255"/>
      <c r="DJ53" s="255"/>
      <c r="DK53" s="255"/>
      <c r="DL53" s="255"/>
      <c r="DM53" s="255"/>
      <c r="DN53" s="255"/>
      <c r="DO53" s="255"/>
      <c r="DP53" s="255"/>
    </row>
    <row r="54" spans="1:120">
      <c r="A54" s="276"/>
      <c r="B54" s="277" t="s">
        <v>717</v>
      </c>
      <c r="C54" s="277"/>
      <c r="D54" s="277"/>
      <c r="E54" s="277">
        <v>0</v>
      </c>
      <c r="F54" s="277">
        <v>0</v>
      </c>
      <c r="G54" s="277">
        <v>0</v>
      </c>
      <c r="H54" s="277">
        <v>0</v>
      </c>
      <c r="I54" s="277">
        <v>0</v>
      </c>
      <c r="J54" s="277">
        <v>0.126</v>
      </c>
      <c r="K54" s="277">
        <v>0.113</v>
      </c>
      <c r="L54" s="277">
        <v>0.2717</v>
      </c>
      <c r="M54" s="277">
        <v>0.18</v>
      </c>
      <c r="N54" s="277">
        <v>0.12</v>
      </c>
      <c r="O54" s="277">
        <v>0.12</v>
      </c>
      <c r="P54" s="277">
        <v>0.35</v>
      </c>
      <c r="Q54" s="277">
        <v>0.155</v>
      </c>
      <c r="R54" s="277">
        <f>+R53/R58</f>
        <v>0.229235061402478</v>
      </c>
      <c r="S54" s="277">
        <f t="shared" ref="S54:V54" si="95">+S62/S55</f>
        <v>0.685048388789355</v>
      </c>
      <c r="T54" s="277">
        <f t="shared" si="95"/>
        <v>1.48645081669046</v>
      </c>
      <c r="U54" s="277">
        <f t="shared" si="95"/>
        <v>2.16178780348414</v>
      </c>
      <c r="V54" s="277">
        <f t="shared" si="95"/>
        <v>2.48490551152203</v>
      </c>
      <c r="W54" s="308"/>
      <c r="X54" s="309"/>
      <c r="Y54" s="309"/>
      <c r="Z54" s="309"/>
      <c r="AA54" s="327"/>
      <c r="AB54" s="253"/>
      <c r="AC54" s="253"/>
      <c r="AD54" s="253"/>
      <c r="AE54" s="316"/>
      <c r="AF54" s="309"/>
      <c r="AG54" s="309"/>
      <c r="AH54" s="309"/>
      <c r="AI54" s="327"/>
      <c r="AJ54" s="253"/>
      <c r="AK54" s="253"/>
      <c r="AL54" s="253"/>
      <c r="AM54" s="327"/>
      <c r="AN54" s="309"/>
      <c r="AO54" s="309"/>
      <c r="AP54" s="309"/>
      <c r="AQ54" s="341"/>
      <c r="AR54" s="291"/>
      <c r="AS54" s="291"/>
      <c r="AT54" s="291"/>
      <c r="AU54" s="341"/>
      <c r="AV54" s="291"/>
      <c r="AW54" s="291"/>
      <c r="AX54" s="291"/>
      <c r="AY54" s="341"/>
      <c r="AZ54" s="272"/>
      <c r="BA54" s="291"/>
      <c r="BB54" s="272"/>
      <c r="BC54" s="341"/>
      <c r="BD54" s="272"/>
      <c r="BE54" s="291"/>
      <c r="BF54" s="291"/>
      <c r="BG54" s="341"/>
      <c r="BH54" s="291"/>
      <c r="BI54" s="291"/>
      <c r="BJ54" s="291"/>
      <c r="BK54" s="341"/>
      <c r="BL54" s="291"/>
      <c r="BM54" s="291"/>
      <c r="BN54" s="291"/>
      <c r="BO54" s="341"/>
      <c r="BP54" s="291"/>
      <c r="BQ54" s="291"/>
      <c r="BR54" s="291"/>
      <c r="BS54" s="341"/>
      <c r="BT54" s="291"/>
      <c r="BU54" s="291"/>
      <c r="BV54" s="291"/>
      <c r="BW54" s="341"/>
      <c r="BX54" s="291"/>
      <c r="BY54" s="291"/>
      <c r="BZ54" s="291"/>
      <c r="CA54" s="341"/>
      <c r="CB54" s="291"/>
      <c r="CC54" s="291"/>
      <c r="CD54" s="291"/>
      <c r="CE54" s="341"/>
      <c r="CF54" s="291"/>
      <c r="CG54" s="291"/>
      <c r="CH54" s="277"/>
      <c r="CI54" s="277"/>
      <c r="CJ54" s="277"/>
      <c r="CK54" s="277"/>
      <c r="CL54" s="277"/>
      <c r="CM54" s="277"/>
      <c r="CN54" s="277"/>
      <c r="CO54" s="277"/>
      <c r="CP54" s="277"/>
      <c r="CQ54" s="277"/>
      <c r="CR54" s="277"/>
      <c r="CS54" s="277"/>
      <c r="CT54" s="277"/>
      <c r="CU54" s="390"/>
      <c r="CV54" s="390"/>
      <c r="CW54" s="390"/>
      <c r="CX54" s="390"/>
      <c r="CY54" s="390"/>
      <c r="CZ54" s="390"/>
      <c r="DA54" s="390"/>
      <c r="DB54" s="390"/>
      <c r="DC54" s="390"/>
      <c r="DD54" s="390"/>
      <c r="DE54" s="390"/>
      <c r="DF54" s="390"/>
      <c r="DG54" s="390"/>
      <c r="DH54" s="390"/>
      <c r="DI54" s="390"/>
      <c r="DJ54" s="390"/>
      <c r="DK54" s="390"/>
      <c r="DL54" s="390"/>
      <c r="DM54" s="390"/>
      <c r="DN54" s="390"/>
      <c r="DO54" s="390"/>
      <c r="DP54" s="390"/>
    </row>
    <row r="55" spans="1:120">
      <c r="A55" s="250"/>
      <c r="B55" s="253" t="s">
        <v>718</v>
      </c>
      <c r="C55" s="253"/>
      <c r="D55" s="253"/>
      <c r="E55" s="253">
        <v>77.4786304084211</v>
      </c>
      <c r="F55" s="253">
        <v>81.4573371964602</v>
      </c>
      <c r="G55" s="253">
        <v>81.6928486808823</v>
      </c>
      <c r="H55" s="253">
        <v>81.3572003823899</v>
      </c>
      <c r="I55" s="253">
        <f t="shared" ref="I55:R55" si="96">I40/I48</f>
        <v>81.6522394457149</v>
      </c>
      <c r="J55" s="253">
        <f t="shared" si="96"/>
        <v>101.656204430345</v>
      </c>
      <c r="K55" s="253">
        <f t="shared" si="96"/>
        <v>212.294932972973</v>
      </c>
      <c r="L55" s="253">
        <f t="shared" si="96"/>
        <v>334.072466461769</v>
      </c>
      <c r="M55" s="253">
        <f t="shared" si="96"/>
        <v>331.995520403298</v>
      </c>
      <c r="N55" s="253">
        <f t="shared" si="96"/>
        <v>454.580234307032</v>
      </c>
      <c r="O55" s="253">
        <f t="shared" si="96"/>
        <v>930.685245723099</v>
      </c>
      <c r="P55" s="253">
        <f t="shared" si="96"/>
        <v>993.949342231227</v>
      </c>
      <c r="Q55" s="253">
        <f t="shared" si="96"/>
        <v>1309.32343120492</v>
      </c>
      <c r="R55" s="253">
        <f t="shared" si="96"/>
        <v>1391.42327551711</v>
      </c>
      <c r="S55" s="253">
        <f>R55</f>
        <v>1391.42327551711</v>
      </c>
      <c r="T55" s="298">
        <f t="shared" ref="T55:V55" si="97">S55</f>
        <v>1391.42327551711</v>
      </c>
      <c r="U55" s="298">
        <f t="shared" si="97"/>
        <v>1391.42327551711</v>
      </c>
      <c r="V55" s="298">
        <f t="shared" si="97"/>
        <v>1391.42327551711</v>
      </c>
      <c r="W55" s="303"/>
      <c r="X55" s="253"/>
      <c r="Y55" s="253"/>
      <c r="Z55" s="253"/>
      <c r="AA55" s="316"/>
      <c r="AB55" s="277">
        <v>80.6754562372093</v>
      </c>
      <c r="AC55" s="277">
        <v>82.8693051511111</v>
      </c>
      <c r="AD55" s="277">
        <v>81.4795902447641</v>
      </c>
      <c r="AE55" s="330">
        <v>81.4795902447641</v>
      </c>
      <c r="AF55" s="331">
        <v>81.2714304594595</v>
      </c>
      <c r="AG55" s="253">
        <v>108.648647556067</v>
      </c>
      <c r="AH55" s="253">
        <v>108.641357460625</v>
      </c>
      <c r="AI55" s="316">
        <v>108.628417245696</v>
      </c>
      <c r="AJ55" s="253">
        <v>108.641550872727</v>
      </c>
      <c r="AK55" s="253">
        <v>325.959171860795</v>
      </c>
      <c r="AL55" s="253">
        <v>325.895528594928</v>
      </c>
      <c r="AM55" s="316">
        <v>332.628272413793</v>
      </c>
      <c r="AN55" s="253">
        <v>332.835474771242</v>
      </c>
      <c r="AO55" s="253">
        <v>333.140325578512</v>
      </c>
      <c r="AP55" s="253">
        <v>333.696883360371</v>
      </c>
      <c r="AQ55" s="316">
        <v>333.787008249097</v>
      </c>
      <c r="AR55" s="253">
        <v>333.646197602941</v>
      </c>
      <c r="AS55" s="253">
        <v>333.59168508642</v>
      </c>
      <c r="AT55" s="253">
        <v>330.978169191143</v>
      </c>
      <c r="AU55" s="316">
        <v>331.040589603316</v>
      </c>
      <c r="AV55" s="253">
        <v>331.100926226336</v>
      </c>
      <c r="AW55" s="253">
        <v>463.464911181952</v>
      </c>
      <c r="AX55" s="253">
        <v>463.378179103494</v>
      </c>
      <c r="AY55" s="316">
        <v>507.066138207296</v>
      </c>
      <c r="AZ55" s="253">
        <v>710.00859749146</v>
      </c>
      <c r="BA55" s="253">
        <v>993.918964022153</v>
      </c>
      <c r="BB55" s="253">
        <v>993.745882577555</v>
      </c>
      <c r="BC55" s="316">
        <v>993.913847227998</v>
      </c>
      <c r="BD55" s="253">
        <v>994.058815914209</v>
      </c>
      <c r="BE55" s="253">
        <v>993.953956196883</v>
      </c>
      <c r="BF55" s="253">
        <v>993.842870332155</v>
      </c>
      <c r="BG55" s="316">
        <v>994.063256567733</v>
      </c>
      <c r="BH55" s="253">
        <v>993.68233906535</v>
      </c>
      <c r="BI55" s="253">
        <v>1391.42327551711</v>
      </c>
      <c r="BJ55" s="253">
        <v>1391.42327551711</v>
      </c>
      <c r="BK55" s="316">
        <v>1391.42327551711</v>
      </c>
      <c r="BL55" s="253">
        <v>1391.42327551711</v>
      </c>
      <c r="BM55" s="253">
        <v>1391.42327551711</v>
      </c>
      <c r="BN55" s="253">
        <v>1391.42327551711</v>
      </c>
      <c r="BO55" s="316">
        <v>1391.42327551711</v>
      </c>
      <c r="BP55" s="253">
        <v>1391.42327551711</v>
      </c>
      <c r="BQ55" s="253">
        <v>1389.2610368</v>
      </c>
      <c r="BR55" s="253">
        <v>1391.5612928</v>
      </c>
      <c r="BS55" s="316">
        <v>1391.5612928</v>
      </c>
      <c r="BT55" s="253">
        <v>1391.5612928</v>
      </c>
      <c r="BU55" s="298">
        <v>1391.5612928</v>
      </c>
      <c r="BV55" s="298">
        <v>1391.5612928</v>
      </c>
      <c r="BW55" s="379">
        <v>1391.5612928</v>
      </c>
      <c r="BX55" s="298">
        <v>1391.5612928</v>
      </c>
      <c r="BY55" s="298">
        <v>1391.5612928</v>
      </c>
      <c r="BZ55" s="298">
        <v>1391.5612928</v>
      </c>
      <c r="CA55" s="379">
        <v>1391.5612928</v>
      </c>
      <c r="CB55" s="298">
        <v>1391.5612928</v>
      </c>
      <c r="CC55" s="298">
        <v>1391.5612928</v>
      </c>
      <c r="CD55" s="298">
        <v>1391.5612928</v>
      </c>
      <c r="CE55" s="379">
        <v>1391.5612928</v>
      </c>
      <c r="CF55" s="272"/>
      <c r="CG55" s="272"/>
      <c r="CH55" s="253"/>
      <c r="CI55" s="253"/>
      <c r="CJ55" s="253"/>
      <c r="CK55" s="253"/>
      <c r="CL55" s="253"/>
      <c r="CM55" s="253"/>
      <c r="CN55" s="253"/>
      <c r="CO55" s="253"/>
      <c r="CP55" s="253"/>
      <c r="CQ55" s="253"/>
      <c r="CR55" s="253"/>
      <c r="CS55" s="253"/>
      <c r="CT55" s="253">
        <f>+A7</f>
        <v>0</v>
      </c>
      <c r="CU55" s="253"/>
      <c r="CV55" s="253"/>
      <c r="CW55" s="253"/>
      <c r="CX55" s="253"/>
      <c r="CY55" s="253"/>
      <c r="CZ55" s="253"/>
      <c r="DA55" s="253"/>
      <c r="DB55" s="253"/>
      <c r="DC55" s="253"/>
      <c r="DD55" s="253"/>
      <c r="DE55" s="253"/>
      <c r="DF55" s="253"/>
      <c r="DG55" s="253"/>
      <c r="DH55" s="253"/>
      <c r="DI55" s="253"/>
      <c r="DJ55" s="253"/>
      <c r="DK55" s="253"/>
      <c r="DL55" s="253"/>
      <c r="DM55" s="253"/>
      <c r="DN55" s="253"/>
      <c r="DO55" s="253"/>
      <c r="DP55" s="253"/>
    </row>
    <row r="56" spans="1:120">
      <c r="A56" s="250"/>
      <c r="B56" s="253" t="s">
        <v>719</v>
      </c>
      <c r="C56" s="253"/>
      <c r="D56" s="253"/>
      <c r="E56" s="253">
        <v>77.4786304084211</v>
      </c>
      <c r="F56" s="253">
        <v>81.4573371964602</v>
      </c>
      <c r="G56" s="253">
        <v>81.6928486808823</v>
      </c>
      <c r="H56" s="253">
        <v>81.3572003823899</v>
      </c>
      <c r="I56" s="253">
        <f t="shared" ref="I56:R56" si="98">I40/I49</f>
        <v>81.6522394457149</v>
      </c>
      <c r="J56" s="253">
        <f t="shared" si="98"/>
        <v>101.656204430345</v>
      </c>
      <c r="K56" s="253">
        <v>212.294932972973</v>
      </c>
      <c r="L56" s="253">
        <v>334.072466461769</v>
      </c>
      <c r="M56" s="253">
        <f>M40/M49</f>
        <v>331.995520403298</v>
      </c>
      <c r="N56" s="253">
        <f t="shared" si="98"/>
        <v>454.580234307032</v>
      </c>
      <c r="O56" s="253">
        <f t="shared" si="98"/>
        <v>930.685245723099</v>
      </c>
      <c r="P56" s="253">
        <f t="shared" si="98"/>
        <v>993.949342231227</v>
      </c>
      <c r="Q56" s="253">
        <f t="shared" si="98"/>
        <v>1309.32343120492</v>
      </c>
      <c r="R56" s="253">
        <f t="shared" si="98"/>
        <v>1391.42327551711</v>
      </c>
      <c r="S56" s="253">
        <f t="shared" ref="S56:V56" si="99">R56</f>
        <v>1391.42327551711</v>
      </c>
      <c r="T56" s="298">
        <f t="shared" si="99"/>
        <v>1391.42327551711</v>
      </c>
      <c r="U56" s="298">
        <f t="shared" si="99"/>
        <v>1391.42327551711</v>
      </c>
      <c r="V56" s="298">
        <f t="shared" si="99"/>
        <v>1391.42327551711</v>
      </c>
      <c r="W56" s="303"/>
      <c r="X56" s="253"/>
      <c r="Y56" s="253"/>
      <c r="Z56" s="253"/>
      <c r="AA56" s="316"/>
      <c r="AB56" s="277">
        <v>80.6754562372093</v>
      </c>
      <c r="AC56" s="277">
        <v>82.8693051511111</v>
      </c>
      <c r="AD56" s="277">
        <v>81.4795902447641</v>
      </c>
      <c r="AE56" s="330">
        <v>81.4795902447641</v>
      </c>
      <c r="AF56" s="331">
        <v>81.2714304594595</v>
      </c>
      <c r="AG56" s="253">
        <v>108.648647556067</v>
      </c>
      <c r="AH56" s="253">
        <v>108.641357460625</v>
      </c>
      <c r="AI56" s="316">
        <v>108.628417245696</v>
      </c>
      <c r="AJ56" s="253">
        <v>108.641550872727</v>
      </c>
      <c r="AK56" s="253">
        <v>325.959171860795</v>
      </c>
      <c r="AL56" s="253">
        <v>325.895528594928</v>
      </c>
      <c r="AM56" s="316">
        <v>332.628272413793</v>
      </c>
      <c r="AN56" s="253">
        <v>332.835474771242</v>
      </c>
      <c r="AO56" s="253">
        <v>333.140325578512</v>
      </c>
      <c r="AP56" s="253">
        <v>333.696883360371</v>
      </c>
      <c r="AQ56" s="316">
        <v>333.787008249097</v>
      </c>
      <c r="AR56" s="253">
        <v>333.646197602941</v>
      </c>
      <c r="AS56" s="253">
        <v>333.59168508642</v>
      </c>
      <c r="AT56" s="253">
        <v>330.978169191143</v>
      </c>
      <c r="AU56" s="316">
        <v>331.040589603316</v>
      </c>
      <c r="AV56" s="253">
        <v>331.100926226336</v>
      </c>
      <c r="AW56" s="253">
        <v>463.464911181952</v>
      </c>
      <c r="AX56" s="253">
        <v>463.378179103494</v>
      </c>
      <c r="AY56" s="316">
        <v>507.066138207296</v>
      </c>
      <c r="AZ56" s="253">
        <v>710.00859749146</v>
      </c>
      <c r="BA56" s="253">
        <v>993.918964022153</v>
      </c>
      <c r="BB56" s="253">
        <v>993.745882577555</v>
      </c>
      <c r="BC56" s="316">
        <v>993.913847227998</v>
      </c>
      <c r="BD56" s="253">
        <v>994.058815914209</v>
      </c>
      <c r="BE56" s="253">
        <v>993.953956196883</v>
      </c>
      <c r="BF56" s="253">
        <v>993.842870332155</v>
      </c>
      <c r="BG56" s="316">
        <v>994.063256567733</v>
      </c>
      <c r="BH56" s="253">
        <v>993.68233906535</v>
      </c>
      <c r="BI56" s="253">
        <v>1391.42327551711</v>
      </c>
      <c r="BJ56" s="253">
        <v>1391.42327551711</v>
      </c>
      <c r="BK56" s="316">
        <v>1391.42327551711</v>
      </c>
      <c r="BL56" s="253">
        <v>1391.42327551711</v>
      </c>
      <c r="BM56" s="253">
        <v>1391.42327551711</v>
      </c>
      <c r="BN56" s="253">
        <v>1391.42327551711</v>
      </c>
      <c r="BO56" s="316">
        <v>1391.42327551711</v>
      </c>
      <c r="BP56" s="253">
        <v>1391.42327551711</v>
      </c>
      <c r="BQ56" s="253">
        <v>1389.2610368</v>
      </c>
      <c r="BR56" s="253">
        <v>1391.5612928</v>
      </c>
      <c r="BS56" s="316">
        <v>1391.5612928</v>
      </c>
      <c r="BT56" s="253">
        <v>1391.5612928</v>
      </c>
      <c r="BU56" s="298">
        <v>1391.5612928</v>
      </c>
      <c r="BV56" s="298">
        <v>1391.5612928</v>
      </c>
      <c r="BW56" s="379">
        <v>1391.5612928</v>
      </c>
      <c r="BX56" s="298">
        <v>1391.5612928</v>
      </c>
      <c r="BY56" s="298">
        <v>1391.5612928</v>
      </c>
      <c r="BZ56" s="298">
        <v>1391.5612928</v>
      </c>
      <c r="CA56" s="379">
        <v>1391.5612928</v>
      </c>
      <c r="CB56" s="298">
        <v>1391.5612928</v>
      </c>
      <c r="CC56" s="298">
        <v>1391.5612928</v>
      </c>
      <c r="CD56" s="298">
        <v>1391.5612928</v>
      </c>
      <c r="CE56" s="379">
        <v>1391.5612928</v>
      </c>
      <c r="CF56" s="272"/>
      <c r="CG56" s="272"/>
      <c r="CH56" s="253"/>
      <c r="CI56" s="253"/>
      <c r="CJ56" s="253"/>
      <c r="CK56" s="253"/>
      <c r="CL56" s="253"/>
      <c r="CM56" s="253"/>
      <c r="CN56" s="253"/>
      <c r="CO56" s="253"/>
      <c r="CP56" s="253"/>
      <c r="CQ56" s="253"/>
      <c r="CR56" s="253"/>
      <c r="CS56" s="253"/>
      <c r="CT56" s="253"/>
      <c r="CU56" s="253"/>
      <c r="CV56" s="253"/>
      <c r="CW56" s="253"/>
      <c r="CX56" s="253"/>
      <c r="CY56" s="253"/>
      <c r="CZ56" s="253"/>
      <c r="DA56" s="253"/>
      <c r="DB56" s="253"/>
      <c r="DC56" s="253"/>
      <c r="DD56" s="253"/>
      <c r="DE56" s="253"/>
      <c r="DF56" s="253"/>
      <c r="DG56" s="253"/>
      <c r="DH56" s="253"/>
      <c r="DI56" s="253"/>
      <c r="DJ56" s="253"/>
      <c r="DK56" s="253"/>
      <c r="DL56" s="253"/>
      <c r="DM56" s="253"/>
      <c r="DN56" s="253"/>
      <c r="DO56" s="253"/>
      <c r="DP56" s="253"/>
    </row>
    <row r="57" spans="1:120">
      <c r="A57" s="250"/>
      <c r="B57" s="253" t="s">
        <v>720</v>
      </c>
      <c r="C57" s="253"/>
      <c r="D57" s="253"/>
      <c r="E57" s="253">
        <f t="shared" ref="E57:R58" si="100">+E56</f>
        <v>77.4786304084211</v>
      </c>
      <c r="F57" s="253">
        <f t="shared" si="100"/>
        <v>81.4573371964602</v>
      </c>
      <c r="G57" s="253">
        <f t="shared" si="100"/>
        <v>81.6928486808823</v>
      </c>
      <c r="H57" s="253">
        <f t="shared" si="100"/>
        <v>81.3572003823899</v>
      </c>
      <c r="I57" s="253">
        <f t="shared" si="100"/>
        <v>81.6522394457149</v>
      </c>
      <c r="J57" s="253">
        <f t="shared" si="100"/>
        <v>101.656204430345</v>
      </c>
      <c r="K57" s="253">
        <v>212.294932972973</v>
      </c>
      <c r="L57" s="253">
        <v>334.072466461769</v>
      </c>
      <c r="M57" s="253">
        <f t="shared" si="100"/>
        <v>331.995520403298</v>
      </c>
      <c r="N57" s="253">
        <f t="shared" si="100"/>
        <v>454.580234307032</v>
      </c>
      <c r="O57" s="253">
        <f t="shared" si="100"/>
        <v>930.685245723099</v>
      </c>
      <c r="P57" s="253">
        <f t="shared" si="100"/>
        <v>993.949342231227</v>
      </c>
      <c r="Q57" s="253">
        <f t="shared" si="100"/>
        <v>1309.32343120492</v>
      </c>
      <c r="R57" s="253">
        <f t="shared" si="100"/>
        <v>1391.42327551711</v>
      </c>
      <c r="S57" s="253">
        <f t="shared" ref="S57:V57" si="101">R57</f>
        <v>1391.42327551711</v>
      </c>
      <c r="T57" s="298">
        <f t="shared" si="101"/>
        <v>1391.42327551711</v>
      </c>
      <c r="U57" s="298">
        <f t="shared" si="101"/>
        <v>1391.42327551711</v>
      </c>
      <c r="V57" s="298">
        <f t="shared" si="101"/>
        <v>1391.42327551711</v>
      </c>
      <c r="W57" s="310"/>
      <c r="X57" s="253"/>
      <c r="Y57" s="253"/>
      <c r="Z57" s="253"/>
      <c r="AA57" s="316"/>
      <c r="AB57" s="277">
        <f t="shared" ref="AB57:BJ57" si="102">+AB56</f>
        <v>80.6754562372093</v>
      </c>
      <c r="AC57" s="277">
        <f t="shared" si="102"/>
        <v>82.8693051511111</v>
      </c>
      <c r="AD57" s="277">
        <v>58.1997073176886</v>
      </c>
      <c r="AE57" s="330">
        <f t="shared" si="102"/>
        <v>81.4795902447641</v>
      </c>
      <c r="AF57" s="331">
        <f t="shared" si="102"/>
        <v>81.2714304594595</v>
      </c>
      <c r="AG57" s="253">
        <f t="shared" si="102"/>
        <v>108.648647556067</v>
      </c>
      <c r="AH57" s="253">
        <f t="shared" si="102"/>
        <v>108.641357460625</v>
      </c>
      <c r="AI57" s="316">
        <f t="shared" si="102"/>
        <v>108.628417245696</v>
      </c>
      <c r="AJ57" s="253">
        <f t="shared" si="102"/>
        <v>108.641550872727</v>
      </c>
      <c r="AK57" s="253">
        <f t="shared" si="102"/>
        <v>325.959171860795</v>
      </c>
      <c r="AL57" s="253">
        <f t="shared" si="102"/>
        <v>325.895528594928</v>
      </c>
      <c r="AM57" s="316">
        <f t="shared" si="102"/>
        <v>332.628272413793</v>
      </c>
      <c r="AN57" s="253">
        <f t="shared" si="102"/>
        <v>332.835474771242</v>
      </c>
      <c r="AO57" s="253">
        <f t="shared" si="102"/>
        <v>333.140325578512</v>
      </c>
      <c r="AP57" s="253">
        <f t="shared" si="102"/>
        <v>333.696883360371</v>
      </c>
      <c r="AQ57" s="316">
        <f t="shared" si="102"/>
        <v>333.787008249097</v>
      </c>
      <c r="AR57" s="253">
        <f t="shared" si="102"/>
        <v>333.646197602941</v>
      </c>
      <c r="AS57" s="253">
        <f t="shared" si="102"/>
        <v>333.59168508642</v>
      </c>
      <c r="AT57" s="253">
        <f t="shared" si="102"/>
        <v>330.978169191143</v>
      </c>
      <c r="AU57" s="316">
        <f t="shared" si="102"/>
        <v>331.040589603316</v>
      </c>
      <c r="AV57" s="253">
        <f t="shared" si="102"/>
        <v>331.100926226336</v>
      </c>
      <c r="AW57" s="253">
        <f t="shared" si="102"/>
        <v>463.464911181952</v>
      </c>
      <c r="AX57" s="253">
        <f t="shared" si="102"/>
        <v>463.378179103494</v>
      </c>
      <c r="AY57" s="316">
        <f t="shared" si="102"/>
        <v>507.066138207296</v>
      </c>
      <c r="AZ57" s="253">
        <f t="shared" si="102"/>
        <v>710.00859749146</v>
      </c>
      <c r="BA57" s="253">
        <f t="shared" si="102"/>
        <v>993.918964022153</v>
      </c>
      <c r="BB57" s="253">
        <f t="shared" si="102"/>
        <v>993.745882577555</v>
      </c>
      <c r="BC57" s="316">
        <f t="shared" si="102"/>
        <v>993.913847227998</v>
      </c>
      <c r="BD57" s="253">
        <f t="shared" si="102"/>
        <v>994.058815914209</v>
      </c>
      <c r="BE57" s="253">
        <f t="shared" si="102"/>
        <v>993.953956196883</v>
      </c>
      <c r="BF57" s="253">
        <f t="shared" si="102"/>
        <v>993.842870332155</v>
      </c>
      <c r="BG57" s="316">
        <f t="shared" si="102"/>
        <v>994.063256567733</v>
      </c>
      <c r="BH57" s="253">
        <f t="shared" si="102"/>
        <v>993.68233906535</v>
      </c>
      <c r="BI57" s="253">
        <f t="shared" si="102"/>
        <v>1391.42327551711</v>
      </c>
      <c r="BJ57" s="253">
        <f t="shared" si="102"/>
        <v>1391.42327551711</v>
      </c>
      <c r="BK57" s="316">
        <f t="shared" ref="BK57:BQ57" si="103">+BK56</f>
        <v>1391.42327551711</v>
      </c>
      <c r="BL57" s="253">
        <f t="shared" si="103"/>
        <v>1391.42327551711</v>
      </c>
      <c r="BM57" s="253">
        <f t="shared" si="103"/>
        <v>1391.42327551711</v>
      </c>
      <c r="BN57" s="253">
        <f t="shared" si="103"/>
        <v>1391.42327551711</v>
      </c>
      <c r="BO57" s="316">
        <f t="shared" si="103"/>
        <v>1391.42327551711</v>
      </c>
      <c r="BP57" s="253">
        <f t="shared" si="103"/>
        <v>1391.42327551711</v>
      </c>
      <c r="BQ57" s="253">
        <f t="shared" si="103"/>
        <v>1389.2610368</v>
      </c>
      <c r="BR57" s="253">
        <f t="shared" ref="BR57:CA57" si="104">+BR56</f>
        <v>1391.5612928</v>
      </c>
      <c r="BS57" s="316">
        <f t="shared" si="104"/>
        <v>1391.5612928</v>
      </c>
      <c r="BT57" s="253">
        <f t="shared" si="104"/>
        <v>1391.5612928</v>
      </c>
      <c r="BU57" s="253">
        <f t="shared" si="104"/>
        <v>1391.5612928</v>
      </c>
      <c r="BV57" s="253">
        <f t="shared" si="104"/>
        <v>1391.5612928</v>
      </c>
      <c r="BW57" s="316">
        <f t="shared" si="104"/>
        <v>1391.5612928</v>
      </c>
      <c r="BX57" s="253">
        <f t="shared" si="104"/>
        <v>1391.5612928</v>
      </c>
      <c r="BY57" s="253">
        <f t="shared" si="104"/>
        <v>1391.5612928</v>
      </c>
      <c r="BZ57" s="253">
        <f t="shared" si="104"/>
        <v>1391.5612928</v>
      </c>
      <c r="CA57" s="316">
        <f t="shared" si="104"/>
        <v>1391.5612928</v>
      </c>
      <c r="CB57" s="253">
        <f t="shared" ref="CB57:CE57" si="105">+CB56</f>
        <v>1391.5612928</v>
      </c>
      <c r="CC57" s="253">
        <f t="shared" si="105"/>
        <v>1391.5612928</v>
      </c>
      <c r="CD57" s="253">
        <f t="shared" si="105"/>
        <v>1391.5612928</v>
      </c>
      <c r="CE57" s="316">
        <f t="shared" si="105"/>
        <v>1391.5612928</v>
      </c>
      <c r="CF57" s="253"/>
      <c r="CG57" s="253"/>
      <c r="CH57" s="253"/>
      <c r="CI57" s="253"/>
      <c r="CJ57" s="253"/>
      <c r="CK57" s="253"/>
      <c r="CL57" s="253"/>
      <c r="CM57" s="253"/>
      <c r="CN57" s="253"/>
      <c r="CO57" s="253"/>
      <c r="CP57" s="253"/>
      <c r="CQ57" s="253"/>
      <c r="CR57" s="253"/>
      <c r="CS57" s="253"/>
      <c r="CT57" s="253"/>
      <c r="CU57" s="253"/>
      <c r="CV57" s="253"/>
      <c r="CW57" s="253"/>
      <c r="CX57" s="253"/>
      <c r="CY57" s="253"/>
      <c r="CZ57" s="253"/>
      <c r="DA57" s="253"/>
      <c r="DB57" s="253"/>
      <c r="DC57" s="253"/>
      <c r="DD57" s="253"/>
      <c r="DE57" s="253"/>
      <c r="DF57" s="253"/>
      <c r="DG57" s="253"/>
      <c r="DH57" s="253"/>
      <c r="DI57" s="253"/>
      <c r="DJ57" s="253"/>
      <c r="DK57" s="253"/>
      <c r="DL57" s="253"/>
      <c r="DM57" s="253"/>
      <c r="DN57" s="253"/>
      <c r="DO57" s="253"/>
      <c r="DP57" s="253"/>
    </row>
    <row r="58" spans="1:120">
      <c r="A58" s="250"/>
      <c r="B58" s="253" t="s">
        <v>721</v>
      </c>
      <c r="C58" s="253"/>
      <c r="D58" s="253"/>
      <c r="E58" s="253">
        <f>+E57</f>
        <v>77.4786304084211</v>
      </c>
      <c r="F58" s="253">
        <f t="shared" si="100"/>
        <v>81.4573371964602</v>
      </c>
      <c r="G58" s="253">
        <f t="shared" si="100"/>
        <v>81.6928486808823</v>
      </c>
      <c r="H58" s="253">
        <f t="shared" si="100"/>
        <v>81.3572003823899</v>
      </c>
      <c r="I58" s="253">
        <f t="shared" si="100"/>
        <v>81.6522394457149</v>
      </c>
      <c r="J58" s="253">
        <f t="shared" si="100"/>
        <v>101.656204430345</v>
      </c>
      <c r="K58" s="253">
        <f t="shared" si="100"/>
        <v>212.294932972973</v>
      </c>
      <c r="L58" s="253">
        <f t="shared" si="100"/>
        <v>334.072466461769</v>
      </c>
      <c r="M58" s="253">
        <f t="shared" si="100"/>
        <v>331.995520403298</v>
      </c>
      <c r="N58" s="253">
        <f t="shared" si="100"/>
        <v>454.580234307032</v>
      </c>
      <c r="O58" s="253">
        <f t="shared" si="100"/>
        <v>930.685245723099</v>
      </c>
      <c r="P58" s="253">
        <f t="shared" si="100"/>
        <v>993.949342231227</v>
      </c>
      <c r="Q58" s="253">
        <f t="shared" si="100"/>
        <v>1309.32343120492</v>
      </c>
      <c r="R58" s="253">
        <f t="shared" si="100"/>
        <v>1391.42327551711</v>
      </c>
      <c r="S58" s="253">
        <f t="shared" ref="S58:V58" si="106">R58</f>
        <v>1391.42327551711</v>
      </c>
      <c r="T58" s="298">
        <f t="shared" si="106"/>
        <v>1391.42327551711</v>
      </c>
      <c r="U58" s="298">
        <f t="shared" si="106"/>
        <v>1391.42327551711</v>
      </c>
      <c r="V58" s="298">
        <f t="shared" si="106"/>
        <v>1391.42327551711</v>
      </c>
      <c r="W58" s="310"/>
      <c r="X58" s="253"/>
      <c r="Y58" s="253"/>
      <c r="Z58" s="253"/>
      <c r="AA58" s="316"/>
      <c r="AB58" s="253"/>
      <c r="AC58" s="253"/>
      <c r="AD58" s="253"/>
      <c r="AE58" s="316"/>
      <c r="AF58" s="253"/>
      <c r="AG58" s="253"/>
      <c r="AH58" s="253"/>
      <c r="AI58" s="316"/>
      <c r="AJ58" s="253"/>
      <c r="AK58" s="253"/>
      <c r="AL58" s="253"/>
      <c r="AM58" s="316"/>
      <c r="AN58" s="253"/>
      <c r="AO58" s="253"/>
      <c r="AP58" s="253"/>
      <c r="AQ58" s="316"/>
      <c r="AR58" s="253"/>
      <c r="AS58" s="253"/>
      <c r="AT58" s="253"/>
      <c r="AU58" s="316"/>
      <c r="AV58" s="253"/>
      <c r="AW58" s="253"/>
      <c r="AX58" s="253"/>
      <c r="AY58" s="316"/>
      <c r="AZ58" s="253"/>
      <c r="BA58" s="253"/>
      <c r="BB58" s="253"/>
      <c r="BC58" s="316"/>
      <c r="BD58" s="253"/>
      <c r="BE58" s="253"/>
      <c r="BF58" s="253"/>
      <c r="BG58" s="316"/>
      <c r="BH58" s="253"/>
      <c r="BI58" s="253"/>
      <c r="BJ58" s="253"/>
      <c r="BK58" s="316"/>
      <c r="BL58" s="253"/>
      <c r="BM58" s="253"/>
      <c r="BN58" s="253"/>
      <c r="BO58" s="316"/>
      <c r="BP58" s="253"/>
      <c r="BQ58" s="253"/>
      <c r="BR58" s="253"/>
      <c r="BS58" s="316"/>
      <c r="BT58" s="253"/>
      <c r="BU58" s="253"/>
      <c r="BV58" s="253"/>
      <c r="BW58" s="316"/>
      <c r="BX58" s="253"/>
      <c r="BY58" s="253"/>
      <c r="BZ58" s="253"/>
      <c r="CA58" s="316"/>
      <c r="CB58" s="253"/>
      <c r="CC58" s="253"/>
      <c r="CD58" s="253"/>
      <c r="CE58" s="316"/>
      <c r="CF58" s="253"/>
      <c r="CG58" s="253"/>
      <c r="CH58" s="253"/>
      <c r="CI58" s="253"/>
      <c r="CJ58" s="253"/>
      <c r="CK58" s="253"/>
      <c r="CL58" s="253"/>
      <c r="CM58" s="253"/>
      <c r="CN58" s="253"/>
      <c r="CO58" s="253"/>
      <c r="CP58" s="253"/>
      <c r="CQ58" s="253"/>
      <c r="CR58" s="253"/>
      <c r="CS58" s="253"/>
      <c r="CT58" s="253"/>
      <c r="CU58" s="253"/>
      <c r="CV58" s="253"/>
      <c r="CW58" s="253"/>
      <c r="CX58" s="253"/>
      <c r="CY58" s="253"/>
      <c r="CZ58" s="253"/>
      <c r="DA58" s="253"/>
      <c r="DB58" s="253"/>
      <c r="DC58" s="253"/>
      <c r="DD58" s="253"/>
      <c r="DE58" s="253"/>
      <c r="DF58" s="253"/>
      <c r="DG58" s="253"/>
      <c r="DH58" s="253"/>
      <c r="DI58" s="253"/>
      <c r="DJ58" s="253"/>
      <c r="DK58" s="253"/>
      <c r="DL58" s="253"/>
      <c r="DM58" s="253"/>
      <c r="DN58" s="253"/>
      <c r="DO58" s="253"/>
      <c r="DP58" s="253"/>
    </row>
    <row r="59" spans="1:120">
      <c r="A59" s="261"/>
      <c r="B59" s="29"/>
      <c r="C59" s="278"/>
      <c r="D59" s="278"/>
      <c r="E59" s="278"/>
      <c r="F59" s="278"/>
      <c r="G59" s="278"/>
      <c r="H59" s="278"/>
      <c r="I59" s="278"/>
      <c r="J59" s="278"/>
      <c r="K59" s="278"/>
      <c r="L59" s="278"/>
      <c r="M59" s="278"/>
      <c r="N59" s="278"/>
      <c r="O59" s="278"/>
      <c r="P59" s="278"/>
      <c r="Q59" s="278"/>
      <c r="R59" s="278"/>
      <c r="S59" s="278"/>
      <c r="T59" s="278"/>
      <c r="U59" s="278"/>
      <c r="V59" s="278"/>
      <c r="W59" s="310"/>
      <c r="X59" s="278"/>
      <c r="Y59" s="278"/>
      <c r="Z59" s="278"/>
      <c r="AA59" s="328"/>
      <c r="AB59" s="278"/>
      <c r="AC59" s="278"/>
      <c r="AD59" s="278"/>
      <c r="AE59" s="328"/>
      <c r="AF59" s="278"/>
      <c r="AG59" s="278"/>
      <c r="AH59" s="278"/>
      <c r="AI59" s="328"/>
      <c r="AJ59" s="278"/>
      <c r="AK59" s="278"/>
      <c r="AL59" s="278"/>
      <c r="AM59" s="328"/>
      <c r="AN59" s="278"/>
      <c r="AO59" s="278"/>
      <c r="AP59" s="278"/>
      <c r="AQ59" s="328"/>
      <c r="AR59" s="278"/>
      <c r="AS59" s="278"/>
      <c r="AT59" s="278"/>
      <c r="AU59" s="328"/>
      <c r="AV59" s="278"/>
      <c r="AW59" s="278"/>
      <c r="AX59" s="278"/>
      <c r="AY59" s="328"/>
      <c r="AZ59" s="278"/>
      <c r="BA59" s="278"/>
      <c r="BB59" s="278"/>
      <c r="BC59" s="328"/>
      <c r="BD59" s="278"/>
      <c r="BE59" s="278"/>
      <c r="BF59" s="278"/>
      <c r="BG59" s="328"/>
      <c r="BH59" s="278"/>
      <c r="BI59" s="278"/>
      <c r="BJ59" s="278"/>
      <c r="BK59" s="328"/>
      <c r="BL59" s="278"/>
      <c r="BM59" s="278"/>
      <c r="BN59" s="278"/>
      <c r="BO59" s="328"/>
      <c r="BP59" s="278"/>
      <c r="BQ59" s="278"/>
      <c r="BR59" s="278"/>
      <c r="BS59" s="328"/>
      <c r="BT59" s="278"/>
      <c r="BU59" s="278"/>
      <c r="BV59" s="278"/>
      <c r="BW59" s="328"/>
      <c r="BX59" s="278"/>
      <c r="BY59" s="278"/>
      <c r="BZ59" s="278"/>
      <c r="CA59" s="328"/>
      <c r="CB59" s="278"/>
      <c r="CC59" s="278"/>
      <c r="CD59" s="278"/>
      <c r="CE59" s="328"/>
      <c r="CF59" s="278"/>
      <c r="CG59" s="278"/>
      <c r="CH59" s="253"/>
      <c r="CI59" s="253"/>
      <c r="CJ59" s="253"/>
      <c r="CK59" s="253"/>
      <c r="CL59" s="253"/>
      <c r="CM59" s="253"/>
      <c r="CN59" s="253"/>
      <c r="CO59" s="253"/>
      <c r="CP59" s="253"/>
      <c r="CQ59" s="253"/>
      <c r="CR59" s="253"/>
      <c r="CS59" s="253"/>
      <c r="CT59" s="253"/>
      <c r="CU59" s="278"/>
      <c r="CV59" s="278"/>
      <c r="CW59" s="278"/>
      <c r="CX59" s="278"/>
      <c r="CY59" s="278"/>
      <c r="CZ59" s="278"/>
      <c r="DA59" s="278"/>
      <c r="DB59" s="278"/>
      <c r="DC59" s="278"/>
      <c r="DD59" s="278"/>
      <c r="DE59" s="278"/>
      <c r="DF59" s="278"/>
      <c r="DG59" s="278"/>
      <c r="DH59" s="278"/>
      <c r="DI59" s="278"/>
      <c r="DJ59" s="278"/>
      <c r="DK59" s="278"/>
      <c r="DL59" s="278"/>
      <c r="DM59" s="278"/>
      <c r="DN59" s="278"/>
      <c r="DO59" s="278"/>
      <c r="DP59" s="278"/>
    </row>
    <row r="60" spans="1:120">
      <c r="A60" s="261"/>
      <c r="B60" s="279" t="s">
        <v>722</v>
      </c>
      <c r="C60" s="267"/>
      <c r="D60" s="267"/>
      <c r="E60" s="278"/>
      <c r="F60" s="278"/>
      <c r="G60" s="278"/>
      <c r="H60" s="278"/>
      <c r="I60" s="267"/>
      <c r="J60" s="267"/>
      <c r="K60" s="278"/>
      <c r="L60" s="278"/>
      <c r="M60" s="278"/>
      <c r="N60" s="278"/>
      <c r="O60" s="278"/>
      <c r="P60" s="278"/>
      <c r="Q60" s="278"/>
      <c r="R60" s="278"/>
      <c r="S60" s="278"/>
      <c r="T60" s="278"/>
      <c r="U60" s="278"/>
      <c r="V60" s="278"/>
      <c r="W60" s="303"/>
      <c r="X60" s="267"/>
      <c r="Y60" s="267"/>
      <c r="Z60" s="267"/>
      <c r="AA60" s="322"/>
      <c r="AB60" s="278"/>
      <c r="AC60" s="278"/>
      <c r="AD60" s="278"/>
      <c r="AE60" s="328"/>
      <c r="AF60" s="278"/>
      <c r="AG60" s="278"/>
      <c r="AH60" s="278"/>
      <c r="AI60" s="328"/>
      <c r="AJ60" s="278"/>
      <c r="AK60" s="278"/>
      <c r="AL60" s="278"/>
      <c r="AM60" s="328"/>
      <c r="AN60" s="278"/>
      <c r="AO60" s="278"/>
      <c r="AP60" s="278"/>
      <c r="AQ60" s="328"/>
      <c r="AR60" s="278"/>
      <c r="AS60" s="278"/>
      <c r="AT60" s="278"/>
      <c r="AU60" s="328"/>
      <c r="AV60" s="278"/>
      <c r="AW60" s="278"/>
      <c r="AX60" s="278"/>
      <c r="AY60" s="328"/>
      <c r="AZ60" s="278"/>
      <c r="BA60" s="278"/>
      <c r="BB60" s="278"/>
      <c r="BC60" s="328"/>
      <c r="BD60" s="278"/>
      <c r="BE60" s="278"/>
      <c r="BF60" s="278"/>
      <c r="BG60" s="328"/>
      <c r="BH60" s="278"/>
      <c r="BI60" s="278"/>
      <c r="BJ60" s="278"/>
      <c r="BK60" s="328"/>
      <c r="BL60" s="278"/>
      <c r="BM60" s="278"/>
      <c r="BN60" s="278"/>
      <c r="BO60" s="328"/>
      <c r="BP60" s="278"/>
      <c r="BQ60" s="278"/>
      <c r="BR60" s="278"/>
      <c r="BS60" s="328"/>
      <c r="BT60" s="278"/>
      <c r="BU60" s="278"/>
      <c r="BV60" s="278"/>
      <c r="BW60" s="328"/>
      <c r="BX60" s="278"/>
      <c r="BY60" s="278"/>
      <c r="BZ60" s="278"/>
      <c r="CA60" s="328"/>
      <c r="CB60" s="278"/>
      <c r="CC60" s="278"/>
      <c r="CD60" s="278"/>
      <c r="CE60" s="328"/>
      <c r="CF60" s="310"/>
      <c r="CG60" s="310"/>
      <c r="CH60" s="303"/>
      <c r="CI60" s="303"/>
      <c r="CJ60" s="303"/>
      <c r="CK60" s="303"/>
      <c r="CL60" s="303"/>
      <c r="CM60" s="303"/>
      <c r="CN60" s="303"/>
      <c r="CO60" s="303"/>
      <c r="CP60" s="303"/>
      <c r="CQ60" s="303"/>
      <c r="CR60" s="303"/>
      <c r="CS60" s="303"/>
      <c r="CT60" s="303"/>
      <c r="CU60" s="303"/>
      <c r="CV60" s="303"/>
      <c r="CW60" s="303"/>
      <c r="CX60" s="303"/>
      <c r="CY60" s="303"/>
      <c r="CZ60" s="303"/>
      <c r="DA60" s="303"/>
      <c r="DB60" s="303"/>
      <c r="DC60" s="303"/>
      <c r="DD60" s="303"/>
      <c r="DE60" s="303"/>
      <c r="DF60" s="303"/>
      <c r="DG60" s="303"/>
      <c r="DH60" s="303"/>
      <c r="DI60" s="303"/>
      <c r="DJ60" s="303"/>
      <c r="DK60" s="303"/>
      <c r="DL60" s="303"/>
      <c r="DM60" s="303"/>
      <c r="DN60" s="303"/>
      <c r="DO60" s="303"/>
      <c r="DP60" s="303"/>
    </row>
    <row r="61" spans="1:120">
      <c r="A61" s="261"/>
      <c r="B61" s="280" t="s">
        <v>712</v>
      </c>
      <c r="C61" s="253"/>
      <c r="D61" s="253"/>
      <c r="E61" s="253">
        <f>E40</f>
        <v>52.57478492</v>
      </c>
      <c r="F61" s="253">
        <f t="shared" ref="F61:O61" si="107">F40</f>
        <v>65.74770788</v>
      </c>
      <c r="G61" s="253">
        <f t="shared" si="107"/>
        <v>79.35876729</v>
      </c>
      <c r="H61" s="253">
        <f t="shared" si="107"/>
        <v>92.39853472</v>
      </c>
      <c r="I61" s="253">
        <f t="shared" si="107"/>
        <v>94.45032809</v>
      </c>
      <c r="J61" s="253">
        <f t="shared" si="107"/>
        <v>105.28678316</v>
      </c>
      <c r="K61" s="253">
        <f t="shared" si="107"/>
        <v>111.09090564</v>
      </c>
      <c r="L61" s="253">
        <f t="shared" si="107"/>
        <v>31.83233359</v>
      </c>
      <c r="M61" s="253">
        <f t="shared" si="107"/>
        <v>212.85655651</v>
      </c>
      <c r="N61" s="253">
        <f t="shared" si="107"/>
        <v>491.75840347</v>
      </c>
      <c r="O61" s="253">
        <f t="shared" si="107"/>
        <v>661.92613905</v>
      </c>
      <c r="P61" s="253">
        <f t="shared" ref="P61:V61" si="108">P40</f>
        <v>903.58109081</v>
      </c>
      <c r="Q61" s="253">
        <f t="shared" si="108"/>
        <v>688.36109512</v>
      </c>
      <c r="R61" s="253">
        <f t="shared" si="108"/>
        <v>2837.81362437</v>
      </c>
      <c r="S61" s="253">
        <f t="shared" si="108"/>
        <v>9531.92273017</v>
      </c>
      <c r="T61" s="253">
        <f t="shared" si="108"/>
        <v>20682.8226425452</v>
      </c>
      <c r="U61" s="253">
        <f t="shared" si="108"/>
        <v>30079.6186649683</v>
      </c>
      <c r="V61" s="253">
        <f t="shared" si="108"/>
        <v>34575.553661925</v>
      </c>
      <c r="W61" s="303"/>
      <c r="X61" s="253"/>
      <c r="Y61" s="253"/>
      <c r="Z61" s="253"/>
      <c r="AA61" s="316"/>
      <c r="AB61" s="253"/>
      <c r="AC61" s="253"/>
      <c r="AD61" s="253"/>
      <c r="AE61" s="316"/>
      <c r="AF61" s="253"/>
      <c r="AG61" s="253"/>
      <c r="AH61" s="253"/>
      <c r="AI61" s="316"/>
      <c r="AJ61" s="253"/>
      <c r="AK61" s="253"/>
      <c r="AL61" s="253"/>
      <c r="AM61" s="316"/>
      <c r="AN61" s="253"/>
      <c r="AO61" s="253"/>
      <c r="AP61" s="253"/>
      <c r="AQ61" s="316"/>
      <c r="AR61" s="253"/>
      <c r="AS61" s="253"/>
      <c r="AT61" s="33"/>
      <c r="AU61" s="57"/>
      <c r="AV61" s="33"/>
      <c r="AW61" s="253"/>
      <c r="AX61" s="253"/>
      <c r="AY61" s="316"/>
      <c r="AZ61" s="253"/>
      <c r="BA61" s="253"/>
      <c r="BB61" s="253"/>
      <c r="BC61" s="316"/>
      <c r="BD61" s="253"/>
      <c r="BE61" s="253"/>
      <c r="BF61" s="253"/>
      <c r="BG61" s="316"/>
      <c r="BH61" s="253"/>
      <c r="BI61" s="253"/>
      <c r="BJ61" s="253"/>
      <c r="BK61" s="316"/>
      <c r="BL61" s="253"/>
      <c r="BM61" s="253"/>
      <c r="BN61" s="253"/>
      <c r="BO61" s="316"/>
      <c r="BP61" s="253"/>
      <c r="BQ61" s="253"/>
      <c r="BR61" s="253"/>
      <c r="BS61" s="316"/>
      <c r="BT61" s="253"/>
      <c r="BU61" s="253"/>
      <c r="BV61" s="253"/>
      <c r="BW61" s="316"/>
      <c r="BX61" s="253"/>
      <c r="BY61" s="253"/>
      <c r="BZ61" s="253"/>
      <c r="CA61" s="316"/>
      <c r="CB61" s="253"/>
      <c r="CC61" s="253"/>
      <c r="CD61" s="253"/>
      <c r="CE61" s="316"/>
      <c r="CF61" s="253"/>
      <c r="CG61" s="253"/>
      <c r="CH61" s="253"/>
      <c r="CI61" s="253"/>
      <c r="CJ61" s="253"/>
      <c r="CK61" s="253"/>
      <c r="CL61" s="253"/>
      <c r="CM61" s="253"/>
      <c r="CN61" s="253"/>
      <c r="CO61" s="253"/>
      <c r="CP61" s="253"/>
      <c r="CQ61" s="253"/>
      <c r="CR61" s="253"/>
      <c r="CS61" s="253"/>
      <c r="CT61" s="253"/>
      <c r="CU61" s="253"/>
      <c r="CV61" s="253"/>
      <c r="CW61" s="253"/>
      <c r="CX61" s="253"/>
      <c r="CY61" s="253"/>
      <c r="CZ61" s="253"/>
      <c r="DA61" s="253"/>
      <c r="DB61" s="253"/>
      <c r="DC61" s="253"/>
      <c r="DD61" s="253"/>
      <c r="DE61" s="253"/>
      <c r="DF61" s="253"/>
      <c r="DG61" s="253"/>
      <c r="DH61" s="253"/>
      <c r="DI61" s="253"/>
      <c r="DJ61" s="253"/>
      <c r="DK61" s="253"/>
      <c r="DL61" s="253"/>
      <c r="DM61" s="253"/>
      <c r="DN61" s="253"/>
      <c r="DO61" s="253"/>
      <c r="DP61" s="253"/>
    </row>
    <row r="62" spans="1:120">
      <c r="A62" s="261"/>
      <c r="B62" s="280" t="s">
        <v>723</v>
      </c>
      <c r="C62" s="253"/>
      <c r="D62" s="253"/>
      <c r="E62" s="253">
        <f t="shared" ref="E62:R62" si="109">E53</f>
        <v>0</v>
      </c>
      <c r="F62" s="253">
        <f t="shared" si="109"/>
        <v>0</v>
      </c>
      <c r="G62" s="253">
        <f t="shared" si="109"/>
        <v>0</v>
      </c>
      <c r="H62" s="253">
        <f t="shared" si="109"/>
        <v>0</v>
      </c>
      <c r="I62" s="253">
        <f t="shared" si="109"/>
        <v>0</v>
      </c>
      <c r="J62" s="253">
        <f t="shared" si="109"/>
        <v>12.8086817582235</v>
      </c>
      <c r="K62" s="253">
        <f t="shared" si="109"/>
        <v>23.9893274259459</v>
      </c>
      <c r="L62" s="253">
        <f t="shared" si="109"/>
        <v>90.7674891376627</v>
      </c>
      <c r="M62" s="253">
        <f t="shared" si="109"/>
        <v>59.7591936725936</v>
      </c>
      <c r="N62" s="253">
        <f t="shared" si="109"/>
        <v>54.5496281168438</v>
      </c>
      <c r="O62" s="253">
        <f t="shared" si="109"/>
        <v>111.682229486772</v>
      </c>
      <c r="P62" s="253">
        <f t="shared" si="109"/>
        <v>347.882269780929</v>
      </c>
      <c r="Q62" s="253">
        <f t="shared" si="109"/>
        <v>202.945131836763</v>
      </c>
      <c r="R62" s="253">
        <f t="shared" si="109"/>
        <v>318.963</v>
      </c>
      <c r="S62" s="253">
        <f t="shared" ref="S62:V62" si="110">+S63*S40</f>
        <v>953.192273017</v>
      </c>
      <c r="T62" s="253">
        <f t="shared" si="110"/>
        <v>2068.28226425452</v>
      </c>
      <c r="U62" s="253">
        <f t="shared" si="110"/>
        <v>3007.96186649683</v>
      </c>
      <c r="V62" s="253">
        <f t="shared" si="110"/>
        <v>3457.5553661925</v>
      </c>
      <c r="W62" s="303"/>
      <c r="X62" s="253"/>
      <c r="Y62" s="253"/>
      <c r="Z62" s="253"/>
      <c r="AA62" s="316"/>
      <c r="AB62" s="253"/>
      <c r="AC62" s="253"/>
      <c r="AD62" s="253"/>
      <c r="AE62" s="316"/>
      <c r="AF62" s="253"/>
      <c r="AG62" s="253"/>
      <c r="AH62" s="253"/>
      <c r="AI62" s="316"/>
      <c r="AJ62" s="253"/>
      <c r="AK62" s="253"/>
      <c r="AL62" s="253"/>
      <c r="AM62" s="316"/>
      <c r="AN62" s="253"/>
      <c r="AO62" s="253"/>
      <c r="AP62" s="253"/>
      <c r="AQ62" s="316"/>
      <c r="AR62" s="253"/>
      <c r="AS62" s="253"/>
      <c r="AT62" s="253"/>
      <c r="AU62" s="316"/>
      <c r="AV62" s="253"/>
      <c r="AW62" s="96"/>
      <c r="AX62" s="347"/>
      <c r="AY62" s="128"/>
      <c r="AZ62" s="253"/>
      <c r="BA62" s="253"/>
      <c r="BB62" s="253"/>
      <c r="BC62" s="316"/>
      <c r="BD62" s="253"/>
      <c r="BE62" s="253"/>
      <c r="BF62" s="253"/>
      <c r="BG62" s="316"/>
      <c r="BH62" s="253"/>
      <c r="BI62" s="253"/>
      <c r="BJ62" s="253"/>
      <c r="BK62" s="316"/>
      <c r="BL62" s="253"/>
      <c r="BM62" s="253"/>
      <c r="BN62" s="253"/>
      <c r="BO62" s="316"/>
      <c r="BP62" s="253"/>
      <c r="BQ62" s="253"/>
      <c r="BR62" s="253"/>
      <c r="BS62" s="316"/>
      <c r="BT62" s="253"/>
      <c r="BU62" s="253"/>
      <c r="BV62" s="253"/>
      <c r="BW62" s="316"/>
      <c r="BX62" s="253"/>
      <c r="BY62" s="253"/>
      <c r="BZ62" s="253"/>
      <c r="CA62" s="316"/>
      <c r="CB62" s="253"/>
      <c r="CC62" s="253"/>
      <c r="CD62" s="253"/>
      <c r="CE62" s="316"/>
      <c r="CF62" s="253"/>
      <c r="CG62" s="253"/>
      <c r="CH62" s="253"/>
      <c r="CI62" s="253"/>
      <c r="CJ62" s="253"/>
      <c r="CK62" s="253"/>
      <c r="CL62" s="253"/>
      <c r="CM62" s="253"/>
      <c r="CN62" s="253"/>
      <c r="CO62" s="253"/>
      <c r="CP62" s="253"/>
      <c r="CQ62" s="253"/>
      <c r="CR62" s="253"/>
      <c r="CS62" s="253"/>
      <c r="CT62" s="253"/>
      <c r="CU62" s="253"/>
      <c r="CV62" s="253"/>
      <c r="CW62" s="253"/>
      <c r="CX62" s="253"/>
      <c r="CY62" s="253"/>
      <c r="CZ62" s="253"/>
      <c r="DA62" s="253"/>
      <c r="DB62" s="253"/>
      <c r="DC62" s="253"/>
      <c r="DD62" s="253"/>
      <c r="DE62" s="253"/>
      <c r="DF62" s="253"/>
      <c r="DG62" s="253"/>
      <c r="DH62" s="253"/>
      <c r="DI62" s="253"/>
      <c r="DJ62" s="253"/>
      <c r="DK62" s="253"/>
      <c r="DL62" s="253"/>
      <c r="DM62" s="253"/>
      <c r="DN62" s="253"/>
      <c r="DO62" s="253"/>
      <c r="DP62" s="253"/>
    </row>
    <row r="63" spans="1:120">
      <c r="A63" s="261"/>
      <c r="B63" s="280" t="s">
        <v>724</v>
      </c>
      <c r="C63" s="27"/>
      <c r="D63" s="27"/>
      <c r="E63" s="27">
        <f>E62/E61</f>
        <v>0</v>
      </c>
      <c r="F63" s="27">
        <f t="shared" ref="F63:R63" si="111">F62/F61</f>
        <v>0</v>
      </c>
      <c r="G63" s="27">
        <f t="shared" si="111"/>
        <v>0</v>
      </c>
      <c r="H63" s="27">
        <f t="shared" si="111"/>
        <v>0</v>
      </c>
      <c r="I63" s="27">
        <f t="shared" si="111"/>
        <v>0</v>
      </c>
      <c r="J63" s="27">
        <f t="shared" si="111"/>
        <v>0.121655172413793</v>
      </c>
      <c r="K63" s="27">
        <f t="shared" si="111"/>
        <v>0.215943215943216</v>
      </c>
      <c r="L63" s="27">
        <f t="shared" si="111"/>
        <v>2.85142428785607</v>
      </c>
      <c r="M63" s="27">
        <f t="shared" si="111"/>
        <v>0.280748663101604</v>
      </c>
      <c r="N63" s="27">
        <f t="shared" si="111"/>
        <v>0.110927698910532</v>
      </c>
      <c r="O63" s="27">
        <f t="shared" si="111"/>
        <v>0.168723098995696</v>
      </c>
      <c r="P63" s="27">
        <f t="shared" si="111"/>
        <v>0.385003928611516</v>
      </c>
      <c r="Q63" s="27">
        <f t="shared" si="111"/>
        <v>0.294823651823879</v>
      </c>
      <c r="R63" s="27">
        <f t="shared" si="111"/>
        <v>0.112397444730293</v>
      </c>
      <c r="S63" s="27">
        <v>0.1</v>
      </c>
      <c r="T63" s="299">
        <v>0.1</v>
      </c>
      <c r="U63" s="299">
        <v>0.1</v>
      </c>
      <c r="V63" s="299">
        <v>0.1</v>
      </c>
      <c r="W63" s="303"/>
      <c r="X63" s="27"/>
      <c r="Y63" s="27"/>
      <c r="Z63" s="27"/>
      <c r="AA63" s="52"/>
      <c r="AB63" s="27"/>
      <c r="AC63" s="27"/>
      <c r="AD63" s="27"/>
      <c r="AE63" s="52"/>
      <c r="AF63" s="27"/>
      <c r="AG63" s="27"/>
      <c r="AH63" s="27"/>
      <c r="AI63" s="52"/>
      <c r="AJ63" s="27"/>
      <c r="AK63" s="27"/>
      <c r="AL63" s="27"/>
      <c r="AM63" s="52"/>
      <c r="AN63" s="27"/>
      <c r="AO63" s="27"/>
      <c r="AP63" s="27"/>
      <c r="AQ63" s="52"/>
      <c r="AR63" s="27"/>
      <c r="AS63" s="27"/>
      <c r="AT63" s="27"/>
      <c r="AU63" s="52"/>
      <c r="AV63" s="27"/>
      <c r="AW63" s="348"/>
      <c r="AX63" s="27"/>
      <c r="AY63" s="52"/>
      <c r="AZ63" s="27"/>
      <c r="BA63" s="27"/>
      <c r="BB63" s="27"/>
      <c r="BC63" s="52"/>
      <c r="BD63" s="27"/>
      <c r="BE63" s="27"/>
      <c r="BF63" s="27"/>
      <c r="BG63" s="52"/>
      <c r="BH63" s="27"/>
      <c r="BI63" s="27"/>
      <c r="BJ63" s="27"/>
      <c r="BK63" s="52"/>
      <c r="BL63" s="27"/>
      <c r="BM63" s="27"/>
      <c r="BN63" s="27"/>
      <c r="BO63" s="52"/>
      <c r="BP63" s="27"/>
      <c r="BQ63" s="27"/>
      <c r="BR63" s="27"/>
      <c r="BS63" s="52"/>
      <c r="BT63" s="27"/>
      <c r="BU63" s="27"/>
      <c r="BV63" s="27"/>
      <c r="BW63" s="52"/>
      <c r="BX63" s="27"/>
      <c r="BY63" s="27"/>
      <c r="BZ63" s="27"/>
      <c r="CA63" s="52"/>
      <c r="CB63" s="27"/>
      <c r="CC63" s="27"/>
      <c r="CD63" s="27"/>
      <c r="CE63" s="52"/>
      <c r="CF63" s="27"/>
      <c r="CG63" s="27"/>
      <c r="CH63" s="27"/>
      <c r="CI63" s="27"/>
      <c r="CJ63" s="27"/>
      <c r="CK63" s="27"/>
      <c r="CL63" s="27"/>
      <c r="CM63" s="27"/>
      <c r="CN63" s="27"/>
      <c r="CO63" s="27"/>
      <c r="CP63" s="27"/>
      <c r="CQ63" s="27"/>
      <c r="CR63" s="27"/>
      <c r="CS63" s="27"/>
      <c r="CT63" s="27"/>
      <c r="CU63" s="27"/>
      <c r="CV63" s="27"/>
      <c r="CW63" s="27"/>
      <c r="CX63" s="27"/>
      <c r="CY63" s="27"/>
      <c r="CZ63" s="27"/>
      <c r="DA63" s="27"/>
      <c r="DB63" s="27"/>
      <c r="DC63" s="27"/>
      <c r="DD63" s="27"/>
      <c r="DE63" s="27"/>
      <c r="DF63" s="27"/>
      <c r="DG63" s="27"/>
      <c r="DH63" s="27"/>
      <c r="DI63" s="27"/>
      <c r="DJ63" s="27"/>
      <c r="DK63" s="27"/>
      <c r="DL63" s="27"/>
      <c r="DM63" s="27"/>
      <c r="DN63" s="27"/>
      <c r="DO63" s="27"/>
      <c r="DP63" s="27"/>
    </row>
    <row r="64" spans="1:120">
      <c r="A64" s="261"/>
      <c r="B64" s="281"/>
      <c r="C64" s="253"/>
      <c r="D64" s="253"/>
      <c r="E64" s="253"/>
      <c r="F64" s="253"/>
      <c r="G64" s="253"/>
      <c r="H64" s="253"/>
      <c r="I64" s="253"/>
      <c r="J64" s="253"/>
      <c r="K64" s="253"/>
      <c r="L64" s="253"/>
      <c r="M64" s="253"/>
      <c r="N64" s="253"/>
      <c r="O64" s="253"/>
      <c r="P64" s="253"/>
      <c r="Q64" s="253"/>
      <c r="R64" s="253"/>
      <c r="S64" s="253"/>
      <c r="T64" s="253"/>
      <c r="U64" s="253"/>
      <c r="V64" s="253"/>
      <c r="W64" s="302"/>
      <c r="X64" s="253"/>
      <c r="Y64" s="253"/>
      <c r="Z64" s="253"/>
      <c r="AA64" s="316"/>
      <c r="AB64" s="253"/>
      <c r="AC64" s="253"/>
      <c r="AD64" s="253"/>
      <c r="AE64" s="316"/>
      <c r="AF64" s="253"/>
      <c r="AG64" s="253"/>
      <c r="AH64" s="253"/>
      <c r="AI64" s="316"/>
      <c r="AJ64" s="253"/>
      <c r="AK64" s="253"/>
      <c r="AL64" s="253"/>
      <c r="AM64" s="316"/>
      <c r="AN64" s="253"/>
      <c r="AO64" s="253"/>
      <c r="AP64" s="253"/>
      <c r="AQ64" s="316"/>
      <c r="AR64" s="253"/>
      <c r="AS64" s="253"/>
      <c r="AT64" s="253"/>
      <c r="AU64" s="316"/>
      <c r="AV64" s="253"/>
      <c r="AW64" s="253"/>
      <c r="AX64" s="253"/>
      <c r="AY64" s="316"/>
      <c r="AZ64" s="253"/>
      <c r="BA64" s="253"/>
      <c r="BB64" s="253"/>
      <c r="BC64" s="316"/>
      <c r="BD64" s="253"/>
      <c r="BE64" s="253"/>
      <c r="BF64" s="253"/>
      <c r="BG64" s="316"/>
      <c r="BH64" s="253"/>
      <c r="BI64" s="253"/>
      <c r="BJ64" s="253"/>
      <c r="BK64" s="316"/>
      <c r="BL64" s="253"/>
      <c r="BM64" s="253"/>
      <c r="BN64" s="253"/>
      <c r="BO64" s="316"/>
      <c r="BP64" s="253"/>
      <c r="BQ64" s="253"/>
      <c r="BR64" s="253"/>
      <c r="BS64" s="316"/>
      <c r="BT64" s="253"/>
      <c r="BU64" s="253"/>
      <c r="BV64" s="253"/>
      <c r="BW64" s="316"/>
      <c r="BX64" s="253"/>
      <c r="BY64" s="253"/>
      <c r="BZ64" s="253"/>
      <c r="CA64" s="316"/>
      <c r="CB64" s="253"/>
      <c r="CC64" s="253"/>
      <c r="CD64" s="253"/>
      <c r="CE64" s="316"/>
      <c r="CF64" s="253"/>
      <c r="CG64" s="253"/>
      <c r="CH64" s="253"/>
      <c r="CI64" s="253"/>
      <c r="CJ64" s="253"/>
      <c r="CK64" s="253"/>
      <c r="CL64" s="253"/>
      <c r="CM64" s="253"/>
      <c r="CN64" s="253"/>
      <c r="CO64" s="253"/>
      <c r="CP64" s="253"/>
      <c r="CQ64" s="253"/>
      <c r="CR64" s="253"/>
      <c r="CS64" s="253"/>
      <c r="CT64" s="253"/>
      <c r="CU64" s="253"/>
      <c r="CV64" s="253"/>
      <c r="CW64" s="253"/>
      <c r="CX64" s="253"/>
      <c r="CY64" s="253"/>
      <c r="CZ64" s="253"/>
      <c r="DA64" s="253"/>
      <c r="DB64" s="253"/>
      <c r="DC64" s="253"/>
      <c r="DD64" s="253"/>
      <c r="DE64" s="253"/>
      <c r="DF64" s="253"/>
      <c r="DG64" s="253"/>
      <c r="DH64" s="253"/>
      <c r="DI64" s="253"/>
      <c r="DJ64" s="253"/>
      <c r="DK64" s="253"/>
      <c r="DL64" s="253"/>
      <c r="DM64" s="253"/>
      <c r="DN64" s="253"/>
      <c r="DO64" s="253"/>
      <c r="DP64" s="253"/>
    </row>
    <row r="65" spans="1:120">
      <c r="A65" s="248"/>
      <c r="B65" s="245" t="s">
        <v>725</v>
      </c>
      <c r="C65" s="247"/>
      <c r="D65" s="247"/>
      <c r="E65" s="247">
        <f t="shared" ref="E65:V65" si="112">E4</f>
        <v>2011</v>
      </c>
      <c r="F65" s="247">
        <f t="shared" si="112"/>
        <v>2012</v>
      </c>
      <c r="G65" s="247">
        <f t="shared" si="112"/>
        <v>2013</v>
      </c>
      <c r="H65" s="247">
        <f t="shared" si="112"/>
        <v>2014</v>
      </c>
      <c r="I65" s="247">
        <f t="shared" si="112"/>
        <v>2015</v>
      </c>
      <c r="J65" s="247">
        <f t="shared" si="112"/>
        <v>2016</v>
      </c>
      <c r="K65" s="247">
        <f t="shared" si="112"/>
        <v>2017</v>
      </c>
      <c r="L65" s="247">
        <f t="shared" si="112"/>
        <v>2018</v>
      </c>
      <c r="M65" s="247">
        <f t="shared" si="112"/>
        <v>2019</v>
      </c>
      <c r="N65" s="247">
        <f t="shared" si="112"/>
        <v>2020</v>
      </c>
      <c r="O65" s="247">
        <f t="shared" si="112"/>
        <v>2021</v>
      </c>
      <c r="P65" s="247">
        <f t="shared" si="112"/>
        <v>2022</v>
      </c>
      <c r="Q65" s="247">
        <f t="shared" si="112"/>
        <v>2023</v>
      </c>
      <c r="R65" s="247">
        <f t="shared" si="112"/>
        <v>2024</v>
      </c>
      <c r="S65" s="247">
        <f t="shared" si="112"/>
        <v>2025</v>
      </c>
      <c r="T65" s="247">
        <f t="shared" si="112"/>
        <v>2026</v>
      </c>
      <c r="U65" s="247">
        <f t="shared" si="112"/>
        <v>2027</v>
      </c>
      <c r="V65" s="247">
        <f t="shared" si="112"/>
        <v>2028</v>
      </c>
      <c r="W65" s="300"/>
      <c r="X65" s="247" t="str">
        <f t="shared" ref="X65:BG65" si="113">X4</f>
        <v>1Q14</v>
      </c>
      <c r="Y65" s="247" t="str">
        <f t="shared" si="113"/>
        <v>2Q14</v>
      </c>
      <c r="Z65" s="247" t="str">
        <f t="shared" si="113"/>
        <v>3Q14</v>
      </c>
      <c r="AA65" s="313" t="str">
        <f t="shared" si="113"/>
        <v>4Q14</v>
      </c>
      <c r="AB65" s="247" t="str">
        <f t="shared" si="113"/>
        <v>1Q15</v>
      </c>
      <c r="AC65" s="247" t="str">
        <f t="shared" si="113"/>
        <v>2Q15</v>
      </c>
      <c r="AD65" s="247" t="str">
        <f t="shared" si="113"/>
        <v>3Q15</v>
      </c>
      <c r="AE65" s="313" t="str">
        <f t="shared" si="113"/>
        <v>4Q15</v>
      </c>
      <c r="AF65" s="247" t="str">
        <f t="shared" si="113"/>
        <v>1Q16</v>
      </c>
      <c r="AG65" s="247" t="str">
        <f t="shared" si="113"/>
        <v>2Q16</v>
      </c>
      <c r="AH65" s="247" t="str">
        <f t="shared" si="113"/>
        <v>3Q16</v>
      </c>
      <c r="AI65" s="313" t="str">
        <f t="shared" si="113"/>
        <v>4Q16</v>
      </c>
      <c r="AJ65" s="247" t="str">
        <f t="shared" si="113"/>
        <v>1Q17</v>
      </c>
      <c r="AK65" s="247" t="str">
        <f t="shared" si="113"/>
        <v>2Q17</v>
      </c>
      <c r="AL65" s="247" t="str">
        <f t="shared" si="113"/>
        <v>3Q17</v>
      </c>
      <c r="AM65" s="313" t="str">
        <f t="shared" si="113"/>
        <v>4Q17</v>
      </c>
      <c r="AN65" s="247" t="str">
        <f t="shared" si="113"/>
        <v>1Q18</v>
      </c>
      <c r="AO65" s="247" t="str">
        <f t="shared" si="113"/>
        <v>2Q18</v>
      </c>
      <c r="AP65" s="247" t="str">
        <f t="shared" si="113"/>
        <v>3Q18</v>
      </c>
      <c r="AQ65" s="530" t="str">
        <f t="shared" si="113"/>
        <v>4Q18</v>
      </c>
      <c r="AR65" s="529" t="str">
        <f t="shared" si="113"/>
        <v>1Q19</v>
      </c>
      <c r="AS65" s="529" t="str">
        <f t="shared" si="113"/>
        <v>2Q19</v>
      </c>
      <c r="AT65" s="529" t="str">
        <f t="shared" si="113"/>
        <v>3Q19</v>
      </c>
      <c r="AU65" s="530" t="str">
        <f t="shared" si="113"/>
        <v>4Q19</v>
      </c>
      <c r="AV65" s="529" t="str">
        <f t="shared" si="113"/>
        <v>1Q20</v>
      </c>
      <c r="AW65" s="529" t="str">
        <f t="shared" si="113"/>
        <v>2Q20</v>
      </c>
      <c r="AX65" s="529" t="str">
        <f t="shared" si="113"/>
        <v>3Q20</v>
      </c>
      <c r="AY65" s="530" t="str">
        <f t="shared" si="113"/>
        <v>4Q20</v>
      </c>
      <c r="AZ65" s="529" t="str">
        <f t="shared" si="113"/>
        <v>1Q21</v>
      </c>
      <c r="BA65" s="529" t="str">
        <f t="shared" si="113"/>
        <v>2Q21</v>
      </c>
      <c r="BB65" s="529" t="str">
        <f t="shared" si="113"/>
        <v>3Q21</v>
      </c>
      <c r="BC65" s="530" t="str">
        <f t="shared" si="113"/>
        <v>4Q21</v>
      </c>
      <c r="BD65" s="529" t="str">
        <f t="shared" si="113"/>
        <v>1Q22</v>
      </c>
      <c r="BE65" s="529" t="str">
        <f t="shared" si="113"/>
        <v>2Q22</v>
      </c>
      <c r="BF65" s="529" t="str">
        <f t="shared" si="113"/>
        <v>3Q22</v>
      </c>
      <c r="BG65" s="530" t="str">
        <f t="shared" si="113"/>
        <v>4Q22</v>
      </c>
      <c r="BH65" s="529" t="str">
        <f t="shared" ref="BH65:CE65" si="114">BH4</f>
        <v>1Q23</v>
      </c>
      <c r="BI65" s="529" t="str">
        <f t="shared" si="114"/>
        <v>2Q23</v>
      </c>
      <c r="BJ65" s="529" t="str">
        <f t="shared" si="114"/>
        <v>3Q23</v>
      </c>
      <c r="BK65" s="530" t="str">
        <f t="shared" si="114"/>
        <v>4Q23</v>
      </c>
      <c r="BL65" s="529" t="str">
        <f t="shared" si="114"/>
        <v>1Q24</v>
      </c>
      <c r="BM65" s="529" t="str">
        <f t="shared" si="114"/>
        <v>2Q24</v>
      </c>
      <c r="BN65" s="529" t="str">
        <f t="shared" si="114"/>
        <v>3Q24</v>
      </c>
      <c r="BO65" s="530" t="str">
        <f t="shared" si="114"/>
        <v>4Q24</v>
      </c>
      <c r="BP65" s="529" t="str">
        <f t="shared" si="114"/>
        <v>1Q25</v>
      </c>
      <c r="BQ65" s="532" t="str">
        <f t="shared" si="114"/>
        <v>2Q25</v>
      </c>
      <c r="BR65" s="532" t="str">
        <f t="shared" si="114"/>
        <v>3Q25</v>
      </c>
      <c r="BS65" s="530" t="str">
        <f t="shared" si="114"/>
        <v>4Q25</v>
      </c>
      <c r="BT65" s="529" t="str">
        <f t="shared" si="114"/>
        <v>1Q26</v>
      </c>
      <c r="BU65" s="532" t="str">
        <f t="shared" si="114"/>
        <v>2Q26</v>
      </c>
      <c r="BV65" s="532" t="str">
        <f t="shared" si="114"/>
        <v>3Q26</v>
      </c>
      <c r="BW65" s="533" t="str">
        <f t="shared" si="114"/>
        <v>4Q26</v>
      </c>
      <c r="BX65" s="532" t="str">
        <f t="shared" si="114"/>
        <v>1Q27</v>
      </c>
      <c r="BY65" s="532" t="str">
        <f t="shared" si="114"/>
        <v>2Q27</v>
      </c>
      <c r="BZ65" s="532" t="str">
        <f t="shared" si="114"/>
        <v>3Q27</v>
      </c>
      <c r="CA65" s="533" t="str">
        <f t="shared" si="114"/>
        <v>4Q27</v>
      </c>
      <c r="CB65" s="532" t="str">
        <f t="shared" si="114"/>
        <v>1Q28</v>
      </c>
      <c r="CC65" s="532" t="str">
        <f t="shared" si="114"/>
        <v>2Q28</v>
      </c>
      <c r="CD65" s="532" t="str">
        <f t="shared" si="114"/>
        <v>3Q28</v>
      </c>
      <c r="CE65" s="533" t="str">
        <f t="shared" si="114"/>
        <v>4Q28</v>
      </c>
      <c r="CF65" s="383"/>
      <c r="CG65" s="383"/>
      <c r="CH65" s="283"/>
      <c r="CI65" s="283"/>
      <c r="CJ65" s="283"/>
      <c r="CK65" s="283"/>
      <c r="CL65" s="283"/>
      <c r="CM65" s="283"/>
      <c r="CN65" s="283"/>
      <c r="CO65" s="283"/>
      <c r="CP65" s="283"/>
      <c r="CQ65" s="283"/>
      <c r="CR65" s="283"/>
      <c r="CS65" s="283"/>
      <c r="CT65" s="283"/>
      <c r="CU65" s="301"/>
      <c r="CV65" s="301"/>
      <c r="CW65" s="301"/>
      <c r="CX65" s="301"/>
      <c r="CY65" s="301"/>
      <c r="CZ65" s="301"/>
      <c r="DA65" s="301"/>
      <c r="DB65" s="301"/>
      <c r="DC65" s="301"/>
      <c r="DD65" s="301"/>
      <c r="DE65" s="301"/>
      <c r="DF65" s="301"/>
      <c r="DG65" s="301"/>
      <c r="DH65" s="301"/>
      <c r="DI65" s="301"/>
      <c r="DJ65" s="301"/>
      <c r="DK65" s="301"/>
      <c r="DL65" s="301"/>
      <c r="DM65" s="301"/>
      <c r="DN65" s="301"/>
      <c r="DO65" s="301"/>
      <c r="DP65" s="301"/>
    </row>
    <row r="66" spans="1:120">
      <c r="A66" s="258"/>
      <c r="B66" s="253" t="s">
        <v>726</v>
      </c>
      <c r="C66" s="392"/>
      <c r="D66" s="392"/>
      <c r="E66" s="392" t="str">
        <f t="shared" ref="E66:V66" si="115">IF(ISERROR(E7/D7-1)," ",(E7/D7-1))</f>
        <v> </v>
      </c>
      <c r="F66" s="392">
        <f t="shared" si="115"/>
        <v>0.139834910332207</v>
      </c>
      <c r="G66" s="392">
        <f t="shared" si="115"/>
        <v>0.326499870807291</v>
      </c>
      <c r="H66" s="392">
        <f t="shared" si="115"/>
        <v>0.133576416251557</v>
      </c>
      <c r="I66" s="392">
        <f t="shared" si="115"/>
        <v>0.176959897971335</v>
      </c>
      <c r="J66" s="392">
        <f t="shared" si="115"/>
        <v>0.160638808574929</v>
      </c>
      <c r="K66" s="392">
        <f t="shared" si="115"/>
        <v>0.228920668784714</v>
      </c>
      <c r="L66" s="392">
        <f t="shared" si="115"/>
        <v>-0.133826889452061</v>
      </c>
      <c r="M66" s="392">
        <f t="shared" si="115"/>
        <v>0.532828799618668</v>
      </c>
      <c r="N66" s="392">
        <f t="shared" si="115"/>
        <v>0.715153991823591</v>
      </c>
      <c r="O66" s="392">
        <f t="shared" si="115"/>
        <v>0.455689031947928</v>
      </c>
      <c r="P66" s="392">
        <f t="shared" si="115"/>
        <v>0.13828945017861</v>
      </c>
      <c r="Q66" s="392">
        <f t="shared" si="115"/>
        <v>-0.0643296460025152</v>
      </c>
      <c r="R66" s="392">
        <f t="shared" si="115"/>
        <v>1.79145631521004</v>
      </c>
      <c r="S66" s="392">
        <f t="shared" si="115"/>
        <v>1.87294321518788</v>
      </c>
      <c r="T66" s="392">
        <f t="shared" si="115"/>
        <v>1.07136463154165</v>
      </c>
      <c r="U66" s="392">
        <f t="shared" si="115"/>
        <v>0.436369243017398</v>
      </c>
      <c r="V66" s="392">
        <f t="shared" si="115"/>
        <v>0.149704999519303</v>
      </c>
      <c r="X66" s="392"/>
      <c r="Y66" s="392"/>
      <c r="Z66" s="392"/>
      <c r="AA66" s="417" t="str">
        <f>IF(ISERROR(AA7/#REF!-1),"",AA7/#REF!-1)</f>
        <v/>
      </c>
      <c r="AB66" s="392" t="str">
        <f t="shared" ref="AB66:CA66" si="116">IF(ISERROR(AB7/X7-1),"",AB7/X7-1)</f>
        <v/>
      </c>
      <c r="AC66" s="392" t="str">
        <f t="shared" si="116"/>
        <v/>
      </c>
      <c r="AD66" s="392" t="str">
        <f t="shared" si="116"/>
        <v/>
      </c>
      <c r="AE66" s="417" t="str">
        <f t="shared" si="116"/>
        <v/>
      </c>
      <c r="AF66" s="392">
        <f t="shared" si="116"/>
        <v>0.0358190934364269</v>
      </c>
      <c r="AG66" s="392">
        <f t="shared" si="116"/>
        <v>0.158081273322803</v>
      </c>
      <c r="AH66" s="392">
        <f t="shared" si="116"/>
        <v>0.19913579804987</v>
      </c>
      <c r="AI66" s="417">
        <f t="shared" si="116"/>
        <v>0.236818830123247</v>
      </c>
      <c r="AJ66" s="392">
        <f t="shared" si="116"/>
        <v>0.309010370793955</v>
      </c>
      <c r="AK66" s="392">
        <f t="shared" si="116"/>
        <v>0.240597683431661</v>
      </c>
      <c r="AL66" s="392">
        <f t="shared" si="116"/>
        <v>0.355943154872111</v>
      </c>
      <c r="AM66" s="417">
        <f t="shared" si="116"/>
        <v>0.0545240512805569</v>
      </c>
      <c r="AN66" s="392">
        <f t="shared" si="116"/>
        <v>-0.0732332454503097</v>
      </c>
      <c r="AO66" s="392">
        <f t="shared" si="116"/>
        <v>-0.337020171046644</v>
      </c>
      <c r="AP66" s="392">
        <f t="shared" si="116"/>
        <v>-0.143699642451491</v>
      </c>
      <c r="AQ66" s="417">
        <f t="shared" si="116"/>
        <v>0.0484779603899139</v>
      </c>
      <c r="AR66" s="392">
        <f t="shared" si="116"/>
        <v>0.261268474122155</v>
      </c>
      <c r="AS66" s="392">
        <f t="shared" si="116"/>
        <v>0.617293717456432</v>
      </c>
      <c r="AT66" s="392">
        <f t="shared" si="116"/>
        <v>0.469319858232024</v>
      </c>
      <c r="AU66" s="417">
        <f t="shared" si="116"/>
        <v>0.742602224164206</v>
      </c>
      <c r="AV66" s="392">
        <f t="shared" si="116"/>
        <v>0.206106613485884</v>
      </c>
      <c r="AW66" s="392">
        <f t="shared" si="116"/>
        <v>1.20905973425171</v>
      </c>
      <c r="AX66" s="392">
        <f t="shared" si="116"/>
        <v>1.06563050139323</v>
      </c>
      <c r="AY66" s="417">
        <f t="shared" si="116"/>
        <v>0.423887962698222</v>
      </c>
      <c r="AZ66" s="392">
        <f t="shared" si="116"/>
        <v>1.31205834416794</v>
      </c>
      <c r="BA66" s="392">
        <f t="shared" si="116"/>
        <v>0.441916146702323</v>
      </c>
      <c r="BB66" s="392">
        <f t="shared" si="116"/>
        <v>-0.0379680268827426</v>
      </c>
      <c r="BC66" s="417">
        <f t="shared" si="116"/>
        <v>0.586284867463787</v>
      </c>
      <c r="BD66" s="392">
        <f t="shared" si="116"/>
        <v>0.182894718539644</v>
      </c>
      <c r="BE66" s="392">
        <f t="shared" si="116"/>
        <v>-0.0936994297198793</v>
      </c>
      <c r="BF66" s="392">
        <f t="shared" si="116"/>
        <v>0.618540071440124</v>
      </c>
      <c r="BG66" s="417">
        <f t="shared" si="116"/>
        <v>0.00785249662534238</v>
      </c>
      <c r="BH66" s="392">
        <f t="shared" si="116"/>
        <v>-0.187255140885337</v>
      </c>
      <c r="BI66" s="392">
        <f t="shared" si="116"/>
        <v>-0.0484560843268503</v>
      </c>
      <c r="BJ66" s="392">
        <f t="shared" si="116"/>
        <v>-0.163836829542582</v>
      </c>
      <c r="BK66" s="417">
        <f t="shared" si="116"/>
        <v>0.127771206828216</v>
      </c>
      <c r="BL66" s="392">
        <f t="shared" si="116"/>
        <v>0.854067732156175</v>
      </c>
      <c r="BM66" s="392">
        <f t="shared" si="116"/>
        <v>1.29227881795271</v>
      </c>
      <c r="BN66" s="392">
        <f t="shared" si="116"/>
        <v>2.07115597876412</v>
      </c>
      <c r="BO66" s="417">
        <f t="shared" si="116"/>
        <v>2.47965642188995</v>
      </c>
      <c r="BP66" s="392">
        <f t="shared" si="116"/>
        <v>2.64131945660942</v>
      </c>
      <c r="BQ66" s="392">
        <f t="shared" si="116"/>
        <v>2.95394549232434</v>
      </c>
      <c r="BR66" s="392">
        <f t="shared" si="116"/>
        <v>1.52527024204102</v>
      </c>
      <c r="BS66" s="417">
        <f t="shared" si="116"/>
        <v>1.37091193010936</v>
      </c>
      <c r="BT66" s="392">
        <f t="shared" si="116"/>
        <v>1.05759481459036</v>
      </c>
      <c r="BU66" s="392">
        <f t="shared" si="116"/>
        <v>0.767173158530359</v>
      </c>
      <c r="BV66" s="392">
        <f t="shared" si="116"/>
        <v>1.49915427218656</v>
      </c>
      <c r="BW66" s="417">
        <f t="shared" si="116"/>
        <v>0.999681090657835</v>
      </c>
      <c r="BX66" s="392">
        <f t="shared" si="116"/>
        <v>0.81965279952138</v>
      </c>
      <c r="BY66" s="392">
        <f t="shared" si="116"/>
        <v>0.488957783152348</v>
      </c>
      <c r="BZ66" s="392">
        <f t="shared" si="116"/>
        <v>0.428477546150933</v>
      </c>
      <c r="CA66" s="417">
        <f t="shared" si="116"/>
        <v>0.216263783659441</v>
      </c>
      <c r="CB66" s="392">
        <f t="shared" ref="CB66" si="117">IF(ISERROR(CB7/BX7-1),"",CB7/BX7-1)</f>
        <v>-0.032852339233708</v>
      </c>
      <c r="CC66" s="392">
        <f t="shared" ref="CC66" si="118">IF(ISERROR(CC7/BY7-1),"",CC7/BY7-1)</f>
        <v>0.139858905538712</v>
      </c>
      <c r="CD66" s="392">
        <f t="shared" ref="CD66" si="119">IF(ISERROR(CD7/BZ7-1),"",CD7/BZ7-1)</f>
        <v>0.221850717050887</v>
      </c>
      <c r="CE66" s="417">
        <f t="shared" ref="CE66" si="120">IF(ISERROR(CE7/CA7-1),"",CE7/CA7-1)</f>
        <v>0.217388974722773</v>
      </c>
      <c r="CF66" s="392"/>
      <c r="CG66" s="392"/>
      <c r="CH66" s="392"/>
      <c r="CI66" s="392"/>
      <c r="CJ66" s="392"/>
      <c r="CK66" s="392"/>
      <c r="CL66" s="392"/>
      <c r="CM66" s="392"/>
      <c r="CN66" s="392"/>
      <c r="CO66" s="392"/>
      <c r="CP66" s="392"/>
      <c r="CQ66" s="392"/>
      <c r="CR66" s="392"/>
      <c r="CS66" s="392"/>
      <c r="CT66" s="392"/>
      <c r="CU66" s="392"/>
      <c r="CV66" s="392"/>
      <c r="CW66" s="392"/>
      <c r="CX66" s="392"/>
      <c r="CY66" s="392"/>
      <c r="CZ66" s="392"/>
      <c r="DA66" s="392"/>
      <c r="DB66" s="392"/>
      <c r="DC66" s="392"/>
      <c r="DD66" s="392"/>
      <c r="DE66" s="392"/>
      <c r="DF66" s="392"/>
      <c r="DG66" s="392"/>
      <c r="DH66" s="392"/>
      <c r="DI66" s="392"/>
      <c r="DJ66" s="392"/>
      <c r="DK66" s="392"/>
      <c r="DL66" s="392"/>
      <c r="DM66" s="392"/>
      <c r="DN66" s="392"/>
      <c r="DO66" s="392"/>
      <c r="DP66" s="392"/>
    </row>
    <row r="67" spans="1:120">
      <c r="A67" s="258"/>
      <c r="B67" s="253" t="s">
        <v>694</v>
      </c>
      <c r="C67" s="392"/>
      <c r="D67" s="392"/>
      <c r="E67" s="392" t="str">
        <f t="shared" ref="E67:V67" si="121">IF(ISERROR(E12/D12-1)," ",(E12/D12-1))</f>
        <v> </v>
      </c>
      <c r="F67" s="392">
        <f t="shared" si="121"/>
        <v>0.2358672882033</v>
      </c>
      <c r="G67" s="392">
        <f t="shared" si="121"/>
        <v>0.153321933782336</v>
      </c>
      <c r="H67" s="392">
        <f t="shared" si="121"/>
        <v>0.224917821993383</v>
      </c>
      <c r="I67" s="392">
        <f t="shared" si="121"/>
        <v>0.0564159524526797</v>
      </c>
      <c r="J67" s="392">
        <f t="shared" si="121"/>
        <v>0.116940837689361</v>
      </c>
      <c r="K67" s="392">
        <f t="shared" si="121"/>
        <v>0.118451830158415</v>
      </c>
      <c r="L67" s="392">
        <f t="shared" si="121"/>
        <v>-0.295960818247074</v>
      </c>
      <c r="M67" s="392">
        <f t="shared" si="121"/>
        <v>1.72789072960865</v>
      </c>
      <c r="N67" s="392">
        <f t="shared" si="121"/>
        <v>0.820970974301543</v>
      </c>
      <c r="O67" s="392">
        <f t="shared" si="121"/>
        <v>0.270504497646561</v>
      </c>
      <c r="P67" s="392">
        <f t="shared" si="121"/>
        <v>0.297165590263698</v>
      </c>
      <c r="Q67" s="392">
        <f t="shared" si="121"/>
        <v>-0.209081887188178</v>
      </c>
      <c r="R67" s="392">
        <f t="shared" si="121"/>
        <v>3.02796157787577</v>
      </c>
      <c r="S67" s="392">
        <f t="shared" si="121"/>
        <v>2.07135066642318</v>
      </c>
      <c r="T67" s="392">
        <f t="shared" si="121"/>
        <v>1.08884948700332</v>
      </c>
      <c r="U67" s="392">
        <f t="shared" si="121"/>
        <v>0.446353440141371</v>
      </c>
      <c r="V67" s="392">
        <f t="shared" si="121"/>
        <v>0.152636014025783</v>
      </c>
      <c r="W67" s="303"/>
      <c r="X67" s="392"/>
      <c r="Y67" s="392"/>
      <c r="Z67" s="392"/>
      <c r="AA67" s="417" t="str">
        <f>IF(ISERROR(AA12/#REF!-1),"",AA12/#REF!-1)</f>
        <v/>
      </c>
      <c r="AB67" s="392" t="str">
        <f t="shared" ref="AB67:CA67" si="122">IF(ISERROR(AB12/X12-1),"",AB12/X12-1)</f>
        <v/>
      </c>
      <c r="AC67" s="392" t="str">
        <f t="shared" si="122"/>
        <v/>
      </c>
      <c r="AD67" s="392" t="str">
        <f t="shared" si="122"/>
        <v/>
      </c>
      <c r="AE67" s="417" t="str">
        <f t="shared" si="122"/>
        <v/>
      </c>
      <c r="AF67" s="392">
        <f t="shared" si="122"/>
        <v>-0.0993968667640128</v>
      </c>
      <c r="AG67" s="392">
        <f t="shared" si="122"/>
        <v>0.102816643938622</v>
      </c>
      <c r="AH67" s="392">
        <f t="shared" si="122"/>
        <v>0.368298025777344</v>
      </c>
      <c r="AI67" s="417">
        <f t="shared" si="122"/>
        <v>0.106227813715805</v>
      </c>
      <c r="AJ67" s="392">
        <f t="shared" si="122"/>
        <v>0.352005386545916</v>
      </c>
      <c r="AK67" s="392">
        <f t="shared" si="122"/>
        <v>0.220602766071512</v>
      </c>
      <c r="AL67" s="392">
        <f t="shared" si="122"/>
        <v>0.12197202507455</v>
      </c>
      <c r="AM67" s="417">
        <f t="shared" si="122"/>
        <v>-0.161735971337644</v>
      </c>
      <c r="AN67" s="392">
        <f t="shared" si="122"/>
        <v>-0.457248453524308</v>
      </c>
      <c r="AO67" s="392">
        <f t="shared" si="122"/>
        <v>-0.638084535343459</v>
      </c>
      <c r="AP67" s="392">
        <f t="shared" si="122"/>
        <v>-0.285212067618761</v>
      </c>
      <c r="AQ67" s="417">
        <f t="shared" si="122"/>
        <v>0.386436268660631</v>
      </c>
      <c r="AR67" s="392">
        <f t="shared" si="122"/>
        <v>1.4969848700687</v>
      </c>
      <c r="AS67" s="392">
        <f t="shared" si="122"/>
        <v>2.75957370883707</v>
      </c>
      <c r="AT67" s="392">
        <f t="shared" si="122"/>
        <v>1.41264198300536</v>
      </c>
      <c r="AU67" s="417">
        <f t="shared" si="122"/>
        <v>1.67463720822838</v>
      </c>
      <c r="AV67" s="392">
        <f t="shared" si="122"/>
        <v>0.435232935035193</v>
      </c>
      <c r="AW67" s="392">
        <f t="shared" si="122"/>
        <v>1.64569939029954</v>
      </c>
      <c r="AX67" s="392">
        <f t="shared" si="122"/>
        <v>1.25663373701113</v>
      </c>
      <c r="AY67" s="417">
        <f t="shared" si="122"/>
        <v>0.246046859542926</v>
      </c>
      <c r="AZ67" s="392">
        <f t="shared" si="122"/>
        <v>1.00247128174277</v>
      </c>
      <c r="BA67" s="392">
        <f t="shared" si="122"/>
        <v>0.293585222994012</v>
      </c>
      <c r="BB67" s="392">
        <f t="shared" si="122"/>
        <v>-0.261086378551044</v>
      </c>
      <c r="BC67" s="417">
        <f t="shared" si="122"/>
        <v>0.52980516775426</v>
      </c>
      <c r="BD67" s="392">
        <f t="shared" si="122"/>
        <v>0.28298035453445</v>
      </c>
      <c r="BE67" s="392">
        <f t="shared" si="122"/>
        <v>-0.0999576431079897</v>
      </c>
      <c r="BF67" s="392">
        <f t="shared" si="122"/>
        <v>1.0422345163426</v>
      </c>
      <c r="BG67" s="417">
        <f t="shared" si="122"/>
        <v>0.251039468743002</v>
      </c>
      <c r="BH67" s="392">
        <f t="shared" si="122"/>
        <v>-0.164487081598266</v>
      </c>
      <c r="BI67" s="392">
        <f t="shared" si="122"/>
        <v>-0.294742789493516</v>
      </c>
      <c r="BJ67" s="392">
        <f t="shared" si="122"/>
        <v>-0.418193916793307</v>
      </c>
      <c r="BK67" s="417">
        <f t="shared" si="122"/>
        <v>0.0235065832095225</v>
      </c>
      <c r="BL67" s="392">
        <f t="shared" si="122"/>
        <v>1.28760622928144</v>
      </c>
      <c r="BM67" s="392">
        <f t="shared" si="122"/>
        <v>2.93901646454382</v>
      </c>
      <c r="BN67" s="392">
        <f t="shared" si="122"/>
        <v>3.87613781173087</v>
      </c>
      <c r="BO67" s="417">
        <f t="shared" si="122"/>
        <v>3.56086807303958</v>
      </c>
      <c r="BP67" s="392">
        <f t="shared" si="122"/>
        <v>3.21821262806503</v>
      </c>
      <c r="BQ67" s="392">
        <f t="shared" si="122"/>
        <v>3.21442739422126</v>
      </c>
      <c r="BR67" s="392">
        <f t="shared" si="122"/>
        <v>1.8541064764152</v>
      </c>
      <c r="BS67" s="417">
        <f t="shared" si="122"/>
        <v>1.40626884184862</v>
      </c>
      <c r="BT67" s="392">
        <f t="shared" si="122"/>
        <v>1.07878914215033</v>
      </c>
      <c r="BU67" s="392">
        <f t="shared" si="122"/>
        <v>0.807701689219975</v>
      </c>
      <c r="BV67" s="392">
        <f t="shared" si="122"/>
        <v>1.56306109913685</v>
      </c>
      <c r="BW67" s="417">
        <f t="shared" si="122"/>
        <v>0.967842592480304</v>
      </c>
      <c r="BX67" s="392">
        <f t="shared" si="122"/>
        <v>0.695794432663225</v>
      </c>
      <c r="BY67" s="392">
        <f t="shared" si="122"/>
        <v>0.504330803330716</v>
      </c>
      <c r="BZ67" s="392">
        <f t="shared" si="122"/>
        <v>0.477649022434548</v>
      </c>
      <c r="CA67" s="417">
        <f t="shared" si="122"/>
        <v>0.251569613144064</v>
      </c>
      <c r="CB67" s="392">
        <f t="shared" ref="CB67" si="123">IF(ISERROR(CB12/BX12-1),"",CB12/BX12-1)</f>
        <v>-0.0939840135988911</v>
      </c>
      <c r="CC67" s="392">
        <f t="shared" ref="CC67" si="124">IF(ISERROR(CC12/BY12-1),"",CC12/BY12-1)</f>
        <v>0.160049174997559</v>
      </c>
      <c r="CD67" s="392">
        <f t="shared" ref="CD67" si="125">IF(ISERROR(CD12/BZ12-1),"",CD12/BZ12-1)</f>
        <v>0.233462339468623</v>
      </c>
      <c r="CE67" s="417">
        <f t="shared" ref="CE67" si="126">IF(ISERROR(CE12/CA12-1),"",CE12/CA12-1)</f>
        <v>0.230540123557518</v>
      </c>
      <c r="CF67" s="392"/>
      <c r="CG67" s="392"/>
      <c r="CH67" s="392"/>
      <c r="CI67" s="392"/>
      <c r="CJ67" s="392"/>
      <c r="CK67" s="392"/>
      <c r="CL67" s="392"/>
      <c r="CM67" s="392"/>
      <c r="CN67" s="392"/>
      <c r="CO67" s="392"/>
      <c r="CP67" s="392"/>
      <c r="CQ67" s="392"/>
      <c r="CR67" s="392"/>
      <c r="CS67" s="392"/>
      <c r="CT67" s="392"/>
      <c r="CU67" s="392"/>
      <c r="CV67" s="392"/>
      <c r="CW67" s="392"/>
      <c r="CX67" s="392"/>
      <c r="CY67" s="392"/>
      <c r="CZ67" s="392"/>
      <c r="DA67" s="392"/>
      <c r="DB67" s="392"/>
      <c r="DC67" s="392"/>
      <c r="DD67" s="392"/>
      <c r="DE67" s="392"/>
      <c r="DF67" s="392"/>
      <c r="DG67" s="392"/>
      <c r="DH67" s="392"/>
      <c r="DI67" s="392"/>
      <c r="DJ67" s="392"/>
      <c r="DK67" s="392"/>
      <c r="DL67" s="392"/>
      <c r="DM67" s="392"/>
      <c r="DN67" s="392"/>
      <c r="DO67" s="392"/>
      <c r="DP67" s="392"/>
    </row>
    <row r="68" spans="1:120">
      <c r="A68" s="261"/>
      <c r="B68" s="253" t="s">
        <v>701</v>
      </c>
      <c r="C68" s="392"/>
      <c r="D68" s="392"/>
      <c r="E68" s="392" t="str">
        <f t="shared" ref="E68:V68" si="127">IF(ISERROR(E43/D43-1)," ",(E43/D43-1))</f>
        <v> </v>
      </c>
      <c r="F68" s="392">
        <f t="shared" si="127"/>
        <v>0.182086788751974</v>
      </c>
      <c r="G68" s="392">
        <f t="shared" si="127"/>
        <v>0.197755290994257</v>
      </c>
      <c r="H68" s="392">
        <f t="shared" si="127"/>
        <v>0.170157927279293</v>
      </c>
      <c r="I68" s="392">
        <f t="shared" si="127"/>
        <v>0.0246949959303895</v>
      </c>
      <c r="J68" s="392">
        <f t="shared" si="127"/>
        <v>0.0887081964673735</v>
      </c>
      <c r="K68" s="392">
        <f t="shared" si="127"/>
        <v>0.0399409259362149</v>
      </c>
      <c r="L68" s="392">
        <f t="shared" si="127"/>
        <v>-0.665000094585367</v>
      </c>
      <c r="M68" s="392">
        <f t="shared" si="127"/>
        <v>4.97627716711516</v>
      </c>
      <c r="N68" s="392">
        <f t="shared" si="127"/>
        <v>1.24787932619903</v>
      </c>
      <c r="O68" s="392">
        <f t="shared" si="127"/>
        <v>0.295319782480269</v>
      </c>
      <c r="P68" s="392">
        <f t="shared" si="127"/>
        <v>0.176487497830836</v>
      </c>
      <c r="Q68" s="392">
        <f t="shared" si="127"/>
        <v>-0.211413155979876</v>
      </c>
      <c r="R68" s="392">
        <f t="shared" si="127"/>
        <v>3.49274775750337</v>
      </c>
      <c r="S68" s="392">
        <f t="shared" si="127"/>
        <v>2.4266210921055</v>
      </c>
      <c r="T68" s="392">
        <f t="shared" si="127"/>
        <v>1.19718651481154</v>
      </c>
      <c r="U68" s="392">
        <f t="shared" si="127"/>
        <v>0.459708520233267</v>
      </c>
      <c r="V68" s="392">
        <f t="shared" si="127"/>
        <v>0.149607082636039</v>
      </c>
      <c r="W68" s="302"/>
      <c r="X68" s="392"/>
      <c r="Y68" s="392"/>
      <c r="Z68" s="392"/>
      <c r="AA68" s="417"/>
      <c r="AB68" s="392"/>
      <c r="AC68" s="392"/>
      <c r="AD68" s="392"/>
      <c r="AE68" s="417"/>
      <c r="AF68" s="392"/>
      <c r="AG68" s="392"/>
      <c r="AH68" s="392"/>
      <c r="AI68" s="417"/>
      <c r="AJ68" s="392"/>
      <c r="AK68" s="392"/>
      <c r="AL68" s="392">
        <f t="shared" ref="AL68:BA68" si="128">IF(ISERROR(AL20/AH20-1),"",AL20/AH20-1)+A1</f>
        <v>0.172924843669572</v>
      </c>
      <c r="AM68" s="417">
        <f t="shared" si="128"/>
        <v>-0.603489985112332</v>
      </c>
      <c r="AN68" s="392">
        <f t="shared" si="128"/>
        <v>-0.92532335052353</v>
      </c>
      <c r="AO68" s="392">
        <f t="shared" si="128"/>
        <v>-1.23609547782494</v>
      </c>
      <c r="AP68" s="392">
        <f t="shared" si="128"/>
        <v>-0.61449232322845</v>
      </c>
      <c r="AQ68" s="417">
        <f t="shared" si="128"/>
        <v>1.96925118768082</v>
      </c>
      <c r="AR68" s="392">
        <f t="shared" si="128"/>
        <v>16.420634786596</v>
      </c>
      <c r="AS68" s="392">
        <f t="shared" si="128"/>
        <v>-5.79867965664303</v>
      </c>
      <c r="AT68" s="392">
        <f t="shared" si="128"/>
        <v>2.90735842029728</v>
      </c>
      <c r="AU68" s="417">
        <f t="shared" si="128"/>
        <v>2.03065059368823</v>
      </c>
      <c r="AV68" s="392">
        <f t="shared" si="128"/>
        <v>0.595827741884706</v>
      </c>
      <c r="AW68" s="392">
        <f t="shared" si="128"/>
        <v>2.68829327611017</v>
      </c>
      <c r="AX68" s="392">
        <f t="shared" si="128"/>
        <v>1.92658785477356</v>
      </c>
      <c r="AY68" s="417">
        <f t="shared" si="128"/>
        <v>0.438444260519075</v>
      </c>
      <c r="AZ68" s="392">
        <f t="shared" si="128"/>
        <v>1.30943119277563</v>
      </c>
      <c r="BA68" s="392">
        <f t="shared" si="128"/>
        <v>0.407814326309464</v>
      </c>
      <c r="BB68" s="392">
        <f>IF(ISERROR(BB20/AX20-1),"",BB20/AX20-1)</f>
        <v>-0.293152441685064</v>
      </c>
      <c r="BC68" s="417">
        <f>IF(ISERROR(BC20/AY20-1),"",BC20/AY20-1)</f>
        <v>0.438537734783036</v>
      </c>
      <c r="BD68" s="392">
        <f t="shared" ref="BD68:CA68" si="129">IF(ISERROR(BD20/AZ20-1),"",BD20/AZ20-1)+W1</f>
        <v>0.229432760940709</v>
      </c>
      <c r="BE68" s="392">
        <f t="shared" si="129"/>
        <v>-0.28232950586999</v>
      </c>
      <c r="BF68" s="392">
        <f t="shared" si="129"/>
        <v>1.03832090122283</v>
      </c>
      <c r="BG68" s="417">
        <f t="shared" si="129"/>
        <v>0.131632882958623</v>
      </c>
      <c r="BH68" s="392">
        <f t="shared" si="129"/>
        <v>-0.250707581367342</v>
      </c>
      <c r="BI68" s="392">
        <f t="shared" si="129"/>
        <v>-0.335578344394267</v>
      </c>
      <c r="BJ68" s="392">
        <f t="shared" si="129"/>
        <v>-0.522217900824779</v>
      </c>
      <c r="BK68" s="417">
        <f t="shared" si="129"/>
        <v>0.256595139152309</v>
      </c>
      <c r="BL68" s="392">
        <f t="shared" si="129"/>
        <v>1.49960092161719</v>
      </c>
      <c r="BM68" s="392">
        <f t="shared" si="129"/>
        <v>3.84252359659687</v>
      </c>
      <c r="BN68" s="392">
        <f t="shared" si="129"/>
        <v>5.71949294648856</v>
      </c>
      <c r="BO68" s="417">
        <f t="shared" si="129"/>
        <v>3.36608390271009</v>
      </c>
      <c r="BP68" s="392">
        <f t="shared" si="129"/>
        <v>3.83012525788053</v>
      </c>
      <c r="BQ68" s="392">
        <f t="shared" si="129"/>
        <v>3.65263429439064</v>
      </c>
      <c r="BR68" s="392">
        <f t="shared" si="129"/>
        <v>1.97405490193137</v>
      </c>
      <c r="BS68" s="417">
        <f t="shared" si="129"/>
        <v>1.81447066295918</v>
      </c>
      <c r="BT68" s="392">
        <f t="shared" si="129"/>
        <v>1.18801355279445</v>
      </c>
      <c r="BU68" s="392">
        <f t="shared" si="129"/>
        <v>0.933266467470927</v>
      </c>
      <c r="BV68" s="392">
        <f t="shared" si="129"/>
        <v>1.71874110444506</v>
      </c>
      <c r="BW68" s="417">
        <f t="shared" si="129"/>
        <v>1.02870748129978</v>
      </c>
      <c r="BX68" s="392">
        <f t="shared" si="129"/>
        <v>0.731075191451876</v>
      </c>
      <c r="BY68" s="392">
        <f t="shared" si="129"/>
        <v>0.519666602203013</v>
      </c>
      <c r="BZ68" s="392">
        <f t="shared" si="129"/>
        <v>0.488203817249866</v>
      </c>
      <c r="CA68" s="417">
        <f t="shared" si="129"/>
        <v>0.255870737883875</v>
      </c>
      <c r="CB68" s="392">
        <f t="shared" ref="CB68" si="130">IF(ISERROR(CB20/BX20-1),"",CB20/BX20-1)+AU1</f>
        <v>-0.101545381680902</v>
      </c>
      <c r="CC68" s="392">
        <f t="shared" ref="CC68" si="131">IF(ISERROR(CC20/BY20-1),"",CC20/BY20-1)+AV1</f>
        <v>0.163767241344206</v>
      </c>
      <c r="CD68" s="392">
        <f t="shared" ref="CD68" si="132">IF(ISERROR(CD20/BZ20-1),"",CD20/BZ20-1)+AW1</f>
        <v>0.23872514351106</v>
      </c>
      <c r="CE68" s="417">
        <f t="shared" ref="CE68" si="133">IF(ISERROR(CE20/CA20-1),"",CE20/CA20-1)+AX1</f>
        <v>0.215638727208141</v>
      </c>
      <c r="CF68" s="392"/>
      <c r="CG68" s="392"/>
      <c r="CH68" s="253"/>
      <c r="CI68" s="253"/>
      <c r="CJ68" s="253"/>
      <c r="CK68" s="253"/>
      <c r="CL68" s="253"/>
      <c r="CM68" s="253"/>
      <c r="CN68" s="253"/>
      <c r="CO68" s="253"/>
      <c r="CP68" s="253"/>
      <c r="CQ68" s="253"/>
      <c r="CR68" s="253"/>
      <c r="CS68" s="253"/>
      <c r="CT68" s="253"/>
      <c r="CU68" s="253"/>
      <c r="CV68" s="253"/>
      <c r="CW68" s="253"/>
      <c r="CX68" s="253"/>
      <c r="CY68" s="253"/>
      <c r="CZ68" s="253"/>
      <c r="DA68" s="253"/>
      <c r="DB68" s="253"/>
      <c r="DC68" s="253"/>
      <c r="DD68" s="253"/>
      <c r="DE68" s="253"/>
      <c r="DF68" s="253"/>
      <c r="DG68" s="253"/>
      <c r="DH68" s="253"/>
      <c r="DI68" s="253"/>
      <c r="DJ68" s="253"/>
      <c r="DK68" s="253"/>
      <c r="DL68" s="253"/>
      <c r="DM68" s="253"/>
      <c r="DN68" s="253"/>
      <c r="DO68" s="253"/>
      <c r="DP68" s="253"/>
    </row>
    <row r="69" spans="1:120">
      <c r="A69" s="258"/>
      <c r="B69" s="253" t="s">
        <v>727</v>
      </c>
      <c r="C69" s="392"/>
      <c r="D69" s="392"/>
      <c r="E69" s="392" t="str">
        <f t="shared" ref="E69:V69" si="134">IF(ISERROR(E33/D33-1)," ",(E33/D33-1))</f>
        <v> </v>
      </c>
      <c r="F69" s="392">
        <f t="shared" si="134"/>
        <v>0.238696090863673</v>
      </c>
      <c r="G69" s="392">
        <f t="shared" si="134"/>
        <v>0.203440301787051</v>
      </c>
      <c r="H69" s="392">
        <f t="shared" si="134"/>
        <v>0.158915320314259</v>
      </c>
      <c r="I69" s="392">
        <f t="shared" si="134"/>
        <v>0.0210526444717984</v>
      </c>
      <c r="J69" s="392">
        <f t="shared" si="134"/>
        <v>0.158910600500592</v>
      </c>
      <c r="K69" s="392">
        <f t="shared" si="134"/>
        <v>-0.00383656940649002</v>
      </c>
      <c r="L69" s="392">
        <f t="shared" si="134"/>
        <v>-0.721568913095475</v>
      </c>
      <c r="M69" s="392">
        <f t="shared" si="134"/>
        <v>5.86985709742631</v>
      </c>
      <c r="N69" s="392">
        <f t="shared" si="134"/>
        <v>1.30209612620691</v>
      </c>
      <c r="O69" s="392">
        <f t="shared" si="134"/>
        <v>0.358750718079303</v>
      </c>
      <c r="P69" s="392">
        <f t="shared" si="134"/>
        <v>0.347006913345663</v>
      </c>
      <c r="Q69" s="392">
        <f t="shared" si="134"/>
        <v>-0.232653859495527</v>
      </c>
      <c r="R69" s="392">
        <f t="shared" si="134"/>
        <v>3.10053851705052</v>
      </c>
      <c r="S69" s="392">
        <f t="shared" si="134"/>
        <v>2.35962071524766</v>
      </c>
      <c r="T69" s="392">
        <f t="shared" si="134"/>
        <v>1.18242215643073</v>
      </c>
      <c r="U69" s="392">
        <f t="shared" si="134"/>
        <v>0.449662952151418</v>
      </c>
      <c r="V69" s="392">
        <f t="shared" si="134"/>
        <v>0.149467818958514</v>
      </c>
      <c r="W69" s="303"/>
      <c r="X69" s="392"/>
      <c r="Y69" s="392"/>
      <c r="Z69" s="392"/>
      <c r="AA69" s="417" t="str">
        <f>IF(ISERROR(AA33/#REF!-1)," ",(AA33/#REF!-1))</f>
        <v> </v>
      </c>
      <c r="AB69" s="392" t="str">
        <f t="shared" ref="AB69:CA69" si="135">IF(ISERROR(AB33/X33-1)," ",(AB33/X33-1))</f>
        <v> </v>
      </c>
      <c r="AC69" s="392" t="str">
        <f t="shared" si="135"/>
        <v> </v>
      </c>
      <c r="AD69" s="392" t="str">
        <f t="shared" si="135"/>
        <v> </v>
      </c>
      <c r="AE69" s="417" t="str">
        <f t="shared" si="135"/>
        <v> </v>
      </c>
      <c r="AF69" s="392">
        <f t="shared" si="135"/>
        <v>-0.129393641475991</v>
      </c>
      <c r="AG69" s="392">
        <f t="shared" si="135"/>
        <v>0.042963735725345</v>
      </c>
      <c r="AH69" s="392">
        <f t="shared" si="135"/>
        <v>0.729080238448602</v>
      </c>
      <c r="AI69" s="417">
        <f t="shared" si="135"/>
        <v>0.1092635851207</v>
      </c>
      <c r="AJ69" s="392">
        <f t="shared" si="135"/>
        <v>0.39172311273347</v>
      </c>
      <c r="AK69" s="392">
        <f t="shared" si="135"/>
        <v>0.193386298688798</v>
      </c>
      <c r="AL69" s="392">
        <f t="shared" si="135"/>
        <v>0.00737308186869212</v>
      </c>
      <c r="AM69" s="417">
        <f t="shared" si="135"/>
        <v>-0.573877833880185</v>
      </c>
      <c r="AN69" s="392">
        <f t="shared" si="135"/>
        <v>-1.11949489287669</v>
      </c>
      <c r="AO69" s="392">
        <f t="shared" si="135"/>
        <v>-1.34203640703683</v>
      </c>
      <c r="AP69" s="392">
        <f t="shared" si="135"/>
        <v>-0.404934677383521</v>
      </c>
      <c r="AQ69" s="417">
        <f t="shared" si="135"/>
        <v>1.27658921112489</v>
      </c>
      <c r="AR69" s="392">
        <f t="shared" si="135"/>
        <v>-10.0720415869154</v>
      </c>
      <c r="AS69" s="392">
        <f t="shared" si="135"/>
        <v>-5.27589227158852</v>
      </c>
      <c r="AT69" s="392">
        <f t="shared" si="135"/>
        <v>1.55405114348979</v>
      </c>
      <c r="AU69" s="417">
        <f t="shared" si="135"/>
        <v>2.02161289805307</v>
      </c>
      <c r="AV69" s="392">
        <f t="shared" si="135"/>
        <v>0.731812140281652</v>
      </c>
      <c r="AW69" s="392">
        <f t="shared" si="135"/>
        <v>1.78941171311514</v>
      </c>
      <c r="AX69" s="392">
        <f t="shared" si="135"/>
        <v>1.86478722774701</v>
      </c>
      <c r="AY69" s="417">
        <f t="shared" si="135"/>
        <v>0.833294493554117</v>
      </c>
      <c r="AZ69" s="392">
        <f t="shared" si="135"/>
        <v>1.06856390840655</v>
      </c>
      <c r="BA69" s="392">
        <f t="shared" si="135"/>
        <v>0.533185368892777</v>
      </c>
      <c r="BB69" s="392">
        <f t="shared" si="135"/>
        <v>-0.11335204677189</v>
      </c>
      <c r="BC69" s="417">
        <f t="shared" si="135"/>
        <v>0.415928229262935</v>
      </c>
      <c r="BD69" s="392">
        <f t="shared" si="135"/>
        <v>0.140619065362097</v>
      </c>
      <c r="BE69" s="392">
        <f t="shared" si="135"/>
        <v>0.51264061972396</v>
      </c>
      <c r="BF69" s="392">
        <f t="shared" si="135"/>
        <v>1.15303888384893</v>
      </c>
      <c r="BG69" s="417">
        <f t="shared" si="135"/>
        <v>-0.268235141937597</v>
      </c>
      <c r="BH69" s="392">
        <f t="shared" si="135"/>
        <v>-0.182188836283184</v>
      </c>
      <c r="BI69" s="392">
        <f t="shared" si="135"/>
        <v>-0.45506150186949</v>
      </c>
      <c r="BJ69" s="392">
        <f t="shared" si="135"/>
        <v>-0.533977936203005</v>
      </c>
      <c r="BK69" s="417">
        <f t="shared" si="135"/>
        <v>0.833193742582431</v>
      </c>
      <c r="BL69" s="392">
        <f t="shared" si="135"/>
        <v>1.91390736366879</v>
      </c>
      <c r="BM69" s="392">
        <f t="shared" si="135"/>
        <v>2.03807556783346</v>
      </c>
      <c r="BN69" s="392">
        <f t="shared" si="135"/>
        <v>4.62870018559733</v>
      </c>
      <c r="BO69" s="417">
        <f t="shared" si="135"/>
        <v>3.50788274812395</v>
      </c>
      <c r="BP69" s="392">
        <f t="shared" si="135"/>
        <v>3.76206153599871</v>
      </c>
      <c r="BQ69" s="392">
        <f t="shared" si="135"/>
        <v>3.39409776552148</v>
      </c>
      <c r="BR69" s="392">
        <f t="shared" si="135"/>
        <v>1.92830022036206</v>
      </c>
      <c r="BS69" s="417">
        <f t="shared" si="135"/>
        <v>1.79620158913484</v>
      </c>
      <c r="BT69" s="392">
        <f t="shared" si="135"/>
        <v>0.830862751652345</v>
      </c>
      <c r="BU69" s="392">
        <f t="shared" si="135"/>
        <v>0.986191704877041</v>
      </c>
      <c r="BV69" s="392">
        <f t="shared" si="135"/>
        <v>1.78967184998853</v>
      </c>
      <c r="BW69" s="417">
        <f t="shared" si="135"/>
        <v>1.06924090959169</v>
      </c>
      <c r="BX69" s="392">
        <f t="shared" si="135"/>
        <v>1.0475312340781</v>
      </c>
      <c r="BY69" s="392">
        <f t="shared" si="135"/>
        <v>0.461682058453986</v>
      </c>
      <c r="BZ69" s="392">
        <f t="shared" si="135"/>
        <v>0.436413027638411</v>
      </c>
      <c r="CA69" s="417">
        <f t="shared" si="135"/>
        <v>0.207887158810234</v>
      </c>
      <c r="CB69" s="392">
        <f t="shared" ref="CB69" si="136">IF(ISERROR(CB33/BX33-1)," ",(CB33/BX33-1))</f>
        <v>-0.101423175567833</v>
      </c>
      <c r="CC69" s="392">
        <f t="shared" ref="CC69" si="137">IF(ISERROR(CC33/BY33-1)," ",(CC33/BY33-1))</f>
        <v>0.163598548047558</v>
      </c>
      <c r="CD69" s="392">
        <f t="shared" ref="CD69" si="138">IF(ISERROR(CD33/BZ33-1)," ",(CD33/BZ33-1))</f>
        <v>0.238541986456297</v>
      </c>
      <c r="CE69" s="417">
        <f t="shared" ref="CE69" si="139">IF(ISERROR(CE33/CA33-1)," ",(CE33/CA33-1))</f>
        <v>0.215457816753836</v>
      </c>
      <c r="CF69" s="392"/>
      <c r="CG69" s="392"/>
      <c r="CH69" s="392"/>
      <c r="CI69" s="392"/>
      <c r="CJ69" s="392"/>
      <c r="CK69" s="392"/>
      <c r="CL69" s="392"/>
      <c r="CM69" s="392"/>
      <c r="CN69" s="392"/>
      <c r="CO69" s="392"/>
      <c r="CP69" s="392"/>
      <c r="CQ69" s="392"/>
      <c r="CR69" s="392"/>
      <c r="CS69" s="392"/>
      <c r="CT69" s="392"/>
      <c r="CU69" s="392"/>
      <c r="CV69" s="392"/>
      <c r="CW69" s="392"/>
      <c r="CX69" s="392"/>
      <c r="CY69" s="392"/>
      <c r="CZ69" s="392"/>
      <c r="DA69" s="392"/>
      <c r="DB69" s="392"/>
      <c r="DC69" s="392"/>
      <c r="DD69" s="392"/>
      <c r="DE69" s="392"/>
      <c r="DF69" s="392"/>
      <c r="DG69" s="392"/>
      <c r="DH69" s="392"/>
      <c r="DI69" s="392"/>
      <c r="DJ69" s="392"/>
      <c r="DK69" s="392"/>
      <c r="DL69" s="392"/>
      <c r="DM69" s="392"/>
      <c r="DN69" s="392"/>
      <c r="DO69" s="392"/>
      <c r="DP69" s="392"/>
    </row>
    <row r="70" spans="1:120">
      <c r="A70" s="393"/>
      <c r="B70" s="251" t="s">
        <v>728</v>
      </c>
      <c r="C70" s="394"/>
      <c r="D70" s="394"/>
      <c r="E70" s="394" t="str">
        <f t="shared" ref="E70:V70" si="140">IF(ISERROR(E40/D40-1)," ",(E40/D40-1))</f>
        <v> </v>
      </c>
      <c r="F70" s="394">
        <f t="shared" si="140"/>
        <v>0.250555907742551</v>
      </c>
      <c r="G70" s="394">
        <f t="shared" si="140"/>
        <v>0.207019527355118</v>
      </c>
      <c r="H70" s="394">
        <f t="shared" si="140"/>
        <v>0.164314137874003</v>
      </c>
      <c r="I70" s="394">
        <f t="shared" si="140"/>
        <v>0.0222059080938639</v>
      </c>
      <c r="J70" s="394">
        <f t="shared" si="140"/>
        <v>0.114731788540471</v>
      </c>
      <c r="K70" s="394">
        <f t="shared" si="140"/>
        <v>0.0551267909019475</v>
      </c>
      <c r="L70" s="394">
        <f t="shared" si="140"/>
        <v>-0.713456890043227</v>
      </c>
      <c r="M70" s="394">
        <f t="shared" si="140"/>
        <v>5.68680340095669</v>
      </c>
      <c r="N70" s="394">
        <f t="shared" si="140"/>
        <v>1.31028074273529</v>
      </c>
      <c r="O70" s="394">
        <f t="shared" si="140"/>
        <v>0.346039303811066</v>
      </c>
      <c r="P70" s="394">
        <f t="shared" si="140"/>
        <v>0.365078424168027</v>
      </c>
      <c r="Q70" s="394">
        <f t="shared" si="140"/>
        <v>-0.238185590511937</v>
      </c>
      <c r="R70" s="394">
        <f t="shared" si="140"/>
        <v>3.12256538681241</v>
      </c>
      <c r="S70" s="394">
        <f t="shared" si="140"/>
        <v>2.35889666901085</v>
      </c>
      <c r="T70" s="394">
        <f t="shared" si="140"/>
        <v>1.16984791295893</v>
      </c>
      <c r="U70" s="394">
        <f t="shared" si="140"/>
        <v>0.454328511384789</v>
      </c>
      <c r="V70" s="394">
        <f t="shared" si="140"/>
        <v>0.149467818958514</v>
      </c>
      <c r="W70" s="413"/>
      <c r="X70" s="394"/>
      <c r="Y70" s="394"/>
      <c r="Z70" s="394"/>
      <c r="AA70" s="418" t="str">
        <f>IF(ISERROR(AA40/#REF!-1)," ",(AA40/#REF!-1))</f>
        <v> </v>
      </c>
      <c r="AB70" s="394" t="str">
        <f t="shared" ref="AB70:CA70" si="141">IF(ISERROR(AB40/X40-1)," ",(AB40/X40-1))</f>
        <v> </v>
      </c>
      <c r="AC70" s="394" t="str">
        <f t="shared" si="141"/>
        <v> </v>
      </c>
      <c r="AD70" s="394" t="str">
        <f t="shared" si="141"/>
        <v> </v>
      </c>
      <c r="AE70" s="418" t="str">
        <f t="shared" si="141"/>
        <v> </v>
      </c>
      <c r="AF70" s="394">
        <f t="shared" si="141"/>
        <v>-0.13317836524101</v>
      </c>
      <c r="AG70" s="394">
        <f t="shared" si="141"/>
        <v>0.0133225123073566</v>
      </c>
      <c r="AH70" s="394">
        <f t="shared" si="141"/>
        <v>0.603674933072894</v>
      </c>
      <c r="AI70" s="418">
        <f t="shared" si="141"/>
        <v>0.0748340240002863</v>
      </c>
      <c r="AJ70" s="394">
        <f t="shared" si="141"/>
        <v>0.390967741445881</v>
      </c>
      <c r="AK70" s="394">
        <f t="shared" si="141"/>
        <v>0.21454037947299</v>
      </c>
      <c r="AL70" s="394">
        <f t="shared" si="141"/>
        <v>0.060483806876511</v>
      </c>
      <c r="AM70" s="418">
        <f t="shared" si="141"/>
        <v>-0.41633703291612</v>
      </c>
      <c r="AN70" s="394">
        <f t="shared" si="141"/>
        <v>-1.12174870583058</v>
      </c>
      <c r="AO70" s="394">
        <f t="shared" si="141"/>
        <v>-1.35132310057077</v>
      </c>
      <c r="AP70" s="394">
        <f t="shared" si="141"/>
        <v>-0.394339497590218</v>
      </c>
      <c r="AQ70" s="418">
        <f t="shared" si="141"/>
        <v>0.825713960760941</v>
      </c>
      <c r="AR70" s="394">
        <f t="shared" si="141"/>
        <v>-9.91054050272487</v>
      </c>
      <c r="AS70" s="394">
        <f t="shared" si="141"/>
        <v>-5.18955288763923</v>
      </c>
      <c r="AT70" s="394">
        <f t="shared" si="141"/>
        <v>1.5434184483425</v>
      </c>
      <c r="AU70" s="418">
        <f t="shared" si="141"/>
        <v>2.02365128364581</v>
      </c>
      <c r="AV70" s="394">
        <f t="shared" si="141"/>
        <v>0.734460801182471</v>
      </c>
      <c r="AW70" s="394">
        <f t="shared" si="141"/>
        <v>1.79784619281588</v>
      </c>
      <c r="AX70" s="394">
        <f t="shared" si="141"/>
        <v>1.87913249302702</v>
      </c>
      <c r="AY70" s="418">
        <f t="shared" si="141"/>
        <v>0.876804965270374</v>
      </c>
      <c r="AZ70" s="394">
        <f t="shared" si="141"/>
        <v>0.9995292894827</v>
      </c>
      <c r="BA70" s="394">
        <f t="shared" si="141"/>
        <v>0.559986326205014</v>
      </c>
      <c r="BB70" s="394">
        <f t="shared" si="141"/>
        <v>-0.0582131924562825</v>
      </c>
      <c r="BC70" s="418">
        <f t="shared" si="141"/>
        <v>0.314508703694457</v>
      </c>
      <c r="BD70" s="394">
        <f t="shared" si="141"/>
        <v>0.178076708865438</v>
      </c>
      <c r="BE70" s="394">
        <f t="shared" si="141"/>
        <v>0.56061357375521</v>
      </c>
      <c r="BF70" s="394">
        <f t="shared" si="141"/>
        <v>1.12422445524478</v>
      </c>
      <c r="BG70" s="418">
        <f t="shared" si="141"/>
        <v>-0.283731767280291</v>
      </c>
      <c r="BH70" s="394">
        <f t="shared" si="141"/>
        <v>-0.185678112673835</v>
      </c>
      <c r="BI70" s="394">
        <f t="shared" si="141"/>
        <v>-0.450715510224893</v>
      </c>
      <c r="BJ70" s="394">
        <f t="shared" si="141"/>
        <v>-0.531442314757666</v>
      </c>
      <c r="BK70" s="418">
        <f t="shared" si="141"/>
        <v>0.833534449385348</v>
      </c>
      <c r="BL70" s="394">
        <f t="shared" si="141"/>
        <v>2.00960816939338</v>
      </c>
      <c r="BM70" s="394">
        <f t="shared" si="141"/>
        <v>1.99452361174473</v>
      </c>
      <c r="BN70" s="394">
        <f t="shared" si="141"/>
        <v>4.53072529513596</v>
      </c>
      <c r="BO70" s="418">
        <f t="shared" si="141"/>
        <v>3.60491438808274</v>
      </c>
      <c r="BP70" s="394">
        <f t="shared" si="141"/>
        <v>3.84539101732811</v>
      </c>
      <c r="BQ70" s="394">
        <f t="shared" si="141"/>
        <v>3.38357684245864</v>
      </c>
      <c r="BR70" s="394">
        <f t="shared" si="141"/>
        <v>2.05378954130626</v>
      </c>
      <c r="BS70" s="418">
        <f t="shared" si="141"/>
        <v>1.68920082982152</v>
      </c>
      <c r="BT70" s="394">
        <f t="shared" si="141"/>
        <v>0.764165829493995</v>
      </c>
      <c r="BU70" s="394">
        <f t="shared" si="141"/>
        <v>0.961861810338464</v>
      </c>
      <c r="BV70" s="394">
        <f t="shared" si="141"/>
        <v>1.66343175939776</v>
      </c>
      <c r="BW70" s="418">
        <f t="shared" si="141"/>
        <v>1.1554092574784</v>
      </c>
      <c r="BX70" s="394">
        <f t="shared" si="141"/>
        <v>1.0966604494561</v>
      </c>
      <c r="BY70" s="394">
        <f t="shared" si="141"/>
        <v>0.461682058453986</v>
      </c>
      <c r="BZ70" s="394">
        <f t="shared" si="141"/>
        <v>0.436413027638411</v>
      </c>
      <c r="CA70" s="418">
        <f t="shared" si="141"/>
        <v>0.207887158810234</v>
      </c>
      <c r="CB70" s="394">
        <f t="shared" ref="CB70" si="142">IF(ISERROR(CB40/BX40-1)," ",(CB40/BX40-1))</f>
        <v>-0.101423175567833</v>
      </c>
      <c r="CC70" s="394">
        <f t="shared" ref="CC70" si="143">IF(ISERROR(CC40/BY40-1)," ",(CC40/BY40-1))</f>
        <v>0.163598548047558</v>
      </c>
      <c r="CD70" s="394">
        <f t="shared" ref="CD70" si="144">IF(ISERROR(CD40/BZ40-1)," ",(CD40/BZ40-1))</f>
        <v>0.238541986456297</v>
      </c>
      <c r="CE70" s="418">
        <f t="shared" ref="CE70" si="145">IF(ISERROR(CE40/CA40-1)," ",(CE40/CA40-1))</f>
        <v>0.215457816753836</v>
      </c>
      <c r="CF70" s="394"/>
      <c r="CG70" s="394"/>
      <c r="CH70" s="394"/>
      <c r="CI70" s="394"/>
      <c r="CJ70" s="394"/>
      <c r="CK70" s="394"/>
      <c r="CL70" s="394"/>
      <c r="CM70" s="394"/>
      <c r="CN70" s="394"/>
      <c r="CO70" s="394"/>
      <c r="CP70" s="394"/>
      <c r="CQ70" s="394"/>
      <c r="CR70" s="394"/>
      <c r="CS70" s="394"/>
      <c r="CT70" s="394"/>
      <c r="CU70" s="394"/>
      <c r="CV70" s="394"/>
      <c r="CW70" s="394"/>
      <c r="CX70" s="394"/>
      <c r="CY70" s="394"/>
      <c r="CZ70" s="394"/>
      <c r="DA70" s="394"/>
      <c r="DB70" s="394"/>
      <c r="DC70" s="394"/>
      <c r="DD70" s="394"/>
      <c r="DE70" s="394"/>
      <c r="DF70" s="394"/>
      <c r="DG70" s="394"/>
      <c r="DH70" s="394"/>
      <c r="DI70" s="394"/>
      <c r="DJ70" s="394"/>
      <c r="DK70" s="394"/>
      <c r="DL70" s="394"/>
      <c r="DM70" s="394"/>
      <c r="DN70" s="394"/>
      <c r="DO70" s="394"/>
      <c r="DP70" s="394"/>
    </row>
    <row r="71" spans="1:120">
      <c r="A71" s="258"/>
      <c r="B71" s="253" t="s">
        <v>100</v>
      </c>
      <c r="C71" s="392"/>
      <c r="D71" s="392"/>
      <c r="E71" s="392" t="str">
        <f t="shared" ref="E71:H71" si="146">IF(ISERROR(E20/D20-1)," ",(E20/D20-1))</f>
        <v> </v>
      </c>
      <c r="F71" s="392">
        <f t="shared" si="146"/>
        <v>0.182086788751974</v>
      </c>
      <c r="G71" s="392">
        <f t="shared" si="146"/>
        <v>0.197755290994257</v>
      </c>
      <c r="H71" s="392">
        <f t="shared" si="146"/>
        <v>0.170157927279293</v>
      </c>
      <c r="I71" s="392">
        <f t="shared" ref="I71:V71" si="147">IF(ISERROR(I46/H46-1)," ",(I46/H46-1))</f>
        <v>0.048670417242374</v>
      </c>
      <c r="J71" s="392">
        <f t="shared" si="147"/>
        <v>0.145011473095489</v>
      </c>
      <c r="K71" s="392">
        <f t="shared" si="147"/>
        <v>0.188601876675473</v>
      </c>
      <c r="L71" s="392">
        <f t="shared" si="147"/>
        <v>-0.44857369840563</v>
      </c>
      <c r="M71" s="392">
        <f t="shared" si="147"/>
        <v>2.01402062212737</v>
      </c>
      <c r="N71" s="392">
        <f t="shared" si="147"/>
        <v>1.15095516128335</v>
      </c>
      <c r="O71" s="392">
        <f t="shared" si="147"/>
        <v>0.307195976474447</v>
      </c>
      <c r="P71" s="392">
        <f t="shared" si="147"/>
        <v>0.191082210206165</v>
      </c>
      <c r="Q71" s="392">
        <f t="shared" si="147"/>
        <v>-0.160662241928797</v>
      </c>
      <c r="R71" s="392">
        <f t="shared" si="147"/>
        <v>3.05907029848959</v>
      </c>
      <c r="S71" s="392">
        <f t="shared" si="147"/>
        <v>2.32662415779987</v>
      </c>
      <c r="T71" s="392">
        <f t="shared" si="147"/>
        <v>1.17561108896608</v>
      </c>
      <c r="U71" s="392">
        <f t="shared" si="147"/>
        <v>0.457786005859736</v>
      </c>
      <c r="V71" s="392">
        <f t="shared" si="147"/>
        <v>0.151294082309748</v>
      </c>
      <c r="W71" s="303"/>
      <c r="X71" s="392"/>
      <c r="Y71" s="392"/>
      <c r="Z71" s="392"/>
      <c r="AA71" s="417" t="str">
        <f>IF(ISERROR(AA20/#REF!-1),"",AA20/#REF!-1)</f>
        <v/>
      </c>
      <c r="AB71" s="392" t="str">
        <f t="shared" ref="AB71:CA71" si="148">IF(ISERROR(AB20/X20-1),"",AB20/X20-1)</f>
        <v/>
      </c>
      <c r="AC71" s="392" t="str">
        <f t="shared" si="148"/>
        <v/>
      </c>
      <c r="AD71" s="392" t="str">
        <f t="shared" si="148"/>
        <v/>
      </c>
      <c r="AE71" s="417" t="str">
        <f t="shared" si="148"/>
        <v/>
      </c>
      <c r="AF71" s="392">
        <f t="shared" si="148"/>
        <v>-0.1624887752184</v>
      </c>
      <c r="AG71" s="392">
        <f t="shared" si="148"/>
        <v>0.110313337629718</v>
      </c>
      <c r="AH71" s="392">
        <f t="shared" si="148"/>
        <v>0.411688472234398</v>
      </c>
      <c r="AI71" s="417">
        <f t="shared" si="148"/>
        <v>0.0309500736574535</v>
      </c>
      <c r="AJ71" s="392">
        <f t="shared" si="148"/>
        <v>0.346611999673665</v>
      </c>
      <c r="AK71" s="392">
        <f t="shared" si="148"/>
        <v>0.22628689499552</v>
      </c>
      <c r="AL71" s="392">
        <f t="shared" si="148"/>
        <v>0.172924843669572</v>
      </c>
      <c r="AM71" s="417">
        <f t="shared" si="148"/>
        <v>-0.603489985112332</v>
      </c>
      <c r="AN71" s="392">
        <f t="shared" si="148"/>
        <v>-0.92532335052353</v>
      </c>
      <c r="AO71" s="392">
        <f t="shared" si="148"/>
        <v>-1.23609547782494</v>
      </c>
      <c r="AP71" s="392">
        <f t="shared" si="148"/>
        <v>-0.61449232322845</v>
      </c>
      <c r="AQ71" s="417">
        <f t="shared" si="148"/>
        <v>1.96925118768082</v>
      </c>
      <c r="AR71" s="392">
        <f t="shared" si="148"/>
        <v>16.420634786596</v>
      </c>
      <c r="AS71" s="392">
        <f t="shared" si="148"/>
        <v>-5.79867965664303</v>
      </c>
      <c r="AT71" s="392">
        <f t="shared" si="148"/>
        <v>2.90735842029728</v>
      </c>
      <c r="AU71" s="417">
        <f t="shared" si="148"/>
        <v>2.03065059368823</v>
      </c>
      <c r="AV71" s="392">
        <f t="shared" si="148"/>
        <v>0.595827741884706</v>
      </c>
      <c r="AW71" s="392">
        <f t="shared" si="148"/>
        <v>2.68829327611017</v>
      </c>
      <c r="AX71" s="392">
        <f t="shared" si="148"/>
        <v>1.92658785477356</v>
      </c>
      <c r="AY71" s="417">
        <f t="shared" si="148"/>
        <v>0.438444260519075</v>
      </c>
      <c r="AZ71" s="392">
        <f t="shared" si="148"/>
        <v>1.30943119277563</v>
      </c>
      <c r="BA71" s="392">
        <f t="shared" si="148"/>
        <v>0.407814326309464</v>
      </c>
      <c r="BB71" s="392">
        <f t="shared" si="148"/>
        <v>-0.293152441685064</v>
      </c>
      <c r="BC71" s="417">
        <f t="shared" si="148"/>
        <v>0.438537734783036</v>
      </c>
      <c r="BD71" s="392">
        <f t="shared" si="148"/>
        <v>0.229432760940709</v>
      </c>
      <c r="BE71" s="392">
        <f t="shared" si="148"/>
        <v>-0.28232950586999</v>
      </c>
      <c r="BF71" s="392">
        <f t="shared" si="148"/>
        <v>1.03832090122283</v>
      </c>
      <c r="BG71" s="417">
        <f t="shared" si="148"/>
        <v>0.131632882958623</v>
      </c>
      <c r="BH71" s="392">
        <f t="shared" si="148"/>
        <v>-0.250707581367342</v>
      </c>
      <c r="BI71" s="392">
        <f t="shared" si="148"/>
        <v>-0.335578344394267</v>
      </c>
      <c r="BJ71" s="392">
        <f t="shared" si="148"/>
        <v>-0.522217900824779</v>
      </c>
      <c r="BK71" s="417">
        <f t="shared" si="148"/>
        <v>0.256595139152309</v>
      </c>
      <c r="BL71" s="392">
        <f t="shared" si="148"/>
        <v>1.49960092161719</v>
      </c>
      <c r="BM71" s="392">
        <f t="shared" si="148"/>
        <v>3.84252359659687</v>
      </c>
      <c r="BN71" s="392">
        <f t="shared" si="148"/>
        <v>5.71949294648856</v>
      </c>
      <c r="BO71" s="417">
        <f t="shared" si="148"/>
        <v>3.36608390271009</v>
      </c>
      <c r="BP71" s="392">
        <f t="shared" si="148"/>
        <v>3.83012525788053</v>
      </c>
      <c r="BQ71" s="392">
        <f t="shared" si="148"/>
        <v>3.65263429439064</v>
      </c>
      <c r="BR71" s="392">
        <f t="shared" si="148"/>
        <v>1.97405490193137</v>
      </c>
      <c r="BS71" s="417">
        <f t="shared" si="148"/>
        <v>1.81447066295918</v>
      </c>
      <c r="BT71" s="392">
        <f t="shared" si="148"/>
        <v>1.18801355279445</v>
      </c>
      <c r="BU71" s="392">
        <f t="shared" si="148"/>
        <v>0.933266467470927</v>
      </c>
      <c r="BV71" s="392">
        <f t="shared" si="148"/>
        <v>1.71874110444506</v>
      </c>
      <c r="BW71" s="417">
        <f t="shared" si="148"/>
        <v>1.02870748129978</v>
      </c>
      <c r="BX71" s="392">
        <f t="shared" si="148"/>
        <v>0.731075191451876</v>
      </c>
      <c r="BY71" s="392">
        <f t="shared" si="148"/>
        <v>0.519666602203013</v>
      </c>
      <c r="BZ71" s="392">
        <f t="shared" si="148"/>
        <v>0.488203817249866</v>
      </c>
      <c r="CA71" s="417">
        <f t="shared" si="148"/>
        <v>0.255870737883875</v>
      </c>
      <c r="CB71" s="392">
        <f t="shared" ref="CB71" si="149">IF(ISERROR(CB20/BX20-1),"",CB20/BX20-1)</f>
        <v>-0.101545381680902</v>
      </c>
      <c r="CC71" s="392">
        <f t="shared" ref="CC71" si="150">IF(ISERROR(CC20/BY20-1),"",CC20/BY20-1)</f>
        <v>0.163767241344206</v>
      </c>
      <c r="CD71" s="392">
        <f t="shared" ref="CD71" si="151">IF(ISERROR(CD20/BZ20-1),"",CD20/BZ20-1)</f>
        <v>0.23872514351106</v>
      </c>
      <c r="CE71" s="417">
        <f t="shared" ref="CE71" si="152">IF(ISERROR(CE20/CA20-1),"",CE20/CA20-1)</f>
        <v>0.215638727208141</v>
      </c>
      <c r="CF71" s="392"/>
      <c r="CG71" s="392"/>
      <c r="CH71" s="392"/>
      <c r="CI71" s="392"/>
      <c r="CJ71" s="392"/>
      <c r="CK71" s="392"/>
      <c r="CL71" s="392"/>
      <c r="CM71" s="392"/>
      <c r="CN71" s="392"/>
      <c r="CO71" s="392"/>
      <c r="CP71" s="392"/>
      <c r="CQ71" s="392"/>
      <c r="CR71" s="392"/>
      <c r="CS71" s="392"/>
      <c r="CT71" s="392"/>
      <c r="CU71" s="392"/>
      <c r="CV71" s="392"/>
      <c r="CW71" s="392"/>
      <c r="CX71" s="392"/>
      <c r="CY71" s="392"/>
      <c r="CZ71" s="392"/>
      <c r="DA71" s="392"/>
      <c r="DB71" s="392"/>
      <c r="DC71" s="392"/>
      <c r="DD71" s="392"/>
      <c r="DE71" s="392"/>
      <c r="DF71" s="392"/>
      <c r="DG71" s="392"/>
      <c r="DH71" s="392"/>
      <c r="DI71" s="392"/>
      <c r="DJ71" s="392"/>
      <c r="DK71" s="392"/>
      <c r="DL71" s="392"/>
      <c r="DM71" s="392"/>
      <c r="DN71" s="392"/>
      <c r="DO71" s="392"/>
      <c r="DP71" s="392"/>
    </row>
    <row r="72" spans="1:120">
      <c r="A72" s="258"/>
      <c r="B72" s="253" t="s">
        <v>107</v>
      </c>
      <c r="C72" s="392"/>
      <c r="D72" s="392"/>
      <c r="E72" s="392" t="str">
        <f t="shared" ref="E72:V72" si="153">IF(ISERROR(E43/D43-1)," ",(E43/D43-1))</f>
        <v> </v>
      </c>
      <c r="F72" s="392">
        <f t="shared" si="153"/>
        <v>0.182086788751974</v>
      </c>
      <c r="G72" s="392">
        <f t="shared" si="153"/>
        <v>0.197755290994257</v>
      </c>
      <c r="H72" s="392">
        <f t="shared" si="153"/>
        <v>0.170157927279293</v>
      </c>
      <c r="I72" s="392">
        <f t="shared" si="153"/>
        <v>0.0246949959303895</v>
      </c>
      <c r="J72" s="392">
        <f t="shared" si="153"/>
        <v>0.0887081964673735</v>
      </c>
      <c r="K72" s="392">
        <f t="shared" si="153"/>
        <v>0.0399409259362149</v>
      </c>
      <c r="L72" s="392">
        <f t="shared" si="153"/>
        <v>-0.665000094585367</v>
      </c>
      <c r="M72" s="392">
        <f t="shared" si="153"/>
        <v>4.97627716711516</v>
      </c>
      <c r="N72" s="392">
        <f t="shared" si="153"/>
        <v>1.24787932619903</v>
      </c>
      <c r="O72" s="392">
        <f t="shared" si="153"/>
        <v>0.295319782480269</v>
      </c>
      <c r="P72" s="392">
        <f t="shared" si="153"/>
        <v>0.176487497830836</v>
      </c>
      <c r="Q72" s="392">
        <f t="shared" si="153"/>
        <v>-0.211413155979876</v>
      </c>
      <c r="R72" s="392">
        <f t="shared" si="153"/>
        <v>3.49274775750337</v>
      </c>
      <c r="S72" s="392">
        <f t="shared" si="153"/>
        <v>2.4266210921055</v>
      </c>
      <c r="T72" s="392">
        <f t="shared" si="153"/>
        <v>1.19718651481154</v>
      </c>
      <c r="U72" s="392">
        <f t="shared" si="153"/>
        <v>0.459708520233267</v>
      </c>
      <c r="V72" s="392">
        <f t="shared" si="153"/>
        <v>0.149607082636039</v>
      </c>
      <c r="W72" s="303"/>
      <c r="X72" s="392"/>
      <c r="Y72" s="392"/>
      <c r="Z72" s="392"/>
      <c r="AA72" s="417" t="str">
        <f>IF(ISERROR(AA43/#REF!-1)," ",(AA43/#REF!-1))</f>
        <v> </v>
      </c>
      <c r="AB72" s="392" t="str">
        <f t="shared" ref="AB72:CA72" si="154">IF(ISERROR(AB43/X43-1)," ",(AB43/X43-1))</f>
        <v> </v>
      </c>
      <c r="AC72" s="392" t="str">
        <f t="shared" si="154"/>
        <v> </v>
      </c>
      <c r="AD72" s="392" t="str">
        <f t="shared" si="154"/>
        <v> </v>
      </c>
      <c r="AE72" s="417" t="str">
        <f t="shared" si="154"/>
        <v> </v>
      </c>
      <c r="AF72" s="392">
        <f t="shared" si="154"/>
        <v>-0.1624887752184</v>
      </c>
      <c r="AG72" s="392">
        <f t="shared" si="154"/>
        <v>0.110313337629718</v>
      </c>
      <c r="AH72" s="392">
        <f t="shared" si="154"/>
        <v>0.411688472234398</v>
      </c>
      <c r="AI72" s="417">
        <f t="shared" si="154"/>
        <v>0.0309500736574535</v>
      </c>
      <c r="AJ72" s="392">
        <f t="shared" si="154"/>
        <v>0.346611999673665</v>
      </c>
      <c r="AK72" s="392">
        <f t="shared" si="154"/>
        <v>0.22628689499552</v>
      </c>
      <c r="AL72" s="392">
        <f t="shared" si="154"/>
        <v>0.172924843669572</v>
      </c>
      <c r="AM72" s="417">
        <f t="shared" si="154"/>
        <v>-0.603489985112332</v>
      </c>
      <c r="AN72" s="392">
        <f t="shared" si="154"/>
        <v>-0.92532335052353</v>
      </c>
      <c r="AO72" s="392">
        <f t="shared" si="154"/>
        <v>-1.23609547782494</v>
      </c>
      <c r="AP72" s="392">
        <f t="shared" si="154"/>
        <v>-0.61449232322845</v>
      </c>
      <c r="AQ72" s="417">
        <f t="shared" si="154"/>
        <v>1.96925118768082</v>
      </c>
      <c r="AR72" s="392">
        <f t="shared" si="154"/>
        <v>16.420634786596</v>
      </c>
      <c r="AS72" s="392">
        <f t="shared" si="154"/>
        <v>-5.79867965664303</v>
      </c>
      <c r="AT72" s="392">
        <f t="shared" si="154"/>
        <v>2.90735842029728</v>
      </c>
      <c r="AU72" s="417">
        <f t="shared" si="154"/>
        <v>2.03065059368823</v>
      </c>
      <c r="AV72" s="392">
        <f t="shared" si="154"/>
        <v>0.595827741884706</v>
      </c>
      <c r="AW72" s="392">
        <f t="shared" si="154"/>
        <v>2.68829327611017</v>
      </c>
      <c r="AX72" s="392">
        <f t="shared" si="154"/>
        <v>1.92658785477356</v>
      </c>
      <c r="AY72" s="417">
        <f t="shared" si="154"/>
        <v>0.438444260519075</v>
      </c>
      <c r="AZ72" s="392">
        <f t="shared" si="154"/>
        <v>1.30943119277563</v>
      </c>
      <c r="BA72" s="392">
        <f t="shared" si="154"/>
        <v>0.407814326309464</v>
      </c>
      <c r="BB72" s="392">
        <f t="shared" si="154"/>
        <v>-0.293152441685064</v>
      </c>
      <c r="BC72" s="417">
        <f t="shared" si="154"/>
        <v>0.438537734783036</v>
      </c>
      <c r="BD72" s="392">
        <f t="shared" si="154"/>
        <v>0.229432760940709</v>
      </c>
      <c r="BE72" s="392">
        <f t="shared" si="154"/>
        <v>-0.28232950586999</v>
      </c>
      <c r="BF72" s="392">
        <f t="shared" si="154"/>
        <v>1.03832090122283</v>
      </c>
      <c r="BG72" s="417">
        <f t="shared" si="154"/>
        <v>0.131632882958623</v>
      </c>
      <c r="BH72" s="392">
        <f t="shared" si="154"/>
        <v>-0.250707581367342</v>
      </c>
      <c r="BI72" s="392">
        <f t="shared" si="154"/>
        <v>-0.335578344394267</v>
      </c>
      <c r="BJ72" s="392">
        <f t="shared" si="154"/>
        <v>-0.522217900824779</v>
      </c>
      <c r="BK72" s="417">
        <f t="shared" si="154"/>
        <v>0.256595139152309</v>
      </c>
      <c r="BL72" s="392">
        <f t="shared" si="154"/>
        <v>1.49960092161719</v>
      </c>
      <c r="BM72" s="392">
        <f t="shared" si="154"/>
        <v>3.84252359659687</v>
      </c>
      <c r="BN72" s="392">
        <f t="shared" si="154"/>
        <v>5.71949294648856</v>
      </c>
      <c r="BO72" s="417">
        <f t="shared" si="154"/>
        <v>3.36608390271009</v>
      </c>
      <c r="BP72" s="392">
        <f t="shared" si="154"/>
        <v>3.83012525788053</v>
      </c>
      <c r="BQ72" s="392">
        <f t="shared" si="154"/>
        <v>3.65263429439064</v>
      </c>
      <c r="BR72" s="392">
        <f t="shared" si="154"/>
        <v>1.97405490193137</v>
      </c>
      <c r="BS72" s="417">
        <f t="shared" si="154"/>
        <v>1.81447066295918</v>
      </c>
      <c r="BT72" s="392">
        <f t="shared" si="154"/>
        <v>1.18801355279445</v>
      </c>
      <c r="BU72" s="392">
        <f t="shared" si="154"/>
        <v>0.933266467470927</v>
      </c>
      <c r="BV72" s="392">
        <f t="shared" si="154"/>
        <v>1.71874110444506</v>
      </c>
      <c r="BW72" s="417">
        <f t="shared" si="154"/>
        <v>1.02870748129978</v>
      </c>
      <c r="BX72" s="392">
        <f t="shared" si="154"/>
        <v>0.731075191451876</v>
      </c>
      <c r="BY72" s="392">
        <f t="shared" si="154"/>
        <v>0.519666602203013</v>
      </c>
      <c r="BZ72" s="392">
        <f t="shared" si="154"/>
        <v>0.488203817249866</v>
      </c>
      <c r="CA72" s="417">
        <f t="shared" si="154"/>
        <v>0.255870737883875</v>
      </c>
      <c r="CB72" s="392">
        <f t="shared" ref="CB72" si="155">IF(ISERROR(CB43/BX43-1)," ",(CB43/BX43-1))</f>
        <v>-0.101545381680902</v>
      </c>
      <c r="CC72" s="392">
        <f t="shared" ref="CC72" si="156">IF(ISERROR(CC43/BY43-1)," ",(CC43/BY43-1))</f>
        <v>0.163767241344206</v>
      </c>
      <c r="CD72" s="392">
        <f t="shared" ref="CD72" si="157">IF(ISERROR(CD43/BZ43-1)," ",(CD43/BZ43-1))</f>
        <v>0.23872514351106</v>
      </c>
      <c r="CE72" s="417">
        <f t="shared" ref="CE72" si="158">IF(ISERROR(CE43/CA43-1)," ",(CE43/CA43-1))</f>
        <v>0.215638727208141</v>
      </c>
      <c r="CF72" s="392"/>
      <c r="CG72" s="392"/>
      <c r="CH72" s="392"/>
      <c r="CI72" s="392"/>
      <c r="CJ72" s="392"/>
      <c r="CK72" s="392"/>
      <c r="CL72" s="392"/>
      <c r="CM72" s="392"/>
      <c r="CN72" s="392"/>
      <c r="CO72" s="392"/>
      <c r="CP72" s="392"/>
      <c r="CQ72" s="392"/>
      <c r="CR72" s="392"/>
      <c r="CS72" s="392"/>
      <c r="CT72" s="392"/>
      <c r="CU72" s="392"/>
      <c r="CV72" s="392"/>
      <c r="CW72" s="392"/>
      <c r="CX72" s="392"/>
      <c r="CY72" s="392"/>
      <c r="CZ72" s="392"/>
      <c r="DA72" s="392"/>
      <c r="DB72" s="392"/>
      <c r="DC72" s="392"/>
      <c r="DD72" s="392"/>
      <c r="DE72" s="392"/>
      <c r="DF72" s="392"/>
      <c r="DG72" s="392"/>
      <c r="DH72" s="392"/>
      <c r="DI72" s="392"/>
      <c r="DJ72" s="392"/>
      <c r="DK72" s="392"/>
      <c r="DL72" s="392"/>
      <c r="DM72" s="392"/>
      <c r="DN72" s="392"/>
      <c r="DO72" s="392"/>
      <c r="DP72" s="392"/>
    </row>
    <row r="73" spans="1:120">
      <c r="A73" s="258"/>
      <c r="B73" s="253" t="s">
        <v>597</v>
      </c>
      <c r="C73" s="392"/>
      <c r="D73" s="392"/>
      <c r="E73" s="392" t="e">
        <f t="shared" ref="E73:V73" si="159">E48/D48-1</f>
        <v>#DIV/0!</v>
      </c>
      <c r="F73" s="392">
        <f t="shared" si="159"/>
        <v>0.189473684210526</v>
      </c>
      <c r="G73" s="392">
        <f t="shared" si="159"/>
        <v>0.20353982300885</v>
      </c>
      <c r="H73" s="392">
        <f t="shared" si="159"/>
        <v>0.169117647058823</v>
      </c>
      <c r="I73" s="392">
        <f t="shared" si="159"/>
        <v>0.0185123085588541</v>
      </c>
      <c r="J73" s="392">
        <f t="shared" si="159"/>
        <v>-0.104625758696077</v>
      </c>
      <c r="K73" s="392">
        <f t="shared" si="159"/>
        <v>-0.494758620689655</v>
      </c>
      <c r="L73" s="392">
        <f t="shared" si="159"/>
        <v>-0.817908817908818</v>
      </c>
      <c r="M73" s="392">
        <f t="shared" si="159"/>
        <v>5.72863568215892</v>
      </c>
      <c r="N73" s="392">
        <f t="shared" si="159"/>
        <v>0.687277183600713</v>
      </c>
      <c r="O73" s="392">
        <f t="shared" si="159"/>
        <v>-0.342545866151016</v>
      </c>
      <c r="P73" s="392">
        <f t="shared" si="159"/>
        <v>0.27819225251076</v>
      </c>
      <c r="Q73" s="392">
        <f t="shared" si="159"/>
        <v>-0.421682287839222</v>
      </c>
      <c r="R73" s="392">
        <f t="shared" si="159"/>
        <v>2.87931663398534</v>
      </c>
      <c r="S73" s="392">
        <f t="shared" si="159"/>
        <v>2.36000100761005</v>
      </c>
      <c r="T73" s="392">
        <f t="shared" si="159"/>
        <v>1.16891960621486</v>
      </c>
      <c r="U73" s="392">
        <f t="shared" si="159"/>
        <v>0.454328511384789</v>
      </c>
      <c r="V73" s="392">
        <f t="shared" si="159"/>
        <v>0.149467818958514</v>
      </c>
      <c r="W73" s="303"/>
      <c r="X73" s="392"/>
      <c r="Y73" s="392"/>
      <c r="Z73" s="392"/>
      <c r="AA73" s="417"/>
      <c r="AB73" s="392"/>
      <c r="AC73" s="392"/>
      <c r="AD73" s="392"/>
      <c r="AE73" s="417"/>
      <c r="AF73" s="392"/>
      <c r="AG73" s="392"/>
      <c r="AH73" s="392"/>
      <c r="AI73" s="417"/>
      <c r="AJ73" s="392"/>
      <c r="AK73" s="392"/>
      <c r="AL73" s="392">
        <f t="shared" ref="AL73:CA73" si="160">AL48/AH48-1</f>
        <v>-0.646474436636782</v>
      </c>
      <c r="AM73" s="417">
        <f t="shared" si="160"/>
        <v>-0.809389671361502</v>
      </c>
      <c r="AN73" s="392">
        <f t="shared" si="160"/>
        <v>-1.03974025974026</v>
      </c>
      <c r="AO73" s="392">
        <f t="shared" si="160"/>
        <v>-1.34375</v>
      </c>
      <c r="AP73" s="392">
        <f t="shared" si="160"/>
        <v>-0.408498971898561</v>
      </c>
      <c r="AQ73" s="417">
        <f t="shared" si="160"/>
        <v>0.819376026272578</v>
      </c>
      <c r="AR73" s="392">
        <f t="shared" si="160"/>
        <v>-9.88888888888889</v>
      </c>
      <c r="AS73" s="392">
        <f t="shared" si="160"/>
        <v>-5.18388429752066</v>
      </c>
      <c r="AT73" s="392">
        <f t="shared" si="160"/>
        <v>1.56431054461182</v>
      </c>
      <c r="AU73" s="417">
        <f t="shared" si="160"/>
        <v>2.04873646209386</v>
      </c>
      <c r="AV73" s="392">
        <f t="shared" si="160"/>
        <v>0.747794117647059</v>
      </c>
      <c r="AW73" s="392">
        <f t="shared" si="160"/>
        <v>1.01382716049383</v>
      </c>
      <c r="AX73" s="392">
        <f t="shared" si="160"/>
        <v>1.05648441030276</v>
      </c>
      <c r="AY73" s="417">
        <f t="shared" si="160"/>
        <v>0.225281231497928</v>
      </c>
      <c r="AZ73" s="392">
        <f t="shared" si="160"/>
        <v>-0.0675521365466673</v>
      </c>
      <c r="BA73" s="392">
        <f t="shared" si="160"/>
        <v>-0.272577594058712</v>
      </c>
      <c r="BB73" s="392">
        <f t="shared" si="160"/>
        <v>-0.560850048654927</v>
      </c>
      <c r="BC73" s="417">
        <f t="shared" si="160"/>
        <v>-0.329375625582439</v>
      </c>
      <c r="BD73" s="392">
        <f t="shared" si="160"/>
        <v>-0.158556235900741</v>
      </c>
      <c r="BE73" s="392">
        <f t="shared" si="160"/>
        <v>0.56055863231399</v>
      </c>
      <c r="BF73" s="392">
        <f t="shared" si="160"/>
        <v>1.12401715511079</v>
      </c>
      <c r="BG73" s="417">
        <f t="shared" si="160"/>
        <v>-0.283839423571796</v>
      </c>
      <c r="BH73" s="392">
        <f t="shared" si="160"/>
        <v>-0.185369590195328</v>
      </c>
      <c r="BI73" s="392">
        <f t="shared" si="160"/>
        <v>-0.607622280512267</v>
      </c>
      <c r="BJ73" s="392">
        <f t="shared" si="160"/>
        <v>-0.665326343887434</v>
      </c>
      <c r="BK73" s="417">
        <f t="shared" si="160"/>
        <v>0.309917160260064</v>
      </c>
      <c r="BL73" s="392">
        <f t="shared" si="160"/>
        <v>1.14930606527448</v>
      </c>
      <c r="BM73" s="392">
        <f t="shared" si="160"/>
        <v>1.99452361174473</v>
      </c>
      <c r="BN73" s="392">
        <f t="shared" si="160"/>
        <v>4.53072529513596</v>
      </c>
      <c r="BO73" s="417">
        <f t="shared" si="160"/>
        <v>3.60491438808274</v>
      </c>
      <c r="BP73" s="392">
        <f t="shared" si="160"/>
        <v>3.84539101732811</v>
      </c>
      <c r="BQ73" s="392">
        <f t="shared" si="160"/>
        <v>3.39039941886228</v>
      </c>
      <c r="BR73" s="392">
        <f t="shared" si="160"/>
        <v>2.0534866615573</v>
      </c>
      <c r="BS73" s="417">
        <f t="shared" si="160"/>
        <v>1.68893411056625</v>
      </c>
      <c r="BT73" s="392">
        <f t="shared" si="160"/>
        <v>0.763990856695008</v>
      </c>
      <c r="BU73" s="392">
        <f t="shared" si="160"/>
        <v>0.958618845458835</v>
      </c>
      <c r="BV73" s="392">
        <f t="shared" si="160"/>
        <v>1.66343175939776</v>
      </c>
      <c r="BW73" s="417">
        <f t="shared" si="160"/>
        <v>1.1554092574784</v>
      </c>
      <c r="BX73" s="392">
        <f t="shared" si="160"/>
        <v>1.0966604494561</v>
      </c>
      <c r="BY73" s="392">
        <f t="shared" si="160"/>
        <v>0.461682058453986</v>
      </c>
      <c r="BZ73" s="392">
        <f t="shared" si="160"/>
        <v>0.436413027638411</v>
      </c>
      <c r="CA73" s="417">
        <f t="shared" si="160"/>
        <v>0.207887158810234</v>
      </c>
      <c r="CB73" s="392">
        <f t="shared" ref="CB73" si="161">CB48/BX48-1</f>
        <v>-0.101423175567833</v>
      </c>
      <c r="CC73" s="392">
        <f t="shared" ref="CC73" si="162">CC48/BY48-1</f>
        <v>0.163598548047558</v>
      </c>
      <c r="CD73" s="392">
        <f t="shared" ref="CD73" si="163">CD48/BZ48-1</f>
        <v>0.238541986456297</v>
      </c>
      <c r="CE73" s="417">
        <f t="shared" ref="CE73" si="164">CE48/CA48-1</f>
        <v>0.215457816753836</v>
      </c>
      <c r="CF73" s="392"/>
      <c r="CG73" s="392"/>
      <c r="CH73" s="392"/>
      <c r="CI73" s="392"/>
      <c r="CJ73" s="392"/>
      <c r="CK73" s="392"/>
      <c r="CL73" s="392"/>
      <c r="CM73" s="392"/>
      <c r="CN73" s="392"/>
      <c r="CO73" s="392"/>
      <c r="CP73" s="392"/>
      <c r="CQ73" s="392"/>
      <c r="CR73" s="392"/>
      <c r="CS73" s="392"/>
      <c r="CT73" s="392"/>
      <c r="CU73" s="392"/>
      <c r="CV73" s="392"/>
      <c r="CW73" s="392"/>
      <c r="CX73" s="392"/>
      <c r="CY73" s="392"/>
      <c r="CZ73" s="392"/>
      <c r="DA73" s="392"/>
      <c r="DB73" s="392"/>
      <c r="DC73" s="392"/>
      <c r="DD73" s="392"/>
      <c r="DE73" s="392"/>
      <c r="DF73" s="392"/>
      <c r="DG73" s="392"/>
      <c r="DH73" s="392"/>
      <c r="DI73" s="392"/>
      <c r="DJ73" s="392"/>
      <c r="DK73" s="392"/>
      <c r="DL73" s="392"/>
      <c r="DM73" s="392"/>
      <c r="DN73" s="392"/>
      <c r="DO73" s="392"/>
      <c r="DP73" s="392"/>
    </row>
    <row r="74" spans="1:120">
      <c r="A74" s="261"/>
      <c r="B74" s="281"/>
      <c r="C74" s="253"/>
      <c r="D74" s="253"/>
      <c r="E74" s="253"/>
      <c r="F74" s="253"/>
      <c r="G74" s="253"/>
      <c r="H74" s="253"/>
      <c r="I74" s="253"/>
      <c r="J74" s="253"/>
      <c r="K74" s="253"/>
      <c r="L74" s="253"/>
      <c r="M74" s="253"/>
      <c r="N74" s="253"/>
      <c r="O74" s="253"/>
      <c r="P74" s="253"/>
      <c r="Q74" s="253"/>
      <c r="R74" s="253"/>
      <c r="S74" s="253"/>
      <c r="T74" s="253"/>
      <c r="U74" s="253"/>
      <c r="V74" s="253"/>
      <c r="W74" s="302"/>
      <c r="X74" s="253"/>
      <c r="Y74" s="253"/>
      <c r="Z74" s="253"/>
      <c r="AA74" s="316"/>
      <c r="AB74" s="253"/>
      <c r="AC74" s="253"/>
      <c r="AD74" s="253"/>
      <c r="AE74" s="316"/>
      <c r="AF74" s="253"/>
      <c r="AG74" s="253"/>
      <c r="AH74" s="253"/>
      <c r="AI74" s="316"/>
      <c r="AJ74" s="253"/>
      <c r="AK74" s="253"/>
      <c r="AL74" s="253"/>
      <c r="AM74" s="316"/>
      <c r="AN74" s="253"/>
      <c r="AO74" s="253"/>
      <c r="AP74" s="253"/>
      <c r="AQ74" s="316"/>
      <c r="AR74" s="253"/>
      <c r="AS74" s="253"/>
      <c r="AT74" s="253"/>
      <c r="AU74" s="316"/>
      <c r="AV74" s="253"/>
      <c r="AW74" s="253"/>
      <c r="AX74" s="253"/>
      <c r="AY74" s="316"/>
      <c r="AZ74" s="253"/>
      <c r="BA74" s="253"/>
      <c r="BB74" s="253"/>
      <c r="BC74" s="316"/>
      <c r="BD74" s="253"/>
      <c r="BE74" s="253"/>
      <c r="BF74" s="253"/>
      <c r="BG74" s="316"/>
      <c r="BH74" s="253"/>
      <c r="BI74" s="253"/>
      <c r="BJ74" s="253"/>
      <c r="BK74" s="316"/>
      <c r="BL74" s="253"/>
      <c r="BM74" s="253"/>
      <c r="BN74" s="253"/>
      <c r="BO74" s="316"/>
      <c r="BP74" s="253"/>
      <c r="BQ74" s="253"/>
      <c r="BR74" s="253"/>
      <c r="BS74" s="316"/>
      <c r="BT74" s="253"/>
      <c r="BU74" s="253"/>
      <c r="BV74" s="253"/>
      <c r="BW74" s="316"/>
      <c r="BX74" s="253"/>
      <c r="BY74" s="253"/>
      <c r="BZ74" s="253"/>
      <c r="CA74" s="316"/>
      <c r="CB74" s="253"/>
      <c r="CC74" s="253"/>
      <c r="CD74" s="253"/>
      <c r="CE74" s="316"/>
      <c r="CF74" s="253"/>
      <c r="CG74" s="253"/>
      <c r="CH74" s="253"/>
      <c r="CI74" s="253"/>
      <c r="CJ74" s="253"/>
      <c r="CK74" s="253"/>
      <c r="CL74" s="253"/>
      <c r="CM74" s="253"/>
      <c r="CN74" s="253"/>
      <c r="CO74" s="253"/>
      <c r="CP74" s="253"/>
      <c r="CQ74" s="253"/>
      <c r="CR74" s="253"/>
      <c r="CS74" s="253"/>
      <c r="CT74" s="253"/>
      <c r="CU74" s="253"/>
      <c r="CV74" s="253"/>
      <c r="CW74" s="253"/>
      <c r="CX74" s="253"/>
      <c r="CY74" s="253"/>
      <c r="CZ74" s="253"/>
      <c r="DA74" s="253"/>
      <c r="DB74" s="253"/>
      <c r="DC74" s="253"/>
      <c r="DD74" s="253"/>
      <c r="DE74" s="253"/>
      <c r="DF74" s="253"/>
      <c r="DG74" s="253"/>
      <c r="DH74" s="253"/>
      <c r="DI74" s="253"/>
      <c r="DJ74" s="253"/>
      <c r="DK74" s="253"/>
      <c r="DL74" s="253"/>
      <c r="DM74" s="253"/>
      <c r="DN74" s="253"/>
      <c r="DO74" s="253"/>
      <c r="DP74" s="253"/>
    </row>
    <row r="75" spans="1:120">
      <c r="A75" s="248"/>
      <c r="B75" s="245" t="s">
        <v>729</v>
      </c>
      <c r="C75" s="247"/>
      <c r="D75" s="247"/>
      <c r="E75" s="247">
        <f t="shared" ref="E75:U75" si="165">E4</f>
        <v>2011</v>
      </c>
      <c r="F75" s="247">
        <f t="shared" si="165"/>
        <v>2012</v>
      </c>
      <c r="G75" s="247">
        <f t="shared" si="165"/>
        <v>2013</v>
      </c>
      <c r="H75" s="247">
        <f t="shared" si="165"/>
        <v>2014</v>
      </c>
      <c r="I75" s="247">
        <f t="shared" si="165"/>
        <v>2015</v>
      </c>
      <c r="J75" s="247">
        <f t="shared" si="165"/>
        <v>2016</v>
      </c>
      <c r="K75" s="247">
        <f t="shared" si="165"/>
        <v>2017</v>
      </c>
      <c r="L75" s="247">
        <f t="shared" si="165"/>
        <v>2018</v>
      </c>
      <c r="M75" s="247">
        <f t="shared" si="165"/>
        <v>2019</v>
      </c>
      <c r="N75" s="247">
        <f t="shared" si="165"/>
        <v>2020</v>
      </c>
      <c r="O75" s="247">
        <f t="shared" si="165"/>
        <v>2021</v>
      </c>
      <c r="P75" s="247">
        <f t="shared" si="165"/>
        <v>2022</v>
      </c>
      <c r="Q75" s="296">
        <f t="shared" si="165"/>
        <v>2023</v>
      </c>
      <c r="R75" s="296">
        <f t="shared" si="165"/>
        <v>2024</v>
      </c>
      <c r="S75" s="296">
        <f t="shared" si="165"/>
        <v>2025</v>
      </c>
      <c r="T75" s="296">
        <f t="shared" si="165"/>
        <v>2026</v>
      </c>
      <c r="U75" s="296">
        <f t="shared" si="165"/>
        <v>2027</v>
      </c>
      <c r="V75" s="296">
        <f t="shared" ref="V75" si="166">V4</f>
        <v>2028</v>
      </c>
      <c r="W75" s="300"/>
      <c r="X75" s="247" t="str">
        <f t="shared" ref="X75:BG75" si="167">X4</f>
        <v>1Q14</v>
      </c>
      <c r="Y75" s="247" t="str">
        <f t="shared" si="167"/>
        <v>2Q14</v>
      </c>
      <c r="Z75" s="247" t="str">
        <f t="shared" si="167"/>
        <v>3Q14</v>
      </c>
      <c r="AA75" s="313" t="str">
        <f t="shared" si="167"/>
        <v>4Q14</v>
      </c>
      <c r="AB75" s="247" t="str">
        <f t="shared" si="167"/>
        <v>1Q15</v>
      </c>
      <c r="AC75" s="247" t="str">
        <f t="shared" si="167"/>
        <v>2Q15</v>
      </c>
      <c r="AD75" s="247" t="str">
        <f t="shared" si="167"/>
        <v>3Q15</v>
      </c>
      <c r="AE75" s="313" t="str">
        <f t="shared" si="167"/>
        <v>4Q15</v>
      </c>
      <c r="AF75" s="247" t="str">
        <f t="shared" si="167"/>
        <v>1Q16</v>
      </c>
      <c r="AG75" s="247" t="str">
        <f t="shared" si="167"/>
        <v>2Q16</v>
      </c>
      <c r="AH75" s="247" t="str">
        <f t="shared" si="167"/>
        <v>3Q16</v>
      </c>
      <c r="AI75" s="313" t="str">
        <f t="shared" si="167"/>
        <v>4Q16</v>
      </c>
      <c r="AJ75" s="247" t="str">
        <f t="shared" si="167"/>
        <v>1Q17</v>
      </c>
      <c r="AK75" s="247" t="str">
        <f t="shared" si="167"/>
        <v>2Q17</v>
      </c>
      <c r="AL75" s="247" t="str">
        <f t="shared" si="167"/>
        <v>3Q17</v>
      </c>
      <c r="AM75" s="313" t="str">
        <f t="shared" si="167"/>
        <v>4Q17</v>
      </c>
      <c r="AN75" s="247" t="str">
        <f t="shared" si="167"/>
        <v>1Q18</v>
      </c>
      <c r="AO75" s="247" t="str">
        <f t="shared" si="167"/>
        <v>2Q18</v>
      </c>
      <c r="AP75" s="247" t="str">
        <f t="shared" si="167"/>
        <v>3Q18</v>
      </c>
      <c r="AQ75" s="313" t="str">
        <f t="shared" si="167"/>
        <v>4Q18</v>
      </c>
      <c r="AR75" s="247" t="str">
        <f t="shared" si="167"/>
        <v>1Q19</v>
      </c>
      <c r="AS75" s="247" t="str">
        <f t="shared" si="167"/>
        <v>2Q19</v>
      </c>
      <c r="AT75" s="247" t="str">
        <f t="shared" si="167"/>
        <v>3Q19</v>
      </c>
      <c r="AU75" s="313" t="str">
        <f t="shared" si="167"/>
        <v>4Q19</v>
      </c>
      <c r="AV75" s="247" t="str">
        <f t="shared" si="167"/>
        <v>1Q20</v>
      </c>
      <c r="AW75" s="247" t="str">
        <f t="shared" si="167"/>
        <v>2Q20</v>
      </c>
      <c r="AX75" s="247" t="str">
        <f t="shared" si="167"/>
        <v>3Q20</v>
      </c>
      <c r="AY75" s="313" t="str">
        <f t="shared" si="167"/>
        <v>4Q20</v>
      </c>
      <c r="AZ75" s="247" t="str">
        <f t="shared" si="167"/>
        <v>1Q21</v>
      </c>
      <c r="BA75" s="247" t="str">
        <f t="shared" si="167"/>
        <v>2Q21</v>
      </c>
      <c r="BB75" s="247" t="str">
        <f t="shared" si="167"/>
        <v>3Q21</v>
      </c>
      <c r="BC75" s="530" t="str">
        <f t="shared" si="167"/>
        <v>4Q21</v>
      </c>
      <c r="BD75" s="247" t="str">
        <f t="shared" si="167"/>
        <v>1Q22</v>
      </c>
      <c r="BE75" s="247" t="str">
        <f t="shared" si="167"/>
        <v>2Q22</v>
      </c>
      <c r="BF75" s="247" t="str">
        <f t="shared" si="167"/>
        <v>3Q22</v>
      </c>
      <c r="BG75" s="530" t="str">
        <f t="shared" si="167"/>
        <v>4Q22</v>
      </c>
      <c r="BH75" s="529" t="str">
        <f t="shared" ref="BH75:BS75" si="168">BH4</f>
        <v>1Q23</v>
      </c>
      <c r="BI75" s="529" t="str">
        <f t="shared" si="168"/>
        <v>2Q23</v>
      </c>
      <c r="BJ75" s="529" t="str">
        <f t="shared" si="168"/>
        <v>3Q23</v>
      </c>
      <c r="BK75" s="530" t="str">
        <f t="shared" si="168"/>
        <v>4Q23</v>
      </c>
      <c r="BL75" s="529" t="str">
        <f t="shared" si="168"/>
        <v>1Q24</v>
      </c>
      <c r="BM75" s="529" t="str">
        <f t="shared" si="168"/>
        <v>2Q24</v>
      </c>
      <c r="BN75" s="529" t="str">
        <f t="shared" si="168"/>
        <v>3Q24</v>
      </c>
      <c r="BO75" s="530" t="str">
        <f t="shared" si="168"/>
        <v>4Q24</v>
      </c>
      <c r="BP75" s="529" t="str">
        <f t="shared" si="168"/>
        <v>1Q25</v>
      </c>
      <c r="BQ75" s="532" t="str">
        <f t="shared" si="168"/>
        <v>2Q25</v>
      </c>
      <c r="BR75" s="532" t="str">
        <f t="shared" si="168"/>
        <v>3Q25</v>
      </c>
      <c r="BS75" s="530" t="str">
        <f t="shared" si="168"/>
        <v>4Q25</v>
      </c>
      <c r="BT75" s="529" t="str">
        <f t="shared" ref="BT75:CE75" si="169">BT4</f>
        <v>1Q26</v>
      </c>
      <c r="BU75" s="533" t="str">
        <f t="shared" si="169"/>
        <v>2Q26</v>
      </c>
      <c r="BV75" s="533" t="str">
        <f t="shared" si="169"/>
        <v>3Q26</v>
      </c>
      <c r="BW75" s="533" t="str">
        <f t="shared" si="169"/>
        <v>4Q26</v>
      </c>
      <c r="BX75" s="533" t="str">
        <f t="shared" si="169"/>
        <v>1Q27</v>
      </c>
      <c r="BY75" s="533" t="str">
        <f t="shared" si="169"/>
        <v>2Q27</v>
      </c>
      <c r="BZ75" s="533" t="str">
        <f t="shared" si="169"/>
        <v>3Q27</v>
      </c>
      <c r="CA75" s="533" t="str">
        <f t="shared" si="169"/>
        <v>4Q27</v>
      </c>
      <c r="CB75" s="533" t="str">
        <f t="shared" si="169"/>
        <v>1Q28</v>
      </c>
      <c r="CC75" s="533" t="str">
        <f t="shared" si="169"/>
        <v>2Q28</v>
      </c>
      <c r="CD75" s="533" t="str">
        <f t="shared" si="169"/>
        <v>3Q28</v>
      </c>
      <c r="CE75" s="533" t="str">
        <f t="shared" si="169"/>
        <v>4Q28</v>
      </c>
      <c r="CF75" s="383"/>
      <c r="CG75" s="383"/>
      <c r="CH75" s="283"/>
      <c r="CI75" s="283"/>
      <c r="CJ75" s="283"/>
      <c r="CK75" s="283"/>
      <c r="CL75" s="283"/>
      <c r="CM75" s="283"/>
      <c r="CN75" s="283"/>
      <c r="CO75" s="283"/>
      <c r="CP75" s="283"/>
      <c r="CQ75" s="283"/>
      <c r="CR75" s="283"/>
      <c r="CS75" s="283"/>
      <c r="CT75" s="283"/>
      <c r="CU75" s="301"/>
      <c r="CV75" s="301"/>
      <c r="CW75" s="301"/>
      <c r="CX75" s="301"/>
      <c r="CY75" s="301"/>
      <c r="CZ75" s="301"/>
      <c r="DA75" s="301"/>
      <c r="DB75" s="301"/>
      <c r="DC75" s="301"/>
      <c r="DD75" s="301"/>
      <c r="DE75" s="301"/>
      <c r="DF75" s="301"/>
      <c r="DG75" s="301"/>
      <c r="DH75" s="301"/>
      <c r="DI75" s="301"/>
      <c r="DJ75" s="301"/>
      <c r="DK75" s="301"/>
      <c r="DL75" s="301"/>
      <c r="DM75" s="301"/>
      <c r="DN75" s="301"/>
      <c r="DO75" s="301"/>
      <c r="DP75" s="301"/>
    </row>
    <row r="76" spans="1:120">
      <c r="A76" s="261"/>
      <c r="B76" s="223" t="s">
        <v>730</v>
      </c>
      <c r="C76" s="395"/>
      <c r="D76" s="395"/>
      <c r="E76" s="395"/>
      <c r="F76" s="395"/>
      <c r="G76" s="395"/>
      <c r="H76" s="395"/>
      <c r="I76" s="397"/>
      <c r="J76" s="397"/>
      <c r="K76" s="397"/>
      <c r="L76" s="397"/>
      <c r="M76" s="397"/>
      <c r="N76" s="395"/>
      <c r="O76" s="395"/>
      <c r="P76" s="395"/>
      <c r="Q76" s="395"/>
      <c r="R76" s="395"/>
      <c r="S76" s="395"/>
      <c r="T76" s="395"/>
      <c r="U76" s="395"/>
      <c r="V76" s="395"/>
      <c r="W76" s="303"/>
      <c r="X76" s="395"/>
      <c r="Y76" s="395"/>
      <c r="Z76" s="395"/>
      <c r="AA76" s="419"/>
      <c r="AB76" s="395"/>
      <c r="AC76" s="395"/>
      <c r="AD76" s="395"/>
      <c r="AE76" s="419"/>
      <c r="AF76" s="395"/>
      <c r="AG76" s="395"/>
      <c r="AH76" s="395"/>
      <c r="AI76" s="419"/>
      <c r="AJ76" s="395"/>
      <c r="AK76" s="395"/>
      <c r="AL76" s="395"/>
      <c r="AM76" s="419"/>
      <c r="AN76" s="395"/>
      <c r="AO76" s="395"/>
      <c r="AP76" s="395"/>
      <c r="AQ76" s="419"/>
      <c r="AR76" s="395"/>
      <c r="AS76" s="395"/>
      <c r="AT76" s="395"/>
      <c r="AU76" s="419"/>
      <c r="AV76" s="395"/>
      <c r="AW76" s="395"/>
      <c r="AX76" s="395"/>
      <c r="AY76" s="442"/>
      <c r="AZ76" s="443"/>
      <c r="BA76" s="395"/>
      <c r="BB76" s="395"/>
      <c r="BC76" s="419"/>
      <c r="BD76" s="443"/>
      <c r="BE76" s="395"/>
      <c r="BF76" s="395"/>
      <c r="BG76" s="419"/>
      <c r="BH76" s="395"/>
      <c r="BI76" s="395"/>
      <c r="BJ76" s="395"/>
      <c r="BK76" s="419"/>
      <c r="BL76" s="395"/>
      <c r="BM76" s="395"/>
      <c r="BN76" s="395"/>
      <c r="BO76" s="419"/>
      <c r="BP76" s="395"/>
      <c r="BQ76" s="395"/>
      <c r="BR76" s="395"/>
      <c r="BS76" s="419"/>
      <c r="BT76" s="395"/>
      <c r="BU76" s="395"/>
      <c r="BV76" s="395"/>
      <c r="BW76" s="419"/>
      <c r="BX76" s="395"/>
      <c r="BY76" s="395"/>
      <c r="BZ76" s="395"/>
      <c r="CA76" s="419"/>
      <c r="CB76" s="395"/>
      <c r="CC76" s="395"/>
      <c r="CD76" s="395"/>
      <c r="CE76" s="419"/>
      <c r="CF76" s="395"/>
      <c r="CG76" s="395"/>
      <c r="CH76" s="395"/>
      <c r="CI76" s="395"/>
      <c r="CJ76" s="395"/>
      <c r="CK76" s="395"/>
      <c r="CL76" s="395"/>
      <c r="CM76" s="395"/>
      <c r="CN76" s="395"/>
      <c r="CO76" s="395"/>
      <c r="CP76" s="395"/>
      <c r="CQ76" s="395"/>
      <c r="CR76" s="395"/>
      <c r="CS76" s="395"/>
      <c r="CT76" s="395"/>
      <c r="CU76" s="395"/>
      <c r="CV76" s="395"/>
      <c r="CW76" s="395"/>
      <c r="CX76" s="395"/>
      <c r="CY76" s="395"/>
      <c r="CZ76" s="395"/>
      <c r="DA76" s="395"/>
      <c r="DB76" s="395"/>
      <c r="DC76" s="395"/>
      <c r="DD76" s="395"/>
      <c r="DE76" s="395"/>
      <c r="DF76" s="395"/>
      <c r="DG76" s="395"/>
      <c r="DH76" s="395"/>
      <c r="DI76" s="395"/>
      <c r="DJ76" s="395"/>
      <c r="DK76" s="395"/>
      <c r="DL76" s="395"/>
      <c r="DM76" s="395"/>
      <c r="DN76" s="395"/>
      <c r="DO76" s="395"/>
      <c r="DP76" s="395"/>
    </row>
    <row r="77" spans="1:120">
      <c r="A77" s="396"/>
      <c r="B77" s="109" t="s">
        <v>696</v>
      </c>
      <c r="C77" s="397"/>
      <c r="D77" s="397"/>
      <c r="E77" s="397">
        <f t="shared" ref="E77:V77" si="170">E15/E7</f>
        <v>0.080277196780528</v>
      </c>
      <c r="F77" s="397">
        <f t="shared" si="170"/>
        <v>0.0973943184647717</v>
      </c>
      <c r="G77" s="397">
        <f t="shared" si="170"/>
        <v>0.0770563272162369</v>
      </c>
      <c r="H77" s="397">
        <f t="shared" si="170"/>
        <v>0.093191779378781</v>
      </c>
      <c r="I77" s="397">
        <f t="shared" si="170"/>
        <v>0.0893639702140558</v>
      </c>
      <c r="J77" s="397">
        <f t="shared" si="170"/>
        <v>0.0904916436562264</v>
      </c>
      <c r="K77" s="397">
        <f t="shared" si="170"/>
        <v>0.0934241954272105</v>
      </c>
      <c r="L77" s="397">
        <f t="shared" si="170"/>
        <v>0.138392606575832</v>
      </c>
      <c r="M77" s="397">
        <f t="shared" si="170"/>
        <v>0.126140743322751</v>
      </c>
      <c r="N77" s="397">
        <f t="shared" si="170"/>
        <v>0.0789038094026259</v>
      </c>
      <c r="O77" s="397">
        <f t="shared" si="170"/>
        <v>0.0639275166876571</v>
      </c>
      <c r="P77" s="397">
        <f t="shared" si="170"/>
        <v>0.100179996742167</v>
      </c>
      <c r="Q77" s="397">
        <f t="shared" si="170"/>
        <v>0.0853455618603563</v>
      </c>
      <c r="R77" s="397">
        <f t="shared" si="170"/>
        <v>0.0857611994626188</v>
      </c>
      <c r="S77" s="397">
        <f t="shared" si="170"/>
        <v>0.0469913190809733</v>
      </c>
      <c r="T77" s="397">
        <f t="shared" si="170"/>
        <v>0.0248423163500791</v>
      </c>
      <c r="U77" s="397">
        <f t="shared" si="170"/>
        <v>0.0207635802301258</v>
      </c>
      <c r="V77" s="397">
        <f t="shared" si="170"/>
        <v>0.0220407247839851</v>
      </c>
      <c r="W77" s="303"/>
      <c r="X77" s="397"/>
      <c r="Y77" s="397"/>
      <c r="Z77" s="397"/>
      <c r="AA77" s="420"/>
      <c r="AB77" s="397">
        <f t="shared" ref="AB77:BG77" si="171">AB15/AB7</f>
        <v>0.0781981812510172</v>
      </c>
      <c r="AC77" s="397">
        <f t="shared" si="171"/>
        <v>0.0864905967910471</v>
      </c>
      <c r="AD77" s="397">
        <f t="shared" si="171"/>
        <v>0.0940223421610147</v>
      </c>
      <c r="AE77" s="420">
        <f t="shared" si="171"/>
        <v>0.0977983355219298</v>
      </c>
      <c r="AF77" s="397">
        <f t="shared" si="171"/>
        <v>0.0805584987452847</v>
      </c>
      <c r="AG77" s="397">
        <f t="shared" si="171"/>
        <v>0.0811698747817512</v>
      </c>
      <c r="AH77" s="397">
        <f t="shared" si="171"/>
        <v>0.100760396728452</v>
      </c>
      <c r="AI77" s="420">
        <f t="shared" si="171"/>
        <v>0.0978317047838598</v>
      </c>
      <c r="AJ77" s="397">
        <f t="shared" si="171"/>
        <v>0.0838918826330384</v>
      </c>
      <c r="AK77" s="397">
        <f t="shared" si="171"/>
        <v>0.0790518713359026</v>
      </c>
      <c r="AL77" s="397">
        <f t="shared" si="171"/>
        <v>0.07539588776721</v>
      </c>
      <c r="AM77" s="420">
        <f t="shared" si="171"/>
        <v>0.137202538194012</v>
      </c>
      <c r="AN77" s="397">
        <f t="shared" si="171"/>
        <v>0.135814329515052</v>
      </c>
      <c r="AO77" s="397">
        <f t="shared" si="171"/>
        <v>0.200733922719802</v>
      </c>
      <c r="AP77" s="397">
        <f t="shared" si="171"/>
        <v>0.133557834009366</v>
      </c>
      <c r="AQ77" s="420">
        <f t="shared" si="171"/>
        <v>0.10089332121628</v>
      </c>
      <c r="AR77" s="397">
        <f t="shared" si="171"/>
        <v>0.105242483896426</v>
      </c>
      <c r="AS77" s="397">
        <f t="shared" si="171"/>
        <v>0.137415223157151</v>
      </c>
      <c r="AT77" s="397">
        <f t="shared" si="171"/>
        <v>0.135193377601277</v>
      </c>
      <c r="AU77" s="420">
        <f t="shared" si="171"/>
        <v>0.12399149871563</v>
      </c>
      <c r="AV77" s="397">
        <f t="shared" si="171"/>
        <v>0.0998018593435791</v>
      </c>
      <c r="AW77" s="397">
        <f t="shared" si="171"/>
        <v>0.0774559829817687</v>
      </c>
      <c r="AX77" s="397">
        <f t="shared" si="171"/>
        <v>0.0763817849928453</v>
      </c>
      <c r="AY77" s="420">
        <f t="shared" si="171"/>
        <v>0.0730028202349195</v>
      </c>
      <c r="AZ77" s="397">
        <f t="shared" si="171"/>
        <v>0.0528840348489538</v>
      </c>
      <c r="BA77" s="397">
        <f t="shared" si="171"/>
        <v>0.0450724206695901</v>
      </c>
      <c r="BB77" s="397">
        <f t="shared" si="171"/>
        <v>0.0690503896819166</v>
      </c>
      <c r="BC77" s="420">
        <f t="shared" si="171"/>
        <v>0.0856751941285154</v>
      </c>
      <c r="BD77" s="397">
        <f t="shared" si="171"/>
        <v>0.0687864500672964</v>
      </c>
      <c r="BE77" s="397">
        <f t="shared" si="171"/>
        <v>0.105312251131288</v>
      </c>
      <c r="BF77" s="397">
        <f t="shared" si="171"/>
        <v>0.0876795467949795</v>
      </c>
      <c r="BG77" s="420">
        <f t="shared" si="171"/>
        <v>0.134866172813462</v>
      </c>
      <c r="BH77" s="397">
        <f t="shared" ref="BH77:CA77" si="172">BH15/BH7</f>
        <v>0.0985480771178139</v>
      </c>
      <c r="BI77" s="397">
        <f t="shared" si="172"/>
        <v>0.0882802693315318</v>
      </c>
      <c r="BJ77" s="397">
        <f t="shared" si="172"/>
        <v>0.0968678244836031</v>
      </c>
      <c r="BK77" s="420">
        <f t="shared" si="172"/>
        <v>0.0665377000320209</v>
      </c>
      <c r="BL77" s="397">
        <f t="shared" si="172"/>
        <v>0.0939333331963636</v>
      </c>
      <c r="BM77" s="397">
        <f t="shared" si="172"/>
        <v>0.0861199440937201</v>
      </c>
      <c r="BN77" s="397">
        <f t="shared" si="172"/>
        <v>0.0549405850228367</v>
      </c>
      <c r="BO77" s="420">
        <f t="shared" si="172"/>
        <v>0.104069969205395</v>
      </c>
      <c r="BP77" s="397">
        <f t="shared" si="172"/>
        <v>0.0540124059662916</v>
      </c>
      <c r="BQ77" s="397">
        <f t="shared" si="172"/>
        <v>0.0528390104280466</v>
      </c>
      <c r="BR77" s="397">
        <f t="shared" si="172"/>
        <v>0.0449778361729908</v>
      </c>
      <c r="BS77" s="420">
        <f t="shared" si="172"/>
        <v>0.0405656515666789</v>
      </c>
      <c r="BT77" s="397">
        <f t="shared" si="172"/>
        <v>0.0316056243383991</v>
      </c>
      <c r="BU77" s="397">
        <f t="shared" si="172"/>
        <v>0.0246631483435261</v>
      </c>
      <c r="BV77" s="397">
        <f t="shared" si="172"/>
        <v>0.0196903692586679</v>
      </c>
      <c r="BW77" s="420">
        <f t="shared" si="172"/>
        <v>0.0262671167700598</v>
      </c>
      <c r="BX77" s="397">
        <f t="shared" si="172"/>
        <v>0.0205354308294667</v>
      </c>
      <c r="BY77" s="397">
        <f t="shared" si="172"/>
        <v>0.0202574951712141</v>
      </c>
      <c r="BZ77" s="397">
        <f t="shared" si="172"/>
        <v>0.0169567492940096</v>
      </c>
      <c r="CA77" s="420">
        <f t="shared" si="172"/>
        <v>0.025420349374936</v>
      </c>
      <c r="CB77" s="397">
        <f t="shared" ref="CB77:CE77" si="173">CB15/CB7</f>
        <v>0.0226587653351088</v>
      </c>
      <c r="CC77" s="397">
        <f t="shared" si="173"/>
        <v>0.0191099818184148</v>
      </c>
      <c r="CD77" s="397">
        <f t="shared" si="173"/>
        <v>0.0150461065848669</v>
      </c>
      <c r="CE77" s="420">
        <f t="shared" si="173"/>
        <v>0.0314465044075208</v>
      </c>
      <c r="CF77" s="397"/>
      <c r="CG77" s="397"/>
      <c r="CH77" s="395"/>
      <c r="CI77" s="395"/>
      <c r="CJ77" s="395"/>
      <c r="CK77" s="395"/>
      <c r="CL77" s="395"/>
      <c r="CM77" s="395"/>
      <c r="CN77" s="395"/>
      <c r="CO77" s="395"/>
      <c r="CP77" s="395"/>
      <c r="CQ77" s="395"/>
      <c r="CR77" s="395"/>
      <c r="CS77" s="395"/>
      <c r="CT77" s="395"/>
      <c r="CU77" s="395"/>
      <c r="CV77" s="395"/>
      <c r="CW77" s="395"/>
      <c r="CX77" s="395"/>
      <c r="CY77" s="395"/>
      <c r="CZ77" s="395"/>
      <c r="DA77" s="395"/>
      <c r="DB77" s="395"/>
      <c r="DC77" s="395"/>
      <c r="DD77" s="395"/>
      <c r="DE77" s="395"/>
      <c r="DF77" s="395"/>
      <c r="DG77" s="395"/>
      <c r="DH77" s="395"/>
      <c r="DI77" s="395"/>
      <c r="DJ77" s="395"/>
      <c r="DK77" s="395"/>
      <c r="DL77" s="397"/>
      <c r="DM77" s="397"/>
      <c r="DN77" s="397"/>
      <c r="DO77" s="397"/>
      <c r="DP77" s="397"/>
    </row>
    <row r="78" spans="1:120">
      <c r="A78" s="396"/>
      <c r="B78" s="264" t="s">
        <v>697</v>
      </c>
      <c r="C78" s="397"/>
      <c r="D78" s="397"/>
      <c r="E78" s="397">
        <f t="shared" ref="E78:U81" si="174">IF(ISERROR(E16/E$7)," ",E16/E$7)</f>
        <v>0.00338108302458084</v>
      </c>
      <c r="F78" s="397">
        <f t="shared" si="174"/>
        <v>0.00903797624033763</v>
      </c>
      <c r="G78" s="397">
        <f t="shared" si="174"/>
        <v>0.00343400190556789</v>
      </c>
      <c r="H78" s="397">
        <f t="shared" si="174"/>
        <v>0.0053397594247262</v>
      </c>
      <c r="I78" s="397">
        <f t="shared" si="174"/>
        <v>0.0059023855633804</v>
      </c>
      <c r="J78" s="397">
        <f t="shared" si="174"/>
        <v>0.00423758897167194</v>
      </c>
      <c r="K78" s="397">
        <f t="shared" si="174"/>
        <v>0.00268388614661363</v>
      </c>
      <c r="L78" s="397">
        <f t="shared" si="174"/>
        <v>0.00982689841995842</v>
      </c>
      <c r="M78" s="397">
        <f t="shared" ref="M78:M81" si="175">IF(ISERROR(M16/M$7)," ",M16/M$7)</f>
        <v>0.00528136927905863</v>
      </c>
      <c r="N78" s="397">
        <f t="shared" si="174"/>
        <v>0.00383435574722093</v>
      </c>
      <c r="O78" s="397">
        <f t="shared" si="174"/>
        <v>0.00272358297425929</v>
      </c>
      <c r="P78" s="397">
        <f t="shared" si="174"/>
        <v>0.00223127952656733</v>
      </c>
      <c r="Q78" s="397">
        <f t="shared" si="174"/>
        <v>0.00542595853173972</v>
      </c>
      <c r="R78" s="397">
        <f t="shared" si="174"/>
        <v>0.00831023687449992</v>
      </c>
      <c r="S78" s="397">
        <f t="shared" si="174"/>
        <v>0.00301552263717102</v>
      </c>
      <c r="T78" s="397">
        <f t="shared" si="174"/>
        <v>0.00158359198013975</v>
      </c>
      <c r="U78" s="397">
        <f t="shared" si="174"/>
        <v>0.000830317534968657</v>
      </c>
      <c r="V78" s="397">
        <f t="shared" ref="V78" si="176">IF(ISERROR(V16/V$7)," ",V16/V$7)</f>
        <v>0.00361445042776951</v>
      </c>
      <c r="W78" s="303"/>
      <c r="X78" s="397"/>
      <c r="Y78" s="397"/>
      <c r="Z78" s="397"/>
      <c r="AA78" s="420"/>
      <c r="AB78" s="397">
        <f t="shared" ref="AB78:BQ81" si="177">IF(ISERROR(AB16/AB$7)," ",AB16/AB$7)</f>
        <v>0.0108414739909039</v>
      </c>
      <c r="AC78" s="397">
        <f t="shared" si="177"/>
        <v>0.00675663107685311</v>
      </c>
      <c r="AD78" s="397">
        <f t="shared" si="177"/>
        <v>0.000819141557907222</v>
      </c>
      <c r="AE78" s="420">
        <f t="shared" si="177"/>
        <v>0.00519363150034627</v>
      </c>
      <c r="AF78" s="397">
        <f t="shared" si="177"/>
        <v>0.00478673421600057</v>
      </c>
      <c r="AG78" s="397">
        <f t="shared" si="177"/>
        <v>0</v>
      </c>
      <c r="AH78" s="397">
        <f t="shared" si="177"/>
        <v>0.00538225553184487</v>
      </c>
      <c r="AI78" s="420">
        <f t="shared" si="177"/>
        <v>0.00688776035188847</v>
      </c>
      <c r="AJ78" s="397">
        <f t="shared" si="177"/>
        <v>0.00404997303198447</v>
      </c>
      <c r="AK78" s="397">
        <f t="shared" si="177"/>
        <v>0.00238093463546616</v>
      </c>
      <c r="AL78" s="397">
        <f t="shared" si="177"/>
        <v>0.000711904496924532</v>
      </c>
      <c r="AM78" s="420">
        <f t="shared" si="177"/>
        <v>0.00392204098523617</v>
      </c>
      <c r="AN78" s="397">
        <f t="shared" si="177"/>
        <v>0.00907433510768371</v>
      </c>
      <c r="AO78" s="397">
        <f t="shared" si="177"/>
        <v>0.0139830178842727</v>
      </c>
      <c r="AP78" s="397">
        <f t="shared" si="177"/>
        <v>0.00627271740019795</v>
      </c>
      <c r="AQ78" s="420">
        <f t="shared" si="177"/>
        <v>0.0106159416554922</v>
      </c>
      <c r="AR78" s="397">
        <f t="shared" si="177"/>
        <v>0.00481607193239371</v>
      </c>
      <c r="AS78" s="397">
        <f t="shared" si="177"/>
        <v>0.00720086437668558</v>
      </c>
      <c r="AT78" s="397">
        <f t="shared" si="177"/>
        <v>0.00485824728297182</v>
      </c>
      <c r="AU78" s="420">
        <f t="shared" si="177"/>
        <v>0.00460814889368015</v>
      </c>
      <c r="AV78" s="397">
        <f t="shared" si="177"/>
        <v>0.00343993053484703</v>
      </c>
      <c r="AW78" s="397">
        <f t="shared" si="177"/>
        <v>0.0036321963861411</v>
      </c>
      <c r="AX78" s="397">
        <f t="shared" si="177"/>
        <v>0.0035642497781867</v>
      </c>
      <c r="AY78" s="420">
        <f t="shared" si="177"/>
        <v>0.00451830569263546</v>
      </c>
      <c r="AZ78" s="397">
        <f t="shared" si="177"/>
        <v>0.00318983476570747</v>
      </c>
      <c r="BA78" s="397">
        <f t="shared" si="177"/>
        <v>0.00287617501254962</v>
      </c>
      <c r="BB78" s="397">
        <f t="shared" si="177"/>
        <v>0.00269719068826105</v>
      </c>
      <c r="BC78" s="420">
        <f t="shared" si="177"/>
        <v>0.00227313649672729</v>
      </c>
      <c r="BD78" s="397">
        <f t="shared" si="177"/>
        <v>0.001253853769675</v>
      </c>
      <c r="BE78" s="397">
        <f t="shared" si="177"/>
        <v>0.00322932730853773</v>
      </c>
      <c r="BF78" s="397">
        <f t="shared" si="177"/>
        <v>0.00131552591709968</v>
      </c>
      <c r="BG78" s="420">
        <f t="shared" si="177"/>
        <v>0.00316847074008917</v>
      </c>
      <c r="BH78" s="397">
        <f t="shared" si="177"/>
        <v>0.00432847441929227</v>
      </c>
      <c r="BI78" s="397">
        <f t="shared" si="177"/>
        <v>0.00775161675696289</v>
      </c>
      <c r="BJ78" s="397">
        <f t="shared" si="177"/>
        <v>0.00771626691422934</v>
      </c>
      <c r="BK78" s="420">
        <f t="shared" si="177"/>
        <v>0.00268345989720186</v>
      </c>
      <c r="BL78" s="397">
        <f t="shared" si="177"/>
        <v>0.0020752099906685</v>
      </c>
      <c r="BM78" s="397">
        <f t="shared" si="177"/>
        <v>0.00280533621704009</v>
      </c>
      <c r="BN78" s="397">
        <f t="shared" si="177"/>
        <v>0.00127464787911587</v>
      </c>
      <c r="BO78" s="420">
        <f t="shared" si="177"/>
        <v>0.0176189005870393</v>
      </c>
      <c r="BP78" s="397">
        <f t="shared" si="177"/>
        <v>0.000830317534968657</v>
      </c>
      <c r="BQ78" s="397">
        <f t="shared" si="177"/>
        <v>0.00145559478909006</v>
      </c>
      <c r="BR78" s="397">
        <f t="shared" ref="BR78" si="178">IF(ISERROR(BR16/BR$7)," ",BR16/BR$7)</f>
        <v>0.000661844994252608</v>
      </c>
      <c r="BS78" s="420">
        <v>0.000830317534968657</v>
      </c>
      <c r="BT78" s="397">
        <v>0.000830317534968657</v>
      </c>
      <c r="BU78" s="444">
        <v>0.000830317534968657</v>
      </c>
      <c r="BV78" s="444">
        <v>0.000830317534968657</v>
      </c>
      <c r="BW78" s="445">
        <v>0.000830317534968657</v>
      </c>
      <c r="BX78" s="444">
        <v>0.000830317534968657</v>
      </c>
      <c r="BY78" s="444">
        <v>0.000830317534968657</v>
      </c>
      <c r="BZ78" s="444">
        <v>0.000830317534968657</v>
      </c>
      <c r="CA78" s="445">
        <v>0.000830317534968657</v>
      </c>
      <c r="CB78" s="444">
        <v>0.001</v>
      </c>
      <c r="CC78" s="444">
        <v>0.001</v>
      </c>
      <c r="CD78" s="444">
        <v>0.001</v>
      </c>
      <c r="CE78" s="445">
        <v>0.01</v>
      </c>
      <c r="CF78" s="407"/>
      <c r="CG78" s="407"/>
      <c r="CH78" s="395"/>
      <c r="CI78" s="395"/>
      <c r="CJ78" s="395"/>
      <c r="CK78" s="395"/>
      <c r="CL78" s="395"/>
      <c r="CM78" s="395"/>
      <c r="CN78" s="395"/>
      <c r="CO78" s="395"/>
      <c r="CP78" s="395"/>
      <c r="CQ78" s="395"/>
      <c r="CR78" s="395"/>
      <c r="CS78" s="395"/>
      <c r="CT78" s="395"/>
      <c r="CU78" s="395"/>
      <c r="CV78" s="395"/>
      <c r="CW78" s="395"/>
      <c r="CX78" s="395"/>
      <c r="CY78" s="395"/>
      <c r="CZ78" s="395"/>
      <c r="DA78" s="395"/>
      <c r="DB78" s="395"/>
      <c r="DC78" s="395"/>
      <c r="DD78" s="395"/>
      <c r="DE78" s="395"/>
      <c r="DF78" s="395"/>
      <c r="DG78" s="395"/>
      <c r="DH78" s="395"/>
      <c r="DI78" s="395"/>
      <c r="DJ78" s="395"/>
      <c r="DK78" s="395"/>
      <c r="DL78" s="397"/>
      <c r="DM78" s="397"/>
      <c r="DN78" s="397"/>
      <c r="DO78" s="397"/>
      <c r="DP78" s="397"/>
    </row>
    <row r="79" spans="1:120">
      <c r="A79" s="396"/>
      <c r="B79" s="264" t="s">
        <v>698</v>
      </c>
      <c r="C79" s="397"/>
      <c r="D79" s="397"/>
      <c r="E79" s="397">
        <f t="shared" si="174"/>
        <v>0.0150362853253466</v>
      </c>
      <c r="F79" s="397">
        <f t="shared" si="174"/>
        <v>0.0155121013820926</v>
      </c>
      <c r="G79" s="397">
        <f t="shared" si="174"/>
        <v>0.0150862394972458</v>
      </c>
      <c r="H79" s="397">
        <f t="shared" si="174"/>
        <v>0.017004052716246</v>
      </c>
      <c r="I79" s="397">
        <f t="shared" si="174"/>
        <v>0.0152437939696819</v>
      </c>
      <c r="J79" s="397">
        <f t="shared" si="174"/>
        <v>0.0146509239478776</v>
      </c>
      <c r="K79" s="397">
        <f t="shared" si="174"/>
        <v>0.0151857683473728</v>
      </c>
      <c r="L79" s="397">
        <f t="shared" si="174"/>
        <v>0.0243884712303177</v>
      </c>
      <c r="M79" s="397">
        <f t="shared" si="175"/>
        <v>0.0221256309334618</v>
      </c>
      <c r="N79" s="397">
        <f t="shared" si="174"/>
        <v>0.0166861567444928</v>
      </c>
      <c r="O79" s="397">
        <f t="shared" si="174"/>
        <v>0.0122717659743968</v>
      </c>
      <c r="P79" s="397">
        <f t="shared" si="174"/>
        <v>0.0158606874343658</v>
      </c>
      <c r="Q79" s="397">
        <f t="shared" si="174"/>
        <v>0.0121293601594369</v>
      </c>
      <c r="R79" s="397">
        <f t="shared" si="174"/>
        <v>0.0112780703225412</v>
      </c>
      <c r="S79" s="397">
        <f t="shared" si="174"/>
        <v>0.00607260746913953</v>
      </c>
      <c r="T79" s="397">
        <f t="shared" si="174"/>
        <v>0.00344681779501335</v>
      </c>
      <c r="U79" s="397">
        <f t="shared" si="174"/>
        <v>0.00277530786246857</v>
      </c>
      <c r="V79" s="397">
        <f t="shared" ref="V79" si="179">IF(ISERROR(V17/V$7)," ",V17/V$7)</f>
        <v>0.0027342841381752</v>
      </c>
      <c r="W79" s="303"/>
      <c r="X79" s="397"/>
      <c r="Y79" s="397"/>
      <c r="Z79" s="397"/>
      <c r="AA79" s="420"/>
      <c r="AB79" s="397">
        <f t="shared" si="177"/>
        <v>0.0111734855026897</v>
      </c>
      <c r="AC79" s="397">
        <f t="shared" si="177"/>
        <v>0.0139609530383678</v>
      </c>
      <c r="AD79" s="397">
        <f t="shared" si="177"/>
        <v>0.0161176699985028</v>
      </c>
      <c r="AE79" s="420">
        <f t="shared" si="177"/>
        <v>0.0192652184486095</v>
      </c>
      <c r="AF79" s="397">
        <f t="shared" si="177"/>
        <v>0.0112187908095614</v>
      </c>
      <c r="AG79" s="397">
        <f t="shared" si="177"/>
        <v>0.0150593717950932</v>
      </c>
      <c r="AH79" s="397">
        <f t="shared" si="177"/>
        <v>0.0172296069353267</v>
      </c>
      <c r="AI79" s="420">
        <f t="shared" si="177"/>
        <v>0.0145713265791053</v>
      </c>
      <c r="AJ79" s="397">
        <f t="shared" si="177"/>
        <v>0.0145725734411766</v>
      </c>
      <c r="AK79" s="397">
        <f t="shared" si="177"/>
        <v>0.0109193083378258</v>
      </c>
      <c r="AL79" s="397">
        <f t="shared" si="177"/>
        <v>0.0118026828195615</v>
      </c>
      <c r="AM79" s="420">
        <f t="shared" si="177"/>
        <v>0.0240981568592569</v>
      </c>
      <c r="AN79" s="397">
        <f t="shared" si="177"/>
        <v>0.0192273106073392</v>
      </c>
      <c r="AO79" s="397">
        <f t="shared" si="177"/>
        <v>0.0273612290217039</v>
      </c>
      <c r="AP79" s="397">
        <f t="shared" si="177"/>
        <v>0.0192224297304255</v>
      </c>
      <c r="AQ79" s="420">
        <f t="shared" si="177"/>
        <v>0.0308854411784273</v>
      </c>
      <c r="AR79" s="397">
        <f t="shared" si="177"/>
        <v>0.0197462794570877</v>
      </c>
      <c r="AS79" s="397">
        <f t="shared" si="177"/>
        <v>0.0228617828526408</v>
      </c>
      <c r="AT79" s="397">
        <f t="shared" si="177"/>
        <v>0.0223327133323986</v>
      </c>
      <c r="AU79" s="420">
        <f t="shared" si="177"/>
        <v>0.0228462966010433</v>
      </c>
      <c r="AV79" s="397">
        <f t="shared" si="177"/>
        <v>0.0180999974963716</v>
      </c>
      <c r="AW79" s="397">
        <f t="shared" si="177"/>
        <v>0.0120349323583719</v>
      </c>
      <c r="AX79" s="397">
        <f t="shared" si="177"/>
        <v>0.016391991985705</v>
      </c>
      <c r="AY79" s="420">
        <f t="shared" ref="AY79:AY81" si="180">IF(ISERROR(AY17/AY$7)," ",AY17/AY$7)</f>
        <v>0.021021704122861</v>
      </c>
      <c r="AZ79" s="397">
        <f t="shared" si="177"/>
        <v>0.0105000742840577</v>
      </c>
      <c r="BA79" s="397">
        <f t="shared" si="177"/>
        <v>0.0140920151627327</v>
      </c>
      <c r="BB79" s="397">
        <f t="shared" si="177"/>
        <v>0.0158381175249132</v>
      </c>
      <c r="BC79" s="420">
        <f t="shared" si="177"/>
        <v>0.00952459618412886</v>
      </c>
      <c r="BD79" s="397">
        <f t="shared" si="177"/>
        <v>0.0086960116580614</v>
      </c>
      <c r="BE79" s="397">
        <f t="shared" si="177"/>
        <v>0.0191012352951887</v>
      </c>
      <c r="BF79" s="397">
        <f t="shared" si="177"/>
        <v>0.0155800733291673</v>
      </c>
      <c r="BG79" s="420">
        <f t="shared" si="177"/>
        <v>0.0193812710470186</v>
      </c>
      <c r="BH79" s="397">
        <f t="shared" si="177"/>
        <v>0.0125538311212869</v>
      </c>
      <c r="BI79" s="397">
        <f t="shared" si="177"/>
        <v>0.0134744298980218</v>
      </c>
      <c r="BJ79" s="397">
        <f t="shared" si="177"/>
        <v>0.0107511208813369</v>
      </c>
      <c r="BK79" s="420">
        <f t="shared" si="177"/>
        <v>0.01200661428071</v>
      </c>
      <c r="BL79" s="397">
        <f t="shared" si="177"/>
        <v>0.0183552319861011</v>
      </c>
      <c r="BM79" s="397">
        <f t="shared" si="177"/>
        <v>0.0118069054981512</v>
      </c>
      <c r="BN79" s="397">
        <f t="shared" si="177"/>
        <v>0.00963381688911064</v>
      </c>
      <c r="BO79" s="420">
        <f t="shared" si="177"/>
        <v>0.00991898737724116</v>
      </c>
      <c r="BP79" s="397">
        <f t="shared" si="177"/>
        <v>0.00933590675017272</v>
      </c>
      <c r="BQ79" s="397">
        <f t="shared" ref="BQ79:CA81" si="181">IF(ISERROR(BQ17/BQ$7)," ",BQ17/BQ$7)</f>
        <v>0.0073819542274671</v>
      </c>
      <c r="BR79" s="397">
        <f t="shared" si="181"/>
        <v>0.00632216174554429</v>
      </c>
      <c r="BS79" s="420">
        <f t="shared" si="181"/>
        <v>0.00330208852844827</v>
      </c>
      <c r="BT79" s="397">
        <f t="shared" si="181"/>
        <v>0.00427152393443556</v>
      </c>
      <c r="BU79" s="397">
        <f t="shared" si="181"/>
        <v>0.00370432595338782</v>
      </c>
      <c r="BV79" s="397">
        <f t="shared" si="181"/>
        <v>0.0029960151093176</v>
      </c>
      <c r="BW79" s="420">
        <f t="shared" si="181"/>
        <v>0.00327011403121241</v>
      </c>
      <c r="BX79" s="397">
        <f t="shared" si="181"/>
        <v>0.00256877533025474</v>
      </c>
      <c r="BY79" s="397">
        <f t="shared" si="181"/>
        <v>0.00244191931857681</v>
      </c>
      <c r="BZ79" s="397">
        <f t="shared" si="181"/>
        <v>0.00236740697000276</v>
      </c>
      <c r="CA79" s="420">
        <f t="shared" si="181"/>
        <v>0.00364182194814441</v>
      </c>
      <c r="CB79" s="397">
        <f t="shared" ref="CB79:CE79" si="182">IF(ISERROR(CB17/CB$7)," ",CB17/CB$7)</f>
        <v>0.00300851535893259</v>
      </c>
      <c r="CC79" s="397">
        <f t="shared" si="182"/>
        <v>0.00242660512774103</v>
      </c>
      <c r="CD79" s="397">
        <f t="shared" si="182"/>
        <v>0.00219469245609426</v>
      </c>
      <c r="CE79" s="420">
        <f t="shared" si="182"/>
        <v>0.00338850586478538</v>
      </c>
      <c r="CF79" s="397"/>
      <c r="CG79" s="397"/>
      <c r="CH79" s="395"/>
      <c r="CI79" s="395"/>
      <c r="CJ79" s="395"/>
      <c r="CK79" s="395"/>
      <c r="CL79" s="395"/>
      <c r="CM79" s="395"/>
      <c r="CN79" s="395"/>
      <c r="CO79" s="395"/>
      <c r="CP79" s="395"/>
      <c r="CQ79" s="395"/>
      <c r="CR79" s="395"/>
      <c r="CS79" s="395"/>
      <c r="CT79" s="395"/>
      <c r="CU79" s="395"/>
      <c r="CV79" s="395"/>
      <c r="CW79" s="395"/>
      <c r="CX79" s="395"/>
      <c r="CY79" s="395"/>
      <c r="CZ79" s="395"/>
      <c r="DA79" s="395"/>
      <c r="DB79" s="395"/>
      <c r="DC79" s="395"/>
      <c r="DD79" s="395"/>
      <c r="DE79" s="395"/>
      <c r="DF79" s="395"/>
      <c r="DG79" s="395"/>
      <c r="DH79" s="395"/>
      <c r="DI79" s="395"/>
      <c r="DJ79" s="395"/>
      <c r="DK79" s="395"/>
      <c r="DL79" s="397"/>
      <c r="DM79" s="397"/>
      <c r="DN79" s="397"/>
      <c r="DO79" s="397"/>
      <c r="DP79" s="397"/>
    </row>
    <row r="80" spans="1:120">
      <c r="A80" s="396"/>
      <c r="B80" s="264" t="s">
        <v>699</v>
      </c>
      <c r="C80" s="397"/>
      <c r="D80" s="397"/>
      <c r="E80" s="397">
        <f t="shared" si="174"/>
        <v>0.0265249462103021</v>
      </c>
      <c r="F80" s="397">
        <f t="shared" si="174"/>
        <v>0.0317227448473154</v>
      </c>
      <c r="G80" s="397">
        <f t="shared" si="174"/>
        <v>0.023395216909625</v>
      </c>
      <c r="H80" s="397">
        <f t="shared" si="174"/>
        <v>0.0360454951417479</v>
      </c>
      <c r="I80" s="397">
        <f t="shared" si="174"/>
        <v>0.0301434814947668</v>
      </c>
      <c r="J80" s="397">
        <f t="shared" si="174"/>
        <v>0.0306242087112882</v>
      </c>
      <c r="K80" s="397">
        <f t="shared" si="174"/>
        <v>0.0243545409332241</v>
      </c>
      <c r="L80" s="397">
        <f t="shared" si="174"/>
        <v>0.0348770856338827</v>
      </c>
      <c r="M80" s="397">
        <f t="shared" si="175"/>
        <v>0.0289036836953749</v>
      </c>
      <c r="N80" s="397">
        <f t="shared" si="174"/>
        <v>0.0157979760775462</v>
      </c>
      <c r="O80" s="397">
        <f t="shared" si="174"/>
        <v>0.011652177186532</v>
      </c>
      <c r="P80" s="397">
        <f t="shared" si="174"/>
        <v>0.025529446953203</v>
      </c>
      <c r="Q80" s="397">
        <f t="shared" si="174"/>
        <v>0.0246038236167421</v>
      </c>
      <c r="R80" s="397">
        <f t="shared" si="174"/>
        <v>0.019546721667682</v>
      </c>
      <c r="S80" s="397">
        <f t="shared" si="174"/>
        <v>0.00963863897402435</v>
      </c>
      <c r="T80" s="397">
        <f t="shared" si="174"/>
        <v>0.00561917047576662</v>
      </c>
      <c r="U80" s="397">
        <f t="shared" si="174"/>
        <v>0.00430458711947351</v>
      </c>
      <c r="V80" s="397">
        <f t="shared" ref="V80" si="183">IF(ISERROR(V18/V$7)," ",V18/V$7)</f>
        <v>0.00410745772613196</v>
      </c>
      <c r="W80" s="395"/>
      <c r="X80" s="397"/>
      <c r="Y80" s="397"/>
      <c r="Z80" s="397"/>
      <c r="AA80" s="420"/>
      <c r="AB80" s="397">
        <f t="shared" si="177"/>
        <v>0.0180832217574236</v>
      </c>
      <c r="AC80" s="397">
        <f t="shared" si="177"/>
        <v>0.0276730126758262</v>
      </c>
      <c r="AD80" s="397">
        <f t="shared" si="177"/>
        <v>0.0389855306046047</v>
      </c>
      <c r="AE80" s="420">
        <f t="shared" si="177"/>
        <v>0.0352394855729741</v>
      </c>
      <c r="AF80" s="397">
        <f t="shared" si="177"/>
        <v>0.0235529737197228</v>
      </c>
      <c r="AG80" s="397">
        <f t="shared" si="177"/>
        <v>0.025110502986658</v>
      </c>
      <c r="AH80" s="397">
        <f t="shared" si="177"/>
        <v>0.0371485342612805</v>
      </c>
      <c r="AI80" s="420">
        <f t="shared" si="177"/>
        <v>0.035372617852866</v>
      </c>
      <c r="AJ80" s="397">
        <f t="shared" si="177"/>
        <v>0.0140693361598773</v>
      </c>
      <c r="AK80" s="397">
        <f t="shared" si="177"/>
        <v>0.0145516283626107</v>
      </c>
      <c r="AL80" s="397">
        <f t="shared" si="177"/>
        <v>0.011681300450724</v>
      </c>
      <c r="AM80" s="420">
        <f t="shared" si="177"/>
        <v>0.0579823403495187</v>
      </c>
      <c r="AN80" s="397">
        <f t="shared" si="177"/>
        <v>0.0382126838000295</v>
      </c>
      <c r="AO80" s="397">
        <f t="shared" si="177"/>
        <v>0.0565280513062091</v>
      </c>
      <c r="AP80" s="397">
        <f t="shared" si="177"/>
        <v>0.040850883307245</v>
      </c>
      <c r="AQ80" s="420">
        <f t="shared" si="177"/>
        <v>0.0118210923036952</v>
      </c>
      <c r="AR80" s="397">
        <f t="shared" si="177"/>
        <v>0.0277418592196232</v>
      </c>
      <c r="AS80" s="397">
        <f t="shared" si="177"/>
        <v>0.0308619355912248</v>
      </c>
      <c r="AT80" s="397">
        <f t="shared" si="177"/>
        <v>0.0264505823115701</v>
      </c>
      <c r="AU80" s="420">
        <f t="shared" si="177"/>
        <v>0.0301016091286778</v>
      </c>
      <c r="AV80" s="397">
        <f t="shared" si="177"/>
        <v>0.0226184590257522</v>
      </c>
      <c r="AW80" s="397">
        <f t="shared" si="177"/>
        <v>0.0192576824721564</v>
      </c>
      <c r="AX80" s="397">
        <f t="shared" si="177"/>
        <v>0.0133066444866111</v>
      </c>
      <c r="AY80" s="420">
        <f t="shared" si="180"/>
        <v>0.011686008062624</v>
      </c>
      <c r="AZ80" s="397">
        <f t="shared" si="177"/>
        <v>0.0108009495480303</v>
      </c>
      <c r="BA80" s="397">
        <f t="shared" si="177"/>
        <v>0.00910128497638299</v>
      </c>
      <c r="BB80" s="397">
        <f t="shared" si="177"/>
        <v>0.0130438625554468</v>
      </c>
      <c r="BC80" s="420">
        <f t="shared" si="177"/>
        <v>0.0136887521847467</v>
      </c>
      <c r="BD80" s="397">
        <f t="shared" si="177"/>
        <v>0.00897053647561084</v>
      </c>
      <c r="BE80" s="397">
        <f t="shared" si="177"/>
        <v>0.0446703645831584</v>
      </c>
      <c r="BF80" s="397">
        <f t="shared" si="177"/>
        <v>0.0213577437470903</v>
      </c>
      <c r="BG80" s="420">
        <f t="shared" si="177"/>
        <v>0.0277185512232644</v>
      </c>
      <c r="BH80" s="397">
        <f t="shared" si="177"/>
        <v>0.0290554218084536</v>
      </c>
      <c r="BI80" s="397">
        <f t="shared" si="177"/>
        <v>0.0255539936612643</v>
      </c>
      <c r="BJ80" s="397">
        <f t="shared" si="177"/>
        <v>0.0279507605234236</v>
      </c>
      <c r="BK80" s="420">
        <f t="shared" si="177"/>
        <v>0.0187062604155982</v>
      </c>
      <c r="BL80" s="397">
        <f t="shared" si="177"/>
        <v>0.02570764103145</v>
      </c>
      <c r="BM80" s="397">
        <f t="shared" si="177"/>
        <v>0.0242079694591543</v>
      </c>
      <c r="BN80" s="397">
        <f t="shared" si="177"/>
        <v>0.0143635901517795</v>
      </c>
      <c r="BO80" s="420">
        <f t="shared" si="177"/>
        <v>0.0189980186015637</v>
      </c>
      <c r="BP80" s="397">
        <f t="shared" si="177"/>
        <v>0.0147549048150961</v>
      </c>
      <c r="BQ80" s="397">
        <f t="shared" si="181"/>
        <v>0.0101982947793516</v>
      </c>
      <c r="BR80" s="397">
        <f t="shared" si="181"/>
        <v>0.0103785715460011</v>
      </c>
      <c r="BS80" s="420">
        <f t="shared" si="181"/>
        <v>0.00618473632984369</v>
      </c>
      <c r="BT80" s="397">
        <f t="shared" si="181"/>
        <v>0.00747381812061555</v>
      </c>
      <c r="BU80" s="397">
        <f t="shared" si="181"/>
        <v>0.00592780681550586</v>
      </c>
      <c r="BV80" s="397">
        <f t="shared" si="181"/>
        <v>0.00479434018708021</v>
      </c>
      <c r="BW80" s="420">
        <f t="shared" si="181"/>
        <v>0.00523296396851199</v>
      </c>
      <c r="BX80" s="397">
        <f t="shared" si="181"/>
        <v>0.00461334079037252</v>
      </c>
      <c r="BY80" s="397">
        <f t="shared" si="181"/>
        <v>0.00454498958664264</v>
      </c>
      <c r="BZ80" s="397">
        <f t="shared" si="181"/>
        <v>0.00367192039753071</v>
      </c>
      <c r="CA80" s="420">
        <f t="shared" si="181"/>
        <v>0.00455024249321958</v>
      </c>
      <c r="CB80" s="397">
        <f t="shared" ref="CB80:CE80" si="184">IF(ISERROR(CB18/CB$7)," ",CB18/CB$7)</f>
        <v>0.00523300045059057</v>
      </c>
      <c r="CC80" s="397">
        <f t="shared" si="184"/>
        <v>0.00437431260682216</v>
      </c>
      <c r="CD80" s="397">
        <f t="shared" si="184"/>
        <v>0.00329687992531898</v>
      </c>
      <c r="CE80" s="420">
        <f t="shared" si="184"/>
        <v>0.00410046583837906</v>
      </c>
      <c r="CF80" s="397"/>
      <c r="CG80" s="397"/>
      <c r="CH80" s="397"/>
      <c r="CI80" s="397"/>
      <c r="CJ80" s="397"/>
      <c r="CK80" s="397"/>
      <c r="CL80" s="397"/>
      <c r="CM80" s="397"/>
      <c r="CN80" s="397"/>
      <c r="CO80" s="397"/>
      <c r="CP80" s="397"/>
      <c r="CQ80" s="397"/>
      <c r="CR80" s="397"/>
      <c r="CS80" s="397"/>
      <c r="CT80" s="397"/>
      <c r="CU80" s="397"/>
      <c r="CV80" s="397"/>
      <c r="CW80" s="397"/>
      <c r="CX80" s="397"/>
      <c r="CY80" s="397"/>
      <c r="CZ80" s="397"/>
      <c r="DA80" s="397"/>
      <c r="DB80" s="397"/>
      <c r="DC80" s="397"/>
      <c r="DD80" s="397"/>
      <c r="DE80" s="397"/>
      <c r="DF80" s="397"/>
      <c r="DG80" s="397"/>
      <c r="DH80" s="397"/>
      <c r="DI80" s="397"/>
      <c r="DJ80" s="397"/>
      <c r="DK80" s="397"/>
      <c r="DL80" s="397"/>
      <c r="DM80" s="397"/>
      <c r="DN80" s="397"/>
      <c r="DO80" s="397"/>
      <c r="DP80" s="397"/>
    </row>
    <row r="81" spans="1:120">
      <c r="A81" s="396"/>
      <c r="B81" s="264" t="s">
        <v>700</v>
      </c>
      <c r="C81" s="397"/>
      <c r="D81" s="397"/>
      <c r="E81" s="397">
        <f t="shared" si="174"/>
        <v>0.0353348822202984</v>
      </c>
      <c r="F81" s="397">
        <f t="shared" si="174"/>
        <v>0.041121495995026</v>
      </c>
      <c r="G81" s="397">
        <f t="shared" si="174"/>
        <v>0.0351408689037983</v>
      </c>
      <c r="H81" s="397">
        <f t="shared" si="174"/>
        <v>0.0348024720960608</v>
      </c>
      <c r="I81" s="397">
        <f t="shared" si="174"/>
        <v>0.0380743091862267</v>
      </c>
      <c r="J81" s="397">
        <f t="shared" si="174"/>
        <v>0.0409789220253887</v>
      </c>
      <c r="K81" s="397">
        <f t="shared" si="174"/>
        <v>0.0512</v>
      </c>
      <c r="L81" s="397">
        <f t="shared" si="174"/>
        <v>0.0693001512916731</v>
      </c>
      <c r="M81" s="397">
        <f t="shared" si="175"/>
        <v>0.0698300594148552</v>
      </c>
      <c r="N81" s="397">
        <f t="shared" si="174"/>
        <v>0.0425853208333659</v>
      </c>
      <c r="O81" s="397">
        <f t="shared" si="174"/>
        <v>0.0372799905524691</v>
      </c>
      <c r="P81" s="397">
        <f t="shared" si="174"/>
        <v>0.0565585828280311</v>
      </c>
      <c r="Q81" s="397">
        <f t="shared" si="174"/>
        <v>0.0431864195524376</v>
      </c>
      <c r="R81" s="397">
        <f t="shared" si="174"/>
        <v>0.0466261705978957</v>
      </c>
      <c r="S81" s="397">
        <f t="shared" si="174"/>
        <v>0.0282645500006384</v>
      </c>
      <c r="T81" s="397">
        <f t="shared" si="174"/>
        <v>0.0141927360991594</v>
      </c>
      <c r="U81" s="397">
        <f t="shared" si="174"/>
        <v>0.012853367713215</v>
      </c>
      <c r="V81" s="397">
        <f t="shared" ref="V81" si="185">IF(ISERROR(V19/V$7)," ",V19/V$7)</f>
        <v>0.0115845324919084</v>
      </c>
      <c r="W81" s="395"/>
      <c r="X81" s="397"/>
      <c r="Y81" s="397"/>
      <c r="Z81" s="397"/>
      <c r="AA81" s="420"/>
      <c r="AB81" s="397">
        <f t="shared" si="177"/>
        <v>0.0381</v>
      </c>
      <c r="AC81" s="397">
        <f t="shared" si="177"/>
        <v>0.0381</v>
      </c>
      <c r="AD81" s="397">
        <f t="shared" si="177"/>
        <v>0.0381</v>
      </c>
      <c r="AE81" s="420">
        <f t="shared" si="177"/>
        <v>0.0381</v>
      </c>
      <c r="AF81" s="397">
        <f t="shared" si="177"/>
        <v>0.041</v>
      </c>
      <c r="AG81" s="397">
        <f t="shared" si="177"/>
        <v>0.041</v>
      </c>
      <c r="AH81" s="397">
        <f t="shared" si="177"/>
        <v>0.041</v>
      </c>
      <c r="AI81" s="420">
        <f t="shared" si="177"/>
        <v>0.041</v>
      </c>
      <c r="AJ81" s="397">
        <f t="shared" si="177"/>
        <v>0.0512</v>
      </c>
      <c r="AK81" s="397">
        <f t="shared" si="177"/>
        <v>0.0512</v>
      </c>
      <c r="AL81" s="397">
        <f t="shared" si="177"/>
        <v>0.0512</v>
      </c>
      <c r="AM81" s="420">
        <f t="shared" si="177"/>
        <v>0.0512</v>
      </c>
      <c r="AN81" s="397">
        <f t="shared" si="177"/>
        <v>0.0693</v>
      </c>
      <c r="AO81" s="397">
        <f t="shared" si="177"/>
        <v>0.102861624507616</v>
      </c>
      <c r="AP81" s="397">
        <f t="shared" si="177"/>
        <v>0.0672118035714979</v>
      </c>
      <c r="AQ81" s="420">
        <f t="shared" si="177"/>
        <v>0.0475708460786649</v>
      </c>
      <c r="AR81" s="397">
        <f t="shared" si="177"/>
        <v>0.0529382732873214</v>
      </c>
      <c r="AS81" s="397">
        <f t="shared" si="177"/>
        <v>0.0764906403365993</v>
      </c>
      <c r="AT81" s="397">
        <f t="shared" si="177"/>
        <v>0.0815518346743364</v>
      </c>
      <c r="AU81" s="420">
        <f t="shared" si="177"/>
        <v>0.0664354440922288</v>
      </c>
      <c r="AV81" s="397">
        <f t="shared" si="177"/>
        <v>0.0556434722866084</v>
      </c>
      <c r="AW81" s="397">
        <f t="shared" si="177"/>
        <v>0.0425311717650993</v>
      </c>
      <c r="AX81" s="397">
        <f t="shared" si="177"/>
        <v>0.0431188987423425</v>
      </c>
      <c r="AY81" s="420">
        <f t="shared" si="180"/>
        <v>0.0357768023567991</v>
      </c>
      <c r="AZ81" s="397">
        <f t="shared" si="177"/>
        <v>0.0283931762511583</v>
      </c>
      <c r="BA81" s="397">
        <f t="shared" si="177"/>
        <v>0.0190029455179247</v>
      </c>
      <c r="BB81" s="397">
        <f t="shared" si="177"/>
        <v>0.0374712189132955</v>
      </c>
      <c r="BC81" s="420">
        <f t="shared" si="177"/>
        <v>0.0601887092629125</v>
      </c>
      <c r="BD81" s="397">
        <f t="shared" si="177"/>
        <v>0.0498660481639492</v>
      </c>
      <c r="BE81" s="397">
        <f t="shared" si="177"/>
        <v>0.0383113239444033</v>
      </c>
      <c r="BF81" s="397">
        <f t="shared" si="177"/>
        <v>0.0494262038016222</v>
      </c>
      <c r="BG81" s="420">
        <f t="shared" si="177"/>
        <v>0.0845978798030895</v>
      </c>
      <c r="BH81" s="397">
        <f t="shared" si="177"/>
        <v>0.0526103497687811</v>
      </c>
      <c r="BI81" s="397">
        <f t="shared" si="177"/>
        <v>0.0415002290152828</v>
      </c>
      <c r="BJ81" s="397">
        <f t="shared" si="177"/>
        <v>0.0504496761646133</v>
      </c>
      <c r="BK81" s="420">
        <f t="shared" si="177"/>
        <v>0.0331413654385109</v>
      </c>
      <c r="BL81" s="397">
        <f t="shared" si="177"/>
        <v>0.047795250188144</v>
      </c>
      <c r="BM81" s="397">
        <f t="shared" si="177"/>
        <v>0.0472997329193744</v>
      </c>
      <c r="BN81" s="397">
        <f t="shared" si="177"/>
        <v>0.0296685301028306</v>
      </c>
      <c r="BO81" s="420">
        <f t="shared" si="177"/>
        <v>0.0575340626395506</v>
      </c>
      <c r="BP81" s="397">
        <f t="shared" si="177"/>
        <v>0.0290912768660542</v>
      </c>
      <c r="BQ81" s="397">
        <f t="shared" si="181"/>
        <v>0.0338031666321379</v>
      </c>
      <c r="BR81" s="397">
        <f t="shared" si="181"/>
        <v>0.0276152578871929</v>
      </c>
      <c r="BS81" s="420">
        <f t="shared" si="181"/>
        <v>0.024093532262752</v>
      </c>
      <c r="BT81" s="397">
        <f t="shared" si="181"/>
        <v>0.0143812058577937</v>
      </c>
      <c r="BU81" s="397">
        <f t="shared" si="181"/>
        <v>0.0142006980396638</v>
      </c>
      <c r="BV81" s="397">
        <f t="shared" si="181"/>
        <v>0.0110696964273014</v>
      </c>
      <c r="BW81" s="420">
        <f t="shared" si="181"/>
        <v>0.0169337212353668</v>
      </c>
      <c r="BX81" s="397">
        <f t="shared" si="181"/>
        <v>0.0125229971738708</v>
      </c>
      <c r="BY81" s="397">
        <f t="shared" si="181"/>
        <v>0.012440268731026</v>
      </c>
      <c r="BZ81" s="397">
        <f t="shared" si="181"/>
        <v>0.0100871043915074</v>
      </c>
      <c r="CA81" s="420">
        <f t="shared" si="181"/>
        <v>0.0163979673986034</v>
      </c>
      <c r="CB81" s="397">
        <f t="shared" ref="CB81:CE81" si="186">IF(ISERROR(CB19/CB$7)," ",CB19/CB$7)</f>
        <v>0.0134172495255856</v>
      </c>
      <c r="CC81" s="397">
        <f t="shared" si="186"/>
        <v>0.0113090640838516</v>
      </c>
      <c r="CD81" s="397">
        <f t="shared" si="186"/>
        <v>0.0085545342034537</v>
      </c>
      <c r="CE81" s="420">
        <f t="shared" si="186"/>
        <v>0.0139575327043564</v>
      </c>
      <c r="CF81" s="397"/>
      <c r="CG81" s="397"/>
      <c r="CH81" s="397"/>
      <c r="CI81" s="397"/>
      <c r="CJ81" s="397"/>
      <c r="CK81" s="397"/>
      <c r="CL81" s="397"/>
      <c r="CM81" s="397"/>
      <c r="CN81" s="397"/>
      <c r="CO81" s="397"/>
      <c r="CP81" s="397"/>
      <c r="CQ81" s="397"/>
      <c r="CR81" s="397"/>
      <c r="CS81" s="397"/>
      <c r="CT81" s="397"/>
      <c r="CU81" s="397"/>
      <c r="CV81" s="397"/>
      <c r="CW81" s="397"/>
      <c r="CX81" s="397"/>
      <c r="CY81" s="397"/>
      <c r="CZ81" s="397"/>
      <c r="DA81" s="397"/>
      <c r="DB81" s="397"/>
      <c r="DC81" s="397"/>
      <c r="DD81" s="397"/>
      <c r="DE81" s="397"/>
      <c r="DF81" s="397"/>
      <c r="DG81" s="397"/>
      <c r="DH81" s="397"/>
      <c r="DI81" s="397"/>
      <c r="DJ81" s="397"/>
      <c r="DK81" s="397"/>
      <c r="DL81" s="397"/>
      <c r="DM81" s="397"/>
      <c r="DN81" s="397"/>
      <c r="DO81" s="397"/>
      <c r="DP81" s="397"/>
    </row>
    <row r="82" spans="1:120">
      <c r="A82" s="396"/>
      <c r="B82" s="88" t="s">
        <v>731</v>
      </c>
      <c r="C82" s="398"/>
      <c r="D82" s="398"/>
      <c r="E82" s="398">
        <f t="shared" ref="E82:U82" si="187">IF(ISERROR(E12/E$7)," ",E12/E$7)</f>
        <v>0.299715150775851</v>
      </c>
      <c r="F82" s="398">
        <f t="shared" si="187"/>
        <v>0.324966490555056</v>
      </c>
      <c r="G82" s="398">
        <f t="shared" si="187"/>
        <v>0.282541287450954</v>
      </c>
      <c r="H82" s="398">
        <f t="shared" si="187"/>
        <v>0.305307920565301</v>
      </c>
      <c r="I82" s="398">
        <f t="shared" si="187"/>
        <v>0.274038357849976</v>
      </c>
      <c r="J82" s="398">
        <f t="shared" si="187"/>
        <v>0.263720832626465</v>
      </c>
      <c r="K82" s="398">
        <f t="shared" si="187"/>
        <v>0.2400147181133</v>
      </c>
      <c r="L82" s="398">
        <f t="shared" si="187"/>
        <v>0.195087752888393</v>
      </c>
      <c r="M82" s="398">
        <f t="shared" si="187"/>
        <v>0.347186895690388</v>
      </c>
      <c r="N82" s="398">
        <f t="shared" si="187"/>
        <v>0.368606703960072</v>
      </c>
      <c r="O82" s="398">
        <f t="shared" si="187"/>
        <v>0.321714641634189</v>
      </c>
      <c r="P82" s="398">
        <f t="shared" si="187"/>
        <v>0.366617790357632</v>
      </c>
      <c r="Q82" s="398">
        <f t="shared" si="187"/>
        <v>0.30990043623171</v>
      </c>
      <c r="R82" s="398">
        <f t="shared" si="187"/>
        <v>0.44717413033001</v>
      </c>
      <c r="S82" s="398">
        <f t="shared" si="187"/>
        <v>0.478056285949412</v>
      </c>
      <c r="T82" s="398">
        <f t="shared" si="187"/>
        <v>0.482091666748661</v>
      </c>
      <c r="U82" s="398">
        <f t="shared" si="187"/>
        <v>0.485442684083544</v>
      </c>
      <c r="V82" s="398">
        <f t="shared" ref="V82" si="188">IF(ISERROR(V12/V$7)," ",V12/V$7)</f>
        <v>0.486680253329314</v>
      </c>
      <c r="W82" s="414"/>
      <c r="X82" s="398"/>
      <c r="Y82" s="398"/>
      <c r="Z82" s="398"/>
      <c r="AA82" s="421"/>
      <c r="AB82" s="398">
        <f t="shared" ref="AB82:BI82" si="189">IF(ISERROR(AB12/AB$7)," ",AB12/AB$7)</f>
        <v>0.284540078490192</v>
      </c>
      <c r="AC82" s="398">
        <f t="shared" si="189"/>
        <v>0.270832894821662</v>
      </c>
      <c r="AD82" s="398">
        <f t="shared" si="189"/>
        <v>0.274365875220294</v>
      </c>
      <c r="AE82" s="421">
        <f t="shared" si="189"/>
        <v>0.268006098936924</v>
      </c>
      <c r="AF82" s="398">
        <f t="shared" si="189"/>
        <v>0.247396179355336</v>
      </c>
      <c r="AG82" s="398">
        <f t="shared" si="189"/>
        <v>0.257908517317121</v>
      </c>
      <c r="AH82" s="398">
        <f t="shared" si="189"/>
        <v>0.313070701429421</v>
      </c>
      <c r="AI82" s="421">
        <f t="shared" si="189"/>
        <v>0.239708349896283</v>
      </c>
      <c r="AJ82" s="398">
        <f t="shared" si="189"/>
        <v>0.2555220146166</v>
      </c>
      <c r="AK82" s="398">
        <f t="shared" si="189"/>
        <v>0.253751763230679</v>
      </c>
      <c r="AL82" s="398">
        <f t="shared" si="189"/>
        <v>0.259049627273945</v>
      </c>
      <c r="AM82" s="421">
        <f t="shared" si="189"/>
        <v>0.190549363804509</v>
      </c>
      <c r="AN82" s="398">
        <f t="shared" si="189"/>
        <v>0.14964387523712</v>
      </c>
      <c r="AO82" s="398">
        <f t="shared" si="189"/>
        <v>0.138521088103133</v>
      </c>
      <c r="AP82" s="398">
        <f t="shared" si="189"/>
        <v>0.216239016871815</v>
      </c>
      <c r="AQ82" s="421">
        <f t="shared" si="189"/>
        <v>0.251969577739655</v>
      </c>
      <c r="AR82" s="398">
        <f t="shared" si="189"/>
        <v>0.296256110441199</v>
      </c>
      <c r="AS82" s="398">
        <f t="shared" si="189"/>
        <v>0.322007212005429</v>
      </c>
      <c r="AT82" s="398">
        <f t="shared" si="189"/>
        <v>0.355067228926244</v>
      </c>
      <c r="AU82" s="421">
        <f t="shared" si="189"/>
        <v>0.38673611144236</v>
      </c>
      <c r="AV82" s="398">
        <f t="shared" si="189"/>
        <v>0.352536435963759</v>
      </c>
      <c r="AW82" s="398">
        <f t="shared" si="189"/>
        <v>0.385654706962192</v>
      </c>
      <c r="AX82" s="398">
        <f t="shared" si="189"/>
        <v>0.387899330089086</v>
      </c>
      <c r="AY82" s="421">
        <f t="shared" si="189"/>
        <v>0.338433451057081</v>
      </c>
      <c r="AZ82" s="398">
        <f t="shared" si="189"/>
        <v>0.305331433597292</v>
      </c>
      <c r="BA82" s="398">
        <f t="shared" si="189"/>
        <v>0.34598213720355</v>
      </c>
      <c r="BB82" s="398">
        <f t="shared" si="189"/>
        <v>0.297936146368407</v>
      </c>
      <c r="BC82" s="421">
        <f t="shared" si="189"/>
        <v>0.326383522271009</v>
      </c>
      <c r="BD82" s="398">
        <f t="shared" si="189"/>
        <v>0.331165762081333</v>
      </c>
      <c r="BE82" s="398">
        <f t="shared" si="189"/>
        <v>0.343593051160688</v>
      </c>
      <c r="BF82" s="398">
        <f t="shared" si="189"/>
        <v>0.375928586827187</v>
      </c>
      <c r="BG82" s="421">
        <f t="shared" si="189"/>
        <v>0.405137328801181</v>
      </c>
      <c r="BH82" s="398">
        <f t="shared" si="189"/>
        <v>0.340442968353827</v>
      </c>
      <c r="BI82" s="398">
        <f t="shared" si="189"/>
        <v>0.254661369611694</v>
      </c>
      <c r="BJ82" s="398">
        <f t="shared" ref="BJ82:CA82" si="190">IF(ISERROR(BJ12/BJ$7)," ",BJ12/BJ$7)</f>
        <v>0.261572796309247</v>
      </c>
      <c r="BK82" s="421">
        <f t="shared" si="190"/>
        <v>0.367681601216027</v>
      </c>
      <c r="BL82" s="398">
        <f t="shared" si="190"/>
        <v>0.420049085378117</v>
      </c>
      <c r="BM82" s="398">
        <f t="shared" si="190"/>
        <v>0.437606158521172</v>
      </c>
      <c r="BN82" s="398">
        <f t="shared" si="190"/>
        <v>0.41530453400057</v>
      </c>
      <c r="BO82" s="421">
        <f t="shared" si="190"/>
        <v>0.481928981689354</v>
      </c>
      <c r="BP82" s="398">
        <f t="shared" si="190"/>
        <v>0.486597338537</v>
      </c>
      <c r="BQ82" s="398">
        <f t="shared" si="190"/>
        <v>0.466435206537813</v>
      </c>
      <c r="BR82" s="398">
        <f t="shared" si="190"/>
        <v>0.469384757497321</v>
      </c>
      <c r="BS82" s="421">
        <f t="shared" si="190"/>
        <v>0.489115887391668</v>
      </c>
      <c r="BT82" s="398">
        <f t="shared" si="190"/>
        <v>0.49160955149051</v>
      </c>
      <c r="BU82" s="398">
        <f t="shared" si="190"/>
        <v>0.477132479463012</v>
      </c>
      <c r="BV82" s="398">
        <f t="shared" si="190"/>
        <v>0.481387574131862</v>
      </c>
      <c r="BW82" s="421">
        <f t="shared" si="190"/>
        <v>0.481328287977904</v>
      </c>
      <c r="BX82" s="398">
        <f t="shared" si="190"/>
        <v>0.4581471480059</v>
      </c>
      <c r="BY82" s="398">
        <f t="shared" si="190"/>
        <v>0.482058722045264</v>
      </c>
      <c r="BZ82" s="398">
        <f t="shared" si="190"/>
        <v>0.497958039483895</v>
      </c>
      <c r="CA82" s="421">
        <f t="shared" si="190"/>
        <v>0.495300334740937</v>
      </c>
      <c r="CB82" s="398">
        <f t="shared" ref="CB82:CE82" si="191">IF(ISERROR(CB12/CB$7)," ",CB12/CB$7)</f>
        <v>0.429188485953155</v>
      </c>
      <c r="CC82" s="398">
        <f t="shared" si="191"/>
        <v>0.490597406478739</v>
      </c>
      <c r="CD82" s="398">
        <f t="shared" si="191"/>
        <v>0.50269028758399</v>
      </c>
      <c r="CE82" s="421">
        <f t="shared" si="191"/>
        <v>0.500650940467887</v>
      </c>
      <c r="CF82" s="398"/>
      <c r="CG82" s="398"/>
      <c r="CH82" s="395"/>
      <c r="CI82" s="395"/>
      <c r="CJ82" s="395"/>
      <c r="CK82" s="395"/>
      <c r="CL82" s="395"/>
      <c r="CM82" s="395"/>
      <c r="CN82" s="395"/>
      <c r="CO82" s="395"/>
      <c r="CP82" s="395"/>
      <c r="CQ82" s="395"/>
      <c r="CR82" s="395"/>
      <c r="CS82" s="395"/>
      <c r="CT82" s="395"/>
      <c r="CU82" s="395"/>
      <c r="CV82" s="395"/>
      <c r="CW82" s="395"/>
      <c r="CX82" s="395"/>
      <c r="CY82" s="395"/>
      <c r="CZ82" s="395"/>
      <c r="DA82" s="395"/>
      <c r="DB82" s="395"/>
      <c r="DC82" s="395"/>
      <c r="DD82" s="395"/>
      <c r="DE82" s="395"/>
      <c r="DF82" s="395"/>
      <c r="DG82" s="395"/>
      <c r="DH82" s="395"/>
      <c r="DI82" s="395"/>
      <c r="DJ82" s="395"/>
      <c r="DK82" s="395"/>
      <c r="DL82" s="397"/>
      <c r="DM82" s="397"/>
      <c r="DN82" s="397"/>
      <c r="DO82" s="397"/>
      <c r="DP82" s="397"/>
    </row>
    <row r="83" spans="1:120">
      <c r="A83" s="396"/>
      <c r="B83" s="109" t="s">
        <v>732</v>
      </c>
      <c r="C83" s="397"/>
      <c r="D83" s="397"/>
      <c r="E83" s="397">
        <f t="shared" ref="E83:U83" si="192">IF(ISERROR(E20/E$7)," ",E20/E$7)</f>
        <v>0.219437953995323</v>
      </c>
      <c r="F83" s="397">
        <f t="shared" si="192"/>
        <v>0.227572172090284</v>
      </c>
      <c r="G83" s="397">
        <f t="shared" si="192"/>
        <v>0.205484960234717</v>
      </c>
      <c r="H83" s="397">
        <f t="shared" si="192"/>
        <v>0.21211614118652</v>
      </c>
      <c r="I83" s="397">
        <f t="shared" si="192"/>
        <v>0.18467438763592</v>
      </c>
      <c r="J83" s="397">
        <f t="shared" si="192"/>
        <v>0.173229188970239</v>
      </c>
      <c r="K83" s="397">
        <f t="shared" si="192"/>
        <v>0.146590522686089</v>
      </c>
      <c r="L83" s="397">
        <f t="shared" si="192"/>
        <v>0.056695146312561</v>
      </c>
      <c r="M83" s="397">
        <f t="shared" si="192"/>
        <v>0.221046152367638</v>
      </c>
      <c r="N83" s="397">
        <f t="shared" si="192"/>
        <v>0.289702894557446</v>
      </c>
      <c r="O83" s="397">
        <f t="shared" si="192"/>
        <v>0.257787124946531</v>
      </c>
      <c r="P83" s="397">
        <f t="shared" si="192"/>
        <v>0.266437793615465</v>
      </c>
      <c r="Q83" s="397">
        <f t="shared" si="192"/>
        <v>0.224554874371353</v>
      </c>
      <c r="R83" s="397">
        <f t="shared" si="192"/>
        <v>0.361412930867391</v>
      </c>
      <c r="S83" s="397">
        <f t="shared" si="192"/>
        <v>0.431064966868439</v>
      </c>
      <c r="T83" s="397">
        <f t="shared" si="192"/>
        <v>0.457249350398582</v>
      </c>
      <c r="U83" s="397">
        <f t="shared" si="192"/>
        <v>0.464679103853418</v>
      </c>
      <c r="V83" s="397">
        <f t="shared" ref="V83" si="193">IF(ISERROR(V20/V$7)," ",V20/V$7)</f>
        <v>0.464639528545329</v>
      </c>
      <c r="W83" s="303"/>
      <c r="X83" s="397"/>
      <c r="Y83" s="397"/>
      <c r="Z83" s="397"/>
      <c r="AA83" s="420"/>
      <c r="AB83" s="397">
        <f t="shared" ref="AB83:BI83" si="194">IF(ISERROR(AB20/AB$7)," ",AB20/AB$7)</f>
        <v>0.206341897239174</v>
      </c>
      <c r="AC83" s="397">
        <f t="shared" si="194"/>
        <v>0.184342298030615</v>
      </c>
      <c r="AD83" s="397">
        <f t="shared" si="194"/>
        <v>0.180343533059279</v>
      </c>
      <c r="AE83" s="420">
        <f t="shared" si="194"/>
        <v>0.170207763414994</v>
      </c>
      <c r="AF83" s="397">
        <f t="shared" si="194"/>
        <v>0.166837680610052</v>
      </c>
      <c r="AG83" s="397">
        <f t="shared" si="194"/>
        <v>0.17673864253537</v>
      </c>
      <c r="AH83" s="397">
        <f t="shared" si="194"/>
        <v>0.212310304700969</v>
      </c>
      <c r="AI83" s="420">
        <f t="shared" si="194"/>
        <v>0.141876645112423</v>
      </c>
      <c r="AJ83" s="397">
        <f t="shared" si="194"/>
        <v>0.171630131983562</v>
      </c>
      <c r="AK83" s="397">
        <f t="shared" si="194"/>
        <v>0.174699891894777</v>
      </c>
      <c r="AL83" s="397">
        <f t="shared" si="194"/>
        <v>0.183653739506735</v>
      </c>
      <c r="AM83" s="420">
        <f t="shared" si="194"/>
        <v>0.0533468256104977</v>
      </c>
      <c r="AN83" s="397">
        <f t="shared" si="194"/>
        <v>0.0138295457220672</v>
      </c>
      <c r="AO83" s="397">
        <f t="shared" si="194"/>
        <v>-0.0622128346166693</v>
      </c>
      <c r="AP83" s="397">
        <f t="shared" si="194"/>
        <v>0.0826811828624489</v>
      </c>
      <c r="AQ83" s="420">
        <f t="shared" si="194"/>
        <v>0.151076256523375</v>
      </c>
      <c r="AR83" s="397">
        <f t="shared" si="194"/>
        <v>0.191013626544773</v>
      </c>
      <c r="AS83" s="397">
        <f t="shared" si="194"/>
        <v>0.184591988848278</v>
      </c>
      <c r="AT83" s="397">
        <f t="shared" si="194"/>
        <v>0.219873851324967</v>
      </c>
      <c r="AU83" s="420">
        <f t="shared" si="194"/>
        <v>0.26274461272673</v>
      </c>
      <c r="AV83" s="397">
        <f t="shared" si="194"/>
        <v>0.25273457662018</v>
      </c>
      <c r="AW83" s="397">
        <f t="shared" si="194"/>
        <v>0.308198723980423</v>
      </c>
      <c r="AX83" s="397">
        <f t="shared" si="194"/>
        <v>0.311517545096241</v>
      </c>
      <c r="AY83" s="420">
        <f t="shared" si="194"/>
        <v>0.265430630822162</v>
      </c>
      <c r="AZ83" s="397">
        <f t="shared" si="194"/>
        <v>0.252447398748338</v>
      </c>
      <c r="BA83" s="397">
        <f t="shared" si="194"/>
        <v>0.30090971653396</v>
      </c>
      <c r="BB83" s="397">
        <f t="shared" si="194"/>
        <v>0.22888575668649</v>
      </c>
      <c r="BC83" s="420">
        <f t="shared" si="194"/>
        <v>0.240708328142493</v>
      </c>
      <c r="BD83" s="397">
        <f t="shared" si="194"/>
        <v>0.262379312014037</v>
      </c>
      <c r="BE83" s="397">
        <f t="shared" si="194"/>
        <v>0.238280800029399</v>
      </c>
      <c r="BF83" s="397">
        <f t="shared" si="194"/>
        <v>0.288249040032207</v>
      </c>
      <c r="BG83" s="420">
        <f t="shared" si="194"/>
        <v>0.270271155987719</v>
      </c>
      <c r="BH83" s="397">
        <f t="shared" si="194"/>
        <v>0.241894891236013</v>
      </c>
      <c r="BI83" s="397">
        <f t="shared" si="194"/>
        <v>0.166381100280162</v>
      </c>
      <c r="BJ83" s="397">
        <f t="shared" ref="BJ83:CA83" si="195">IF(ISERROR(BJ20/BJ$7)," ",BJ20/BJ$7)</f>
        <v>0.164704971825644</v>
      </c>
      <c r="BK83" s="420">
        <f t="shared" si="195"/>
        <v>0.301143901184006</v>
      </c>
      <c r="BL83" s="397">
        <f t="shared" si="195"/>
        <v>0.326115752181753</v>
      </c>
      <c r="BM83" s="397">
        <f t="shared" si="195"/>
        <v>0.351486214427452</v>
      </c>
      <c r="BN83" s="397">
        <f t="shared" si="195"/>
        <v>0.360363948977733</v>
      </c>
      <c r="BO83" s="420">
        <f t="shared" si="195"/>
        <v>0.37785901248396</v>
      </c>
      <c r="BP83" s="397">
        <f t="shared" si="195"/>
        <v>0.432584932570709</v>
      </c>
      <c r="BQ83" s="397">
        <f t="shared" si="195"/>
        <v>0.413596196109767</v>
      </c>
      <c r="BR83" s="397">
        <f t="shared" si="195"/>
        <v>0.42440692132433</v>
      </c>
      <c r="BS83" s="420">
        <f t="shared" si="195"/>
        <v>0.448550235824989</v>
      </c>
      <c r="BT83" s="397">
        <f t="shared" si="195"/>
        <v>0.460003927152111</v>
      </c>
      <c r="BU83" s="397">
        <f t="shared" si="195"/>
        <v>0.452469331119486</v>
      </c>
      <c r="BV83" s="397">
        <f t="shared" si="195"/>
        <v>0.461697204873194</v>
      </c>
      <c r="BW83" s="420">
        <f t="shared" si="195"/>
        <v>0.455061171207844</v>
      </c>
      <c r="BX83" s="397">
        <f t="shared" si="195"/>
        <v>0.437611717176433</v>
      </c>
      <c r="BY83" s="397">
        <f t="shared" si="195"/>
        <v>0.46180122687405</v>
      </c>
      <c r="BZ83" s="397">
        <f t="shared" si="195"/>
        <v>0.481001290189886</v>
      </c>
      <c r="CA83" s="420">
        <f t="shared" si="195"/>
        <v>0.469879985366001</v>
      </c>
      <c r="CB83" s="397">
        <f t="shared" ref="CB83:CE83" si="196">IF(ISERROR(CB20/CB$7)," ",CB20/CB$7)</f>
        <v>0.406529720618046</v>
      </c>
      <c r="CC83" s="397">
        <f t="shared" si="196"/>
        <v>0.471487424660324</v>
      </c>
      <c r="CD83" s="397">
        <f t="shared" si="196"/>
        <v>0.487644180999123</v>
      </c>
      <c r="CE83" s="420">
        <f t="shared" si="196"/>
        <v>0.469204436060366</v>
      </c>
      <c r="CF83" s="397"/>
      <c r="CG83" s="397"/>
      <c r="CH83" s="395"/>
      <c r="CI83" s="395"/>
      <c r="CJ83" s="395"/>
      <c r="CK83" s="395"/>
      <c r="CL83" s="395"/>
      <c r="CM83" s="395"/>
      <c r="CN83" s="395"/>
      <c r="CO83" s="395"/>
      <c r="CP83" s="395"/>
      <c r="CQ83" s="395"/>
      <c r="CR83" s="395"/>
      <c r="CS83" s="395"/>
      <c r="CT83" s="395"/>
      <c r="CU83" s="395"/>
      <c r="CV83" s="395"/>
      <c r="CW83" s="395"/>
      <c r="CX83" s="395"/>
      <c r="CY83" s="395"/>
      <c r="CZ83" s="395"/>
      <c r="DA83" s="395"/>
      <c r="DB83" s="395"/>
      <c r="DC83" s="395"/>
      <c r="DD83" s="395"/>
      <c r="DE83" s="395"/>
      <c r="DF83" s="395"/>
      <c r="DG83" s="395"/>
      <c r="DH83" s="395"/>
      <c r="DI83" s="395"/>
      <c r="DJ83" s="395"/>
      <c r="DK83" s="395"/>
      <c r="DL83" s="397"/>
      <c r="DM83" s="397"/>
      <c r="DN83" s="397"/>
      <c r="DO83" s="397"/>
      <c r="DP83" s="397"/>
    </row>
    <row r="84" spans="1:120">
      <c r="A84" s="396"/>
      <c r="B84" s="109" t="s">
        <v>733</v>
      </c>
      <c r="C84" s="397"/>
      <c r="D84" s="397"/>
      <c r="E84" s="397">
        <f t="shared" ref="E84:U84" si="197">IF(ISERROR(E46/E$7)," ",E46/E$7)</f>
        <v>0.229005772987236</v>
      </c>
      <c r="F84" s="397">
        <f t="shared" si="197"/>
        <v>0.235934275163862</v>
      </c>
      <c r="G84" s="397">
        <f t="shared" si="197"/>
        <v>0.217414735574393</v>
      </c>
      <c r="H84" s="397">
        <f t="shared" si="197"/>
        <v>0.23581687592705</v>
      </c>
      <c r="I84" s="397">
        <f t="shared" si="197"/>
        <v>0.210112665773456</v>
      </c>
      <c r="J84" s="397">
        <f t="shared" si="197"/>
        <v>0.207283619310196</v>
      </c>
      <c r="K84" s="397">
        <f t="shared" si="197"/>
        <v>0.20048299713262</v>
      </c>
      <c r="L84" s="397">
        <f t="shared" si="197"/>
        <v>0.127632220736408</v>
      </c>
      <c r="M84" s="397">
        <f t="shared" si="197"/>
        <v>0.250964847113485</v>
      </c>
      <c r="N84" s="397">
        <f t="shared" si="197"/>
        <v>0.314732167358043</v>
      </c>
      <c r="O84" s="397">
        <f t="shared" si="197"/>
        <v>0.282626724395236</v>
      </c>
      <c r="P84" s="397">
        <f t="shared" si="197"/>
        <v>0.295734677592932</v>
      </c>
      <c r="Q84" s="397">
        <f t="shared" si="197"/>
        <v>0.265287106954154</v>
      </c>
      <c r="R84" s="397">
        <f t="shared" si="197"/>
        <v>0.385755281407229</v>
      </c>
      <c r="S84" s="397">
        <f t="shared" si="197"/>
        <v>0.44667184208312</v>
      </c>
      <c r="T84" s="397">
        <f t="shared" si="197"/>
        <v>0.469151687716941</v>
      </c>
      <c r="U84" s="397">
        <f t="shared" si="197"/>
        <v>0.476146901852694</v>
      </c>
      <c r="V84" s="397">
        <f t="shared" ref="V84" si="198">IF(ISERROR(V46/V$7)," ",V46/V$7)</f>
        <v>0.476805015758238</v>
      </c>
      <c r="W84" s="415"/>
      <c r="X84" s="397"/>
      <c r="Y84" s="397"/>
      <c r="Z84" s="397"/>
      <c r="AA84" s="420"/>
      <c r="AB84" s="397">
        <f t="shared" ref="AB84:AS84" si="199">IF(ISERROR(AB46/AB$7)," ",AB46/AB$7)</f>
        <v>0.232171610022358</v>
      </c>
      <c r="AC84" s="397">
        <f t="shared" si="199"/>
        <v>0.206259907954245</v>
      </c>
      <c r="AD84" s="397">
        <f t="shared" si="199"/>
        <v>0.206002701993436</v>
      </c>
      <c r="AE84" s="420">
        <f t="shared" si="199"/>
        <v>0.192296767194406</v>
      </c>
      <c r="AF84" s="397">
        <f t="shared" si="199"/>
        <v>0.191774190225346</v>
      </c>
      <c r="AG84" s="397">
        <f t="shared" si="199"/>
        <v>0.195664438529586</v>
      </c>
      <c r="AH84" s="397">
        <f t="shared" si="199"/>
        <v>0.262136071536949</v>
      </c>
      <c r="AI84" s="420">
        <f t="shared" si="199"/>
        <v>0.183462900324129</v>
      </c>
      <c r="AJ84" s="397">
        <f t="shared" si="199"/>
        <v>0.225009418238512</v>
      </c>
      <c r="AK84" s="397">
        <f t="shared" si="199"/>
        <v>0.217446668688508</v>
      </c>
      <c r="AL84" s="397">
        <f t="shared" si="199"/>
        <v>0.241348457897176</v>
      </c>
      <c r="AM84" s="420">
        <f t="shared" si="199"/>
        <v>0.115264819152279</v>
      </c>
      <c r="AN84" s="397">
        <f t="shared" si="199"/>
        <v>0.0983908644892653</v>
      </c>
      <c r="AO84" s="397">
        <f t="shared" si="199"/>
        <v>0.0324484708015957</v>
      </c>
      <c r="AP84" s="397">
        <f t="shared" si="199"/>
        <v>0.142758919079005</v>
      </c>
      <c r="AQ84" s="420">
        <f t="shared" si="199"/>
        <v>0.203733872863104</v>
      </c>
      <c r="AR84" s="397">
        <f t="shared" si="199"/>
        <v>0.22824261100454</v>
      </c>
      <c r="AS84" s="397">
        <f t="shared" si="199"/>
        <v>0.217093276884925</v>
      </c>
      <c r="AT84" s="397">
        <f t="shared" ref="AT84:BI84" si="200">IF(ISERROR(AT20/AT$7)," ",AT20/AT$7)</f>
        <v>0.219873851324967</v>
      </c>
      <c r="AU84" s="420">
        <f t="shared" si="200"/>
        <v>0.26274461272673</v>
      </c>
      <c r="AV84" s="397">
        <f t="shared" si="200"/>
        <v>0.25273457662018</v>
      </c>
      <c r="AW84" s="397">
        <f t="shared" si="200"/>
        <v>0.308198723980423</v>
      </c>
      <c r="AX84" s="397">
        <f t="shared" si="200"/>
        <v>0.311517545096241</v>
      </c>
      <c r="AY84" s="420">
        <f t="shared" si="200"/>
        <v>0.265430630822162</v>
      </c>
      <c r="AZ84" s="397">
        <f t="shared" si="200"/>
        <v>0.252447398748338</v>
      </c>
      <c r="BA84" s="397">
        <f t="shared" si="200"/>
        <v>0.30090971653396</v>
      </c>
      <c r="BB84" s="397">
        <f t="shared" si="200"/>
        <v>0.22888575668649</v>
      </c>
      <c r="BC84" s="420">
        <f t="shared" si="200"/>
        <v>0.240708328142493</v>
      </c>
      <c r="BD84" s="397">
        <f t="shared" si="200"/>
        <v>0.262379312014037</v>
      </c>
      <c r="BE84" s="397">
        <f t="shared" si="200"/>
        <v>0.238280800029399</v>
      </c>
      <c r="BF84" s="397">
        <f t="shared" si="200"/>
        <v>0.288249040032207</v>
      </c>
      <c r="BG84" s="420">
        <f t="shared" si="200"/>
        <v>0.270271155987719</v>
      </c>
      <c r="BH84" s="397">
        <f t="shared" si="200"/>
        <v>0.241894891236013</v>
      </c>
      <c r="BI84" s="397">
        <f t="shared" si="200"/>
        <v>0.166381100280162</v>
      </c>
      <c r="BJ84" s="397">
        <f t="shared" ref="BJ84:CA84" si="201">IF(ISERROR(BJ20/BJ$7)," ",BJ20/BJ$7)</f>
        <v>0.164704971825644</v>
      </c>
      <c r="BK84" s="420">
        <f t="shared" si="201"/>
        <v>0.301143901184006</v>
      </c>
      <c r="BL84" s="397">
        <f t="shared" si="201"/>
        <v>0.326115752181753</v>
      </c>
      <c r="BM84" s="397">
        <f t="shared" si="201"/>
        <v>0.351486214427452</v>
      </c>
      <c r="BN84" s="397">
        <f t="shared" si="201"/>
        <v>0.360363948977733</v>
      </c>
      <c r="BO84" s="420">
        <f t="shared" si="201"/>
        <v>0.37785901248396</v>
      </c>
      <c r="BP84" s="397">
        <f t="shared" si="201"/>
        <v>0.432584932570709</v>
      </c>
      <c r="BQ84" s="397">
        <f t="shared" si="201"/>
        <v>0.413596196109767</v>
      </c>
      <c r="BR84" s="397">
        <f t="shared" si="201"/>
        <v>0.42440692132433</v>
      </c>
      <c r="BS84" s="420">
        <f t="shared" si="201"/>
        <v>0.448550235824989</v>
      </c>
      <c r="BT84" s="397">
        <f t="shared" si="201"/>
        <v>0.460003927152111</v>
      </c>
      <c r="BU84" s="397">
        <f t="shared" si="201"/>
        <v>0.452469331119486</v>
      </c>
      <c r="BV84" s="397">
        <f t="shared" si="201"/>
        <v>0.461697204873194</v>
      </c>
      <c r="BW84" s="420">
        <f t="shared" si="201"/>
        <v>0.455061171207844</v>
      </c>
      <c r="BX84" s="397">
        <f t="shared" si="201"/>
        <v>0.437611717176433</v>
      </c>
      <c r="BY84" s="397">
        <f t="shared" si="201"/>
        <v>0.46180122687405</v>
      </c>
      <c r="BZ84" s="397">
        <f t="shared" si="201"/>
        <v>0.481001290189886</v>
      </c>
      <c r="CA84" s="420">
        <f t="shared" si="201"/>
        <v>0.469879985366001</v>
      </c>
      <c r="CB84" s="397">
        <f t="shared" ref="CB84:CE84" si="202">IF(ISERROR(CB20/CB$7)," ",CB20/CB$7)</f>
        <v>0.406529720618046</v>
      </c>
      <c r="CC84" s="397">
        <f t="shared" si="202"/>
        <v>0.471487424660324</v>
      </c>
      <c r="CD84" s="397">
        <f t="shared" si="202"/>
        <v>0.487644180999123</v>
      </c>
      <c r="CE84" s="420">
        <f t="shared" si="202"/>
        <v>0.469204436060366</v>
      </c>
      <c r="CF84" s="397"/>
      <c r="CG84" s="397"/>
      <c r="CH84" s="395"/>
      <c r="CI84" s="395"/>
      <c r="CJ84" s="395"/>
      <c r="CK84" s="395"/>
      <c r="CL84" s="395"/>
      <c r="CM84" s="395"/>
      <c r="CN84" s="395"/>
      <c r="CO84" s="395"/>
      <c r="CP84" s="395"/>
      <c r="CQ84" s="395"/>
      <c r="CR84" s="395"/>
      <c r="CS84" s="395"/>
      <c r="CT84" s="395"/>
      <c r="CU84" s="395"/>
      <c r="CV84" s="395"/>
      <c r="CW84" s="395"/>
      <c r="CX84" s="395"/>
      <c r="CY84" s="395"/>
      <c r="CZ84" s="395"/>
      <c r="DA84" s="395"/>
      <c r="DB84" s="395"/>
      <c r="DC84" s="395"/>
      <c r="DD84" s="395"/>
      <c r="DE84" s="395"/>
      <c r="DF84" s="395"/>
      <c r="DG84" s="395"/>
      <c r="DH84" s="395"/>
      <c r="DI84" s="395"/>
      <c r="DJ84" s="395"/>
      <c r="DK84" s="395"/>
      <c r="DL84" s="397"/>
      <c r="DM84" s="397"/>
      <c r="DN84" s="397"/>
      <c r="DO84" s="397"/>
      <c r="DP84" s="397"/>
    </row>
    <row r="85" spans="1:120">
      <c r="A85" s="396"/>
      <c r="B85" s="109" t="s">
        <v>734</v>
      </c>
      <c r="C85" s="397"/>
      <c r="D85" s="397"/>
      <c r="E85" s="397">
        <f t="shared" ref="E85:U85" si="203">IF(ISERROR(E43/E$7)," ",E43/E$7)</f>
        <v>0.219437953995323</v>
      </c>
      <c r="F85" s="397">
        <f t="shared" si="203"/>
        <v>0.227572172090284</v>
      </c>
      <c r="G85" s="397">
        <f t="shared" si="203"/>
        <v>0.205484960234717</v>
      </c>
      <c r="H85" s="397">
        <f t="shared" si="203"/>
        <v>0.21211614118652</v>
      </c>
      <c r="I85" s="397">
        <f t="shared" si="203"/>
        <v>0.18467438763592</v>
      </c>
      <c r="J85" s="397">
        <f t="shared" si="203"/>
        <v>0.173229188970239</v>
      </c>
      <c r="K85" s="397">
        <f t="shared" si="203"/>
        <v>0.146590522686089</v>
      </c>
      <c r="L85" s="397">
        <f t="shared" si="203"/>
        <v>0.056695146312561</v>
      </c>
      <c r="M85" s="397">
        <f t="shared" si="203"/>
        <v>0.221046152367638</v>
      </c>
      <c r="N85" s="397">
        <f t="shared" si="203"/>
        <v>0.289702894557446</v>
      </c>
      <c r="O85" s="397">
        <f t="shared" si="203"/>
        <v>0.257787124946531</v>
      </c>
      <c r="P85" s="397">
        <f t="shared" si="203"/>
        <v>0.266437793615465</v>
      </c>
      <c r="Q85" s="397">
        <f t="shared" si="203"/>
        <v>0.224554874371353</v>
      </c>
      <c r="R85" s="397">
        <f t="shared" si="203"/>
        <v>0.361412930867391</v>
      </c>
      <c r="S85" s="397">
        <f t="shared" si="203"/>
        <v>0.431064966868439</v>
      </c>
      <c r="T85" s="397">
        <f t="shared" si="203"/>
        <v>0.457249350398582</v>
      </c>
      <c r="U85" s="397">
        <f t="shared" si="203"/>
        <v>0.464679103853418</v>
      </c>
      <c r="V85" s="397">
        <f t="shared" ref="V85" si="204">IF(ISERROR(V43/V$7)," ",V43/V$7)</f>
        <v>0.464639528545329</v>
      </c>
      <c r="W85" s="415"/>
      <c r="X85" s="397"/>
      <c r="Y85" s="397"/>
      <c r="Z85" s="397"/>
      <c r="AA85" s="420"/>
      <c r="AB85" s="397">
        <f t="shared" ref="AB85:BI85" si="205">IF(ISERROR(AB43/AB$7)," ",AB43/AB$7)</f>
        <v>0.206341897239174</v>
      </c>
      <c r="AC85" s="397">
        <f t="shared" si="205"/>
        <v>0.184342298030615</v>
      </c>
      <c r="AD85" s="397">
        <f t="shared" si="205"/>
        <v>0.180343533059279</v>
      </c>
      <c r="AE85" s="420">
        <f t="shared" si="205"/>
        <v>0.170207763414994</v>
      </c>
      <c r="AF85" s="397">
        <f t="shared" si="205"/>
        <v>0.166837680610052</v>
      </c>
      <c r="AG85" s="397">
        <f t="shared" si="205"/>
        <v>0.17673864253537</v>
      </c>
      <c r="AH85" s="397">
        <f t="shared" si="205"/>
        <v>0.212310304700969</v>
      </c>
      <c r="AI85" s="420">
        <f t="shared" si="205"/>
        <v>0.141876645112423</v>
      </c>
      <c r="AJ85" s="397">
        <f t="shared" si="205"/>
        <v>0.171630131983562</v>
      </c>
      <c r="AK85" s="397">
        <f t="shared" si="205"/>
        <v>0.174699891894777</v>
      </c>
      <c r="AL85" s="397">
        <f t="shared" si="205"/>
        <v>0.183653739506735</v>
      </c>
      <c r="AM85" s="420">
        <f t="shared" si="205"/>
        <v>0.0533468256104977</v>
      </c>
      <c r="AN85" s="397">
        <f t="shared" si="205"/>
        <v>0.0138295457220672</v>
      </c>
      <c r="AO85" s="397">
        <f t="shared" si="205"/>
        <v>-0.0622128346166693</v>
      </c>
      <c r="AP85" s="397">
        <f t="shared" si="205"/>
        <v>0.0826811828624489</v>
      </c>
      <c r="AQ85" s="420">
        <f t="shared" si="205"/>
        <v>0.151076256523375</v>
      </c>
      <c r="AR85" s="397">
        <f t="shared" si="205"/>
        <v>0.191013626544773</v>
      </c>
      <c r="AS85" s="397">
        <f t="shared" si="205"/>
        <v>0.184591988848278</v>
      </c>
      <c r="AT85" s="397">
        <f t="shared" si="205"/>
        <v>0.219873851324967</v>
      </c>
      <c r="AU85" s="420">
        <f t="shared" si="205"/>
        <v>0.26274461272673</v>
      </c>
      <c r="AV85" s="397">
        <f t="shared" si="205"/>
        <v>0.25273457662018</v>
      </c>
      <c r="AW85" s="397">
        <f t="shared" si="205"/>
        <v>0.308198723980423</v>
      </c>
      <c r="AX85" s="397">
        <f t="shared" si="205"/>
        <v>0.311517545096241</v>
      </c>
      <c r="AY85" s="420">
        <f t="shared" si="205"/>
        <v>0.265430630822162</v>
      </c>
      <c r="AZ85" s="397">
        <f t="shared" si="205"/>
        <v>0.252447398748338</v>
      </c>
      <c r="BA85" s="397">
        <f t="shared" si="205"/>
        <v>0.30090971653396</v>
      </c>
      <c r="BB85" s="397">
        <f t="shared" si="205"/>
        <v>0.22888575668649</v>
      </c>
      <c r="BC85" s="420">
        <f t="shared" si="205"/>
        <v>0.240708328142493</v>
      </c>
      <c r="BD85" s="397">
        <f t="shared" si="205"/>
        <v>0.262379312014037</v>
      </c>
      <c r="BE85" s="397">
        <f t="shared" si="205"/>
        <v>0.238280800029399</v>
      </c>
      <c r="BF85" s="397">
        <f t="shared" si="205"/>
        <v>0.288249040032207</v>
      </c>
      <c r="BG85" s="420">
        <f t="shared" si="205"/>
        <v>0.270271155987719</v>
      </c>
      <c r="BH85" s="397">
        <f t="shared" si="205"/>
        <v>0.241894891236013</v>
      </c>
      <c r="BI85" s="397">
        <f t="shared" si="205"/>
        <v>0.166381100280162</v>
      </c>
      <c r="BJ85" s="397">
        <f t="shared" ref="BJ85:CA85" si="206">IF(ISERROR(BJ43/BJ$7)," ",BJ43/BJ$7)</f>
        <v>0.164704971825644</v>
      </c>
      <c r="BK85" s="420">
        <f t="shared" si="206"/>
        <v>0.301143901184006</v>
      </c>
      <c r="BL85" s="397">
        <f t="shared" si="206"/>
        <v>0.326115752181753</v>
      </c>
      <c r="BM85" s="397">
        <f t="shared" si="206"/>
        <v>0.351486214427452</v>
      </c>
      <c r="BN85" s="397">
        <f t="shared" si="206"/>
        <v>0.360363948977733</v>
      </c>
      <c r="BO85" s="420">
        <f t="shared" si="206"/>
        <v>0.37785901248396</v>
      </c>
      <c r="BP85" s="397">
        <f t="shared" si="206"/>
        <v>0.432584932570709</v>
      </c>
      <c r="BQ85" s="397">
        <f t="shared" si="206"/>
        <v>0.413596196109767</v>
      </c>
      <c r="BR85" s="397">
        <f t="shared" si="206"/>
        <v>0.42440692132433</v>
      </c>
      <c r="BS85" s="420">
        <f t="shared" si="206"/>
        <v>0.448550235824989</v>
      </c>
      <c r="BT85" s="397">
        <f t="shared" si="206"/>
        <v>0.460003927152111</v>
      </c>
      <c r="BU85" s="397">
        <f t="shared" si="206"/>
        <v>0.452469331119486</v>
      </c>
      <c r="BV85" s="397">
        <f t="shared" si="206"/>
        <v>0.461697204873194</v>
      </c>
      <c r="BW85" s="420">
        <f t="shared" si="206"/>
        <v>0.455061171207844</v>
      </c>
      <c r="BX85" s="397">
        <f t="shared" si="206"/>
        <v>0.437611717176433</v>
      </c>
      <c r="BY85" s="397">
        <f t="shared" si="206"/>
        <v>0.46180122687405</v>
      </c>
      <c r="BZ85" s="397">
        <f t="shared" si="206"/>
        <v>0.481001290189886</v>
      </c>
      <c r="CA85" s="420">
        <f t="shared" si="206"/>
        <v>0.469879985366001</v>
      </c>
      <c r="CB85" s="397">
        <f t="shared" ref="CB85:CE85" si="207">IF(ISERROR(CB43/CB$7)," ",CB43/CB$7)</f>
        <v>0.406529720618046</v>
      </c>
      <c r="CC85" s="397">
        <f t="shared" si="207"/>
        <v>0.471487424660324</v>
      </c>
      <c r="CD85" s="397">
        <f t="shared" si="207"/>
        <v>0.487644180999123</v>
      </c>
      <c r="CE85" s="420">
        <f t="shared" si="207"/>
        <v>0.469204436060366</v>
      </c>
      <c r="CF85" s="397"/>
      <c r="CG85" s="397"/>
      <c r="CH85" s="395"/>
      <c r="CI85" s="395"/>
      <c r="CJ85" s="395"/>
      <c r="CK85" s="395"/>
      <c r="CL85" s="395"/>
      <c r="CM85" s="395"/>
      <c r="CN85" s="395"/>
      <c r="CO85" s="395"/>
      <c r="CP85" s="395"/>
      <c r="CQ85" s="395"/>
      <c r="CR85" s="395"/>
      <c r="CS85" s="395"/>
      <c r="CT85" s="395"/>
      <c r="CU85" s="395"/>
      <c r="CV85" s="395"/>
      <c r="CW85" s="395"/>
      <c r="CX85" s="395"/>
      <c r="CY85" s="395"/>
      <c r="CZ85" s="395"/>
      <c r="DA85" s="395"/>
      <c r="DB85" s="395"/>
      <c r="DC85" s="395"/>
      <c r="DD85" s="395"/>
      <c r="DE85" s="395"/>
      <c r="DF85" s="395"/>
      <c r="DG85" s="395"/>
      <c r="DH85" s="395"/>
      <c r="DI85" s="395"/>
      <c r="DJ85" s="395"/>
      <c r="DK85" s="395"/>
      <c r="DL85" s="397"/>
      <c r="DM85" s="397"/>
      <c r="DN85" s="397"/>
      <c r="DO85" s="397"/>
      <c r="DP85" s="397"/>
    </row>
    <row r="86" spans="1:120">
      <c r="A86" s="396"/>
      <c r="B86" s="109" t="s">
        <v>735</v>
      </c>
      <c r="C86" s="397"/>
      <c r="D86" s="397"/>
      <c r="E86" s="397">
        <f t="shared" ref="E86:U86" si="208">IF(ISERROR(E33/E$7)," ",E33/E$7)</f>
        <v>0.205385566079739</v>
      </c>
      <c r="F86" s="397">
        <f t="shared" si="208"/>
        <v>0.22319925062538</v>
      </c>
      <c r="G86" s="397">
        <f t="shared" si="208"/>
        <v>0.202493026529871</v>
      </c>
      <c r="H86" s="397">
        <f t="shared" si="208"/>
        <v>0.207019365732986</v>
      </c>
      <c r="I86" s="397">
        <f t="shared" si="208"/>
        <v>0.17959632371747</v>
      </c>
      <c r="J86" s="397">
        <f t="shared" si="208"/>
        <v>0.179328902178162</v>
      </c>
      <c r="K86" s="397">
        <f t="shared" si="208"/>
        <v>0.1453640572056</v>
      </c>
      <c r="L86" s="397">
        <f t="shared" si="208"/>
        <v>0.0467272326417558</v>
      </c>
      <c r="M86" s="397">
        <f t="shared" si="208"/>
        <v>0.209422872852413</v>
      </c>
      <c r="N86" s="397">
        <f t="shared" si="208"/>
        <v>0.281089387093498</v>
      </c>
      <c r="O86" s="397">
        <f t="shared" si="208"/>
        <v>0.262370876042586</v>
      </c>
      <c r="P86" s="397">
        <f t="shared" si="208"/>
        <v>0.310479363429457</v>
      </c>
      <c r="Q86" s="397">
        <f t="shared" si="208"/>
        <v>0.254625082665086</v>
      </c>
      <c r="R86" s="397">
        <f t="shared" si="208"/>
        <v>0.374034138806429</v>
      </c>
      <c r="S86" s="397">
        <f t="shared" si="208"/>
        <v>0.437395641619641</v>
      </c>
      <c r="T86" s="397">
        <f t="shared" si="208"/>
        <v>0.460846885604335</v>
      </c>
      <c r="U86" s="397">
        <f t="shared" si="208"/>
        <v>0.465112059397442</v>
      </c>
      <c r="V86" s="397">
        <f t="shared" ref="V86" si="209">IF(ISERROR(V33/V$7)," ",V33/V$7)</f>
        <v>0.465016108228122</v>
      </c>
      <c r="W86" s="415"/>
      <c r="X86" s="397"/>
      <c r="Y86" s="397"/>
      <c r="Z86" s="397"/>
      <c r="AA86" s="420"/>
      <c r="AB86" s="397">
        <f t="shared" ref="AB86:BI86" si="210">IF(ISERROR(AB33/AB$7)," ",AB33/AB$7)</f>
        <v>0.206103312684682</v>
      </c>
      <c r="AC86" s="397">
        <f t="shared" si="210"/>
        <v>0.18758055047398</v>
      </c>
      <c r="AD86" s="397">
        <f t="shared" si="210"/>
        <v>0.16455342215936</v>
      </c>
      <c r="AE86" s="420">
        <f t="shared" si="210"/>
        <v>0.161831327960121</v>
      </c>
      <c r="AF86" s="397">
        <f t="shared" si="210"/>
        <v>0.173229915989339</v>
      </c>
      <c r="AG86" s="397">
        <f t="shared" si="210"/>
        <v>0.16893435389938</v>
      </c>
      <c r="AH86" s="397">
        <f t="shared" si="210"/>
        <v>0.237275937293806</v>
      </c>
      <c r="AI86" s="420">
        <f t="shared" si="210"/>
        <v>0.145141385840641</v>
      </c>
      <c r="AJ86" s="397">
        <f t="shared" si="210"/>
        <v>0.184175834873649</v>
      </c>
      <c r="AK86" s="397">
        <f t="shared" si="210"/>
        <v>0.162505497159805</v>
      </c>
      <c r="AL86" s="397">
        <f t="shared" si="210"/>
        <v>0.176279802988856</v>
      </c>
      <c r="AM86" s="420">
        <f t="shared" si="210"/>
        <v>0.0586501195993973</v>
      </c>
      <c r="AN86" s="397">
        <f t="shared" si="210"/>
        <v>-0.0237471527227963</v>
      </c>
      <c r="AO86" s="397">
        <f t="shared" si="210"/>
        <v>-0.0838378393201215</v>
      </c>
      <c r="AP86" s="397">
        <f t="shared" si="210"/>
        <v>0.122501406091484</v>
      </c>
      <c r="AQ86" s="420">
        <f t="shared" si="210"/>
        <v>0.127348627778039</v>
      </c>
      <c r="AR86" s="397">
        <f t="shared" si="210"/>
        <v>0.170808326293879</v>
      </c>
      <c r="AS86" s="397">
        <f t="shared" si="210"/>
        <v>0.221655204213235</v>
      </c>
      <c r="AT86" s="397">
        <f t="shared" si="210"/>
        <v>0.212938561031587</v>
      </c>
      <c r="AU86" s="420">
        <f t="shared" si="210"/>
        <v>0.220818182662448</v>
      </c>
      <c r="AV86" s="397">
        <f t="shared" si="210"/>
        <v>0.245258528416478</v>
      </c>
      <c r="AW86" s="397">
        <f t="shared" si="210"/>
        <v>0.279887235876292</v>
      </c>
      <c r="AX86" s="397">
        <f t="shared" si="210"/>
        <v>0.295320808598957</v>
      </c>
      <c r="AY86" s="420">
        <f t="shared" si="210"/>
        <v>0.284309418266704</v>
      </c>
      <c r="AZ86" s="397">
        <f t="shared" si="210"/>
        <v>0.219429125303413</v>
      </c>
      <c r="BA86" s="397">
        <f t="shared" si="210"/>
        <v>0.297603307908558</v>
      </c>
      <c r="BB86" s="397">
        <f t="shared" si="210"/>
        <v>0.272179717313845</v>
      </c>
      <c r="BC86" s="420">
        <f t="shared" si="210"/>
        <v>0.253776442949229</v>
      </c>
      <c r="BD86" s="397">
        <f t="shared" si="210"/>
        <v>0.211586914620596</v>
      </c>
      <c r="BE86" s="397">
        <f t="shared" si="210"/>
        <v>0.496708119655672</v>
      </c>
      <c r="BF86" s="397">
        <f t="shared" si="210"/>
        <v>0.36206302526097</v>
      </c>
      <c r="BG86" s="420">
        <f t="shared" si="210"/>
        <v>0.18425779900941</v>
      </c>
      <c r="BH86" s="397">
        <f t="shared" si="210"/>
        <v>0.212905857148839</v>
      </c>
      <c r="BI86" s="397">
        <f t="shared" si="210"/>
        <v>0.284459153462095</v>
      </c>
      <c r="BJ86" s="397">
        <f t="shared" ref="BJ86:CA86" si="211">IF(ISERROR(BJ33/BJ$7)," ",BJ33/BJ$7)</f>
        <v>0.201789990540241</v>
      </c>
      <c r="BK86" s="420">
        <f t="shared" si="211"/>
        <v>0.299511321197893</v>
      </c>
      <c r="BL86" s="397">
        <f t="shared" si="211"/>
        <v>0.334609105241664</v>
      </c>
      <c r="BM86" s="397">
        <f t="shared" si="211"/>
        <v>0.377008415124485</v>
      </c>
      <c r="BN86" s="397">
        <f t="shared" si="211"/>
        <v>0.369833171958465</v>
      </c>
      <c r="BO86" s="420">
        <f t="shared" si="211"/>
        <v>0.38801587110789</v>
      </c>
      <c r="BP86" s="397">
        <f t="shared" si="211"/>
        <v>0.437596637332661</v>
      </c>
      <c r="BQ86" s="397">
        <f t="shared" si="211"/>
        <v>0.418976902361759</v>
      </c>
      <c r="BR86" s="397">
        <f t="shared" si="211"/>
        <v>0.428858084538258</v>
      </c>
      <c r="BS86" s="420">
        <f t="shared" si="211"/>
        <v>0.457617417847898</v>
      </c>
      <c r="BT86" s="397">
        <f t="shared" si="211"/>
        <v>0.389376653683</v>
      </c>
      <c r="BU86" s="397">
        <f t="shared" si="211"/>
        <v>0.470903739109563</v>
      </c>
      <c r="BV86" s="397">
        <f t="shared" si="211"/>
        <v>0.478711274206232</v>
      </c>
      <c r="BW86" s="420">
        <f t="shared" si="211"/>
        <v>0.473535848479258</v>
      </c>
      <c r="BX86" s="397">
        <f t="shared" si="211"/>
        <v>0.438139001267965</v>
      </c>
      <c r="BY86" s="397">
        <f t="shared" si="211"/>
        <v>0.462277409409209</v>
      </c>
      <c r="BZ86" s="397">
        <f t="shared" si="211"/>
        <v>0.481370612089804</v>
      </c>
      <c r="CA86" s="420">
        <f t="shared" si="211"/>
        <v>0.470274522927471</v>
      </c>
      <c r="CB86" s="397">
        <f t="shared" ref="CB86:CE86" si="212">IF(ISERROR(CB33/CB$7)," ",CB33/CB$7)</f>
        <v>0.407074915641434</v>
      </c>
      <c r="CC86" s="397">
        <f t="shared" si="212"/>
        <v>0.471905180342931</v>
      </c>
      <c r="CD86" s="397">
        <f t="shared" si="212"/>
        <v>0.487946445338591</v>
      </c>
      <c r="CE86" s="420">
        <f t="shared" si="212"/>
        <v>0.469528521106035</v>
      </c>
      <c r="CF86" s="397"/>
      <c r="CG86" s="397"/>
      <c r="CH86" s="395"/>
      <c r="CI86" s="395"/>
      <c r="CJ86" s="395"/>
      <c r="CK86" s="395"/>
      <c r="CL86" s="395"/>
      <c r="CM86" s="395"/>
      <c r="CN86" s="395"/>
      <c r="CO86" s="395"/>
      <c r="CP86" s="395"/>
      <c r="CQ86" s="395"/>
      <c r="CR86" s="395"/>
      <c r="CS86" s="395"/>
      <c r="CT86" s="395"/>
      <c r="CU86" s="395"/>
      <c r="CV86" s="395"/>
      <c r="CW86" s="395"/>
      <c r="CX86" s="395"/>
      <c r="CY86" s="395"/>
      <c r="CZ86" s="395"/>
      <c r="DA86" s="395"/>
      <c r="DB86" s="395"/>
      <c r="DC86" s="395"/>
      <c r="DD86" s="395"/>
      <c r="DE86" s="395"/>
      <c r="DF86" s="395"/>
      <c r="DG86" s="395"/>
      <c r="DH86" s="395"/>
      <c r="DI86" s="395"/>
      <c r="DJ86" s="395"/>
      <c r="DK86" s="395"/>
      <c r="DL86" s="397"/>
      <c r="DM86" s="397"/>
      <c r="DN86" s="397"/>
      <c r="DO86" s="397"/>
      <c r="DP86" s="397"/>
    </row>
    <row r="87" spans="1:120">
      <c r="A87" s="396"/>
      <c r="B87" s="109" t="s">
        <v>736</v>
      </c>
      <c r="C87" s="397"/>
      <c r="D87" s="397"/>
      <c r="E87" s="397">
        <f>+E36/E33</f>
        <v>0.160521319558839</v>
      </c>
      <c r="F87" s="397">
        <f t="shared" ref="F87:U87" si="213">IF(F36/F33&lt;0,0%,F36/F33)</f>
        <v>0.152483784365834</v>
      </c>
      <c r="G87" s="397">
        <f t="shared" si="213"/>
        <v>0.149963134439249</v>
      </c>
      <c r="H87" s="397">
        <f t="shared" si="213"/>
        <v>0.14600322997015</v>
      </c>
      <c r="I87" s="397">
        <f t="shared" si="213"/>
        <v>0.14503865344849</v>
      </c>
      <c r="J87" s="397">
        <f t="shared" si="213"/>
        <v>0.177630620892877</v>
      </c>
      <c r="K87" s="397">
        <f t="shared" si="213"/>
        <v>0.128954208451167</v>
      </c>
      <c r="L87" s="397">
        <f t="shared" si="213"/>
        <v>0.103576497868761</v>
      </c>
      <c r="M87" s="397">
        <f t="shared" si="213"/>
        <v>0.127462531208354</v>
      </c>
      <c r="N87" s="397">
        <f t="shared" si="213"/>
        <v>0.124360408535276</v>
      </c>
      <c r="O87" s="397">
        <f t="shared" si="213"/>
        <v>0.132552211084983</v>
      </c>
      <c r="P87" s="397">
        <f t="shared" si="213"/>
        <v>0.120914488999149</v>
      </c>
      <c r="Q87" s="397">
        <f t="shared" si="213"/>
        <v>0.127251739335852</v>
      </c>
      <c r="R87" s="397">
        <f t="shared" si="213"/>
        <v>0.122563596012083</v>
      </c>
      <c r="S87" s="397">
        <f t="shared" si="213"/>
        <v>0.120787479895051</v>
      </c>
      <c r="T87" s="397">
        <f t="shared" si="213"/>
        <v>0.125</v>
      </c>
      <c r="U87" s="397">
        <f t="shared" si="213"/>
        <v>0.125</v>
      </c>
      <c r="V87" s="397">
        <f t="shared" ref="V87" si="214">IF(V36/V33&lt;0,0%,V36/V33)</f>
        <v>0.125</v>
      </c>
      <c r="W87" s="415"/>
      <c r="X87" s="397"/>
      <c r="Y87" s="397"/>
      <c r="Z87" s="397"/>
      <c r="AA87" s="420"/>
      <c r="AB87" s="397">
        <f t="shared" ref="AB87:AI87" si="215">+AB36/AB33</f>
        <v>0.148912677474085</v>
      </c>
      <c r="AC87" s="397">
        <f t="shared" si="215"/>
        <v>0.147015323203223</v>
      </c>
      <c r="AD87" s="397">
        <f t="shared" si="215"/>
        <v>0.146548963970467</v>
      </c>
      <c r="AE87" s="420">
        <f t="shared" si="215"/>
        <v>0.137188209398034</v>
      </c>
      <c r="AF87" s="397">
        <f t="shared" si="215"/>
        <v>0.152612547552143</v>
      </c>
      <c r="AG87" s="397">
        <f t="shared" si="215"/>
        <v>0.171257306419897</v>
      </c>
      <c r="AH87" s="397">
        <f t="shared" si="215"/>
        <v>0.20844735677873</v>
      </c>
      <c r="AI87" s="420">
        <f t="shared" si="215"/>
        <v>0.163968346849956</v>
      </c>
      <c r="AJ87" s="397">
        <f t="shared" ref="AJ87:BR87" si="216">IF(AJ36/AJ33&lt;0,0%,AJ36/AJ33)</f>
        <v>0.153072475353289</v>
      </c>
      <c r="AK87" s="397">
        <f t="shared" si="216"/>
        <v>0.156566933396037</v>
      </c>
      <c r="AL87" s="397">
        <f t="shared" si="216"/>
        <v>0.16671511723412</v>
      </c>
      <c r="AM87" s="420">
        <f t="shared" si="216"/>
        <v>0</v>
      </c>
      <c r="AN87" s="397">
        <f t="shared" si="216"/>
        <v>0.137098435123597</v>
      </c>
      <c r="AO87" s="397">
        <f t="shared" si="216"/>
        <v>0.133666726737342</v>
      </c>
      <c r="AP87" s="397">
        <f t="shared" si="216"/>
        <v>0.151878421469148</v>
      </c>
      <c r="AQ87" s="420">
        <f t="shared" si="216"/>
        <v>0.0816699486931444</v>
      </c>
      <c r="AR87" s="397">
        <f t="shared" si="216"/>
        <v>0.152459865838186</v>
      </c>
      <c r="AS87" s="397">
        <f t="shared" si="216"/>
        <v>0.151159843111036</v>
      </c>
      <c r="AT87" s="397">
        <f t="shared" si="216"/>
        <v>0.155409211451699</v>
      </c>
      <c r="AU87" s="420">
        <f t="shared" si="216"/>
        <v>0.0810504415593305</v>
      </c>
      <c r="AV87" s="397">
        <f t="shared" si="216"/>
        <v>0.151163624540984</v>
      </c>
      <c r="AW87" s="397">
        <f t="shared" si="216"/>
        <v>0.148593163893769</v>
      </c>
      <c r="AX87" s="397">
        <f t="shared" si="216"/>
        <v>0.151179969294576</v>
      </c>
      <c r="AY87" s="420">
        <f t="shared" si="216"/>
        <v>0.0592405638164022</v>
      </c>
      <c r="AZ87" s="397">
        <f t="shared" si="216"/>
        <v>0.179492019651413</v>
      </c>
      <c r="BA87" s="397">
        <f t="shared" si="216"/>
        <v>0.133710085348408</v>
      </c>
      <c r="BB87" s="397">
        <f t="shared" si="216"/>
        <v>0.0983935574579097</v>
      </c>
      <c r="BC87" s="420">
        <f t="shared" si="216"/>
        <v>0.126624894264758</v>
      </c>
      <c r="BD87" s="397">
        <f t="shared" si="216"/>
        <v>0.15254674374566</v>
      </c>
      <c r="BE87" s="397">
        <f t="shared" si="216"/>
        <v>0.106235954539399</v>
      </c>
      <c r="BF87" s="397">
        <f t="shared" si="216"/>
        <v>0.110459885968069</v>
      </c>
      <c r="BG87" s="420">
        <f t="shared" si="216"/>
        <v>0.145120407745757</v>
      </c>
      <c r="BH87" s="397">
        <f t="shared" si="216"/>
        <v>0.1561624912072</v>
      </c>
      <c r="BI87" s="397">
        <f t="shared" si="216"/>
        <v>0.0991080105840007</v>
      </c>
      <c r="BJ87" s="397">
        <f t="shared" si="216"/>
        <v>0.105619906995288</v>
      </c>
      <c r="BK87" s="420">
        <f t="shared" si="216"/>
        <v>0.144961524761384</v>
      </c>
      <c r="BL87" s="397">
        <f t="shared" si="216"/>
        <v>0.128448525245555</v>
      </c>
      <c r="BM87" s="397">
        <f t="shared" si="216"/>
        <v>0.112022636138135</v>
      </c>
      <c r="BN87" s="397">
        <f t="shared" si="216"/>
        <v>0.121187762584255</v>
      </c>
      <c r="BO87" s="420">
        <f t="shared" si="216"/>
        <v>0.126556923285272</v>
      </c>
      <c r="BP87" s="397">
        <f t="shared" si="216"/>
        <v>0.113197581553596</v>
      </c>
      <c r="BQ87" s="397">
        <f t="shared" si="216"/>
        <v>0.114148747577903</v>
      </c>
      <c r="BR87" s="397">
        <f t="shared" si="216"/>
        <v>0.083527159978036</v>
      </c>
      <c r="BS87" s="420">
        <v>0.11</v>
      </c>
      <c r="BT87" s="397">
        <v>0.125</v>
      </c>
      <c r="BU87" s="444">
        <v>0.125</v>
      </c>
      <c r="BV87" s="444">
        <v>0.125</v>
      </c>
      <c r="BW87" s="445">
        <v>0.125</v>
      </c>
      <c r="BX87" s="444">
        <v>0.125</v>
      </c>
      <c r="BY87" s="444">
        <v>0.125</v>
      </c>
      <c r="BZ87" s="444">
        <v>0.125</v>
      </c>
      <c r="CA87" s="445">
        <v>0.125</v>
      </c>
      <c r="CB87" s="444">
        <v>0.125</v>
      </c>
      <c r="CC87" s="444">
        <v>0.125</v>
      </c>
      <c r="CD87" s="444">
        <v>0.125</v>
      </c>
      <c r="CE87" s="445">
        <v>0.125</v>
      </c>
      <c r="CF87" s="407"/>
      <c r="CG87" s="407"/>
      <c r="CH87" s="395"/>
      <c r="CI87" s="395"/>
      <c r="CJ87" s="395"/>
      <c r="CK87" s="395"/>
      <c r="CL87" s="395"/>
      <c r="CM87" s="395"/>
      <c r="CN87" s="395"/>
      <c r="CO87" s="395"/>
      <c r="CP87" s="395"/>
      <c r="CQ87" s="395"/>
      <c r="CR87" s="395"/>
      <c r="CS87" s="395"/>
      <c r="CT87" s="395"/>
      <c r="CU87" s="395"/>
      <c r="CV87" s="395"/>
      <c r="CW87" s="395"/>
      <c r="CX87" s="395"/>
      <c r="CY87" s="395"/>
      <c r="CZ87" s="395"/>
      <c r="DA87" s="395"/>
      <c r="DB87" s="395"/>
      <c r="DC87" s="395"/>
      <c r="DD87" s="395"/>
      <c r="DE87" s="395"/>
      <c r="DF87" s="395"/>
      <c r="DG87" s="395"/>
      <c r="DH87" s="395"/>
      <c r="DI87" s="395"/>
      <c r="DJ87" s="395"/>
      <c r="DK87" s="395"/>
      <c r="DL87" s="397"/>
      <c r="DM87" s="397"/>
      <c r="DN87" s="397"/>
      <c r="DO87" s="397"/>
      <c r="DP87" s="397"/>
    </row>
    <row r="88" spans="1:120">
      <c r="A88" s="396"/>
      <c r="B88" s="109" t="s">
        <v>737</v>
      </c>
      <c r="C88" s="397"/>
      <c r="D88" s="397"/>
      <c r="E88" s="397">
        <f t="shared" ref="E88:U88" si="217">IF(ISERROR(E40/E$7)," ",E40/E$7)</f>
        <v>0.17241680399428</v>
      </c>
      <c r="F88" s="397">
        <f t="shared" si="217"/>
        <v>0.189164984222404</v>
      </c>
      <c r="G88" s="397">
        <f t="shared" si="217"/>
        <v>0.172126537569361</v>
      </c>
      <c r="H88" s="397">
        <f t="shared" si="217"/>
        <v>0.176793869669599</v>
      </c>
      <c r="I88" s="397">
        <f t="shared" si="217"/>
        <v>0.153547914761189</v>
      </c>
      <c r="J88" s="397">
        <f t="shared" si="217"/>
        <v>0.147474597940217</v>
      </c>
      <c r="K88" s="397">
        <f t="shared" si="217"/>
        <v>0.126618750271402</v>
      </c>
      <c r="L88" s="397">
        <f t="shared" si="217"/>
        <v>0.0418873895296239</v>
      </c>
      <c r="M88" s="397">
        <f t="shared" si="217"/>
        <v>0.182729303385719</v>
      </c>
      <c r="N88" s="397">
        <f t="shared" si="217"/>
        <v>0.246132996079621</v>
      </c>
      <c r="O88" s="397">
        <f t="shared" si="217"/>
        <v>0.227593036298838</v>
      </c>
      <c r="P88" s="397">
        <f t="shared" si="217"/>
        <v>0.272937909855603</v>
      </c>
      <c r="Q88" s="397">
        <f t="shared" si="217"/>
        <v>0.222223598017418</v>
      </c>
      <c r="R88" s="397">
        <f t="shared" si="217"/>
        <v>0.328191169723031</v>
      </c>
      <c r="S88" s="397">
        <f t="shared" si="217"/>
        <v>0.383704147354465</v>
      </c>
      <c r="T88" s="397">
        <f t="shared" si="217"/>
        <v>0.401947407352953</v>
      </c>
      <c r="U88" s="397">
        <f t="shared" si="217"/>
        <v>0.406973051972762</v>
      </c>
      <c r="V88" s="397">
        <f t="shared" ref="V88" si="218">IF(ISERROR(V40/V$7)," ",V40/V$7)</f>
        <v>0.406889094699606</v>
      </c>
      <c r="W88" s="415"/>
      <c r="X88" s="397" t="str">
        <f t="shared" ref="X88:BS88" si="219">IF(ISERROR(X40/X$7)," ",X40/X$7)</f>
        <v> </v>
      </c>
      <c r="Y88" s="397" t="str">
        <f t="shared" si="219"/>
        <v> </v>
      </c>
      <c r="Z88" s="397" t="str">
        <f t="shared" si="219"/>
        <v> </v>
      </c>
      <c r="AA88" s="420" t="str">
        <f t="shared" si="219"/>
        <v> </v>
      </c>
      <c r="AB88" s="397">
        <f t="shared" si="219"/>
        <v>0.175411916556527</v>
      </c>
      <c r="AC88" s="397">
        <f t="shared" si="219"/>
        <v>0.160003335219409</v>
      </c>
      <c r="AD88" s="397">
        <f t="shared" si="219"/>
        <v>0.140438288624111</v>
      </c>
      <c r="AE88" s="420">
        <f t="shared" si="219"/>
        <v>0.139629977852766</v>
      </c>
      <c r="AF88" s="397">
        <f t="shared" si="219"/>
        <v>0.146792857197963</v>
      </c>
      <c r="AG88" s="397">
        <f t="shared" si="219"/>
        <v>0.140003111488786</v>
      </c>
      <c r="AH88" s="397">
        <f t="shared" si="219"/>
        <v>0.187816395337716</v>
      </c>
      <c r="AI88" s="420">
        <f t="shared" si="219"/>
        <v>0.121342792744839</v>
      </c>
      <c r="AJ88" s="397">
        <f t="shared" si="219"/>
        <v>0.155983583929281</v>
      </c>
      <c r="AK88" s="397">
        <f t="shared" si="219"/>
        <v>0.137062509809496</v>
      </c>
      <c r="AL88" s="397">
        <f t="shared" si="219"/>
        <v>0.146891294967562</v>
      </c>
      <c r="AM88" s="420">
        <f t="shared" si="219"/>
        <v>0.0671613837177949</v>
      </c>
      <c r="AN88" s="397">
        <f t="shared" si="219"/>
        <v>-0.0204914552458599</v>
      </c>
      <c r="AO88" s="397">
        <f t="shared" si="219"/>
        <v>-0.0726315097614696</v>
      </c>
      <c r="AP88" s="397">
        <f t="shared" si="219"/>
        <v>0.103896085906559</v>
      </c>
      <c r="AQ88" s="420">
        <f t="shared" si="219"/>
        <v>0.116948071881264</v>
      </c>
      <c r="AR88" s="397">
        <f t="shared" si="219"/>
        <v>0.144766911783069</v>
      </c>
      <c r="AS88" s="397">
        <f t="shared" si="219"/>
        <v>0.188149838319618</v>
      </c>
      <c r="AT88" s="397">
        <f t="shared" si="219"/>
        <v>0.179845947174009</v>
      </c>
      <c r="AU88" s="420">
        <f t="shared" si="219"/>
        <v>0.202920771453328</v>
      </c>
      <c r="AV88" s="397">
        <f t="shared" si="219"/>
        <v>0.208184360311455</v>
      </c>
      <c r="AW88" s="397">
        <f t="shared" si="219"/>
        <v>0.238297905963952</v>
      </c>
      <c r="AX88" s="397">
        <f t="shared" si="219"/>
        <v>0.250674217822918</v>
      </c>
      <c r="AY88" s="420">
        <f t="shared" si="219"/>
        <v>0.267466768030271</v>
      </c>
      <c r="AZ88" s="397">
        <f t="shared" si="219"/>
        <v>0.18004334843236</v>
      </c>
      <c r="BA88" s="397">
        <f t="shared" si="219"/>
        <v>0.257810744208136</v>
      </c>
      <c r="BB88" s="397">
        <f t="shared" si="219"/>
        <v>0.245398986659448</v>
      </c>
      <c r="BC88" s="420">
        <f t="shared" si="219"/>
        <v>0.221642027693897</v>
      </c>
      <c r="BD88" s="397">
        <f t="shared" si="219"/>
        <v>0.179310019776033</v>
      </c>
      <c r="BE88" s="397">
        <f t="shared" si="219"/>
        <v>0.443939858436581</v>
      </c>
      <c r="BF88" s="397">
        <f t="shared" si="219"/>
        <v>0.322069584777389</v>
      </c>
      <c r="BG88" s="420">
        <f t="shared" si="219"/>
        <v>0.157518232086828</v>
      </c>
      <c r="BH88" s="397">
        <f t="shared" si="219"/>
        <v>0.179657948103872</v>
      </c>
      <c r="BI88" s="397">
        <f t="shared" si="219"/>
        <v>0.256266972670058</v>
      </c>
      <c r="BJ88" s="397">
        <f t="shared" si="219"/>
        <v>0.180476950506801</v>
      </c>
      <c r="BK88" s="420">
        <f t="shared" si="219"/>
        <v>0.25609370339375</v>
      </c>
      <c r="BL88" s="397">
        <f t="shared" si="219"/>
        <v>0.291629059139637</v>
      </c>
      <c r="BM88" s="397">
        <f t="shared" si="219"/>
        <v>0.33477493861598</v>
      </c>
      <c r="BN88" s="397">
        <f t="shared" si="219"/>
        <v>0.325013917319381</v>
      </c>
      <c r="BO88" s="420">
        <f t="shared" si="219"/>
        <v>0.338909776274621</v>
      </c>
      <c r="BP88" s="397">
        <f t="shared" si="219"/>
        <v>0.388061756290617</v>
      </c>
      <c r="BQ88" s="397">
        <f t="shared" si="219"/>
        <v>0.371151213693095</v>
      </c>
      <c r="BR88" s="397">
        <f t="shared" si="219"/>
        <v>0.393036786703157</v>
      </c>
      <c r="BS88" s="420">
        <f t="shared" si="219"/>
        <v>0.384407552224135</v>
      </c>
      <c r="BT88" s="397">
        <f t="shared" ref="BT88:CA88" si="220">IF(ISERROR(BT40/BT$7)," ",BT40/BT$7)</f>
        <v>0.332721138936982</v>
      </c>
      <c r="BU88" s="397">
        <f t="shared" si="220"/>
        <v>0.412040771720868</v>
      </c>
      <c r="BV88" s="397">
        <f t="shared" si="220"/>
        <v>0.418872364930453</v>
      </c>
      <c r="BW88" s="420">
        <f t="shared" si="220"/>
        <v>0.414343867419351</v>
      </c>
      <c r="BX88" s="397">
        <f t="shared" si="220"/>
        <v>0.383371626109469</v>
      </c>
      <c r="BY88" s="397">
        <f t="shared" si="220"/>
        <v>0.404492733233058</v>
      </c>
      <c r="BZ88" s="397">
        <f t="shared" si="220"/>
        <v>0.421199285578578</v>
      </c>
      <c r="CA88" s="420">
        <f t="shared" si="220"/>
        <v>0.411490207561537</v>
      </c>
      <c r="CB88" s="397">
        <f t="shared" ref="CB88:CE88" si="221">IF(ISERROR(CB40/CB$7)," ",CB40/CB$7)</f>
        <v>0.356190551186255</v>
      </c>
      <c r="CC88" s="397">
        <f t="shared" si="221"/>
        <v>0.412917032800065</v>
      </c>
      <c r="CD88" s="397">
        <f t="shared" si="221"/>
        <v>0.426953139671267</v>
      </c>
      <c r="CE88" s="420">
        <f t="shared" si="221"/>
        <v>0.410837455967781</v>
      </c>
      <c r="CF88" s="397"/>
      <c r="CG88" s="397"/>
      <c r="CH88" s="395"/>
      <c r="CI88" s="395"/>
      <c r="CJ88" s="395"/>
      <c r="CK88" s="395"/>
      <c r="CL88" s="395"/>
      <c r="CM88" s="395"/>
      <c r="CN88" s="395"/>
      <c r="CO88" s="395"/>
      <c r="CP88" s="395"/>
      <c r="CQ88" s="395"/>
      <c r="CR88" s="395"/>
      <c r="CS88" s="395"/>
      <c r="CT88" s="395"/>
      <c r="CU88" s="395"/>
      <c r="CV88" s="395"/>
      <c r="CW88" s="395"/>
      <c r="CX88" s="395"/>
      <c r="CY88" s="395"/>
      <c r="CZ88" s="395"/>
      <c r="DA88" s="395"/>
      <c r="DB88" s="395"/>
      <c r="DC88" s="395"/>
      <c r="DD88" s="395"/>
      <c r="DE88" s="395"/>
      <c r="DF88" s="395"/>
      <c r="DG88" s="395"/>
      <c r="DH88" s="395"/>
      <c r="DI88" s="395"/>
      <c r="DJ88" s="395"/>
      <c r="DK88" s="395"/>
      <c r="DL88" s="397"/>
      <c r="DM88" s="397"/>
      <c r="DN88" s="397"/>
      <c r="DO88" s="397"/>
      <c r="DP88" s="397"/>
    </row>
    <row r="89" spans="1:120">
      <c r="A89" s="261"/>
      <c r="B89" s="302"/>
      <c r="C89" s="302"/>
      <c r="D89" s="302"/>
      <c r="E89" s="302"/>
      <c r="F89" s="302"/>
      <c r="G89" s="302"/>
      <c r="H89" s="302"/>
      <c r="I89" s="302"/>
      <c r="J89" s="302"/>
      <c r="K89" s="302"/>
      <c r="L89" s="302"/>
      <c r="M89" s="302"/>
      <c r="N89" s="302"/>
      <c r="O89" s="302"/>
      <c r="P89" s="302"/>
      <c r="Q89" s="302"/>
      <c r="R89" s="302"/>
      <c r="S89" s="302"/>
      <c r="T89" s="302"/>
      <c r="U89" s="302"/>
      <c r="V89" s="302"/>
      <c r="W89" s="303"/>
      <c r="X89" s="302"/>
      <c r="Y89" s="302"/>
      <c r="Z89" s="302"/>
      <c r="AA89" s="422"/>
      <c r="AB89" s="302"/>
      <c r="AC89" s="302"/>
      <c r="AD89" s="302"/>
      <c r="AE89" s="422"/>
      <c r="AF89" s="302"/>
      <c r="AG89" s="302"/>
      <c r="AH89" s="302"/>
      <c r="AI89" s="422"/>
      <c r="AJ89" s="302"/>
      <c r="AK89" s="302"/>
      <c r="AL89" s="302"/>
      <c r="AM89" s="422"/>
      <c r="AN89" s="302"/>
      <c r="AO89" s="302"/>
      <c r="AP89" s="302"/>
      <c r="AQ89" s="422"/>
      <c r="AR89" s="302"/>
      <c r="AS89" s="302"/>
      <c r="AT89" s="253"/>
      <c r="AU89" s="316"/>
      <c r="AV89" s="253"/>
      <c r="AW89" s="253"/>
      <c r="AX89" s="253"/>
      <c r="AY89" s="316"/>
      <c r="AZ89" s="253"/>
      <c r="BA89" s="253"/>
      <c r="BB89" s="253"/>
      <c r="BC89" s="316"/>
      <c r="BD89" s="253"/>
      <c r="BE89" s="253"/>
      <c r="BF89" s="253"/>
      <c r="BG89" s="316"/>
      <c r="BH89" s="253"/>
      <c r="BI89" s="253"/>
      <c r="BJ89" s="253"/>
      <c r="BK89" s="316"/>
      <c r="BL89" s="253"/>
      <c r="BM89" s="253"/>
      <c r="BN89" s="253"/>
      <c r="BO89" s="316"/>
      <c r="BP89" s="253"/>
      <c r="BQ89" s="253"/>
      <c r="BR89" s="253"/>
      <c r="BS89" s="316"/>
      <c r="BT89" s="253"/>
      <c r="BU89" s="253"/>
      <c r="BV89" s="253"/>
      <c r="BW89" s="316"/>
      <c r="BX89" s="253"/>
      <c r="BY89" s="253"/>
      <c r="BZ89" s="253"/>
      <c r="CA89" s="316"/>
      <c r="CB89" s="253"/>
      <c r="CC89" s="253"/>
      <c r="CD89" s="253"/>
      <c r="CE89" s="316"/>
      <c r="CF89" s="253"/>
      <c r="CG89" s="253"/>
      <c r="CH89" s="253"/>
      <c r="CI89" s="253"/>
      <c r="CJ89" s="253"/>
      <c r="CK89" s="253"/>
      <c r="CL89" s="253"/>
      <c r="CM89" s="253"/>
      <c r="CN89" s="253"/>
      <c r="CO89" s="253"/>
      <c r="CP89" s="253"/>
      <c r="CQ89" s="253"/>
      <c r="CR89" s="253"/>
      <c r="CS89" s="253"/>
      <c r="CT89" s="253"/>
      <c r="CU89" s="253"/>
      <c r="CV89" s="253"/>
      <c r="CW89" s="253"/>
      <c r="CX89" s="253"/>
      <c r="CY89" s="253"/>
      <c r="CZ89" s="253"/>
      <c r="DA89" s="253"/>
      <c r="DB89" s="253"/>
      <c r="DC89" s="253"/>
      <c r="DD89" s="253"/>
      <c r="DE89" s="253"/>
      <c r="DF89" s="253"/>
      <c r="DG89" s="253"/>
      <c r="DH89" s="253"/>
      <c r="DI89" s="253"/>
      <c r="DJ89" s="253"/>
      <c r="DK89" s="253"/>
      <c r="DL89" s="253"/>
      <c r="DM89" s="253"/>
      <c r="DN89" s="253"/>
      <c r="DO89" s="253"/>
      <c r="DP89" s="253"/>
    </row>
    <row r="90" spans="1:120">
      <c r="A90" s="248"/>
      <c r="B90" s="534" t="s">
        <v>738</v>
      </c>
      <c r="C90" s="245"/>
      <c r="D90" s="245"/>
      <c r="E90" s="245"/>
      <c r="F90" s="245"/>
      <c r="G90" s="245"/>
      <c r="H90" s="245"/>
      <c r="I90" s="247"/>
      <c r="J90" s="247"/>
      <c r="K90" s="247"/>
      <c r="L90" s="247"/>
      <c r="M90" s="247"/>
      <c r="N90" s="247"/>
      <c r="O90" s="247"/>
      <c r="P90" s="247"/>
      <c r="Q90" s="247"/>
      <c r="R90" s="247"/>
      <c r="S90" s="247"/>
      <c r="T90" s="247"/>
      <c r="U90" s="247"/>
      <c r="V90" s="247"/>
      <c r="W90" s="300"/>
      <c r="X90" s="247" t="str">
        <f t="shared" ref="X90:BC90" si="222">X4</f>
        <v>1Q14</v>
      </c>
      <c r="Y90" s="247" t="str">
        <f t="shared" si="222"/>
        <v>2Q14</v>
      </c>
      <c r="Z90" s="247" t="str">
        <f t="shared" si="222"/>
        <v>3Q14</v>
      </c>
      <c r="AA90" s="313" t="str">
        <f t="shared" si="222"/>
        <v>4Q14</v>
      </c>
      <c r="AB90" s="247" t="str">
        <f t="shared" si="222"/>
        <v>1Q15</v>
      </c>
      <c r="AC90" s="247" t="str">
        <f t="shared" si="222"/>
        <v>2Q15</v>
      </c>
      <c r="AD90" s="247" t="str">
        <f t="shared" si="222"/>
        <v>3Q15</v>
      </c>
      <c r="AE90" s="313" t="str">
        <f t="shared" si="222"/>
        <v>4Q15</v>
      </c>
      <c r="AF90" s="247" t="str">
        <f t="shared" si="222"/>
        <v>1Q16</v>
      </c>
      <c r="AG90" s="247" t="str">
        <f t="shared" si="222"/>
        <v>2Q16</v>
      </c>
      <c r="AH90" s="247" t="str">
        <f t="shared" si="222"/>
        <v>3Q16</v>
      </c>
      <c r="AI90" s="313" t="str">
        <f t="shared" si="222"/>
        <v>4Q16</v>
      </c>
      <c r="AJ90" s="247" t="str">
        <f t="shared" si="222"/>
        <v>1Q17</v>
      </c>
      <c r="AK90" s="247" t="str">
        <f t="shared" si="222"/>
        <v>2Q17</v>
      </c>
      <c r="AL90" s="247" t="str">
        <f t="shared" si="222"/>
        <v>3Q17</v>
      </c>
      <c r="AM90" s="313" t="str">
        <f t="shared" si="222"/>
        <v>4Q17</v>
      </c>
      <c r="AN90" s="247" t="str">
        <f t="shared" si="222"/>
        <v>1Q18</v>
      </c>
      <c r="AO90" s="247" t="str">
        <f t="shared" si="222"/>
        <v>2Q18</v>
      </c>
      <c r="AP90" s="247" t="str">
        <f t="shared" si="222"/>
        <v>3Q18</v>
      </c>
      <c r="AQ90" s="313" t="str">
        <f t="shared" si="222"/>
        <v>4Q18</v>
      </c>
      <c r="AR90" s="247" t="str">
        <f t="shared" si="222"/>
        <v>1Q19</v>
      </c>
      <c r="AS90" s="247" t="str">
        <f t="shared" si="222"/>
        <v>2Q19</v>
      </c>
      <c r="AT90" s="529" t="str">
        <f t="shared" si="222"/>
        <v>3Q19</v>
      </c>
      <c r="AU90" s="530" t="str">
        <f t="shared" si="222"/>
        <v>4Q19</v>
      </c>
      <c r="AV90" s="529" t="str">
        <f t="shared" si="222"/>
        <v>1Q20</v>
      </c>
      <c r="AW90" s="529" t="str">
        <f t="shared" si="222"/>
        <v>2Q20</v>
      </c>
      <c r="AX90" s="529" t="str">
        <f t="shared" si="222"/>
        <v>3Q20</v>
      </c>
      <c r="AY90" s="530" t="str">
        <f t="shared" si="222"/>
        <v>4Q20</v>
      </c>
      <c r="AZ90" s="529" t="str">
        <f t="shared" si="222"/>
        <v>1Q21</v>
      </c>
      <c r="BA90" s="529" t="str">
        <f t="shared" si="222"/>
        <v>2Q21</v>
      </c>
      <c r="BB90" s="529" t="str">
        <f t="shared" si="222"/>
        <v>3Q21</v>
      </c>
      <c r="BC90" s="530" t="str">
        <f t="shared" si="222"/>
        <v>4Q21</v>
      </c>
      <c r="BD90" s="247"/>
      <c r="BE90" s="247"/>
      <c r="BF90" s="247"/>
      <c r="BG90" s="313"/>
      <c r="BH90" s="247"/>
      <c r="BI90" s="247"/>
      <c r="BJ90" s="247"/>
      <c r="BK90" s="313"/>
      <c r="BL90" s="247"/>
      <c r="BM90" s="247"/>
      <c r="BN90" s="247"/>
      <c r="BO90" s="313"/>
      <c r="BP90" s="247"/>
      <c r="BQ90" s="247"/>
      <c r="BR90" s="247"/>
      <c r="BS90" s="313"/>
      <c r="BT90" s="247"/>
      <c r="BU90" s="247"/>
      <c r="BV90" s="247"/>
      <c r="BW90" s="247"/>
      <c r="BX90" s="247"/>
      <c r="BY90" s="247"/>
      <c r="BZ90" s="247"/>
      <c r="CA90" s="247"/>
      <c r="CB90" s="247"/>
      <c r="CC90" s="247"/>
      <c r="CD90" s="247"/>
      <c r="CE90" s="247"/>
      <c r="CF90" s="301"/>
      <c r="CG90" s="301"/>
      <c r="CH90" s="283"/>
      <c r="CI90" s="283"/>
      <c r="CJ90" s="283"/>
      <c r="CK90" s="283"/>
      <c r="CL90" s="283"/>
      <c r="CM90" s="283"/>
      <c r="CN90" s="283"/>
      <c r="CO90" s="283"/>
      <c r="CP90" s="283"/>
      <c r="CQ90" s="283"/>
      <c r="CR90" s="283"/>
      <c r="CS90" s="283"/>
      <c r="CT90" s="283"/>
      <c r="CU90" s="301"/>
      <c r="CV90" s="301"/>
      <c r="CW90" s="301"/>
      <c r="CX90" s="301"/>
      <c r="CY90" s="301"/>
      <c r="CZ90" s="301"/>
      <c r="DA90" s="301"/>
      <c r="DB90" s="301"/>
      <c r="DC90" s="301"/>
      <c r="DD90" s="301"/>
      <c r="DE90" s="301"/>
      <c r="DF90" s="301"/>
      <c r="DG90" s="301"/>
      <c r="DH90" s="301"/>
      <c r="DI90" s="301"/>
      <c r="DJ90" s="301"/>
      <c r="DK90" s="301"/>
      <c r="DL90" s="301"/>
      <c r="DM90" s="301"/>
      <c r="DN90" s="301"/>
      <c r="DO90" s="301"/>
      <c r="DP90" s="301"/>
    </row>
    <row r="91" spans="1:120">
      <c r="A91" s="261"/>
      <c r="B91" s="253" t="s">
        <v>726</v>
      </c>
      <c r="C91" s="302"/>
      <c r="D91" s="302"/>
      <c r="E91" s="302"/>
      <c r="F91" s="302"/>
      <c r="G91" s="302"/>
      <c r="H91" s="302"/>
      <c r="I91" s="302"/>
      <c r="J91" s="302"/>
      <c r="K91" s="302"/>
      <c r="L91" s="302"/>
      <c r="M91" s="302"/>
      <c r="N91" s="302"/>
      <c r="O91" s="302"/>
      <c r="P91" s="302"/>
      <c r="Q91" s="302"/>
      <c r="R91" s="302"/>
      <c r="S91" s="302"/>
      <c r="T91" s="302"/>
      <c r="U91" s="302"/>
      <c r="V91" s="302"/>
      <c r="W91" s="302"/>
      <c r="X91" s="302">
        <f t="shared" ref="X91:AE91" si="223">X7/$I$7</f>
        <v>0</v>
      </c>
      <c r="Y91" s="302">
        <f t="shared" si="223"/>
        <v>0</v>
      </c>
      <c r="Z91" s="302">
        <f t="shared" si="223"/>
        <v>0</v>
      </c>
      <c r="AA91" s="422">
        <f t="shared" si="223"/>
        <v>0</v>
      </c>
      <c r="AB91" s="302">
        <f t="shared" si="223"/>
        <v>0.229648286010319</v>
      </c>
      <c r="AC91" s="302">
        <f t="shared" si="223"/>
        <v>0.270638508918883</v>
      </c>
      <c r="AD91" s="302">
        <f t="shared" si="223"/>
        <v>0.231174644978494</v>
      </c>
      <c r="AE91" s="422">
        <f t="shared" si="223"/>
        <v>0.268538560092304</v>
      </c>
      <c r="AF91" s="302">
        <f t="shared" ref="AF91:AI91" si="224">AF7/$J$7</f>
        <v>0.204950995664627</v>
      </c>
      <c r="AG91" s="302">
        <f t="shared" si="224"/>
        <v>0.27004214119274</v>
      </c>
      <c r="AH91" s="302">
        <f t="shared" si="224"/>
        <v>0.238842429140854</v>
      </c>
      <c r="AI91" s="422">
        <f t="shared" si="224"/>
        <v>0.28616443400178</v>
      </c>
      <c r="AJ91" s="302">
        <f t="shared" ref="AJ91:AM91" si="225">AJ7/$K$7</f>
        <v>0.218307809156509</v>
      </c>
      <c r="AK91" s="302">
        <f t="shared" si="225"/>
        <v>0.272608039967247</v>
      </c>
      <c r="AL91" s="302">
        <f t="shared" si="225"/>
        <v>0.26352942473238</v>
      </c>
      <c r="AM91" s="422">
        <f t="shared" si="225"/>
        <v>0.245554726143864</v>
      </c>
      <c r="AN91" s="302">
        <f t="shared" ref="AN91:AS91" si="226">AN7/$L$7</f>
        <v>0.233579658986232</v>
      </c>
      <c r="AO91" s="302">
        <f t="shared" si="226"/>
        <v>0.208657633800781</v>
      </c>
      <c r="AP91" s="302">
        <f t="shared" si="226"/>
        <v>0.26052568230863</v>
      </c>
      <c r="AQ91" s="422">
        <f t="shared" si="226"/>
        <v>0.297237024904357</v>
      </c>
      <c r="AR91" s="302">
        <f t="shared" si="226"/>
        <v>0.294606660075538</v>
      </c>
      <c r="AS91" s="302">
        <f t="shared" si="226"/>
        <v>0.337460680245327</v>
      </c>
      <c r="AT91" s="48">
        <f t="shared" ref="AT91:AV91" si="227">AT7/$M$7</f>
        <v>0.24973144991192</v>
      </c>
      <c r="AU91" s="63">
        <f t="shared" si="227"/>
        <v>0.337915037107303</v>
      </c>
      <c r="AV91" s="48">
        <f t="shared" si="227"/>
        <v>0.231811302855538</v>
      </c>
      <c r="AW91" s="48">
        <f t="shared" ref="AW91:AY91" si="228">AW7/$N$7</f>
        <v>0.283552752370614</v>
      </c>
      <c r="AX91" s="48">
        <f t="shared" si="228"/>
        <v>0.300761857276005</v>
      </c>
      <c r="AY91" s="63">
        <f t="shared" si="228"/>
        <v>0.280530585618285</v>
      </c>
      <c r="AZ91" s="48">
        <f t="shared" ref="AZ91:BC91" si="229">AZ7/$O$7</f>
        <v>0.214665211583009</v>
      </c>
      <c r="BA91" s="48">
        <f t="shared" si="229"/>
        <v>0.280869940702898</v>
      </c>
      <c r="BB91" s="48">
        <f t="shared" si="229"/>
        <v>0.198766712287763</v>
      </c>
      <c r="BC91" s="63">
        <f t="shared" si="229"/>
        <v>0.30569813542633</v>
      </c>
      <c r="BD91" s="48"/>
      <c r="BE91" s="48"/>
      <c r="BF91" s="48"/>
      <c r="BG91" s="63"/>
      <c r="BH91" s="48"/>
      <c r="BI91" s="48"/>
      <c r="BJ91" s="48"/>
      <c r="BK91" s="63"/>
      <c r="BL91" s="48"/>
      <c r="BM91" s="48"/>
      <c r="BN91" s="48"/>
      <c r="BO91" s="63"/>
      <c r="BP91" s="48"/>
      <c r="BQ91" s="48"/>
      <c r="BR91" s="48"/>
      <c r="BS91" s="63"/>
      <c r="BT91" s="48"/>
      <c r="BU91" s="48"/>
      <c r="BV91" s="48"/>
      <c r="BW91" s="48"/>
      <c r="BX91" s="48"/>
      <c r="BY91" s="48"/>
      <c r="BZ91" s="48"/>
      <c r="CA91" s="48"/>
      <c r="CB91" s="48"/>
      <c r="CC91" s="48"/>
      <c r="CD91" s="48"/>
      <c r="CE91" s="48"/>
      <c r="CF91" s="27"/>
      <c r="CG91" s="27"/>
      <c r="CH91" s="253"/>
      <c r="CI91" s="253"/>
      <c r="CJ91" s="253"/>
      <c r="CK91" s="253"/>
      <c r="CL91" s="253"/>
      <c r="CM91" s="253"/>
      <c r="CN91" s="253"/>
      <c r="CO91" s="253"/>
      <c r="CP91" s="253"/>
      <c r="CQ91" s="253"/>
      <c r="CR91" s="253"/>
      <c r="CS91" s="253"/>
      <c r="CT91" s="253"/>
      <c r="CU91" s="253"/>
      <c r="CV91" s="253"/>
      <c r="CW91" s="253"/>
      <c r="CX91" s="253"/>
      <c r="CY91" s="253"/>
      <c r="CZ91" s="253"/>
      <c r="DA91" s="253"/>
      <c r="DB91" s="253"/>
      <c r="DC91" s="253"/>
      <c r="DD91" s="253"/>
      <c r="DE91" s="253"/>
      <c r="DF91" s="253"/>
      <c r="DG91" s="253"/>
      <c r="DH91" s="253"/>
      <c r="DI91" s="253"/>
      <c r="DJ91" s="253"/>
      <c r="DK91" s="253"/>
      <c r="DL91" s="253"/>
      <c r="DM91" s="253"/>
      <c r="DN91" s="253"/>
      <c r="DO91" s="253"/>
      <c r="DP91" s="253"/>
    </row>
    <row r="92" spans="1:120">
      <c r="A92" s="261"/>
      <c r="B92" s="253" t="s">
        <v>728</v>
      </c>
      <c r="C92" s="302"/>
      <c r="D92" s="302"/>
      <c r="E92" s="302"/>
      <c r="F92" s="302"/>
      <c r="G92" s="302"/>
      <c r="H92" s="302"/>
      <c r="I92" s="302"/>
      <c r="J92" s="302"/>
      <c r="K92" s="302"/>
      <c r="L92" s="302"/>
      <c r="M92" s="302"/>
      <c r="N92" s="302"/>
      <c r="O92" s="302"/>
      <c r="P92" s="302"/>
      <c r="Q92" s="302"/>
      <c r="R92" s="302"/>
      <c r="S92" s="302"/>
      <c r="T92" s="302"/>
      <c r="U92" s="302"/>
      <c r="V92" s="302"/>
      <c r="W92" s="302"/>
      <c r="X92" s="302">
        <f t="shared" ref="X92:AE92" si="230">X40/$I$40</f>
        <v>0</v>
      </c>
      <c r="Y92" s="302">
        <f t="shared" si="230"/>
        <v>0</v>
      </c>
      <c r="Z92" s="302">
        <f t="shared" si="230"/>
        <v>0</v>
      </c>
      <c r="AA92" s="422">
        <f t="shared" si="230"/>
        <v>0</v>
      </c>
      <c r="AB92" s="302">
        <f t="shared" si="230"/>
        <v>0.262348375395675</v>
      </c>
      <c r="AC92" s="302">
        <f t="shared" si="230"/>
        <v>0.282016620891126</v>
      </c>
      <c r="AD92" s="302">
        <f t="shared" si="230"/>
        <v>0.211437397665476</v>
      </c>
      <c r="AE92" s="422">
        <f t="shared" si="230"/>
        <v>0.244197606047723</v>
      </c>
      <c r="AF92" s="302">
        <f t="shared" ref="AF92:AI92" si="231">AF40/$J$40</f>
        <v>0.204003554913055</v>
      </c>
      <c r="AG92" s="302">
        <f t="shared" si="231"/>
        <v>0.256361031175036</v>
      </c>
      <c r="AH92" s="302">
        <f t="shared" si="231"/>
        <v>0.304177971809923</v>
      </c>
      <c r="AI92" s="422">
        <f t="shared" si="231"/>
        <v>0.235457442101985</v>
      </c>
      <c r="AJ92" s="302">
        <f t="shared" ref="AJ92:AM92" si="232">AJ40/$K$40</f>
        <v>0.268936744352569</v>
      </c>
      <c r="AK92" s="302">
        <f t="shared" si="232"/>
        <v>0.295093278618446</v>
      </c>
      <c r="AL92" s="302">
        <f t="shared" si="232"/>
        <v>0.305722322942078</v>
      </c>
      <c r="AM92" s="422">
        <f t="shared" si="232"/>
        <v>0.130247654086907</v>
      </c>
      <c r="AN92" s="302">
        <f t="shared" ref="AN92:AQ92" si="233">AN40/$L$40</f>
        <v>-0.114267973779424</v>
      </c>
      <c r="AO92" s="302">
        <f t="shared" si="233"/>
        <v>-0.361806241362652</v>
      </c>
      <c r="AP92" s="302">
        <f t="shared" si="233"/>
        <v>0.646199225446104</v>
      </c>
      <c r="AQ92" s="422">
        <f t="shared" si="233"/>
        <v>0.829874989695972</v>
      </c>
      <c r="AR92" s="302">
        <f t="shared" ref="AR92:AV92" si="234">AR40/$M$40</f>
        <v>0.1522684827821</v>
      </c>
      <c r="AS92" s="302">
        <f t="shared" si="234"/>
        <v>0.226686249374391</v>
      </c>
      <c r="AT92" s="302">
        <f t="shared" si="234"/>
        <v>0.245790840967316</v>
      </c>
      <c r="AU92" s="422">
        <f t="shared" si="234"/>
        <v>0.375254426876193</v>
      </c>
      <c r="AV92" s="302">
        <f t="shared" si="234"/>
        <v>0.26410371464108</v>
      </c>
      <c r="AW92" s="48">
        <f t="shared" ref="AW92:AY92" si="235">AW40/$N$40</f>
        <v>0.274526488510197</v>
      </c>
      <c r="AX92" s="48">
        <f t="shared" si="235"/>
        <v>0.306310996593248</v>
      </c>
      <c r="AY92" s="63">
        <f t="shared" si="235"/>
        <v>0.304845795826131</v>
      </c>
      <c r="AZ92" s="48">
        <f t="shared" ref="AZ92:BC92" si="236">AZ40/$O$40</f>
        <v>0.169816458859482</v>
      </c>
      <c r="BA92" s="48">
        <f t="shared" si="236"/>
        <v>0.318161265458187</v>
      </c>
      <c r="BB92" s="48">
        <f t="shared" si="236"/>
        <v>0.214317408696991</v>
      </c>
      <c r="BC92" s="63">
        <f t="shared" si="236"/>
        <v>0.29770486698534</v>
      </c>
      <c r="BD92" s="48"/>
      <c r="BE92" s="48"/>
      <c r="BF92" s="48"/>
      <c r="BG92" s="63"/>
      <c r="BH92" s="48"/>
      <c r="BI92" s="48"/>
      <c r="BJ92" s="48"/>
      <c r="BK92" s="63"/>
      <c r="BL92" s="48"/>
      <c r="BM92" s="48"/>
      <c r="BN92" s="48"/>
      <c r="BO92" s="63"/>
      <c r="BP92" s="48"/>
      <c r="BQ92" s="48"/>
      <c r="BR92" s="48"/>
      <c r="BS92" s="63"/>
      <c r="BT92" s="48"/>
      <c r="BU92" s="48"/>
      <c r="BV92" s="48"/>
      <c r="BW92" s="48"/>
      <c r="BX92" s="48"/>
      <c r="BY92" s="48"/>
      <c r="BZ92" s="48"/>
      <c r="CA92" s="48"/>
      <c r="CB92" s="48"/>
      <c r="CC92" s="48"/>
      <c r="CD92" s="48"/>
      <c r="CE92" s="48"/>
      <c r="CF92" s="27"/>
      <c r="CG92" s="27"/>
      <c r="CH92" s="253"/>
      <c r="CI92" s="253"/>
      <c r="CJ92" s="253"/>
      <c r="CK92" s="253"/>
      <c r="CL92" s="253"/>
      <c r="CM92" s="253"/>
      <c r="CN92" s="253"/>
      <c r="CO92" s="253"/>
      <c r="CP92" s="253"/>
      <c r="CQ92" s="253"/>
      <c r="CR92" s="253"/>
      <c r="CS92" s="253"/>
      <c r="CT92" s="253"/>
      <c r="CU92" s="253"/>
      <c r="CV92" s="253"/>
      <c r="CW92" s="253"/>
      <c r="CX92" s="253"/>
      <c r="CY92" s="253"/>
      <c r="CZ92" s="253"/>
      <c r="DA92" s="253"/>
      <c r="DB92" s="253"/>
      <c r="DC92" s="253"/>
      <c r="DD92" s="253"/>
      <c r="DE92" s="253"/>
      <c r="DF92" s="253"/>
      <c r="DG92" s="253"/>
      <c r="DH92" s="253"/>
      <c r="DI92" s="253"/>
      <c r="DJ92" s="253"/>
      <c r="DK92" s="253"/>
      <c r="DL92" s="253"/>
      <c r="DM92" s="253"/>
      <c r="DN92" s="253"/>
      <c r="DO92" s="253"/>
      <c r="DP92" s="253"/>
    </row>
    <row r="93" spans="1:120">
      <c r="A93" s="261"/>
      <c r="B93" s="253"/>
      <c r="C93" s="253"/>
      <c r="D93" s="253"/>
      <c r="E93" s="253"/>
      <c r="F93" s="253"/>
      <c r="G93" s="253"/>
      <c r="H93" s="253"/>
      <c r="I93" s="253"/>
      <c r="J93" s="253"/>
      <c r="K93" s="253"/>
      <c r="L93" s="253"/>
      <c r="M93" s="253"/>
      <c r="N93" s="253"/>
      <c r="O93" s="253"/>
      <c r="P93" s="253"/>
      <c r="Q93" s="253"/>
      <c r="R93" s="253"/>
      <c r="S93" s="253"/>
      <c r="T93" s="253"/>
      <c r="U93" s="253"/>
      <c r="V93" s="253"/>
      <c r="W93" s="302"/>
      <c r="X93" s="253"/>
      <c r="Y93" s="253"/>
      <c r="Z93" s="253"/>
      <c r="AA93" s="316"/>
      <c r="AB93" s="253"/>
      <c r="AC93" s="253"/>
      <c r="AD93" s="253"/>
      <c r="AE93" s="316"/>
      <c r="AF93" s="253"/>
      <c r="AG93" s="253"/>
      <c r="AH93" s="253"/>
      <c r="AI93" s="316"/>
      <c r="AJ93" s="253"/>
      <c r="AK93" s="253"/>
      <c r="AL93" s="253"/>
      <c r="AM93" s="316"/>
      <c r="AN93" s="253"/>
      <c r="AO93" s="253"/>
      <c r="AP93" s="253"/>
      <c r="AQ93" s="316"/>
      <c r="AR93" s="253"/>
      <c r="AS93" s="253"/>
      <c r="AT93" s="253"/>
      <c r="AU93" s="316"/>
      <c r="AV93" s="253"/>
      <c r="AW93" s="253"/>
      <c r="AX93" s="253"/>
      <c r="AY93" s="316"/>
      <c r="AZ93" s="253"/>
      <c r="BA93" s="253"/>
      <c r="BB93" s="253"/>
      <c r="BC93" s="316"/>
      <c r="BD93" s="253"/>
      <c r="BE93" s="253"/>
      <c r="BF93" s="253"/>
      <c r="BG93" s="316"/>
      <c r="BH93" s="253"/>
      <c r="BI93" s="253"/>
      <c r="BJ93" s="253"/>
      <c r="BK93" s="316"/>
      <c r="BL93" s="253"/>
      <c r="BM93" s="253"/>
      <c r="BN93" s="253"/>
      <c r="BO93" s="316"/>
      <c r="BP93" s="253"/>
      <c r="BQ93" s="253"/>
      <c r="BR93" s="253"/>
      <c r="BS93" s="316"/>
      <c r="BT93" s="253"/>
      <c r="BU93" s="253"/>
      <c r="BV93" s="253"/>
      <c r="BW93" s="253"/>
      <c r="BX93" s="253"/>
      <c r="BY93" s="253"/>
      <c r="BZ93" s="253"/>
      <c r="CA93" s="253"/>
      <c r="CB93" s="253"/>
      <c r="CC93" s="253"/>
      <c r="CD93" s="253"/>
      <c r="CE93" s="253"/>
      <c r="CF93" s="253"/>
      <c r="CG93" s="253"/>
      <c r="CH93" s="253"/>
      <c r="CI93" s="253"/>
      <c r="CJ93" s="253"/>
      <c r="CK93" s="253"/>
      <c r="CL93" s="253"/>
      <c r="CM93" s="253"/>
      <c r="CN93" s="253"/>
      <c r="CO93" s="253"/>
      <c r="CP93" s="253"/>
      <c r="CQ93" s="253"/>
      <c r="CR93" s="253"/>
      <c r="CS93" s="253"/>
      <c r="CT93" s="253"/>
      <c r="CU93" s="253"/>
      <c r="CV93" s="253"/>
      <c r="CW93" s="253"/>
      <c r="CX93" s="253"/>
      <c r="CY93" s="253"/>
      <c r="CZ93" s="253"/>
      <c r="DA93" s="253"/>
      <c r="DB93" s="253"/>
      <c r="DC93" s="253"/>
      <c r="DD93" s="253"/>
      <c r="DE93" s="253"/>
      <c r="DF93" s="253"/>
      <c r="DG93" s="253"/>
      <c r="DH93" s="253"/>
      <c r="DI93" s="253"/>
      <c r="DJ93" s="253"/>
      <c r="DK93" s="253"/>
      <c r="DL93" s="253"/>
      <c r="DM93" s="253"/>
      <c r="DN93" s="253"/>
      <c r="DO93" s="253"/>
      <c r="DP93" s="253"/>
    </row>
    <row r="94" spans="1:120">
      <c r="A94" s="248"/>
      <c r="B94" s="245" t="s">
        <v>739</v>
      </c>
      <c r="C94" s="247"/>
      <c r="D94" s="247"/>
      <c r="E94" s="247"/>
      <c r="F94" s="247"/>
      <c r="G94" s="247"/>
      <c r="H94" s="247"/>
      <c r="I94" s="247"/>
      <c r="J94" s="247"/>
      <c r="K94" s="247"/>
      <c r="L94" s="296"/>
      <c r="M94" s="296"/>
      <c r="N94" s="296"/>
      <c r="O94" s="296"/>
      <c r="P94" s="296"/>
      <c r="Q94" s="296"/>
      <c r="R94" s="296"/>
      <c r="S94" s="296"/>
      <c r="T94" s="296"/>
      <c r="U94" s="296"/>
      <c r="V94" s="296"/>
      <c r="W94" s="300"/>
      <c r="X94" s="247"/>
      <c r="Y94" s="247"/>
      <c r="Z94" s="247"/>
      <c r="AA94" s="313"/>
      <c r="AB94" s="247"/>
      <c r="AC94" s="247"/>
      <c r="AD94" s="247"/>
      <c r="AE94" s="313"/>
      <c r="AF94" s="247"/>
      <c r="AG94" s="247"/>
      <c r="AH94" s="247"/>
      <c r="AI94" s="313"/>
      <c r="AJ94" s="247"/>
      <c r="AK94" s="247"/>
      <c r="AL94" s="247"/>
      <c r="AM94" s="313"/>
      <c r="AN94" s="247"/>
      <c r="AO94" s="247"/>
      <c r="AP94" s="247"/>
      <c r="AQ94" s="376"/>
      <c r="AR94" s="375"/>
      <c r="AS94" s="375"/>
      <c r="AT94" s="375"/>
      <c r="AU94" s="376"/>
      <c r="AV94" s="375"/>
      <c r="AW94" s="375"/>
      <c r="AX94" s="375"/>
      <c r="AY94" s="376"/>
      <c r="AZ94" s="375"/>
      <c r="BA94" s="375"/>
      <c r="BB94" s="375"/>
      <c r="BC94" s="376"/>
      <c r="BD94" s="375"/>
      <c r="BE94" s="375"/>
      <c r="BF94" s="375"/>
      <c r="BG94" s="376"/>
      <c r="BH94" s="375"/>
      <c r="BI94" s="375"/>
      <c r="BJ94" s="375"/>
      <c r="BK94" s="376"/>
      <c r="BL94" s="375"/>
      <c r="BM94" s="375"/>
      <c r="BN94" s="375"/>
      <c r="BO94" s="376"/>
      <c r="BP94" s="375"/>
      <c r="BQ94" s="375"/>
      <c r="BR94" s="375"/>
      <c r="BS94" s="376"/>
      <c r="BT94" s="375"/>
      <c r="BU94" s="375"/>
      <c r="BV94" s="375"/>
      <c r="BW94" s="375"/>
      <c r="BX94" s="375"/>
      <c r="BY94" s="375"/>
      <c r="BZ94" s="375"/>
      <c r="CA94" s="375"/>
      <c r="CB94" s="375"/>
      <c r="CC94" s="375"/>
      <c r="CD94" s="375"/>
      <c r="CE94" s="375"/>
      <c r="CF94" s="383"/>
      <c r="CG94" s="383"/>
      <c r="CH94" s="283"/>
      <c r="CI94" s="283"/>
      <c r="CJ94" s="283"/>
      <c r="CK94" s="283"/>
      <c r="CL94" s="283"/>
      <c r="CM94" s="283"/>
      <c r="CN94" s="283"/>
      <c r="CO94" s="283"/>
      <c r="CP94" s="283"/>
      <c r="CQ94" s="283"/>
      <c r="CR94" s="283"/>
      <c r="CS94" s="283"/>
      <c r="CT94" s="283"/>
      <c r="CU94" s="301"/>
      <c r="CV94" s="301"/>
      <c r="CW94" s="301"/>
      <c r="CX94" s="301"/>
      <c r="CY94" s="301"/>
      <c r="CZ94" s="301"/>
      <c r="DA94" s="301"/>
      <c r="DB94" s="301"/>
      <c r="DC94" s="301"/>
      <c r="DD94" s="301"/>
      <c r="DE94" s="301"/>
      <c r="DF94" s="301"/>
      <c r="DG94" s="301"/>
      <c r="DH94" s="301"/>
      <c r="DI94" s="301"/>
      <c r="DJ94" s="301"/>
      <c r="DK94" s="301"/>
      <c r="DL94" s="301"/>
      <c r="DM94" s="301"/>
      <c r="DN94" s="301"/>
      <c r="DO94" s="301"/>
      <c r="DP94" s="301"/>
    </row>
    <row r="95" spans="1:120">
      <c r="A95" s="261"/>
      <c r="B95" s="399"/>
      <c r="C95" s="253"/>
      <c r="D95" s="253"/>
      <c r="E95" s="253"/>
      <c r="F95" s="253"/>
      <c r="G95" s="253"/>
      <c r="H95" s="253"/>
      <c r="I95" s="253"/>
      <c r="J95" s="253"/>
      <c r="K95" s="253"/>
      <c r="L95" s="253"/>
      <c r="M95" s="253"/>
      <c r="N95" s="253"/>
      <c r="O95" s="253"/>
      <c r="P95" s="253"/>
      <c r="Q95" s="253"/>
      <c r="R95" s="253"/>
      <c r="S95" s="253"/>
      <c r="T95" s="253"/>
      <c r="U95" s="253"/>
      <c r="V95" s="253"/>
      <c r="W95" s="303"/>
      <c r="X95" s="253"/>
      <c r="Y95" s="253"/>
      <c r="Z95" s="253"/>
      <c r="AA95" s="316"/>
      <c r="AB95" s="253"/>
      <c r="AC95" s="253"/>
      <c r="AD95" s="253"/>
      <c r="AE95" s="316"/>
      <c r="AF95" s="253"/>
      <c r="AG95" s="253"/>
      <c r="AH95" s="253"/>
      <c r="AI95" s="316"/>
      <c r="AJ95" s="253"/>
      <c r="AK95" s="253"/>
      <c r="AL95" s="253"/>
      <c r="AM95" s="316"/>
      <c r="AN95" s="253"/>
      <c r="AO95" s="253"/>
      <c r="AP95" s="253"/>
      <c r="AQ95" s="316"/>
      <c r="AR95" s="253"/>
      <c r="AS95" s="253"/>
      <c r="AT95" s="253"/>
      <c r="AU95" s="316"/>
      <c r="AV95" s="253"/>
      <c r="AW95" s="253"/>
      <c r="AX95" s="253"/>
      <c r="AY95" s="316"/>
      <c r="AZ95" s="253"/>
      <c r="BA95" s="253"/>
      <c r="BB95" s="253"/>
      <c r="BC95" s="316"/>
      <c r="BD95" s="253"/>
      <c r="BE95" s="253"/>
      <c r="BF95" s="253"/>
      <c r="BG95" s="316"/>
      <c r="BH95" s="253"/>
      <c r="BI95" s="253"/>
      <c r="BJ95" s="253"/>
      <c r="BK95" s="316"/>
      <c r="BL95" s="253"/>
      <c r="BM95" s="253"/>
      <c r="BN95" s="253"/>
      <c r="BO95" s="316"/>
      <c r="BP95" s="253"/>
      <c r="BQ95" s="253"/>
      <c r="BR95" s="253"/>
      <c r="BS95" s="316"/>
      <c r="BT95" s="253"/>
      <c r="BU95" s="253"/>
      <c r="BV95" s="253"/>
      <c r="BW95" s="253"/>
      <c r="BX95" s="253"/>
      <c r="BY95" s="253"/>
      <c r="BZ95" s="253"/>
      <c r="CA95" s="253"/>
      <c r="CB95" s="253"/>
      <c r="CC95" s="253"/>
      <c r="CD95" s="253"/>
      <c r="CE95" s="253"/>
      <c r="CF95" s="253"/>
      <c r="CG95" s="253"/>
      <c r="CH95" s="253"/>
      <c r="CI95" s="253"/>
      <c r="CJ95" s="253"/>
      <c r="CK95" s="253"/>
      <c r="CL95" s="253"/>
      <c r="CM95" s="253"/>
      <c r="CN95" s="253"/>
      <c r="CO95" s="253"/>
      <c r="CP95" s="253"/>
      <c r="CQ95" s="253"/>
      <c r="CR95" s="253"/>
      <c r="CS95" s="253"/>
      <c r="CT95" s="253"/>
      <c r="CU95" s="253"/>
      <c r="CV95" s="253"/>
      <c r="CW95" s="253"/>
      <c r="CX95" s="253"/>
      <c r="CY95" s="253"/>
      <c r="CZ95" s="253"/>
      <c r="DA95" s="253"/>
      <c r="DB95" s="253"/>
      <c r="DC95" s="253"/>
      <c r="DD95" s="253"/>
      <c r="DE95" s="253"/>
      <c r="DF95" s="253"/>
      <c r="DG95" s="253"/>
      <c r="DH95" s="253"/>
      <c r="DI95" s="253"/>
      <c r="DJ95" s="253"/>
      <c r="DK95" s="253"/>
      <c r="DL95" s="253"/>
      <c r="DM95" s="253"/>
      <c r="DN95" s="253"/>
      <c r="DO95" s="253"/>
      <c r="DP95" s="253"/>
    </row>
    <row r="96" spans="1:120">
      <c r="A96" s="261"/>
      <c r="B96" s="279" t="s">
        <v>740</v>
      </c>
      <c r="C96" s="253"/>
      <c r="D96" s="253"/>
      <c r="E96" s="253"/>
      <c r="F96" s="253"/>
      <c r="G96" s="253"/>
      <c r="H96" s="253"/>
      <c r="I96" s="253"/>
      <c r="J96" s="253"/>
      <c r="K96" s="253"/>
      <c r="L96" s="253"/>
      <c r="M96" s="253"/>
      <c r="N96" s="253"/>
      <c r="O96" s="253"/>
      <c r="P96" s="253"/>
      <c r="Q96" s="253"/>
      <c r="R96" s="253"/>
      <c r="S96" s="253"/>
      <c r="T96" s="253"/>
      <c r="U96" s="253"/>
      <c r="V96" s="253"/>
      <c r="W96" s="303"/>
      <c r="X96" s="253"/>
      <c r="Y96" s="253"/>
      <c r="Z96" s="253"/>
      <c r="AA96" s="316"/>
      <c r="AB96" s="253"/>
      <c r="AC96" s="253"/>
      <c r="AD96" s="253"/>
      <c r="AE96" s="316"/>
      <c r="AF96" s="253"/>
      <c r="AG96" s="253"/>
      <c r="AH96" s="253"/>
      <c r="AI96" s="316"/>
      <c r="AJ96" s="253"/>
      <c r="AK96" s="253"/>
      <c r="AL96" s="253"/>
      <c r="AM96" s="316"/>
      <c r="AN96" s="253"/>
      <c r="AO96" s="253"/>
      <c r="AP96" s="253"/>
      <c r="AQ96" s="316"/>
      <c r="AR96" s="253"/>
      <c r="AS96" s="253"/>
      <c r="AT96" s="253"/>
      <c r="AU96" s="316"/>
      <c r="AV96" s="253"/>
      <c r="AW96" s="253"/>
      <c r="AX96" s="253"/>
      <c r="AY96" s="316"/>
      <c r="AZ96" s="253"/>
      <c r="BA96" s="253"/>
      <c r="BB96" s="253"/>
      <c r="BC96" s="316"/>
      <c r="BD96" s="253"/>
      <c r="BE96" s="253"/>
      <c r="BF96" s="253"/>
      <c r="BG96" s="316"/>
      <c r="BH96" s="253"/>
      <c r="BI96" s="253"/>
      <c r="BJ96" s="253"/>
      <c r="BK96" s="316"/>
      <c r="BL96" s="253"/>
      <c r="BM96" s="253"/>
      <c r="BN96" s="253"/>
      <c r="BO96" s="316"/>
      <c r="BP96" s="253"/>
      <c r="BQ96" s="253"/>
      <c r="BR96" s="253"/>
      <c r="BS96" s="316"/>
      <c r="BT96" s="253"/>
      <c r="BU96" s="253"/>
      <c r="BV96" s="253"/>
      <c r="BW96" s="253"/>
      <c r="BX96" s="253"/>
      <c r="BY96" s="253"/>
      <c r="BZ96" s="253"/>
      <c r="CA96" s="253"/>
      <c r="CB96" s="253"/>
      <c r="CC96" s="253"/>
      <c r="CD96" s="253"/>
      <c r="CE96" s="253"/>
      <c r="CF96" s="253"/>
      <c r="CG96" s="253"/>
      <c r="CH96" s="253"/>
      <c r="CI96" s="253"/>
      <c r="CJ96" s="253"/>
      <c r="CK96" s="253"/>
      <c r="CL96" s="253"/>
      <c r="CM96" s="253"/>
      <c r="CN96" s="253"/>
      <c r="CO96" s="253"/>
      <c r="CP96" s="253"/>
      <c r="CQ96" s="253"/>
      <c r="CR96" s="253"/>
      <c r="CS96" s="253"/>
      <c r="CT96" s="253"/>
      <c r="CU96" s="253"/>
      <c r="CV96" s="253"/>
      <c r="CW96" s="253"/>
      <c r="CX96" s="253"/>
      <c r="CY96" s="253"/>
      <c r="CZ96" s="253"/>
      <c r="DA96" s="253"/>
      <c r="DB96" s="253"/>
      <c r="DC96" s="253"/>
      <c r="DD96" s="253"/>
      <c r="DE96" s="253"/>
      <c r="DF96" s="253"/>
      <c r="DG96" s="253"/>
      <c r="DH96" s="253"/>
      <c r="DI96" s="253"/>
      <c r="DJ96" s="253"/>
      <c r="DK96" s="253"/>
      <c r="DL96" s="253"/>
      <c r="DM96" s="253"/>
      <c r="DN96" s="253"/>
      <c r="DO96" s="253"/>
      <c r="DP96" s="253"/>
    </row>
    <row r="97" spans="1:120">
      <c r="A97" s="250"/>
      <c r="B97" s="253" t="s">
        <v>741</v>
      </c>
      <c r="C97" s="253"/>
      <c r="D97" s="253"/>
      <c r="E97" s="253"/>
      <c r="F97" s="253"/>
      <c r="G97" s="253"/>
      <c r="H97" s="253"/>
      <c r="I97" s="253"/>
      <c r="J97" s="253"/>
      <c r="K97" s="253"/>
      <c r="L97" s="253"/>
      <c r="M97" s="253"/>
      <c r="N97" s="253"/>
      <c r="O97" s="253"/>
      <c r="P97" s="253"/>
      <c r="Q97" s="253"/>
      <c r="R97" s="253"/>
      <c r="S97" s="253"/>
      <c r="T97" s="253"/>
      <c r="U97" s="253"/>
      <c r="V97" s="253"/>
      <c r="W97" s="303"/>
      <c r="X97" s="253"/>
      <c r="Y97" s="253"/>
      <c r="Z97" s="253"/>
      <c r="AA97" s="316"/>
      <c r="AB97" s="253"/>
      <c r="AC97" s="253"/>
      <c r="AD97" s="253"/>
      <c r="AE97" s="316"/>
      <c r="AF97" s="253"/>
      <c r="AG97" s="253"/>
      <c r="AH97" s="253"/>
      <c r="AI97" s="316"/>
      <c r="AJ97" s="253"/>
      <c r="AK97" s="253"/>
      <c r="AL97" s="253"/>
      <c r="AM97" s="316"/>
      <c r="AN97" s="253"/>
      <c r="AO97" s="253"/>
      <c r="AP97" s="253"/>
      <c r="AQ97" s="317"/>
      <c r="AR97" s="255"/>
      <c r="AS97" s="255"/>
      <c r="AT97" s="255"/>
      <c r="AU97" s="317"/>
      <c r="AV97" s="255"/>
      <c r="AW97" s="255"/>
      <c r="AX97" s="255"/>
      <c r="AY97" s="317"/>
      <c r="AZ97" s="255"/>
      <c r="BA97" s="255"/>
      <c r="BB97" s="255"/>
      <c r="BC97" s="317"/>
      <c r="BD97" s="255"/>
      <c r="BE97" s="255"/>
      <c r="BF97" s="255"/>
      <c r="BG97" s="317"/>
      <c r="BH97" s="255"/>
      <c r="BI97" s="255"/>
      <c r="BJ97" s="255"/>
      <c r="BK97" s="317"/>
      <c r="BL97" s="255"/>
      <c r="BM97" s="255"/>
      <c r="BN97" s="255"/>
      <c r="BO97" s="317"/>
      <c r="BP97" s="255"/>
      <c r="BQ97" s="255"/>
      <c r="BR97" s="255"/>
      <c r="BS97" s="317"/>
      <c r="BT97" s="255"/>
      <c r="BU97" s="255"/>
      <c r="BV97" s="255"/>
      <c r="BW97" s="255"/>
      <c r="BX97" s="255"/>
      <c r="BY97" s="255"/>
      <c r="BZ97" s="255"/>
      <c r="CA97" s="255"/>
      <c r="CB97" s="255"/>
      <c r="CC97" s="255"/>
      <c r="CD97" s="255"/>
      <c r="CE97" s="255"/>
      <c r="CF97" s="255"/>
      <c r="CG97" s="255"/>
      <c r="CH97" s="253"/>
      <c r="CI97" s="253"/>
      <c r="CJ97" s="253"/>
      <c r="CK97" s="253"/>
      <c r="CL97" s="253"/>
      <c r="CM97" s="253"/>
      <c r="CN97" s="253"/>
      <c r="CO97" s="253"/>
      <c r="CP97" s="253"/>
      <c r="CQ97" s="253"/>
      <c r="CR97" s="253"/>
      <c r="CS97" s="253"/>
      <c r="CT97" s="253"/>
      <c r="CU97" s="253"/>
      <c r="CV97" s="253"/>
      <c r="CW97" s="253"/>
      <c r="CX97" s="253"/>
      <c r="CY97" s="253"/>
      <c r="CZ97" s="253"/>
      <c r="DA97" s="253"/>
      <c r="DB97" s="253"/>
      <c r="DC97" s="253"/>
      <c r="DD97" s="253"/>
      <c r="DE97" s="253"/>
      <c r="DF97" s="253"/>
      <c r="DG97" s="253"/>
      <c r="DH97" s="253"/>
      <c r="DI97" s="253"/>
      <c r="DJ97" s="253"/>
      <c r="DK97" s="253"/>
      <c r="DL97" s="253"/>
      <c r="DM97" s="253"/>
      <c r="DN97" s="253"/>
      <c r="DO97" s="253"/>
      <c r="DP97" s="253"/>
    </row>
    <row r="98" spans="1:120">
      <c r="A98" s="261"/>
      <c r="B98" s="400" t="s">
        <v>742</v>
      </c>
      <c r="C98" s="397"/>
      <c r="D98" s="397"/>
      <c r="E98" s="397"/>
      <c r="F98" s="397"/>
      <c r="G98" s="397"/>
      <c r="H98" s="397"/>
      <c r="I98" s="397"/>
      <c r="J98" s="397"/>
      <c r="K98" s="397"/>
      <c r="L98" s="407"/>
      <c r="M98" s="407"/>
      <c r="N98" s="408"/>
      <c r="O98" s="408"/>
      <c r="P98" s="408"/>
      <c r="Q98" s="408"/>
      <c r="R98" s="408"/>
      <c r="S98" s="408"/>
      <c r="T98" s="408"/>
      <c r="U98" s="408"/>
      <c r="V98" s="408"/>
      <c r="W98" s="303"/>
      <c r="X98" s="397"/>
      <c r="Y98" s="397"/>
      <c r="Z98" s="397"/>
      <c r="AA98" s="420"/>
      <c r="AB98" s="397"/>
      <c r="AC98" s="397"/>
      <c r="AD98" s="397"/>
      <c r="AE98" s="420"/>
      <c r="AF98" s="397"/>
      <c r="AG98" s="397"/>
      <c r="AH98" s="397"/>
      <c r="AI98" s="420"/>
      <c r="AJ98" s="397"/>
      <c r="AK98" s="397"/>
      <c r="AL98" s="397"/>
      <c r="AM98" s="420"/>
      <c r="AN98" s="397"/>
      <c r="AO98" s="397"/>
      <c r="AP98" s="397"/>
      <c r="AQ98" s="431"/>
      <c r="AR98" s="432"/>
      <c r="AS98" s="432"/>
      <c r="AT98" s="432"/>
      <c r="AU98" s="431"/>
      <c r="AV98" s="432"/>
      <c r="AW98" s="432"/>
      <c r="AX98" s="432"/>
      <c r="AY98" s="431"/>
      <c r="AZ98" s="432"/>
      <c r="BA98" s="432"/>
      <c r="BB98" s="432"/>
      <c r="BC98" s="431"/>
      <c r="BD98" s="432"/>
      <c r="BE98" s="432"/>
      <c r="BF98" s="432"/>
      <c r="BG98" s="431"/>
      <c r="BH98" s="432"/>
      <c r="BI98" s="432"/>
      <c r="BJ98" s="432"/>
      <c r="BK98" s="431"/>
      <c r="BL98" s="432"/>
      <c r="BM98" s="432"/>
      <c r="BN98" s="432"/>
      <c r="BO98" s="431"/>
      <c r="BP98" s="432"/>
      <c r="BQ98" s="432"/>
      <c r="BR98" s="432"/>
      <c r="BS98" s="431"/>
      <c r="BT98" s="432"/>
      <c r="BU98" s="432"/>
      <c r="BV98" s="432"/>
      <c r="BW98" s="432"/>
      <c r="BX98" s="432"/>
      <c r="BY98" s="432"/>
      <c r="BZ98" s="432"/>
      <c r="CA98" s="432"/>
      <c r="CB98" s="432"/>
      <c r="CC98" s="432"/>
      <c r="CD98" s="432"/>
      <c r="CE98" s="432"/>
      <c r="CF98" s="432"/>
      <c r="CG98" s="432"/>
      <c r="CH98" s="395"/>
      <c r="CI98" s="395"/>
      <c r="CJ98" s="395"/>
      <c r="CK98" s="395"/>
      <c r="CL98" s="395"/>
      <c r="CM98" s="395"/>
      <c r="CN98" s="395"/>
      <c r="CO98" s="395"/>
      <c r="CP98" s="395"/>
      <c r="CQ98" s="395"/>
      <c r="CR98" s="395"/>
      <c r="CS98" s="395"/>
      <c r="CT98" s="395"/>
      <c r="CU98" s="446"/>
      <c r="CV98" s="446"/>
      <c r="CW98" s="446"/>
      <c r="CX98" s="446"/>
      <c r="CY98" s="446"/>
      <c r="CZ98" s="446"/>
      <c r="DA98" s="446"/>
      <c r="DB98" s="446"/>
      <c r="DC98" s="446"/>
      <c r="DD98" s="446"/>
      <c r="DE98" s="446"/>
      <c r="DF98" s="446"/>
      <c r="DG98" s="446"/>
      <c r="DH98" s="446"/>
      <c r="DI98" s="447"/>
      <c r="DJ98" s="447"/>
      <c r="DK98" s="447"/>
      <c r="DL98" s="447"/>
      <c r="DM98" s="447"/>
      <c r="DN98" s="447"/>
      <c r="DO98" s="447"/>
      <c r="DP98" s="447"/>
    </row>
    <row r="99" spans="1:85">
      <c r="A99" s="396"/>
      <c r="B99" s="302"/>
      <c r="C99" s="310"/>
      <c r="D99" s="310"/>
      <c r="E99" s="310"/>
      <c r="F99" s="310"/>
      <c r="G99" s="310"/>
      <c r="H99" s="310"/>
      <c r="I99" s="310"/>
      <c r="J99" s="310"/>
      <c r="K99" s="310"/>
      <c r="L99" s="310"/>
      <c r="M99" s="310"/>
      <c r="N99" s="310"/>
      <c r="O99" s="310"/>
      <c r="P99" s="310"/>
      <c r="Q99" s="310"/>
      <c r="R99" s="310"/>
      <c r="S99" s="310"/>
      <c r="T99" s="310"/>
      <c r="U99" s="310"/>
      <c r="V99" s="310"/>
      <c r="W99" s="303"/>
      <c r="X99" s="310"/>
      <c r="Y99" s="310"/>
      <c r="Z99" s="310"/>
      <c r="AA99" s="340"/>
      <c r="AB99" s="310"/>
      <c r="AC99" s="310"/>
      <c r="AD99" s="310"/>
      <c r="AE99" s="340"/>
      <c r="AF99" s="310"/>
      <c r="AG99" s="310"/>
      <c r="AH99" s="310"/>
      <c r="AI99" s="340"/>
      <c r="AJ99" s="310"/>
      <c r="AK99" s="310"/>
      <c r="AL99" s="310"/>
      <c r="AM99" s="340"/>
      <c r="AN99" s="310"/>
      <c r="AO99" s="310"/>
      <c r="AP99" s="310"/>
      <c r="AQ99" s="340"/>
      <c r="AR99" s="310"/>
      <c r="AS99" s="310"/>
      <c r="AT99" s="310"/>
      <c r="AU99" s="340"/>
      <c r="AV99" s="310"/>
      <c r="AW99" s="310"/>
      <c r="AX99" s="310"/>
      <c r="AY99" s="340"/>
      <c r="AZ99" s="310"/>
      <c r="BA99" s="310"/>
      <c r="BB99" s="310"/>
      <c r="BC99" s="340"/>
      <c r="BD99" s="310"/>
      <c r="BE99" s="310"/>
      <c r="BF99" s="310"/>
      <c r="BG99" s="340"/>
      <c r="BH99" s="310"/>
      <c r="BI99" s="310"/>
      <c r="BJ99" s="310"/>
      <c r="BK99" s="340"/>
      <c r="BL99" s="310"/>
      <c r="BM99" s="310"/>
      <c r="BN99" s="310"/>
      <c r="BO99" s="340"/>
      <c r="BP99" s="310"/>
      <c r="BQ99" s="310"/>
      <c r="BR99" s="310"/>
      <c r="BS99" s="340"/>
      <c r="BT99" s="310"/>
      <c r="BU99" s="310"/>
      <c r="BV99" s="310"/>
      <c r="BW99" s="310"/>
      <c r="BX99" s="310"/>
      <c r="BY99" s="310"/>
      <c r="BZ99" s="310"/>
      <c r="CA99" s="310"/>
      <c r="CB99" s="310"/>
      <c r="CC99" s="310"/>
      <c r="CD99" s="310"/>
      <c r="CE99" s="310"/>
      <c r="CF99" s="310"/>
      <c r="CG99" s="310"/>
    </row>
    <row r="100" spans="1:120">
      <c r="A100" s="261"/>
      <c r="B100" s="279" t="s">
        <v>743</v>
      </c>
      <c r="C100" s="253"/>
      <c r="D100" s="253"/>
      <c r="E100" s="253"/>
      <c r="F100" s="253"/>
      <c r="G100" s="253"/>
      <c r="H100" s="253"/>
      <c r="I100" s="253"/>
      <c r="J100" s="253"/>
      <c r="K100" s="253"/>
      <c r="L100" s="253"/>
      <c r="M100" s="253"/>
      <c r="N100" s="253"/>
      <c r="O100" s="253"/>
      <c r="P100" s="253"/>
      <c r="Q100" s="253"/>
      <c r="R100" s="253"/>
      <c r="S100" s="253"/>
      <c r="T100" s="253"/>
      <c r="U100" s="253"/>
      <c r="V100" s="253"/>
      <c r="W100" s="303"/>
      <c r="X100" s="253"/>
      <c r="Y100" s="253"/>
      <c r="Z100" s="253"/>
      <c r="AA100" s="316"/>
      <c r="AB100" s="253"/>
      <c r="AC100" s="253"/>
      <c r="AD100" s="253"/>
      <c r="AE100" s="316"/>
      <c r="AF100" s="253"/>
      <c r="AG100" s="253"/>
      <c r="AH100" s="253"/>
      <c r="AI100" s="316"/>
      <c r="AJ100" s="253"/>
      <c r="AK100" s="253"/>
      <c r="AL100" s="253"/>
      <c r="AM100" s="316"/>
      <c r="AN100" s="253"/>
      <c r="AO100" s="253"/>
      <c r="AP100" s="253"/>
      <c r="AQ100" s="316"/>
      <c r="AR100" s="253"/>
      <c r="AS100" s="253"/>
      <c r="AT100" s="253"/>
      <c r="AU100" s="316"/>
      <c r="AV100" s="253"/>
      <c r="AW100" s="253"/>
      <c r="AX100" s="253"/>
      <c r="AY100" s="316"/>
      <c r="AZ100" s="253"/>
      <c r="BA100" s="253"/>
      <c r="BB100" s="253"/>
      <c r="BC100" s="316"/>
      <c r="BD100" s="253"/>
      <c r="BE100" s="253"/>
      <c r="BF100" s="253"/>
      <c r="BG100" s="316"/>
      <c r="BH100" s="253"/>
      <c r="BI100" s="253"/>
      <c r="BJ100" s="253"/>
      <c r="BK100" s="316"/>
      <c r="BL100" s="253"/>
      <c r="BM100" s="253"/>
      <c r="BN100" s="253"/>
      <c r="BO100" s="316"/>
      <c r="BP100" s="253"/>
      <c r="BQ100" s="253"/>
      <c r="BR100" s="253"/>
      <c r="BS100" s="316"/>
      <c r="BT100" s="253"/>
      <c r="BU100" s="253"/>
      <c r="BV100" s="253"/>
      <c r="BW100" s="253"/>
      <c r="BX100" s="253"/>
      <c r="BY100" s="253"/>
      <c r="BZ100" s="253"/>
      <c r="CA100" s="253"/>
      <c r="CB100" s="253"/>
      <c r="CC100" s="253"/>
      <c r="CD100" s="253"/>
      <c r="CE100" s="253"/>
      <c r="CF100" s="253"/>
      <c r="CG100" s="253"/>
      <c r="CH100" s="253"/>
      <c r="CI100" s="253"/>
      <c r="CJ100" s="253"/>
      <c r="CK100" s="253"/>
      <c r="CL100" s="253"/>
      <c r="CM100" s="253"/>
      <c r="CN100" s="253"/>
      <c r="CO100" s="253"/>
      <c r="CP100" s="253"/>
      <c r="CQ100" s="253"/>
      <c r="CR100" s="253"/>
      <c r="CS100" s="253"/>
      <c r="CT100" s="253"/>
      <c r="CU100" s="253"/>
      <c r="CV100" s="253"/>
      <c r="CW100" s="253"/>
      <c r="CX100" s="253"/>
      <c r="CY100" s="253"/>
      <c r="CZ100" s="253"/>
      <c r="DA100" s="253"/>
      <c r="DB100" s="253"/>
      <c r="DC100" s="253"/>
      <c r="DD100" s="253"/>
      <c r="DE100" s="253"/>
      <c r="DF100" s="253"/>
      <c r="DG100" s="253"/>
      <c r="DH100" s="253"/>
      <c r="DI100" s="253"/>
      <c r="DJ100" s="253"/>
      <c r="DK100" s="253"/>
      <c r="DL100" s="253"/>
      <c r="DM100" s="253"/>
      <c r="DN100" s="253"/>
      <c r="DO100" s="253"/>
      <c r="DP100" s="253"/>
    </row>
    <row r="101" spans="1:120">
      <c r="A101" s="250"/>
      <c r="B101" s="253" t="s">
        <v>744</v>
      </c>
      <c r="C101" s="253"/>
      <c r="D101" s="253"/>
      <c r="E101" s="253">
        <f t="shared" ref="E101:V101" si="237">E143+E139</f>
        <v>17</v>
      </c>
      <c r="F101" s="253">
        <f t="shared" si="237"/>
        <v>0</v>
      </c>
      <c r="G101" s="253">
        <f t="shared" si="237"/>
        <v>10</v>
      </c>
      <c r="H101" s="253">
        <f t="shared" si="237"/>
        <v>5</v>
      </c>
      <c r="I101" s="253">
        <f t="shared" si="237"/>
        <v>0</v>
      </c>
      <c r="J101" s="253">
        <f t="shared" si="237"/>
        <v>0</v>
      </c>
      <c r="K101" s="253">
        <f t="shared" si="237"/>
        <v>21.23851268</v>
      </c>
      <c r="L101" s="253">
        <f t="shared" si="237"/>
        <v>0</v>
      </c>
      <c r="M101" s="253">
        <f t="shared" si="237"/>
        <v>0</v>
      </c>
      <c r="N101" s="253">
        <f t="shared" si="237"/>
        <v>71.56789944</v>
      </c>
      <c r="O101" s="253">
        <f t="shared" si="237"/>
        <v>0</v>
      </c>
      <c r="P101" s="253">
        <f t="shared" ref="P101:S101" si="238">P143+P139</f>
        <v>3.14850772</v>
      </c>
      <c r="Q101" s="253">
        <f t="shared" si="238"/>
        <v>3.77726413</v>
      </c>
      <c r="R101" s="253">
        <f t="shared" si="238"/>
        <v>3.68320656</v>
      </c>
      <c r="S101" s="253">
        <f t="shared" si="238"/>
        <v>3.62242457</v>
      </c>
      <c r="T101" s="253">
        <f t="shared" si="237"/>
        <v>3.62242457</v>
      </c>
      <c r="U101" s="253">
        <f t="shared" si="237"/>
        <v>3.62242457</v>
      </c>
      <c r="V101" s="253">
        <f t="shared" si="237"/>
        <v>3.62242457</v>
      </c>
      <c r="W101" s="303"/>
      <c r="X101" s="253"/>
      <c r="Y101" s="253"/>
      <c r="Z101" s="253"/>
      <c r="AA101" s="316"/>
      <c r="AB101" s="253"/>
      <c r="AC101" s="253"/>
      <c r="AD101" s="253"/>
      <c r="AE101" s="316"/>
      <c r="AF101" s="253"/>
      <c r="AG101" s="253"/>
      <c r="AH101" s="253"/>
      <c r="AI101" s="316"/>
      <c r="AJ101" s="253"/>
      <c r="AK101" s="253"/>
      <c r="AL101" s="253"/>
      <c r="AM101" s="316"/>
      <c r="AN101" s="253"/>
      <c r="AO101" s="253"/>
      <c r="AP101" s="253"/>
      <c r="AQ101" s="316"/>
      <c r="AR101" s="253"/>
      <c r="AS101" s="253"/>
      <c r="AT101" s="253"/>
      <c r="AU101" s="316"/>
      <c r="AV101" s="253"/>
      <c r="AW101" s="253"/>
      <c r="AX101" s="253"/>
      <c r="AY101" s="316"/>
      <c r="AZ101" s="253"/>
      <c r="BA101" s="253"/>
      <c r="BB101" s="253"/>
      <c r="BC101" s="316"/>
      <c r="BD101" s="253"/>
      <c r="BE101" s="253"/>
      <c r="BF101" s="253"/>
      <c r="BG101" s="316"/>
      <c r="BH101" s="253"/>
      <c r="BI101" s="253"/>
      <c r="BJ101" s="253"/>
      <c r="BK101" s="316"/>
      <c r="BL101" s="253"/>
      <c r="BM101" s="253"/>
      <c r="BN101" s="253"/>
      <c r="BO101" s="316"/>
      <c r="BP101" s="253"/>
      <c r="BQ101" s="253"/>
      <c r="BR101" s="253"/>
      <c r="BS101" s="316"/>
      <c r="BT101" s="253"/>
      <c r="BU101" s="253"/>
      <c r="BV101" s="253"/>
      <c r="BW101" s="253"/>
      <c r="BX101" s="253"/>
      <c r="BY101" s="253"/>
      <c r="BZ101" s="253"/>
      <c r="CA101" s="253"/>
      <c r="CB101" s="253"/>
      <c r="CC101" s="253"/>
      <c r="CD101" s="253"/>
      <c r="CE101" s="253"/>
      <c r="CF101" s="253"/>
      <c r="CG101" s="253"/>
      <c r="CH101" s="253"/>
      <c r="CI101" s="253"/>
      <c r="CJ101" s="253"/>
      <c r="CK101" s="253"/>
      <c r="CL101" s="253"/>
      <c r="CM101" s="253"/>
      <c r="CN101" s="253"/>
      <c r="CO101" s="253"/>
      <c r="CP101" s="253"/>
      <c r="CQ101" s="253"/>
      <c r="CR101" s="253"/>
      <c r="CS101" s="253"/>
      <c r="CT101" s="253"/>
      <c r="CU101" s="253"/>
      <c r="CV101" s="253"/>
      <c r="CW101" s="253"/>
      <c r="CX101" s="253"/>
      <c r="CY101" s="253"/>
      <c r="CZ101" s="253"/>
      <c r="DA101" s="253"/>
      <c r="DB101" s="253"/>
      <c r="DC101" s="253"/>
      <c r="DD101" s="253"/>
      <c r="DE101" s="253"/>
      <c r="DF101" s="253"/>
      <c r="DG101" s="253"/>
      <c r="DH101" s="253"/>
      <c r="DI101" s="253"/>
      <c r="DJ101" s="253"/>
      <c r="DK101" s="253"/>
      <c r="DL101" s="253"/>
      <c r="DM101" s="253"/>
      <c r="DN101" s="253"/>
      <c r="DO101" s="253"/>
      <c r="DP101" s="253"/>
    </row>
    <row r="102" spans="1:120">
      <c r="A102" s="250"/>
      <c r="B102" s="253" t="s">
        <v>745</v>
      </c>
      <c r="C102" s="253"/>
      <c r="D102" s="253"/>
      <c r="E102" s="253">
        <f t="shared" ref="E102:V102" si="239">E25</f>
        <v>0</v>
      </c>
      <c r="F102" s="253">
        <f t="shared" si="239"/>
        <v>0</v>
      </c>
      <c r="G102" s="253">
        <f t="shared" si="239"/>
        <v>0</v>
      </c>
      <c r="H102" s="253">
        <f t="shared" si="239"/>
        <v>0</v>
      </c>
      <c r="I102" s="253">
        <f t="shared" si="239"/>
        <v>0</v>
      </c>
      <c r="J102" s="253">
        <f t="shared" si="239"/>
        <v>0</v>
      </c>
      <c r="K102" s="253">
        <f t="shared" si="239"/>
        <v>0</v>
      </c>
      <c r="L102" s="253">
        <f t="shared" si="239"/>
        <v>-0.16884679</v>
      </c>
      <c r="M102" s="253">
        <f t="shared" si="239"/>
        <v>0</v>
      </c>
      <c r="N102" s="253">
        <f t="shared" si="239"/>
        <v>-1.15747521</v>
      </c>
      <c r="O102" s="253">
        <f t="shared" si="239"/>
        <v>-0.28331815</v>
      </c>
      <c r="P102" s="253">
        <f t="shared" ref="P102:S102" si="240">P25</f>
        <v>0</v>
      </c>
      <c r="Q102" s="253">
        <f t="shared" si="240"/>
        <v>-1.54815764</v>
      </c>
      <c r="R102" s="253">
        <f t="shared" si="240"/>
        <v>-1.37641141</v>
      </c>
      <c r="S102" s="253">
        <f t="shared" si="240"/>
        <v>-1.18644797</v>
      </c>
      <c r="T102" s="410">
        <f t="shared" si="239"/>
        <v>0</v>
      </c>
      <c r="U102" s="410">
        <f t="shared" si="239"/>
        <v>0</v>
      </c>
      <c r="V102" s="410">
        <f t="shared" si="239"/>
        <v>0</v>
      </c>
      <c r="W102" s="303"/>
      <c r="X102" s="253"/>
      <c r="Y102" s="253"/>
      <c r="Z102" s="253"/>
      <c r="AA102" s="316"/>
      <c r="AB102" s="253"/>
      <c r="AC102" s="253"/>
      <c r="AD102" s="253"/>
      <c r="AE102" s="316"/>
      <c r="AF102" s="253"/>
      <c r="AG102" s="253"/>
      <c r="AH102" s="253"/>
      <c r="AI102" s="316"/>
      <c r="AJ102" s="253"/>
      <c r="AK102" s="253"/>
      <c r="AL102" s="253"/>
      <c r="AM102" s="316"/>
      <c r="AN102" s="253"/>
      <c r="AO102" s="253"/>
      <c r="AP102" s="253"/>
      <c r="AQ102" s="316"/>
      <c r="AR102" s="253"/>
      <c r="AS102" s="253"/>
      <c r="AT102" s="253"/>
      <c r="AU102" s="316"/>
      <c r="AV102" s="253"/>
      <c r="AW102" s="253"/>
      <c r="AX102" s="253"/>
      <c r="AY102" s="316"/>
      <c r="AZ102" s="253"/>
      <c r="BA102" s="253"/>
      <c r="BB102" s="253"/>
      <c r="BC102" s="316"/>
      <c r="BD102" s="253"/>
      <c r="BE102" s="253"/>
      <c r="BF102" s="253"/>
      <c r="BG102" s="316"/>
      <c r="BH102" s="253"/>
      <c r="BI102" s="253"/>
      <c r="BJ102" s="253"/>
      <c r="BK102" s="316"/>
      <c r="BL102" s="253"/>
      <c r="BM102" s="253"/>
      <c r="BN102" s="253"/>
      <c r="BO102" s="316"/>
      <c r="BP102" s="253"/>
      <c r="BQ102" s="253"/>
      <c r="BR102" s="253"/>
      <c r="BS102" s="316"/>
      <c r="BT102" s="253"/>
      <c r="BU102" s="253"/>
      <c r="BV102" s="253"/>
      <c r="BW102" s="253"/>
      <c r="BX102" s="253"/>
      <c r="BY102" s="253"/>
      <c r="BZ102" s="253"/>
      <c r="CA102" s="253"/>
      <c r="CB102" s="253"/>
      <c r="CC102" s="253"/>
      <c r="CD102" s="253"/>
      <c r="CE102" s="253"/>
      <c r="CF102" s="253"/>
      <c r="CG102" s="253"/>
      <c r="CH102" s="253"/>
      <c r="CI102" s="253"/>
      <c r="CJ102" s="253"/>
      <c r="CK102" s="253"/>
      <c r="CL102" s="253"/>
      <c r="CM102" s="253"/>
      <c r="CN102" s="253"/>
      <c r="CO102" s="253"/>
      <c r="CP102" s="253"/>
      <c r="CQ102" s="253"/>
      <c r="CR102" s="253"/>
      <c r="CS102" s="253"/>
      <c r="CT102" s="253"/>
      <c r="CU102" s="253"/>
      <c r="CV102" s="253"/>
      <c r="CW102" s="253"/>
      <c r="CX102" s="253"/>
      <c r="CY102" s="253"/>
      <c r="CZ102" s="253"/>
      <c r="DA102" s="253"/>
      <c r="DB102" s="253"/>
      <c r="DC102" s="253"/>
      <c r="DD102" s="253"/>
      <c r="DE102" s="253"/>
      <c r="DF102" s="253"/>
      <c r="DG102" s="253"/>
      <c r="DH102" s="253"/>
      <c r="DI102" s="253"/>
      <c r="DJ102" s="253"/>
      <c r="DK102" s="253"/>
      <c r="DL102" s="253"/>
      <c r="DM102" s="253"/>
      <c r="DN102" s="253"/>
      <c r="DO102" s="253"/>
      <c r="DP102" s="253"/>
    </row>
    <row r="103" spans="1:120">
      <c r="A103" s="261"/>
      <c r="B103" s="253" t="s">
        <v>746</v>
      </c>
      <c r="C103" s="27"/>
      <c r="D103" s="27"/>
      <c r="E103" s="27">
        <f t="shared" ref="E103:O103" si="241">IFERROR(-E102/AVERAGE(D101:E101),"")</f>
        <v>0</v>
      </c>
      <c r="F103" s="27">
        <f t="shared" si="241"/>
        <v>0</v>
      </c>
      <c r="G103" s="27">
        <f t="shared" si="241"/>
        <v>0</v>
      </c>
      <c r="H103" s="27">
        <f t="shared" si="241"/>
        <v>0</v>
      </c>
      <c r="I103" s="27">
        <f t="shared" si="241"/>
        <v>0</v>
      </c>
      <c r="J103" s="27" t="str">
        <f t="shared" si="241"/>
        <v/>
      </c>
      <c r="K103" s="27">
        <f t="shared" si="241"/>
        <v>0</v>
      </c>
      <c r="L103" s="27">
        <f t="shared" si="241"/>
        <v>0.01590005783776</v>
      </c>
      <c r="M103" s="27" t="str">
        <f t="shared" si="241"/>
        <v/>
      </c>
      <c r="N103" s="27">
        <f t="shared" si="241"/>
        <v>0.0323462116132216</v>
      </c>
      <c r="O103" s="27">
        <f t="shared" si="241"/>
        <v>0.00791746445590523</v>
      </c>
      <c r="P103" s="27">
        <f t="shared" ref="P103" si="242">IFERROR(-P102/AVERAGE(O101:P101),"")</f>
        <v>0</v>
      </c>
      <c r="Q103" s="27">
        <f t="shared" ref="Q103" si="243">IFERROR(-Q102/AVERAGE(P101:Q101),"")</f>
        <v>0.44707151015955</v>
      </c>
      <c r="R103" s="27">
        <f t="shared" ref="R103" si="244">IFERROR(-R102/AVERAGE(Q101:R101),"")</f>
        <v>0.368987820525839</v>
      </c>
      <c r="S103" s="27">
        <f t="shared" ref="S103" si="245">IFERROR(-S102/AVERAGE(R101:S101),"")</f>
        <v>0.324803688795057</v>
      </c>
      <c r="T103" s="411"/>
      <c r="U103" s="411"/>
      <c r="V103" s="411"/>
      <c r="W103" s="303"/>
      <c r="X103" s="397"/>
      <c r="Y103" s="397"/>
      <c r="Z103" s="397"/>
      <c r="AA103" s="420"/>
      <c r="AB103" s="397"/>
      <c r="AC103" s="397"/>
      <c r="AD103" s="397"/>
      <c r="AE103" s="420"/>
      <c r="AF103" s="397"/>
      <c r="AG103" s="397"/>
      <c r="AH103" s="397"/>
      <c r="AI103" s="420"/>
      <c r="AJ103" s="397"/>
      <c r="AK103" s="397"/>
      <c r="AL103" s="397"/>
      <c r="AM103" s="420"/>
      <c r="AN103" s="397"/>
      <c r="AO103" s="397"/>
      <c r="AP103" s="397"/>
      <c r="AQ103" s="433"/>
      <c r="AR103" s="407"/>
      <c r="AS103" s="407"/>
      <c r="AT103" s="407"/>
      <c r="AU103" s="433"/>
      <c r="AV103" s="407"/>
      <c r="AW103" s="407"/>
      <c r="AX103" s="407"/>
      <c r="AY103" s="433"/>
      <c r="AZ103" s="407"/>
      <c r="BA103" s="407"/>
      <c r="BB103" s="407"/>
      <c r="BC103" s="433"/>
      <c r="BD103" s="407"/>
      <c r="BE103" s="407"/>
      <c r="BF103" s="407"/>
      <c r="BG103" s="433"/>
      <c r="BH103" s="407"/>
      <c r="BI103" s="407"/>
      <c r="BJ103" s="407"/>
      <c r="BK103" s="433"/>
      <c r="BL103" s="407"/>
      <c r="BM103" s="407"/>
      <c r="BN103" s="407"/>
      <c r="BO103" s="433"/>
      <c r="BP103" s="407"/>
      <c r="BQ103" s="407"/>
      <c r="BR103" s="407"/>
      <c r="BS103" s="433"/>
      <c r="BT103" s="407"/>
      <c r="BU103" s="407"/>
      <c r="BV103" s="407"/>
      <c r="BW103" s="407"/>
      <c r="BX103" s="407"/>
      <c r="BY103" s="407"/>
      <c r="BZ103" s="407"/>
      <c r="CA103" s="407"/>
      <c r="CB103" s="407"/>
      <c r="CC103" s="407"/>
      <c r="CD103" s="407"/>
      <c r="CE103" s="407"/>
      <c r="CF103" s="407"/>
      <c r="CG103" s="407"/>
      <c r="CH103" s="397"/>
      <c r="CI103" s="397"/>
      <c r="CJ103" s="397"/>
      <c r="CK103" s="397"/>
      <c r="CL103" s="397"/>
      <c r="CM103" s="397"/>
      <c r="CN103" s="397"/>
      <c r="CO103" s="397"/>
      <c r="CP103" s="397"/>
      <c r="CQ103" s="397"/>
      <c r="CR103" s="397"/>
      <c r="CS103" s="397"/>
      <c r="CT103" s="397"/>
      <c r="CU103" s="397"/>
      <c r="CV103" s="397"/>
      <c r="CW103" s="397"/>
      <c r="CX103" s="397"/>
      <c r="CY103" s="397"/>
      <c r="CZ103" s="397"/>
      <c r="DA103" s="397"/>
      <c r="DB103" s="397"/>
      <c r="DC103" s="397"/>
      <c r="DD103" s="397"/>
      <c r="DE103" s="397"/>
      <c r="DF103" s="397"/>
      <c r="DG103" s="397"/>
      <c r="DH103" s="397"/>
      <c r="DI103" s="397"/>
      <c r="DJ103" s="397"/>
      <c r="DK103" s="397"/>
      <c r="DL103" s="397"/>
      <c r="DM103" s="397"/>
      <c r="DN103" s="397"/>
      <c r="DO103" s="397"/>
      <c r="DP103" s="397"/>
    </row>
    <row r="104" spans="1:120">
      <c r="A104" s="261"/>
      <c r="B104" s="303"/>
      <c r="C104" s="253"/>
      <c r="D104" s="253"/>
      <c r="E104" s="253"/>
      <c r="F104" s="253"/>
      <c r="G104" s="253"/>
      <c r="H104" s="253"/>
      <c r="I104" s="253"/>
      <c r="J104" s="253"/>
      <c r="K104" s="253"/>
      <c r="L104" s="253"/>
      <c r="M104" s="253"/>
      <c r="N104" s="253"/>
      <c r="O104" s="409"/>
      <c r="P104" s="409"/>
      <c r="Q104" s="409"/>
      <c r="R104" s="409"/>
      <c r="S104" s="409"/>
      <c r="T104" s="409"/>
      <c r="U104" s="409"/>
      <c r="V104" s="409"/>
      <c r="W104" s="303"/>
      <c r="X104" s="253"/>
      <c r="Y104" s="253"/>
      <c r="Z104" s="253"/>
      <c r="AA104" s="316"/>
      <c r="AB104" s="253"/>
      <c r="AC104" s="253"/>
      <c r="AD104" s="253"/>
      <c r="AE104" s="316"/>
      <c r="AF104" s="253"/>
      <c r="AG104" s="253"/>
      <c r="AH104" s="253"/>
      <c r="AI104" s="316"/>
      <c r="AJ104" s="253"/>
      <c r="AK104" s="253"/>
      <c r="AL104" s="253"/>
      <c r="AM104" s="316"/>
      <c r="AN104" s="253"/>
      <c r="AO104" s="253"/>
      <c r="AP104" s="253"/>
      <c r="AQ104" s="316"/>
      <c r="AR104" s="253"/>
      <c r="AS104" s="253"/>
      <c r="AT104" s="253"/>
      <c r="AU104" s="316"/>
      <c r="AV104" s="253"/>
      <c r="AW104" s="253"/>
      <c r="AX104" s="253"/>
      <c r="AY104" s="316"/>
      <c r="AZ104" s="253"/>
      <c r="BA104" s="253"/>
      <c r="BB104" s="253"/>
      <c r="BC104" s="316"/>
      <c r="BD104" s="253"/>
      <c r="BE104" s="253"/>
      <c r="BF104" s="253"/>
      <c r="BG104" s="316"/>
      <c r="BH104" s="253"/>
      <c r="BI104" s="253"/>
      <c r="BJ104" s="253"/>
      <c r="BK104" s="316"/>
      <c r="BL104" s="253"/>
      <c r="BM104" s="253"/>
      <c r="BN104" s="253"/>
      <c r="BO104" s="316"/>
      <c r="BP104" s="253"/>
      <c r="BQ104" s="253"/>
      <c r="BR104" s="253"/>
      <c r="BS104" s="316"/>
      <c r="BT104" s="253"/>
      <c r="BU104" s="253"/>
      <c r="BV104" s="253"/>
      <c r="BW104" s="253"/>
      <c r="BX104" s="253"/>
      <c r="BY104" s="253"/>
      <c r="BZ104" s="253"/>
      <c r="CA104" s="253"/>
      <c r="CB104" s="253"/>
      <c r="CC104" s="253"/>
      <c r="CD104" s="253"/>
      <c r="CE104" s="253"/>
      <c r="CF104" s="253"/>
      <c r="CG104" s="253"/>
      <c r="CH104" s="253"/>
      <c r="CI104" s="253"/>
      <c r="CJ104" s="253"/>
      <c r="CK104" s="253"/>
      <c r="CL104" s="253"/>
      <c r="CM104" s="253"/>
      <c r="CN104" s="253"/>
      <c r="CO104" s="253"/>
      <c r="CP104" s="253"/>
      <c r="CQ104" s="253"/>
      <c r="CR104" s="253"/>
      <c r="CS104" s="253"/>
      <c r="CT104" s="253"/>
      <c r="CU104" s="253"/>
      <c r="CV104" s="253"/>
      <c r="CW104" s="253"/>
      <c r="CX104" s="253"/>
      <c r="CY104" s="253"/>
      <c r="CZ104" s="253"/>
      <c r="DA104" s="253"/>
      <c r="DB104" s="253"/>
      <c r="DC104" s="253"/>
      <c r="DD104" s="253"/>
      <c r="DE104" s="253"/>
      <c r="DF104" s="253"/>
      <c r="DG104" s="253"/>
      <c r="DH104" s="253"/>
      <c r="DI104" s="253"/>
      <c r="DJ104" s="253"/>
      <c r="DK104" s="253"/>
      <c r="DL104" s="253"/>
      <c r="DM104" s="253"/>
      <c r="DN104" s="253"/>
      <c r="DO104" s="253"/>
      <c r="DP104" s="253"/>
    </row>
    <row r="105" spans="1:120">
      <c r="A105" s="261"/>
      <c r="B105" s="279" t="s">
        <v>740</v>
      </c>
      <c r="C105" s="278"/>
      <c r="D105" s="278"/>
      <c r="E105" s="278"/>
      <c r="F105" s="278"/>
      <c r="G105" s="278"/>
      <c r="H105" s="278"/>
      <c r="I105" s="278"/>
      <c r="J105" s="278"/>
      <c r="K105" s="278"/>
      <c r="L105" s="278"/>
      <c r="M105" s="278"/>
      <c r="N105" s="278"/>
      <c r="O105" s="253"/>
      <c r="P105" s="253"/>
      <c r="Q105" s="253"/>
      <c r="R105" s="253"/>
      <c r="S105" s="253"/>
      <c r="T105" s="253"/>
      <c r="U105" s="253"/>
      <c r="V105" s="253"/>
      <c r="W105" s="303"/>
      <c r="X105" s="278"/>
      <c r="Y105" s="278"/>
      <c r="Z105" s="278"/>
      <c r="AA105" s="328"/>
      <c r="AB105" s="278"/>
      <c r="AC105" s="278"/>
      <c r="AD105" s="278"/>
      <c r="AE105" s="328"/>
      <c r="AF105" s="278"/>
      <c r="AG105" s="278"/>
      <c r="AH105" s="278"/>
      <c r="AI105" s="328"/>
      <c r="AJ105" s="278"/>
      <c r="AK105" s="278"/>
      <c r="AL105" s="278"/>
      <c r="AM105" s="328"/>
      <c r="AN105" s="278"/>
      <c r="AO105" s="278"/>
      <c r="AP105" s="278"/>
      <c r="AQ105" s="328"/>
      <c r="AR105" s="278"/>
      <c r="AS105" s="278"/>
      <c r="AT105" s="278"/>
      <c r="AU105" s="328"/>
      <c r="AV105" s="278"/>
      <c r="AW105" s="278"/>
      <c r="AX105" s="278"/>
      <c r="AY105" s="328"/>
      <c r="AZ105" s="278"/>
      <c r="BA105" s="278"/>
      <c r="BB105" s="278"/>
      <c r="BC105" s="328"/>
      <c r="BD105" s="278"/>
      <c r="BE105" s="278"/>
      <c r="BF105" s="278"/>
      <c r="BG105" s="328"/>
      <c r="BH105" s="278"/>
      <c r="BI105" s="278"/>
      <c r="BJ105" s="278"/>
      <c r="BK105" s="328"/>
      <c r="BL105" s="278"/>
      <c r="BM105" s="278"/>
      <c r="BN105" s="278"/>
      <c r="BO105" s="328"/>
      <c r="BP105" s="278"/>
      <c r="BQ105" s="278"/>
      <c r="BR105" s="278"/>
      <c r="BS105" s="328"/>
      <c r="BT105" s="278"/>
      <c r="BU105" s="278"/>
      <c r="BV105" s="278"/>
      <c r="BW105" s="278"/>
      <c r="BX105" s="278"/>
      <c r="BY105" s="278"/>
      <c r="BZ105" s="278"/>
      <c r="CA105" s="278"/>
      <c r="CB105" s="278"/>
      <c r="CC105" s="278"/>
      <c r="CD105" s="278"/>
      <c r="CE105" s="278"/>
      <c r="CF105" s="278"/>
      <c r="CG105" s="278"/>
      <c r="CH105" s="253"/>
      <c r="CI105" s="253"/>
      <c r="CJ105" s="253"/>
      <c r="CK105" s="253"/>
      <c r="CL105" s="253"/>
      <c r="CM105" s="253"/>
      <c r="CN105" s="253"/>
      <c r="CO105" s="253"/>
      <c r="CP105" s="253"/>
      <c r="CQ105" s="253"/>
      <c r="CR105" s="253"/>
      <c r="CS105" s="253"/>
      <c r="CT105" s="253"/>
      <c r="CU105" s="278"/>
      <c r="CV105" s="278"/>
      <c r="CW105" s="278"/>
      <c r="CX105" s="278"/>
      <c r="CY105" s="278"/>
      <c r="CZ105" s="278"/>
      <c r="DA105" s="278"/>
      <c r="DB105" s="278"/>
      <c r="DC105" s="278"/>
      <c r="DD105" s="278"/>
      <c r="DE105" s="278"/>
      <c r="DF105" s="278"/>
      <c r="DG105" s="278"/>
      <c r="DH105" s="278"/>
      <c r="DI105" s="278"/>
      <c r="DJ105" s="278"/>
      <c r="DK105" s="278"/>
      <c r="DL105" s="278"/>
      <c r="DM105" s="278"/>
      <c r="DN105" s="278"/>
      <c r="DO105" s="278"/>
      <c r="DP105" s="278"/>
    </row>
    <row r="106" spans="1:120">
      <c r="A106" s="261"/>
      <c r="B106" s="18" t="s">
        <v>747</v>
      </c>
      <c r="C106" s="253"/>
      <c r="D106" s="253"/>
      <c r="E106" s="253">
        <f t="shared" ref="E106:V106" si="246">E121</f>
        <v>106.83875803</v>
      </c>
      <c r="F106" s="253">
        <f t="shared" si="246"/>
        <v>98.53904271</v>
      </c>
      <c r="G106" s="253">
        <f t="shared" si="246"/>
        <v>62.52412164</v>
      </c>
      <c r="H106" s="253">
        <f t="shared" si="246"/>
        <v>89.89609736</v>
      </c>
      <c r="I106" s="253">
        <f t="shared" si="246"/>
        <v>79.31808351</v>
      </c>
      <c r="J106" s="253">
        <f t="shared" si="246"/>
        <v>135.60739867</v>
      </c>
      <c r="K106" s="253">
        <f t="shared" si="246"/>
        <v>108.06688407</v>
      </c>
      <c r="L106" s="253">
        <f t="shared" si="246"/>
        <v>237.00026683</v>
      </c>
      <c r="M106" s="253">
        <f t="shared" si="246"/>
        <v>253.40360322</v>
      </c>
      <c r="N106" s="253">
        <f t="shared" si="246"/>
        <v>1931.39998619</v>
      </c>
      <c r="O106" s="253">
        <f t="shared" si="246"/>
        <v>1579.77817945</v>
      </c>
      <c r="P106" s="253">
        <f t="shared" ref="P106:S106" si="247">P121</f>
        <v>1784.96853053</v>
      </c>
      <c r="Q106" s="253">
        <f t="shared" si="247"/>
        <v>2515.32317661</v>
      </c>
      <c r="R106" s="253">
        <f t="shared" si="247"/>
        <v>1600.2691037</v>
      </c>
      <c r="S106" s="253">
        <f t="shared" si="247"/>
        <v>8155.613938</v>
      </c>
      <c r="T106" s="253">
        <f t="shared" si="246"/>
        <v>15393.7526700418</v>
      </c>
      <c r="U106" s="253">
        <f t="shared" si="246"/>
        <v>39089.3118467892</v>
      </c>
      <c r="V106" s="253">
        <f t="shared" si="246"/>
        <v>57966.2091934597</v>
      </c>
      <c r="W106" s="303"/>
      <c r="X106" s="278"/>
      <c r="Y106" s="278"/>
      <c r="Z106" s="278"/>
      <c r="AA106" s="328"/>
      <c r="AB106" s="278"/>
      <c r="AC106" s="278"/>
      <c r="AD106" s="278"/>
      <c r="AE106" s="328"/>
      <c r="AF106" s="278"/>
      <c r="AG106" s="278"/>
      <c r="AH106" s="278"/>
      <c r="AI106" s="328"/>
      <c r="AJ106" s="278"/>
      <c r="AK106" s="278"/>
      <c r="AL106" s="278"/>
      <c r="AM106" s="328"/>
      <c r="AN106" s="278"/>
      <c r="AO106" s="278"/>
      <c r="AP106" s="278"/>
      <c r="AQ106" s="328"/>
      <c r="AR106" s="278"/>
      <c r="AS106" s="278"/>
      <c r="AT106" s="278"/>
      <c r="AU106" s="328"/>
      <c r="AV106" s="278"/>
      <c r="AW106" s="278"/>
      <c r="AX106" s="278"/>
      <c r="AY106" s="328"/>
      <c r="AZ106" s="278"/>
      <c r="BA106" s="278"/>
      <c r="BB106" s="278"/>
      <c r="BC106" s="328"/>
      <c r="BD106" s="278"/>
      <c r="BE106" s="278"/>
      <c r="BF106" s="278"/>
      <c r="BG106" s="328"/>
      <c r="BH106" s="278"/>
      <c r="BI106" s="278"/>
      <c r="BJ106" s="278"/>
      <c r="BK106" s="328"/>
      <c r="BL106" s="278"/>
      <c r="BM106" s="278"/>
      <c r="BN106" s="278"/>
      <c r="BO106" s="328"/>
      <c r="BP106" s="278"/>
      <c r="BQ106" s="278"/>
      <c r="BR106" s="278"/>
      <c r="BS106" s="328"/>
      <c r="BT106" s="278"/>
      <c r="BU106" s="278"/>
      <c r="BV106" s="278"/>
      <c r="BW106" s="278"/>
      <c r="BX106" s="278"/>
      <c r="BY106" s="278"/>
      <c r="BZ106" s="278"/>
      <c r="CA106" s="278"/>
      <c r="CB106" s="278"/>
      <c r="CC106" s="278"/>
      <c r="CD106" s="278"/>
      <c r="CE106" s="278"/>
      <c r="CF106" s="278"/>
      <c r="CG106" s="278"/>
      <c r="CH106" s="253"/>
      <c r="CI106" s="253"/>
      <c r="CJ106" s="253"/>
      <c r="CK106" s="253"/>
      <c r="CL106" s="253"/>
      <c r="CM106" s="253"/>
      <c r="CN106" s="253"/>
      <c r="CO106" s="253"/>
      <c r="CP106" s="253"/>
      <c r="CQ106" s="253"/>
      <c r="CR106" s="253"/>
      <c r="CS106" s="253"/>
      <c r="CT106" s="253"/>
      <c r="CU106" s="278"/>
      <c r="CV106" s="278"/>
      <c r="CW106" s="278"/>
      <c r="CX106" s="278"/>
      <c r="CY106" s="278"/>
      <c r="CZ106" s="278"/>
      <c r="DA106" s="278"/>
      <c r="DB106" s="278"/>
      <c r="DC106" s="278"/>
      <c r="DD106" s="278"/>
      <c r="DE106" s="278"/>
      <c r="DF106" s="278"/>
      <c r="DG106" s="278"/>
      <c r="DH106" s="278"/>
      <c r="DI106" s="278"/>
      <c r="DJ106" s="278"/>
      <c r="DK106" s="278"/>
      <c r="DL106" s="278"/>
      <c r="DM106" s="278"/>
      <c r="DN106" s="278"/>
      <c r="DO106" s="278"/>
      <c r="DP106" s="278"/>
    </row>
    <row r="107" spans="1:120">
      <c r="A107" s="261"/>
      <c r="B107" s="18" t="s">
        <v>108</v>
      </c>
      <c r="C107" s="253"/>
      <c r="D107" s="253"/>
      <c r="E107" s="253">
        <f t="shared" ref="E107:V107" si="248">E24</f>
        <v>0</v>
      </c>
      <c r="F107" s="253">
        <f t="shared" si="248"/>
        <v>0</v>
      </c>
      <c r="G107" s="253">
        <f t="shared" si="248"/>
        <v>0</v>
      </c>
      <c r="H107" s="253">
        <f t="shared" si="248"/>
        <v>0</v>
      </c>
      <c r="I107" s="253">
        <f t="shared" si="248"/>
        <v>0</v>
      </c>
      <c r="J107" s="253">
        <f t="shared" si="248"/>
        <v>0</v>
      </c>
      <c r="K107" s="253">
        <f t="shared" si="248"/>
        <v>0</v>
      </c>
      <c r="L107" s="253">
        <f t="shared" si="248"/>
        <v>1.67588665</v>
      </c>
      <c r="M107" s="253">
        <f t="shared" si="248"/>
        <v>3.89195895</v>
      </c>
      <c r="N107" s="253">
        <f t="shared" si="248"/>
        <v>2.6946375</v>
      </c>
      <c r="O107" s="253">
        <f t="shared" si="248"/>
        <v>24.81654117</v>
      </c>
      <c r="P107" s="253">
        <f t="shared" ref="P107:S107" si="249">P24</f>
        <v>21.51306124</v>
      </c>
      <c r="Q107" s="253">
        <f t="shared" si="249"/>
        <v>74.55697385</v>
      </c>
      <c r="R107" s="253">
        <f t="shared" si="249"/>
        <v>72.84041097</v>
      </c>
      <c r="S107" s="253">
        <f t="shared" si="249"/>
        <v>77.94911125</v>
      </c>
      <c r="T107" s="410">
        <f t="shared" si="248"/>
        <v>32</v>
      </c>
      <c r="U107" s="410">
        <f t="shared" si="248"/>
        <v>32</v>
      </c>
      <c r="V107" s="410">
        <f t="shared" si="248"/>
        <v>32</v>
      </c>
      <c r="W107" s="303"/>
      <c r="X107" s="278"/>
      <c r="Y107" s="278"/>
      <c r="Z107" s="278"/>
      <c r="AA107" s="328"/>
      <c r="AB107" s="278"/>
      <c r="AC107" s="278"/>
      <c r="AD107" s="278"/>
      <c r="AE107" s="328"/>
      <c r="AF107" s="278"/>
      <c r="AG107" s="278"/>
      <c r="AH107" s="278"/>
      <c r="AI107" s="328"/>
      <c r="AJ107" s="278"/>
      <c r="AK107" s="278"/>
      <c r="AL107" s="278"/>
      <c r="AM107" s="328"/>
      <c r="AN107" s="278"/>
      <c r="AO107" s="278"/>
      <c r="AP107" s="278"/>
      <c r="AQ107" s="328"/>
      <c r="AR107" s="278"/>
      <c r="AS107" s="278"/>
      <c r="AT107" s="278"/>
      <c r="AU107" s="328"/>
      <c r="AV107" s="278"/>
      <c r="AW107" s="278"/>
      <c r="AX107" s="278"/>
      <c r="AY107" s="328"/>
      <c r="AZ107" s="278"/>
      <c r="BA107" s="278"/>
      <c r="BB107" s="278"/>
      <c r="BC107" s="328"/>
      <c r="BD107" s="278"/>
      <c r="BE107" s="278"/>
      <c r="BF107" s="278"/>
      <c r="BG107" s="328"/>
      <c r="BH107" s="278"/>
      <c r="BI107" s="278"/>
      <c r="BJ107" s="278"/>
      <c r="BK107" s="328"/>
      <c r="BL107" s="278"/>
      <c r="BM107" s="278"/>
      <c r="BN107" s="278"/>
      <c r="BO107" s="328"/>
      <c r="BP107" s="278"/>
      <c r="BQ107" s="278"/>
      <c r="BR107" s="278"/>
      <c r="BS107" s="328"/>
      <c r="BT107" s="278"/>
      <c r="BU107" s="278"/>
      <c r="BV107" s="278"/>
      <c r="BW107" s="278"/>
      <c r="BX107" s="278"/>
      <c r="BY107" s="278"/>
      <c r="BZ107" s="278"/>
      <c r="CA107" s="278"/>
      <c r="CB107" s="278"/>
      <c r="CC107" s="278"/>
      <c r="CD107" s="278"/>
      <c r="CE107" s="278"/>
      <c r="CF107" s="278"/>
      <c r="CG107" s="278"/>
      <c r="CH107" s="253"/>
      <c r="CI107" s="253"/>
      <c r="CJ107" s="253"/>
      <c r="CK107" s="253"/>
      <c r="CL107" s="253"/>
      <c r="CM107" s="253"/>
      <c r="CN107" s="253"/>
      <c r="CO107" s="253"/>
      <c r="CP107" s="253"/>
      <c r="CQ107" s="253"/>
      <c r="CR107" s="253"/>
      <c r="CS107" s="253"/>
      <c r="CT107" s="253"/>
      <c r="CU107" s="278"/>
      <c r="CV107" s="278"/>
      <c r="CW107" s="278"/>
      <c r="CX107" s="278"/>
      <c r="CY107" s="278"/>
      <c r="CZ107" s="278"/>
      <c r="DA107" s="278"/>
      <c r="DB107" s="278"/>
      <c r="DC107" s="278"/>
      <c r="DD107" s="278"/>
      <c r="DE107" s="278"/>
      <c r="DF107" s="278"/>
      <c r="DG107" s="278"/>
      <c r="DH107" s="278"/>
      <c r="DI107" s="278"/>
      <c r="DJ107" s="278"/>
      <c r="DK107" s="278"/>
      <c r="DL107" s="278"/>
      <c r="DM107" s="278"/>
      <c r="DN107" s="278"/>
      <c r="DO107" s="278"/>
      <c r="DP107" s="278"/>
    </row>
    <row r="108" spans="1:120">
      <c r="A108" s="261"/>
      <c r="B108" s="18" t="s">
        <v>748</v>
      </c>
      <c r="C108" s="278"/>
      <c r="D108" s="27"/>
      <c r="E108" s="27">
        <f t="shared" ref="E108:O108" si="250">E107/AVERAGE(D106:E106)</f>
        <v>0</v>
      </c>
      <c r="F108" s="27">
        <f t="shared" si="250"/>
        <v>0</v>
      </c>
      <c r="G108" s="27">
        <f t="shared" si="250"/>
        <v>0</v>
      </c>
      <c r="H108" s="27">
        <f t="shared" si="250"/>
        <v>0</v>
      </c>
      <c r="I108" s="27">
        <f t="shared" si="250"/>
        <v>0</v>
      </c>
      <c r="J108" s="27">
        <f t="shared" si="250"/>
        <v>0</v>
      </c>
      <c r="K108" s="27">
        <f t="shared" si="250"/>
        <v>0</v>
      </c>
      <c r="L108" s="27">
        <f t="shared" si="250"/>
        <v>0.00971339430965232</v>
      </c>
      <c r="M108" s="27">
        <f t="shared" si="250"/>
        <v>0.0158724642593183</v>
      </c>
      <c r="N108" s="27">
        <f t="shared" si="250"/>
        <v>0.00246670914773413</v>
      </c>
      <c r="O108" s="27">
        <f t="shared" si="250"/>
        <v>0.0141357345023684</v>
      </c>
      <c r="P108" s="27">
        <f t="shared" ref="P108" si="251">P107/AVERAGE(O106:P106)</f>
        <v>0.0127873287913121</v>
      </c>
      <c r="Q108" s="27">
        <f t="shared" ref="Q108" si="252">Q107/AVERAGE(P106:Q106)</f>
        <v>0.03467530992198</v>
      </c>
      <c r="R108" s="27">
        <f t="shared" ref="R108" si="253">R107/AVERAGE(Q106:R106)</f>
        <v>0.0353972920585386</v>
      </c>
      <c r="S108" s="27">
        <f t="shared" ref="S108" si="254">S107/AVERAGE(R106:S106)</f>
        <v>0.0159799191763203</v>
      </c>
      <c r="T108" s="411"/>
      <c r="U108" s="411"/>
      <c r="V108" s="411"/>
      <c r="W108" s="303"/>
      <c r="X108" s="278"/>
      <c r="Y108" s="278"/>
      <c r="Z108" s="278"/>
      <c r="AA108" s="328"/>
      <c r="AB108" s="278"/>
      <c r="AC108" s="278"/>
      <c r="AD108" s="278"/>
      <c r="AE108" s="328"/>
      <c r="AF108" s="278"/>
      <c r="AG108" s="278"/>
      <c r="AH108" s="278"/>
      <c r="AI108" s="328"/>
      <c r="AJ108" s="278"/>
      <c r="AK108" s="278"/>
      <c r="AL108" s="278"/>
      <c r="AM108" s="328"/>
      <c r="AN108" s="278"/>
      <c r="AO108" s="278"/>
      <c r="AP108" s="278"/>
      <c r="AQ108" s="328"/>
      <c r="AR108" s="278"/>
      <c r="AS108" s="278"/>
      <c r="AT108" s="278"/>
      <c r="AU108" s="328"/>
      <c r="AV108" s="278"/>
      <c r="AW108" s="278"/>
      <c r="AX108" s="278"/>
      <c r="AY108" s="328"/>
      <c r="AZ108" s="278"/>
      <c r="BA108" s="278"/>
      <c r="BB108" s="278"/>
      <c r="BC108" s="328"/>
      <c r="BD108" s="278"/>
      <c r="BE108" s="278"/>
      <c r="BF108" s="278"/>
      <c r="BG108" s="328"/>
      <c r="BH108" s="278"/>
      <c r="BI108" s="278"/>
      <c r="BJ108" s="278"/>
      <c r="BK108" s="328"/>
      <c r="BL108" s="278"/>
      <c r="BM108" s="278"/>
      <c r="BN108" s="278"/>
      <c r="BO108" s="328"/>
      <c r="BP108" s="278"/>
      <c r="BQ108" s="278"/>
      <c r="BR108" s="278"/>
      <c r="BS108" s="328"/>
      <c r="BT108" s="278"/>
      <c r="BU108" s="278"/>
      <c r="BV108" s="278"/>
      <c r="BW108" s="278"/>
      <c r="BX108" s="278"/>
      <c r="BY108" s="278"/>
      <c r="BZ108" s="278"/>
      <c r="CA108" s="278"/>
      <c r="CB108" s="278"/>
      <c r="CC108" s="278"/>
      <c r="CD108" s="278"/>
      <c r="CE108" s="278"/>
      <c r="CF108" s="278"/>
      <c r="CG108" s="278"/>
      <c r="CH108" s="253"/>
      <c r="CI108" s="253"/>
      <c r="CJ108" s="253"/>
      <c r="CK108" s="253"/>
      <c r="CL108" s="253"/>
      <c r="CM108" s="253"/>
      <c r="CN108" s="253"/>
      <c r="CO108" s="253"/>
      <c r="CP108" s="253"/>
      <c r="CQ108" s="253"/>
      <c r="CR108" s="253"/>
      <c r="CS108" s="253"/>
      <c r="CT108" s="253"/>
      <c r="CU108" s="278"/>
      <c r="CV108" s="278"/>
      <c r="CW108" s="278"/>
      <c r="CX108" s="278"/>
      <c r="CY108" s="278"/>
      <c r="CZ108" s="278"/>
      <c r="DA108" s="278"/>
      <c r="DB108" s="278"/>
      <c r="DC108" s="278"/>
      <c r="DD108" s="278"/>
      <c r="DE108" s="278"/>
      <c r="DF108" s="278"/>
      <c r="DG108" s="278"/>
      <c r="DH108" s="278"/>
      <c r="DI108" s="278"/>
      <c r="DJ108" s="278"/>
      <c r="DK108" s="278"/>
      <c r="DL108" s="278"/>
      <c r="DM108" s="278"/>
      <c r="DN108" s="278"/>
      <c r="DO108" s="278"/>
      <c r="DP108" s="278"/>
    </row>
    <row r="109" spans="1:120">
      <c r="A109" s="261"/>
      <c r="B109" s="18"/>
      <c r="C109" s="278"/>
      <c r="D109" s="278"/>
      <c r="E109" s="278"/>
      <c r="F109" s="278"/>
      <c r="G109" s="278"/>
      <c r="H109" s="278"/>
      <c r="I109" s="278"/>
      <c r="J109" s="278"/>
      <c r="K109" s="278"/>
      <c r="L109" s="278"/>
      <c r="M109" s="278"/>
      <c r="N109" s="278"/>
      <c r="O109" s="278"/>
      <c r="P109" s="278"/>
      <c r="Q109" s="278"/>
      <c r="R109" s="278"/>
      <c r="S109" s="278"/>
      <c r="T109" s="278"/>
      <c r="U109" s="278"/>
      <c r="V109" s="278"/>
      <c r="W109" s="303"/>
      <c r="X109" s="278"/>
      <c r="Y109" s="278"/>
      <c r="Z109" s="278"/>
      <c r="AA109" s="328"/>
      <c r="AB109" s="278"/>
      <c r="AC109" s="278"/>
      <c r="AD109" s="278"/>
      <c r="AE109" s="328"/>
      <c r="AF109" s="278"/>
      <c r="AG109" s="278"/>
      <c r="AH109" s="278"/>
      <c r="AI109" s="328"/>
      <c r="AJ109" s="278"/>
      <c r="AK109" s="278"/>
      <c r="AL109" s="278"/>
      <c r="AM109" s="328"/>
      <c r="AN109" s="278"/>
      <c r="AO109" s="278"/>
      <c r="AP109" s="278"/>
      <c r="AQ109" s="328"/>
      <c r="AR109" s="278"/>
      <c r="AS109" s="278"/>
      <c r="AT109" s="278"/>
      <c r="AU109" s="328"/>
      <c r="AV109" s="278"/>
      <c r="AW109" s="278"/>
      <c r="AX109" s="278"/>
      <c r="AY109" s="328"/>
      <c r="AZ109" s="278"/>
      <c r="BA109" s="278"/>
      <c r="BB109" s="278"/>
      <c r="BC109" s="328"/>
      <c r="BD109" s="278"/>
      <c r="BE109" s="278"/>
      <c r="BF109" s="278"/>
      <c r="BG109" s="328"/>
      <c r="BH109" s="278"/>
      <c r="BI109" s="278"/>
      <c r="BJ109" s="278"/>
      <c r="BK109" s="328"/>
      <c r="BL109" s="278"/>
      <c r="BM109" s="278"/>
      <c r="BN109" s="278"/>
      <c r="BO109" s="328"/>
      <c r="BP109" s="278"/>
      <c r="BQ109" s="278"/>
      <c r="BR109" s="278"/>
      <c r="BS109" s="328"/>
      <c r="BT109" s="278"/>
      <c r="BU109" s="278"/>
      <c r="BV109" s="278"/>
      <c r="BW109" s="278"/>
      <c r="BX109" s="278"/>
      <c r="BY109" s="278"/>
      <c r="BZ109" s="278"/>
      <c r="CA109" s="278"/>
      <c r="CB109" s="278"/>
      <c r="CC109" s="278"/>
      <c r="CD109" s="278"/>
      <c r="CE109" s="278"/>
      <c r="CF109" s="278"/>
      <c r="CG109" s="278"/>
      <c r="CH109" s="253"/>
      <c r="CI109" s="253"/>
      <c r="CJ109" s="253"/>
      <c r="CK109" s="253"/>
      <c r="CL109" s="253"/>
      <c r="CM109" s="253"/>
      <c r="CN109" s="253"/>
      <c r="CO109" s="253"/>
      <c r="CP109" s="253"/>
      <c r="CQ109" s="253"/>
      <c r="CR109" s="253"/>
      <c r="CS109" s="253"/>
      <c r="CT109" s="253"/>
      <c r="CU109" s="278"/>
      <c r="CV109" s="278"/>
      <c r="CW109" s="278"/>
      <c r="CX109" s="278"/>
      <c r="CY109" s="278"/>
      <c r="CZ109" s="278"/>
      <c r="DA109" s="278"/>
      <c r="DB109" s="278"/>
      <c r="DC109" s="278"/>
      <c r="DD109" s="278"/>
      <c r="DE109" s="278"/>
      <c r="DF109" s="278"/>
      <c r="DG109" s="278"/>
      <c r="DH109" s="278"/>
      <c r="DI109" s="278"/>
      <c r="DJ109" s="278"/>
      <c r="DK109" s="278"/>
      <c r="DL109" s="278"/>
      <c r="DM109" s="278"/>
      <c r="DN109" s="278"/>
      <c r="DO109" s="278"/>
      <c r="DP109" s="278"/>
    </row>
    <row r="110" spans="1:120">
      <c r="A110" s="261"/>
      <c r="B110" s="401" t="s">
        <v>749</v>
      </c>
      <c r="C110" s="253"/>
      <c r="D110" s="253"/>
      <c r="E110" s="253"/>
      <c r="F110" s="253"/>
      <c r="G110" s="253"/>
      <c r="H110" s="253"/>
      <c r="I110" s="253"/>
      <c r="J110" s="253"/>
      <c r="K110" s="253"/>
      <c r="L110" s="253"/>
      <c r="M110" s="253"/>
      <c r="N110" s="253"/>
      <c r="O110" s="253"/>
      <c r="P110" s="253"/>
      <c r="Q110" s="253"/>
      <c r="R110" s="253"/>
      <c r="S110" s="253"/>
      <c r="T110" s="253"/>
      <c r="U110" s="253"/>
      <c r="V110" s="253"/>
      <c r="W110" s="303"/>
      <c r="X110" s="253"/>
      <c r="Y110" s="253"/>
      <c r="Z110" s="253"/>
      <c r="AA110" s="316"/>
      <c r="AB110" s="253"/>
      <c r="AC110" s="253"/>
      <c r="AD110" s="253"/>
      <c r="AE110" s="316"/>
      <c r="AF110" s="253"/>
      <c r="AG110" s="253"/>
      <c r="AH110" s="253"/>
      <c r="AI110" s="316"/>
      <c r="AJ110" s="253"/>
      <c r="AK110" s="253"/>
      <c r="AL110" s="253"/>
      <c r="AM110" s="316"/>
      <c r="AN110" s="253"/>
      <c r="AO110" s="253"/>
      <c r="AP110" s="253"/>
      <c r="AQ110" s="316"/>
      <c r="AR110" s="253"/>
      <c r="AS110" s="253"/>
      <c r="AT110" s="253"/>
      <c r="AU110" s="316"/>
      <c r="AV110" s="253"/>
      <c r="AW110" s="253"/>
      <c r="AX110" s="253"/>
      <c r="AY110" s="316"/>
      <c r="AZ110" s="253"/>
      <c r="BA110" s="253"/>
      <c r="BB110" s="253"/>
      <c r="BC110" s="316"/>
      <c r="BD110" s="253"/>
      <c r="BE110" s="253"/>
      <c r="BF110" s="253"/>
      <c r="BG110" s="316"/>
      <c r="BH110" s="253"/>
      <c r="BI110" s="253"/>
      <c r="BJ110" s="253"/>
      <c r="BK110" s="316"/>
      <c r="BL110" s="253"/>
      <c r="BM110" s="253"/>
      <c r="BN110" s="253"/>
      <c r="BO110" s="316"/>
      <c r="BP110" s="253"/>
      <c r="BQ110" s="253"/>
      <c r="BR110" s="253"/>
      <c r="BS110" s="316"/>
      <c r="BT110" s="253"/>
      <c r="BU110" s="253"/>
      <c r="BV110" s="253"/>
      <c r="BW110" s="253"/>
      <c r="BX110" s="253"/>
      <c r="BY110" s="253"/>
      <c r="BZ110" s="253"/>
      <c r="CA110" s="253"/>
      <c r="CB110" s="253"/>
      <c r="CC110" s="253"/>
      <c r="CD110" s="253"/>
      <c r="CE110" s="253"/>
      <c r="CF110" s="253"/>
      <c r="CG110" s="253"/>
      <c r="CH110" s="253"/>
      <c r="CI110" s="253"/>
      <c r="CJ110" s="253"/>
      <c r="CK110" s="253"/>
      <c r="CL110" s="253"/>
      <c r="CM110" s="253"/>
      <c r="CN110" s="253"/>
      <c r="CO110" s="253"/>
      <c r="CP110" s="253"/>
      <c r="CQ110" s="253"/>
      <c r="CR110" s="253"/>
      <c r="CS110" s="253"/>
      <c r="CT110" s="253"/>
      <c r="CU110" s="253"/>
      <c r="CV110" s="253"/>
      <c r="CW110" s="253"/>
      <c r="CX110" s="253"/>
      <c r="CY110" s="253"/>
      <c r="CZ110" s="253"/>
      <c r="DA110" s="253"/>
      <c r="DB110" s="253"/>
      <c r="DC110" s="253"/>
      <c r="DD110" s="253"/>
      <c r="DE110" s="253"/>
      <c r="DF110" s="253"/>
      <c r="DG110" s="253"/>
      <c r="DH110" s="253"/>
      <c r="DI110" s="253"/>
      <c r="DJ110" s="253"/>
      <c r="DK110" s="253"/>
      <c r="DL110" s="253"/>
      <c r="DM110" s="253"/>
      <c r="DN110" s="253"/>
      <c r="DO110" s="253"/>
      <c r="DP110" s="253"/>
    </row>
    <row r="111" spans="1:120">
      <c r="A111" s="250"/>
      <c r="B111" s="253" t="s">
        <v>750</v>
      </c>
      <c r="C111" s="253"/>
      <c r="D111" s="253"/>
      <c r="E111" s="253">
        <v>0</v>
      </c>
      <c r="F111" s="253">
        <v>0</v>
      </c>
      <c r="G111" s="253">
        <v>0</v>
      </c>
      <c r="H111" s="253">
        <v>0</v>
      </c>
      <c r="I111" s="253">
        <v>0</v>
      </c>
      <c r="J111" s="253">
        <v>0</v>
      </c>
      <c r="K111" s="253">
        <v>0</v>
      </c>
      <c r="L111" s="253">
        <v>0</v>
      </c>
      <c r="M111" s="253">
        <v>0</v>
      </c>
      <c r="N111" s="253">
        <v>0</v>
      </c>
      <c r="O111" s="253">
        <v>0</v>
      </c>
      <c r="P111" s="253">
        <v>0</v>
      </c>
      <c r="Q111" s="253">
        <v>0</v>
      </c>
      <c r="R111" s="253">
        <v>0</v>
      </c>
      <c r="S111" s="253">
        <v>0</v>
      </c>
      <c r="T111" s="253"/>
      <c r="U111" s="253"/>
      <c r="V111" s="253"/>
      <c r="W111" s="303"/>
      <c r="X111" s="388"/>
      <c r="Y111" s="388"/>
      <c r="Z111" s="388"/>
      <c r="AA111" s="423"/>
      <c r="AB111" s="388"/>
      <c r="AC111" s="388"/>
      <c r="AD111" s="388"/>
      <c r="AE111" s="423"/>
      <c r="AF111" s="388"/>
      <c r="AG111" s="388"/>
      <c r="AH111" s="388"/>
      <c r="AI111" s="423"/>
      <c r="AJ111" s="388"/>
      <c r="AK111" s="388"/>
      <c r="AL111" s="388"/>
      <c r="AM111" s="423"/>
      <c r="AN111" s="388"/>
      <c r="AO111" s="388"/>
      <c r="AP111" s="388"/>
      <c r="AQ111" s="434"/>
      <c r="AR111" s="435"/>
      <c r="AS111" s="435"/>
      <c r="AT111" s="435"/>
      <c r="AU111" s="434"/>
      <c r="AV111" s="435"/>
      <c r="AW111" s="435"/>
      <c r="AX111" s="435"/>
      <c r="AY111" s="434"/>
      <c r="AZ111" s="435"/>
      <c r="BA111" s="435"/>
      <c r="BB111" s="435"/>
      <c r="BC111" s="434"/>
      <c r="BD111" s="435"/>
      <c r="BE111" s="435"/>
      <c r="BF111" s="435"/>
      <c r="BG111" s="434"/>
      <c r="BH111" s="435"/>
      <c r="BI111" s="435"/>
      <c r="BJ111" s="435"/>
      <c r="BK111" s="434"/>
      <c r="BL111" s="435"/>
      <c r="BM111" s="435"/>
      <c r="BN111" s="435"/>
      <c r="BO111" s="434"/>
      <c r="BP111" s="435"/>
      <c r="BQ111" s="435"/>
      <c r="BR111" s="435"/>
      <c r="BS111" s="434"/>
      <c r="BT111" s="435"/>
      <c r="BU111" s="435"/>
      <c r="BV111" s="435"/>
      <c r="BW111" s="435"/>
      <c r="BX111" s="435"/>
      <c r="BY111" s="435"/>
      <c r="BZ111" s="435"/>
      <c r="CA111" s="435"/>
      <c r="CB111" s="435"/>
      <c r="CC111" s="435"/>
      <c r="CD111" s="435"/>
      <c r="CE111" s="435"/>
      <c r="CF111" s="435"/>
      <c r="CG111" s="435"/>
      <c r="CH111" s="253"/>
      <c r="CI111" s="253"/>
      <c r="CJ111" s="253"/>
      <c r="CK111" s="253"/>
      <c r="CL111" s="253"/>
      <c r="CM111" s="253"/>
      <c r="CN111" s="253"/>
      <c r="CO111" s="253"/>
      <c r="CP111" s="253"/>
      <c r="CQ111" s="253"/>
      <c r="CR111" s="253"/>
      <c r="CS111" s="253"/>
      <c r="CT111" s="253"/>
      <c r="CU111" s="255"/>
      <c r="CV111" s="255"/>
      <c r="CW111" s="255"/>
      <c r="CX111" s="255"/>
      <c r="CY111" s="255"/>
      <c r="CZ111" s="255"/>
      <c r="DA111" s="255"/>
      <c r="DB111" s="255"/>
      <c r="DC111" s="255"/>
      <c r="DD111" s="255"/>
      <c r="DE111" s="255"/>
      <c r="DF111" s="255"/>
      <c r="DG111" s="255"/>
      <c r="DH111" s="255"/>
      <c r="DI111" s="255"/>
      <c r="DJ111" s="255"/>
      <c r="DK111" s="255"/>
      <c r="DL111" s="255"/>
      <c r="DM111" s="255"/>
      <c r="DN111" s="255"/>
      <c r="DO111" s="255"/>
      <c r="DP111" s="255"/>
    </row>
    <row r="112" spans="1:120">
      <c r="A112" s="396"/>
      <c r="B112" s="400" t="s">
        <v>751</v>
      </c>
      <c r="C112" s="253"/>
      <c r="D112" s="253"/>
      <c r="E112" s="253">
        <v>0</v>
      </c>
      <c r="F112" s="253">
        <v>0</v>
      </c>
      <c r="G112" s="253">
        <v>0</v>
      </c>
      <c r="H112" s="253">
        <v>0</v>
      </c>
      <c r="I112" s="253">
        <v>0</v>
      </c>
      <c r="J112" s="253">
        <v>0</v>
      </c>
      <c r="K112" s="253">
        <v>0</v>
      </c>
      <c r="L112" s="253">
        <v>0</v>
      </c>
      <c r="M112" s="253">
        <v>0</v>
      </c>
      <c r="N112" s="253">
        <v>0</v>
      </c>
      <c r="O112" s="253">
        <v>0</v>
      </c>
      <c r="P112" s="253">
        <v>0</v>
      </c>
      <c r="Q112" s="253">
        <v>0</v>
      </c>
      <c r="R112" s="253">
        <v>0</v>
      </c>
      <c r="S112" s="253">
        <v>0</v>
      </c>
      <c r="T112" s="253"/>
      <c r="U112" s="253"/>
      <c r="V112" s="253"/>
      <c r="W112" s="303"/>
      <c r="X112" s="416"/>
      <c r="Y112" s="416"/>
      <c r="Z112" s="416"/>
      <c r="AA112" s="424"/>
      <c r="AB112" s="416"/>
      <c r="AC112" s="416"/>
      <c r="AD112" s="416"/>
      <c r="AE112" s="424"/>
      <c r="AF112" s="416"/>
      <c r="AG112" s="416"/>
      <c r="AH112" s="416"/>
      <c r="AI112" s="424"/>
      <c r="AJ112" s="416"/>
      <c r="AK112" s="416"/>
      <c r="AL112" s="416"/>
      <c r="AM112" s="424"/>
      <c r="AN112" s="416"/>
      <c r="AO112" s="416"/>
      <c r="AP112" s="416"/>
      <c r="AQ112" s="433"/>
      <c r="AR112" s="407"/>
      <c r="AS112" s="407"/>
      <c r="AT112" s="407"/>
      <c r="AU112" s="433"/>
      <c r="AV112" s="407"/>
      <c r="AW112" s="407"/>
      <c r="AX112" s="407"/>
      <c r="AY112" s="433"/>
      <c r="AZ112" s="407"/>
      <c r="BA112" s="407"/>
      <c r="BB112" s="407"/>
      <c r="BC112" s="433"/>
      <c r="BD112" s="407"/>
      <c r="BE112" s="407"/>
      <c r="BF112" s="407"/>
      <c r="BG112" s="433"/>
      <c r="BH112" s="407"/>
      <c r="BI112" s="407"/>
      <c r="BJ112" s="407"/>
      <c r="BK112" s="433"/>
      <c r="BL112" s="407"/>
      <c r="BM112" s="407"/>
      <c r="BN112" s="407"/>
      <c r="BO112" s="433"/>
      <c r="BP112" s="407"/>
      <c r="BQ112" s="407"/>
      <c r="BR112" s="407"/>
      <c r="BS112" s="433"/>
      <c r="BT112" s="407"/>
      <c r="BU112" s="407"/>
      <c r="BV112" s="407"/>
      <c r="BW112" s="407"/>
      <c r="BX112" s="407"/>
      <c r="BY112" s="407"/>
      <c r="BZ112" s="407"/>
      <c r="CA112" s="407"/>
      <c r="CB112" s="407"/>
      <c r="CC112" s="407"/>
      <c r="CD112" s="407"/>
      <c r="CE112" s="407"/>
      <c r="CF112" s="407"/>
      <c r="CG112" s="407"/>
      <c r="CH112" s="395"/>
      <c r="CI112" s="395"/>
      <c r="CJ112" s="395"/>
      <c r="CK112" s="395"/>
      <c r="CL112" s="395"/>
      <c r="CM112" s="395"/>
      <c r="CN112" s="395"/>
      <c r="CO112" s="395"/>
      <c r="CP112" s="395"/>
      <c r="CQ112" s="395"/>
      <c r="CR112" s="395"/>
      <c r="CS112" s="395"/>
      <c r="CT112" s="395"/>
      <c r="CU112" s="395"/>
      <c r="CV112" s="395"/>
      <c r="CW112" s="395"/>
      <c r="CX112" s="395"/>
      <c r="CY112" s="395"/>
      <c r="CZ112" s="395"/>
      <c r="DA112" s="395"/>
      <c r="DB112" s="395"/>
      <c r="DC112" s="395"/>
      <c r="DD112" s="395"/>
      <c r="DE112" s="395"/>
      <c r="DF112" s="395"/>
      <c r="DG112" s="395"/>
      <c r="DH112" s="395"/>
      <c r="DI112" s="395"/>
      <c r="DJ112" s="395"/>
      <c r="DK112" s="395"/>
      <c r="DL112" s="395"/>
      <c r="DM112" s="395"/>
      <c r="DN112" s="395"/>
      <c r="DO112" s="395"/>
      <c r="DP112" s="395"/>
    </row>
    <row r="113" spans="1:120">
      <c r="A113" s="261"/>
      <c r="B113" s="401"/>
      <c r="C113" s="253"/>
      <c r="D113" s="253"/>
      <c r="E113" s="253"/>
      <c r="F113" s="253"/>
      <c r="G113" s="253"/>
      <c r="H113" s="253"/>
      <c r="I113" s="253"/>
      <c r="J113" s="253"/>
      <c r="K113" s="253"/>
      <c r="L113" s="253"/>
      <c r="M113" s="253"/>
      <c r="N113" s="253"/>
      <c r="O113" s="253"/>
      <c r="P113" s="253"/>
      <c r="Q113" s="253"/>
      <c r="R113" s="253"/>
      <c r="S113" s="253"/>
      <c r="T113" s="253"/>
      <c r="U113" s="253"/>
      <c r="V113" s="253"/>
      <c r="W113" s="303"/>
      <c r="X113" s="253"/>
      <c r="Y113" s="253"/>
      <c r="Z113" s="253"/>
      <c r="AA113" s="316"/>
      <c r="AB113" s="253"/>
      <c r="AC113" s="253"/>
      <c r="AD113" s="253"/>
      <c r="AE113" s="316"/>
      <c r="AF113" s="253"/>
      <c r="AG113" s="253"/>
      <c r="AH113" s="253"/>
      <c r="AI113" s="316"/>
      <c r="AJ113" s="253"/>
      <c r="AK113" s="253"/>
      <c r="AL113" s="253"/>
      <c r="AM113" s="316"/>
      <c r="AN113" s="253"/>
      <c r="AO113" s="253"/>
      <c r="AP113" s="253"/>
      <c r="AQ113" s="316"/>
      <c r="AR113" s="253"/>
      <c r="AS113" s="253"/>
      <c r="AT113" s="253"/>
      <c r="AU113" s="316"/>
      <c r="AV113" s="253"/>
      <c r="AW113" s="253"/>
      <c r="AX113" s="253"/>
      <c r="AY113" s="316"/>
      <c r="AZ113" s="253"/>
      <c r="BA113" s="253"/>
      <c r="BB113" s="253"/>
      <c r="BC113" s="316"/>
      <c r="BD113" s="253"/>
      <c r="BE113" s="253"/>
      <c r="BF113" s="253"/>
      <c r="BG113" s="316"/>
      <c r="BH113" s="253"/>
      <c r="BI113" s="253"/>
      <c r="BJ113" s="253"/>
      <c r="BK113" s="316"/>
      <c r="BL113" s="253"/>
      <c r="BM113" s="253"/>
      <c r="BN113" s="253"/>
      <c r="BO113" s="316"/>
      <c r="BP113" s="253"/>
      <c r="BQ113" s="253"/>
      <c r="BR113" s="253"/>
      <c r="BS113" s="316"/>
      <c r="BT113" s="253"/>
      <c r="BU113" s="253"/>
      <c r="BV113" s="253"/>
      <c r="BW113" s="253"/>
      <c r="BX113" s="253"/>
      <c r="BY113" s="253"/>
      <c r="BZ113" s="253"/>
      <c r="CA113" s="253"/>
      <c r="CB113" s="253"/>
      <c r="CC113" s="253"/>
      <c r="CD113" s="253"/>
      <c r="CE113" s="253"/>
      <c r="CF113" s="253"/>
      <c r="CG113" s="253"/>
      <c r="CH113" s="253"/>
      <c r="CI113" s="253"/>
      <c r="CJ113" s="253"/>
      <c r="CK113" s="253"/>
      <c r="CL113" s="253"/>
      <c r="CM113" s="253"/>
      <c r="CN113" s="253"/>
      <c r="CO113" s="253"/>
      <c r="CP113" s="253"/>
      <c r="CQ113" s="253"/>
      <c r="CR113" s="253"/>
      <c r="CS113" s="253"/>
      <c r="CT113" s="253"/>
      <c r="CU113" s="253"/>
      <c r="CV113" s="253"/>
      <c r="CW113" s="253"/>
      <c r="CX113" s="253"/>
      <c r="CY113" s="253"/>
      <c r="CZ113" s="253"/>
      <c r="DA113" s="253"/>
      <c r="DB113" s="253"/>
      <c r="DC113" s="253"/>
      <c r="DD113" s="253"/>
      <c r="DE113" s="253"/>
      <c r="DF113" s="253"/>
      <c r="DG113" s="253"/>
      <c r="DH113" s="253"/>
      <c r="DI113" s="253"/>
      <c r="DJ113" s="253"/>
      <c r="DK113" s="253"/>
      <c r="DL113" s="253"/>
      <c r="DM113" s="253"/>
      <c r="DN113" s="253"/>
      <c r="DO113" s="253"/>
      <c r="DP113" s="253"/>
    </row>
    <row r="114" spans="1:120">
      <c r="A114" s="402"/>
      <c r="B114" s="401" t="s">
        <v>752</v>
      </c>
      <c r="C114" s="253"/>
      <c r="D114" s="253"/>
      <c r="E114" s="253"/>
      <c r="F114" s="253"/>
      <c r="G114" s="253"/>
      <c r="H114" s="253"/>
      <c r="I114" s="253"/>
      <c r="J114" s="253"/>
      <c r="K114" s="253"/>
      <c r="L114" s="253"/>
      <c r="M114" s="253"/>
      <c r="N114" s="253"/>
      <c r="O114" s="253"/>
      <c r="P114" s="253"/>
      <c r="Q114" s="253"/>
      <c r="R114" s="253"/>
      <c r="S114" s="253"/>
      <c r="T114" s="253"/>
      <c r="U114" s="253"/>
      <c r="V114" s="253"/>
      <c r="W114" s="303"/>
      <c r="X114" s="253"/>
      <c r="Y114" s="253"/>
      <c r="Z114" s="253"/>
      <c r="AA114" s="316"/>
      <c r="AB114" s="253"/>
      <c r="AC114" s="253"/>
      <c r="AD114" s="253"/>
      <c r="AE114" s="316"/>
      <c r="AF114" s="253"/>
      <c r="AG114" s="253"/>
      <c r="AH114" s="253"/>
      <c r="AI114" s="316"/>
      <c r="AJ114" s="253"/>
      <c r="AK114" s="253"/>
      <c r="AL114" s="253"/>
      <c r="AM114" s="316"/>
      <c r="AN114" s="253"/>
      <c r="AO114" s="253"/>
      <c r="AP114" s="253"/>
      <c r="AQ114" s="316"/>
      <c r="AR114" s="253"/>
      <c r="AS114" s="253"/>
      <c r="AT114" s="253"/>
      <c r="AU114" s="316"/>
      <c r="AV114" s="253"/>
      <c r="AW114" s="253"/>
      <c r="AX114" s="253"/>
      <c r="AY114" s="316"/>
      <c r="AZ114" s="253"/>
      <c r="BA114" s="253"/>
      <c r="BB114" s="253"/>
      <c r="BC114" s="316"/>
      <c r="BD114" s="253"/>
      <c r="BE114" s="253"/>
      <c r="BF114" s="253"/>
      <c r="BG114" s="316"/>
      <c r="BH114" s="253"/>
      <c r="BI114" s="253"/>
      <c r="BJ114" s="253"/>
      <c r="BK114" s="316"/>
      <c r="BL114" s="253"/>
      <c r="BM114" s="253"/>
      <c r="BN114" s="253"/>
      <c r="BO114" s="316"/>
      <c r="BP114" s="253"/>
      <c r="BQ114" s="253"/>
      <c r="BR114" s="253"/>
      <c r="BS114" s="316"/>
      <c r="BT114" s="253"/>
      <c r="BU114" s="253"/>
      <c r="BV114" s="253"/>
      <c r="BW114" s="253"/>
      <c r="BX114" s="253"/>
      <c r="BY114" s="253"/>
      <c r="BZ114" s="253"/>
      <c r="CA114" s="253"/>
      <c r="CB114" s="253"/>
      <c r="CC114" s="253"/>
      <c r="CD114" s="253"/>
      <c r="CE114" s="253"/>
      <c r="CF114" s="253"/>
      <c r="CG114" s="253"/>
      <c r="CH114" s="253"/>
      <c r="CI114" s="253"/>
      <c r="CJ114" s="253"/>
      <c r="CK114" s="253"/>
      <c r="CL114" s="253"/>
      <c r="CM114" s="253"/>
      <c r="CN114" s="253"/>
      <c r="CO114" s="253"/>
      <c r="CP114" s="253"/>
      <c r="CQ114" s="253"/>
      <c r="CR114" s="253"/>
      <c r="CS114" s="253"/>
      <c r="CT114" s="253"/>
      <c r="CU114" s="253"/>
      <c r="CV114" s="253"/>
      <c r="CW114" s="253"/>
      <c r="CX114" s="253"/>
      <c r="CY114" s="253"/>
      <c r="CZ114" s="253"/>
      <c r="DA114" s="253"/>
      <c r="DB114" s="253"/>
      <c r="DC114" s="253"/>
      <c r="DD114" s="253"/>
      <c r="DE114" s="253"/>
      <c r="DF114" s="253"/>
      <c r="DG114" s="253"/>
      <c r="DH114" s="253"/>
      <c r="DI114" s="253"/>
      <c r="DJ114" s="253"/>
      <c r="DK114" s="253"/>
      <c r="DL114" s="253"/>
      <c r="DM114" s="253"/>
      <c r="DN114" s="253"/>
      <c r="DO114" s="253"/>
      <c r="DP114" s="253"/>
    </row>
    <row r="115" spans="1:120">
      <c r="A115" s="250"/>
      <c r="B115" s="253" t="s">
        <v>753</v>
      </c>
      <c r="C115" s="253"/>
      <c r="D115" s="253"/>
      <c r="E115" s="253">
        <v>0</v>
      </c>
      <c r="F115" s="253">
        <v>0</v>
      </c>
      <c r="G115" s="253">
        <v>0</v>
      </c>
      <c r="H115" s="253">
        <v>0</v>
      </c>
      <c r="I115" s="253">
        <v>0</v>
      </c>
      <c r="J115" s="253">
        <v>0</v>
      </c>
      <c r="K115" s="253">
        <v>0</v>
      </c>
      <c r="L115" s="253">
        <v>0</v>
      </c>
      <c r="M115" s="253">
        <v>0</v>
      </c>
      <c r="N115" s="253">
        <v>0</v>
      </c>
      <c r="O115" s="253">
        <v>0</v>
      </c>
      <c r="P115" s="253">
        <v>0</v>
      </c>
      <c r="Q115" s="253">
        <v>0</v>
      </c>
      <c r="R115" s="253">
        <v>0</v>
      </c>
      <c r="S115" s="253">
        <v>0</v>
      </c>
      <c r="T115" s="253"/>
      <c r="U115" s="253"/>
      <c r="V115" s="253"/>
      <c r="W115" s="303"/>
      <c r="X115" s="388"/>
      <c r="Y115" s="388"/>
      <c r="Z115" s="388"/>
      <c r="AA115" s="423"/>
      <c r="AB115" s="388"/>
      <c r="AC115" s="388"/>
      <c r="AD115" s="388"/>
      <c r="AE115" s="423"/>
      <c r="AF115" s="388"/>
      <c r="AG115" s="388"/>
      <c r="AH115" s="388"/>
      <c r="AI115" s="423"/>
      <c r="AJ115" s="388"/>
      <c r="AK115" s="388"/>
      <c r="AL115" s="388"/>
      <c r="AM115" s="423"/>
      <c r="AN115" s="388"/>
      <c r="AO115" s="388"/>
      <c r="AP115" s="388"/>
      <c r="AQ115" s="317"/>
      <c r="AR115" s="255"/>
      <c r="AS115" s="255"/>
      <c r="AT115" s="255"/>
      <c r="AU115" s="317"/>
      <c r="AV115" s="255"/>
      <c r="AW115" s="255"/>
      <c r="AX115" s="255"/>
      <c r="AY115" s="317"/>
      <c r="AZ115" s="255"/>
      <c r="BA115" s="255"/>
      <c r="BB115" s="255"/>
      <c r="BC115" s="317"/>
      <c r="BD115" s="255"/>
      <c r="BE115" s="255"/>
      <c r="BF115" s="255"/>
      <c r="BG115" s="317"/>
      <c r="BH115" s="255"/>
      <c r="BI115" s="255"/>
      <c r="BJ115" s="255"/>
      <c r="BK115" s="317"/>
      <c r="BL115" s="255"/>
      <c r="BM115" s="255"/>
      <c r="BN115" s="255"/>
      <c r="BO115" s="317"/>
      <c r="BP115" s="255"/>
      <c r="BQ115" s="255"/>
      <c r="BR115" s="255"/>
      <c r="BS115" s="317"/>
      <c r="BT115" s="255"/>
      <c r="BU115" s="255"/>
      <c r="BV115" s="255"/>
      <c r="BW115" s="255"/>
      <c r="BX115" s="255"/>
      <c r="BY115" s="255"/>
      <c r="BZ115" s="255"/>
      <c r="CA115" s="255"/>
      <c r="CB115" s="255"/>
      <c r="CC115" s="255"/>
      <c r="CD115" s="255"/>
      <c r="CE115" s="255"/>
      <c r="CF115" s="255"/>
      <c r="CG115" s="255"/>
      <c r="CH115" s="253"/>
      <c r="CI115" s="253"/>
      <c r="CJ115" s="253"/>
      <c r="CK115" s="253"/>
      <c r="CL115" s="253"/>
      <c r="CM115" s="253"/>
      <c r="CN115" s="253"/>
      <c r="CO115" s="253"/>
      <c r="CP115" s="253"/>
      <c r="CQ115" s="253"/>
      <c r="CR115" s="253"/>
      <c r="CS115" s="253"/>
      <c r="CT115" s="253"/>
      <c r="CU115" s="255"/>
      <c r="CV115" s="255"/>
      <c r="CW115" s="255"/>
      <c r="CX115" s="255"/>
      <c r="CY115" s="255"/>
      <c r="CZ115" s="255"/>
      <c r="DA115" s="255"/>
      <c r="DB115" s="255"/>
      <c r="DC115" s="255"/>
      <c r="DD115" s="255"/>
      <c r="DE115" s="255"/>
      <c r="DF115" s="255"/>
      <c r="DG115" s="255"/>
      <c r="DH115" s="255"/>
      <c r="DI115" s="255"/>
      <c r="DJ115" s="255"/>
      <c r="DK115" s="255"/>
      <c r="DL115" s="255"/>
      <c r="DM115" s="255"/>
      <c r="DN115" s="255"/>
      <c r="DO115" s="255"/>
      <c r="DP115" s="255"/>
    </row>
    <row r="116" spans="1:120">
      <c r="A116" s="396"/>
      <c r="B116" s="400" t="s">
        <v>754</v>
      </c>
      <c r="C116" s="253"/>
      <c r="D116" s="253"/>
      <c r="E116" s="253">
        <v>0</v>
      </c>
      <c r="F116" s="253">
        <v>0</v>
      </c>
      <c r="G116" s="253">
        <v>0</v>
      </c>
      <c r="H116" s="253">
        <v>0</v>
      </c>
      <c r="I116" s="253">
        <v>0</v>
      </c>
      <c r="J116" s="253">
        <v>0</v>
      </c>
      <c r="K116" s="253">
        <v>0</v>
      </c>
      <c r="L116" s="253">
        <v>0</v>
      </c>
      <c r="M116" s="253">
        <v>0</v>
      </c>
      <c r="N116" s="253">
        <v>0</v>
      </c>
      <c r="O116" s="253">
        <v>0</v>
      </c>
      <c r="P116" s="253">
        <v>0</v>
      </c>
      <c r="Q116" s="253">
        <v>0</v>
      </c>
      <c r="R116" s="253">
        <v>0</v>
      </c>
      <c r="S116" s="253">
        <v>0</v>
      </c>
      <c r="T116" s="253"/>
      <c r="U116" s="253"/>
      <c r="V116" s="253"/>
      <c r="W116" s="395"/>
      <c r="X116" s="416"/>
      <c r="Y116" s="416"/>
      <c r="Z116" s="416"/>
      <c r="AA116" s="424"/>
      <c r="AB116" s="416"/>
      <c r="AC116" s="416"/>
      <c r="AD116" s="416"/>
      <c r="AE116" s="424"/>
      <c r="AF116" s="416"/>
      <c r="AG116" s="416"/>
      <c r="AH116" s="416"/>
      <c r="AI116" s="424"/>
      <c r="AJ116" s="416"/>
      <c r="AK116" s="416"/>
      <c r="AL116" s="416"/>
      <c r="AM116" s="424"/>
      <c r="AN116" s="416"/>
      <c r="AO116" s="416"/>
      <c r="AP116" s="416"/>
      <c r="AQ116" s="419"/>
      <c r="AR116" s="395"/>
      <c r="AS116" s="395"/>
      <c r="AT116" s="395"/>
      <c r="AU116" s="419"/>
      <c r="AV116" s="395"/>
      <c r="AW116" s="395"/>
      <c r="AX116" s="395"/>
      <c r="AY116" s="419"/>
      <c r="AZ116" s="395"/>
      <c r="BA116" s="395"/>
      <c r="BB116" s="395"/>
      <c r="BC116" s="419"/>
      <c r="BD116" s="395"/>
      <c r="BE116" s="395"/>
      <c r="BF116" s="395"/>
      <c r="BG116" s="419"/>
      <c r="BH116" s="395"/>
      <c r="BI116" s="395"/>
      <c r="BJ116" s="395"/>
      <c r="BK116" s="419"/>
      <c r="BL116" s="395"/>
      <c r="BM116" s="395"/>
      <c r="BN116" s="395"/>
      <c r="BO116" s="419"/>
      <c r="BP116" s="395"/>
      <c r="BQ116" s="395"/>
      <c r="BR116" s="395"/>
      <c r="BS116" s="419"/>
      <c r="BT116" s="395"/>
      <c r="BU116" s="395"/>
      <c r="BV116" s="395"/>
      <c r="BW116" s="395"/>
      <c r="BX116" s="395"/>
      <c r="BY116" s="395"/>
      <c r="BZ116" s="395"/>
      <c r="CA116" s="395"/>
      <c r="CB116" s="395"/>
      <c r="CC116" s="395"/>
      <c r="CD116" s="395"/>
      <c r="CE116" s="395"/>
      <c r="CF116" s="395"/>
      <c r="CG116" s="395"/>
      <c r="CH116" s="395"/>
      <c r="CI116" s="395"/>
      <c r="CJ116" s="395"/>
      <c r="CK116" s="395"/>
      <c r="CL116" s="395"/>
      <c r="CM116" s="395"/>
      <c r="CN116" s="395"/>
      <c r="CO116" s="395"/>
      <c r="CP116" s="395"/>
      <c r="CQ116" s="395"/>
      <c r="CR116" s="395"/>
      <c r="CS116" s="395"/>
      <c r="CT116" s="395"/>
      <c r="CU116" s="395"/>
      <c r="CV116" s="395"/>
      <c r="CW116" s="395"/>
      <c r="CX116" s="395"/>
      <c r="CY116" s="395"/>
      <c r="CZ116" s="395"/>
      <c r="DA116" s="395"/>
      <c r="DB116" s="395"/>
      <c r="DC116" s="395"/>
      <c r="DD116" s="395"/>
      <c r="DE116" s="395"/>
      <c r="DF116" s="395"/>
      <c r="DG116" s="395"/>
      <c r="DH116" s="395"/>
      <c r="DI116" s="395"/>
      <c r="DJ116" s="395"/>
      <c r="DK116" s="395"/>
      <c r="DL116" s="395"/>
      <c r="DM116" s="395"/>
      <c r="DN116" s="395"/>
      <c r="DO116" s="395"/>
      <c r="DP116" s="395"/>
    </row>
    <row r="117" spans="1:120">
      <c r="A117" s="402"/>
      <c r="B117" s="403"/>
      <c r="C117" s="253"/>
      <c r="D117" s="253"/>
      <c r="E117" s="253"/>
      <c r="F117" s="253"/>
      <c r="G117" s="253"/>
      <c r="H117" s="253"/>
      <c r="I117" s="253"/>
      <c r="J117" s="253"/>
      <c r="K117" s="253"/>
      <c r="L117" s="253"/>
      <c r="M117" s="253"/>
      <c r="N117" s="253"/>
      <c r="O117" s="253"/>
      <c r="P117" s="253"/>
      <c r="Q117" s="253"/>
      <c r="R117" s="253"/>
      <c r="S117" s="253"/>
      <c r="T117" s="253"/>
      <c r="U117" s="253"/>
      <c r="V117" s="253"/>
      <c r="W117" s="303"/>
      <c r="X117" s="253"/>
      <c r="Y117" s="253"/>
      <c r="Z117" s="253"/>
      <c r="AA117" s="316"/>
      <c r="AB117" s="253"/>
      <c r="AC117" s="253"/>
      <c r="AD117" s="253"/>
      <c r="AE117" s="316"/>
      <c r="AF117" s="253"/>
      <c r="AG117" s="253"/>
      <c r="AH117" s="253"/>
      <c r="AI117" s="316"/>
      <c r="AJ117" s="253"/>
      <c r="AK117" s="253"/>
      <c r="AL117" s="253"/>
      <c r="AM117" s="316"/>
      <c r="AN117" s="253"/>
      <c r="AO117" s="253"/>
      <c r="AP117" s="253"/>
      <c r="AQ117" s="316"/>
      <c r="AR117" s="253"/>
      <c r="AS117" s="253"/>
      <c r="AT117" s="253"/>
      <c r="AU117" s="316"/>
      <c r="AV117" s="253"/>
      <c r="AW117" s="253"/>
      <c r="AX117" s="253"/>
      <c r="AY117" s="316"/>
      <c r="AZ117" s="253"/>
      <c r="BA117" s="253"/>
      <c r="BB117" s="253"/>
      <c r="BC117" s="316"/>
      <c r="BD117" s="253"/>
      <c r="BE117" s="253"/>
      <c r="BF117" s="253"/>
      <c r="BG117" s="316"/>
      <c r="BH117" s="253"/>
      <c r="BI117" s="253"/>
      <c r="BJ117" s="253"/>
      <c r="BK117" s="316"/>
      <c r="BL117" s="253"/>
      <c r="BM117" s="253"/>
      <c r="BN117" s="253"/>
      <c r="BO117" s="316"/>
      <c r="BP117" s="253"/>
      <c r="BQ117" s="253"/>
      <c r="BR117" s="253"/>
      <c r="BS117" s="316"/>
      <c r="BT117" s="253"/>
      <c r="BU117" s="253"/>
      <c r="BV117" s="253"/>
      <c r="BW117" s="253"/>
      <c r="BX117" s="253"/>
      <c r="BY117" s="253"/>
      <c r="BZ117" s="253"/>
      <c r="CA117" s="253"/>
      <c r="CB117" s="253"/>
      <c r="CC117" s="253"/>
      <c r="CD117" s="253"/>
      <c r="CE117" s="253"/>
      <c r="CF117" s="253"/>
      <c r="CG117" s="253"/>
      <c r="CH117" s="253"/>
      <c r="CI117" s="253"/>
      <c r="CJ117" s="253"/>
      <c r="CK117" s="253"/>
      <c r="CL117" s="253"/>
      <c r="CM117" s="253"/>
      <c r="CN117" s="253"/>
      <c r="CO117" s="253"/>
      <c r="CP117" s="253"/>
      <c r="CQ117" s="253"/>
      <c r="CR117" s="253"/>
      <c r="CS117" s="253"/>
      <c r="CT117" s="253"/>
      <c r="CU117" s="253"/>
      <c r="CV117" s="253"/>
      <c r="CW117" s="253"/>
      <c r="CX117" s="253"/>
      <c r="CY117" s="253"/>
      <c r="CZ117" s="253"/>
      <c r="DA117" s="253"/>
      <c r="DB117" s="253"/>
      <c r="DC117" s="253"/>
      <c r="DD117" s="253"/>
      <c r="DE117" s="253"/>
      <c r="DF117" s="253"/>
      <c r="DG117" s="253"/>
      <c r="DH117" s="253"/>
      <c r="DI117" s="253"/>
      <c r="DJ117" s="253"/>
      <c r="DK117" s="253"/>
      <c r="DL117" s="253"/>
      <c r="DM117" s="253"/>
      <c r="DN117" s="253"/>
      <c r="DO117" s="253"/>
      <c r="DP117" s="253"/>
    </row>
    <row r="118" spans="1:120">
      <c r="A118" s="261"/>
      <c r="B118" s="242"/>
      <c r="C118" s="253"/>
      <c r="D118" s="253"/>
      <c r="E118" s="253"/>
      <c r="F118" s="253"/>
      <c r="G118" s="253"/>
      <c r="H118" s="253"/>
      <c r="I118" s="253"/>
      <c r="J118" s="253"/>
      <c r="K118" s="253"/>
      <c r="L118" s="253"/>
      <c r="M118" s="253"/>
      <c r="N118" s="253"/>
      <c r="O118" s="253"/>
      <c r="P118" s="253"/>
      <c r="Q118" s="253"/>
      <c r="R118" s="253"/>
      <c r="S118" s="253"/>
      <c r="T118" s="253"/>
      <c r="U118" s="253"/>
      <c r="V118" s="253"/>
      <c r="W118" s="303"/>
      <c r="X118" s="253"/>
      <c r="Y118" s="253"/>
      <c r="Z118" s="253"/>
      <c r="AA118" s="316"/>
      <c r="AB118" s="253"/>
      <c r="AC118" s="253"/>
      <c r="AD118" s="253"/>
      <c r="AE118" s="316"/>
      <c r="AF118" s="253"/>
      <c r="AG118" s="253"/>
      <c r="AH118" s="253"/>
      <c r="AI118" s="316"/>
      <c r="AJ118" s="253"/>
      <c r="AK118" s="253"/>
      <c r="AL118" s="253"/>
      <c r="AM118" s="316"/>
      <c r="AN118" s="253"/>
      <c r="AO118" s="253"/>
      <c r="AP118" s="253"/>
      <c r="AQ118" s="337"/>
      <c r="AR118" s="303"/>
      <c r="AS118" s="303"/>
      <c r="AT118" s="310"/>
      <c r="AU118" s="340"/>
      <c r="AV118" s="310"/>
      <c r="AW118" s="310"/>
      <c r="AX118" s="310"/>
      <c r="AY118" s="340"/>
      <c r="AZ118" s="310"/>
      <c r="BA118" s="310"/>
      <c r="BB118" s="310"/>
      <c r="BC118" s="340"/>
      <c r="BD118" s="310"/>
      <c r="BE118" s="310"/>
      <c r="BF118" s="310"/>
      <c r="BG118" s="340"/>
      <c r="BH118" s="310"/>
      <c r="BI118" s="310"/>
      <c r="BJ118" s="310"/>
      <c r="BK118" s="340"/>
      <c r="BL118" s="310"/>
      <c r="BM118" s="310"/>
      <c r="BN118" s="310"/>
      <c r="BO118" s="340"/>
      <c r="BP118" s="310"/>
      <c r="BQ118" s="310"/>
      <c r="BR118" s="310"/>
      <c r="BS118" s="340"/>
      <c r="BT118" s="310"/>
      <c r="BU118" s="310"/>
      <c r="BV118" s="310"/>
      <c r="BW118" s="310"/>
      <c r="BX118" s="310"/>
      <c r="BY118" s="310"/>
      <c r="BZ118" s="310"/>
      <c r="CA118" s="310"/>
      <c r="CB118" s="310"/>
      <c r="CC118" s="310"/>
      <c r="CD118" s="310"/>
      <c r="CE118" s="310"/>
      <c r="CF118" s="310"/>
      <c r="CG118" s="310"/>
      <c r="CH118" s="303"/>
      <c r="CI118" s="303"/>
      <c r="CJ118" s="303"/>
      <c r="CK118" s="303"/>
      <c r="CL118" s="303"/>
      <c r="CM118" s="303"/>
      <c r="CN118" s="303"/>
      <c r="CO118" s="303"/>
      <c r="CP118" s="303"/>
      <c r="CQ118" s="303"/>
      <c r="CR118" s="303"/>
      <c r="CS118" s="303"/>
      <c r="CT118" s="303"/>
      <c r="CU118" s="303"/>
      <c r="CV118" s="303"/>
      <c r="CW118" s="303"/>
      <c r="CX118" s="303"/>
      <c r="CY118" s="303"/>
      <c r="CZ118" s="303"/>
      <c r="DA118" s="303"/>
      <c r="DB118" s="303"/>
      <c r="DC118" s="303"/>
      <c r="DD118" s="303"/>
      <c r="DE118" s="303"/>
      <c r="DF118" s="303"/>
      <c r="DG118" s="303"/>
      <c r="DH118" s="303"/>
      <c r="DI118" s="303"/>
      <c r="DJ118" s="303"/>
      <c r="DK118" s="303"/>
      <c r="DL118" s="303"/>
      <c r="DM118" s="303"/>
      <c r="DN118" s="303"/>
      <c r="DO118" s="303"/>
      <c r="DP118" s="303"/>
    </row>
    <row r="119" spans="1:120">
      <c r="A119" s="248"/>
      <c r="B119" s="245" t="s">
        <v>755</v>
      </c>
      <c r="C119" s="247"/>
      <c r="D119" s="247"/>
      <c r="E119" s="247">
        <f t="shared" ref="E119:V119" si="255">E4</f>
        <v>2011</v>
      </c>
      <c r="F119" s="247">
        <f t="shared" si="255"/>
        <v>2012</v>
      </c>
      <c r="G119" s="247">
        <f t="shared" si="255"/>
        <v>2013</v>
      </c>
      <c r="H119" s="247">
        <f t="shared" si="255"/>
        <v>2014</v>
      </c>
      <c r="I119" s="247">
        <f t="shared" si="255"/>
        <v>2015</v>
      </c>
      <c r="J119" s="247">
        <f t="shared" si="255"/>
        <v>2016</v>
      </c>
      <c r="K119" s="247">
        <f t="shared" si="255"/>
        <v>2017</v>
      </c>
      <c r="L119" s="247">
        <f t="shared" si="255"/>
        <v>2018</v>
      </c>
      <c r="M119" s="247">
        <f t="shared" si="255"/>
        <v>2019</v>
      </c>
      <c r="N119" s="247">
        <f t="shared" si="255"/>
        <v>2020</v>
      </c>
      <c r="O119" s="247">
        <f t="shared" si="255"/>
        <v>2021</v>
      </c>
      <c r="P119" s="247">
        <f t="shared" si="255"/>
        <v>2022</v>
      </c>
      <c r="Q119" s="247">
        <f t="shared" si="255"/>
        <v>2023</v>
      </c>
      <c r="R119" s="247">
        <f t="shared" si="255"/>
        <v>2024</v>
      </c>
      <c r="S119" s="247">
        <f t="shared" si="255"/>
        <v>2025</v>
      </c>
      <c r="T119" s="296">
        <f t="shared" si="255"/>
        <v>2026</v>
      </c>
      <c r="U119" s="296">
        <f t="shared" si="255"/>
        <v>2027</v>
      </c>
      <c r="V119" s="296">
        <f t="shared" si="255"/>
        <v>2028</v>
      </c>
      <c r="W119" s="300"/>
      <c r="X119" s="301"/>
      <c r="Y119" s="301"/>
      <c r="Z119" s="301"/>
      <c r="AA119" s="425"/>
      <c r="AB119" s="301"/>
      <c r="AC119" s="301"/>
      <c r="AD119" s="301"/>
      <c r="AE119" s="425"/>
      <c r="AF119" s="301"/>
      <c r="AG119" s="301"/>
      <c r="AH119" s="301"/>
      <c r="AI119" s="425"/>
      <c r="AJ119" s="301"/>
      <c r="AK119" s="301"/>
      <c r="AL119" s="301"/>
      <c r="AM119" s="425"/>
      <c r="AN119" s="301"/>
      <c r="AO119" s="301"/>
      <c r="AP119" s="301"/>
      <c r="AQ119" s="436"/>
      <c r="AR119" s="535" t="s">
        <v>675</v>
      </c>
      <c r="AS119" s="383"/>
      <c r="AT119" s="383"/>
      <c r="AU119" s="436"/>
      <c r="AV119" s="383"/>
      <c r="AW119" s="383"/>
      <c r="AX119" s="383"/>
      <c r="AY119" s="436"/>
      <c r="AZ119" s="383"/>
      <c r="BA119" s="383"/>
      <c r="BB119" s="383"/>
      <c r="BC119" s="436"/>
      <c r="BD119" s="383"/>
      <c r="BE119" s="383"/>
      <c r="BF119" s="383"/>
      <c r="BG119" s="436"/>
      <c r="BH119" s="383"/>
      <c r="BI119" s="383"/>
      <c r="BJ119" s="383"/>
      <c r="BK119" s="436"/>
      <c r="BL119" s="383"/>
      <c r="BM119" s="383"/>
      <c r="BN119" s="383"/>
      <c r="BO119" s="436"/>
      <c r="BP119" s="383"/>
      <c r="BQ119" s="383"/>
      <c r="BR119" s="383"/>
      <c r="BS119" s="436"/>
      <c r="BT119" s="383"/>
      <c r="BU119" s="383"/>
      <c r="BV119" s="383"/>
      <c r="BW119" s="383"/>
      <c r="BX119" s="383"/>
      <c r="BY119" s="383"/>
      <c r="BZ119" s="383"/>
      <c r="CA119" s="383"/>
      <c r="CB119" s="383"/>
      <c r="CC119" s="383"/>
      <c r="CD119" s="383"/>
      <c r="CE119" s="383"/>
      <c r="CF119" s="383"/>
      <c r="CG119" s="383"/>
      <c r="CH119" s="283"/>
      <c r="CI119" s="283"/>
      <c r="CJ119" s="283"/>
      <c r="CK119" s="283"/>
      <c r="CL119" s="283"/>
      <c r="CM119" s="283"/>
      <c r="CN119" s="283"/>
      <c r="CO119" s="283"/>
      <c r="CP119" s="283"/>
      <c r="CQ119" s="283"/>
      <c r="CR119" s="283"/>
      <c r="CS119" s="283"/>
      <c r="CT119" s="283"/>
      <c r="CU119" s="301"/>
      <c r="CV119" s="301"/>
      <c r="CW119" s="301"/>
      <c r="CX119" s="301"/>
      <c r="CY119" s="301"/>
      <c r="CZ119" s="301"/>
      <c r="DA119" s="301"/>
      <c r="DB119" s="301"/>
      <c r="DC119" s="301"/>
      <c r="DD119" s="301"/>
      <c r="DE119" s="301"/>
      <c r="DF119" s="301"/>
      <c r="DG119" s="301"/>
      <c r="DH119" s="301"/>
      <c r="DI119" s="301"/>
      <c r="DJ119" s="301"/>
      <c r="DK119" s="301"/>
      <c r="DL119" s="301"/>
      <c r="DM119" s="301"/>
      <c r="DN119" s="301"/>
      <c r="DO119" s="301"/>
      <c r="DP119" s="301"/>
    </row>
    <row r="120" spans="1:120">
      <c r="A120" s="261"/>
      <c r="B120" s="281"/>
      <c r="C120" s="404"/>
      <c r="D120" s="404"/>
      <c r="E120" s="404"/>
      <c r="F120" s="404"/>
      <c r="G120" s="404"/>
      <c r="H120" s="404"/>
      <c r="I120" s="404"/>
      <c r="J120" s="404"/>
      <c r="K120" s="404"/>
      <c r="L120" s="404"/>
      <c r="M120" s="404"/>
      <c r="N120" s="404"/>
      <c r="O120" s="404"/>
      <c r="P120" s="404"/>
      <c r="Q120" s="404"/>
      <c r="R120" s="404"/>
      <c r="S120" s="404"/>
      <c r="T120" s="404"/>
      <c r="U120" s="404"/>
      <c r="V120" s="404"/>
      <c r="W120" s="303"/>
      <c r="X120" s="404"/>
      <c r="Y120" s="404"/>
      <c r="Z120" s="404"/>
      <c r="AA120" s="426"/>
      <c r="AB120" s="404"/>
      <c r="AC120" s="404"/>
      <c r="AD120" s="404"/>
      <c r="AE120" s="426"/>
      <c r="AF120" s="404"/>
      <c r="AG120" s="404"/>
      <c r="AH120" s="404"/>
      <c r="AI120" s="426"/>
      <c r="AJ120" s="404"/>
      <c r="AK120" s="404"/>
      <c r="AL120" s="404"/>
      <c r="AM120" s="426"/>
      <c r="AN120" s="404"/>
      <c r="AO120" s="404"/>
      <c r="AP120" s="404"/>
      <c r="AQ120" s="337"/>
      <c r="AR120" s="303"/>
      <c r="AS120" s="303"/>
      <c r="AT120" s="310"/>
      <c r="AU120" s="340"/>
      <c r="AV120" s="310"/>
      <c r="AW120" s="310"/>
      <c r="AX120" s="310"/>
      <c r="AY120" s="340"/>
      <c r="AZ120" s="310"/>
      <c r="BA120" s="310"/>
      <c r="BB120" s="310"/>
      <c r="BC120" s="340"/>
      <c r="BD120" s="310"/>
      <c r="BE120" s="310"/>
      <c r="BF120" s="310"/>
      <c r="BG120" s="340"/>
      <c r="BH120" s="310"/>
      <c r="BI120" s="310"/>
      <c r="BJ120" s="310"/>
      <c r="BK120" s="340"/>
      <c r="BL120" s="310"/>
      <c r="BM120" s="310"/>
      <c r="BN120" s="310"/>
      <c r="BO120" s="340"/>
      <c r="BP120" s="310"/>
      <c r="BQ120" s="310"/>
      <c r="BR120" s="310"/>
      <c r="BS120" s="340"/>
      <c r="BT120" s="310"/>
      <c r="BU120" s="310"/>
      <c r="BV120" s="310"/>
      <c r="BW120" s="310"/>
      <c r="BX120" s="310"/>
      <c r="BY120" s="310"/>
      <c r="BZ120" s="310"/>
      <c r="CA120" s="310"/>
      <c r="CB120" s="310"/>
      <c r="CC120" s="310"/>
      <c r="CD120" s="310"/>
      <c r="CE120" s="310"/>
      <c r="CF120" s="310"/>
      <c r="CG120" s="310"/>
      <c r="CH120" s="303"/>
      <c r="CI120" s="303"/>
      <c r="CJ120" s="303"/>
      <c r="CK120" s="303"/>
      <c r="CL120" s="303"/>
      <c r="CM120" s="303"/>
      <c r="CN120" s="303"/>
      <c r="CO120" s="303"/>
      <c r="CP120" s="303"/>
      <c r="CQ120" s="303"/>
      <c r="CR120" s="303"/>
      <c r="CS120" s="303"/>
      <c r="CT120" s="303"/>
      <c r="CU120" s="303"/>
      <c r="CV120" s="303"/>
      <c r="CW120" s="303"/>
      <c r="CX120" s="303"/>
      <c r="CY120" s="303"/>
      <c r="CZ120" s="303"/>
      <c r="DA120" s="303"/>
      <c r="DB120" s="303"/>
      <c r="DC120" s="303"/>
      <c r="DD120" s="303"/>
      <c r="DE120" s="303"/>
      <c r="DF120" s="303"/>
      <c r="DG120" s="303"/>
      <c r="DH120" s="303"/>
      <c r="DI120" s="303"/>
      <c r="DJ120" s="303"/>
      <c r="DK120" s="303"/>
      <c r="DL120" s="303"/>
      <c r="DM120" s="303"/>
      <c r="DN120" s="303"/>
      <c r="DO120" s="303"/>
      <c r="DP120" s="303"/>
    </row>
    <row r="121" spans="1:120">
      <c r="A121" s="250"/>
      <c r="B121" s="253" t="s">
        <v>756</v>
      </c>
      <c r="C121" s="253"/>
      <c r="D121" s="253"/>
      <c r="E121" s="253">
        <v>106.83875803</v>
      </c>
      <c r="F121" s="253">
        <v>98.53904271</v>
      </c>
      <c r="G121" s="253">
        <v>62.52412164</v>
      </c>
      <c r="H121" s="253">
        <v>89.89609736</v>
      </c>
      <c r="I121" s="253">
        <v>79.31808351</v>
      </c>
      <c r="J121" s="253">
        <v>135.60739867</v>
      </c>
      <c r="K121" s="253">
        <v>108.06688407</v>
      </c>
      <c r="L121" s="253">
        <v>237.00026683</v>
      </c>
      <c r="M121" s="253">
        <v>253.40360322</v>
      </c>
      <c r="N121" s="253">
        <v>1931.39998619</v>
      </c>
      <c r="O121" s="253">
        <v>1579.77817945</v>
      </c>
      <c r="P121" s="253">
        <v>1784.96853053</v>
      </c>
      <c r="Q121" s="253">
        <v>2515.32317661</v>
      </c>
      <c r="R121" s="253">
        <v>1600.2691037</v>
      </c>
      <c r="S121" s="253">
        <v>8155.613938</v>
      </c>
      <c r="T121" s="253">
        <f t="shared" ref="T121:V121" si="256">S121+T230</f>
        <v>15393.7526700418</v>
      </c>
      <c r="U121" s="253">
        <f t="shared" si="256"/>
        <v>39089.3118467892</v>
      </c>
      <c r="V121" s="253">
        <f t="shared" si="256"/>
        <v>57966.2091934597</v>
      </c>
      <c r="W121" s="303"/>
      <c r="X121" s="253"/>
      <c r="Y121" s="253"/>
      <c r="Z121" s="253"/>
      <c r="AA121" s="316"/>
      <c r="AB121" s="253"/>
      <c r="AC121" s="253"/>
      <c r="AD121" s="253"/>
      <c r="AE121" s="316"/>
      <c r="AF121" s="253"/>
      <c r="AG121" s="253"/>
      <c r="AH121" s="253"/>
      <c r="AI121" s="316"/>
      <c r="AJ121" s="253"/>
      <c r="AK121" s="253"/>
      <c r="AL121" s="253"/>
      <c r="AM121" s="427"/>
      <c r="AN121" s="428"/>
      <c r="AO121" s="428"/>
      <c r="AP121" s="253"/>
      <c r="AQ121" s="340"/>
      <c r="AR121" s="310">
        <v>5438.6256942</v>
      </c>
      <c r="AS121" s="310"/>
      <c r="AT121" s="310"/>
      <c r="AU121" s="340"/>
      <c r="AV121" s="310"/>
      <c r="AW121" s="310"/>
      <c r="AX121" s="310"/>
      <c r="AY121" s="340"/>
      <c r="AZ121" s="310"/>
      <c r="BA121" s="310"/>
      <c r="BB121" s="310"/>
      <c r="BC121" s="340"/>
      <c r="BD121" s="310"/>
      <c r="BE121" s="310"/>
      <c r="BF121" s="310"/>
      <c r="BG121" s="340"/>
      <c r="BH121" s="310"/>
      <c r="BI121" s="310"/>
      <c r="BJ121" s="310"/>
      <c r="BK121" s="340"/>
      <c r="BL121" s="310"/>
      <c r="BM121" s="310"/>
      <c r="BN121" s="310"/>
      <c r="BO121" s="340"/>
      <c r="BP121" s="310"/>
      <c r="BQ121" s="310"/>
      <c r="BR121" s="310"/>
      <c r="BS121" s="340"/>
      <c r="BT121" s="310"/>
      <c r="BU121" s="310"/>
      <c r="BV121" s="310"/>
      <c r="BW121" s="310"/>
      <c r="BX121" s="310"/>
      <c r="BY121" s="310"/>
      <c r="BZ121" s="310"/>
      <c r="CA121" s="310"/>
      <c r="CB121" s="310"/>
      <c r="CC121" s="310"/>
      <c r="CD121" s="310"/>
      <c r="CE121" s="310"/>
      <c r="CF121" s="310"/>
      <c r="CG121" s="310"/>
      <c r="CH121" s="253"/>
      <c r="CI121" s="253"/>
      <c r="CJ121" s="253"/>
      <c r="CK121" s="253"/>
      <c r="CL121" s="253"/>
      <c r="CM121" s="253"/>
      <c r="CN121" s="253"/>
      <c r="CO121" s="253"/>
      <c r="CP121" s="253"/>
      <c r="CQ121" s="253"/>
      <c r="CR121" s="253"/>
      <c r="CS121" s="253"/>
      <c r="CT121" s="253"/>
      <c r="CU121" s="255"/>
      <c r="CV121" s="255"/>
      <c r="CW121" s="255"/>
      <c r="CX121" s="255"/>
      <c r="CY121" s="255"/>
      <c r="CZ121" s="255"/>
      <c r="DA121" s="255"/>
      <c r="DB121" s="255"/>
      <c r="DC121" s="255"/>
      <c r="DD121" s="255"/>
      <c r="DE121" s="255"/>
      <c r="DF121" s="255"/>
      <c r="DG121" s="255"/>
      <c r="DH121" s="255"/>
      <c r="DI121" s="255"/>
      <c r="DJ121" s="255"/>
      <c r="DK121" s="255"/>
      <c r="DL121" s="255"/>
      <c r="DM121" s="255"/>
      <c r="DN121" s="255"/>
      <c r="DO121" s="255"/>
      <c r="DP121" s="255"/>
    </row>
    <row r="122" spans="1:120">
      <c r="A122" s="250"/>
      <c r="B122" s="253" t="s">
        <v>757</v>
      </c>
      <c r="C122" s="253"/>
      <c r="D122" s="253"/>
      <c r="E122" s="253">
        <v>85.10242322</v>
      </c>
      <c r="F122" s="253">
        <v>86.14089897</v>
      </c>
      <c r="G122" s="253">
        <v>146.06796812</v>
      </c>
      <c r="H122" s="253">
        <v>197.93570764</v>
      </c>
      <c r="I122" s="253">
        <v>222.84343814</v>
      </c>
      <c r="J122" s="253">
        <v>292.11326915</v>
      </c>
      <c r="K122" s="253">
        <v>424.13408351</v>
      </c>
      <c r="L122" s="253">
        <v>330.83003526</v>
      </c>
      <c r="M122" s="253">
        <v>311.92776471</v>
      </c>
      <c r="N122" s="253">
        <v>368.87359536</v>
      </c>
      <c r="O122" s="253">
        <v>577.20937992</v>
      </c>
      <c r="P122" s="253">
        <v>695.42809874</v>
      </c>
      <c r="Q122" s="253">
        <v>741.12715954</v>
      </c>
      <c r="R122" s="253">
        <v>2549.78917396</v>
      </c>
      <c r="S122" s="253">
        <f>4437.50948109+4.3730615</f>
        <v>4441.88254259</v>
      </c>
      <c r="T122" s="412">
        <f t="shared" ref="T122:V122" si="257">+T7*T161*2/365-S122</f>
        <v>11450.1871718443</v>
      </c>
      <c r="U122" s="412">
        <f t="shared" si="257"/>
        <v>13401.6406639102</v>
      </c>
      <c r="V122" s="412">
        <f t="shared" si="257"/>
        <v>17498.7225290685</v>
      </c>
      <c r="W122" s="303"/>
      <c r="X122" s="253"/>
      <c r="Y122" s="253"/>
      <c r="Z122" s="253"/>
      <c r="AA122" s="316"/>
      <c r="AB122" s="253"/>
      <c r="AC122" s="253"/>
      <c r="AD122" s="253"/>
      <c r="AE122" s="316"/>
      <c r="AF122" s="253"/>
      <c r="AG122" s="253"/>
      <c r="AH122" s="253"/>
      <c r="AI122" s="316"/>
      <c r="AJ122" s="253"/>
      <c r="AK122" s="253"/>
      <c r="AL122" s="253"/>
      <c r="AM122" s="316"/>
      <c r="AN122" s="253"/>
      <c r="AO122" s="253"/>
      <c r="AP122" s="253"/>
      <c r="AQ122" s="340"/>
      <c r="AR122" s="310">
        <f>1.37032032+3993.17881662</f>
        <v>3994.54913694</v>
      </c>
      <c r="AS122" s="310"/>
      <c r="AT122" s="310"/>
      <c r="AU122" s="340"/>
      <c r="AV122" s="310"/>
      <c r="AW122" s="310"/>
      <c r="AX122" s="310"/>
      <c r="AY122" s="340"/>
      <c r="AZ122" s="310"/>
      <c r="BA122" s="310"/>
      <c r="BB122" s="310"/>
      <c r="BC122" s="340"/>
      <c r="BD122" s="310"/>
      <c r="BE122" s="310"/>
      <c r="BF122" s="310"/>
      <c r="BG122" s="340"/>
      <c r="BH122" s="310"/>
      <c r="BI122" s="310"/>
      <c r="BJ122" s="310"/>
      <c r="BK122" s="340"/>
      <c r="BL122" s="310"/>
      <c r="BM122" s="310"/>
      <c r="BN122" s="310"/>
      <c r="BO122" s="340"/>
      <c r="BP122" s="310"/>
      <c r="BQ122" s="310"/>
      <c r="BR122" s="310"/>
      <c r="BS122" s="340"/>
      <c r="BT122" s="310"/>
      <c r="BU122" s="310"/>
      <c r="BV122" s="310"/>
      <c r="BW122" s="310"/>
      <c r="BX122" s="310"/>
      <c r="BY122" s="310"/>
      <c r="BZ122" s="310"/>
      <c r="CA122" s="310"/>
      <c r="CB122" s="310"/>
      <c r="CC122" s="310"/>
      <c r="CD122" s="310"/>
      <c r="CE122" s="310"/>
      <c r="CF122" s="310"/>
      <c r="CG122" s="310"/>
      <c r="CH122" s="253"/>
      <c r="CI122" s="253"/>
      <c r="CJ122" s="253"/>
      <c r="CK122" s="253"/>
      <c r="CL122" s="253"/>
      <c r="CM122" s="253"/>
      <c r="CN122" s="253"/>
      <c r="CO122" s="253"/>
      <c r="CP122" s="253"/>
      <c r="CQ122" s="253"/>
      <c r="CR122" s="253"/>
      <c r="CS122" s="253"/>
      <c r="CT122" s="253"/>
      <c r="CU122" s="255"/>
      <c r="CV122" s="255"/>
      <c r="CW122" s="255"/>
      <c r="CX122" s="255"/>
      <c r="CY122" s="255"/>
      <c r="CZ122" s="255"/>
      <c r="DA122" s="255"/>
      <c r="DB122" s="255"/>
      <c r="DC122" s="255"/>
      <c r="DD122" s="255"/>
      <c r="DE122" s="255"/>
      <c r="DF122" s="255"/>
      <c r="DG122" s="255"/>
      <c r="DH122" s="255"/>
      <c r="DI122" s="255"/>
      <c r="DJ122" s="255"/>
      <c r="DK122" s="255"/>
      <c r="DL122" s="255"/>
      <c r="DM122" s="255"/>
      <c r="DN122" s="255"/>
      <c r="DO122" s="255"/>
      <c r="DP122" s="255"/>
    </row>
    <row r="123" spans="1:120">
      <c r="A123" s="250"/>
      <c r="B123" s="253" t="s">
        <v>758</v>
      </c>
      <c r="C123" s="253"/>
      <c r="D123" s="253"/>
      <c r="E123" s="253">
        <v>72.28068889</v>
      </c>
      <c r="F123" s="253">
        <v>80.49080207</v>
      </c>
      <c r="G123" s="253">
        <v>115.46272829</v>
      </c>
      <c r="H123" s="253">
        <v>124.84103549</v>
      </c>
      <c r="I123" s="253">
        <v>207.71725451</v>
      </c>
      <c r="J123" s="253">
        <v>283.69801721</v>
      </c>
      <c r="K123" s="253">
        <v>433.53856049</v>
      </c>
      <c r="L123" s="253">
        <v>291.23772835</v>
      </c>
      <c r="M123" s="253">
        <v>352.13864476</v>
      </c>
      <c r="N123" s="253">
        <v>971.78565628</v>
      </c>
      <c r="O123" s="253">
        <v>1526.18234847</v>
      </c>
      <c r="P123" s="253">
        <v>1469.20358793</v>
      </c>
      <c r="Q123" s="253">
        <v>963.34819868</v>
      </c>
      <c r="R123" s="253">
        <v>4132.06724434</v>
      </c>
      <c r="S123" s="253">
        <v>7234.33346899</v>
      </c>
      <c r="T123" s="412">
        <f t="shared" ref="T123:V123" si="258">+T162*T10*2/365-S123</f>
        <v>16127.5980455938</v>
      </c>
      <c r="U123" s="412">
        <f t="shared" si="258"/>
        <v>17211.6424450331</v>
      </c>
      <c r="V123" s="412">
        <f t="shared" si="258"/>
        <v>21026.4602885865</v>
      </c>
      <c r="W123" s="303"/>
      <c r="X123" s="253"/>
      <c r="Y123" s="253"/>
      <c r="Z123" s="253"/>
      <c r="AA123" s="316"/>
      <c r="AB123" s="253"/>
      <c r="AC123" s="253"/>
      <c r="AD123" s="253"/>
      <c r="AE123" s="316"/>
      <c r="AF123" s="253"/>
      <c r="AG123" s="253"/>
      <c r="AH123" s="253"/>
      <c r="AI123" s="316"/>
      <c r="AJ123" s="253"/>
      <c r="AK123" s="253"/>
      <c r="AL123" s="253"/>
      <c r="AM123" s="429"/>
      <c r="AN123" s="430"/>
      <c r="AO123" s="430"/>
      <c r="AP123" s="253"/>
      <c r="AQ123" s="438"/>
      <c r="AR123" s="439">
        <v>6602.55764405</v>
      </c>
      <c r="AS123" s="439"/>
      <c r="AT123" s="439"/>
      <c r="AU123" s="438"/>
      <c r="AV123" s="439"/>
      <c r="AW123" s="439"/>
      <c r="AX123" s="439"/>
      <c r="AY123" s="438"/>
      <c r="AZ123" s="439"/>
      <c r="BA123" s="439"/>
      <c r="BB123" s="439"/>
      <c r="BC123" s="438"/>
      <c r="BD123" s="439"/>
      <c r="BE123" s="439"/>
      <c r="BF123" s="439"/>
      <c r="BG123" s="438"/>
      <c r="BH123" s="439"/>
      <c r="BI123" s="439"/>
      <c r="BJ123" s="439"/>
      <c r="BK123" s="438"/>
      <c r="BL123" s="439"/>
      <c r="BM123" s="439"/>
      <c r="BN123" s="439"/>
      <c r="BO123" s="438"/>
      <c r="BP123" s="439"/>
      <c r="BQ123" s="439"/>
      <c r="BR123" s="439"/>
      <c r="BS123" s="438"/>
      <c r="BT123" s="439"/>
      <c r="BU123" s="439"/>
      <c r="BV123" s="439"/>
      <c r="BW123" s="439"/>
      <c r="BX123" s="439"/>
      <c r="BY123" s="439"/>
      <c r="BZ123" s="439"/>
      <c r="CA123" s="439"/>
      <c r="CB123" s="439"/>
      <c r="CC123" s="439"/>
      <c r="CD123" s="439"/>
      <c r="CE123" s="439"/>
      <c r="CF123" s="439"/>
      <c r="CG123" s="439"/>
      <c r="CH123" s="253"/>
      <c r="CI123" s="253"/>
      <c r="CJ123" s="253"/>
      <c r="CK123" s="253"/>
      <c r="CL123" s="253"/>
      <c r="CM123" s="253"/>
      <c r="CN123" s="253"/>
      <c r="CO123" s="253"/>
      <c r="CP123" s="253"/>
      <c r="CQ123" s="253"/>
      <c r="CR123" s="253"/>
      <c r="CS123" s="253"/>
      <c r="CT123" s="253"/>
      <c r="CU123" s="255"/>
      <c r="CV123" s="255"/>
      <c r="CW123" s="255"/>
      <c r="CX123" s="255"/>
      <c r="CY123" s="255"/>
      <c r="CZ123" s="255"/>
      <c r="DA123" s="255"/>
      <c r="DB123" s="255"/>
      <c r="DC123" s="255"/>
      <c r="DD123" s="255"/>
      <c r="DE123" s="255"/>
      <c r="DF123" s="255"/>
      <c r="DG123" s="255"/>
      <c r="DH123" s="255"/>
      <c r="DI123" s="255"/>
      <c r="DJ123" s="255"/>
      <c r="DK123" s="255"/>
      <c r="DL123" s="255"/>
      <c r="DM123" s="255"/>
      <c r="DN123" s="255"/>
      <c r="DO123" s="255"/>
      <c r="DP123" s="255"/>
    </row>
    <row r="124" spans="1:120">
      <c r="A124" s="250"/>
      <c r="B124" s="253" t="s">
        <v>149</v>
      </c>
      <c r="C124" s="253"/>
      <c r="D124" s="253"/>
      <c r="E124" s="253">
        <f t="shared" ref="E124:K124" si="259">+E125-SUM(E121:E123)</f>
        <v>7.29104733000003</v>
      </c>
      <c r="F124" s="253">
        <f t="shared" si="259"/>
        <v>12.59033286</v>
      </c>
      <c r="G124" s="253">
        <f t="shared" si="259"/>
        <v>11.72395402</v>
      </c>
      <c r="H124" s="253">
        <f t="shared" si="259"/>
        <v>9.86902248000001</v>
      </c>
      <c r="I124" s="253">
        <f t="shared" si="259"/>
        <v>14.1234349499999</v>
      </c>
      <c r="J124" s="253">
        <f t="shared" si="259"/>
        <v>196.69454644</v>
      </c>
      <c r="K124" s="253">
        <f t="shared" si="259"/>
        <v>51.21182185</v>
      </c>
      <c r="L124" s="253">
        <f t="shared" ref="L124:S124" si="260">+L125-SUM(L121:L123)</f>
        <v>105.35122193</v>
      </c>
      <c r="M124" s="253">
        <f t="shared" si="260"/>
        <v>253.55390122</v>
      </c>
      <c r="N124" s="253">
        <f t="shared" si="260"/>
        <v>235.23815715</v>
      </c>
      <c r="O124" s="253">
        <f t="shared" si="260"/>
        <v>240.9792827</v>
      </c>
      <c r="P124" s="253">
        <f t="shared" si="260"/>
        <v>255.76584285</v>
      </c>
      <c r="Q124" s="253">
        <f t="shared" si="260"/>
        <v>115.61509394</v>
      </c>
      <c r="R124" s="253">
        <f t="shared" si="260"/>
        <v>643.310084930001</v>
      </c>
      <c r="S124" s="253">
        <f t="shared" si="260"/>
        <v>684.161735059999</v>
      </c>
      <c r="T124" s="253">
        <f t="shared" ref="T124:V124" si="261">T125-SUM(T121:T123)</f>
        <v>36.5428612819596</v>
      </c>
      <c r="U124" s="253">
        <f t="shared" si="261"/>
        <v>36.5428612819524</v>
      </c>
      <c r="V124" s="253">
        <f t="shared" si="261"/>
        <v>36.5428612819524</v>
      </c>
      <c r="W124" s="303"/>
      <c r="X124" s="253"/>
      <c r="Y124" s="253"/>
      <c r="Z124" s="253"/>
      <c r="AA124" s="316"/>
      <c r="AB124" s="253"/>
      <c r="AC124" s="253"/>
      <c r="AD124" s="253"/>
      <c r="AE124" s="316"/>
      <c r="AF124" s="253"/>
      <c r="AG124" s="253"/>
      <c r="AH124" s="253"/>
      <c r="AI124" s="316"/>
      <c r="AJ124" s="253"/>
      <c r="AK124" s="253"/>
      <c r="AL124" s="253"/>
      <c r="AM124" s="429"/>
      <c r="AN124" s="430"/>
      <c r="AO124" s="430"/>
      <c r="AP124" s="253"/>
      <c r="AQ124" s="440"/>
      <c r="AR124" s="441"/>
      <c r="AS124" s="441"/>
      <c r="AT124" s="441"/>
      <c r="AU124" s="440"/>
      <c r="AV124" s="441"/>
      <c r="AW124" s="441"/>
      <c r="AX124" s="441"/>
      <c r="AY124" s="440"/>
      <c r="AZ124" s="441"/>
      <c r="BA124" s="441"/>
      <c r="BB124" s="441"/>
      <c r="BC124" s="440"/>
      <c r="BD124" s="441"/>
      <c r="BE124" s="441"/>
      <c r="BF124" s="441"/>
      <c r="BG124" s="440"/>
      <c r="BH124" s="441"/>
      <c r="BI124" s="441"/>
      <c r="BJ124" s="441"/>
      <c r="BK124" s="440"/>
      <c r="BL124" s="441"/>
      <c r="BM124" s="441"/>
      <c r="BN124" s="441"/>
      <c r="BO124" s="440"/>
      <c r="BP124" s="441"/>
      <c r="BQ124" s="441"/>
      <c r="BR124" s="441"/>
      <c r="BS124" s="440"/>
      <c r="BT124" s="441"/>
      <c r="BU124" s="441"/>
      <c r="BV124" s="441"/>
      <c r="BW124" s="441"/>
      <c r="BX124" s="441"/>
      <c r="BY124" s="441"/>
      <c r="BZ124" s="441"/>
      <c r="CA124" s="441"/>
      <c r="CB124" s="441"/>
      <c r="CC124" s="441"/>
      <c r="CD124" s="441"/>
      <c r="CE124" s="441"/>
      <c r="CF124" s="441"/>
      <c r="CG124" s="441"/>
      <c r="CH124" s="253"/>
      <c r="CI124" s="253"/>
      <c r="CJ124" s="253"/>
      <c r="CK124" s="253"/>
      <c r="CL124" s="253"/>
      <c r="CM124" s="253"/>
      <c r="CN124" s="253"/>
      <c r="CO124" s="253"/>
      <c r="CP124" s="253"/>
      <c r="CQ124" s="253"/>
      <c r="CR124" s="253"/>
      <c r="CS124" s="253"/>
      <c r="CT124" s="253"/>
      <c r="CU124" s="255"/>
      <c r="CV124" s="255"/>
      <c r="CW124" s="255"/>
      <c r="CX124" s="255"/>
      <c r="CY124" s="255"/>
      <c r="CZ124" s="255"/>
      <c r="DA124" s="255"/>
      <c r="DB124" s="255"/>
      <c r="DC124" s="255"/>
      <c r="DD124" s="255"/>
      <c r="DE124" s="255"/>
      <c r="DF124" s="255"/>
      <c r="DG124" s="255"/>
      <c r="DH124" s="255"/>
      <c r="DI124" s="255"/>
      <c r="DJ124" s="255"/>
      <c r="DK124" s="255"/>
      <c r="DL124" s="255"/>
      <c r="DM124" s="255"/>
      <c r="DN124" s="255"/>
      <c r="DO124" s="255"/>
      <c r="DP124" s="255"/>
    </row>
    <row r="125" spans="1:120">
      <c r="A125" s="250"/>
      <c r="B125" s="257" t="s">
        <v>759</v>
      </c>
      <c r="C125" s="257"/>
      <c r="D125" s="257"/>
      <c r="E125" s="257">
        <v>271.51291747</v>
      </c>
      <c r="F125" s="257">
        <v>277.76107661</v>
      </c>
      <c r="G125" s="257">
        <v>335.77877207</v>
      </c>
      <c r="H125" s="257">
        <v>422.54186297</v>
      </c>
      <c r="I125" s="257">
        <v>524.00221111</v>
      </c>
      <c r="J125" s="257">
        <v>908.11323147</v>
      </c>
      <c r="K125" s="257">
        <v>1016.95134992</v>
      </c>
      <c r="L125" s="257">
        <v>964.41925237</v>
      </c>
      <c r="M125" s="257">
        <v>1171.02391391</v>
      </c>
      <c r="N125" s="257">
        <v>3507.29739498</v>
      </c>
      <c r="O125" s="257">
        <v>3924.14919054</v>
      </c>
      <c r="P125" s="257">
        <v>4205.36606005</v>
      </c>
      <c r="Q125" s="257">
        <v>4335.41362877</v>
      </c>
      <c r="R125" s="257">
        <v>8925.43560693</v>
      </c>
      <c r="S125" s="257">
        <v>20515.99168464</v>
      </c>
      <c r="T125" s="257">
        <f t="shared" ref="T125:V125" si="262">+T156-T135</f>
        <v>43008.0807487619</v>
      </c>
      <c r="U125" s="257">
        <f t="shared" si="262"/>
        <v>69739.1378170145</v>
      </c>
      <c r="V125" s="257">
        <f t="shared" si="262"/>
        <v>96527.9348723967</v>
      </c>
      <c r="W125" s="303"/>
      <c r="X125" s="251"/>
      <c r="Y125" s="251"/>
      <c r="Z125" s="251"/>
      <c r="AA125" s="315"/>
      <c r="AB125" s="251"/>
      <c r="AC125" s="251"/>
      <c r="AD125" s="251"/>
      <c r="AE125" s="315"/>
      <c r="AF125" s="251"/>
      <c r="AG125" s="251"/>
      <c r="AH125" s="251"/>
      <c r="AI125" s="315"/>
      <c r="AJ125" s="251"/>
      <c r="AK125" s="251"/>
      <c r="AL125" s="251"/>
      <c r="AM125" s="315"/>
      <c r="AN125" s="251"/>
      <c r="AO125" s="251"/>
      <c r="AP125" s="251"/>
      <c r="AQ125" s="315"/>
      <c r="AR125" s="251"/>
      <c r="AS125" s="251"/>
      <c r="AT125" s="251"/>
      <c r="AU125" s="315"/>
      <c r="AV125" s="251"/>
      <c r="AW125" s="251"/>
      <c r="AX125" s="251"/>
      <c r="AY125" s="315"/>
      <c r="AZ125" s="251"/>
      <c r="BA125" s="251"/>
      <c r="BB125" s="251"/>
      <c r="BC125" s="315"/>
      <c r="BD125" s="251"/>
      <c r="BE125" s="251"/>
      <c r="BF125" s="251"/>
      <c r="BG125" s="315"/>
      <c r="BH125" s="251"/>
      <c r="BI125" s="251"/>
      <c r="BJ125" s="251"/>
      <c r="BK125" s="315"/>
      <c r="BL125" s="251"/>
      <c r="BM125" s="251"/>
      <c r="BN125" s="251"/>
      <c r="BO125" s="315"/>
      <c r="BP125" s="251"/>
      <c r="BQ125" s="251"/>
      <c r="BR125" s="251"/>
      <c r="BS125" s="315"/>
      <c r="BT125" s="251"/>
      <c r="BU125" s="251"/>
      <c r="BV125" s="251"/>
      <c r="BW125" s="251"/>
      <c r="BX125" s="251"/>
      <c r="BY125" s="251"/>
      <c r="BZ125" s="251"/>
      <c r="CA125" s="251"/>
      <c r="CB125" s="251"/>
      <c r="CC125" s="251"/>
      <c r="CD125" s="251"/>
      <c r="CE125" s="251"/>
      <c r="CF125" s="251"/>
      <c r="CG125" s="251"/>
      <c r="CH125" s="251"/>
      <c r="CI125" s="251"/>
      <c r="CJ125" s="251"/>
      <c r="CK125" s="251"/>
      <c r="CL125" s="251"/>
      <c r="CM125" s="251"/>
      <c r="CN125" s="251"/>
      <c r="CO125" s="251"/>
      <c r="CP125" s="251"/>
      <c r="CQ125" s="251"/>
      <c r="CR125" s="251"/>
      <c r="CS125" s="251"/>
      <c r="CT125" s="251"/>
      <c r="CU125" s="251"/>
      <c r="CV125" s="251"/>
      <c r="CW125" s="251"/>
      <c r="CX125" s="251"/>
      <c r="CY125" s="251"/>
      <c r="CZ125" s="251"/>
      <c r="DA125" s="251"/>
      <c r="DB125" s="251"/>
      <c r="DC125" s="251"/>
      <c r="DD125" s="251"/>
      <c r="DE125" s="251"/>
      <c r="DF125" s="251"/>
      <c r="DG125" s="251"/>
      <c r="DH125" s="251"/>
      <c r="DI125" s="251"/>
      <c r="DJ125" s="251"/>
      <c r="DK125" s="251"/>
      <c r="DL125" s="251"/>
      <c r="DM125" s="251"/>
      <c r="DN125" s="251"/>
      <c r="DO125" s="251"/>
      <c r="DP125" s="251"/>
    </row>
    <row r="126" spans="1:120">
      <c r="A126" s="250"/>
      <c r="B126" s="256"/>
      <c r="C126" s="253"/>
      <c r="D126" s="253"/>
      <c r="E126" s="253"/>
      <c r="F126" s="253"/>
      <c r="G126" s="253"/>
      <c r="H126" s="253"/>
      <c r="I126" s="253"/>
      <c r="J126" s="253"/>
      <c r="K126" s="253"/>
      <c r="L126" s="253"/>
      <c r="M126" s="253"/>
      <c r="N126" s="253"/>
      <c r="O126" s="253"/>
      <c r="P126" s="253"/>
      <c r="Q126" s="253"/>
      <c r="R126" s="253"/>
      <c r="S126" s="253"/>
      <c r="T126" s="253"/>
      <c r="U126" s="253"/>
      <c r="V126" s="253"/>
      <c r="W126" s="303"/>
      <c r="X126" s="253"/>
      <c r="Y126" s="253"/>
      <c r="Z126" s="253"/>
      <c r="AA126" s="316"/>
      <c r="AB126" s="253"/>
      <c r="AC126" s="253"/>
      <c r="AD126" s="253"/>
      <c r="AE126" s="316"/>
      <c r="AF126" s="253"/>
      <c r="AG126" s="253"/>
      <c r="AH126" s="253"/>
      <c r="AI126" s="316"/>
      <c r="AJ126" s="253"/>
      <c r="AK126" s="253"/>
      <c r="AL126" s="253"/>
      <c r="AM126" s="316"/>
      <c r="AN126" s="253"/>
      <c r="AO126" s="253"/>
      <c r="AP126" s="253"/>
      <c r="AQ126" s="337"/>
      <c r="AR126" s="303"/>
      <c r="AS126" s="303"/>
      <c r="AT126" s="303"/>
      <c r="AU126" s="337"/>
      <c r="AV126" s="303"/>
      <c r="AW126" s="303"/>
      <c r="AX126" s="303"/>
      <c r="AY126" s="337"/>
      <c r="AZ126" s="303"/>
      <c r="BA126" s="303"/>
      <c r="BB126" s="303"/>
      <c r="BC126" s="337"/>
      <c r="BD126" s="303"/>
      <c r="BE126" s="303"/>
      <c r="BF126" s="303"/>
      <c r="BG126" s="337"/>
      <c r="BH126" s="303"/>
      <c r="BI126" s="303"/>
      <c r="BJ126" s="303"/>
      <c r="BK126" s="337"/>
      <c r="BL126" s="303"/>
      <c r="BM126" s="303"/>
      <c r="BN126" s="303"/>
      <c r="BO126" s="337"/>
      <c r="BP126" s="303"/>
      <c r="BQ126" s="303"/>
      <c r="BR126" s="303"/>
      <c r="BS126" s="337"/>
      <c r="BT126" s="303"/>
      <c r="BU126" s="303"/>
      <c r="BV126" s="303"/>
      <c r="BW126" s="303"/>
      <c r="BX126" s="303"/>
      <c r="BY126" s="303"/>
      <c r="BZ126" s="303"/>
      <c r="CA126" s="303"/>
      <c r="CB126" s="303"/>
      <c r="CC126" s="303"/>
      <c r="CD126" s="303"/>
      <c r="CE126" s="303"/>
      <c r="CF126" s="303"/>
      <c r="CG126" s="303"/>
      <c r="CH126" s="277"/>
      <c r="CI126" s="277"/>
      <c r="CJ126" s="277"/>
      <c r="CK126" s="277"/>
      <c r="CL126" s="277"/>
      <c r="CM126" s="277"/>
      <c r="CN126" s="277"/>
      <c r="CO126" s="277"/>
      <c r="CP126" s="277"/>
      <c r="CQ126" s="277"/>
      <c r="CR126" s="277"/>
      <c r="CS126" s="277"/>
      <c r="CT126" s="277"/>
      <c r="CU126" s="277"/>
      <c r="CV126" s="277"/>
      <c r="CW126" s="277"/>
      <c r="CX126" s="277"/>
      <c r="CY126" s="277"/>
      <c r="CZ126" s="277"/>
      <c r="DA126" s="277"/>
      <c r="DB126" s="277"/>
      <c r="DC126" s="277"/>
      <c r="DD126" s="277"/>
      <c r="DE126" s="277"/>
      <c r="DF126" s="277"/>
      <c r="DG126" s="277"/>
      <c r="DH126" s="277"/>
      <c r="DI126" s="277"/>
      <c r="DJ126" s="277"/>
      <c r="DK126" s="277"/>
      <c r="DL126" s="277"/>
      <c r="DM126" s="277"/>
      <c r="DN126" s="277"/>
      <c r="DO126" s="277"/>
      <c r="DP126" s="277"/>
    </row>
    <row r="127" spans="1:120">
      <c r="A127" s="405"/>
      <c r="B127" s="268" t="s">
        <v>760</v>
      </c>
      <c r="C127" s="253"/>
      <c r="D127" s="253"/>
      <c r="E127" s="253">
        <f t="shared" ref="E127:R127" si="263">E129-E128</f>
        <v>27.71232909</v>
      </c>
      <c r="F127" s="253">
        <f t="shared" si="263"/>
        <v>33.34520114</v>
      </c>
      <c r="G127" s="253">
        <f t="shared" si="263"/>
        <v>128.77974772</v>
      </c>
      <c r="H127" s="253">
        <f t="shared" si="263"/>
        <v>139.80540317</v>
      </c>
      <c r="I127" s="253">
        <f t="shared" si="263"/>
        <v>179.35463225</v>
      </c>
      <c r="J127" s="253">
        <f t="shared" si="263"/>
        <v>285.84733025</v>
      </c>
      <c r="K127" s="253">
        <f t="shared" si="263"/>
        <v>425.31414436</v>
      </c>
      <c r="L127" s="253">
        <f t="shared" si="263"/>
        <v>472.77134137</v>
      </c>
      <c r="M127" s="253">
        <f t="shared" si="263"/>
        <v>531.3193654</v>
      </c>
      <c r="N127" s="253">
        <f t="shared" si="263"/>
        <v>767.15651826</v>
      </c>
      <c r="O127" s="253">
        <f t="shared" si="263"/>
        <v>924.02553553</v>
      </c>
      <c r="P127" s="253">
        <f t="shared" si="263"/>
        <v>1063.15658914</v>
      </c>
      <c r="Q127" s="253">
        <f t="shared" si="263"/>
        <v>1814.60978006</v>
      </c>
      <c r="R127" s="253">
        <f t="shared" si="263"/>
        <v>2690.48462853</v>
      </c>
      <c r="S127" s="253">
        <f t="shared" ref="S127:U127" si="264">+S129-S128</f>
        <v>4387.01943529642</v>
      </c>
      <c r="T127" s="253">
        <f t="shared" si="264"/>
        <v>7557.04158685155</v>
      </c>
      <c r="U127" s="253">
        <f t="shared" si="264"/>
        <v>9734.45560825889</v>
      </c>
      <c r="V127" s="253">
        <f t="shared" ref="V127" si="265">+V129-V128</f>
        <v>11802.9989285959</v>
      </c>
      <c r="W127" s="303"/>
      <c r="X127" s="253"/>
      <c r="Y127" s="253"/>
      <c r="Z127" s="253"/>
      <c r="AA127" s="316"/>
      <c r="AB127" s="253"/>
      <c r="AC127" s="253"/>
      <c r="AD127" s="253"/>
      <c r="AE127" s="316"/>
      <c r="AF127" s="253"/>
      <c r="AG127" s="253"/>
      <c r="AH127" s="253"/>
      <c r="AI127" s="316"/>
      <c r="AJ127" s="253"/>
      <c r="AK127" s="253"/>
      <c r="AL127" s="253"/>
      <c r="AM127" s="316"/>
      <c r="AN127" s="253"/>
      <c r="AO127" s="253"/>
      <c r="AP127" s="253"/>
      <c r="AQ127" s="316"/>
      <c r="AR127" s="253"/>
      <c r="AS127" s="253"/>
      <c r="AT127" s="253"/>
      <c r="AU127" s="316"/>
      <c r="AV127" s="253"/>
      <c r="AW127" s="253"/>
      <c r="AX127" s="253"/>
      <c r="AY127" s="316"/>
      <c r="AZ127" s="253"/>
      <c r="BA127" s="253"/>
      <c r="BB127" s="253"/>
      <c r="BC127" s="316"/>
      <c r="BD127" s="253"/>
      <c r="BE127" s="253"/>
      <c r="BF127" s="253"/>
      <c r="BG127" s="316"/>
      <c r="BH127" s="253"/>
      <c r="BI127" s="253"/>
      <c r="BJ127" s="253"/>
      <c r="BK127" s="316"/>
      <c r="BL127" s="253"/>
      <c r="BM127" s="253"/>
      <c r="BN127" s="253"/>
      <c r="BO127" s="316"/>
      <c r="BP127" s="253"/>
      <c r="BQ127" s="253"/>
      <c r="BR127" s="253"/>
      <c r="BS127" s="316"/>
      <c r="BT127" s="253"/>
      <c r="BU127" s="253"/>
      <c r="BV127" s="253"/>
      <c r="BW127" s="253"/>
      <c r="BX127" s="253"/>
      <c r="BY127" s="253"/>
      <c r="BZ127" s="253"/>
      <c r="CA127" s="253"/>
      <c r="CB127" s="253"/>
      <c r="CC127" s="253"/>
      <c r="CD127" s="253"/>
      <c r="CE127" s="253"/>
      <c r="CF127" s="253"/>
      <c r="CG127" s="253"/>
      <c r="CH127" s="253"/>
      <c r="CI127" s="253"/>
      <c r="CJ127" s="253"/>
      <c r="CK127" s="253"/>
      <c r="CL127" s="253"/>
      <c r="CM127" s="253"/>
      <c r="CN127" s="253"/>
      <c r="CO127" s="253"/>
      <c r="CP127" s="253"/>
      <c r="CQ127" s="253"/>
      <c r="CR127" s="253"/>
      <c r="CS127" s="253"/>
      <c r="CT127" s="253"/>
      <c r="CU127" s="255"/>
      <c r="CV127" s="255"/>
      <c r="CW127" s="255"/>
      <c r="CX127" s="255"/>
      <c r="CY127" s="255"/>
      <c r="CZ127" s="255"/>
      <c r="DA127" s="255"/>
      <c r="DB127" s="255"/>
      <c r="DC127" s="255"/>
      <c r="DD127" s="255"/>
      <c r="DE127" s="255"/>
      <c r="DF127" s="255"/>
      <c r="DG127" s="255"/>
      <c r="DH127" s="255"/>
      <c r="DI127" s="255"/>
      <c r="DJ127" s="255"/>
      <c r="DK127" s="255"/>
      <c r="DL127" s="255"/>
      <c r="DM127" s="255"/>
      <c r="DN127" s="255"/>
      <c r="DO127" s="255"/>
      <c r="DP127" s="255"/>
    </row>
    <row r="128" spans="1:121">
      <c r="A128" s="405"/>
      <c r="B128" s="406" t="s">
        <v>761</v>
      </c>
      <c r="C128" s="253"/>
      <c r="D128" s="253"/>
      <c r="E128" s="253">
        <f t="shared" ref="E128:H128" si="266">+F128+E44</f>
        <v>-17.6691409</v>
      </c>
      <c r="F128" s="253">
        <f t="shared" si="266"/>
        <v>-20.4502409</v>
      </c>
      <c r="G128" s="253">
        <f t="shared" si="266"/>
        <v>-23.2551409</v>
      </c>
      <c r="H128" s="253">
        <f t="shared" si="266"/>
        <v>-28.52726469</v>
      </c>
      <c r="I128" s="253">
        <v>-40.59531892</v>
      </c>
      <c r="J128" s="253">
        <v>-64.46918422</v>
      </c>
      <c r="K128" s="253">
        <v>-111.1755315</v>
      </c>
      <c r="L128" s="253">
        <v>-164.30952882</v>
      </c>
      <c r="M128" s="253">
        <v>-195.46563268</v>
      </c>
      <c r="N128" s="253">
        <v>-244.12575062</v>
      </c>
      <c r="O128" s="253">
        <v>-315.17369711</v>
      </c>
      <c r="P128" s="253">
        <v>-402.13427331</v>
      </c>
      <c r="Q128" s="253">
        <v>-504.22169202</v>
      </c>
      <c r="R128" s="253">
        <v>-668.69875</v>
      </c>
      <c r="S128" s="253">
        <f t="shared" ref="S128:V128" si="267">+R128-S177</f>
        <v>-1033.15679709642</v>
      </c>
      <c r="T128" s="253">
        <f t="shared" si="267"/>
        <v>-1625.61860134947</v>
      </c>
      <c r="U128" s="253">
        <f t="shared" si="267"/>
        <v>-2456.01781931976</v>
      </c>
      <c r="V128" s="253">
        <f t="shared" si="267"/>
        <v>-3474.99910977124</v>
      </c>
      <c r="W128" s="303"/>
      <c r="X128" s="253"/>
      <c r="Y128" s="253"/>
      <c r="Z128" s="253"/>
      <c r="AA128" s="316"/>
      <c r="AB128" s="253"/>
      <c r="AC128" s="253"/>
      <c r="AD128" s="253"/>
      <c r="AE128" s="316"/>
      <c r="AF128" s="253"/>
      <c r="AG128" s="253"/>
      <c r="AH128" s="253"/>
      <c r="AI128" s="316"/>
      <c r="AJ128" s="253"/>
      <c r="AK128" s="253"/>
      <c r="AL128" s="253"/>
      <c r="AM128" s="316"/>
      <c r="AN128" s="253"/>
      <c r="AO128" s="253"/>
      <c r="AP128" s="253"/>
      <c r="AQ128" s="340"/>
      <c r="AR128" s="310"/>
      <c r="AS128" s="310"/>
      <c r="AT128" s="310"/>
      <c r="AU128" s="340"/>
      <c r="AV128" s="310"/>
      <c r="AW128" s="310"/>
      <c r="AX128" s="310"/>
      <c r="AY128" s="340"/>
      <c r="AZ128" s="310"/>
      <c r="BA128" s="310"/>
      <c r="BB128" s="310"/>
      <c r="BC128" s="340"/>
      <c r="BD128" s="310"/>
      <c r="BE128" s="310"/>
      <c r="BF128" s="310"/>
      <c r="BG128" s="340"/>
      <c r="BH128" s="310"/>
      <c r="BI128" s="310"/>
      <c r="BJ128" s="310"/>
      <c r="BK128" s="340"/>
      <c r="BL128" s="310"/>
      <c r="BM128" s="310"/>
      <c r="BN128" s="310"/>
      <c r="BO128" s="340"/>
      <c r="BP128" s="310"/>
      <c r="BQ128" s="310"/>
      <c r="BR128" s="310"/>
      <c r="BS128" s="340"/>
      <c r="BT128" s="310"/>
      <c r="BU128" s="310"/>
      <c r="BV128" s="310"/>
      <c r="BW128" s="310"/>
      <c r="BX128" s="310"/>
      <c r="BY128" s="310"/>
      <c r="BZ128" s="310"/>
      <c r="CA128" s="310"/>
      <c r="CB128" s="310"/>
      <c r="CC128" s="310"/>
      <c r="CD128" s="310"/>
      <c r="CE128" s="310"/>
      <c r="CF128" s="310"/>
      <c r="CG128" s="310"/>
      <c r="CH128" s="253"/>
      <c r="CI128" s="253"/>
      <c r="CJ128" s="253"/>
      <c r="CK128" s="253"/>
      <c r="CL128" s="253"/>
      <c r="CM128" s="253"/>
      <c r="CN128" s="253"/>
      <c r="CO128" s="253"/>
      <c r="CP128" s="253"/>
      <c r="CQ128" s="253"/>
      <c r="CR128" s="253"/>
      <c r="CS128" s="253"/>
      <c r="CT128" s="253"/>
      <c r="CU128" s="255"/>
      <c r="CV128" s="255"/>
      <c r="CW128" s="255"/>
      <c r="CX128" s="255"/>
      <c r="CY128" s="255"/>
      <c r="CZ128" s="255"/>
      <c r="DA128" s="255"/>
      <c r="DB128" s="255"/>
      <c r="DC128" s="255"/>
      <c r="DD128" s="255"/>
      <c r="DE128" s="255"/>
      <c r="DF128" s="255"/>
      <c r="DG128" s="255"/>
      <c r="DH128" s="255"/>
      <c r="DI128" s="255"/>
      <c r="DJ128" s="255"/>
      <c r="DK128" s="255"/>
      <c r="DL128" s="255"/>
      <c r="DM128" s="255"/>
      <c r="DN128" s="255"/>
      <c r="DO128" s="255"/>
      <c r="DP128" s="255"/>
      <c r="DQ128" s="310" t="s">
        <v>762</v>
      </c>
    </row>
    <row r="129" spans="1:120">
      <c r="A129" s="250"/>
      <c r="B129" s="257" t="s">
        <v>763</v>
      </c>
      <c r="C129" s="257"/>
      <c r="D129" s="257"/>
      <c r="E129" s="257">
        <v>10.04318819</v>
      </c>
      <c r="F129" s="257">
        <v>12.89496024</v>
      </c>
      <c r="G129" s="257">
        <v>105.52460682</v>
      </c>
      <c r="H129" s="257">
        <v>111.27813848</v>
      </c>
      <c r="I129" s="257">
        <v>138.75931333</v>
      </c>
      <c r="J129" s="257">
        <v>221.37814603</v>
      </c>
      <c r="K129" s="257">
        <v>314.13861286</v>
      </c>
      <c r="L129" s="257">
        <v>308.46181255</v>
      </c>
      <c r="M129" s="257">
        <v>335.85373272</v>
      </c>
      <c r="N129" s="257">
        <v>523.03076764</v>
      </c>
      <c r="O129" s="257">
        <v>608.85183842</v>
      </c>
      <c r="P129" s="257">
        <v>661.02231583</v>
      </c>
      <c r="Q129" s="257">
        <v>1310.38808804</v>
      </c>
      <c r="R129" s="257">
        <v>2021.78587853</v>
      </c>
      <c r="S129" s="257">
        <v>3353.8626382</v>
      </c>
      <c r="T129" s="257">
        <f t="shared" ref="T129:U129" si="268">+T179</f>
        <v>5931.42298550208</v>
      </c>
      <c r="U129" s="257">
        <f t="shared" si="268"/>
        <v>7278.43778893913</v>
      </c>
      <c r="V129" s="257">
        <f t="shared" ref="V129" si="269">+V179</f>
        <v>8327.99981882462</v>
      </c>
      <c r="W129" s="303"/>
      <c r="X129" s="251"/>
      <c r="Y129" s="251"/>
      <c r="Z129" s="251"/>
      <c r="AA129" s="315"/>
      <c r="AB129" s="251"/>
      <c r="AC129" s="251"/>
      <c r="AD129" s="251"/>
      <c r="AE129" s="315"/>
      <c r="AF129" s="251"/>
      <c r="AG129" s="251"/>
      <c r="AH129" s="251"/>
      <c r="AI129" s="315"/>
      <c r="AJ129" s="251"/>
      <c r="AK129" s="251"/>
      <c r="AL129" s="251"/>
      <c r="AM129" s="315"/>
      <c r="AN129" s="251"/>
      <c r="AO129" s="251"/>
      <c r="AP129" s="251"/>
      <c r="AQ129" s="315"/>
      <c r="AR129" s="251"/>
      <c r="AS129" s="251"/>
      <c r="AT129" s="251"/>
      <c r="AU129" s="315"/>
      <c r="AV129" s="251"/>
      <c r="AW129" s="251"/>
      <c r="AX129" s="251"/>
      <c r="AY129" s="315"/>
      <c r="AZ129" s="251"/>
      <c r="BA129" s="251"/>
      <c r="BB129" s="251"/>
      <c r="BC129" s="315"/>
      <c r="BD129" s="251"/>
      <c r="BE129" s="251"/>
      <c r="BF129" s="251"/>
      <c r="BG129" s="315"/>
      <c r="BH129" s="251"/>
      <c r="BI129" s="251"/>
      <c r="BJ129" s="251"/>
      <c r="BK129" s="315"/>
      <c r="BL129" s="251"/>
      <c r="BM129" s="251"/>
      <c r="BN129" s="251"/>
      <c r="BO129" s="315"/>
      <c r="BP129" s="251"/>
      <c r="BQ129" s="251"/>
      <c r="BR129" s="251"/>
      <c r="BS129" s="315"/>
      <c r="BT129" s="251"/>
      <c r="BU129" s="251"/>
      <c r="BV129" s="251"/>
      <c r="BW129" s="251"/>
      <c r="BX129" s="251"/>
      <c r="BY129" s="251"/>
      <c r="BZ129" s="251"/>
      <c r="CA129" s="251"/>
      <c r="CB129" s="251"/>
      <c r="CC129" s="251"/>
      <c r="CD129" s="251"/>
      <c r="CE129" s="251"/>
      <c r="CF129" s="251"/>
      <c r="CG129" s="251"/>
      <c r="CH129" s="251"/>
      <c r="CI129" s="251"/>
      <c r="CJ129" s="251"/>
      <c r="CK129" s="251"/>
      <c r="CL129" s="251"/>
      <c r="CM129" s="251"/>
      <c r="CN129" s="251"/>
      <c r="CO129" s="251"/>
      <c r="CP129" s="251"/>
      <c r="CQ129" s="251"/>
      <c r="CR129" s="251"/>
      <c r="CS129" s="251"/>
      <c r="CT129" s="251"/>
      <c r="CU129" s="251"/>
      <c r="CV129" s="251"/>
      <c r="CW129" s="251"/>
      <c r="CX129" s="251"/>
      <c r="CY129" s="251"/>
      <c r="CZ129" s="251"/>
      <c r="DA129" s="251"/>
      <c r="DB129" s="251"/>
      <c r="DC129" s="251"/>
      <c r="DD129" s="251"/>
      <c r="DE129" s="251"/>
      <c r="DF129" s="251"/>
      <c r="DG129" s="251"/>
      <c r="DH129" s="251"/>
      <c r="DI129" s="251"/>
      <c r="DJ129" s="251"/>
      <c r="DK129" s="251"/>
      <c r="DL129" s="251"/>
      <c r="DM129" s="251"/>
      <c r="DN129" s="251"/>
      <c r="DO129" s="251"/>
      <c r="DP129" s="251"/>
    </row>
    <row r="130" spans="1:120">
      <c r="A130" s="250"/>
      <c r="B130" s="268" t="s">
        <v>764</v>
      </c>
      <c r="C130" s="253"/>
      <c r="D130" s="253"/>
      <c r="E130" s="253">
        <f t="shared" ref="E130:R130" si="270">E132-E131</f>
        <v>0.38778088</v>
      </c>
      <c r="F130" s="253">
        <f t="shared" si="270"/>
        <v>0.28629652</v>
      </c>
      <c r="G130" s="253">
        <f t="shared" si="270"/>
        <v>5.7639664</v>
      </c>
      <c r="H130" s="253">
        <f t="shared" si="270"/>
        <v>6.29364029</v>
      </c>
      <c r="I130" s="253">
        <f t="shared" si="270"/>
        <v>7.57796894</v>
      </c>
      <c r="J130" s="253">
        <f t="shared" si="270"/>
        <v>7.6308792</v>
      </c>
      <c r="K130" s="253">
        <f t="shared" si="270"/>
        <v>7.73338524</v>
      </c>
      <c r="L130" s="253">
        <f t="shared" si="270"/>
        <v>10.09515214</v>
      </c>
      <c r="M130" s="253">
        <f t="shared" si="270"/>
        <v>11.02134014</v>
      </c>
      <c r="N130" s="253">
        <f t="shared" si="270"/>
        <v>11.2634222</v>
      </c>
      <c r="O130" s="253">
        <f t="shared" si="270"/>
        <v>11.91846642</v>
      </c>
      <c r="P130" s="253">
        <f t="shared" si="270"/>
        <v>195.70064501</v>
      </c>
      <c r="Q130" s="253">
        <f t="shared" si="270"/>
        <v>234.8211903</v>
      </c>
      <c r="R130" s="253">
        <f t="shared" si="270"/>
        <v>213.26865312</v>
      </c>
      <c r="S130" s="253">
        <f t="shared" ref="S130:U130" si="271">+S132-S131</f>
        <v>258.160922866128</v>
      </c>
      <c r="T130" s="253">
        <f t="shared" si="271"/>
        <v>207.7913280952</v>
      </c>
      <c r="U130" s="253">
        <f t="shared" si="271"/>
        <v>207.7913280952</v>
      </c>
      <c r="V130" s="253">
        <f t="shared" ref="V130" si="272">+V132-V131</f>
        <v>207.7913280952</v>
      </c>
      <c r="W130" s="303"/>
      <c r="X130" s="253"/>
      <c r="Y130" s="253"/>
      <c r="Z130" s="253"/>
      <c r="AA130" s="316"/>
      <c r="AB130" s="253"/>
      <c r="AC130" s="253"/>
      <c r="AD130" s="253"/>
      <c r="AE130" s="316"/>
      <c r="AF130" s="253"/>
      <c r="AG130" s="253"/>
      <c r="AH130" s="253"/>
      <c r="AI130" s="316"/>
      <c r="AJ130" s="253"/>
      <c r="AK130" s="253"/>
      <c r="AL130" s="253"/>
      <c r="AM130" s="316"/>
      <c r="AN130" s="253"/>
      <c r="AO130" s="253"/>
      <c r="AP130" s="253"/>
      <c r="AQ130" s="340"/>
      <c r="AR130" s="310"/>
      <c r="AS130" s="310"/>
      <c r="AT130" s="310"/>
      <c r="AU130" s="340"/>
      <c r="AV130" s="310"/>
      <c r="AW130" s="310"/>
      <c r="AX130" s="310"/>
      <c r="AY130" s="340"/>
      <c r="AZ130" s="310"/>
      <c r="BA130" s="310"/>
      <c r="BB130" s="310"/>
      <c r="BC130" s="340"/>
      <c r="BD130" s="310"/>
      <c r="BE130" s="310"/>
      <c r="BF130" s="310"/>
      <c r="BG130" s="340"/>
      <c r="BH130" s="310"/>
      <c r="BI130" s="310"/>
      <c r="BJ130" s="310"/>
      <c r="BK130" s="340"/>
      <c r="BL130" s="310"/>
      <c r="BM130" s="310"/>
      <c r="BN130" s="310"/>
      <c r="BO130" s="340"/>
      <c r="BP130" s="310"/>
      <c r="BQ130" s="310"/>
      <c r="BR130" s="310"/>
      <c r="BS130" s="340"/>
      <c r="BT130" s="310"/>
      <c r="BU130" s="310"/>
      <c r="BV130" s="310"/>
      <c r="BW130" s="310"/>
      <c r="BX130" s="310"/>
      <c r="BY130" s="310"/>
      <c r="BZ130" s="310"/>
      <c r="CA130" s="310"/>
      <c r="CB130" s="310"/>
      <c r="CC130" s="310"/>
      <c r="CD130" s="310"/>
      <c r="CE130" s="310"/>
      <c r="CF130" s="310"/>
      <c r="CG130" s="310"/>
      <c r="CH130" s="253"/>
      <c r="CI130" s="253"/>
      <c r="CJ130" s="253"/>
      <c r="CK130" s="253"/>
      <c r="CL130" s="253"/>
      <c r="CM130" s="253"/>
      <c r="CN130" s="253"/>
      <c r="CO130" s="253"/>
      <c r="CP130" s="253"/>
      <c r="CQ130" s="253"/>
      <c r="CR130" s="253"/>
      <c r="CS130" s="253"/>
      <c r="CT130" s="253"/>
      <c r="CU130" s="255"/>
      <c r="CV130" s="255"/>
      <c r="CW130" s="255"/>
      <c r="CX130" s="255"/>
      <c r="CY130" s="255"/>
      <c r="CZ130" s="255"/>
      <c r="DA130" s="255"/>
      <c r="DB130" s="255"/>
      <c r="DC130" s="255"/>
      <c r="DD130" s="255"/>
      <c r="DE130" s="255"/>
      <c r="DF130" s="255"/>
      <c r="DG130" s="255"/>
      <c r="DH130" s="255"/>
      <c r="DI130" s="255"/>
      <c r="DJ130" s="255"/>
      <c r="DK130" s="255"/>
      <c r="DL130" s="255"/>
      <c r="DM130" s="255"/>
      <c r="DN130" s="255"/>
      <c r="DO130" s="255"/>
      <c r="DP130" s="255"/>
    </row>
    <row r="131" spans="1:121">
      <c r="A131" s="250"/>
      <c r="B131" s="406" t="s">
        <v>161</v>
      </c>
      <c r="C131" s="253"/>
      <c r="D131" s="253"/>
      <c r="E131" s="253">
        <v>0</v>
      </c>
      <c r="F131" s="253">
        <v>0</v>
      </c>
      <c r="G131" s="253">
        <v>0</v>
      </c>
      <c r="H131" s="253">
        <v>0</v>
      </c>
      <c r="I131" s="253">
        <v>-1.42174058</v>
      </c>
      <c r="J131" s="253">
        <v>-1.83764294</v>
      </c>
      <c r="K131" s="253">
        <v>-2.25874968</v>
      </c>
      <c r="L131" s="253">
        <v>-2.93469992</v>
      </c>
      <c r="M131" s="253">
        <v>-3.80352163</v>
      </c>
      <c r="N131" s="253">
        <v>-4.66910778</v>
      </c>
      <c r="O131" s="253">
        <v>-5.59432763</v>
      </c>
      <c r="P131" s="253">
        <v>-18.53556248</v>
      </c>
      <c r="Q131" s="253">
        <v>-41.75074598</v>
      </c>
      <c r="R131" s="253">
        <v>-41.75074598</v>
      </c>
      <c r="S131" s="253">
        <f t="shared" ref="S131:V131" si="273">+R131-S185</f>
        <v>-64.996427476128</v>
      </c>
      <c r="T131" s="253">
        <f t="shared" si="273"/>
        <v>-84.9877135627981</v>
      </c>
      <c r="U131" s="253">
        <f t="shared" si="273"/>
        <v>-102.180219597334</v>
      </c>
      <c r="V131" s="253">
        <f t="shared" si="273"/>
        <v>-116.965774787036</v>
      </c>
      <c r="W131" s="303"/>
      <c r="X131" s="253"/>
      <c r="Y131" s="253"/>
      <c r="Z131" s="253"/>
      <c r="AA131" s="316"/>
      <c r="AB131" s="253"/>
      <c r="AC131" s="253"/>
      <c r="AD131" s="253"/>
      <c r="AE131" s="316"/>
      <c r="AF131" s="253"/>
      <c r="AG131" s="253"/>
      <c r="AH131" s="253"/>
      <c r="AI131" s="316"/>
      <c r="AJ131" s="253"/>
      <c r="AK131" s="253"/>
      <c r="AL131" s="253"/>
      <c r="AM131" s="316"/>
      <c r="AN131" s="253"/>
      <c r="AO131" s="253"/>
      <c r="AP131" s="253"/>
      <c r="AQ131" s="438"/>
      <c r="AR131" s="439"/>
      <c r="AS131" s="439"/>
      <c r="AT131" s="439"/>
      <c r="AU131" s="438"/>
      <c r="AV131" s="439"/>
      <c r="AW131" s="439"/>
      <c r="AX131" s="439"/>
      <c r="AY131" s="438"/>
      <c r="AZ131" s="439"/>
      <c r="BA131" s="439"/>
      <c r="BB131" s="439"/>
      <c r="BC131" s="438"/>
      <c r="BD131" s="439"/>
      <c r="BE131" s="439"/>
      <c r="BF131" s="439"/>
      <c r="BG131" s="438"/>
      <c r="BH131" s="439"/>
      <c r="BI131" s="439"/>
      <c r="BJ131" s="439"/>
      <c r="BK131" s="438"/>
      <c r="BL131" s="439"/>
      <c r="BM131" s="439"/>
      <c r="BN131" s="439"/>
      <c r="BO131" s="438"/>
      <c r="BP131" s="439"/>
      <c r="BQ131" s="439"/>
      <c r="BR131" s="439"/>
      <c r="BS131" s="438"/>
      <c r="BT131" s="439"/>
      <c r="BU131" s="439"/>
      <c r="BV131" s="439"/>
      <c r="BW131" s="439"/>
      <c r="BX131" s="439"/>
      <c r="BY131" s="439"/>
      <c r="BZ131" s="439"/>
      <c r="CA131" s="439"/>
      <c r="CB131" s="439"/>
      <c r="CC131" s="439"/>
      <c r="CD131" s="439"/>
      <c r="CE131" s="439"/>
      <c r="CF131" s="439"/>
      <c r="CG131" s="439"/>
      <c r="CH131" s="253"/>
      <c r="CI131" s="253"/>
      <c r="CJ131" s="253"/>
      <c r="CK131" s="253"/>
      <c r="CL131" s="253"/>
      <c r="CM131" s="253"/>
      <c r="CN131" s="253"/>
      <c r="CO131" s="253"/>
      <c r="CP131" s="253"/>
      <c r="CQ131" s="253"/>
      <c r="CR131" s="253"/>
      <c r="CS131" s="253"/>
      <c r="CT131" s="253"/>
      <c r="CU131" s="255"/>
      <c r="CV131" s="255"/>
      <c r="CW131" s="255"/>
      <c r="CX131" s="255"/>
      <c r="CY131" s="255"/>
      <c r="CZ131" s="255"/>
      <c r="DA131" s="255"/>
      <c r="DB131" s="255"/>
      <c r="DC131" s="255"/>
      <c r="DD131" s="255"/>
      <c r="DE131" s="255"/>
      <c r="DF131" s="255"/>
      <c r="DG131" s="255"/>
      <c r="DH131" s="255"/>
      <c r="DI131" s="255"/>
      <c r="DJ131" s="255"/>
      <c r="DK131" s="255"/>
      <c r="DL131" s="255"/>
      <c r="DM131" s="255"/>
      <c r="DN131" s="255"/>
      <c r="DO131" s="255"/>
      <c r="DP131" s="255"/>
      <c r="DQ131" s="310" t="s">
        <v>762</v>
      </c>
    </row>
    <row r="132" spans="1:120">
      <c r="A132" s="250"/>
      <c r="B132" s="257" t="s">
        <v>765</v>
      </c>
      <c r="C132" s="257"/>
      <c r="D132" s="257"/>
      <c r="E132" s="257">
        <v>0.38778088</v>
      </c>
      <c r="F132" s="257">
        <v>0.28629652</v>
      </c>
      <c r="G132" s="257">
        <v>5.7639664</v>
      </c>
      <c r="H132" s="257">
        <v>6.29364029</v>
      </c>
      <c r="I132" s="257">
        <v>6.15622836</v>
      </c>
      <c r="J132" s="257">
        <v>5.79323626</v>
      </c>
      <c r="K132" s="257">
        <v>5.47463556</v>
      </c>
      <c r="L132" s="257">
        <v>7.16045222</v>
      </c>
      <c r="M132" s="257">
        <v>7.21781851</v>
      </c>
      <c r="N132" s="257">
        <v>6.59431442</v>
      </c>
      <c r="O132" s="257">
        <v>6.32413879</v>
      </c>
      <c r="P132" s="257">
        <v>177.16508253</v>
      </c>
      <c r="Q132" s="257">
        <v>193.07044432</v>
      </c>
      <c r="R132" s="257">
        <v>171.51790714</v>
      </c>
      <c r="S132" s="257">
        <v>193.16449539</v>
      </c>
      <c r="T132" s="257">
        <f t="shared" ref="T132:U132" si="274">+T187</f>
        <v>122.803614532402</v>
      </c>
      <c r="U132" s="257">
        <f t="shared" si="274"/>
        <v>105.611108497866</v>
      </c>
      <c r="V132" s="257">
        <f t="shared" ref="V132" si="275">+V187</f>
        <v>90.8255533081644</v>
      </c>
      <c r="W132" s="303"/>
      <c r="X132" s="251"/>
      <c r="Y132" s="251"/>
      <c r="Z132" s="251"/>
      <c r="AA132" s="315"/>
      <c r="AB132" s="251"/>
      <c r="AC132" s="251"/>
      <c r="AD132" s="251"/>
      <c r="AE132" s="315"/>
      <c r="AF132" s="251"/>
      <c r="AG132" s="251"/>
      <c r="AH132" s="251"/>
      <c r="AI132" s="315"/>
      <c r="AJ132" s="251"/>
      <c r="AK132" s="251"/>
      <c r="AL132" s="251"/>
      <c r="AM132" s="315"/>
      <c r="AN132" s="251"/>
      <c r="AO132" s="251"/>
      <c r="AP132" s="251"/>
      <c r="AQ132" s="315"/>
      <c r="AR132" s="251"/>
      <c r="AS132" s="251"/>
      <c r="AT132" s="251"/>
      <c r="AU132" s="315"/>
      <c r="AV132" s="251"/>
      <c r="AW132" s="251"/>
      <c r="AX132" s="251"/>
      <c r="AY132" s="315"/>
      <c r="AZ132" s="251"/>
      <c r="BA132" s="251"/>
      <c r="BB132" s="251"/>
      <c r="BC132" s="315"/>
      <c r="BD132" s="251"/>
      <c r="BE132" s="251"/>
      <c r="BF132" s="251"/>
      <c r="BG132" s="315"/>
      <c r="BH132" s="251"/>
      <c r="BI132" s="251"/>
      <c r="BJ132" s="251"/>
      <c r="BK132" s="315"/>
      <c r="BL132" s="251"/>
      <c r="BM132" s="251"/>
      <c r="BN132" s="251"/>
      <c r="BO132" s="315"/>
      <c r="BP132" s="251"/>
      <c r="BQ132" s="251"/>
      <c r="BR132" s="251"/>
      <c r="BS132" s="315"/>
      <c r="BT132" s="251"/>
      <c r="BU132" s="251"/>
      <c r="BV132" s="251"/>
      <c r="BW132" s="251"/>
      <c r="BX132" s="251"/>
      <c r="BY132" s="251"/>
      <c r="BZ132" s="251"/>
      <c r="CA132" s="251"/>
      <c r="CB132" s="251"/>
      <c r="CC132" s="251"/>
      <c r="CD132" s="251"/>
      <c r="CE132" s="251"/>
      <c r="CF132" s="251"/>
      <c r="CG132" s="251"/>
      <c r="CH132" s="251"/>
      <c r="CI132" s="251"/>
      <c r="CJ132" s="251"/>
      <c r="CK132" s="251"/>
      <c r="CL132" s="251"/>
      <c r="CM132" s="251"/>
      <c r="CN132" s="251"/>
      <c r="CO132" s="251"/>
      <c r="CP132" s="251"/>
      <c r="CQ132" s="251"/>
      <c r="CR132" s="251"/>
      <c r="CS132" s="251"/>
      <c r="CT132" s="251"/>
      <c r="CU132" s="251"/>
      <c r="CV132" s="251"/>
      <c r="CW132" s="251"/>
      <c r="CX132" s="251"/>
      <c r="CY132" s="251"/>
      <c r="CZ132" s="251"/>
      <c r="DA132" s="251"/>
      <c r="DB132" s="251"/>
      <c r="DC132" s="251"/>
      <c r="DD132" s="251"/>
      <c r="DE132" s="251"/>
      <c r="DF132" s="251"/>
      <c r="DG132" s="251"/>
      <c r="DH132" s="251"/>
      <c r="DI132" s="251"/>
      <c r="DJ132" s="251"/>
      <c r="DK132" s="251"/>
      <c r="DL132" s="251"/>
      <c r="DM132" s="251"/>
      <c r="DN132" s="251"/>
      <c r="DO132" s="251"/>
      <c r="DP132" s="251"/>
    </row>
    <row r="133" spans="1:120">
      <c r="A133" s="250"/>
      <c r="B133" s="253" t="s">
        <v>766</v>
      </c>
      <c r="C133" s="253"/>
      <c r="D133" s="253"/>
      <c r="E133" s="253">
        <v>0</v>
      </c>
      <c r="F133" s="253">
        <v>0</v>
      </c>
      <c r="G133" s="253">
        <v>0</v>
      </c>
      <c r="H133" s="253">
        <v>0</v>
      </c>
      <c r="I133" s="253">
        <v>0</v>
      </c>
      <c r="J133" s="253">
        <v>30</v>
      </c>
      <c r="K133" s="253">
        <v>49.6026</v>
      </c>
      <c r="L133" s="253">
        <v>74.1627011</v>
      </c>
      <c r="M133" s="253">
        <v>42.65011546</v>
      </c>
      <c r="N133" s="253">
        <v>43.5987468</v>
      </c>
      <c r="O133" s="253">
        <v>40.55856287</v>
      </c>
      <c r="P133" s="253">
        <v>0</v>
      </c>
      <c r="Q133" s="253">
        <v>0</v>
      </c>
      <c r="R133" s="253">
        <v>0</v>
      </c>
      <c r="S133" s="253">
        <f t="shared" ref="S133:V134" si="276">+R133</f>
        <v>0</v>
      </c>
      <c r="T133" s="298">
        <f t="shared" si="276"/>
        <v>0</v>
      </c>
      <c r="U133" s="298">
        <f t="shared" si="276"/>
        <v>0</v>
      </c>
      <c r="V133" s="298">
        <f t="shared" si="276"/>
        <v>0</v>
      </c>
      <c r="W133" s="303"/>
      <c r="X133" s="253"/>
      <c r="Y133" s="253"/>
      <c r="Z133" s="253"/>
      <c r="AA133" s="316"/>
      <c r="AB133" s="253"/>
      <c r="AC133" s="253"/>
      <c r="AD133" s="253"/>
      <c r="AE133" s="316"/>
      <c r="AF133" s="253"/>
      <c r="AG133" s="253"/>
      <c r="AH133" s="253"/>
      <c r="AI133" s="316"/>
      <c r="AJ133" s="253"/>
      <c r="AK133" s="253"/>
      <c r="AL133" s="253"/>
      <c r="AM133" s="316"/>
      <c r="AN133" s="253"/>
      <c r="AO133" s="253"/>
      <c r="AP133" s="253"/>
      <c r="AQ133" s="340"/>
      <c r="AR133" s="310"/>
      <c r="AS133" s="310"/>
      <c r="AT133" s="310"/>
      <c r="AU133" s="340"/>
      <c r="AV133" s="310"/>
      <c r="AW133" s="310"/>
      <c r="AX133" s="310"/>
      <c r="AY133" s="340"/>
      <c r="AZ133" s="310"/>
      <c r="BA133" s="310"/>
      <c r="BB133" s="310"/>
      <c r="BC133" s="340"/>
      <c r="BD133" s="310"/>
      <c r="BE133" s="310"/>
      <c r="BF133" s="310"/>
      <c r="BG133" s="340"/>
      <c r="BH133" s="310"/>
      <c r="BI133" s="310"/>
      <c r="BJ133" s="310"/>
      <c r="BK133" s="340"/>
      <c r="BL133" s="310"/>
      <c r="BM133" s="310"/>
      <c r="BN133" s="310"/>
      <c r="BO133" s="340"/>
      <c r="BP133" s="310"/>
      <c r="BQ133" s="310"/>
      <c r="BR133" s="310"/>
      <c r="BS133" s="340"/>
      <c r="BT133" s="310"/>
      <c r="BU133" s="310"/>
      <c r="BV133" s="310"/>
      <c r="BW133" s="310"/>
      <c r="BX133" s="310"/>
      <c r="BY133" s="310"/>
      <c r="BZ133" s="310"/>
      <c r="CA133" s="310"/>
      <c r="CB133" s="310"/>
      <c r="CC133" s="310"/>
      <c r="CD133" s="310"/>
      <c r="CE133" s="310"/>
      <c r="CF133" s="310"/>
      <c r="CG133" s="310"/>
      <c r="CH133" s="253"/>
      <c r="CI133" s="253"/>
      <c r="CJ133" s="253"/>
      <c r="CK133" s="253"/>
      <c r="CL133" s="253"/>
      <c r="CM133" s="253"/>
      <c r="CN133" s="253"/>
      <c r="CO133" s="253"/>
      <c r="CP133" s="253"/>
      <c r="CQ133" s="253"/>
      <c r="CR133" s="253"/>
      <c r="CS133" s="253"/>
      <c r="CT133" s="253"/>
      <c r="CU133" s="255"/>
      <c r="CV133" s="255"/>
      <c r="CW133" s="255"/>
      <c r="CX133" s="255"/>
      <c r="CY133" s="255"/>
      <c r="CZ133" s="255"/>
      <c r="DA133" s="255"/>
      <c r="DB133" s="255"/>
      <c r="DC133" s="255"/>
      <c r="DD133" s="255"/>
      <c r="DE133" s="255"/>
      <c r="DF133" s="255"/>
      <c r="DG133" s="255"/>
      <c r="DH133" s="255"/>
      <c r="DI133" s="255"/>
      <c r="DJ133" s="255"/>
      <c r="DK133" s="255"/>
      <c r="DL133" s="255"/>
      <c r="DM133" s="255"/>
      <c r="DN133" s="255"/>
      <c r="DO133" s="255"/>
      <c r="DP133" s="255"/>
    </row>
    <row r="134" spans="1:120">
      <c r="A134" s="250"/>
      <c r="B134" s="253" t="s">
        <v>169</v>
      </c>
      <c r="C134" s="253"/>
      <c r="D134" s="253"/>
      <c r="E134" s="253">
        <f t="shared" ref="E134:S134" si="277">+E135-E129-E132-E133</f>
        <v>1.67899458</v>
      </c>
      <c r="F134" s="253">
        <f t="shared" si="277"/>
        <v>35.10478297</v>
      </c>
      <c r="G134" s="253">
        <f t="shared" si="277"/>
        <v>9.50351340000002</v>
      </c>
      <c r="H134" s="253">
        <f t="shared" si="277"/>
        <v>18.22724731</v>
      </c>
      <c r="I134" s="253">
        <f t="shared" si="277"/>
        <v>19.085089</v>
      </c>
      <c r="J134" s="253">
        <f t="shared" si="277"/>
        <v>32.04945083</v>
      </c>
      <c r="K134" s="253">
        <f t="shared" si="277"/>
        <v>16.1912932299999</v>
      </c>
      <c r="L134" s="253">
        <f t="shared" si="277"/>
        <v>25.3305095400001</v>
      </c>
      <c r="M134" s="253">
        <f t="shared" si="277"/>
        <v>108.43698753</v>
      </c>
      <c r="N134" s="253">
        <f t="shared" si="277"/>
        <v>136.59441901</v>
      </c>
      <c r="O134" s="253">
        <f t="shared" si="277"/>
        <v>284.3510324</v>
      </c>
      <c r="P134" s="253">
        <f t="shared" si="277"/>
        <v>832.50803788</v>
      </c>
      <c r="Q134" s="253">
        <f t="shared" si="277"/>
        <v>601.11139921</v>
      </c>
      <c r="R134" s="253">
        <f t="shared" si="277"/>
        <v>1147.81046129</v>
      </c>
      <c r="S134" s="253">
        <f t="shared" si="277"/>
        <v>1818.05235824</v>
      </c>
      <c r="T134" s="298">
        <f t="shared" si="276"/>
        <v>1818.05235824</v>
      </c>
      <c r="U134" s="298">
        <f t="shared" si="276"/>
        <v>1818.05235824</v>
      </c>
      <c r="V134" s="298">
        <f t="shared" si="276"/>
        <v>1818.05235824</v>
      </c>
      <c r="W134" s="303"/>
      <c r="X134" s="253"/>
      <c r="Y134" s="253"/>
      <c r="Z134" s="253"/>
      <c r="AA134" s="316"/>
      <c r="AB134" s="253"/>
      <c r="AC134" s="253"/>
      <c r="AD134" s="253"/>
      <c r="AE134" s="316"/>
      <c r="AF134" s="253"/>
      <c r="AG134" s="253"/>
      <c r="AH134" s="253"/>
      <c r="AI134" s="316"/>
      <c r="AJ134" s="253"/>
      <c r="AK134" s="253"/>
      <c r="AL134" s="253"/>
      <c r="AM134" s="316"/>
      <c r="AN134" s="253"/>
      <c r="AO134" s="253"/>
      <c r="AP134" s="253"/>
      <c r="AQ134" s="440"/>
      <c r="AR134" s="441"/>
      <c r="AS134" s="441"/>
      <c r="AT134" s="441"/>
      <c r="AU134" s="440"/>
      <c r="AV134" s="441"/>
      <c r="AW134" s="441"/>
      <c r="AX134" s="441"/>
      <c r="AY134" s="440"/>
      <c r="AZ134" s="441"/>
      <c r="BA134" s="441"/>
      <c r="BB134" s="441"/>
      <c r="BC134" s="440"/>
      <c r="BD134" s="441"/>
      <c r="BE134" s="441"/>
      <c r="BF134" s="441"/>
      <c r="BG134" s="440"/>
      <c r="BH134" s="441"/>
      <c r="BI134" s="441"/>
      <c r="BJ134" s="441"/>
      <c r="BK134" s="440"/>
      <c r="BL134" s="441"/>
      <c r="BM134" s="441"/>
      <c r="BN134" s="441"/>
      <c r="BO134" s="440"/>
      <c r="BP134" s="441"/>
      <c r="BQ134" s="441"/>
      <c r="BR134" s="441"/>
      <c r="BS134" s="440"/>
      <c r="BT134" s="441"/>
      <c r="BU134" s="441"/>
      <c r="BV134" s="441"/>
      <c r="BW134" s="441"/>
      <c r="BX134" s="441"/>
      <c r="BY134" s="441"/>
      <c r="BZ134" s="441"/>
      <c r="CA134" s="441"/>
      <c r="CB134" s="441"/>
      <c r="CC134" s="441"/>
      <c r="CD134" s="441"/>
      <c r="CE134" s="441"/>
      <c r="CF134" s="441"/>
      <c r="CG134" s="441"/>
      <c r="CH134" s="253"/>
      <c r="CI134" s="253"/>
      <c r="CJ134" s="253"/>
      <c r="CK134" s="253"/>
      <c r="CL134" s="253"/>
      <c r="CM134" s="253"/>
      <c r="CN134" s="253"/>
      <c r="CO134" s="253"/>
      <c r="CP134" s="253"/>
      <c r="CQ134" s="253"/>
      <c r="CR134" s="253"/>
      <c r="CS134" s="253"/>
      <c r="CT134" s="253"/>
      <c r="CU134" s="255"/>
      <c r="CV134" s="255"/>
      <c r="CW134" s="255"/>
      <c r="CX134" s="255"/>
      <c r="CY134" s="255"/>
      <c r="CZ134" s="255"/>
      <c r="DA134" s="255"/>
      <c r="DB134" s="255"/>
      <c r="DC134" s="255"/>
      <c r="DD134" s="255"/>
      <c r="DE134" s="255"/>
      <c r="DF134" s="255"/>
      <c r="DG134" s="255"/>
      <c r="DH134" s="255"/>
      <c r="DI134" s="255"/>
      <c r="DJ134" s="255"/>
      <c r="DK134" s="255"/>
      <c r="DL134" s="255"/>
      <c r="DM134" s="255"/>
      <c r="DN134" s="255"/>
      <c r="DO134" s="255"/>
      <c r="DP134" s="255"/>
    </row>
    <row r="135" spans="1:120">
      <c r="A135" s="250"/>
      <c r="B135" s="251" t="s">
        <v>767</v>
      </c>
      <c r="C135" s="251"/>
      <c r="D135" s="251"/>
      <c r="E135" s="251">
        <v>12.10996365</v>
      </c>
      <c r="F135" s="251">
        <v>48.28603973</v>
      </c>
      <c r="G135" s="251">
        <v>120.79208662</v>
      </c>
      <c r="H135" s="251">
        <v>135.79902608</v>
      </c>
      <c r="I135" s="251">
        <v>164.00063069</v>
      </c>
      <c r="J135" s="251">
        <v>289.22083312</v>
      </c>
      <c r="K135" s="251">
        <v>385.40714165</v>
      </c>
      <c r="L135" s="251">
        <v>415.11547541</v>
      </c>
      <c r="M135" s="251">
        <v>494.15865422</v>
      </c>
      <c r="N135" s="251">
        <v>709.81824787</v>
      </c>
      <c r="O135" s="251">
        <v>940.08557248</v>
      </c>
      <c r="P135" s="251">
        <v>1670.69543624</v>
      </c>
      <c r="Q135" s="251">
        <v>2104.56993157</v>
      </c>
      <c r="R135" s="251">
        <v>3341.11424696</v>
      </c>
      <c r="S135" s="251">
        <v>5365.07949183</v>
      </c>
      <c r="T135" s="251">
        <f t="shared" ref="T135:U135" si="278">+T129+T132+T133+T134</f>
        <v>7872.27895827448</v>
      </c>
      <c r="U135" s="251">
        <f t="shared" si="278"/>
        <v>9202.10125567699</v>
      </c>
      <c r="V135" s="251">
        <f t="shared" ref="V135" si="279">+V129+V132+V133+V134</f>
        <v>10236.8777303728</v>
      </c>
      <c r="W135" s="303"/>
      <c r="X135" s="251"/>
      <c r="Y135" s="251"/>
      <c r="Z135" s="251"/>
      <c r="AA135" s="315"/>
      <c r="AB135" s="251"/>
      <c r="AC135" s="251"/>
      <c r="AD135" s="251"/>
      <c r="AE135" s="315"/>
      <c r="AF135" s="251"/>
      <c r="AG135" s="251"/>
      <c r="AH135" s="251"/>
      <c r="AI135" s="315"/>
      <c r="AJ135" s="251"/>
      <c r="AK135" s="251"/>
      <c r="AL135" s="251"/>
      <c r="AM135" s="315"/>
      <c r="AN135" s="251"/>
      <c r="AO135" s="251"/>
      <c r="AP135" s="251"/>
      <c r="AQ135" s="440"/>
      <c r="AR135" s="441"/>
      <c r="AS135" s="441"/>
      <c r="AT135" s="441"/>
      <c r="AU135" s="440"/>
      <c r="AV135" s="441"/>
      <c r="AW135" s="441"/>
      <c r="AX135" s="441"/>
      <c r="AY135" s="440"/>
      <c r="AZ135" s="441"/>
      <c r="BA135" s="441"/>
      <c r="BB135" s="441"/>
      <c r="BC135" s="440"/>
      <c r="BD135" s="441"/>
      <c r="BE135" s="441"/>
      <c r="BF135" s="441"/>
      <c r="BG135" s="440"/>
      <c r="BH135" s="441"/>
      <c r="BI135" s="441"/>
      <c r="BJ135" s="441"/>
      <c r="BK135" s="440"/>
      <c r="BL135" s="441"/>
      <c r="BM135" s="441"/>
      <c r="BN135" s="441"/>
      <c r="BO135" s="440"/>
      <c r="BP135" s="441"/>
      <c r="BQ135" s="441"/>
      <c r="BR135" s="441"/>
      <c r="BS135" s="440"/>
      <c r="BT135" s="441"/>
      <c r="BU135" s="441"/>
      <c r="BV135" s="441"/>
      <c r="BW135" s="441"/>
      <c r="BX135" s="441"/>
      <c r="BY135" s="441"/>
      <c r="BZ135" s="441"/>
      <c r="CA135" s="441"/>
      <c r="CB135" s="441"/>
      <c r="CC135" s="441"/>
      <c r="CD135" s="441"/>
      <c r="CE135" s="441"/>
      <c r="CF135" s="441"/>
      <c r="CG135" s="441"/>
      <c r="CH135" s="253"/>
      <c r="CI135" s="253"/>
      <c r="CJ135" s="253"/>
      <c r="CK135" s="253"/>
      <c r="CL135" s="253"/>
      <c r="CM135" s="253"/>
      <c r="CN135" s="253"/>
      <c r="CO135" s="253"/>
      <c r="CP135" s="253"/>
      <c r="CQ135" s="253"/>
      <c r="CR135" s="253"/>
      <c r="CS135" s="253"/>
      <c r="CT135" s="253"/>
      <c r="CU135" s="255"/>
      <c r="CV135" s="255"/>
      <c r="CW135" s="255"/>
      <c r="CX135" s="255"/>
      <c r="CY135" s="255"/>
      <c r="CZ135" s="255"/>
      <c r="DA135" s="255"/>
      <c r="DB135" s="255"/>
      <c r="DC135" s="255"/>
      <c r="DD135" s="255"/>
      <c r="DE135" s="255"/>
      <c r="DF135" s="255"/>
      <c r="DG135" s="255"/>
      <c r="DH135" s="255"/>
      <c r="DI135" s="255"/>
      <c r="DJ135" s="255"/>
      <c r="DK135" s="255"/>
      <c r="DL135" s="255"/>
      <c r="DM135" s="255"/>
      <c r="DN135" s="255"/>
      <c r="DO135" s="255"/>
      <c r="DP135" s="255"/>
    </row>
    <row r="136" spans="1:120">
      <c r="A136" s="265"/>
      <c r="B136" s="257" t="s">
        <v>171</v>
      </c>
      <c r="C136" s="257"/>
      <c r="D136" s="257"/>
      <c r="E136" s="257">
        <v>283.62288112</v>
      </c>
      <c r="F136" s="257">
        <v>326.04711634</v>
      </c>
      <c r="G136" s="257">
        <v>456.57085869</v>
      </c>
      <c r="H136" s="257">
        <v>558.34088905</v>
      </c>
      <c r="I136" s="257">
        <v>688.0028418</v>
      </c>
      <c r="J136" s="257">
        <v>1197.33406459</v>
      </c>
      <c r="K136" s="257">
        <v>1402.35849157</v>
      </c>
      <c r="L136" s="257">
        <v>1379.53472778</v>
      </c>
      <c r="M136" s="257">
        <v>1665.18256813</v>
      </c>
      <c r="N136" s="257">
        <v>4217.11564285</v>
      </c>
      <c r="O136" s="257">
        <v>4864.23476302</v>
      </c>
      <c r="P136" s="257">
        <v>5876.06149629</v>
      </c>
      <c r="Q136" s="257">
        <v>6439.98356034</v>
      </c>
      <c r="R136" s="257">
        <v>12266.54985389</v>
      </c>
      <c r="S136" s="257">
        <v>25881.07117647</v>
      </c>
      <c r="T136" s="257">
        <f t="shared" ref="T136:U136" si="280">+T125+T135</f>
        <v>50880.3597070363</v>
      </c>
      <c r="U136" s="257">
        <f t="shared" si="280"/>
        <v>78941.2390726915</v>
      </c>
      <c r="V136" s="257">
        <f t="shared" ref="V136" si="281">+V125+V135</f>
        <v>106764.812602769</v>
      </c>
      <c r="W136" s="303"/>
      <c r="X136" s="251"/>
      <c r="Y136" s="251"/>
      <c r="Z136" s="251"/>
      <c r="AA136" s="315"/>
      <c r="AB136" s="251"/>
      <c r="AC136" s="251"/>
      <c r="AD136" s="251"/>
      <c r="AE136" s="315"/>
      <c r="AF136" s="251"/>
      <c r="AG136" s="251"/>
      <c r="AH136" s="251"/>
      <c r="AI136" s="315"/>
      <c r="AJ136" s="251"/>
      <c r="AK136" s="251"/>
      <c r="AL136" s="251"/>
      <c r="AM136" s="315"/>
      <c r="AN136" s="251"/>
      <c r="AO136" s="251"/>
      <c r="AP136" s="251"/>
      <c r="AQ136" s="315"/>
      <c r="AR136" s="251"/>
      <c r="AS136" s="251"/>
      <c r="AT136" s="251"/>
      <c r="AU136" s="315"/>
      <c r="AV136" s="251"/>
      <c r="AW136" s="251"/>
      <c r="AX136" s="251"/>
      <c r="AY136" s="315"/>
      <c r="AZ136" s="251"/>
      <c r="BA136" s="251"/>
      <c r="BB136" s="251"/>
      <c r="BC136" s="315"/>
      <c r="BD136" s="251"/>
      <c r="BE136" s="251"/>
      <c r="BF136" s="251"/>
      <c r="BG136" s="315"/>
      <c r="BH136" s="251"/>
      <c r="BI136" s="251"/>
      <c r="BJ136" s="251"/>
      <c r="BK136" s="315"/>
      <c r="BL136" s="251"/>
      <c r="BM136" s="251"/>
      <c r="BN136" s="251"/>
      <c r="BO136" s="315"/>
      <c r="BP136" s="251"/>
      <c r="BQ136" s="251"/>
      <c r="BR136" s="251"/>
      <c r="BS136" s="315"/>
      <c r="BT136" s="251"/>
      <c r="BU136" s="251"/>
      <c r="BV136" s="251"/>
      <c r="BW136" s="251"/>
      <c r="BX136" s="251"/>
      <c r="BY136" s="251"/>
      <c r="BZ136" s="251"/>
      <c r="CA136" s="251"/>
      <c r="CB136" s="251"/>
      <c r="CC136" s="251"/>
      <c r="CD136" s="251"/>
      <c r="CE136" s="251"/>
      <c r="CF136" s="251"/>
      <c r="CG136" s="251"/>
      <c r="CH136" s="251"/>
      <c r="CI136" s="251"/>
      <c r="CJ136" s="251"/>
      <c r="CK136" s="251"/>
      <c r="CL136" s="251"/>
      <c r="CM136" s="251"/>
      <c r="CN136" s="251"/>
      <c r="CO136" s="251"/>
      <c r="CP136" s="251"/>
      <c r="CQ136" s="251"/>
      <c r="CR136" s="251"/>
      <c r="CS136" s="251"/>
      <c r="CT136" s="251"/>
      <c r="CU136" s="251"/>
      <c r="CV136" s="251"/>
      <c r="CW136" s="251"/>
      <c r="CX136" s="251"/>
      <c r="CY136" s="251"/>
      <c r="CZ136" s="251"/>
      <c r="DA136" s="251"/>
      <c r="DB136" s="251"/>
      <c r="DC136" s="251"/>
      <c r="DD136" s="251"/>
      <c r="DE136" s="251"/>
      <c r="DF136" s="251"/>
      <c r="DG136" s="251"/>
      <c r="DH136" s="251"/>
      <c r="DI136" s="251"/>
      <c r="DJ136" s="251"/>
      <c r="DK136" s="251"/>
      <c r="DL136" s="251"/>
      <c r="DM136" s="251"/>
      <c r="DN136" s="251"/>
      <c r="DO136" s="251"/>
      <c r="DP136" s="251"/>
    </row>
    <row r="137" spans="1:120">
      <c r="A137" s="250"/>
      <c r="B137" s="256" t="s">
        <v>768</v>
      </c>
      <c r="C137" s="253"/>
      <c r="D137" s="253"/>
      <c r="E137" s="253"/>
      <c r="F137" s="253"/>
      <c r="G137" s="253"/>
      <c r="H137" s="253"/>
      <c r="I137" s="253"/>
      <c r="J137" s="253"/>
      <c r="K137" s="253"/>
      <c r="L137" s="253"/>
      <c r="M137" s="253"/>
      <c r="N137" s="253"/>
      <c r="O137" s="253"/>
      <c r="P137" s="253"/>
      <c r="Q137" s="253"/>
      <c r="R137" s="253"/>
      <c r="S137" s="253"/>
      <c r="T137" s="430"/>
      <c r="U137" s="430"/>
      <c r="V137" s="430"/>
      <c r="W137" s="303"/>
      <c r="X137" s="253"/>
      <c r="Y137" s="253"/>
      <c r="Z137" s="253"/>
      <c r="AA137" s="316"/>
      <c r="AB137" s="253"/>
      <c r="AC137" s="253"/>
      <c r="AD137" s="253"/>
      <c r="AE137" s="316"/>
      <c r="AF137" s="253"/>
      <c r="AG137" s="253"/>
      <c r="AH137" s="253"/>
      <c r="AI137" s="316"/>
      <c r="AJ137" s="253"/>
      <c r="AK137" s="253"/>
      <c r="AL137" s="253"/>
      <c r="AM137" s="316"/>
      <c r="AN137" s="253"/>
      <c r="AO137" s="253"/>
      <c r="AP137" s="253"/>
      <c r="AQ137" s="337"/>
      <c r="AR137" s="303"/>
      <c r="AS137" s="303"/>
      <c r="AT137" s="303"/>
      <c r="AU137" s="337"/>
      <c r="AV137" s="303"/>
      <c r="AW137" s="303"/>
      <c r="AX137" s="303"/>
      <c r="AY137" s="337"/>
      <c r="AZ137" s="303"/>
      <c r="BA137" s="303"/>
      <c r="BB137" s="303"/>
      <c r="BC137" s="337"/>
      <c r="BD137" s="303"/>
      <c r="BE137" s="303"/>
      <c r="BF137" s="303"/>
      <c r="BG137" s="337"/>
      <c r="BH137" s="303"/>
      <c r="BI137" s="303"/>
      <c r="BJ137" s="303"/>
      <c r="BK137" s="337"/>
      <c r="BL137" s="303"/>
      <c r="BM137" s="303"/>
      <c r="BN137" s="303"/>
      <c r="BO137" s="337"/>
      <c r="BP137" s="303"/>
      <c r="BQ137" s="303"/>
      <c r="BR137" s="303"/>
      <c r="BS137" s="337"/>
      <c r="BT137" s="303"/>
      <c r="BU137" s="303"/>
      <c r="BV137" s="303"/>
      <c r="BW137" s="303"/>
      <c r="BX137" s="303"/>
      <c r="BY137" s="303"/>
      <c r="BZ137" s="303"/>
      <c r="CA137" s="303"/>
      <c r="CB137" s="303"/>
      <c r="CC137" s="303"/>
      <c r="CD137" s="303"/>
      <c r="CE137" s="303"/>
      <c r="CF137" s="303"/>
      <c r="CG137" s="303"/>
      <c r="CH137" s="430"/>
      <c r="CI137" s="430"/>
      <c r="CJ137" s="430"/>
      <c r="CK137" s="430"/>
      <c r="CL137" s="430"/>
      <c r="CM137" s="430"/>
      <c r="CN137" s="430"/>
      <c r="CO137" s="430"/>
      <c r="CP137" s="430"/>
      <c r="CQ137" s="430"/>
      <c r="CR137" s="430"/>
      <c r="CS137" s="430"/>
      <c r="CT137" s="430"/>
      <c r="CU137" s="430"/>
      <c r="CV137" s="430"/>
      <c r="CW137" s="430"/>
      <c r="CX137" s="430"/>
      <c r="CY137" s="430"/>
      <c r="CZ137" s="430"/>
      <c r="DA137" s="430"/>
      <c r="DB137" s="430"/>
      <c r="DC137" s="430"/>
      <c r="DD137" s="430"/>
      <c r="DE137" s="430"/>
      <c r="DF137" s="430"/>
      <c r="DG137" s="430"/>
      <c r="DH137" s="430"/>
      <c r="DI137" s="430"/>
      <c r="DJ137" s="430"/>
      <c r="DK137" s="430"/>
      <c r="DL137" s="430"/>
      <c r="DM137" s="430"/>
      <c r="DN137" s="430"/>
      <c r="DO137" s="430"/>
      <c r="DP137" s="430"/>
    </row>
    <row r="138" spans="1:120">
      <c r="A138" s="250"/>
      <c r="B138" s="253" t="s">
        <v>173</v>
      </c>
      <c r="C138" s="253"/>
      <c r="D138" s="253"/>
      <c r="E138" s="253">
        <v>54.29681295</v>
      </c>
      <c r="F138" s="253">
        <v>46.50863049</v>
      </c>
      <c r="G138" s="253">
        <v>75.88395005</v>
      </c>
      <c r="H138" s="253">
        <v>81.65273673</v>
      </c>
      <c r="I138" s="253">
        <v>122.17952446</v>
      </c>
      <c r="J138" s="253">
        <v>143.87786812</v>
      </c>
      <c r="K138" s="253">
        <v>179.24891039</v>
      </c>
      <c r="L138" s="253">
        <v>159.52687639</v>
      </c>
      <c r="M138" s="253">
        <v>210.53010337</v>
      </c>
      <c r="N138" s="253">
        <v>568.19712602</v>
      </c>
      <c r="O138" s="253">
        <v>752.30147056</v>
      </c>
      <c r="P138" s="253">
        <v>605.16260445</v>
      </c>
      <c r="Q138" s="253">
        <v>632.55517737</v>
      </c>
      <c r="R138" s="253">
        <v>2844.36950572</v>
      </c>
      <c r="S138" s="253">
        <f>3726.37217954+1548.95608254</f>
        <v>5275.32826208</v>
      </c>
      <c r="T138" s="412">
        <f t="shared" ref="T138:V138" si="282">+T10*T163*2/365-S138</f>
        <v>11413.4924081257</v>
      </c>
      <c r="U138" s="412">
        <f t="shared" si="282"/>
        <v>12402.7149753093</v>
      </c>
      <c r="V138" s="412">
        <f t="shared" si="282"/>
        <v>9108.29020965487</v>
      </c>
      <c r="W138" s="303"/>
      <c r="X138" s="253"/>
      <c r="Y138" s="253"/>
      <c r="Z138" s="253"/>
      <c r="AA138" s="316"/>
      <c r="AB138" s="253"/>
      <c r="AC138" s="253"/>
      <c r="AD138" s="253"/>
      <c r="AE138" s="316"/>
      <c r="AF138" s="253"/>
      <c r="AG138" s="253"/>
      <c r="AH138" s="253"/>
      <c r="AI138" s="316"/>
      <c r="AJ138" s="253"/>
      <c r="AK138" s="253"/>
      <c r="AL138" s="253"/>
      <c r="AM138" s="316"/>
      <c r="AN138" s="253"/>
      <c r="AO138" s="253"/>
      <c r="AP138" s="253"/>
      <c r="AQ138" s="340"/>
      <c r="AR138" s="310">
        <v>3401.23919971</v>
      </c>
      <c r="AS138" s="310"/>
      <c r="AT138" s="310"/>
      <c r="AU138" s="340"/>
      <c r="AV138" s="310"/>
      <c r="AW138" s="310"/>
      <c r="AX138" s="310"/>
      <c r="AY138" s="340"/>
      <c r="AZ138" s="310"/>
      <c r="BA138" s="310"/>
      <c r="BB138" s="310"/>
      <c r="BC138" s="340"/>
      <c r="BD138" s="310"/>
      <c r="BE138" s="310"/>
      <c r="BF138" s="310"/>
      <c r="BG138" s="340"/>
      <c r="BH138" s="310"/>
      <c r="BI138" s="310"/>
      <c r="BJ138" s="310"/>
      <c r="BK138" s="340"/>
      <c r="BL138" s="310"/>
      <c r="BM138" s="310"/>
      <c r="BN138" s="310"/>
      <c r="BO138" s="340"/>
      <c r="BP138" s="310"/>
      <c r="BQ138" s="310"/>
      <c r="BR138" s="310"/>
      <c r="BS138" s="340"/>
      <c r="BT138" s="310"/>
      <c r="BU138" s="310"/>
      <c r="BV138" s="310"/>
      <c r="BW138" s="310"/>
      <c r="BX138" s="310"/>
      <c r="BY138" s="310"/>
      <c r="BZ138" s="310"/>
      <c r="CA138" s="310"/>
      <c r="CB138" s="310"/>
      <c r="CC138" s="310"/>
      <c r="CD138" s="310"/>
      <c r="CE138" s="310"/>
      <c r="CF138" s="310"/>
      <c r="CG138" s="310"/>
      <c r="CH138" s="253"/>
      <c r="CI138" s="253"/>
      <c r="CJ138" s="253"/>
      <c r="CK138" s="253"/>
      <c r="CL138" s="253"/>
      <c r="CM138" s="253"/>
      <c r="CN138" s="253"/>
      <c r="CO138" s="253"/>
      <c r="CP138" s="253"/>
      <c r="CQ138" s="253"/>
      <c r="CR138" s="253"/>
      <c r="CS138" s="253"/>
      <c r="CT138" s="253"/>
      <c r="CU138" s="255"/>
      <c r="CV138" s="255"/>
      <c r="CW138" s="255"/>
      <c r="CX138" s="255"/>
      <c r="CY138" s="255"/>
      <c r="CZ138" s="255"/>
      <c r="DA138" s="255"/>
      <c r="DB138" s="255"/>
      <c r="DC138" s="255"/>
      <c r="DD138" s="255"/>
      <c r="DE138" s="255"/>
      <c r="DF138" s="255"/>
      <c r="DG138" s="255"/>
      <c r="DH138" s="255"/>
      <c r="DI138" s="255"/>
      <c r="DJ138" s="255"/>
      <c r="DK138" s="255"/>
      <c r="DL138" s="255"/>
      <c r="DM138" s="255"/>
      <c r="DN138" s="255"/>
      <c r="DO138" s="255"/>
      <c r="DP138" s="255"/>
    </row>
    <row r="139" spans="1:120">
      <c r="A139" s="250"/>
      <c r="B139" s="253" t="s">
        <v>769</v>
      </c>
      <c r="C139" s="253"/>
      <c r="D139" s="253"/>
      <c r="E139" s="253">
        <v>17</v>
      </c>
      <c r="F139" s="253">
        <v>0</v>
      </c>
      <c r="G139" s="253">
        <v>10</v>
      </c>
      <c r="H139" s="253">
        <v>5</v>
      </c>
      <c r="I139" s="253">
        <v>0</v>
      </c>
      <c r="J139" s="253">
        <v>0</v>
      </c>
      <c r="K139" s="253">
        <v>21.23851268</v>
      </c>
      <c r="L139" s="253">
        <v>0</v>
      </c>
      <c r="M139" s="253">
        <v>0</v>
      </c>
      <c r="N139" s="253">
        <v>71.56789944</v>
      </c>
      <c r="O139" s="253">
        <v>0</v>
      </c>
      <c r="P139" s="253">
        <v>3.14850772</v>
      </c>
      <c r="Q139" s="253">
        <v>3.77726413</v>
      </c>
      <c r="R139" s="253">
        <v>3.68320656</v>
      </c>
      <c r="S139" s="253">
        <v>3.62242457</v>
      </c>
      <c r="T139" s="298">
        <f t="shared" ref="T139:V140" si="283">+S139</f>
        <v>3.62242457</v>
      </c>
      <c r="U139" s="298">
        <f t="shared" si="283"/>
        <v>3.62242457</v>
      </c>
      <c r="V139" s="298">
        <f t="shared" si="283"/>
        <v>3.62242457</v>
      </c>
      <c r="W139" s="303"/>
      <c r="X139" s="253"/>
      <c r="Y139" s="253"/>
      <c r="Z139" s="253"/>
      <c r="AA139" s="316"/>
      <c r="AB139" s="253"/>
      <c r="AC139" s="253"/>
      <c r="AD139" s="253"/>
      <c r="AE139" s="316"/>
      <c r="AF139" s="253"/>
      <c r="AG139" s="253"/>
      <c r="AH139" s="253"/>
      <c r="AI139" s="316"/>
      <c r="AJ139" s="253"/>
      <c r="AK139" s="253"/>
      <c r="AL139" s="253"/>
      <c r="AM139" s="316"/>
      <c r="AN139" s="253"/>
      <c r="AO139" s="253"/>
      <c r="AP139" s="253"/>
      <c r="AQ139" s="340"/>
      <c r="AR139" s="310"/>
      <c r="AS139" s="310"/>
      <c r="AT139" s="310"/>
      <c r="AU139" s="340"/>
      <c r="AV139" s="310"/>
      <c r="AW139" s="310"/>
      <c r="AX139" s="310"/>
      <c r="AY139" s="340"/>
      <c r="AZ139" s="310"/>
      <c r="BA139" s="310"/>
      <c r="BB139" s="310"/>
      <c r="BC139" s="340"/>
      <c r="BD139" s="310"/>
      <c r="BE139" s="310"/>
      <c r="BF139" s="310"/>
      <c r="BG139" s="340"/>
      <c r="BH139" s="310"/>
      <c r="BI139" s="310"/>
      <c r="BJ139" s="310"/>
      <c r="BK139" s="340"/>
      <c r="BL139" s="310"/>
      <c r="BM139" s="310"/>
      <c r="BN139" s="310"/>
      <c r="BO139" s="340"/>
      <c r="BP139" s="310"/>
      <c r="BQ139" s="310"/>
      <c r="BR139" s="310"/>
      <c r="BS139" s="340"/>
      <c r="BT139" s="310"/>
      <c r="BU139" s="310"/>
      <c r="BV139" s="310"/>
      <c r="BW139" s="310"/>
      <c r="BX139" s="310"/>
      <c r="BY139" s="310"/>
      <c r="BZ139" s="310"/>
      <c r="CA139" s="310"/>
      <c r="CB139" s="310"/>
      <c r="CC139" s="310"/>
      <c r="CD139" s="310"/>
      <c r="CE139" s="310"/>
      <c r="CF139" s="310"/>
      <c r="CG139" s="310"/>
      <c r="CH139" s="253"/>
      <c r="CI139" s="253"/>
      <c r="CJ139" s="253"/>
      <c r="CK139" s="253"/>
      <c r="CL139" s="253"/>
      <c r="CM139" s="253"/>
      <c r="CN139" s="253"/>
      <c r="CO139" s="253"/>
      <c r="CP139" s="253"/>
      <c r="CQ139" s="253"/>
      <c r="CR139" s="253"/>
      <c r="CS139" s="253"/>
      <c r="CT139" s="253"/>
      <c r="CU139" s="255"/>
      <c r="CV139" s="255"/>
      <c r="CW139" s="255"/>
      <c r="CX139" s="255"/>
      <c r="CY139" s="255"/>
      <c r="CZ139" s="255"/>
      <c r="DA139" s="255"/>
      <c r="DB139" s="255"/>
      <c r="DC139" s="255"/>
      <c r="DD139" s="255"/>
      <c r="DE139" s="255"/>
      <c r="DF139" s="255"/>
      <c r="DG139" s="255"/>
      <c r="DH139" s="255"/>
      <c r="DI139" s="255"/>
      <c r="DJ139" s="255"/>
      <c r="DK139" s="255"/>
      <c r="DL139" s="255"/>
      <c r="DM139" s="255"/>
      <c r="DN139" s="255"/>
      <c r="DO139" s="255"/>
      <c r="DP139" s="255"/>
    </row>
    <row r="140" spans="1:120">
      <c r="A140" s="250"/>
      <c r="B140" s="253" t="s">
        <v>179</v>
      </c>
      <c r="C140" s="253"/>
      <c r="D140" s="253"/>
      <c r="E140" s="253">
        <f t="shared" ref="E140:K140" si="284">+E141-SUM(E138:E139)</f>
        <v>32.28360002</v>
      </c>
      <c r="F140" s="253">
        <f t="shared" si="284"/>
        <v>18.33635982</v>
      </c>
      <c r="G140" s="253">
        <f t="shared" si="284"/>
        <v>23.25414353</v>
      </c>
      <c r="H140" s="253">
        <f t="shared" si="284"/>
        <v>31.21048578</v>
      </c>
      <c r="I140" s="253">
        <f t="shared" si="284"/>
        <v>32.29260628</v>
      </c>
      <c r="J140" s="253">
        <f t="shared" si="284"/>
        <v>51.64175266</v>
      </c>
      <c r="K140" s="253">
        <f t="shared" si="284"/>
        <v>110.16957199</v>
      </c>
      <c r="L140" s="253">
        <f t="shared" ref="L140:S140" si="285">+L141-SUM(L138:L139)</f>
        <v>78.49434932</v>
      </c>
      <c r="M140" s="253">
        <f t="shared" si="285"/>
        <v>115.37312924</v>
      </c>
      <c r="N140" s="253">
        <f t="shared" si="285"/>
        <v>122.20701458</v>
      </c>
      <c r="O140" s="253">
        <f t="shared" si="285"/>
        <v>142.0331201</v>
      </c>
      <c r="P140" s="253">
        <f t="shared" si="285"/>
        <v>323.42105473</v>
      </c>
      <c r="Q140" s="253">
        <f t="shared" si="285"/>
        <v>231.05449552</v>
      </c>
      <c r="R140" s="253">
        <f t="shared" si="285"/>
        <v>976.52407152</v>
      </c>
      <c r="S140" s="253">
        <f t="shared" si="285"/>
        <v>1617.30022397</v>
      </c>
      <c r="T140" s="298">
        <f t="shared" si="283"/>
        <v>1617.30022397</v>
      </c>
      <c r="U140" s="298">
        <f t="shared" si="283"/>
        <v>1617.30022397</v>
      </c>
      <c r="V140" s="298">
        <f t="shared" si="283"/>
        <v>1617.30022397</v>
      </c>
      <c r="W140" s="303"/>
      <c r="X140" s="253"/>
      <c r="Y140" s="253"/>
      <c r="Z140" s="253"/>
      <c r="AA140" s="316"/>
      <c r="AB140" s="253"/>
      <c r="AC140" s="253"/>
      <c r="AD140" s="253"/>
      <c r="AE140" s="316"/>
      <c r="AF140" s="253"/>
      <c r="AG140" s="253"/>
      <c r="AH140" s="253"/>
      <c r="AI140" s="316"/>
      <c r="AJ140" s="253"/>
      <c r="AK140" s="253"/>
      <c r="AL140" s="253"/>
      <c r="AM140" s="316"/>
      <c r="AN140" s="253"/>
      <c r="AO140" s="253"/>
      <c r="AP140" s="253"/>
      <c r="AQ140" s="440"/>
      <c r="AR140" s="441"/>
      <c r="AS140" s="441"/>
      <c r="AT140" s="441"/>
      <c r="AU140" s="440"/>
      <c r="AV140" s="441"/>
      <c r="AW140" s="441"/>
      <c r="AX140" s="441"/>
      <c r="AY140" s="440"/>
      <c r="AZ140" s="441"/>
      <c r="BA140" s="441"/>
      <c r="BB140" s="441"/>
      <c r="BC140" s="440"/>
      <c r="BD140" s="441"/>
      <c r="BE140" s="441"/>
      <c r="BF140" s="441"/>
      <c r="BG140" s="440"/>
      <c r="BH140" s="441"/>
      <c r="BI140" s="441"/>
      <c r="BJ140" s="441"/>
      <c r="BK140" s="440"/>
      <c r="BL140" s="441"/>
      <c r="BM140" s="441"/>
      <c r="BN140" s="441"/>
      <c r="BO140" s="440"/>
      <c r="BP140" s="441"/>
      <c r="BQ140" s="441"/>
      <c r="BR140" s="441"/>
      <c r="BS140" s="440"/>
      <c r="BT140" s="441"/>
      <c r="BU140" s="441"/>
      <c r="BV140" s="441"/>
      <c r="BW140" s="441"/>
      <c r="BX140" s="441"/>
      <c r="BY140" s="441"/>
      <c r="BZ140" s="441"/>
      <c r="CA140" s="441"/>
      <c r="CB140" s="441"/>
      <c r="CC140" s="441"/>
      <c r="CD140" s="441"/>
      <c r="CE140" s="441"/>
      <c r="CF140" s="441"/>
      <c r="CG140" s="441"/>
      <c r="CH140" s="253"/>
      <c r="CI140" s="253"/>
      <c r="CJ140" s="253"/>
      <c r="CK140" s="253"/>
      <c r="CL140" s="253"/>
      <c r="CM140" s="253"/>
      <c r="CN140" s="253"/>
      <c r="CO140" s="253"/>
      <c r="CP140" s="253"/>
      <c r="CQ140" s="253"/>
      <c r="CR140" s="253"/>
      <c r="CS140" s="253"/>
      <c r="CT140" s="253"/>
      <c r="CU140" s="255"/>
      <c r="CV140" s="255"/>
      <c r="CW140" s="255"/>
      <c r="CX140" s="255"/>
      <c r="CY140" s="255"/>
      <c r="CZ140" s="255"/>
      <c r="DA140" s="255"/>
      <c r="DB140" s="255"/>
      <c r="DC140" s="255"/>
      <c r="DD140" s="255"/>
      <c r="DE140" s="255"/>
      <c r="DF140" s="255"/>
      <c r="DG140" s="255"/>
      <c r="DH140" s="255"/>
      <c r="DI140" s="255"/>
      <c r="DJ140" s="255"/>
      <c r="DK140" s="255"/>
      <c r="DL140" s="255"/>
      <c r="DM140" s="255"/>
      <c r="DN140" s="255"/>
      <c r="DO140" s="255"/>
      <c r="DP140" s="255"/>
    </row>
    <row r="141" spans="1:120">
      <c r="A141" s="250"/>
      <c r="B141" s="257" t="s">
        <v>770</v>
      </c>
      <c r="C141" s="257"/>
      <c r="D141" s="257"/>
      <c r="E141" s="257">
        <v>103.58041297</v>
      </c>
      <c r="F141" s="257">
        <v>64.84499031</v>
      </c>
      <c r="G141" s="257">
        <v>109.13809358</v>
      </c>
      <c r="H141" s="257">
        <v>117.86322251</v>
      </c>
      <c r="I141" s="257">
        <v>154.47213074</v>
      </c>
      <c r="J141" s="257">
        <v>195.51962078</v>
      </c>
      <c r="K141" s="257">
        <v>310.65699506</v>
      </c>
      <c r="L141" s="257">
        <v>238.02122571</v>
      </c>
      <c r="M141" s="257">
        <v>325.90323261</v>
      </c>
      <c r="N141" s="257">
        <v>761.97204004</v>
      </c>
      <c r="O141" s="257">
        <v>894.33459066</v>
      </c>
      <c r="P141" s="257">
        <v>931.7321669</v>
      </c>
      <c r="Q141" s="257">
        <v>867.38693702</v>
      </c>
      <c r="R141" s="257">
        <v>3824.5767838</v>
      </c>
      <c r="S141" s="257">
        <v>6896.25091062</v>
      </c>
      <c r="T141" s="257">
        <f t="shared" ref="T141:U141" si="286">SUM(T138+T139+T140)</f>
        <v>13034.4150566657</v>
      </c>
      <c r="U141" s="257">
        <f t="shared" si="286"/>
        <v>14023.6376238493</v>
      </c>
      <c r="V141" s="257">
        <f t="shared" ref="V141" si="287">SUM(V138+V139+V140)</f>
        <v>10729.2128581949</v>
      </c>
      <c r="W141" s="303"/>
      <c r="X141" s="251"/>
      <c r="Y141" s="251"/>
      <c r="Z141" s="251"/>
      <c r="AA141" s="315"/>
      <c r="AB141" s="251"/>
      <c r="AC141" s="251"/>
      <c r="AD141" s="251"/>
      <c r="AE141" s="315"/>
      <c r="AF141" s="251"/>
      <c r="AG141" s="251"/>
      <c r="AH141" s="251"/>
      <c r="AI141" s="315"/>
      <c r="AJ141" s="251"/>
      <c r="AK141" s="251"/>
      <c r="AL141" s="251"/>
      <c r="AM141" s="315"/>
      <c r="AN141" s="251"/>
      <c r="AO141" s="251"/>
      <c r="AP141" s="251"/>
      <c r="AQ141" s="315"/>
      <c r="AR141" s="251"/>
      <c r="AS141" s="251"/>
      <c r="AT141" s="251"/>
      <c r="AU141" s="315"/>
      <c r="AV141" s="251"/>
      <c r="AW141" s="251"/>
      <c r="AX141" s="251"/>
      <c r="AY141" s="315"/>
      <c r="AZ141" s="251"/>
      <c r="BA141" s="251"/>
      <c r="BB141" s="251"/>
      <c r="BC141" s="315"/>
      <c r="BD141" s="251"/>
      <c r="BE141" s="251"/>
      <c r="BF141" s="251"/>
      <c r="BG141" s="315"/>
      <c r="BH141" s="251"/>
      <c r="BI141" s="251"/>
      <c r="BJ141" s="251"/>
      <c r="BK141" s="315"/>
      <c r="BL141" s="251"/>
      <c r="BM141" s="251"/>
      <c r="BN141" s="251"/>
      <c r="BO141" s="315"/>
      <c r="BP141" s="251"/>
      <c r="BQ141" s="251"/>
      <c r="BR141" s="251"/>
      <c r="BS141" s="315"/>
      <c r="BT141" s="251"/>
      <c r="BU141" s="251"/>
      <c r="BV141" s="251"/>
      <c r="BW141" s="251"/>
      <c r="BX141" s="251"/>
      <c r="BY141" s="251"/>
      <c r="BZ141" s="251"/>
      <c r="CA141" s="251"/>
      <c r="CB141" s="251"/>
      <c r="CC141" s="251"/>
      <c r="CD141" s="251"/>
      <c r="CE141" s="251"/>
      <c r="CF141" s="251"/>
      <c r="CG141" s="251"/>
      <c r="CH141" s="251"/>
      <c r="CI141" s="251"/>
      <c r="CJ141" s="251"/>
      <c r="CK141" s="251"/>
      <c r="CL141" s="251"/>
      <c r="CM141" s="251"/>
      <c r="CN141" s="251"/>
      <c r="CO141" s="251"/>
      <c r="CP141" s="251"/>
      <c r="CQ141" s="251"/>
      <c r="CR141" s="251"/>
      <c r="CS141" s="251"/>
      <c r="CT141" s="251"/>
      <c r="CU141" s="251"/>
      <c r="CV141" s="251"/>
      <c r="CW141" s="251"/>
      <c r="CX141" s="251"/>
      <c r="CY141" s="251"/>
      <c r="CZ141" s="251"/>
      <c r="DA141" s="251"/>
      <c r="DB141" s="251"/>
      <c r="DC141" s="251"/>
      <c r="DD141" s="251"/>
      <c r="DE141" s="251"/>
      <c r="DF141" s="251"/>
      <c r="DG141" s="251"/>
      <c r="DH141" s="251"/>
      <c r="DI141" s="251"/>
      <c r="DJ141" s="251"/>
      <c r="DK141" s="251"/>
      <c r="DL141" s="251"/>
      <c r="DM141" s="251"/>
      <c r="DN141" s="251"/>
      <c r="DO141" s="251"/>
      <c r="DP141" s="251"/>
    </row>
    <row r="142" spans="1:120">
      <c r="A142" s="250"/>
      <c r="B142" s="256"/>
      <c r="C142" s="253"/>
      <c r="D142" s="253"/>
      <c r="E142" s="253"/>
      <c r="F142" s="253"/>
      <c r="G142" s="253"/>
      <c r="H142" s="253"/>
      <c r="I142" s="253"/>
      <c r="J142" s="253"/>
      <c r="K142" s="253"/>
      <c r="L142" s="253"/>
      <c r="M142" s="253"/>
      <c r="N142" s="253"/>
      <c r="O142" s="253"/>
      <c r="P142" s="253"/>
      <c r="Q142" s="253"/>
      <c r="R142" s="253"/>
      <c r="S142" s="253"/>
      <c r="T142" s="253"/>
      <c r="U142" s="253"/>
      <c r="V142" s="253"/>
      <c r="W142" s="303"/>
      <c r="X142" s="253"/>
      <c r="Y142" s="253"/>
      <c r="Z142" s="253"/>
      <c r="AA142" s="316"/>
      <c r="AB142" s="253"/>
      <c r="AC142" s="253"/>
      <c r="AD142" s="253"/>
      <c r="AE142" s="316"/>
      <c r="AF142" s="253"/>
      <c r="AG142" s="253"/>
      <c r="AH142" s="253"/>
      <c r="AI142" s="316"/>
      <c r="AJ142" s="253"/>
      <c r="AK142" s="253"/>
      <c r="AL142" s="253"/>
      <c r="AM142" s="316"/>
      <c r="AN142" s="253"/>
      <c r="AO142" s="253"/>
      <c r="AP142" s="253"/>
      <c r="AQ142" s="337"/>
      <c r="AR142" s="303"/>
      <c r="AS142" s="303"/>
      <c r="AT142" s="303"/>
      <c r="AU142" s="337"/>
      <c r="AV142" s="303"/>
      <c r="AW142" s="303"/>
      <c r="AX142" s="303"/>
      <c r="AY142" s="337"/>
      <c r="AZ142" s="303"/>
      <c r="BA142" s="303"/>
      <c r="BB142" s="303"/>
      <c r="BC142" s="337"/>
      <c r="BD142" s="303"/>
      <c r="BE142" s="303"/>
      <c r="BF142" s="303"/>
      <c r="BG142" s="337"/>
      <c r="BH142" s="303"/>
      <c r="BI142" s="303"/>
      <c r="BJ142" s="303"/>
      <c r="BK142" s="337"/>
      <c r="BL142" s="303"/>
      <c r="BM142" s="303"/>
      <c r="BN142" s="303"/>
      <c r="BO142" s="337"/>
      <c r="BP142" s="303"/>
      <c r="BQ142" s="303"/>
      <c r="BR142" s="303"/>
      <c r="BS142" s="337"/>
      <c r="BT142" s="303"/>
      <c r="BU142" s="303"/>
      <c r="BV142" s="303"/>
      <c r="BW142" s="303"/>
      <c r="BX142" s="303"/>
      <c r="BY142" s="303"/>
      <c r="BZ142" s="303"/>
      <c r="CA142" s="303"/>
      <c r="CB142" s="303"/>
      <c r="CC142" s="303"/>
      <c r="CD142" s="303"/>
      <c r="CE142" s="303"/>
      <c r="CF142" s="303"/>
      <c r="CG142" s="303"/>
      <c r="CH142" s="253"/>
      <c r="CI142" s="253"/>
      <c r="CJ142" s="253"/>
      <c r="CK142" s="253"/>
      <c r="CL142" s="253"/>
      <c r="CM142" s="253"/>
      <c r="CN142" s="253"/>
      <c r="CO142" s="253"/>
      <c r="CP142" s="253"/>
      <c r="CQ142" s="253"/>
      <c r="CR142" s="253"/>
      <c r="CS142" s="253"/>
      <c r="CT142" s="253"/>
      <c r="CU142" s="253"/>
      <c r="CV142" s="253"/>
      <c r="CW142" s="253"/>
      <c r="CX142" s="253"/>
      <c r="CY142" s="253"/>
      <c r="CZ142" s="253"/>
      <c r="DA142" s="253"/>
      <c r="DB142" s="253"/>
      <c r="DC142" s="253"/>
      <c r="DD142" s="253"/>
      <c r="DE142" s="253"/>
      <c r="DF142" s="253"/>
      <c r="DG142" s="253"/>
      <c r="DH142" s="253"/>
      <c r="DI142" s="253"/>
      <c r="DJ142" s="253"/>
      <c r="DK142" s="253"/>
      <c r="DL142" s="253"/>
      <c r="DM142" s="253"/>
      <c r="DN142" s="253"/>
      <c r="DO142" s="253"/>
      <c r="DP142" s="253"/>
    </row>
    <row r="143" spans="1:120">
      <c r="A143" s="250"/>
      <c r="B143" s="253" t="s">
        <v>771</v>
      </c>
      <c r="C143" s="253"/>
      <c r="D143" s="253"/>
      <c r="E143" s="253">
        <v>0</v>
      </c>
      <c r="F143" s="253">
        <v>0</v>
      </c>
      <c r="G143" s="253">
        <v>0</v>
      </c>
      <c r="H143" s="253">
        <v>0</v>
      </c>
      <c r="I143" s="253">
        <v>0</v>
      </c>
      <c r="J143" s="253">
        <v>0</v>
      </c>
      <c r="K143" s="253">
        <v>0</v>
      </c>
      <c r="L143" s="253">
        <v>0</v>
      </c>
      <c r="M143" s="253">
        <v>0</v>
      </c>
      <c r="N143" s="253">
        <v>0</v>
      </c>
      <c r="O143" s="253">
        <v>0</v>
      </c>
      <c r="P143" s="253">
        <v>0</v>
      </c>
      <c r="Q143" s="253">
        <v>0</v>
      </c>
      <c r="R143" s="253">
        <v>0</v>
      </c>
      <c r="S143" s="253">
        <f t="shared" ref="S143:V144" si="288">+R143</f>
        <v>0</v>
      </c>
      <c r="T143" s="253">
        <f t="shared" si="288"/>
        <v>0</v>
      </c>
      <c r="U143" s="253">
        <f t="shared" si="288"/>
        <v>0</v>
      </c>
      <c r="V143" s="253">
        <f t="shared" si="288"/>
        <v>0</v>
      </c>
      <c r="W143" s="303"/>
      <c r="X143" s="253"/>
      <c r="Y143" s="253"/>
      <c r="Z143" s="253"/>
      <c r="AA143" s="316"/>
      <c r="AB143" s="253"/>
      <c r="AC143" s="253"/>
      <c r="AD143" s="253"/>
      <c r="AE143" s="316"/>
      <c r="AF143" s="253"/>
      <c r="AG143" s="253"/>
      <c r="AH143" s="253"/>
      <c r="AI143" s="316"/>
      <c r="AJ143" s="253"/>
      <c r="AK143" s="253"/>
      <c r="AL143" s="253"/>
      <c r="AM143" s="316"/>
      <c r="AN143" s="253"/>
      <c r="AO143" s="253"/>
      <c r="AP143" s="253"/>
      <c r="AQ143" s="340"/>
      <c r="AR143" s="310"/>
      <c r="AS143" s="310"/>
      <c r="AT143" s="310"/>
      <c r="AU143" s="340"/>
      <c r="AV143" s="310"/>
      <c r="AW143" s="310"/>
      <c r="AX143" s="310"/>
      <c r="AY143" s="340"/>
      <c r="AZ143" s="310"/>
      <c r="BA143" s="310"/>
      <c r="BB143" s="310"/>
      <c r="BC143" s="340"/>
      <c r="BD143" s="310"/>
      <c r="BE143" s="310"/>
      <c r="BF143" s="310"/>
      <c r="BG143" s="340"/>
      <c r="BH143" s="310"/>
      <c r="BI143" s="310"/>
      <c r="BJ143" s="310"/>
      <c r="BK143" s="340"/>
      <c r="BL143" s="310"/>
      <c r="BM143" s="310"/>
      <c r="BN143" s="310"/>
      <c r="BO143" s="340"/>
      <c r="BP143" s="310"/>
      <c r="BQ143" s="310"/>
      <c r="BR143" s="310"/>
      <c r="BS143" s="340"/>
      <c r="BT143" s="310"/>
      <c r="BU143" s="310"/>
      <c r="BV143" s="310"/>
      <c r="BW143" s="310"/>
      <c r="BX143" s="310"/>
      <c r="BY143" s="310"/>
      <c r="BZ143" s="310"/>
      <c r="CA143" s="310"/>
      <c r="CB143" s="310"/>
      <c r="CC143" s="310"/>
      <c r="CD143" s="310"/>
      <c r="CE143" s="310"/>
      <c r="CF143" s="310"/>
      <c r="CG143" s="310"/>
      <c r="CH143" s="253"/>
      <c r="CI143" s="253"/>
      <c r="CJ143" s="253"/>
      <c r="CK143" s="253"/>
      <c r="CL143" s="253"/>
      <c r="CM143" s="253"/>
      <c r="CN143" s="253"/>
      <c r="CO143" s="253"/>
      <c r="CP143" s="253"/>
      <c r="CQ143" s="253"/>
      <c r="CR143" s="253"/>
      <c r="CS143" s="253"/>
      <c r="CT143" s="253"/>
      <c r="CU143" s="255"/>
      <c r="CV143" s="255"/>
      <c r="CW143" s="255"/>
      <c r="CX143" s="255"/>
      <c r="CY143" s="255"/>
      <c r="CZ143" s="255"/>
      <c r="DA143" s="255"/>
      <c r="DB143" s="255"/>
      <c r="DC143" s="255"/>
      <c r="DD143" s="255"/>
      <c r="DE143" s="255"/>
      <c r="DF143" s="255"/>
      <c r="DG143" s="255"/>
      <c r="DH143" s="255"/>
      <c r="DI143" s="255"/>
      <c r="DJ143" s="255"/>
      <c r="DK143" s="255"/>
      <c r="DL143" s="255"/>
      <c r="DM143" s="255"/>
      <c r="DN143" s="255"/>
      <c r="DO143" s="255"/>
      <c r="DP143" s="255"/>
    </row>
    <row r="144" spans="1:120">
      <c r="A144" s="250"/>
      <c r="B144" s="253" t="s">
        <v>772</v>
      </c>
      <c r="C144" s="253"/>
      <c r="D144" s="253"/>
      <c r="E144" s="253">
        <f t="shared" ref="E144:S144" si="289">+E145-E143</f>
        <v>0</v>
      </c>
      <c r="F144" s="253">
        <f t="shared" si="289"/>
        <v>1.7</v>
      </c>
      <c r="G144" s="253">
        <f t="shared" si="289"/>
        <v>8.57187179</v>
      </c>
      <c r="H144" s="253">
        <f t="shared" si="289"/>
        <v>9.2182385</v>
      </c>
      <c r="I144" s="253">
        <f t="shared" si="289"/>
        <v>7.82095493</v>
      </c>
      <c r="J144" s="253">
        <f t="shared" si="289"/>
        <v>6.26569419</v>
      </c>
      <c r="K144" s="253">
        <f t="shared" si="289"/>
        <v>3.9895053</v>
      </c>
      <c r="L144" s="253">
        <f t="shared" si="289"/>
        <v>5.73603853</v>
      </c>
      <c r="M144" s="253">
        <f t="shared" si="289"/>
        <v>11.2855071</v>
      </c>
      <c r="N144" s="253">
        <f t="shared" si="289"/>
        <v>11.11620096</v>
      </c>
      <c r="O144" s="253">
        <f t="shared" si="289"/>
        <v>11.17650091</v>
      </c>
      <c r="P144" s="253">
        <f t="shared" si="289"/>
        <v>115.16171354</v>
      </c>
      <c r="Q144" s="253">
        <f t="shared" si="289"/>
        <v>106.61814978</v>
      </c>
      <c r="R144" s="253">
        <f t="shared" si="289"/>
        <v>113.84325223</v>
      </c>
      <c r="S144" s="253">
        <f t="shared" si="289"/>
        <v>920.56461435</v>
      </c>
      <c r="T144" s="298">
        <f>S144+300</f>
        <v>1220.56461435</v>
      </c>
      <c r="U144" s="298">
        <f t="shared" si="288"/>
        <v>1220.56461435</v>
      </c>
      <c r="V144" s="298">
        <f t="shared" si="288"/>
        <v>1220.56461435</v>
      </c>
      <c r="W144" s="303"/>
      <c r="X144" s="253"/>
      <c r="Y144" s="253"/>
      <c r="Z144" s="253"/>
      <c r="AA144" s="316"/>
      <c r="AB144" s="253"/>
      <c r="AC144" s="253"/>
      <c r="AD144" s="253"/>
      <c r="AE144" s="316"/>
      <c r="AF144" s="253"/>
      <c r="AG144" s="253"/>
      <c r="AH144" s="253"/>
      <c r="AI144" s="316"/>
      <c r="AJ144" s="253"/>
      <c r="AK144" s="253"/>
      <c r="AL144" s="253"/>
      <c r="AM144" s="316"/>
      <c r="AN144" s="253"/>
      <c r="AO144" s="253"/>
      <c r="AP144" s="253"/>
      <c r="AQ144" s="440"/>
      <c r="AR144" s="441"/>
      <c r="AS144" s="441"/>
      <c r="AT144" s="441"/>
      <c r="AU144" s="440"/>
      <c r="AV144" s="441"/>
      <c r="AW144" s="441"/>
      <c r="AX144" s="441"/>
      <c r="AY144" s="440"/>
      <c r="AZ144" s="441"/>
      <c r="BA144" s="441"/>
      <c r="BB144" s="441"/>
      <c r="BC144" s="440"/>
      <c r="BD144" s="441"/>
      <c r="BE144" s="441"/>
      <c r="BF144" s="441"/>
      <c r="BG144" s="440"/>
      <c r="BH144" s="441"/>
      <c r="BI144" s="441"/>
      <c r="BJ144" s="441"/>
      <c r="BK144" s="440"/>
      <c r="BL144" s="441"/>
      <c r="BM144" s="441"/>
      <c r="BN144" s="441"/>
      <c r="BO144" s="440"/>
      <c r="BP144" s="441"/>
      <c r="BQ144" s="441"/>
      <c r="BR144" s="441"/>
      <c r="BS144" s="440"/>
      <c r="BT144" s="441"/>
      <c r="BU144" s="441"/>
      <c r="BV144" s="441"/>
      <c r="BW144" s="441"/>
      <c r="BX144" s="441"/>
      <c r="BY144" s="441"/>
      <c r="BZ144" s="441"/>
      <c r="CA144" s="441"/>
      <c r="CB144" s="441"/>
      <c r="CC144" s="441"/>
      <c r="CD144" s="441"/>
      <c r="CE144" s="441"/>
      <c r="CF144" s="441"/>
      <c r="CG144" s="441"/>
      <c r="CH144" s="253"/>
      <c r="CI144" s="253"/>
      <c r="CJ144" s="253"/>
      <c r="CK144" s="253"/>
      <c r="CL144" s="253"/>
      <c r="CM144" s="253"/>
      <c r="CN144" s="253"/>
      <c r="CO144" s="253"/>
      <c r="CP144" s="253"/>
      <c r="CQ144" s="253"/>
      <c r="CR144" s="253"/>
      <c r="CS144" s="253"/>
      <c r="CT144" s="253"/>
      <c r="CU144" s="255"/>
      <c r="CV144" s="255"/>
      <c r="CW144" s="255"/>
      <c r="CX144" s="255"/>
      <c r="CY144" s="255"/>
      <c r="CZ144" s="255"/>
      <c r="DA144" s="255"/>
      <c r="DB144" s="255"/>
      <c r="DC144" s="255"/>
      <c r="DD144" s="255"/>
      <c r="DE144" s="255"/>
      <c r="DF144" s="255"/>
      <c r="DG144" s="255"/>
      <c r="DH144" s="255"/>
      <c r="DI144" s="255"/>
      <c r="DJ144" s="255"/>
      <c r="DK144" s="255"/>
      <c r="DL144" s="255"/>
      <c r="DM144" s="255"/>
      <c r="DN144" s="255"/>
      <c r="DO144" s="255"/>
      <c r="DP144" s="255"/>
    </row>
    <row r="145" spans="1:120">
      <c r="A145" s="265"/>
      <c r="B145" s="257" t="s">
        <v>189</v>
      </c>
      <c r="C145" s="257"/>
      <c r="D145" s="257"/>
      <c r="E145" s="257">
        <v>0</v>
      </c>
      <c r="F145" s="257">
        <v>1.7</v>
      </c>
      <c r="G145" s="257">
        <v>8.57187179</v>
      </c>
      <c r="H145" s="257">
        <v>9.2182385</v>
      </c>
      <c r="I145" s="257">
        <v>7.82095493</v>
      </c>
      <c r="J145" s="257">
        <v>6.26569419</v>
      </c>
      <c r="K145" s="257">
        <v>3.9895053</v>
      </c>
      <c r="L145" s="257">
        <v>5.73603853</v>
      </c>
      <c r="M145" s="257">
        <v>11.2855071</v>
      </c>
      <c r="N145" s="257">
        <v>11.11620096</v>
      </c>
      <c r="O145" s="257">
        <v>11.17650091</v>
      </c>
      <c r="P145" s="257">
        <v>115.16171354</v>
      </c>
      <c r="Q145" s="257">
        <v>106.61814978</v>
      </c>
      <c r="R145" s="257">
        <v>113.84325223</v>
      </c>
      <c r="S145" s="257">
        <v>920.56461435</v>
      </c>
      <c r="T145" s="257">
        <f t="shared" ref="T145:U145" si="290">SUM(T143+T144)</f>
        <v>1220.56461435</v>
      </c>
      <c r="U145" s="257">
        <f t="shared" si="290"/>
        <v>1220.56461435</v>
      </c>
      <c r="V145" s="257">
        <f t="shared" ref="V145" si="291">SUM(V143+V144)</f>
        <v>1220.56461435</v>
      </c>
      <c r="W145" s="303"/>
      <c r="X145" s="251"/>
      <c r="Y145" s="251"/>
      <c r="Z145" s="251"/>
      <c r="AA145" s="315"/>
      <c r="AB145" s="251"/>
      <c r="AC145" s="251"/>
      <c r="AD145" s="251"/>
      <c r="AE145" s="315"/>
      <c r="AF145" s="251"/>
      <c r="AG145" s="251"/>
      <c r="AH145" s="251"/>
      <c r="AI145" s="315"/>
      <c r="AJ145" s="251"/>
      <c r="AK145" s="251"/>
      <c r="AL145" s="251"/>
      <c r="AM145" s="315"/>
      <c r="AN145" s="251"/>
      <c r="AO145" s="251"/>
      <c r="AP145" s="251"/>
      <c r="AQ145" s="315"/>
      <c r="AR145" s="251"/>
      <c r="AS145" s="251"/>
      <c r="AT145" s="251"/>
      <c r="AU145" s="315"/>
      <c r="AV145" s="251"/>
      <c r="AW145" s="251"/>
      <c r="AX145" s="251"/>
      <c r="AY145" s="315"/>
      <c r="AZ145" s="251"/>
      <c r="BA145" s="251"/>
      <c r="BB145" s="251"/>
      <c r="BC145" s="315"/>
      <c r="BD145" s="251"/>
      <c r="BE145" s="251"/>
      <c r="BF145" s="251"/>
      <c r="BG145" s="315"/>
      <c r="BH145" s="251"/>
      <c r="BI145" s="251"/>
      <c r="BJ145" s="251"/>
      <c r="BK145" s="315"/>
      <c r="BL145" s="251"/>
      <c r="BM145" s="251"/>
      <c r="BN145" s="251"/>
      <c r="BO145" s="315"/>
      <c r="BP145" s="251"/>
      <c r="BQ145" s="251"/>
      <c r="BR145" s="251"/>
      <c r="BS145" s="315"/>
      <c r="BT145" s="251"/>
      <c r="BU145" s="251"/>
      <c r="BV145" s="251"/>
      <c r="BW145" s="251"/>
      <c r="BX145" s="251"/>
      <c r="BY145" s="251"/>
      <c r="BZ145" s="251"/>
      <c r="CA145" s="251"/>
      <c r="CB145" s="251"/>
      <c r="CC145" s="251"/>
      <c r="CD145" s="251"/>
      <c r="CE145" s="251"/>
      <c r="CF145" s="251"/>
      <c r="CG145" s="251"/>
      <c r="CH145" s="251"/>
      <c r="CI145" s="251"/>
      <c r="CJ145" s="251"/>
      <c r="CK145" s="251"/>
      <c r="CL145" s="251"/>
      <c r="CM145" s="251"/>
      <c r="CN145" s="251"/>
      <c r="CO145" s="251"/>
      <c r="CP145" s="251"/>
      <c r="CQ145" s="251"/>
      <c r="CR145" s="251"/>
      <c r="CS145" s="251"/>
      <c r="CT145" s="251"/>
      <c r="CU145" s="251"/>
      <c r="CV145" s="251"/>
      <c r="CW145" s="251"/>
      <c r="CX145" s="251"/>
      <c r="CY145" s="251"/>
      <c r="CZ145" s="251"/>
      <c r="DA145" s="251"/>
      <c r="DB145" s="251"/>
      <c r="DC145" s="251"/>
      <c r="DD145" s="251"/>
      <c r="DE145" s="251"/>
      <c r="DF145" s="251"/>
      <c r="DG145" s="251"/>
      <c r="DH145" s="251"/>
      <c r="DI145" s="251"/>
      <c r="DJ145" s="251"/>
      <c r="DK145" s="251"/>
      <c r="DL145" s="251"/>
      <c r="DM145" s="251"/>
      <c r="DN145" s="251"/>
      <c r="DO145" s="251"/>
      <c r="DP145" s="251"/>
    </row>
    <row r="146" spans="1:120">
      <c r="A146" s="265"/>
      <c r="B146" s="257" t="s">
        <v>773</v>
      </c>
      <c r="C146" s="257"/>
      <c r="D146" s="257"/>
      <c r="E146" s="257">
        <f t="shared" ref="E146:U146" si="292">+E145+E141</f>
        <v>103.58041297</v>
      </c>
      <c r="F146" s="257">
        <f t="shared" si="292"/>
        <v>66.54499031</v>
      </c>
      <c r="G146" s="257">
        <f t="shared" si="292"/>
        <v>117.70996537</v>
      </c>
      <c r="H146" s="257">
        <f t="shared" si="292"/>
        <v>127.08146101</v>
      </c>
      <c r="I146" s="257">
        <f t="shared" si="292"/>
        <v>162.29308567</v>
      </c>
      <c r="J146" s="257">
        <f t="shared" si="292"/>
        <v>201.78531497</v>
      </c>
      <c r="K146" s="257">
        <f t="shared" si="292"/>
        <v>314.64650036</v>
      </c>
      <c r="L146" s="257">
        <f t="shared" si="292"/>
        <v>243.75726424</v>
      </c>
      <c r="M146" s="257">
        <f t="shared" si="292"/>
        <v>337.18873971</v>
      </c>
      <c r="N146" s="257">
        <f t="shared" si="292"/>
        <v>773.088241</v>
      </c>
      <c r="O146" s="257">
        <f t="shared" si="292"/>
        <v>905.51109157</v>
      </c>
      <c r="P146" s="257">
        <f t="shared" si="292"/>
        <v>1046.89388044</v>
      </c>
      <c r="Q146" s="257">
        <f t="shared" si="292"/>
        <v>974.0050868</v>
      </c>
      <c r="R146" s="257">
        <f t="shared" si="292"/>
        <v>3938.42003603</v>
      </c>
      <c r="S146" s="257">
        <f t="shared" si="292"/>
        <v>7816.81552497</v>
      </c>
      <c r="T146" s="257">
        <f t="shared" si="292"/>
        <v>14254.9796710157</v>
      </c>
      <c r="U146" s="257">
        <f t="shared" si="292"/>
        <v>15244.2022381993</v>
      </c>
      <c r="V146" s="257">
        <f t="shared" ref="V146" si="293">+V145+V141</f>
        <v>11949.7774725449</v>
      </c>
      <c r="W146" s="303"/>
      <c r="X146" s="251"/>
      <c r="Y146" s="251"/>
      <c r="Z146" s="251"/>
      <c r="AA146" s="315"/>
      <c r="AB146" s="251"/>
      <c r="AC146" s="251"/>
      <c r="AD146" s="251"/>
      <c r="AE146" s="315"/>
      <c r="AF146" s="251"/>
      <c r="AG146" s="251"/>
      <c r="AH146" s="251"/>
      <c r="AI146" s="315"/>
      <c r="AJ146" s="251"/>
      <c r="AK146" s="251"/>
      <c r="AL146" s="251"/>
      <c r="AM146" s="315"/>
      <c r="AN146" s="251"/>
      <c r="AO146" s="251"/>
      <c r="AP146" s="251"/>
      <c r="AQ146" s="315"/>
      <c r="AR146" s="251"/>
      <c r="AS146" s="251"/>
      <c r="AT146" s="251"/>
      <c r="AU146" s="315"/>
      <c r="AV146" s="251"/>
      <c r="AW146" s="251"/>
      <c r="AX146" s="251"/>
      <c r="AY146" s="315"/>
      <c r="AZ146" s="251"/>
      <c r="BA146" s="251"/>
      <c r="BB146" s="251"/>
      <c r="BC146" s="315"/>
      <c r="BD146" s="251"/>
      <c r="BE146" s="251"/>
      <c r="BF146" s="251"/>
      <c r="BG146" s="315"/>
      <c r="BH146" s="251"/>
      <c r="BI146" s="251"/>
      <c r="BJ146" s="251"/>
      <c r="BK146" s="315"/>
      <c r="BL146" s="251"/>
      <c r="BM146" s="251"/>
      <c r="BN146" s="251"/>
      <c r="BO146" s="315"/>
      <c r="BP146" s="251"/>
      <c r="BQ146" s="251"/>
      <c r="BR146" s="251"/>
      <c r="BS146" s="315"/>
      <c r="BT146" s="251"/>
      <c r="BU146" s="251"/>
      <c r="BV146" s="251"/>
      <c r="BW146" s="251"/>
      <c r="BX146" s="251"/>
      <c r="BY146" s="251"/>
      <c r="BZ146" s="251"/>
      <c r="CA146" s="251"/>
      <c r="CB146" s="251"/>
      <c r="CC146" s="251"/>
      <c r="CD146" s="251"/>
      <c r="CE146" s="251"/>
      <c r="CF146" s="251"/>
      <c r="CG146" s="251"/>
      <c r="CH146" s="251"/>
      <c r="CI146" s="251"/>
      <c r="CJ146" s="251"/>
      <c r="CK146" s="251"/>
      <c r="CL146" s="251"/>
      <c r="CM146" s="251"/>
      <c r="CN146" s="251"/>
      <c r="CO146" s="251"/>
      <c r="CP146" s="251"/>
      <c r="CQ146" s="251"/>
      <c r="CR146" s="251"/>
      <c r="CS146" s="251"/>
      <c r="CT146" s="251"/>
      <c r="CU146" s="251"/>
      <c r="CV146" s="251"/>
      <c r="CW146" s="251"/>
      <c r="CX146" s="251"/>
      <c r="CY146" s="251"/>
      <c r="CZ146" s="251"/>
      <c r="DA146" s="251"/>
      <c r="DB146" s="251"/>
      <c r="DC146" s="251"/>
      <c r="DD146" s="251"/>
      <c r="DE146" s="251"/>
      <c r="DF146" s="251"/>
      <c r="DG146" s="251"/>
      <c r="DH146" s="251"/>
      <c r="DI146" s="251"/>
      <c r="DJ146" s="251"/>
      <c r="DK146" s="251"/>
      <c r="DL146" s="251"/>
      <c r="DM146" s="251"/>
      <c r="DN146" s="251"/>
      <c r="DO146" s="251"/>
      <c r="DP146" s="251"/>
    </row>
    <row r="147" spans="1:120">
      <c r="A147" s="265"/>
      <c r="B147" s="448"/>
      <c r="C147" s="251"/>
      <c r="D147" s="251"/>
      <c r="E147" s="251"/>
      <c r="F147" s="251"/>
      <c r="G147" s="251"/>
      <c r="H147" s="251"/>
      <c r="I147" s="251"/>
      <c r="J147" s="251"/>
      <c r="K147" s="251"/>
      <c r="L147" s="251"/>
      <c r="M147" s="251"/>
      <c r="N147" s="251"/>
      <c r="O147" s="251"/>
      <c r="P147" s="251"/>
      <c r="Q147" s="251"/>
      <c r="R147" s="251"/>
      <c r="S147" s="251"/>
      <c r="T147" s="251"/>
      <c r="U147" s="251"/>
      <c r="V147" s="251"/>
      <c r="W147" s="303"/>
      <c r="X147" s="251"/>
      <c r="Y147" s="251"/>
      <c r="Z147" s="251"/>
      <c r="AA147" s="315"/>
      <c r="AB147" s="251"/>
      <c r="AC147" s="251"/>
      <c r="AD147" s="251"/>
      <c r="AE147" s="315"/>
      <c r="AF147" s="251"/>
      <c r="AG147" s="251"/>
      <c r="AH147" s="251"/>
      <c r="AI147" s="315"/>
      <c r="AJ147" s="251"/>
      <c r="AK147" s="251"/>
      <c r="AL147" s="251"/>
      <c r="AM147" s="315"/>
      <c r="AN147" s="251"/>
      <c r="AO147" s="251"/>
      <c r="AP147" s="251"/>
      <c r="AQ147" s="337"/>
      <c r="AR147" s="303"/>
      <c r="AS147" s="303"/>
      <c r="AT147" s="310"/>
      <c r="AU147" s="340"/>
      <c r="AV147" s="310"/>
      <c r="AW147" s="310"/>
      <c r="AX147" s="310"/>
      <c r="AY147" s="340"/>
      <c r="AZ147" s="310"/>
      <c r="BA147" s="310"/>
      <c r="BB147" s="310"/>
      <c r="BC147" s="340"/>
      <c r="BD147" s="310"/>
      <c r="BE147" s="310"/>
      <c r="BF147" s="310"/>
      <c r="BG147" s="340"/>
      <c r="BH147" s="310"/>
      <c r="BI147" s="310"/>
      <c r="BJ147" s="310"/>
      <c r="BK147" s="340"/>
      <c r="BL147" s="310"/>
      <c r="BM147" s="310"/>
      <c r="BN147" s="310"/>
      <c r="BO147" s="340"/>
      <c r="BP147" s="310"/>
      <c r="BQ147" s="310"/>
      <c r="BR147" s="310"/>
      <c r="BS147" s="340"/>
      <c r="BT147" s="310"/>
      <c r="BU147" s="310"/>
      <c r="BV147" s="310"/>
      <c r="BW147" s="310"/>
      <c r="BX147" s="310"/>
      <c r="BY147" s="310"/>
      <c r="BZ147" s="310"/>
      <c r="CA147" s="310"/>
      <c r="CB147" s="310"/>
      <c r="CC147" s="310"/>
      <c r="CD147" s="310"/>
      <c r="CE147" s="310"/>
      <c r="CF147" s="310"/>
      <c r="CG147" s="310"/>
      <c r="CH147" s="251"/>
      <c r="CI147" s="251"/>
      <c r="CJ147" s="251"/>
      <c r="CK147" s="251"/>
      <c r="CL147" s="251"/>
      <c r="CM147" s="251"/>
      <c r="CN147" s="251"/>
      <c r="CO147" s="251"/>
      <c r="CP147" s="251"/>
      <c r="CQ147" s="251"/>
      <c r="CR147" s="251"/>
      <c r="CS147" s="251"/>
      <c r="CT147" s="251"/>
      <c r="CU147" s="251"/>
      <c r="CV147" s="251"/>
      <c r="CW147" s="251"/>
      <c r="CX147" s="251"/>
      <c r="CY147" s="251"/>
      <c r="CZ147" s="251"/>
      <c r="DA147" s="251"/>
      <c r="DB147" s="251"/>
      <c r="DC147" s="251"/>
      <c r="DD147" s="251"/>
      <c r="DE147" s="251"/>
      <c r="DF147" s="251"/>
      <c r="DG147" s="251"/>
      <c r="DH147" s="251"/>
      <c r="DI147" s="251"/>
      <c r="DJ147" s="251"/>
      <c r="DK147" s="251"/>
      <c r="DL147" s="251"/>
      <c r="DM147" s="251"/>
      <c r="DN147" s="251"/>
      <c r="DO147" s="251"/>
      <c r="DP147" s="251"/>
    </row>
    <row r="148" spans="1:120">
      <c r="A148" s="250"/>
      <c r="B148" s="253" t="s">
        <v>193</v>
      </c>
      <c r="C148" s="253"/>
      <c r="D148" s="253"/>
      <c r="E148" s="253">
        <v>0</v>
      </c>
      <c r="F148" s="253">
        <v>0</v>
      </c>
      <c r="G148" s="253">
        <v>0</v>
      </c>
      <c r="H148" s="253">
        <v>0</v>
      </c>
      <c r="I148" s="253">
        <v>0</v>
      </c>
      <c r="J148" s="253">
        <v>0</v>
      </c>
      <c r="K148" s="253">
        <v>0</v>
      </c>
      <c r="L148" s="253">
        <v>0</v>
      </c>
      <c r="M148" s="253">
        <v>0</v>
      </c>
      <c r="N148" s="253">
        <v>0</v>
      </c>
      <c r="O148" s="253">
        <v>0</v>
      </c>
      <c r="P148" s="253">
        <v>0</v>
      </c>
      <c r="Q148" s="253">
        <v>0</v>
      </c>
      <c r="R148" s="253">
        <v>0</v>
      </c>
      <c r="S148" s="253">
        <f t="shared" ref="S148:V150" si="294">+R148</f>
        <v>0</v>
      </c>
      <c r="T148" s="298">
        <f t="shared" si="294"/>
        <v>0</v>
      </c>
      <c r="U148" s="298">
        <f t="shared" si="294"/>
        <v>0</v>
      </c>
      <c r="V148" s="298">
        <f t="shared" si="294"/>
        <v>0</v>
      </c>
      <c r="W148" s="303"/>
      <c r="X148" s="253"/>
      <c r="Y148" s="253"/>
      <c r="Z148" s="253"/>
      <c r="AA148" s="316"/>
      <c r="AB148" s="253"/>
      <c r="AC148" s="253"/>
      <c r="AD148" s="253"/>
      <c r="AE148" s="316"/>
      <c r="AF148" s="253"/>
      <c r="AG148" s="253"/>
      <c r="AH148" s="253"/>
      <c r="AI148" s="316"/>
      <c r="AJ148" s="253"/>
      <c r="AK148" s="253"/>
      <c r="AL148" s="253"/>
      <c r="AM148" s="316"/>
      <c r="AN148" s="253"/>
      <c r="AO148" s="253"/>
      <c r="AP148" s="253"/>
      <c r="AQ148" s="434"/>
      <c r="AR148" s="435"/>
      <c r="AS148" s="435"/>
      <c r="AT148" s="435"/>
      <c r="AU148" s="434"/>
      <c r="AV148" s="435"/>
      <c r="AW148" s="435"/>
      <c r="AX148" s="435"/>
      <c r="AY148" s="434"/>
      <c r="AZ148" s="435"/>
      <c r="BA148" s="435"/>
      <c r="BB148" s="435"/>
      <c r="BC148" s="434"/>
      <c r="BD148" s="435"/>
      <c r="BE148" s="435"/>
      <c r="BF148" s="435"/>
      <c r="BG148" s="434"/>
      <c r="BH148" s="435"/>
      <c r="BI148" s="435"/>
      <c r="BJ148" s="435"/>
      <c r="BK148" s="434"/>
      <c r="BL148" s="435"/>
      <c r="BM148" s="435"/>
      <c r="BN148" s="435"/>
      <c r="BO148" s="434"/>
      <c r="BP148" s="435"/>
      <c r="BQ148" s="435"/>
      <c r="BR148" s="435"/>
      <c r="BS148" s="434"/>
      <c r="BT148" s="435"/>
      <c r="BU148" s="435"/>
      <c r="BV148" s="435"/>
      <c r="BW148" s="435"/>
      <c r="BX148" s="435"/>
      <c r="BY148" s="435"/>
      <c r="BZ148" s="435"/>
      <c r="CA148" s="435"/>
      <c r="CB148" s="435"/>
      <c r="CC148" s="435"/>
      <c r="CD148" s="435"/>
      <c r="CE148" s="435"/>
      <c r="CF148" s="435"/>
      <c r="CG148" s="435"/>
      <c r="CH148" s="253"/>
      <c r="CI148" s="253"/>
      <c r="CJ148" s="253"/>
      <c r="CK148" s="253"/>
      <c r="CL148" s="253"/>
      <c r="CM148" s="253"/>
      <c r="CN148" s="253"/>
      <c r="CO148" s="253"/>
      <c r="CP148" s="253"/>
      <c r="CQ148" s="253"/>
      <c r="CR148" s="253"/>
      <c r="CS148" s="253"/>
      <c r="CT148" s="253"/>
      <c r="CU148" s="255"/>
      <c r="CV148" s="255"/>
      <c r="CW148" s="255"/>
      <c r="CX148" s="255"/>
      <c r="CY148" s="255"/>
      <c r="CZ148" s="255"/>
      <c r="DA148" s="255"/>
      <c r="DB148" s="255"/>
      <c r="DC148" s="255"/>
      <c r="DD148" s="255"/>
      <c r="DE148" s="255"/>
      <c r="DF148" s="255"/>
      <c r="DG148" s="255"/>
      <c r="DH148" s="255"/>
      <c r="DI148" s="255"/>
      <c r="DJ148" s="255"/>
      <c r="DK148" s="255"/>
      <c r="DL148" s="255"/>
      <c r="DM148" s="255"/>
      <c r="DN148" s="255"/>
      <c r="DO148" s="255"/>
      <c r="DP148" s="255"/>
    </row>
    <row r="149" spans="1:120">
      <c r="A149" s="250"/>
      <c r="B149" s="253" t="s">
        <v>774</v>
      </c>
      <c r="C149" s="253"/>
      <c r="D149" s="253"/>
      <c r="E149" s="253">
        <v>55.5882</v>
      </c>
      <c r="F149" s="253">
        <v>58.2</v>
      </c>
      <c r="G149" s="253">
        <v>58.2</v>
      </c>
      <c r="H149" s="253">
        <v>58.2</v>
      </c>
      <c r="I149" s="253">
        <v>58.2</v>
      </c>
      <c r="J149" s="253">
        <v>77.6</v>
      </c>
      <c r="K149" s="253">
        <v>237.7425</v>
      </c>
      <c r="L149" s="253">
        <v>238.3625</v>
      </c>
      <c r="M149" s="253">
        <v>236.45915</v>
      </c>
      <c r="N149" s="253">
        <v>362.204466</v>
      </c>
      <c r="O149" s="253">
        <v>507.086219</v>
      </c>
      <c r="P149" s="253">
        <v>507.086219</v>
      </c>
      <c r="Q149" s="253">
        <v>709.919026</v>
      </c>
      <c r="R149" s="253">
        <v>708.806652</v>
      </c>
      <c r="S149" s="253">
        <v>994.009312</v>
      </c>
      <c r="T149" s="298">
        <f t="shared" si="294"/>
        <v>994.009312</v>
      </c>
      <c r="U149" s="298">
        <f t="shared" si="294"/>
        <v>994.009312</v>
      </c>
      <c r="V149" s="298">
        <f t="shared" si="294"/>
        <v>994.009312</v>
      </c>
      <c r="W149" s="303"/>
      <c r="X149" s="253"/>
      <c r="Y149" s="253"/>
      <c r="Z149" s="253"/>
      <c r="AA149" s="316"/>
      <c r="AB149" s="253"/>
      <c r="AC149" s="253"/>
      <c r="AD149" s="253"/>
      <c r="AE149" s="316"/>
      <c r="AF149" s="253"/>
      <c r="AG149" s="253"/>
      <c r="AH149" s="253"/>
      <c r="AI149" s="316"/>
      <c r="AJ149" s="253"/>
      <c r="AK149" s="253"/>
      <c r="AL149" s="253"/>
      <c r="AM149" s="316"/>
      <c r="AN149" s="253"/>
      <c r="AO149" s="253"/>
      <c r="AP149" s="253"/>
      <c r="AQ149" s="473"/>
      <c r="AR149" s="474"/>
      <c r="AS149" s="474"/>
      <c r="AT149" s="474"/>
      <c r="AU149" s="473"/>
      <c r="AV149" s="474"/>
      <c r="AW149" s="474"/>
      <c r="AX149" s="474"/>
      <c r="AY149" s="473"/>
      <c r="AZ149" s="474"/>
      <c r="BA149" s="474"/>
      <c r="BB149" s="474"/>
      <c r="BC149" s="473"/>
      <c r="BD149" s="474"/>
      <c r="BE149" s="474"/>
      <c r="BF149" s="474"/>
      <c r="BG149" s="473"/>
      <c r="BH149" s="474"/>
      <c r="BI149" s="474"/>
      <c r="BJ149" s="474"/>
      <c r="BK149" s="473"/>
      <c r="BL149" s="474"/>
      <c r="BM149" s="474"/>
      <c r="BN149" s="474"/>
      <c r="BO149" s="473"/>
      <c r="BP149" s="474"/>
      <c r="BQ149" s="474"/>
      <c r="BR149" s="474"/>
      <c r="BS149" s="473"/>
      <c r="BT149" s="474"/>
      <c r="BU149" s="474"/>
      <c r="BV149" s="474"/>
      <c r="BW149" s="474"/>
      <c r="BX149" s="474"/>
      <c r="BY149" s="474"/>
      <c r="BZ149" s="474"/>
      <c r="CA149" s="474"/>
      <c r="CB149" s="474"/>
      <c r="CC149" s="474"/>
      <c r="CD149" s="474"/>
      <c r="CE149" s="474"/>
      <c r="CF149" s="474"/>
      <c r="CG149" s="474"/>
      <c r="CH149" s="253"/>
      <c r="CI149" s="253"/>
      <c r="CJ149" s="253"/>
      <c r="CK149" s="253"/>
      <c r="CL149" s="253"/>
      <c r="CM149" s="253"/>
      <c r="CN149" s="253"/>
      <c r="CO149" s="253"/>
      <c r="CP149" s="253"/>
      <c r="CQ149" s="253"/>
      <c r="CR149" s="253"/>
      <c r="CS149" s="253"/>
      <c r="CT149" s="253"/>
      <c r="CU149" s="255"/>
      <c r="CV149" s="255"/>
      <c r="CW149" s="255"/>
      <c r="CX149" s="255"/>
      <c r="CY149" s="255"/>
      <c r="CZ149" s="255"/>
      <c r="DA149" s="255"/>
      <c r="DB149" s="255"/>
      <c r="DC149" s="255"/>
      <c r="DD149" s="255"/>
      <c r="DE149" s="255"/>
      <c r="DF149" s="255"/>
      <c r="DG149" s="255"/>
      <c r="DH149" s="255"/>
      <c r="DI149" s="255"/>
      <c r="DJ149" s="255"/>
      <c r="DK149" s="255"/>
      <c r="DL149" s="255"/>
      <c r="DM149" s="255"/>
      <c r="DN149" s="255"/>
      <c r="DO149" s="255"/>
      <c r="DP149" s="255"/>
    </row>
    <row r="150" spans="1:120">
      <c r="A150" s="250"/>
      <c r="B150" s="253" t="s">
        <v>775</v>
      </c>
      <c r="C150" s="253"/>
      <c r="D150" s="253"/>
      <c r="E150" s="253">
        <v>0</v>
      </c>
      <c r="F150" s="253">
        <v>0</v>
      </c>
      <c r="G150" s="253">
        <v>0</v>
      </c>
      <c r="H150" s="253">
        <v>0</v>
      </c>
      <c r="I150" s="253">
        <v>0</v>
      </c>
      <c r="J150" s="253">
        <v>0</v>
      </c>
      <c r="K150" s="253">
        <v>61.8801</v>
      </c>
      <c r="L150" s="253">
        <v>42.3398</v>
      </c>
      <c r="M150" s="253">
        <v>19.603262</v>
      </c>
      <c r="N150" s="253">
        <v>0</v>
      </c>
      <c r="O150" s="253">
        <v>48.81134399</v>
      </c>
      <c r="P150" s="253">
        <v>0.1298744</v>
      </c>
      <c r="Q150" s="253">
        <v>0.1298744</v>
      </c>
      <c r="R150" s="253">
        <v>0</v>
      </c>
      <c r="S150" s="253">
        <f t="shared" si="294"/>
        <v>0</v>
      </c>
      <c r="T150" s="298">
        <f t="shared" si="294"/>
        <v>0</v>
      </c>
      <c r="U150" s="298">
        <f t="shared" si="294"/>
        <v>0</v>
      </c>
      <c r="V150" s="298">
        <f t="shared" si="294"/>
        <v>0</v>
      </c>
      <c r="W150" s="303"/>
      <c r="X150" s="253"/>
      <c r="Y150" s="253"/>
      <c r="Z150" s="253"/>
      <c r="AA150" s="316"/>
      <c r="AB150" s="253"/>
      <c r="AC150" s="253"/>
      <c r="AD150" s="253"/>
      <c r="AE150" s="316"/>
      <c r="AF150" s="253"/>
      <c r="AG150" s="253"/>
      <c r="AH150" s="253"/>
      <c r="AI150" s="316"/>
      <c r="AJ150" s="253"/>
      <c r="AK150" s="253"/>
      <c r="AL150" s="253"/>
      <c r="AM150" s="316"/>
      <c r="AN150" s="253"/>
      <c r="AO150" s="253"/>
      <c r="AP150" s="253"/>
      <c r="AQ150" s="473"/>
      <c r="AR150" s="474"/>
      <c r="AS150" s="474"/>
      <c r="AT150" s="474"/>
      <c r="AU150" s="473"/>
      <c r="AV150" s="474"/>
      <c r="AW150" s="474"/>
      <c r="AX150" s="474"/>
      <c r="AY150" s="473"/>
      <c r="AZ150" s="474"/>
      <c r="BA150" s="474"/>
      <c r="BB150" s="474"/>
      <c r="BC150" s="473"/>
      <c r="BD150" s="474"/>
      <c r="BE150" s="474"/>
      <c r="BF150" s="474"/>
      <c r="BG150" s="473"/>
      <c r="BH150" s="474"/>
      <c r="BI150" s="474"/>
      <c r="BJ150" s="474"/>
      <c r="BK150" s="473"/>
      <c r="BL150" s="474"/>
      <c r="BM150" s="474"/>
      <c r="BN150" s="474"/>
      <c r="BO150" s="473"/>
      <c r="BP150" s="474"/>
      <c r="BQ150" s="474"/>
      <c r="BR150" s="474"/>
      <c r="BS150" s="473"/>
      <c r="BT150" s="474"/>
      <c r="BU150" s="474"/>
      <c r="BV150" s="474"/>
      <c r="BW150" s="474"/>
      <c r="BX150" s="474"/>
      <c r="BY150" s="474"/>
      <c r="BZ150" s="474"/>
      <c r="CA150" s="474"/>
      <c r="CB150" s="474"/>
      <c r="CC150" s="474"/>
      <c r="CD150" s="474"/>
      <c r="CE150" s="474"/>
      <c r="CF150" s="474"/>
      <c r="CG150" s="474"/>
      <c r="CH150" s="253"/>
      <c r="CI150" s="253"/>
      <c r="CJ150" s="253"/>
      <c r="CK150" s="253"/>
      <c r="CL150" s="253"/>
      <c r="CM150" s="253"/>
      <c r="CN150" s="253"/>
      <c r="CO150" s="253"/>
      <c r="CP150" s="253"/>
      <c r="CQ150" s="253"/>
      <c r="CR150" s="253"/>
      <c r="CS150" s="253"/>
      <c r="CT150" s="253"/>
      <c r="CU150" s="255"/>
      <c r="CV150" s="255"/>
      <c r="CW150" s="255"/>
      <c r="CX150" s="255"/>
      <c r="CY150" s="255"/>
      <c r="CZ150" s="255"/>
      <c r="DA150" s="255"/>
      <c r="DB150" s="255"/>
      <c r="DC150" s="255"/>
      <c r="DD150" s="255"/>
      <c r="DE150" s="255"/>
      <c r="DF150" s="255"/>
      <c r="DG150" s="255"/>
      <c r="DH150" s="255"/>
      <c r="DI150" s="255"/>
      <c r="DJ150" s="255"/>
      <c r="DK150" s="255"/>
      <c r="DL150" s="255"/>
      <c r="DM150" s="255"/>
      <c r="DN150" s="255"/>
      <c r="DO150" s="255"/>
      <c r="DP150" s="255"/>
    </row>
    <row r="151" spans="1:120">
      <c r="A151" s="250"/>
      <c r="B151" s="253" t="s">
        <v>776</v>
      </c>
      <c r="C151" s="253"/>
      <c r="D151" s="253"/>
      <c r="E151" s="253">
        <v>24.1306875</v>
      </c>
      <c r="F151" s="253">
        <v>89.87839538</v>
      </c>
      <c r="G151" s="253">
        <v>169.23716267</v>
      </c>
      <c r="H151" s="253">
        <v>261.63569739</v>
      </c>
      <c r="I151" s="253">
        <v>356.08602548</v>
      </c>
      <c r="J151" s="253">
        <v>461.37280864</v>
      </c>
      <c r="K151" s="253">
        <v>545.30371428</v>
      </c>
      <c r="L151" s="253">
        <v>548.60694787</v>
      </c>
      <c r="M151" s="253">
        <v>732.87080438</v>
      </c>
      <c r="N151" s="253">
        <v>1182.06656085</v>
      </c>
      <c r="O151" s="253">
        <v>1745.77341699</v>
      </c>
      <c r="P151" s="253">
        <v>2592.23213635</v>
      </c>
      <c r="Q151" s="253">
        <v>3216.70089708</v>
      </c>
      <c r="R151" s="253">
        <v>5944.64949039</v>
      </c>
      <c r="S151" s="253">
        <f>14595.82833227+545.00064288</f>
        <v>15140.82897515</v>
      </c>
      <c r="T151" s="253">
        <f t="shared" ref="T151:V151" si="295">+S151+T40-T62</f>
        <v>33755.3693534407</v>
      </c>
      <c r="U151" s="253">
        <f t="shared" si="295"/>
        <v>60827.0261519122</v>
      </c>
      <c r="V151" s="253">
        <f t="shared" si="295"/>
        <v>91945.0244476446</v>
      </c>
      <c r="W151" s="303"/>
      <c r="X151" s="253"/>
      <c r="Y151" s="253"/>
      <c r="Z151" s="253"/>
      <c r="AA151" s="316"/>
      <c r="AB151" s="253"/>
      <c r="AC151" s="253"/>
      <c r="AD151" s="253"/>
      <c r="AE151" s="316"/>
      <c r="AF151" s="253"/>
      <c r="AG151" s="253"/>
      <c r="AH151" s="253"/>
      <c r="AI151" s="316"/>
      <c r="AJ151" s="253"/>
      <c r="AK151" s="253"/>
      <c r="AL151" s="253"/>
      <c r="AM151" s="316"/>
      <c r="AN151" s="253"/>
      <c r="AO151" s="253"/>
      <c r="AP151" s="253"/>
      <c r="AQ151" s="340"/>
      <c r="AR151" s="310"/>
      <c r="AS151" s="310"/>
      <c r="AT151" s="310"/>
      <c r="AU151" s="340"/>
      <c r="AV151" s="310"/>
      <c r="AW151" s="310"/>
      <c r="AX151" s="310"/>
      <c r="AY151" s="340"/>
      <c r="AZ151" s="310"/>
      <c r="BA151" s="310"/>
      <c r="BB151" s="310"/>
      <c r="BC151" s="340"/>
      <c r="BD151" s="310"/>
      <c r="BE151" s="310"/>
      <c r="BF151" s="310"/>
      <c r="BG151" s="340"/>
      <c r="BH151" s="310"/>
      <c r="BI151" s="310"/>
      <c r="BJ151" s="310"/>
      <c r="BK151" s="340"/>
      <c r="BL151" s="310"/>
      <c r="BM151" s="310"/>
      <c r="BN151" s="310"/>
      <c r="BO151" s="340"/>
      <c r="BP151" s="310"/>
      <c r="BQ151" s="310"/>
      <c r="BR151" s="310"/>
      <c r="BS151" s="340"/>
      <c r="BT151" s="310"/>
      <c r="BU151" s="310"/>
      <c r="BV151" s="310"/>
      <c r="BW151" s="310"/>
      <c r="BX151" s="310"/>
      <c r="BY151" s="310"/>
      <c r="BZ151" s="310"/>
      <c r="CA151" s="310"/>
      <c r="CB151" s="310"/>
      <c r="CC151" s="310"/>
      <c r="CD151" s="310"/>
      <c r="CE151" s="310"/>
      <c r="CF151" s="310"/>
      <c r="CG151" s="310"/>
      <c r="CH151" s="253"/>
      <c r="CI151" s="253"/>
      <c r="CJ151" s="253"/>
      <c r="CK151" s="253"/>
      <c r="CL151" s="253"/>
      <c r="CM151" s="253"/>
      <c r="CN151" s="253"/>
      <c r="CO151" s="253"/>
      <c r="CP151" s="253"/>
      <c r="CQ151" s="253"/>
      <c r="CR151" s="253"/>
      <c r="CS151" s="253"/>
      <c r="CT151" s="253"/>
      <c r="CU151" s="255"/>
      <c r="CV151" s="255"/>
      <c r="CW151" s="255"/>
      <c r="CX151" s="255"/>
      <c r="CY151" s="255"/>
      <c r="CZ151" s="255"/>
      <c r="DA151" s="255"/>
      <c r="DB151" s="255"/>
      <c r="DC151" s="255"/>
      <c r="DD151" s="255"/>
      <c r="DE151" s="255"/>
      <c r="DF151" s="255"/>
      <c r="DG151" s="255"/>
      <c r="DH151" s="255"/>
      <c r="DI151" s="255"/>
      <c r="DJ151" s="255"/>
      <c r="DK151" s="255"/>
      <c r="DL151" s="255"/>
      <c r="DM151" s="255"/>
      <c r="DN151" s="255"/>
      <c r="DO151" s="255"/>
      <c r="DP151" s="255"/>
    </row>
    <row r="152" spans="1:120">
      <c r="A152" s="250"/>
      <c r="B152" s="253" t="s">
        <v>777</v>
      </c>
      <c r="C152" s="253"/>
      <c r="D152" s="253"/>
      <c r="E152" s="253">
        <f t="shared" ref="E152:S152" si="296">+E153-E148-E149-E150-E151</f>
        <v>100.32358065</v>
      </c>
      <c r="F152" s="253">
        <f t="shared" si="296"/>
        <v>111.42373065</v>
      </c>
      <c r="G152" s="253">
        <f t="shared" si="296"/>
        <v>111.42373065</v>
      </c>
      <c r="H152" s="253">
        <f t="shared" si="296"/>
        <v>111.42373065</v>
      </c>
      <c r="I152" s="253">
        <f t="shared" si="296"/>
        <v>111.42373065</v>
      </c>
      <c r="J152" s="253">
        <f t="shared" si="296"/>
        <v>456.57594098</v>
      </c>
      <c r="K152" s="253">
        <f t="shared" si="296"/>
        <v>242.78567693</v>
      </c>
      <c r="L152" s="253">
        <f t="shared" si="296"/>
        <v>306.46821567</v>
      </c>
      <c r="M152" s="253">
        <f t="shared" si="296"/>
        <v>339.06061204</v>
      </c>
      <c r="N152" s="253">
        <f t="shared" si="296"/>
        <v>1899.756375</v>
      </c>
      <c r="O152" s="253">
        <f t="shared" si="296"/>
        <v>1657.05269147</v>
      </c>
      <c r="P152" s="253">
        <f t="shared" si="296"/>
        <v>1729.7193861</v>
      </c>
      <c r="Q152" s="253">
        <f t="shared" si="296"/>
        <v>1539.22867606</v>
      </c>
      <c r="R152" s="253">
        <f t="shared" si="296"/>
        <v>1674.67367547</v>
      </c>
      <c r="S152" s="253">
        <f t="shared" si="296"/>
        <v>1788.082801</v>
      </c>
      <c r="T152" s="253">
        <f t="shared" ref="T152:V152" si="297">+S152</f>
        <v>1788.082801</v>
      </c>
      <c r="U152" s="253">
        <f t="shared" si="297"/>
        <v>1788.082801</v>
      </c>
      <c r="V152" s="253">
        <f t="shared" si="297"/>
        <v>1788.082801</v>
      </c>
      <c r="W152" s="303"/>
      <c r="X152" s="253"/>
      <c r="Y152" s="253"/>
      <c r="Z152" s="253"/>
      <c r="AA152" s="316"/>
      <c r="AB152" s="253"/>
      <c r="AC152" s="253"/>
      <c r="AD152" s="253"/>
      <c r="AE152" s="316"/>
      <c r="AF152" s="253"/>
      <c r="AG152" s="253"/>
      <c r="AH152" s="253"/>
      <c r="AI152" s="316"/>
      <c r="AJ152" s="253"/>
      <c r="AK152" s="253"/>
      <c r="AL152" s="253"/>
      <c r="AM152" s="316"/>
      <c r="AN152" s="253"/>
      <c r="AO152" s="253"/>
      <c r="AP152" s="253"/>
      <c r="AQ152" s="473"/>
      <c r="AR152" s="474"/>
      <c r="AS152" s="474"/>
      <c r="AT152" s="474"/>
      <c r="AU152" s="473"/>
      <c r="AV152" s="474"/>
      <c r="AW152" s="474"/>
      <c r="AX152" s="474"/>
      <c r="AY152" s="473"/>
      <c r="AZ152" s="474"/>
      <c r="BA152" s="474"/>
      <c r="BB152" s="474"/>
      <c r="BC152" s="473"/>
      <c r="BD152" s="474"/>
      <c r="BE152" s="474"/>
      <c r="BF152" s="474"/>
      <c r="BG152" s="473"/>
      <c r="BH152" s="474"/>
      <c r="BI152" s="474"/>
      <c r="BJ152" s="474"/>
      <c r="BK152" s="473"/>
      <c r="BL152" s="474"/>
      <c r="BM152" s="474"/>
      <c r="BN152" s="474"/>
      <c r="BO152" s="473"/>
      <c r="BP152" s="474"/>
      <c r="BQ152" s="474"/>
      <c r="BR152" s="474"/>
      <c r="BS152" s="473"/>
      <c r="BT152" s="474"/>
      <c r="BU152" s="474"/>
      <c r="BV152" s="474"/>
      <c r="BW152" s="474"/>
      <c r="BX152" s="474"/>
      <c r="BY152" s="474"/>
      <c r="BZ152" s="474"/>
      <c r="CA152" s="474"/>
      <c r="CB152" s="474"/>
      <c r="CC152" s="474"/>
      <c r="CD152" s="474"/>
      <c r="CE152" s="474"/>
      <c r="CF152" s="474"/>
      <c r="CG152" s="474"/>
      <c r="CH152" s="253"/>
      <c r="CI152" s="253"/>
      <c r="CJ152" s="253"/>
      <c r="CK152" s="253"/>
      <c r="CL152" s="253"/>
      <c r="CM152" s="253"/>
      <c r="CN152" s="253"/>
      <c r="CO152" s="253"/>
      <c r="CP152" s="253"/>
      <c r="CQ152" s="253"/>
      <c r="CR152" s="253"/>
      <c r="CS152" s="253"/>
      <c r="CT152" s="253"/>
      <c r="CU152" s="255"/>
      <c r="CV152" s="255"/>
      <c r="CW152" s="255"/>
      <c r="CX152" s="255"/>
      <c r="CY152" s="255"/>
      <c r="CZ152" s="255"/>
      <c r="DA152" s="255"/>
      <c r="DB152" s="255"/>
      <c r="DC152" s="255"/>
      <c r="DD152" s="255"/>
      <c r="DE152" s="255"/>
      <c r="DF152" s="255"/>
      <c r="DG152" s="255"/>
      <c r="DH152" s="255"/>
      <c r="DI152" s="255"/>
      <c r="DJ152" s="255"/>
      <c r="DK152" s="255"/>
      <c r="DL152" s="255"/>
      <c r="DM152" s="255"/>
      <c r="DN152" s="255"/>
      <c r="DO152" s="255"/>
      <c r="DP152" s="255"/>
    </row>
    <row r="153" spans="1:120">
      <c r="A153" s="250"/>
      <c r="B153" s="257" t="s">
        <v>195</v>
      </c>
      <c r="C153" s="257"/>
      <c r="D153" s="257"/>
      <c r="E153" s="257">
        <v>180.04246815</v>
      </c>
      <c r="F153" s="257">
        <v>259.50212603</v>
      </c>
      <c r="G153" s="257">
        <v>338.86089332</v>
      </c>
      <c r="H153" s="257">
        <v>431.25942804</v>
      </c>
      <c r="I153" s="257">
        <v>525.70975613</v>
      </c>
      <c r="J153" s="257">
        <v>995.54874962</v>
      </c>
      <c r="K153" s="257">
        <v>1087.71199121</v>
      </c>
      <c r="L153" s="257">
        <v>1135.77746354</v>
      </c>
      <c r="M153" s="257">
        <v>1327.99382842</v>
      </c>
      <c r="N153" s="257">
        <v>3444.02740185</v>
      </c>
      <c r="O153" s="257">
        <v>3958.72367145</v>
      </c>
      <c r="P153" s="257">
        <v>4829.16761585</v>
      </c>
      <c r="Q153" s="257">
        <v>5465.97847354</v>
      </c>
      <c r="R153" s="257">
        <v>8328.12981786</v>
      </c>
      <c r="S153" s="257">
        <v>17922.92108815</v>
      </c>
      <c r="T153" s="257">
        <f t="shared" ref="T153:U153" si="298">T149+T151+T152+T150</f>
        <v>36537.4614664407</v>
      </c>
      <c r="U153" s="257">
        <f t="shared" si="298"/>
        <v>63609.1182649122</v>
      </c>
      <c r="V153" s="257">
        <f t="shared" ref="V153" si="299">V149+V151+V152+V150</f>
        <v>94727.1165606446</v>
      </c>
      <c r="W153" s="303"/>
      <c r="X153" s="251"/>
      <c r="Y153" s="251"/>
      <c r="Z153" s="251"/>
      <c r="AA153" s="315"/>
      <c r="AB153" s="251"/>
      <c r="AC153" s="251"/>
      <c r="AD153" s="251"/>
      <c r="AE153" s="315"/>
      <c r="AF153" s="251"/>
      <c r="AG153" s="251"/>
      <c r="AH153" s="251"/>
      <c r="AI153" s="315"/>
      <c r="AJ153" s="251"/>
      <c r="AK153" s="251"/>
      <c r="AL153" s="251"/>
      <c r="AM153" s="315"/>
      <c r="AN153" s="251"/>
      <c r="AO153" s="251"/>
      <c r="AP153" s="251"/>
      <c r="AQ153" s="315"/>
      <c r="AR153" s="251"/>
      <c r="AS153" s="251"/>
      <c r="AT153" s="251"/>
      <c r="AU153" s="315"/>
      <c r="AV153" s="251"/>
      <c r="AW153" s="251"/>
      <c r="AX153" s="251"/>
      <c r="AY153" s="315"/>
      <c r="AZ153" s="251"/>
      <c r="BA153" s="251"/>
      <c r="BB153" s="251"/>
      <c r="BC153" s="315"/>
      <c r="BD153" s="251"/>
      <c r="BE153" s="251"/>
      <c r="BF153" s="251"/>
      <c r="BG153" s="315"/>
      <c r="BH153" s="251"/>
      <c r="BI153" s="251"/>
      <c r="BJ153" s="251"/>
      <c r="BK153" s="315"/>
      <c r="BL153" s="251"/>
      <c r="BM153" s="251"/>
      <c r="BN153" s="251"/>
      <c r="BO153" s="315"/>
      <c r="BP153" s="251"/>
      <c r="BQ153" s="251"/>
      <c r="BR153" s="251"/>
      <c r="BS153" s="315"/>
      <c r="BT153" s="251"/>
      <c r="BU153" s="251"/>
      <c r="BV153" s="251"/>
      <c r="BW153" s="251"/>
      <c r="BX153" s="251"/>
      <c r="BY153" s="251"/>
      <c r="BZ153" s="251"/>
      <c r="CA153" s="251"/>
      <c r="CB153" s="251"/>
      <c r="CC153" s="251"/>
      <c r="CD153" s="251"/>
      <c r="CE153" s="251"/>
      <c r="CF153" s="251"/>
      <c r="CG153" s="251"/>
      <c r="CH153" s="251"/>
      <c r="CI153" s="251"/>
      <c r="CJ153" s="251"/>
      <c r="CK153" s="251"/>
      <c r="CL153" s="251"/>
      <c r="CM153" s="251"/>
      <c r="CN153" s="251"/>
      <c r="CO153" s="251"/>
      <c r="CP153" s="251"/>
      <c r="CQ153" s="251"/>
      <c r="CR153" s="251"/>
      <c r="CS153" s="251"/>
      <c r="CT153" s="251"/>
      <c r="CU153" s="251"/>
      <c r="CV153" s="251"/>
      <c r="CW153" s="251"/>
      <c r="CX153" s="251"/>
      <c r="CY153" s="251"/>
      <c r="CZ153" s="251"/>
      <c r="DA153" s="251"/>
      <c r="DB153" s="251"/>
      <c r="DC153" s="251"/>
      <c r="DD153" s="251"/>
      <c r="DE153" s="251"/>
      <c r="DF153" s="251"/>
      <c r="DG153" s="251"/>
      <c r="DH153" s="251"/>
      <c r="DI153" s="251"/>
      <c r="DJ153" s="251"/>
      <c r="DK153" s="251"/>
      <c r="DL153" s="251"/>
      <c r="DM153" s="251"/>
      <c r="DN153" s="251"/>
      <c r="DO153" s="251"/>
      <c r="DP153" s="251"/>
    </row>
    <row r="154" spans="1:120">
      <c r="A154" s="250"/>
      <c r="B154" s="253" t="s">
        <v>778</v>
      </c>
      <c r="C154" s="253"/>
      <c r="D154" s="253"/>
      <c r="E154" s="253">
        <v>0</v>
      </c>
      <c r="F154" s="253">
        <v>0</v>
      </c>
      <c r="G154" s="253">
        <v>0</v>
      </c>
      <c r="H154" s="253">
        <v>0</v>
      </c>
      <c r="I154" s="253">
        <v>0</v>
      </c>
      <c r="J154" s="253">
        <v>0</v>
      </c>
      <c r="K154" s="253">
        <v>0</v>
      </c>
      <c r="L154" s="253">
        <v>0</v>
      </c>
      <c r="M154" s="253">
        <v>0</v>
      </c>
      <c r="N154" s="253">
        <v>0</v>
      </c>
      <c r="O154" s="253">
        <v>0</v>
      </c>
      <c r="P154" s="253">
        <v>0</v>
      </c>
      <c r="Q154" s="253">
        <v>0</v>
      </c>
      <c r="R154" s="253">
        <v>0</v>
      </c>
      <c r="S154" s="253">
        <f t="shared" ref="S154:V154" si="300">+R154+S37+S224</f>
        <v>21.353486980001</v>
      </c>
      <c r="T154" s="253">
        <f t="shared" si="300"/>
        <v>87.9185695800011</v>
      </c>
      <c r="U154" s="253">
        <f t="shared" si="300"/>
        <v>87.9185695800011</v>
      </c>
      <c r="V154" s="253">
        <f t="shared" si="300"/>
        <v>87.9185695800011</v>
      </c>
      <c r="W154" s="303"/>
      <c r="X154" s="253"/>
      <c r="Y154" s="253"/>
      <c r="Z154" s="253"/>
      <c r="AA154" s="316"/>
      <c r="AB154" s="253"/>
      <c r="AC154" s="253"/>
      <c r="AD154" s="253"/>
      <c r="AE154" s="316"/>
      <c r="AF154" s="253"/>
      <c r="AG154" s="253"/>
      <c r="AH154" s="253"/>
      <c r="AI154" s="316"/>
      <c r="AJ154" s="253"/>
      <c r="AK154" s="253"/>
      <c r="AL154" s="253"/>
      <c r="AM154" s="316"/>
      <c r="AN154" s="253"/>
      <c r="AO154" s="253"/>
      <c r="AP154" s="253"/>
      <c r="AQ154" s="340"/>
      <c r="AR154" s="310"/>
      <c r="AS154" s="310"/>
      <c r="AT154" s="310"/>
      <c r="AU154" s="340"/>
      <c r="AV154" s="310"/>
      <c r="AW154" s="310"/>
      <c r="AX154" s="310"/>
      <c r="AY154" s="340"/>
      <c r="AZ154" s="310"/>
      <c r="BA154" s="310"/>
      <c r="BB154" s="310"/>
      <c r="BC154" s="340"/>
      <c r="BD154" s="310"/>
      <c r="BE154" s="310"/>
      <c r="BF154" s="310"/>
      <c r="BG154" s="340"/>
      <c r="BH154" s="310"/>
      <c r="BI154" s="310"/>
      <c r="BJ154" s="310"/>
      <c r="BK154" s="340"/>
      <c r="BL154" s="310"/>
      <c r="BM154" s="310"/>
      <c r="BN154" s="310"/>
      <c r="BO154" s="340"/>
      <c r="BP154" s="310"/>
      <c r="BQ154" s="310"/>
      <c r="BR154" s="310"/>
      <c r="BS154" s="340"/>
      <c r="BT154" s="310"/>
      <c r="BU154" s="310"/>
      <c r="BV154" s="310"/>
      <c r="BW154" s="310"/>
      <c r="BX154" s="310"/>
      <c r="BY154" s="310"/>
      <c r="BZ154" s="310"/>
      <c r="CA154" s="310"/>
      <c r="CB154" s="310"/>
      <c r="CC154" s="310"/>
      <c r="CD154" s="310"/>
      <c r="CE154" s="310"/>
      <c r="CF154" s="310"/>
      <c r="CG154" s="310"/>
      <c r="CH154" s="253"/>
      <c r="CI154" s="253"/>
      <c r="CJ154" s="253"/>
      <c r="CK154" s="253"/>
      <c r="CL154" s="253"/>
      <c r="CM154" s="253"/>
      <c r="CN154" s="253"/>
      <c r="CO154" s="253"/>
      <c r="CP154" s="253"/>
      <c r="CQ154" s="253"/>
      <c r="CR154" s="253"/>
      <c r="CS154" s="253"/>
      <c r="CT154" s="253"/>
      <c r="CU154" s="255"/>
      <c r="CV154" s="255"/>
      <c r="CW154" s="255"/>
      <c r="CX154" s="255"/>
      <c r="CY154" s="255"/>
      <c r="CZ154" s="255"/>
      <c r="DA154" s="255"/>
      <c r="DB154" s="255"/>
      <c r="DC154" s="255"/>
      <c r="DD154" s="255"/>
      <c r="DE154" s="255"/>
      <c r="DF154" s="255"/>
      <c r="DG154" s="255"/>
      <c r="DH154" s="255"/>
      <c r="DI154" s="255"/>
      <c r="DJ154" s="255"/>
      <c r="DK154" s="255"/>
      <c r="DL154" s="255"/>
      <c r="DM154" s="255"/>
      <c r="DN154" s="255"/>
      <c r="DO154" s="255"/>
      <c r="DP154" s="255"/>
    </row>
    <row r="155" spans="1:120">
      <c r="A155" s="250"/>
      <c r="B155" s="257" t="s">
        <v>779</v>
      </c>
      <c r="C155" s="257"/>
      <c r="D155" s="257"/>
      <c r="E155" s="257">
        <v>180.04246815</v>
      </c>
      <c r="F155" s="257">
        <v>259.50212603</v>
      </c>
      <c r="G155" s="257">
        <v>338.86089332</v>
      </c>
      <c r="H155" s="257">
        <v>431.25942804</v>
      </c>
      <c r="I155" s="257">
        <v>525.70975613</v>
      </c>
      <c r="J155" s="257">
        <v>995.54874962</v>
      </c>
      <c r="K155" s="257">
        <v>1087.71199121</v>
      </c>
      <c r="L155" s="257">
        <v>1135.77746354</v>
      </c>
      <c r="M155" s="257">
        <v>1327.99382842</v>
      </c>
      <c r="N155" s="257">
        <v>3444.02740185</v>
      </c>
      <c r="O155" s="257">
        <v>3958.72367145</v>
      </c>
      <c r="P155" s="257">
        <v>4829.16761585</v>
      </c>
      <c r="Q155" s="257">
        <v>5465.97847354</v>
      </c>
      <c r="R155" s="257">
        <v>8328.12981786</v>
      </c>
      <c r="S155" s="257">
        <v>18064.2556515</v>
      </c>
      <c r="T155" s="257">
        <f t="shared" ref="T155:U155" si="301">T153+T148+T154</f>
        <v>36625.3800360207</v>
      </c>
      <c r="U155" s="257">
        <f t="shared" si="301"/>
        <v>63697.0368344922</v>
      </c>
      <c r="V155" s="257">
        <f t="shared" ref="V155" si="302">V153+V148+V154</f>
        <v>94815.0351302246</v>
      </c>
      <c r="W155" s="303"/>
      <c r="X155" s="251"/>
      <c r="Y155" s="251"/>
      <c r="Z155" s="251"/>
      <c r="AA155" s="315"/>
      <c r="AB155" s="251"/>
      <c r="AC155" s="251"/>
      <c r="AD155" s="251"/>
      <c r="AE155" s="315"/>
      <c r="AF155" s="251"/>
      <c r="AG155" s="251"/>
      <c r="AH155" s="251"/>
      <c r="AI155" s="315"/>
      <c r="AJ155" s="251"/>
      <c r="AK155" s="251"/>
      <c r="AL155" s="251"/>
      <c r="AM155" s="315"/>
      <c r="AN155" s="251"/>
      <c r="AO155" s="251"/>
      <c r="AP155" s="251"/>
      <c r="AQ155" s="315"/>
      <c r="AR155" s="251"/>
      <c r="AS155" s="251"/>
      <c r="AT155" s="251"/>
      <c r="AU155" s="315"/>
      <c r="AV155" s="251"/>
      <c r="AW155" s="251"/>
      <c r="AX155" s="251"/>
      <c r="AY155" s="315"/>
      <c r="AZ155" s="251"/>
      <c r="BA155" s="251"/>
      <c r="BB155" s="251"/>
      <c r="BC155" s="315"/>
      <c r="BD155" s="251"/>
      <c r="BE155" s="251"/>
      <c r="BF155" s="251"/>
      <c r="BG155" s="315"/>
      <c r="BH155" s="251"/>
      <c r="BI155" s="251"/>
      <c r="BJ155" s="251"/>
      <c r="BK155" s="315"/>
      <c r="BL155" s="251"/>
      <c r="BM155" s="251"/>
      <c r="BN155" s="251"/>
      <c r="BO155" s="315"/>
      <c r="BP155" s="251"/>
      <c r="BQ155" s="251"/>
      <c r="BR155" s="251"/>
      <c r="BS155" s="315"/>
      <c r="BT155" s="251"/>
      <c r="BU155" s="251"/>
      <c r="BV155" s="251"/>
      <c r="BW155" s="251"/>
      <c r="BX155" s="251"/>
      <c r="BY155" s="251"/>
      <c r="BZ155" s="251"/>
      <c r="CA155" s="251"/>
      <c r="CB155" s="251"/>
      <c r="CC155" s="251"/>
      <c r="CD155" s="251"/>
      <c r="CE155" s="251"/>
      <c r="CF155" s="251"/>
      <c r="CG155" s="251"/>
      <c r="CH155" s="251"/>
      <c r="CI155" s="251"/>
      <c r="CJ155" s="251"/>
      <c r="CK155" s="251"/>
      <c r="CL155" s="251"/>
      <c r="CM155" s="251"/>
      <c r="CN155" s="251"/>
      <c r="CO155" s="251"/>
      <c r="CP155" s="251"/>
      <c r="CQ155" s="251"/>
      <c r="CR155" s="251"/>
      <c r="CS155" s="251"/>
      <c r="CT155" s="251"/>
      <c r="CU155" s="251"/>
      <c r="CV155" s="251"/>
      <c r="CW155" s="251"/>
      <c r="CX155" s="251"/>
      <c r="CY155" s="251"/>
      <c r="CZ155" s="251"/>
      <c r="DA155" s="251"/>
      <c r="DB155" s="251"/>
      <c r="DC155" s="251"/>
      <c r="DD155" s="251"/>
      <c r="DE155" s="251"/>
      <c r="DF155" s="251"/>
      <c r="DG155" s="251"/>
      <c r="DH155" s="251"/>
      <c r="DI155" s="251"/>
      <c r="DJ155" s="251"/>
      <c r="DK155" s="251"/>
      <c r="DL155" s="251"/>
      <c r="DM155" s="251"/>
      <c r="DN155" s="251"/>
      <c r="DO155" s="251"/>
      <c r="DP155" s="251"/>
    </row>
    <row r="156" spans="1:120">
      <c r="A156" s="250"/>
      <c r="B156" s="257" t="s">
        <v>201</v>
      </c>
      <c r="C156" s="257"/>
      <c r="D156" s="257"/>
      <c r="E156" s="257">
        <f t="shared" ref="E156:U156" si="303">E155+E146</f>
        <v>283.62288112</v>
      </c>
      <c r="F156" s="257">
        <f t="shared" si="303"/>
        <v>326.04711634</v>
      </c>
      <c r="G156" s="257">
        <f t="shared" si="303"/>
        <v>456.57085869</v>
      </c>
      <c r="H156" s="257">
        <f t="shared" si="303"/>
        <v>558.34088905</v>
      </c>
      <c r="I156" s="257">
        <f t="shared" si="303"/>
        <v>688.0028418</v>
      </c>
      <c r="J156" s="257">
        <f t="shared" si="303"/>
        <v>1197.33406459</v>
      </c>
      <c r="K156" s="257">
        <f t="shared" si="303"/>
        <v>1402.35849157</v>
      </c>
      <c r="L156" s="257">
        <f t="shared" si="303"/>
        <v>1379.53472778</v>
      </c>
      <c r="M156" s="257">
        <f t="shared" si="303"/>
        <v>1665.18256813</v>
      </c>
      <c r="N156" s="257">
        <f t="shared" si="303"/>
        <v>4217.11564285</v>
      </c>
      <c r="O156" s="257">
        <f t="shared" si="303"/>
        <v>4864.23476302</v>
      </c>
      <c r="P156" s="257">
        <f t="shared" si="303"/>
        <v>5876.06149629</v>
      </c>
      <c r="Q156" s="257">
        <f t="shared" si="303"/>
        <v>6439.98356034</v>
      </c>
      <c r="R156" s="257">
        <f t="shared" si="303"/>
        <v>12266.54985389</v>
      </c>
      <c r="S156" s="257">
        <f t="shared" si="303"/>
        <v>25881.07117647</v>
      </c>
      <c r="T156" s="257">
        <f t="shared" si="303"/>
        <v>50880.3597070363</v>
      </c>
      <c r="U156" s="257">
        <f t="shared" si="303"/>
        <v>78941.2390726915</v>
      </c>
      <c r="V156" s="257">
        <f t="shared" ref="V156" si="304">V155+V146</f>
        <v>106764.812602769</v>
      </c>
      <c r="W156" s="303"/>
      <c r="X156" s="251"/>
      <c r="Y156" s="251"/>
      <c r="Z156" s="251"/>
      <c r="AA156" s="315"/>
      <c r="AB156" s="251"/>
      <c r="AC156" s="251"/>
      <c r="AD156" s="251"/>
      <c r="AE156" s="315"/>
      <c r="AF156" s="251"/>
      <c r="AG156" s="251"/>
      <c r="AH156" s="251"/>
      <c r="AI156" s="315"/>
      <c r="AJ156" s="251"/>
      <c r="AK156" s="251"/>
      <c r="AL156" s="251"/>
      <c r="AM156" s="315"/>
      <c r="AN156" s="251"/>
      <c r="AO156" s="251"/>
      <c r="AP156" s="251"/>
      <c r="AQ156" s="315"/>
      <c r="AR156" s="251"/>
      <c r="AS156" s="251"/>
      <c r="AT156" s="251"/>
      <c r="AU156" s="315"/>
      <c r="AV156" s="251"/>
      <c r="AW156" s="251"/>
      <c r="AX156" s="251"/>
      <c r="AY156" s="315"/>
      <c r="AZ156" s="251"/>
      <c r="BA156" s="251"/>
      <c r="BB156" s="251"/>
      <c r="BC156" s="315"/>
      <c r="BD156" s="251"/>
      <c r="BE156" s="251"/>
      <c r="BF156" s="251"/>
      <c r="BG156" s="315"/>
      <c r="BH156" s="251"/>
      <c r="BI156" s="251"/>
      <c r="BJ156" s="251"/>
      <c r="BK156" s="315"/>
      <c r="BL156" s="251"/>
      <c r="BM156" s="251"/>
      <c r="BN156" s="251"/>
      <c r="BO156" s="315"/>
      <c r="BP156" s="251"/>
      <c r="BQ156" s="251"/>
      <c r="BR156" s="251"/>
      <c r="BS156" s="315"/>
      <c r="BT156" s="251"/>
      <c r="BU156" s="251"/>
      <c r="BV156" s="251"/>
      <c r="BW156" s="251"/>
      <c r="BX156" s="251"/>
      <c r="BY156" s="251"/>
      <c r="BZ156" s="251"/>
      <c r="CA156" s="251"/>
      <c r="CB156" s="251"/>
      <c r="CC156" s="251"/>
      <c r="CD156" s="251"/>
      <c r="CE156" s="251"/>
      <c r="CF156" s="251"/>
      <c r="CG156" s="251"/>
      <c r="CH156" s="251"/>
      <c r="CI156" s="251"/>
      <c r="CJ156" s="251"/>
      <c r="CK156" s="251"/>
      <c r="CL156" s="251"/>
      <c r="CM156" s="251"/>
      <c r="CN156" s="251"/>
      <c r="CO156" s="251"/>
      <c r="CP156" s="251"/>
      <c r="CQ156" s="251"/>
      <c r="CR156" s="251"/>
      <c r="CS156" s="251"/>
      <c r="CT156" s="251"/>
      <c r="CU156" s="251"/>
      <c r="CV156" s="251"/>
      <c r="CW156" s="251"/>
      <c r="CX156" s="251"/>
      <c r="CY156" s="251"/>
      <c r="CZ156" s="251"/>
      <c r="DA156" s="251"/>
      <c r="DB156" s="251"/>
      <c r="DC156" s="251"/>
      <c r="DD156" s="251"/>
      <c r="DE156" s="251"/>
      <c r="DF156" s="251"/>
      <c r="DG156" s="251"/>
      <c r="DH156" s="251"/>
      <c r="DI156" s="251"/>
      <c r="DJ156" s="251"/>
      <c r="DK156" s="251"/>
      <c r="DL156" s="251"/>
      <c r="DM156" s="251"/>
      <c r="DN156" s="251"/>
      <c r="DO156" s="251"/>
      <c r="DP156" s="251"/>
    </row>
    <row r="157" spans="1:45">
      <c r="A157" s="250"/>
      <c r="B157" s="253"/>
      <c r="C157" s="253"/>
      <c r="D157" s="253"/>
      <c r="E157" s="253"/>
      <c r="F157" s="253"/>
      <c r="G157" s="253"/>
      <c r="H157" s="460"/>
      <c r="I157" s="460"/>
      <c r="J157" s="460"/>
      <c r="K157" s="460"/>
      <c r="L157" s="253"/>
      <c r="M157" s="253"/>
      <c r="N157" s="253"/>
      <c r="O157" s="253"/>
      <c r="P157" s="253"/>
      <c r="Q157" s="253"/>
      <c r="R157" s="253"/>
      <c r="S157" s="253"/>
      <c r="T157" s="253"/>
      <c r="U157" s="253"/>
      <c r="V157" s="253"/>
      <c r="W157" s="303"/>
      <c r="X157" s="460"/>
      <c r="Y157" s="460"/>
      <c r="Z157" s="460"/>
      <c r="AA157" s="467"/>
      <c r="AB157" s="460"/>
      <c r="AC157" s="460"/>
      <c r="AD157" s="460"/>
      <c r="AE157" s="467"/>
      <c r="AF157" s="460"/>
      <c r="AG157" s="460"/>
      <c r="AH157" s="460"/>
      <c r="AI157" s="467"/>
      <c r="AJ157" s="460"/>
      <c r="AK157" s="460"/>
      <c r="AL157" s="460"/>
      <c r="AM157" s="467"/>
      <c r="AN157" s="460"/>
      <c r="AO157" s="460"/>
      <c r="AP157" s="460"/>
      <c r="AQ157" s="337"/>
      <c r="AR157" s="303"/>
      <c r="AS157" s="303"/>
    </row>
    <row r="158" spans="1:120">
      <c r="A158" s="449"/>
      <c r="B158" s="449"/>
      <c r="C158" s="450"/>
      <c r="D158" s="450"/>
      <c r="E158" s="450"/>
      <c r="F158" s="450"/>
      <c r="G158" s="450"/>
      <c r="H158" s="450"/>
      <c r="I158" s="450"/>
      <c r="J158" s="450"/>
      <c r="K158" s="450"/>
      <c r="L158" s="450"/>
      <c r="M158" s="450"/>
      <c r="N158" s="450"/>
      <c r="O158" s="450"/>
      <c r="P158" s="450"/>
      <c r="Q158" s="450"/>
      <c r="R158" s="450"/>
      <c r="S158" s="450"/>
      <c r="T158" s="450"/>
      <c r="U158" s="450"/>
      <c r="V158" s="450"/>
      <c r="W158" s="463"/>
      <c r="X158" s="449"/>
      <c r="Y158" s="449"/>
      <c r="Z158" s="449"/>
      <c r="AA158" s="468"/>
      <c r="AB158" s="449"/>
      <c r="AC158" s="449"/>
      <c r="AD158" s="449"/>
      <c r="AE158" s="468"/>
      <c r="AF158" s="449"/>
      <c r="AG158" s="449"/>
      <c r="AH158" s="449"/>
      <c r="AI158" s="468"/>
      <c r="AJ158" s="449"/>
      <c r="AK158" s="449"/>
      <c r="AL158" s="449"/>
      <c r="AM158" s="468"/>
      <c r="AN158" s="449"/>
      <c r="AO158" s="449"/>
      <c r="AP158" s="449"/>
      <c r="AQ158" s="468"/>
      <c r="AR158" s="449"/>
      <c r="AS158" s="449"/>
      <c r="AT158" s="449"/>
      <c r="AU158" s="468"/>
      <c r="AV158" s="449"/>
      <c r="AW158" s="449"/>
      <c r="AX158" s="449"/>
      <c r="AY158" s="468"/>
      <c r="AZ158" s="449"/>
      <c r="BA158" s="449"/>
      <c r="BB158" s="449"/>
      <c r="BC158" s="468"/>
      <c r="BD158" s="449"/>
      <c r="BE158" s="449"/>
      <c r="BF158" s="449"/>
      <c r="BG158" s="468"/>
      <c r="BH158" s="449"/>
      <c r="BI158" s="449"/>
      <c r="BJ158" s="449"/>
      <c r="BK158" s="468"/>
      <c r="BL158" s="449"/>
      <c r="BM158" s="449"/>
      <c r="BN158" s="449"/>
      <c r="BO158" s="468"/>
      <c r="BP158" s="449"/>
      <c r="BQ158" s="449"/>
      <c r="BR158" s="449"/>
      <c r="BS158" s="468"/>
      <c r="BT158" s="449"/>
      <c r="BU158" s="449"/>
      <c r="BV158" s="449"/>
      <c r="BW158" s="449"/>
      <c r="BX158" s="449"/>
      <c r="BY158" s="449"/>
      <c r="BZ158" s="449"/>
      <c r="CA158" s="449"/>
      <c r="CB158" s="449"/>
      <c r="CC158" s="449"/>
      <c r="CD158" s="449"/>
      <c r="CE158" s="449"/>
      <c r="CF158" s="449"/>
      <c r="CG158" s="449"/>
      <c r="CH158" s="477"/>
      <c r="CI158" s="477"/>
      <c r="CJ158" s="477"/>
      <c r="CK158" s="477"/>
      <c r="CL158" s="477"/>
      <c r="CM158" s="477"/>
      <c r="CN158" s="477"/>
      <c r="CO158" s="477"/>
      <c r="CP158" s="477"/>
      <c r="CQ158" s="477"/>
      <c r="CR158" s="477"/>
      <c r="CS158" s="477"/>
      <c r="CT158" s="477"/>
      <c r="CU158" s="449"/>
      <c r="CV158" s="449"/>
      <c r="CW158" s="449"/>
      <c r="CX158" s="449"/>
      <c r="CY158" s="449"/>
      <c r="CZ158" s="449"/>
      <c r="DA158" s="449"/>
      <c r="DB158" s="449"/>
      <c r="DC158" s="449"/>
      <c r="DD158" s="449"/>
      <c r="DE158" s="449"/>
      <c r="DF158" s="449"/>
      <c r="DG158" s="449"/>
      <c r="DH158" s="449"/>
      <c r="DI158" s="449"/>
      <c r="DJ158" s="449"/>
      <c r="DK158" s="449"/>
      <c r="DL158" s="449"/>
      <c r="DM158" s="449"/>
      <c r="DN158" s="449"/>
      <c r="DO158" s="449"/>
      <c r="DP158" s="449"/>
    </row>
    <row r="159" spans="1:120">
      <c r="A159" s="261"/>
      <c r="B159" s="451"/>
      <c r="C159" s="253"/>
      <c r="D159" s="253"/>
      <c r="E159" s="253"/>
      <c r="F159" s="253"/>
      <c r="G159" s="253"/>
      <c r="H159" s="253"/>
      <c r="I159" s="253"/>
      <c r="J159" s="253"/>
      <c r="K159" s="253"/>
      <c r="L159" s="253"/>
      <c r="M159" s="253"/>
      <c r="N159" s="253"/>
      <c r="O159" s="253"/>
      <c r="P159" s="253"/>
      <c r="Q159" s="253"/>
      <c r="R159" s="253"/>
      <c r="S159" s="253"/>
      <c r="T159" s="253"/>
      <c r="U159" s="253"/>
      <c r="V159" s="253"/>
      <c r="W159" s="303"/>
      <c r="X159" s="253"/>
      <c r="Y159" s="253"/>
      <c r="Z159" s="253"/>
      <c r="AA159" s="316"/>
      <c r="AB159" s="253"/>
      <c r="AC159" s="253"/>
      <c r="AD159" s="253"/>
      <c r="AE159" s="316"/>
      <c r="AF159" s="253"/>
      <c r="AG159" s="253"/>
      <c r="AH159" s="253"/>
      <c r="AI159" s="316"/>
      <c r="AJ159" s="253"/>
      <c r="AK159" s="253"/>
      <c r="AL159" s="253"/>
      <c r="AM159" s="316"/>
      <c r="AN159" s="253"/>
      <c r="AO159" s="253"/>
      <c r="AP159" s="253"/>
      <c r="AQ159" s="340"/>
      <c r="AR159" s="310"/>
      <c r="AS159" s="310"/>
      <c r="AT159" s="310"/>
      <c r="AU159" s="340"/>
      <c r="AV159" s="310"/>
      <c r="AW159" s="310"/>
      <c r="AX159" s="310"/>
      <c r="AY159" s="340"/>
      <c r="AZ159" s="310"/>
      <c r="BA159" s="310"/>
      <c r="BB159" s="310"/>
      <c r="BC159" s="340"/>
      <c r="BD159" s="310"/>
      <c r="BE159" s="310"/>
      <c r="BF159" s="310"/>
      <c r="BG159" s="340"/>
      <c r="BH159" s="310"/>
      <c r="BI159" s="310"/>
      <c r="BJ159" s="310"/>
      <c r="BK159" s="340"/>
      <c r="BL159" s="310"/>
      <c r="BM159" s="310"/>
      <c r="BN159" s="310"/>
      <c r="BO159" s="340"/>
      <c r="BP159" s="310"/>
      <c r="BQ159" s="310"/>
      <c r="BR159" s="310"/>
      <c r="BS159" s="340"/>
      <c r="BT159" s="310"/>
      <c r="BU159" s="310"/>
      <c r="BV159" s="310"/>
      <c r="BW159" s="310"/>
      <c r="BX159" s="310"/>
      <c r="BY159" s="310"/>
      <c r="BZ159" s="310"/>
      <c r="CA159" s="310"/>
      <c r="CB159" s="310"/>
      <c r="CC159" s="310"/>
      <c r="CD159" s="310"/>
      <c r="CE159" s="310"/>
      <c r="CF159" s="310"/>
      <c r="CG159" s="310"/>
      <c r="CH159" s="303"/>
      <c r="CI159" s="303"/>
      <c r="CJ159" s="303"/>
      <c r="CK159" s="303"/>
      <c r="CL159" s="303"/>
      <c r="CM159" s="303"/>
      <c r="CN159" s="303"/>
      <c r="CO159" s="303"/>
      <c r="CP159" s="303"/>
      <c r="CQ159" s="303"/>
      <c r="CR159" s="303"/>
      <c r="CS159" s="303"/>
      <c r="CT159" s="303"/>
      <c r="CU159" s="303"/>
      <c r="CV159" s="303"/>
      <c r="CW159" s="303"/>
      <c r="CX159" s="303"/>
      <c r="CY159" s="303"/>
      <c r="CZ159" s="303"/>
      <c r="DA159" s="303"/>
      <c r="DB159" s="303"/>
      <c r="DC159" s="303"/>
      <c r="DD159" s="303"/>
      <c r="DE159" s="303"/>
      <c r="DF159" s="303"/>
      <c r="DG159" s="303"/>
      <c r="DH159" s="303"/>
      <c r="DI159" s="303"/>
      <c r="DJ159" s="303"/>
      <c r="DK159" s="303"/>
      <c r="DL159" s="303"/>
      <c r="DM159" s="303"/>
      <c r="DN159" s="303"/>
      <c r="DO159" s="303"/>
      <c r="DP159" s="303"/>
    </row>
    <row r="160" spans="1:120">
      <c r="A160" s="248"/>
      <c r="B160" s="245" t="s">
        <v>780</v>
      </c>
      <c r="C160" s="247"/>
      <c r="D160" s="247"/>
      <c r="E160" s="247"/>
      <c r="F160" s="247"/>
      <c r="G160" s="247"/>
      <c r="H160" s="247"/>
      <c r="I160" s="247"/>
      <c r="J160" s="247"/>
      <c r="K160" s="247"/>
      <c r="L160" s="296"/>
      <c r="M160" s="296"/>
      <c r="N160" s="296"/>
      <c r="O160" s="296"/>
      <c r="P160" s="296"/>
      <c r="Q160" s="296"/>
      <c r="R160" s="296"/>
      <c r="S160" s="296"/>
      <c r="T160" s="296"/>
      <c r="U160" s="296"/>
      <c r="V160" s="296"/>
      <c r="W160" s="300"/>
      <c r="X160" s="301"/>
      <c r="Y160" s="301"/>
      <c r="Z160" s="301"/>
      <c r="AA160" s="425"/>
      <c r="AB160" s="301"/>
      <c r="AC160" s="301"/>
      <c r="AD160" s="301"/>
      <c r="AE160" s="425"/>
      <c r="AF160" s="301"/>
      <c r="AG160" s="301"/>
      <c r="AH160" s="301"/>
      <c r="AI160" s="425"/>
      <c r="AJ160" s="301"/>
      <c r="AK160" s="301"/>
      <c r="AL160" s="301"/>
      <c r="AM160" s="425"/>
      <c r="AN160" s="301"/>
      <c r="AO160" s="301"/>
      <c r="AP160" s="301"/>
      <c r="AQ160" s="436"/>
      <c r="AR160" s="383"/>
      <c r="AS160" s="383"/>
      <c r="AT160" s="383"/>
      <c r="AU160" s="436"/>
      <c r="AV160" s="383"/>
      <c r="AW160" s="383"/>
      <c r="AX160" s="383"/>
      <c r="AY160" s="436"/>
      <c r="AZ160" s="383"/>
      <c r="BA160" s="383"/>
      <c r="BB160" s="383"/>
      <c r="BC160" s="436"/>
      <c r="BD160" s="383"/>
      <c r="BE160" s="383"/>
      <c r="BF160" s="383"/>
      <c r="BG160" s="436"/>
      <c r="BH160" s="383"/>
      <c r="BI160" s="383"/>
      <c r="BJ160" s="383"/>
      <c r="BK160" s="436"/>
      <c r="BL160" s="383"/>
      <c r="BM160" s="383"/>
      <c r="BN160" s="383"/>
      <c r="BO160" s="436"/>
      <c r="BP160" s="383"/>
      <c r="BQ160" s="383"/>
      <c r="BR160" s="383"/>
      <c r="BS160" s="436"/>
      <c r="BT160" s="383"/>
      <c r="BU160" s="383"/>
      <c r="BV160" s="383"/>
      <c r="BW160" s="383"/>
      <c r="BX160" s="383"/>
      <c r="BY160" s="383"/>
      <c r="BZ160" s="383"/>
      <c r="CA160" s="383"/>
      <c r="CB160" s="383"/>
      <c r="CC160" s="383"/>
      <c r="CD160" s="383"/>
      <c r="CE160" s="383"/>
      <c r="CF160" s="383"/>
      <c r="CG160" s="383"/>
      <c r="CH160" s="283"/>
      <c r="CI160" s="283"/>
      <c r="CJ160" s="283"/>
      <c r="CK160" s="283"/>
      <c r="CL160" s="283"/>
      <c r="CM160" s="283"/>
      <c r="CN160" s="283"/>
      <c r="CO160" s="283"/>
      <c r="CP160" s="283"/>
      <c r="CQ160" s="283"/>
      <c r="CR160" s="283"/>
      <c r="CS160" s="283"/>
      <c r="CT160" s="283"/>
      <c r="CU160" s="301"/>
      <c r="CV160" s="301"/>
      <c r="CW160" s="301"/>
      <c r="CX160" s="301"/>
      <c r="CY160" s="301"/>
      <c r="CZ160" s="301"/>
      <c r="DA160" s="301"/>
      <c r="DB160" s="301"/>
      <c r="DC160" s="301"/>
      <c r="DD160" s="301"/>
      <c r="DE160" s="301"/>
      <c r="DF160" s="301"/>
      <c r="DG160" s="301"/>
      <c r="DH160" s="301"/>
      <c r="DI160" s="301"/>
      <c r="DJ160" s="301"/>
      <c r="DK160" s="301"/>
      <c r="DL160" s="301"/>
      <c r="DM160" s="301"/>
      <c r="DN160" s="301"/>
      <c r="DO160" s="301"/>
      <c r="DP160" s="301"/>
    </row>
    <row r="161" spans="1:120">
      <c r="A161" s="250"/>
      <c r="B161" s="452" t="s">
        <v>781</v>
      </c>
      <c r="C161" s="253"/>
      <c r="D161" s="253"/>
      <c r="E161" s="253">
        <f t="shared" ref="E161:S161" si="305">IF(ISERROR(AVERAGE(D122,E122)/E7*365)," ",AVERAGE(D122,E122)/E7*365)</f>
        <v>101.867788214868</v>
      </c>
      <c r="F161" s="253">
        <f t="shared" si="305"/>
        <v>89.9159309536384</v>
      </c>
      <c r="G161" s="253">
        <f t="shared" si="305"/>
        <v>91.9167347367676</v>
      </c>
      <c r="H161" s="253">
        <f t="shared" si="305"/>
        <v>120.123525437408</v>
      </c>
      <c r="I161" s="253">
        <f t="shared" si="305"/>
        <v>124.841083278191</v>
      </c>
      <c r="J161" s="253">
        <f t="shared" si="305"/>
        <v>131.636689553964</v>
      </c>
      <c r="K161" s="253">
        <f t="shared" si="305"/>
        <v>148.985984123256</v>
      </c>
      <c r="L161" s="253">
        <f t="shared" si="305"/>
        <v>181.302585821356</v>
      </c>
      <c r="M161" s="253">
        <f t="shared" si="305"/>
        <v>100.700445267913</v>
      </c>
      <c r="N161" s="253">
        <f t="shared" si="305"/>
        <v>62.1872470474786</v>
      </c>
      <c r="O161" s="253">
        <f t="shared" si="305"/>
        <v>59.3665121715319</v>
      </c>
      <c r="P161" s="253">
        <f t="shared" si="305"/>
        <v>70.1559169349514</v>
      </c>
      <c r="Q161" s="253">
        <f t="shared" si="305"/>
        <v>84.6367665065475</v>
      </c>
      <c r="R161" s="253">
        <f t="shared" si="305"/>
        <v>69.4580733142745</v>
      </c>
      <c r="S161" s="253">
        <f t="shared" si="305"/>
        <v>51.3641230285474</v>
      </c>
      <c r="T161" s="298">
        <f>S161+5</f>
        <v>56.3641230285474</v>
      </c>
      <c r="U161" s="298">
        <f t="shared" ref="U161:V161" si="306">T161+5</f>
        <v>61.3641230285474</v>
      </c>
      <c r="V161" s="298">
        <f t="shared" si="306"/>
        <v>66.3641230285474</v>
      </c>
      <c r="W161" s="303"/>
      <c r="X161" s="253"/>
      <c r="Y161" s="253"/>
      <c r="Z161" s="253"/>
      <c r="AA161" s="316"/>
      <c r="AB161" s="253"/>
      <c r="AC161" s="253"/>
      <c r="AD161" s="253"/>
      <c r="AE161" s="316"/>
      <c r="AF161" s="253"/>
      <c r="AG161" s="253"/>
      <c r="AH161" s="253"/>
      <c r="AI161" s="316"/>
      <c r="AJ161" s="253"/>
      <c r="AK161" s="253"/>
      <c r="AL161" s="253"/>
      <c r="AM161" s="316"/>
      <c r="AN161" s="253"/>
      <c r="AO161" s="253"/>
      <c r="AP161" s="253"/>
      <c r="AQ161" s="475"/>
      <c r="AR161" s="476">
        <f>AVERAGE(AR122,R122)/SUM(BP7:BR7)*270</f>
        <v>53.5290426071323</v>
      </c>
      <c r="AS161" s="476"/>
      <c r="AT161" s="476"/>
      <c r="AU161" s="475"/>
      <c r="AV161" s="476"/>
      <c r="AW161" s="476"/>
      <c r="AX161" s="476"/>
      <c r="AY161" s="475"/>
      <c r="AZ161" s="476"/>
      <c r="BA161" s="476"/>
      <c r="BB161" s="476"/>
      <c r="BC161" s="475"/>
      <c r="BD161" s="476"/>
      <c r="BE161" s="476"/>
      <c r="BF161" s="476"/>
      <c r="BG161" s="475"/>
      <c r="BH161" s="476"/>
      <c r="BI161" s="476"/>
      <c r="BJ161" s="476"/>
      <c r="BK161" s="475"/>
      <c r="BL161" s="476"/>
      <c r="BM161" s="476"/>
      <c r="BN161" s="476"/>
      <c r="BO161" s="475"/>
      <c r="BP161" s="476"/>
      <c r="BQ161" s="476"/>
      <c r="BR161" s="476"/>
      <c r="BS161" s="475"/>
      <c r="BT161" s="476"/>
      <c r="BU161" s="476"/>
      <c r="BV161" s="476"/>
      <c r="BW161" s="476"/>
      <c r="BX161" s="476"/>
      <c r="BY161" s="476"/>
      <c r="BZ161" s="476"/>
      <c r="CA161" s="476"/>
      <c r="CB161" s="476"/>
      <c r="CC161" s="476"/>
      <c r="CD161" s="476"/>
      <c r="CE161" s="476"/>
      <c r="CF161" s="476"/>
      <c r="CG161" s="476"/>
      <c r="CH161" s="253"/>
      <c r="CI161" s="253"/>
      <c r="CJ161" s="253"/>
      <c r="CK161" s="253"/>
      <c r="CL161" s="253"/>
      <c r="CM161" s="253"/>
      <c r="CN161" s="253"/>
      <c r="CO161" s="253"/>
      <c r="CP161" s="253"/>
      <c r="CQ161" s="253"/>
      <c r="CR161" s="253"/>
      <c r="CS161" s="253"/>
      <c r="CT161" s="253"/>
      <c r="CU161" s="253"/>
      <c r="CV161" s="253"/>
      <c r="CW161" s="253"/>
      <c r="CX161" s="253"/>
      <c r="CY161" s="253"/>
      <c r="CZ161" s="253"/>
      <c r="DA161" s="253"/>
      <c r="DB161" s="253"/>
      <c r="DC161" s="253"/>
      <c r="DD161" s="253"/>
      <c r="DE161" s="253"/>
      <c r="DF161" s="253"/>
      <c r="DG161" s="253"/>
      <c r="DH161" s="253"/>
      <c r="DI161" s="253"/>
      <c r="DJ161" s="253"/>
      <c r="DK161" s="253"/>
      <c r="DL161" s="253"/>
      <c r="DM161" s="253"/>
      <c r="DN161" s="253"/>
      <c r="DO161" s="253"/>
      <c r="DP161" s="253"/>
    </row>
    <row r="162" spans="1:120">
      <c r="A162" s="250"/>
      <c r="B162" s="452" t="s">
        <v>782</v>
      </c>
      <c r="C162" s="253"/>
      <c r="D162" s="253"/>
      <c r="E162" s="253">
        <f t="shared" ref="E162:S162" si="307">IF(ISERROR(AVERAGE(D123,E123)/E10*365)," ",AVERAGE(D123,E123)/E10*365)</f>
        <v>123.549929789795</v>
      </c>
      <c r="F162" s="253">
        <f t="shared" si="307"/>
        <v>118.833800084429</v>
      </c>
      <c r="G162" s="253">
        <f t="shared" si="307"/>
        <v>108.111518361944</v>
      </c>
      <c r="H162" s="253">
        <f t="shared" si="307"/>
        <v>120.790620490448</v>
      </c>
      <c r="I162" s="253">
        <f t="shared" si="307"/>
        <v>135.911881564856</v>
      </c>
      <c r="J162" s="253">
        <f t="shared" si="307"/>
        <v>170.613098083012</v>
      </c>
      <c r="K162" s="253">
        <f t="shared" si="307"/>
        <v>196.30873848835</v>
      </c>
      <c r="L162" s="253">
        <f t="shared" si="307"/>
        <v>216.238553893531</v>
      </c>
      <c r="M162" s="253">
        <f t="shared" si="307"/>
        <v>154.404616042255</v>
      </c>
      <c r="N162" s="253">
        <f t="shared" si="307"/>
        <v>191.533217531001</v>
      </c>
      <c r="O162" s="253">
        <f t="shared" si="307"/>
        <v>231.092971047093</v>
      </c>
      <c r="P162" s="253">
        <f t="shared" si="307"/>
        <v>260.70329603987</v>
      </c>
      <c r="Q162" s="253">
        <f t="shared" si="307"/>
        <v>207.6763626744</v>
      </c>
      <c r="R162" s="253">
        <f t="shared" si="307"/>
        <v>194.534723644706</v>
      </c>
      <c r="S162" s="253">
        <f t="shared" si="307"/>
        <v>159.984585398699</v>
      </c>
      <c r="T162" s="298">
        <f>S162</f>
        <v>159.984585398699</v>
      </c>
      <c r="U162" s="298">
        <f t="shared" ref="U162:V162" si="308">T162</f>
        <v>159.984585398699</v>
      </c>
      <c r="V162" s="298">
        <f t="shared" si="308"/>
        <v>159.984585398699</v>
      </c>
      <c r="W162" s="303"/>
      <c r="X162" s="253"/>
      <c r="Y162" s="253"/>
      <c r="Z162" s="253"/>
      <c r="AA162" s="316"/>
      <c r="AB162" s="253"/>
      <c r="AC162" s="253"/>
      <c r="AD162" s="253"/>
      <c r="AE162" s="316"/>
      <c r="AF162" s="253"/>
      <c r="AG162" s="253"/>
      <c r="AH162" s="253"/>
      <c r="AI162" s="316"/>
      <c r="AJ162" s="253"/>
      <c r="AK162" s="253"/>
      <c r="AL162" s="253"/>
      <c r="AM162" s="316"/>
      <c r="AN162" s="253"/>
      <c r="AO162" s="253"/>
      <c r="AP162" s="253"/>
      <c r="AQ162" s="475"/>
      <c r="AR162" s="476">
        <f>AVERAGE(AR123,R123)/SUM(BP8:BR8)*270</f>
        <v>166.442120004168</v>
      </c>
      <c r="AS162" s="476"/>
      <c r="AT162" s="476"/>
      <c r="AU162" s="475"/>
      <c r="AV162" s="476"/>
      <c r="AW162" s="476"/>
      <c r="AX162" s="476"/>
      <c r="AY162" s="475"/>
      <c r="AZ162" s="476"/>
      <c r="BA162" s="476"/>
      <c r="BB162" s="476"/>
      <c r="BC162" s="475"/>
      <c r="BD162" s="476"/>
      <c r="BE162" s="476"/>
      <c r="BF162" s="476"/>
      <c r="BG162" s="475"/>
      <c r="BH162" s="476"/>
      <c r="BI162" s="476"/>
      <c r="BJ162" s="476"/>
      <c r="BK162" s="475"/>
      <c r="BL162" s="476"/>
      <c r="BM162" s="476"/>
      <c r="BN162" s="476"/>
      <c r="BO162" s="475"/>
      <c r="BP162" s="476"/>
      <c r="BQ162" s="476"/>
      <c r="BR162" s="476"/>
      <c r="BS162" s="475"/>
      <c r="BT162" s="476"/>
      <c r="BU162" s="476"/>
      <c r="BV162" s="476"/>
      <c r="BW162" s="476"/>
      <c r="BX162" s="476"/>
      <c r="BY162" s="476"/>
      <c r="BZ162" s="476"/>
      <c r="CA162" s="476"/>
      <c r="CB162" s="476"/>
      <c r="CC162" s="476"/>
      <c r="CD162" s="476"/>
      <c r="CE162" s="476"/>
      <c r="CF162" s="476"/>
      <c r="CG162" s="476"/>
      <c r="CH162" s="253"/>
      <c r="CI162" s="253"/>
      <c r="CJ162" s="253"/>
      <c r="CK162" s="253"/>
      <c r="CL162" s="253"/>
      <c r="CM162" s="253"/>
      <c r="CN162" s="253"/>
      <c r="CO162" s="253"/>
      <c r="CP162" s="253"/>
      <c r="CQ162" s="253"/>
      <c r="CR162" s="253"/>
      <c r="CS162" s="253"/>
      <c r="CT162" s="253"/>
      <c r="CU162" s="253"/>
      <c r="CV162" s="253"/>
      <c r="CW162" s="253"/>
      <c r="CX162" s="253"/>
      <c r="CY162" s="253"/>
      <c r="CZ162" s="253"/>
      <c r="DA162" s="253"/>
      <c r="DB162" s="253"/>
      <c r="DC162" s="253"/>
      <c r="DD162" s="253"/>
      <c r="DE162" s="253"/>
      <c r="DF162" s="253"/>
      <c r="DG162" s="253"/>
      <c r="DH162" s="253"/>
      <c r="DI162" s="253"/>
      <c r="DJ162" s="253"/>
      <c r="DK162" s="253"/>
      <c r="DL162" s="253"/>
      <c r="DM162" s="253"/>
      <c r="DN162" s="253"/>
      <c r="DO162" s="253"/>
      <c r="DP162" s="253"/>
    </row>
    <row r="163" spans="1:120">
      <c r="A163" s="250"/>
      <c r="B163" s="452" t="s">
        <v>783</v>
      </c>
      <c r="C163" s="253"/>
      <c r="D163" s="253"/>
      <c r="E163" s="253">
        <f t="shared" ref="E163:S163" si="309">IF(ISERROR(AVERAGE(D138,E138)/E10*365)," ",AVERAGE(D138,E138)/E10*365)</f>
        <v>92.8099542326061</v>
      </c>
      <c r="F163" s="253">
        <f t="shared" si="309"/>
        <v>78.411841357938</v>
      </c>
      <c r="G163" s="253">
        <f t="shared" si="309"/>
        <v>67.5264573907214</v>
      </c>
      <c r="H163" s="253">
        <f t="shared" si="309"/>
        <v>79.1870832434679</v>
      </c>
      <c r="I163" s="253">
        <f t="shared" si="309"/>
        <v>83.30336958959</v>
      </c>
      <c r="J163" s="253">
        <f t="shared" si="309"/>
        <v>92.3717243403579</v>
      </c>
      <c r="K163" s="253">
        <f t="shared" si="309"/>
        <v>88.440289066845</v>
      </c>
      <c r="L163" s="253">
        <f t="shared" si="309"/>
        <v>101.074479609007</v>
      </c>
      <c r="M163" s="253">
        <f t="shared" si="309"/>
        <v>88.8103888512395</v>
      </c>
      <c r="N163" s="253">
        <f t="shared" si="309"/>
        <v>112.659108762414</v>
      </c>
      <c r="O163" s="253">
        <f t="shared" si="309"/>
        <v>122.162471003198</v>
      </c>
      <c r="P163" s="253">
        <f t="shared" si="309"/>
        <v>118.146831869068</v>
      </c>
      <c r="Q163" s="253">
        <f t="shared" si="309"/>
        <v>105.668758363423</v>
      </c>
      <c r="R163" s="253">
        <f t="shared" si="309"/>
        <v>132.743363111818</v>
      </c>
      <c r="S163" s="253">
        <f t="shared" si="309"/>
        <v>114.286528665208</v>
      </c>
      <c r="T163" s="298">
        <f>S163</f>
        <v>114.286528665208</v>
      </c>
      <c r="U163" s="298">
        <f t="shared" ref="U163" si="310">T163</f>
        <v>114.286528665208</v>
      </c>
      <c r="V163" s="298">
        <v>90</v>
      </c>
      <c r="W163" s="303"/>
      <c r="X163" s="253"/>
      <c r="Y163" s="253"/>
      <c r="Z163" s="253"/>
      <c r="AA163" s="316"/>
      <c r="AB163" s="253"/>
      <c r="AC163" s="253"/>
      <c r="AD163" s="253"/>
      <c r="AE163" s="316"/>
      <c r="AF163" s="253"/>
      <c r="AG163" s="253"/>
      <c r="AH163" s="253"/>
      <c r="AI163" s="316"/>
      <c r="AJ163" s="253"/>
      <c r="AK163" s="253"/>
      <c r="AL163" s="253"/>
      <c r="AM163" s="316"/>
      <c r="AN163" s="253"/>
      <c r="AO163" s="253"/>
      <c r="AP163" s="253"/>
      <c r="AQ163" s="475"/>
      <c r="AR163" s="476">
        <f>AVERAGE(AR138,R138)/SUM(BP8:BR8)*270</f>
        <v>96.8391876247638</v>
      </c>
      <c r="AS163" s="476"/>
      <c r="AT163" s="476"/>
      <c r="AU163" s="475"/>
      <c r="AV163" s="476"/>
      <c r="AW163" s="476"/>
      <c r="AX163" s="476"/>
      <c r="AY163" s="475"/>
      <c r="AZ163" s="476"/>
      <c r="BA163" s="476"/>
      <c r="BB163" s="476"/>
      <c r="BC163" s="475"/>
      <c r="BD163" s="476"/>
      <c r="BE163" s="476"/>
      <c r="BF163" s="476"/>
      <c r="BG163" s="475"/>
      <c r="BH163" s="476"/>
      <c r="BI163" s="476"/>
      <c r="BJ163" s="476"/>
      <c r="BK163" s="475"/>
      <c r="BL163" s="476"/>
      <c r="BM163" s="476"/>
      <c r="BN163" s="476"/>
      <c r="BO163" s="475"/>
      <c r="BP163" s="476"/>
      <c r="BQ163" s="476"/>
      <c r="BR163" s="476"/>
      <c r="BS163" s="475"/>
      <c r="BT163" s="476"/>
      <c r="BU163" s="476"/>
      <c r="BV163" s="476"/>
      <c r="BW163" s="476"/>
      <c r="BX163" s="476"/>
      <c r="BY163" s="476"/>
      <c r="BZ163" s="476"/>
      <c r="CA163" s="476"/>
      <c r="CB163" s="476"/>
      <c r="CC163" s="476"/>
      <c r="CD163" s="476"/>
      <c r="CE163" s="476"/>
      <c r="CF163" s="476"/>
      <c r="CG163" s="476"/>
      <c r="CH163" s="253"/>
      <c r="CI163" s="253"/>
      <c r="CJ163" s="253"/>
      <c r="CK163" s="253"/>
      <c r="CL163" s="253"/>
      <c r="CM163" s="253"/>
      <c r="CN163" s="253"/>
      <c r="CO163" s="253"/>
      <c r="CP163" s="253"/>
      <c r="CQ163" s="253"/>
      <c r="CR163" s="253"/>
      <c r="CS163" s="253"/>
      <c r="CT163" s="253"/>
      <c r="CU163" s="253"/>
      <c r="CV163" s="253"/>
      <c r="CW163" s="253"/>
      <c r="CX163" s="253"/>
      <c r="CY163" s="253"/>
      <c r="CZ163" s="253"/>
      <c r="DA163" s="253"/>
      <c r="DB163" s="253"/>
      <c r="DC163" s="253"/>
      <c r="DD163" s="253"/>
      <c r="DE163" s="253"/>
      <c r="DF163" s="253"/>
      <c r="DG163" s="253"/>
      <c r="DH163" s="253"/>
      <c r="DI163" s="253"/>
      <c r="DJ163" s="253"/>
      <c r="DK163" s="253"/>
      <c r="DL163" s="253"/>
      <c r="DM163" s="253"/>
      <c r="DN163" s="253"/>
      <c r="DO163" s="253"/>
      <c r="DP163" s="253"/>
    </row>
    <row r="164" spans="1:120">
      <c r="A164" s="261"/>
      <c r="B164" s="453" t="s">
        <v>784</v>
      </c>
      <c r="C164" s="454"/>
      <c r="D164" s="454"/>
      <c r="E164" s="454">
        <f t="shared" ref="E164:O164" si="311">IF(ISERROR(E161+E162-E163)," ",E161+E162-E163)</f>
        <v>132.607763772057</v>
      </c>
      <c r="F164" s="454">
        <f t="shared" si="311"/>
        <v>130.337889680129</v>
      </c>
      <c r="G164" s="454">
        <f t="shared" si="311"/>
        <v>132.501795707991</v>
      </c>
      <c r="H164" s="454">
        <f t="shared" si="311"/>
        <v>161.727062684388</v>
      </c>
      <c r="I164" s="454">
        <f t="shared" si="311"/>
        <v>177.449595253457</v>
      </c>
      <c r="J164" s="454">
        <f t="shared" si="311"/>
        <v>209.878063296618</v>
      </c>
      <c r="K164" s="454">
        <f t="shared" si="311"/>
        <v>256.854433544761</v>
      </c>
      <c r="L164" s="454">
        <f t="shared" si="311"/>
        <v>296.46666010588</v>
      </c>
      <c r="M164" s="454">
        <f t="shared" si="311"/>
        <v>166.294672458928</v>
      </c>
      <c r="N164" s="454">
        <f t="shared" si="311"/>
        <v>141.061355816066</v>
      </c>
      <c r="O164" s="454">
        <f t="shared" si="311"/>
        <v>168.297012215427</v>
      </c>
      <c r="P164" s="454">
        <f t="shared" ref="P164:U164" si="312">IF(ISERROR(P161+P162-P163)," ",P161+P162-P163)</f>
        <v>212.712381105754</v>
      </c>
      <c r="Q164" s="454">
        <f t="shared" si="312"/>
        <v>186.644370817525</v>
      </c>
      <c r="R164" s="454">
        <f t="shared" si="312"/>
        <v>131.249433847162</v>
      </c>
      <c r="S164" s="454">
        <f t="shared" ref="S164" si="313">IF(ISERROR(S161+S162-S163)," ",S161+S162-S163)</f>
        <v>97.0621797620389</v>
      </c>
      <c r="T164" s="454">
        <f t="shared" si="312"/>
        <v>102.062179762039</v>
      </c>
      <c r="U164" s="454">
        <f t="shared" si="312"/>
        <v>107.062179762039</v>
      </c>
      <c r="V164" s="454">
        <f t="shared" ref="V164" si="314">IF(ISERROR(V161+V162-V163)," ",V161+V162-V163)</f>
        <v>136.348708427247</v>
      </c>
      <c r="W164" s="303"/>
      <c r="X164" s="454"/>
      <c r="Y164" s="454"/>
      <c r="Z164" s="454"/>
      <c r="AA164" s="469"/>
      <c r="AB164" s="454"/>
      <c r="AC164" s="454"/>
      <c r="AD164" s="454"/>
      <c r="AE164" s="469"/>
      <c r="AF164" s="454"/>
      <c r="AG164" s="454"/>
      <c r="AH164" s="454"/>
      <c r="AI164" s="469"/>
      <c r="AJ164" s="454"/>
      <c r="AK164" s="454"/>
      <c r="AL164" s="454"/>
      <c r="AM164" s="469"/>
      <c r="AN164" s="454"/>
      <c r="AO164" s="454"/>
      <c r="AP164" s="454"/>
      <c r="AQ164" s="340"/>
      <c r="AR164" s="454">
        <f t="shared" ref="AR164" si="315">IF(ISERROR(AR161+AR162-AR163)," ",AR161+AR162-AR163)</f>
        <v>123.131974986537</v>
      </c>
      <c r="AS164" s="310"/>
      <c r="AT164" s="310"/>
      <c r="AU164" s="340"/>
      <c r="AV164" s="310"/>
      <c r="AW164" s="310"/>
      <c r="AX164" s="310"/>
      <c r="AY164" s="340"/>
      <c r="AZ164" s="310"/>
      <c r="BA164" s="310"/>
      <c r="BB164" s="310"/>
      <c r="BC164" s="340"/>
      <c r="BD164" s="310"/>
      <c r="BE164" s="310"/>
      <c r="BF164" s="310"/>
      <c r="BG164" s="340"/>
      <c r="BH164" s="310"/>
      <c r="BI164" s="310"/>
      <c r="BJ164" s="310"/>
      <c r="BK164" s="340"/>
      <c r="BL164" s="310"/>
      <c r="BM164" s="310"/>
      <c r="BN164" s="310"/>
      <c r="BO164" s="340"/>
      <c r="BP164" s="310"/>
      <c r="BQ164" s="310"/>
      <c r="BR164" s="310"/>
      <c r="BS164" s="340"/>
      <c r="BT164" s="310"/>
      <c r="BU164" s="310"/>
      <c r="BV164" s="310"/>
      <c r="BW164" s="310"/>
      <c r="BX164" s="310"/>
      <c r="BY164" s="310"/>
      <c r="BZ164" s="310"/>
      <c r="CA164" s="310"/>
      <c r="CB164" s="310"/>
      <c r="CC164" s="310"/>
      <c r="CD164" s="310"/>
      <c r="CE164" s="310"/>
      <c r="CF164" s="310"/>
      <c r="CG164" s="310"/>
      <c r="CH164" s="454"/>
      <c r="CI164" s="454"/>
      <c r="CJ164" s="454"/>
      <c r="CK164" s="454"/>
      <c r="CL164" s="454"/>
      <c r="CM164" s="454"/>
      <c r="CN164" s="454"/>
      <c r="CO164" s="454"/>
      <c r="CP164" s="454"/>
      <c r="CQ164" s="454"/>
      <c r="CR164" s="454"/>
      <c r="CS164" s="454"/>
      <c r="CT164" s="454"/>
      <c r="CU164" s="454"/>
      <c r="CV164" s="454"/>
      <c r="CW164" s="454"/>
      <c r="CX164" s="454"/>
      <c r="CY164" s="454"/>
      <c r="CZ164" s="454"/>
      <c r="DA164" s="454"/>
      <c r="DB164" s="454"/>
      <c r="DC164" s="454"/>
      <c r="DD164" s="454"/>
      <c r="DE164" s="454"/>
      <c r="DF164" s="454"/>
      <c r="DG164" s="454"/>
      <c r="DH164" s="454"/>
      <c r="DI164" s="454"/>
      <c r="DJ164" s="454"/>
      <c r="DK164" s="454"/>
      <c r="DL164" s="454"/>
      <c r="DM164" s="454"/>
      <c r="DN164" s="454"/>
      <c r="DO164" s="454"/>
      <c r="DP164" s="454"/>
    </row>
    <row r="165" spans="1:120">
      <c r="A165" s="261"/>
      <c r="B165" s="281" t="s">
        <v>785</v>
      </c>
      <c r="C165" s="27"/>
      <c r="D165" s="27"/>
      <c r="E165" s="27">
        <f t="shared" ref="E165:O165" si="316">E122/E7</f>
        <v>0.279089830725665</v>
      </c>
      <c r="F165" s="27">
        <f t="shared" si="316"/>
        <v>0.247838933401365</v>
      </c>
      <c r="G165" s="27">
        <f t="shared" si="316"/>
        <v>0.316816584491675</v>
      </c>
      <c r="H165" s="27">
        <f t="shared" si="316"/>
        <v>0.37872699827448</v>
      </c>
      <c r="I165" s="27">
        <f t="shared" si="316"/>
        <v>0.362276616043156</v>
      </c>
      <c r="J165" s="27">
        <f t="shared" si="316"/>
        <v>0.409161393557183</v>
      </c>
      <c r="K165" s="27">
        <f t="shared" si="316"/>
        <v>0.483417857583888</v>
      </c>
      <c r="L165" s="27">
        <f t="shared" si="316"/>
        <v>0.435331155218483</v>
      </c>
      <c r="M165" s="27">
        <f t="shared" si="316"/>
        <v>0.267778188685698</v>
      </c>
      <c r="N165" s="27">
        <f t="shared" si="316"/>
        <v>0.184627171716766</v>
      </c>
      <c r="O165" s="27">
        <f t="shared" si="316"/>
        <v>0.198464492646722</v>
      </c>
      <c r="P165" s="27">
        <f t="shared" ref="P165:U165" si="317">P122/P7</f>
        <v>0.210062708986972</v>
      </c>
      <c r="Q165" s="27">
        <f t="shared" si="317"/>
        <v>0.23925806549642</v>
      </c>
      <c r="R165" s="27">
        <f t="shared" si="317"/>
        <v>0.294881342581061</v>
      </c>
      <c r="S165" s="27">
        <f t="shared" si="317"/>
        <v>0.178806396348408</v>
      </c>
      <c r="T165" s="27">
        <f t="shared" si="317"/>
        <v>0.222521515896078</v>
      </c>
      <c r="U165" s="27">
        <f t="shared" si="317"/>
        <v>0.18132233201433</v>
      </c>
      <c r="V165" s="27">
        <f t="shared" ref="V165" si="318">V122/V7</f>
        <v>0.20592698060228</v>
      </c>
      <c r="W165" s="303"/>
      <c r="X165" s="27"/>
      <c r="Y165" s="27"/>
      <c r="Z165" s="27"/>
      <c r="AA165" s="52"/>
      <c r="AB165" s="27"/>
      <c r="AC165" s="27"/>
      <c r="AD165" s="27"/>
      <c r="AE165" s="52"/>
      <c r="AF165" s="27"/>
      <c r="AG165" s="27"/>
      <c r="AH165" s="27"/>
      <c r="AI165" s="52"/>
      <c r="AJ165" s="27"/>
      <c r="AK165" s="27"/>
      <c r="AL165" s="27"/>
      <c r="AM165" s="52"/>
      <c r="AN165" s="27"/>
      <c r="AO165" s="27"/>
      <c r="AP165" s="27"/>
      <c r="AQ165" s="52"/>
      <c r="AR165" s="27"/>
      <c r="AS165" s="27"/>
      <c r="AT165" s="27"/>
      <c r="AU165" s="52"/>
      <c r="AV165" s="27"/>
      <c r="AW165" s="27"/>
      <c r="AX165" s="27"/>
      <c r="AY165" s="52"/>
      <c r="AZ165" s="27"/>
      <c r="BA165" s="27"/>
      <c r="BB165" s="27"/>
      <c r="BC165" s="52"/>
      <c r="BD165" s="27"/>
      <c r="BE165" s="27"/>
      <c r="BF165" s="27"/>
      <c r="BG165" s="52"/>
      <c r="BH165" s="27"/>
      <c r="BI165" s="27"/>
      <c r="BJ165" s="27"/>
      <c r="BK165" s="52"/>
      <c r="BL165" s="27"/>
      <c r="BM165" s="27"/>
      <c r="BN165" s="27"/>
      <c r="BO165" s="52"/>
      <c r="BP165" s="27"/>
      <c r="BQ165" s="27"/>
      <c r="BR165" s="27"/>
      <c r="BS165" s="52"/>
      <c r="BT165" s="27"/>
      <c r="BU165" s="27"/>
      <c r="BV165" s="27"/>
      <c r="BW165" s="27"/>
      <c r="BX165" s="27"/>
      <c r="BY165" s="27"/>
      <c r="BZ165" s="27"/>
      <c r="CA165" s="27"/>
      <c r="CB165" s="27"/>
      <c r="CC165" s="27"/>
      <c r="CD165" s="27"/>
      <c r="CE165" s="27"/>
      <c r="CF165" s="27"/>
      <c r="CG165" s="27"/>
      <c r="CH165" s="303"/>
      <c r="CI165" s="303"/>
      <c r="CJ165" s="303"/>
      <c r="CK165" s="303"/>
      <c r="CL165" s="303"/>
      <c r="CM165" s="303"/>
      <c r="CN165" s="303"/>
      <c r="CO165" s="303"/>
      <c r="CP165" s="303"/>
      <c r="CQ165" s="303"/>
      <c r="CR165" s="303"/>
      <c r="CS165" s="303"/>
      <c r="CT165" s="303"/>
      <c r="CU165" s="303"/>
      <c r="CV165" s="303"/>
      <c r="CW165" s="303"/>
      <c r="CX165" s="303"/>
      <c r="CY165" s="303"/>
      <c r="CZ165" s="303"/>
      <c r="DA165" s="303"/>
      <c r="DB165" s="303"/>
      <c r="DC165" s="303"/>
      <c r="DD165" s="303"/>
      <c r="DE165" s="303"/>
      <c r="DF165" s="303"/>
      <c r="DG165" s="303"/>
      <c r="DH165" s="303"/>
      <c r="DI165" s="303"/>
      <c r="DJ165" s="303"/>
      <c r="DK165" s="303"/>
      <c r="DL165" s="303"/>
      <c r="DM165" s="303"/>
      <c r="DN165" s="303"/>
      <c r="DO165" s="303"/>
      <c r="DP165" s="303"/>
    </row>
    <row r="166" spans="1:120">
      <c r="A166" s="261"/>
      <c r="B166" s="281" t="s">
        <v>786</v>
      </c>
      <c r="C166" s="27"/>
      <c r="D166" s="27"/>
      <c r="E166" s="27">
        <f t="shared" ref="E166:O166" si="319">E123/E7</f>
        <v>0.237041490286304</v>
      </c>
      <c r="F166" s="27">
        <f t="shared" si="319"/>
        <v>0.231582845920806</v>
      </c>
      <c r="G166" s="27">
        <f t="shared" si="319"/>
        <v>0.250434833069465</v>
      </c>
      <c r="H166" s="27">
        <f t="shared" si="319"/>
        <v>0.238868828653182</v>
      </c>
      <c r="I166" s="27">
        <f t="shared" si="319"/>
        <v>0.337685976691769</v>
      </c>
      <c r="J166" s="27">
        <f t="shared" si="319"/>
        <v>0.397374198059614</v>
      </c>
      <c r="K166" s="27">
        <f t="shared" si="319"/>
        <v>0.494136854924882</v>
      </c>
      <c r="L166" s="27">
        <f t="shared" si="319"/>
        <v>0.383232606514012</v>
      </c>
      <c r="M166" s="27">
        <f t="shared" si="319"/>
        <v>0.302297708406097</v>
      </c>
      <c r="N166" s="27">
        <f t="shared" si="319"/>
        <v>0.48639436243409</v>
      </c>
      <c r="O166" s="27">
        <f t="shared" si="319"/>
        <v>0.524754129112493</v>
      </c>
      <c r="P166" s="27">
        <f t="shared" ref="P166:U166" si="320">P123/P7</f>
        <v>0.443791221972669</v>
      </c>
      <c r="Q166" s="27">
        <f t="shared" si="320"/>
        <v>0.310997678939058</v>
      </c>
      <c r="R166" s="27">
        <f t="shared" si="320"/>
        <v>0.477870699699394</v>
      </c>
      <c r="S166" s="27">
        <f t="shared" si="320"/>
        <v>0.291215511704759</v>
      </c>
      <c r="T166" s="27">
        <f t="shared" si="320"/>
        <v>0.313421738091125</v>
      </c>
      <c r="U166" s="27">
        <f t="shared" si="320"/>
        <v>0.232871125573042</v>
      </c>
      <c r="V166" s="27">
        <f t="shared" ref="V166" si="321">V123/V7</f>
        <v>0.247441804553994</v>
      </c>
      <c r="W166" s="303"/>
      <c r="X166" s="27"/>
      <c r="Y166" s="27"/>
      <c r="Z166" s="27"/>
      <c r="AA166" s="52"/>
      <c r="AB166" s="27"/>
      <c r="AC166" s="27"/>
      <c r="AD166" s="27"/>
      <c r="AE166" s="52"/>
      <c r="AF166" s="27"/>
      <c r="AG166" s="27"/>
      <c r="AH166" s="27"/>
      <c r="AI166" s="52"/>
      <c r="AJ166" s="27"/>
      <c r="AK166" s="27"/>
      <c r="AL166" s="27"/>
      <c r="AM166" s="52"/>
      <c r="AN166" s="27"/>
      <c r="AO166" s="27"/>
      <c r="AP166" s="27"/>
      <c r="AQ166" s="52"/>
      <c r="AR166" s="27"/>
      <c r="AS166" s="27"/>
      <c r="AT166" s="27"/>
      <c r="AU166" s="52"/>
      <c r="AV166" s="27"/>
      <c r="AW166" s="27"/>
      <c r="AX166" s="27"/>
      <c r="AY166" s="52"/>
      <c r="AZ166" s="27"/>
      <c r="BA166" s="27"/>
      <c r="BB166" s="27"/>
      <c r="BC166" s="52"/>
      <c r="BD166" s="27"/>
      <c r="BE166" s="27"/>
      <c r="BF166" s="27"/>
      <c r="BG166" s="52"/>
      <c r="BH166" s="27"/>
      <c r="BI166" s="27"/>
      <c r="BJ166" s="27"/>
      <c r="BK166" s="52"/>
      <c r="BL166" s="27"/>
      <c r="BM166" s="27"/>
      <c r="BN166" s="27"/>
      <c r="BO166" s="52"/>
      <c r="BP166" s="27"/>
      <c r="BQ166" s="27"/>
      <c r="BR166" s="27"/>
      <c r="BS166" s="52"/>
      <c r="BT166" s="27"/>
      <c r="BU166" s="27"/>
      <c r="BV166" s="27"/>
      <c r="BW166" s="27"/>
      <c r="BX166" s="27"/>
      <c r="BY166" s="27"/>
      <c r="BZ166" s="27"/>
      <c r="CA166" s="27"/>
      <c r="CB166" s="27"/>
      <c r="CC166" s="27"/>
      <c r="CD166" s="27"/>
      <c r="CE166" s="27"/>
      <c r="CF166" s="27"/>
      <c r="CG166" s="27"/>
      <c r="CH166" s="303"/>
      <c r="CI166" s="303"/>
      <c r="CJ166" s="303"/>
      <c r="CK166" s="303"/>
      <c r="CL166" s="303"/>
      <c r="CM166" s="303"/>
      <c r="CN166" s="303"/>
      <c r="CO166" s="303"/>
      <c r="CP166" s="303"/>
      <c r="CQ166" s="303"/>
      <c r="CR166" s="303"/>
      <c r="CS166" s="303"/>
      <c r="CT166" s="303"/>
      <c r="CU166" s="303"/>
      <c r="CV166" s="303"/>
      <c r="CW166" s="303"/>
      <c r="CX166" s="303"/>
      <c r="CY166" s="303"/>
      <c r="CZ166" s="303"/>
      <c r="DA166" s="303"/>
      <c r="DB166" s="303"/>
      <c r="DC166" s="303"/>
      <c r="DD166" s="303"/>
      <c r="DE166" s="303"/>
      <c r="DF166" s="303"/>
      <c r="DG166" s="303"/>
      <c r="DH166" s="303"/>
      <c r="DI166" s="303"/>
      <c r="DJ166" s="303"/>
      <c r="DK166" s="303"/>
      <c r="DL166" s="303"/>
      <c r="DM166" s="303"/>
      <c r="DN166" s="303"/>
      <c r="DO166" s="303"/>
      <c r="DP166" s="303"/>
    </row>
    <row r="167" spans="1:120">
      <c r="A167" s="261"/>
      <c r="B167" s="281" t="s">
        <v>787</v>
      </c>
      <c r="C167" s="27"/>
      <c r="D167" s="27"/>
      <c r="E167" s="27">
        <f t="shared" ref="E167:O167" si="322">E138/E7</f>
        <v>0.178064122756934</v>
      </c>
      <c r="F167" s="27">
        <f t="shared" si="322"/>
        <v>0.133811575133598</v>
      </c>
      <c r="G167" s="27">
        <f t="shared" si="322"/>
        <v>0.164589774075772</v>
      </c>
      <c r="H167" s="27">
        <f t="shared" si="322"/>
        <v>0.156233032692076</v>
      </c>
      <c r="I167" s="27">
        <f t="shared" si="322"/>
        <v>0.198627274110369</v>
      </c>
      <c r="J167" s="27">
        <f t="shared" si="322"/>
        <v>0.201528911005362</v>
      </c>
      <c r="K167" s="27">
        <f t="shared" si="322"/>
        <v>0.204303609645974</v>
      </c>
      <c r="L167" s="27">
        <f t="shared" si="322"/>
        <v>0.209917516505647</v>
      </c>
      <c r="M167" s="27">
        <f t="shared" si="322"/>
        <v>0.180732131353051</v>
      </c>
      <c r="N167" s="27">
        <f t="shared" si="322"/>
        <v>0.284391807042427</v>
      </c>
      <c r="O167" s="27">
        <f t="shared" si="322"/>
        <v>0.258667192298169</v>
      </c>
      <c r="P167" s="27">
        <f t="shared" ref="P167:U167" si="323">P138/P7</f>
        <v>0.182796893451246</v>
      </c>
      <c r="Q167" s="27">
        <f t="shared" si="323"/>
        <v>0.204207774751132</v>
      </c>
      <c r="R167" s="27">
        <f t="shared" si="323"/>
        <v>0.328949352836377</v>
      </c>
      <c r="S167" s="27">
        <f t="shared" si="323"/>
        <v>0.212356456311749</v>
      </c>
      <c r="T167" s="27">
        <f t="shared" si="323"/>
        <v>0.22180839441382</v>
      </c>
      <c r="U167" s="27">
        <f t="shared" si="323"/>
        <v>0.16780700654721</v>
      </c>
      <c r="V167" s="27">
        <f t="shared" ref="V167" si="324">V138/V7</f>
        <v>0.107187407435471</v>
      </c>
      <c r="W167" s="303"/>
      <c r="X167" s="27"/>
      <c r="Y167" s="27"/>
      <c r="Z167" s="27"/>
      <c r="AA167" s="52"/>
      <c r="AB167" s="27"/>
      <c r="AC167" s="27"/>
      <c r="AD167" s="27"/>
      <c r="AE167" s="52"/>
      <c r="AF167" s="27"/>
      <c r="AG167" s="27"/>
      <c r="AH167" s="27"/>
      <c r="AI167" s="52"/>
      <c r="AJ167" s="27"/>
      <c r="AK167" s="27"/>
      <c r="AL167" s="27"/>
      <c r="AM167" s="52"/>
      <c r="AN167" s="27"/>
      <c r="AO167" s="27"/>
      <c r="AP167" s="27"/>
      <c r="AQ167" s="52"/>
      <c r="AR167" s="27"/>
      <c r="AS167" s="27"/>
      <c r="AT167" s="27"/>
      <c r="AU167" s="52"/>
      <c r="AV167" s="27"/>
      <c r="AW167" s="27"/>
      <c r="AX167" s="27"/>
      <c r="AY167" s="52"/>
      <c r="AZ167" s="27"/>
      <c r="BA167" s="27"/>
      <c r="BB167" s="27"/>
      <c r="BC167" s="52"/>
      <c r="BD167" s="27"/>
      <c r="BE167" s="27"/>
      <c r="BF167" s="27"/>
      <c r="BG167" s="52"/>
      <c r="BH167" s="27"/>
      <c r="BI167" s="27"/>
      <c r="BJ167" s="27"/>
      <c r="BK167" s="52"/>
      <c r="BL167" s="27"/>
      <c r="BM167" s="27"/>
      <c r="BN167" s="27"/>
      <c r="BO167" s="52"/>
      <c r="BP167" s="27"/>
      <c r="BQ167" s="27"/>
      <c r="BR167" s="27"/>
      <c r="BS167" s="52"/>
      <c r="BT167" s="27"/>
      <c r="BU167" s="27"/>
      <c r="BV167" s="27"/>
      <c r="BW167" s="27"/>
      <c r="BX167" s="27"/>
      <c r="BY167" s="27"/>
      <c r="BZ167" s="27"/>
      <c r="CA167" s="27"/>
      <c r="CB167" s="27"/>
      <c r="CC167" s="27"/>
      <c r="CD167" s="27"/>
      <c r="CE167" s="27"/>
      <c r="CF167" s="27"/>
      <c r="CG167" s="27"/>
      <c r="CH167" s="303"/>
      <c r="CI167" s="303"/>
      <c r="CJ167" s="303"/>
      <c r="CK167" s="303"/>
      <c r="CL167" s="303"/>
      <c r="CM167" s="303"/>
      <c r="CN167" s="303"/>
      <c r="CO167" s="303"/>
      <c r="CP167" s="303"/>
      <c r="CQ167" s="303"/>
      <c r="CR167" s="303"/>
      <c r="CS167" s="303"/>
      <c r="CT167" s="303"/>
      <c r="CU167" s="303"/>
      <c r="CV167" s="303"/>
      <c r="CW167" s="303"/>
      <c r="CX167" s="303"/>
      <c r="CY167" s="303"/>
      <c r="CZ167" s="303"/>
      <c r="DA167" s="303"/>
      <c r="DB167" s="303"/>
      <c r="DC167" s="303"/>
      <c r="DD167" s="303"/>
      <c r="DE167" s="303"/>
      <c r="DF167" s="303"/>
      <c r="DG167" s="303"/>
      <c r="DH167" s="303"/>
      <c r="DI167" s="303"/>
      <c r="DJ167" s="303"/>
      <c r="DK167" s="303"/>
      <c r="DL167" s="303"/>
      <c r="DM167" s="303"/>
      <c r="DN167" s="303"/>
      <c r="DO167" s="303"/>
      <c r="DP167" s="303"/>
    </row>
    <row r="168" spans="1:120">
      <c r="A168" s="261"/>
      <c r="B168" s="454"/>
      <c r="C168" s="454"/>
      <c r="D168" s="454"/>
      <c r="E168" s="454"/>
      <c r="F168" s="454"/>
      <c r="G168" s="454"/>
      <c r="H168" s="454"/>
      <c r="I168" s="454"/>
      <c r="J168" s="454"/>
      <c r="K168" s="454"/>
      <c r="L168" s="454"/>
      <c r="M168" s="454"/>
      <c r="N168" s="454"/>
      <c r="O168" s="454"/>
      <c r="P168" s="454"/>
      <c r="Q168" s="454"/>
      <c r="R168" s="454"/>
      <c r="S168" s="454"/>
      <c r="T168" s="454"/>
      <c r="U168" s="454"/>
      <c r="V168" s="454"/>
      <c r="W168" s="303"/>
      <c r="X168" s="454"/>
      <c r="Y168" s="454"/>
      <c r="Z168" s="454"/>
      <c r="AA168" s="469"/>
      <c r="AB168" s="454"/>
      <c r="AC168" s="454"/>
      <c r="AD168" s="454"/>
      <c r="AE168" s="469"/>
      <c r="AF168" s="454"/>
      <c r="AG168" s="454"/>
      <c r="AH168" s="454"/>
      <c r="AI168" s="469"/>
      <c r="AJ168" s="454"/>
      <c r="AK168" s="454"/>
      <c r="AL168" s="454"/>
      <c r="AM168" s="469"/>
      <c r="AN168" s="454"/>
      <c r="AO168" s="454"/>
      <c r="AP168" s="454"/>
      <c r="AQ168" s="340"/>
      <c r="AR168" s="310"/>
      <c r="AS168" s="310"/>
      <c r="AT168" s="310"/>
      <c r="AU168" s="340"/>
      <c r="AV168" s="310"/>
      <c r="AW168" s="310"/>
      <c r="AX168" s="310"/>
      <c r="AY168" s="340"/>
      <c r="AZ168" s="310"/>
      <c r="BA168" s="310"/>
      <c r="BB168" s="310"/>
      <c r="BC168" s="340"/>
      <c r="BD168" s="310"/>
      <c r="BE168" s="310"/>
      <c r="BF168" s="310"/>
      <c r="BG168" s="340"/>
      <c r="BH168" s="310"/>
      <c r="BI168" s="310"/>
      <c r="BJ168" s="310"/>
      <c r="BK168" s="340"/>
      <c r="BL168" s="310"/>
      <c r="BM168" s="310"/>
      <c r="BN168" s="310"/>
      <c r="BO168" s="340"/>
      <c r="BP168" s="310"/>
      <c r="BQ168" s="310"/>
      <c r="BR168" s="310"/>
      <c r="BS168" s="340"/>
      <c r="BT168" s="310"/>
      <c r="BU168" s="310"/>
      <c r="BV168" s="310"/>
      <c r="BW168" s="310"/>
      <c r="BX168" s="310"/>
      <c r="BY168" s="310"/>
      <c r="BZ168" s="310"/>
      <c r="CA168" s="310"/>
      <c r="CB168" s="310"/>
      <c r="CC168" s="310"/>
      <c r="CD168" s="310"/>
      <c r="CE168" s="310"/>
      <c r="CF168" s="310"/>
      <c r="CG168" s="310"/>
      <c r="CH168" s="454"/>
      <c r="CI168" s="454"/>
      <c r="CJ168" s="454"/>
      <c r="CK168" s="454"/>
      <c r="CL168" s="454"/>
      <c r="CM168" s="454"/>
      <c r="CN168" s="454"/>
      <c r="CO168" s="454"/>
      <c r="CP168" s="454"/>
      <c r="CQ168" s="454"/>
      <c r="CR168" s="454"/>
      <c r="CS168" s="454"/>
      <c r="CT168" s="454"/>
      <c r="CU168" s="454"/>
      <c r="CV168" s="454"/>
      <c r="CW168" s="454"/>
      <c r="CX168" s="454"/>
      <c r="CY168" s="454"/>
      <c r="CZ168" s="454"/>
      <c r="DA168" s="454"/>
      <c r="DB168" s="454"/>
      <c r="DC168" s="454"/>
      <c r="DD168" s="454"/>
      <c r="DE168" s="454"/>
      <c r="DF168" s="454"/>
      <c r="DG168" s="454"/>
      <c r="DH168" s="454"/>
      <c r="DI168" s="454"/>
      <c r="DJ168" s="454"/>
      <c r="DK168" s="454"/>
      <c r="DL168" s="454"/>
      <c r="DM168" s="454"/>
      <c r="DN168" s="454"/>
      <c r="DO168" s="454"/>
      <c r="DP168" s="454"/>
    </row>
    <row r="169" spans="1:120">
      <c r="A169" s="261"/>
      <c r="B169" s="281" t="s">
        <v>788</v>
      </c>
      <c r="C169" s="309"/>
      <c r="D169" s="309"/>
      <c r="E169" s="309">
        <f t="shared" ref="E169:O169" si="325">IF(ISNUMBER(E57),E153/E57," ")</f>
        <v>2.3237693697078</v>
      </c>
      <c r="F169" s="309">
        <f t="shared" si="325"/>
        <v>3.18574280674224</v>
      </c>
      <c r="G169" s="309">
        <f t="shared" si="325"/>
        <v>4.14798723256299</v>
      </c>
      <c r="H169" s="309">
        <f t="shared" si="325"/>
        <v>5.30081450705066</v>
      </c>
      <c r="I169" s="309">
        <f t="shared" si="325"/>
        <v>6.43839972667877</v>
      </c>
      <c r="J169" s="309">
        <f t="shared" si="325"/>
        <v>9.7932905836766</v>
      </c>
      <c r="K169" s="309">
        <f t="shared" si="325"/>
        <v>5.12358903708962</v>
      </c>
      <c r="L169" s="309">
        <f t="shared" si="325"/>
        <v>3.39979369018122</v>
      </c>
      <c r="M169" s="309">
        <f t="shared" si="325"/>
        <v>4.00003538242563</v>
      </c>
      <c r="N169" s="309">
        <f t="shared" si="325"/>
        <v>7.57628058135902</v>
      </c>
      <c r="O169" s="309">
        <f t="shared" si="325"/>
        <v>4.25355799894975</v>
      </c>
      <c r="P169" s="309">
        <f t="shared" ref="P169:U169" si="326">IF(ISNUMBER(P57),P153/P57," ")</f>
        <v>4.85856513070318</v>
      </c>
      <c r="Q169" s="309">
        <f t="shared" si="326"/>
        <v>4.17465871553972</v>
      </c>
      <c r="R169" s="309">
        <f t="shared" si="326"/>
        <v>5.98533168475635</v>
      </c>
      <c r="S169" s="309">
        <f t="shared" si="326"/>
        <v>12.8809984736594</v>
      </c>
      <c r="T169" s="309">
        <f t="shared" si="326"/>
        <v>26.2590558238735</v>
      </c>
      <c r="U169" s="309">
        <f t="shared" si="326"/>
        <v>45.7151460552308</v>
      </c>
      <c r="V169" s="309">
        <f t="shared" ref="V169" si="327">IF(ISNUMBER(V57),V153/V57," ")</f>
        <v>68.0792956589291</v>
      </c>
      <c r="W169" s="303"/>
      <c r="X169" s="309"/>
      <c r="Y169" s="309"/>
      <c r="Z169" s="309"/>
      <c r="AA169" s="327"/>
      <c r="AB169" s="309"/>
      <c r="AC169" s="309"/>
      <c r="AD169" s="309"/>
      <c r="AE169" s="327"/>
      <c r="AF169" s="309"/>
      <c r="AG169" s="309"/>
      <c r="AH169" s="309"/>
      <c r="AI169" s="327"/>
      <c r="AJ169" s="309"/>
      <c r="AK169" s="309"/>
      <c r="AL169" s="309"/>
      <c r="AM169" s="327"/>
      <c r="AN169" s="309"/>
      <c r="AO169" s="309"/>
      <c r="AP169" s="309"/>
      <c r="AQ169" s="340"/>
      <c r="AR169" s="310"/>
      <c r="AS169" s="310"/>
      <c r="AT169" s="310"/>
      <c r="AU169" s="340"/>
      <c r="AV169" s="310"/>
      <c r="AW169" s="310"/>
      <c r="AX169" s="310"/>
      <c r="AY169" s="340"/>
      <c r="AZ169" s="310"/>
      <c r="BA169" s="310"/>
      <c r="BB169" s="310"/>
      <c r="BC169" s="340"/>
      <c r="BD169" s="310"/>
      <c r="BE169" s="310"/>
      <c r="BF169" s="310"/>
      <c r="BG169" s="340"/>
      <c r="BH169" s="310"/>
      <c r="BI169" s="310"/>
      <c r="BJ169" s="310"/>
      <c r="BK169" s="340"/>
      <c r="BL169" s="310"/>
      <c r="BM169" s="310"/>
      <c r="BN169" s="310"/>
      <c r="BO169" s="340"/>
      <c r="BP169" s="310"/>
      <c r="BQ169" s="310"/>
      <c r="BR169" s="310"/>
      <c r="BS169" s="340"/>
      <c r="BT169" s="310"/>
      <c r="BU169" s="310"/>
      <c r="BV169" s="310"/>
      <c r="BW169" s="310"/>
      <c r="BX169" s="310"/>
      <c r="BY169" s="310"/>
      <c r="BZ169" s="310"/>
      <c r="CA169" s="310"/>
      <c r="CB169" s="310"/>
      <c r="CC169" s="310"/>
      <c r="CD169" s="310"/>
      <c r="CE169" s="310"/>
      <c r="CF169" s="310"/>
      <c r="CG169" s="310"/>
      <c r="CH169" s="253"/>
      <c r="CI169" s="253"/>
      <c r="CJ169" s="253"/>
      <c r="CK169" s="253"/>
      <c r="CL169" s="253"/>
      <c r="CM169" s="253"/>
      <c r="CN169" s="253"/>
      <c r="CO169" s="253"/>
      <c r="CP169" s="253"/>
      <c r="CQ169" s="253"/>
      <c r="CR169" s="253"/>
      <c r="CS169" s="253"/>
      <c r="CT169" s="253"/>
      <c r="CU169" s="253"/>
      <c r="CV169" s="253"/>
      <c r="CW169" s="253"/>
      <c r="CX169" s="253"/>
      <c r="CY169" s="253"/>
      <c r="CZ169" s="253"/>
      <c r="DA169" s="253"/>
      <c r="DB169" s="253"/>
      <c r="DC169" s="253"/>
      <c r="DD169" s="253"/>
      <c r="DE169" s="253"/>
      <c r="DF169" s="253"/>
      <c r="DG169" s="253"/>
      <c r="DH169" s="253"/>
      <c r="DI169" s="253"/>
      <c r="DJ169" s="253"/>
      <c r="DK169" s="253"/>
      <c r="DL169" s="253"/>
      <c r="DM169" s="253"/>
      <c r="DN169" s="253"/>
      <c r="DO169" s="253"/>
      <c r="DP169" s="253"/>
    </row>
    <row r="170" spans="1:120">
      <c r="A170" s="261"/>
      <c r="B170" s="281" t="s">
        <v>789</v>
      </c>
      <c r="C170" s="253"/>
      <c r="D170" s="253"/>
      <c r="E170" s="253">
        <f t="shared" ref="E170:O170" si="328">E125-E141</f>
        <v>167.9325045</v>
      </c>
      <c r="F170" s="253">
        <f t="shared" si="328"/>
        <v>212.9160863</v>
      </c>
      <c r="G170" s="253">
        <f t="shared" si="328"/>
        <v>226.64067849</v>
      </c>
      <c r="H170" s="253">
        <f t="shared" si="328"/>
        <v>304.67864046</v>
      </c>
      <c r="I170" s="253">
        <f t="shared" si="328"/>
        <v>369.53008037</v>
      </c>
      <c r="J170" s="253">
        <f t="shared" si="328"/>
        <v>712.59361069</v>
      </c>
      <c r="K170" s="253">
        <f t="shared" si="328"/>
        <v>706.29435486</v>
      </c>
      <c r="L170" s="253">
        <f t="shared" si="328"/>
        <v>726.39802666</v>
      </c>
      <c r="M170" s="253">
        <f t="shared" si="328"/>
        <v>845.1206813</v>
      </c>
      <c r="N170" s="253">
        <f t="shared" si="328"/>
        <v>2745.32535494</v>
      </c>
      <c r="O170" s="253">
        <f t="shared" si="328"/>
        <v>3029.81459988</v>
      </c>
      <c r="P170" s="253">
        <f t="shared" ref="P170:U170" si="329">P125-P141</f>
        <v>3273.63389315</v>
      </c>
      <c r="Q170" s="253">
        <f t="shared" si="329"/>
        <v>3468.02669175</v>
      </c>
      <c r="R170" s="253">
        <f t="shared" si="329"/>
        <v>5100.85882313</v>
      </c>
      <c r="S170" s="253">
        <f t="shared" si="329"/>
        <v>13619.74077402</v>
      </c>
      <c r="T170" s="253">
        <f t="shared" si="329"/>
        <v>29973.6656920962</v>
      </c>
      <c r="U170" s="253">
        <f t="shared" si="329"/>
        <v>55715.5001931652</v>
      </c>
      <c r="V170" s="253">
        <f t="shared" ref="V170" si="330">V125-V141</f>
        <v>85798.7220142018</v>
      </c>
      <c r="W170" s="303"/>
      <c r="X170" s="253"/>
      <c r="Y170" s="253"/>
      <c r="Z170" s="253"/>
      <c r="AA170" s="316"/>
      <c r="AB170" s="253"/>
      <c r="AC170" s="253"/>
      <c r="AD170" s="253"/>
      <c r="AE170" s="316"/>
      <c r="AF170" s="253"/>
      <c r="AG170" s="253"/>
      <c r="AH170" s="253"/>
      <c r="AI170" s="316"/>
      <c r="AJ170" s="253"/>
      <c r="AK170" s="253"/>
      <c r="AL170" s="253"/>
      <c r="AM170" s="316"/>
      <c r="AN170" s="253"/>
      <c r="AO170" s="253"/>
      <c r="AP170" s="253"/>
      <c r="AQ170" s="316"/>
      <c r="AR170" s="253"/>
      <c r="AS170" s="253"/>
      <c r="AT170" s="253"/>
      <c r="AU170" s="316"/>
      <c r="AV170" s="253"/>
      <c r="AW170" s="253"/>
      <c r="AX170" s="253"/>
      <c r="AY170" s="316"/>
      <c r="AZ170" s="253"/>
      <c r="BA170" s="253"/>
      <c r="BB170" s="253"/>
      <c r="BC170" s="316"/>
      <c r="BD170" s="253"/>
      <c r="BE170" s="253"/>
      <c r="BF170" s="253"/>
      <c r="BG170" s="316"/>
      <c r="BH170" s="253"/>
      <c r="BI170" s="253"/>
      <c r="BJ170" s="253"/>
      <c r="BK170" s="316"/>
      <c r="BL170" s="253"/>
      <c r="BM170" s="253"/>
      <c r="BN170" s="253"/>
      <c r="BO170" s="316"/>
      <c r="BP170" s="253"/>
      <c r="BQ170" s="253"/>
      <c r="BR170" s="253"/>
      <c r="BS170" s="316"/>
      <c r="BT170" s="253"/>
      <c r="BU170" s="253"/>
      <c r="BV170" s="253"/>
      <c r="BW170" s="253"/>
      <c r="BX170" s="253"/>
      <c r="BY170" s="253"/>
      <c r="BZ170" s="253"/>
      <c r="CA170" s="253"/>
      <c r="CB170" s="253"/>
      <c r="CC170" s="253"/>
      <c r="CD170" s="253"/>
      <c r="CE170" s="253"/>
      <c r="CF170" s="253"/>
      <c r="CG170" s="253"/>
      <c r="CH170" s="253"/>
      <c r="CI170" s="253"/>
      <c r="CJ170" s="253"/>
      <c r="CK170" s="253"/>
      <c r="CL170" s="253"/>
      <c r="CM170" s="253"/>
      <c r="CN170" s="253"/>
      <c r="CO170" s="253"/>
      <c r="CP170" s="253"/>
      <c r="CQ170" s="253"/>
      <c r="CR170" s="253"/>
      <c r="CS170" s="253"/>
      <c r="CT170" s="253"/>
      <c r="CU170" s="253"/>
      <c r="CV170" s="253"/>
      <c r="CW170" s="253"/>
      <c r="CX170" s="253"/>
      <c r="CY170" s="253"/>
      <c r="CZ170" s="253"/>
      <c r="DA170" s="253"/>
      <c r="DB170" s="253"/>
      <c r="DC170" s="253"/>
      <c r="DD170" s="253"/>
      <c r="DE170" s="253"/>
      <c r="DF170" s="253"/>
      <c r="DG170" s="253"/>
      <c r="DH170" s="253"/>
      <c r="DI170" s="253"/>
      <c r="DJ170" s="253"/>
      <c r="DK170" s="253"/>
      <c r="DL170" s="253"/>
      <c r="DM170" s="253"/>
      <c r="DN170" s="253"/>
      <c r="DO170" s="253"/>
      <c r="DP170" s="253"/>
    </row>
    <row r="171" spans="1:120">
      <c r="A171" s="261"/>
      <c r="B171" s="281" t="s">
        <v>790</v>
      </c>
      <c r="C171" s="253"/>
      <c r="D171" s="253"/>
      <c r="E171" s="253">
        <f t="shared" ref="E171:O171" si="331">+E143+E139-E121</f>
        <v>-89.83875803</v>
      </c>
      <c r="F171" s="253">
        <f t="shared" si="331"/>
        <v>-98.53904271</v>
      </c>
      <c r="G171" s="253">
        <f t="shared" si="331"/>
        <v>-52.52412164</v>
      </c>
      <c r="H171" s="253">
        <f t="shared" si="331"/>
        <v>-84.89609736</v>
      </c>
      <c r="I171" s="253">
        <f t="shared" si="331"/>
        <v>-79.31808351</v>
      </c>
      <c r="J171" s="253">
        <f t="shared" si="331"/>
        <v>-135.60739867</v>
      </c>
      <c r="K171" s="253">
        <f t="shared" si="331"/>
        <v>-86.82837139</v>
      </c>
      <c r="L171" s="253">
        <f t="shared" si="331"/>
        <v>-237.00026683</v>
      </c>
      <c r="M171" s="253">
        <f t="shared" si="331"/>
        <v>-253.40360322</v>
      </c>
      <c r="N171" s="253">
        <f t="shared" si="331"/>
        <v>-1859.83208675</v>
      </c>
      <c r="O171" s="253">
        <f t="shared" si="331"/>
        <v>-1579.77817945</v>
      </c>
      <c r="P171" s="253">
        <f t="shared" ref="P171:V171" si="332">+P143+P139-P121</f>
        <v>-1781.82002281</v>
      </c>
      <c r="Q171" s="253">
        <f t="shared" si="332"/>
        <v>-2511.54591248</v>
      </c>
      <c r="R171" s="253">
        <f t="shared" si="332"/>
        <v>-1596.58589714</v>
      </c>
      <c r="S171" s="253">
        <f t="shared" si="332"/>
        <v>-8151.99151343</v>
      </c>
      <c r="T171" s="253">
        <f t="shared" si="332"/>
        <v>-15390.1302454718</v>
      </c>
      <c r="U171" s="253">
        <f t="shared" si="332"/>
        <v>-39085.6894222192</v>
      </c>
      <c r="V171" s="253">
        <f t="shared" si="332"/>
        <v>-57962.5867688897</v>
      </c>
      <c r="W171" s="303"/>
      <c r="X171" s="253"/>
      <c r="Y171" s="253"/>
      <c r="Z171" s="253"/>
      <c r="AA171" s="316"/>
      <c r="AB171" s="253"/>
      <c r="AC171" s="253"/>
      <c r="AD171" s="253"/>
      <c r="AE171" s="316"/>
      <c r="AF171" s="253"/>
      <c r="AG171" s="253"/>
      <c r="AH171" s="253"/>
      <c r="AI171" s="316"/>
      <c r="AJ171" s="253"/>
      <c r="AK171" s="253"/>
      <c r="AL171" s="253"/>
      <c r="AM171" s="316"/>
      <c r="AN171" s="253"/>
      <c r="AO171" s="253"/>
      <c r="AP171" s="253"/>
      <c r="AQ171" s="316"/>
      <c r="AR171" s="253"/>
      <c r="AS171" s="253"/>
      <c r="AT171" s="253"/>
      <c r="AU171" s="316"/>
      <c r="AV171" s="253"/>
      <c r="AW171" s="253"/>
      <c r="AX171" s="253"/>
      <c r="AY171" s="316"/>
      <c r="AZ171" s="253"/>
      <c r="BA171" s="253"/>
      <c r="BB171" s="253"/>
      <c r="BC171" s="316"/>
      <c r="BD171" s="253"/>
      <c r="BE171" s="253"/>
      <c r="BF171" s="253"/>
      <c r="BG171" s="316"/>
      <c r="BH171" s="253"/>
      <c r="BI171" s="253"/>
      <c r="BJ171" s="253"/>
      <c r="BK171" s="316"/>
      <c r="BL171" s="253"/>
      <c r="BM171" s="253"/>
      <c r="BN171" s="253"/>
      <c r="BO171" s="316"/>
      <c r="BP171" s="253"/>
      <c r="BQ171" s="253"/>
      <c r="BR171" s="253"/>
      <c r="BS171" s="316"/>
      <c r="BT171" s="253"/>
      <c r="BU171" s="253"/>
      <c r="BV171" s="253"/>
      <c r="BW171" s="253"/>
      <c r="BX171" s="253"/>
      <c r="BY171" s="253"/>
      <c r="BZ171" s="253"/>
      <c r="CA171" s="253"/>
      <c r="CB171" s="253"/>
      <c r="CC171" s="253"/>
      <c r="CD171" s="253"/>
      <c r="CE171" s="253"/>
      <c r="CF171" s="253"/>
      <c r="CG171" s="253"/>
      <c r="CH171" s="253"/>
      <c r="CI171" s="253"/>
      <c r="CJ171" s="253"/>
      <c r="CK171" s="253"/>
      <c r="CL171" s="253"/>
      <c r="CM171" s="253"/>
      <c r="CN171" s="253"/>
      <c r="CO171" s="253"/>
      <c r="CP171" s="253"/>
      <c r="CQ171" s="253"/>
      <c r="CR171" s="253"/>
      <c r="CS171" s="253"/>
      <c r="CT171" s="253"/>
      <c r="CU171" s="253"/>
      <c r="CV171" s="253"/>
      <c r="CW171" s="253"/>
      <c r="CX171" s="253"/>
      <c r="CY171" s="253"/>
      <c r="CZ171" s="253"/>
      <c r="DA171" s="253"/>
      <c r="DB171" s="253"/>
      <c r="DC171" s="253"/>
      <c r="DD171" s="253"/>
      <c r="DE171" s="253"/>
      <c r="DF171" s="253"/>
      <c r="DG171" s="253"/>
      <c r="DH171" s="253"/>
      <c r="DI171" s="253"/>
      <c r="DJ171" s="253"/>
      <c r="DK171" s="253"/>
      <c r="DL171" s="253"/>
      <c r="DM171" s="253"/>
      <c r="DN171" s="253"/>
      <c r="DO171" s="253"/>
      <c r="DP171" s="253"/>
    </row>
    <row r="172" spans="1:120">
      <c r="A172" s="261"/>
      <c r="B172" s="281" t="s">
        <v>791</v>
      </c>
      <c r="C172" s="377"/>
      <c r="D172" s="377"/>
      <c r="E172" s="377">
        <f t="shared" ref="E172:O172" si="333">E171/E155</f>
        <v>-0.498986483317658</v>
      </c>
      <c r="F172" s="377">
        <f t="shared" si="333"/>
        <v>-0.379723450506946</v>
      </c>
      <c r="G172" s="377">
        <f t="shared" si="333"/>
        <v>-0.155002016093959</v>
      </c>
      <c r="H172" s="377">
        <f t="shared" si="333"/>
        <v>-0.196856211922921</v>
      </c>
      <c r="I172" s="377">
        <f t="shared" si="333"/>
        <v>-0.150878089259553</v>
      </c>
      <c r="J172" s="377">
        <f t="shared" si="333"/>
        <v>-0.136213720043103</v>
      </c>
      <c r="K172" s="377">
        <f t="shared" si="333"/>
        <v>-0.0798266196306338</v>
      </c>
      <c r="L172" s="377">
        <f t="shared" si="333"/>
        <v>-0.208667872394048</v>
      </c>
      <c r="M172" s="377">
        <f t="shared" si="333"/>
        <v>-0.190816853058339</v>
      </c>
      <c r="N172" s="377">
        <f t="shared" si="333"/>
        <v>-0.540016634522411</v>
      </c>
      <c r="O172" s="377">
        <f t="shared" si="333"/>
        <v>-0.399062503615303</v>
      </c>
      <c r="P172" s="377">
        <f t="shared" ref="P172:U172" si="334">P171/P155</f>
        <v>-0.368970424004712</v>
      </c>
      <c r="Q172" s="377">
        <f t="shared" si="334"/>
        <v>-0.459486974681299</v>
      </c>
      <c r="R172" s="377">
        <f t="shared" si="334"/>
        <v>-0.191710015580696</v>
      </c>
      <c r="S172" s="377">
        <f t="shared" si="334"/>
        <v>-0.451277465880698</v>
      </c>
      <c r="T172" s="377">
        <f t="shared" si="334"/>
        <v>-0.420203974138584</v>
      </c>
      <c r="U172" s="377">
        <f t="shared" si="334"/>
        <v>-0.613618644832378</v>
      </c>
      <c r="V172" s="377">
        <f t="shared" ref="V172" si="335">V171/V155</f>
        <v>-0.611322736834728</v>
      </c>
      <c r="W172" s="303"/>
      <c r="X172" s="253"/>
      <c r="Y172" s="253"/>
      <c r="Z172" s="253"/>
      <c r="AA172" s="316"/>
      <c r="AB172" s="253"/>
      <c r="AC172" s="253"/>
      <c r="AD172" s="253"/>
      <c r="AE172" s="316"/>
      <c r="AF172" s="253"/>
      <c r="AG172" s="253"/>
      <c r="AH172" s="253"/>
      <c r="AI172" s="316"/>
      <c r="AJ172" s="253"/>
      <c r="AK172" s="253"/>
      <c r="AL172" s="253"/>
      <c r="AM172" s="316"/>
      <c r="AN172" s="253"/>
      <c r="AO172" s="253"/>
      <c r="AP172" s="253"/>
      <c r="AQ172" s="316"/>
      <c r="AR172" s="253"/>
      <c r="AS172" s="253"/>
      <c r="AT172" s="253"/>
      <c r="AU172" s="316"/>
      <c r="AV172" s="253"/>
      <c r="AW172" s="253"/>
      <c r="AX172" s="253"/>
      <c r="AY172" s="316"/>
      <c r="AZ172" s="253"/>
      <c r="BA172" s="253"/>
      <c r="BB172" s="253"/>
      <c r="BC172" s="316"/>
      <c r="BD172" s="253"/>
      <c r="BE172" s="253"/>
      <c r="BF172" s="253"/>
      <c r="BG172" s="316"/>
      <c r="BH172" s="253"/>
      <c r="BI172" s="253"/>
      <c r="BJ172" s="253"/>
      <c r="BK172" s="316"/>
      <c r="BL172" s="253"/>
      <c r="BM172" s="253"/>
      <c r="BN172" s="253"/>
      <c r="BO172" s="316"/>
      <c r="BP172" s="253"/>
      <c r="BQ172" s="253"/>
      <c r="BR172" s="253"/>
      <c r="BS172" s="316"/>
      <c r="BT172" s="253"/>
      <c r="BU172" s="253"/>
      <c r="BV172" s="253"/>
      <c r="BW172" s="253"/>
      <c r="BX172" s="253"/>
      <c r="BY172" s="253"/>
      <c r="BZ172" s="253"/>
      <c r="CA172" s="253"/>
      <c r="CB172" s="253"/>
      <c r="CC172" s="253"/>
      <c r="CD172" s="253"/>
      <c r="CE172" s="253"/>
      <c r="CF172" s="253"/>
      <c r="CG172" s="253"/>
      <c r="CH172" s="253"/>
      <c r="CI172" s="253"/>
      <c r="CJ172" s="253"/>
      <c r="CK172" s="253"/>
      <c r="CL172" s="253"/>
      <c r="CM172" s="253"/>
      <c r="CN172" s="253"/>
      <c r="CO172" s="253"/>
      <c r="CP172" s="253"/>
      <c r="CQ172" s="253"/>
      <c r="CR172" s="253"/>
      <c r="CS172" s="253"/>
      <c r="CT172" s="253"/>
      <c r="CU172" s="253"/>
      <c r="CV172" s="253"/>
      <c r="CW172" s="253"/>
      <c r="CX172" s="253"/>
      <c r="CY172" s="253"/>
      <c r="CZ172" s="253"/>
      <c r="DA172" s="253"/>
      <c r="DB172" s="253"/>
      <c r="DC172" s="253"/>
      <c r="DD172" s="253"/>
      <c r="DE172" s="253"/>
      <c r="DF172" s="253"/>
      <c r="DG172" s="253"/>
      <c r="DH172" s="253"/>
      <c r="DI172" s="253"/>
      <c r="DJ172" s="253"/>
      <c r="DK172" s="253"/>
      <c r="DL172" s="253"/>
      <c r="DM172" s="253"/>
      <c r="DN172" s="253"/>
      <c r="DO172" s="253"/>
      <c r="DP172" s="253"/>
    </row>
    <row r="173" spans="1:120">
      <c r="A173" s="261"/>
      <c r="B173" s="281"/>
      <c r="C173" s="253"/>
      <c r="D173" s="253"/>
      <c r="E173" s="253"/>
      <c r="F173" s="253"/>
      <c r="G173" s="253"/>
      <c r="H173" s="253"/>
      <c r="I173" s="253"/>
      <c r="J173" s="253"/>
      <c r="K173" s="253"/>
      <c r="L173" s="253"/>
      <c r="M173" s="253"/>
      <c r="N173" s="253"/>
      <c r="O173" s="253"/>
      <c r="P173" s="253"/>
      <c r="Q173" s="253"/>
      <c r="R173" s="253"/>
      <c r="S173" s="253"/>
      <c r="T173" s="253"/>
      <c r="U173" s="253"/>
      <c r="V173" s="253"/>
      <c r="W173" s="303"/>
      <c r="X173" s="253"/>
      <c r="Y173" s="253"/>
      <c r="Z173" s="253"/>
      <c r="AA173" s="316"/>
      <c r="AB173" s="253"/>
      <c r="AC173" s="253"/>
      <c r="AD173" s="253"/>
      <c r="AE173" s="316"/>
      <c r="AF173" s="253"/>
      <c r="AG173" s="253"/>
      <c r="AH173" s="253"/>
      <c r="AI173" s="316"/>
      <c r="AJ173" s="253"/>
      <c r="AK173" s="253"/>
      <c r="AL173" s="253"/>
      <c r="AM173" s="316"/>
      <c r="AN173" s="253"/>
      <c r="AO173" s="253"/>
      <c r="AP173" s="253"/>
      <c r="AQ173" s="337"/>
      <c r="AR173" s="303"/>
      <c r="AS173" s="303"/>
      <c r="AT173" s="310"/>
      <c r="AU173" s="340"/>
      <c r="AV173" s="310"/>
      <c r="AW173" s="310"/>
      <c r="AX173" s="310"/>
      <c r="AY173" s="340"/>
      <c r="AZ173" s="310"/>
      <c r="BA173" s="310"/>
      <c r="BB173" s="310"/>
      <c r="BC173" s="340"/>
      <c r="BD173" s="310"/>
      <c r="BE173" s="310"/>
      <c r="BF173" s="310"/>
      <c r="BG173" s="340"/>
      <c r="BH173" s="310"/>
      <c r="BI173" s="310"/>
      <c r="BJ173" s="310"/>
      <c r="BK173" s="340"/>
      <c r="BL173" s="310"/>
      <c r="BM173" s="310"/>
      <c r="BN173" s="310"/>
      <c r="BO173" s="340"/>
      <c r="BP173" s="310"/>
      <c r="BQ173" s="310"/>
      <c r="BR173" s="310"/>
      <c r="BS173" s="340"/>
      <c r="BT173" s="310"/>
      <c r="BU173" s="310"/>
      <c r="BV173" s="310"/>
      <c r="BW173" s="310"/>
      <c r="BX173" s="310"/>
      <c r="BY173" s="310"/>
      <c r="BZ173" s="310"/>
      <c r="CA173" s="310"/>
      <c r="CB173" s="310"/>
      <c r="CC173" s="310"/>
      <c r="CD173" s="310"/>
      <c r="CE173" s="310"/>
      <c r="CF173" s="310"/>
      <c r="CG173" s="310"/>
      <c r="CH173" s="303"/>
      <c r="CI173" s="303"/>
      <c r="CJ173" s="303"/>
      <c r="CK173" s="303"/>
      <c r="CL173" s="303"/>
      <c r="CM173" s="303"/>
      <c r="CN173" s="303"/>
      <c r="CO173" s="303"/>
      <c r="CP173" s="303"/>
      <c r="CQ173" s="303"/>
      <c r="CR173" s="303"/>
      <c r="CS173" s="303"/>
      <c r="CT173" s="303"/>
      <c r="CU173" s="303"/>
      <c r="CV173" s="303"/>
      <c r="CW173" s="303"/>
      <c r="CX173" s="303"/>
      <c r="CY173" s="303"/>
      <c r="CZ173" s="303"/>
      <c r="DA173" s="303"/>
      <c r="DB173" s="303"/>
      <c r="DC173" s="303"/>
      <c r="DD173" s="303"/>
      <c r="DE173" s="303"/>
      <c r="DF173" s="303"/>
      <c r="DG173" s="303"/>
      <c r="DH173" s="303"/>
      <c r="DI173" s="303"/>
      <c r="DJ173" s="303"/>
      <c r="DK173" s="303"/>
      <c r="DL173" s="303"/>
      <c r="DM173" s="303"/>
      <c r="DN173" s="303"/>
      <c r="DO173" s="303"/>
      <c r="DP173" s="303"/>
    </row>
    <row r="174" spans="1:120">
      <c r="A174" s="261"/>
      <c r="B174" s="279" t="s">
        <v>792</v>
      </c>
      <c r="C174" s="253"/>
      <c r="D174" s="253"/>
      <c r="E174" s="253"/>
      <c r="F174" s="253"/>
      <c r="G174" s="253"/>
      <c r="H174" s="253"/>
      <c r="I174" s="253"/>
      <c r="J174" s="253"/>
      <c r="K174" s="253"/>
      <c r="L174" s="253"/>
      <c r="M174" s="253"/>
      <c r="N174" s="253"/>
      <c r="O174" s="253"/>
      <c r="P174" s="253"/>
      <c r="Q174" s="253"/>
      <c r="R174" s="253"/>
      <c r="S174" s="253"/>
      <c r="T174" s="253"/>
      <c r="U174" s="253"/>
      <c r="V174" s="253"/>
      <c r="W174" s="303"/>
      <c r="X174" s="253"/>
      <c r="Y174" s="253"/>
      <c r="Z174" s="253"/>
      <c r="AA174" s="316"/>
      <c r="AB174" s="253"/>
      <c r="AC174" s="253"/>
      <c r="AD174" s="253"/>
      <c r="AE174" s="316"/>
      <c r="AF174" s="253"/>
      <c r="AG174" s="253"/>
      <c r="AH174" s="253"/>
      <c r="AI174" s="316"/>
      <c r="AJ174" s="253"/>
      <c r="AK174" s="253"/>
      <c r="AL174" s="253"/>
      <c r="AM174" s="316"/>
      <c r="AN174" s="253"/>
      <c r="AO174" s="253"/>
      <c r="AP174" s="253"/>
      <c r="AQ174" s="337"/>
      <c r="AR174" s="303"/>
      <c r="AS174" s="303"/>
      <c r="AT174" s="310"/>
      <c r="AU174" s="340"/>
      <c r="AV174" s="310"/>
      <c r="AW174" s="310"/>
      <c r="AX174" s="310"/>
      <c r="AY174" s="340"/>
      <c r="AZ174" s="310"/>
      <c r="BA174" s="310"/>
      <c r="BB174" s="310"/>
      <c r="BC174" s="340"/>
      <c r="BD174" s="310"/>
      <c r="BE174" s="310"/>
      <c r="BF174" s="310"/>
      <c r="BG174" s="340"/>
      <c r="BH174" s="310"/>
      <c r="BI174" s="310"/>
      <c r="BJ174" s="310"/>
      <c r="BK174" s="340"/>
      <c r="BL174" s="310"/>
      <c r="BM174" s="310"/>
      <c r="BN174" s="310"/>
      <c r="BO174" s="340"/>
      <c r="BP174" s="310"/>
      <c r="BQ174" s="310"/>
      <c r="BR174" s="310"/>
      <c r="BS174" s="340"/>
      <c r="BT174" s="310"/>
      <c r="BU174" s="310"/>
      <c r="BV174" s="310"/>
      <c r="BW174" s="310"/>
      <c r="BX174" s="310"/>
      <c r="BY174" s="310"/>
      <c r="BZ174" s="310"/>
      <c r="CA174" s="310"/>
      <c r="CB174" s="310"/>
      <c r="CC174" s="310"/>
      <c r="CD174" s="310"/>
      <c r="CE174" s="310"/>
      <c r="CF174" s="310"/>
      <c r="CG174" s="310"/>
      <c r="CH174" s="303"/>
      <c r="CI174" s="303"/>
      <c r="CJ174" s="303"/>
      <c r="CK174" s="303"/>
      <c r="CL174" s="303"/>
      <c r="CM174" s="303"/>
      <c r="CN174" s="303"/>
      <c r="CO174" s="303"/>
      <c r="CP174" s="303"/>
      <c r="CQ174" s="303"/>
      <c r="CR174" s="303"/>
      <c r="CS174" s="303"/>
      <c r="CT174" s="303"/>
      <c r="CU174" s="303"/>
      <c r="CV174" s="303"/>
      <c r="CW174" s="303"/>
      <c r="CX174" s="303"/>
      <c r="CY174" s="303"/>
      <c r="CZ174" s="303"/>
      <c r="DA174" s="303"/>
      <c r="DB174" s="303"/>
      <c r="DC174" s="303"/>
      <c r="DD174" s="303"/>
      <c r="DE174" s="303"/>
      <c r="DF174" s="303"/>
      <c r="DG174" s="303"/>
      <c r="DH174" s="303"/>
      <c r="DI174" s="303"/>
      <c r="DJ174" s="303"/>
      <c r="DK174" s="303"/>
      <c r="DL174" s="303"/>
      <c r="DM174" s="303"/>
      <c r="DN174" s="303"/>
      <c r="DO174" s="303"/>
      <c r="DP174" s="303"/>
    </row>
    <row r="175" spans="1:119">
      <c r="A175" s="261"/>
      <c r="B175" s="281" t="s">
        <v>793</v>
      </c>
      <c r="C175" s="455"/>
      <c r="D175" s="253"/>
      <c r="E175" s="253">
        <v>8</v>
      </c>
      <c r="F175" s="253">
        <f>+E179</f>
        <v>10.04318819</v>
      </c>
      <c r="G175" s="253">
        <f t="shared" ref="G175:V175" si="336">+F179</f>
        <v>12.89496024</v>
      </c>
      <c r="H175" s="253">
        <f t="shared" si="336"/>
        <v>105.52460682</v>
      </c>
      <c r="I175" s="310">
        <f t="shared" si="336"/>
        <v>111.27813848</v>
      </c>
      <c r="J175" s="310">
        <f t="shared" si="336"/>
        <v>138.75931333</v>
      </c>
      <c r="K175" s="310">
        <f t="shared" si="336"/>
        <v>221.37814603</v>
      </c>
      <c r="L175" s="310">
        <f t="shared" si="336"/>
        <v>314.13861286</v>
      </c>
      <c r="M175" s="310">
        <f t="shared" si="336"/>
        <v>308.46181255</v>
      </c>
      <c r="N175" s="310">
        <f t="shared" si="336"/>
        <v>335.85373272</v>
      </c>
      <c r="O175" s="310">
        <f t="shared" si="336"/>
        <v>523.03076764</v>
      </c>
      <c r="P175" s="310">
        <f t="shared" si="336"/>
        <v>608.85183842</v>
      </c>
      <c r="Q175" s="310">
        <f t="shared" si="336"/>
        <v>661.02231583</v>
      </c>
      <c r="R175" s="310">
        <f t="shared" si="336"/>
        <v>1310.38808804</v>
      </c>
      <c r="S175" s="310">
        <f t="shared" si="336"/>
        <v>2603.2717649744</v>
      </c>
      <c r="T175" s="310">
        <f t="shared" si="336"/>
        <v>4231.87003037898</v>
      </c>
      <c r="U175" s="310">
        <f t="shared" si="336"/>
        <v>5931.42298550208</v>
      </c>
      <c r="V175" s="310">
        <f t="shared" si="336"/>
        <v>7278.43778893913</v>
      </c>
      <c r="W175" s="303"/>
      <c r="X175" s="310"/>
      <c r="Y175" s="310"/>
      <c r="Z175" s="310"/>
      <c r="AA175" s="340"/>
      <c r="AB175" s="310"/>
      <c r="AC175" s="310"/>
      <c r="AD175" s="310"/>
      <c r="AE175" s="340"/>
      <c r="AF175" s="310"/>
      <c r="AG175" s="310"/>
      <c r="AH175" s="310"/>
      <c r="AI175" s="340"/>
      <c r="AJ175" s="310"/>
      <c r="AK175" s="310"/>
      <c r="AL175" s="310"/>
      <c r="AM175" s="340"/>
      <c r="AN175" s="310"/>
      <c r="AO175" s="310"/>
      <c r="AP175" s="310"/>
      <c r="AQ175" s="340"/>
      <c r="AR175" s="310"/>
      <c r="AS175" s="310"/>
      <c r="AT175" s="310"/>
      <c r="AU175" s="340"/>
      <c r="AV175" s="310"/>
      <c r="AW175" s="310"/>
      <c r="AX175" s="310"/>
      <c r="AY175" s="340"/>
      <c r="AZ175" s="310"/>
      <c r="BA175" s="310"/>
      <c r="BB175" s="310"/>
      <c r="BC175" s="340"/>
      <c r="BD175" s="310"/>
      <c r="BE175" s="310"/>
      <c r="BF175" s="310"/>
      <c r="BG175" s="340"/>
      <c r="BH175" s="310"/>
      <c r="BI175" s="310"/>
      <c r="BJ175" s="310"/>
      <c r="BK175" s="340"/>
      <c r="BL175" s="310"/>
      <c r="BM175" s="310"/>
      <c r="BN175" s="310"/>
      <c r="BO175" s="340"/>
      <c r="BP175" s="310"/>
      <c r="BQ175" s="310"/>
      <c r="BR175" s="310"/>
      <c r="BS175" s="340"/>
      <c r="BT175" s="310"/>
      <c r="BU175" s="310"/>
      <c r="BV175" s="310"/>
      <c r="BW175" s="310"/>
      <c r="BX175" s="310"/>
      <c r="BY175" s="310"/>
      <c r="BZ175" s="310"/>
      <c r="CA175" s="310"/>
      <c r="CB175" s="310"/>
      <c r="CC175" s="310"/>
      <c r="CD175" s="310"/>
      <c r="CE175" s="310"/>
      <c r="CF175" s="310"/>
      <c r="CG175" s="310"/>
      <c r="CH175" s="303"/>
      <c r="CI175" s="303"/>
      <c r="CJ175" s="303"/>
      <c r="CK175" s="303"/>
      <c r="CL175" s="303"/>
      <c r="CM175" s="303"/>
      <c r="CN175" s="303"/>
      <c r="CO175" s="303"/>
      <c r="CP175" s="303"/>
      <c r="CQ175" s="303"/>
      <c r="CR175" s="303"/>
      <c r="CS175" s="303"/>
      <c r="CT175" s="303"/>
      <c r="CU175" s="303"/>
      <c r="CV175" s="303"/>
      <c r="CW175" s="303"/>
      <c r="CX175" s="303"/>
      <c r="CY175" s="303"/>
      <c r="CZ175" s="303"/>
      <c r="DA175" s="303"/>
      <c r="DB175" s="303"/>
      <c r="DC175" s="303"/>
      <c r="DD175" s="303"/>
      <c r="DE175" s="303"/>
      <c r="DF175" s="303"/>
      <c r="DG175" s="303"/>
      <c r="DH175" s="303"/>
      <c r="DI175" s="303"/>
      <c r="DJ175" s="303"/>
      <c r="DK175" s="303"/>
      <c r="DL175" s="303"/>
      <c r="DM175" s="303"/>
      <c r="DN175" s="303"/>
      <c r="DO175" s="303"/>
    </row>
    <row r="176" spans="1:120">
      <c r="A176" s="261"/>
      <c r="B176" s="281" t="s">
        <v>794</v>
      </c>
      <c r="C176" s="456"/>
      <c r="D176" s="456"/>
      <c r="E176" s="456">
        <f>-E214</f>
        <v>5.03358718</v>
      </c>
      <c r="F176" s="456">
        <f t="shared" ref="F176:R176" si="337">-F214</f>
        <v>39.01859826</v>
      </c>
      <c r="G176" s="456">
        <f t="shared" si="337"/>
        <v>74.19091972</v>
      </c>
      <c r="H176" s="456">
        <f t="shared" si="337"/>
        <v>28.24924452</v>
      </c>
      <c r="I176" s="456">
        <f t="shared" si="337"/>
        <v>37.63873224</v>
      </c>
      <c r="J176" s="456">
        <f t="shared" si="337"/>
        <v>130.77671301</v>
      </c>
      <c r="K176" s="456">
        <f t="shared" si="337"/>
        <v>135.73533282</v>
      </c>
      <c r="L176" s="456">
        <f t="shared" si="337"/>
        <v>68.77890037</v>
      </c>
      <c r="M176" s="456">
        <f t="shared" si="337"/>
        <v>99.13486822</v>
      </c>
      <c r="N176" s="456">
        <f t="shared" si="337"/>
        <v>290.64016386</v>
      </c>
      <c r="O176" s="456">
        <f t="shared" si="337"/>
        <v>273.49673873</v>
      </c>
      <c r="P176" s="456">
        <f t="shared" si="337"/>
        <v>364.71799399</v>
      </c>
      <c r="Q176" s="456">
        <f t="shared" si="337"/>
        <v>554.30905704</v>
      </c>
      <c r="R176" s="456">
        <f t="shared" si="337"/>
        <v>1476.33800926</v>
      </c>
      <c r="S176" s="456">
        <f>+R176*1.35</f>
        <v>1993.056312501</v>
      </c>
      <c r="T176" s="298">
        <f>+S176*1.15</f>
        <v>2292.01475937615</v>
      </c>
      <c r="U176" s="298">
        <f>+T176*0.95</f>
        <v>2177.41402140734</v>
      </c>
      <c r="V176" s="298">
        <f>+U176*0.95</f>
        <v>2068.54332033697</v>
      </c>
      <c r="W176" s="303"/>
      <c r="X176" s="253"/>
      <c r="Y176" s="253"/>
      <c r="Z176" s="253"/>
      <c r="AA176" s="316"/>
      <c r="AB176" s="253"/>
      <c r="AC176" s="253"/>
      <c r="AD176" s="253"/>
      <c r="AE176" s="316"/>
      <c r="AF176" s="253"/>
      <c r="AG176" s="253"/>
      <c r="AH176" s="253"/>
      <c r="AI176" s="316"/>
      <c r="AJ176" s="253"/>
      <c r="AK176" s="253"/>
      <c r="AL176" s="253"/>
      <c r="AM176" s="316"/>
      <c r="AN176" s="253"/>
      <c r="AO176" s="253"/>
      <c r="AP176" s="253"/>
      <c r="AQ176" s="316"/>
      <c r="AR176" s="253"/>
      <c r="AS176" s="253"/>
      <c r="AT176" s="253"/>
      <c r="AU176" s="316"/>
      <c r="AV176" s="253"/>
      <c r="AW176" s="253"/>
      <c r="AX176" s="253"/>
      <c r="AY176" s="316"/>
      <c r="AZ176" s="253"/>
      <c r="BA176" s="253"/>
      <c r="BB176" s="253"/>
      <c r="BC176" s="316"/>
      <c r="BD176" s="253"/>
      <c r="BE176" s="253"/>
      <c r="BF176" s="253"/>
      <c r="BG176" s="316"/>
      <c r="BH176" s="253"/>
      <c r="BI176" s="253"/>
      <c r="BJ176" s="253"/>
      <c r="BK176" s="316"/>
      <c r="BL176" s="253"/>
      <c r="BM176" s="253"/>
      <c r="BN176" s="253"/>
      <c r="BO176" s="316"/>
      <c r="BP176" s="253"/>
      <c r="BQ176" s="253"/>
      <c r="BR176" s="253"/>
      <c r="BS176" s="316"/>
      <c r="BT176" s="253"/>
      <c r="BU176" s="253"/>
      <c r="BV176" s="253"/>
      <c r="BW176" s="253"/>
      <c r="BX176" s="253"/>
      <c r="BY176" s="253"/>
      <c r="BZ176" s="253"/>
      <c r="CA176" s="253"/>
      <c r="CB176" s="253"/>
      <c r="CC176" s="253"/>
      <c r="CD176" s="253"/>
      <c r="CE176" s="253"/>
      <c r="CF176" s="253"/>
      <c r="CG176" s="253"/>
      <c r="CH176" s="303"/>
      <c r="CI176" s="303"/>
      <c r="CJ176" s="303"/>
      <c r="CK176" s="303"/>
      <c r="CL176" s="303"/>
      <c r="CM176" s="303"/>
      <c r="CN176" s="303"/>
      <c r="CO176" s="303"/>
      <c r="CP176" s="303"/>
      <c r="CQ176" s="303"/>
      <c r="CR176" s="303"/>
      <c r="CS176" s="303"/>
      <c r="CT176" s="303"/>
      <c r="CU176" s="303"/>
      <c r="CV176" s="303"/>
      <c r="CW176" s="303"/>
      <c r="CX176" s="303"/>
      <c r="CY176" s="303"/>
      <c r="CZ176" s="303"/>
      <c r="DA176" s="303"/>
      <c r="DB176" s="303"/>
      <c r="DC176" s="303"/>
      <c r="DD176" s="303"/>
      <c r="DE176" s="303"/>
      <c r="DF176" s="303"/>
      <c r="DG176" s="303"/>
      <c r="DH176" s="303"/>
      <c r="DI176" s="303"/>
      <c r="DJ176" s="303"/>
      <c r="DK176" s="303"/>
      <c r="DL176" s="303"/>
      <c r="DM176" s="303"/>
      <c r="DN176" s="303"/>
      <c r="DO176" s="303"/>
      <c r="DP176" s="253"/>
    </row>
    <row r="177" spans="1:120">
      <c r="A177" s="261"/>
      <c r="B177" s="281" t="s">
        <v>102</v>
      </c>
      <c r="C177" s="253"/>
      <c r="D177" s="253"/>
      <c r="E177" s="253">
        <v>2.7811</v>
      </c>
      <c r="F177" s="253">
        <v>2.8049</v>
      </c>
      <c r="G177" s="253">
        <v>5.27212379</v>
      </c>
      <c r="H177" s="253">
        <v>12.06805423</v>
      </c>
      <c r="I177" s="253">
        <v>15.21401706</v>
      </c>
      <c r="J177" s="253">
        <v>23.89663331</v>
      </c>
      <c r="K177" s="253">
        <v>46.8622836</v>
      </c>
      <c r="L177" s="253">
        <v>53.23269965</v>
      </c>
      <c r="M177" s="253">
        <v>33.98267841</v>
      </c>
      <c r="N177" s="253">
        <v>49.14134274</v>
      </c>
      <c r="O177" s="253">
        <v>71.31767662</v>
      </c>
      <c r="P177" s="253">
        <v>84.04826139</v>
      </c>
      <c r="Q177" s="253">
        <v>102.96081444</v>
      </c>
      <c r="R177" s="253">
        <f t="shared" ref="R177:U177" si="338">+R175*R180</f>
        <v>183.4543323256</v>
      </c>
      <c r="S177" s="253">
        <f t="shared" si="338"/>
        <v>364.458047096416</v>
      </c>
      <c r="T177" s="253">
        <f t="shared" si="338"/>
        <v>592.461804253058</v>
      </c>
      <c r="U177" s="253">
        <f t="shared" si="338"/>
        <v>830.399217970291</v>
      </c>
      <c r="V177" s="253">
        <f t="shared" ref="V177" si="339">+V175*V180</f>
        <v>1018.98129045148</v>
      </c>
      <c r="W177" s="303"/>
      <c r="X177" s="253"/>
      <c r="Y177" s="253"/>
      <c r="Z177" s="253"/>
      <c r="AA177" s="316"/>
      <c r="AB177" s="253"/>
      <c r="AC177" s="253"/>
      <c r="AD177" s="253"/>
      <c r="AE177" s="316"/>
      <c r="AF177" s="253"/>
      <c r="AG177" s="253"/>
      <c r="AH177" s="253"/>
      <c r="AI177" s="316"/>
      <c r="AJ177" s="253"/>
      <c r="AK177" s="253"/>
      <c r="AL177" s="253"/>
      <c r="AM177" s="316"/>
      <c r="AN177" s="253"/>
      <c r="AO177" s="253"/>
      <c r="AP177" s="253"/>
      <c r="AQ177" s="316"/>
      <c r="AR177" s="253"/>
      <c r="AS177" s="253"/>
      <c r="AT177" s="253"/>
      <c r="AU177" s="316"/>
      <c r="AV177" s="253"/>
      <c r="AW177" s="253"/>
      <c r="AX177" s="253"/>
      <c r="AY177" s="316"/>
      <c r="AZ177" s="253"/>
      <c r="BA177" s="253"/>
      <c r="BB177" s="253"/>
      <c r="BC177" s="316"/>
      <c r="BD177" s="253"/>
      <c r="BE177" s="253"/>
      <c r="BF177" s="253"/>
      <c r="BG177" s="316"/>
      <c r="BH177" s="253"/>
      <c r="BI177" s="253"/>
      <c r="BJ177" s="253"/>
      <c r="BK177" s="316"/>
      <c r="BL177" s="253"/>
      <c r="BM177" s="253"/>
      <c r="BN177" s="253"/>
      <c r="BO177" s="316"/>
      <c r="BP177" s="253"/>
      <c r="BQ177" s="253"/>
      <c r="BR177" s="253"/>
      <c r="BS177" s="316"/>
      <c r="BT177" s="253"/>
      <c r="BU177" s="253"/>
      <c r="BV177" s="253"/>
      <c r="BW177" s="253"/>
      <c r="BX177" s="253"/>
      <c r="BY177" s="253"/>
      <c r="BZ177" s="253"/>
      <c r="CA177" s="253"/>
      <c r="CB177" s="253"/>
      <c r="CC177" s="253"/>
      <c r="CD177" s="253"/>
      <c r="CE177" s="253"/>
      <c r="CF177" s="253"/>
      <c r="CG177" s="253"/>
      <c r="CH177" s="303"/>
      <c r="CI177" s="303"/>
      <c r="CJ177" s="303"/>
      <c r="CK177" s="303"/>
      <c r="CL177" s="303"/>
      <c r="CM177" s="303"/>
      <c r="CN177" s="303"/>
      <c r="CO177" s="303"/>
      <c r="CP177" s="303"/>
      <c r="CQ177" s="303"/>
      <c r="CR177" s="303"/>
      <c r="CS177" s="303"/>
      <c r="CT177" s="303"/>
      <c r="CU177" s="303"/>
      <c r="CV177" s="303"/>
      <c r="CW177" s="303"/>
      <c r="CX177" s="303"/>
      <c r="CY177" s="303"/>
      <c r="CZ177" s="303"/>
      <c r="DA177" s="303"/>
      <c r="DB177" s="303"/>
      <c r="DC177" s="303"/>
      <c r="DD177" s="303"/>
      <c r="DE177" s="303"/>
      <c r="DF177" s="303"/>
      <c r="DG177" s="303"/>
      <c r="DH177" s="303"/>
      <c r="DI177" s="303"/>
      <c r="DJ177" s="303"/>
      <c r="DK177" s="303"/>
      <c r="DL177" s="303"/>
      <c r="DM177" s="303"/>
      <c r="DN177" s="303"/>
      <c r="DO177" s="303"/>
      <c r="DP177" s="253"/>
    </row>
    <row r="178" spans="1:120">
      <c r="A178" s="261"/>
      <c r="B178" s="281" t="s">
        <v>795</v>
      </c>
      <c r="C178" s="253"/>
      <c r="D178" s="253"/>
      <c r="E178" s="253">
        <f t="shared" ref="E178:Q178" si="340">E179-E175-E176-E177</f>
        <v>-5.77149899</v>
      </c>
      <c r="F178" s="253">
        <f t="shared" si="340"/>
        <v>-38.97172621</v>
      </c>
      <c r="G178" s="253">
        <f t="shared" si="340"/>
        <v>13.16660307</v>
      </c>
      <c r="H178" s="253">
        <f t="shared" si="340"/>
        <v>-34.56376709</v>
      </c>
      <c r="I178" s="253">
        <f t="shared" si="340"/>
        <v>-25.37157445</v>
      </c>
      <c r="J178" s="253">
        <f t="shared" si="340"/>
        <v>-72.05451362</v>
      </c>
      <c r="K178" s="253">
        <f t="shared" si="340"/>
        <v>-89.83714959</v>
      </c>
      <c r="L178" s="253">
        <f t="shared" si="340"/>
        <v>-127.68840033</v>
      </c>
      <c r="M178" s="253">
        <f t="shared" si="340"/>
        <v>-105.72562646</v>
      </c>
      <c r="N178" s="253">
        <f t="shared" si="340"/>
        <v>-152.60447168</v>
      </c>
      <c r="O178" s="253">
        <f t="shared" si="340"/>
        <v>-258.99334457</v>
      </c>
      <c r="P178" s="253">
        <f t="shared" si="340"/>
        <v>-396.59577797</v>
      </c>
      <c r="Q178" s="253">
        <f t="shared" si="340"/>
        <v>-7.90409927000003</v>
      </c>
      <c r="R178" s="298">
        <v>0</v>
      </c>
      <c r="S178" s="298">
        <v>0</v>
      </c>
      <c r="T178" s="298">
        <v>0</v>
      </c>
      <c r="U178" s="298">
        <v>0</v>
      </c>
      <c r="V178" s="298">
        <v>0</v>
      </c>
      <c r="W178" s="303"/>
      <c r="X178" s="253"/>
      <c r="Y178" s="253"/>
      <c r="Z178" s="253"/>
      <c r="AA178" s="316"/>
      <c r="AB178" s="253"/>
      <c r="AC178" s="253"/>
      <c r="AD178" s="253"/>
      <c r="AE178" s="316"/>
      <c r="AF178" s="253"/>
      <c r="AG178" s="253"/>
      <c r="AH178" s="253"/>
      <c r="AI178" s="316"/>
      <c r="AJ178" s="253"/>
      <c r="AK178" s="253"/>
      <c r="AL178" s="253"/>
      <c r="AM178" s="316"/>
      <c r="AN178" s="253"/>
      <c r="AO178" s="253"/>
      <c r="AP178" s="253"/>
      <c r="AQ178" s="316"/>
      <c r="AR178" s="253"/>
      <c r="AS178" s="253"/>
      <c r="AT178" s="253"/>
      <c r="AU178" s="316"/>
      <c r="AV178" s="253"/>
      <c r="AW178" s="253"/>
      <c r="AX178" s="253"/>
      <c r="AY178" s="316"/>
      <c r="AZ178" s="253"/>
      <c r="BA178" s="253"/>
      <c r="BB178" s="253"/>
      <c r="BC178" s="316"/>
      <c r="BD178" s="253"/>
      <c r="BE178" s="253"/>
      <c r="BF178" s="253"/>
      <c r="BG178" s="316"/>
      <c r="BH178" s="253"/>
      <c r="BI178" s="253"/>
      <c r="BJ178" s="253"/>
      <c r="BK178" s="316"/>
      <c r="BL178" s="253"/>
      <c r="BM178" s="253"/>
      <c r="BN178" s="253"/>
      <c r="BO178" s="316"/>
      <c r="BP178" s="253"/>
      <c r="BQ178" s="253"/>
      <c r="BR178" s="253"/>
      <c r="BS178" s="316"/>
      <c r="BT178" s="253"/>
      <c r="BU178" s="253"/>
      <c r="BV178" s="253"/>
      <c r="BW178" s="253"/>
      <c r="BX178" s="253"/>
      <c r="BY178" s="253"/>
      <c r="BZ178" s="253"/>
      <c r="CA178" s="253"/>
      <c r="CB178" s="253"/>
      <c r="CC178" s="253"/>
      <c r="CD178" s="253"/>
      <c r="CE178" s="253"/>
      <c r="CF178" s="253"/>
      <c r="CG178" s="253"/>
      <c r="CH178" s="303"/>
      <c r="CI178" s="303"/>
      <c r="CJ178" s="303"/>
      <c r="CK178" s="303"/>
      <c r="CL178" s="303"/>
      <c r="CM178" s="303"/>
      <c r="CN178" s="303"/>
      <c r="CO178" s="303"/>
      <c r="CP178" s="303"/>
      <c r="CQ178" s="303"/>
      <c r="CR178" s="303"/>
      <c r="CS178" s="303"/>
      <c r="CT178" s="303"/>
      <c r="CU178" s="303"/>
      <c r="CV178" s="303"/>
      <c r="CW178" s="303"/>
      <c r="CX178" s="303"/>
      <c r="CY178" s="303"/>
      <c r="CZ178" s="303"/>
      <c r="DA178" s="303"/>
      <c r="DB178" s="303"/>
      <c r="DC178" s="303"/>
      <c r="DD178" s="303"/>
      <c r="DE178" s="303"/>
      <c r="DF178" s="303"/>
      <c r="DG178" s="303"/>
      <c r="DH178" s="303"/>
      <c r="DI178" s="303"/>
      <c r="DJ178" s="303"/>
      <c r="DK178" s="303"/>
      <c r="DL178" s="303"/>
      <c r="DM178" s="303"/>
      <c r="DN178" s="303"/>
      <c r="DO178" s="303"/>
      <c r="DP178" s="253"/>
    </row>
    <row r="179" spans="1:120">
      <c r="A179" s="261"/>
      <c r="B179" s="281" t="s">
        <v>796</v>
      </c>
      <c r="C179" s="253"/>
      <c r="D179" s="253"/>
      <c r="E179" s="253">
        <f t="shared" ref="E179:Q179" si="341">E129</f>
        <v>10.04318819</v>
      </c>
      <c r="F179" s="253">
        <f t="shared" si="341"/>
        <v>12.89496024</v>
      </c>
      <c r="G179" s="253">
        <f t="shared" si="341"/>
        <v>105.52460682</v>
      </c>
      <c r="H179" s="253">
        <f t="shared" si="341"/>
        <v>111.27813848</v>
      </c>
      <c r="I179" s="253">
        <f t="shared" si="341"/>
        <v>138.75931333</v>
      </c>
      <c r="J179" s="253">
        <f t="shared" si="341"/>
        <v>221.37814603</v>
      </c>
      <c r="K179" s="253">
        <f t="shared" si="341"/>
        <v>314.13861286</v>
      </c>
      <c r="L179" s="253">
        <f t="shared" si="341"/>
        <v>308.46181255</v>
      </c>
      <c r="M179" s="253">
        <f t="shared" si="341"/>
        <v>335.85373272</v>
      </c>
      <c r="N179" s="253">
        <f t="shared" si="341"/>
        <v>523.03076764</v>
      </c>
      <c r="O179" s="253">
        <f t="shared" si="341"/>
        <v>608.85183842</v>
      </c>
      <c r="P179" s="253">
        <f t="shared" si="341"/>
        <v>661.02231583</v>
      </c>
      <c r="Q179" s="253">
        <f t="shared" si="341"/>
        <v>1310.38808804</v>
      </c>
      <c r="R179" s="253">
        <f t="shared" ref="R179:U179" si="342">+R175+R176-R177+R178</f>
        <v>2603.2717649744</v>
      </c>
      <c r="S179" s="253">
        <f t="shared" si="342"/>
        <v>4231.87003037898</v>
      </c>
      <c r="T179" s="253">
        <f t="shared" si="342"/>
        <v>5931.42298550208</v>
      </c>
      <c r="U179" s="253">
        <f t="shared" si="342"/>
        <v>7278.43778893913</v>
      </c>
      <c r="V179" s="253">
        <f t="shared" ref="V179" si="343">+V175+V176-V177+V178</f>
        <v>8327.99981882462</v>
      </c>
      <c r="W179" s="464"/>
      <c r="X179" s="253"/>
      <c r="Y179" s="253"/>
      <c r="Z179" s="253"/>
      <c r="AA179" s="316"/>
      <c r="AB179" s="253"/>
      <c r="AC179" s="253"/>
      <c r="AD179" s="253"/>
      <c r="AE179" s="316"/>
      <c r="AF179" s="253"/>
      <c r="AG179" s="253"/>
      <c r="AH179" s="253"/>
      <c r="AI179" s="316"/>
      <c r="AJ179" s="253"/>
      <c r="AK179" s="253"/>
      <c r="AL179" s="253"/>
      <c r="AM179" s="316"/>
      <c r="AN179" s="253"/>
      <c r="AO179" s="253"/>
      <c r="AP179" s="253"/>
      <c r="AQ179" s="316"/>
      <c r="AR179" s="253"/>
      <c r="AS179" s="253"/>
      <c r="AT179" s="253"/>
      <c r="AU179" s="316"/>
      <c r="AV179" s="253"/>
      <c r="AW179" s="253"/>
      <c r="AX179" s="253"/>
      <c r="AY179" s="316"/>
      <c r="AZ179" s="253"/>
      <c r="BA179" s="253"/>
      <c r="BB179" s="253"/>
      <c r="BC179" s="316"/>
      <c r="BD179" s="253"/>
      <c r="BE179" s="253"/>
      <c r="BF179" s="253"/>
      <c r="BG179" s="316"/>
      <c r="BH179" s="253"/>
      <c r="BI179" s="253"/>
      <c r="BJ179" s="253"/>
      <c r="BK179" s="316"/>
      <c r="BL179" s="253"/>
      <c r="BM179" s="253"/>
      <c r="BN179" s="253"/>
      <c r="BO179" s="316"/>
      <c r="BP179" s="253"/>
      <c r="BQ179" s="253"/>
      <c r="BR179" s="253"/>
      <c r="BS179" s="316"/>
      <c r="BT179" s="253"/>
      <c r="BU179" s="253"/>
      <c r="BV179" s="253"/>
      <c r="BW179" s="253"/>
      <c r="BX179" s="253"/>
      <c r="BY179" s="253"/>
      <c r="BZ179" s="253"/>
      <c r="CA179" s="253"/>
      <c r="CB179" s="253"/>
      <c r="CC179" s="253"/>
      <c r="CD179" s="253"/>
      <c r="CE179" s="253"/>
      <c r="CF179" s="253"/>
      <c r="CG179" s="253"/>
      <c r="CH179" s="303"/>
      <c r="CI179" s="303"/>
      <c r="CJ179" s="303"/>
      <c r="CK179" s="303"/>
      <c r="CL179" s="303"/>
      <c r="CM179" s="303"/>
      <c r="CN179" s="303"/>
      <c r="CO179" s="303"/>
      <c r="CP179" s="303"/>
      <c r="CQ179" s="303"/>
      <c r="CR179" s="303"/>
      <c r="CS179" s="303"/>
      <c r="CT179" s="303"/>
      <c r="CU179" s="303"/>
      <c r="CV179" s="303"/>
      <c r="CW179" s="303"/>
      <c r="CX179" s="303"/>
      <c r="CY179" s="303"/>
      <c r="CZ179" s="303"/>
      <c r="DA179" s="303"/>
      <c r="DB179" s="303"/>
      <c r="DC179" s="303"/>
      <c r="DD179" s="303"/>
      <c r="DE179" s="303"/>
      <c r="DF179" s="303"/>
      <c r="DG179" s="303"/>
      <c r="DH179" s="303"/>
      <c r="DI179" s="303"/>
      <c r="DJ179" s="303"/>
      <c r="DK179" s="303"/>
      <c r="DL179" s="303"/>
      <c r="DM179" s="303"/>
      <c r="DN179" s="303"/>
      <c r="DO179" s="303"/>
      <c r="DP179" s="253"/>
    </row>
    <row r="180" spans="1:120">
      <c r="A180" s="261"/>
      <c r="B180" s="281" t="s">
        <v>797</v>
      </c>
      <c r="C180" s="27"/>
      <c r="D180" s="27"/>
      <c r="E180" s="27">
        <f t="shared" ref="E180:Q180" si="344">E177/E175</f>
        <v>0.3476375</v>
      </c>
      <c r="F180" s="27">
        <f t="shared" si="344"/>
        <v>0.279283823715744</v>
      </c>
      <c r="G180" s="27">
        <f t="shared" si="344"/>
        <v>0.408851496388949</v>
      </c>
      <c r="H180" s="27">
        <f t="shared" si="344"/>
        <v>0.114362465719349</v>
      </c>
      <c r="I180" s="27">
        <f t="shared" si="344"/>
        <v>0.136720628757952</v>
      </c>
      <c r="J180" s="27">
        <f t="shared" si="344"/>
        <v>0.172216428119449</v>
      </c>
      <c r="K180" s="27">
        <f t="shared" si="344"/>
        <v>0.21168432584872</v>
      </c>
      <c r="L180" s="27">
        <f t="shared" si="344"/>
        <v>0.16945608553293</v>
      </c>
      <c r="M180" s="27">
        <f t="shared" si="344"/>
        <v>0.110168186230481</v>
      </c>
      <c r="N180" s="27">
        <f t="shared" si="344"/>
        <v>0.146317691162804</v>
      </c>
      <c r="O180" s="27">
        <f t="shared" si="344"/>
        <v>0.136354648774865</v>
      </c>
      <c r="P180" s="27">
        <f t="shared" si="344"/>
        <v>0.138043865660502</v>
      </c>
      <c r="Q180" s="27">
        <f t="shared" si="344"/>
        <v>0.155759967514439</v>
      </c>
      <c r="R180" s="461">
        <v>0.14</v>
      </c>
      <c r="S180" s="461">
        <v>0.14</v>
      </c>
      <c r="T180" s="461">
        <v>0.14</v>
      </c>
      <c r="U180" s="461">
        <v>0.14</v>
      </c>
      <c r="V180" s="461">
        <v>0.14</v>
      </c>
      <c r="W180" s="303"/>
      <c r="X180" s="27"/>
      <c r="Y180" s="27"/>
      <c r="Z180" s="27"/>
      <c r="AA180" s="52"/>
      <c r="AB180" s="27"/>
      <c r="AC180" s="27"/>
      <c r="AD180" s="27"/>
      <c r="AE180" s="52"/>
      <c r="AF180" s="27"/>
      <c r="AG180" s="27"/>
      <c r="AH180" s="27"/>
      <c r="AI180" s="52"/>
      <c r="AJ180" s="27"/>
      <c r="AK180" s="27"/>
      <c r="AL180" s="27"/>
      <c r="AM180" s="52"/>
      <c r="AN180" s="27"/>
      <c r="AO180" s="27"/>
      <c r="AP180" s="27"/>
      <c r="AQ180" s="52"/>
      <c r="AR180" s="27"/>
      <c r="AS180" s="27"/>
      <c r="AT180" s="27"/>
      <c r="AU180" s="52"/>
      <c r="AV180" s="27"/>
      <c r="AW180" s="27"/>
      <c r="AX180" s="27"/>
      <c r="AY180" s="52"/>
      <c r="AZ180" s="27"/>
      <c r="BA180" s="27"/>
      <c r="BB180" s="27"/>
      <c r="BC180" s="52"/>
      <c r="BD180" s="27"/>
      <c r="BE180" s="27"/>
      <c r="BF180" s="27"/>
      <c r="BG180" s="52"/>
      <c r="BH180" s="27"/>
      <c r="BI180" s="27"/>
      <c r="BJ180" s="27"/>
      <c r="BK180" s="52"/>
      <c r="BL180" s="27"/>
      <c r="BM180" s="27"/>
      <c r="BN180" s="27"/>
      <c r="BO180" s="52"/>
      <c r="BP180" s="27"/>
      <c r="BQ180" s="27"/>
      <c r="BR180" s="27"/>
      <c r="BS180" s="52"/>
      <c r="BT180" s="27"/>
      <c r="BU180" s="27"/>
      <c r="BV180" s="27"/>
      <c r="BW180" s="27"/>
      <c r="BX180" s="27"/>
      <c r="BY180" s="27"/>
      <c r="BZ180" s="27"/>
      <c r="CA180" s="27"/>
      <c r="CB180" s="27"/>
      <c r="CC180" s="27"/>
      <c r="CD180" s="27"/>
      <c r="CE180" s="27"/>
      <c r="CF180" s="27"/>
      <c r="CG180" s="27"/>
      <c r="CH180" s="303"/>
      <c r="CI180" s="303"/>
      <c r="CJ180" s="303"/>
      <c r="CK180" s="303"/>
      <c r="CL180" s="303"/>
      <c r="CM180" s="303"/>
      <c r="CN180" s="303"/>
      <c r="CO180" s="303"/>
      <c r="CP180" s="303"/>
      <c r="CQ180" s="303"/>
      <c r="CR180" s="303"/>
      <c r="CS180" s="303"/>
      <c r="CT180" s="303"/>
      <c r="CU180" s="303"/>
      <c r="CV180" s="303"/>
      <c r="CW180" s="303"/>
      <c r="CX180" s="303"/>
      <c r="CY180" s="303"/>
      <c r="CZ180" s="303"/>
      <c r="DA180" s="303"/>
      <c r="DB180" s="303"/>
      <c r="DC180" s="303"/>
      <c r="DD180" s="303"/>
      <c r="DE180" s="303"/>
      <c r="DF180" s="303"/>
      <c r="DG180" s="303"/>
      <c r="DH180" s="303"/>
      <c r="DI180" s="303"/>
      <c r="DJ180" s="303"/>
      <c r="DK180" s="303"/>
      <c r="DL180" s="303"/>
      <c r="DM180" s="303"/>
      <c r="DN180" s="303"/>
      <c r="DO180" s="303"/>
      <c r="DP180" s="27"/>
    </row>
    <row r="181" spans="1:120">
      <c r="A181" s="261"/>
      <c r="B181" s="281"/>
      <c r="C181" s="27"/>
      <c r="D181" s="27"/>
      <c r="E181" s="27"/>
      <c r="F181" s="27"/>
      <c r="G181" s="27"/>
      <c r="H181" s="27">
        <f>+H176/H7</f>
        <v>0.0540516499430209</v>
      </c>
      <c r="I181" s="27">
        <f t="shared" ref="I181:V181" si="345">+I176/I7</f>
        <v>0.0611892935321484</v>
      </c>
      <c r="J181" s="27">
        <f t="shared" si="345"/>
        <v>0.183178197607048</v>
      </c>
      <c r="K181" s="27">
        <f t="shared" si="345"/>
        <v>0.154707877393997</v>
      </c>
      <c r="L181" s="27">
        <f t="shared" si="345"/>
        <v>0.0905044734804623</v>
      </c>
      <c r="M181" s="27">
        <f t="shared" si="345"/>
        <v>0.0851035350194844</v>
      </c>
      <c r="N181" s="27">
        <f t="shared" si="345"/>
        <v>0.14547008003758</v>
      </c>
      <c r="O181" s="27">
        <f t="shared" si="345"/>
        <v>0.0940376116204239</v>
      </c>
      <c r="P181" s="27">
        <f t="shared" si="345"/>
        <v>0.110167607510604</v>
      </c>
      <c r="Q181" s="27">
        <f t="shared" si="345"/>
        <v>0.178947581352775</v>
      </c>
      <c r="R181" s="27">
        <f t="shared" si="345"/>
        <v>0.17073746281459</v>
      </c>
      <c r="S181" s="27">
        <f t="shared" si="345"/>
        <v>0.0802297704950018</v>
      </c>
      <c r="T181" s="27">
        <f t="shared" si="345"/>
        <v>0.0445427302679118</v>
      </c>
      <c r="U181" s="27">
        <f t="shared" si="345"/>
        <v>0.0294601085063777</v>
      </c>
      <c r="V181" s="27">
        <f t="shared" si="345"/>
        <v>0.0243428558567288</v>
      </c>
      <c r="W181" s="303"/>
      <c r="X181" s="27"/>
      <c r="Y181" s="27"/>
      <c r="Z181" s="27"/>
      <c r="AA181" s="52"/>
      <c r="AB181" s="27"/>
      <c r="AC181" s="27"/>
      <c r="AD181" s="27"/>
      <c r="AE181" s="52"/>
      <c r="AF181" s="27"/>
      <c r="AG181" s="27"/>
      <c r="AH181" s="27"/>
      <c r="AI181" s="52"/>
      <c r="AJ181" s="27"/>
      <c r="AK181" s="27"/>
      <c r="AL181" s="27"/>
      <c r="AM181" s="52"/>
      <c r="AN181" s="27"/>
      <c r="AO181" s="27"/>
      <c r="AP181" s="27"/>
      <c r="AQ181" s="52"/>
      <c r="AR181" s="27"/>
      <c r="AS181" s="27"/>
      <c r="AT181" s="27"/>
      <c r="AU181" s="52"/>
      <c r="AV181" s="27"/>
      <c r="AW181" s="27"/>
      <c r="AX181" s="27"/>
      <c r="AY181" s="52"/>
      <c r="AZ181" s="27"/>
      <c r="BA181" s="27"/>
      <c r="BB181" s="27"/>
      <c r="BC181" s="52"/>
      <c r="BD181" s="27"/>
      <c r="BE181" s="27"/>
      <c r="BF181" s="27"/>
      <c r="BG181" s="52"/>
      <c r="BH181" s="27"/>
      <c r="BI181" s="27"/>
      <c r="BJ181" s="27"/>
      <c r="BK181" s="52"/>
      <c r="BL181" s="27"/>
      <c r="BM181" s="27"/>
      <c r="BN181" s="27"/>
      <c r="BO181" s="52"/>
      <c r="BP181" s="27"/>
      <c r="BQ181" s="27"/>
      <c r="BR181" s="27"/>
      <c r="BS181" s="52"/>
      <c r="BT181" s="27"/>
      <c r="BU181" s="27"/>
      <c r="BV181" s="27"/>
      <c r="BW181" s="27"/>
      <c r="BX181" s="27"/>
      <c r="BY181" s="27"/>
      <c r="BZ181" s="27"/>
      <c r="CA181" s="27"/>
      <c r="CB181" s="27"/>
      <c r="CC181" s="27"/>
      <c r="CD181" s="27"/>
      <c r="CE181" s="27"/>
      <c r="CF181" s="27"/>
      <c r="CG181" s="27"/>
      <c r="CH181" s="303"/>
      <c r="CI181" s="303"/>
      <c r="CJ181" s="303"/>
      <c r="CK181" s="303"/>
      <c r="CL181" s="303"/>
      <c r="CM181" s="303"/>
      <c r="CN181" s="303"/>
      <c r="CO181" s="303"/>
      <c r="CP181" s="303"/>
      <c r="CQ181" s="303"/>
      <c r="CR181" s="303"/>
      <c r="CS181" s="303"/>
      <c r="CT181" s="303"/>
      <c r="CU181" s="303"/>
      <c r="CV181" s="303"/>
      <c r="CW181" s="303"/>
      <c r="CX181" s="303"/>
      <c r="CY181" s="303"/>
      <c r="CZ181" s="303"/>
      <c r="DA181" s="303"/>
      <c r="DB181" s="303"/>
      <c r="DC181" s="303"/>
      <c r="DD181" s="303"/>
      <c r="DE181" s="303"/>
      <c r="DF181" s="303"/>
      <c r="DG181" s="303"/>
      <c r="DH181" s="303"/>
      <c r="DI181" s="303"/>
      <c r="DJ181" s="303"/>
      <c r="DK181" s="303"/>
      <c r="DL181" s="303"/>
      <c r="DM181" s="303"/>
      <c r="DN181" s="303"/>
      <c r="DO181" s="303"/>
      <c r="DP181" s="27"/>
    </row>
    <row r="182" spans="1:120">
      <c r="A182" s="261"/>
      <c r="B182" s="279" t="s">
        <v>798</v>
      </c>
      <c r="C182" s="457"/>
      <c r="D182" s="253"/>
      <c r="E182" s="253"/>
      <c r="F182" s="253"/>
      <c r="G182" s="253"/>
      <c r="H182" s="253"/>
      <c r="I182" s="253"/>
      <c r="J182" s="253"/>
      <c r="K182" s="253"/>
      <c r="L182" s="253"/>
      <c r="M182" s="253"/>
      <c r="N182" s="253"/>
      <c r="O182" s="253"/>
      <c r="P182" s="253"/>
      <c r="Q182" s="253"/>
      <c r="R182" s="253"/>
      <c r="S182" s="253"/>
      <c r="T182" s="253"/>
      <c r="U182" s="253"/>
      <c r="V182" s="253"/>
      <c r="W182" s="303"/>
      <c r="X182" s="253"/>
      <c r="Y182" s="253"/>
      <c r="Z182" s="253"/>
      <c r="AA182" s="316"/>
      <c r="AB182" s="253"/>
      <c r="AC182" s="253"/>
      <c r="AD182" s="253"/>
      <c r="AE182" s="316"/>
      <c r="AF182" s="253"/>
      <c r="AG182" s="253"/>
      <c r="AH182" s="253"/>
      <c r="AI182" s="316"/>
      <c r="AJ182" s="253"/>
      <c r="AK182" s="253"/>
      <c r="AL182" s="253"/>
      <c r="AM182" s="316"/>
      <c r="AN182" s="253"/>
      <c r="AO182" s="253"/>
      <c r="AP182" s="253"/>
      <c r="AQ182" s="337"/>
      <c r="AR182" s="303"/>
      <c r="AS182" s="303"/>
      <c r="AT182" s="310"/>
      <c r="AU182" s="340"/>
      <c r="AV182" s="310"/>
      <c r="AW182" s="310"/>
      <c r="AX182" s="310"/>
      <c r="AY182" s="340"/>
      <c r="AZ182" s="310"/>
      <c r="BA182" s="310"/>
      <c r="BB182" s="310"/>
      <c r="BC182" s="340"/>
      <c r="BD182" s="310"/>
      <c r="BE182" s="310"/>
      <c r="BF182" s="310"/>
      <c r="BG182" s="340"/>
      <c r="BH182" s="310"/>
      <c r="BI182" s="310"/>
      <c r="BJ182" s="310"/>
      <c r="BK182" s="340"/>
      <c r="BL182" s="310"/>
      <c r="BM182" s="310"/>
      <c r="BN182" s="310"/>
      <c r="BO182" s="340"/>
      <c r="BP182" s="310"/>
      <c r="BQ182" s="310"/>
      <c r="BR182" s="310"/>
      <c r="BS182" s="340"/>
      <c r="BT182" s="310"/>
      <c r="BU182" s="310"/>
      <c r="BV182" s="310"/>
      <c r="BW182" s="310"/>
      <c r="BX182" s="310"/>
      <c r="BY182" s="310"/>
      <c r="BZ182" s="310"/>
      <c r="CA182" s="310"/>
      <c r="CB182" s="310"/>
      <c r="CC182" s="310"/>
      <c r="CD182" s="310"/>
      <c r="CE182" s="310"/>
      <c r="CF182" s="310"/>
      <c r="CG182" s="310"/>
      <c r="CH182" s="303"/>
      <c r="CI182" s="303"/>
      <c r="CJ182" s="303"/>
      <c r="CK182" s="303"/>
      <c r="CL182" s="303"/>
      <c r="CM182" s="303"/>
      <c r="CN182" s="303"/>
      <c r="CO182" s="303"/>
      <c r="CP182" s="303"/>
      <c r="CQ182" s="303"/>
      <c r="CR182" s="303"/>
      <c r="CS182" s="303"/>
      <c r="CT182" s="303"/>
      <c r="CU182" s="303"/>
      <c r="CV182" s="303"/>
      <c r="CW182" s="303"/>
      <c r="CX182" s="303"/>
      <c r="CY182" s="303"/>
      <c r="CZ182" s="303"/>
      <c r="DA182" s="303"/>
      <c r="DB182" s="303"/>
      <c r="DC182" s="303"/>
      <c r="DD182" s="303"/>
      <c r="DE182" s="303"/>
      <c r="DF182" s="303"/>
      <c r="DG182" s="303"/>
      <c r="DH182" s="303"/>
      <c r="DI182" s="303"/>
      <c r="DJ182" s="303"/>
      <c r="DK182" s="303"/>
      <c r="DL182" s="303"/>
      <c r="DM182" s="303"/>
      <c r="DN182" s="303"/>
      <c r="DO182" s="303"/>
      <c r="DP182" s="303"/>
    </row>
    <row r="183" spans="1:120">
      <c r="A183" s="261"/>
      <c r="B183" s="281" t="s">
        <v>793</v>
      </c>
      <c r="C183" s="455"/>
      <c r="D183" s="253"/>
      <c r="E183" s="253">
        <f>+D187</f>
        <v>0</v>
      </c>
      <c r="F183" s="253">
        <f>+E187</f>
        <v>0.38778088</v>
      </c>
      <c r="G183" s="253">
        <f t="shared" ref="G183:V183" si="346">+F187</f>
        <v>0.28629652</v>
      </c>
      <c r="H183" s="253">
        <f t="shared" si="346"/>
        <v>5.7639664</v>
      </c>
      <c r="I183" s="253">
        <f t="shared" si="346"/>
        <v>6.29364029</v>
      </c>
      <c r="J183" s="253">
        <f t="shared" si="346"/>
        <v>6.15622836</v>
      </c>
      <c r="K183" s="253">
        <f t="shared" si="346"/>
        <v>5.79323626</v>
      </c>
      <c r="L183" s="253">
        <f t="shared" si="346"/>
        <v>5.47463556</v>
      </c>
      <c r="M183" s="253">
        <f t="shared" si="346"/>
        <v>7.16045222</v>
      </c>
      <c r="N183" s="253">
        <f t="shared" si="346"/>
        <v>7.21781851</v>
      </c>
      <c r="O183" s="253">
        <f t="shared" si="346"/>
        <v>6.59431442</v>
      </c>
      <c r="P183" s="253">
        <f t="shared" si="346"/>
        <v>6.32413879</v>
      </c>
      <c r="Q183" s="253">
        <f t="shared" si="346"/>
        <v>177.16508253</v>
      </c>
      <c r="R183" s="253">
        <f t="shared" si="346"/>
        <v>193.07044432</v>
      </c>
      <c r="S183" s="253">
        <f t="shared" si="346"/>
        <v>166.0405821152</v>
      </c>
      <c r="T183" s="253">
        <f t="shared" si="346"/>
        <v>142.794900619072</v>
      </c>
      <c r="U183" s="253">
        <f t="shared" si="346"/>
        <v>122.803614532402</v>
      </c>
      <c r="V183" s="253">
        <f t="shared" si="346"/>
        <v>105.611108497866</v>
      </c>
      <c r="W183" s="303"/>
      <c r="X183" s="253"/>
      <c r="Y183" s="253"/>
      <c r="Z183" s="253"/>
      <c r="AA183" s="316"/>
      <c r="AB183" s="253"/>
      <c r="AC183" s="253"/>
      <c r="AD183" s="253"/>
      <c r="AE183" s="316"/>
      <c r="AF183" s="253"/>
      <c r="AG183" s="253"/>
      <c r="AH183" s="253"/>
      <c r="AI183" s="316"/>
      <c r="AJ183" s="253"/>
      <c r="AK183" s="253"/>
      <c r="AL183" s="253"/>
      <c r="AM183" s="316"/>
      <c r="AN183" s="253"/>
      <c r="AO183" s="253"/>
      <c r="AP183" s="253"/>
      <c r="AQ183" s="316"/>
      <c r="AR183" s="253"/>
      <c r="AS183" s="253"/>
      <c r="AT183" s="253"/>
      <c r="AU183" s="316"/>
      <c r="AV183" s="253"/>
      <c r="AW183" s="253"/>
      <c r="AX183" s="253"/>
      <c r="AY183" s="316"/>
      <c r="AZ183" s="253"/>
      <c r="BA183" s="253"/>
      <c r="BB183" s="253"/>
      <c r="BC183" s="316"/>
      <c r="BD183" s="253"/>
      <c r="BE183" s="253"/>
      <c r="BF183" s="253"/>
      <c r="BG183" s="316"/>
      <c r="BH183" s="253"/>
      <c r="BI183" s="253"/>
      <c r="BJ183" s="253"/>
      <c r="BK183" s="316"/>
      <c r="BL183" s="253"/>
      <c r="BM183" s="253"/>
      <c r="BN183" s="253"/>
      <c r="BO183" s="316"/>
      <c r="BP183" s="253"/>
      <c r="BQ183" s="253"/>
      <c r="BR183" s="253"/>
      <c r="BS183" s="316"/>
      <c r="BT183" s="253"/>
      <c r="BU183" s="253"/>
      <c r="BV183" s="253"/>
      <c r="BW183" s="253"/>
      <c r="BX183" s="253"/>
      <c r="BY183" s="253"/>
      <c r="BZ183" s="253"/>
      <c r="CA183" s="253"/>
      <c r="CB183" s="253"/>
      <c r="CC183" s="253"/>
      <c r="CD183" s="253"/>
      <c r="CE183" s="253"/>
      <c r="CF183" s="253"/>
      <c r="CG183" s="253"/>
      <c r="CH183" s="303"/>
      <c r="CI183" s="303"/>
      <c r="CJ183" s="303"/>
      <c r="CK183" s="303"/>
      <c r="CL183" s="303"/>
      <c r="CM183" s="303"/>
      <c r="CN183" s="303"/>
      <c r="CO183" s="303"/>
      <c r="CP183" s="303"/>
      <c r="CQ183" s="303"/>
      <c r="CR183" s="303"/>
      <c r="CS183" s="303"/>
      <c r="CT183" s="303"/>
      <c r="CU183" s="303"/>
      <c r="CV183" s="303"/>
      <c r="CW183" s="303"/>
      <c r="CX183" s="303"/>
      <c r="CY183" s="303"/>
      <c r="CZ183" s="303"/>
      <c r="DA183" s="303"/>
      <c r="DB183" s="303"/>
      <c r="DC183" s="303"/>
      <c r="DD183" s="303"/>
      <c r="DE183" s="303"/>
      <c r="DF183" s="303"/>
      <c r="DG183" s="303"/>
      <c r="DH183" s="303"/>
      <c r="DI183" s="303"/>
      <c r="DJ183" s="303"/>
      <c r="DK183" s="303"/>
      <c r="DL183" s="303"/>
      <c r="DM183" s="303"/>
      <c r="DN183" s="303"/>
      <c r="DO183" s="303"/>
      <c r="DP183" s="303"/>
    </row>
    <row r="184" spans="1:120">
      <c r="A184" s="261"/>
      <c r="B184" s="281" t="s">
        <v>799</v>
      </c>
      <c r="C184" s="456"/>
      <c r="D184" s="456"/>
      <c r="E184" s="456">
        <v>0</v>
      </c>
      <c r="F184" s="456">
        <v>0</v>
      </c>
      <c r="G184" s="456">
        <v>0</v>
      </c>
      <c r="H184" s="456">
        <v>0</v>
      </c>
      <c r="I184" s="456">
        <v>0</v>
      </c>
      <c r="J184" s="456">
        <v>0</v>
      </c>
      <c r="K184" s="456">
        <v>0</v>
      </c>
      <c r="L184" s="456">
        <v>0</v>
      </c>
      <c r="M184" s="456">
        <v>0</v>
      </c>
      <c r="N184" s="456">
        <v>0</v>
      </c>
      <c r="O184" s="456">
        <v>0</v>
      </c>
      <c r="P184" s="456">
        <v>0</v>
      </c>
      <c r="Q184" s="456">
        <v>0</v>
      </c>
      <c r="R184" s="462">
        <v>0</v>
      </c>
      <c r="S184" s="462">
        <v>0</v>
      </c>
      <c r="T184" s="462">
        <v>0</v>
      </c>
      <c r="U184" s="462">
        <v>0</v>
      </c>
      <c r="V184" s="462">
        <v>0</v>
      </c>
      <c r="W184" s="303"/>
      <c r="X184" s="465"/>
      <c r="Y184" s="465"/>
      <c r="Z184" s="465"/>
      <c r="AA184" s="470"/>
      <c r="AB184" s="465"/>
      <c r="AC184" s="465"/>
      <c r="AD184" s="465"/>
      <c r="AE184" s="470"/>
      <c r="AF184" s="465"/>
      <c r="AG184" s="465"/>
      <c r="AH184" s="465"/>
      <c r="AI184" s="470"/>
      <c r="AJ184" s="465"/>
      <c r="AK184" s="465"/>
      <c r="AL184" s="465"/>
      <c r="AM184" s="470"/>
      <c r="AN184" s="465"/>
      <c r="AO184" s="465"/>
      <c r="AP184" s="465"/>
      <c r="AQ184" s="316"/>
      <c r="AR184" s="253"/>
      <c r="AS184" s="253"/>
      <c r="AT184" s="253"/>
      <c r="AU184" s="316"/>
      <c r="AV184" s="253"/>
      <c r="AW184" s="253"/>
      <c r="AX184" s="253"/>
      <c r="AY184" s="316"/>
      <c r="AZ184" s="253"/>
      <c r="BA184" s="253"/>
      <c r="BB184" s="253"/>
      <c r="BC184" s="316"/>
      <c r="BD184" s="253"/>
      <c r="BE184" s="253"/>
      <c r="BF184" s="253"/>
      <c r="BG184" s="316"/>
      <c r="BH184" s="253"/>
      <c r="BI184" s="253"/>
      <c r="BJ184" s="253"/>
      <c r="BK184" s="316"/>
      <c r="BL184" s="253"/>
      <c r="BM184" s="253"/>
      <c r="BN184" s="253"/>
      <c r="BO184" s="316"/>
      <c r="BP184" s="253"/>
      <c r="BQ184" s="253"/>
      <c r="BR184" s="253"/>
      <c r="BS184" s="316"/>
      <c r="BT184" s="253"/>
      <c r="BU184" s="253"/>
      <c r="BV184" s="253"/>
      <c r="BW184" s="253"/>
      <c r="BX184" s="253"/>
      <c r="BY184" s="253"/>
      <c r="BZ184" s="253"/>
      <c r="CA184" s="253"/>
      <c r="CB184" s="253"/>
      <c r="CC184" s="253"/>
      <c r="CD184" s="253"/>
      <c r="CE184" s="253"/>
      <c r="CF184" s="253"/>
      <c r="CG184" s="253"/>
      <c r="CH184" s="303"/>
      <c r="CI184" s="303"/>
      <c r="CJ184" s="303"/>
      <c r="CK184" s="303"/>
      <c r="CL184" s="303"/>
      <c r="CM184" s="303"/>
      <c r="CN184" s="303"/>
      <c r="CO184" s="303"/>
      <c r="CP184" s="303"/>
      <c r="CQ184" s="303"/>
      <c r="CR184" s="303"/>
      <c r="CS184" s="303"/>
      <c r="CT184" s="303"/>
      <c r="CU184" s="303"/>
      <c r="CV184" s="303"/>
      <c r="CW184" s="303"/>
      <c r="CX184" s="303"/>
      <c r="CY184" s="303"/>
      <c r="CZ184" s="303"/>
      <c r="DA184" s="303"/>
      <c r="DB184" s="303"/>
      <c r="DC184" s="303"/>
      <c r="DD184" s="303"/>
      <c r="DE184" s="303"/>
      <c r="DF184" s="303"/>
      <c r="DG184" s="303"/>
      <c r="DH184" s="303"/>
      <c r="DI184" s="303"/>
      <c r="DJ184" s="303"/>
      <c r="DK184" s="303"/>
      <c r="DL184" s="303"/>
      <c r="DM184" s="303"/>
      <c r="DN184" s="303"/>
      <c r="DO184" s="303"/>
      <c r="DP184" s="303"/>
    </row>
    <row r="185" spans="1:120">
      <c r="A185" s="261"/>
      <c r="B185" s="281" t="s">
        <v>104</v>
      </c>
      <c r="C185" s="253"/>
      <c r="D185" s="253"/>
      <c r="E185" s="253">
        <v>0.1364</v>
      </c>
      <c r="F185" s="253">
        <v>0.1015</v>
      </c>
      <c r="G185" s="253">
        <v>0.22808715</v>
      </c>
      <c r="H185" s="253">
        <v>0.31876193</v>
      </c>
      <c r="I185" s="253">
        <v>0</v>
      </c>
      <c r="J185" s="253">
        <v>0.41590236</v>
      </c>
      <c r="K185" s="253">
        <v>0.42110674</v>
      </c>
      <c r="L185" s="253">
        <v>0.67595024</v>
      </c>
      <c r="M185" s="253">
        <v>0.86882171</v>
      </c>
      <c r="N185" s="253">
        <v>0.86558615</v>
      </c>
      <c r="O185" s="253">
        <v>0.92521985</v>
      </c>
      <c r="P185" s="253">
        <v>12.94123485</v>
      </c>
      <c r="Q185" s="253">
        <v>23.21158344</v>
      </c>
      <c r="R185" s="253">
        <f t="shared" ref="R185:U185" si="347">+R183*R188</f>
        <v>27.0298622048</v>
      </c>
      <c r="S185" s="253">
        <f t="shared" si="347"/>
        <v>23.245681496128</v>
      </c>
      <c r="T185" s="253">
        <f t="shared" si="347"/>
        <v>19.9912860866701</v>
      </c>
      <c r="U185" s="253">
        <f t="shared" si="347"/>
        <v>17.1925060345363</v>
      </c>
      <c r="V185" s="253">
        <f t="shared" ref="V185" si="348">+V183*V188</f>
        <v>14.7855551897012</v>
      </c>
      <c r="W185" s="303"/>
      <c r="X185" s="253"/>
      <c r="Y185" s="253"/>
      <c r="Z185" s="253"/>
      <c r="AA185" s="316"/>
      <c r="AB185" s="253"/>
      <c r="AC185" s="253"/>
      <c r="AD185" s="253"/>
      <c r="AE185" s="316"/>
      <c r="AF185" s="253"/>
      <c r="AG185" s="253"/>
      <c r="AH185" s="253"/>
      <c r="AI185" s="316"/>
      <c r="AJ185" s="253"/>
      <c r="AK185" s="253"/>
      <c r="AL185" s="253"/>
      <c r="AM185" s="316"/>
      <c r="AN185" s="253"/>
      <c r="AO185" s="253"/>
      <c r="AP185" s="253"/>
      <c r="AQ185" s="316"/>
      <c r="AR185" s="253"/>
      <c r="AS185" s="253"/>
      <c r="AT185" s="253"/>
      <c r="AU185" s="316"/>
      <c r="AV185" s="253"/>
      <c r="AW185" s="253"/>
      <c r="AX185" s="253"/>
      <c r="AY185" s="316"/>
      <c r="AZ185" s="253"/>
      <c r="BA185" s="253"/>
      <c r="BB185" s="253"/>
      <c r="BC185" s="316"/>
      <c r="BD185" s="253"/>
      <c r="BE185" s="253"/>
      <c r="BF185" s="253"/>
      <c r="BG185" s="316"/>
      <c r="BH185" s="253"/>
      <c r="BI185" s="253"/>
      <c r="BJ185" s="253"/>
      <c r="BK185" s="316"/>
      <c r="BL185" s="253"/>
      <c r="BM185" s="253"/>
      <c r="BN185" s="253"/>
      <c r="BO185" s="316"/>
      <c r="BP185" s="253"/>
      <c r="BQ185" s="253"/>
      <c r="BR185" s="253"/>
      <c r="BS185" s="316"/>
      <c r="BT185" s="253"/>
      <c r="BU185" s="253"/>
      <c r="BV185" s="253"/>
      <c r="BW185" s="253"/>
      <c r="BX185" s="253"/>
      <c r="BY185" s="253"/>
      <c r="BZ185" s="253"/>
      <c r="CA185" s="253"/>
      <c r="CB185" s="253"/>
      <c r="CC185" s="253"/>
      <c r="CD185" s="253"/>
      <c r="CE185" s="253"/>
      <c r="CF185" s="253"/>
      <c r="CG185" s="253"/>
      <c r="CH185" s="303"/>
      <c r="CI185" s="303"/>
      <c r="CJ185" s="303"/>
      <c r="CK185" s="303"/>
      <c r="CL185" s="303"/>
      <c r="CM185" s="303"/>
      <c r="CN185" s="303"/>
      <c r="CO185" s="303"/>
      <c r="CP185" s="303"/>
      <c r="CQ185" s="303"/>
      <c r="CR185" s="303"/>
      <c r="CS185" s="303"/>
      <c r="CT185" s="303"/>
      <c r="CU185" s="303"/>
      <c r="CV185" s="303"/>
      <c r="CW185" s="303"/>
      <c r="CX185" s="303"/>
      <c r="CY185" s="303"/>
      <c r="CZ185" s="303"/>
      <c r="DA185" s="303"/>
      <c r="DB185" s="303"/>
      <c r="DC185" s="303"/>
      <c r="DD185" s="303"/>
      <c r="DE185" s="303"/>
      <c r="DF185" s="303"/>
      <c r="DG185" s="303"/>
      <c r="DH185" s="303"/>
      <c r="DI185" s="303"/>
      <c r="DJ185" s="303"/>
      <c r="DK185" s="303"/>
      <c r="DL185" s="303"/>
      <c r="DM185" s="303"/>
      <c r="DN185" s="303"/>
      <c r="DO185" s="303"/>
      <c r="DP185" s="303"/>
    </row>
    <row r="186" spans="1:120">
      <c r="A186" s="261"/>
      <c r="B186" s="281" t="s">
        <v>795</v>
      </c>
      <c r="C186" s="253"/>
      <c r="D186" s="253"/>
      <c r="E186" s="253">
        <f t="shared" ref="E186:Q186" si="349">E187-E183-E184+E185</f>
        <v>0.52418088</v>
      </c>
      <c r="F186" s="253">
        <f t="shared" si="349"/>
        <v>1.56400000000112e-5</v>
      </c>
      <c r="G186" s="253">
        <f t="shared" si="349"/>
        <v>5.70575703</v>
      </c>
      <c r="H186" s="253">
        <f t="shared" si="349"/>
        <v>0.84843582</v>
      </c>
      <c r="I186" s="253">
        <f t="shared" si="349"/>
        <v>-0.13741193</v>
      </c>
      <c r="J186" s="253">
        <f t="shared" si="349"/>
        <v>0.0529102599999995</v>
      </c>
      <c r="K186" s="253">
        <f t="shared" si="349"/>
        <v>0.10250604</v>
      </c>
      <c r="L186" s="253">
        <f t="shared" si="349"/>
        <v>2.3617669</v>
      </c>
      <c r="M186" s="253">
        <f t="shared" si="349"/>
        <v>0.926188</v>
      </c>
      <c r="N186" s="253">
        <f t="shared" si="349"/>
        <v>0.24208206</v>
      </c>
      <c r="O186" s="253">
        <f t="shared" si="349"/>
        <v>0.65504422</v>
      </c>
      <c r="P186" s="253">
        <f t="shared" si="349"/>
        <v>183.78217859</v>
      </c>
      <c r="Q186" s="253">
        <f t="shared" si="349"/>
        <v>39.11694523</v>
      </c>
      <c r="R186" s="298">
        <v>0</v>
      </c>
      <c r="S186" s="298">
        <v>0</v>
      </c>
      <c r="T186" s="298">
        <v>0</v>
      </c>
      <c r="U186" s="298">
        <v>0</v>
      </c>
      <c r="V186" s="298">
        <v>0</v>
      </c>
      <c r="W186" s="303"/>
      <c r="X186" s="253"/>
      <c r="Y186" s="253"/>
      <c r="Z186" s="253"/>
      <c r="AA186" s="316"/>
      <c r="AB186" s="253"/>
      <c r="AC186" s="253"/>
      <c r="AD186" s="253"/>
      <c r="AE186" s="316"/>
      <c r="AF186" s="253"/>
      <c r="AG186" s="253"/>
      <c r="AH186" s="253"/>
      <c r="AI186" s="316"/>
      <c r="AJ186" s="253"/>
      <c r="AK186" s="253"/>
      <c r="AL186" s="253"/>
      <c r="AM186" s="316"/>
      <c r="AN186" s="253"/>
      <c r="AO186" s="253"/>
      <c r="AP186" s="253"/>
      <c r="AQ186" s="316"/>
      <c r="AR186" s="253"/>
      <c r="AS186" s="253"/>
      <c r="AT186" s="253"/>
      <c r="AU186" s="316"/>
      <c r="AV186" s="253"/>
      <c r="AW186" s="253"/>
      <c r="AX186" s="253"/>
      <c r="AY186" s="316"/>
      <c r="AZ186" s="253"/>
      <c r="BA186" s="253"/>
      <c r="BB186" s="253"/>
      <c r="BC186" s="316"/>
      <c r="BD186" s="253"/>
      <c r="BE186" s="253"/>
      <c r="BF186" s="253"/>
      <c r="BG186" s="316"/>
      <c r="BH186" s="253"/>
      <c r="BI186" s="253"/>
      <c r="BJ186" s="253"/>
      <c r="BK186" s="316"/>
      <c r="BL186" s="253"/>
      <c r="BM186" s="253"/>
      <c r="BN186" s="253"/>
      <c r="BO186" s="316"/>
      <c r="BP186" s="253"/>
      <c r="BQ186" s="253"/>
      <c r="BR186" s="253"/>
      <c r="BS186" s="316"/>
      <c r="BT186" s="253"/>
      <c r="BU186" s="253"/>
      <c r="BV186" s="253"/>
      <c r="BW186" s="253"/>
      <c r="BX186" s="253"/>
      <c r="BY186" s="253"/>
      <c r="BZ186" s="253"/>
      <c r="CA186" s="253"/>
      <c r="CB186" s="253"/>
      <c r="CC186" s="253"/>
      <c r="CD186" s="253"/>
      <c r="CE186" s="253"/>
      <c r="CF186" s="253"/>
      <c r="CG186" s="253"/>
      <c r="CH186" s="303"/>
      <c r="CI186" s="303"/>
      <c r="CJ186" s="303"/>
      <c r="CK186" s="303"/>
      <c r="CL186" s="303"/>
      <c r="CM186" s="303"/>
      <c r="CN186" s="303"/>
      <c r="CO186" s="303"/>
      <c r="CP186" s="303"/>
      <c r="CQ186" s="303"/>
      <c r="CR186" s="303"/>
      <c r="CS186" s="303"/>
      <c r="CT186" s="303"/>
      <c r="CU186" s="303"/>
      <c r="CV186" s="303"/>
      <c r="CW186" s="303"/>
      <c r="CX186" s="303"/>
      <c r="CY186" s="303"/>
      <c r="CZ186" s="303"/>
      <c r="DA186" s="303"/>
      <c r="DB186" s="303"/>
      <c r="DC186" s="303"/>
      <c r="DD186" s="303"/>
      <c r="DE186" s="303"/>
      <c r="DF186" s="303"/>
      <c r="DG186" s="303"/>
      <c r="DH186" s="303"/>
      <c r="DI186" s="303"/>
      <c r="DJ186" s="303"/>
      <c r="DK186" s="303"/>
      <c r="DL186" s="303"/>
      <c r="DM186" s="303"/>
      <c r="DN186" s="303"/>
      <c r="DO186" s="303"/>
      <c r="DP186" s="303"/>
    </row>
    <row r="187" spans="1:120">
      <c r="A187" s="261"/>
      <c r="B187" s="281" t="s">
        <v>796</v>
      </c>
      <c r="C187" s="253"/>
      <c r="D187" s="253"/>
      <c r="E187" s="253">
        <f t="shared" ref="E187:Q187" si="350">E132</f>
        <v>0.38778088</v>
      </c>
      <c r="F187" s="253">
        <f t="shared" si="350"/>
        <v>0.28629652</v>
      </c>
      <c r="G187" s="253">
        <f t="shared" si="350"/>
        <v>5.7639664</v>
      </c>
      <c r="H187" s="253">
        <f t="shared" si="350"/>
        <v>6.29364029</v>
      </c>
      <c r="I187" s="253">
        <f t="shared" si="350"/>
        <v>6.15622836</v>
      </c>
      <c r="J187" s="253">
        <f t="shared" si="350"/>
        <v>5.79323626</v>
      </c>
      <c r="K187" s="253">
        <f t="shared" si="350"/>
        <v>5.47463556</v>
      </c>
      <c r="L187" s="253">
        <f t="shared" si="350"/>
        <v>7.16045222</v>
      </c>
      <c r="M187" s="253">
        <f t="shared" si="350"/>
        <v>7.21781851</v>
      </c>
      <c r="N187" s="253">
        <f t="shared" si="350"/>
        <v>6.59431442</v>
      </c>
      <c r="O187" s="253">
        <f t="shared" si="350"/>
        <v>6.32413879</v>
      </c>
      <c r="P187" s="253">
        <f t="shared" si="350"/>
        <v>177.16508253</v>
      </c>
      <c r="Q187" s="253">
        <f t="shared" si="350"/>
        <v>193.07044432</v>
      </c>
      <c r="R187" s="253">
        <f t="shared" ref="R187:V187" si="351">+R183+R184-R185+R186</f>
        <v>166.0405821152</v>
      </c>
      <c r="S187" s="253">
        <f t="shared" si="351"/>
        <v>142.794900619072</v>
      </c>
      <c r="T187" s="253">
        <f t="shared" si="351"/>
        <v>122.803614532402</v>
      </c>
      <c r="U187" s="253">
        <f t="shared" si="351"/>
        <v>105.611108497866</v>
      </c>
      <c r="V187" s="253">
        <f t="shared" si="351"/>
        <v>90.8255533081644</v>
      </c>
      <c r="W187" s="303"/>
      <c r="X187" s="253"/>
      <c r="Y187" s="253"/>
      <c r="Z187" s="253"/>
      <c r="AA187" s="316"/>
      <c r="AB187" s="253"/>
      <c r="AC187" s="253"/>
      <c r="AD187" s="253"/>
      <c r="AE187" s="316"/>
      <c r="AF187" s="253"/>
      <c r="AG187" s="253"/>
      <c r="AH187" s="253"/>
      <c r="AI187" s="316"/>
      <c r="AJ187" s="253"/>
      <c r="AK187" s="253"/>
      <c r="AL187" s="253"/>
      <c r="AM187" s="316"/>
      <c r="AN187" s="253"/>
      <c r="AO187" s="253"/>
      <c r="AP187" s="253"/>
      <c r="AQ187" s="316"/>
      <c r="AR187" s="253"/>
      <c r="AS187" s="253"/>
      <c r="AT187" s="253"/>
      <c r="AU187" s="316"/>
      <c r="AV187" s="253"/>
      <c r="AW187" s="253"/>
      <c r="AX187" s="253"/>
      <c r="AY187" s="316"/>
      <c r="AZ187" s="253"/>
      <c r="BA187" s="253"/>
      <c r="BB187" s="253"/>
      <c r="BC187" s="316"/>
      <c r="BD187" s="253"/>
      <c r="BE187" s="253"/>
      <c r="BF187" s="253"/>
      <c r="BG187" s="316"/>
      <c r="BH187" s="253"/>
      <c r="BI187" s="253"/>
      <c r="BJ187" s="253"/>
      <c r="BK187" s="316"/>
      <c r="BL187" s="253"/>
      <c r="BM187" s="253"/>
      <c r="BN187" s="253"/>
      <c r="BO187" s="316"/>
      <c r="BP187" s="253"/>
      <c r="BQ187" s="253"/>
      <c r="BR187" s="253"/>
      <c r="BS187" s="316"/>
      <c r="BT187" s="253"/>
      <c r="BU187" s="253"/>
      <c r="BV187" s="253"/>
      <c r="BW187" s="253"/>
      <c r="BX187" s="253"/>
      <c r="BY187" s="253"/>
      <c r="BZ187" s="253"/>
      <c r="CA187" s="253"/>
      <c r="CB187" s="253"/>
      <c r="CC187" s="253"/>
      <c r="CD187" s="253"/>
      <c r="CE187" s="253"/>
      <c r="CF187" s="253"/>
      <c r="CG187" s="253"/>
      <c r="CH187" s="303"/>
      <c r="CI187" s="303"/>
      <c r="CJ187" s="303"/>
      <c r="CK187" s="303"/>
      <c r="CL187" s="303"/>
      <c r="CM187" s="303"/>
      <c r="CN187" s="303"/>
      <c r="CO187" s="303"/>
      <c r="CP187" s="303"/>
      <c r="CQ187" s="303"/>
      <c r="CR187" s="303"/>
      <c r="CS187" s="303"/>
      <c r="CT187" s="303"/>
      <c r="CU187" s="303"/>
      <c r="CV187" s="303"/>
      <c r="CW187" s="303"/>
      <c r="CX187" s="303"/>
      <c r="CY187" s="303"/>
      <c r="CZ187" s="303"/>
      <c r="DA187" s="303"/>
      <c r="DB187" s="303"/>
      <c r="DC187" s="303"/>
      <c r="DD187" s="303"/>
      <c r="DE187" s="303"/>
      <c r="DF187" s="303"/>
      <c r="DG187" s="303"/>
      <c r="DH187" s="303"/>
      <c r="DI187" s="303"/>
      <c r="DJ187" s="303"/>
      <c r="DK187" s="303"/>
      <c r="DL187" s="303"/>
      <c r="DM187" s="303"/>
      <c r="DN187" s="303"/>
      <c r="DO187" s="303"/>
      <c r="DP187" s="303"/>
    </row>
    <row r="188" spans="1:120">
      <c r="A188" s="261"/>
      <c r="B188" s="281" t="s">
        <v>800</v>
      </c>
      <c r="C188" s="27"/>
      <c r="D188" s="27"/>
      <c r="E188" s="27" t="e">
        <f t="shared" ref="E188:Q188" si="352">E185/E183</f>
        <v>#DIV/0!</v>
      </c>
      <c r="F188" s="27">
        <f t="shared" si="352"/>
        <v>0.261745757036809</v>
      </c>
      <c r="G188" s="27">
        <f t="shared" si="352"/>
        <v>0.796681531441598</v>
      </c>
      <c r="H188" s="27">
        <f t="shared" si="352"/>
        <v>0.0553025309099651</v>
      </c>
      <c r="I188" s="27">
        <f t="shared" si="352"/>
        <v>0</v>
      </c>
      <c r="J188" s="27">
        <f t="shared" si="352"/>
        <v>0.0675579812312225</v>
      </c>
      <c r="K188" s="27">
        <f t="shared" si="352"/>
        <v>0.0726893779401981</v>
      </c>
      <c r="L188" s="27">
        <f t="shared" si="352"/>
        <v>0.123469449718038</v>
      </c>
      <c r="M188" s="27">
        <f t="shared" si="352"/>
        <v>0.121336150749429</v>
      </c>
      <c r="N188" s="27">
        <f t="shared" si="352"/>
        <v>0.119923512734598</v>
      </c>
      <c r="O188" s="27">
        <f t="shared" si="352"/>
        <v>0.1403056923088</v>
      </c>
      <c r="P188" s="27">
        <f t="shared" si="352"/>
        <v>2.04632366235593</v>
      </c>
      <c r="Q188" s="27">
        <f t="shared" si="352"/>
        <v>0.131016694195762</v>
      </c>
      <c r="R188" s="461">
        <v>0.14</v>
      </c>
      <c r="S188" s="461">
        <v>0.14</v>
      </c>
      <c r="T188" s="461">
        <v>0.14</v>
      </c>
      <c r="U188" s="461">
        <v>0.14</v>
      </c>
      <c r="V188" s="461">
        <v>0.14</v>
      </c>
      <c r="W188" s="303"/>
      <c r="X188" s="27"/>
      <c r="Y188" s="27"/>
      <c r="Z188" s="27"/>
      <c r="AA188" s="52"/>
      <c r="AB188" s="27"/>
      <c r="AC188" s="27"/>
      <c r="AD188" s="27"/>
      <c r="AE188" s="52"/>
      <c r="AF188" s="27"/>
      <c r="AG188" s="27"/>
      <c r="AH188" s="27"/>
      <c r="AI188" s="52"/>
      <c r="AJ188" s="27"/>
      <c r="AK188" s="27"/>
      <c r="AL188" s="27"/>
      <c r="AM188" s="52"/>
      <c r="AN188" s="27"/>
      <c r="AO188" s="27"/>
      <c r="AP188" s="27"/>
      <c r="AQ188" s="52"/>
      <c r="AR188" s="27"/>
      <c r="AS188" s="27"/>
      <c r="AT188" s="27"/>
      <c r="AU188" s="52"/>
      <c r="AV188" s="27"/>
      <c r="AW188" s="27"/>
      <c r="AX188" s="27"/>
      <c r="AY188" s="52"/>
      <c r="AZ188" s="27"/>
      <c r="BA188" s="27"/>
      <c r="BB188" s="27"/>
      <c r="BC188" s="52"/>
      <c r="BD188" s="27"/>
      <c r="BE188" s="27"/>
      <c r="BF188" s="27"/>
      <c r="BG188" s="52"/>
      <c r="BH188" s="27"/>
      <c r="BI188" s="27"/>
      <c r="BJ188" s="27"/>
      <c r="BK188" s="52"/>
      <c r="BL188" s="27"/>
      <c r="BM188" s="27"/>
      <c r="BN188" s="27"/>
      <c r="BO188" s="52"/>
      <c r="BP188" s="27"/>
      <c r="BQ188" s="27"/>
      <c r="BR188" s="27"/>
      <c r="BS188" s="52"/>
      <c r="BT188" s="27"/>
      <c r="BU188" s="27"/>
      <c r="BV188" s="27"/>
      <c r="BW188" s="27"/>
      <c r="BX188" s="27"/>
      <c r="BY188" s="27"/>
      <c r="BZ188" s="27"/>
      <c r="CA188" s="27"/>
      <c r="CB188" s="27"/>
      <c r="CC188" s="27"/>
      <c r="CD188" s="27"/>
      <c r="CE188" s="27"/>
      <c r="CF188" s="27"/>
      <c r="CG188" s="27"/>
      <c r="CH188" s="303"/>
      <c r="CI188" s="303"/>
      <c r="CJ188" s="303"/>
      <c r="CK188" s="303"/>
      <c r="CL188" s="303"/>
      <c r="CM188" s="303"/>
      <c r="CN188" s="303"/>
      <c r="CO188" s="303"/>
      <c r="CP188" s="303"/>
      <c r="CQ188" s="303"/>
      <c r="CR188" s="303"/>
      <c r="CS188" s="303"/>
      <c r="CT188" s="303"/>
      <c r="CU188" s="303"/>
      <c r="CV188" s="303"/>
      <c r="CW188" s="303"/>
      <c r="CX188" s="303"/>
      <c r="CY188" s="303"/>
      <c r="CZ188" s="303"/>
      <c r="DA188" s="303"/>
      <c r="DB188" s="303"/>
      <c r="DC188" s="303"/>
      <c r="DD188" s="303"/>
      <c r="DE188" s="303"/>
      <c r="DF188" s="303"/>
      <c r="DG188" s="303"/>
      <c r="DH188" s="303"/>
      <c r="DI188" s="303"/>
      <c r="DJ188" s="303"/>
      <c r="DK188" s="303"/>
      <c r="DL188" s="303"/>
      <c r="DM188" s="303"/>
      <c r="DN188" s="303"/>
      <c r="DO188" s="303"/>
      <c r="DP188" s="303"/>
    </row>
    <row r="189" spans="1:120">
      <c r="A189" s="261"/>
      <c r="B189" s="281"/>
      <c r="C189" s="253"/>
      <c r="D189" s="253"/>
      <c r="E189" s="253"/>
      <c r="F189" s="253"/>
      <c r="G189" s="253"/>
      <c r="H189" s="253"/>
      <c r="I189" s="253"/>
      <c r="J189" s="253"/>
      <c r="K189" s="253"/>
      <c r="L189" s="253"/>
      <c r="M189" s="253"/>
      <c r="N189" s="253"/>
      <c r="O189" s="253"/>
      <c r="P189" s="253"/>
      <c r="Q189" s="253"/>
      <c r="R189" s="253"/>
      <c r="S189" s="253"/>
      <c r="T189" s="253"/>
      <c r="U189" s="253"/>
      <c r="V189" s="253"/>
      <c r="W189" s="303"/>
      <c r="X189" s="253"/>
      <c r="Y189" s="253"/>
      <c r="Z189" s="253"/>
      <c r="AA189" s="316"/>
      <c r="AB189" s="253"/>
      <c r="AC189" s="253"/>
      <c r="AD189" s="253"/>
      <c r="AE189" s="316"/>
      <c r="AF189" s="253"/>
      <c r="AG189" s="253"/>
      <c r="AH189" s="253"/>
      <c r="AI189" s="316"/>
      <c r="AJ189" s="253"/>
      <c r="AK189" s="253"/>
      <c r="AL189" s="253"/>
      <c r="AM189" s="316"/>
      <c r="AN189" s="253"/>
      <c r="AO189" s="253"/>
      <c r="AP189" s="253"/>
      <c r="AQ189" s="337"/>
      <c r="AR189" s="303"/>
      <c r="AS189" s="303"/>
      <c r="AT189" s="310"/>
      <c r="AU189" s="340"/>
      <c r="AV189" s="310"/>
      <c r="AW189" s="310"/>
      <c r="AX189" s="310"/>
      <c r="AY189" s="340"/>
      <c r="AZ189" s="310"/>
      <c r="BA189" s="310"/>
      <c r="BB189" s="310"/>
      <c r="BC189" s="340"/>
      <c r="BD189" s="310"/>
      <c r="BE189" s="310"/>
      <c r="BF189" s="310"/>
      <c r="BG189" s="340"/>
      <c r="BH189" s="310"/>
      <c r="BI189" s="310"/>
      <c r="BJ189" s="310"/>
      <c r="BK189" s="340"/>
      <c r="BL189" s="310"/>
      <c r="BM189" s="310"/>
      <c r="BN189" s="310"/>
      <c r="BO189" s="340"/>
      <c r="BP189" s="310"/>
      <c r="BQ189" s="310"/>
      <c r="BR189" s="310"/>
      <c r="BS189" s="340"/>
      <c r="BT189" s="310"/>
      <c r="BU189" s="310"/>
      <c r="BV189" s="310"/>
      <c r="BW189" s="310"/>
      <c r="BX189" s="310"/>
      <c r="BY189" s="310"/>
      <c r="BZ189" s="310"/>
      <c r="CA189" s="310"/>
      <c r="CB189" s="310"/>
      <c r="CC189" s="310"/>
      <c r="CD189" s="310"/>
      <c r="CE189" s="310"/>
      <c r="CF189" s="310"/>
      <c r="CG189" s="310"/>
      <c r="CH189" s="303"/>
      <c r="CI189" s="303"/>
      <c r="CJ189" s="303"/>
      <c r="CK189" s="303"/>
      <c r="CL189" s="303"/>
      <c r="CM189" s="303"/>
      <c r="CN189" s="303"/>
      <c r="CO189" s="303"/>
      <c r="CP189" s="303"/>
      <c r="CQ189" s="303"/>
      <c r="CR189" s="303"/>
      <c r="CS189" s="303"/>
      <c r="CT189" s="303"/>
      <c r="CU189" s="303"/>
      <c r="CV189" s="303"/>
      <c r="CW189" s="303"/>
      <c r="CX189" s="303"/>
      <c r="CY189" s="303"/>
      <c r="CZ189" s="303"/>
      <c r="DA189" s="303"/>
      <c r="DB189" s="303"/>
      <c r="DC189" s="303"/>
      <c r="DD189" s="303"/>
      <c r="DE189" s="303"/>
      <c r="DF189" s="303"/>
      <c r="DG189" s="303"/>
      <c r="DH189" s="303"/>
      <c r="DI189" s="303"/>
      <c r="DJ189" s="303"/>
      <c r="DK189" s="303"/>
      <c r="DL189" s="303"/>
      <c r="DM189" s="303"/>
      <c r="DN189" s="303"/>
      <c r="DO189" s="303"/>
      <c r="DP189" s="303"/>
    </row>
    <row r="190" spans="1:120">
      <c r="A190" s="248"/>
      <c r="B190" s="245" t="s">
        <v>801</v>
      </c>
      <c r="C190" s="247"/>
      <c r="D190" s="247"/>
      <c r="E190" s="247"/>
      <c r="F190" s="247"/>
      <c r="G190" s="247"/>
      <c r="H190" s="247"/>
      <c r="I190" s="247">
        <v>2015</v>
      </c>
      <c r="J190" s="247">
        <v>2016</v>
      </c>
      <c r="K190" s="247">
        <v>2017</v>
      </c>
      <c r="L190" s="247">
        <v>2018</v>
      </c>
      <c r="M190" s="247">
        <f>M4</f>
        <v>2019</v>
      </c>
      <c r="N190" s="247">
        <f>N4</f>
        <v>2020</v>
      </c>
      <c r="O190" s="247">
        <v>2021</v>
      </c>
      <c r="P190" s="247">
        <v>2022</v>
      </c>
      <c r="Q190" s="247">
        <v>2023</v>
      </c>
      <c r="R190" s="247">
        <v>2024</v>
      </c>
      <c r="S190" s="247">
        <v>2025</v>
      </c>
      <c r="T190" s="296">
        <v>2026</v>
      </c>
      <c r="U190" s="296">
        <v>2027</v>
      </c>
      <c r="V190" s="296">
        <v>2028</v>
      </c>
      <c r="W190" s="300"/>
      <c r="X190" s="301"/>
      <c r="Y190" s="301"/>
      <c r="Z190" s="301"/>
      <c r="AA190" s="425"/>
      <c r="AB190" s="301"/>
      <c r="AC190" s="301"/>
      <c r="AD190" s="301"/>
      <c r="AE190" s="425"/>
      <c r="AF190" s="301"/>
      <c r="AG190" s="301"/>
      <c r="AH190" s="301"/>
      <c r="AI190" s="425"/>
      <c r="AJ190" s="301"/>
      <c r="AK190" s="301"/>
      <c r="AL190" s="301"/>
      <c r="AM190" s="425"/>
      <c r="AN190" s="301"/>
      <c r="AO190" s="301"/>
      <c r="AP190" s="301"/>
      <c r="AQ190" s="425"/>
      <c r="AR190" s="301"/>
      <c r="AS190" s="301"/>
      <c r="AT190" s="301"/>
      <c r="AU190" s="425"/>
      <c r="AV190" s="301"/>
      <c r="AW190" s="301"/>
      <c r="AX190" s="301"/>
      <c r="AY190" s="425"/>
      <c r="AZ190" s="301"/>
      <c r="BA190" s="301"/>
      <c r="BB190" s="301"/>
      <c r="BC190" s="425"/>
      <c r="BD190" s="301"/>
      <c r="BE190" s="301"/>
      <c r="BF190" s="301"/>
      <c r="BG190" s="425"/>
      <c r="BH190" s="301"/>
      <c r="BI190" s="301"/>
      <c r="BJ190" s="301"/>
      <c r="BK190" s="425"/>
      <c r="BL190" s="301"/>
      <c r="BM190" s="301"/>
      <c r="BN190" s="301"/>
      <c r="BO190" s="425"/>
      <c r="BP190" s="301"/>
      <c r="BQ190" s="301"/>
      <c r="BR190" s="301"/>
      <c r="BS190" s="425"/>
      <c r="BT190" s="301"/>
      <c r="BU190" s="301"/>
      <c r="BV190" s="301"/>
      <c r="BW190" s="301"/>
      <c r="BX190" s="301"/>
      <c r="BY190" s="301"/>
      <c r="BZ190" s="301"/>
      <c r="CA190" s="301"/>
      <c r="CB190" s="301"/>
      <c r="CC190" s="301"/>
      <c r="CD190" s="301"/>
      <c r="CE190" s="301"/>
      <c r="CF190" s="301"/>
      <c r="CG190" s="301"/>
      <c r="CH190" s="283"/>
      <c r="CI190" s="283"/>
      <c r="CJ190" s="283"/>
      <c r="CK190" s="283"/>
      <c r="CL190" s="283"/>
      <c r="CM190" s="283"/>
      <c r="CN190" s="283"/>
      <c r="CO190" s="283"/>
      <c r="CP190" s="283"/>
      <c r="CQ190" s="283"/>
      <c r="CR190" s="283"/>
      <c r="CS190" s="283"/>
      <c r="CT190" s="283"/>
      <c r="CU190" s="301"/>
      <c r="CV190" s="301"/>
      <c r="CW190" s="301"/>
      <c r="CX190" s="301"/>
      <c r="CY190" s="301"/>
      <c r="CZ190" s="301"/>
      <c r="DA190" s="301"/>
      <c r="DB190" s="301"/>
      <c r="DC190" s="301"/>
      <c r="DD190" s="301"/>
      <c r="DE190" s="301"/>
      <c r="DF190" s="301"/>
      <c r="DG190" s="301"/>
      <c r="DH190" s="301"/>
      <c r="DI190" s="301"/>
      <c r="DJ190" s="301"/>
      <c r="DK190" s="301"/>
      <c r="DL190" s="301"/>
      <c r="DM190" s="301"/>
      <c r="DN190" s="301"/>
      <c r="DO190" s="301"/>
      <c r="DP190" s="301"/>
    </row>
    <row r="191" spans="1:85">
      <c r="A191" s="458"/>
      <c r="B191" s="253" t="s">
        <v>802</v>
      </c>
      <c r="C191" s="459"/>
      <c r="D191" s="459"/>
      <c r="E191" s="459">
        <f t="shared" ref="E191:V191" si="353">E7/AVERAGE(D136:E136)</f>
        <v>1.07511927921988</v>
      </c>
      <c r="F191" s="459">
        <f t="shared" si="353"/>
        <v>1.14018425800198</v>
      </c>
      <c r="G191" s="459">
        <f t="shared" si="353"/>
        <v>1.17822235233564</v>
      </c>
      <c r="H191" s="459">
        <f t="shared" si="353"/>
        <v>1.0299107671062</v>
      </c>
      <c r="I191" s="459">
        <f t="shared" si="353"/>
        <v>0.987078540059718</v>
      </c>
      <c r="J191" s="459">
        <f t="shared" si="353"/>
        <v>0.757351801039126</v>
      </c>
      <c r="K191" s="459">
        <f t="shared" si="353"/>
        <v>0.674976246480433</v>
      </c>
      <c r="L191" s="459">
        <f t="shared" si="353"/>
        <v>0.546354748064389</v>
      </c>
      <c r="M191" s="459">
        <f t="shared" si="353"/>
        <v>0.765176907507825</v>
      </c>
      <c r="N191" s="459">
        <f t="shared" si="353"/>
        <v>0.679305154077573</v>
      </c>
      <c r="O191" s="459">
        <f t="shared" si="353"/>
        <v>0.640516208223853</v>
      </c>
      <c r="P191" s="459">
        <f t="shared" si="353"/>
        <v>0.61647718286361</v>
      </c>
      <c r="Q191" s="459">
        <f t="shared" si="353"/>
        <v>0.503019554780289</v>
      </c>
      <c r="R191" s="459">
        <f t="shared" si="353"/>
        <v>0.924471781366224</v>
      </c>
      <c r="S191" s="459">
        <f t="shared" si="353"/>
        <v>1.30240650238449</v>
      </c>
      <c r="T191" s="459">
        <f t="shared" si="353"/>
        <v>1.34068734534181</v>
      </c>
      <c r="U191" s="459">
        <f t="shared" si="353"/>
        <v>1.13864859748544</v>
      </c>
      <c r="V191" s="459">
        <f t="shared" si="353"/>
        <v>0.915160005433614</v>
      </c>
      <c r="X191" s="459"/>
      <c r="Y191" s="459"/>
      <c r="Z191" s="459"/>
      <c r="AA191" s="471"/>
      <c r="AB191" s="459"/>
      <c r="AC191" s="459"/>
      <c r="AD191" s="459"/>
      <c r="AE191" s="471"/>
      <c r="AF191" s="459"/>
      <c r="AG191" s="459"/>
      <c r="AH191" s="459"/>
      <c r="AI191" s="471"/>
      <c r="AJ191" s="459"/>
      <c r="AK191" s="459"/>
      <c r="AL191" s="459"/>
      <c r="AM191" s="471"/>
      <c r="AN191" s="459"/>
      <c r="AO191" s="459"/>
      <c r="AP191" s="459"/>
      <c r="AQ191" s="340"/>
      <c r="AR191" s="310"/>
      <c r="AS191" s="310"/>
      <c r="AT191" s="310"/>
      <c r="AU191" s="340"/>
      <c r="AV191" s="310"/>
      <c r="AW191" s="310"/>
      <c r="AX191" s="310"/>
      <c r="AY191" s="340"/>
      <c r="AZ191" s="310"/>
      <c r="BA191" s="310"/>
      <c r="BB191" s="310"/>
      <c r="BC191" s="340"/>
      <c r="BD191" s="310"/>
      <c r="BE191" s="310"/>
      <c r="BF191" s="310"/>
      <c r="BG191" s="340"/>
      <c r="BH191" s="310"/>
      <c r="BI191" s="310"/>
      <c r="BJ191" s="310"/>
      <c r="BK191" s="340"/>
      <c r="BL191" s="310"/>
      <c r="BM191" s="310"/>
      <c r="BN191" s="310"/>
      <c r="BO191" s="340"/>
      <c r="BP191" s="310"/>
      <c r="BQ191" s="310"/>
      <c r="BR191" s="310"/>
      <c r="BS191" s="340"/>
      <c r="BT191" s="310"/>
      <c r="BU191" s="310"/>
      <c r="BV191" s="310"/>
      <c r="BW191" s="310"/>
      <c r="BX191" s="310"/>
      <c r="BY191" s="310"/>
      <c r="BZ191" s="310"/>
      <c r="CA191" s="310"/>
      <c r="CB191" s="310"/>
      <c r="CC191" s="310"/>
      <c r="CD191" s="310"/>
      <c r="CE191" s="310"/>
      <c r="CF191" s="310"/>
      <c r="CG191" s="310"/>
    </row>
    <row r="192" spans="1:85">
      <c r="A192" s="458"/>
      <c r="B192" s="253" t="s">
        <v>803</v>
      </c>
      <c r="C192" s="459"/>
      <c r="D192" s="459"/>
      <c r="E192" s="459">
        <f t="shared" ref="E192:V192" si="354">AVERAGE(D136:E136)/AVERAGE(D153:E153)</f>
        <v>1.57531100320011</v>
      </c>
      <c r="F192" s="459">
        <f t="shared" si="354"/>
        <v>1.38704924490627</v>
      </c>
      <c r="G192" s="459">
        <f t="shared" si="354"/>
        <v>1.30793172325415</v>
      </c>
      <c r="H192" s="459">
        <f t="shared" si="354"/>
        <v>1.31786127386914</v>
      </c>
      <c r="I192" s="459">
        <f t="shared" si="354"/>
        <v>1.3023864837727</v>
      </c>
      <c r="J192" s="459">
        <f t="shared" si="354"/>
        <v>1.23932710927424</v>
      </c>
      <c r="K192" s="459">
        <f t="shared" si="354"/>
        <v>1.24789590914301</v>
      </c>
      <c r="L192" s="459">
        <f t="shared" si="354"/>
        <v>1.25113848118645</v>
      </c>
      <c r="M192" s="308">
        <f t="shared" si="354"/>
        <v>1.23579542705356</v>
      </c>
      <c r="N192" s="308">
        <f t="shared" si="354"/>
        <v>1.23266388122233</v>
      </c>
      <c r="O192" s="308">
        <f t="shared" si="354"/>
        <v>1.226753448272</v>
      </c>
      <c r="P192" s="459">
        <f t="shared" si="354"/>
        <v>1.22216990494996</v>
      </c>
      <c r="Q192" s="459">
        <f t="shared" si="354"/>
        <v>1.19629628853181</v>
      </c>
      <c r="R192" s="459">
        <f t="shared" si="354"/>
        <v>1.35612487730669</v>
      </c>
      <c r="S192" s="459">
        <f t="shared" si="354"/>
        <v>1.45318452838116</v>
      </c>
      <c r="T192" s="459">
        <f t="shared" si="354"/>
        <v>1.40949121696972</v>
      </c>
      <c r="U192" s="459">
        <f t="shared" si="354"/>
        <v>1.29631585150466</v>
      </c>
      <c r="V192" s="459">
        <f t="shared" si="354"/>
        <v>1.17285883348217</v>
      </c>
      <c r="X192" s="466"/>
      <c r="Y192" s="466"/>
      <c r="Z192" s="466"/>
      <c r="AA192" s="472"/>
      <c r="AB192" s="466"/>
      <c r="AC192" s="466"/>
      <c r="AD192" s="466"/>
      <c r="AE192" s="472"/>
      <c r="AF192" s="466"/>
      <c r="AG192" s="466"/>
      <c r="AH192" s="466"/>
      <c r="AI192" s="472"/>
      <c r="AJ192" s="466"/>
      <c r="AK192" s="466"/>
      <c r="AL192" s="466"/>
      <c r="AM192" s="472"/>
      <c r="AN192" s="466"/>
      <c r="AO192" s="466"/>
      <c r="AP192" s="466"/>
      <c r="AQ192" s="340"/>
      <c r="AR192" s="310"/>
      <c r="AS192" s="310"/>
      <c r="AT192" s="310"/>
      <c r="AU192" s="340"/>
      <c r="AV192" s="310"/>
      <c r="AW192" s="310"/>
      <c r="AX192" s="310"/>
      <c r="AY192" s="340"/>
      <c r="AZ192" s="310"/>
      <c r="BA192" s="310"/>
      <c r="BB192" s="310"/>
      <c r="BC192" s="340"/>
      <c r="BD192" s="310"/>
      <c r="BE192" s="310"/>
      <c r="BF192" s="310"/>
      <c r="BG192" s="340"/>
      <c r="BH192" s="310"/>
      <c r="BI192" s="310"/>
      <c r="BJ192" s="310"/>
      <c r="BK192" s="340"/>
      <c r="BL192" s="310"/>
      <c r="BM192" s="310"/>
      <c r="BN192" s="310"/>
      <c r="BO192" s="340"/>
      <c r="BP192" s="310"/>
      <c r="BQ192" s="310"/>
      <c r="BR192" s="310"/>
      <c r="BS192" s="340"/>
      <c r="BT192" s="310"/>
      <c r="BU192" s="310"/>
      <c r="BV192" s="310"/>
      <c r="BW192" s="310"/>
      <c r="BX192" s="310"/>
      <c r="BY192" s="310"/>
      <c r="BZ192" s="310"/>
      <c r="CA192" s="310"/>
      <c r="CB192" s="310"/>
      <c r="CC192" s="310"/>
      <c r="CD192" s="310"/>
      <c r="CE192" s="310"/>
      <c r="CF192" s="310"/>
      <c r="CG192" s="310"/>
    </row>
    <row r="193" spans="1:85">
      <c r="A193" s="458"/>
      <c r="B193" s="253" t="s">
        <v>804</v>
      </c>
      <c r="C193" s="478"/>
      <c r="D193" s="478"/>
      <c r="E193" s="478">
        <f t="shared" ref="E193:V193" si="355">E88</f>
        <v>0.17241680399428</v>
      </c>
      <c r="F193" s="478">
        <f t="shared" si="355"/>
        <v>0.189164984222404</v>
      </c>
      <c r="G193" s="478">
        <f t="shared" si="355"/>
        <v>0.172126537569361</v>
      </c>
      <c r="H193" s="478">
        <f t="shared" si="355"/>
        <v>0.176793869669599</v>
      </c>
      <c r="I193" s="478">
        <f t="shared" si="355"/>
        <v>0.153547914761189</v>
      </c>
      <c r="J193" s="478">
        <f t="shared" si="355"/>
        <v>0.147474597940217</v>
      </c>
      <c r="K193" s="478">
        <f t="shared" si="355"/>
        <v>0.126618750271402</v>
      </c>
      <c r="L193" s="478">
        <f t="shared" si="355"/>
        <v>0.0418873895296239</v>
      </c>
      <c r="M193" s="478">
        <f t="shared" si="355"/>
        <v>0.182729303385719</v>
      </c>
      <c r="N193" s="478">
        <f t="shared" si="355"/>
        <v>0.246132996079621</v>
      </c>
      <c r="O193" s="478">
        <f t="shared" si="355"/>
        <v>0.227593036298838</v>
      </c>
      <c r="P193" s="478">
        <f t="shared" si="355"/>
        <v>0.272937909855603</v>
      </c>
      <c r="Q193" s="478">
        <f t="shared" si="355"/>
        <v>0.222223598017418</v>
      </c>
      <c r="R193" s="478">
        <f t="shared" si="355"/>
        <v>0.328191169723031</v>
      </c>
      <c r="S193" s="478">
        <f t="shared" si="355"/>
        <v>0.383704147354465</v>
      </c>
      <c r="T193" s="478">
        <f t="shared" si="355"/>
        <v>0.401947407352953</v>
      </c>
      <c r="U193" s="478">
        <f t="shared" si="355"/>
        <v>0.406973051972762</v>
      </c>
      <c r="V193" s="478">
        <f t="shared" si="355"/>
        <v>0.406889094699606</v>
      </c>
      <c r="X193" s="484"/>
      <c r="Y193" s="484"/>
      <c r="Z193" s="484"/>
      <c r="AA193" s="485"/>
      <c r="AB193" s="484"/>
      <c r="AC193" s="484"/>
      <c r="AD193" s="484"/>
      <c r="AE193" s="485"/>
      <c r="AF193" s="484"/>
      <c r="AG193" s="484"/>
      <c r="AH193" s="484"/>
      <c r="AI193" s="485"/>
      <c r="AJ193" s="484"/>
      <c r="AK193" s="484"/>
      <c r="AL193" s="484"/>
      <c r="AM193" s="485"/>
      <c r="AN193" s="484"/>
      <c r="AO193" s="484"/>
      <c r="AP193" s="484"/>
      <c r="AQ193" s="340"/>
      <c r="AR193" s="310"/>
      <c r="AS193" s="310"/>
      <c r="AT193" s="310"/>
      <c r="AU193" s="340"/>
      <c r="AV193" s="310"/>
      <c r="AW193" s="310"/>
      <c r="AX193" s="310"/>
      <c r="AY193" s="340"/>
      <c r="AZ193" s="310"/>
      <c r="BA193" s="310"/>
      <c r="BB193" s="310"/>
      <c r="BC193" s="340"/>
      <c r="BD193" s="310"/>
      <c r="BE193" s="310"/>
      <c r="BF193" s="310"/>
      <c r="BG193" s="340"/>
      <c r="BH193" s="310"/>
      <c r="BI193" s="310"/>
      <c r="BJ193" s="310"/>
      <c r="BK193" s="340"/>
      <c r="BL193" s="310"/>
      <c r="BM193" s="310"/>
      <c r="BN193" s="310"/>
      <c r="BO193" s="340"/>
      <c r="BP193" s="310"/>
      <c r="BQ193" s="310"/>
      <c r="BR193" s="310"/>
      <c r="BS193" s="340"/>
      <c r="BT193" s="310"/>
      <c r="BU193" s="310"/>
      <c r="BV193" s="310"/>
      <c r="BW193" s="310"/>
      <c r="BX193" s="310"/>
      <c r="BY193" s="310"/>
      <c r="BZ193" s="310"/>
      <c r="CA193" s="310"/>
      <c r="CB193" s="310"/>
      <c r="CC193" s="310"/>
      <c r="CD193" s="310"/>
      <c r="CE193" s="310"/>
      <c r="CF193" s="310"/>
      <c r="CG193" s="310"/>
    </row>
    <row r="194" spans="1:42">
      <c r="A194" s="458"/>
      <c r="B194" s="253" t="s">
        <v>805</v>
      </c>
      <c r="C194" s="377"/>
      <c r="D194" s="377"/>
      <c r="E194" s="377">
        <f t="shared" ref="E194:O194" si="356">E191*E192*E193</f>
        <v>0.292013242543409</v>
      </c>
      <c r="F194" s="377">
        <f t="shared" si="356"/>
        <v>0.299162855148551</v>
      </c>
      <c r="G194" s="377">
        <f t="shared" si="356"/>
        <v>0.265252914112932</v>
      </c>
      <c r="H194" s="377">
        <f t="shared" si="356"/>
        <v>0.239958697770312</v>
      </c>
      <c r="I194" s="377">
        <f t="shared" si="356"/>
        <v>0.197394711663404</v>
      </c>
      <c r="J194" s="377">
        <f t="shared" si="356"/>
        <v>0.138420633655675</v>
      </c>
      <c r="K194" s="377">
        <f t="shared" si="356"/>
        <v>0.106650985604173</v>
      </c>
      <c r="L194" s="377">
        <f t="shared" si="356"/>
        <v>0.0286327722598343</v>
      </c>
      <c r="M194" s="478">
        <f t="shared" si="356"/>
        <v>0.17278921724968</v>
      </c>
      <c r="N194" s="478">
        <f t="shared" si="356"/>
        <v>0.206100677151504</v>
      </c>
      <c r="O194" s="478">
        <f t="shared" si="356"/>
        <v>0.178832472548594</v>
      </c>
      <c r="P194" s="377">
        <f t="shared" ref="P194:U194" si="357">P191*P192*P193</f>
        <v>0.205642300585996</v>
      </c>
      <c r="Q194" s="377">
        <f t="shared" si="357"/>
        <v>0.133725367108566</v>
      </c>
      <c r="R194" s="377">
        <f t="shared" si="357"/>
        <v>0.411453000719046</v>
      </c>
      <c r="S194" s="377">
        <f t="shared" si="357"/>
        <v>0.726212658251158</v>
      </c>
      <c r="T194" s="377">
        <f t="shared" si="357"/>
        <v>0.759554805617198</v>
      </c>
      <c r="U194" s="377">
        <f t="shared" si="357"/>
        <v>0.600711851481261</v>
      </c>
      <c r="V194" s="377">
        <f t="shared" ref="V194" si="358">V191*V192*V193</f>
        <v>0.436735832451969</v>
      </c>
      <c r="X194" s="342"/>
      <c r="Y194" s="342"/>
      <c r="Z194" s="342"/>
      <c r="AA194" s="486"/>
      <c r="AB194" s="342"/>
      <c r="AC194" s="342"/>
      <c r="AD194" s="342"/>
      <c r="AE194" s="486"/>
      <c r="AF194" s="342"/>
      <c r="AG194" s="342"/>
      <c r="AH194" s="342"/>
      <c r="AI194" s="486"/>
      <c r="AJ194" s="342"/>
      <c r="AK194" s="342"/>
      <c r="AL194" s="377"/>
      <c r="AM194" s="378"/>
      <c r="AN194" s="377"/>
      <c r="AO194" s="377"/>
      <c r="AP194" s="377"/>
    </row>
    <row r="195" spans="1:42">
      <c r="A195" s="458"/>
      <c r="B195" s="253" t="s">
        <v>806</v>
      </c>
      <c r="C195" s="377"/>
      <c r="D195" s="377"/>
      <c r="E195" s="377">
        <f t="shared" ref="E195:V195" si="359">E40/AVERAGE(D136:E136)</f>
        <v>0.185368630035726</v>
      </c>
      <c r="F195" s="377">
        <f t="shared" si="359"/>
        <v>0.215682937175578</v>
      </c>
      <c r="G195" s="377">
        <f t="shared" si="359"/>
        <v>0.202803333994362</v>
      </c>
      <c r="H195" s="377">
        <f t="shared" si="359"/>
        <v>0.18208190993109</v>
      </c>
      <c r="I195" s="377">
        <f t="shared" si="359"/>
        <v>0.151563851531688</v>
      </c>
      <c r="J195" s="377">
        <f t="shared" si="359"/>
        <v>0.111690152357544</v>
      </c>
      <c r="K195" s="377">
        <f t="shared" si="359"/>
        <v>0.0854646487922342</v>
      </c>
      <c r="L195" s="377">
        <f t="shared" si="359"/>
        <v>0.0228853741535326</v>
      </c>
      <c r="M195" s="478">
        <f t="shared" si="359"/>
        <v>0.139820243275743</v>
      </c>
      <c r="N195" s="478">
        <f t="shared" si="359"/>
        <v>0.167199412825441</v>
      </c>
      <c r="O195" s="478">
        <f t="shared" si="359"/>
        <v>0.145777028628285</v>
      </c>
      <c r="P195" s="377">
        <f t="shared" si="359"/>
        <v>0.168259993764464</v>
      </c>
      <c r="Q195" s="377">
        <f t="shared" si="359"/>
        <v>0.111782815336396</v>
      </c>
      <c r="R195" s="377">
        <f t="shared" si="359"/>
        <v>0.303403475302515</v>
      </c>
      <c r="S195" s="377">
        <f t="shared" si="359"/>
        <v>0.49973877650635</v>
      </c>
      <c r="T195" s="377">
        <f t="shared" si="359"/>
        <v>0.538885802531054</v>
      </c>
      <c r="U195" s="377">
        <f t="shared" si="359"/>
        <v>0.463399294843153</v>
      </c>
      <c r="V195" s="377">
        <f t="shared" si="359"/>
        <v>0.37236862611617</v>
      </c>
      <c r="X195" s="342"/>
      <c r="Y195" s="342"/>
      <c r="Z195" s="342"/>
      <c r="AA195" s="486"/>
      <c r="AB195" s="342"/>
      <c r="AC195" s="342"/>
      <c r="AD195" s="342"/>
      <c r="AE195" s="486"/>
      <c r="AF195" s="342"/>
      <c r="AG195" s="342"/>
      <c r="AH195" s="342"/>
      <c r="AI195" s="486"/>
      <c r="AJ195" s="342"/>
      <c r="AK195" s="342"/>
      <c r="AL195" s="377"/>
      <c r="AM195" s="378"/>
      <c r="AN195" s="377"/>
      <c r="AO195" s="377"/>
      <c r="AP195" s="377"/>
    </row>
    <row r="196" spans="1:42">
      <c r="A196" s="458"/>
      <c r="B196" s="253"/>
      <c r="C196" s="377"/>
      <c r="D196" s="377"/>
      <c r="E196" s="377"/>
      <c r="F196" s="377"/>
      <c r="G196" s="377"/>
      <c r="H196" s="377"/>
      <c r="I196" s="377"/>
      <c r="J196" s="377"/>
      <c r="K196" s="377"/>
      <c r="L196" s="377"/>
      <c r="M196" s="377"/>
      <c r="N196" s="377"/>
      <c r="O196" s="377"/>
      <c r="P196" s="377"/>
      <c r="Q196" s="377"/>
      <c r="R196" s="377"/>
      <c r="S196" s="377"/>
      <c r="T196" s="377"/>
      <c r="U196" s="377"/>
      <c r="V196" s="377"/>
      <c r="X196" s="342"/>
      <c r="Y196" s="342"/>
      <c r="Z196" s="342"/>
      <c r="AA196" s="486"/>
      <c r="AB196" s="342"/>
      <c r="AC196" s="342"/>
      <c r="AD196" s="342"/>
      <c r="AE196" s="486"/>
      <c r="AF196" s="342"/>
      <c r="AG196" s="342"/>
      <c r="AH196" s="342"/>
      <c r="AI196" s="486"/>
      <c r="AJ196" s="342"/>
      <c r="AK196" s="342"/>
      <c r="AL196" s="377"/>
      <c r="AM196" s="378"/>
      <c r="AN196" s="377"/>
      <c r="AO196" s="377"/>
      <c r="AP196" s="377"/>
    </row>
    <row r="197" spans="1:120">
      <c r="A197" s="261"/>
      <c r="B197" s="281" t="s">
        <v>807</v>
      </c>
      <c r="C197" s="27"/>
      <c r="D197" s="27"/>
      <c r="E197" s="27">
        <f t="shared" ref="E197:O197" si="360">-E214/E7</f>
        <v>0.0165074382239086</v>
      </c>
      <c r="F197" s="27">
        <f t="shared" si="360"/>
        <v>0.112261746640729</v>
      </c>
      <c r="G197" s="27">
        <f t="shared" si="360"/>
        <v>0.160917647369999</v>
      </c>
      <c r="H197" s="27">
        <f t="shared" si="360"/>
        <v>0.0540516499430209</v>
      </c>
      <c r="I197" s="27">
        <f t="shared" si="360"/>
        <v>0.0611892935321484</v>
      </c>
      <c r="J197" s="27">
        <f t="shared" si="360"/>
        <v>0.183178197607048</v>
      </c>
      <c r="K197" s="27">
        <f t="shared" si="360"/>
        <v>0.154707877393997</v>
      </c>
      <c r="L197" s="27">
        <f t="shared" si="360"/>
        <v>0.0905044734804623</v>
      </c>
      <c r="M197" s="27">
        <f t="shared" si="360"/>
        <v>0.0851035350194844</v>
      </c>
      <c r="N197" s="27">
        <f t="shared" si="360"/>
        <v>0.14547008003758</v>
      </c>
      <c r="O197" s="27">
        <f t="shared" si="360"/>
        <v>0.0940376116204239</v>
      </c>
      <c r="P197" s="27">
        <f t="shared" ref="P197:U197" si="361">-P214/P7</f>
        <v>0.110167607510604</v>
      </c>
      <c r="Q197" s="27">
        <f t="shared" si="361"/>
        <v>0.178947581352775</v>
      </c>
      <c r="R197" s="27">
        <f t="shared" si="361"/>
        <v>0.17073746281459</v>
      </c>
      <c r="S197" s="27">
        <f t="shared" si="361"/>
        <v>0.0802297704950018</v>
      </c>
      <c r="T197" s="27">
        <f t="shared" si="361"/>
        <v>0.0445427302679118</v>
      </c>
      <c r="U197" s="27">
        <f t="shared" si="361"/>
        <v>0.0294601085063777</v>
      </c>
      <c r="V197" s="27">
        <f t="shared" ref="V197" si="362">-V214/V7</f>
        <v>0.0243428558567288</v>
      </c>
      <c r="W197" s="303"/>
      <c r="X197" s="253"/>
      <c r="Y197" s="253"/>
      <c r="Z197" s="253"/>
      <c r="AA197" s="316"/>
      <c r="AB197" s="253"/>
      <c r="AC197" s="253"/>
      <c r="AD197" s="253"/>
      <c r="AE197" s="316"/>
      <c r="AF197" s="253"/>
      <c r="AG197" s="253"/>
      <c r="AH197" s="253"/>
      <c r="AI197" s="316"/>
      <c r="AJ197" s="253"/>
      <c r="AK197" s="253"/>
      <c r="AL197" s="253"/>
      <c r="AM197" s="316"/>
      <c r="AN197" s="253"/>
      <c r="AO197" s="253"/>
      <c r="AP197" s="253"/>
      <c r="AQ197" s="337"/>
      <c r="AR197" s="303"/>
      <c r="AS197" s="303"/>
      <c r="AT197" s="310"/>
      <c r="AU197" s="340"/>
      <c r="AV197" s="310"/>
      <c r="AW197" s="310"/>
      <c r="AX197" s="310"/>
      <c r="AY197" s="340"/>
      <c r="AZ197" s="310"/>
      <c r="BA197" s="310"/>
      <c r="BB197" s="310"/>
      <c r="BC197" s="340"/>
      <c r="BD197" s="310"/>
      <c r="BE197" s="310"/>
      <c r="BF197" s="310"/>
      <c r="BG197" s="340"/>
      <c r="BH197" s="310"/>
      <c r="BI197" s="310"/>
      <c r="BJ197" s="310"/>
      <c r="BK197" s="340"/>
      <c r="BL197" s="310"/>
      <c r="BM197" s="310"/>
      <c r="BN197" s="310"/>
      <c r="BO197" s="340"/>
      <c r="BP197" s="310"/>
      <c r="BQ197" s="310"/>
      <c r="BR197" s="310"/>
      <c r="BS197" s="340"/>
      <c r="BT197" s="310"/>
      <c r="BU197" s="310"/>
      <c r="BV197" s="310"/>
      <c r="BW197" s="310"/>
      <c r="BX197" s="310"/>
      <c r="BY197" s="310"/>
      <c r="BZ197" s="310"/>
      <c r="CA197" s="310"/>
      <c r="CB197" s="310"/>
      <c r="CC197" s="310"/>
      <c r="CD197" s="310"/>
      <c r="CE197" s="310"/>
      <c r="CF197" s="310"/>
      <c r="CG197" s="310"/>
      <c r="CH197" s="303"/>
      <c r="CI197" s="303"/>
      <c r="CJ197" s="303"/>
      <c r="CK197" s="303"/>
      <c r="CL197" s="303"/>
      <c r="CM197" s="303"/>
      <c r="CN197" s="303"/>
      <c r="CO197" s="303"/>
      <c r="CP197" s="303"/>
      <c r="CQ197" s="303"/>
      <c r="CR197" s="303"/>
      <c r="CS197" s="303"/>
      <c r="CT197" s="303"/>
      <c r="CU197" s="303"/>
      <c r="CV197" s="303"/>
      <c r="CW197" s="303"/>
      <c r="CX197" s="303"/>
      <c r="CY197" s="303"/>
      <c r="CZ197" s="303"/>
      <c r="DA197" s="303"/>
      <c r="DB197" s="303"/>
      <c r="DC197" s="303"/>
      <c r="DD197" s="303"/>
      <c r="DE197" s="303"/>
      <c r="DF197" s="303"/>
      <c r="DG197" s="303"/>
      <c r="DH197" s="303"/>
      <c r="DI197" s="303"/>
      <c r="DJ197" s="303"/>
      <c r="DK197" s="303"/>
      <c r="DL197" s="303"/>
      <c r="DM197" s="303"/>
      <c r="DN197" s="303"/>
      <c r="DO197" s="303"/>
      <c r="DP197" s="303"/>
    </row>
    <row r="198" spans="1:120">
      <c r="A198" s="261"/>
      <c r="B198" s="253" t="s">
        <v>808</v>
      </c>
      <c r="C198" s="253"/>
      <c r="D198" s="253"/>
      <c r="E198" s="253">
        <f>E212+E214</f>
        <v>41.23051282</v>
      </c>
      <c r="F198" s="253">
        <f t="shared" ref="F198:U198" si="363">F212+F214</f>
        <v>6.91700174</v>
      </c>
      <c r="G198" s="253">
        <f t="shared" si="363"/>
        <v>-47.44833718</v>
      </c>
      <c r="H198" s="253">
        <f t="shared" si="363"/>
        <v>28.96483658</v>
      </c>
      <c r="I198" s="253">
        <f t="shared" si="363"/>
        <v>-4.96511602</v>
      </c>
      <c r="J198" s="253">
        <f t="shared" si="363"/>
        <v>-124.46128472</v>
      </c>
      <c r="K198" s="253">
        <f t="shared" si="363"/>
        <v>-208.67150685</v>
      </c>
      <c r="L198" s="253">
        <f t="shared" si="363"/>
        <v>251.84784168</v>
      </c>
      <c r="M198" s="253">
        <f t="shared" si="363"/>
        <v>10.34104624</v>
      </c>
      <c r="N198" s="253">
        <f t="shared" si="363"/>
        <v>-136.20697905</v>
      </c>
      <c r="O198" s="253">
        <f t="shared" si="363"/>
        <v>-54.96491516</v>
      </c>
      <c r="P198" s="253">
        <f t="shared" si="363"/>
        <v>466.63421787</v>
      </c>
      <c r="Q198" s="253">
        <f t="shared" si="363"/>
        <v>691.67575242</v>
      </c>
      <c r="R198" s="253">
        <f t="shared" si="363"/>
        <v>-835.40786368</v>
      </c>
      <c r="S198" s="253">
        <f t="shared" si="363"/>
        <v>5708.178338499</v>
      </c>
      <c r="T198" s="253">
        <f t="shared" si="363"/>
        <v>9306.42099629634</v>
      </c>
      <c r="U198" s="253">
        <f t="shared" si="363"/>
        <v>26703.5210432442</v>
      </c>
      <c r="V198" s="253">
        <f t="shared" ref="V198" si="364">V212+V214</f>
        <v>22334.4527128631</v>
      </c>
      <c r="W198" s="303"/>
      <c r="X198" s="253"/>
      <c r="Y198" s="253"/>
      <c r="Z198" s="253"/>
      <c r="AA198" s="316"/>
      <c r="AB198" s="253"/>
      <c r="AC198" s="253"/>
      <c r="AD198" s="253"/>
      <c r="AE198" s="316"/>
      <c r="AF198" s="253"/>
      <c r="AG198" s="253"/>
      <c r="AH198" s="253"/>
      <c r="AI198" s="316"/>
      <c r="AJ198" s="253"/>
      <c r="AK198" s="253"/>
      <c r="AL198" s="253"/>
      <c r="AM198" s="316"/>
      <c r="AN198" s="253"/>
      <c r="AO198" s="253"/>
      <c r="AP198" s="253"/>
      <c r="AQ198" s="337"/>
      <c r="AR198" s="303"/>
      <c r="AS198" s="303"/>
      <c r="CH198" s="303"/>
      <c r="CI198" s="303"/>
      <c r="CJ198" s="303"/>
      <c r="CK198" s="303"/>
      <c r="CL198" s="303"/>
      <c r="CM198" s="303"/>
      <c r="CN198" s="303"/>
      <c r="CO198" s="303"/>
      <c r="CP198" s="303"/>
      <c r="CQ198" s="303"/>
      <c r="CR198" s="303"/>
      <c r="CS198" s="303"/>
      <c r="CT198" s="303"/>
      <c r="CU198" s="303"/>
      <c r="CV198" s="303"/>
      <c r="CW198" s="303"/>
      <c r="CX198" s="303"/>
      <c r="CY198" s="303"/>
      <c r="CZ198" s="303"/>
      <c r="DA198" s="303"/>
      <c r="DB198" s="303"/>
      <c r="DC198" s="303"/>
      <c r="DD198" s="303"/>
      <c r="DE198" s="303"/>
      <c r="DF198" s="303"/>
      <c r="DG198" s="303"/>
      <c r="DH198" s="303"/>
      <c r="DI198" s="303"/>
      <c r="DJ198" s="303"/>
      <c r="DK198" s="303"/>
      <c r="DL198" s="303"/>
      <c r="DM198" s="303"/>
      <c r="DN198" s="303"/>
      <c r="DO198" s="303"/>
      <c r="DP198" s="303"/>
    </row>
    <row r="199" spans="1:120">
      <c r="A199" s="261"/>
      <c r="B199" s="253"/>
      <c r="C199" s="253"/>
      <c r="D199" s="253"/>
      <c r="E199" s="253"/>
      <c r="F199" s="253"/>
      <c r="G199" s="253"/>
      <c r="H199" s="253"/>
      <c r="I199" s="253"/>
      <c r="J199" s="253"/>
      <c r="K199" s="253"/>
      <c r="L199" s="253"/>
      <c r="M199" s="253"/>
      <c r="N199" s="253"/>
      <c r="O199" s="253"/>
      <c r="P199" s="253"/>
      <c r="Q199" s="253"/>
      <c r="R199" s="253"/>
      <c r="S199" s="253"/>
      <c r="T199" s="253"/>
      <c r="U199" s="253"/>
      <c r="V199" s="253"/>
      <c r="W199" s="303"/>
      <c r="X199" s="253"/>
      <c r="Y199" s="253"/>
      <c r="Z199" s="253"/>
      <c r="AA199" s="316"/>
      <c r="AB199" s="253"/>
      <c r="AC199" s="253"/>
      <c r="AD199" s="253"/>
      <c r="AE199" s="316"/>
      <c r="AF199" s="253"/>
      <c r="AG199" s="253"/>
      <c r="AH199" s="253"/>
      <c r="AI199" s="316"/>
      <c r="AJ199" s="253"/>
      <c r="AK199" s="253"/>
      <c r="AL199" s="253"/>
      <c r="AM199" s="316"/>
      <c r="AN199" s="253"/>
      <c r="AO199" s="253"/>
      <c r="AP199" s="253"/>
      <c r="AQ199" s="337"/>
      <c r="AR199" s="303"/>
      <c r="AS199" s="303"/>
      <c r="CH199" s="303"/>
      <c r="CI199" s="303"/>
      <c r="CJ199" s="303"/>
      <c r="CK199" s="303"/>
      <c r="CL199" s="303"/>
      <c r="CM199" s="303"/>
      <c r="CN199" s="303"/>
      <c r="CO199" s="303"/>
      <c r="CP199" s="303"/>
      <c r="CQ199" s="303"/>
      <c r="CR199" s="303"/>
      <c r="CS199" s="303"/>
      <c r="CT199" s="303"/>
      <c r="CU199" s="303"/>
      <c r="CV199" s="303"/>
      <c r="CW199" s="303"/>
      <c r="CX199" s="303"/>
      <c r="CY199" s="303"/>
      <c r="CZ199" s="303"/>
      <c r="DA199" s="303"/>
      <c r="DB199" s="303"/>
      <c r="DC199" s="303"/>
      <c r="DD199" s="303"/>
      <c r="DE199" s="303"/>
      <c r="DF199" s="303"/>
      <c r="DG199" s="303"/>
      <c r="DH199" s="303"/>
      <c r="DI199" s="303"/>
      <c r="DJ199" s="303"/>
      <c r="DK199" s="303"/>
      <c r="DL199" s="303"/>
      <c r="DM199" s="303"/>
      <c r="DN199" s="303"/>
      <c r="DO199" s="303"/>
      <c r="DP199" s="303"/>
    </row>
    <row r="200" spans="1:120">
      <c r="A200" s="248"/>
      <c r="B200" s="245" t="s">
        <v>809</v>
      </c>
      <c r="C200" s="247"/>
      <c r="D200" s="247"/>
      <c r="E200" s="247">
        <f t="shared" ref="E200:V200" si="365">E4</f>
        <v>2011</v>
      </c>
      <c r="F200" s="247">
        <f t="shared" si="365"/>
        <v>2012</v>
      </c>
      <c r="G200" s="247">
        <f t="shared" si="365"/>
        <v>2013</v>
      </c>
      <c r="H200" s="247">
        <f t="shared" si="365"/>
        <v>2014</v>
      </c>
      <c r="I200" s="247">
        <f t="shared" si="365"/>
        <v>2015</v>
      </c>
      <c r="J200" s="247">
        <f t="shared" si="365"/>
        <v>2016</v>
      </c>
      <c r="K200" s="247">
        <f t="shared" si="365"/>
        <v>2017</v>
      </c>
      <c r="L200" s="247">
        <f t="shared" si="365"/>
        <v>2018</v>
      </c>
      <c r="M200" s="247">
        <f t="shared" si="365"/>
        <v>2019</v>
      </c>
      <c r="N200" s="247">
        <f t="shared" si="365"/>
        <v>2020</v>
      </c>
      <c r="O200" s="247">
        <f t="shared" si="365"/>
        <v>2021</v>
      </c>
      <c r="P200" s="247">
        <f t="shared" si="365"/>
        <v>2022</v>
      </c>
      <c r="Q200" s="247">
        <f t="shared" si="365"/>
        <v>2023</v>
      </c>
      <c r="R200" s="247">
        <f t="shared" si="365"/>
        <v>2024</v>
      </c>
      <c r="S200" s="247">
        <f t="shared" si="365"/>
        <v>2025</v>
      </c>
      <c r="T200" s="296">
        <f t="shared" si="365"/>
        <v>2026</v>
      </c>
      <c r="U200" s="296">
        <f t="shared" si="365"/>
        <v>2027</v>
      </c>
      <c r="V200" s="296">
        <f t="shared" si="365"/>
        <v>2028</v>
      </c>
      <c r="W200" s="300"/>
      <c r="X200" s="301"/>
      <c r="Y200" s="301"/>
      <c r="Z200" s="301"/>
      <c r="AA200" s="425"/>
      <c r="AB200" s="301"/>
      <c r="AC200" s="301"/>
      <c r="AD200" s="301"/>
      <c r="AE200" s="425"/>
      <c r="AF200" s="301"/>
      <c r="AG200" s="301"/>
      <c r="AH200" s="301"/>
      <c r="AI200" s="425"/>
      <c r="AJ200" s="301"/>
      <c r="AK200" s="301"/>
      <c r="AL200" s="301"/>
      <c r="AM200" s="425"/>
      <c r="AN200" s="301"/>
      <c r="AO200" s="301"/>
      <c r="AP200" s="301"/>
      <c r="AQ200" s="436"/>
      <c r="AR200" s="383"/>
      <c r="AS200" s="383"/>
      <c r="AT200" s="383"/>
      <c r="AU200" s="436"/>
      <c r="AV200" s="383"/>
      <c r="AW200" s="383"/>
      <c r="AX200" s="383"/>
      <c r="AY200" s="436"/>
      <c r="AZ200" s="383"/>
      <c r="BA200" s="383"/>
      <c r="BB200" s="383"/>
      <c r="BC200" s="436"/>
      <c r="BD200" s="383"/>
      <c r="BE200" s="383"/>
      <c r="BF200" s="383"/>
      <c r="BG200" s="436"/>
      <c r="BH200" s="383"/>
      <c r="BI200" s="383"/>
      <c r="BJ200" s="383"/>
      <c r="BK200" s="436"/>
      <c r="BL200" s="383"/>
      <c r="BM200" s="383"/>
      <c r="BN200" s="383"/>
      <c r="BO200" s="436"/>
      <c r="BP200" s="383"/>
      <c r="BQ200" s="383"/>
      <c r="BR200" s="383"/>
      <c r="BS200" s="436"/>
      <c r="BT200" s="383"/>
      <c r="BU200" s="383"/>
      <c r="BV200" s="383"/>
      <c r="BW200" s="383"/>
      <c r="BX200" s="383"/>
      <c r="BY200" s="383"/>
      <c r="BZ200" s="383"/>
      <c r="CA200" s="383"/>
      <c r="CB200" s="383"/>
      <c r="CC200" s="383"/>
      <c r="CD200" s="383"/>
      <c r="CE200" s="383"/>
      <c r="CF200" s="383"/>
      <c r="CG200" s="383"/>
      <c r="CH200" s="283"/>
      <c r="CI200" s="283"/>
      <c r="CJ200" s="283"/>
      <c r="CK200" s="283"/>
      <c r="CL200" s="283"/>
      <c r="CM200" s="283"/>
      <c r="CN200" s="283"/>
      <c r="CO200" s="283"/>
      <c r="CP200" s="283"/>
      <c r="CQ200" s="283"/>
      <c r="CR200" s="283"/>
      <c r="CS200" s="283"/>
      <c r="CT200" s="283"/>
      <c r="CU200" s="301"/>
      <c r="CV200" s="301"/>
      <c r="CW200" s="301"/>
      <c r="CX200" s="301"/>
      <c r="CY200" s="301"/>
      <c r="CZ200" s="301"/>
      <c r="DA200" s="301"/>
      <c r="DB200" s="301"/>
      <c r="DC200" s="301"/>
      <c r="DD200" s="301"/>
      <c r="DE200" s="301"/>
      <c r="DF200" s="301"/>
      <c r="DG200" s="301"/>
      <c r="DH200" s="301"/>
      <c r="DI200" s="301"/>
      <c r="DJ200" s="301"/>
      <c r="DK200" s="301"/>
      <c r="DL200" s="301"/>
      <c r="DM200" s="301"/>
      <c r="DN200" s="301"/>
      <c r="DO200" s="301"/>
      <c r="DP200" s="301"/>
    </row>
    <row r="201" spans="1:120">
      <c r="A201" s="261"/>
      <c r="B201" s="281"/>
      <c r="C201" s="253"/>
      <c r="D201" s="253"/>
      <c r="E201" s="253"/>
      <c r="F201" s="253"/>
      <c r="G201" s="253"/>
      <c r="H201" s="253"/>
      <c r="I201" s="253"/>
      <c r="J201" s="253"/>
      <c r="K201" s="253"/>
      <c r="L201" s="253"/>
      <c r="M201" s="253"/>
      <c r="N201" s="253"/>
      <c r="O201" s="253"/>
      <c r="P201" s="253"/>
      <c r="Q201" s="253"/>
      <c r="R201" s="253"/>
      <c r="S201" s="253"/>
      <c r="T201" s="253"/>
      <c r="U201" s="253"/>
      <c r="V201" s="253"/>
      <c r="W201" s="303"/>
      <c r="X201" s="253"/>
      <c r="Y201" s="253"/>
      <c r="Z201" s="253"/>
      <c r="AA201" s="316"/>
      <c r="AB201" s="253"/>
      <c r="AC201" s="253"/>
      <c r="AD201" s="253"/>
      <c r="AE201" s="316"/>
      <c r="AF201" s="253"/>
      <c r="AG201" s="253"/>
      <c r="AH201" s="253"/>
      <c r="AI201" s="316"/>
      <c r="AJ201" s="253"/>
      <c r="AK201" s="253"/>
      <c r="AL201" s="253"/>
      <c r="AM201" s="316"/>
      <c r="AN201" s="253"/>
      <c r="AO201" s="253"/>
      <c r="AP201" s="253"/>
      <c r="AQ201" s="337"/>
      <c r="AR201" s="303"/>
      <c r="AS201" s="303"/>
      <c r="AT201" s="310"/>
      <c r="AU201" s="340"/>
      <c r="AV201" s="310"/>
      <c r="AW201" s="310"/>
      <c r="AX201" s="310"/>
      <c r="AY201" s="340"/>
      <c r="AZ201" s="310"/>
      <c r="BA201" s="310"/>
      <c r="BB201" s="310"/>
      <c r="BC201" s="340"/>
      <c r="BD201" s="310"/>
      <c r="BE201" s="310"/>
      <c r="BF201" s="310"/>
      <c r="BG201" s="340"/>
      <c r="BH201" s="310"/>
      <c r="BI201" s="310"/>
      <c r="BJ201" s="310"/>
      <c r="BK201" s="340"/>
      <c r="BL201" s="310"/>
      <c r="BM201" s="310"/>
      <c r="BN201" s="310"/>
      <c r="BO201" s="340"/>
      <c r="BP201" s="310"/>
      <c r="BQ201" s="310"/>
      <c r="BR201" s="310"/>
      <c r="BS201" s="340"/>
      <c r="BT201" s="310"/>
      <c r="BU201" s="310"/>
      <c r="BV201" s="310"/>
      <c r="BW201" s="310"/>
      <c r="BX201" s="310"/>
      <c r="BY201" s="310"/>
      <c r="BZ201" s="310"/>
      <c r="CA201" s="310"/>
      <c r="CB201" s="310"/>
      <c r="CC201" s="310"/>
      <c r="CD201" s="310"/>
      <c r="CE201" s="310"/>
      <c r="CF201" s="310"/>
      <c r="CG201" s="310"/>
      <c r="CH201" s="303"/>
      <c r="CI201" s="303"/>
      <c r="CJ201" s="303"/>
      <c r="CK201" s="303"/>
      <c r="CL201" s="303"/>
      <c r="CM201" s="303"/>
      <c r="CN201" s="303"/>
      <c r="CO201" s="303"/>
      <c r="CP201" s="303"/>
      <c r="CQ201" s="303"/>
      <c r="CR201" s="303"/>
      <c r="CS201" s="303"/>
      <c r="CT201" s="303"/>
      <c r="CU201" s="303"/>
      <c r="CV201" s="303"/>
      <c r="CW201" s="303"/>
      <c r="CX201" s="303"/>
      <c r="CY201" s="303"/>
      <c r="CZ201" s="303"/>
      <c r="DA201" s="303"/>
      <c r="DB201" s="303"/>
      <c r="DC201" s="303"/>
      <c r="DD201" s="303"/>
      <c r="DE201" s="303"/>
      <c r="DF201" s="303"/>
      <c r="DG201" s="303"/>
      <c r="DH201" s="303"/>
      <c r="DI201" s="303"/>
      <c r="DJ201" s="303"/>
      <c r="DK201" s="303"/>
      <c r="DL201" s="303"/>
      <c r="DM201" s="303"/>
      <c r="DN201" s="303"/>
      <c r="DO201" s="303"/>
      <c r="DP201" s="303"/>
    </row>
    <row r="202" spans="1:120">
      <c r="A202" s="265"/>
      <c r="B202" s="251" t="s">
        <v>810</v>
      </c>
      <c r="C202" s="251"/>
      <c r="D202" s="251"/>
      <c r="E202" s="251">
        <f t="shared" ref="E202:V202" si="366">+E40-E38</f>
        <v>52.57478492</v>
      </c>
      <c r="F202" s="251">
        <f t="shared" si="366"/>
        <v>65.74770788</v>
      </c>
      <c r="G202" s="251">
        <f t="shared" si="366"/>
        <v>79.35876729</v>
      </c>
      <c r="H202" s="251">
        <f t="shared" si="366"/>
        <v>92.39853472</v>
      </c>
      <c r="I202" s="251">
        <f t="shared" si="366"/>
        <v>94.45032809</v>
      </c>
      <c r="J202" s="251">
        <f t="shared" si="366"/>
        <v>105.28678316</v>
      </c>
      <c r="K202" s="251">
        <f t="shared" si="366"/>
        <v>111.09090564</v>
      </c>
      <c r="L202" s="251">
        <f t="shared" si="366"/>
        <v>31.83233359</v>
      </c>
      <c r="M202" s="251">
        <f t="shared" si="366"/>
        <v>212.85655651</v>
      </c>
      <c r="N202" s="251">
        <f t="shared" si="366"/>
        <v>491.75840347</v>
      </c>
      <c r="O202" s="251">
        <f t="shared" si="366"/>
        <v>661.92613905</v>
      </c>
      <c r="P202" s="251">
        <f t="shared" si="366"/>
        <v>903.58109081</v>
      </c>
      <c r="Q202" s="251">
        <f t="shared" si="366"/>
        <v>688.36109512</v>
      </c>
      <c r="R202" s="251">
        <f t="shared" si="366"/>
        <v>2837.81362437</v>
      </c>
      <c r="S202" s="251">
        <f t="shared" si="366"/>
        <v>9531.92273017</v>
      </c>
      <c r="T202" s="251">
        <f t="shared" si="366"/>
        <v>20682.8226425452</v>
      </c>
      <c r="U202" s="251">
        <f t="shared" si="366"/>
        <v>30079.6186649683</v>
      </c>
      <c r="V202" s="251">
        <f t="shared" si="366"/>
        <v>34575.553661925</v>
      </c>
      <c r="W202" s="303"/>
      <c r="X202" s="251"/>
      <c r="Y202" s="251"/>
      <c r="Z202" s="251"/>
      <c r="AA202" s="315"/>
      <c r="AB202" s="251"/>
      <c r="AC202" s="251"/>
      <c r="AD202" s="251"/>
      <c r="AE202" s="315"/>
      <c r="AF202" s="251"/>
      <c r="AG202" s="251"/>
      <c r="AH202" s="251"/>
      <c r="AI202" s="315"/>
      <c r="AJ202" s="251"/>
      <c r="AK202" s="251"/>
      <c r="AL202" s="251"/>
      <c r="AM202" s="315"/>
      <c r="AN202" s="251"/>
      <c r="AO202" s="251"/>
      <c r="AP202" s="251"/>
      <c r="AQ202" s="315"/>
      <c r="AR202" s="251"/>
      <c r="AS202" s="251"/>
      <c r="AT202" s="251"/>
      <c r="AU202" s="315"/>
      <c r="AV202" s="251"/>
      <c r="AW202" s="251"/>
      <c r="AX202" s="251"/>
      <c r="AY202" s="315"/>
      <c r="AZ202" s="251"/>
      <c r="BA202" s="251"/>
      <c r="BB202" s="251"/>
      <c r="BC202" s="315"/>
      <c r="BD202" s="251"/>
      <c r="BE202" s="251"/>
      <c r="BF202" s="251"/>
      <c r="BG202" s="315"/>
      <c r="BH202" s="251"/>
      <c r="BI202" s="251"/>
      <c r="BJ202" s="251"/>
      <c r="BK202" s="315"/>
      <c r="BL202" s="251"/>
      <c r="BM202" s="251"/>
      <c r="BN202" s="251"/>
      <c r="BO202" s="315"/>
      <c r="BP202" s="251"/>
      <c r="BQ202" s="251"/>
      <c r="BR202" s="251"/>
      <c r="BS202" s="315"/>
      <c r="BT202" s="251"/>
      <c r="BU202" s="251"/>
      <c r="BV202" s="251"/>
      <c r="BW202" s="251"/>
      <c r="BX202" s="251"/>
      <c r="BY202" s="251"/>
      <c r="BZ202" s="251"/>
      <c r="CA202" s="251"/>
      <c r="CB202" s="251"/>
      <c r="CC202" s="251"/>
      <c r="CD202" s="251"/>
      <c r="CE202" s="251"/>
      <c r="CF202" s="251"/>
      <c r="CG202" s="251"/>
      <c r="CH202" s="251"/>
      <c r="CI202" s="251"/>
      <c r="CJ202" s="251"/>
      <c r="CK202" s="251"/>
      <c r="CL202" s="251"/>
      <c r="CM202" s="251"/>
      <c r="CN202" s="251"/>
      <c r="CO202" s="251"/>
      <c r="CP202" s="251"/>
      <c r="CQ202" s="251"/>
      <c r="CR202" s="251"/>
      <c r="CS202" s="251"/>
      <c r="CT202" s="251"/>
      <c r="CU202" s="251"/>
      <c r="CV202" s="251"/>
      <c r="CW202" s="251"/>
      <c r="CX202" s="251"/>
      <c r="CY202" s="251"/>
      <c r="CZ202" s="251"/>
      <c r="DA202" s="251"/>
      <c r="DB202" s="251"/>
      <c r="DC202" s="251"/>
      <c r="DD202" s="251"/>
      <c r="DE202" s="251"/>
      <c r="DF202" s="251"/>
      <c r="DG202" s="251"/>
      <c r="DH202" s="251"/>
      <c r="DI202" s="251"/>
      <c r="DJ202" s="251"/>
      <c r="DK202" s="251"/>
      <c r="DL202" s="251"/>
      <c r="DM202" s="251"/>
      <c r="DN202" s="251"/>
      <c r="DO202" s="251"/>
      <c r="DP202" s="251"/>
    </row>
    <row r="203" spans="1:120">
      <c r="A203" s="265"/>
      <c r="B203" s="253" t="s">
        <v>240</v>
      </c>
      <c r="C203" s="253"/>
      <c r="D203" s="253"/>
      <c r="E203" s="253">
        <f t="shared" ref="E203:V203" si="367">E37</f>
        <v>0</v>
      </c>
      <c r="F203" s="253">
        <f t="shared" si="367"/>
        <v>0</v>
      </c>
      <c r="G203" s="253">
        <f t="shared" si="367"/>
        <v>0</v>
      </c>
      <c r="H203" s="253">
        <f t="shared" si="367"/>
        <v>0</v>
      </c>
      <c r="I203" s="253">
        <f t="shared" si="367"/>
        <v>0</v>
      </c>
      <c r="J203" s="253">
        <f t="shared" si="367"/>
        <v>0</v>
      </c>
      <c r="K203" s="253">
        <f t="shared" si="367"/>
        <v>0</v>
      </c>
      <c r="L203" s="253">
        <f t="shared" si="367"/>
        <v>0</v>
      </c>
      <c r="M203" s="253">
        <f t="shared" si="367"/>
        <v>0</v>
      </c>
      <c r="N203" s="253">
        <f t="shared" si="367"/>
        <v>0</v>
      </c>
      <c r="O203" s="253">
        <f t="shared" si="367"/>
        <v>0</v>
      </c>
      <c r="P203" s="253">
        <f t="shared" si="367"/>
        <v>-2.8421709430404e-14</v>
      </c>
      <c r="Q203" s="253">
        <f t="shared" si="367"/>
        <v>4.2632564145606e-14</v>
      </c>
      <c r="R203" s="253">
        <f t="shared" si="367"/>
        <v>-1.13686837721616e-13</v>
      </c>
      <c r="S203" s="253">
        <f t="shared" si="367"/>
        <v>21.353486980001</v>
      </c>
      <c r="T203" s="253">
        <f t="shared" si="367"/>
        <v>66.5650826000001</v>
      </c>
      <c r="U203" s="253">
        <f t="shared" si="367"/>
        <v>0</v>
      </c>
      <c r="V203" s="253">
        <f t="shared" si="367"/>
        <v>0</v>
      </c>
      <c r="W203" s="303"/>
      <c r="X203" s="253"/>
      <c r="Y203" s="253"/>
      <c r="Z203" s="253"/>
      <c r="AA203" s="316"/>
      <c r="AB203" s="253"/>
      <c r="AC203" s="253"/>
      <c r="AD203" s="253"/>
      <c r="AE203" s="316"/>
      <c r="AF203" s="253"/>
      <c r="AG203" s="253"/>
      <c r="AH203" s="253"/>
      <c r="AI203" s="316"/>
      <c r="AJ203" s="253"/>
      <c r="AK203" s="253"/>
      <c r="AL203" s="253"/>
      <c r="AM203" s="316"/>
      <c r="AN203" s="253"/>
      <c r="AO203" s="253"/>
      <c r="AP203" s="253"/>
      <c r="AQ203" s="316"/>
      <c r="AR203" s="253"/>
      <c r="AS203" s="253"/>
      <c r="AT203" s="253"/>
      <c r="AU203" s="316"/>
      <c r="AV203" s="253"/>
      <c r="AW203" s="253"/>
      <c r="AX203" s="253"/>
      <c r="AY203" s="316"/>
      <c r="AZ203" s="253"/>
      <c r="BA203" s="253"/>
      <c r="BB203" s="253"/>
      <c r="BC203" s="316"/>
      <c r="BD203" s="253"/>
      <c r="BE203" s="253"/>
      <c r="BF203" s="253"/>
      <c r="BG203" s="316"/>
      <c r="BH203" s="253"/>
      <c r="BI203" s="253"/>
      <c r="BJ203" s="253"/>
      <c r="BK203" s="316"/>
      <c r="BL203" s="253"/>
      <c r="BM203" s="253"/>
      <c r="BN203" s="253"/>
      <c r="BO203" s="316"/>
      <c r="BP203" s="253"/>
      <c r="BQ203" s="253"/>
      <c r="BR203" s="253"/>
      <c r="BS203" s="316"/>
      <c r="BT203" s="253"/>
      <c r="BU203" s="253"/>
      <c r="BV203" s="253"/>
      <c r="BW203" s="253"/>
      <c r="BX203" s="253"/>
      <c r="BY203" s="253"/>
      <c r="BZ203" s="253"/>
      <c r="CA203" s="253"/>
      <c r="CB203" s="253"/>
      <c r="CC203" s="253"/>
      <c r="CD203" s="253"/>
      <c r="CE203" s="253"/>
      <c r="CF203" s="253"/>
      <c r="CG203" s="253"/>
      <c r="CH203" s="253"/>
      <c r="CI203" s="253"/>
      <c r="CJ203" s="253"/>
      <c r="CK203" s="253"/>
      <c r="CL203" s="253"/>
      <c r="CM203" s="253"/>
      <c r="CN203" s="253"/>
      <c r="CO203" s="253"/>
      <c r="CP203" s="253"/>
      <c r="CQ203" s="253"/>
      <c r="CR203" s="253"/>
      <c r="CS203" s="253"/>
      <c r="CT203" s="253"/>
      <c r="CU203" s="253"/>
      <c r="CV203" s="253"/>
      <c r="CW203" s="253"/>
      <c r="CX203" s="253"/>
      <c r="CY203" s="253"/>
      <c r="CZ203" s="253"/>
      <c r="DA203" s="253"/>
      <c r="DB203" s="253"/>
      <c r="DC203" s="253"/>
      <c r="DD203" s="253"/>
      <c r="DE203" s="253"/>
      <c r="DF203" s="253"/>
      <c r="DG203" s="253"/>
      <c r="DH203" s="253"/>
      <c r="DI203" s="253"/>
      <c r="DJ203" s="253"/>
      <c r="DK203" s="253"/>
      <c r="DL203" s="253"/>
      <c r="DM203" s="253"/>
      <c r="DN203" s="253"/>
      <c r="DO203" s="253"/>
      <c r="DP203" s="253"/>
    </row>
    <row r="204" spans="1:120">
      <c r="A204" s="250"/>
      <c r="B204" s="253" t="s">
        <v>811</v>
      </c>
      <c r="C204" s="253"/>
      <c r="D204" s="253"/>
      <c r="E204" s="253">
        <f t="shared" ref="E204:R204" si="368">+E44+E45</f>
        <v>2.9175</v>
      </c>
      <c r="F204" s="253">
        <f t="shared" si="368"/>
        <v>2.9064</v>
      </c>
      <c r="G204" s="253">
        <f t="shared" si="368"/>
        <v>5.50021094</v>
      </c>
      <c r="H204" s="253">
        <f t="shared" si="368"/>
        <v>12.38681616</v>
      </c>
      <c r="I204" s="253">
        <f t="shared" si="368"/>
        <v>15.64758284</v>
      </c>
      <c r="J204" s="253">
        <f t="shared" si="368"/>
        <v>24.31253567</v>
      </c>
      <c r="K204" s="253">
        <f t="shared" si="368"/>
        <v>47.28339034</v>
      </c>
      <c r="L204" s="253">
        <f t="shared" si="368"/>
        <v>53.90864989</v>
      </c>
      <c r="M204" s="253">
        <f t="shared" si="368"/>
        <v>34.85150012</v>
      </c>
      <c r="N204" s="253">
        <f t="shared" si="368"/>
        <v>50.00692889</v>
      </c>
      <c r="O204" s="253">
        <f t="shared" si="368"/>
        <v>72.24289647</v>
      </c>
      <c r="P204" s="253">
        <f t="shared" si="368"/>
        <v>96.98949624</v>
      </c>
      <c r="Q204" s="253">
        <f t="shared" si="368"/>
        <v>126.17239788</v>
      </c>
      <c r="R204" s="253">
        <f t="shared" si="368"/>
        <v>210.4841945304</v>
      </c>
      <c r="S204" s="253">
        <f t="shared" ref="S204:V204" si="369">S44+S45</f>
        <v>387.703728592544</v>
      </c>
      <c r="T204" s="253">
        <f t="shared" si="369"/>
        <v>612.453090339728</v>
      </c>
      <c r="U204" s="253">
        <f t="shared" si="369"/>
        <v>847.591724004827</v>
      </c>
      <c r="V204" s="253">
        <f t="shared" si="369"/>
        <v>1033.76684564118</v>
      </c>
      <c r="W204" s="303"/>
      <c r="X204" s="253"/>
      <c r="Y204" s="253"/>
      <c r="Z204" s="253"/>
      <c r="AA204" s="316"/>
      <c r="AB204" s="253"/>
      <c r="AC204" s="253"/>
      <c r="AD204" s="253"/>
      <c r="AE204" s="316"/>
      <c r="AF204" s="253"/>
      <c r="AG204" s="253"/>
      <c r="AH204" s="253"/>
      <c r="AI204" s="316"/>
      <c r="AJ204" s="253"/>
      <c r="AK204" s="253"/>
      <c r="AL204" s="253"/>
      <c r="AM204" s="316"/>
      <c r="AN204" s="253"/>
      <c r="AO204" s="253"/>
      <c r="AP204" s="253"/>
      <c r="AQ204" s="316"/>
      <c r="AR204" s="253"/>
      <c r="AS204" s="253"/>
      <c r="AT204" s="253"/>
      <c r="AU204" s="316"/>
      <c r="AV204" s="253"/>
      <c r="AW204" s="253"/>
      <c r="AX204" s="253"/>
      <c r="AY204" s="316"/>
      <c r="AZ204" s="253"/>
      <c r="BA204" s="253"/>
      <c r="BB204" s="253"/>
      <c r="BC204" s="316"/>
      <c r="BD204" s="253"/>
      <c r="BE204" s="253"/>
      <c r="BF204" s="253"/>
      <c r="BG204" s="316"/>
      <c r="BH204" s="253"/>
      <c r="BI204" s="253"/>
      <c r="BJ204" s="253"/>
      <c r="BK204" s="316"/>
      <c r="BL204" s="253"/>
      <c r="BM204" s="253"/>
      <c r="BN204" s="253"/>
      <c r="BO204" s="316"/>
      <c r="BP204" s="253"/>
      <c r="BQ204" s="253"/>
      <c r="BR204" s="253"/>
      <c r="BS204" s="316"/>
      <c r="BT204" s="253"/>
      <c r="BU204" s="253"/>
      <c r="BV204" s="253"/>
      <c r="BW204" s="253"/>
      <c r="BX204" s="253"/>
      <c r="BY204" s="253"/>
      <c r="BZ204" s="253"/>
      <c r="CA204" s="253"/>
      <c r="CB204" s="253"/>
      <c r="CC204" s="253"/>
      <c r="CD204" s="253"/>
      <c r="CE204" s="253"/>
      <c r="CF204" s="253"/>
      <c r="CG204" s="253"/>
      <c r="CH204" s="253"/>
      <c r="CI204" s="253"/>
      <c r="CJ204" s="253"/>
      <c r="CK204" s="253"/>
      <c r="CL204" s="253"/>
      <c r="CM204" s="253"/>
      <c r="CN204" s="253"/>
      <c r="CO204" s="253"/>
      <c r="CP204" s="253"/>
      <c r="CQ204" s="253"/>
      <c r="CR204" s="253"/>
      <c r="CS204" s="253"/>
      <c r="CT204" s="253"/>
      <c r="CU204" s="253"/>
      <c r="CV204" s="253"/>
      <c r="CW204" s="253"/>
      <c r="CX204" s="253"/>
      <c r="CY204" s="253"/>
      <c r="CZ204" s="253"/>
      <c r="DA204" s="253"/>
      <c r="DB204" s="253"/>
      <c r="DC204" s="253"/>
      <c r="DD204" s="253"/>
      <c r="DE204" s="253"/>
      <c r="DF204" s="253"/>
      <c r="DG204" s="253"/>
      <c r="DH204" s="253"/>
      <c r="DI204" s="253"/>
      <c r="DJ204" s="253"/>
      <c r="DK204" s="253"/>
      <c r="DL204" s="253"/>
      <c r="DM204" s="253"/>
      <c r="DN204" s="253"/>
      <c r="DO204" s="253"/>
      <c r="DP204" s="253"/>
    </row>
    <row r="205" spans="1:120">
      <c r="A205" s="250"/>
      <c r="B205" s="536" t="s">
        <v>812</v>
      </c>
      <c r="C205" s="253"/>
      <c r="D205" s="253"/>
      <c r="E205" s="253">
        <f t="shared" ref="E205:J205" si="370">+E29+E30</f>
        <v>0</v>
      </c>
      <c r="F205" s="253">
        <f t="shared" si="370"/>
        <v>0</v>
      </c>
      <c r="G205" s="253">
        <f t="shared" si="370"/>
        <v>0</v>
      </c>
      <c r="H205" s="253">
        <f t="shared" si="370"/>
        <v>0</v>
      </c>
      <c r="I205" s="253">
        <f t="shared" si="370"/>
        <v>0</v>
      </c>
      <c r="J205" s="253">
        <f t="shared" si="370"/>
        <v>0</v>
      </c>
      <c r="K205" s="253">
        <f t="shared" ref="K205:R205" si="371">+K29+K30+K9</f>
        <v>0</v>
      </c>
      <c r="L205" s="253">
        <f t="shared" si="371"/>
        <v>-3.1526989</v>
      </c>
      <c r="M205" s="253">
        <f t="shared" si="371"/>
        <v>-1.31658562</v>
      </c>
      <c r="N205" s="253">
        <f t="shared" si="371"/>
        <v>0.28141801</v>
      </c>
      <c r="O205" s="253">
        <f t="shared" si="371"/>
        <v>-3.75628633</v>
      </c>
      <c r="P205" s="253">
        <f t="shared" si="371"/>
        <v>-1.97634996</v>
      </c>
      <c r="Q205" s="253">
        <f t="shared" si="371"/>
        <v>2</v>
      </c>
      <c r="R205" s="253">
        <f t="shared" si="371"/>
        <v>10</v>
      </c>
      <c r="S205" s="253">
        <v>0</v>
      </c>
      <c r="T205" s="298">
        <v>0</v>
      </c>
      <c r="U205" s="298">
        <v>0</v>
      </c>
      <c r="V205" s="298">
        <v>0</v>
      </c>
      <c r="W205" s="303"/>
      <c r="X205" s="253"/>
      <c r="Y205" s="253"/>
      <c r="Z205" s="253"/>
      <c r="AA205" s="316"/>
      <c r="AB205" s="253"/>
      <c r="AC205" s="253"/>
      <c r="AD205" s="253"/>
      <c r="AE205" s="316"/>
      <c r="AF205" s="253"/>
      <c r="AG205" s="253"/>
      <c r="AH205" s="253"/>
      <c r="AI205" s="316"/>
      <c r="AJ205" s="253"/>
      <c r="AK205" s="253"/>
      <c r="AL205" s="253"/>
      <c r="AM205" s="316"/>
      <c r="AN205" s="253"/>
      <c r="AO205" s="253"/>
      <c r="AP205" s="253"/>
      <c r="AQ205" s="316"/>
      <c r="AR205" s="253"/>
      <c r="AS205" s="253"/>
      <c r="AT205" s="253"/>
      <c r="AU205" s="316"/>
      <c r="AV205" s="253"/>
      <c r="AW205" s="253"/>
      <c r="AX205" s="253"/>
      <c r="AY205" s="316"/>
      <c r="AZ205" s="253"/>
      <c r="BA205" s="253"/>
      <c r="BB205" s="253"/>
      <c r="BC205" s="316"/>
      <c r="BD205" s="253"/>
      <c r="BE205" s="253"/>
      <c r="BF205" s="253"/>
      <c r="BG205" s="316"/>
      <c r="BH205" s="253"/>
      <c r="BI205" s="253"/>
      <c r="BJ205" s="253"/>
      <c r="BK205" s="316"/>
      <c r="BL205" s="253"/>
      <c r="BM205" s="253"/>
      <c r="BN205" s="253"/>
      <c r="BO205" s="316"/>
      <c r="BP205" s="253"/>
      <c r="BQ205" s="253"/>
      <c r="BR205" s="253"/>
      <c r="BS205" s="316"/>
      <c r="BT205" s="253"/>
      <c r="BU205" s="253"/>
      <c r="BV205" s="253"/>
      <c r="BW205" s="253"/>
      <c r="BX205" s="253"/>
      <c r="BY205" s="253"/>
      <c r="BZ205" s="253"/>
      <c r="CA205" s="253"/>
      <c r="CB205" s="253"/>
      <c r="CC205" s="253"/>
      <c r="CD205" s="253"/>
      <c r="CE205" s="253"/>
      <c r="CF205" s="253"/>
      <c r="CG205" s="253"/>
      <c r="CH205" s="253"/>
      <c r="CI205" s="253"/>
      <c r="CJ205" s="253"/>
      <c r="CK205" s="253"/>
      <c r="CL205" s="253"/>
      <c r="CM205" s="253"/>
      <c r="CN205" s="253"/>
      <c r="CO205" s="253"/>
      <c r="CP205" s="253"/>
      <c r="CQ205" s="253"/>
      <c r="CR205" s="253"/>
      <c r="CS205" s="253"/>
      <c r="CT205" s="253"/>
      <c r="CU205" s="253"/>
      <c r="CV205" s="253"/>
      <c r="CW205" s="253"/>
      <c r="CX205" s="253"/>
      <c r="CY205" s="253"/>
      <c r="CZ205" s="253"/>
      <c r="DA205" s="253"/>
      <c r="DB205" s="253"/>
      <c r="DC205" s="253"/>
      <c r="DD205" s="253"/>
      <c r="DE205" s="253"/>
      <c r="DF205" s="253"/>
      <c r="DG205" s="253"/>
      <c r="DH205" s="253"/>
      <c r="DI205" s="253"/>
      <c r="DJ205" s="253"/>
      <c r="DK205" s="253"/>
      <c r="DL205" s="253"/>
      <c r="DM205" s="253"/>
      <c r="DN205" s="253"/>
      <c r="DO205" s="253"/>
      <c r="DP205" s="253"/>
    </row>
    <row r="206" spans="1:120">
      <c r="A206" s="250"/>
      <c r="B206" s="536" t="s">
        <v>813</v>
      </c>
      <c r="C206" s="253"/>
      <c r="D206" s="253"/>
      <c r="E206" s="253">
        <f t="shared" ref="E206:U206" si="372">+E27</f>
        <v>0</v>
      </c>
      <c r="F206" s="253">
        <f t="shared" si="372"/>
        <v>0</v>
      </c>
      <c r="G206" s="253">
        <f t="shared" si="372"/>
        <v>0</v>
      </c>
      <c r="H206" s="253">
        <f t="shared" si="372"/>
        <v>0</v>
      </c>
      <c r="I206" s="253">
        <f t="shared" si="372"/>
        <v>0</v>
      </c>
      <c r="J206" s="253">
        <f t="shared" si="372"/>
        <v>0</v>
      </c>
      <c r="K206" s="253">
        <f t="shared" si="372"/>
        <v>0.0014594</v>
      </c>
      <c r="L206" s="253">
        <f t="shared" si="372"/>
        <v>-0.00519486</v>
      </c>
      <c r="M206" s="253">
        <f t="shared" si="372"/>
        <v>-0.23568619</v>
      </c>
      <c r="N206" s="253">
        <f t="shared" si="372"/>
        <v>0</v>
      </c>
      <c r="O206" s="253">
        <f t="shared" si="372"/>
        <v>0</v>
      </c>
      <c r="P206" s="253">
        <f t="shared" si="372"/>
        <v>0</v>
      </c>
      <c r="Q206" s="253">
        <f t="shared" si="372"/>
        <v>0</v>
      </c>
      <c r="R206" s="253">
        <f t="shared" si="372"/>
        <v>0</v>
      </c>
      <c r="S206" s="253">
        <f t="shared" si="372"/>
        <v>0</v>
      </c>
      <c r="T206" s="253">
        <f t="shared" si="372"/>
        <v>0</v>
      </c>
      <c r="U206" s="253">
        <f t="shared" si="372"/>
        <v>0</v>
      </c>
      <c r="V206" s="253">
        <f t="shared" ref="V206" si="373">+V27</f>
        <v>0</v>
      </c>
      <c r="W206" s="303"/>
      <c r="X206" s="253"/>
      <c r="Y206" s="253"/>
      <c r="Z206" s="253"/>
      <c r="AA206" s="316"/>
      <c r="AB206" s="253"/>
      <c r="AC206" s="253"/>
      <c r="AD206" s="253"/>
      <c r="AE206" s="316"/>
      <c r="AF206" s="253"/>
      <c r="AG206" s="253"/>
      <c r="AH206" s="253"/>
      <c r="AI206" s="316"/>
      <c r="AJ206" s="253"/>
      <c r="AK206" s="253"/>
      <c r="AL206" s="253"/>
      <c r="AM206" s="316"/>
      <c r="AN206" s="253"/>
      <c r="AO206" s="253"/>
      <c r="AP206" s="253"/>
      <c r="AQ206" s="316"/>
      <c r="AR206" s="253"/>
      <c r="AS206" s="253"/>
      <c r="AT206" s="253"/>
      <c r="AU206" s="316"/>
      <c r="AV206" s="253"/>
      <c r="AW206" s="253"/>
      <c r="AX206" s="253"/>
      <c r="AY206" s="316"/>
      <c r="AZ206" s="253"/>
      <c r="BA206" s="253"/>
      <c r="BB206" s="253"/>
      <c r="BC206" s="316"/>
      <c r="BD206" s="253"/>
      <c r="BE206" s="253"/>
      <c r="BF206" s="253"/>
      <c r="BG206" s="316"/>
      <c r="BH206" s="253"/>
      <c r="BI206" s="253"/>
      <c r="BJ206" s="253"/>
      <c r="BK206" s="316"/>
      <c r="BL206" s="253"/>
      <c r="BM206" s="253"/>
      <c r="BN206" s="253"/>
      <c r="BO206" s="316"/>
      <c r="BP206" s="253"/>
      <c r="BQ206" s="253"/>
      <c r="BR206" s="253"/>
      <c r="BS206" s="316"/>
      <c r="BT206" s="253"/>
      <c r="BU206" s="253"/>
      <c r="BV206" s="253"/>
      <c r="BW206" s="253"/>
      <c r="BX206" s="253"/>
      <c r="BY206" s="253"/>
      <c r="BZ206" s="253"/>
      <c r="CA206" s="253"/>
      <c r="CB206" s="253"/>
      <c r="CC206" s="253"/>
      <c r="CD206" s="253"/>
      <c r="CE206" s="253"/>
      <c r="CF206" s="253"/>
      <c r="CG206" s="253"/>
      <c r="CH206" s="253"/>
      <c r="CI206" s="253"/>
      <c r="CJ206" s="253"/>
      <c r="CK206" s="253"/>
      <c r="CL206" s="253"/>
      <c r="CM206" s="253"/>
      <c r="CN206" s="253"/>
      <c r="CO206" s="253"/>
      <c r="CP206" s="253"/>
      <c r="CQ206" s="253"/>
      <c r="CR206" s="253"/>
      <c r="CS206" s="253"/>
      <c r="CT206" s="253"/>
      <c r="CU206" s="253"/>
      <c r="CV206" s="253"/>
      <c r="CW206" s="253"/>
      <c r="CX206" s="253"/>
      <c r="CY206" s="253"/>
      <c r="CZ206" s="253"/>
      <c r="DA206" s="253"/>
      <c r="DB206" s="253"/>
      <c r="DC206" s="253"/>
      <c r="DD206" s="253"/>
      <c r="DE206" s="253"/>
      <c r="DF206" s="253"/>
      <c r="DG206" s="253"/>
      <c r="DH206" s="253"/>
      <c r="DI206" s="253"/>
      <c r="DJ206" s="253"/>
      <c r="DK206" s="253"/>
      <c r="DL206" s="253"/>
      <c r="DM206" s="253"/>
      <c r="DN206" s="253"/>
      <c r="DO206" s="253"/>
      <c r="DP206" s="253"/>
    </row>
    <row r="207" spans="1:120">
      <c r="A207" s="250"/>
      <c r="B207" s="251" t="s">
        <v>814</v>
      </c>
      <c r="C207" s="253"/>
      <c r="D207" s="253"/>
      <c r="E207" s="253">
        <f t="shared" ref="E207:V207" si="374">E208+E209+E210</f>
        <v>-103.08629916</v>
      </c>
      <c r="F207" s="253">
        <f t="shared" si="374"/>
        <v>-17.03677139</v>
      </c>
      <c r="G207" s="253">
        <f t="shared" si="374"/>
        <v>-65.52367581</v>
      </c>
      <c r="H207" s="253">
        <f t="shared" si="374"/>
        <v>-55.47726004</v>
      </c>
      <c r="I207" s="253">
        <f t="shared" si="374"/>
        <v>-67.25716179</v>
      </c>
      <c r="J207" s="253">
        <f t="shared" si="374"/>
        <v>-123.55225005</v>
      </c>
      <c r="K207" s="253">
        <f t="shared" si="374"/>
        <v>-246.49031537</v>
      </c>
      <c r="L207" s="253">
        <f t="shared" si="374"/>
        <v>215.88284639</v>
      </c>
      <c r="M207" s="253">
        <f t="shared" si="374"/>
        <v>9.00458112000007</v>
      </c>
      <c r="N207" s="253">
        <f t="shared" si="374"/>
        <v>-318.92581952</v>
      </c>
      <c r="O207" s="253">
        <f t="shared" si="374"/>
        <v>-578.62813221</v>
      </c>
      <c r="P207" s="253">
        <f t="shared" si="374"/>
        <v>-208.37882439</v>
      </c>
      <c r="Q207" s="253">
        <f t="shared" si="374"/>
        <v>487.54890137</v>
      </c>
      <c r="R207" s="253">
        <f t="shared" si="374"/>
        <v>-2765.56673173</v>
      </c>
      <c r="S207" s="253">
        <f t="shared" si="374"/>
        <v>-2563.40083692</v>
      </c>
      <c r="T207" s="253">
        <f t="shared" si="374"/>
        <v>-9763.4050598124</v>
      </c>
      <c r="U207" s="253">
        <f t="shared" si="374"/>
        <v>-2046.27532432164</v>
      </c>
      <c r="V207" s="253">
        <f t="shared" si="374"/>
        <v>-11206.3244743661</v>
      </c>
      <c r="W207" s="303"/>
      <c r="X207" s="253"/>
      <c r="Y207" s="253"/>
      <c r="Z207" s="253"/>
      <c r="AA207" s="316"/>
      <c r="AB207" s="253"/>
      <c r="AC207" s="253"/>
      <c r="AD207" s="253"/>
      <c r="AE207" s="316"/>
      <c r="AF207" s="253"/>
      <c r="AG207" s="253"/>
      <c r="AH207" s="253"/>
      <c r="AI207" s="316"/>
      <c r="AJ207" s="253"/>
      <c r="AK207" s="253"/>
      <c r="AL207" s="253"/>
      <c r="AM207" s="316"/>
      <c r="AN207" s="253"/>
      <c r="AO207" s="253"/>
      <c r="AP207" s="253"/>
      <c r="AQ207" s="316"/>
      <c r="AR207" s="253"/>
      <c r="AS207" s="253"/>
      <c r="AT207" s="253"/>
      <c r="AU207" s="316"/>
      <c r="AV207" s="253"/>
      <c r="AW207" s="253"/>
      <c r="AX207" s="253"/>
      <c r="AY207" s="316"/>
      <c r="AZ207" s="253"/>
      <c r="BA207" s="253"/>
      <c r="BB207" s="253"/>
      <c r="BC207" s="316"/>
      <c r="BD207" s="253"/>
      <c r="BE207" s="253"/>
      <c r="BF207" s="253"/>
      <c r="BG207" s="316"/>
      <c r="BH207" s="253"/>
      <c r="BI207" s="253"/>
      <c r="BJ207" s="253"/>
      <c r="BK207" s="316"/>
      <c r="BL207" s="253"/>
      <c r="BM207" s="253"/>
      <c r="BN207" s="253"/>
      <c r="BO207" s="316"/>
      <c r="BP207" s="253"/>
      <c r="BQ207" s="253"/>
      <c r="BR207" s="253"/>
      <c r="BS207" s="316"/>
      <c r="BT207" s="253"/>
      <c r="BU207" s="253"/>
      <c r="BV207" s="253"/>
      <c r="BW207" s="253"/>
      <c r="BX207" s="253"/>
      <c r="BY207" s="253"/>
      <c r="BZ207" s="253"/>
      <c r="CA207" s="253"/>
      <c r="CB207" s="253"/>
      <c r="CC207" s="253"/>
      <c r="CD207" s="253"/>
      <c r="CE207" s="253"/>
      <c r="CF207" s="253"/>
      <c r="CG207" s="253"/>
      <c r="CH207" s="253"/>
      <c r="CI207" s="253"/>
      <c r="CJ207" s="253"/>
      <c r="CK207" s="253"/>
      <c r="CL207" s="253"/>
      <c r="CM207" s="253"/>
      <c r="CN207" s="253"/>
      <c r="CO207" s="253"/>
      <c r="CP207" s="253"/>
      <c r="CQ207" s="253"/>
      <c r="CR207" s="253"/>
      <c r="CS207" s="253"/>
      <c r="CT207" s="253"/>
      <c r="CU207" s="253"/>
      <c r="CV207" s="253"/>
      <c r="CW207" s="253"/>
      <c r="CX207" s="253"/>
      <c r="CY207" s="253"/>
      <c r="CZ207" s="253"/>
      <c r="DA207" s="253"/>
      <c r="DB207" s="253"/>
      <c r="DC207" s="253"/>
      <c r="DD207" s="253"/>
      <c r="DE207" s="253"/>
      <c r="DF207" s="253"/>
      <c r="DG207" s="253"/>
      <c r="DH207" s="253"/>
      <c r="DI207" s="253"/>
      <c r="DJ207" s="253"/>
      <c r="DK207" s="253"/>
      <c r="DL207" s="253"/>
      <c r="DM207" s="253"/>
      <c r="DN207" s="253"/>
      <c r="DO207" s="253"/>
      <c r="DP207" s="253"/>
    </row>
    <row r="208" spans="1:120">
      <c r="A208" s="250"/>
      <c r="B208" s="479" t="s">
        <v>145</v>
      </c>
      <c r="C208" s="274"/>
      <c r="D208" s="274"/>
      <c r="E208" s="274">
        <f t="shared" ref="E208:V209" si="375">D122-E122</f>
        <v>-85.10242322</v>
      </c>
      <c r="F208" s="274">
        <f t="shared" si="375"/>
        <v>-1.03847574999999</v>
      </c>
      <c r="G208" s="274">
        <f t="shared" si="375"/>
        <v>-59.92706915</v>
      </c>
      <c r="H208" s="274">
        <f t="shared" si="375"/>
        <v>-51.86773952</v>
      </c>
      <c r="I208" s="274">
        <f t="shared" si="375"/>
        <v>-24.9077305</v>
      </c>
      <c r="J208" s="274">
        <f t="shared" si="375"/>
        <v>-69.26983101</v>
      </c>
      <c r="K208" s="274">
        <f t="shared" si="375"/>
        <v>-132.02081436</v>
      </c>
      <c r="L208" s="274">
        <f t="shared" si="375"/>
        <v>93.30404825</v>
      </c>
      <c r="M208" s="274">
        <f t="shared" si="375"/>
        <v>18.90227055</v>
      </c>
      <c r="N208" s="274">
        <f t="shared" si="375"/>
        <v>-56.9458306500001</v>
      </c>
      <c r="O208" s="274">
        <f t="shared" si="375"/>
        <v>-208.33578456</v>
      </c>
      <c r="P208" s="274">
        <f t="shared" si="375"/>
        <v>-118.21871882</v>
      </c>
      <c r="Q208" s="274">
        <f t="shared" si="375"/>
        <v>-45.6990608000002</v>
      </c>
      <c r="R208" s="274">
        <f t="shared" si="375"/>
        <v>-1808.66201442</v>
      </c>
      <c r="S208" s="274">
        <f t="shared" si="375"/>
        <v>-1892.09336863</v>
      </c>
      <c r="T208" s="274">
        <f t="shared" si="375"/>
        <v>-7008.30462925432</v>
      </c>
      <c r="U208" s="274">
        <f t="shared" si="375"/>
        <v>-1951.4534920659</v>
      </c>
      <c r="V208" s="274">
        <f t="shared" si="375"/>
        <v>-4097.08186515831</v>
      </c>
      <c r="W208" s="303"/>
      <c r="X208" s="253"/>
      <c r="Y208" s="253"/>
      <c r="Z208" s="253"/>
      <c r="AA208" s="316"/>
      <c r="AB208" s="253"/>
      <c r="AC208" s="253"/>
      <c r="AD208" s="253"/>
      <c r="AE208" s="316"/>
      <c r="AF208" s="253"/>
      <c r="AG208" s="253"/>
      <c r="AH208" s="253"/>
      <c r="AI208" s="316"/>
      <c r="AJ208" s="253"/>
      <c r="AK208" s="253"/>
      <c r="AL208" s="253"/>
      <c r="AM208" s="316"/>
      <c r="AN208" s="253"/>
      <c r="AO208" s="253"/>
      <c r="AP208" s="253"/>
      <c r="AQ208" s="316"/>
      <c r="AR208" s="253"/>
      <c r="AS208" s="253"/>
      <c r="AT208" s="253"/>
      <c r="AU208" s="316"/>
      <c r="AV208" s="253"/>
      <c r="AW208" s="253"/>
      <c r="AX208" s="253"/>
      <c r="AY208" s="316"/>
      <c r="AZ208" s="253"/>
      <c r="BA208" s="253"/>
      <c r="BB208" s="253"/>
      <c r="BC208" s="316"/>
      <c r="BD208" s="253"/>
      <c r="BE208" s="253"/>
      <c r="BF208" s="253"/>
      <c r="BG208" s="316"/>
      <c r="BH208" s="253"/>
      <c r="BI208" s="253"/>
      <c r="BJ208" s="253"/>
      <c r="BK208" s="316"/>
      <c r="BL208" s="253"/>
      <c r="BM208" s="253"/>
      <c r="BN208" s="253"/>
      <c r="BO208" s="316"/>
      <c r="BP208" s="253"/>
      <c r="BQ208" s="253"/>
      <c r="BR208" s="253"/>
      <c r="BS208" s="316"/>
      <c r="BT208" s="253"/>
      <c r="BU208" s="253"/>
      <c r="BV208" s="253"/>
      <c r="BW208" s="253"/>
      <c r="BX208" s="253"/>
      <c r="BY208" s="253"/>
      <c r="BZ208" s="253"/>
      <c r="CA208" s="253"/>
      <c r="CB208" s="253"/>
      <c r="CC208" s="253"/>
      <c r="CD208" s="253"/>
      <c r="CE208" s="253"/>
      <c r="CF208" s="253"/>
      <c r="CG208" s="253"/>
      <c r="CH208" s="253"/>
      <c r="CI208" s="253"/>
      <c r="CJ208" s="253"/>
      <c r="CK208" s="253"/>
      <c r="CL208" s="253"/>
      <c r="CM208" s="253"/>
      <c r="CN208" s="253"/>
      <c r="CO208" s="253"/>
      <c r="CP208" s="253"/>
      <c r="CQ208" s="253"/>
      <c r="CR208" s="253"/>
      <c r="CS208" s="253"/>
      <c r="CT208" s="253"/>
      <c r="CU208" s="253"/>
      <c r="CV208" s="253"/>
      <c r="CW208" s="253"/>
      <c r="CX208" s="253"/>
      <c r="CY208" s="253"/>
      <c r="CZ208" s="253"/>
      <c r="DA208" s="253"/>
      <c r="DB208" s="253"/>
      <c r="DC208" s="253"/>
      <c r="DD208" s="253"/>
      <c r="DE208" s="253"/>
      <c r="DF208" s="253"/>
      <c r="DG208" s="253"/>
      <c r="DH208" s="253"/>
      <c r="DI208" s="253"/>
      <c r="DJ208" s="253"/>
      <c r="DK208" s="253"/>
      <c r="DL208" s="253"/>
      <c r="DM208" s="253"/>
      <c r="DN208" s="253"/>
      <c r="DO208" s="253"/>
      <c r="DP208" s="253"/>
    </row>
    <row r="209" spans="1:120">
      <c r="A209" s="250"/>
      <c r="B209" s="252" t="s">
        <v>147</v>
      </c>
      <c r="C209" s="253"/>
      <c r="D209" s="253"/>
      <c r="E209" s="253">
        <f t="shared" si="375"/>
        <v>-72.28068889</v>
      </c>
      <c r="F209" s="253">
        <f t="shared" si="375"/>
        <v>-8.21011317999998</v>
      </c>
      <c r="G209" s="253">
        <f t="shared" si="375"/>
        <v>-34.97192622</v>
      </c>
      <c r="H209" s="253">
        <f t="shared" si="375"/>
        <v>-9.37830719999999</v>
      </c>
      <c r="I209" s="253">
        <f t="shared" si="375"/>
        <v>-82.87621902</v>
      </c>
      <c r="J209" s="253">
        <f t="shared" si="375"/>
        <v>-75.9807627</v>
      </c>
      <c r="K209" s="253">
        <f t="shared" si="375"/>
        <v>-149.84054328</v>
      </c>
      <c r="L209" s="253">
        <f t="shared" si="375"/>
        <v>142.30083214</v>
      </c>
      <c r="M209" s="253">
        <f t="shared" si="375"/>
        <v>-60.90091641</v>
      </c>
      <c r="N209" s="253">
        <f t="shared" si="375"/>
        <v>-619.64701152</v>
      </c>
      <c r="O209" s="253">
        <f t="shared" si="375"/>
        <v>-554.39669219</v>
      </c>
      <c r="P209" s="253">
        <f t="shared" si="375"/>
        <v>56.9787605399999</v>
      </c>
      <c r="Q209" s="253">
        <f t="shared" si="375"/>
        <v>505.85538925</v>
      </c>
      <c r="R209" s="253">
        <f t="shared" si="375"/>
        <v>-3168.71904566</v>
      </c>
      <c r="S209" s="253">
        <f t="shared" si="375"/>
        <v>-3102.26622465</v>
      </c>
      <c r="T209" s="253">
        <f t="shared" si="375"/>
        <v>-8893.26457660377</v>
      </c>
      <c r="U209" s="253">
        <f t="shared" si="375"/>
        <v>-1084.04439943936</v>
      </c>
      <c r="V209" s="253">
        <f t="shared" si="375"/>
        <v>-3814.81784355333</v>
      </c>
      <c r="W209" s="303"/>
      <c r="X209" s="253"/>
      <c r="Y209" s="253"/>
      <c r="Z209" s="253"/>
      <c r="AA209" s="316"/>
      <c r="AB209" s="253"/>
      <c r="AC209" s="253"/>
      <c r="AD209" s="253"/>
      <c r="AE209" s="316"/>
      <c r="AF209" s="253"/>
      <c r="AG209" s="253"/>
      <c r="AH209" s="253"/>
      <c r="AI209" s="316"/>
      <c r="AJ209" s="253"/>
      <c r="AK209" s="253"/>
      <c r="AL209" s="253"/>
      <c r="AM209" s="316"/>
      <c r="AN209" s="253"/>
      <c r="AO209" s="253"/>
      <c r="AP209" s="253"/>
      <c r="AQ209" s="316"/>
      <c r="AR209" s="253"/>
      <c r="AS209" s="253"/>
      <c r="AT209" s="253"/>
      <c r="AU209" s="316"/>
      <c r="AV209" s="253"/>
      <c r="AW209" s="253"/>
      <c r="AX209" s="253"/>
      <c r="AY209" s="316"/>
      <c r="AZ209" s="253"/>
      <c r="BA209" s="253"/>
      <c r="BB209" s="253"/>
      <c r="BC209" s="316"/>
      <c r="BD209" s="253"/>
      <c r="BE209" s="253"/>
      <c r="BF209" s="253"/>
      <c r="BG209" s="316"/>
      <c r="BH209" s="253"/>
      <c r="BI209" s="253"/>
      <c r="BJ209" s="253"/>
      <c r="BK209" s="316"/>
      <c r="BL209" s="253"/>
      <c r="BM209" s="253"/>
      <c r="BN209" s="253"/>
      <c r="BO209" s="316"/>
      <c r="BP209" s="253"/>
      <c r="BQ209" s="253"/>
      <c r="BR209" s="253"/>
      <c r="BS209" s="316"/>
      <c r="BT209" s="253"/>
      <c r="BU209" s="253"/>
      <c r="BV209" s="253"/>
      <c r="BW209" s="253"/>
      <c r="BX209" s="253"/>
      <c r="BY209" s="253"/>
      <c r="BZ209" s="253"/>
      <c r="CA209" s="253"/>
      <c r="CB209" s="253"/>
      <c r="CC209" s="253"/>
      <c r="CD209" s="253"/>
      <c r="CE209" s="253"/>
      <c r="CF209" s="253"/>
      <c r="CG209" s="253"/>
      <c r="CH209" s="253"/>
      <c r="CI209" s="253"/>
      <c r="CJ209" s="253"/>
      <c r="CK209" s="253"/>
      <c r="CL209" s="253"/>
      <c r="CM209" s="253"/>
      <c r="CN209" s="253"/>
      <c r="CO209" s="253"/>
      <c r="CP209" s="253"/>
      <c r="CQ209" s="253"/>
      <c r="CR209" s="253"/>
      <c r="CS209" s="253"/>
      <c r="CT209" s="253"/>
      <c r="CU209" s="253"/>
      <c r="CV209" s="253"/>
      <c r="CW209" s="253"/>
      <c r="CX209" s="253"/>
      <c r="CY209" s="253"/>
      <c r="CZ209" s="253"/>
      <c r="DA209" s="253"/>
      <c r="DB209" s="253"/>
      <c r="DC209" s="253"/>
      <c r="DD209" s="253"/>
      <c r="DE209" s="253"/>
      <c r="DF209" s="253"/>
      <c r="DG209" s="253"/>
      <c r="DH209" s="253"/>
      <c r="DI209" s="253"/>
      <c r="DJ209" s="253"/>
      <c r="DK209" s="253"/>
      <c r="DL209" s="253"/>
      <c r="DM209" s="253"/>
      <c r="DN209" s="253"/>
      <c r="DO209" s="253"/>
      <c r="DP209" s="253"/>
    </row>
    <row r="210" spans="1:120">
      <c r="A210" s="250"/>
      <c r="B210" s="254" t="s">
        <v>173</v>
      </c>
      <c r="C210" s="253"/>
      <c r="D210" s="253"/>
      <c r="E210" s="253">
        <f t="shared" ref="E210:V210" si="376">E138-D138</f>
        <v>54.29681295</v>
      </c>
      <c r="F210" s="253">
        <f t="shared" si="376"/>
        <v>-7.78818246</v>
      </c>
      <c r="G210" s="253">
        <f t="shared" si="376"/>
        <v>29.37531956</v>
      </c>
      <c r="H210" s="253">
        <f t="shared" si="376"/>
        <v>5.76878667999999</v>
      </c>
      <c r="I210" s="253">
        <f t="shared" si="376"/>
        <v>40.52678773</v>
      </c>
      <c r="J210" s="253">
        <f t="shared" si="376"/>
        <v>21.69834366</v>
      </c>
      <c r="K210" s="253">
        <f t="shared" si="376"/>
        <v>35.37104227</v>
      </c>
      <c r="L210" s="253">
        <f t="shared" si="376"/>
        <v>-19.722034</v>
      </c>
      <c r="M210" s="253">
        <f t="shared" si="376"/>
        <v>51.00322698</v>
      </c>
      <c r="N210" s="253">
        <f t="shared" si="376"/>
        <v>357.66702265</v>
      </c>
      <c r="O210" s="253">
        <f t="shared" si="376"/>
        <v>184.10434454</v>
      </c>
      <c r="P210" s="253">
        <f t="shared" si="376"/>
        <v>-147.13886611</v>
      </c>
      <c r="Q210" s="253">
        <f t="shared" si="376"/>
        <v>27.3925729199999</v>
      </c>
      <c r="R210" s="253">
        <f t="shared" si="376"/>
        <v>2211.81432835</v>
      </c>
      <c r="S210" s="253">
        <f t="shared" si="376"/>
        <v>2430.95875636</v>
      </c>
      <c r="T210" s="253">
        <f t="shared" si="376"/>
        <v>6138.16414604568</v>
      </c>
      <c r="U210" s="253">
        <f t="shared" si="376"/>
        <v>989.222567183624</v>
      </c>
      <c r="V210" s="253">
        <f t="shared" si="376"/>
        <v>-3294.42476565444</v>
      </c>
      <c r="W210" s="303"/>
      <c r="X210" s="253"/>
      <c r="Y210" s="253"/>
      <c r="Z210" s="253"/>
      <c r="AA210" s="316"/>
      <c r="AB210" s="253"/>
      <c r="AC210" s="253"/>
      <c r="AD210" s="253"/>
      <c r="AE210" s="316"/>
      <c r="AF210" s="253"/>
      <c r="AG210" s="253"/>
      <c r="AH210" s="253"/>
      <c r="AI210" s="316"/>
      <c r="AJ210" s="253"/>
      <c r="AK210" s="253"/>
      <c r="AL210" s="253"/>
      <c r="AM210" s="316"/>
      <c r="AN210" s="253"/>
      <c r="AO210" s="253"/>
      <c r="AP210" s="253"/>
      <c r="AQ210" s="316"/>
      <c r="AR210" s="253"/>
      <c r="AS210" s="253"/>
      <c r="AT210" s="253"/>
      <c r="AU210" s="316"/>
      <c r="AV210" s="253"/>
      <c r="AW210" s="253"/>
      <c r="AX210" s="253"/>
      <c r="AY210" s="316"/>
      <c r="AZ210" s="253"/>
      <c r="BA210" s="253"/>
      <c r="BB210" s="253"/>
      <c r="BC210" s="316"/>
      <c r="BD210" s="253"/>
      <c r="BE210" s="253"/>
      <c r="BF210" s="253"/>
      <c r="BG210" s="316"/>
      <c r="BH210" s="253"/>
      <c r="BI210" s="253"/>
      <c r="BJ210" s="253"/>
      <c r="BK210" s="316"/>
      <c r="BL210" s="253"/>
      <c r="BM210" s="253"/>
      <c r="BN210" s="253"/>
      <c r="BO210" s="316"/>
      <c r="BP210" s="253"/>
      <c r="BQ210" s="253"/>
      <c r="BR210" s="253"/>
      <c r="BS210" s="316"/>
      <c r="BT210" s="253"/>
      <c r="BU210" s="253"/>
      <c r="BV210" s="253"/>
      <c r="BW210" s="253"/>
      <c r="BX210" s="253"/>
      <c r="BY210" s="253"/>
      <c r="BZ210" s="253"/>
      <c r="CA210" s="253"/>
      <c r="CB210" s="253"/>
      <c r="CC210" s="253"/>
      <c r="CD210" s="253"/>
      <c r="CE210" s="253"/>
      <c r="CF210" s="253"/>
      <c r="CG210" s="253"/>
      <c r="CH210" s="253"/>
      <c r="CI210" s="253"/>
      <c r="CJ210" s="253"/>
      <c r="CK210" s="253"/>
      <c r="CL210" s="253"/>
      <c r="CM210" s="253"/>
      <c r="CN210" s="253"/>
      <c r="CO210" s="253"/>
      <c r="CP210" s="253"/>
      <c r="CQ210" s="253"/>
      <c r="CR210" s="253"/>
      <c r="CS210" s="253"/>
      <c r="CT210" s="253"/>
      <c r="CU210" s="253"/>
      <c r="CV210" s="253"/>
      <c r="CW210" s="253"/>
      <c r="CX210" s="253"/>
      <c r="CY210" s="253"/>
      <c r="CZ210" s="253"/>
      <c r="DA210" s="253"/>
      <c r="DB210" s="253"/>
      <c r="DC210" s="253"/>
      <c r="DD210" s="253"/>
      <c r="DE210" s="253"/>
      <c r="DF210" s="253"/>
      <c r="DG210" s="253"/>
      <c r="DH210" s="253"/>
      <c r="DI210" s="253"/>
      <c r="DJ210" s="253"/>
      <c r="DK210" s="253"/>
      <c r="DL210" s="253"/>
      <c r="DM210" s="253"/>
      <c r="DN210" s="253"/>
      <c r="DO210" s="253"/>
      <c r="DP210" s="253"/>
    </row>
    <row r="211" spans="1:120">
      <c r="A211" s="250"/>
      <c r="B211" s="253" t="s">
        <v>246</v>
      </c>
      <c r="C211" s="292"/>
      <c r="D211" s="292"/>
      <c r="E211" s="292">
        <f t="shared" ref="E211:I211" si="377">E212-SUM(E202:E207)</f>
        <v>93.85811424</v>
      </c>
      <c r="F211" s="292">
        <f t="shared" si="377"/>
        <v>-5.68173649000004</v>
      </c>
      <c r="G211" s="292">
        <f t="shared" si="377"/>
        <v>7.40728012000004</v>
      </c>
      <c r="H211" s="292">
        <f t="shared" si="377"/>
        <v>7.90599025999995</v>
      </c>
      <c r="I211" s="292">
        <f t="shared" si="377"/>
        <v>-10.16713292</v>
      </c>
      <c r="J211" s="292">
        <f t="shared" ref="J211:S211" si="378">J212-SUM(J202:J207)</f>
        <v>0.268359509999939</v>
      </c>
      <c r="K211" s="292">
        <f t="shared" si="378"/>
        <v>15.1783859600001</v>
      </c>
      <c r="L211" s="292">
        <f t="shared" si="378"/>
        <v>22.16080594</v>
      </c>
      <c r="M211" s="292">
        <f t="shared" si="378"/>
        <v>-145.68445148</v>
      </c>
      <c r="N211" s="292">
        <f t="shared" si="378"/>
        <v>-68.6877460399999</v>
      </c>
      <c r="O211" s="292">
        <f t="shared" si="378"/>
        <v>66.7472065899999</v>
      </c>
      <c r="P211" s="292">
        <f t="shared" si="378"/>
        <v>41.1367991599998</v>
      </c>
      <c r="Q211" s="292">
        <f t="shared" si="378"/>
        <v>-58.0975849099998</v>
      </c>
      <c r="R211" s="292">
        <f t="shared" si="378"/>
        <v>348.1990584096</v>
      </c>
      <c r="S211" s="292">
        <f t="shared" si="378"/>
        <v>323.655542177456</v>
      </c>
      <c r="T211" s="298">
        <v>0</v>
      </c>
      <c r="U211" s="298">
        <v>0</v>
      </c>
      <c r="V211" s="298">
        <v>0</v>
      </c>
      <c r="W211" s="303"/>
      <c r="X211" s="253"/>
      <c r="Y211" s="253"/>
      <c r="Z211" s="253"/>
      <c r="AA211" s="316"/>
      <c r="AB211" s="253"/>
      <c r="AC211" s="253"/>
      <c r="AD211" s="253"/>
      <c r="AE211" s="316"/>
      <c r="AF211" s="253"/>
      <c r="AG211" s="253"/>
      <c r="AH211" s="253"/>
      <c r="AI211" s="316"/>
      <c r="AJ211" s="253"/>
      <c r="AK211" s="253"/>
      <c r="AL211" s="253"/>
      <c r="AM211" s="316"/>
      <c r="AN211" s="253"/>
      <c r="AO211" s="253"/>
      <c r="AP211" s="253"/>
      <c r="AQ211" s="316"/>
      <c r="AR211" s="253"/>
      <c r="AS211" s="253"/>
      <c r="AT211" s="253"/>
      <c r="AU211" s="316"/>
      <c r="AV211" s="253"/>
      <c r="AW211" s="253"/>
      <c r="AX211" s="253"/>
      <c r="AY211" s="316"/>
      <c r="AZ211" s="253"/>
      <c r="BA211" s="253"/>
      <c r="BB211" s="253"/>
      <c r="BC211" s="316"/>
      <c r="BD211" s="253"/>
      <c r="BE211" s="253"/>
      <c r="BF211" s="253"/>
      <c r="BG211" s="316"/>
      <c r="BH211" s="253"/>
      <c r="BI211" s="253"/>
      <c r="BJ211" s="253"/>
      <c r="BK211" s="316"/>
      <c r="BL211" s="253"/>
      <c r="BM211" s="253"/>
      <c r="BN211" s="253"/>
      <c r="BO211" s="316"/>
      <c r="BP211" s="253"/>
      <c r="BQ211" s="253"/>
      <c r="BR211" s="253"/>
      <c r="BS211" s="316"/>
      <c r="BT211" s="253"/>
      <c r="BU211" s="253"/>
      <c r="BV211" s="253"/>
      <c r="BW211" s="253"/>
      <c r="BX211" s="253"/>
      <c r="BY211" s="253"/>
      <c r="BZ211" s="253"/>
      <c r="CA211" s="253"/>
      <c r="CB211" s="253"/>
      <c r="CC211" s="253"/>
      <c r="CD211" s="253"/>
      <c r="CE211" s="253"/>
      <c r="CF211" s="253"/>
      <c r="CG211" s="253"/>
      <c r="CH211" s="253"/>
      <c r="CI211" s="253"/>
      <c r="CJ211" s="253"/>
      <c r="CK211" s="253"/>
      <c r="CL211" s="253"/>
      <c r="CM211" s="253"/>
      <c r="CN211" s="253"/>
      <c r="CO211" s="253"/>
      <c r="CP211" s="253"/>
      <c r="CQ211" s="253"/>
      <c r="CR211" s="253"/>
      <c r="CS211" s="253"/>
      <c r="CT211" s="253"/>
      <c r="CU211" s="253"/>
      <c r="CV211" s="253"/>
      <c r="CW211" s="253"/>
      <c r="CX211" s="253"/>
      <c r="CY211" s="253"/>
      <c r="CZ211" s="253"/>
      <c r="DA211" s="253"/>
      <c r="DB211" s="253"/>
      <c r="DC211" s="253"/>
      <c r="DD211" s="253"/>
      <c r="DE211" s="253"/>
      <c r="DF211" s="253"/>
      <c r="DG211" s="253"/>
      <c r="DH211" s="253"/>
      <c r="DI211" s="253"/>
      <c r="DJ211" s="253"/>
      <c r="DK211" s="253"/>
      <c r="DL211" s="253"/>
      <c r="DM211" s="253"/>
      <c r="DN211" s="253"/>
      <c r="DO211" s="253"/>
      <c r="DP211" s="253"/>
    </row>
    <row r="212" spans="1:120">
      <c r="A212" s="265"/>
      <c r="B212" s="257" t="s">
        <v>815</v>
      </c>
      <c r="C212" s="251"/>
      <c r="D212" s="251"/>
      <c r="E212" s="251">
        <v>46.2641</v>
      </c>
      <c r="F212" s="251">
        <v>45.9356</v>
      </c>
      <c r="G212" s="251">
        <v>26.74258254</v>
      </c>
      <c r="H212" s="251">
        <v>57.2140811</v>
      </c>
      <c r="I212" s="251">
        <v>32.67361622</v>
      </c>
      <c r="J212" s="251">
        <v>6.31542829</v>
      </c>
      <c r="K212" s="251">
        <v>-72.93617403</v>
      </c>
      <c r="L212" s="251">
        <v>320.62674205</v>
      </c>
      <c r="M212" s="251">
        <v>109.47591446</v>
      </c>
      <c r="N212" s="251">
        <v>154.43318481</v>
      </c>
      <c r="O212" s="251">
        <v>218.53182357</v>
      </c>
      <c r="P212" s="251">
        <v>831.35221186</v>
      </c>
      <c r="Q212" s="251">
        <v>1245.98480946</v>
      </c>
      <c r="R212" s="251">
        <v>640.93014558</v>
      </c>
      <c r="S212" s="251">
        <v>7701.234651</v>
      </c>
      <c r="T212" s="257">
        <f t="shared" ref="T212:U212" si="379">SUM(T202:T207)+T211</f>
        <v>11598.4357556725</v>
      </c>
      <c r="U212" s="257">
        <f t="shared" si="379"/>
        <v>28880.9350646515</v>
      </c>
      <c r="V212" s="257">
        <f t="shared" ref="V212" si="380">SUM(V202:V207)+V211</f>
        <v>24402.9960332001</v>
      </c>
      <c r="W212" s="303"/>
      <c r="X212" s="251"/>
      <c r="Y212" s="251"/>
      <c r="Z212" s="251"/>
      <c r="AA212" s="315"/>
      <c r="AB212" s="251"/>
      <c r="AC212" s="251"/>
      <c r="AD212" s="251"/>
      <c r="AE212" s="315"/>
      <c r="AF212" s="251"/>
      <c r="AG212" s="251"/>
      <c r="AH212" s="251"/>
      <c r="AI212" s="315"/>
      <c r="AJ212" s="251"/>
      <c r="AK212" s="251"/>
      <c r="AL212" s="251"/>
      <c r="AM212" s="315"/>
      <c r="AN212" s="251"/>
      <c r="AO212" s="251"/>
      <c r="AP212" s="251"/>
      <c r="AQ212" s="315"/>
      <c r="AR212" s="251"/>
      <c r="AS212" s="251"/>
      <c r="AT212" s="251"/>
      <c r="AU212" s="315"/>
      <c r="AV212" s="251"/>
      <c r="AW212" s="251"/>
      <c r="AX212" s="251"/>
      <c r="AY212" s="315"/>
      <c r="AZ212" s="251"/>
      <c r="BA212" s="251"/>
      <c r="BB212" s="251"/>
      <c r="BC212" s="315"/>
      <c r="BD212" s="251"/>
      <c r="BE212" s="251"/>
      <c r="BF212" s="251"/>
      <c r="BG212" s="315"/>
      <c r="BH212" s="251"/>
      <c r="BI212" s="251"/>
      <c r="BJ212" s="251"/>
      <c r="BK212" s="315"/>
      <c r="BL212" s="251"/>
      <c r="BM212" s="251"/>
      <c r="BN212" s="251"/>
      <c r="BO212" s="315"/>
      <c r="BP212" s="251"/>
      <c r="BQ212" s="251"/>
      <c r="BR212" s="251"/>
      <c r="BS212" s="315"/>
      <c r="BT212" s="251"/>
      <c r="BU212" s="251"/>
      <c r="BV212" s="251"/>
      <c r="BW212" s="251"/>
      <c r="BX212" s="251"/>
      <c r="BY212" s="251"/>
      <c r="BZ212" s="251"/>
      <c r="CA212" s="251"/>
      <c r="CB212" s="251"/>
      <c r="CC212" s="251"/>
      <c r="CD212" s="251"/>
      <c r="CE212" s="251"/>
      <c r="CF212" s="251"/>
      <c r="CG212" s="251"/>
      <c r="CH212" s="251"/>
      <c r="CI212" s="251"/>
      <c r="CJ212" s="251"/>
      <c r="CK212" s="251"/>
      <c r="CL212" s="251"/>
      <c r="CM212" s="251"/>
      <c r="CN212" s="251"/>
      <c r="CO212" s="251"/>
      <c r="CP212" s="251"/>
      <c r="CQ212" s="251"/>
      <c r="CR212" s="251"/>
      <c r="CS212" s="251"/>
      <c r="CT212" s="251"/>
      <c r="CU212" s="388"/>
      <c r="CV212" s="388"/>
      <c r="CW212" s="388"/>
      <c r="CX212" s="388"/>
      <c r="CY212" s="388"/>
      <c r="CZ212" s="388"/>
      <c r="DA212" s="388"/>
      <c r="DB212" s="388"/>
      <c r="DC212" s="388"/>
      <c r="DD212" s="388"/>
      <c r="DE212" s="388"/>
      <c r="DF212" s="388"/>
      <c r="DG212" s="388"/>
      <c r="DH212" s="388"/>
      <c r="DI212" s="388"/>
      <c r="DJ212" s="388"/>
      <c r="DK212" s="388"/>
      <c r="DL212" s="388"/>
      <c r="DM212" s="388"/>
      <c r="DN212" s="388"/>
      <c r="DO212" s="388"/>
      <c r="DP212" s="388"/>
    </row>
    <row r="213" spans="1:120">
      <c r="A213" s="250"/>
      <c r="B213" s="256" t="s">
        <v>768</v>
      </c>
      <c r="C213" s="391"/>
      <c r="D213" s="391"/>
      <c r="E213" s="391"/>
      <c r="F213" s="391"/>
      <c r="G213" s="391"/>
      <c r="H213" s="391"/>
      <c r="I213" s="391"/>
      <c r="J213" s="291"/>
      <c r="K213" s="391"/>
      <c r="L213" s="391"/>
      <c r="M213" s="342"/>
      <c r="N213" s="342"/>
      <c r="O213" s="342"/>
      <c r="P213" s="342"/>
      <c r="Q213" s="342"/>
      <c r="R213" s="342"/>
      <c r="S213" s="342"/>
      <c r="T213" s="430"/>
      <c r="U213" s="430"/>
      <c r="V213" s="430"/>
      <c r="W213" s="303"/>
      <c r="X213" s="391"/>
      <c r="Y213" s="391"/>
      <c r="Z213" s="391"/>
      <c r="AA213" s="487"/>
      <c r="AB213" s="391"/>
      <c r="AC213" s="391"/>
      <c r="AD213" s="391"/>
      <c r="AE213" s="487"/>
      <c r="AF213" s="391"/>
      <c r="AG213" s="391"/>
      <c r="AH213" s="391"/>
      <c r="AI213" s="487"/>
      <c r="AJ213" s="391"/>
      <c r="AK213" s="391"/>
      <c r="AL213" s="391"/>
      <c r="AM213" s="487"/>
      <c r="AN213" s="391"/>
      <c r="AO213" s="391"/>
      <c r="AP213" s="391"/>
      <c r="AQ213" s="487"/>
      <c r="AR213" s="391"/>
      <c r="AS213" s="391"/>
      <c r="AT213" s="391"/>
      <c r="AU213" s="487"/>
      <c r="AV213" s="391"/>
      <c r="AW213" s="391"/>
      <c r="AX213" s="391"/>
      <c r="AY213" s="487"/>
      <c r="AZ213" s="391"/>
      <c r="BA213" s="391"/>
      <c r="BB213" s="391"/>
      <c r="BC213" s="487"/>
      <c r="BD213" s="391"/>
      <c r="BE213" s="391"/>
      <c r="BF213" s="391"/>
      <c r="BG213" s="487"/>
      <c r="BH213" s="391"/>
      <c r="BI213" s="391"/>
      <c r="BJ213" s="391"/>
      <c r="BK213" s="487"/>
      <c r="BL213" s="391"/>
      <c r="BM213" s="391"/>
      <c r="BN213" s="391"/>
      <c r="BO213" s="487"/>
      <c r="BP213" s="391"/>
      <c r="BQ213" s="391"/>
      <c r="BR213" s="391"/>
      <c r="BS213" s="487"/>
      <c r="BT213" s="391"/>
      <c r="BU213" s="391"/>
      <c r="BV213" s="391"/>
      <c r="BW213" s="391"/>
      <c r="BX213" s="391"/>
      <c r="BY213" s="391"/>
      <c r="BZ213" s="391"/>
      <c r="CA213" s="391"/>
      <c r="CB213" s="391"/>
      <c r="CC213" s="391"/>
      <c r="CD213" s="391"/>
      <c r="CE213" s="391"/>
      <c r="CF213" s="391"/>
      <c r="CG213" s="391"/>
      <c r="CH213" s="391"/>
      <c r="CI213" s="391"/>
      <c r="CJ213" s="391"/>
      <c r="CK213" s="391"/>
      <c r="CL213" s="391"/>
      <c r="CM213" s="391"/>
      <c r="CN213" s="391"/>
      <c r="CO213" s="391"/>
      <c r="CP213" s="391"/>
      <c r="CQ213" s="391"/>
      <c r="CR213" s="391"/>
      <c r="CS213" s="391"/>
      <c r="CT213" s="391"/>
      <c r="CU213" s="391"/>
      <c r="CV213" s="391"/>
      <c r="CW213" s="391"/>
      <c r="CX213" s="391"/>
      <c r="CY213" s="391"/>
      <c r="CZ213" s="391"/>
      <c r="DA213" s="391"/>
      <c r="DB213" s="391"/>
      <c r="DC213" s="391"/>
      <c r="DD213" s="391"/>
      <c r="DE213" s="391"/>
      <c r="DF213" s="391"/>
      <c r="DG213" s="391"/>
      <c r="DH213" s="391"/>
      <c r="DI213" s="391"/>
      <c r="DJ213" s="391"/>
      <c r="DK213" s="391"/>
      <c r="DL213" s="391"/>
      <c r="DM213" s="391"/>
      <c r="DN213" s="391"/>
      <c r="DO213" s="391"/>
      <c r="DP213" s="391"/>
    </row>
    <row r="214" spans="1:120">
      <c r="A214" s="250"/>
      <c r="B214" s="253" t="s">
        <v>816</v>
      </c>
      <c r="C214" s="253"/>
      <c r="D214" s="253"/>
      <c r="E214" s="253">
        <v>-5.03358718</v>
      </c>
      <c r="F214" s="253">
        <v>-39.01859826</v>
      </c>
      <c r="G214" s="253">
        <v>-74.19091972</v>
      </c>
      <c r="H214" s="253">
        <v>-28.24924452</v>
      </c>
      <c r="I214" s="253">
        <v>-37.63873224</v>
      </c>
      <c r="J214" s="253">
        <v>-130.77671301</v>
      </c>
      <c r="K214" s="253">
        <v>-135.73533282</v>
      </c>
      <c r="L214" s="253">
        <v>-68.77890037</v>
      </c>
      <c r="M214" s="253">
        <v>-99.13486822</v>
      </c>
      <c r="N214" s="253">
        <v>-290.64016386</v>
      </c>
      <c r="O214" s="253">
        <v>-273.49673873</v>
      </c>
      <c r="P214" s="253">
        <v>-364.71799399</v>
      </c>
      <c r="Q214" s="253">
        <v>-554.30905704</v>
      </c>
      <c r="R214" s="253">
        <v>-1476.33800926</v>
      </c>
      <c r="S214" s="253">
        <f t="shared" ref="S214:U214" si="381">-(S176+S184)</f>
        <v>-1993.056312501</v>
      </c>
      <c r="T214" s="253">
        <f t="shared" si="381"/>
        <v>-2292.01475937615</v>
      </c>
      <c r="U214" s="253">
        <f t="shared" si="381"/>
        <v>-2177.41402140734</v>
      </c>
      <c r="V214" s="253">
        <f t="shared" ref="V214" si="382">-(V176+V184)</f>
        <v>-2068.54332033697</v>
      </c>
      <c r="W214" s="303"/>
      <c r="X214" s="255"/>
      <c r="Y214" s="255"/>
      <c r="Z214" s="255"/>
      <c r="AA214" s="317"/>
      <c r="AB214" s="255"/>
      <c r="AC214" s="255"/>
      <c r="AD214" s="255"/>
      <c r="AE214" s="317"/>
      <c r="AF214" s="255"/>
      <c r="AG214" s="255"/>
      <c r="AH214" s="255"/>
      <c r="AI214" s="317"/>
      <c r="AJ214" s="255"/>
      <c r="AK214" s="255"/>
      <c r="AL214" s="255"/>
      <c r="AM214" s="317"/>
      <c r="AN214" s="255"/>
      <c r="AO214" s="255"/>
      <c r="AP214" s="255"/>
      <c r="AQ214" s="316"/>
      <c r="AR214" s="253"/>
      <c r="AS214" s="253"/>
      <c r="AT214" s="253"/>
      <c r="AU214" s="316"/>
      <c r="AV214" s="253"/>
      <c r="AW214" s="253"/>
      <c r="AX214" s="253"/>
      <c r="AY214" s="316"/>
      <c r="AZ214" s="253"/>
      <c r="BA214" s="253"/>
      <c r="BB214" s="253"/>
      <c r="BC214" s="316"/>
      <c r="BD214" s="253"/>
      <c r="BE214" s="253"/>
      <c r="BF214" s="253"/>
      <c r="BG214" s="316"/>
      <c r="BH214" s="253"/>
      <c r="BI214" s="253"/>
      <c r="BJ214" s="253"/>
      <c r="BK214" s="316"/>
      <c r="BL214" s="253"/>
      <c r="BM214" s="253"/>
      <c r="BN214" s="253"/>
      <c r="BO214" s="316"/>
      <c r="BP214" s="253"/>
      <c r="BQ214" s="253"/>
      <c r="BR214" s="253"/>
      <c r="BS214" s="316"/>
      <c r="BT214" s="253"/>
      <c r="BU214" s="253"/>
      <c r="BV214" s="253"/>
      <c r="BW214" s="253"/>
      <c r="BX214" s="253"/>
      <c r="BY214" s="253"/>
      <c r="BZ214" s="253"/>
      <c r="CA214" s="253"/>
      <c r="CB214" s="253"/>
      <c r="CC214" s="253"/>
      <c r="CD214" s="253"/>
      <c r="CE214" s="253"/>
      <c r="CF214" s="253"/>
      <c r="CG214" s="253"/>
      <c r="CH214" s="253"/>
      <c r="CI214" s="253"/>
      <c r="CJ214" s="253"/>
      <c r="CK214" s="253"/>
      <c r="CL214" s="253"/>
      <c r="CM214" s="253"/>
      <c r="CN214" s="253"/>
      <c r="CO214" s="253"/>
      <c r="CP214" s="253"/>
      <c r="CQ214" s="253"/>
      <c r="CR214" s="253"/>
      <c r="CS214" s="253"/>
      <c r="CT214" s="253"/>
      <c r="CU214" s="255"/>
      <c r="CV214" s="255"/>
      <c r="CW214" s="255"/>
      <c r="CX214" s="255"/>
      <c r="CY214" s="255"/>
      <c r="CZ214" s="255"/>
      <c r="DA214" s="255"/>
      <c r="DB214" s="255"/>
      <c r="DC214" s="255"/>
      <c r="DD214" s="255"/>
      <c r="DE214" s="255"/>
      <c r="DF214" s="255"/>
      <c r="DG214" s="255"/>
      <c r="DH214" s="255"/>
      <c r="DI214" s="255"/>
      <c r="DJ214" s="255"/>
      <c r="DK214" s="255"/>
      <c r="DL214" s="255"/>
      <c r="DM214" s="255"/>
      <c r="DN214" s="255"/>
      <c r="DO214" s="255"/>
      <c r="DP214" s="255"/>
    </row>
    <row r="215" spans="1:120">
      <c r="A215" s="250"/>
      <c r="B215" s="253" t="s">
        <v>817</v>
      </c>
      <c r="C215" s="253"/>
      <c r="D215" s="253"/>
      <c r="E215" s="253">
        <v>0</v>
      </c>
      <c r="F215" s="253">
        <v>0</v>
      </c>
      <c r="G215" s="253">
        <v>0</v>
      </c>
      <c r="H215" s="253">
        <v>0</v>
      </c>
      <c r="I215" s="253">
        <v>0</v>
      </c>
      <c r="J215" s="253">
        <v>0</v>
      </c>
      <c r="K215" s="253">
        <v>0</v>
      </c>
      <c r="L215" s="253">
        <v>0</v>
      </c>
      <c r="M215" s="253">
        <v>0</v>
      </c>
      <c r="N215" s="253">
        <v>0</v>
      </c>
      <c r="O215" s="253">
        <v>0</v>
      </c>
      <c r="P215" s="253">
        <v>-124.66449821</v>
      </c>
      <c r="Q215" s="253">
        <v>-63.80098772</v>
      </c>
      <c r="R215" s="253">
        <v>-27.73212881</v>
      </c>
      <c r="S215" s="253">
        <v>0</v>
      </c>
      <c r="T215" s="298">
        <v>0</v>
      </c>
      <c r="U215" s="298">
        <v>0</v>
      </c>
      <c r="V215" s="298">
        <v>0</v>
      </c>
      <c r="W215" s="303"/>
      <c r="X215" s="255"/>
      <c r="Y215" s="255"/>
      <c r="Z215" s="255"/>
      <c r="AA215" s="317"/>
      <c r="AB215" s="255"/>
      <c r="AC215" s="255"/>
      <c r="AD215" s="255"/>
      <c r="AE215" s="317"/>
      <c r="AF215" s="255"/>
      <c r="AG215" s="255"/>
      <c r="AH215" s="255"/>
      <c r="AI215" s="317"/>
      <c r="AJ215" s="255"/>
      <c r="AK215" s="255"/>
      <c r="AL215" s="255"/>
      <c r="AM215" s="317"/>
      <c r="AN215" s="255"/>
      <c r="AO215" s="255"/>
      <c r="AP215" s="255"/>
      <c r="AQ215" s="323"/>
      <c r="AR215" s="272"/>
      <c r="AS215" s="272"/>
      <c r="AT215" s="272"/>
      <c r="AU215" s="323"/>
      <c r="AV215" s="272"/>
      <c r="AW215" s="272"/>
      <c r="AX215" s="272"/>
      <c r="AY215" s="323"/>
      <c r="AZ215" s="272"/>
      <c r="BA215" s="272"/>
      <c r="BB215" s="272"/>
      <c r="BC215" s="323"/>
      <c r="BD215" s="272"/>
      <c r="BE215" s="272"/>
      <c r="BF215" s="272"/>
      <c r="BG215" s="323"/>
      <c r="BH215" s="272"/>
      <c r="BI215" s="272"/>
      <c r="BJ215" s="272"/>
      <c r="BK215" s="323"/>
      <c r="BL215" s="272"/>
      <c r="BM215" s="272"/>
      <c r="BN215" s="272"/>
      <c r="BO215" s="323"/>
      <c r="BP215" s="272"/>
      <c r="BQ215" s="272"/>
      <c r="BR215" s="272"/>
      <c r="BS215" s="323"/>
      <c r="BT215" s="272"/>
      <c r="BU215" s="272"/>
      <c r="BV215" s="272"/>
      <c r="BW215" s="272"/>
      <c r="BX215" s="272"/>
      <c r="BY215" s="272"/>
      <c r="BZ215" s="272"/>
      <c r="CA215" s="272"/>
      <c r="CB215" s="272"/>
      <c r="CC215" s="272"/>
      <c r="CD215" s="272"/>
      <c r="CE215" s="272"/>
      <c r="CF215" s="272"/>
      <c r="CG215" s="272"/>
      <c r="CH215" s="253"/>
      <c r="CI215" s="253"/>
      <c r="CJ215" s="253"/>
      <c r="CK215" s="253"/>
      <c r="CL215" s="253"/>
      <c r="CM215" s="253"/>
      <c r="CN215" s="253"/>
      <c r="CO215" s="253"/>
      <c r="CP215" s="253"/>
      <c r="CQ215" s="253"/>
      <c r="CR215" s="253"/>
      <c r="CS215" s="253"/>
      <c r="CT215" s="253"/>
      <c r="CU215" s="255"/>
      <c r="CV215" s="255"/>
      <c r="CW215" s="255"/>
      <c r="CX215" s="255"/>
      <c r="CY215" s="255"/>
      <c r="CZ215" s="255"/>
      <c r="DA215" s="255"/>
      <c r="DB215" s="255"/>
      <c r="DC215" s="255"/>
      <c r="DD215" s="255"/>
      <c r="DE215" s="255"/>
      <c r="DF215" s="255"/>
      <c r="DG215" s="255"/>
      <c r="DH215" s="255"/>
      <c r="DI215" s="255"/>
      <c r="DJ215" s="255"/>
      <c r="DK215" s="255"/>
      <c r="DL215" s="255"/>
      <c r="DM215" s="255"/>
      <c r="DN215" s="255"/>
      <c r="DO215" s="255"/>
      <c r="DP215" s="255"/>
    </row>
    <row r="216" spans="1:120">
      <c r="A216" s="250"/>
      <c r="B216" s="253" t="s">
        <v>818</v>
      </c>
      <c r="C216" s="253"/>
      <c r="D216" s="253"/>
      <c r="E216" s="253">
        <v>0.335715060000002</v>
      </c>
      <c r="F216" s="253">
        <v>0</v>
      </c>
      <c r="G216" s="253">
        <v>0</v>
      </c>
      <c r="H216" s="253">
        <v>0</v>
      </c>
      <c r="I216" s="253">
        <v>0</v>
      </c>
      <c r="J216" s="253">
        <v>-195</v>
      </c>
      <c r="K216" s="253">
        <v>124.7446</v>
      </c>
      <c r="L216" s="253">
        <v>-86.6656</v>
      </c>
      <c r="M216" s="253">
        <v>50.296</v>
      </c>
      <c r="N216" s="253">
        <v>29.9</v>
      </c>
      <c r="O216" s="253">
        <v>4.9741</v>
      </c>
      <c r="P216" s="253">
        <v>-155.5763905</v>
      </c>
      <c r="Q216" s="253">
        <v>157.9179</v>
      </c>
      <c r="R216" s="253">
        <v>6</v>
      </c>
      <c r="S216" s="253">
        <f t="shared" ref="S216:V216" si="383">+S133-R133</f>
        <v>0</v>
      </c>
      <c r="T216" s="253">
        <f t="shared" si="383"/>
        <v>0</v>
      </c>
      <c r="U216" s="253">
        <f t="shared" si="383"/>
        <v>0</v>
      </c>
      <c r="V216" s="253">
        <f t="shared" si="383"/>
        <v>0</v>
      </c>
      <c r="W216" s="303"/>
      <c r="X216" s="255"/>
      <c r="Y216" s="255"/>
      <c r="Z216" s="255"/>
      <c r="AA216" s="317"/>
      <c r="AB216" s="255"/>
      <c r="AC216" s="255"/>
      <c r="AD216" s="255"/>
      <c r="AE216" s="317"/>
      <c r="AF216" s="255"/>
      <c r="AG216" s="255"/>
      <c r="AH216" s="255"/>
      <c r="AI216" s="317"/>
      <c r="AJ216" s="255"/>
      <c r="AK216" s="255"/>
      <c r="AL216" s="255"/>
      <c r="AM216" s="317"/>
      <c r="AN216" s="255"/>
      <c r="AO216" s="255"/>
      <c r="AP216" s="255"/>
      <c r="AQ216" s="475"/>
      <c r="AR216" s="476"/>
      <c r="AS216" s="476"/>
      <c r="AT216" s="476"/>
      <c r="AU216" s="475"/>
      <c r="AV216" s="476"/>
      <c r="AW216" s="476"/>
      <c r="AX216" s="476"/>
      <c r="AY216" s="475"/>
      <c r="AZ216" s="476"/>
      <c r="BA216" s="476"/>
      <c r="BB216" s="476"/>
      <c r="BC216" s="475"/>
      <c r="BD216" s="476"/>
      <c r="BE216" s="476"/>
      <c r="BF216" s="476"/>
      <c r="BG216" s="475"/>
      <c r="BH216" s="476"/>
      <c r="BI216" s="476"/>
      <c r="BJ216" s="476"/>
      <c r="BK216" s="475"/>
      <c r="BL216" s="476"/>
      <c r="BM216" s="476"/>
      <c r="BN216" s="476"/>
      <c r="BO216" s="475"/>
      <c r="BP216" s="476"/>
      <c r="BQ216" s="476"/>
      <c r="BR216" s="476"/>
      <c r="BS216" s="475"/>
      <c r="BT216" s="476"/>
      <c r="BU216" s="476"/>
      <c r="BV216" s="476"/>
      <c r="BW216" s="476"/>
      <c r="BX216" s="476"/>
      <c r="BY216" s="476"/>
      <c r="BZ216" s="476"/>
      <c r="CA216" s="476"/>
      <c r="CB216" s="476"/>
      <c r="CC216" s="476"/>
      <c r="CD216" s="476"/>
      <c r="CE216" s="476"/>
      <c r="CF216" s="476"/>
      <c r="CG216" s="476"/>
      <c r="CH216" s="253"/>
      <c r="CI216" s="253"/>
      <c r="CJ216" s="253"/>
      <c r="CK216" s="253"/>
      <c r="CL216" s="253"/>
      <c r="CM216" s="253"/>
      <c r="CN216" s="253"/>
      <c r="CO216" s="253"/>
      <c r="CP216" s="253"/>
      <c r="CQ216" s="253"/>
      <c r="CR216" s="253"/>
      <c r="CS216" s="253"/>
      <c r="CT216" s="253"/>
      <c r="CU216" s="255"/>
      <c r="CV216" s="255"/>
      <c r="CW216" s="255"/>
      <c r="CX216" s="255"/>
      <c r="CY216" s="255"/>
      <c r="CZ216" s="255"/>
      <c r="DA216" s="255"/>
      <c r="DB216" s="255"/>
      <c r="DC216" s="255"/>
      <c r="DD216" s="255"/>
      <c r="DE216" s="255"/>
      <c r="DF216" s="255"/>
      <c r="DG216" s="255"/>
      <c r="DH216" s="255"/>
      <c r="DI216" s="255"/>
      <c r="DJ216" s="255"/>
      <c r="DK216" s="255"/>
      <c r="DL216" s="255"/>
      <c r="DM216" s="255"/>
      <c r="DN216" s="255"/>
      <c r="DO216" s="255"/>
      <c r="DP216" s="255"/>
    </row>
    <row r="217" spans="1:120">
      <c r="A217" s="250"/>
      <c r="B217" s="253" t="s">
        <v>819</v>
      </c>
      <c r="C217" s="292"/>
      <c r="D217" s="292"/>
      <c r="E217" s="292">
        <f t="shared" ref="E217:S217" si="384">+E218-E214-E215-E216</f>
        <v>-1.99519231</v>
      </c>
      <c r="F217" s="292">
        <f t="shared" si="384"/>
        <v>3.00157954</v>
      </c>
      <c r="G217" s="292">
        <f t="shared" si="384"/>
        <v>-3</v>
      </c>
      <c r="H217" s="292">
        <f t="shared" si="384"/>
        <v>1.00367521</v>
      </c>
      <c r="I217" s="292">
        <f t="shared" si="384"/>
        <v>0</v>
      </c>
      <c r="J217" s="292">
        <f t="shared" si="384"/>
        <v>3.80640057000002</v>
      </c>
      <c r="K217" s="292">
        <f t="shared" si="384"/>
        <v>1.95283970999999</v>
      </c>
      <c r="L217" s="292">
        <f t="shared" si="384"/>
        <v>2.53012192999999</v>
      </c>
      <c r="M217" s="292">
        <f t="shared" si="384"/>
        <v>3.46206425</v>
      </c>
      <c r="N217" s="292">
        <f t="shared" si="384"/>
        <v>4.43695890000001</v>
      </c>
      <c r="O217" s="292">
        <f t="shared" si="384"/>
        <v>8.59871506000004</v>
      </c>
      <c r="P217" s="292">
        <f t="shared" si="384"/>
        <v>5.29622715000005</v>
      </c>
      <c r="Q217" s="292">
        <f t="shared" si="384"/>
        <v>10.60185142</v>
      </c>
      <c r="R217" s="292">
        <f t="shared" si="384"/>
        <v>1.05600000000009</v>
      </c>
      <c r="S217" s="292">
        <f t="shared" si="384"/>
        <v>633.628805741</v>
      </c>
      <c r="T217" s="298">
        <v>0</v>
      </c>
      <c r="U217" s="298">
        <v>0</v>
      </c>
      <c r="V217" s="298">
        <v>0</v>
      </c>
      <c r="W217" s="303"/>
      <c r="X217" s="253"/>
      <c r="Y217" s="253"/>
      <c r="Z217" s="253"/>
      <c r="AA217" s="316"/>
      <c r="AB217" s="253"/>
      <c r="AC217" s="253"/>
      <c r="AD217" s="253"/>
      <c r="AE217" s="316"/>
      <c r="AF217" s="253"/>
      <c r="AG217" s="253"/>
      <c r="AH217" s="253"/>
      <c r="AI217" s="316"/>
      <c r="AJ217" s="253"/>
      <c r="AK217" s="253"/>
      <c r="AL217" s="253"/>
      <c r="AM217" s="316"/>
      <c r="AN217" s="253"/>
      <c r="AO217" s="253"/>
      <c r="AP217" s="253"/>
      <c r="AQ217" s="316"/>
      <c r="AR217" s="253"/>
      <c r="AS217" s="253"/>
      <c r="AT217" s="253"/>
      <c r="AU217" s="316"/>
      <c r="AV217" s="253"/>
      <c r="AW217" s="253"/>
      <c r="AX217" s="253"/>
      <c r="AY217" s="316"/>
      <c r="AZ217" s="253"/>
      <c r="BA217" s="253"/>
      <c r="BB217" s="253"/>
      <c r="BC217" s="316"/>
      <c r="BD217" s="253"/>
      <c r="BE217" s="253"/>
      <c r="BF217" s="253"/>
      <c r="BG217" s="316"/>
      <c r="BH217" s="253"/>
      <c r="BI217" s="253"/>
      <c r="BJ217" s="253"/>
      <c r="BK217" s="316"/>
      <c r="BL217" s="253"/>
      <c r="BM217" s="253"/>
      <c r="BN217" s="253"/>
      <c r="BO217" s="316"/>
      <c r="BP217" s="253"/>
      <c r="BQ217" s="253"/>
      <c r="BR217" s="253"/>
      <c r="BS217" s="316"/>
      <c r="BT217" s="253"/>
      <c r="BU217" s="253"/>
      <c r="BV217" s="253"/>
      <c r="BW217" s="253"/>
      <c r="BX217" s="253"/>
      <c r="BY217" s="253"/>
      <c r="BZ217" s="253"/>
      <c r="CA217" s="253"/>
      <c r="CB217" s="253"/>
      <c r="CC217" s="253"/>
      <c r="CD217" s="253"/>
      <c r="CE217" s="253"/>
      <c r="CF217" s="253"/>
      <c r="CG217" s="253"/>
      <c r="CH217" s="253"/>
      <c r="CI217" s="253"/>
      <c r="CJ217" s="253"/>
      <c r="CK217" s="253"/>
      <c r="CL217" s="253"/>
      <c r="CM217" s="253"/>
      <c r="CN217" s="253"/>
      <c r="CO217" s="253"/>
      <c r="CP217" s="253"/>
      <c r="CQ217" s="253"/>
      <c r="CR217" s="253"/>
      <c r="CS217" s="253"/>
      <c r="CT217" s="253"/>
      <c r="CU217" s="253"/>
      <c r="CV217" s="253"/>
      <c r="CW217" s="253"/>
      <c r="CX217" s="253"/>
      <c r="CY217" s="253"/>
      <c r="CZ217" s="253"/>
      <c r="DA217" s="253"/>
      <c r="DB217" s="253"/>
      <c r="DC217" s="253"/>
      <c r="DD217" s="253"/>
      <c r="DE217" s="253"/>
      <c r="DF217" s="253"/>
      <c r="DG217" s="253"/>
      <c r="DH217" s="253"/>
      <c r="DI217" s="253"/>
      <c r="DJ217" s="253"/>
      <c r="DK217" s="253"/>
      <c r="DL217" s="253"/>
      <c r="DM217" s="253"/>
      <c r="DN217" s="253"/>
      <c r="DO217" s="253"/>
      <c r="DP217" s="253"/>
    </row>
    <row r="218" spans="1:120">
      <c r="A218" s="250"/>
      <c r="B218" s="257" t="s">
        <v>258</v>
      </c>
      <c r="C218" s="251"/>
      <c r="D218" s="251"/>
      <c r="E218" s="251">
        <v>-6.69306443</v>
      </c>
      <c r="F218" s="251">
        <v>-36.01701872</v>
      </c>
      <c r="G218" s="251">
        <v>-77.19091972</v>
      </c>
      <c r="H218" s="251">
        <v>-27.24556931</v>
      </c>
      <c r="I218" s="251">
        <v>-37.63873224</v>
      </c>
      <c r="J218" s="251">
        <v>-321.97031244</v>
      </c>
      <c r="K218" s="251">
        <v>-9.03789311</v>
      </c>
      <c r="L218" s="251">
        <v>-152.91437844</v>
      </c>
      <c r="M218" s="251">
        <v>-45.37680397</v>
      </c>
      <c r="N218" s="251">
        <v>-256.30320496</v>
      </c>
      <c r="O218" s="251">
        <v>-259.92392367</v>
      </c>
      <c r="P218" s="251">
        <v>-639.66265555</v>
      </c>
      <c r="Q218" s="251">
        <v>-449.59029334</v>
      </c>
      <c r="R218" s="251">
        <v>-1497.01413807</v>
      </c>
      <c r="S218" s="251">
        <v>-1359.42750676</v>
      </c>
      <c r="T218" s="257">
        <f t="shared" ref="T218:U218" si="385">SUM(T214:T217)</f>
        <v>-2292.01475937615</v>
      </c>
      <c r="U218" s="257">
        <f t="shared" si="385"/>
        <v>-2177.41402140734</v>
      </c>
      <c r="V218" s="257">
        <f t="shared" ref="V218" si="386">SUM(V214:V217)</f>
        <v>-2068.54332033697</v>
      </c>
      <c r="W218" s="303"/>
      <c r="X218" s="388"/>
      <c r="Y218" s="388"/>
      <c r="Z218" s="388"/>
      <c r="AA218" s="423"/>
      <c r="AB218" s="388"/>
      <c r="AC218" s="388"/>
      <c r="AD218" s="388"/>
      <c r="AE218" s="423"/>
      <c r="AF218" s="388"/>
      <c r="AG218" s="388"/>
      <c r="AH218" s="388"/>
      <c r="AI218" s="423"/>
      <c r="AJ218" s="388"/>
      <c r="AK218" s="388"/>
      <c r="AL218" s="388"/>
      <c r="AM218" s="423"/>
      <c r="AN218" s="388"/>
      <c r="AO218" s="388"/>
      <c r="AP218" s="388"/>
      <c r="AQ218" s="315"/>
      <c r="AR218" s="251"/>
      <c r="AS218" s="251"/>
      <c r="AT218" s="251"/>
      <c r="AU218" s="315"/>
      <c r="AV218" s="251"/>
      <c r="AW218" s="251"/>
      <c r="AX218" s="251"/>
      <c r="AY218" s="315"/>
      <c r="AZ218" s="251"/>
      <c r="BA218" s="251"/>
      <c r="BB218" s="251"/>
      <c r="BC218" s="315"/>
      <c r="BD218" s="251"/>
      <c r="BE218" s="251"/>
      <c r="BF218" s="251"/>
      <c r="BG218" s="315"/>
      <c r="BH218" s="251"/>
      <c r="BI218" s="251"/>
      <c r="BJ218" s="251"/>
      <c r="BK218" s="315"/>
      <c r="BL218" s="251"/>
      <c r="BM218" s="251"/>
      <c r="BN218" s="251"/>
      <c r="BO218" s="315"/>
      <c r="BP218" s="251"/>
      <c r="BQ218" s="251"/>
      <c r="BR218" s="251"/>
      <c r="BS218" s="315"/>
      <c r="BT218" s="251"/>
      <c r="BU218" s="251"/>
      <c r="BV218" s="251"/>
      <c r="BW218" s="251"/>
      <c r="BX218" s="251"/>
      <c r="BY218" s="251"/>
      <c r="BZ218" s="251"/>
      <c r="CA218" s="251"/>
      <c r="CB218" s="251"/>
      <c r="CC218" s="251"/>
      <c r="CD218" s="251"/>
      <c r="CE218" s="251"/>
      <c r="CF218" s="251"/>
      <c r="CG218" s="251"/>
      <c r="CH218" s="251"/>
      <c r="CI218" s="251"/>
      <c r="CJ218" s="251"/>
      <c r="CK218" s="251"/>
      <c r="CL218" s="251"/>
      <c r="CM218" s="251"/>
      <c r="CN218" s="251"/>
      <c r="CO218" s="251"/>
      <c r="CP218" s="251"/>
      <c r="CQ218" s="251"/>
      <c r="CR218" s="251"/>
      <c r="CS218" s="251"/>
      <c r="CT218" s="251"/>
      <c r="CU218" s="388"/>
      <c r="CV218" s="388"/>
      <c r="CW218" s="388"/>
      <c r="CX218" s="388"/>
      <c r="CY218" s="388"/>
      <c r="CZ218" s="388"/>
      <c r="DA218" s="388"/>
      <c r="DB218" s="388"/>
      <c r="DC218" s="388"/>
      <c r="DD218" s="388"/>
      <c r="DE218" s="388"/>
      <c r="DF218" s="388"/>
      <c r="DG218" s="388"/>
      <c r="DH218" s="388"/>
      <c r="DI218" s="388"/>
      <c r="DJ218" s="388"/>
      <c r="DK218" s="388"/>
      <c r="DL218" s="388"/>
      <c r="DM218" s="388"/>
      <c r="DN218" s="388"/>
      <c r="DO218" s="388"/>
      <c r="DP218" s="388"/>
    </row>
    <row r="219" spans="1:120">
      <c r="A219" s="250"/>
      <c r="B219" s="256"/>
      <c r="C219" s="253"/>
      <c r="D219" s="253"/>
      <c r="E219" s="253"/>
      <c r="F219" s="253"/>
      <c r="G219" s="253"/>
      <c r="H219" s="253"/>
      <c r="I219" s="253"/>
      <c r="J219" s="277"/>
      <c r="K219" s="253"/>
      <c r="L219" s="253"/>
      <c r="M219" s="253"/>
      <c r="N219" s="253"/>
      <c r="O219" s="253"/>
      <c r="P219" s="253"/>
      <c r="Q219" s="253"/>
      <c r="R219" s="253"/>
      <c r="S219" s="253"/>
      <c r="T219" s="253"/>
      <c r="U219" s="253"/>
      <c r="V219" s="253"/>
      <c r="W219" s="303"/>
      <c r="X219" s="253"/>
      <c r="Y219" s="253"/>
      <c r="Z219" s="253"/>
      <c r="AA219" s="316"/>
      <c r="AB219" s="253"/>
      <c r="AC219" s="253"/>
      <c r="AD219" s="253"/>
      <c r="AE219" s="316"/>
      <c r="AF219" s="253"/>
      <c r="AG219" s="253"/>
      <c r="AH219" s="253"/>
      <c r="AI219" s="316"/>
      <c r="AJ219" s="253"/>
      <c r="AK219" s="253"/>
      <c r="AL219" s="253"/>
      <c r="AM219" s="316"/>
      <c r="AN219" s="253"/>
      <c r="AO219" s="253"/>
      <c r="AP219" s="253"/>
      <c r="AQ219" s="316"/>
      <c r="AR219" s="253"/>
      <c r="AS219" s="253"/>
      <c r="AT219" s="253"/>
      <c r="AU219" s="316"/>
      <c r="AV219" s="253"/>
      <c r="AW219" s="253"/>
      <c r="AX219" s="253"/>
      <c r="AY219" s="316"/>
      <c r="AZ219" s="253"/>
      <c r="BA219" s="253"/>
      <c r="BB219" s="253"/>
      <c r="BC219" s="316"/>
      <c r="BD219" s="253"/>
      <c r="BE219" s="253"/>
      <c r="BF219" s="253"/>
      <c r="BG219" s="316"/>
      <c r="BH219" s="253"/>
      <c r="BI219" s="253"/>
      <c r="BJ219" s="253"/>
      <c r="BK219" s="316"/>
      <c r="BL219" s="253"/>
      <c r="BM219" s="253"/>
      <c r="BN219" s="253"/>
      <c r="BO219" s="316"/>
      <c r="BP219" s="253"/>
      <c r="BQ219" s="253"/>
      <c r="BR219" s="253"/>
      <c r="BS219" s="316"/>
      <c r="BT219" s="253"/>
      <c r="BU219" s="253"/>
      <c r="BV219" s="253"/>
      <c r="BW219" s="253"/>
      <c r="BX219" s="253"/>
      <c r="BY219" s="253"/>
      <c r="BZ219" s="253"/>
      <c r="CA219" s="253"/>
      <c r="CB219" s="253"/>
      <c r="CC219" s="253"/>
      <c r="CD219" s="253"/>
      <c r="CE219" s="253"/>
      <c r="CF219" s="253"/>
      <c r="CG219" s="253"/>
      <c r="CH219" s="253"/>
      <c r="CI219" s="253"/>
      <c r="CJ219" s="253"/>
      <c r="CK219" s="253"/>
      <c r="CL219" s="253"/>
      <c r="CM219" s="253"/>
      <c r="CN219" s="253"/>
      <c r="CO219" s="253"/>
      <c r="CP219" s="253"/>
      <c r="CQ219" s="253"/>
      <c r="CR219" s="253"/>
      <c r="CS219" s="253"/>
      <c r="CT219" s="253"/>
      <c r="CU219" s="253"/>
      <c r="CV219" s="253"/>
      <c r="CW219" s="253"/>
      <c r="CX219" s="253"/>
      <c r="CY219" s="253"/>
      <c r="CZ219" s="253"/>
      <c r="DA219" s="253"/>
      <c r="DB219" s="253"/>
      <c r="DC219" s="253"/>
      <c r="DD219" s="253"/>
      <c r="DE219" s="253"/>
      <c r="DF219" s="253"/>
      <c r="DG219" s="253"/>
      <c r="DH219" s="253"/>
      <c r="DI219" s="253"/>
      <c r="DJ219" s="253"/>
      <c r="DK219" s="253"/>
      <c r="DL219" s="253"/>
      <c r="DM219" s="253"/>
      <c r="DN219" s="253"/>
      <c r="DO219" s="253"/>
      <c r="DP219" s="253"/>
    </row>
    <row r="220" spans="1:120">
      <c r="A220" s="265"/>
      <c r="B220" s="253" t="s">
        <v>820</v>
      </c>
      <c r="C220" s="253"/>
      <c r="D220" s="253"/>
      <c r="E220" s="253">
        <v>0</v>
      </c>
      <c r="F220" s="253">
        <v>0</v>
      </c>
      <c r="G220" s="253">
        <v>0</v>
      </c>
      <c r="H220" s="253">
        <v>0</v>
      </c>
      <c r="I220" s="253">
        <v>0</v>
      </c>
      <c r="J220" s="253">
        <v>0</v>
      </c>
      <c r="K220" s="253">
        <v>-27.47131305</v>
      </c>
      <c r="L220" s="253">
        <v>-28.78124085</v>
      </c>
      <c r="M220" s="253">
        <v>-28.5927</v>
      </c>
      <c r="N220" s="253">
        <v>-42.8539046</v>
      </c>
      <c r="O220" s="253">
        <v>-98.89333993</v>
      </c>
      <c r="P220" s="253">
        <v>-57.17949382</v>
      </c>
      <c r="Q220" s="253">
        <v>-63.89233439</v>
      </c>
      <c r="R220" s="253">
        <v>-109.86503106</v>
      </c>
      <c r="S220" s="253">
        <f t="shared" ref="S220:U220" si="387">-(S62+S38)</f>
        <v>-953.192273017</v>
      </c>
      <c r="T220" s="253">
        <f t="shared" si="387"/>
        <v>-2068.28226425452</v>
      </c>
      <c r="U220" s="253">
        <f t="shared" si="387"/>
        <v>-3007.96186649683</v>
      </c>
      <c r="V220" s="253">
        <f t="shared" ref="V220" si="388">-(V62+V38)</f>
        <v>-3457.5553661925</v>
      </c>
      <c r="W220" s="303"/>
      <c r="X220" s="253"/>
      <c r="Y220" s="253"/>
      <c r="Z220" s="253"/>
      <c r="AA220" s="316"/>
      <c r="AB220" s="253"/>
      <c r="AC220" s="253"/>
      <c r="AD220" s="253"/>
      <c r="AE220" s="316"/>
      <c r="AF220" s="253"/>
      <c r="AG220" s="253"/>
      <c r="AH220" s="253"/>
      <c r="AI220" s="316"/>
      <c r="AJ220" s="253"/>
      <c r="AK220" s="253"/>
      <c r="AL220" s="253"/>
      <c r="AM220" s="316"/>
      <c r="AN220" s="253"/>
      <c r="AO220" s="253"/>
      <c r="AP220" s="253"/>
      <c r="AQ220" s="316"/>
      <c r="AR220" s="253"/>
      <c r="AS220" s="253"/>
      <c r="AT220" s="253"/>
      <c r="AU220" s="316"/>
      <c r="AV220" s="253"/>
      <c r="AW220" s="253"/>
      <c r="AX220" s="253"/>
      <c r="AY220" s="316"/>
      <c r="AZ220" s="253"/>
      <c r="BA220" s="253"/>
      <c r="BB220" s="253"/>
      <c r="BC220" s="316"/>
      <c r="BD220" s="253"/>
      <c r="BE220" s="253"/>
      <c r="BF220" s="253"/>
      <c r="BG220" s="316"/>
      <c r="BH220" s="253"/>
      <c r="BI220" s="253"/>
      <c r="BJ220" s="253"/>
      <c r="BK220" s="316"/>
      <c r="BL220" s="253"/>
      <c r="BM220" s="253"/>
      <c r="BN220" s="253"/>
      <c r="BO220" s="316"/>
      <c r="BP220" s="253"/>
      <c r="BQ220" s="253"/>
      <c r="BR220" s="253"/>
      <c r="BS220" s="316"/>
      <c r="BT220" s="253"/>
      <c r="BU220" s="253"/>
      <c r="BV220" s="253"/>
      <c r="BW220" s="253"/>
      <c r="BX220" s="253"/>
      <c r="BY220" s="253"/>
      <c r="BZ220" s="253"/>
      <c r="CA220" s="253"/>
      <c r="CB220" s="253"/>
      <c r="CC220" s="253"/>
      <c r="CD220" s="253"/>
      <c r="CE220" s="253"/>
      <c r="CF220" s="253"/>
      <c r="CG220" s="253"/>
      <c r="CH220" s="253"/>
      <c r="CI220" s="253"/>
      <c r="CJ220" s="253"/>
      <c r="CK220" s="253"/>
      <c r="CL220" s="253"/>
      <c r="CM220" s="253"/>
      <c r="CN220" s="253"/>
      <c r="CO220" s="253"/>
      <c r="CP220" s="253"/>
      <c r="CQ220" s="253"/>
      <c r="CR220" s="253"/>
      <c r="CS220" s="253"/>
      <c r="CT220" s="253"/>
      <c r="CU220" s="253"/>
      <c r="CV220" s="253"/>
      <c r="CW220" s="253"/>
      <c r="CX220" s="253"/>
      <c r="CY220" s="253"/>
      <c r="CZ220" s="253"/>
      <c r="DA220" s="253"/>
      <c r="DB220" s="253"/>
      <c r="DC220" s="253"/>
      <c r="DD220" s="253"/>
      <c r="DE220" s="253"/>
      <c r="DF220" s="253"/>
      <c r="DG220" s="253"/>
      <c r="DH220" s="253"/>
      <c r="DI220" s="253"/>
      <c r="DJ220" s="253"/>
      <c r="DK220" s="253"/>
      <c r="DL220" s="253"/>
      <c r="DM220" s="253"/>
      <c r="DN220" s="253"/>
      <c r="DO220" s="253"/>
      <c r="DP220" s="253"/>
    </row>
    <row r="221" spans="1:120">
      <c r="A221" s="250"/>
      <c r="B221" s="253" t="s">
        <v>821</v>
      </c>
      <c r="C221" s="253"/>
      <c r="D221" s="253"/>
      <c r="E221" s="253">
        <f t="shared" ref="E221:V221" si="389">+E149-D149</f>
        <v>55.5882</v>
      </c>
      <c r="F221" s="253">
        <f t="shared" si="389"/>
        <v>2.6118</v>
      </c>
      <c r="G221" s="253">
        <f t="shared" si="389"/>
        <v>0</v>
      </c>
      <c r="H221" s="253">
        <f t="shared" si="389"/>
        <v>0</v>
      </c>
      <c r="I221" s="253">
        <f t="shared" si="389"/>
        <v>0</v>
      </c>
      <c r="J221" s="253">
        <f t="shared" si="389"/>
        <v>19.4</v>
      </c>
      <c r="K221" s="253">
        <f t="shared" si="389"/>
        <v>160.1425</v>
      </c>
      <c r="L221" s="253">
        <f t="shared" si="389"/>
        <v>0.620000000000005</v>
      </c>
      <c r="M221" s="253">
        <f t="shared" si="389"/>
        <v>-1.90335000000002</v>
      </c>
      <c r="N221" s="253">
        <f t="shared" si="389"/>
        <v>125.745316</v>
      </c>
      <c r="O221" s="253">
        <f t="shared" si="389"/>
        <v>144.881753</v>
      </c>
      <c r="P221" s="253">
        <f t="shared" si="389"/>
        <v>0</v>
      </c>
      <c r="Q221" s="253">
        <f t="shared" si="389"/>
        <v>202.832807</v>
      </c>
      <c r="R221" s="253">
        <f t="shared" si="389"/>
        <v>-1.11237400000005</v>
      </c>
      <c r="S221" s="253">
        <f t="shared" si="389"/>
        <v>285.20266</v>
      </c>
      <c r="T221" s="253">
        <f t="shared" si="389"/>
        <v>0</v>
      </c>
      <c r="U221" s="253">
        <f t="shared" si="389"/>
        <v>0</v>
      </c>
      <c r="V221" s="253">
        <f t="shared" si="389"/>
        <v>0</v>
      </c>
      <c r="W221" s="303"/>
      <c r="X221" s="255"/>
      <c r="Y221" s="255"/>
      <c r="Z221" s="255"/>
      <c r="AA221" s="317"/>
      <c r="AB221" s="255"/>
      <c r="AC221" s="255"/>
      <c r="AD221" s="255"/>
      <c r="AE221" s="317"/>
      <c r="AF221" s="255"/>
      <c r="AG221" s="255"/>
      <c r="AH221" s="255"/>
      <c r="AI221" s="317"/>
      <c r="AJ221" s="255"/>
      <c r="AK221" s="255"/>
      <c r="AL221" s="255"/>
      <c r="AM221" s="317"/>
      <c r="AN221" s="255"/>
      <c r="AO221" s="255"/>
      <c r="AP221" s="255"/>
      <c r="AQ221" s="317"/>
      <c r="AR221" s="255"/>
      <c r="AS221" s="255"/>
      <c r="AT221" s="255"/>
      <c r="AU221" s="317"/>
      <c r="AV221" s="255"/>
      <c r="AW221" s="255"/>
      <c r="AX221" s="255"/>
      <c r="AY221" s="317"/>
      <c r="AZ221" s="255"/>
      <c r="BA221" s="255"/>
      <c r="BB221" s="255"/>
      <c r="BC221" s="317"/>
      <c r="BD221" s="255"/>
      <c r="BE221" s="255"/>
      <c r="BF221" s="255"/>
      <c r="BG221" s="317"/>
      <c r="BH221" s="255"/>
      <c r="BI221" s="255"/>
      <c r="BJ221" s="255"/>
      <c r="BK221" s="317"/>
      <c r="BL221" s="255"/>
      <c r="BM221" s="255"/>
      <c r="BN221" s="255"/>
      <c r="BO221" s="317"/>
      <c r="BP221" s="255"/>
      <c r="BQ221" s="255"/>
      <c r="BR221" s="255"/>
      <c r="BS221" s="317"/>
      <c r="BT221" s="255"/>
      <c r="BU221" s="255"/>
      <c r="BV221" s="255"/>
      <c r="BW221" s="255"/>
      <c r="BX221" s="255"/>
      <c r="BY221" s="255"/>
      <c r="BZ221" s="255"/>
      <c r="CA221" s="255"/>
      <c r="CB221" s="255"/>
      <c r="CC221" s="255"/>
      <c r="CD221" s="255"/>
      <c r="CE221" s="255"/>
      <c r="CF221" s="255"/>
      <c r="CG221" s="255"/>
      <c r="CH221" s="253"/>
      <c r="CI221" s="253"/>
      <c r="CJ221" s="253"/>
      <c r="CK221" s="253"/>
      <c r="CL221" s="253"/>
      <c r="CM221" s="253"/>
      <c r="CN221" s="253"/>
      <c r="CO221" s="253"/>
      <c r="CP221" s="253"/>
      <c r="CQ221" s="253"/>
      <c r="CR221" s="253"/>
      <c r="CS221" s="253"/>
      <c r="CT221" s="253"/>
      <c r="CU221" s="255"/>
      <c r="CV221" s="255"/>
      <c r="CW221" s="255"/>
      <c r="CX221" s="255"/>
      <c r="CY221" s="255"/>
      <c r="CZ221" s="255"/>
      <c r="DA221" s="255"/>
      <c r="DB221" s="255"/>
      <c r="DC221" s="255"/>
      <c r="DD221" s="255"/>
      <c r="DE221" s="255"/>
      <c r="DF221" s="255"/>
      <c r="DG221" s="255"/>
      <c r="DH221" s="255"/>
      <c r="DI221" s="255"/>
      <c r="DJ221" s="255"/>
      <c r="DK221" s="255"/>
      <c r="DL221" s="255"/>
      <c r="DM221" s="255"/>
      <c r="DN221" s="255"/>
      <c r="DO221" s="255"/>
      <c r="DP221" s="255"/>
    </row>
    <row r="222" spans="1:120">
      <c r="A222" s="250"/>
      <c r="B222" s="253" t="s">
        <v>264</v>
      </c>
      <c r="C222" s="253"/>
      <c r="D222" s="253"/>
      <c r="E222" s="253">
        <f t="shared" ref="E222:R222" si="390">+E139+E143-D139-D143</f>
        <v>17</v>
      </c>
      <c r="F222" s="253">
        <f t="shared" si="390"/>
        <v>-17</v>
      </c>
      <c r="G222" s="253">
        <f t="shared" si="390"/>
        <v>10</v>
      </c>
      <c r="H222" s="253">
        <f t="shared" si="390"/>
        <v>-5</v>
      </c>
      <c r="I222" s="253">
        <f t="shared" si="390"/>
        <v>-5</v>
      </c>
      <c r="J222" s="253">
        <f t="shared" si="390"/>
        <v>0</v>
      </c>
      <c r="K222" s="253">
        <f t="shared" si="390"/>
        <v>21.23851268</v>
      </c>
      <c r="L222" s="253">
        <f t="shared" si="390"/>
        <v>-21.23851268</v>
      </c>
      <c r="M222" s="253">
        <f t="shared" si="390"/>
        <v>0</v>
      </c>
      <c r="N222" s="253">
        <f t="shared" si="390"/>
        <v>71.56789944</v>
      </c>
      <c r="O222" s="253">
        <f t="shared" si="390"/>
        <v>-71.56789944</v>
      </c>
      <c r="P222" s="253">
        <f t="shared" si="390"/>
        <v>3.14850772</v>
      </c>
      <c r="Q222" s="253">
        <f t="shared" si="390"/>
        <v>0.62875641</v>
      </c>
      <c r="R222" s="253">
        <f t="shared" si="390"/>
        <v>-0.0940575699999999</v>
      </c>
      <c r="S222" s="253">
        <f t="shared" ref="S222:V222" si="391">+S143+S139-R139-R143</f>
        <v>-0.0607819899999997</v>
      </c>
      <c r="T222" s="253">
        <f t="shared" si="391"/>
        <v>0</v>
      </c>
      <c r="U222" s="253">
        <f t="shared" si="391"/>
        <v>0</v>
      </c>
      <c r="V222" s="253">
        <f t="shared" si="391"/>
        <v>0</v>
      </c>
      <c r="W222" s="303"/>
      <c r="X222" s="255"/>
      <c r="Y222" s="255"/>
      <c r="Z222" s="255"/>
      <c r="AA222" s="317"/>
      <c r="AB222" s="255"/>
      <c r="AC222" s="255"/>
      <c r="AD222" s="255"/>
      <c r="AE222" s="317"/>
      <c r="AF222" s="255"/>
      <c r="AG222" s="255"/>
      <c r="AH222" s="255"/>
      <c r="AI222" s="317"/>
      <c r="AJ222" s="255"/>
      <c r="AK222" s="255"/>
      <c r="AL222" s="255"/>
      <c r="AM222" s="317"/>
      <c r="AN222" s="255"/>
      <c r="AO222" s="255"/>
      <c r="AP222" s="255"/>
      <c r="AQ222" s="316"/>
      <c r="AR222" s="253"/>
      <c r="AS222" s="253"/>
      <c r="AT222" s="253"/>
      <c r="AU222" s="316"/>
      <c r="AV222" s="253"/>
      <c r="AW222" s="253"/>
      <c r="AX222" s="253"/>
      <c r="AY222" s="316"/>
      <c r="AZ222" s="253"/>
      <c r="BA222" s="253"/>
      <c r="BB222" s="253"/>
      <c r="BC222" s="316"/>
      <c r="BD222" s="253"/>
      <c r="BE222" s="253"/>
      <c r="BF222" s="253"/>
      <c r="BG222" s="316"/>
      <c r="BH222" s="253"/>
      <c r="BI222" s="253"/>
      <c r="BJ222" s="253"/>
      <c r="BK222" s="316"/>
      <c r="BL222" s="253"/>
      <c r="BM222" s="253"/>
      <c r="BN222" s="253"/>
      <c r="BO222" s="316"/>
      <c r="BP222" s="253"/>
      <c r="BQ222" s="253"/>
      <c r="BR222" s="253"/>
      <c r="BS222" s="316"/>
      <c r="BT222" s="253"/>
      <c r="BU222" s="253"/>
      <c r="BV222" s="253"/>
      <c r="BW222" s="253"/>
      <c r="BX222" s="253"/>
      <c r="BY222" s="253"/>
      <c r="BZ222" s="253"/>
      <c r="CA222" s="253"/>
      <c r="CB222" s="253"/>
      <c r="CC222" s="253"/>
      <c r="CD222" s="253"/>
      <c r="CE222" s="253"/>
      <c r="CF222" s="253"/>
      <c r="CG222" s="253"/>
      <c r="CH222" s="253"/>
      <c r="CI222" s="253"/>
      <c r="CJ222" s="253"/>
      <c r="CK222" s="253"/>
      <c r="CL222" s="253"/>
      <c r="CM222" s="253"/>
      <c r="CN222" s="253"/>
      <c r="CO222" s="253"/>
      <c r="CP222" s="253"/>
      <c r="CQ222" s="253"/>
      <c r="CR222" s="253"/>
      <c r="CS222" s="253"/>
      <c r="CT222" s="253"/>
      <c r="CU222" s="255"/>
      <c r="CV222" s="255"/>
      <c r="CW222" s="255"/>
      <c r="CX222" s="255"/>
      <c r="CY222" s="255"/>
      <c r="CZ222" s="255"/>
      <c r="DA222" s="255"/>
      <c r="DB222" s="255"/>
      <c r="DC222" s="255"/>
      <c r="DD222" s="255"/>
      <c r="DE222" s="255"/>
      <c r="DF222" s="255"/>
      <c r="DG222" s="255"/>
      <c r="DH222" s="255"/>
      <c r="DI222" s="255"/>
      <c r="DJ222" s="255"/>
      <c r="DK222" s="255"/>
      <c r="DL222" s="255"/>
      <c r="DM222" s="255"/>
      <c r="DN222" s="255"/>
      <c r="DO222" s="255"/>
      <c r="DP222" s="255"/>
    </row>
    <row r="223" spans="1:120">
      <c r="A223" s="250"/>
      <c r="B223" s="253" t="s">
        <v>822</v>
      </c>
      <c r="C223" s="253"/>
      <c r="D223" s="253"/>
      <c r="E223" s="253">
        <f t="shared" ref="E223:V223" si="392">+E148-D148</f>
        <v>0</v>
      </c>
      <c r="F223" s="253">
        <f t="shared" si="392"/>
        <v>0</v>
      </c>
      <c r="G223" s="253">
        <f t="shared" si="392"/>
        <v>0</v>
      </c>
      <c r="H223" s="253">
        <f t="shared" si="392"/>
        <v>0</v>
      </c>
      <c r="I223" s="253">
        <f t="shared" si="392"/>
        <v>0</v>
      </c>
      <c r="J223" s="253">
        <f t="shared" si="392"/>
        <v>0</v>
      </c>
      <c r="K223" s="253">
        <f t="shared" si="392"/>
        <v>0</v>
      </c>
      <c r="L223" s="253">
        <f t="shared" si="392"/>
        <v>0</v>
      </c>
      <c r="M223" s="253">
        <f t="shared" si="392"/>
        <v>0</v>
      </c>
      <c r="N223" s="253">
        <f t="shared" si="392"/>
        <v>0</v>
      </c>
      <c r="O223" s="253">
        <f t="shared" si="392"/>
        <v>0</v>
      </c>
      <c r="P223" s="253">
        <f t="shared" si="392"/>
        <v>0</v>
      </c>
      <c r="Q223" s="253">
        <f t="shared" si="392"/>
        <v>0</v>
      </c>
      <c r="R223" s="253">
        <f t="shared" si="392"/>
        <v>0</v>
      </c>
      <c r="S223" s="253">
        <f t="shared" si="392"/>
        <v>0</v>
      </c>
      <c r="T223" s="253">
        <f t="shared" si="392"/>
        <v>0</v>
      </c>
      <c r="U223" s="253">
        <f t="shared" si="392"/>
        <v>0</v>
      </c>
      <c r="V223" s="253">
        <f t="shared" si="392"/>
        <v>0</v>
      </c>
      <c r="W223" s="303"/>
      <c r="X223" s="255"/>
      <c r="Y223" s="255"/>
      <c r="Z223" s="255"/>
      <c r="AA223" s="317"/>
      <c r="AB223" s="255"/>
      <c r="AC223" s="255"/>
      <c r="AD223" s="255"/>
      <c r="AE223" s="317"/>
      <c r="AF223" s="255"/>
      <c r="AG223" s="255"/>
      <c r="AH223" s="255"/>
      <c r="AI223" s="317"/>
      <c r="AJ223" s="255"/>
      <c r="AK223" s="255"/>
      <c r="AL223" s="255"/>
      <c r="AM223" s="317"/>
      <c r="AN223" s="255"/>
      <c r="AO223" s="255"/>
      <c r="AP223" s="255"/>
      <c r="AQ223" s="317"/>
      <c r="AR223" s="255"/>
      <c r="AS223" s="255"/>
      <c r="AT223" s="255"/>
      <c r="AU223" s="317"/>
      <c r="AV223" s="255"/>
      <c r="AW223" s="255"/>
      <c r="AX223" s="255"/>
      <c r="AY223" s="317"/>
      <c r="AZ223" s="255"/>
      <c r="BA223" s="255"/>
      <c r="BB223" s="255"/>
      <c r="BC223" s="317"/>
      <c r="BD223" s="255"/>
      <c r="BE223" s="255"/>
      <c r="BF223" s="255"/>
      <c r="BG223" s="317"/>
      <c r="BH223" s="255"/>
      <c r="BI223" s="255"/>
      <c r="BJ223" s="255"/>
      <c r="BK223" s="317"/>
      <c r="BL223" s="255"/>
      <c r="BM223" s="255"/>
      <c r="BN223" s="255"/>
      <c r="BO223" s="317"/>
      <c r="BP223" s="255"/>
      <c r="BQ223" s="255"/>
      <c r="BR223" s="255"/>
      <c r="BS223" s="317"/>
      <c r="BT223" s="255"/>
      <c r="BU223" s="255"/>
      <c r="BV223" s="255"/>
      <c r="BW223" s="255"/>
      <c r="BX223" s="255"/>
      <c r="BY223" s="255"/>
      <c r="BZ223" s="255"/>
      <c r="CA223" s="255"/>
      <c r="CB223" s="255"/>
      <c r="CC223" s="255"/>
      <c r="CD223" s="255"/>
      <c r="CE223" s="255"/>
      <c r="CF223" s="255"/>
      <c r="CG223" s="255"/>
      <c r="CH223" s="253"/>
      <c r="CI223" s="253"/>
      <c r="CJ223" s="253"/>
      <c r="CK223" s="253"/>
      <c r="CL223" s="253"/>
      <c r="CM223" s="253"/>
      <c r="CN223" s="253"/>
      <c r="CO223" s="253"/>
      <c r="CP223" s="253"/>
      <c r="CQ223" s="253"/>
      <c r="CR223" s="253"/>
      <c r="CS223" s="253"/>
      <c r="CT223" s="253"/>
      <c r="CU223" s="255"/>
      <c r="CV223" s="255"/>
      <c r="CW223" s="255"/>
      <c r="CX223" s="255"/>
      <c r="CY223" s="255"/>
      <c r="CZ223" s="255"/>
      <c r="DA223" s="255"/>
      <c r="DB223" s="255"/>
      <c r="DC223" s="255"/>
      <c r="DD223" s="255"/>
      <c r="DE223" s="255"/>
      <c r="DF223" s="255"/>
      <c r="DG223" s="255"/>
      <c r="DH223" s="255"/>
      <c r="DI223" s="255"/>
      <c r="DJ223" s="255"/>
      <c r="DK223" s="255"/>
      <c r="DL223" s="255"/>
      <c r="DM223" s="255"/>
      <c r="DN223" s="255"/>
      <c r="DO223" s="255"/>
      <c r="DP223" s="255"/>
    </row>
    <row r="224" spans="1:120">
      <c r="A224" s="250"/>
      <c r="B224" s="253" t="s">
        <v>823</v>
      </c>
      <c r="C224" s="253"/>
      <c r="D224" s="253"/>
      <c r="E224" s="253">
        <f t="shared" ref="E224:R224" si="393">+E154-D154</f>
        <v>0</v>
      </c>
      <c r="F224" s="253">
        <f t="shared" si="393"/>
        <v>0</v>
      </c>
      <c r="G224" s="253">
        <f t="shared" si="393"/>
        <v>0</v>
      </c>
      <c r="H224" s="253">
        <f t="shared" si="393"/>
        <v>0</v>
      </c>
      <c r="I224" s="253">
        <f t="shared" si="393"/>
        <v>0</v>
      </c>
      <c r="J224" s="253">
        <f t="shared" si="393"/>
        <v>0</v>
      </c>
      <c r="K224" s="253">
        <f t="shared" si="393"/>
        <v>0</v>
      </c>
      <c r="L224" s="253">
        <f t="shared" si="393"/>
        <v>0</v>
      </c>
      <c r="M224" s="253">
        <f t="shared" si="393"/>
        <v>0</v>
      </c>
      <c r="N224" s="253">
        <f t="shared" si="393"/>
        <v>0</v>
      </c>
      <c r="O224" s="253">
        <f t="shared" si="393"/>
        <v>0</v>
      </c>
      <c r="P224" s="253">
        <f t="shared" si="393"/>
        <v>0</v>
      </c>
      <c r="Q224" s="253">
        <f t="shared" si="393"/>
        <v>0</v>
      </c>
      <c r="R224" s="253">
        <f t="shared" si="393"/>
        <v>0</v>
      </c>
      <c r="S224" s="253">
        <v>0</v>
      </c>
      <c r="T224" s="298">
        <v>0</v>
      </c>
      <c r="U224" s="298">
        <v>0</v>
      </c>
      <c r="V224" s="298">
        <v>0</v>
      </c>
      <c r="W224" s="303"/>
      <c r="X224" s="255"/>
      <c r="Y224" s="255"/>
      <c r="Z224" s="255"/>
      <c r="AA224" s="317"/>
      <c r="AB224" s="255"/>
      <c r="AC224" s="255"/>
      <c r="AD224" s="255"/>
      <c r="AE224" s="317"/>
      <c r="AF224" s="255"/>
      <c r="AG224" s="255"/>
      <c r="AH224" s="255"/>
      <c r="AI224" s="317"/>
      <c r="AJ224" s="255"/>
      <c r="AK224" s="255"/>
      <c r="AL224" s="255"/>
      <c r="AM224" s="317"/>
      <c r="AN224" s="255"/>
      <c r="AO224" s="255"/>
      <c r="AP224" s="255"/>
      <c r="AQ224" s="323"/>
      <c r="AR224" s="272"/>
      <c r="AS224" s="272"/>
      <c r="AT224" s="272"/>
      <c r="AU224" s="323"/>
      <c r="AV224" s="272"/>
      <c r="AW224" s="272"/>
      <c r="AX224" s="272"/>
      <c r="AY224" s="323"/>
      <c r="AZ224" s="272"/>
      <c r="BA224" s="272"/>
      <c r="BB224" s="272"/>
      <c r="BC224" s="323"/>
      <c r="BD224" s="272"/>
      <c r="BE224" s="272"/>
      <c r="BF224" s="272"/>
      <c r="BG224" s="323"/>
      <c r="BH224" s="272"/>
      <c r="BI224" s="272"/>
      <c r="BJ224" s="272"/>
      <c r="BK224" s="323"/>
      <c r="BL224" s="272"/>
      <c r="BM224" s="272"/>
      <c r="BN224" s="272"/>
      <c r="BO224" s="323"/>
      <c r="BP224" s="272"/>
      <c r="BQ224" s="272"/>
      <c r="BR224" s="272"/>
      <c r="BS224" s="323"/>
      <c r="BT224" s="272"/>
      <c r="BU224" s="272"/>
      <c r="BV224" s="272"/>
      <c r="BW224" s="272"/>
      <c r="BX224" s="272"/>
      <c r="BY224" s="272"/>
      <c r="BZ224" s="272"/>
      <c r="CA224" s="272"/>
      <c r="CB224" s="272"/>
      <c r="CC224" s="272"/>
      <c r="CD224" s="272"/>
      <c r="CE224" s="272"/>
      <c r="CF224" s="272"/>
      <c r="CG224" s="272"/>
      <c r="CH224" s="253"/>
      <c r="CI224" s="253"/>
      <c r="CJ224" s="253"/>
      <c r="CK224" s="253"/>
      <c r="CL224" s="253"/>
      <c r="CM224" s="253"/>
      <c r="CN224" s="253"/>
      <c r="CO224" s="253"/>
      <c r="CP224" s="253"/>
      <c r="CQ224" s="253"/>
      <c r="CR224" s="253"/>
      <c r="CS224" s="253"/>
      <c r="CT224" s="253"/>
      <c r="CU224" s="255"/>
      <c r="CV224" s="255"/>
      <c r="CW224" s="255"/>
      <c r="CX224" s="255"/>
      <c r="CY224" s="255"/>
      <c r="CZ224" s="255"/>
      <c r="DA224" s="255"/>
      <c r="DB224" s="255"/>
      <c r="DC224" s="255"/>
      <c r="DD224" s="255"/>
      <c r="DE224" s="255"/>
      <c r="DF224" s="255"/>
      <c r="DG224" s="255"/>
      <c r="DH224" s="255"/>
      <c r="DI224" s="255"/>
      <c r="DJ224" s="255"/>
      <c r="DK224" s="255"/>
      <c r="DL224" s="255"/>
      <c r="DM224" s="255"/>
      <c r="DN224" s="255"/>
      <c r="DO224" s="255"/>
      <c r="DP224" s="255"/>
    </row>
    <row r="225" spans="1:120">
      <c r="A225" s="250"/>
      <c r="B225" s="253" t="s">
        <v>268</v>
      </c>
      <c r="C225" s="292"/>
      <c r="D225" s="292"/>
      <c r="E225" s="292">
        <f t="shared" ref="E225:S225" si="394">+E226-E220-E221-E222-E223-E224</f>
        <v>-15.21420893</v>
      </c>
      <c r="F225" s="292">
        <f t="shared" si="394"/>
        <v>-3.58225444</v>
      </c>
      <c r="G225" s="292">
        <f t="shared" si="394"/>
        <v>4.85562111</v>
      </c>
      <c r="H225" s="292">
        <f t="shared" si="394"/>
        <v>-6.75238333</v>
      </c>
      <c r="I225" s="292">
        <f t="shared" si="394"/>
        <v>7.96823125</v>
      </c>
      <c r="J225" s="292">
        <f t="shared" si="394"/>
        <v>350.48549882</v>
      </c>
      <c r="K225" s="292">
        <f t="shared" si="394"/>
        <v>-118.97237114</v>
      </c>
      <c r="L225" s="292">
        <f t="shared" si="394"/>
        <v>25.93161158</v>
      </c>
      <c r="M225" s="292">
        <f t="shared" si="394"/>
        <v>-21.28542743</v>
      </c>
      <c r="N225" s="292">
        <f t="shared" si="394"/>
        <v>1510.19409616</v>
      </c>
      <c r="O225" s="292">
        <f t="shared" si="394"/>
        <v>-192.99901367</v>
      </c>
      <c r="P225" s="292">
        <f t="shared" si="394"/>
        <v>15.05688074</v>
      </c>
      <c r="Q225" s="292">
        <f t="shared" si="394"/>
        <v>-206.80177798</v>
      </c>
      <c r="R225" s="292">
        <f t="shared" si="394"/>
        <v>-12.3502427799999</v>
      </c>
      <c r="S225" s="292">
        <f t="shared" si="394"/>
        <v>471.119050837</v>
      </c>
      <c r="T225" s="298"/>
      <c r="U225" s="298"/>
      <c r="V225" s="298"/>
      <c r="W225" s="303"/>
      <c r="X225" s="253"/>
      <c r="Y225" s="253"/>
      <c r="Z225" s="253"/>
      <c r="AA225" s="316"/>
      <c r="AB225" s="253"/>
      <c r="AC225" s="253"/>
      <c r="AD225" s="253"/>
      <c r="AE225" s="316"/>
      <c r="AF225" s="253"/>
      <c r="AG225" s="253"/>
      <c r="AH225" s="253"/>
      <c r="AI225" s="316"/>
      <c r="AJ225" s="253"/>
      <c r="AK225" s="253"/>
      <c r="AL225" s="253"/>
      <c r="AM225" s="316"/>
      <c r="AN225" s="253"/>
      <c r="AO225" s="253"/>
      <c r="AP225" s="253"/>
      <c r="AQ225" s="316"/>
      <c r="AR225" s="253"/>
      <c r="AS225" s="253"/>
      <c r="AT225" s="253"/>
      <c r="AU225" s="316"/>
      <c r="AV225" s="253"/>
      <c r="AW225" s="253"/>
      <c r="AX225" s="253"/>
      <c r="AY225" s="316"/>
      <c r="AZ225" s="253"/>
      <c r="BA225" s="253"/>
      <c r="BB225" s="253"/>
      <c r="BC225" s="316"/>
      <c r="BD225" s="253"/>
      <c r="BE225" s="253"/>
      <c r="BF225" s="253"/>
      <c r="BG225" s="316"/>
      <c r="BH225" s="253"/>
      <c r="BI225" s="253"/>
      <c r="BJ225" s="253"/>
      <c r="BK225" s="316"/>
      <c r="BL225" s="253"/>
      <c r="BM225" s="253"/>
      <c r="BN225" s="253"/>
      <c r="BO225" s="316"/>
      <c r="BP225" s="253"/>
      <c r="BQ225" s="253"/>
      <c r="BR225" s="253"/>
      <c r="BS225" s="316"/>
      <c r="BT225" s="253"/>
      <c r="BU225" s="253"/>
      <c r="BV225" s="253"/>
      <c r="BW225" s="253"/>
      <c r="BX225" s="253"/>
      <c r="BY225" s="253"/>
      <c r="BZ225" s="253"/>
      <c r="CA225" s="253"/>
      <c r="CB225" s="253"/>
      <c r="CC225" s="253"/>
      <c r="CD225" s="253"/>
      <c r="CE225" s="253"/>
      <c r="CF225" s="253"/>
      <c r="CG225" s="253"/>
      <c r="CH225" s="253"/>
      <c r="CI225" s="253"/>
      <c r="CJ225" s="253"/>
      <c r="CK225" s="253"/>
      <c r="CL225" s="253"/>
      <c r="CM225" s="253"/>
      <c r="CN225" s="253"/>
      <c r="CO225" s="253"/>
      <c r="CP225" s="253"/>
      <c r="CQ225" s="253"/>
      <c r="CR225" s="253"/>
      <c r="CS225" s="253"/>
      <c r="CT225" s="253"/>
      <c r="CU225" s="253"/>
      <c r="CV225" s="253"/>
      <c r="CW225" s="253"/>
      <c r="CX225" s="253"/>
      <c r="CY225" s="253"/>
      <c r="CZ225" s="253"/>
      <c r="DA225" s="253"/>
      <c r="DB225" s="253"/>
      <c r="DC225" s="253"/>
      <c r="DD225" s="253"/>
      <c r="DE225" s="253"/>
      <c r="DF225" s="253"/>
      <c r="DG225" s="253"/>
      <c r="DH225" s="253"/>
      <c r="DI225" s="253"/>
      <c r="DJ225" s="253"/>
      <c r="DK225" s="253"/>
      <c r="DL225" s="253"/>
      <c r="DM225" s="253"/>
      <c r="DN225" s="253"/>
      <c r="DO225" s="253"/>
      <c r="DP225" s="253"/>
    </row>
    <row r="226" spans="1:120">
      <c r="A226" s="250"/>
      <c r="B226" s="257" t="s">
        <v>270</v>
      </c>
      <c r="C226" s="251"/>
      <c r="D226" s="251"/>
      <c r="E226" s="251">
        <v>57.37399107</v>
      </c>
      <c r="F226" s="251">
        <v>-17.97045444</v>
      </c>
      <c r="G226" s="251">
        <v>14.85562111</v>
      </c>
      <c r="H226" s="251">
        <v>-11.75238333</v>
      </c>
      <c r="I226" s="251">
        <v>2.96823125</v>
      </c>
      <c r="J226" s="251">
        <v>369.88549882</v>
      </c>
      <c r="K226" s="251">
        <v>34.93732849</v>
      </c>
      <c r="L226" s="251">
        <v>-23.46814195</v>
      </c>
      <c r="M226" s="251">
        <v>-51.78147743</v>
      </c>
      <c r="N226" s="251">
        <v>1664.653407</v>
      </c>
      <c r="O226" s="251">
        <v>-218.57850004</v>
      </c>
      <c r="P226" s="251">
        <v>-38.97410536</v>
      </c>
      <c r="Q226" s="251">
        <v>-67.23254896</v>
      </c>
      <c r="R226" s="251">
        <v>-123.42170541</v>
      </c>
      <c r="S226" s="251">
        <v>-196.93134417</v>
      </c>
      <c r="T226" s="257">
        <f t="shared" ref="T226:U226" si="395">SUM(T220:T225)</f>
        <v>-2068.28226425452</v>
      </c>
      <c r="U226" s="257">
        <f t="shared" si="395"/>
        <v>-3007.96186649683</v>
      </c>
      <c r="V226" s="257">
        <f t="shared" ref="V226" si="396">SUM(V220:V225)</f>
        <v>-3457.5553661925</v>
      </c>
      <c r="W226" s="303"/>
      <c r="X226" s="388"/>
      <c r="Y226" s="388"/>
      <c r="Z226" s="388"/>
      <c r="AA226" s="423"/>
      <c r="AB226" s="388"/>
      <c r="AC226" s="388"/>
      <c r="AD226" s="388"/>
      <c r="AE226" s="423"/>
      <c r="AF226" s="388"/>
      <c r="AG226" s="388"/>
      <c r="AH226" s="388"/>
      <c r="AI226" s="423"/>
      <c r="AJ226" s="388"/>
      <c r="AK226" s="388"/>
      <c r="AL226" s="388"/>
      <c r="AM226" s="423"/>
      <c r="AN226" s="388"/>
      <c r="AO226" s="388"/>
      <c r="AP226" s="388"/>
      <c r="AQ226" s="315"/>
      <c r="AR226" s="251"/>
      <c r="AS226" s="251"/>
      <c r="AT226" s="251"/>
      <c r="AU226" s="315"/>
      <c r="AV226" s="251"/>
      <c r="AW226" s="251"/>
      <c r="AX226" s="251"/>
      <c r="AY226" s="315"/>
      <c r="AZ226" s="251"/>
      <c r="BA226" s="251"/>
      <c r="BB226" s="251"/>
      <c r="BC226" s="315"/>
      <c r="BD226" s="251"/>
      <c r="BE226" s="251"/>
      <c r="BF226" s="251"/>
      <c r="BG226" s="315"/>
      <c r="BH226" s="251"/>
      <c r="BI226" s="251"/>
      <c r="BJ226" s="251"/>
      <c r="BK226" s="315"/>
      <c r="BL226" s="251"/>
      <c r="BM226" s="251"/>
      <c r="BN226" s="251"/>
      <c r="BO226" s="315"/>
      <c r="BP226" s="251"/>
      <c r="BQ226" s="251"/>
      <c r="BR226" s="251"/>
      <c r="BS226" s="315"/>
      <c r="BT226" s="251"/>
      <c r="BU226" s="251"/>
      <c r="BV226" s="251"/>
      <c r="BW226" s="251"/>
      <c r="BX226" s="251"/>
      <c r="BY226" s="251"/>
      <c r="BZ226" s="251"/>
      <c r="CA226" s="251"/>
      <c r="CB226" s="251"/>
      <c r="CC226" s="251"/>
      <c r="CD226" s="251"/>
      <c r="CE226" s="251"/>
      <c r="CF226" s="251"/>
      <c r="CG226" s="251"/>
      <c r="CH226" s="251"/>
      <c r="CI226" s="251"/>
      <c r="CJ226" s="251"/>
      <c r="CK226" s="251"/>
      <c r="CL226" s="251"/>
      <c r="CM226" s="251"/>
      <c r="CN226" s="251"/>
      <c r="CO226" s="251"/>
      <c r="CP226" s="251"/>
      <c r="CQ226" s="251"/>
      <c r="CR226" s="251"/>
      <c r="CS226" s="251"/>
      <c r="CT226" s="251"/>
      <c r="CU226" s="388"/>
      <c r="CV226" s="388"/>
      <c r="CW226" s="388"/>
      <c r="CX226" s="388"/>
      <c r="CY226" s="388"/>
      <c r="CZ226" s="388"/>
      <c r="DA226" s="388"/>
      <c r="DB226" s="388"/>
      <c r="DC226" s="388"/>
      <c r="DD226" s="388"/>
      <c r="DE226" s="388"/>
      <c r="DF226" s="388"/>
      <c r="DG226" s="388"/>
      <c r="DH226" s="388"/>
      <c r="DI226" s="388"/>
      <c r="DJ226" s="388"/>
      <c r="DK226" s="388"/>
      <c r="DL226" s="388"/>
      <c r="DM226" s="388"/>
      <c r="DN226" s="388"/>
      <c r="DO226" s="388"/>
      <c r="DP226" s="388"/>
    </row>
    <row r="227" spans="1:120">
      <c r="A227" s="250"/>
      <c r="B227" s="256" t="s">
        <v>768</v>
      </c>
      <c r="C227" s="253"/>
      <c r="D227" s="253"/>
      <c r="E227" s="253"/>
      <c r="F227" s="253"/>
      <c r="G227" s="253"/>
      <c r="H227" s="253"/>
      <c r="I227" s="253"/>
      <c r="J227" s="253"/>
      <c r="K227" s="253"/>
      <c r="L227" s="253"/>
      <c r="M227" s="253"/>
      <c r="N227" s="253"/>
      <c r="O227" s="253"/>
      <c r="P227" s="253"/>
      <c r="Q227" s="253"/>
      <c r="R227" s="253"/>
      <c r="S227" s="253"/>
      <c r="T227" s="253"/>
      <c r="U227" s="253"/>
      <c r="V227" s="253"/>
      <c r="W227" s="303"/>
      <c r="X227" s="253"/>
      <c r="Y227" s="253"/>
      <c r="Z227" s="253"/>
      <c r="AA227" s="316"/>
      <c r="AB227" s="253"/>
      <c r="AC227" s="253"/>
      <c r="AD227" s="253"/>
      <c r="AE227" s="316"/>
      <c r="AF227" s="253"/>
      <c r="AG227" s="253"/>
      <c r="AH227" s="253"/>
      <c r="AI227" s="316"/>
      <c r="AJ227" s="253"/>
      <c r="AK227" s="253"/>
      <c r="AL227" s="253"/>
      <c r="AM227" s="316"/>
      <c r="AN227" s="253"/>
      <c r="AO227" s="253"/>
      <c r="AP227" s="253"/>
      <c r="AQ227" s="316"/>
      <c r="AR227" s="253"/>
      <c r="AS227" s="253"/>
      <c r="AT227" s="253"/>
      <c r="AU227" s="316"/>
      <c r="AV227" s="253"/>
      <c r="AW227" s="253"/>
      <c r="AX227" s="253"/>
      <c r="AY227" s="316"/>
      <c r="AZ227" s="253"/>
      <c r="BA227" s="253"/>
      <c r="BB227" s="253"/>
      <c r="BC227" s="316"/>
      <c r="BD227" s="253"/>
      <c r="BE227" s="253"/>
      <c r="BF227" s="253"/>
      <c r="BG227" s="316"/>
      <c r="BH227" s="253"/>
      <c r="BI227" s="253"/>
      <c r="BJ227" s="253"/>
      <c r="BK227" s="316"/>
      <c r="BL227" s="253"/>
      <c r="BM227" s="253"/>
      <c r="BN227" s="253"/>
      <c r="BO227" s="316"/>
      <c r="BP227" s="253"/>
      <c r="BQ227" s="253"/>
      <c r="BR227" s="253"/>
      <c r="BS227" s="316"/>
      <c r="BT227" s="253"/>
      <c r="BU227" s="253"/>
      <c r="BV227" s="253"/>
      <c r="BW227" s="253"/>
      <c r="BX227" s="253"/>
      <c r="BY227" s="253"/>
      <c r="BZ227" s="253"/>
      <c r="CA227" s="253"/>
      <c r="CB227" s="253"/>
      <c r="CC227" s="253"/>
      <c r="CD227" s="253"/>
      <c r="CE227" s="253"/>
      <c r="CF227" s="253"/>
      <c r="CG227" s="253"/>
      <c r="CH227" s="253"/>
      <c r="CI227" s="253"/>
      <c r="CJ227" s="253"/>
      <c r="CK227" s="253"/>
      <c r="CL227" s="253"/>
      <c r="CM227" s="253"/>
      <c r="CN227" s="253"/>
      <c r="CO227" s="253"/>
      <c r="CP227" s="253"/>
      <c r="CQ227" s="253"/>
      <c r="CR227" s="253"/>
      <c r="CS227" s="253"/>
      <c r="CT227" s="253"/>
      <c r="CU227" s="253"/>
      <c r="CV227" s="253"/>
      <c r="CW227" s="253"/>
      <c r="CX227" s="253"/>
      <c r="CY227" s="253"/>
      <c r="CZ227" s="253"/>
      <c r="DA227" s="253"/>
      <c r="DB227" s="253"/>
      <c r="DC227" s="253"/>
      <c r="DD227" s="253"/>
      <c r="DE227" s="253"/>
      <c r="DF227" s="253"/>
      <c r="DG227" s="253"/>
      <c r="DH227" s="253"/>
      <c r="DI227" s="253"/>
      <c r="DJ227" s="253"/>
      <c r="DK227" s="253"/>
      <c r="DL227" s="253"/>
      <c r="DM227" s="253"/>
      <c r="DN227" s="253"/>
      <c r="DO227" s="253"/>
      <c r="DP227" s="253"/>
    </row>
    <row r="228" spans="1:120">
      <c r="A228" s="480"/>
      <c r="B228" s="448" t="s">
        <v>824</v>
      </c>
      <c r="C228" s="251"/>
      <c r="D228" s="251"/>
      <c r="E228" s="251">
        <v>-0.33290181</v>
      </c>
      <c r="F228" s="251">
        <v>-0.24784946</v>
      </c>
      <c r="G228" s="251">
        <v>-0.422205</v>
      </c>
      <c r="H228" s="251">
        <v>0.10404726</v>
      </c>
      <c r="I228" s="251">
        <v>-0.23932908</v>
      </c>
      <c r="J228" s="251">
        <v>2.07824531</v>
      </c>
      <c r="K228" s="251">
        <v>-1.68337204</v>
      </c>
      <c r="L228" s="251">
        <v>6.29913517</v>
      </c>
      <c r="M228" s="251">
        <v>3.82320449</v>
      </c>
      <c r="N228" s="251">
        <v>-0.29737129</v>
      </c>
      <c r="O228" s="251">
        <v>-6.24773906</v>
      </c>
      <c r="P228" s="251">
        <v>43.08048543</v>
      </c>
      <c r="Q228" s="251">
        <v>24.86234028</v>
      </c>
      <c r="R228" s="251">
        <v>15.70463843</v>
      </c>
      <c r="S228" s="251">
        <v>186.30037023</v>
      </c>
      <c r="T228" s="298">
        <v>0</v>
      </c>
      <c r="U228" s="298">
        <v>0</v>
      </c>
      <c r="V228" s="298">
        <v>0</v>
      </c>
      <c r="W228" s="303"/>
      <c r="X228" s="388"/>
      <c r="Y228" s="388"/>
      <c r="Z228" s="388"/>
      <c r="AA228" s="423"/>
      <c r="AB228" s="388"/>
      <c r="AC228" s="388"/>
      <c r="AD228" s="388"/>
      <c r="AE228" s="423"/>
      <c r="AF228" s="388"/>
      <c r="AG228" s="388"/>
      <c r="AH228" s="388"/>
      <c r="AI228" s="423"/>
      <c r="AJ228" s="388"/>
      <c r="AK228" s="388"/>
      <c r="AL228" s="388"/>
      <c r="AM228" s="423"/>
      <c r="AN228" s="388"/>
      <c r="AO228" s="388"/>
      <c r="AP228" s="388"/>
      <c r="AQ228" s="475"/>
      <c r="AR228" s="476"/>
      <c r="AS228" s="476"/>
      <c r="AT228" s="476"/>
      <c r="AU228" s="475"/>
      <c r="AV228" s="476"/>
      <c r="AW228" s="476"/>
      <c r="AX228" s="476"/>
      <c r="AY228" s="475"/>
      <c r="AZ228" s="476"/>
      <c r="BA228" s="476"/>
      <c r="BB228" s="476"/>
      <c r="BC228" s="475"/>
      <c r="BD228" s="476"/>
      <c r="BE228" s="476"/>
      <c r="BF228" s="476"/>
      <c r="BG228" s="475"/>
      <c r="BH228" s="476"/>
      <c r="BI228" s="476"/>
      <c r="BJ228" s="476"/>
      <c r="BK228" s="475"/>
      <c r="BL228" s="476"/>
      <c r="BM228" s="476"/>
      <c r="BN228" s="476"/>
      <c r="BO228" s="475"/>
      <c r="BP228" s="476"/>
      <c r="BQ228" s="476"/>
      <c r="BR228" s="476"/>
      <c r="BS228" s="475"/>
      <c r="BT228" s="476"/>
      <c r="BU228" s="476"/>
      <c r="BV228" s="476"/>
      <c r="BW228" s="476"/>
      <c r="BX228" s="476"/>
      <c r="BY228" s="476"/>
      <c r="BZ228" s="476"/>
      <c r="CA228" s="476"/>
      <c r="CB228" s="476"/>
      <c r="CC228" s="476"/>
      <c r="CD228" s="476"/>
      <c r="CE228" s="476"/>
      <c r="CF228" s="476"/>
      <c r="CG228" s="476"/>
      <c r="CH228" s="251"/>
      <c r="CI228" s="251"/>
      <c r="CJ228" s="251"/>
      <c r="CK228" s="251"/>
      <c r="CL228" s="251"/>
      <c r="CM228" s="251"/>
      <c r="CN228" s="251"/>
      <c r="CO228" s="251"/>
      <c r="CP228" s="251"/>
      <c r="CQ228" s="251"/>
      <c r="CR228" s="251"/>
      <c r="CS228" s="251"/>
      <c r="CT228" s="251"/>
      <c r="CU228" s="388"/>
      <c r="CV228" s="388"/>
      <c r="CW228" s="388"/>
      <c r="CX228" s="388"/>
      <c r="CY228" s="388"/>
      <c r="CZ228" s="388"/>
      <c r="DA228" s="388"/>
      <c r="DB228" s="388"/>
      <c r="DC228" s="388"/>
      <c r="DD228" s="388"/>
      <c r="DE228" s="388"/>
      <c r="DF228" s="388"/>
      <c r="DG228" s="388"/>
      <c r="DH228" s="388"/>
      <c r="DI228" s="388"/>
      <c r="DJ228" s="388"/>
      <c r="DK228" s="388"/>
      <c r="DL228" s="388"/>
      <c r="DM228" s="388"/>
      <c r="DN228" s="388"/>
      <c r="DO228" s="388"/>
      <c r="DP228" s="388"/>
    </row>
    <row r="229" spans="1:120">
      <c r="A229" s="250"/>
      <c r="B229" s="481" t="s">
        <v>825</v>
      </c>
      <c r="C229" s="410"/>
      <c r="D229" s="410"/>
      <c r="E229" s="410">
        <v>10.2266332</v>
      </c>
      <c r="F229" s="410">
        <v>7.29999997695074e-6</v>
      </c>
      <c r="G229" s="410">
        <v>0</v>
      </c>
      <c r="H229" s="410">
        <v>9.0518</v>
      </c>
      <c r="I229" s="410">
        <v>-8.34179999999999</v>
      </c>
      <c r="J229" s="410">
        <v>-0.0195448200000499</v>
      </c>
      <c r="K229" s="410">
        <v>21.17959609</v>
      </c>
      <c r="L229" s="410">
        <v>-21.60997407</v>
      </c>
      <c r="M229" s="410">
        <v>0.262498839999992</v>
      </c>
      <c r="N229" s="410">
        <v>115.51036741</v>
      </c>
      <c r="O229" s="410">
        <v>-85.40346754</v>
      </c>
      <c r="P229" s="410">
        <v>9.39441469999974</v>
      </c>
      <c r="Q229" s="410">
        <v>-23.6696613599996</v>
      </c>
      <c r="R229" s="410">
        <v>48.7469865599995</v>
      </c>
      <c r="S229" s="410">
        <v>224.168664</v>
      </c>
      <c r="T229" s="410">
        <v>0</v>
      </c>
      <c r="U229" s="410">
        <v>0</v>
      </c>
      <c r="V229" s="410">
        <v>0</v>
      </c>
      <c r="W229" s="303"/>
      <c r="X229" s="253"/>
      <c r="Y229" s="253"/>
      <c r="Z229" s="253"/>
      <c r="AA229" s="316"/>
      <c r="AB229" s="253"/>
      <c r="AC229" s="253"/>
      <c r="AD229" s="253"/>
      <c r="AE229" s="316"/>
      <c r="AF229" s="253"/>
      <c r="AG229" s="253"/>
      <c r="AH229" s="253"/>
      <c r="AI229" s="316"/>
      <c r="AJ229" s="253"/>
      <c r="AK229" s="253"/>
      <c r="AL229" s="253"/>
      <c r="AM229" s="316"/>
      <c r="AN229" s="253"/>
      <c r="AO229" s="253"/>
      <c r="AP229" s="253"/>
      <c r="AQ229" s="316"/>
      <c r="AR229" s="253"/>
      <c r="AS229" s="253"/>
      <c r="AT229" s="253"/>
      <c r="AU229" s="316"/>
      <c r="AV229" s="253"/>
      <c r="AW229" s="253"/>
      <c r="AX229" s="253"/>
      <c r="AY229" s="316"/>
      <c r="AZ229" s="253"/>
      <c r="BA229" s="253"/>
      <c r="BB229" s="253"/>
      <c r="BC229" s="316"/>
      <c r="BD229" s="253"/>
      <c r="BE229" s="253"/>
      <c r="BF229" s="253"/>
      <c r="BG229" s="316"/>
      <c r="BH229" s="253"/>
      <c r="BI229" s="253"/>
      <c r="BJ229" s="253"/>
      <c r="BK229" s="316"/>
      <c r="BL229" s="253"/>
      <c r="BM229" s="253"/>
      <c r="BN229" s="253"/>
      <c r="BO229" s="316"/>
      <c r="BP229" s="253"/>
      <c r="BQ229" s="253"/>
      <c r="BR229" s="253"/>
      <c r="BS229" s="316"/>
      <c r="BT229" s="253"/>
      <c r="BU229" s="253"/>
      <c r="BV229" s="253"/>
      <c r="BW229" s="253"/>
      <c r="BX229" s="253"/>
      <c r="BY229" s="253"/>
      <c r="BZ229" s="253"/>
      <c r="CA229" s="253"/>
      <c r="CB229" s="253"/>
      <c r="CC229" s="253"/>
      <c r="CD229" s="253"/>
      <c r="CE229" s="253"/>
      <c r="CF229" s="253"/>
      <c r="CG229" s="253"/>
      <c r="CH229" s="253"/>
      <c r="CI229" s="253"/>
      <c r="CJ229" s="253"/>
      <c r="CK229" s="253"/>
      <c r="CL229" s="253"/>
      <c r="CM229" s="253"/>
      <c r="CN229" s="253"/>
      <c r="CO229" s="253"/>
      <c r="CP229" s="253"/>
      <c r="CQ229" s="253"/>
      <c r="CR229" s="253"/>
      <c r="CS229" s="253"/>
      <c r="CT229" s="253"/>
      <c r="CU229" s="253"/>
      <c r="CV229" s="253"/>
      <c r="CW229" s="253"/>
      <c r="CX229" s="253"/>
      <c r="CY229" s="253"/>
      <c r="CZ229" s="253"/>
      <c r="DA229" s="253"/>
      <c r="DB229" s="253"/>
      <c r="DC229" s="253"/>
      <c r="DD229" s="253"/>
      <c r="DE229" s="253"/>
      <c r="DF229" s="253"/>
      <c r="DG229" s="253"/>
      <c r="DH229" s="253"/>
      <c r="DI229" s="253"/>
      <c r="DJ229" s="253"/>
      <c r="DK229" s="253"/>
      <c r="DL229" s="253"/>
      <c r="DM229" s="253"/>
      <c r="DN229" s="253"/>
      <c r="DO229" s="253"/>
      <c r="DP229" s="253"/>
    </row>
    <row r="230" spans="1:120">
      <c r="A230" s="265"/>
      <c r="B230" s="257" t="s">
        <v>826</v>
      </c>
      <c r="C230" s="257"/>
      <c r="D230" s="257"/>
      <c r="E230" s="257">
        <f t="shared" ref="E230:U230" si="397">+E212+E218+E226+E228+E229</f>
        <v>106.83875803</v>
      </c>
      <c r="F230" s="257">
        <f t="shared" si="397"/>
        <v>-8.29971532000002</v>
      </c>
      <c r="G230" s="257">
        <f t="shared" si="397"/>
        <v>-36.01492107</v>
      </c>
      <c r="H230" s="257">
        <f t="shared" si="397"/>
        <v>27.37197572</v>
      </c>
      <c r="I230" s="257">
        <f t="shared" si="397"/>
        <v>-10.57801385</v>
      </c>
      <c r="J230" s="257">
        <f t="shared" si="397"/>
        <v>56.28931516</v>
      </c>
      <c r="K230" s="257">
        <f t="shared" si="397"/>
        <v>-27.5405146</v>
      </c>
      <c r="L230" s="257">
        <f t="shared" si="397"/>
        <v>128.93338276</v>
      </c>
      <c r="M230" s="257">
        <f t="shared" si="397"/>
        <v>16.40333639</v>
      </c>
      <c r="N230" s="257">
        <f t="shared" si="397"/>
        <v>1677.99638297</v>
      </c>
      <c r="O230" s="257">
        <f t="shared" si="397"/>
        <v>-351.62180674</v>
      </c>
      <c r="P230" s="257">
        <f t="shared" si="397"/>
        <v>205.19035108</v>
      </c>
      <c r="Q230" s="257">
        <f t="shared" si="397"/>
        <v>730.35464608</v>
      </c>
      <c r="R230" s="257">
        <f t="shared" si="397"/>
        <v>-915.05407291</v>
      </c>
      <c r="S230" s="257">
        <f t="shared" si="397"/>
        <v>6555.3448343</v>
      </c>
      <c r="T230" s="257">
        <f t="shared" si="397"/>
        <v>7238.13873204182</v>
      </c>
      <c r="U230" s="257">
        <f t="shared" si="397"/>
        <v>23695.5591767473</v>
      </c>
      <c r="V230" s="257">
        <f t="shared" ref="V230" si="398">+V212+V218+V226+V228+V229</f>
        <v>18876.8973466706</v>
      </c>
      <c r="W230" s="303"/>
      <c r="X230" s="251"/>
      <c r="Y230" s="251"/>
      <c r="Z230" s="251"/>
      <c r="AA230" s="315"/>
      <c r="AB230" s="251"/>
      <c r="AC230" s="251"/>
      <c r="AD230" s="251"/>
      <c r="AE230" s="315"/>
      <c r="AF230" s="251"/>
      <c r="AG230" s="251"/>
      <c r="AH230" s="251"/>
      <c r="AI230" s="315"/>
      <c r="AJ230" s="251"/>
      <c r="AK230" s="251"/>
      <c r="AL230" s="251"/>
      <c r="AM230" s="315"/>
      <c r="AN230" s="251"/>
      <c r="AO230" s="251"/>
      <c r="AP230" s="251"/>
      <c r="AQ230" s="315"/>
      <c r="AR230" s="251"/>
      <c r="AS230" s="251"/>
      <c r="AT230" s="251"/>
      <c r="AU230" s="315"/>
      <c r="AV230" s="251"/>
      <c r="AW230" s="251"/>
      <c r="AX230" s="251"/>
      <c r="AY230" s="315"/>
      <c r="AZ230" s="251"/>
      <c r="BA230" s="251"/>
      <c r="BB230" s="251"/>
      <c r="BC230" s="315"/>
      <c r="BD230" s="251"/>
      <c r="BE230" s="251"/>
      <c r="BF230" s="251"/>
      <c r="BG230" s="315"/>
      <c r="BH230" s="251"/>
      <c r="BI230" s="251"/>
      <c r="BJ230" s="251"/>
      <c r="BK230" s="315"/>
      <c r="BL230" s="251"/>
      <c r="BM230" s="251"/>
      <c r="BN230" s="251"/>
      <c r="BO230" s="315"/>
      <c r="BP230" s="251"/>
      <c r="BQ230" s="251"/>
      <c r="BR230" s="251"/>
      <c r="BS230" s="315"/>
      <c r="BT230" s="251"/>
      <c r="BU230" s="251"/>
      <c r="BV230" s="251"/>
      <c r="BW230" s="251"/>
      <c r="BX230" s="251"/>
      <c r="BY230" s="251"/>
      <c r="BZ230" s="251"/>
      <c r="CA230" s="251"/>
      <c r="CB230" s="251"/>
      <c r="CC230" s="251"/>
      <c r="CD230" s="251"/>
      <c r="CE230" s="251"/>
      <c r="CF230" s="251"/>
      <c r="CG230" s="251"/>
      <c r="CH230" s="251"/>
      <c r="CI230" s="251"/>
      <c r="CJ230" s="251"/>
      <c r="CK230" s="251"/>
      <c r="CL230" s="251"/>
      <c r="CM230" s="251"/>
      <c r="CN230" s="251"/>
      <c r="CO230" s="251"/>
      <c r="CP230" s="251"/>
      <c r="CQ230" s="251"/>
      <c r="CR230" s="251"/>
      <c r="CS230" s="251"/>
      <c r="CT230" s="251"/>
      <c r="CU230" s="251"/>
      <c r="CV230" s="251"/>
      <c r="CW230" s="251"/>
      <c r="CX230" s="251"/>
      <c r="CY230" s="251"/>
      <c r="CZ230" s="251"/>
      <c r="DA230" s="251"/>
      <c r="DB230" s="251"/>
      <c r="DC230" s="251"/>
      <c r="DD230" s="251"/>
      <c r="DE230" s="251"/>
      <c r="DF230" s="251"/>
      <c r="DG230" s="251"/>
      <c r="DH230" s="251"/>
      <c r="DI230" s="251"/>
      <c r="DJ230" s="251"/>
      <c r="DK230" s="251"/>
      <c r="DL230" s="251"/>
      <c r="DM230" s="251"/>
      <c r="DN230" s="251"/>
      <c r="DO230" s="251"/>
      <c r="DP230" s="251"/>
    </row>
    <row r="231" spans="1:120">
      <c r="A231" s="250"/>
      <c r="B231" s="253"/>
      <c r="C231" s="269"/>
      <c r="D231" s="269"/>
      <c r="E231" s="269"/>
      <c r="F231" s="269"/>
      <c r="G231" s="269"/>
      <c r="H231" s="269"/>
      <c r="I231" s="269"/>
      <c r="J231" s="269"/>
      <c r="K231" s="269"/>
      <c r="L231" s="269"/>
      <c r="M231" s="269"/>
      <c r="N231" s="269"/>
      <c r="O231" s="277"/>
      <c r="P231" s="277"/>
      <c r="Q231" s="277"/>
      <c r="R231" s="277"/>
      <c r="S231" s="277"/>
      <c r="T231" s="277"/>
      <c r="U231" s="277"/>
      <c r="V231" s="277"/>
      <c r="W231" s="303"/>
      <c r="X231" s="277"/>
      <c r="Y231" s="277"/>
      <c r="Z231" s="277"/>
      <c r="AA231" s="326"/>
      <c r="AB231" s="277"/>
      <c r="AC231" s="277"/>
      <c r="AD231" s="277"/>
      <c r="AE231" s="326"/>
      <c r="AF231" s="277"/>
      <c r="AG231" s="277"/>
      <c r="AH231" s="277"/>
      <c r="AI231" s="326"/>
      <c r="AJ231" s="277"/>
      <c r="AK231" s="277"/>
      <c r="AL231" s="277"/>
      <c r="AM231" s="326"/>
      <c r="AN231" s="277"/>
      <c r="AO231" s="277"/>
      <c r="AP231" s="277"/>
      <c r="AQ231" s="337"/>
      <c r="AR231" s="303"/>
      <c r="AS231" s="303"/>
      <c r="AT231" s="310"/>
      <c r="AU231" s="340"/>
      <c r="AV231" s="310"/>
      <c r="AW231" s="310"/>
      <c r="AX231" s="310"/>
      <c r="AY231" s="340"/>
      <c r="AZ231" s="310"/>
      <c r="BA231" s="310"/>
      <c r="BB231" s="310"/>
      <c r="BC231" s="340"/>
      <c r="BD231" s="310"/>
      <c r="BE231" s="310"/>
      <c r="BF231" s="310"/>
      <c r="BG231" s="340"/>
      <c r="BH231" s="310"/>
      <c r="BI231" s="310"/>
      <c r="BJ231" s="310"/>
      <c r="BK231" s="340"/>
      <c r="BL231" s="310"/>
      <c r="BM231" s="310"/>
      <c r="BN231" s="310"/>
      <c r="BO231" s="340"/>
      <c r="BP231" s="310"/>
      <c r="BQ231" s="310"/>
      <c r="BR231" s="310"/>
      <c r="BS231" s="340"/>
      <c r="BT231" s="310"/>
      <c r="BU231" s="310"/>
      <c r="BV231" s="310"/>
      <c r="BW231" s="310"/>
      <c r="BX231" s="310"/>
      <c r="BY231" s="310"/>
      <c r="BZ231" s="310"/>
      <c r="CA231" s="310"/>
      <c r="CB231" s="310"/>
      <c r="CC231" s="310"/>
      <c r="CD231" s="310"/>
      <c r="CE231" s="310"/>
      <c r="CF231" s="310"/>
      <c r="CG231" s="310"/>
      <c r="CH231" s="303"/>
      <c r="CI231" s="303"/>
      <c r="CJ231" s="303"/>
      <c r="CK231" s="303"/>
      <c r="CL231" s="303"/>
      <c r="CM231" s="303"/>
      <c r="CN231" s="303"/>
      <c r="CO231" s="303"/>
      <c r="CP231" s="303"/>
      <c r="CQ231" s="303"/>
      <c r="CR231" s="303"/>
      <c r="CS231" s="303"/>
      <c r="CT231" s="303"/>
      <c r="CU231" s="303"/>
      <c r="CV231" s="303"/>
      <c r="CW231" s="303"/>
      <c r="CX231" s="303"/>
      <c r="CY231" s="303"/>
      <c r="CZ231" s="303"/>
      <c r="DA231" s="303"/>
      <c r="DB231" s="303"/>
      <c r="DC231" s="303"/>
      <c r="DD231" s="303"/>
      <c r="DE231" s="303"/>
      <c r="DF231" s="303"/>
      <c r="DG231" s="303"/>
      <c r="DH231" s="303"/>
      <c r="DI231" s="303"/>
      <c r="DJ231" s="303"/>
      <c r="DK231" s="303"/>
      <c r="DL231" s="303"/>
      <c r="DM231" s="303"/>
      <c r="DN231" s="303"/>
      <c r="DO231" s="303"/>
      <c r="DP231" s="303"/>
    </row>
    <row r="232" spans="1:120">
      <c r="A232" s="261"/>
      <c r="B232" s="281"/>
      <c r="C232" s="253"/>
      <c r="D232" s="253"/>
      <c r="E232" s="253"/>
      <c r="F232" s="253"/>
      <c r="G232" s="253"/>
      <c r="H232" s="253"/>
      <c r="I232" s="253"/>
      <c r="J232" s="253"/>
      <c r="K232" s="253"/>
      <c r="L232" s="253"/>
      <c r="M232" s="253"/>
      <c r="N232" s="253"/>
      <c r="O232" s="253"/>
      <c r="P232" s="253"/>
      <c r="Q232" s="253"/>
      <c r="R232" s="253"/>
      <c r="S232" s="253"/>
      <c r="T232" s="253"/>
      <c r="U232" s="253"/>
      <c r="V232" s="253"/>
      <c r="W232" s="303"/>
      <c r="X232" s="253"/>
      <c r="Y232" s="253"/>
      <c r="Z232" s="253"/>
      <c r="AA232" s="316"/>
      <c r="AB232" s="253"/>
      <c r="AC232" s="253"/>
      <c r="AD232" s="253"/>
      <c r="AE232" s="316"/>
      <c r="AF232" s="253"/>
      <c r="AG232" s="253"/>
      <c r="AH232" s="253"/>
      <c r="AI232" s="316"/>
      <c r="AJ232" s="253"/>
      <c r="AK232" s="253"/>
      <c r="AL232" s="253"/>
      <c r="AM232" s="316"/>
      <c r="AN232" s="253"/>
      <c r="AO232" s="253"/>
      <c r="AP232" s="253"/>
      <c r="AQ232" s="337"/>
      <c r="AR232" s="303"/>
      <c r="AS232" s="303"/>
      <c r="CH232" s="303"/>
      <c r="CI232" s="303"/>
      <c r="CJ232" s="303"/>
      <c r="CK232" s="303"/>
      <c r="CL232" s="303"/>
      <c r="CM232" s="303"/>
      <c r="CN232" s="303"/>
      <c r="CO232" s="303"/>
      <c r="CP232" s="303"/>
      <c r="CQ232" s="303"/>
      <c r="CR232" s="303"/>
      <c r="CS232" s="303"/>
      <c r="CT232" s="303"/>
      <c r="CU232" s="303"/>
      <c r="CV232" s="303"/>
      <c r="CW232" s="303"/>
      <c r="CX232" s="303"/>
      <c r="CY232" s="303"/>
      <c r="CZ232" s="303"/>
      <c r="DA232" s="303"/>
      <c r="DB232" s="303"/>
      <c r="DC232" s="303"/>
      <c r="DD232" s="303"/>
      <c r="DE232" s="303"/>
      <c r="DF232" s="303"/>
      <c r="DG232" s="303"/>
      <c r="DH232" s="303"/>
      <c r="DI232" s="303"/>
      <c r="DJ232" s="303"/>
      <c r="DK232" s="303"/>
      <c r="DL232" s="303"/>
      <c r="DM232" s="303"/>
      <c r="DN232" s="303"/>
      <c r="DO232" s="303"/>
      <c r="DP232" s="303"/>
    </row>
    <row r="233" ht="36" spans="1:120">
      <c r="A233" s="248" t="s">
        <v>827</v>
      </c>
      <c r="B233" s="303" t="s">
        <v>828</v>
      </c>
      <c r="C233" s="301"/>
      <c r="D233" s="301"/>
      <c r="E233" s="301"/>
      <c r="F233" s="301"/>
      <c r="G233" s="301"/>
      <c r="H233" s="301"/>
      <c r="I233" s="301"/>
      <c r="J233" s="301"/>
      <c r="K233" s="301"/>
      <c r="L233" s="482"/>
      <c r="M233" s="482"/>
      <c r="N233" s="482"/>
      <c r="O233" s="482"/>
      <c r="P233" s="482"/>
      <c r="Q233" s="482"/>
      <c r="R233" s="482"/>
      <c r="S233" s="482"/>
      <c r="T233" s="482"/>
      <c r="U233" s="482"/>
      <c r="V233" s="482"/>
      <c r="W233" s="300"/>
      <c r="X233" s="301"/>
      <c r="Y233" s="301"/>
      <c r="Z233" s="301"/>
      <c r="AA233" s="425"/>
      <c r="AB233" s="301"/>
      <c r="AC233" s="301"/>
      <c r="AD233" s="301"/>
      <c r="AE233" s="425"/>
      <c r="AF233" s="301"/>
      <c r="AG233" s="301"/>
      <c r="AH233" s="301"/>
      <c r="AI233" s="425"/>
      <c r="AJ233" s="301"/>
      <c r="AK233" s="301"/>
      <c r="AL233" s="301"/>
      <c r="AM233" s="425"/>
      <c r="AN233" s="301"/>
      <c r="AO233" s="301"/>
      <c r="AP233" s="301"/>
      <c r="AQ233" s="436"/>
      <c r="AR233" s="383"/>
      <c r="AS233" s="383"/>
      <c r="AT233" s="383"/>
      <c r="AU233" s="436"/>
      <c r="AV233" s="383"/>
      <c r="AW233" s="383"/>
      <c r="AX233" s="383"/>
      <c r="AY233" s="436"/>
      <c r="AZ233" s="383"/>
      <c r="BA233" s="383"/>
      <c r="BB233" s="383"/>
      <c r="BC233" s="436"/>
      <c r="BD233" s="383"/>
      <c r="BE233" s="383"/>
      <c r="BF233" s="383"/>
      <c r="BG233" s="436"/>
      <c r="BH233" s="383"/>
      <c r="BI233" s="383"/>
      <c r="BJ233" s="383"/>
      <c r="BK233" s="436"/>
      <c r="BL233" s="383"/>
      <c r="BM233" s="383"/>
      <c r="BN233" s="383"/>
      <c r="BO233" s="436"/>
      <c r="BP233" s="383"/>
      <c r="BQ233" s="383"/>
      <c r="BR233" s="383"/>
      <c r="BS233" s="436"/>
      <c r="BT233" s="383"/>
      <c r="BU233" s="383"/>
      <c r="BV233" s="383"/>
      <c r="BW233" s="383"/>
      <c r="BX233" s="383"/>
      <c r="BY233" s="383"/>
      <c r="BZ233" s="383"/>
      <c r="CA233" s="383"/>
      <c r="CB233" s="383"/>
      <c r="CC233" s="383"/>
      <c r="CD233" s="383"/>
      <c r="CE233" s="383"/>
      <c r="CF233" s="383"/>
      <c r="CG233" s="383"/>
      <c r="CH233" s="283"/>
      <c r="CI233" s="283"/>
      <c r="CJ233" s="283"/>
      <c r="CK233" s="283"/>
      <c r="CL233" s="283"/>
      <c r="CM233" s="283"/>
      <c r="CN233" s="283"/>
      <c r="CO233" s="283"/>
      <c r="CP233" s="283"/>
      <c r="CQ233" s="283"/>
      <c r="CR233" s="283"/>
      <c r="CS233" s="283"/>
      <c r="CT233" s="283"/>
      <c r="CU233" s="301"/>
      <c r="CV233" s="301"/>
      <c r="CW233" s="301"/>
      <c r="CX233" s="301"/>
      <c r="CY233" s="301"/>
      <c r="CZ233" s="301"/>
      <c r="DA233" s="301"/>
      <c r="DB233" s="301"/>
      <c r="DC233" s="301"/>
      <c r="DD233" s="301"/>
      <c r="DE233" s="301"/>
      <c r="DF233" s="301"/>
      <c r="DG233" s="301"/>
      <c r="DH233" s="301"/>
      <c r="DI233" s="301"/>
      <c r="DJ233" s="301"/>
      <c r="DK233" s="301"/>
      <c r="DL233" s="301"/>
      <c r="DM233" s="301"/>
      <c r="DN233" s="301"/>
      <c r="DO233" s="301"/>
      <c r="DP233" s="301"/>
    </row>
    <row r="234" spans="1:120">
      <c r="A234" s="261"/>
      <c r="B234" s="281"/>
      <c r="C234" s="253"/>
      <c r="D234" s="253"/>
      <c r="E234" s="253"/>
      <c r="F234" s="253"/>
      <c r="G234" s="253"/>
      <c r="H234" s="253"/>
      <c r="I234" s="253"/>
      <c r="J234" s="253"/>
      <c r="K234" s="253"/>
      <c r="L234" s="253"/>
      <c r="M234" s="253"/>
      <c r="N234" s="253"/>
      <c r="O234" s="253"/>
      <c r="P234" s="253"/>
      <c r="Q234" s="253"/>
      <c r="R234" s="253"/>
      <c r="S234" s="253"/>
      <c r="T234" s="253"/>
      <c r="U234" s="253"/>
      <c r="V234" s="253"/>
      <c r="W234" s="303"/>
      <c r="X234" s="253"/>
      <c r="Y234" s="253"/>
      <c r="Z234" s="253"/>
      <c r="AA234" s="316"/>
      <c r="AB234" s="253"/>
      <c r="AC234" s="253"/>
      <c r="AD234" s="253"/>
      <c r="AE234" s="316"/>
      <c r="AF234" s="253"/>
      <c r="AG234" s="253"/>
      <c r="AH234" s="253"/>
      <c r="AI234" s="316"/>
      <c r="AJ234" s="253"/>
      <c r="AK234" s="253"/>
      <c r="AL234" s="253"/>
      <c r="AM234" s="316"/>
      <c r="AN234" s="253"/>
      <c r="AO234" s="253"/>
      <c r="AP234" s="253"/>
      <c r="AQ234" s="337"/>
      <c r="AR234" s="303"/>
      <c r="AS234" s="303"/>
      <c r="CH234" s="303"/>
      <c r="CI234" s="303"/>
      <c r="CJ234" s="303"/>
      <c r="CK234" s="303"/>
      <c r="CL234" s="303"/>
      <c r="CM234" s="303"/>
      <c r="CN234" s="303"/>
      <c r="CO234" s="303"/>
      <c r="CP234" s="303"/>
      <c r="CQ234" s="303"/>
      <c r="CR234" s="303"/>
      <c r="CS234" s="303"/>
      <c r="CT234" s="303"/>
      <c r="CU234" s="303"/>
      <c r="CV234" s="303"/>
      <c r="CW234" s="303"/>
      <c r="CX234" s="303"/>
      <c r="CY234" s="303"/>
      <c r="CZ234" s="303"/>
      <c r="DA234" s="303"/>
      <c r="DB234" s="303"/>
      <c r="DC234" s="303"/>
      <c r="DD234" s="303"/>
      <c r="DE234" s="303"/>
      <c r="DF234" s="303"/>
      <c r="DG234" s="303"/>
      <c r="DH234" s="303"/>
      <c r="DI234" s="303"/>
      <c r="DJ234" s="303"/>
      <c r="DK234" s="303"/>
      <c r="DL234" s="303"/>
      <c r="DM234" s="303"/>
      <c r="DN234" s="303"/>
      <c r="DO234" s="303"/>
      <c r="DP234" s="303"/>
    </row>
    <row r="235" spans="1:120">
      <c r="A235" s="405"/>
      <c r="B235" s="254"/>
      <c r="C235" s="253"/>
      <c r="D235" s="253"/>
      <c r="E235" s="253"/>
      <c r="F235" s="253"/>
      <c r="G235" s="253"/>
      <c r="H235" s="253"/>
      <c r="I235" s="253"/>
      <c r="J235" s="253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303"/>
      <c r="X235" s="253"/>
      <c r="Y235" s="253"/>
      <c r="Z235" s="253"/>
      <c r="AA235" s="316"/>
      <c r="AB235" s="253"/>
      <c r="AC235" s="253"/>
      <c r="AD235" s="253"/>
      <c r="AE235" s="316"/>
      <c r="AF235" s="253"/>
      <c r="AG235" s="253"/>
      <c r="AH235" s="253"/>
      <c r="AI235" s="316"/>
      <c r="AJ235" s="253"/>
      <c r="AK235" s="253"/>
      <c r="AL235" s="253"/>
      <c r="AM235" s="316"/>
      <c r="AN235" s="253"/>
      <c r="AO235" s="253"/>
      <c r="AP235" s="253"/>
      <c r="AQ235" s="316"/>
      <c r="AR235" s="253"/>
      <c r="AS235" s="253"/>
      <c r="AT235" s="253"/>
      <c r="AU235" s="316"/>
      <c r="AV235" s="253"/>
      <c r="AW235" s="253"/>
      <c r="AX235" s="253"/>
      <c r="AY235" s="316"/>
      <c r="AZ235" s="253"/>
      <c r="BA235" s="253"/>
      <c r="BB235" s="253"/>
      <c r="BC235" s="316"/>
      <c r="BD235" s="253"/>
      <c r="BE235" s="253"/>
      <c r="BF235" s="253"/>
      <c r="BG235" s="316"/>
      <c r="BH235" s="253"/>
      <c r="BI235" s="253"/>
      <c r="BJ235" s="253"/>
      <c r="BK235" s="316"/>
      <c r="BL235" s="253"/>
      <c r="BM235" s="253"/>
      <c r="BN235" s="253"/>
      <c r="BO235" s="316"/>
      <c r="BP235" s="253"/>
      <c r="BQ235" s="253"/>
      <c r="BR235" s="253"/>
      <c r="BS235" s="316"/>
      <c r="BT235" s="253"/>
      <c r="BU235" s="253"/>
      <c r="BV235" s="253"/>
      <c r="BW235" s="253"/>
      <c r="BX235" s="253"/>
      <c r="BY235" s="253"/>
      <c r="BZ235" s="253"/>
      <c r="CA235" s="253"/>
      <c r="CB235" s="253"/>
      <c r="CC235" s="253"/>
      <c r="CD235" s="253"/>
      <c r="CE235" s="253"/>
      <c r="CF235" s="253"/>
      <c r="CG235" s="253"/>
      <c r="CH235" s="253"/>
      <c r="CI235" s="253"/>
      <c r="CJ235" s="253"/>
      <c r="CK235" s="253"/>
      <c r="CL235" s="253"/>
      <c r="CM235" s="253"/>
      <c r="CN235" s="253"/>
      <c r="CO235" s="253"/>
      <c r="CP235" s="253"/>
      <c r="CQ235" s="253"/>
      <c r="CR235" s="253"/>
      <c r="CS235" s="253"/>
      <c r="CT235" s="253"/>
      <c r="CU235" s="253"/>
      <c r="CV235" s="253"/>
      <c r="CW235" s="253"/>
      <c r="CX235" s="253"/>
      <c r="CY235" s="253"/>
      <c r="CZ235" s="253"/>
      <c r="DA235" s="253"/>
      <c r="DB235" s="253"/>
      <c r="DC235" s="253"/>
      <c r="DD235" s="253"/>
      <c r="DE235" s="253"/>
      <c r="DF235" s="253"/>
      <c r="DG235" s="253"/>
      <c r="DH235" s="253"/>
      <c r="DI235" s="253"/>
      <c r="DJ235" s="253"/>
      <c r="DK235" s="253"/>
      <c r="DL235" s="253"/>
      <c r="DM235" s="253"/>
      <c r="DN235" s="253"/>
      <c r="DO235" s="253"/>
      <c r="DP235" s="253"/>
    </row>
    <row r="236" spans="1:120">
      <c r="A236" s="405"/>
      <c r="B236" s="254"/>
      <c r="C236" s="253"/>
      <c r="D236" s="253"/>
      <c r="E236" s="253"/>
      <c r="F236" s="253"/>
      <c r="G236" s="253"/>
      <c r="H236" s="253"/>
      <c r="I236" s="253"/>
      <c r="J236" s="253"/>
      <c r="K236" s="253"/>
      <c r="L236" s="253"/>
      <c r="M236" s="253"/>
      <c r="N236" s="253"/>
      <c r="O236" s="253"/>
      <c r="P236" s="253"/>
      <c r="Q236" s="253"/>
      <c r="R236" s="253"/>
      <c r="S236" s="253"/>
      <c r="T236" s="253"/>
      <c r="U236" s="253"/>
      <c r="V236" s="253"/>
      <c r="W236" s="303"/>
      <c r="X236" s="253"/>
      <c r="Y236" s="253"/>
      <c r="Z236" s="253"/>
      <c r="AA236" s="316"/>
      <c r="AB236" s="253"/>
      <c r="AC236" s="253"/>
      <c r="AD236" s="253"/>
      <c r="AE236" s="316"/>
      <c r="AF236" s="253"/>
      <c r="AG236" s="253"/>
      <c r="AH236" s="253"/>
      <c r="AI236" s="316"/>
      <c r="AJ236" s="253"/>
      <c r="AK236" s="253"/>
      <c r="AL236" s="253"/>
      <c r="AM236" s="316"/>
      <c r="AN236" s="253"/>
      <c r="AO236" s="253"/>
      <c r="AP236" s="253"/>
      <c r="AQ236" s="316"/>
      <c r="AR236" s="253"/>
      <c r="AS236" s="253"/>
      <c r="AT236" s="253"/>
      <c r="AU236" s="316"/>
      <c r="AV236" s="253"/>
      <c r="AW236" s="253"/>
      <c r="AX236" s="253"/>
      <c r="AY236" s="316"/>
      <c r="AZ236" s="253"/>
      <c r="BA236" s="253"/>
      <c r="BB236" s="253"/>
      <c r="BC236" s="316"/>
      <c r="BD236" s="253"/>
      <c r="BE236" s="253"/>
      <c r="BF236" s="253"/>
      <c r="BG236" s="316"/>
      <c r="BH236" s="253"/>
      <c r="BI236" s="253"/>
      <c r="BJ236" s="253"/>
      <c r="BK236" s="316"/>
      <c r="BL236" s="253"/>
      <c r="BM236" s="253"/>
      <c r="BN236" s="253"/>
      <c r="BO236" s="316"/>
      <c r="BP236" s="253"/>
      <c r="BQ236" s="253"/>
      <c r="BR236" s="253"/>
      <c r="BS236" s="316"/>
      <c r="BT236" s="253"/>
      <c r="BU236" s="253"/>
      <c r="BV236" s="253"/>
      <c r="BW236" s="253"/>
      <c r="BX236" s="253"/>
      <c r="BY236" s="253"/>
      <c r="BZ236" s="253"/>
      <c r="CA236" s="253"/>
      <c r="CB236" s="253"/>
      <c r="CC236" s="253"/>
      <c r="CD236" s="253"/>
      <c r="CE236" s="253"/>
      <c r="CF236" s="253"/>
      <c r="CG236" s="253"/>
      <c r="CH236" s="253"/>
      <c r="CI236" s="253"/>
      <c r="CJ236" s="253"/>
      <c r="CK236" s="253"/>
      <c r="CL236" s="253"/>
      <c r="CM236" s="253"/>
      <c r="CN236" s="253"/>
      <c r="CO236" s="253"/>
      <c r="CP236" s="253"/>
      <c r="CQ236" s="253"/>
      <c r="CR236" s="253"/>
      <c r="CS236" s="253"/>
      <c r="CT236" s="253"/>
      <c r="CU236" s="253"/>
      <c r="CV236" s="253"/>
      <c r="CW236" s="253"/>
      <c r="CX236" s="253"/>
      <c r="CY236" s="253"/>
      <c r="CZ236" s="253"/>
      <c r="DA236" s="253"/>
      <c r="DB236" s="253"/>
      <c r="DC236" s="253"/>
      <c r="DD236" s="253"/>
      <c r="DE236" s="253"/>
      <c r="DF236" s="253"/>
      <c r="DG236" s="253"/>
      <c r="DH236" s="253"/>
      <c r="DI236" s="253"/>
      <c r="DJ236" s="253"/>
      <c r="DK236" s="253"/>
      <c r="DL236" s="253"/>
      <c r="DM236" s="253"/>
      <c r="DN236" s="253"/>
      <c r="DO236" s="253"/>
      <c r="DP236" s="253"/>
    </row>
    <row r="237" spans="1:120">
      <c r="A237" s="405"/>
      <c r="B237" s="254"/>
      <c r="C237" s="253"/>
      <c r="D237" s="253"/>
      <c r="E237" s="253"/>
      <c r="F237" s="253"/>
      <c r="G237" s="253"/>
      <c r="H237" s="253"/>
      <c r="I237" s="253"/>
      <c r="J237" s="255"/>
      <c r="K237" s="255"/>
      <c r="L237" s="253"/>
      <c r="M237" s="253"/>
      <c r="N237" s="253"/>
      <c r="O237" s="253"/>
      <c r="P237" s="253"/>
      <c r="Q237" s="253"/>
      <c r="R237" s="253"/>
      <c r="S237" s="253"/>
      <c r="T237" s="253"/>
      <c r="U237" s="253"/>
      <c r="V237" s="253"/>
      <c r="W237" s="303"/>
      <c r="X237" s="255"/>
      <c r="Y237" s="255"/>
      <c r="Z237" s="255"/>
      <c r="AA237" s="317"/>
      <c r="AB237" s="255"/>
      <c r="AC237" s="255"/>
      <c r="AD237" s="255"/>
      <c r="AE237" s="317"/>
      <c r="AF237" s="255"/>
      <c r="AG237" s="255"/>
      <c r="AH237" s="255"/>
      <c r="AI237" s="317"/>
      <c r="AJ237" s="255"/>
      <c r="AK237" s="255"/>
      <c r="AL237" s="255"/>
      <c r="AM237" s="317"/>
      <c r="AN237" s="255"/>
      <c r="AO237" s="255"/>
      <c r="AP237" s="255"/>
      <c r="AQ237" s="434"/>
      <c r="AR237" s="435"/>
      <c r="AS237" s="435"/>
      <c r="AT237" s="435"/>
      <c r="AU237" s="434"/>
      <c r="AV237" s="435"/>
      <c r="AW237" s="435"/>
      <c r="AX237" s="435"/>
      <c r="AY237" s="434"/>
      <c r="AZ237" s="435"/>
      <c r="BA237" s="435"/>
      <c r="BB237" s="435"/>
      <c r="BC237" s="434"/>
      <c r="BD237" s="435"/>
      <c r="BE237" s="435"/>
      <c r="BF237" s="435"/>
      <c r="BG237" s="434"/>
      <c r="BH237" s="435"/>
      <c r="BI237" s="435"/>
      <c r="BJ237" s="435"/>
      <c r="BK237" s="434"/>
      <c r="BL237" s="435"/>
      <c r="BM237" s="435"/>
      <c r="BN237" s="435"/>
      <c r="BO237" s="434"/>
      <c r="BP237" s="435"/>
      <c r="BQ237" s="435"/>
      <c r="BR237" s="435"/>
      <c r="BS237" s="434"/>
      <c r="BT237" s="435"/>
      <c r="BU237" s="435"/>
      <c r="BV237" s="435"/>
      <c r="BW237" s="435"/>
      <c r="BX237" s="435"/>
      <c r="BY237" s="435"/>
      <c r="BZ237" s="435"/>
      <c r="CA237" s="435"/>
      <c r="CB237" s="435"/>
      <c r="CC237" s="435"/>
      <c r="CD237" s="435"/>
      <c r="CE237" s="435"/>
      <c r="CF237" s="435"/>
      <c r="CG237" s="435"/>
      <c r="CH237" s="253"/>
      <c r="CI237" s="253"/>
      <c r="CJ237" s="253"/>
      <c r="CK237" s="253"/>
      <c r="CL237" s="253"/>
      <c r="CM237" s="253"/>
      <c r="CN237" s="253"/>
      <c r="CO237" s="253"/>
      <c r="CP237" s="253"/>
      <c r="CQ237" s="253"/>
      <c r="CR237" s="253"/>
      <c r="CS237" s="253"/>
      <c r="CT237" s="253"/>
      <c r="CU237" s="255"/>
      <c r="CV237" s="255"/>
      <c r="CW237" s="255"/>
      <c r="CX237" s="255"/>
      <c r="CY237" s="255"/>
      <c r="CZ237" s="255"/>
      <c r="DA237" s="255"/>
      <c r="DB237" s="255"/>
      <c r="DC237" s="255"/>
      <c r="DD237" s="255"/>
      <c r="DE237" s="255"/>
      <c r="DF237" s="255"/>
      <c r="DG237" s="255"/>
      <c r="DH237" s="255"/>
      <c r="DI237" s="255"/>
      <c r="DJ237" s="255"/>
      <c r="DK237" s="255"/>
      <c r="DL237" s="255"/>
      <c r="DM237" s="255"/>
      <c r="DN237" s="255"/>
      <c r="DO237" s="255"/>
      <c r="DP237" s="255"/>
    </row>
    <row r="238" spans="1:120">
      <c r="A238" s="405"/>
      <c r="B238" s="254"/>
      <c r="C238" s="253"/>
      <c r="D238" s="253"/>
      <c r="E238" s="253"/>
      <c r="F238" s="253"/>
      <c r="G238" s="253"/>
      <c r="H238" s="253"/>
      <c r="I238" s="253"/>
      <c r="J238" s="253"/>
      <c r="K238" s="253"/>
      <c r="L238" s="253"/>
      <c r="M238" s="253"/>
      <c r="N238" s="253"/>
      <c r="O238" s="253"/>
      <c r="P238" s="253"/>
      <c r="Q238" s="253"/>
      <c r="R238" s="253"/>
      <c r="S238" s="253"/>
      <c r="T238" s="253"/>
      <c r="U238" s="253"/>
      <c r="V238" s="253"/>
      <c r="W238" s="303"/>
      <c r="X238" s="253"/>
      <c r="Y238" s="253"/>
      <c r="Z238" s="253"/>
      <c r="AA238" s="316"/>
      <c r="AB238" s="253"/>
      <c r="AC238" s="253"/>
      <c r="AD238" s="253"/>
      <c r="AE238" s="316"/>
      <c r="AF238" s="253"/>
      <c r="AG238" s="253"/>
      <c r="AH238" s="253"/>
      <c r="AI238" s="316"/>
      <c r="AJ238" s="253"/>
      <c r="AK238" s="253"/>
      <c r="AL238" s="253"/>
      <c r="AM238" s="316"/>
      <c r="AN238" s="253"/>
      <c r="AO238" s="253"/>
      <c r="AP238" s="253"/>
      <c r="AQ238" s="434"/>
      <c r="AR238" s="435"/>
      <c r="AS238" s="435"/>
      <c r="AT238" s="435"/>
      <c r="AU238" s="434"/>
      <c r="AV238" s="435"/>
      <c r="AW238" s="435"/>
      <c r="AX238" s="435"/>
      <c r="AY238" s="434"/>
      <c r="AZ238" s="435"/>
      <c r="BA238" s="435"/>
      <c r="BB238" s="435"/>
      <c r="BC238" s="434"/>
      <c r="BD238" s="435"/>
      <c r="BE238" s="435"/>
      <c r="BF238" s="435"/>
      <c r="BG238" s="434"/>
      <c r="BH238" s="435"/>
      <c r="BI238" s="435"/>
      <c r="BJ238" s="435"/>
      <c r="BK238" s="434"/>
      <c r="BL238" s="435"/>
      <c r="BM238" s="435"/>
      <c r="BN238" s="435"/>
      <c r="BO238" s="434"/>
      <c r="BP238" s="435"/>
      <c r="BQ238" s="435"/>
      <c r="BR238" s="435"/>
      <c r="BS238" s="434"/>
      <c r="BT238" s="435"/>
      <c r="BU238" s="435"/>
      <c r="BV238" s="435"/>
      <c r="BW238" s="435"/>
      <c r="BX238" s="435"/>
      <c r="BY238" s="435"/>
      <c r="BZ238" s="435"/>
      <c r="CA238" s="435"/>
      <c r="CB238" s="435"/>
      <c r="CC238" s="435"/>
      <c r="CD238" s="435"/>
      <c r="CE238" s="435"/>
      <c r="CF238" s="435"/>
      <c r="CG238" s="435"/>
      <c r="CH238" s="253"/>
      <c r="CI238" s="253"/>
      <c r="CJ238" s="253"/>
      <c r="CK238" s="253"/>
      <c r="CL238" s="253"/>
      <c r="CM238" s="253"/>
      <c r="CN238" s="253"/>
      <c r="CO238" s="253"/>
      <c r="CP238" s="253"/>
      <c r="CQ238" s="253"/>
      <c r="CR238" s="253"/>
      <c r="CS238" s="253"/>
      <c r="CT238" s="253"/>
      <c r="CU238" s="253"/>
      <c r="CV238" s="253"/>
      <c r="CW238" s="253"/>
      <c r="CX238" s="253"/>
      <c r="CY238" s="253"/>
      <c r="CZ238" s="253"/>
      <c r="DA238" s="253"/>
      <c r="DB238" s="253"/>
      <c r="DC238" s="253"/>
      <c r="DD238" s="253"/>
      <c r="DE238" s="253"/>
      <c r="DF238" s="253"/>
      <c r="DG238" s="253"/>
      <c r="DH238" s="253"/>
      <c r="DI238" s="253"/>
      <c r="DJ238" s="253"/>
      <c r="DK238" s="253"/>
      <c r="DL238" s="253"/>
      <c r="DM238" s="253"/>
      <c r="DN238" s="253"/>
      <c r="DO238" s="253"/>
      <c r="DP238" s="253"/>
    </row>
    <row r="239" spans="1:120">
      <c r="A239" s="405"/>
      <c r="B239" s="254"/>
      <c r="C239" s="253"/>
      <c r="D239" s="253"/>
      <c r="E239" s="253"/>
      <c r="F239" s="253"/>
      <c r="G239" s="253"/>
      <c r="H239" s="253"/>
      <c r="I239" s="253"/>
      <c r="J239" s="253"/>
      <c r="K239" s="253"/>
      <c r="L239" s="253"/>
      <c r="M239" s="253"/>
      <c r="N239" s="253"/>
      <c r="O239" s="253"/>
      <c r="P239" s="253"/>
      <c r="Q239" s="253"/>
      <c r="R239" s="253"/>
      <c r="S239" s="253"/>
      <c r="T239" s="253"/>
      <c r="U239" s="253"/>
      <c r="V239" s="253"/>
      <c r="W239" s="303"/>
      <c r="X239" s="253"/>
      <c r="Y239" s="253"/>
      <c r="Z239" s="253"/>
      <c r="AA239" s="316"/>
      <c r="AB239" s="253"/>
      <c r="AC239" s="253"/>
      <c r="AD239" s="253"/>
      <c r="AE239" s="316"/>
      <c r="AF239" s="253"/>
      <c r="AG239" s="253"/>
      <c r="AH239" s="253"/>
      <c r="AI239" s="316"/>
      <c r="AJ239" s="253"/>
      <c r="AK239" s="253"/>
      <c r="AL239" s="253"/>
      <c r="AM239" s="316"/>
      <c r="AN239" s="253"/>
      <c r="AO239" s="253"/>
      <c r="AP239" s="253"/>
      <c r="AQ239" s="337"/>
      <c r="AR239" s="303"/>
      <c r="AS239" s="303"/>
      <c r="AT239" s="310"/>
      <c r="AU239" s="340"/>
      <c r="AV239" s="310"/>
      <c r="AW239" s="310"/>
      <c r="AX239" s="310"/>
      <c r="AY239" s="340"/>
      <c r="AZ239" s="310"/>
      <c r="BA239" s="310"/>
      <c r="BB239" s="310"/>
      <c r="BC239" s="340"/>
      <c r="BD239" s="310"/>
      <c r="BE239" s="310"/>
      <c r="BF239" s="310"/>
      <c r="BG239" s="340"/>
      <c r="BH239" s="310"/>
      <c r="BI239" s="310"/>
      <c r="BJ239" s="310"/>
      <c r="BK239" s="340"/>
      <c r="BL239" s="310"/>
      <c r="BM239" s="310"/>
      <c r="BN239" s="310"/>
      <c r="BO239" s="340"/>
      <c r="BP239" s="310"/>
      <c r="BQ239" s="310"/>
      <c r="BR239" s="310"/>
      <c r="BS239" s="340"/>
      <c r="BT239" s="310"/>
      <c r="BU239" s="310"/>
      <c r="BV239" s="310"/>
      <c r="BW239" s="310"/>
      <c r="BX239" s="310"/>
      <c r="BY239" s="310"/>
      <c r="BZ239" s="310"/>
      <c r="CA239" s="310"/>
      <c r="CB239" s="310"/>
      <c r="CC239" s="310"/>
      <c r="CD239" s="310"/>
      <c r="CE239" s="310"/>
      <c r="CF239" s="310"/>
      <c r="CG239" s="310"/>
      <c r="CH239" s="303"/>
      <c r="CI239" s="303"/>
      <c r="CJ239" s="303"/>
      <c r="CK239" s="303"/>
      <c r="CL239" s="303"/>
      <c r="CM239" s="303"/>
      <c r="CN239" s="303"/>
      <c r="CO239" s="303"/>
      <c r="CP239" s="303"/>
      <c r="CQ239" s="303"/>
      <c r="CR239" s="303"/>
      <c r="CS239" s="303"/>
      <c r="CT239" s="303"/>
      <c r="CU239" s="303"/>
      <c r="CV239" s="303"/>
      <c r="CW239" s="303"/>
      <c r="CX239" s="303"/>
      <c r="CY239" s="303"/>
      <c r="CZ239" s="303"/>
      <c r="DA239" s="303"/>
      <c r="DB239" s="303"/>
      <c r="DC239" s="303"/>
      <c r="DD239" s="303"/>
      <c r="DE239" s="303"/>
      <c r="DF239" s="303"/>
      <c r="DG239" s="303"/>
      <c r="DH239" s="303"/>
      <c r="DI239" s="303"/>
      <c r="DJ239" s="303"/>
      <c r="DK239" s="303"/>
      <c r="DL239" s="303"/>
      <c r="DM239" s="303"/>
      <c r="DN239" s="303"/>
      <c r="DO239" s="303"/>
      <c r="DP239" s="303"/>
    </row>
    <row r="240" spans="1:120">
      <c r="A240" s="248"/>
      <c r="B240" s="254"/>
      <c r="C240" s="253"/>
      <c r="D240" s="253"/>
      <c r="E240" s="253"/>
      <c r="F240" s="253"/>
      <c r="G240" s="253"/>
      <c r="H240" s="253"/>
      <c r="I240" s="253"/>
      <c r="J240" s="253"/>
      <c r="K240" s="253"/>
      <c r="L240" s="253"/>
      <c r="M240" s="253"/>
      <c r="N240" s="253"/>
      <c r="O240" s="253"/>
      <c r="P240" s="253"/>
      <c r="Q240" s="253"/>
      <c r="R240" s="253"/>
      <c r="S240" s="253"/>
      <c r="T240" s="253"/>
      <c r="U240" s="253"/>
      <c r="V240" s="253"/>
      <c r="W240" s="303"/>
      <c r="X240" s="253"/>
      <c r="Y240" s="253"/>
      <c r="Z240" s="253"/>
      <c r="AA240" s="316"/>
      <c r="AB240" s="253"/>
      <c r="AC240" s="253"/>
      <c r="AD240" s="253"/>
      <c r="AE240" s="316"/>
      <c r="AF240" s="253"/>
      <c r="AG240" s="253"/>
      <c r="AH240" s="253"/>
      <c r="AI240" s="316"/>
      <c r="AJ240" s="253"/>
      <c r="AK240" s="253"/>
      <c r="AL240" s="253"/>
      <c r="AM240" s="316"/>
      <c r="AN240" s="253"/>
      <c r="AO240" s="253"/>
      <c r="AP240" s="253"/>
      <c r="AQ240" s="337"/>
      <c r="AR240" s="303"/>
      <c r="AS240" s="303"/>
      <c r="AT240" s="310"/>
      <c r="AU240" s="340"/>
      <c r="AV240" s="310"/>
      <c r="AW240" s="310"/>
      <c r="AX240" s="310"/>
      <c r="AY240" s="340"/>
      <c r="AZ240" s="310"/>
      <c r="BA240" s="310"/>
      <c r="BB240" s="310"/>
      <c r="BC240" s="340"/>
      <c r="BD240" s="310"/>
      <c r="BE240" s="310"/>
      <c r="BF240" s="310"/>
      <c r="BG240" s="340"/>
      <c r="BH240" s="310"/>
      <c r="BI240" s="310"/>
      <c r="BJ240" s="310"/>
      <c r="BK240" s="340"/>
      <c r="BL240" s="310"/>
      <c r="BM240" s="310"/>
      <c r="BN240" s="310"/>
      <c r="BO240" s="340"/>
      <c r="BP240" s="310"/>
      <c r="BQ240" s="310"/>
      <c r="BR240" s="310"/>
      <c r="BS240" s="340"/>
      <c r="BT240" s="310"/>
      <c r="BU240" s="310"/>
      <c r="BV240" s="310"/>
      <c r="BW240" s="310"/>
      <c r="BX240" s="310"/>
      <c r="BY240" s="310"/>
      <c r="BZ240" s="310"/>
      <c r="CA240" s="310"/>
      <c r="CB240" s="310"/>
      <c r="CC240" s="310"/>
      <c r="CD240" s="310"/>
      <c r="CE240" s="310"/>
      <c r="CF240" s="310"/>
      <c r="CG240" s="310"/>
      <c r="CH240" s="303"/>
      <c r="CI240" s="303"/>
      <c r="CJ240" s="303"/>
      <c r="CK240" s="303"/>
      <c r="CL240" s="303"/>
      <c r="CM240" s="303"/>
      <c r="CN240" s="303"/>
      <c r="CO240" s="303"/>
      <c r="CP240" s="303"/>
      <c r="CQ240" s="303"/>
      <c r="CR240" s="303"/>
      <c r="CS240" s="303"/>
      <c r="CT240" s="303"/>
      <c r="CU240" s="303"/>
      <c r="CV240" s="303"/>
      <c r="CW240" s="303"/>
      <c r="CX240" s="303"/>
      <c r="CY240" s="303"/>
      <c r="CZ240" s="303"/>
      <c r="DA240" s="303"/>
      <c r="DB240" s="303"/>
      <c r="DC240" s="303"/>
      <c r="DD240" s="303"/>
      <c r="DE240" s="303"/>
      <c r="DF240" s="303"/>
      <c r="DG240" s="303"/>
      <c r="DH240" s="303"/>
      <c r="DI240" s="303"/>
      <c r="DJ240" s="303"/>
      <c r="DK240" s="303"/>
      <c r="DL240" s="303"/>
      <c r="DM240" s="303"/>
      <c r="DN240" s="303"/>
      <c r="DO240" s="303"/>
      <c r="DP240" s="303"/>
    </row>
    <row r="241" spans="1:120">
      <c r="A241" s="261"/>
      <c r="B241" s="254"/>
      <c r="C241" s="253"/>
      <c r="D241" s="253"/>
      <c r="E241" s="253"/>
      <c r="F241" s="253"/>
      <c r="G241" s="253"/>
      <c r="H241" s="253"/>
      <c r="I241" s="253"/>
      <c r="J241" s="397"/>
      <c r="K241" s="397"/>
      <c r="L241" s="397"/>
      <c r="M241" s="397"/>
      <c r="N241" s="397"/>
      <c r="O241" s="397"/>
      <c r="P241" s="397"/>
      <c r="Q241" s="397"/>
      <c r="R241" s="397"/>
      <c r="S241" s="397"/>
      <c r="T241" s="397"/>
      <c r="U241" s="397"/>
      <c r="V241" s="397"/>
      <c r="W241" s="303"/>
      <c r="X241" s="397"/>
      <c r="Y241" s="397"/>
      <c r="Z241" s="397"/>
      <c r="AA241" s="420"/>
      <c r="AB241" s="397"/>
      <c r="AC241" s="397"/>
      <c r="AD241" s="397"/>
      <c r="AE241" s="420"/>
      <c r="AF241" s="397"/>
      <c r="AG241" s="397"/>
      <c r="AH241" s="397"/>
      <c r="AI241" s="420"/>
      <c r="AJ241" s="397"/>
      <c r="AK241" s="397"/>
      <c r="AL241" s="397"/>
      <c r="AM241" s="420"/>
      <c r="AN241" s="397"/>
      <c r="AO241" s="397"/>
      <c r="AP241" s="397"/>
      <c r="AQ241" s="489"/>
      <c r="AR241" s="490"/>
      <c r="AS241" s="490"/>
      <c r="AT241" s="490"/>
      <c r="AU241" s="489"/>
      <c r="AV241" s="490"/>
      <c r="AW241" s="490"/>
      <c r="AX241" s="490"/>
      <c r="AY241" s="489"/>
      <c r="AZ241" s="490"/>
      <c r="BA241" s="490"/>
      <c r="BB241" s="490"/>
      <c r="BC241" s="489"/>
      <c r="BD241" s="490"/>
      <c r="BE241" s="490"/>
      <c r="BF241" s="490"/>
      <c r="BG241" s="489"/>
      <c r="BH241" s="490"/>
      <c r="BI241" s="490"/>
      <c r="BJ241" s="490"/>
      <c r="BK241" s="489"/>
      <c r="BL241" s="490"/>
      <c r="BM241" s="490"/>
      <c r="BN241" s="490"/>
      <c r="BO241" s="489"/>
      <c r="BP241" s="490"/>
      <c r="BQ241" s="490"/>
      <c r="BR241" s="490"/>
      <c r="BS241" s="489"/>
      <c r="BT241" s="490"/>
      <c r="BU241" s="490"/>
      <c r="BV241" s="490"/>
      <c r="BW241" s="490"/>
      <c r="BX241" s="490"/>
      <c r="BY241" s="490"/>
      <c r="BZ241" s="490"/>
      <c r="CA241" s="490"/>
      <c r="CB241" s="490"/>
      <c r="CC241" s="490"/>
      <c r="CD241" s="490"/>
      <c r="CE241" s="490"/>
      <c r="CF241" s="490"/>
      <c r="CG241" s="490"/>
      <c r="CH241" s="397"/>
      <c r="CI241" s="397"/>
      <c r="CJ241" s="397"/>
      <c r="CK241" s="397"/>
      <c r="CL241" s="397"/>
      <c r="CM241" s="397"/>
      <c r="CN241" s="397"/>
      <c r="CO241" s="397"/>
      <c r="CP241" s="397"/>
      <c r="CQ241" s="397"/>
      <c r="CR241" s="397"/>
      <c r="CS241" s="397"/>
      <c r="CT241" s="397"/>
      <c r="CU241" s="397"/>
      <c r="CV241" s="397"/>
      <c r="CW241" s="397"/>
      <c r="CX241" s="397"/>
      <c r="CY241" s="397"/>
      <c r="CZ241" s="397"/>
      <c r="DA241" s="397"/>
      <c r="DB241" s="397"/>
      <c r="DC241" s="397"/>
      <c r="DD241" s="397"/>
      <c r="DE241" s="397"/>
      <c r="DF241" s="397"/>
      <c r="DG241" s="397"/>
      <c r="DH241" s="397"/>
      <c r="DI241" s="397"/>
      <c r="DJ241" s="397"/>
      <c r="DK241" s="397"/>
      <c r="DL241" s="397"/>
      <c r="DM241" s="397"/>
      <c r="DN241" s="397"/>
      <c r="DO241" s="397"/>
      <c r="DP241" s="397"/>
    </row>
    <row r="242" spans="1:120">
      <c r="A242" s="261"/>
      <c r="B242" s="254"/>
      <c r="C242" s="253"/>
      <c r="D242" s="253"/>
      <c r="E242" s="253"/>
      <c r="F242" s="253"/>
      <c r="G242" s="253"/>
      <c r="H242" s="253"/>
      <c r="I242" s="253"/>
      <c r="J242" s="483"/>
      <c r="K242" s="483"/>
      <c r="L242" s="483"/>
      <c r="M242" s="483"/>
      <c r="N242" s="483"/>
      <c r="O242" s="483"/>
      <c r="P242" s="483"/>
      <c r="Q242" s="483"/>
      <c r="R242" s="483"/>
      <c r="S242" s="483"/>
      <c r="T242" s="483"/>
      <c r="U242" s="483"/>
      <c r="V242" s="483"/>
      <c r="X242" s="483"/>
      <c r="Y242" s="483"/>
      <c r="Z242" s="483"/>
      <c r="AA242" s="488"/>
      <c r="AB242" s="483"/>
      <c r="AC242" s="483"/>
      <c r="AD242" s="483"/>
      <c r="AE242" s="488"/>
      <c r="AF242" s="483"/>
      <c r="AG242" s="483"/>
      <c r="AH242" s="483"/>
      <c r="AI242" s="488"/>
      <c r="AJ242" s="483"/>
      <c r="AK242" s="483"/>
      <c r="AL242" s="483"/>
      <c r="AM242" s="488"/>
      <c r="AN242" s="483"/>
      <c r="AO242" s="483"/>
      <c r="AP242" s="483"/>
      <c r="AQ242" s="337"/>
      <c r="AR242" s="303"/>
      <c r="AS242" s="303"/>
      <c r="AT242" s="310"/>
      <c r="AU242" s="340"/>
      <c r="AV242" s="310"/>
      <c r="AW242" s="310"/>
      <c r="AX242" s="310"/>
      <c r="AY242" s="340"/>
      <c r="AZ242" s="310"/>
      <c r="BA242" s="310"/>
      <c r="BB242" s="310"/>
      <c r="BC242" s="340"/>
      <c r="BD242" s="310"/>
      <c r="BE242" s="310"/>
      <c r="BF242" s="310"/>
      <c r="BG242" s="340"/>
      <c r="BH242" s="310"/>
      <c r="BI242" s="310"/>
      <c r="BJ242" s="310"/>
      <c r="BK242" s="340"/>
      <c r="BL242" s="310"/>
      <c r="BM242" s="310"/>
      <c r="BN242" s="310"/>
      <c r="BO242" s="340"/>
      <c r="BP242" s="310"/>
      <c r="BQ242" s="310"/>
      <c r="BR242" s="310"/>
      <c r="BS242" s="340"/>
      <c r="BT242" s="310"/>
      <c r="BU242" s="310"/>
      <c r="BV242" s="310"/>
      <c r="BW242" s="310"/>
      <c r="BX242" s="310"/>
      <c r="BY242" s="310"/>
      <c r="BZ242" s="310"/>
      <c r="CA242" s="310"/>
      <c r="CB242" s="310"/>
      <c r="CC242" s="310"/>
      <c r="CD242" s="310"/>
      <c r="CE242" s="310"/>
      <c r="CF242" s="310"/>
      <c r="CG242" s="310"/>
      <c r="CH242" s="303"/>
      <c r="CI242" s="303"/>
      <c r="CJ242" s="303"/>
      <c r="CK242" s="303"/>
      <c r="CL242" s="303"/>
      <c r="CM242" s="303"/>
      <c r="CN242" s="303"/>
      <c r="CO242" s="303"/>
      <c r="CP242" s="303"/>
      <c r="CQ242" s="303"/>
      <c r="CR242" s="303"/>
      <c r="CS242" s="303"/>
      <c r="CT242" s="303"/>
      <c r="CU242" s="303"/>
      <c r="CV242" s="303"/>
      <c r="CW242" s="303"/>
      <c r="CX242" s="303"/>
      <c r="CY242" s="303"/>
      <c r="CZ242" s="303"/>
      <c r="DA242" s="303"/>
      <c r="DB242" s="303"/>
      <c r="DC242" s="303"/>
      <c r="DD242" s="303"/>
      <c r="DE242" s="303"/>
      <c r="DF242" s="303"/>
      <c r="DG242" s="303"/>
      <c r="DH242" s="303"/>
      <c r="DI242" s="303"/>
      <c r="DJ242" s="303"/>
      <c r="DK242" s="303"/>
      <c r="DL242" s="303"/>
      <c r="DM242" s="303"/>
      <c r="DN242" s="303"/>
      <c r="DO242" s="303"/>
      <c r="DP242" s="303"/>
    </row>
    <row r="243" spans="1:120">
      <c r="A243" s="248"/>
      <c r="B243" s="254"/>
      <c r="C243" s="253"/>
      <c r="D243" s="253"/>
      <c r="E243" s="253"/>
      <c r="F243" s="253"/>
      <c r="G243" s="253"/>
      <c r="H243" s="253"/>
      <c r="I243" s="253"/>
      <c r="J243" s="278"/>
      <c r="K243" s="278"/>
      <c r="L243" s="278"/>
      <c r="M243" s="278"/>
      <c r="N243" s="278"/>
      <c r="O243" s="278"/>
      <c r="P243" s="278"/>
      <c r="Q243" s="278"/>
      <c r="R243" s="278"/>
      <c r="S243" s="278"/>
      <c r="T243" s="278"/>
      <c r="U243" s="278"/>
      <c r="V243" s="278"/>
      <c r="X243" s="278"/>
      <c r="Y243" s="278"/>
      <c r="Z243" s="278"/>
      <c r="AA243" s="328"/>
      <c r="AB243" s="278"/>
      <c r="AC243" s="278"/>
      <c r="AD243" s="278"/>
      <c r="AE243" s="328"/>
      <c r="AF243" s="278"/>
      <c r="AG243" s="278"/>
      <c r="AH243" s="278"/>
      <c r="AI243" s="328"/>
      <c r="AJ243" s="278"/>
      <c r="AK243" s="278"/>
      <c r="AL243" s="278"/>
      <c r="AM243" s="328"/>
      <c r="AN243" s="278"/>
      <c r="AO243" s="278"/>
      <c r="AP243" s="278"/>
      <c r="AQ243" s="337"/>
      <c r="AR243" s="303"/>
      <c r="AS243" s="303"/>
      <c r="AT243" s="310"/>
      <c r="AU243" s="340"/>
      <c r="AV243" s="310"/>
      <c r="AW243" s="310"/>
      <c r="AX243" s="310"/>
      <c r="AY243" s="340"/>
      <c r="AZ243" s="310"/>
      <c r="BA243" s="310"/>
      <c r="BB243" s="310"/>
      <c r="BC243" s="340"/>
      <c r="BD243" s="310"/>
      <c r="BE243" s="310"/>
      <c r="BF243" s="310"/>
      <c r="BG243" s="340"/>
      <c r="BH243" s="310"/>
      <c r="BI243" s="310"/>
      <c r="BJ243" s="310"/>
      <c r="BK243" s="340"/>
      <c r="BL243" s="310"/>
      <c r="BM243" s="310"/>
      <c r="BN243" s="310"/>
      <c r="BO243" s="340"/>
      <c r="BP243" s="310"/>
      <c r="BQ243" s="310"/>
      <c r="BR243" s="310"/>
      <c r="BS243" s="340"/>
      <c r="BT243" s="310"/>
      <c r="BU243" s="310"/>
      <c r="BV243" s="310"/>
      <c r="BW243" s="310"/>
      <c r="BX243" s="310"/>
      <c r="BY243" s="310"/>
      <c r="BZ243" s="310"/>
      <c r="CA243" s="310"/>
      <c r="CB243" s="310"/>
      <c r="CC243" s="310"/>
      <c r="CD243" s="310"/>
      <c r="CE243" s="310"/>
      <c r="CF243" s="310"/>
      <c r="CG243" s="310"/>
      <c r="CH243" s="303"/>
      <c r="CI243" s="303"/>
      <c r="CJ243" s="303"/>
      <c r="CK243" s="303"/>
      <c r="CL243" s="303"/>
      <c r="CM243" s="303"/>
      <c r="CN243" s="303"/>
      <c r="CO243" s="303"/>
      <c r="CP243" s="303"/>
      <c r="CQ243" s="303"/>
      <c r="CR243" s="303"/>
      <c r="CS243" s="303"/>
      <c r="CT243" s="303"/>
      <c r="CU243" s="303"/>
      <c r="CV243" s="303"/>
      <c r="CW243" s="303"/>
      <c r="CX243" s="303"/>
      <c r="CY243" s="303"/>
      <c r="CZ243" s="303"/>
      <c r="DA243" s="303"/>
      <c r="DB243" s="303"/>
      <c r="DC243" s="303"/>
      <c r="DD243" s="303"/>
      <c r="DE243" s="303"/>
      <c r="DF243" s="303"/>
      <c r="DG243" s="303"/>
      <c r="DH243" s="303"/>
      <c r="DI243" s="303"/>
      <c r="DJ243" s="303"/>
      <c r="DK243" s="303"/>
      <c r="DL243" s="303"/>
      <c r="DM243" s="303"/>
      <c r="DN243" s="303"/>
      <c r="DO243" s="303"/>
      <c r="DP243" s="303"/>
    </row>
    <row r="244" spans="1:120">
      <c r="A244" s="458"/>
      <c r="B244" s="254"/>
      <c r="C244" s="253"/>
      <c r="D244" s="253"/>
      <c r="E244" s="253"/>
      <c r="F244" s="253"/>
      <c r="G244" s="253"/>
      <c r="H244" s="253"/>
      <c r="I244" s="253"/>
      <c r="J244" s="310"/>
      <c r="K244" s="310"/>
      <c r="L244" s="253"/>
      <c r="M244" s="253"/>
      <c r="N244" s="253"/>
      <c r="O244" s="253"/>
      <c r="P244" s="253"/>
      <c r="Q244" s="253"/>
      <c r="R244" s="253"/>
      <c r="S244" s="253"/>
      <c r="T244" s="253"/>
      <c r="U244" s="253"/>
      <c r="V244" s="253"/>
      <c r="X244" s="310"/>
      <c r="Y244" s="310"/>
      <c r="Z244" s="310"/>
      <c r="AA244" s="340"/>
      <c r="AB244" s="310"/>
      <c r="AC244" s="310"/>
      <c r="AD244" s="310"/>
      <c r="AE244" s="340"/>
      <c r="AF244" s="310"/>
      <c r="AG244" s="310"/>
      <c r="AH244" s="310"/>
      <c r="AI244" s="340"/>
      <c r="AJ244" s="310"/>
      <c r="AK244" s="310"/>
      <c r="AL244" s="310"/>
      <c r="AM244" s="340"/>
      <c r="AN244" s="310"/>
      <c r="AO244" s="310"/>
      <c r="AP244" s="310"/>
      <c r="AQ244" s="323"/>
      <c r="AR244" s="272"/>
      <c r="AS244" s="272"/>
      <c r="AT244" s="272"/>
      <c r="AU244" s="323"/>
      <c r="AV244" s="272"/>
      <c r="AW244" s="272"/>
      <c r="AX244" s="272"/>
      <c r="AY244" s="323"/>
      <c r="AZ244" s="272"/>
      <c r="BA244" s="272"/>
      <c r="BB244" s="272"/>
      <c r="BC244" s="323"/>
      <c r="BD244" s="272"/>
      <c r="BE244" s="272"/>
      <c r="BF244" s="272"/>
      <c r="BG244" s="323"/>
      <c r="BH244" s="272"/>
      <c r="BI244" s="272"/>
      <c r="BJ244" s="272"/>
      <c r="BK244" s="323"/>
      <c r="BL244" s="272"/>
      <c r="BM244" s="272"/>
      <c r="BN244" s="272"/>
      <c r="BO244" s="323"/>
      <c r="BP244" s="272"/>
      <c r="BQ244" s="272"/>
      <c r="BR244" s="272"/>
      <c r="BS244" s="323"/>
      <c r="BT244" s="272"/>
      <c r="BU244" s="272"/>
      <c r="BV244" s="272"/>
      <c r="BW244" s="272"/>
      <c r="BX244" s="272"/>
      <c r="BY244" s="272"/>
      <c r="BZ244" s="272"/>
      <c r="CA244" s="272"/>
      <c r="CB244" s="272"/>
      <c r="CC244" s="272"/>
      <c r="CD244" s="272"/>
      <c r="CE244" s="272"/>
      <c r="CF244" s="272"/>
      <c r="CG244" s="272"/>
      <c r="CH244" s="303"/>
      <c r="CI244" s="303"/>
      <c r="CJ244" s="303"/>
      <c r="CK244" s="303"/>
      <c r="CL244" s="303"/>
      <c r="CM244" s="303"/>
      <c r="CN244" s="303"/>
      <c r="CO244" s="303"/>
      <c r="CP244" s="303"/>
      <c r="CQ244" s="303"/>
      <c r="CR244" s="303"/>
      <c r="CS244" s="303"/>
      <c r="CT244" s="303"/>
      <c r="CU244" s="303"/>
      <c r="CV244" s="303"/>
      <c r="CW244" s="303"/>
      <c r="CX244" s="303"/>
      <c r="CY244" s="303"/>
      <c r="CZ244" s="303"/>
      <c r="DA244" s="303"/>
      <c r="DB244" s="303"/>
      <c r="DC244" s="303"/>
      <c r="DD244" s="303"/>
      <c r="DE244" s="303"/>
      <c r="DF244" s="303"/>
      <c r="DG244" s="303"/>
      <c r="DH244" s="303"/>
      <c r="DI244" s="303"/>
      <c r="DJ244" s="303"/>
      <c r="DK244" s="303"/>
      <c r="DL244" s="303"/>
      <c r="DM244" s="303"/>
      <c r="DN244" s="303"/>
      <c r="DO244" s="303"/>
      <c r="DP244" s="303"/>
    </row>
    <row r="245" spans="2:85">
      <c r="B245" s="253"/>
      <c r="L245" s="253"/>
      <c r="M245" s="253"/>
      <c r="N245" s="253"/>
      <c r="O245" s="253"/>
      <c r="P245" s="253"/>
      <c r="Q245" s="253"/>
      <c r="R245" s="253"/>
      <c r="S245" s="253"/>
      <c r="T245" s="253"/>
      <c r="U245" s="253"/>
      <c r="V245" s="253"/>
      <c r="X245" s="310"/>
      <c r="Y245" s="310"/>
      <c r="Z245" s="310"/>
      <c r="AA245" s="340"/>
      <c r="AB245" s="310"/>
      <c r="AC245" s="310"/>
      <c r="AD245" s="310"/>
      <c r="AE245" s="340"/>
      <c r="AF245" s="310"/>
      <c r="AG245" s="310"/>
      <c r="AH245" s="310"/>
      <c r="AI245" s="340"/>
      <c r="AJ245" s="310"/>
      <c r="AK245" s="310"/>
      <c r="AL245" s="310"/>
      <c r="AM245" s="340"/>
      <c r="AN245" s="310"/>
      <c r="AO245" s="310"/>
      <c r="AP245" s="310"/>
      <c r="AQ245" s="323"/>
      <c r="AR245" s="272"/>
      <c r="AS245" s="272"/>
      <c r="AT245" s="272"/>
      <c r="AU245" s="323"/>
      <c r="AV245" s="272"/>
      <c r="AW245" s="272"/>
      <c r="AX245" s="272"/>
      <c r="AY245" s="323"/>
      <c r="AZ245" s="272"/>
      <c r="BA245" s="272"/>
      <c r="BB245" s="272"/>
      <c r="BC245" s="323"/>
      <c r="BD245" s="272"/>
      <c r="BE245" s="272"/>
      <c r="BF245" s="272"/>
      <c r="BG245" s="323"/>
      <c r="BH245" s="272"/>
      <c r="BI245" s="272"/>
      <c r="BJ245" s="272"/>
      <c r="BK245" s="323"/>
      <c r="BL245" s="272"/>
      <c r="BM245" s="272"/>
      <c r="BN245" s="272"/>
      <c r="BO245" s="323"/>
      <c r="BP245" s="272"/>
      <c r="BQ245" s="272"/>
      <c r="BR245" s="272"/>
      <c r="BS245" s="323"/>
      <c r="BT245" s="272"/>
      <c r="BU245" s="272"/>
      <c r="BV245" s="272"/>
      <c r="BW245" s="272"/>
      <c r="BX245" s="272"/>
      <c r="BY245" s="272"/>
      <c r="BZ245" s="272"/>
      <c r="CA245" s="272"/>
      <c r="CB245" s="272"/>
      <c r="CC245" s="272"/>
      <c r="CD245" s="272"/>
      <c r="CE245" s="272"/>
      <c r="CF245" s="272"/>
      <c r="CG245" s="272"/>
    </row>
    <row r="246" spans="3:85">
      <c r="C246" s="439"/>
      <c r="D246" s="439"/>
      <c r="E246" s="439"/>
      <c r="F246" s="439"/>
      <c r="G246" s="439"/>
      <c r="H246" s="439"/>
      <c r="I246" s="439"/>
      <c r="J246" s="439"/>
      <c r="K246" s="439"/>
      <c r="L246" s="439"/>
      <c r="M246" s="439"/>
      <c r="N246" s="439"/>
      <c r="O246" s="439"/>
      <c r="P246" s="439"/>
      <c r="Q246" s="439"/>
      <c r="R246" s="439"/>
      <c r="S246" s="439"/>
      <c r="T246" s="439"/>
      <c r="U246" s="439"/>
      <c r="V246" s="439"/>
      <c r="X246" s="439"/>
      <c r="Y246" s="439"/>
      <c r="Z246" s="439"/>
      <c r="AA246" s="438"/>
      <c r="AB246" s="439"/>
      <c r="AC246" s="439"/>
      <c r="AD246" s="439"/>
      <c r="AE246" s="438"/>
      <c r="AF246" s="439"/>
      <c r="AG246" s="439"/>
      <c r="AH246" s="439"/>
      <c r="AI246" s="438"/>
      <c r="AJ246" s="439"/>
      <c r="AK246" s="439"/>
      <c r="AL246" s="439"/>
      <c r="AM246" s="438"/>
      <c r="AN246" s="439"/>
      <c r="AO246" s="439"/>
      <c r="AP246" s="439"/>
      <c r="AQ246" s="340"/>
      <c r="AR246" s="310"/>
      <c r="AS246" s="310"/>
      <c r="AT246" s="310"/>
      <c r="AU246" s="340"/>
      <c r="AV246" s="310"/>
      <c r="AW246" s="310"/>
      <c r="AX246" s="310"/>
      <c r="AY246" s="340"/>
      <c r="AZ246" s="310"/>
      <c r="BA246" s="310"/>
      <c r="BB246" s="310"/>
      <c r="BC246" s="340"/>
      <c r="BD246" s="310"/>
      <c r="BE246" s="310"/>
      <c r="BF246" s="310"/>
      <c r="BG246" s="340"/>
      <c r="BH246" s="310"/>
      <c r="BI246" s="310"/>
      <c r="BJ246" s="310"/>
      <c r="BK246" s="340"/>
      <c r="BL246" s="310"/>
      <c r="BM246" s="310"/>
      <c r="BN246" s="310"/>
      <c r="BO246" s="340"/>
      <c r="BP246" s="310"/>
      <c r="BQ246" s="310"/>
      <c r="BR246" s="310"/>
      <c r="BS246" s="340"/>
      <c r="BT246" s="310"/>
      <c r="BU246" s="310"/>
      <c r="BV246" s="310"/>
      <c r="BW246" s="310"/>
      <c r="BX246" s="310"/>
      <c r="BY246" s="310"/>
      <c r="BZ246" s="310"/>
      <c r="CA246" s="310"/>
      <c r="CB246" s="310"/>
      <c r="CC246" s="310"/>
      <c r="CD246" s="310"/>
      <c r="CE246" s="310"/>
      <c r="CF246" s="310"/>
      <c r="CG246" s="310"/>
    </row>
  </sheetData>
  <pageMargins left="0.699305555555556" right="0.699305555555556" top="0.75" bottom="0.75" header="0.3" footer="0.3"/>
  <pageSetup paperSize="9" orientation="portrait"/>
  <headerFooter/>
  <customProperties>
    <customPr name="Qube.Worksheet.Visibility" r:id="rId1"/>
    <customPr name="QXL_SHEET_ID" r:id="rId2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pageSetUpPr fitToPage="1" autoPageBreaks="0"/>
  </sheetPr>
  <dimension ref="A1:BK461"/>
  <sheetViews>
    <sheetView showGridLines="0" zoomScale="70" zoomScaleNormal="70" workbookViewId="0">
      <selection activeCell="A1" sqref="1:1048576"/>
    </sheetView>
  </sheetViews>
  <sheetFormatPr defaultColWidth="9.64285714285714" defaultRowHeight="12.75"/>
  <cols>
    <col min="1" max="1" width="17.1428571428571" style="9" customWidth="1"/>
    <col min="2" max="2" width="9" style="9" hidden="1" customWidth="1"/>
    <col min="3" max="4" width="9.14285714285714" style="9" hidden="1" customWidth="1"/>
    <col min="5" max="5" width="9.14285714285714" style="10" hidden="1" customWidth="1"/>
    <col min="6" max="8" width="9.14285714285714" style="9" hidden="1" customWidth="1"/>
    <col min="9" max="9" width="9.14285714285714" style="10" hidden="1" customWidth="1"/>
    <col min="10" max="12" width="9.14285714285714" style="9" customWidth="1"/>
    <col min="13" max="13" width="9.14285714285714" style="10" customWidth="1"/>
    <col min="14" max="16" width="9.14285714285714" style="9" customWidth="1"/>
    <col min="17" max="17" width="9.14285714285714" style="10" customWidth="1"/>
    <col min="18" max="20" width="9.14285714285714" style="9" customWidth="1"/>
    <col min="21" max="21" width="9.14285714285714" style="10" customWidth="1"/>
    <col min="22" max="24" width="9.14285714285714" style="9" customWidth="1"/>
    <col min="25" max="25" width="9.14285714285714" style="10" customWidth="1"/>
    <col min="26" max="28" width="9.14285714285714" style="9" customWidth="1"/>
    <col min="29" max="29" width="9.14285714285714" style="10" customWidth="1"/>
    <col min="30" max="30" width="2" style="9" customWidth="1"/>
    <col min="31" max="31" width="1.85714285714286" style="9" customWidth="1"/>
    <col min="32" max="36" width="9.28571428571429" style="9" customWidth="1"/>
    <col min="37" max="38" width="9.42857142857143" style="9" customWidth="1"/>
    <col min="39" max="42" width="7.85714285714286" style="9" customWidth="1"/>
    <col min="43" max="46" width="9.57142857142857" style="9" customWidth="1"/>
    <col min="47" max="47" width="9.14285714285714" style="9"/>
    <col min="48" max="52" width="13.8571428571429" style="9" customWidth="1"/>
    <col min="53" max="57" width="9.14285714285714" style="9"/>
    <col min="58" max="58" width="30.8571428571429" style="9" customWidth="1"/>
    <col min="59" max="16384" width="9.14285714285714" style="9"/>
  </cols>
  <sheetData>
    <row r="1" spans="1:1">
      <c r="A1" s="11">
        <f ca="1">TODAY()</f>
        <v>46224</v>
      </c>
    </row>
    <row r="2" spans="1:46">
      <c r="A2" s="12" t="s">
        <v>627</v>
      </c>
      <c r="B2" s="13"/>
      <c r="C2" s="13"/>
      <c r="D2" s="13"/>
      <c r="E2" s="40"/>
      <c r="F2" s="13"/>
      <c r="G2" s="13"/>
      <c r="H2" s="13"/>
      <c r="I2" s="40"/>
      <c r="J2" s="13"/>
      <c r="K2" s="13"/>
      <c r="L2" s="13"/>
      <c r="M2" s="40"/>
      <c r="N2" s="13"/>
      <c r="O2" s="13"/>
      <c r="P2" s="13"/>
      <c r="Q2" s="40"/>
      <c r="R2" s="13"/>
      <c r="S2" s="13"/>
      <c r="T2" s="13"/>
      <c r="U2" s="40"/>
      <c r="V2" s="13"/>
      <c r="W2" s="13"/>
      <c r="X2" s="13"/>
      <c r="Y2" s="40"/>
      <c r="Z2" s="13"/>
      <c r="AA2" s="13"/>
      <c r="AB2" s="13"/>
      <c r="AC2" s="40"/>
      <c r="AD2" s="69"/>
      <c r="AE2" s="69"/>
      <c r="AF2" s="14"/>
      <c r="AG2" s="14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</row>
    <row r="3" spans="1:47">
      <c r="A3" s="12"/>
      <c r="B3" s="14" t="s">
        <v>661</v>
      </c>
      <c r="C3" s="14" t="s">
        <v>662</v>
      </c>
      <c r="D3" s="14" t="s">
        <v>663</v>
      </c>
      <c r="E3" s="41" t="s">
        <v>664</v>
      </c>
      <c r="F3" s="14" t="s">
        <v>665</v>
      </c>
      <c r="G3" s="14" t="s">
        <v>666</v>
      </c>
      <c r="H3" s="14" t="s">
        <v>667</v>
      </c>
      <c r="I3" s="41" t="s">
        <v>668</v>
      </c>
      <c r="J3" s="14" t="s">
        <v>669</v>
      </c>
      <c r="K3" s="14" t="s">
        <v>670</v>
      </c>
      <c r="L3" s="14" t="s">
        <v>671</v>
      </c>
      <c r="M3" s="14" t="s">
        <v>672</v>
      </c>
      <c r="N3" s="14" t="s">
        <v>673</v>
      </c>
      <c r="O3" s="14" t="s">
        <v>674</v>
      </c>
      <c r="P3" s="14" t="s">
        <v>675</v>
      </c>
      <c r="Q3" s="41" t="s">
        <v>676</v>
      </c>
      <c r="R3" s="14" t="s">
        <v>677</v>
      </c>
      <c r="S3" s="14" t="s">
        <v>829</v>
      </c>
      <c r="T3" s="14" t="s">
        <v>830</v>
      </c>
      <c r="U3" s="41" t="s">
        <v>831</v>
      </c>
      <c r="V3" s="14" t="s">
        <v>832</v>
      </c>
      <c r="W3" s="14" t="s">
        <v>833</v>
      </c>
      <c r="X3" s="14" t="s">
        <v>834</v>
      </c>
      <c r="Y3" s="41" t="s">
        <v>835</v>
      </c>
      <c r="Z3" s="14" t="s">
        <v>836</v>
      </c>
      <c r="AA3" s="14" t="s">
        <v>837</v>
      </c>
      <c r="AB3" s="14" t="s">
        <v>838</v>
      </c>
      <c r="AC3" s="41" t="s">
        <v>839</v>
      </c>
      <c r="AD3" s="70"/>
      <c r="AE3" s="70"/>
      <c r="AF3" s="14">
        <v>2014</v>
      </c>
      <c r="AG3" s="14">
        <v>2015</v>
      </c>
      <c r="AH3" s="14">
        <v>2016</v>
      </c>
      <c r="AI3" s="14">
        <v>2017</v>
      </c>
      <c r="AJ3" s="14">
        <v>2018</v>
      </c>
      <c r="AK3" s="14">
        <v>2019</v>
      </c>
      <c r="AL3" s="14">
        <v>2020</v>
      </c>
      <c r="AM3" s="14">
        <v>2021</v>
      </c>
      <c r="AN3" s="14">
        <v>2022</v>
      </c>
      <c r="AO3" s="14">
        <v>2023</v>
      </c>
      <c r="AP3" s="14">
        <v>2024</v>
      </c>
      <c r="AQ3" s="14" t="s">
        <v>840</v>
      </c>
      <c r="AR3" s="14" t="s">
        <v>841</v>
      </c>
      <c r="AS3" s="14" t="s">
        <v>842</v>
      </c>
      <c r="AT3" s="14" t="s">
        <v>843</v>
      </c>
      <c r="AU3" s="99"/>
    </row>
    <row r="4" spans="1:46">
      <c r="A4" s="15" t="s">
        <v>768</v>
      </c>
      <c r="B4" s="15"/>
      <c r="C4" s="15"/>
      <c r="D4" s="15"/>
      <c r="E4" s="42"/>
      <c r="F4" s="15"/>
      <c r="G4" s="43"/>
      <c r="H4" s="43"/>
      <c r="I4" s="62"/>
      <c r="J4" s="15"/>
      <c r="K4" s="15"/>
      <c r="L4" s="15"/>
      <c r="M4" s="42"/>
      <c r="N4" s="15"/>
      <c r="O4" s="15"/>
      <c r="P4" s="15"/>
      <c r="Q4" s="42"/>
      <c r="R4" s="15"/>
      <c r="S4" s="15"/>
      <c r="T4" s="15"/>
      <c r="U4" s="42"/>
      <c r="V4" s="15"/>
      <c r="W4" s="15"/>
      <c r="X4" s="15"/>
      <c r="Y4" s="42"/>
      <c r="Z4" s="15"/>
      <c r="AA4" s="15"/>
      <c r="AB4" s="15"/>
      <c r="AC4" s="42"/>
      <c r="AD4" s="15"/>
      <c r="AE4" s="15"/>
      <c r="AF4" s="15"/>
      <c r="AG4" s="82"/>
      <c r="AH4" s="82"/>
      <c r="AI4" s="82"/>
      <c r="AJ4" s="82"/>
      <c r="AK4" s="82"/>
      <c r="AL4" s="82"/>
      <c r="AM4" s="82"/>
      <c r="AN4" s="82"/>
      <c r="AO4" s="82"/>
      <c r="AP4" s="82"/>
      <c r="AQ4" s="82"/>
      <c r="AR4" s="82"/>
      <c r="AS4" s="82"/>
      <c r="AT4" s="82"/>
    </row>
    <row r="5" spans="1:47">
      <c r="A5" s="16" t="s">
        <v>844</v>
      </c>
      <c r="B5" s="17">
        <f>+Model!BD7</f>
        <v>738.51330386</v>
      </c>
      <c r="C5" s="17">
        <f>+Model!BE7</f>
        <v>740.33465226</v>
      </c>
      <c r="D5" s="17">
        <f>+Model!BF7</f>
        <v>935.65915654</v>
      </c>
      <c r="E5" s="44">
        <f>+Model!BG7</f>
        <v>896.06667787</v>
      </c>
      <c r="F5" s="17">
        <f>+Model!BH7</f>
        <v>600.2228911</v>
      </c>
      <c r="G5" s="17">
        <f>+Model!BI7</f>
        <v>704.46093392</v>
      </c>
      <c r="H5" s="17">
        <f>+Model!BJ7</f>
        <v>782.3637268</v>
      </c>
      <c r="I5" s="44">
        <f>+Model!BK7</f>
        <v>1010.5581987</v>
      </c>
      <c r="J5" s="17">
        <f>+Model!BL7</f>
        <v>1112.85389449</v>
      </c>
      <c r="K5" s="17">
        <f>+Model!BM7</f>
        <v>1614.8208769</v>
      </c>
      <c r="L5" s="17">
        <f>+Model!BN7</f>
        <v>2402.76103713</v>
      </c>
      <c r="M5" s="44">
        <f>+Model!BO7</f>
        <v>3516.3953258</v>
      </c>
      <c r="N5" s="17">
        <f>+Model!BP7</f>
        <v>4052.25653837</v>
      </c>
      <c r="O5" s="17">
        <f>+Model!BQ7</f>
        <v>6384.91372713</v>
      </c>
      <c r="P5" s="17">
        <f>+Model!BR7</f>
        <v>6067.6209458</v>
      </c>
      <c r="Q5" s="44">
        <f>+Model!BS7</f>
        <v>8337.06362892</v>
      </c>
      <c r="R5" s="17">
        <f>+Model!BT7</f>
        <v>8337.90204074</v>
      </c>
      <c r="S5" s="66">
        <f t="shared" ref="S5:Z5" si="0">SUM(S6:S9)</f>
        <v>11283.2481581162</v>
      </c>
      <c r="T5" s="66">
        <f t="shared" si="0"/>
        <v>15163.9208087047</v>
      </c>
      <c r="U5" s="68">
        <f t="shared" si="0"/>
        <v>16671.4684903625</v>
      </c>
      <c r="V5" s="66">
        <f t="shared" si="0"/>
        <v>15172.0867905676</v>
      </c>
      <c r="W5" s="66">
        <f t="shared" si="0"/>
        <v>16800.2801642665</v>
      </c>
      <c r="X5" s="66">
        <f t="shared" si="0"/>
        <v>21661.3203868456</v>
      </c>
      <c r="Y5" s="68">
        <f t="shared" si="0"/>
        <v>20276.9033452475</v>
      </c>
      <c r="Z5" s="66">
        <f t="shared" si="0"/>
        <v>14673.6482484406</v>
      </c>
      <c r="AA5" s="66">
        <f t="shared" ref="AA5:AC5" si="1">SUM(AA6:AA9)</f>
        <v>19149.9489607845</v>
      </c>
      <c r="AB5" s="66">
        <f t="shared" si="1"/>
        <v>26466.8998469363</v>
      </c>
      <c r="AC5" s="68">
        <f t="shared" si="1"/>
        <v>24684.8785740236</v>
      </c>
      <c r="AD5" s="71"/>
      <c r="AE5" s="71"/>
      <c r="AF5" s="72">
        <f>Model!H7</f>
        <v>522.63426833</v>
      </c>
      <c r="AG5" s="72">
        <f>Model!I7</f>
        <v>615.11957513</v>
      </c>
      <c r="AH5" s="72">
        <f>Model!J7</f>
        <v>713.93165081</v>
      </c>
      <c r="AI5" s="72">
        <f>Model!K7</f>
        <v>877.36536178</v>
      </c>
      <c r="AJ5" s="72">
        <f>Model!L7</f>
        <v>759.9502845</v>
      </c>
      <c r="AK5" s="72">
        <f>Model!M7</f>
        <v>1164.87368236</v>
      </c>
      <c r="AL5" s="72">
        <f>Model!N7</f>
        <v>1997.93774627</v>
      </c>
      <c r="AM5" s="72">
        <f>Model!O7</f>
        <v>2908.37606376</v>
      </c>
      <c r="AN5" s="72">
        <f>Model!P7</f>
        <v>3310.57379053</v>
      </c>
      <c r="AO5" s="72">
        <f>+SUM(AO6:AO9)</f>
        <v>3097.60575052</v>
      </c>
      <c r="AP5" s="72">
        <f t="shared" ref="AP5:AS5" si="2">+SUM(AP6:AP9)</f>
        <v>8646.83113432</v>
      </c>
      <c r="AQ5" s="72">
        <f t="shared" si="2"/>
        <v>24841.85484022</v>
      </c>
      <c r="AR5" s="72">
        <f t="shared" si="2"/>
        <v>51456.5394979234</v>
      </c>
      <c r="AS5" s="72">
        <f t="shared" si="2"/>
        <v>73910.5906869271</v>
      </c>
      <c r="AT5" s="72">
        <f>SUM(Z5:AC5)</f>
        <v>84975.3756301849</v>
      </c>
      <c r="AU5" s="100"/>
    </row>
    <row r="6" s="1" customFormat="1" spans="1:62">
      <c r="A6" s="18" t="s">
        <v>845</v>
      </c>
      <c r="B6" s="19">
        <f t="shared" ref="B6:F6" si="3">+B43</f>
        <v>705.6</v>
      </c>
      <c r="C6" s="19">
        <f t="shared" si="3"/>
        <v>733.6</v>
      </c>
      <c r="D6" s="19">
        <f t="shared" si="3"/>
        <v>924.58</v>
      </c>
      <c r="E6" s="45">
        <f t="shared" si="3"/>
        <v>887.02</v>
      </c>
      <c r="F6" s="19">
        <f t="shared" si="3"/>
        <v>589.3576</v>
      </c>
      <c r="G6" s="19">
        <f t="shared" ref="G6:Z6" si="4">+G43</f>
        <v>696.891</v>
      </c>
      <c r="H6" s="19">
        <f t="shared" si="4"/>
        <v>767.68495</v>
      </c>
      <c r="I6" s="45">
        <f t="shared" si="4"/>
        <v>998.67055</v>
      </c>
      <c r="J6" s="19">
        <f t="shared" si="4"/>
        <v>1091.53808125</v>
      </c>
      <c r="K6" s="19">
        <f t="shared" si="4"/>
        <v>1600.97883</v>
      </c>
      <c r="L6" s="19">
        <f t="shared" si="4"/>
        <v>2380.369274875</v>
      </c>
      <c r="M6" s="45">
        <f t="shared" si="4"/>
        <v>3487.556923875</v>
      </c>
      <c r="N6" s="19">
        <f t="shared" si="4"/>
        <v>4031.96785484063</v>
      </c>
      <c r="O6" s="19">
        <f t="shared" si="4"/>
        <v>6363.40986241875</v>
      </c>
      <c r="P6" s="19">
        <f t="shared" si="4"/>
        <v>6052.41874041844</v>
      </c>
      <c r="Q6" s="45">
        <f t="shared" si="4"/>
        <v>8318.34257117219</v>
      </c>
      <c r="R6" s="19">
        <f t="shared" si="4"/>
        <v>8316.92891623726</v>
      </c>
      <c r="S6" s="19">
        <f t="shared" si="4"/>
        <v>11269.6723361114</v>
      </c>
      <c r="T6" s="19">
        <f t="shared" si="4"/>
        <v>15144.8127492562</v>
      </c>
      <c r="U6" s="45">
        <f t="shared" si="4"/>
        <v>16654.9485638463</v>
      </c>
      <c r="V6" s="19">
        <f t="shared" si="4"/>
        <v>15155.0848926026</v>
      </c>
      <c r="W6" s="19">
        <f t="shared" si="4"/>
        <v>16786.2755511615</v>
      </c>
      <c r="X6" s="19">
        <f t="shared" si="4"/>
        <v>21641.5069244246</v>
      </c>
      <c r="Y6" s="45">
        <f t="shared" si="4"/>
        <v>20259.8074224055</v>
      </c>
      <c r="Z6" s="19">
        <f t="shared" si="4"/>
        <v>14656.0462555773</v>
      </c>
      <c r="AA6" s="19">
        <f t="shared" ref="AA6:AC6" si="5">+AA43</f>
        <v>19135.4941170243</v>
      </c>
      <c r="AB6" s="19">
        <f t="shared" si="5"/>
        <v>26446.3457113942</v>
      </c>
      <c r="AC6" s="45">
        <f t="shared" si="5"/>
        <v>24667.1778550395</v>
      </c>
      <c r="AD6" s="73"/>
      <c r="AE6" s="73"/>
      <c r="AF6" s="74">
        <v>405.38</v>
      </c>
      <c r="AG6" s="74">
        <v>463.67</v>
      </c>
      <c r="AH6" s="74">
        <v>573.95</v>
      </c>
      <c r="AI6" s="74">
        <v>671.18</v>
      </c>
      <c r="AJ6" s="74">
        <v>633.85</v>
      </c>
      <c r="AK6" s="74">
        <v>1100.68</v>
      </c>
      <c r="AL6" s="74">
        <v>1941.71</v>
      </c>
      <c r="AM6" s="74">
        <v>2839.99</v>
      </c>
      <c r="AN6" s="74">
        <v>3248.49</v>
      </c>
      <c r="AO6" s="89">
        <f t="shared" ref="AO6:AO15" si="6">SUM(F6:I6)</f>
        <v>3052.6041</v>
      </c>
      <c r="AP6" s="89">
        <f t="shared" ref="AP6:AP15" si="7">SUM(J6:M6)</f>
        <v>8560.44311</v>
      </c>
      <c r="AQ6" s="89">
        <f t="shared" ref="AQ6:AQ15" si="8">SUM(N6:Q6)</f>
        <v>24766.13902885</v>
      </c>
      <c r="AR6" s="89">
        <f t="shared" ref="AR6:AR15" si="9">SUM(R6:U6)</f>
        <v>51386.3625654512</v>
      </c>
      <c r="AS6" s="89">
        <f t="shared" ref="AS6:AS9" si="10">SUM(V6:Y6)</f>
        <v>73842.6747905941</v>
      </c>
      <c r="AT6" s="89">
        <f>SUM(Z6:AC6)</f>
        <v>84905.0639390353</v>
      </c>
      <c r="AU6" s="100"/>
      <c r="AV6" s="101"/>
      <c r="AW6" s="101"/>
      <c r="AX6" s="101"/>
      <c r="AY6" s="101"/>
      <c r="AZ6" s="101"/>
      <c r="BH6" s="104"/>
      <c r="BI6" s="104"/>
      <c r="BJ6" s="104"/>
    </row>
    <row r="7" spans="1:62">
      <c r="A7" s="18" t="s">
        <v>846</v>
      </c>
      <c r="B7" s="20">
        <v>15</v>
      </c>
      <c r="C7" s="20">
        <v>3</v>
      </c>
      <c r="D7" s="20">
        <v>4</v>
      </c>
      <c r="E7" s="46">
        <v>2</v>
      </c>
      <c r="F7" s="20">
        <f>+B7*(1+F13)</f>
        <v>4.5</v>
      </c>
      <c r="G7" s="20">
        <f t="shared" ref="G7:X8" si="11">+C7*(1+G13)</f>
        <v>3.3</v>
      </c>
      <c r="H7" s="20">
        <f t="shared" si="11"/>
        <v>4.4</v>
      </c>
      <c r="I7" s="46">
        <f t="shared" si="11"/>
        <v>2.2</v>
      </c>
      <c r="J7" s="20">
        <f t="shared" si="11"/>
        <v>4.725</v>
      </c>
      <c r="K7" s="20">
        <f t="shared" si="11"/>
        <v>3.465</v>
      </c>
      <c r="L7" s="20">
        <f t="shared" si="11"/>
        <v>4.62</v>
      </c>
      <c r="M7" s="46">
        <f t="shared" si="11"/>
        <v>2.31</v>
      </c>
      <c r="N7" s="20">
        <f t="shared" si="11"/>
        <v>4.96125</v>
      </c>
      <c r="O7" s="20">
        <f t="shared" si="11"/>
        <v>3.63825</v>
      </c>
      <c r="P7" s="20">
        <f t="shared" si="11"/>
        <v>4.851</v>
      </c>
      <c r="Q7" s="46">
        <f t="shared" si="11"/>
        <v>2.4255</v>
      </c>
      <c r="R7" s="20">
        <f t="shared" si="11"/>
        <v>5.2093125</v>
      </c>
      <c r="S7" s="20">
        <f t="shared" si="11"/>
        <v>3.8201625</v>
      </c>
      <c r="T7" s="20">
        <f t="shared" si="11"/>
        <v>5.09355</v>
      </c>
      <c r="U7" s="46">
        <f t="shared" si="11"/>
        <v>2.546775</v>
      </c>
      <c r="V7" s="20">
        <f t="shared" ref="V7:Z7" si="12">+R7*(1+V13)</f>
        <v>5.469778125</v>
      </c>
      <c r="W7" s="20">
        <f t="shared" si="11"/>
        <v>4.011170625</v>
      </c>
      <c r="X7" s="20">
        <f t="shared" si="11"/>
        <v>5.3482275</v>
      </c>
      <c r="Y7" s="46">
        <f t="shared" si="12"/>
        <v>2.67411375</v>
      </c>
      <c r="Z7" s="20">
        <f t="shared" si="12"/>
        <v>5.74326703125</v>
      </c>
      <c r="AA7" s="20">
        <f t="shared" ref="AA7:AA8" si="13">+W7*(1+AA13)</f>
        <v>4.21172915625</v>
      </c>
      <c r="AB7" s="20">
        <f t="shared" ref="AB7:AB8" si="14">+X7*(1+AB13)</f>
        <v>5.615638875</v>
      </c>
      <c r="AC7" s="46">
        <f t="shared" ref="AC7:AC8" si="15">+Y7*(1+AC13)</f>
        <v>2.8078194375</v>
      </c>
      <c r="AD7" s="36"/>
      <c r="AE7" s="36"/>
      <c r="AF7" s="74">
        <v>80.53</v>
      </c>
      <c r="AG7" s="74">
        <v>88.57</v>
      </c>
      <c r="AH7" s="74">
        <v>99.3</v>
      </c>
      <c r="AI7" s="74">
        <v>155.32</v>
      </c>
      <c r="AJ7" s="74">
        <v>85.14</v>
      </c>
      <c r="AK7" s="74">
        <v>43.09</v>
      </c>
      <c r="AL7" s="74">
        <v>34.31</v>
      </c>
      <c r="AM7" s="74">
        <v>43.09</v>
      </c>
      <c r="AN7" s="74">
        <v>26.34</v>
      </c>
      <c r="AO7" s="89">
        <f t="shared" si="6"/>
        <v>14.4</v>
      </c>
      <c r="AP7" s="89">
        <f t="shared" si="7"/>
        <v>15.12</v>
      </c>
      <c r="AQ7" s="89">
        <f t="shared" si="8"/>
        <v>15.876</v>
      </c>
      <c r="AR7" s="89">
        <f t="shared" si="9"/>
        <v>16.6698</v>
      </c>
      <c r="AS7" s="89">
        <f t="shared" si="10"/>
        <v>17.50329</v>
      </c>
      <c r="AT7" s="89">
        <f t="shared" ref="AT7:AT9" si="16">SUM(Z7:AC7)</f>
        <v>18.3784545</v>
      </c>
      <c r="AU7" s="100"/>
      <c r="BG7" s="105"/>
      <c r="BH7" s="105"/>
      <c r="BI7" s="105"/>
      <c r="BJ7" s="105"/>
    </row>
    <row r="8" spans="1:62">
      <c r="A8" s="18" t="s">
        <v>847</v>
      </c>
      <c r="B8" s="20">
        <f>+B5-B6-B7</f>
        <v>17.91330386</v>
      </c>
      <c r="C8" s="20">
        <f>+C5-C6-C7</f>
        <v>3.73465226000008</v>
      </c>
      <c r="D8" s="20">
        <f>+D5-D6-D7</f>
        <v>7.07915653999987</v>
      </c>
      <c r="E8" s="46">
        <f>+E5-E6-E7</f>
        <v>7.04667786999994</v>
      </c>
      <c r="F8" s="20">
        <f>+B8*(1+F14)</f>
        <v>5.37399115800001</v>
      </c>
      <c r="G8" s="20">
        <f t="shared" si="11"/>
        <v>4.10811748600008</v>
      </c>
      <c r="H8" s="20">
        <f t="shared" si="11"/>
        <v>7.78707219399986</v>
      </c>
      <c r="I8" s="46">
        <f t="shared" si="11"/>
        <v>7.75134565699993</v>
      </c>
      <c r="J8" s="20">
        <f t="shared" si="11"/>
        <v>5.64269071590001</v>
      </c>
      <c r="K8" s="20">
        <f t="shared" si="11"/>
        <v>4.31352336030009</v>
      </c>
      <c r="L8" s="20">
        <f t="shared" si="11"/>
        <v>8.17642580369985</v>
      </c>
      <c r="M8" s="46">
        <f t="shared" si="11"/>
        <v>8.13891293984993</v>
      </c>
      <c r="N8" s="20">
        <f t="shared" si="11"/>
        <v>5.92482525169502</v>
      </c>
      <c r="O8" s="20">
        <f t="shared" si="11"/>
        <v>4.52919952831509</v>
      </c>
      <c r="P8" s="20">
        <f t="shared" si="11"/>
        <v>8.58524709388485</v>
      </c>
      <c r="Q8" s="46">
        <f t="shared" si="11"/>
        <v>8.54585858684243</v>
      </c>
      <c r="R8" s="20">
        <f t="shared" si="11"/>
        <v>6.22106651427977</v>
      </c>
      <c r="S8" s="20">
        <f t="shared" si="11"/>
        <v>4.75565950473085</v>
      </c>
      <c r="T8" s="20">
        <f t="shared" si="11"/>
        <v>9.01450944857909</v>
      </c>
      <c r="U8" s="46">
        <f t="shared" si="11"/>
        <v>8.97315151618455</v>
      </c>
      <c r="V8" s="20">
        <f t="shared" ref="V8:Z8" si="17">+R8*(1+V14)</f>
        <v>6.53211983999375</v>
      </c>
      <c r="W8" s="20">
        <f t="shared" si="11"/>
        <v>4.99344247996739</v>
      </c>
      <c r="X8" s="20">
        <f t="shared" si="11"/>
        <v>9.46523492100805</v>
      </c>
      <c r="Y8" s="46">
        <f t="shared" si="17"/>
        <v>9.42180909199378</v>
      </c>
      <c r="Z8" s="20">
        <f t="shared" si="17"/>
        <v>6.85872583199344</v>
      </c>
      <c r="AA8" s="20">
        <f t="shared" si="13"/>
        <v>5.24311460396576</v>
      </c>
      <c r="AB8" s="20">
        <f t="shared" si="14"/>
        <v>9.93849666705845</v>
      </c>
      <c r="AC8" s="46">
        <f t="shared" si="15"/>
        <v>9.89289954659347</v>
      </c>
      <c r="AD8" s="36"/>
      <c r="AE8" s="36"/>
      <c r="AF8" s="74">
        <v>35.66</v>
      </c>
      <c r="AG8" s="74">
        <v>57.83</v>
      </c>
      <c r="AH8" s="74">
        <v>40.68</v>
      </c>
      <c r="AI8" s="74">
        <v>50.86</v>
      </c>
      <c r="AJ8" s="74">
        <v>40.96</v>
      </c>
      <c r="AK8" s="74">
        <v>21.1</v>
      </c>
      <c r="AL8" s="74">
        <v>21.92</v>
      </c>
      <c r="AM8" s="74">
        <v>25.29</v>
      </c>
      <c r="AN8" s="74">
        <v>35.75</v>
      </c>
      <c r="AO8" s="89">
        <f t="shared" si="6"/>
        <v>25.0205264949999</v>
      </c>
      <c r="AP8" s="89">
        <f t="shared" si="7"/>
        <v>26.2715528197499</v>
      </c>
      <c r="AQ8" s="89">
        <f t="shared" si="8"/>
        <v>27.5851304607374</v>
      </c>
      <c r="AR8" s="89">
        <f t="shared" si="9"/>
        <v>28.9643869837743</v>
      </c>
      <c r="AS8" s="89">
        <f t="shared" si="10"/>
        <v>30.412606332963</v>
      </c>
      <c r="AT8" s="89">
        <f t="shared" si="16"/>
        <v>31.9332366496111</v>
      </c>
      <c r="AU8" s="100"/>
      <c r="AV8" s="102"/>
      <c r="AW8" s="102"/>
      <c r="AX8" s="102"/>
      <c r="AY8" s="102"/>
      <c r="AZ8" s="102"/>
      <c r="BG8" s="105"/>
      <c r="BH8" s="105"/>
      <c r="BI8" s="105"/>
      <c r="BJ8" s="105"/>
    </row>
    <row r="9" spans="1:63">
      <c r="A9" s="18" t="s">
        <v>692</v>
      </c>
      <c r="B9" s="20">
        <v>0</v>
      </c>
      <c r="C9" s="20">
        <v>0</v>
      </c>
      <c r="D9" s="20">
        <v>0</v>
      </c>
      <c r="E9" s="46">
        <f>+AN9</f>
        <v>-0.00620946999970329</v>
      </c>
      <c r="F9" s="20">
        <f t="shared" ref="F9:R9" si="18">+F5-SUM(F6:F8)</f>
        <v>0.991299941999955</v>
      </c>
      <c r="G9" s="20">
        <f t="shared" si="18"/>
        <v>0.161816434000002</v>
      </c>
      <c r="H9" s="20">
        <f t="shared" si="18"/>
        <v>2.4917046060001</v>
      </c>
      <c r="I9" s="46">
        <f t="shared" si="18"/>
        <v>1.93630304300007</v>
      </c>
      <c r="J9" s="20">
        <f t="shared" si="18"/>
        <v>10.9481225241</v>
      </c>
      <c r="K9" s="20">
        <f t="shared" si="18"/>
        <v>6.06352353970033</v>
      </c>
      <c r="L9" s="20">
        <f t="shared" si="18"/>
        <v>9.59533645130068</v>
      </c>
      <c r="M9" s="46">
        <f t="shared" si="18"/>
        <v>18.3894889851508</v>
      </c>
      <c r="N9" s="20">
        <f t="shared" si="18"/>
        <v>9.40260827767997</v>
      </c>
      <c r="O9" s="20">
        <f t="shared" si="18"/>
        <v>13.3364151829355</v>
      </c>
      <c r="P9" s="20">
        <f t="shared" si="18"/>
        <v>1.76595828767586</v>
      </c>
      <c r="Q9" s="46">
        <f t="shared" si="18"/>
        <v>7.74969916097143</v>
      </c>
      <c r="R9" s="20">
        <f t="shared" si="18"/>
        <v>9.54274548846297</v>
      </c>
      <c r="S9" s="20">
        <v>5</v>
      </c>
      <c r="T9" s="20">
        <v>5</v>
      </c>
      <c r="U9" s="46">
        <v>5</v>
      </c>
      <c r="V9" s="20">
        <v>5</v>
      </c>
      <c r="W9" s="20">
        <v>5</v>
      </c>
      <c r="X9" s="20">
        <v>5</v>
      </c>
      <c r="Y9" s="46">
        <v>5</v>
      </c>
      <c r="Z9" s="20">
        <v>5</v>
      </c>
      <c r="AA9" s="20">
        <v>5</v>
      </c>
      <c r="AB9" s="20">
        <v>5</v>
      </c>
      <c r="AC9" s="46">
        <v>5</v>
      </c>
      <c r="AD9" s="36"/>
      <c r="AE9" s="36"/>
      <c r="AF9" s="75">
        <f>+AF5-SUM(AF6:AF8)</f>
        <v>1.06426833</v>
      </c>
      <c r="AG9" s="75">
        <f t="shared" ref="AG9:AN9" si="19">+AG5-SUM(AG6:AG8)</f>
        <v>5.04957512999999</v>
      </c>
      <c r="AH9" s="75">
        <f t="shared" si="19"/>
        <v>0.001650810000001</v>
      </c>
      <c r="AI9" s="75">
        <f t="shared" si="19"/>
        <v>0.00536177999993015</v>
      </c>
      <c r="AJ9" s="75">
        <f t="shared" si="19"/>
        <v>0.000284499999906984</v>
      </c>
      <c r="AK9" s="75">
        <f t="shared" si="19"/>
        <v>0.00368236000008437</v>
      </c>
      <c r="AL9" s="75">
        <f t="shared" si="19"/>
        <v>-0.00225373000012041</v>
      </c>
      <c r="AM9" s="75">
        <f t="shared" si="19"/>
        <v>0.00606376000041564</v>
      </c>
      <c r="AN9" s="75">
        <f t="shared" si="19"/>
        <v>-0.00620946999970329</v>
      </c>
      <c r="AO9" s="89">
        <f t="shared" si="6"/>
        <v>5.58112402500012</v>
      </c>
      <c r="AP9" s="89">
        <f t="shared" si="7"/>
        <v>44.9964715002518</v>
      </c>
      <c r="AQ9" s="89">
        <f t="shared" si="8"/>
        <v>32.2546809092628</v>
      </c>
      <c r="AR9" s="89">
        <f t="shared" si="9"/>
        <v>24.542745488463</v>
      </c>
      <c r="AS9" s="89">
        <f t="shared" si="10"/>
        <v>20</v>
      </c>
      <c r="AT9" s="89">
        <f t="shared" si="16"/>
        <v>20</v>
      </c>
      <c r="AU9" s="100"/>
      <c r="BG9" s="105"/>
      <c r="BH9" s="105"/>
      <c r="BI9" s="105"/>
      <c r="BJ9" s="105"/>
      <c r="BK9" s="109"/>
    </row>
    <row r="10" spans="1:63">
      <c r="A10" s="21"/>
      <c r="B10" s="20"/>
      <c r="C10" s="20"/>
      <c r="D10" s="20"/>
      <c r="E10" s="46"/>
      <c r="F10" s="20"/>
      <c r="G10" s="20"/>
      <c r="H10" s="20"/>
      <c r="I10" s="46"/>
      <c r="J10" s="20"/>
      <c r="K10" s="20"/>
      <c r="L10" s="20"/>
      <c r="M10" s="46"/>
      <c r="N10" s="20"/>
      <c r="O10" s="20"/>
      <c r="P10" s="20"/>
      <c r="Q10" s="46"/>
      <c r="R10" s="20"/>
      <c r="S10" s="20"/>
      <c r="T10" s="20"/>
      <c r="U10" s="46"/>
      <c r="V10" s="20"/>
      <c r="W10" s="20"/>
      <c r="X10" s="20"/>
      <c r="Y10" s="46"/>
      <c r="Z10" s="20"/>
      <c r="AA10" s="20"/>
      <c r="AB10" s="20"/>
      <c r="AC10" s="46"/>
      <c r="AD10" s="36"/>
      <c r="AE10" s="36"/>
      <c r="AF10" s="76"/>
      <c r="AG10" s="76"/>
      <c r="AH10" s="83"/>
      <c r="AI10" s="83"/>
      <c r="AJ10" s="83"/>
      <c r="AK10" s="83"/>
      <c r="AL10" s="89"/>
      <c r="AM10" s="89"/>
      <c r="AN10" s="89"/>
      <c r="AO10" s="89"/>
      <c r="AP10" s="89"/>
      <c r="AQ10" s="89"/>
      <c r="AR10" s="89"/>
      <c r="AS10" s="89"/>
      <c r="AT10" s="89"/>
      <c r="AU10" s="100"/>
      <c r="BG10" s="105"/>
      <c r="BH10" s="105"/>
      <c r="BI10" s="105"/>
      <c r="BJ10" s="105"/>
      <c r="BK10" s="109"/>
    </row>
    <row r="11" spans="1:63">
      <c r="A11" s="22" t="s">
        <v>848</v>
      </c>
      <c r="B11" s="20"/>
      <c r="C11" s="20"/>
      <c r="D11" s="20"/>
      <c r="E11" s="46"/>
      <c r="F11" s="20"/>
      <c r="G11" s="20"/>
      <c r="H11" s="20"/>
      <c r="I11" s="46"/>
      <c r="J11" s="20"/>
      <c r="K11" s="20"/>
      <c r="L11" s="20"/>
      <c r="M11" s="46"/>
      <c r="N11" s="20"/>
      <c r="O11" s="20"/>
      <c r="P11" s="20"/>
      <c r="Q11" s="46"/>
      <c r="R11" s="20"/>
      <c r="S11" s="20"/>
      <c r="T11" s="20"/>
      <c r="U11" s="46"/>
      <c r="V11" s="20"/>
      <c r="W11" s="20"/>
      <c r="X11" s="20"/>
      <c r="Y11" s="46"/>
      <c r="Z11" s="20"/>
      <c r="AA11" s="20"/>
      <c r="AB11" s="20"/>
      <c r="AC11" s="46"/>
      <c r="AD11" s="36"/>
      <c r="AE11" s="36"/>
      <c r="AF11" s="76"/>
      <c r="AG11" s="84">
        <f>+AG5/AF5-1</f>
        <v>0.176959897971335</v>
      </c>
      <c r="AH11" s="84">
        <f t="shared" ref="AH11:AT12" si="20">+AH5/AG5-1</f>
        <v>0.160638808574929</v>
      </c>
      <c r="AI11" s="84">
        <f t="shared" si="20"/>
        <v>0.228920668784714</v>
      </c>
      <c r="AJ11" s="84">
        <f t="shared" si="20"/>
        <v>-0.133826889452061</v>
      </c>
      <c r="AK11" s="84">
        <f t="shared" si="20"/>
        <v>0.532828799618668</v>
      </c>
      <c r="AL11" s="84">
        <f t="shared" si="20"/>
        <v>0.715153991823591</v>
      </c>
      <c r="AM11" s="90">
        <f t="shared" si="20"/>
        <v>0.455689031947928</v>
      </c>
      <c r="AN11" s="90">
        <f t="shared" si="20"/>
        <v>0.13828945017861</v>
      </c>
      <c r="AO11" s="90">
        <f t="shared" si="20"/>
        <v>-0.0643296460025155</v>
      </c>
      <c r="AP11" s="90">
        <f t="shared" si="20"/>
        <v>1.79145631521004</v>
      </c>
      <c r="AQ11" s="90">
        <f t="shared" si="20"/>
        <v>1.87294321518788</v>
      </c>
      <c r="AR11" s="90">
        <f t="shared" si="20"/>
        <v>1.07136463154165</v>
      </c>
      <c r="AS11" s="90">
        <f t="shared" si="20"/>
        <v>0.436369243017398</v>
      </c>
      <c r="AT11" s="90">
        <f t="shared" si="20"/>
        <v>0.149704999519304</v>
      </c>
      <c r="AU11" s="100"/>
      <c r="BH11" s="106"/>
      <c r="BI11" s="106"/>
      <c r="BJ11" s="106"/>
      <c r="BK11" s="109"/>
    </row>
    <row r="12" s="1" customFormat="1" spans="1:63">
      <c r="A12" s="18" t="s">
        <v>845</v>
      </c>
      <c r="B12" s="23"/>
      <c r="C12" s="23"/>
      <c r="D12" s="23"/>
      <c r="E12" s="47"/>
      <c r="F12" s="48">
        <f>+F6/B6-1</f>
        <v>-0.164742630385488</v>
      </c>
      <c r="G12" s="48">
        <f t="shared" ref="G12:Y12" si="21">+G6/C6-1</f>
        <v>-0.0500395310796073</v>
      </c>
      <c r="H12" s="48">
        <f t="shared" si="21"/>
        <v>-0.169693320210258</v>
      </c>
      <c r="I12" s="63">
        <f t="shared" si="21"/>
        <v>0.125871513607359</v>
      </c>
      <c r="J12" s="48">
        <f t="shared" si="21"/>
        <v>0.852081115523071</v>
      </c>
      <c r="K12" s="48">
        <f t="shared" si="21"/>
        <v>1.29731597911295</v>
      </c>
      <c r="L12" s="48">
        <f t="shared" si="21"/>
        <v>2.10071113791536</v>
      </c>
      <c r="M12" s="63">
        <f t="shared" si="21"/>
        <v>2.49219962867134</v>
      </c>
      <c r="N12" s="48">
        <f t="shared" si="21"/>
        <v>2.69384075929199</v>
      </c>
      <c r="O12" s="48">
        <f t="shared" si="21"/>
        <v>2.97469956702597</v>
      </c>
      <c r="P12" s="48">
        <f t="shared" si="21"/>
        <v>1.54263857473806</v>
      </c>
      <c r="Q12" s="63">
        <f t="shared" si="21"/>
        <v>1.38514890301195</v>
      </c>
      <c r="R12" s="48">
        <f t="shared" si="21"/>
        <v>1.0627468312408</v>
      </c>
      <c r="S12" s="48">
        <f t="shared" si="21"/>
        <v>0.771011545660176</v>
      </c>
      <c r="T12" s="48">
        <f t="shared" si="21"/>
        <v>1.50227444577126</v>
      </c>
      <c r="U12" s="63">
        <f t="shared" si="21"/>
        <v>1.00219556015465</v>
      </c>
      <c r="V12" s="48">
        <f t="shared" si="21"/>
        <v>0.822197237133419</v>
      </c>
      <c r="W12" s="48">
        <f t="shared" si="21"/>
        <v>0.489508749724088</v>
      </c>
      <c r="X12" s="48">
        <f t="shared" si="21"/>
        <v>0.428971574804551</v>
      </c>
      <c r="Y12" s="63">
        <f t="shared" si="21"/>
        <v>0.216443710092528</v>
      </c>
      <c r="Z12" s="48">
        <f t="shared" ref="Z12" si="22">+Z6/V6-1</f>
        <v>-0.032928791924407</v>
      </c>
      <c r="AA12" s="48">
        <f t="shared" ref="AA12" si="23">+AA6/W6-1</f>
        <v>0.139948766997348</v>
      </c>
      <c r="AB12" s="48">
        <f t="shared" ref="AB12" si="24">+AB6/X6-1</f>
        <v>0.22201960352155</v>
      </c>
      <c r="AC12" s="63">
        <f t="shared" ref="AC12" si="25">+AC6/Y6-1</f>
        <v>0.217542563003825</v>
      </c>
      <c r="AD12" s="73"/>
      <c r="AE12" s="73"/>
      <c r="AF12" s="77"/>
      <c r="AG12" s="84">
        <f>+AG6/AF6-1</f>
        <v>0.14379101090335</v>
      </c>
      <c r="AH12" s="84">
        <f t="shared" si="20"/>
        <v>0.237841568356806</v>
      </c>
      <c r="AI12" s="84">
        <f t="shared" si="20"/>
        <v>0.169405000435578</v>
      </c>
      <c r="AJ12" s="84">
        <f t="shared" si="20"/>
        <v>-0.055618463005453</v>
      </c>
      <c r="AK12" s="84">
        <f t="shared" si="20"/>
        <v>0.736499171728327</v>
      </c>
      <c r="AL12" s="84">
        <f t="shared" si="20"/>
        <v>0.76410037431406</v>
      </c>
      <c r="AM12" s="84">
        <f t="shared" si="20"/>
        <v>0.462623151757986</v>
      </c>
      <c r="AN12" s="84">
        <f t="shared" si="20"/>
        <v>0.143838534642728</v>
      </c>
      <c r="AO12" s="84">
        <f t="shared" si="20"/>
        <v>-0.0603006012024049</v>
      </c>
      <c r="AP12" s="84">
        <f t="shared" si="20"/>
        <v>1.80430833136862</v>
      </c>
      <c r="AQ12" s="84">
        <f t="shared" si="20"/>
        <v>1.89309077936855</v>
      </c>
      <c r="AR12" s="84">
        <f t="shared" si="20"/>
        <v>1.07486368810219</v>
      </c>
      <c r="AS12" s="84">
        <f t="shared" si="20"/>
        <v>0.437009181113767</v>
      </c>
      <c r="AT12" s="84">
        <f t="shared" ref="AT12:AT14" si="26">+AT6/AS6-1</f>
        <v>0.149810244276936</v>
      </c>
      <c r="AU12" s="100"/>
      <c r="BK12" s="110"/>
    </row>
    <row r="13" spans="1:63">
      <c r="A13" s="18" t="s">
        <v>846</v>
      </c>
      <c r="B13" s="20"/>
      <c r="C13" s="20"/>
      <c r="D13" s="20"/>
      <c r="E13" s="46"/>
      <c r="F13" s="48">
        <v>-0.7</v>
      </c>
      <c r="G13" s="48">
        <v>0.1</v>
      </c>
      <c r="H13" s="48">
        <v>0.1</v>
      </c>
      <c r="I13" s="63">
        <v>0.1</v>
      </c>
      <c r="J13" s="48">
        <v>0.05</v>
      </c>
      <c r="K13" s="48">
        <v>0.05</v>
      </c>
      <c r="L13" s="48">
        <v>0.05</v>
      </c>
      <c r="M13" s="63">
        <v>0.05</v>
      </c>
      <c r="N13" s="48">
        <v>0.05</v>
      </c>
      <c r="O13" s="48">
        <v>0.05</v>
      </c>
      <c r="P13" s="48">
        <v>0.05</v>
      </c>
      <c r="Q13" s="63">
        <v>0.05</v>
      </c>
      <c r="R13" s="48">
        <v>0.05</v>
      </c>
      <c r="S13" s="48">
        <v>0.05</v>
      </c>
      <c r="T13" s="48">
        <v>0.05</v>
      </c>
      <c r="U13" s="63">
        <v>0.05</v>
      </c>
      <c r="V13" s="48">
        <v>0.05</v>
      </c>
      <c r="W13" s="48">
        <v>0.05</v>
      </c>
      <c r="X13" s="48">
        <v>0.05</v>
      </c>
      <c r="Y13" s="63">
        <v>0.05</v>
      </c>
      <c r="Z13" s="48">
        <v>0.05</v>
      </c>
      <c r="AA13" s="48">
        <v>0.05</v>
      </c>
      <c r="AB13" s="48">
        <v>0.05</v>
      </c>
      <c r="AC13" s="63">
        <v>0.05</v>
      </c>
      <c r="AD13" s="36"/>
      <c r="AE13" s="36"/>
      <c r="AF13" s="78"/>
      <c r="AG13" s="84">
        <f t="shared" ref="AG13:AS14" si="27">+AG7/AF7-1</f>
        <v>0.0998385694772133</v>
      </c>
      <c r="AH13" s="84">
        <f t="shared" si="27"/>
        <v>0.121147115276053</v>
      </c>
      <c r="AI13" s="84">
        <f t="shared" si="27"/>
        <v>0.564149043303122</v>
      </c>
      <c r="AJ13" s="84">
        <f t="shared" si="27"/>
        <v>-0.451841359773371</v>
      </c>
      <c r="AK13" s="84">
        <f t="shared" si="27"/>
        <v>-0.493892412497064</v>
      </c>
      <c r="AL13" s="84">
        <f t="shared" si="27"/>
        <v>-0.203759572986772</v>
      </c>
      <c r="AM13" s="84">
        <f t="shared" si="27"/>
        <v>0.255902069367531</v>
      </c>
      <c r="AN13" s="84">
        <f t="shared" si="27"/>
        <v>-0.388721281039684</v>
      </c>
      <c r="AO13" s="84">
        <f t="shared" si="27"/>
        <v>-0.453302961275626</v>
      </c>
      <c r="AP13" s="84">
        <f t="shared" si="27"/>
        <v>0.05</v>
      </c>
      <c r="AQ13" s="84">
        <f t="shared" si="27"/>
        <v>0.05</v>
      </c>
      <c r="AR13" s="84">
        <f t="shared" si="27"/>
        <v>0.05</v>
      </c>
      <c r="AS13" s="84">
        <f t="shared" si="27"/>
        <v>0.05</v>
      </c>
      <c r="AT13" s="84">
        <f t="shared" si="26"/>
        <v>0.05</v>
      </c>
      <c r="AU13" s="100"/>
      <c r="AX13" s="103"/>
      <c r="AY13" s="103"/>
      <c r="AZ13" s="103"/>
      <c r="BK13" s="109"/>
    </row>
    <row r="14" s="2" customFormat="1" spans="1:63">
      <c r="A14" s="18" t="s">
        <v>847</v>
      </c>
      <c r="B14" s="24"/>
      <c r="C14" s="24"/>
      <c r="D14" s="24"/>
      <c r="E14" s="49"/>
      <c r="F14" s="50">
        <v>-0.7</v>
      </c>
      <c r="G14" s="50">
        <v>0.1</v>
      </c>
      <c r="H14" s="50">
        <v>0.1</v>
      </c>
      <c r="I14" s="64">
        <v>0.1</v>
      </c>
      <c r="J14" s="48">
        <v>0.05</v>
      </c>
      <c r="K14" s="48">
        <v>0.05</v>
      </c>
      <c r="L14" s="48">
        <v>0.05</v>
      </c>
      <c r="M14" s="63">
        <v>0.05</v>
      </c>
      <c r="N14" s="48">
        <v>0.05</v>
      </c>
      <c r="O14" s="48">
        <v>0.05</v>
      </c>
      <c r="P14" s="48">
        <v>0.05</v>
      </c>
      <c r="Q14" s="63">
        <v>0.05</v>
      </c>
      <c r="R14" s="48">
        <v>0.05</v>
      </c>
      <c r="S14" s="48">
        <v>0.05</v>
      </c>
      <c r="T14" s="48">
        <v>0.05</v>
      </c>
      <c r="U14" s="63">
        <v>0.05</v>
      </c>
      <c r="V14" s="48">
        <v>0.05</v>
      </c>
      <c r="W14" s="48">
        <v>0.05</v>
      </c>
      <c r="X14" s="48">
        <v>0.05</v>
      </c>
      <c r="Y14" s="63">
        <v>0.05</v>
      </c>
      <c r="Z14" s="48">
        <v>0.05</v>
      </c>
      <c r="AA14" s="48">
        <v>0.05</v>
      </c>
      <c r="AB14" s="48">
        <v>0.05</v>
      </c>
      <c r="AC14" s="63">
        <v>0.05</v>
      </c>
      <c r="AD14" s="79"/>
      <c r="AE14" s="79"/>
      <c r="AF14" s="80"/>
      <c r="AG14" s="84">
        <f t="shared" si="27"/>
        <v>0.621704991587213</v>
      </c>
      <c r="AH14" s="84">
        <f t="shared" si="27"/>
        <v>-0.296558879474321</v>
      </c>
      <c r="AI14" s="84">
        <f t="shared" si="27"/>
        <v>0.250245821042281</v>
      </c>
      <c r="AJ14" s="84">
        <f t="shared" si="27"/>
        <v>-0.194651985843492</v>
      </c>
      <c r="AK14" s="84">
        <f t="shared" si="27"/>
        <v>-0.48486328125</v>
      </c>
      <c r="AL14" s="84">
        <f t="shared" si="27"/>
        <v>0.0388625592417062</v>
      </c>
      <c r="AM14" s="84">
        <f t="shared" si="27"/>
        <v>0.153740875912409</v>
      </c>
      <c r="AN14" s="84">
        <f t="shared" si="27"/>
        <v>0.413602214313958</v>
      </c>
      <c r="AO14" s="84">
        <f t="shared" si="27"/>
        <v>-0.300125133006996</v>
      </c>
      <c r="AP14" s="84">
        <f t="shared" si="27"/>
        <v>0.05</v>
      </c>
      <c r="AQ14" s="84">
        <f t="shared" si="27"/>
        <v>0.05</v>
      </c>
      <c r="AR14" s="84">
        <f t="shared" si="27"/>
        <v>0.05</v>
      </c>
      <c r="AS14" s="84">
        <f t="shared" si="27"/>
        <v>0.05</v>
      </c>
      <c r="AT14" s="84">
        <f t="shared" si="26"/>
        <v>0.05</v>
      </c>
      <c r="AU14" s="100"/>
      <c r="BF14" s="107"/>
      <c r="BG14" s="108"/>
      <c r="BJ14" s="107"/>
      <c r="BK14" s="108"/>
    </row>
    <row r="15" s="2" customFormat="1" spans="1:63">
      <c r="A15" s="18" t="s">
        <v>692</v>
      </c>
      <c r="B15" s="24"/>
      <c r="C15" s="24"/>
      <c r="D15" s="24"/>
      <c r="E15" s="49"/>
      <c r="F15" s="24"/>
      <c r="G15" s="24"/>
      <c r="H15" s="24"/>
      <c r="I15" s="49"/>
      <c r="J15" s="24"/>
      <c r="K15" s="24"/>
      <c r="L15" s="24"/>
      <c r="M15" s="49"/>
      <c r="N15" s="24"/>
      <c r="O15" s="24"/>
      <c r="P15" s="24"/>
      <c r="Q15" s="49"/>
      <c r="R15" s="24"/>
      <c r="S15" s="24"/>
      <c r="T15" s="24"/>
      <c r="U15" s="49"/>
      <c r="V15" s="24"/>
      <c r="W15" s="24"/>
      <c r="X15" s="24"/>
      <c r="Y15" s="49"/>
      <c r="Z15" s="24"/>
      <c r="AA15" s="24"/>
      <c r="AB15" s="24"/>
      <c r="AC15" s="49"/>
      <c r="AD15" s="79"/>
      <c r="AE15" s="79"/>
      <c r="AF15" s="80"/>
      <c r="AG15" s="80"/>
      <c r="AH15" s="85"/>
      <c r="AI15" s="85"/>
      <c r="AJ15" s="85"/>
      <c r="AK15" s="85"/>
      <c r="AL15" s="91"/>
      <c r="AM15" s="91"/>
      <c r="AN15" s="91"/>
      <c r="AO15" s="91">
        <f t="shared" si="6"/>
        <v>0</v>
      </c>
      <c r="AP15" s="91">
        <f t="shared" si="7"/>
        <v>0</v>
      </c>
      <c r="AQ15" s="91">
        <f t="shared" si="8"/>
        <v>0</v>
      </c>
      <c r="AR15" s="91">
        <f t="shared" si="9"/>
        <v>0</v>
      </c>
      <c r="AS15" s="91">
        <f>SUM(V15:Y15)</f>
        <v>0</v>
      </c>
      <c r="AT15" s="91">
        <f>SUM(W15:Z15)</f>
        <v>0</v>
      </c>
      <c r="AU15" s="100"/>
      <c r="BF15" s="107"/>
      <c r="BG15" s="108"/>
      <c r="BJ15" s="107"/>
      <c r="BK15" s="108"/>
    </row>
    <row r="16" s="2" customFormat="1" spans="1:63">
      <c r="A16" s="25"/>
      <c r="B16" s="24"/>
      <c r="C16" s="24"/>
      <c r="D16" s="24"/>
      <c r="E16" s="49"/>
      <c r="F16" s="24"/>
      <c r="G16" s="24"/>
      <c r="H16" s="24"/>
      <c r="I16" s="49"/>
      <c r="J16" s="24"/>
      <c r="K16" s="24"/>
      <c r="L16" s="24"/>
      <c r="M16" s="49"/>
      <c r="N16" s="24"/>
      <c r="O16" s="24"/>
      <c r="P16" s="24"/>
      <c r="Q16" s="49"/>
      <c r="R16" s="24"/>
      <c r="S16" s="24"/>
      <c r="T16" s="24"/>
      <c r="U16" s="49"/>
      <c r="V16" s="24"/>
      <c r="W16" s="24"/>
      <c r="X16" s="24"/>
      <c r="Y16" s="49"/>
      <c r="Z16" s="24"/>
      <c r="AA16" s="24"/>
      <c r="AB16" s="24"/>
      <c r="AC16" s="49"/>
      <c r="AD16" s="79"/>
      <c r="AE16" s="79"/>
      <c r="AF16" s="81"/>
      <c r="AG16" s="81"/>
      <c r="AH16" s="86"/>
      <c r="AI16" s="86"/>
      <c r="AJ16" s="86"/>
      <c r="AK16" s="86"/>
      <c r="AL16" s="92"/>
      <c r="AM16" s="92"/>
      <c r="AN16" s="92"/>
      <c r="AO16" s="92"/>
      <c r="AP16" s="92"/>
      <c r="AQ16" s="92"/>
      <c r="AR16" s="92"/>
      <c r="AS16" s="92"/>
      <c r="AT16" s="92"/>
      <c r="AU16" s="100"/>
      <c r="AY16" s="9"/>
      <c r="AZ16" s="9"/>
      <c r="BF16" s="107"/>
      <c r="BG16" s="108"/>
      <c r="BJ16" s="107"/>
      <c r="BK16" s="108"/>
    </row>
    <row r="17" spans="1:63">
      <c r="A17" s="22" t="s">
        <v>849</v>
      </c>
      <c r="B17" s="26">
        <f>SUM(B18:B21)</f>
        <v>1</v>
      </c>
      <c r="C17" s="26">
        <f t="shared" ref="C17:Y17" si="28">SUM(C18:C21)</f>
        <v>1</v>
      </c>
      <c r="D17" s="26">
        <f t="shared" si="28"/>
        <v>1</v>
      </c>
      <c r="E17" s="51">
        <f t="shared" si="28"/>
        <v>0.999993070303636</v>
      </c>
      <c r="F17" s="26">
        <f t="shared" si="28"/>
        <v>1</v>
      </c>
      <c r="G17" s="26">
        <f t="shared" si="28"/>
        <v>1</v>
      </c>
      <c r="H17" s="26">
        <f t="shared" si="28"/>
        <v>1</v>
      </c>
      <c r="I17" s="51">
        <f t="shared" si="28"/>
        <v>1</v>
      </c>
      <c r="J17" s="26">
        <f t="shared" si="28"/>
        <v>1</v>
      </c>
      <c r="K17" s="26">
        <f t="shared" si="28"/>
        <v>1</v>
      </c>
      <c r="L17" s="26">
        <f t="shared" si="28"/>
        <v>1</v>
      </c>
      <c r="M17" s="51">
        <f t="shared" si="28"/>
        <v>1</v>
      </c>
      <c r="N17" s="26">
        <f t="shared" si="28"/>
        <v>1</v>
      </c>
      <c r="O17" s="26">
        <f t="shared" si="28"/>
        <v>1</v>
      </c>
      <c r="P17" s="26">
        <f t="shared" si="28"/>
        <v>1</v>
      </c>
      <c r="Q17" s="51">
        <f t="shared" si="28"/>
        <v>1</v>
      </c>
      <c r="R17" s="26">
        <f t="shared" si="28"/>
        <v>1</v>
      </c>
      <c r="S17" s="26">
        <f t="shared" si="28"/>
        <v>1</v>
      </c>
      <c r="T17" s="26">
        <f t="shared" si="28"/>
        <v>1</v>
      </c>
      <c r="U17" s="51">
        <f t="shared" si="28"/>
        <v>1</v>
      </c>
      <c r="V17" s="26">
        <f t="shared" si="28"/>
        <v>1</v>
      </c>
      <c r="W17" s="26">
        <f t="shared" si="28"/>
        <v>1</v>
      </c>
      <c r="X17" s="26">
        <f t="shared" si="28"/>
        <v>1</v>
      </c>
      <c r="Y17" s="51">
        <f t="shared" si="28"/>
        <v>1</v>
      </c>
      <c r="Z17" s="26">
        <f t="shared" ref="Z17:AC17" si="29">SUM(Z18:Z21)</f>
        <v>1</v>
      </c>
      <c r="AA17" s="26">
        <f t="shared" si="29"/>
        <v>1</v>
      </c>
      <c r="AB17" s="26">
        <f t="shared" si="29"/>
        <v>1</v>
      </c>
      <c r="AC17" s="51">
        <f t="shared" si="29"/>
        <v>1</v>
      </c>
      <c r="AD17" s="36"/>
      <c r="AE17" s="36"/>
      <c r="AF17" s="26">
        <f t="shared" ref="AF17:AS17" si="30">SUM(AF18:AF21)</f>
        <v>1</v>
      </c>
      <c r="AG17" s="26">
        <f t="shared" si="30"/>
        <v>1</v>
      </c>
      <c r="AH17" s="26">
        <f t="shared" si="30"/>
        <v>1</v>
      </c>
      <c r="AI17" s="26">
        <f t="shared" si="30"/>
        <v>1</v>
      </c>
      <c r="AJ17" s="26">
        <f t="shared" si="30"/>
        <v>1</v>
      </c>
      <c r="AK17" s="26">
        <f t="shared" si="30"/>
        <v>1</v>
      </c>
      <c r="AL17" s="26">
        <f t="shared" si="30"/>
        <v>1</v>
      </c>
      <c r="AM17" s="26">
        <f t="shared" si="30"/>
        <v>1</v>
      </c>
      <c r="AN17" s="26">
        <f t="shared" si="30"/>
        <v>1</v>
      </c>
      <c r="AO17" s="26">
        <f t="shared" si="30"/>
        <v>1</v>
      </c>
      <c r="AP17" s="26">
        <f t="shared" si="30"/>
        <v>1</v>
      </c>
      <c r="AQ17" s="26">
        <f t="shared" si="30"/>
        <v>1</v>
      </c>
      <c r="AR17" s="26">
        <f t="shared" si="30"/>
        <v>1</v>
      </c>
      <c r="AS17" s="26">
        <f t="shared" si="30"/>
        <v>1</v>
      </c>
      <c r="AT17" s="26">
        <f t="shared" ref="AT17" si="31">SUM(AT18:AT21)</f>
        <v>1</v>
      </c>
      <c r="AU17" s="100"/>
      <c r="BF17" s="29"/>
      <c r="BG17" s="109"/>
      <c r="BJ17" s="29"/>
      <c r="BK17" s="109"/>
    </row>
    <row r="18" s="1" customFormat="1" spans="1:63">
      <c r="A18" s="18" t="s">
        <v>845</v>
      </c>
      <c r="B18" s="27">
        <f>+B6/B$5</f>
        <v>0.955433025122267</v>
      </c>
      <c r="C18" s="27">
        <f t="shared" ref="C18:Y21" si="32">+C6/C$5</f>
        <v>0.990903232424092</v>
      </c>
      <c r="D18" s="27">
        <f t="shared" si="32"/>
        <v>0.988158982400205</v>
      </c>
      <c r="E18" s="52">
        <f t="shared" si="32"/>
        <v>0.989904012621578</v>
      </c>
      <c r="F18" s="27">
        <f t="shared" si="32"/>
        <v>0.981897906159348</v>
      </c>
      <c r="G18" s="27">
        <f t="shared" si="32"/>
        <v>0.989254288555255</v>
      </c>
      <c r="H18" s="27">
        <f t="shared" si="32"/>
        <v>0.981237912370965</v>
      </c>
      <c r="I18" s="52">
        <f t="shared" si="32"/>
        <v>0.988236552120113</v>
      </c>
      <c r="J18" s="27">
        <f t="shared" si="32"/>
        <v>0.980845811525179</v>
      </c>
      <c r="K18" s="27">
        <f t="shared" si="32"/>
        <v>0.991428122401679</v>
      </c>
      <c r="L18" s="27">
        <f t="shared" si="32"/>
        <v>0.990680820144418</v>
      </c>
      <c r="M18" s="52">
        <f t="shared" si="32"/>
        <v>0.991798873774683</v>
      </c>
      <c r="N18" s="27">
        <f t="shared" si="32"/>
        <v>0.994993238128617</v>
      </c>
      <c r="O18" s="27">
        <f t="shared" si="32"/>
        <v>0.99663208218149</v>
      </c>
      <c r="P18" s="27">
        <f t="shared" si="32"/>
        <v>0.997494536076436</v>
      </c>
      <c r="Q18" s="52">
        <f t="shared" si="32"/>
        <v>0.997754478245449</v>
      </c>
      <c r="R18" s="27">
        <f t="shared" si="32"/>
        <v>0.99748460411261</v>
      </c>
      <c r="S18" s="27">
        <f t="shared" si="32"/>
        <v>0.998796816145981</v>
      </c>
      <c r="T18" s="27">
        <f t="shared" si="32"/>
        <v>0.998739899812876</v>
      </c>
      <c r="U18" s="52">
        <f t="shared" si="32"/>
        <v>0.999009089899565</v>
      </c>
      <c r="V18" s="27">
        <f t="shared" si="32"/>
        <v>0.998879396209652</v>
      </c>
      <c r="W18" s="27">
        <f t="shared" si="32"/>
        <v>0.99916640597847</v>
      </c>
      <c r="X18" s="27">
        <f t="shared" si="32"/>
        <v>0.99908530680184</v>
      </c>
      <c r="Y18" s="52">
        <f t="shared" si="32"/>
        <v>0.999156877036355</v>
      </c>
      <c r="Z18" s="27">
        <f t="shared" ref="Z18:AC18" si="33">+Z6/Z$5</f>
        <v>0.998800435136155</v>
      </c>
      <c r="AA18" s="27">
        <f t="shared" si="33"/>
        <v>0.999245175859747</v>
      </c>
      <c r="AB18" s="27">
        <f t="shared" si="33"/>
        <v>0.999223402224631</v>
      </c>
      <c r="AC18" s="52">
        <f t="shared" si="33"/>
        <v>0.999282932709958</v>
      </c>
      <c r="AD18" s="73"/>
      <c r="AE18" s="73"/>
      <c r="AF18" s="27">
        <f t="shared" ref="AF18:AS21" si="34">+AF6/AF$5</f>
        <v>0.775647569562041</v>
      </c>
      <c r="AG18" s="27">
        <f t="shared" si="34"/>
        <v>0.753788399437634</v>
      </c>
      <c r="AH18" s="27">
        <f t="shared" si="34"/>
        <v>0.80392849840572</v>
      </c>
      <c r="AI18" s="27">
        <f t="shared" si="34"/>
        <v>0.764994868999967</v>
      </c>
      <c r="AJ18" s="27">
        <f t="shared" si="34"/>
        <v>0.834067718544291</v>
      </c>
      <c r="AK18" s="27">
        <f t="shared" si="34"/>
        <v>0.944892151542178</v>
      </c>
      <c r="AL18" s="27">
        <f t="shared" si="34"/>
        <v>0.971857107972972</v>
      </c>
      <c r="AM18" s="27">
        <f t="shared" si="34"/>
        <v>0.976486512658343</v>
      </c>
      <c r="AN18" s="27">
        <f t="shared" si="34"/>
        <v>0.981246818691191</v>
      </c>
      <c r="AO18" s="27">
        <f t="shared" si="34"/>
        <v>0.985472118098811</v>
      </c>
      <c r="AP18" s="27">
        <f t="shared" si="34"/>
        <v>0.99000928513833</v>
      </c>
      <c r="AQ18" s="27">
        <f t="shared" si="34"/>
        <v>0.996952087037904</v>
      </c>
      <c r="AR18" s="27">
        <f t="shared" si="34"/>
        <v>0.998636190207173</v>
      </c>
      <c r="AS18" s="27">
        <f t="shared" si="34"/>
        <v>0.999081107379853</v>
      </c>
      <c r="AT18" s="27">
        <f t="shared" ref="AT18" si="35">+AT6/AT$5</f>
        <v>0.999172563926571</v>
      </c>
      <c r="AU18" s="100"/>
      <c r="BF18" s="73"/>
      <c r="BG18" s="110"/>
      <c r="BJ18" s="73"/>
      <c r="BK18" s="110"/>
    </row>
    <row r="19" spans="1:63">
      <c r="A19" s="18" t="s">
        <v>846</v>
      </c>
      <c r="B19" s="27">
        <f>+B7/B$5</f>
        <v>0.0203110762143339</v>
      </c>
      <c r="C19" s="27">
        <f t="shared" si="32"/>
        <v>0.0040522215066416</v>
      </c>
      <c r="D19" s="27">
        <f t="shared" si="32"/>
        <v>0.004275061032686</v>
      </c>
      <c r="E19" s="52">
        <f t="shared" si="32"/>
        <v>0.00223197675953547</v>
      </c>
      <c r="F19" s="27">
        <f t="shared" si="32"/>
        <v>0.00749721489587487</v>
      </c>
      <c r="G19" s="27">
        <f t="shared" si="32"/>
        <v>0.00468443293460863</v>
      </c>
      <c r="H19" s="27">
        <f t="shared" si="32"/>
        <v>0.00562398261739044</v>
      </c>
      <c r="I19" s="52">
        <f t="shared" si="32"/>
        <v>0.00217701464678642</v>
      </c>
      <c r="J19" s="27">
        <f t="shared" si="32"/>
        <v>0.00424584037796388</v>
      </c>
      <c r="K19" s="27">
        <f t="shared" si="32"/>
        <v>0.00214574882549935</v>
      </c>
      <c r="L19" s="27">
        <f t="shared" si="32"/>
        <v>0.00192278796293384</v>
      </c>
      <c r="M19" s="52">
        <f t="shared" si="32"/>
        <v>0.000656922725113241</v>
      </c>
      <c r="N19" s="27">
        <f t="shared" si="32"/>
        <v>0.00122431784686456</v>
      </c>
      <c r="O19" s="27">
        <f t="shared" si="32"/>
        <v>0.000569819758807514</v>
      </c>
      <c r="P19" s="27">
        <f t="shared" si="32"/>
        <v>0.000799489625890005</v>
      </c>
      <c r="Q19" s="52">
        <f t="shared" si="32"/>
        <v>0.000290929769515769</v>
      </c>
      <c r="R19" s="27">
        <f t="shared" si="32"/>
        <v>0.000624774970315874</v>
      </c>
      <c r="S19" s="27">
        <f t="shared" si="32"/>
        <v>0.000338569394775928</v>
      </c>
      <c r="T19" s="27">
        <f t="shared" si="32"/>
        <v>0.000335899274617425</v>
      </c>
      <c r="U19" s="52">
        <f t="shared" si="32"/>
        <v>0.000152762487688007</v>
      </c>
      <c r="V19" s="27">
        <f t="shared" si="32"/>
        <v>0.00036051587368987</v>
      </c>
      <c r="W19" s="27">
        <f t="shared" si="32"/>
        <v>0.000238756174645921</v>
      </c>
      <c r="X19" s="27">
        <f t="shared" si="32"/>
        <v>0.00024690219268664</v>
      </c>
      <c r="Y19" s="52">
        <f t="shared" si="32"/>
        <v>0.000131879789752352</v>
      </c>
      <c r="Z19" s="27">
        <f t="shared" ref="Z19:AC19" si="36">+Z7/Z$5</f>
        <v>0.000391400075428437</v>
      </c>
      <c r="AA19" s="27">
        <f t="shared" si="36"/>
        <v>0.00021993422357808</v>
      </c>
      <c r="AB19" s="27">
        <f t="shared" si="36"/>
        <v>0.00021217592190534</v>
      </c>
      <c r="AC19" s="52">
        <f t="shared" si="36"/>
        <v>0.000113746536329116</v>
      </c>
      <c r="AD19" s="36"/>
      <c r="AE19" s="36"/>
      <c r="AF19" s="27">
        <f t="shared" si="34"/>
        <v>0.154084806297378</v>
      </c>
      <c r="AG19" s="27">
        <f t="shared" si="34"/>
        <v>0.143988264365155</v>
      </c>
      <c r="AH19" s="27">
        <f t="shared" si="34"/>
        <v>0.139088944841342</v>
      </c>
      <c r="AI19" s="27">
        <f t="shared" si="34"/>
        <v>0.177030011402418</v>
      </c>
      <c r="AJ19" s="27">
        <f t="shared" si="34"/>
        <v>0.112033644485069</v>
      </c>
      <c r="AK19" s="27">
        <f t="shared" si="34"/>
        <v>0.0369911353072214</v>
      </c>
      <c r="AL19" s="27">
        <f t="shared" si="34"/>
        <v>0.0171727072397797</v>
      </c>
      <c r="AM19" s="27">
        <f t="shared" si="34"/>
        <v>0.0148158281650456</v>
      </c>
      <c r="AN19" s="27">
        <f t="shared" si="34"/>
        <v>0.00795632469372723</v>
      </c>
      <c r="AO19" s="27">
        <f t="shared" si="34"/>
        <v>0.00464875170043271</v>
      </c>
      <c r="AP19" s="27">
        <f t="shared" si="34"/>
        <v>0.00174861747212657</v>
      </c>
      <c r="AQ19" s="27">
        <f t="shared" si="34"/>
        <v>0.00063908271351365</v>
      </c>
      <c r="AR19" s="27">
        <f t="shared" si="34"/>
        <v>0.000323958823555803</v>
      </c>
      <c r="AS19" s="27">
        <f t="shared" si="34"/>
        <v>0.000236817076380042</v>
      </c>
      <c r="AT19" s="27">
        <f t="shared" ref="AT19" si="37">+AT7/AT$5</f>
        <v>0.000216279767682152</v>
      </c>
      <c r="AU19" s="100"/>
      <c r="BF19" s="29"/>
      <c r="BG19" s="109"/>
      <c r="BJ19" s="29"/>
      <c r="BK19" s="109"/>
    </row>
    <row r="20" spans="1:63">
      <c r="A20" s="18" t="s">
        <v>847</v>
      </c>
      <c r="B20" s="27">
        <f>+B8/B$5</f>
        <v>0.0242558986633988</v>
      </c>
      <c r="C20" s="27">
        <f t="shared" si="32"/>
        <v>0.00504454606926665</v>
      </c>
      <c r="D20" s="27">
        <f t="shared" si="32"/>
        <v>0.00756595656710942</v>
      </c>
      <c r="E20" s="52">
        <f t="shared" si="32"/>
        <v>0.0078640106188864</v>
      </c>
      <c r="F20" s="27">
        <f t="shared" si="32"/>
        <v>0.00895332590223501</v>
      </c>
      <c r="G20" s="27">
        <f t="shared" si="32"/>
        <v>0.00583157601535163</v>
      </c>
      <c r="H20" s="27">
        <f t="shared" si="32"/>
        <v>0.00995326333168628</v>
      </c>
      <c r="I20" s="52">
        <f t="shared" si="32"/>
        <v>0.0076703604670878</v>
      </c>
      <c r="J20" s="27">
        <f t="shared" si="32"/>
        <v>0.0050704685887683</v>
      </c>
      <c r="K20" s="27">
        <f t="shared" si="32"/>
        <v>0.00267120856684788</v>
      </c>
      <c r="L20" s="27">
        <f t="shared" si="32"/>
        <v>0.00340292924570904</v>
      </c>
      <c r="M20" s="52">
        <f t="shared" si="32"/>
        <v>0.00231456141467777</v>
      </c>
      <c r="N20" s="27">
        <f t="shared" si="32"/>
        <v>0.00146210517414039</v>
      </c>
      <c r="O20" s="27">
        <f t="shared" si="32"/>
        <v>0.000709359550007726</v>
      </c>
      <c r="P20" s="27">
        <f t="shared" si="32"/>
        <v>0.00141492805344532</v>
      </c>
      <c r="Q20" s="52">
        <f t="shared" si="32"/>
        <v>0.00102504418428548</v>
      </c>
      <c r="R20" s="27">
        <f t="shared" si="32"/>
        <v>0.000746118925826051</v>
      </c>
      <c r="S20" s="27">
        <f t="shared" si="32"/>
        <v>0.000421479651788926</v>
      </c>
      <c r="T20" s="27">
        <f t="shared" si="32"/>
        <v>0.00059447088667229</v>
      </c>
      <c r="U20" s="52">
        <f t="shared" si="32"/>
        <v>0.000538234020678609</v>
      </c>
      <c r="V20" s="27">
        <f t="shared" si="32"/>
        <v>0.000430535359450669</v>
      </c>
      <c r="W20" s="27">
        <f t="shared" si="32"/>
        <v>0.00029722376241012</v>
      </c>
      <c r="X20" s="27">
        <f t="shared" si="32"/>
        <v>0.000436964818024484</v>
      </c>
      <c r="Y20" s="52">
        <f t="shared" si="32"/>
        <v>0.000464657197974072</v>
      </c>
      <c r="Z20" s="27">
        <f t="shared" ref="Z20:AC20" si="38">+Z8/Z$5</f>
        <v>0.000467417898798436</v>
      </c>
      <c r="AA20" s="27">
        <f t="shared" si="38"/>
        <v>0.000273792615045746</v>
      </c>
      <c r="AB20" s="27">
        <f t="shared" si="38"/>
        <v>0.000375506641296672</v>
      </c>
      <c r="AC20" s="52">
        <f t="shared" si="38"/>
        <v>0.000400767600169765</v>
      </c>
      <c r="AD20" s="36"/>
      <c r="AE20" s="36"/>
      <c r="AF20" s="27">
        <f t="shared" si="34"/>
        <v>0.068231270241705</v>
      </c>
      <c r="AG20" s="27">
        <f t="shared" si="34"/>
        <v>0.0940142410323686</v>
      </c>
      <c r="AH20" s="27">
        <f t="shared" si="34"/>
        <v>0.0569802444727671</v>
      </c>
      <c r="AI20" s="27">
        <f t="shared" si="34"/>
        <v>0.057969008369347</v>
      </c>
      <c r="AJ20" s="27">
        <f t="shared" si="34"/>
        <v>0.0538982626040454</v>
      </c>
      <c r="AK20" s="27">
        <f t="shared" si="34"/>
        <v>0.01811355198381</v>
      </c>
      <c r="AL20" s="27">
        <f t="shared" si="34"/>
        <v>0.0109713128153883</v>
      </c>
      <c r="AM20" s="27">
        <f t="shared" si="34"/>
        <v>0.0086955742467859</v>
      </c>
      <c r="AN20" s="27">
        <f t="shared" si="34"/>
        <v>0.0107987322627467</v>
      </c>
      <c r="AO20" s="27">
        <f t="shared" si="34"/>
        <v>0.0080773760478717</v>
      </c>
      <c r="AP20" s="27">
        <f t="shared" si="34"/>
        <v>0.00303828679103908</v>
      </c>
      <c r="AQ20" s="27">
        <f t="shared" si="34"/>
        <v>0.00111042958096977</v>
      </c>
      <c r="AR20" s="27">
        <f t="shared" si="34"/>
        <v>0.000562890300560207</v>
      </c>
      <c r="AS20" s="27">
        <f t="shared" si="34"/>
        <v>0.000411478328752447</v>
      </c>
      <c r="AT20" s="27">
        <f t="shared" ref="AT20" si="39">+AT8/AT$5</f>
        <v>0.000375794004001646</v>
      </c>
      <c r="AU20" s="100"/>
      <c r="BF20" s="29"/>
      <c r="BG20" s="109"/>
      <c r="BJ20" s="29"/>
      <c r="BK20" s="109"/>
    </row>
    <row r="21" spans="1:63">
      <c r="A21" s="18" t="s">
        <v>692</v>
      </c>
      <c r="B21" s="27">
        <f>+B9/B$5</f>
        <v>0</v>
      </c>
      <c r="C21" s="27">
        <f t="shared" si="32"/>
        <v>0</v>
      </c>
      <c r="D21" s="27">
        <f t="shared" si="32"/>
        <v>0</v>
      </c>
      <c r="E21" s="52">
        <f t="shared" si="32"/>
        <v>-6.92969636418524e-6</v>
      </c>
      <c r="F21" s="27">
        <f t="shared" si="32"/>
        <v>0.00165155304254266</v>
      </c>
      <c r="G21" s="27">
        <f t="shared" si="32"/>
        <v>0.00022970249478501</v>
      </c>
      <c r="H21" s="27">
        <f t="shared" si="32"/>
        <v>0.00318484167995824</v>
      </c>
      <c r="I21" s="52">
        <f t="shared" si="32"/>
        <v>0.00191607276601284</v>
      </c>
      <c r="J21" s="27">
        <f t="shared" si="32"/>
        <v>0.00983787950808879</v>
      </c>
      <c r="K21" s="27">
        <f t="shared" si="32"/>
        <v>0.00375492020597392</v>
      </c>
      <c r="L21" s="27">
        <f t="shared" si="32"/>
        <v>0.00399346264693967</v>
      </c>
      <c r="M21" s="52">
        <f t="shared" si="32"/>
        <v>0.00522964208552607</v>
      </c>
      <c r="N21" s="27">
        <f t="shared" si="32"/>
        <v>0.00232033885037844</v>
      </c>
      <c r="O21" s="27">
        <f t="shared" si="32"/>
        <v>0.00208873850969482</v>
      </c>
      <c r="P21" s="27">
        <f t="shared" si="32"/>
        <v>0.000291046244228268</v>
      </c>
      <c r="Q21" s="52">
        <f t="shared" si="32"/>
        <v>0.000929547800749524</v>
      </c>
      <c r="R21" s="27">
        <f t="shared" si="32"/>
        <v>0.00114450199124863</v>
      </c>
      <c r="S21" s="27">
        <f t="shared" si="32"/>
        <v>0.000443134807453778</v>
      </c>
      <c r="T21" s="27">
        <f t="shared" si="32"/>
        <v>0.00032973002583407</v>
      </c>
      <c r="U21" s="52">
        <f t="shared" si="32"/>
        <v>0.000299913592068414</v>
      </c>
      <c r="V21" s="27">
        <f t="shared" si="32"/>
        <v>0.000329552557207126</v>
      </c>
      <c r="W21" s="27">
        <f t="shared" si="32"/>
        <v>0.000297614084474306</v>
      </c>
      <c r="X21" s="27">
        <f t="shared" si="32"/>
        <v>0.000230826187448683</v>
      </c>
      <c r="Y21" s="52">
        <f t="shared" si="32"/>
        <v>0.000246585975918848</v>
      </c>
      <c r="Z21" s="27">
        <f t="shared" ref="Z21:AC21" si="40">+Z9/Z$5</f>
        <v>0.000340746889617677</v>
      </c>
      <c r="AA21" s="27">
        <f t="shared" si="40"/>
        <v>0.000261097301629318</v>
      </c>
      <c r="AB21" s="27">
        <f t="shared" si="40"/>
        <v>0.000188915212167502</v>
      </c>
      <c r="AC21" s="52">
        <f t="shared" si="40"/>
        <v>0.000202553153543223</v>
      </c>
      <c r="AD21" s="36"/>
      <c r="AE21" s="36"/>
      <c r="AF21" s="27">
        <f t="shared" si="34"/>
        <v>0.00203635389887601</v>
      </c>
      <c r="AG21" s="27">
        <f t="shared" si="34"/>
        <v>0.00820909516484305</v>
      </c>
      <c r="AH21" s="27">
        <f t="shared" si="34"/>
        <v>2.31228017153751e-6</v>
      </c>
      <c r="AI21" s="27">
        <f t="shared" si="34"/>
        <v>6.11122826760811e-6</v>
      </c>
      <c r="AJ21" s="27">
        <f t="shared" si="34"/>
        <v>3.74366594380799e-7</v>
      </c>
      <c r="AK21" s="27">
        <f t="shared" si="34"/>
        <v>3.16116679074079e-6</v>
      </c>
      <c r="AL21" s="27">
        <f t="shared" si="34"/>
        <v>-1.12802814018002e-6</v>
      </c>
      <c r="AM21" s="27">
        <f t="shared" si="34"/>
        <v>2.08492982595115e-6</v>
      </c>
      <c r="AN21" s="27">
        <f t="shared" si="34"/>
        <v>-1.875647664905e-6</v>
      </c>
      <c r="AO21" s="27">
        <f t="shared" si="34"/>
        <v>0.00180175415288508</v>
      </c>
      <c r="AP21" s="27">
        <f t="shared" si="34"/>
        <v>0.00520381059850435</v>
      </c>
      <c r="AQ21" s="27">
        <f t="shared" si="34"/>
        <v>0.00129840066761203</v>
      </c>
      <c r="AR21" s="27">
        <f t="shared" si="34"/>
        <v>0.0004769606687106</v>
      </c>
      <c r="AS21" s="27">
        <f t="shared" si="34"/>
        <v>0.000270597215015053</v>
      </c>
      <c r="AT21" s="27">
        <f t="shared" ref="AT21" si="41">+AT9/AT$5</f>
        <v>0.000235362301745396</v>
      </c>
      <c r="AU21" s="100"/>
      <c r="BF21" s="29"/>
      <c r="BG21" s="109"/>
      <c r="BJ21" s="29"/>
      <c r="BK21" s="109"/>
    </row>
    <row r="22" spans="1:63">
      <c r="A22" s="21"/>
      <c r="B22" s="19"/>
      <c r="C22" s="19"/>
      <c r="D22" s="19"/>
      <c r="E22" s="45"/>
      <c r="F22" s="19"/>
      <c r="G22" s="19"/>
      <c r="H22" s="19"/>
      <c r="I22" s="45"/>
      <c r="J22" s="19"/>
      <c r="K22" s="19"/>
      <c r="L22" s="19"/>
      <c r="M22" s="45"/>
      <c r="N22" s="19"/>
      <c r="O22" s="19"/>
      <c r="P22" s="19"/>
      <c r="Q22" s="45"/>
      <c r="R22" s="19"/>
      <c r="S22" s="19"/>
      <c r="T22" s="19"/>
      <c r="U22" s="45"/>
      <c r="V22" s="19"/>
      <c r="W22" s="19"/>
      <c r="X22" s="19"/>
      <c r="Y22" s="45"/>
      <c r="Z22" s="19"/>
      <c r="AA22" s="19"/>
      <c r="AB22" s="19"/>
      <c r="AC22" s="45"/>
      <c r="AD22" s="36"/>
      <c r="AE22" s="36"/>
      <c r="AF22" s="36"/>
      <c r="AG22" s="36"/>
      <c r="AH22" s="36"/>
      <c r="AI22" s="87"/>
      <c r="AJ22" s="87"/>
      <c r="AK22" s="87"/>
      <c r="AL22" s="33"/>
      <c r="AM22" s="33"/>
      <c r="AN22" s="33"/>
      <c r="AO22" s="33"/>
      <c r="AP22" s="33"/>
      <c r="AQ22" s="33"/>
      <c r="AR22" s="33"/>
      <c r="AS22" s="33"/>
      <c r="AT22" s="33"/>
      <c r="AU22" s="100"/>
      <c r="BF22" s="29"/>
      <c r="BG22" s="109"/>
      <c r="BJ22" s="29"/>
      <c r="BK22" s="109"/>
    </row>
    <row r="23" spans="1:63">
      <c r="A23" s="22" t="s">
        <v>850</v>
      </c>
      <c r="B23" s="28">
        <f>SUM(B24:B30)</f>
        <v>705.6</v>
      </c>
      <c r="C23" s="28">
        <f t="shared" ref="C23:Z23" si="42">SUM(C24:C30)</f>
        <v>733.6</v>
      </c>
      <c r="D23" s="28">
        <f t="shared" si="42"/>
        <v>924.58</v>
      </c>
      <c r="E23" s="53">
        <f t="shared" si="42"/>
        <v>887.02</v>
      </c>
      <c r="F23" s="28">
        <f t="shared" si="42"/>
        <v>589.3576</v>
      </c>
      <c r="G23" s="28">
        <f t="shared" si="42"/>
        <v>696.891</v>
      </c>
      <c r="H23" s="28">
        <f t="shared" si="42"/>
        <v>767.68495</v>
      </c>
      <c r="I23" s="53">
        <f t="shared" si="42"/>
        <v>998.67055</v>
      </c>
      <c r="J23" s="28">
        <f t="shared" si="42"/>
        <v>1091.53808125</v>
      </c>
      <c r="K23" s="28">
        <f t="shared" si="42"/>
        <v>1600.97883</v>
      </c>
      <c r="L23" s="28">
        <f t="shared" si="42"/>
        <v>2380.369274875</v>
      </c>
      <c r="M23" s="53">
        <f t="shared" si="42"/>
        <v>3487.556923875</v>
      </c>
      <c r="N23" s="28">
        <f t="shared" si="42"/>
        <v>4031.96785484063</v>
      </c>
      <c r="O23" s="28">
        <f t="shared" si="42"/>
        <v>6363.40986241875</v>
      </c>
      <c r="P23" s="28">
        <f t="shared" si="42"/>
        <v>6052.41874041844</v>
      </c>
      <c r="Q23" s="53">
        <f t="shared" si="42"/>
        <v>8318.34257117219</v>
      </c>
      <c r="R23" s="28">
        <f t="shared" si="42"/>
        <v>8316.92891623726</v>
      </c>
      <c r="S23" s="28">
        <f t="shared" si="42"/>
        <v>11269.6723361114</v>
      </c>
      <c r="T23" s="28">
        <f t="shared" si="42"/>
        <v>15144.8127492562</v>
      </c>
      <c r="U23" s="53">
        <f t="shared" si="42"/>
        <v>16654.9485638463</v>
      </c>
      <c r="V23" s="28">
        <f t="shared" si="42"/>
        <v>15155.0848926026</v>
      </c>
      <c r="W23" s="28">
        <f t="shared" si="42"/>
        <v>16786.2755511615</v>
      </c>
      <c r="X23" s="28">
        <f t="shared" si="42"/>
        <v>21641.5069244246</v>
      </c>
      <c r="Y23" s="53">
        <f t="shared" si="42"/>
        <v>20259.8074224055</v>
      </c>
      <c r="Z23" s="28">
        <f t="shared" si="42"/>
        <v>14656.0462555773</v>
      </c>
      <c r="AA23" s="28">
        <f t="shared" ref="AA23:AC23" si="43">SUM(AA24:AA30)</f>
        <v>18076.9941170243</v>
      </c>
      <c r="AB23" s="28">
        <f t="shared" si="43"/>
        <v>24329.3457113942</v>
      </c>
      <c r="AC23" s="53">
        <f t="shared" si="43"/>
        <v>22550.1778550395</v>
      </c>
      <c r="AD23" s="36"/>
      <c r="AE23" s="36"/>
      <c r="AF23" s="36"/>
      <c r="AG23" s="36"/>
      <c r="AH23" s="36"/>
      <c r="AI23" s="87"/>
      <c r="AJ23" s="87"/>
      <c r="AK23" s="87"/>
      <c r="AL23" s="33"/>
      <c r="AM23" s="37">
        <f t="shared" ref="AM23:AR23" si="44">SUM(AM24:AM30)</f>
        <v>2839.9</v>
      </c>
      <c r="AN23" s="37">
        <f t="shared" si="44"/>
        <v>3249.07</v>
      </c>
      <c r="AO23" s="37">
        <f t="shared" si="44"/>
        <v>3052.6041</v>
      </c>
      <c r="AP23" s="37">
        <f t="shared" si="44"/>
        <v>8560.44311</v>
      </c>
      <c r="AQ23" s="37">
        <f t="shared" si="44"/>
        <v>24766.13902885</v>
      </c>
      <c r="AR23" s="37">
        <f t="shared" si="44"/>
        <v>51386.3625654512</v>
      </c>
      <c r="AS23" s="37">
        <f>SUM(AS24:AS31)</f>
        <v>73842.6195441153</v>
      </c>
      <c r="AT23" s="37">
        <f>SUM(AT24:AT31)</f>
        <v>79612.5639390353</v>
      </c>
      <c r="AU23" s="100"/>
      <c r="BF23" s="29"/>
      <c r="BG23" s="109"/>
      <c r="BJ23" s="29"/>
      <c r="BK23" s="109"/>
    </row>
    <row r="24" spans="1:63">
      <c r="A24" s="29" t="s">
        <v>851</v>
      </c>
      <c r="B24" s="19">
        <f t="shared" ref="B24:Z24" si="45">+B53+B272</f>
        <v>242.2</v>
      </c>
      <c r="C24" s="19">
        <f t="shared" si="45"/>
        <v>242.2</v>
      </c>
      <c r="D24" s="19">
        <f t="shared" si="45"/>
        <v>252.58</v>
      </c>
      <c r="E24" s="45">
        <f t="shared" si="45"/>
        <v>231.82</v>
      </c>
      <c r="F24" s="19">
        <f t="shared" si="45"/>
        <v>203.1366</v>
      </c>
      <c r="G24" s="19">
        <f t="shared" si="45"/>
        <v>198.8635</v>
      </c>
      <c r="H24" s="19">
        <f t="shared" si="45"/>
        <v>201.65745</v>
      </c>
      <c r="I24" s="45">
        <f t="shared" si="45"/>
        <v>150.05155</v>
      </c>
      <c r="J24" s="19">
        <f t="shared" si="45"/>
        <v>115.77224875</v>
      </c>
      <c r="K24" s="19">
        <f t="shared" si="45"/>
        <v>115.77224875</v>
      </c>
      <c r="L24" s="19">
        <f t="shared" si="45"/>
        <v>124.226823625</v>
      </c>
      <c r="M24" s="45">
        <f t="shared" si="45"/>
        <v>107.317673875</v>
      </c>
      <c r="N24" s="19">
        <f t="shared" si="45"/>
        <v>103.001195746875</v>
      </c>
      <c r="O24" s="19">
        <f t="shared" si="45"/>
        <v>103.001195746875</v>
      </c>
      <c r="P24" s="19">
        <f t="shared" si="45"/>
        <v>110.631449571562</v>
      </c>
      <c r="Q24" s="45">
        <f t="shared" si="45"/>
        <v>95.3709419221875</v>
      </c>
      <c r="R24" s="19">
        <f t="shared" si="45"/>
        <v>91.6903929303047</v>
      </c>
      <c r="S24" s="19">
        <f t="shared" si="45"/>
        <v>91.6903929303047</v>
      </c>
      <c r="T24" s="19">
        <f t="shared" si="45"/>
        <v>98.5766970070851</v>
      </c>
      <c r="U24" s="45">
        <f t="shared" si="45"/>
        <v>84.8040888535242</v>
      </c>
      <c r="V24" s="19">
        <f t="shared" si="45"/>
        <v>81.6662803918812</v>
      </c>
      <c r="W24" s="19">
        <f t="shared" si="45"/>
        <v>81.6662803918812</v>
      </c>
      <c r="X24" s="19">
        <f t="shared" si="45"/>
        <v>87.8811698211756</v>
      </c>
      <c r="Y24" s="45">
        <f t="shared" si="45"/>
        <v>75.4513909625869</v>
      </c>
      <c r="Z24" s="19">
        <f t="shared" si="45"/>
        <v>72.7767422139733</v>
      </c>
      <c r="AA24" s="19">
        <f t="shared" ref="AA24:AC24" si="46">+AA53+AA272</f>
        <v>72.7767422139733</v>
      </c>
      <c r="AB24" s="19">
        <f t="shared" si="46"/>
        <v>78.3856799239115</v>
      </c>
      <c r="AC24" s="45">
        <f t="shared" si="46"/>
        <v>67.1678045040351</v>
      </c>
      <c r="AD24" s="36"/>
      <c r="AE24" s="36"/>
      <c r="AF24" s="36"/>
      <c r="AG24" s="36"/>
      <c r="AH24" s="36"/>
      <c r="AI24" s="87"/>
      <c r="AJ24" s="87"/>
      <c r="AK24" s="87"/>
      <c r="AL24" s="33"/>
      <c r="AM24" s="33">
        <f t="shared" ref="AM24:AT29" si="47">+AM53+AM272</f>
        <v>1060.29</v>
      </c>
      <c r="AN24" s="33">
        <f t="shared" si="47"/>
        <v>967.07</v>
      </c>
      <c r="AO24" s="33">
        <f t="shared" si="47"/>
        <v>753.7091</v>
      </c>
      <c r="AP24" s="33">
        <f t="shared" si="47"/>
        <v>463.088995</v>
      </c>
      <c r="AQ24" s="33">
        <f t="shared" si="47"/>
        <v>412.0047829875</v>
      </c>
      <c r="AR24" s="33">
        <f t="shared" si="47"/>
        <v>366.761571721219</v>
      </c>
      <c r="AS24" s="33">
        <f t="shared" si="47"/>
        <v>326.665121567525</v>
      </c>
      <c r="AT24" s="33">
        <f t="shared" si="47"/>
        <v>291.106968855893</v>
      </c>
      <c r="AU24" s="100"/>
      <c r="BF24" s="29"/>
      <c r="BG24" s="109"/>
      <c r="BJ24" s="29"/>
      <c r="BK24" s="109"/>
    </row>
    <row r="25" spans="1:63">
      <c r="A25" s="29" t="s">
        <v>852</v>
      </c>
      <c r="B25" s="19">
        <f t="shared" ref="B25:Z25" si="48">+B54+B273</f>
        <v>364</v>
      </c>
      <c r="C25" s="19">
        <f t="shared" si="48"/>
        <v>364</v>
      </c>
      <c r="D25" s="19">
        <f t="shared" si="48"/>
        <v>431.2</v>
      </c>
      <c r="E25" s="45">
        <f t="shared" si="48"/>
        <v>375.2</v>
      </c>
      <c r="F25" s="19">
        <f t="shared" si="48"/>
        <v>238.07</v>
      </c>
      <c r="G25" s="19">
        <f t="shared" si="48"/>
        <v>296.058</v>
      </c>
      <c r="H25" s="19">
        <f t="shared" si="48"/>
        <v>327.978</v>
      </c>
      <c r="I25" s="45">
        <f t="shared" si="48"/>
        <v>211.47</v>
      </c>
      <c r="J25" s="19">
        <f t="shared" si="48"/>
        <v>48.076175</v>
      </c>
      <c r="K25" s="19">
        <f t="shared" si="48"/>
        <v>98.616175</v>
      </c>
      <c r="L25" s="19">
        <f t="shared" si="48"/>
        <v>107.738645</v>
      </c>
      <c r="M25" s="45">
        <f t="shared" si="48"/>
        <v>98.616175</v>
      </c>
      <c r="N25" s="19">
        <f t="shared" si="48"/>
        <v>68.5955729375</v>
      </c>
      <c r="O25" s="19">
        <f t="shared" si="48"/>
        <v>68.5955729375</v>
      </c>
      <c r="P25" s="19">
        <f t="shared" si="48"/>
        <v>76.8286021125</v>
      </c>
      <c r="Q25" s="45">
        <f t="shared" si="48"/>
        <v>68.5955729375</v>
      </c>
      <c r="R25" s="19">
        <f t="shared" si="48"/>
        <v>59.6268870760937</v>
      </c>
      <c r="S25" s="19">
        <f t="shared" si="48"/>
        <v>59.6268870760937</v>
      </c>
      <c r="T25" s="19">
        <f t="shared" si="48"/>
        <v>67.0571959065312</v>
      </c>
      <c r="U25" s="45">
        <f t="shared" si="48"/>
        <v>59.6268870760937</v>
      </c>
      <c r="V25" s="19">
        <f t="shared" si="48"/>
        <v>51.8633376236746</v>
      </c>
      <c r="W25" s="19">
        <f t="shared" si="48"/>
        <v>51.8633376236746</v>
      </c>
      <c r="X25" s="19">
        <f t="shared" si="48"/>
        <v>58.5691913431444</v>
      </c>
      <c r="Y25" s="45">
        <f t="shared" si="48"/>
        <v>51.8633376236746</v>
      </c>
      <c r="Z25" s="19">
        <f t="shared" si="48"/>
        <v>45.1394737974288</v>
      </c>
      <c r="AA25" s="19">
        <f t="shared" ref="AA25:AC25" si="49">+AA54+AA273</f>
        <v>45.1394737974288</v>
      </c>
      <c r="AB25" s="19">
        <f t="shared" si="49"/>
        <v>51.1915067792504</v>
      </c>
      <c r="AC25" s="45">
        <f t="shared" si="49"/>
        <v>45.1394737974288</v>
      </c>
      <c r="AD25" s="36"/>
      <c r="AE25" s="36"/>
      <c r="AF25" s="36"/>
      <c r="AG25" s="36"/>
      <c r="AH25" s="36"/>
      <c r="AI25" s="87"/>
      <c r="AJ25" s="87"/>
      <c r="AK25" s="87"/>
      <c r="AL25" s="33"/>
      <c r="AM25" s="33">
        <f t="shared" si="47"/>
        <v>1604.61</v>
      </c>
      <c r="AN25" s="33">
        <f t="shared" si="47"/>
        <v>1534.4</v>
      </c>
      <c r="AO25" s="33">
        <f t="shared" si="47"/>
        <v>1073.576</v>
      </c>
      <c r="AP25" s="33">
        <f t="shared" si="47"/>
        <v>353.04717</v>
      </c>
      <c r="AQ25" s="33">
        <f t="shared" si="47"/>
        <v>282.615320925</v>
      </c>
      <c r="AR25" s="33">
        <f t="shared" si="47"/>
        <v>245.937857134812</v>
      </c>
      <c r="AS25" s="33">
        <f t="shared" si="47"/>
        <v>214.159204214168</v>
      </c>
      <c r="AT25" s="33">
        <f t="shared" si="47"/>
        <v>186.609928171537</v>
      </c>
      <c r="BF25" s="29"/>
      <c r="BG25" s="109"/>
      <c r="BJ25" s="29"/>
      <c r="BK25" s="109"/>
    </row>
    <row r="26" spans="1:59">
      <c r="A26" s="29" t="s">
        <v>853</v>
      </c>
      <c r="B26" s="19">
        <f t="shared" ref="B26:Z26" si="50">+B55+B274</f>
        <v>84</v>
      </c>
      <c r="C26" s="19">
        <f t="shared" si="50"/>
        <v>96.6</v>
      </c>
      <c r="D26" s="19">
        <f t="shared" si="50"/>
        <v>121.8</v>
      </c>
      <c r="E26" s="45">
        <f t="shared" si="50"/>
        <v>109.2</v>
      </c>
      <c r="F26" s="19">
        <f t="shared" si="50"/>
        <v>44.345</v>
      </c>
      <c r="G26" s="19">
        <f t="shared" si="50"/>
        <v>46.9175</v>
      </c>
      <c r="H26" s="19">
        <f t="shared" si="50"/>
        <v>56.7175</v>
      </c>
      <c r="I26" s="45">
        <f t="shared" si="50"/>
        <v>54.39</v>
      </c>
      <c r="J26" s="19">
        <f t="shared" si="50"/>
        <v>14.4421375</v>
      </c>
      <c r="K26" s="19">
        <f t="shared" si="50"/>
        <v>17.00820625</v>
      </c>
      <c r="L26" s="19">
        <f t="shared" si="50"/>
        <v>17.00820625</v>
      </c>
      <c r="M26" s="45">
        <f t="shared" si="50"/>
        <v>19.574275</v>
      </c>
      <c r="N26" s="19">
        <f t="shared" si="50"/>
        <v>12.99091215625</v>
      </c>
      <c r="O26" s="19">
        <f t="shared" si="50"/>
        <v>15.550565734375</v>
      </c>
      <c r="P26" s="19">
        <f t="shared" si="50"/>
        <v>34.212460734375</v>
      </c>
      <c r="Q26" s="45">
        <f t="shared" si="50"/>
        <v>36.7721143125</v>
      </c>
      <c r="R26" s="19">
        <f t="shared" si="50"/>
        <v>12.2106324008594</v>
      </c>
      <c r="S26" s="19">
        <f t="shared" si="50"/>
        <v>14.7638868450391</v>
      </c>
      <c r="T26" s="19">
        <f t="shared" si="50"/>
        <v>31.6062470825391</v>
      </c>
      <c r="U26" s="45">
        <f t="shared" si="50"/>
        <v>34.1595015267187</v>
      </c>
      <c r="V26" s="19">
        <f t="shared" si="50"/>
        <v>11.5052140861697</v>
      </c>
      <c r="W26" s="19">
        <f t="shared" si="50"/>
        <v>14.052085394239</v>
      </c>
      <c r="X26" s="19">
        <f t="shared" si="50"/>
        <v>29.2523155085827</v>
      </c>
      <c r="Y26" s="45">
        <f t="shared" si="50"/>
        <v>31.7991868166519</v>
      </c>
      <c r="Z26" s="19">
        <f t="shared" si="50"/>
        <v>10.8673612613013</v>
      </c>
      <c r="AA26" s="19">
        <f t="shared" ref="AA26:AC26" si="51">+AA55+AA274</f>
        <v>13.4078653911004</v>
      </c>
      <c r="AB26" s="19">
        <f t="shared" si="51"/>
        <v>27.1260730692956</v>
      </c>
      <c r="AC26" s="45">
        <f t="shared" si="51"/>
        <v>29.6665771990947</v>
      </c>
      <c r="AD26" s="36"/>
      <c r="AE26" s="36"/>
      <c r="AF26" s="36"/>
      <c r="AG26" s="36"/>
      <c r="AH26" s="88"/>
      <c r="AI26" s="88"/>
      <c r="AJ26" s="88"/>
      <c r="AK26" s="88"/>
      <c r="AL26" s="88"/>
      <c r="AM26" s="33">
        <f t="shared" si="47"/>
        <v>140</v>
      </c>
      <c r="AN26" s="33">
        <f t="shared" si="47"/>
        <v>411.6</v>
      </c>
      <c r="AO26" s="33">
        <f t="shared" si="47"/>
        <v>202.37</v>
      </c>
      <c r="AP26" s="33">
        <f t="shared" si="47"/>
        <v>68.032825</v>
      </c>
      <c r="AQ26" s="33">
        <f t="shared" si="47"/>
        <v>99.5260529375</v>
      </c>
      <c r="AR26" s="33">
        <f t="shared" si="47"/>
        <v>92.7402678551562</v>
      </c>
      <c r="AS26" s="33">
        <f t="shared" si="47"/>
        <v>86.6088018056433</v>
      </c>
      <c r="AT26" s="33">
        <f t="shared" si="47"/>
        <v>81.067876920792</v>
      </c>
      <c r="BG26" s="88"/>
    </row>
    <row r="27" s="3" customFormat="1" spans="1:46">
      <c r="A27" s="29" t="s">
        <v>854</v>
      </c>
      <c r="B27" s="19">
        <f t="shared" ref="B27:Z27" si="52">+B56+B275</f>
        <v>15.4</v>
      </c>
      <c r="C27" s="19">
        <f t="shared" si="52"/>
        <v>30.8</v>
      </c>
      <c r="D27" s="19">
        <f t="shared" si="52"/>
        <v>46.2</v>
      </c>
      <c r="E27" s="45">
        <f t="shared" si="52"/>
        <v>61.6</v>
      </c>
      <c r="F27" s="19">
        <f t="shared" si="52"/>
        <v>19.71</v>
      </c>
      <c r="G27" s="19">
        <f t="shared" si="52"/>
        <v>39.42</v>
      </c>
      <c r="H27" s="19">
        <f t="shared" si="52"/>
        <v>49.932</v>
      </c>
      <c r="I27" s="45">
        <f t="shared" si="52"/>
        <v>57.159</v>
      </c>
      <c r="J27" s="19">
        <f t="shared" si="52"/>
        <v>18.9216</v>
      </c>
      <c r="K27" s="19">
        <f t="shared" si="52"/>
        <v>31.9302</v>
      </c>
      <c r="L27" s="19">
        <f t="shared" si="52"/>
        <v>31.9302</v>
      </c>
      <c r="M27" s="45">
        <f t="shared" si="52"/>
        <v>44.9388</v>
      </c>
      <c r="N27" s="19">
        <f t="shared" si="52"/>
        <v>18.200214</v>
      </c>
      <c r="O27" s="19">
        <f t="shared" si="52"/>
        <v>31.078728</v>
      </c>
      <c r="P27" s="19">
        <f t="shared" si="52"/>
        <v>31.078728</v>
      </c>
      <c r="Q27" s="45">
        <f t="shared" si="52"/>
        <v>43.957242</v>
      </c>
      <c r="R27" s="19">
        <f t="shared" si="52"/>
        <v>18.51366213</v>
      </c>
      <c r="S27" s="19">
        <f t="shared" si="52"/>
        <v>31.97170926</v>
      </c>
      <c r="T27" s="19">
        <f t="shared" si="52"/>
        <v>31.97170926</v>
      </c>
      <c r="U27" s="45">
        <f t="shared" si="52"/>
        <v>45.42975639</v>
      </c>
      <c r="V27" s="19">
        <f t="shared" si="52"/>
        <v>18.86649350085</v>
      </c>
      <c r="W27" s="19">
        <f t="shared" si="52"/>
        <v>32.9301527517</v>
      </c>
      <c r="X27" s="19">
        <f t="shared" si="52"/>
        <v>32.9301527517</v>
      </c>
      <c r="Y27" s="45">
        <f t="shared" si="52"/>
        <v>46.99381200255</v>
      </c>
      <c r="Z27" s="19">
        <f t="shared" si="52"/>
        <v>19.2592164546383</v>
      </c>
      <c r="AA27" s="19">
        <f t="shared" ref="AA27:AC27" si="53">+AA56+AA275</f>
        <v>33.9557403717765</v>
      </c>
      <c r="AB27" s="19">
        <f t="shared" si="53"/>
        <v>33.9557403717765</v>
      </c>
      <c r="AC27" s="45">
        <f t="shared" si="53"/>
        <v>48.6522642889148</v>
      </c>
      <c r="AD27" s="36"/>
      <c r="AE27" s="36"/>
      <c r="AF27" s="30"/>
      <c r="AG27" s="30"/>
      <c r="AH27" s="30"/>
      <c r="AI27" s="30"/>
      <c r="AJ27" s="30"/>
      <c r="AK27" s="30"/>
      <c r="AL27" s="30"/>
      <c r="AM27" s="33">
        <f t="shared" si="47"/>
        <v>35</v>
      </c>
      <c r="AN27" s="33">
        <f t="shared" si="47"/>
        <v>154</v>
      </c>
      <c r="AO27" s="33">
        <f t="shared" si="47"/>
        <v>166.221</v>
      </c>
      <c r="AP27" s="33">
        <f t="shared" si="47"/>
        <v>127.7208</v>
      </c>
      <c r="AQ27" s="33">
        <f t="shared" si="47"/>
        <v>124.314912</v>
      </c>
      <c r="AR27" s="33">
        <f t="shared" si="47"/>
        <v>127.88683704</v>
      </c>
      <c r="AS27" s="33">
        <f t="shared" si="47"/>
        <v>131.7206110068</v>
      </c>
      <c r="AT27" s="33">
        <f t="shared" si="47"/>
        <v>135.822961487106</v>
      </c>
    </row>
    <row r="28" spans="1:46">
      <c r="A28" s="29" t="s">
        <v>855</v>
      </c>
      <c r="B28" s="19">
        <f t="shared" ref="B28:Z28" si="54">+B57+B276</f>
        <v>0</v>
      </c>
      <c r="C28" s="19">
        <f t="shared" si="54"/>
        <v>0</v>
      </c>
      <c r="D28" s="19">
        <f t="shared" si="54"/>
        <v>72.8</v>
      </c>
      <c r="E28" s="45">
        <f t="shared" si="54"/>
        <v>109.2</v>
      </c>
      <c r="F28" s="19">
        <f t="shared" si="54"/>
        <v>84.096</v>
      </c>
      <c r="G28" s="19">
        <f t="shared" si="54"/>
        <v>115.632</v>
      </c>
      <c r="H28" s="19">
        <f t="shared" si="54"/>
        <v>131.4</v>
      </c>
      <c r="I28" s="45">
        <f t="shared" si="54"/>
        <v>525.6</v>
      </c>
      <c r="J28" s="19">
        <f t="shared" si="54"/>
        <v>850.52592</v>
      </c>
      <c r="K28" s="19">
        <f t="shared" si="54"/>
        <v>1206.252</v>
      </c>
      <c r="L28" s="19">
        <f t="shared" si="54"/>
        <v>1749.0654</v>
      </c>
      <c r="M28" s="45">
        <f t="shared" si="54"/>
        <v>2122.11</v>
      </c>
      <c r="N28" s="19">
        <f t="shared" si="54"/>
        <v>2513.47176</v>
      </c>
      <c r="O28" s="19">
        <f t="shared" si="54"/>
        <v>2012.6538</v>
      </c>
      <c r="P28" s="19">
        <f t="shared" si="54"/>
        <v>1424.0475</v>
      </c>
      <c r="Q28" s="45">
        <f t="shared" si="54"/>
        <v>1499.9967</v>
      </c>
      <c r="R28" s="19">
        <f t="shared" si="54"/>
        <v>1153.0797417</v>
      </c>
      <c r="S28" s="19">
        <f t="shared" si="54"/>
        <v>307.59426</v>
      </c>
      <c r="T28" s="19">
        <f t="shared" si="54"/>
        <v>170.8857</v>
      </c>
      <c r="U28" s="45">
        <f t="shared" si="54"/>
        <v>153.79713</v>
      </c>
      <c r="V28" s="19">
        <f t="shared" si="54"/>
        <v>165.759129</v>
      </c>
      <c r="W28" s="19">
        <f t="shared" si="54"/>
        <v>162.341415</v>
      </c>
      <c r="X28" s="19">
        <f t="shared" si="54"/>
        <v>162.341415</v>
      </c>
      <c r="Y28" s="45">
        <f t="shared" si="54"/>
        <v>162.341415</v>
      </c>
      <c r="Z28" s="19">
        <f t="shared" si="54"/>
        <v>154.22434425</v>
      </c>
      <c r="AA28" s="19">
        <f t="shared" ref="AA28:AC28" si="55">+AA57+AA276</f>
        <v>154.22434425</v>
      </c>
      <c r="AB28" s="19">
        <f t="shared" si="55"/>
        <v>154.22434425</v>
      </c>
      <c r="AC28" s="45">
        <f t="shared" si="55"/>
        <v>154.22434425</v>
      </c>
      <c r="AD28" s="36"/>
      <c r="AE28" s="36"/>
      <c r="AF28" s="36"/>
      <c r="AG28" s="36"/>
      <c r="AH28" s="30"/>
      <c r="AI28" s="27"/>
      <c r="AJ28" s="27"/>
      <c r="AK28" s="27"/>
      <c r="AL28" s="93"/>
      <c r="AM28" s="33">
        <f t="shared" si="47"/>
        <v>0</v>
      </c>
      <c r="AN28" s="33">
        <f t="shared" si="47"/>
        <v>182</v>
      </c>
      <c r="AO28" s="33">
        <f t="shared" si="47"/>
        <v>856.728</v>
      </c>
      <c r="AP28" s="33">
        <f t="shared" si="47"/>
        <v>5927.95332</v>
      </c>
      <c r="AQ28" s="33">
        <f t="shared" si="47"/>
        <v>7450.16976</v>
      </c>
      <c r="AR28" s="33">
        <f t="shared" si="47"/>
        <v>1785.3568317</v>
      </c>
      <c r="AS28" s="33">
        <f t="shared" si="47"/>
        <v>652.783374</v>
      </c>
      <c r="AT28" s="33">
        <f t="shared" si="47"/>
        <v>616.897377</v>
      </c>
    </row>
    <row r="29" spans="1:46">
      <c r="A29" s="29" t="s">
        <v>856</v>
      </c>
      <c r="B29" s="19">
        <f t="shared" ref="B29:Z29" si="56">+B58+B277</f>
        <v>0</v>
      </c>
      <c r="C29" s="19">
        <f t="shared" si="56"/>
        <v>0</v>
      </c>
      <c r="D29" s="19">
        <f t="shared" si="56"/>
        <v>0</v>
      </c>
      <c r="E29" s="45">
        <f t="shared" si="56"/>
        <v>0</v>
      </c>
      <c r="F29" s="19">
        <f t="shared" si="56"/>
        <v>0</v>
      </c>
      <c r="G29" s="19">
        <f t="shared" si="56"/>
        <v>0</v>
      </c>
      <c r="H29" s="19">
        <f t="shared" si="56"/>
        <v>0</v>
      </c>
      <c r="I29" s="45">
        <f t="shared" si="56"/>
        <v>0</v>
      </c>
      <c r="J29" s="19">
        <f t="shared" si="56"/>
        <v>43.8</v>
      </c>
      <c r="K29" s="19">
        <f t="shared" si="56"/>
        <v>131.4</v>
      </c>
      <c r="L29" s="19">
        <f t="shared" si="56"/>
        <v>350.4</v>
      </c>
      <c r="M29" s="45">
        <f t="shared" si="56"/>
        <v>1095</v>
      </c>
      <c r="N29" s="19">
        <f t="shared" si="56"/>
        <v>1315.7082</v>
      </c>
      <c r="O29" s="19">
        <f t="shared" si="56"/>
        <v>4132.53</v>
      </c>
      <c r="P29" s="19">
        <f t="shared" si="56"/>
        <v>4095.3</v>
      </c>
      <c r="Q29" s="45">
        <f t="shared" si="56"/>
        <v>5919.57</v>
      </c>
      <c r="R29" s="19">
        <f t="shared" si="56"/>
        <v>5678.3196</v>
      </c>
      <c r="S29" s="19">
        <f t="shared" si="56"/>
        <v>6166.7772</v>
      </c>
      <c r="T29" s="19">
        <f t="shared" si="56"/>
        <v>7082.6352</v>
      </c>
      <c r="U29" s="45">
        <f t="shared" si="56"/>
        <v>7082.6352</v>
      </c>
      <c r="V29" s="19">
        <f t="shared" si="56"/>
        <v>6274.543158</v>
      </c>
      <c r="W29" s="19">
        <f t="shared" si="56"/>
        <v>6099.61428</v>
      </c>
      <c r="X29" s="19">
        <f t="shared" si="56"/>
        <v>6099.61428</v>
      </c>
      <c r="Y29" s="45">
        <f t="shared" si="56"/>
        <v>6099.61428</v>
      </c>
      <c r="Z29" s="19">
        <f t="shared" si="56"/>
        <v>4390.623252</v>
      </c>
      <c r="AA29" s="19">
        <f t="shared" ref="AA29:AC29" si="57">+AA58+AA277</f>
        <v>4413.977631</v>
      </c>
      <c r="AB29" s="19">
        <f t="shared" si="57"/>
        <v>4413.977631</v>
      </c>
      <c r="AC29" s="45">
        <f t="shared" si="57"/>
        <v>4413.977631</v>
      </c>
      <c r="AD29" s="36"/>
      <c r="AE29" s="36"/>
      <c r="AF29" s="36"/>
      <c r="AG29" s="36"/>
      <c r="AH29" s="27"/>
      <c r="AI29" s="27"/>
      <c r="AJ29" s="27"/>
      <c r="AK29" s="27"/>
      <c r="AL29" s="93"/>
      <c r="AM29" s="33">
        <f t="shared" si="47"/>
        <v>0</v>
      </c>
      <c r="AN29" s="33">
        <f t="shared" si="47"/>
        <v>0</v>
      </c>
      <c r="AO29" s="33">
        <f t="shared" si="47"/>
        <v>0</v>
      </c>
      <c r="AP29" s="33">
        <f t="shared" si="47"/>
        <v>1620.6</v>
      </c>
      <c r="AQ29" s="33">
        <f t="shared" si="47"/>
        <v>15463.1082</v>
      </c>
      <c r="AR29" s="33">
        <f t="shared" si="47"/>
        <v>26010.3672</v>
      </c>
      <c r="AS29" s="33">
        <f t="shared" si="47"/>
        <v>24573.385998</v>
      </c>
      <c r="AT29" s="33">
        <f t="shared" si="47"/>
        <v>17632.556145</v>
      </c>
    </row>
    <row r="30" spans="1:46">
      <c r="A30" s="29" t="s">
        <v>857</v>
      </c>
      <c r="B30" s="19">
        <f>+B59</f>
        <v>0</v>
      </c>
      <c r="C30" s="19">
        <f t="shared" ref="C30:Z30" si="58">+C59</f>
        <v>0</v>
      </c>
      <c r="D30" s="19">
        <f t="shared" si="58"/>
        <v>0</v>
      </c>
      <c r="E30" s="45">
        <f t="shared" si="58"/>
        <v>0</v>
      </c>
      <c r="F30" s="19">
        <f t="shared" si="58"/>
        <v>0</v>
      </c>
      <c r="G30" s="19">
        <f t="shared" si="58"/>
        <v>0</v>
      </c>
      <c r="H30" s="19">
        <f t="shared" si="58"/>
        <v>0</v>
      </c>
      <c r="I30" s="45">
        <f t="shared" si="58"/>
        <v>0</v>
      </c>
      <c r="J30" s="19">
        <f t="shared" si="58"/>
        <v>0</v>
      </c>
      <c r="K30" s="19">
        <f t="shared" si="58"/>
        <v>0</v>
      </c>
      <c r="L30" s="19">
        <f t="shared" si="58"/>
        <v>0</v>
      </c>
      <c r="M30" s="45">
        <f t="shared" si="58"/>
        <v>0</v>
      </c>
      <c r="N30" s="19">
        <f t="shared" si="58"/>
        <v>0</v>
      </c>
      <c r="O30" s="19">
        <f t="shared" si="58"/>
        <v>0</v>
      </c>
      <c r="P30" s="19">
        <f t="shared" si="58"/>
        <v>280.32</v>
      </c>
      <c r="Q30" s="45">
        <f t="shared" si="58"/>
        <v>654.08</v>
      </c>
      <c r="R30" s="19">
        <f t="shared" si="58"/>
        <v>1303.488</v>
      </c>
      <c r="S30" s="19">
        <f t="shared" si="58"/>
        <v>4597.248</v>
      </c>
      <c r="T30" s="19">
        <f t="shared" si="58"/>
        <v>7662.08</v>
      </c>
      <c r="U30" s="45">
        <f t="shared" si="58"/>
        <v>9194.496</v>
      </c>
      <c r="V30" s="19">
        <f t="shared" si="58"/>
        <v>8550.88128</v>
      </c>
      <c r="W30" s="19">
        <f t="shared" si="58"/>
        <v>10343.808</v>
      </c>
      <c r="X30" s="19">
        <f t="shared" si="58"/>
        <v>15170.9184</v>
      </c>
      <c r="Y30" s="45">
        <f t="shared" si="58"/>
        <v>13791.744</v>
      </c>
      <c r="Z30" s="19">
        <f t="shared" si="58"/>
        <v>9963.1558656</v>
      </c>
      <c r="AA30" s="19">
        <f t="shared" ref="AA30:AC30" si="59">+AA59</f>
        <v>13343.51232</v>
      </c>
      <c r="AB30" s="19">
        <f t="shared" si="59"/>
        <v>19570.484736</v>
      </c>
      <c r="AC30" s="45">
        <f t="shared" si="59"/>
        <v>17791.34976</v>
      </c>
      <c r="AD30" s="36"/>
      <c r="AE30" s="36"/>
      <c r="AF30" s="36"/>
      <c r="AG30" s="36"/>
      <c r="AH30" s="27"/>
      <c r="AI30" s="27"/>
      <c r="AJ30" s="27"/>
      <c r="AK30" s="27"/>
      <c r="AL30" s="93"/>
      <c r="AM30" s="33">
        <f t="shared" ref="AM30:AT30" si="60">+AM59</f>
        <v>0</v>
      </c>
      <c r="AN30" s="33">
        <f t="shared" si="60"/>
        <v>0</v>
      </c>
      <c r="AO30" s="33">
        <f t="shared" si="60"/>
        <v>0</v>
      </c>
      <c r="AP30" s="33">
        <f t="shared" si="60"/>
        <v>0</v>
      </c>
      <c r="AQ30" s="33">
        <f t="shared" si="60"/>
        <v>934.4</v>
      </c>
      <c r="AR30" s="33">
        <f t="shared" si="60"/>
        <v>22757.312</v>
      </c>
      <c r="AS30" s="33">
        <f t="shared" si="60"/>
        <v>47857.35168</v>
      </c>
      <c r="AT30" s="33">
        <f t="shared" si="60"/>
        <v>60668.5026816</v>
      </c>
    </row>
    <row r="31" spans="1:46">
      <c r="A31" s="29" t="s">
        <v>858</v>
      </c>
      <c r="B31" s="19"/>
      <c r="C31" s="19"/>
      <c r="D31" s="19"/>
      <c r="E31" s="45"/>
      <c r="F31" s="19"/>
      <c r="G31" s="19"/>
      <c r="H31" s="19"/>
      <c r="I31" s="45"/>
      <c r="J31" s="19"/>
      <c r="K31" s="19"/>
      <c r="L31" s="19"/>
      <c r="M31" s="45"/>
      <c r="N31" s="19"/>
      <c r="O31" s="19"/>
      <c r="P31" s="19"/>
      <c r="Q31" s="45"/>
      <c r="R31" s="19"/>
      <c r="S31" s="19"/>
      <c r="T31" s="19"/>
      <c r="U31" s="45"/>
      <c r="V31" s="19"/>
      <c r="W31" s="19"/>
      <c r="X31" s="19"/>
      <c r="Y31" s="45"/>
      <c r="Z31" s="19"/>
      <c r="AA31" s="19"/>
      <c r="AB31" s="19"/>
      <c r="AC31" s="45"/>
      <c r="AD31" s="36"/>
      <c r="AE31" s="36"/>
      <c r="AF31" s="36"/>
      <c r="AG31" s="36"/>
      <c r="AH31" s="27"/>
      <c r="AI31" s="27"/>
      <c r="AJ31" s="27"/>
      <c r="AK31" s="27"/>
      <c r="AL31" s="93"/>
      <c r="AM31" s="33"/>
      <c r="AN31" s="33"/>
      <c r="AO31" s="33"/>
      <c r="AP31" s="33"/>
      <c r="AQ31" s="33"/>
      <c r="AR31" s="27">
        <f>AR29/AQ29-1</f>
        <v>0.682091780228246</v>
      </c>
      <c r="AS31" s="27">
        <f>AS29/AR29-1</f>
        <v>-0.0552464788732391</v>
      </c>
      <c r="AT31" s="27"/>
    </row>
    <row r="32" spans="1:46">
      <c r="A32" s="21"/>
      <c r="B32" s="27"/>
      <c r="C32" s="27"/>
      <c r="D32" s="27"/>
      <c r="E32" s="52"/>
      <c r="F32" s="27"/>
      <c r="G32" s="27"/>
      <c r="H32" s="27"/>
      <c r="I32" s="52"/>
      <c r="J32" s="27"/>
      <c r="K32" s="27"/>
      <c r="L32" s="27"/>
      <c r="M32" s="52"/>
      <c r="N32" s="27"/>
      <c r="O32" s="27"/>
      <c r="P32" s="27"/>
      <c r="Q32" s="52"/>
      <c r="R32" s="27"/>
      <c r="S32" s="27"/>
      <c r="T32" s="27"/>
      <c r="U32" s="52"/>
      <c r="V32" s="27"/>
      <c r="W32" s="27"/>
      <c r="X32" s="27"/>
      <c r="Y32" s="52"/>
      <c r="Z32" s="27"/>
      <c r="AA32" s="27"/>
      <c r="AB32" s="27"/>
      <c r="AC32" s="52"/>
      <c r="AD32" s="36"/>
      <c r="AE32" s="36"/>
      <c r="AF32" s="36"/>
      <c r="AG32" s="36"/>
      <c r="AH32" s="27"/>
      <c r="AI32" s="27"/>
      <c r="AJ32" s="27"/>
      <c r="AK32" s="27"/>
      <c r="AL32" s="93"/>
      <c r="AM32" s="27"/>
      <c r="AN32" s="27"/>
      <c r="AO32" s="27"/>
      <c r="AP32" s="27"/>
      <c r="AQ32" s="27"/>
      <c r="AR32" s="27">
        <f>AR30/AQ30-1</f>
        <v>23.355</v>
      </c>
      <c r="AS32" s="27">
        <f>AS30/AR30-1</f>
        <v>1.10294395401355</v>
      </c>
      <c r="AT32" s="27"/>
    </row>
    <row r="33" spans="1:46">
      <c r="A33" s="22" t="s">
        <v>849</v>
      </c>
      <c r="B33" s="30">
        <f t="shared" ref="B33:Y40" si="61">+B23/B$23</f>
        <v>1</v>
      </c>
      <c r="C33" s="30">
        <f t="shared" si="61"/>
        <v>1</v>
      </c>
      <c r="D33" s="30">
        <f t="shared" si="61"/>
        <v>1</v>
      </c>
      <c r="E33" s="54">
        <f t="shared" si="61"/>
        <v>1</v>
      </c>
      <c r="F33" s="30">
        <f t="shared" si="61"/>
        <v>1</v>
      </c>
      <c r="G33" s="30">
        <f t="shared" si="61"/>
        <v>1</v>
      </c>
      <c r="H33" s="30">
        <f t="shared" si="61"/>
        <v>1</v>
      </c>
      <c r="I33" s="54">
        <f t="shared" si="61"/>
        <v>1</v>
      </c>
      <c r="J33" s="30">
        <f t="shared" si="61"/>
        <v>1</v>
      </c>
      <c r="K33" s="30">
        <f t="shared" si="61"/>
        <v>1</v>
      </c>
      <c r="L33" s="30">
        <f t="shared" si="61"/>
        <v>1</v>
      </c>
      <c r="M33" s="54">
        <f t="shared" si="61"/>
        <v>1</v>
      </c>
      <c r="N33" s="30">
        <f t="shared" si="61"/>
        <v>1</v>
      </c>
      <c r="O33" s="30">
        <f t="shared" si="61"/>
        <v>1</v>
      </c>
      <c r="P33" s="30">
        <f t="shared" si="61"/>
        <v>1</v>
      </c>
      <c r="Q33" s="54">
        <f t="shared" si="61"/>
        <v>1</v>
      </c>
      <c r="R33" s="30">
        <f t="shared" si="61"/>
        <v>1</v>
      </c>
      <c r="S33" s="30">
        <f t="shared" si="61"/>
        <v>1</v>
      </c>
      <c r="T33" s="30">
        <f t="shared" si="61"/>
        <v>1</v>
      </c>
      <c r="U33" s="54">
        <f t="shared" si="61"/>
        <v>1</v>
      </c>
      <c r="V33" s="30">
        <f t="shared" si="61"/>
        <v>1</v>
      </c>
      <c r="W33" s="30">
        <f t="shared" si="61"/>
        <v>1</v>
      </c>
      <c r="X33" s="30">
        <f t="shared" si="61"/>
        <v>1</v>
      </c>
      <c r="Y33" s="54">
        <f t="shared" si="61"/>
        <v>1</v>
      </c>
      <c r="Z33" s="30">
        <f t="shared" ref="Z33:AC33" si="62">+Z23/Z$23</f>
        <v>1</v>
      </c>
      <c r="AA33" s="30">
        <f t="shared" si="62"/>
        <v>1</v>
      </c>
      <c r="AB33" s="30">
        <f t="shared" si="62"/>
        <v>1</v>
      </c>
      <c r="AC33" s="54">
        <f t="shared" si="62"/>
        <v>1</v>
      </c>
      <c r="AD33" s="36"/>
      <c r="AE33" s="36"/>
      <c r="AF33" s="36"/>
      <c r="AG33" s="36"/>
      <c r="AH33" s="27"/>
      <c r="AI33" s="27"/>
      <c r="AJ33" s="27"/>
      <c r="AK33" s="27"/>
      <c r="AL33" s="93"/>
      <c r="AM33" s="30">
        <f t="shared" ref="AM33:AS40" si="63">+AM23/AM$23</f>
        <v>1</v>
      </c>
      <c r="AN33" s="30">
        <f t="shared" si="63"/>
        <v>1</v>
      </c>
      <c r="AO33" s="30">
        <f t="shared" si="63"/>
        <v>1</v>
      </c>
      <c r="AP33" s="30">
        <f t="shared" si="63"/>
        <v>1</v>
      </c>
      <c r="AQ33" s="30">
        <f t="shared" si="63"/>
        <v>1</v>
      </c>
      <c r="AR33" s="30">
        <f t="shared" si="63"/>
        <v>1</v>
      </c>
      <c r="AS33" s="30">
        <f t="shared" si="63"/>
        <v>1</v>
      </c>
      <c r="AT33" s="30">
        <f t="shared" ref="AT33" si="64">+AT23/AT$23</f>
        <v>1</v>
      </c>
    </row>
    <row r="34" spans="1:46">
      <c r="A34" s="29" t="s">
        <v>851</v>
      </c>
      <c r="B34" s="27">
        <f t="shared" si="61"/>
        <v>0.343253968253968</v>
      </c>
      <c r="C34" s="27">
        <f t="shared" si="61"/>
        <v>0.330152671755725</v>
      </c>
      <c r="D34" s="27">
        <f t="shared" si="61"/>
        <v>0.273183499534924</v>
      </c>
      <c r="E34" s="52">
        <f t="shared" si="61"/>
        <v>0.261346982029717</v>
      </c>
      <c r="F34" s="27">
        <f t="shared" si="61"/>
        <v>0.344674608421101</v>
      </c>
      <c r="G34" s="27">
        <f t="shared" si="61"/>
        <v>0.28535811195725</v>
      </c>
      <c r="H34" s="27">
        <f t="shared" si="61"/>
        <v>0.26268256268408</v>
      </c>
      <c r="I34" s="52">
        <f t="shared" si="61"/>
        <v>0.150251301592903</v>
      </c>
      <c r="J34" s="27">
        <f t="shared" si="61"/>
        <v>0.106063407899998</v>
      </c>
      <c r="K34" s="27">
        <f t="shared" si="61"/>
        <v>0.0723134163804027</v>
      </c>
      <c r="L34" s="27">
        <f t="shared" si="61"/>
        <v>0.0521880470127995</v>
      </c>
      <c r="M34" s="52">
        <f t="shared" si="61"/>
        <v>0.0307715906055406</v>
      </c>
      <c r="N34" s="27">
        <f t="shared" si="61"/>
        <v>0.025546135151652</v>
      </c>
      <c r="O34" s="27">
        <f t="shared" si="61"/>
        <v>0.0161864783149021</v>
      </c>
      <c r="P34" s="27">
        <f t="shared" si="61"/>
        <v>0.0182788822645001</v>
      </c>
      <c r="Q34" s="52">
        <f t="shared" si="61"/>
        <v>0.011465137568715</v>
      </c>
      <c r="R34" s="27">
        <f t="shared" si="61"/>
        <v>0.0110245493082544</v>
      </c>
      <c r="S34" s="27">
        <f t="shared" si="61"/>
        <v>0.00813603006331435</v>
      </c>
      <c r="T34" s="27">
        <f t="shared" si="61"/>
        <v>0.00650894128829205</v>
      </c>
      <c r="U34" s="52">
        <f t="shared" si="61"/>
        <v>0.00509182532317226</v>
      </c>
      <c r="V34" s="27">
        <f t="shared" si="61"/>
        <v>0.00538870491129639</v>
      </c>
      <c r="W34" s="27">
        <f t="shared" si="61"/>
        <v>0.00486506254129913</v>
      </c>
      <c r="X34" s="27">
        <f t="shared" si="61"/>
        <v>0.00406076943385088</v>
      </c>
      <c r="Y34" s="52">
        <f t="shared" si="61"/>
        <v>0.00372419092587942</v>
      </c>
      <c r="Z34" s="27">
        <f t="shared" ref="Z34:AC34" si="65">+Z24/Z$23</f>
        <v>0.00496564632404037</v>
      </c>
      <c r="AA34" s="27">
        <f t="shared" si="65"/>
        <v>0.0040259316202042</v>
      </c>
      <c r="AB34" s="27">
        <f t="shared" si="65"/>
        <v>0.00322185729340024</v>
      </c>
      <c r="AC34" s="52">
        <f t="shared" si="65"/>
        <v>0.00297859311513255</v>
      </c>
      <c r="AD34" s="36"/>
      <c r="AE34" s="36"/>
      <c r="AF34" s="36"/>
      <c r="AG34" s="36"/>
      <c r="AH34" s="27"/>
      <c r="AI34" s="27"/>
      <c r="AJ34" s="27"/>
      <c r="AK34" s="27"/>
      <c r="AL34" s="93"/>
      <c r="AM34" s="27">
        <f t="shared" si="63"/>
        <v>0.373354695587873</v>
      </c>
      <c r="AN34" s="27">
        <f t="shared" si="63"/>
        <v>0.297645172310846</v>
      </c>
      <c r="AO34" s="27">
        <f t="shared" si="63"/>
        <v>0.246906927760465</v>
      </c>
      <c r="AP34" s="27">
        <f t="shared" si="63"/>
        <v>0.0540963813495865</v>
      </c>
      <c r="AQ34" s="27">
        <f t="shared" si="63"/>
        <v>0.016635809986674</v>
      </c>
      <c r="AR34" s="27">
        <f t="shared" si="63"/>
        <v>0.00713733281381946</v>
      </c>
      <c r="AS34" s="27">
        <f t="shared" si="63"/>
        <v>0.00442380191255766</v>
      </c>
      <c r="AT34" s="27">
        <f t="shared" ref="AT34" si="66">+AT24/AT$23</f>
        <v>0.00365654558090621</v>
      </c>
    </row>
    <row r="35" spans="1:46">
      <c r="A35" s="29" t="s">
        <v>852</v>
      </c>
      <c r="B35" s="27">
        <f t="shared" si="61"/>
        <v>0.515873015873016</v>
      </c>
      <c r="C35" s="27">
        <f t="shared" si="61"/>
        <v>0.49618320610687</v>
      </c>
      <c r="D35" s="27">
        <f t="shared" si="61"/>
        <v>0.466373921131757</v>
      </c>
      <c r="E35" s="52">
        <f t="shared" si="61"/>
        <v>0.422989335076999</v>
      </c>
      <c r="F35" s="27">
        <f t="shared" si="61"/>
        <v>0.403948298961445</v>
      </c>
      <c r="G35" s="27">
        <f t="shared" si="61"/>
        <v>0.424826838056454</v>
      </c>
      <c r="H35" s="27">
        <f t="shared" si="61"/>
        <v>0.427229946347131</v>
      </c>
      <c r="I35" s="52">
        <f t="shared" si="61"/>
        <v>0.211751513049023</v>
      </c>
      <c r="J35" s="27">
        <f t="shared" si="61"/>
        <v>0.0440444321877845</v>
      </c>
      <c r="K35" s="27">
        <f t="shared" si="61"/>
        <v>0.061597425994696</v>
      </c>
      <c r="L35" s="27">
        <f t="shared" si="61"/>
        <v>0.0452613156022431</v>
      </c>
      <c r="M35" s="52">
        <f t="shared" si="61"/>
        <v>0.0282765778889218</v>
      </c>
      <c r="N35" s="27">
        <f t="shared" si="61"/>
        <v>0.0170129265428411</v>
      </c>
      <c r="O35" s="27">
        <f t="shared" si="61"/>
        <v>0.0107796880007076</v>
      </c>
      <c r="P35" s="27">
        <f t="shared" si="61"/>
        <v>0.0126938675937</v>
      </c>
      <c r="Q35" s="52">
        <f t="shared" si="61"/>
        <v>0.00824630295645948</v>
      </c>
      <c r="R35" s="27">
        <f t="shared" si="61"/>
        <v>0.00716933950940513</v>
      </c>
      <c r="S35" s="27">
        <f t="shared" si="61"/>
        <v>0.00529091576913298</v>
      </c>
      <c r="T35" s="27">
        <f t="shared" si="61"/>
        <v>0.00442773357563135</v>
      </c>
      <c r="U35" s="52">
        <f t="shared" si="61"/>
        <v>0.00358013036470906</v>
      </c>
      <c r="V35" s="27">
        <f t="shared" si="61"/>
        <v>0.00342217400900142</v>
      </c>
      <c r="W35" s="27">
        <f t="shared" si="61"/>
        <v>0.00308962744389633</v>
      </c>
      <c r="X35" s="27">
        <f t="shared" si="61"/>
        <v>0.00270633609515626</v>
      </c>
      <c r="Y35" s="52">
        <f t="shared" si="61"/>
        <v>0.00255991266562182</v>
      </c>
      <c r="Z35" s="27">
        <f t="shared" ref="Z35:AC35" si="67">+Z25/Z$23</f>
        <v>0.00307992162485507</v>
      </c>
      <c r="AA35" s="27">
        <f t="shared" si="67"/>
        <v>0.00249706746072999</v>
      </c>
      <c r="AB35" s="27">
        <f t="shared" si="67"/>
        <v>0.00210410536257355</v>
      </c>
      <c r="AC35" s="52">
        <f t="shared" si="67"/>
        <v>0.00200173471302982</v>
      </c>
      <c r="AD35" s="36"/>
      <c r="AE35" s="36"/>
      <c r="AF35" s="36"/>
      <c r="AG35" s="36"/>
      <c r="AH35" s="27"/>
      <c r="AI35" s="27"/>
      <c r="AJ35" s="27"/>
      <c r="AK35" s="27"/>
      <c r="AL35" s="93"/>
      <c r="AM35" s="27">
        <f t="shared" si="63"/>
        <v>0.565023416317476</v>
      </c>
      <c r="AN35" s="27">
        <f t="shared" si="63"/>
        <v>0.472258215427799</v>
      </c>
      <c r="AO35" s="27">
        <f t="shared" si="63"/>
        <v>0.351691855488237</v>
      </c>
      <c r="AP35" s="27">
        <f t="shared" si="63"/>
        <v>0.0412416933870611</v>
      </c>
      <c r="AQ35" s="27">
        <f t="shared" si="63"/>
        <v>0.0114113597034961</v>
      </c>
      <c r="AR35" s="27">
        <f t="shared" si="63"/>
        <v>0.0047860530470815</v>
      </c>
      <c r="AS35" s="27">
        <f t="shared" si="63"/>
        <v>0.00290021136216903</v>
      </c>
      <c r="AT35" s="27">
        <f t="shared" ref="AT35" si="68">+AT25/AT$23</f>
        <v>0.00234397586183051</v>
      </c>
    </row>
    <row r="36" spans="1:46">
      <c r="A36" s="29" t="s">
        <v>853</v>
      </c>
      <c r="B36" s="27">
        <f t="shared" si="61"/>
        <v>0.119047619047619</v>
      </c>
      <c r="C36" s="27">
        <f t="shared" si="61"/>
        <v>0.131679389312977</v>
      </c>
      <c r="D36" s="27">
        <f t="shared" si="61"/>
        <v>0.131735490709295</v>
      </c>
      <c r="E36" s="52">
        <f t="shared" si="61"/>
        <v>0.12310883632838</v>
      </c>
      <c r="F36" s="27">
        <f t="shared" si="61"/>
        <v>0.0752429424851737</v>
      </c>
      <c r="G36" s="27">
        <f t="shared" si="61"/>
        <v>0.0673240148028889</v>
      </c>
      <c r="H36" s="27">
        <f t="shared" si="61"/>
        <v>0.073881219112085</v>
      </c>
      <c r="I36" s="52">
        <f t="shared" si="61"/>
        <v>0.0544624050443863</v>
      </c>
      <c r="J36" s="27">
        <f t="shared" si="61"/>
        <v>0.0132309973862398</v>
      </c>
      <c r="K36" s="27">
        <f t="shared" si="61"/>
        <v>0.010623629701587</v>
      </c>
      <c r="L36" s="27">
        <f t="shared" si="61"/>
        <v>0.00714519651615531</v>
      </c>
      <c r="M36" s="52">
        <f t="shared" si="61"/>
        <v>0.0056126037301353</v>
      </c>
      <c r="N36" s="27">
        <f t="shared" si="61"/>
        <v>0.00322197810695678</v>
      </c>
      <c r="O36" s="27">
        <f t="shared" si="61"/>
        <v>0.00244374731010399</v>
      </c>
      <c r="P36" s="27">
        <f t="shared" si="61"/>
        <v>0.00565269228744898</v>
      </c>
      <c r="Q36" s="52">
        <f t="shared" si="61"/>
        <v>0.00442060590771248</v>
      </c>
      <c r="R36" s="27">
        <f t="shared" si="61"/>
        <v>0.00146816601702828</v>
      </c>
      <c r="S36" s="27">
        <f t="shared" si="61"/>
        <v>0.00131005466749296</v>
      </c>
      <c r="T36" s="27">
        <f t="shared" si="61"/>
        <v>0.00208693548119909</v>
      </c>
      <c r="U36" s="52">
        <f t="shared" si="61"/>
        <v>0.00205101212986453</v>
      </c>
      <c r="V36" s="27">
        <f t="shared" si="61"/>
        <v>0.000759165268139514</v>
      </c>
      <c r="W36" s="27">
        <f t="shared" si="61"/>
        <v>0.000837117522073957</v>
      </c>
      <c r="X36" s="27">
        <f t="shared" si="61"/>
        <v>0.00135167646184419</v>
      </c>
      <c r="Y36" s="52">
        <f t="shared" si="61"/>
        <v>0.00156957004346868</v>
      </c>
      <c r="Z36" s="27">
        <f t="shared" ref="Z36:AC36" si="69">+Z26/Z$23</f>
        <v>0.000741493379032273</v>
      </c>
      <c r="AA36" s="27">
        <f t="shared" si="69"/>
        <v>0.000741708787661403</v>
      </c>
      <c r="AB36" s="27">
        <f t="shared" si="69"/>
        <v>0.00111495283889166</v>
      </c>
      <c r="AC36" s="52">
        <f t="shared" si="69"/>
        <v>0.00131558063044123</v>
      </c>
      <c r="AD36" s="36"/>
      <c r="AE36" s="36"/>
      <c r="AF36" s="36"/>
      <c r="AG36" s="36"/>
      <c r="AH36" s="27"/>
      <c r="AI36" s="27"/>
      <c r="AJ36" s="27"/>
      <c r="AK36" s="27"/>
      <c r="AL36" s="93"/>
      <c r="AM36" s="27">
        <f t="shared" si="63"/>
        <v>0.049297510475721</v>
      </c>
      <c r="AN36" s="27">
        <f t="shared" si="63"/>
        <v>0.126682404503443</v>
      </c>
      <c r="AO36" s="27">
        <f t="shared" si="63"/>
        <v>0.0662942174519126</v>
      </c>
      <c r="AP36" s="27">
        <f t="shared" si="63"/>
        <v>0.0079473485339242</v>
      </c>
      <c r="AQ36" s="27">
        <f t="shared" si="63"/>
        <v>0.00401863418523018</v>
      </c>
      <c r="AR36" s="27">
        <f t="shared" si="63"/>
        <v>0.00180476420639878</v>
      </c>
      <c r="AS36" s="27">
        <f t="shared" si="63"/>
        <v>0.00117288365906225</v>
      </c>
      <c r="AT36" s="27">
        <f t="shared" ref="AT36" si="70">+AT26/AT$23</f>
        <v>0.00101827994112677</v>
      </c>
    </row>
    <row r="37" spans="1:46">
      <c r="A37" s="29" t="s">
        <v>854</v>
      </c>
      <c r="B37" s="27">
        <f t="shared" si="61"/>
        <v>0.0218253968253968</v>
      </c>
      <c r="C37" s="27">
        <f t="shared" si="61"/>
        <v>0.0419847328244275</v>
      </c>
      <c r="D37" s="27">
        <f t="shared" si="61"/>
        <v>0.049968634406974</v>
      </c>
      <c r="E37" s="52">
        <f t="shared" si="61"/>
        <v>0.0694460102365223</v>
      </c>
      <c r="F37" s="27">
        <f t="shared" si="61"/>
        <v>0.0334431930630911</v>
      </c>
      <c r="G37" s="27">
        <f t="shared" si="61"/>
        <v>0.0565655174195104</v>
      </c>
      <c r="H37" s="27">
        <f t="shared" si="61"/>
        <v>0.0650423067431503</v>
      </c>
      <c r="I37" s="52">
        <f t="shared" si="61"/>
        <v>0.0572350911919852</v>
      </c>
      <c r="J37" s="27">
        <f t="shared" si="61"/>
        <v>0.017334805193724</v>
      </c>
      <c r="K37" s="27">
        <f t="shared" si="61"/>
        <v>0.0199441737777382</v>
      </c>
      <c r="L37" s="27">
        <f t="shared" si="61"/>
        <v>0.01341396914211</v>
      </c>
      <c r="M37" s="52">
        <f t="shared" si="61"/>
        <v>0.0128854670994356</v>
      </c>
      <c r="N37" s="27">
        <f t="shared" si="61"/>
        <v>0.00451397795201902</v>
      </c>
      <c r="O37" s="27">
        <f t="shared" si="61"/>
        <v>0.0048839739498073</v>
      </c>
      <c r="P37" s="27">
        <f t="shared" si="61"/>
        <v>0.00513492693300519</v>
      </c>
      <c r="Q37" s="52">
        <f t="shared" si="61"/>
        <v>0.00528437505715826</v>
      </c>
      <c r="R37" s="27">
        <f t="shared" si="61"/>
        <v>0.00222602144571123</v>
      </c>
      <c r="S37" s="27">
        <f t="shared" si="61"/>
        <v>0.00283696884048288</v>
      </c>
      <c r="T37" s="27">
        <f t="shared" si="61"/>
        <v>0.00211106665954456</v>
      </c>
      <c r="U37" s="52">
        <f t="shared" si="61"/>
        <v>0.00272770319378929</v>
      </c>
      <c r="V37" s="27">
        <f t="shared" si="61"/>
        <v>0.00124489527010561</v>
      </c>
      <c r="W37" s="27">
        <f t="shared" si="61"/>
        <v>0.00196173073957561</v>
      </c>
      <c r="X37" s="27">
        <f t="shared" si="61"/>
        <v>0.00152162013794589</v>
      </c>
      <c r="Y37" s="52">
        <f t="shared" si="61"/>
        <v>0.00231955867214114</v>
      </c>
      <c r="Z37" s="27">
        <f t="shared" ref="Z37:AC37" si="71">+Z27/Z$23</f>
        <v>0.00131407994480839</v>
      </c>
      <c r="AA37" s="27">
        <f t="shared" si="71"/>
        <v>0.00187839527700007</v>
      </c>
      <c r="AB37" s="27">
        <f t="shared" si="71"/>
        <v>0.00139567010040364</v>
      </c>
      <c r="AC37" s="52">
        <f t="shared" si="71"/>
        <v>0.00215751133324397</v>
      </c>
      <c r="AD37" s="36"/>
      <c r="AE37" s="36"/>
      <c r="AF37" s="36"/>
      <c r="AG37" s="36"/>
      <c r="AH37" s="27"/>
      <c r="AI37" s="27"/>
      <c r="AJ37" s="27"/>
      <c r="AK37" s="27"/>
      <c r="AL37" s="93"/>
      <c r="AM37" s="27">
        <f t="shared" si="63"/>
        <v>0.0123243776189302</v>
      </c>
      <c r="AN37" s="27">
        <f t="shared" si="63"/>
        <v>0.0473981785557098</v>
      </c>
      <c r="AO37" s="27">
        <f t="shared" si="63"/>
        <v>0.0544521970602084</v>
      </c>
      <c r="AP37" s="27">
        <f t="shared" si="63"/>
        <v>0.0149198818751334</v>
      </c>
      <c r="AQ37" s="27">
        <f t="shared" si="63"/>
        <v>0.00501955156817887</v>
      </c>
      <c r="AR37" s="27">
        <f t="shared" si="63"/>
        <v>0.00248873106900901</v>
      </c>
      <c r="AS37" s="27">
        <f t="shared" si="63"/>
        <v>0.00178380198075323</v>
      </c>
      <c r="AT37" s="27">
        <f t="shared" ref="AT37" si="72">+AT27/AT$23</f>
        <v>0.00170604933149892</v>
      </c>
    </row>
    <row r="38" spans="1:46">
      <c r="A38" s="29" t="s">
        <v>855</v>
      </c>
      <c r="B38" s="27">
        <f t="shared" si="61"/>
        <v>0</v>
      </c>
      <c r="C38" s="27">
        <f t="shared" si="61"/>
        <v>0</v>
      </c>
      <c r="D38" s="27">
        <f t="shared" si="61"/>
        <v>0.0787384542170499</v>
      </c>
      <c r="E38" s="52">
        <f t="shared" si="61"/>
        <v>0.12310883632838</v>
      </c>
      <c r="F38" s="27">
        <f t="shared" si="61"/>
        <v>0.142690957069189</v>
      </c>
      <c r="G38" s="27">
        <f t="shared" si="61"/>
        <v>0.165925517763897</v>
      </c>
      <c r="H38" s="27">
        <f t="shared" si="61"/>
        <v>0.171163965113553</v>
      </c>
      <c r="I38" s="52">
        <f t="shared" si="61"/>
        <v>0.526299689121703</v>
      </c>
      <c r="J38" s="27">
        <f t="shared" si="61"/>
        <v>0.779199493457893</v>
      </c>
      <c r="K38" s="27">
        <f t="shared" si="61"/>
        <v>0.753446564936777</v>
      </c>
      <c r="L38" s="27">
        <f t="shared" si="61"/>
        <v>0.73478742078447</v>
      </c>
      <c r="M38" s="52">
        <f t="shared" si="61"/>
        <v>0.608480390806679</v>
      </c>
      <c r="N38" s="27">
        <f t="shared" si="61"/>
        <v>0.623385862807022</v>
      </c>
      <c r="O38" s="27">
        <f t="shared" si="61"/>
        <v>0.316285426133935</v>
      </c>
      <c r="P38" s="27">
        <f t="shared" si="61"/>
        <v>0.235285686776779</v>
      </c>
      <c r="Q38" s="52">
        <f t="shared" si="61"/>
        <v>0.180323987280633</v>
      </c>
      <c r="R38" s="27">
        <f t="shared" si="61"/>
        <v>0.138642490913783</v>
      </c>
      <c r="S38" s="27">
        <f t="shared" si="61"/>
        <v>0.0272939843170396</v>
      </c>
      <c r="T38" s="27">
        <f t="shared" si="61"/>
        <v>0.0112834475294779</v>
      </c>
      <c r="U38" s="52">
        <f t="shared" si="61"/>
        <v>0.00923432032290118</v>
      </c>
      <c r="V38" s="27">
        <f t="shared" si="61"/>
        <v>0.0109375256011208</v>
      </c>
      <c r="W38" s="27">
        <f t="shared" si="61"/>
        <v>0.00967108007402911</v>
      </c>
      <c r="X38" s="27">
        <f t="shared" si="61"/>
        <v>0.00750139144963059</v>
      </c>
      <c r="Y38" s="52">
        <f t="shared" si="61"/>
        <v>0.00801297917671545</v>
      </c>
      <c r="Z38" s="27">
        <f t="shared" ref="Z38:AC38" si="73">+Z28/Z$23</f>
        <v>0.0105229160416514</v>
      </c>
      <c r="AA38" s="27">
        <f t="shared" si="73"/>
        <v>0.00853152594129336</v>
      </c>
      <c r="AB38" s="27">
        <f t="shared" si="73"/>
        <v>0.00633902555701577</v>
      </c>
      <c r="AC38" s="52">
        <f t="shared" si="73"/>
        <v>0.00683916309846462</v>
      </c>
      <c r="AD38" s="36"/>
      <c r="AE38" s="36"/>
      <c r="AF38" s="36"/>
      <c r="AG38" s="36"/>
      <c r="AH38" s="27"/>
      <c r="AI38" s="27"/>
      <c r="AJ38" s="27"/>
      <c r="AK38" s="27"/>
      <c r="AL38" s="93"/>
      <c r="AM38" s="27">
        <f t="shared" si="63"/>
        <v>0</v>
      </c>
      <c r="AN38" s="27">
        <f t="shared" si="63"/>
        <v>0.0560160292022025</v>
      </c>
      <c r="AO38" s="27">
        <f t="shared" si="63"/>
        <v>0.280654802239177</v>
      </c>
      <c r="AP38" s="27">
        <f t="shared" si="63"/>
        <v>0.692482064751435</v>
      </c>
      <c r="AQ38" s="27">
        <f t="shared" si="63"/>
        <v>0.300820800178878</v>
      </c>
      <c r="AR38" s="27">
        <f t="shared" si="63"/>
        <v>0.0347437869225707</v>
      </c>
      <c r="AS38" s="27">
        <f t="shared" si="63"/>
        <v>0.00884019795113055</v>
      </c>
      <c r="AT38" s="27">
        <f t="shared" ref="AT38" si="74">+AT28/AT$23</f>
        <v>0.00774874399815084</v>
      </c>
    </row>
    <row r="39" spans="1:46">
      <c r="A39" s="29" t="s">
        <v>856</v>
      </c>
      <c r="B39" s="27">
        <f t="shared" si="61"/>
        <v>0</v>
      </c>
      <c r="C39" s="27">
        <f t="shared" si="61"/>
        <v>0</v>
      </c>
      <c r="D39" s="27">
        <f t="shared" si="61"/>
        <v>0</v>
      </c>
      <c r="E39" s="52">
        <f t="shared" si="61"/>
        <v>0</v>
      </c>
      <c r="F39" s="27">
        <f t="shared" si="61"/>
        <v>0</v>
      </c>
      <c r="G39" s="27">
        <f t="shared" si="61"/>
        <v>0</v>
      </c>
      <c r="H39" s="27">
        <f t="shared" si="61"/>
        <v>0</v>
      </c>
      <c r="I39" s="52">
        <f t="shared" si="61"/>
        <v>0</v>
      </c>
      <c r="J39" s="27">
        <f t="shared" si="61"/>
        <v>0.0401268638743611</v>
      </c>
      <c r="K39" s="27">
        <f t="shared" si="61"/>
        <v>0.0820747892087992</v>
      </c>
      <c r="L39" s="27">
        <f t="shared" si="61"/>
        <v>0.147204050942222</v>
      </c>
      <c r="M39" s="52">
        <f t="shared" si="61"/>
        <v>0.313973369869288</v>
      </c>
      <c r="N39" s="27">
        <f t="shared" si="61"/>
        <v>0.326319119439509</v>
      </c>
      <c r="O39" s="27">
        <f t="shared" si="61"/>
        <v>0.649420686290544</v>
      </c>
      <c r="P39" s="27">
        <f t="shared" si="61"/>
        <v>0.676638576351521</v>
      </c>
      <c r="Q39" s="52">
        <f t="shared" si="61"/>
        <v>0.711628542507337</v>
      </c>
      <c r="R39" s="27">
        <f t="shared" si="61"/>
        <v>0.682742350835071</v>
      </c>
      <c r="S39" s="27">
        <f t="shared" si="61"/>
        <v>0.547201108965678</v>
      </c>
      <c r="T39" s="27">
        <f t="shared" si="61"/>
        <v>0.467660796951608</v>
      </c>
      <c r="U39" s="52">
        <f t="shared" si="61"/>
        <v>0.425257104388458</v>
      </c>
      <c r="V39" s="27">
        <f t="shared" si="61"/>
        <v>0.414022303567742</v>
      </c>
      <c r="W39" s="27">
        <f t="shared" si="61"/>
        <v>0.36336912624897</v>
      </c>
      <c r="X39" s="27">
        <f t="shared" si="61"/>
        <v>0.281847946231322</v>
      </c>
      <c r="Y39" s="52">
        <f t="shared" si="61"/>
        <v>0.301069706775909</v>
      </c>
      <c r="Z39" s="27">
        <f t="shared" ref="Z39:AC39" si="75">+Z29/Z$23</f>
        <v>0.299577606090671</v>
      </c>
      <c r="AA39" s="27">
        <f t="shared" si="75"/>
        <v>0.244176526386269</v>
      </c>
      <c r="AB39" s="27">
        <f t="shared" si="75"/>
        <v>0.181426072174756</v>
      </c>
      <c r="AC39" s="52">
        <f t="shared" si="75"/>
        <v>0.195740257987082</v>
      </c>
      <c r="AD39" s="36"/>
      <c r="AE39" s="36"/>
      <c r="AF39" s="36"/>
      <c r="AG39" s="36"/>
      <c r="AH39" s="27"/>
      <c r="AI39" s="27"/>
      <c r="AJ39" s="27"/>
      <c r="AK39" s="27"/>
      <c r="AL39" s="93"/>
      <c r="AM39" s="27">
        <f t="shared" si="63"/>
        <v>0</v>
      </c>
      <c r="AN39" s="27">
        <f t="shared" si="63"/>
        <v>0</v>
      </c>
      <c r="AO39" s="27">
        <f t="shared" si="63"/>
        <v>0</v>
      </c>
      <c r="AP39" s="27">
        <f t="shared" si="63"/>
        <v>0.189312630102859</v>
      </c>
      <c r="AQ39" s="27">
        <f t="shared" si="63"/>
        <v>0.624364911381103</v>
      </c>
      <c r="AR39" s="27">
        <f t="shared" si="63"/>
        <v>0.506172569947336</v>
      </c>
      <c r="AS39" s="27">
        <f t="shared" si="63"/>
        <v>0.332780529045551</v>
      </c>
      <c r="AT39" s="27">
        <f t="shared" ref="AT39" si="76">+AT29/AT$23</f>
        <v>0.221479566447608</v>
      </c>
    </row>
    <row r="40" spans="1:46">
      <c r="A40" s="29" t="s">
        <v>857</v>
      </c>
      <c r="B40" s="27">
        <f t="shared" si="61"/>
        <v>0</v>
      </c>
      <c r="C40" s="27">
        <f t="shared" si="61"/>
        <v>0</v>
      </c>
      <c r="D40" s="27">
        <f t="shared" si="61"/>
        <v>0</v>
      </c>
      <c r="E40" s="52">
        <f t="shared" si="61"/>
        <v>0</v>
      </c>
      <c r="F40" s="27">
        <f t="shared" si="61"/>
        <v>0</v>
      </c>
      <c r="G40" s="27">
        <f t="shared" si="61"/>
        <v>0</v>
      </c>
      <c r="H40" s="27">
        <f t="shared" si="61"/>
        <v>0</v>
      </c>
      <c r="I40" s="52">
        <f t="shared" si="61"/>
        <v>0</v>
      </c>
      <c r="J40" s="27">
        <f t="shared" si="61"/>
        <v>0</v>
      </c>
      <c r="K40" s="27">
        <f t="shared" si="61"/>
        <v>0</v>
      </c>
      <c r="L40" s="27">
        <f t="shared" si="61"/>
        <v>0</v>
      </c>
      <c r="M40" s="52">
        <f t="shared" si="61"/>
        <v>0</v>
      </c>
      <c r="N40" s="27">
        <f t="shared" si="61"/>
        <v>0</v>
      </c>
      <c r="O40" s="27">
        <f t="shared" si="61"/>
        <v>0</v>
      </c>
      <c r="P40" s="27">
        <f t="shared" si="61"/>
        <v>0.0463153677930453</v>
      </c>
      <c r="Q40" s="52">
        <f t="shared" si="61"/>
        <v>0.0786310487219847</v>
      </c>
      <c r="R40" s="27">
        <f t="shared" si="61"/>
        <v>0.156727081970748</v>
      </c>
      <c r="S40" s="27">
        <f t="shared" si="61"/>
        <v>0.407930937376859</v>
      </c>
      <c r="T40" s="27">
        <f t="shared" si="61"/>
        <v>0.505921078514248</v>
      </c>
      <c r="U40" s="52">
        <f t="shared" si="61"/>
        <v>0.552057904277106</v>
      </c>
      <c r="V40" s="27">
        <f t="shared" si="61"/>
        <v>0.564225231372595</v>
      </c>
      <c r="W40" s="27">
        <f t="shared" si="61"/>
        <v>0.616206255430156</v>
      </c>
      <c r="X40" s="27">
        <f t="shared" si="61"/>
        <v>0.701010260190251</v>
      </c>
      <c r="Y40" s="52">
        <f t="shared" si="61"/>
        <v>0.680744081740264</v>
      </c>
      <c r="Z40" s="27">
        <f t="shared" ref="Z40:AC40" si="77">+Z30/Z$23</f>
        <v>0.679798336594942</v>
      </c>
      <c r="AA40" s="27">
        <f t="shared" si="77"/>
        <v>0.738148844526842</v>
      </c>
      <c r="AB40" s="27">
        <f t="shared" si="77"/>
        <v>0.804398316672959</v>
      </c>
      <c r="AC40" s="52">
        <f t="shared" si="77"/>
        <v>0.788967159122606</v>
      </c>
      <c r="AD40" s="36"/>
      <c r="AE40" s="36"/>
      <c r="AF40" s="36"/>
      <c r="AG40" s="36"/>
      <c r="AH40" s="27"/>
      <c r="AI40" s="27"/>
      <c r="AJ40" s="27"/>
      <c r="AK40" s="27"/>
      <c r="AL40" s="93"/>
      <c r="AM40" s="27">
        <f t="shared" si="63"/>
        <v>0</v>
      </c>
      <c r="AN40" s="27">
        <f t="shared" si="63"/>
        <v>0</v>
      </c>
      <c r="AO40" s="27">
        <f t="shared" si="63"/>
        <v>0</v>
      </c>
      <c r="AP40" s="27">
        <f t="shared" si="63"/>
        <v>0</v>
      </c>
      <c r="AQ40" s="27">
        <f t="shared" si="63"/>
        <v>0.03772893299644</v>
      </c>
      <c r="AR40" s="27">
        <f t="shared" si="63"/>
        <v>0.442866761993785</v>
      </c>
      <c r="AS40" s="27">
        <f t="shared" si="63"/>
        <v>0.648099322253985</v>
      </c>
      <c r="AT40" s="27">
        <f t="shared" ref="AT40" si="78">+AT30/AT$23</f>
        <v>0.762046838838879</v>
      </c>
    </row>
    <row r="41" spans="1:46">
      <c r="A41" s="18"/>
      <c r="B41" s="27"/>
      <c r="C41" s="27"/>
      <c r="D41" s="27"/>
      <c r="E41" s="52"/>
      <c r="F41" s="27"/>
      <c r="G41" s="27"/>
      <c r="H41" s="27"/>
      <c r="I41" s="52"/>
      <c r="J41" s="27"/>
      <c r="K41" s="27"/>
      <c r="L41" s="27"/>
      <c r="M41" s="52"/>
      <c r="N41" s="27"/>
      <c r="O41" s="27"/>
      <c r="P41" s="27"/>
      <c r="Q41" s="52"/>
      <c r="R41" s="27"/>
      <c r="S41" s="27"/>
      <c r="T41" s="27"/>
      <c r="U41" s="52"/>
      <c r="V41" s="27"/>
      <c r="W41" s="27"/>
      <c r="X41" s="27"/>
      <c r="Y41" s="52"/>
      <c r="Z41" s="27"/>
      <c r="AA41" s="27"/>
      <c r="AB41" s="27"/>
      <c r="AC41" s="52"/>
      <c r="AD41" s="36"/>
      <c r="AE41" s="36"/>
      <c r="AF41" s="36"/>
      <c r="AG41" s="36"/>
      <c r="AH41" s="27"/>
      <c r="AI41" s="27"/>
      <c r="AJ41" s="27"/>
      <c r="AK41" s="27"/>
      <c r="AL41" s="93"/>
      <c r="AM41" s="27"/>
      <c r="AN41" s="27"/>
      <c r="AO41" s="27"/>
      <c r="AP41" s="27"/>
      <c r="AQ41" s="27"/>
      <c r="AR41" s="27"/>
      <c r="AS41" s="27"/>
      <c r="AT41" s="27"/>
    </row>
    <row r="42" outlineLevel="1" spans="1:62">
      <c r="A42" s="16" t="s">
        <v>845</v>
      </c>
      <c r="B42" s="31"/>
      <c r="C42" s="31"/>
      <c r="D42" s="31"/>
      <c r="E42" s="55"/>
      <c r="F42" s="31"/>
      <c r="G42" s="31"/>
      <c r="H42" s="31"/>
      <c r="I42" s="55"/>
      <c r="J42" s="31"/>
      <c r="K42" s="31"/>
      <c r="L42" s="31"/>
      <c r="M42" s="55"/>
      <c r="N42" s="31"/>
      <c r="O42" s="31"/>
      <c r="P42" s="31"/>
      <c r="Q42" s="55"/>
      <c r="R42" s="31"/>
      <c r="S42" s="31"/>
      <c r="T42" s="31"/>
      <c r="U42" s="55"/>
      <c r="V42" s="31"/>
      <c r="W42" s="31"/>
      <c r="X42" s="31"/>
      <c r="Y42" s="55"/>
      <c r="Z42" s="31"/>
      <c r="AA42" s="31"/>
      <c r="AB42" s="31"/>
      <c r="AC42" s="55"/>
      <c r="AD42" s="29"/>
      <c r="AE42" s="29"/>
      <c r="AF42" s="16"/>
      <c r="AG42" s="16"/>
      <c r="AH42" s="16"/>
      <c r="AI42" s="31"/>
      <c r="AJ42" s="31"/>
      <c r="AK42" s="31"/>
      <c r="AL42" s="94"/>
      <c r="AM42" s="95">
        <f t="shared" ref="AM42:AT42" si="79">+AM3</f>
        <v>2021</v>
      </c>
      <c r="AN42" s="95">
        <f t="shared" si="79"/>
        <v>2022</v>
      </c>
      <c r="AO42" s="95">
        <f t="shared" si="79"/>
        <v>2023</v>
      </c>
      <c r="AP42" s="95">
        <f t="shared" si="79"/>
        <v>2024</v>
      </c>
      <c r="AQ42" s="95" t="str">
        <f t="shared" si="79"/>
        <v>2025E</v>
      </c>
      <c r="AR42" s="95" t="str">
        <f t="shared" si="79"/>
        <v>2026E</v>
      </c>
      <c r="AS42" s="95" t="str">
        <f t="shared" si="79"/>
        <v>2027E</v>
      </c>
      <c r="AT42" s="95" t="str">
        <f t="shared" si="79"/>
        <v>2028E</v>
      </c>
      <c r="BG42" s="111"/>
      <c r="BH42" s="111"/>
      <c r="BI42" s="111"/>
      <c r="BJ42" s="111"/>
    </row>
    <row r="43" outlineLevel="1" spans="1:46">
      <c r="A43" s="29" t="s">
        <v>726</v>
      </c>
      <c r="B43" s="32">
        <f t="shared" ref="B43:Z43" si="80">+SUM(B44:B45)</f>
        <v>705.6</v>
      </c>
      <c r="C43" s="32">
        <f t="shared" si="80"/>
        <v>733.6</v>
      </c>
      <c r="D43" s="32">
        <f t="shared" si="80"/>
        <v>924.58</v>
      </c>
      <c r="E43" s="56">
        <f t="shared" si="80"/>
        <v>887.02</v>
      </c>
      <c r="F43" s="32">
        <f t="shared" si="80"/>
        <v>589.3576</v>
      </c>
      <c r="G43" s="32">
        <f t="shared" si="80"/>
        <v>696.891</v>
      </c>
      <c r="H43" s="32">
        <f t="shared" si="80"/>
        <v>767.68495</v>
      </c>
      <c r="I43" s="56">
        <f t="shared" si="80"/>
        <v>998.67055</v>
      </c>
      <c r="J43" s="32">
        <f t="shared" si="80"/>
        <v>1091.53808125</v>
      </c>
      <c r="K43" s="32">
        <f t="shared" si="80"/>
        <v>1600.97883</v>
      </c>
      <c r="L43" s="32">
        <f t="shared" si="80"/>
        <v>2380.369274875</v>
      </c>
      <c r="M43" s="56">
        <f t="shared" si="80"/>
        <v>3487.556923875</v>
      </c>
      <c r="N43" s="32">
        <f t="shared" si="80"/>
        <v>4031.96785484063</v>
      </c>
      <c r="O43" s="32">
        <f t="shared" si="80"/>
        <v>6363.40986241875</v>
      </c>
      <c r="P43" s="32">
        <f t="shared" si="80"/>
        <v>6052.41874041844</v>
      </c>
      <c r="Q43" s="56">
        <f t="shared" si="80"/>
        <v>8318.34257117219</v>
      </c>
      <c r="R43" s="32">
        <f t="shared" si="80"/>
        <v>8316.92891623726</v>
      </c>
      <c r="S43" s="32">
        <f t="shared" si="80"/>
        <v>11269.6723361114</v>
      </c>
      <c r="T43" s="32">
        <f t="shared" si="80"/>
        <v>15144.8127492562</v>
      </c>
      <c r="U43" s="56">
        <f t="shared" si="80"/>
        <v>16654.9485638463</v>
      </c>
      <c r="V43" s="32">
        <f t="shared" si="80"/>
        <v>15155.0848926026</v>
      </c>
      <c r="W43" s="32">
        <f t="shared" si="80"/>
        <v>16786.2755511615</v>
      </c>
      <c r="X43" s="32">
        <f t="shared" si="80"/>
        <v>21641.5069244246</v>
      </c>
      <c r="Y43" s="56">
        <f t="shared" si="80"/>
        <v>20259.8074224055</v>
      </c>
      <c r="Z43" s="32">
        <f t="shared" si="80"/>
        <v>14656.0462555773</v>
      </c>
      <c r="AA43" s="32">
        <f t="shared" ref="AA43:AC43" si="81">+SUM(AA44:AA45)</f>
        <v>19135.4941170243</v>
      </c>
      <c r="AB43" s="32">
        <f t="shared" si="81"/>
        <v>26446.3457113942</v>
      </c>
      <c r="AC43" s="56">
        <f t="shared" si="81"/>
        <v>24667.1778550395</v>
      </c>
      <c r="AD43" s="37"/>
      <c r="AE43" s="37"/>
      <c r="AF43" s="37"/>
      <c r="AG43" s="37"/>
      <c r="AH43" s="37"/>
      <c r="AI43" s="37"/>
      <c r="AJ43" s="33"/>
      <c r="AK43" s="33"/>
      <c r="AL43" s="33"/>
      <c r="AM43" s="37">
        <f t="shared" ref="AM43:AT43" si="82">+SUM(AM44:AM45)</f>
        <v>2839.99</v>
      </c>
      <c r="AN43" s="37">
        <f t="shared" si="82"/>
        <v>3248.49</v>
      </c>
      <c r="AO43" s="37">
        <f t="shared" si="82"/>
        <v>3052.6041</v>
      </c>
      <c r="AP43" s="37">
        <f t="shared" si="82"/>
        <v>8560.44311</v>
      </c>
      <c r="AQ43" s="37">
        <f t="shared" si="82"/>
        <v>24766.13902885</v>
      </c>
      <c r="AR43" s="37">
        <f t="shared" si="82"/>
        <v>51386.3625654512</v>
      </c>
      <c r="AS43" s="37">
        <f t="shared" si="82"/>
        <v>73842.6747905941</v>
      </c>
      <c r="AT43" s="37">
        <f t="shared" si="82"/>
        <v>79612.5639390353</v>
      </c>
    </row>
    <row r="44" outlineLevel="1" spans="1:46">
      <c r="A44" s="29" t="s">
        <v>859</v>
      </c>
      <c r="B44" s="33">
        <f t="shared" ref="B44:Z44" si="83">+B48</f>
        <v>565.4</v>
      </c>
      <c r="C44" s="33">
        <f t="shared" si="83"/>
        <v>589.2</v>
      </c>
      <c r="D44" s="33">
        <f t="shared" si="83"/>
        <v>758.6</v>
      </c>
      <c r="E44" s="57">
        <f t="shared" si="83"/>
        <v>748.8</v>
      </c>
      <c r="F44" s="33">
        <f t="shared" si="83"/>
        <v>452.1231</v>
      </c>
      <c r="G44" s="33">
        <f t="shared" si="83"/>
        <v>543.944</v>
      </c>
      <c r="H44" s="33">
        <f t="shared" si="83"/>
        <v>595.262</v>
      </c>
      <c r="I44" s="57">
        <f t="shared" si="83"/>
        <v>839.379</v>
      </c>
      <c r="J44" s="33">
        <f t="shared" si="83"/>
        <v>966.04542</v>
      </c>
      <c r="K44" s="33">
        <f t="shared" si="83"/>
        <v>1392.8975</v>
      </c>
      <c r="L44" s="33">
        <f t="shared" si="83"/>
        <v>2132.3729</v>
      </c>
      <c r="M44" s="57">
        <f t="shared" si="83"/>
        <v>3227.6795</v>
      </c>
      <c r="N44" s="33">
        <f t="shared" si="83"/>
        <v>3787.0777625</v>
      </c>
      <c r="O44" s="33">
        <f t="shared" si="83"/>
        <v>6100.1776625</v>
      </c>
      <c r="P44" s="33">
        <f t="shared" si="83"/>
        <v>5754.3359575</v>
      </c>
      <c r="Q44" s="57">
        <f t="shared" si="83"/>
        <v>8009.3278575</v>
      </c>
      <c r="R44" s="33">
        <f t="shared" si="83"/>
        <v>8035.036135375</v>
      </c>
      <c r="S44" s="33">
        <f t="shared" si="83"/>
        <v>10949.891905675</v>
      </c>
      <c r="T44" s="33">
        <f t="shared" si="83"/>
        <v>14810.7157059125</v>
      </c>
      <c r="U44" s="57">
        <f t="shared" si="83"/>
        <v>16326.0431359125</v>
      </c>
      <c r="V44" s="33">
        <f t="shared" si="83"/>
        <v>14879.439148044</v>
      </c>
      <c r="W44" s="33">
        <f t="shared" si="83"/>
        <v>16470.535336644</v>
      </c>
      <c r="X44" s="33">
        <f t="shared" si="83"/>
        <v>21312.8459667583</v>
      </c>
      <c r="Y44" s="57">
        <f t="shared" si="83"/>
        <v>19933.6715667583</v>
      </c>
      <c r="Z44" s="33">
        <f t="shared" si="83"/>
        <v>14402.8929750217</v>
      </c>
      <c r="AA44" s="33">
        <f t="shared" ref="AA44:AC44" si="84">+AA48</f>
        <v>18841.7494294217</v>
      </c>
      <c r="AB44" s="33">
        <f t="shared" si="84"/>
        <v>26140.9400530999</v>
      </c>
      <c r="AC44" s="57">
        <f t="shared" si="84"/>
        <v>24361.8050770999</v>
      </c>
      <c r="AD44" s="33"/>
      <c r="AE44" s="33"/>
      <c r="AF44" s="33"/>
      <c r="AG44" s="33"/>
      <c r="AH44" s="33"/>
      <c r="AI44" s="33"/>
      <c r="AJ44" s="33"/>
      <c r="AK44" s="33"/>
      <c r="AL44" s="33"/>
      <c r="AM44" s="33">
        <f t="shared" ref="AM44:AT44" si="85">+AM48</f>
        <v>2243.135</v>
      </c>
      <c r="AN44" s="33">
        <f t="shared" si="85"/>
        <v>2661.6</v>
      </c>
      <c r="AO44" s="33">
        <f t="shared" si="85"/>
        <v>2430.7081</v>
      </c>
      <c r="AP44" s="33">
        <f t="shared" si="85"/>
        <v>7718.99532</v>
      </c>
      <c r="AQ44" s="33">
        <f t="shared" si="85"/>
        <v>23650.91924</v>
      </c>
      <c r="AR44" s="33">
        <f t="shared" si="85"/>
        <v>50121.686882875</v>
      </c>
      <c r="AS44" s="33">
        <f t="shared" si="85"/>
        <v>72596.4920182046</v>
      </c>
      <c r="AT44" s="33">
        <f t="shared" si="85"/>
        <v>78454.8875346431</v>
      </c>
    </row>
    <row r="45" outlineLevel="1" spans="1:46">
      <c r="A45" s="29" t="s">
        <v>860</v>
      </c>
      <c r="B45" s="33">
        <f t="shared" ref="B45:Z45" si="86">+B267</f>
        <v>140.2</v>
      </c>
      <c r="C45" s="33">
        <f t="shared" si="86"/>
        <v>144.4</v>
      </c>
      <c r="D45" s="33">
        <f t="shared" si="86"/>
        <v>165.98</v>
      </c>
      <c r="E45" s="57">
        <f t="shared" si="86"/>
        <v>138.22</v>
      </c>
      <c r="F45" s="33">
        <f t="shared" si="86"/>
        <v>137.2345</v>
      </c>
      <c r="G45" s="33">
        <f t="shared" si="86"/>
        <v>152.947</v>
      </c>
      <c r="H45" s="33">
        <f t="shared" si="86"/>
        <v>172.42295</v>
      </c>
      <c r="I45" s="57">
        <f t="shared" si="86"/>
        <v>159.29155</v>
      </c>
      <c r="J45" s="33">
        <f t="shared" si="86"/>
        <v>125.49266125</v>
      </c>
      <c r="K45" s="33">
        <f t="shared" si="86"/>
        <v>208.08133</v>
      </c>
      <c r="L45" s="33">
        <f t="shared" si="86"/>
        <v>247.996374875</v>
      </c>
      <c r="M45" s="57">
        <f t="shared" si="86"/>
        <v>259.877423875</v>
      </c>
      <c r="N45" s="33">
        <f t="shared" si="86"/>
        <v>244.890092340625</v>
      </c>
      <c r="O45" s="33">
        <f t="shared" si="86"/>
        <v>263.23219991875</v>
      </c>
      <c r="P45" s="33">
        <f t="shared" si="86"/>
        <v>298.082782918437</v>
      </c>
      <c r="Q45" s="57">
        <f t="shared" si="86"/>
        <v>309.014713672187</v>
      </c>
      <c r="R45" s="33">
        <f t="shared" si="86"/>
        <v>281.892780862258</v>
      </c>
      <c r="S45" s="33">
        <f t="shared" si="86"/>
        <v>319.780430436437</v>
      </c>
      <c r="T45" s="33">
        <f t="shared" si="86"/>
        <v>334.097043343655</v>
      </c>
      <c r="U45" s="57">
        <f t="shared" si="86"/>
        <v>328.905427933837</v>
      </c>
      <c r="V45" s="33">
        <f t="shared" si="86"/>
        <v>275.645744558607</v>
      </c>
      <c r="W45" s="33">
        <f t="shared" si="86"/>
        <v>315.740214517526</v>
      </c>
      <c r="X45" s="33">
        <f t="shared" si="86"/>
        <v>328.66095766629</v>
      </c>
      <c r="Y45" s="57">
        <f t="shared" si="86"/>
        <v>326.135855647151</v>
      </c>
      <c r="Z45" s="33">
        <f t="shared" si="86"/>
        <v>253.153280555672</v>
      </c>
      <c r="AA45" s="33">
        <f t="shared" ref="AA45:AC45" si="87">+AA267</f>
        <v>293.744687602609</v>
      </c>
      <c r="AB45" s="33">
        <f t="shared" si="87"/>
        <v>305.405658294369</v>
      </c>
      <c r="AC45" s="57">
        <f t="shared" si="87"/>
        <v>305.372777939608</v>
      </c>
      <c r="AD45" s="37"/>
      <c r="AE45" s="37"/>
      <c r="AF45" s="37"/>
      <c r="AG45" s="37"/>
      <c r="AH45" s="37"/>
      <c r="AI45" s="37"/>
      <c r="AJ45" s="33"/>
      <c r="AK45" s="33"/>
      <c r="AL45" s="33"/>
      <c r="AM45" s="33">
        <f t="shared" ref="AM45:AT45" si="88">+AM267</f>
        <v>596.855</v>
      </c>
      <c r="AN45" s="33">
        <f t="shared" si="88"/>
        <v>586.89</v>
      </c>
      <c r="AO45" s="33">
        <f t="shared" si="88"/>
        <v>621.896</v>
      </c>
      <c r="AP45" s="33">
        <f t="shared" si="88"/>
        <v>841.44779</v>
      </c>
      <c r="AQ45" s="33">
        <f t="shared" si="88"/>
        <v>1115.21978885</v>
      </c>
      <c r="AR45" s="33">
        <f t="shared" si="88"/>
        <v>1264.67568257619</v>
      </c>
      <c r="AS45" s="33">
        <f t="shared" si="88"/>
        <v>1246.18277238957</v>
      </c>
      <c r="AT45" s="33">
        <f t="shared" si="88"/>
        <v>1157.67640439226</v>
      </c>
    </row>
    <row r="46" outlineLevel="1" spans="1:46">
      <c r="A46" s="29"/>
      <c r="B46" s="33"/>
      <c r="C46" s="33"/>
      <c r="D46" s="33"/>
      <c r="E46" s="57"/>
      <c r="F46" s="33"/>
      <c r="G46" s="33"/>
      <c r="H46" s="33"/>
      <c r="I46" s="57"/>
      <c r="J46" s="33"/>
      <c r="K46" s="33"/>
      <c r="L46" s="33"/>
      <c r="M46" s="57"/>
      <c r="N46" s="33"/>
      <c r="O46" s="33"/>
      <c r="P46" s="33"/>
      <c r="Q46" s="57"/>
      <c r="R46" s="33"/>
      <c r="S46" s="33"/>
      <c r="T46" s="33"/>
      <c r="U46" s="57"/>
      <c r="V46" s="33"/>
      <c r="W46" s="33"/>
      <c r="X46" s="33"/>
      <c r="Y46" s="57"/>
      <c r="Z46" s="33"/>
      <c r="AA46" s="33"/>
      <c r="AB46" s="33"/>
      <c r="AC46" s="57"/>
      <c r="AD46" s="33"/>
      <c r="AE46" s="33"/>
      <c r="AF46" s="33"/>
      <c r="AG46" s="33"/>
      <c r="AH46" s="33"/>
      <c r="AI46" s="33"/>
      <c r="AJ46" s="33"/>
      <c r="AK46" s="33"/>
      <c r="AL46" s="33"/>
      <c r="AM46" s="33"/>
      <c r="AN46" s="33"/>
      <c r="AO46" s="33"/>
      <c r="AP46" s="33"/>
      <c r="AQ46" s="33"/>
      <c r="AR46" s="33"/>
      <c r="AS46" s="33"/>
      <c r="AT46" s="33"/>
    </row>
    <row r="47" outlineLevel="1" spans="1:62">
      <c r="A47" s="34" t="s">
        <v>859</v>
      </c>
      <c r="B47" s="35"/>
      <c r="C47" s="35"/>
      <c r="D47" s="35"/>
      <c r="E47" s="58"/>
      <c r="F47" s="35"/>
      <c r="G47" s="35"/>
      <c r="H47" s="35"/>
      <c r="I47" s="58"/>
      <c r="J47" s="35"/>
      <c r="K47" s="35"/>
      <c r="L47" s="35"/>
      <c r="M47" s="58"/>
      <c r="N47" s="35"/>
      <c r="O47" s="35"/>
      <c r="P47" s="35"/>
      <c r="Q47" s="58"/>
      <c r="R47" s="35"/>
      <c r="S47" s="35"/>
      <c r="T47" s="35"/>
      <c r="U47" s="58"/>
      <c r="V47" s="35"/>
      <c r="W47" s="35"/>
      <c r="X47" s="35"/>
      <c r="Y47" s="58"/>
      <c r="Z47" s="35"/>
      <c r="AA47" s="35"/>
      <c r="AB47" s="35"/>
      <c r="AC47" s="58"/>
      <c r="AD47" s="35"/>
      <c r="AE47" s="35"/>
      <c r="AF47" s="34"/>
      <c r="AG47" s="34"/>
      <c r="AH47" s="34"/>
      <c r="AI47" s="35"/>
      <c r="AJ47" s="35"/>
      <c r="AK47" s="35"/>
      <c r="AL47" s="75"/>
      <c r="AM47" s="35"/>
      <c r="AN47" s="35"/>
      <c r="AO47" s="35"/>
      <c r="AP47" s="35"/>
      <c r="AQ47" s="35"/>
      <c r="AR47" s="35"/>
      <c r="AS47" s="35"/>
      <c r="AT47" s="35"/>
      <c r="BG47" s="111"/>
      <c r="BH47" s="111"/>
      <c r="BI47" s="111"/>
      <c r="BJ47" s="111"/>
    </row>
    <row r="48" outlineLevel="1" spans="1:46">
      <c r="A48" s="29" t="s">
        <v>861</v>
      </c>
      <c r="B48" s="33">
        <f t="shared" ref="B48:F48" si="89">+B52</f>
        <v>565.4</v>
      </c>
      <c r="C48" s="33">
        <f t="shared" si="89"/>
        <v>589.2</v>
      </c>
      <c r="D48" s="33">
        <f t="shared" si="89"/>
        <v>758.6</v>
      </c>
      <c r="E48" s="57">
        <f t="shared" si="89"/>
        <v>748.8</v>
      </c>
      <c r="F48" s="33">
        <f t="shared" si="89"/>
        <v>452.1231</v>
      </c>
      <c r="G48" s="33">
        <f t="shared" ref="G48:Z48" si="90">+G52</f>
        <v>543.944</v>
      </c>
      <c r="H48" s="33">
        <f t="shared" si="90"/>
        <v>595.262</v>
      </c>
      <c r="I48" s="57">
        <f t="shared" si="90"/>
        <v>839.379</v>
      </c>
      <c r="J48" s="33">
        <f t="shared" si="90"/>
        <v>966.04542</v>
      </c>
      <c r="K48" s="33">
        <f t="shared" si="90"/>
        <v>1392.8975</v>
      </c>
      <c r="L48" s="33">
        <f t="shared" si="90"/>
        <v>2132.3729</v>
      </c>
      <c r="M48" s="57">
        <f t="shared" si="90"/>
        <v>3227.6795</v>
      </c>
      <c r="N48" s="33">
        <f t="shared" si="90"/>
        <v>3787.0777625</v>
      </c>
      <c r="O48" s="33">
        <f t="shared" si="90"/>
        <v>6100.1776625</v>
      </c>
      <c r="P48" s="33">
        <f t="shared" si="90"/>
        <v>5754.3359575</v>
      </c>
      <c r="Q48" s="57">
        <f t="shared" si="90"/>
        <v>8009.3278575</v>
      </c>
      <c r="R48" s="33">
        <f t="shared" si="90"/>
        <v>8035.036135375</v>
      </c>
      <c r="S48" s="33">
        <f t="shared" si="90"/>
        <v>10949.891905675</v>
      </c>
      <c r="T48" s="33">
        <f t="shared" si="90"/>
        <v>14810.7157059125</v>
      </c>
      <c r="U48" s="57">
        <f t="shared" si="90"/>
        <v>16326.0431359125</v>
      </c>
      <c r="V48" s="33">
        <f t="shared" si="90"/>
        <v>14879.439148044</v>
      </c>
      <c r="W48" s="33">
        <f t="shared" si="90"/>
        <v>16470.535336644</v>
      </c>
      <c r="X48" s="33">
        <f t="shared" si="90"/>
        <v>21312.8459667583</v>
      </c>
      <c r="Y48" s="57">
        <f t="shared" si="90"/>
        <v>19933.6715667583</v>
      </c>
      <c r="Z48" s="33">
        <f t="shared" si="90"/>
        <v>14402.8929750217</v>
      </c>
      <c r="AA48" s="33">
        <f t="shared" ref="AA48:AC48" si="91">+AA52</f>
        <v>18841.7494294217</v>
      </c>
      <c r="AB48" s="33">
        <f t="shared" si="91"/>
        <v>26140.9400530999</v>
      </c>
      <c r="AC48" s="57">
        <f t="shared" si="91"/>
        <v>24361.8050770999</v>
      </c>
      <c r="AD48" s="37"/>
      <c r="AE48" s="37"/>
      <c r="AF48" s="37"/>
      <c r="AG48" s="37"/>
      <c r="AH48" s="37"/>
      <c r="AI48" s="37"/>
      <c r="AJ48" s="33"/>
      <c r="AK48" s="33"/>
      <c r="AL48" s="33"/>
      <c r="AM48" s="33">
        <v>2243.135</v>
      </c>
      <c r="AN48" s="33">
        <v>2661.6</v>
      </c>
      <c r="AO48" s="33">
        <f t="shared" ref="AO48:AT48" si="92">+AO52</f>
        <v>2430.7081</v>
      </c>
      <c r="AP48" s="33">
        <f t="shared" si="92"/>
        <v>7718.99532</v>
      </c>
      <c r="AQ48" s="33">
        <f t="shared" si="92"/>
        <v>23650.91924</v>
      </c>
      <c r="AR48" s="33">
        <f t="shared" si="92"/>
        <v>50121.686882875</v>
      </c>
      <c r="AS48" s="33">
        <f t="shared" si="92"/>
        <v>72596.4920182046</v>
      </c>
      <c r="AT48" s="33">
        <f t="shared" si="92"/>
        <v>78454.8875346431</v>
      </c>
    </row>
    <row r="49" outlineLevel="1" spans="1:46">
      <c r="A49" s="29" t="s">
        <v>862</v>
      </c>
      <c r="B49" s="32">
        <f t="shared" ref="B49:F49" si="93">+B62</f>
        <v>1.1</v>
      </c>
      <c r="C49" s="32">
        <f t="shared" si="93"/>
        <v>1.12</v>
      </c>
      <c r="D49" s="32">
        <f t="shared" si="93"/>
        <v>1.28</v>
      </c>
      <c r="E49" s="56">
        <f t="shared" si="93"/>
        <v>1.2</v>
      </c>
      <c r="F49" s="32">
        <f t="shared" si="93"/>
        <v>0.85</v>
      </c>
      <c r="G49" s="32">
        <f t="shared" ref="G49:Y49" si="94">+G62</f>
        <v>0.963</v>
      </c>
      <c r="H49" s="32">
        <f t="shared" si="94"/>
        <v>1.018</v>
      </c>
      <c r="I49" s="56">
        <f t="shared" si="94"/>
        <v>0.8535</v>
      </c>
      <c r="J49" s="32">
        <f t="shared" si="94"/>
        <v>0.533</v>
      </c>
      <c r="K49" s="32">
        <f t="shared" si="94"/>
        <v>0.815</v>
      </c>
      <c r="L49" s="32">
        <f t="shared" si="94"/>
        <v>1.098</v>
      </c>
      <c r="M49" s="56">
        <f t="shared" si="94"/>
        <v>1.425</v>
      </c>
      <c r="N49" s="32">
        <f t="shared" si="94"/>
        <v>1.6358</v>
      </c>
      <c r="O49" s="32">
        <f t="shared" si="94"/>
        <v>2.3128</v>
      </c>
      <c r="P49" s="32">
        <f t="shared" si="94"/>
        <v>2.055</v>
      </c>
      <c r="Q49" s="56">
        <f t="shared" si="94"/>
        <v>2.615</v>
      </c>
      <c r="R49" s="32">
        <f t="shared" si="94"/>
        <v>2.54591</v>
      </c>
      <c r="S49" s="32">
        <f t="shared" si="94"/>
        <v>2.89291</v>
      </c>
      <c r="T49" s="32">
        <f t="shared" si="94"/>
        <v>3.553</v>
      </c>
      <c r="U49" s="56">
        <f t="shared" si="94"/>
        <v>3.743</v>
      </c>
      <c r="V49" s="32">
        <f t="shared" si="94"/>
        <v>3.5849645</v>
      </c>
      <c r="W49" s="32">
        <f t="shared" si="94"/>
        <v>3.8849645</v>
      </c>
      <c r="X49" s="32">
        <f t="shared" si="94"/>
        <v>4.62305</v>
      </c>
      <c r="Y49" s="56">
        <f t="shared" si="94"/>
        <v>4.42305</v>
      </c>
      <c r="Z49" s="32">
        <f t="shared" ref="Z49:AC49" si="95">+Z62</f>
        <v>3.718771275</v>
      </c>
      <c r="AA49" s="32">
        <f t="shared" si="95"/>
        <v>4.288771275</v>
      </c>
      <c r="AB49" s="32">
        <f t="shared" si="95"/>
        <v>5.3749525</v>
      </c>
      <c r="AC49" s="56">
        <f t="shared" si="95"/>
        <v>5.0749525</v>
      </c>
      <c r="AD49" s="37"/>
      <c r="AE49" s="37"/>
      <c r="AF49" s="37"/>
      <c r="AG49" s="37"/>
      <c r="AH49" s="37"/>
      <c r="AI49" s="37"/>
      <c r="AJ49" s="33"/>
      <c r="AK49" s="33"/>
      <c r="AL49" s="33"/>
      <c r="AM49" s="32">
        <f t="shared" ref="AM49:AT49" si="96">+AM62</f>
        <v>4.55</v>
      </c>
      <c r="AN49" s="32">
        <f t="shared" si="96"/>
        <v>4.7</v>
      </c>
      <c r="AO49" s="32">
        <f t="shared" si="96"/>
        <v>3.6845</v>
      </c>
      <c r="AP49" s="32">
        <f t="shared" si="96"/>
        <v>3.871</v>
      </c>
      <c r="AQ49" s="32">
        <f t="shared" si="96"/>
        <v>8.6186</v>
      </c>
      <c r="AR49" s="32">
        <f t="shared" si="96"/>
        <v>12.73482</v>
      </c>
      <c r="AS49" s="32">
        <f t="shared" si="96"/>
        <v>16.516029</v>
      </c>
      <c r="AT49" s="32">
        <f t="shared" si="96"/>
        <v>18.45744755</v>
      </c>
    </row>
    <row r="50" outlineLevel="1" spans="1:46">
      <c r="A50" s="29" t="s">
        <v>863</v>
      </c>
      <c r="B50" s="33">
        <f t="shared" ref="B50:Y50" si="97">+B48/B49</f>
        <v>514</v>
      </c>
      <c r="C50" s="33">
        <f t="shared" si="97"/>
        <v>526.071428571428</v>
      </c>
      <c r="D50" s="33">
        <f t="shared" si="97"/>
        <v>592.65625</v>
      </c>
      <c r="E50" s="57">
        <f t="shared" si="97"/>
        <v>624</v>
      </c>
      <c r="F50" s="33">
        <f t="shared" si="97"/>
        <v>531.909529411765</v>
      </c>
      <c r="G50" s="33">
        <f t="shared" si="97"/>
        <v>564.843198338525</v>
      </c>
      <c r="H50" s="33">
        <f t="shared" si="97"/>
        <v>584.73673870334</v>
      </c>
      <c r="I50" s="57">
        <f t="shared" si="97"/>
        <v>983.455184534271</v>
      </c>
      <c r="J50" s="33">
        <f t="shared" si="97"/>
        <v>1812.46795497186</v>
      </c>
      <c r="K50" s="33">
        <f t="shared" si="97"/>
        <v>1709.07668711656</v>
      </c>
      <c r="L50" s="33">
        <f t="shared" si="97"/>
        <v>1942.05182149362</v>
      </c>
      <c r="M50" s="57">
        <f t="shared" si="97"/>
        <v>2265.03824561403</v>
      </c>
      <c r="N50" s="33">
        <f t="shared" si="97"/>
        <v>2315.12273046827</v>
      </c>
      <c r="O50" s="33">
        <f t="shared" si="97"/>
        <v>2637.57249329817</v>
      </c>
      <c r="P50" s="33">
        <f t="shared" si="97"/>
        <v>2800.16348296837</v>
      </c>
      <c r="Q50" s="57">
        <f t="shared" si="97"/>
        <v>3062.84048087954</v>
      </c>
      <c r="R50" s="33">
        <f t="shared" si="97"/>
        <v>3156.05663019313</v>
      </c>
      <c r="S50" s="33">
        <f t="shared" si="97"/>
        <v>3785.07865978375</v>
      </c>
      <c r="T50" s="33">
        <f t="shared" si="97"/>
        <v>4168.50990878483</v>
      </c>
      <c r="U50" s="57">
        <f t="shared" si="97"/>
        <v>4361.75344266965</v>
      </c>
      <c r="V50" s="33">
        <f t="shared" si="97"/>
        <v>4150.51227091481</v>
      </c>
      <c r="W50" s="33">
        <f t="shared" si="97"/>
        <v>4239.55877502715</v>
      </c>
      <c r="X50" s="33">
        <f t="shared" si="97"/>
        <v>4610.1266408017</v>
      </c>
      <c r="Y50" s="57">
        <f t="shared" si="97"/>
        <v>4506.77056934882</v>
      </c>
      <c r="Z50" s="33">
        <f t="shared" ref="Z50:AC50" si="98">+Z48/Z49</f>
        <v>3873.02469281918</v>
      </c>
      <c r="AA50" s="33">
        <f t="shared" si="98"/>
        <v>4393.27448848894</v>
      </c>
      <c r="AB50" s="33">
        <f t="shared" si="98"/>
        <v>4863.47368708837</v>
      </c>
      <c r="AC50" s="57">
        <f t="shared" si="98"/>
        <v>4800.40061007465</v>
      </c>
      <c r="AD50" s="33"/>
      <c r="AE50" s="33"/>
      <c r="AF50" s="33"/>
      <c r="AG50" s="33"/>
      <c r="AH50" s="33"/>
      <c r="AI50" s="33"/>
      <c r="AJ50" s="33"/>
      <c r="AK50" s="33"/>
      <c r="AL50" s="33"/>
      <c r="AM50" s="33">
        <f t="shared" ref="AM50:AT50" si="99">+AM48/AM49</f>
        <v>492.996703296703</v>
      </c>
      <c r="AN50" s="33">
        <f t="shared" si="99"/>
        <v>566.297872340426</v>
      </c>
      <c r="AO50" s="33">
        <f t="shared" si="99"/>
        <v>659.711792644864</v>
      </c>
      <c r="AP50" s="33">
        <f t="shared" si="99"/>
        <v>1994.05717385688</v>
      </c>
      <c r="AQ50" s="33">
        <f t="shared" si="99"/>
        <v>2744.17181908895</v>
      </c>
      <c r="AR50" s="33">
        <f t="shared" si="99"/>
        <v>3935.79861222027</v>
      </c>
      <c r="AS50" s="33">
        <f t="shared" si="99"/>
        <v>4395.51734973368</v>
      </c>
      <c r="AT50" s="33">
        <f t="shared" si="99"/>
        <v>4250.58163227142</v>
      </c>
    </row>
    <row r="51" outlineLevel="1" spans="1:46">
      <c r="A51" s="29"/>
      <c r="B51" s="32"/>
      <c r="C51" s="32"/>
      <c r="D51" s="32"/>
      <c r="E51" s="56"/>
      <c r="F51" s="32"/>
      <c r="G51" s="32"/>
      <c r="H51" s="32"/>
      <c r="I51" s="56"/>
      <c r="J51" s="32"/>
      <c r="K51" s="32"/>
      <c r="L51" s="32"/>
      <c r="M51" s="56"/>
      <c r="N51" s="32"/>
      <c r="O51" s="32"/>
      <c r="P51" s="32"/>
      <c r="Q51" s="56"/>
      <c r="R51" s="32"/>
      <c r="S51" s="32"/>
      <c r="T51" s="32"/>
      <c r="U51" s="56"/>
      <c r="V51" s="32"/>
      <c r="W51" s="32"/>
      <c r="X51" s="32"/>
      <c r="Y51" s="56"/>
      <c r="Z51" s="32"/>
      <c r="AA51" s="32"/>
      <c r="AB51" s="32"/>
      <c r="AC51" s="56"/>
      <c r="AD51" s="33"/>
      <c r="AE51" s="33"/>
      <c r="AF51" s="33"/>
      <c r="AG51" s="33"/>
      <c r="AH51" s="33"/>
      <c r="AI51" s="33"/>
      <c r="AJ51" s="33"/>
      <c r="AK51" s="33"/>
      <c r="AL51" s="33"/>
      <c r="AM51" s="96"/>
      <c r="AN51" s="33"/>
      <c r="AO51" s="33"/>
      <c r="AP51" s="33"/>
      <c r="AQ51" s="33"/>
      <c r="AR51" s="33"/>
      <c r="AS51" s="33"/>
      <c r="AT51" s="33"/>
    </row>
    <row r="52" outlineLevel="1" spans="1:46">
      <c r="A52" s="36" t="s">
        <v>864</v>
      </c>
      <c r="B52" s="37">
        <f>SUM(B53:B57)</f>
        <v>565.4</v>
      </c>
      <c r="C52" s="37">
        <f>SUM(C53:C57)</f>
        <v>589.2</v>
      </c>
      <c r="D52" s="37">
        <f>SUM(D53:D57)</f>
        <v>758.6</v>
      </c>
      <c r="E52" s="59">
        <f>SUM(E53:E57)</f>
        <v>748.8</v>
      </c>
      <c r="F52" s="37">
        <f t="shared" ref="F52:J52" si="100">SUM(F53:F59)</f>
        <v>452.1231</v>
      </c>
      <c r="G52" s="37">
        <f t="shared" si="100"/>
        <v>543.944</v>
      </c>
      <c r="H52" s="37">
        <f t="shared" si="100"/>
        <v>595.262</v>
      </c>
      <c r="I52" s="59">
        <f t="shared" si="100"/>
        <v>839.379</v>
      </c>
      <c r="J52" s="37">
        <f t="shared" si="100"/>
        <v>966.04542</v>
      </c>
      <c r="K52" s="37">
        <f t="shared" ref="K52:Y52" si="101">SUM(K53:K59)</f>
        <v>1392.8975</v>
      </c>
      <c r="L52" s="37">
        <f t="shared" si="101"/>
        <v>2132.3729</v>
      </c>
      <c r="M52" s="59">
        <f t="shared" si="101"/>
        <v>3227.6795</v>
      </c>
      <c r="N52" s="37">
        <f t="shared" si="101"/>
        <v>3787.0777625</v>
      </c>
      <c r="O52" s="37">
        <f t="shared" si="101"/>
        <v>6100.1776625</v>
      </c>
      <c r="P52" s="37">
        <f t="shared" si="101"/>
        <v>5754.3359575</v>
      </c>
      <c r="Q52" s="59">
        <f t="shared" si="101"/>
        <v>8009.3278575</v>
      </c>
      <c r="R52" s="37">
        <f t="shared" si="101"/>
        <v>8035.036135375</v>
      </c>
      <c r="S52" s="37">
        <f t="shared" si="101"/>
        <v>10949.891905675</v>
      </c>
      <c r="T52" s="37">
        <f t="shared" si="101"/>
        <v>14810.7157059125</v>
      </c>
      <c r="U52" s="59">
        <f t="shared" si="101"/>
        <v>16326.0431359125</v>
      </c>
      <c r="V52" s="37">
        <f t="shared" si="101"/>
        <v>14879.439148044</v>
      </c>
      <c r="W52" s="37">
        <f t="shared" si="101"/>
        <v>16470.535336644</v>
      </c>
      <c r="X52" s="37">
        <f t="shared" si="101"/>
        <v>21312.8459667583</v>
      </c>
      <c r="Y52" s="59">
        <f t="shared" si="101"/>
        <v>19933.6715667583</v>
      </c>
      <c r="Z52" s="37">
        <f>SUM(Z53:Z60)</f>
        <v>14402.8929750217</v>
      </c>
      <c r="AA52" s="37">
        <f t="shared" ref="AA52:AC52" si="102">SUM(AA53:AA60)</f>
        <v>18841.7494294217</v>
      </c>
      <c r="AB52" s="37">
        <f t="shared" si="102"/>
        <v>26140.9400530999</v>
      </c>
      <c r="AC52" s="59">
        <f t="shared" si="102"/>
        <v>24361.8050770999</v>
      </c>
      <c r="AD52" s="33"/>
      <c r="AE52" s="33"/>
      <c r="AF52" s="33"/>
      <c r="AG52" s="33"/>
      <c r="AH52" s="33"/>
      <c r="AI52" s="33"/>
      <c r="AJ52" s="33"/>
      <c r="AK52" s="33"/>
      <c r="AL52" s="33"/>
      <c r="AM52" s="37">
        <f t="shared" ref="AM52:AT52" si="103">+SUM(AM53:AM59)</f>
        <v>2243.24333333333</v>
      </c>
      <c r="AN52" s="37">
        <f t="shared" si="103"/>
        <v>2662</v>
      </c>
      <c r="AO52" s="37">
        <f t="shared" si="103"/>
        <v>2430.7081</v>
      </c>
      <c r="AP52" s="37">
        <f t="shared" si="103"/>
        <v>7718.99532</v>
      </c>
      <c r="AQ52" s="37">
        <f t="shared" si="103"/>
        <v>23650.91924</v>
      </c>
      <c r="AR52" s="37">
        <f t="shared" si="103"/>
        <v>50121.686882875</v>
      </c>
      <c r="AS52" s="37">
        <f t="shared" si="103"/>
        <v>72596.4920182046</v>
      </c>
      <c r="AT52" s="37">
        <f t="shared" si="103"/>
        <v>78454.8875346431</v>
      </c>
    </row>
    <row r="53" outlineLevel="1" spans="1:46">
      <c r="A53" s="29" t="s">
        <v>851</v>
      </c>
      <c r="B53" s="33">
        <f t="shared" ref="B53:N59" si="104">+B203</f>
        <v>138.4</v>
      </c>
      <c r="C53" s="33">
        <f t="shared" si="104"/>
        <v>138.4</v>
      </c>
      <c r="D53" s="33">
        <f t="shared" si="104"/>
        <v>138.4</v>
      </c>
      <c r="E53" s="57">
        <f t="shared" si="104"/>
        <v>138.4</v>
      </c>
      <c r="F53" s="33">
        <f t="shared" si="104"/>
        <v>109.4571</v>
      </c>
      <c r="G53" s="33">
        <f t="shared" si="104"/>
        <v>105.184</v>
      </c>
      <c r="H53" s="33">
        <f t="shared" si="104"/>
        <v>98.61</v>
      </c>
      <c r="I53" s="57">
        <f t="shared" si="104"/>
        <v>65.74</v>
      </c>
      <c r="J53" s="33">
        <f t="shared" si="104"/>
        <v>31.2265</v>
      </c>
      <c r="K53" s="33">
        <f t="shared" si="104"/>
        <v>31.2265</v>
      </c>
      <c r="L53" s="33">
        <f t="shared" si="104"/>
        <v>31.2265</v>
      </c>
      <c r="M53" s="57">
        <f t="shared" si="104"/>
        <v>31.2265</v>
      </c>
      <c r="N53" s="33">
        <f t="shared" si="104"/>
        <v>26.6986575</v>
      </c>
      <c r="O53" s="33">
        <f t="shared" ref="O53:Y56" si="105">+O63*O92</f>
        <v>26.6986575</v>
      </c>
      <c r="P53" s="33">
        <f t="shared" si="105"/>
        <v>26.6986575</v>
      </c>
      <c r="Q53" s="57">
        <f t="shared" si="105"/>
        <v>26.6986575</v>
      </c>
      <c r="R53" s="33">
        <f t="shared" si="105"/>
        <v>22.8273521625</v>
      </c>
      <c r="S53" s="33">
        <f t="shared" si="105"/>
        <v>22.8273521625</v>
      </c>
      <c r="T53" s="33">
        <f t="shared" si="105"/>
        <v>22.8273521625</v>
      </c>
      <c r="U53" s="57">
        <f t="shared" si="105"/>
        <v>22.8273521625</v>
      </c>
      <c r="V53" s="33">
        <f t="shared" si="105"/>
        <v>19.5173860989375</v>
      </c>
      <c r="W53" s="33">
        <f t="shared" si="105"/>
        <v>19.5173860989375</v>
      </c>
      <c r="X53" s="33">
        <f t="shared" si="105"/>
        <v>19.5173860989375</v>
      </c>
      <c r="Y53" s="57">
        <f t="shared" ref="Y53:Z55" si="106">+Y63*Y92</f>
        <v>19.5173860989375</v>
      </c>
      <c r="Z53" s="33">
        <f t="shared" si="106"/>
        <v>16.6873651145916</v>
      </c>
      <c r="AA53" s="33">
        <f t="shared" ref="AA53:AC53" si="107">+AA63*AA92</f>
        <v>16.6873651145916</v>
      </c>
      <c r="AB53" s="33">
        <f t="shared" si="107"/>
        <v>16.6873651145916</v>
      </c>
      <c r="AC53" s="57">
        <f t="shared" si="107"/>
        <v>16.6873651145916</v>
      </c>
      <c r="AD53" s="33"/>
      <c r="AE53" s="33"/>
      <c r="AF53" s="33"/>
      <c r="AG53" s="33"/>
      <c r="AH53" s="33"/>
      <c r="AI53" s="33"/>
      <c r="AJ53" s="33"/>
      <c r="AK53" s="33"/>
      <c r="AL53" s="33"/>
      <c r="AM53" s="33">
        <f t="shared" ref="AM53:AN57" si="108">+AM92*AM63</f>
        <v>623.7</v>
      </c>
      <c r="AN53" s="33">
        <f t="shared" si="108"/>
        <v>553.6</v>
      </c>
      <c r="AO53" s="33">
        <f t="shared" ref="AO53:AO59" si="109">SUM(F53:I53)</f>
        <v>378.9911</v>
      </c>
      <c r="AP53" s="33">
        <f t="shared" ref="AP53:AP59" si="110">SUM(J53:M53)</f>
        <v>124.906</v>
      </c>
      <c r="AQ53" s="33">
        <f t="shared" ref="AQ53:AQ59" si="111">SUM(N53:Q53)</f>
        <v>106.79463</v>
      </c>
      <c r="AR53" s="33">
        <f t="shared" ref="AR53:AR59" si="112">SUM(R53:U53)</f>
        <v>91.30940865</v>
      </c>
      <c r="AS53" s="33">
        <f>SUM(V53:Y53)</f>
        <v>78.06954439575</v>
      </c>
      <c r="AT53" s="33">
        <f t="shared" ref="AT53:AT60" si="113">SUM(Z53:AC53)</f>
        <v>66.7494604583663</v>
      </c>
    </row>
    <row r="54" outlineLevel="1" spans="1:46">
      <c r="A54" s="29" t="s">
        <v>852</v>
      </c>
      <c r="B54" s="33">
        <f t="shared" si="104"/>
        <v>336</v>
      </c>
      <c r="C54" s="33">
        <f t="shared" si="104"/>
        <v>336</v>
      </c>
      <c r="D54" s="33">
        <f t="shared" si="104"/>
        <v>392</v>
      </c>
      <c r="E54" s="57">
        <f t="shared" si="104"/>
        <v>347.2</v>
      </c>
      <c r="F54" s="33">
        <f t="shared" si="104"/>
        <v>212.8</v>
      </c>
      <c r="G54" s="33">
        <f t="shared" si="104"/>
        <v>270.788</v>
      </c>
      <c r="H54" s="33">
        <f t="shared" si="104"/>
        <v>292.6</v>
      </c>
      <c r="I54" s="57">
        <f t="shared" si="104"/>
        <v>186.2</v>
      </c>
      <c r="J54" s="33">
        <f t="shared" si="104"/>
        <v>25.27</v>
      </c>
      <c r="K54" s="33">
        <f t="shared" si="104"/>
        <v>75.81</v>
      </c>
      <c r="L54" s="33">
        <f t="shared" si="104"/>
        <v>75.81</v>
      </c>
      <c r="M54" s="57">
        <f t="shared" si="104"/>
        <v>75.81</v>
      </c>
      <c r="N54" s="33">
        <f t="shared" si="104"/>
        <v>48.013</v>
      </c>
      <c r="O54" s="33">
        <f t="shared" si="105"/>
        <v>48.013</v>
      </c>
      <c r="P54" s="33">
        <f t="shared" si="105"/>
        <v>48.013</v>
      </c>
      <c r="Q54" s="57">
        <f t="shared" si="105"/>
        <v>48.013</v>
      </c>
      <c r="R54" s="33">
        <f t="shared" si="105"/>
        <v>41.051115</v>
      </c>
      <c r="S54" s="33">
        <f t="shared" si="105"/>
        <v>41.051115</v>
      </c>
      <c r="T54" s="33">
        <f t="shared" si="105"/>
        <v>41.051115</v>
      </c>
      <c r="U54" s="57">
        <f t="shared" si="105"/>
        <v>41.051115</v>
      </c>
      <c r="V54" s="33">
        <f t="shared" si="105"/>
        <v>35.098703325</v>
      </c>
      <c r="W54" s="33">
        <f t="shared" si="105"/>
        <v>35.098703325</v>
      </c>
      <c r="X54" s="33">
        <f t="shared" si="105"/>
        <v>35.098703325</v>
      </c>
      <c r="Y54" s="57">
        <f t="shared" si="106"/>
        <v>35.098703325</v>
      </c>
      <c r="Z54" s="33">
        <f t="shared" si="106"/>
        <v>30.009391342875</v>
      </c>
      <c r="AA54" s="33">
        <f t="shared" ref="AA54:AC54" si="114">+AA64*AA93</f>
        <v>30.009391342875</v>
      </c>
      <c r="AB54" s="33">
        <f t="shared" si="114"/>
        <v>30.009391342875</v>
      </c>
      <c r="AC54" s="57">
        <f t="shared" si="114"/>
        <v>30.009391342875</v>
      </c>
      <c r="AD54" s="33"/>
      <c r="AE54" s="33"/>
      <c r="AF54" s="33"/>
      <c r="AG54" s="33"/>
      <c r="AH54" s="33"/>
      <c r="AI54" s="33"/>
      <c r="AJ54" s="33"/>
      <c r="AK54" s="33"/>
      <c r="AL54" s="33"/>
      <c r="AM54" s="33">
        <f t="shared" si="108"/>
        <v>1491.21</v>
      </c>
      <c r="AN54" s="33">
        <f t="shared" si="108"/>
        <v>1411.2</v>
      </c>
      <c r="AO54" s="33">
        <f t="shared" si="109"/>
        <v>962.388</v>
      </c>
      <c r="AP54" s="33">
        <f t="shared" si="110"/>
        <v>252.7</v>
      </c>
      <c r="AQ54" s="33">
        <f t="shared" si="111"/>
        <v>192.052</v>
      </c>
      <c r="AR54" s="33">
        <f t="shared" si="112"/>
        <v>164.20446</v>
      </c>
      <c r="AS54" s="33">
        <f>SUM(V54:Y54)</f>
        <v>140.3948133</v>
      </c>
      <c r="AT54" s="33">
        <f t="shared" si="113"/>
        <v>120.0375653715</v>
      </c>
    </row>
    <row r="55" outlineLevel="1" spans="1:46">
      <c r="A55" s="29" t="s">
        <v>853</v>
      </c>
      <c r="B55" s="33">
        <f t="shared" si="104"/>
        <v>75.6</v>
      </c>
      <c r="C55" s="33">
        <f t="shared" si="104"/>
        <v>84</v>
      </c>
      <c r="D55" s="33">
        <f t="shared" si="104"/>
        <v>109.2</v>
      </c>
      <c r="E55" s="57">
        <f t="shared" si="104"/>
        <v>92.4</v>
      </c>
      <c r="F55" s="33">
        <f t="shared" si="104"/>
        <v>39.2</v>
      </c>
      <c r="G55" s="33">
        <f t="shared" si="104"/>
        <v>39.2</v>
      </c>
      <c r="H55" s="33">
        <f t="shared" si="104"/>
        <v>49</v>
      </c>
      <c r="I55" s="57">
        <f t="shared" si="104"/>
        <v>44.1</v>
      </c>
      <c r="J55" s="33">
        <f t="shared" si="104"/>
        <v>9.31</v>
      </c>
      <c r="K55" s="33">
        <f t="shared" si="104"/>
        <v>9.31</v>
      </c>
      <c r="L55" s="33">
        <f t="shared" si="104"/>
        <v>9.31</v>
      </c>
      <c r="M55" s="57">
        <f t="shared" si="104"/>
        <v>9.31</v>
      </c>
      <c r="N55" s="33">
        <f t="shared" si="104"/>
        <v>7.871605</v>
      </c>
      <c r="O55" s="33">
        <f t="shared" si="105"/>
        <v>7.871605</v>
      </c>
      <c r="P55" s="33">
        <f t="shared" si="105"/>
        <v>26.5335</v>
      </c>
      <c r="Q55" s="57">
        <f t="shared" si="105"/>
        <v>26.5335</v>
      </c>
      <c r="R55" s="33">
        <f t="shared" si="105"/>
        <v>7.1041235125</v>
      </c>
      <c r="S55" s="33">
        <f t="shared" si="105"/>
        <v>7.1041235125</v>
      </c>
      <c r="T55" s="33">
        <f t="shared" si="105"/>
        <v>23.94648375</v>
      </c>
      <c r="U55" s="57">
        <f t="shared" si="105"/>
        <v>23.94648375</v>
      </c>
      <c r="V55" s="33">
        <f t="shared" si="105"/>
        <v>6.41147147003125</v>
      </c>
      <c r="W55" s="33">
        <f t="shared" si="105"/>
        <v>6.41147147003125</v>
      </c>
      <c r="X55" s="33">
        <f t="shared" si="105"/>
        <v>21.611701584375</v>
      </c>
      <c r="Y55" s="57">
        <f t="shared" si="106"/>
        <v>21.611701584375</v>
      </c>
      <c r="Z55" s="33">
        <f t="shared" si="106"/>
        <v>5.7863530017032</v>
      </c>
      <c r="AA55" s="33">
        <f t="shared" ref="AA55:AC55" si="115">+AA65*AA94</f>
        <v>5.7863530017032</v>
      </c>
      <c r="AB55" s="33">
        <f t="shared" si="115"/>
        <v>19.5045606798984</v>
      </c>
      <c r="AC55" s="57">
        <f t="shared" si="115"/>
        <v>19.5045606798984</v>
      </c>
      <c r="AD55" s="33"/>
      <c r="AE55" s="33"/>
      <c r="AF55" s="33"/>
      <c r="AG55" s="33"/>
      <c r="AH55" s="33"/>
      <c r="AI55" s="33"/>
      <c r="AJ55" s="33"/>
      <c r="AK55" s="33"/>
      <c r="AL55" s="33"/>
      <c r="AM55" s="33">
        <f t="shared" si="108"/>
        <v>93.3333333333333</v>
      </c>
      <c r="AN55" s="33">
        <f t="shared" si="108"/>
        <v>361.2</v>
      </c>
      <c r="AO55" s="33">
        <f t="shared" si="109"/>
        <v>171.5</v>
      </c>
      <c r="AP55" s="33">
        <f t="shared" si="110"/>
        <v>37.24</v>
      </c>
      <c r="AQ55" s="33">
        <f t="shared" si="111"/>
        <v>68.81021</v>
      </c>
      <c r="AR55" s="33">
        <f t="shared" si="112"/>
        <v>62.101214525</v>
      </c>
      <c r="AS55" s="33">
        <f t="shared" ref="AS55:AS59" si="116">SUM(V55:Y55)</f>
        <v>56.0463461088125</v>
      </c>
      <c r="AT55" s="33">
        <f t="shared" si="113"/>
        <v>50.5818273632033</v>
      </c>
    </row>
    <row r="56" outlineLevel="1" spans="1:46">
      <c r="A56" s="29" t="s">
        <v>854</v>
      </c>
      <c r="B56" s="33">
        <f t="shared" si="104"/>
        <v>15.4</v>
      </c>
      <c r="C56" s="33">
        <f t="shared" si="104"/>
        <v>30.8</v>
      </c>
      <c r="D56" s="33">
        <f t="shared" si="104"/>
        <v>46.2</v>
      </c>
      <c r="E56" s="57">
        <f t="shared" si="104"/>
        <v>61.6</v>
      </c>
      <c r="F56" s="33">
        <f t="shared" si="104"/>
        <v>6.57</v>
      </c>
      <c r="G56" s="33">
        <f t="shared" si="104"/>
        <v>13.14</v>
      </c>
      <c r="H56" s="33">
        <f t="shared" si="104"/>
        <v>23.652</v>
      </c>
      <c r="I56" s="57">
        <f t="shared" si="104"/>
        <v>17.739</v>
      </c>
      <c r="J56" s="33">
        <f t="shared" si="104"/>
        <v>5.913</v>
      </c>
      <c r="K56" s="33">
        <f t="shared" si="104"/>
        <v>5.913</v>
      </c>
      <c r="L56" s="33">
        <f t="shared" si="104"/>
        <v>5.913</v>
      </c>
      <c r="M56" s="57">
        <f t="shared" si="104"/>
        <v>5.913</v>
      </c>
      <c r="N56" s="33">
        <f t="shared" si="104"/>
        <v>5.3217</v>
      </c>
      <c r="O56" s="33">
        <f t="shared" si="105"/>
        <v>5.3217</v>
      </c>
      <c r="P56" s="33">
        <f t="shared" si="105"/>
        <v>5.3217</v>
      </c>
      <c r="Q56" s="57">
        <f t="shared" si="105"/>
        <v>5.3217</v>
      </c>
      <c r="R56" s="33">
        <f t="shared" si="105"/>
        <v>5.055615</v>
      </c>
      <c r="S56" s="33">
        <f t="shared" si="105"/>
        <v>5.055615</v>
      </c>
      <c r="T56" s="33">
        <f t="shared" si="105"/>
        <v>5.055615</v>
      </c>
      <c r="U56" s="57">
        <f t="shared" si="105"/>
        <v>5.055615</v>
      </c>
      <c r="V56" s="33">
        <f t="shared" si="105"/>
        <v>4.80283425</v>
      </c>
      <c r="W56" s="33">
        <f t="shared" si="105"/>
        <v>4.80283425</v>
      </c>
      <c r="X56" s="33">
        <f t="shared" si="105"/>
        <v>4.80283425</v>
      </c>
      <c r="Y56" s="57">
        <f t="shared" si="105"/>
        <v>4.80283425</v>
      </c>
      <c r="Z56" s="33">
        <f>+Z66*Z95</f>
        <v>4.5626925375</v>
      </c>
      <c r="AA56" s="33">
        <f t="shared" ref="AA56:AC56" si="117">+AA66*AA95</f>
        <v>4.5626925375</v>
      </c>
      <c r="AB56" s="33">
        <f t="shared" si="117"/>
        <v>4.5626925375</v>
      </c>
      <c r="AC56" s="57">
        <f t="shared" si="117"/>
        <v>4.5626925375</v>
      </c>
      <c r="AD56" s="33"/>
      <c r="AE56" s="33"/>
      <c r="AF56" s="33"/>
      <c r="AG56" s="33"/>
      <c r="AH56" s="33"/>
      <c r="AI56" s="33"/>
      <c r="AJ56" s="33"/>
      <c r="AK56" s="33"/>
      <c r="AL56" s="33"/>
      <c r="AM56" s="33">
        <f t="shared" si="108"/>
        <v>35</v>
      </c>
      <c r="AN56" s="33">
        <f t="shared" si="108"/>
        <v>154</v>
      </c>
      <c r="AO56" s="33">
        <f t="shared" si="109"/>
        <v>61.101</v>
      </c>
      <c r="AP56" s="33">
        <f t="shared" si="110"/>
        <v>23.652</v>
      </c>
      <c r="AQ56" s="33">
        <f t="shared" si="111"/>
        <v>21.2868</v>
      </c>
      <c r="AR56" s="33">
        <f t="shared" si="112"/>
        <v>20.22246</v>
      </c>
      <c r="AS56" s="33">
        <f t="shared" si="116"/>
        <v>19.211337</v>
      </c>
      <c r="AT56" s="33">
        <f t="shared" si="113"/>
        <v>18.25077015</v>
      </c>
    </row>
    <row r="57" outlineLevel="1" spans="1:46">
      <c r="A57" s="29" t="s">
        <v>855</v>
      </c>
      <c r="B57" s="33">
        <f t="shared" si="104"/>
        <v>0</v>
      </c>
      <c r="C57" s="33">
        <f t="shared" si="104"/>
        <v>0</v>
      </c>
      <c r="D57" s="33">
        <f t="shared" si="104"/>
        <v>72.8</v>
      </c>
      <c r="E57" s="57">
        <f t="shared" si="104"/>
        <v>109.2</v>
      </c>
      <c r="F57" s="33">
        <f t="shared" si="104"/>
        <v>84.096</v>
      </c>
      <c r="G57" s="33">
        <f t="shared" si="104"/>
        <v>115.632</v>
      </c>
      <c r="H57" s="33">
        <f t="shared" si="104"/>
        <v>131.4</v>
      </c>
      <c r="I57" s="57">
        <f t="shared" si="104"/>
        <v>525.6</v>
      </c>
      <c r="J57" s="33">
        <f t="shared" si="104"/>
        <v>850.52592</v>
      </c>
      <c r="K57" s="33">
        <f t="shared" si="104"/>
        <v>1139.238</v>
      </c>
      <c r="L57" s="33">
        <f t="shared" si="104"/>
        <v>1659.7134</v>
      </c>
      <c r="M57" s="57">
        <f t="shared" si="104"/>
        <v>2010.42</v>
      </c>
      <c r="N57" s="33">
        <f t="shared" si="104"/>
        <v>2383.4646</v>
      </c>
      <c r="O57" s="65">
        <f t="shared" ref="O57:O59" si="118">+O144+O207</f>
        <v>1879.7427</v>
      </c>
      <c r="P57" s="65">
        <f t="shared" ref="P57:Y59" si="119">+P144+P207</f>
        <v>1272.1491</v>
      </c>
      <c r="Q57" s="67">
        <f t="shared" si="119"/>
        <v>1329.111</v>
      </c>
      <c r="R57" s="65">
        <f t="shared" si="119"/>
        <v>1011.8142297</v>
      </c>
      <c r="S57" s="65">
        <f t="shared" si="119"/>
        <v>170.8857</v>
      </c>
      <c r="T57" s="65">
        <f t="shared" si="119"/>
        <v>34.17714</v>
      </c>
      <c r="U57" s="67">
        <f t="shared" si="119"/>
        <v>17.08857</v>
      </c>
      <c r="V57" s="65">
        <f t="shared" si="119"/>
        <v>16.5759129</v>
      </c>
      <c r="W57" s="65">
        <f t="shared" si="119"/>
        <v>16.2341415</v>
      </c>
      <c r="X57" s="65">
        <f t="shared" si="119"/>
        <v>16.2341415</v>
      </c>
      <c r="Y57" s="67">
        <f t="shared" si="119"/>
        <v>16.2341415</v>
      </c>
      <c r="Z57" s="65">
        <f t="shared" ref="Z57:Z59" si="120">+Z144+Z207</f>
        <v>15.422434425</v>
      </c>
      <c r="AA57" s="65">
        <f t="shared" ref="AA57:AC57" si="121">+AA144+AA207</f>
        <v>15.422434425</v>
      </c>
      <c r="AB57" s="65">
        <f t="shared" si="121"/>
        <v>15.422434425</v>
      </c>
      <c r="AC57" s="67">
        <f t="shared" si="121"/>
        <v>15.422434425</v>
      </c>
      <c r="AD57" s="33"/>
      <c r="AE57" s="33"/>
      <c r="AF57" s="33"/>
      <c r="AG57" s="33"/>
      <c r="AH57" s="33"/>
      <c r="AI57" s="33"/>
      <c r="AJ57" s="33"/>
      <c r="AK57" s="33"/>
      <c r="AL57" s="33"/>
      <c r="AM57" s="33">
        <f t="shared" si="108"/>
        <v>0</v>
      </c>
      <c r="AN57" s="33">
        <f t="shared" si="108"/>
        <v>182</v>
      </c>
      <c r="AO57" s="33">
        <f t="shared" si="109"/>
        <v>856.728</v>
      </c>
      <c r="AP57" s="33">
        <f t="shared" si="110"/>
        <v>5659.89732</v>
      </c>
      <c r="AQ57" s="33">
        <f t="shared" si="111"/>
        <v>6864.4674</v>
      </c>
      <c r="AR57" s="33">
        <f t="shared" si="112"/>
        <v>1233.9656397</v>
      </c>
      <c r="AS57" s="33">
        <f t="shared" si="116"/>
        <v>65.2783374</v>
      </c>
      <c r="AT57" s="33">
        <f t="shared" si="113"/>
        <v>61.6897377</v>
      </c>
    </row>
    <row r="58" outlineLevel="1" spans="1:46">
      <c r="A58" s="29" t="s">
        <v>856</v>
      </c>
      <c r="B58" s="33">
        <f t="shared" si="104"/>
        <v>0</v>
      </c>
      <c r="C58" s="33">
        <f t="shared" si="104"/>
        <v>0</v>
      </c>
      <c r="D58" s="33">
        <f t="shared" si="104"/>
        <v>0</v>
      </c>
      <c r="E58" s="57">
        <f t="shared" si="104"/>
        <v>0</v>
      </c>
      <c r="F58" s="33">
        <f t="shared" si="104"/>
        <v>0</v>
      </c>
      <c r="G58" s="33">
        <f t="shared" si="104"/>
        <v>0</v>
      </c>
      <c r="H58" s="33">
        <f t="shared" si="104"/>
        <v>0</v>
      </c>
      <c r="I58" s="57">
        <f t="shared" si="104"/>
        <v>0</v>
      </c>
      <c r="J58" s="33">
        <f t="shared" si="104"/>
        <v>43.8</v>
      </c>
      <c r="K58" s="33">
        <f t="shared" si="104"/>
        <v>131.4</v>
      </c>
      <c r="L58" s="33">
        <f t="shared" si="104"/>
        <v>350.4</v>
      </c>
      <c r="M58" s="57">
        <f t="shared" si="104"/>
        <v>1095</v>
      </c>
      <c r="N58" s="33">
        <f t="shared" si="104"/>
        <v>1315.7082</v>
      </c>
      <c r="O58" s="65">
        <f t="shared" si="118"/>
        <v>4132.53</v>
      </c>
      <c r="P58" s="65">
        <f t="shared" si="119"/>
        <v>4095.3</v>
      </c>
      <c r="Q58" s="67">
        <f t="shared" si="119"/>
        <v>5919.57</v>
      </c>
      <c r="R58" s="65">
        <f t="shared" si="119"/>
        <v>5643.6957</v>
      </c>
      <c r="S58" s="65">
        <f t="shared" si="119"/>
        <v>6105.72</v>
      </c>
      <c r="T58" s="65">
        <f t="shared" si="119"/>
        <v>7021.578</v>
      </c>
      <c r="U58" s="67">
        <f t="shared" si="119"/>
        <v>7021.578</v>
      </c>
      <c r="V58" s="65">
        <f t="shared" si="119"/>
        <v>6246.15156</v>
      </c>
      <c r="W58" s="65">
        <f t="shared" si="119"/>
        <v>6044.6628</v>
      </c>
      <c r="X58" s="65">
        <f t="shared" si="119"/>
        <v>6044.6628</v>
      </c>
      <c r="Y58" s="67">
        <f t="shared" si="119"/>
        <v>6044.6628</v>
      </c>
      <c r="Z58" s="65">
        <f t="shared" si="120"/>
        <v>4367.268873</v>
      </c>
      <c r="AA58" s="65">
        <f t="shared" ref="AA58:AC58" si="122">+AA145+AA208</f>
        <v>4367.268873</v>
      </c>
      <c r="AB58" s="65">
        <f t="shared" si="122"/>
        <v>4367.268873</v>
      </c>
      <c r="AC58" s="67">
        <f t="shared" si="122"/>
        <v>4367.268873</v>
      </c>
      <c r="AD58" s="33"/>
      <c r="AE58" s="33"/>
      <c r="AF58" s="33"/>
      <c r="AG58" s="33"/>
      <c r="AH58" s="33"/>
      <c r="AI58" s="33"/>
      <c r="AJ58" s="33"/>
      <c r="AK58" s="33"/>
      <c r="AL58" s="33"/>
      <c r="AM58" s="33"/>
      <c r="AN58" s="33"/>
      <c r="AO58" s="33">
        <f t="shared" si="109"/>
        <v>0</v>
      </c>
      <c r="AP58" s="33">
        <f t="shared" si="110"/>
        <v>1620.6</v>
      </c>
      <c r="AQ58" s="33">
        <f t="shared" si="111"/>
        <v>15463.1082</v>
      </c>
      <c r="AR58" s="33">
        <f t="shared" si="112"/>
        <v>25792.5717</v>
      </c>
      <c r="AS58" s="33">
        <f t="shared" si="116"/>
        <v>24380.13996</v>
      </c>
      <c r="AT58" s="33">
        <f t="shared" si="113"/>
        <v>17469.075492</v>
      </c>
    </row>
    <row r="59" outlineLevel="1" spans="1:46">
      <c r="A59" s="29" t="s">
        <v>857</v>
      </c>
      <c r="B59" s="33">
        <f t="shared" si="104"/>
        <v>0</v>
      </c>
      <c r="C59" s="33">
        <f t="shared" si="104"/>
        <v>0</v>
      </c>
      <c r="D59" s="33">
        <f t="shared" si="104"/>
        <v>0</v>
      </c>
      <c r="E59" s="57">
        <f t="shared" si="104"/>
        <v>0</v>
      </c>
      <c r="F59" s="33">
        <f t="shared" si="104"/>
        <v>0</v>
      </c>
      <c r="G59" s="33">
        <f t="shared" si="104"/>
        <v>0</v>
      </c>
      <c r="H59" s="33">
        <f t="shared" si="104"/>
        <v>0</v>
      </c>
      <c r="I59" s="57">
        <f t="shared" si="104"/>
        <v>0</v>
      </c>
      <c r="J59" s="33">
        <f t="shared" si="104"/>
        <v>0</v>
      </c>
      <c r="K59" s="33">
        <f t="shared" si="104"/>
        <v>0</v>
      </c>
      <c r="L59" s="33">
        <f t="shared" si="104"/>
        <v>0</v>
      </c>
      <c r="M59" s="57">
        <f t="shared" si="104"/>
        <v>0</v>
      </c>
      <c r="N59" s="33">
        <f t="shared" si="104"/>
        <v>0</v>
      </c>
      <c r="O59" s="65">
        <f t="shared" si="118"/>
        <v>0</v>
      </c>
      <c r="P59" s="65">
        <f t="shared" si="119"/>
        <v>280.32</v>
      </c>
      <c r="Q59" s="67">
        <f t="shared" si="119"/>
        <v>654.08</v>
      </c>
      <c r="R59" s="65">
        <f t="shared" si="119"/>
        <v>1303.488</v>
      </c>
      <c r="S59" s="65">
        <f t="shared" si="119"/>
        <v>4597.248</v>
      </c>
      <c r="T59" s="65">
        <f t="shared" si="119"/>
        <v>7662.08</v>
      </c>
      <c r="U59" s="67">
        <f t="shared" si="119"/>
        <v>9194.496</v>
      </c>
      <c r="V59" s="65">
        <f t="shared" si="119"/>
        <v>8550.88128</v>
      </c>
      <c r="W59" s="65">
        <f t="shared" si="119"/>
        <v>10343.808</v>
      </c>
      <c r="X59" s="65">
        <f t="shared" si="119"/>
        <v>15170.9184</v>
      </c>
      <c r="Y59" s="67">
        <f t="shared" si="119"/>
        <v>13791.744</v>
      </c>
      <c r="Z59" s="65">
        <f t="shared" si="120"/>
        <v>9963.1558656</v>
      </c>
      <c r="AA59" s="65">
        <f t="shared" ref="AA59:AC59" si="123">+AA146+AA209</f>
        <v>13343.51232</v>
      </c>
      <c r="AB59" s="65">
        <f t="shared" si="123"/>
        <v>19570.484736</v>
      </c>
      <c r="AC59" s="67">
        <f t="shared" si="123"/>
        <v>17791.34976</v>
      </c>
      <c r="AD59" s="33"/>
      <c r="AE59" s="33"/>
      <c r="AF59" s="33"/>
      <c r="AG59" s="33"/>
      <c r="AH59" s="33"/>
      <c r="AI59" s="33"/>
      <c r="AJ59" s="33"/>
      <c r="AK59" s="33"/>
      <c r="AL59" s="33"/>
      <c r="AM59" s="33"/>
      <c r="AN59" s="33"/>
      <c r="AO59" s="33">
        <f t="shared" si="109"/>
        <v>0</v>
      </c>
      <c r="AP59" s="33">
        <f t="shared" si="110"/>
        <v>0</v>
      </c>
      <c r="AQ59" s="33">
        <f t="shared" si="111"/>
        <v>934.4</v>
      </c>
      <c r="AR59" s="33">
        <f t="shared" si="112"/>
        <v>22757.312</v>
      </c>
      <c r="AS59" s="33">
        <f t="shared" si="116"/>
        <v>47857.35168</v>
      </c>
      <c r="AT59" s="33">
        <f t="shared" si="113"/>
        <v>60668.5026816</v>
      </c>
    </row>
    <row r="60" outlineLevel="1" spans="1:46">
      <c r="A60" s="29" t="s">
        <v>858</v>
      </c>
      <c r="B60" s="33"/>
      <c r="C60" s="33"/>
      <c r="D60" s="33"/>
      <c r="E60" s="57"/>
      <c r="F60" s="33"/>
      <c r="G60" s="33"/>
      <c r="H60" s="33"/>
      <c r="I60" s="57"/>
      <c r="J60" s="33"/>
      <c r="K60" s="33"/>
      <c r="L60" s="33"/>
      <c r="M60" s="57"/>
      <c r="N60" s="33"/>
      <c r="O60" s="65"/>
      <c r="P60" s="65"/>
      <c r="Q60" s="67"/>
      <c r="R60" s="65"/>
      <c r="S60" s="65"/>
      <c r="T60" s="65"/>
      <c r="U60" s="67"/>
      <c r="V60" s="65"/>
      <c r="W60" s="65"/>
      <c r="X60" s="65"/>
      <c r="Y60" s="67"/>
      <c r="Z60" s="65"/>
      <c r="AA60" s="65">
        <f>AA70*AA99</f>
        <v>1058.5</v>
      </c>
      <c r="AB60" s="65">
        <f t="shared" ref="AB60:AC60" si="124">AB70*AB99</f>
        <v>2117</v>
      </c>
      <c r="AC60" s="67">
        <f t="shared" si="124"/>
        <v>2117</v>
      </c>
      <c r="AD60" s="33"/>
      <c r="AE60" s="33"/>
      <c r="AF60" s="33"/>
      <c r="AG60" s="33"/>
      <c r="AH60" s="33"/>
      <c r="AI60" s="33"/>
      <c r="AJ60" s="33"/>
      <c r="AK60" s="33"/>
      <c r="AL60" s="33"/>
      <c r="AM60" s="33"/>
      <c r="AN60" s="33"/>
      <c r="AO60" s="33"/>
      <c r="AP60" s="33"/>
      <c r="AQ60" s="33"/>
      <c r="AR60" s="33"/>
      <c r="AS60" s="33"/>
      <c r="AT60" s="33">
        <f t="shared" si="113"/>
        <v>5292.5</v>
      </c>
    </row>
    <row r="61" outlineLevel="1" spans="1:46">
      <c r="A61" s="29"/>
      <c r="B61" s="32"/>
      <c r="C61" s="32"/>
      <c r="D61" s="32"/>
      <c r="E61" s="56"/>
      <c r="F61" s="33"/>
      <c r="G61" s="33"/>
      <c r="H61" s="33"/>
      <c r="I61" s="57"/>
      <c r="J61" s="33"/>
      <c r="K61" s="33"/>
      <c r="L61" s="33"/>
      <c r="M61" s="57"/>
      <c r="N61" s="33"/>
      <c r="O61" s="33"/>
      <c r="P61" s="33"/>
      <c r="Q61" s="57"/>
      <c r="R61" s="33"/>
      <c r="S61" s="33"/>
      <c r="T61" s="33"/>
      <c r="U61" s="57"/>
      <c r="V61" s="33"/>
      <c r="W61" s="33"/>
      <c r="X61" s="33"/>
      <c r="Y61" s="57"/>
      <c r="Z61" s="33"/>
      <c r="AA61" s="33"/>
      <c r="AB61" s="33"/>
      <c r="AC61" s="57"/>
      <c r="AD61" s="33"/>
      <c r="AE61" s="33"/>
      <c r="AF61" s="33"/>
      <c r="AG61" s="33"/>
      <c r="AH61" s="33"/>
      <c r="AI61" s="33"/>
      <c r="AJ61" s="33"/>
      <c r="AK61" s="33"/>
      <c r="AL61" s="33"/>
      <c r="AM61" s="96"/>
      <c r="AN61" s="33"/>
      <c r="AO61" s="33"/>
      <c r="AP61" s="33"/>
      <c r="AQ61" s="33"/>
      <c r="AR61" s="33"/>
      <c r="AS61" s="33"/>
      <c r="AT61" s="33"/>
    </row>
    <row r="62" outlineLevel="1" spans="1:46">
      <c r="A62" s="36" t="s">
        <v>865</v>
      </c>
      <c r="B62" s="38">
        <f t="shared" ref="B62:I62" si="125">SUM(B63:B67)</f>
        <v>1.1</v>
      </c>
      <c r="C62" s="38">
        <f t="shared" si="125"/>
        <v>1.12</v>
      </c>
      <c r="D62" s="38">
        <f t="shared" si="125"/>
        <v>1.28</v>
      </c>
      <c r="E62" s="60">
        <f t="shared" si="125"/>
        <v>1.2</v>
      </c>
      <c r="F62" s="38">
        <f t="shared" si="125"/>
        <v>0.85</v>
      </c>
      <c r="G62" s="38">
        <f t="shared" si="125"/>
        <v>0.963</v>
      </c>
      <c r="H62" s="38">
        <f t="shared" si="125"/>
        <v>1.018</v>
      </c>
      <c r="I62" s="60">
        <f t="shared" si="125"/>
        <v>0.8535</v>
      </c>
      <c r="J62" s="38">
        <f t="shared" ref="J62:Y62" si="126">SUM(J63:J69)</f>
        <v>0.533</v>
      </c>
      <c r="K62" s="38">
        <f t="shared" si="126"/>
        <v>0.815</v>
      </c>
      <c r="L62" s="38">
        <f t="shared" si="126"/>
        <v>1.098</v>
      </c>
      <c r="M62" s="60">
        <f t="shared" si="126"/>
        <v>1.425</v>
      </c>
      <c r="N62" s="38">
        <f t="shared" si="126"/>
        <v>1.6358</v>
      </c>
      <c r="O62" s="38">
        <f t="shared" si="126"/>
        <v>2.3128</v>
      </c>
      <c r="P62" s="38">
        <f t="shared" si="126"/>
        <v>2.055</v>
      </c>
      <c r="Q62" s="60">
        <f t="shared" si="126"/>
        <v>2.615</v>
      </c>
      <c r="R62" s="38">
        <f t="shared" si="126"/>
        <v>2.54591</v>
      </c>
      <c r="S62" s="38">
        <f t="shared" si="126"/>
        <v>2.89291</v>
      </c>
      <c r="T62" s="38">
        <f t="shared" si="126"/>
        <v>3.553</v>
      </c>
      <c r="U62" s="60">
        <f t="shared" si="126"/>
        <v>3.743</v>
      </c>
      <c r="V62" s="38">
        <f t="shared" si="126"/>
        <v>3.5849645</v>
      </c>
      <c r="W62" s="38">
        <f t="shared" si="126"/>
        <v>3.8849645</v>
      </c>
      <c r="X62" s="38">
        <f t="shared" si="126"/>
        <v>4.62305</v>
      </c>
      <c r="Y62" s="60">
        <f t="shared" si="126"/>
        <v>4.42305</v>
      </c>
      <c r="Z62" s="38">
        <f t="shared" ref="Z62:AC62" si="127">SUM(Z63:Z69)</f>
        <v>3.718771275</v>
      </c>
      <c r="AA62" s="38">
        <f t="shared" si="127"/>
        <v>4.288771275</v>
      </c>
      <c r="AB62" s="38">
        <f t="shared" si="127"/>
        <v>5.3749525</v>
      </c>
      <c r="AC62" s="60">
        <f t="shared" si="127"/>
        <v>5.0749525</v>
      </c>
      <c r="AD62" s="33"/>
      <c r="AE62" s="33"/>
      <c r="AF62" s="33"/>
      <c r="AG62" s="33"/>
      <c r="AH62" s="33"/>
      <c r="AI62" s="33"/>
      <c r="AJ62" s="33"/>
      <c r="AK62" s="33"/>
      <c r="AL62" s="33"/>
      <c r="AM62" s="38">
        <f>SUM(AM63:AM67)</f>
        <v>4.55</v>
      </c>
      <c r="AN62" s="97">
        <f>SUM(AN63:AN67)</f>
        <v>4.7</v>
      </c>
      <c r="AO62" s="38">
        <f t="shared" ref="AO62:AT62" si="128">SUM(AO63:AO69)</f>
        <v>3.6845</v>
      </c>
      <c r="AP62" s="38">
        <f t="shared" si="128"/>
        <v>3.871</v>
      </c>
      <c r="AQ62" s="38">
        <f t="shared" si="128"/>
        <v>8.6186</v>
      </c>
      <c r="AR62" s="38">
        <f t="shared" si="128"/>
        <v>12.73482</v>
      </c>
      <c r="AS62" s="38">
        <f t="shared" si="128"/>
        <v>16.516029</v>
      </c>
      <c r="AT62" s="38">
        <f t="shared" si="128"/>
        <v>18.45744755</v>
      </c>
    </row>
    <row r="63" outlineLevel="1" spans="1:46">
      <c r="A63" s="29" t="s">
        <v>851</v>
      </c>
      <c r="B63" s="39">
        <v>0.4</v>
      </c>
      <c r="C63" s="39">
        <v>0.4</v>
      </c>
      <c r="D63" s="39">
        <v>0.4</v>
      </c>
      <c r="E63" s="61">
        <v>0.4</v>
      </c>
      <c r="F63" s="39">
        <v>0.333</v>
      </c>
      <c r="G63" s="39">
        <v>0.32</v>
      </c>
      <c r="H63" s="39">
        <v>0.3</v>
      </c>
      <c r="I63" s="61">
        <v>0.2</v>
      </c>
      <c r="J63" s="39">
        <v>0.1</v>
      </c>
      <c r="K63" s="39">
        <v>0.1</v>
      </c>
      <c r="L63" s="39">
        <v>0.1</v>
      </c>
      <c r="M63" s="61">
        <v>0.1</v>
      </c>
      <c r="N63" s="39">
        <f t="shared" ref="N63:X65" si="129">+J63*(1+N73)</f>
        <v>0.09</v>
      </c>
      <c r="O63" s="39">
        <f t="shared" si="129"/>
        <v>0.09</v>
      </c>
      <c r="P63" s="39">
        <f t="shared" si="129"/>
        <v>0.09</v>
      </c>
      <c r="Q63" s="61">
        <f t="shared" si="129"/>
        <v>0.09</v>
      </c>
      <c r="R63" s="39">
        <f t="shared" si="129"/>
        <v>0.081</v>
      </c>
      <c r="S63" s="39">
        <f t="shared" si="129"/>
        <v>0.081</v>
      </c>
      <c r="T63" s="39">
        <f t="shared" si="129"/>
        <v>0.081</v>
      </c>
      <c r="U63" s="61">
        <f t="shared" si="129"/>
        <v>0.081</v>
      </c>
      <c r="V63" s="39">
        <f t="shared" si="129"/>
        <v>0.0729</v>
      </c>
      <c r="W63" s="39">
        <f t="shared" si="129"/>
        <v>0.0729</v>
      </c>
      <c r="X63" s="39">
        <f t="shared" si="129"/>
        <v>0.0729</v>
      </c>
      <c r="Y63" s="61">
        <f t="shared" ref="Y63:Z65" si="130">+U63*(1+Y73)</f>
        <v>0.0729</v>
      </c>
      <c r="Z63" s="39">
        <f t="shared" si="130"/>
        <v>0.06561</v>
      </c>
      <c r="AA63" s="39">
        <f t="shared" ref="AA63:AA65" si="131">+W63*(1+AA73)</f>
        <v>0.06561</v>
      </c>
      <c r="AB63" s="39">
        <f t="shared" ref="AB63:AB65" si="132">+X63*(1+AB73)</f>
        <v>0.06561</v>
      </c>
      <c r="AC63" s="61">
        <f t="shared" ref="AC63:AC65" si="133">+Y63*(1+AC73)</f>
        <v>0.06561</v>
      </c>
      <c r="AD63" s="33"/>
      <c r="AE63" s="33"/>
      <c r="AF63" s="33"/>
      <c r="AG63" s="33"/>
      <c r="AH63" s="33"/>
      <c r="AI63" s="33"/>
      <c r="AJ63" s="33"/>
      <c r="AK63" s="33"/>
      <c r="AL63" s="33"/>
      <c r="AM63" s="98">
        <v>1.8</v>
      </c>
      <c r="AN63" s="98">
        <v>1.6</v>
      </c>
      <c r="AO63" s="96">
        <f t="shared" ref="AO63:AO69" si="134">SUM(F63:I63)</f>
        <v>1.153</v>
      </c>
      <c r="AP63" s="96">
        <f t="shared" ref="AP63:AP69" si="135">SUM(J63:M63)</f>
        <v>0.4</v>
      </c>
      <c r="AQ63" s="96">
        <f t="shared" ref="AQ63:AQ69" si="136">SUM(N63:Q63)</f>
        <v>0.36</v>
      </c>
      <c r="AR63" s="96">
        <f t="shared" ref="AR63:AR69" si="137">SUM(R63:U63)</f>
        <v>0.324</v>
      </c>
      <c r="AS63" s="96">
        <f>SUM(V63:Y63)</f>
        <v>0.2916</v>
      </c>
      <c r="AT63" s="96">
        <f t="shared" ref="AT63:AT69" si="138">SUM(Z63:AC63)</f>
        <v>0.26244</v>
      </c>
    </row>
    <row r="64" outlineLevel="1" spans="1:46">
      <c r="A64" s="29" t="s">
        <v>852</v>
      </c>
      <c r="B64" s="39">
        <v>0.6</v>
      </c>
      <c r="C64" s="39">
        <v>0.6</v>
      </c>
      <c r="D64" s="39">
        <v>0.7</v>
      </c>
      <c r="E64" s="61">
        <v>0.62</v>
      </c>
      <c r="F64" s="39">
        <v>0.4</v>
      </c>
      <c r="G64" s="39">
        <v>0.509</v>
      </c>
      <c r="H64" s="39">
        <v>0.55</v>
      </c>
      <c r="I64" s="61">
        <v>0.35</v>
      </c>
      <c r="J64" s="39">
        <v>0.05</v>
      </c>
      <c r="K64" s="39">
        <v>0.15</v>
      </c>
      <c r="L64" s="39">
        <v>0.15</v>
      </c>
      <c r="M64" s="61">
        <v>0.15</v>
      </c>
      <c r="N64" s="39">
        <v>0.1</v>
      </c>
      <c r="O64" s="39">
        <v>0.1</v>
      </c>
      <c r="P64" s="39">
        <v>0.1</v>
      </c>
      <c r="Q64" s="61">
        <v>0.1</v>
      </c>
      <c r="R64" s="39">
        <f t="shared" si="129"/>
        <v>0.09</v>
      </c>
      <c r="S64" s="39">
        <f t="shared" si="129"/>
        <v>0.09</v>
      </c>
      <c r="T64" s="39">
        <f t="shared" si="129"/>
        <v>0.09</v>
      </c>
      <c r="U64" s="61">
        <f t="shared" si="129"/>
        <v>0.09</v>
      </c>
      <c r="V64" s="39">
        <f t="shared" si="129"/>
        <v>0.081</v>
      </c>
      <c r="W64" s="39">
        <f t="shared" si="129"/>
        <v>0.081</v>
      </c>
      <c r="X64" s="39">
        <f t="shared" si="129"/>
        <v>0.081</v>
      </c>
      <c r="Y64" s="61">
        <f t="shared" si="130"/>
        <v>0.081</v>
      </c>
      <c r="Z64" s="39">
        <f t="shared" si="130"/>
        <v>0.0729</v>
      </c>
      <c r="AA64" s="39">
        <f t="shared" si="131"/>
        <v>0.0729</v>
      </c>
      <c r="AB64" s="39">
        <f t="shared" si="132"/>
        <v>0.0729</v>
      </c>
      <c r="AC64" s="61">
        <f t="shared" si="133"/>
        <v>0.0729</v>
      </c>
      <c r="AD64" s="37"/>
      <c r="AE64" s="37"/>
      <c r="AF64" s="37"/>
      <c r="AG64" s="37"/>
      <c r="AH64" s="37"/>
      <c r="AI64" s="37"/>
      <c r="AJ64" s="33"/>
      <c r="AK64" s="33"/>
      <c r="AL64" s="33"/>
      <c r="AM64" s="98">
        <v>2.63</v>
      </c>
      <c r="AN64" s="98">
        <v>2.52</v>
      </c>
      <c r="AO64" s="96">
        <f t="shared" si="134"/>
        <v>1.809</v>
      </c>
      <c r="AP64" s="96">
        <f t="shared" si="135"/>
        <v>0.5</v>
      </c>
      <c r="AQ64" s="96">
        <f t="shared" si="136"/>
        <v>0.4</v>
      </c>
      <c r="AR64" s="96">
        <f t="shared" si="137"/>
        <v>0.36</v>
      </c>
      <c r="AS64" s="96">
        <f t="shared" ref="AS64:AS70" si="139">SUM(V64:Y64)</f>
        <v>0.324</v>
      </c>
      <c r="AT64" s="96">
        <f t="shared" si="138"/>
        <v>0.2916</v>
      </c>
    </row>
    <row r="65" outlineLevel="1" spans="1:46">
      <c r="A65" s="29" t="s">
        <v>853</v>
      </c>
      <c r="B65" s="39">
        <v>0.09</v>
      </c>
      <c r="C65" s="39">
        <v>0.1</v>
      </c>
      <c r="D65" s="39">
        <v>0.13</v>
      </c>
      <c r="E65" s="61">
        <v>0.11</v>
      </c>
      <c r="F65" s="39">
        <v>0.08</v>
      </c>
      <c r="G65" s="39">
        <v>0.08</v>
      </c>
      <c r="H65" s="39">
        <v>0.1</v>
      </c>
      <c r="I65" s="61">
        <v>0.09</v>
      </c>
      <c r="J65" s="39">
        <v>0.02</v>
      </c>
      <c r="K65" s="39">
        <v>0.02</v>
      </c>
      <c r="L65" s="39">
        <v>0.02</v>
      </c>
      <c r="M65" s="61">
        <v>0.02</v>
      </c>
      <c r="N65" s="39">
        <f>+J65*(1+N75)</f>
        <v>0.0178</v>
      </c>
      <c r="O65" s="39">
        <f>+K65*(1+O75)</f>
        <v>0.0178</v>
      </c>
      <c r="P65" s="39">
        <v>0.06</v>
      </c>
      <c r="Q65" s="61">
        <v>0.06</v>
      </c>
      <c r="R65" s="39">
        <f t="shared" si="129"/>
        <v>0.01691</v>
      </c>
      <c r="S65" s="39">
        <f t="shared" si="129"/>
        <v>0.01691</v>
      </c>
      <c r="T65" s="39">
        <f t="shared" si="129"/>
        <v>0.057</v>
      </c>
      <c r="U65" s="61">
        <f t="shared" si="129"/>
        <v>0.057</v>
      </c>
      <c r="V65" s="39">
        <f t="shared" si="129"/>
        <v>0.0160645</v>
      </c>
      <c r="W65" s="39">
        <f t="shared" si="129"/>
        <v>0.0160645</v>
      </c>
      <c r="X65" s="39">
        <f t="shared" si="129"/>
        <v>0.05415</v>
      </c>
      <c r="Y65" s="61">
        <f t="shared" si="130"/>
        <v>0.05415</v>
      </c>
      <c r="Z65" s="39">
        <f t="shared" si="130"/>
        <v>0.015261275</v>
      </c>
      <c r="AA65" s="39">
        <f t="shared" si="131"/>
        <v>0.015261275</v>
      </c>
      <c r="AB65" s="39">
        <f t="shared" si="132"/>
        <v>0.0514425</v>
      </c>
      <c r="AC65" s="61">
        <f t="shared" si="133"/>
        <v>0.0514425</v>
      </c>
      <c r="AD65" s="33"/>
      <c r="AE65" s="33"/>
      <c r="AF65" s="33"/>
      <c r="AG65" s="33"/>
      <c r="AH65" s="33"/>
      <c r="AI65" s="33"/>
      <c r="AJ65" s="33"/>
      <c r="AK65" s="37"/>
      <c r="AL65" s="37"/>
      <c r="AM65" s="98">
        <v>0.1</v>
      </c>
      <c r="AN65" s="98">
        <v>0.43</v>
      </c>
      <c r="AO65" s="96">
        <f t="shared" si="134"/>
        <v>0.35</v>
      </c>
      <c r="AP65" s="96">
        <f t="shared" si="135"/>
        <v>0.08</v>
      </c>
      <c r="AQ65" s="96">
        <f t="shared" si="136"/>
        <v>0.1556</v>
      </c>
      <c r="AR65" s="96">
        <f t="shared" si="137"/>
        <v>0.14782</v>
      </c>
      <c r="AS65" s="96">
        <f t="shared" si="139"/>
        <v>0.140429</v>
      </c>
      <c r="AT65" s="96">
        <f t="shared" si="138"/>
        <v>0.13340755</v>
      </c>
    </row>
    <row r="66" outlineLevel="1" spans="1:46">
      <c r="A66" s="29" t="s">
        <v>854</v>
      </c>
      <c r="B66" s="39">
        <v>0.01</v>
      </c>
      <c r="C66" s="39">
        <v>0.02</v>
      </c>
      <c r="D66" s="39">
        <v>0.03</v>
      </c>
      <c r="E66" s="61">
        <v>0.04</v>
      </c>
      <c r="F66" s="116">
        <v>0.005</v>
      </c>
      <c r="G66" s="116">
        <v>0.01</v>
      </c>
      <c r="H66" s="116">
        <v>0.018</v>
      </c>
      <c r="I66" s="120">
        <v>0.0135</v>
      </c>
      <c r="J66" s="39">
        <v>0.005</v>
      </c>
      <c r="K66" s="39">
        <v>0.005</v>
      </c>
      <c r="L66" s="39">
        <v>0.005</v>
      </c>
      <c r="M66" s="61">
        <v>0.005</v>
      </c>
      <c r="N66" s="39">
        <v>0.005</v>
      </c>
      <c r="O66" s="39">
        <v>0.005</v>
      </c>
      <c r="P66" s="39">
        <v>0.005</v>
      </c>
      <c r="Q66" s="61">
        <v>0.005</v>
      </c>
      <c r="R66" s="39">
        <v>0.005</v>
      </c>
      <c r="S66" s="39">
        <v>0.005</v>
      </c>
      <c r="T66" s="39">
        <v>0.005</v>
      </c>
      <c r="U66" s="61">
        <v>0.005</v>
      </c>
      <c r="V66" s="39">
        <v>0.005</v>
      </c>
      <c r="W66" s="39">
        <v>0.005</v>
      </c>
      <c r="X66" s="39">
        <v>0.005</v>
      </c>
      <c r="Y66" s="61">
        <v>0.005</v>
      </c>
      <c r="Z66" s="39">
        <v>0.005</v>
      </c>
      <c r="AA66" s="39">
        <v>0.005</v>
      </c>
      <c r="AB66" s="39">
        <v>0.005</v>
      </c>
      <c r="AC66" s="61">
        <v>0.005</v>
      </c>
      <c r="AD66" s="37"/>
      <c r="AE66" s="37"/>
      <c r="AF66" s="37"/>
      <c r="AG66" s="33"/>
      <c r="AH66" s="37"/>
      <c r="AI66" s="37"/>
      <c r="AJ66" s="33"/>
      <c r="AK66" s="112"/>
      <c r="AL66" s="112"/>
      <c r="AM66" s="98">
        <v>0.02</v>
      </c>
      <c r="AN66" s="98">
        <v>0.1</v>
      </c>
      <c r="AO66" s="96">
        <f t="shared" si="134"/>
        <v>0.0465</v>
      </c>
      <c r="AP66" s="96">
        <f t="shared" si="135"/>
        <v>0.02</v>
      </c>
      <c r="AQ66" s="96">
        <f t="shared" si="136"/>
        <v>0.02</v>
      </c>
      <c r="AR66" s="96">
        <f t="shared" si="137"/>
        <v>0.02</v>
      </c>
      <c r="AS66" s="96">
        <f t="shared" si="139"/>
        <v>0.02</v>
      </c>
      <c r="AT66" s="96">
        <f t="shared" si="138"/>
        <v>0.02</v>
      </c>
    </row>
    <row r="67" outlineLevel="1" spans="1:46">
      <c r="A67" s="29" t="s">
        <v>855</v>
      </c>
      <c r="B67" s="39">
        <v>0</v>
      </c>
      <c r="C67" s="39">
        <v>0</v>
      </c>
      <c r="D67" s="39">
        <v>0.02</v>
      </c>
      <c r="E67" s="61">
        <v>0.03</v>
      </c>
      <c r="F67" s="39">
        <v>0.032</v>
      </c>
      <c r="G67" s="39">
        <v>0.044</v>
      </c>
      <c r="H67" s="39">
        <v>0.05</v>
      </c>
      <c r="I67" s="61">
        <v>0.2</v>
      </c>
      <c r="J67" s="39">
        <v>0.348</v>
      </c>
      <c r="K67" s="39">
        <v>0.51</v>
      </c>
      <c r="L67" s="39">
        <v>0.743</v>
      </c>
      <c r="M67" s="61">
        <v>0.9</v>
      </c>
      <c r="N67" s="39">
        <v>1.1</v>
      </c>
      <c r="O67" s="39">
        <v>0.99</v>
      </c>
      <c r="P67" s="39">
        <v>0.67</v>
      </c>
      <c r="Q67" s="61">
        <v>0.7</v>
      </c>
      <c r="R67" s="39">
        <v>0.573</v>
      </c>
      <c r="S67" s="39">
        <v>0.1</v>
      </c>
      <c r="T67" s="39">
        <v>0.02</v>
      </c>
      <c r="U67" s="61">
        <v>0.01</v>
      </c>
      <c r="V67" s="39">
        <v>0.01</v>
      </c>
      <c r="W67" s="39">
        <v>0.01</v>
      </c>
      <c r="X67" s="39">
        <v>0.01</v>
      </c>
      <c r="Y67" s="61">
        <v>0.01</v>
      </c>
      <c r="Z67" s="39">
        <v>0.01</v>
      </c>
      <c r="AA67" s="39">
        <v>0.01</v>
      </c>
      <c r="AB67" s="39">
        <v>0.01</v>
      </c>
      <c r="AC67" s="61">
        <v>0.01</v>
      </c>
      <c r="AD67" s="37"/>
      <c r="AE67" s="37"/>
      <c r="AF67" s="37"/>
      <c r="AG67" s="33"/>
      <c r="AH67" s="37"/>
      <c r="AI67" s="37"/>
      <c r="AJ67" s="33"/>
      <c r="AK67" s="112"/>
      <c r="AL67" s="112"/>
      <c r="AM67" s="98">
        <v>0</v>
      </c>
      <c r="AN67" s="98">
        <v>0.05</v>
      </c>
      <c r="AO67" s="96">
        <f t="shared" si="134"/>
        <v>0.326</v>
      </c>
      <c r="AP67" s="96">
        <f t="shared" si="135"/>
        <v>2.501</v>
      </c>
      <c r="AQ67" s="96">
        <f t="shared" si="136"/>
        <v>3.46</v>
      </c>
      <c r="AR67" s="96">
        <f t="shared" si="137"/>
        <v>0.703</v>
      </c>
      <c r="AS67" s="96">
        <f t="shared" si="139"/>
        <v>0.04</v>
      </c>
      <c r="AT67" s="96">
        <f t="shared" si="138"/>
        <v>0.04</v>
      </c>
    </row>
    <row r="68" outlineLevel="1" spans="1:46">
      <c r="A68" s="29" t="s">
        <v>856</v>
      </c>
      <c r="B68" s="39"/>
      <c r="C68" s="39"/>
      <c r="D68" s="39"/>
      <c r="E68" s="61"/>
      <c r="F68" s="39">
        <v>0</v>
      </c>
      <c r="G68" s="39">
        <v>0</v>
      </c>
      <c r="H68" s="39">
        <v>0</v>
      </c>
      <c r="I68" s="61">
        <v>0</v>
      </c>
      <c r="J68" s="39">
        <v>0.01</v>
      </c>
      <c r="K68" s="39">
        <v>0.03</v>
      </c>
      <c r="L68" s="39">
        <v>0.08</v>
      </c>
      <c r="M68" s="61">
        <v>0.25</v>
      </c>
      <c r="N68" s="39">
        <v>0.323</v>
      </c>
      <c r="O68" s="39">
        <v>1.11</v>
      </c>
      <c r="P68" s="39">
        <v>1.1</v>
      </c>
      <c r="Q68" s="61">
        <v>1.59</v>
      </c>
      <c r="R68" s="39">
        <v>1.63</v>
      </c>
      <c r="S68" s="39">
        <v>2</v>
      </c>
      <c r="T68" s="39">
        <v>2.3</v>
      </c>
      <c r="U68" s="61">
        <v>2.3</v>
      </c>
      <c r="V68" s="39">
        <v>2.2</v>
      </c>
      <c r="W68" s="39">
        <v>2.2</v>
      </c>
      <c r="X68" s="39">
        <v>2.2</v>
      </c>
      <c r="Y68" s="61">
        <v>2.2</v>
      </c>
      <c r="Z68" s="39">
        <f>V68*0.85</f>
        <v>1.87</v>
      </c>
      <c r="AA68" s="39">
        <f t="shared" ref="AA68:AC68" si="140">W68*0.85</f>
        <v>1.87</v>
      </c>
      <c r="AB68" s="39">
        <f t="shared" si="140"/>
        <v>1.87</v>
      </c>
      <c r="AC68" s="61">
        <f t="shared" si="140"/>
        <v>1.87</v>
      </c>
      <c r="AD68" s="37"/>
      <c r="AE68" s="37"/>
      <c r="AF68" s="37"/>
      <c r="AG68" s="33"/>
      <c r="AH68" s="37"/>
      <c r="AI68" s="37"/>
      <c r="AJ68" s="33"/>
      <c r="AK68" s="112"/>
      <c r="AL68" s="112"/>
      <c r="AM68" s="98"/>
      <c r="AN68" s="98"/>
      <c r="AO68" s="96">
        <f t="shared" si="134"/>
        <v>0</v>
      </c>
      <c r="AP68" s="96">
        <f t="shared" si="135"/>
        <v>0.37</v>
      </c>
      <c r="AQ68" s="96">
        <f t="shared" si="136"/>
        <v>4.123</v>
      </c>
      <c r="AR68" s="96">
        <f t="shared" si="137"/>
        <v>8.23</v>
      </c>
      <c r="AS68" s="96">
        <f t="shared" si="139"/>
        <v>8.8</v>
      </c>
      <c r="AT68" s="96">
        <f t="shared" si="138"/>
        <v>7.48</v>
      </c>
    </row>
    <row r="69" outlineLevel="1" spans="1:46">
      <c r="A69" s="29" t="s">
        <v>857</v>
      </c>
      <c r="B69" s="39"/>
      <c r="C69" s="39"/>
      <c r="D69" s="39"/>
      <c r="E69" s="61"/>
      <c r="F69" s="39"/>
      <c r="G69" s="39"/>
      <c r="H69" s="39"/>
      <c r="I69" s="61"/>
      <c r="J69" s="39"/>
      <c r="K69" s="39"/>
      <c r="L69" s="39"/>
      <c r="M69" s="61"/>
      <c r="N69" s="39"/>
      <c r="O69" s="39"/>
      <c r="P69" s="39">
        <v>0.03</v>
      </c>
      <c r="Q69" s="61">
        <v>0.07</v>
      </c>
      <c r="R69" s="39">
        <v>0.15</v>
      </c>
      <c r="S69" s="39">
        <v>0.6</v>
      </c>
      <c r="T69" s="39">
        <v>1</v>
      </c>
      <c r="U69" s="61">
        <v>1.2</v>
      </c>
      <c r="V69" s="39">
        <v>1.2</v>
      </c>
      <c r="W69" s="39">
        <v>1.5</v>
      </c>
      <c r="X69" s="39">
        <v>2.2</v>
      </c>
      <c r="Y69" s="61">
        <v>2</v>
      </c>
      <c r="Z69" s="39">
        <f>V69*(1+40%)</f>
        <v>1.68</v>
      </c>
      <c r="AA69" s="39">
        <f t="shared" ref="AA69:AC69" si="141">W69*(1+50%)</f>
        <v>2.25</v>
      </c>
      <c r="AB69" s="39">
        <f t="shared" si="141"/>
        <v>3.3</v>
      </c>
      <c r="AC69" s="61">
        <f t="shared" si="141"/>
        <v>3</v>
      </c>
      <c r="AD69" s="37"/>
      <c r="AE69" s="37"/>
      <c r="AF69" s="37"/>
      <c r="AG69" s="33"/>
      <c r="AH69" s="37"/>
      <c r="AI69" s="37"/>
      <c r="AJ69" s="33"/>
      <c r="AK69" s="112"/>
      <c r="AL69" s="112"/>
      <c r="AM69" s="98"/>
      <c r="AN69" s="98"/>
      <c r="AO69" s="96">
        <f t="shared" si="134"/>
        <v>0</v>
      </c>
      <c r="AP69" s="96">
        <f t="shared" si="135"/>
        <v>0</v>
      </c>
      <c r="AQ69" s="96">
        <f t="shared" si="136"/>
        <v>0.1</v>
      </c>
      <c r="AR69" s="96">
        <f t="shared" si="137"/>
        <v>2.95</v>
      </c>
      <c r="AS69" s="96">
        <f t="shared" si="139"/>
        <v>6.9</v>
      </c>
      <c r="AT69" s="96">
        <f t="shared" si="138"/>
        <v>10.23</v>
      </c>
    </row>
    <row r="70" outlineLevel="1" spans="1:46">
      <c r="A70" s="29" t="s">
        <v>858</v>
      </c>
      <c r="B70" s="39"/>
      <c r="C70" s="39"/>
      <c r="D70" s="39"/>
      <c r="E70" s="61"/>
      <c r="F70" s="39"/>
      <c r="G70" s="39"/>
      <c r="H70" s="39"/>
      <c r="I70" s="61"/>
      <c r="J70" s="39"/>
      <c r="K70" s="39"/>
      <c r="L70" s="39"/>
      <c r="M70" s="61"/>
      <c r="N70" s="39"/>
      <c r="O70" s="39"/>
      <c r="P70" s="39"/>
      <c r="Q70" s="61"/>
      <c r="R70" s="39"/>
      <c r="S70" s="39"/>
      <c r="T70" s="39"/>
      <c r="U70" s="61"/>
      <c r="V70" s="39"/>
      <c r="W70" s="39"/>
      <c r="X70" s="39"/>
      <c r="Y70" s="61"/>
      <c r="Z70" s="39"/>
      <c r="AA70" s="39">
        <v>0.1</v>
      </c>
      <c r="AB70" s="39">
        <v>0.2</v>
      </c>
      <c r="AC70" s="61">
        <v>0.2</v>
      </c>
      <c r="AD70" s="37"/>
      <c r="AE70" s="37"/>
      <c r="AF70" s="37"/>
      <c r="AG70" s="33"/>
      <c r="AH70" s="37"/>
      <c r="AI70" s="37"/>
      <c r="AJ70" s="33"/>
      <c r="AK70" s="112"/>
      <c r="AL70" s="112"/>
      <c r="AM70" s="98"/>
      <c r="AN70" s="98"/>
      <c r="AO70" s="96"/>
      <c r="AP70" s="96"/>
      <c r="AQ70" s="96"/>
      <c r="AR70" s="96">
        <f t="shared" ref="AR70" si="142">SUM(R70:U70)</f>
        <v>0</v>
      </c>
      <c r="AS70" s="96">
        <f t="shared" si="139"/>
        <v>0</v>
      </c>
      <c r="AT70" s="96">
        <f t="shared" ref="AT70" si="143">SUM(Z70:AC70)</f>
        <v>0.5</v>
      </c>
    </row>
    <row r="71" outlineLevel="1" spans="1:46">
      <c r="A71" s="18"/>
      <c r="B71" s="112"/>
      <c r="C71" s="112"/>
      <c r="D71" s="112"/>
      <c r="E71" s="117"/>
      <c r="F71" s="112"/>
      <c r="G71" s="112"/>
      <c r="H71" s="112"/>
      <c r="I71" s="117"/>
      <c r="J71" s="121"/>
      <c r="K71" s="121"/>
      <c r="L71" s="121"/>
      <c r="M71" s="124"/>
      <c r="N71" s="121"/>
      <c r="O71" s="121"/>
      <c r="P71" s="121"/>
      <c r="Q71" s="124"/>
      <c r="R71" s="112"/>
      <c r="S71" s="125"/>
      <c r="T71" s="112"/>
      <c r="U71" s="117"/>
      <c r="V71" s="112"/>
      <c r="W71" s="112"/>
      <c r="X71" s="112"/>
      <c r="Y71" s="117"/>
      <c r="Z71" s="112"/>
      <c r="AA71" s="112"/>
      <c r="AB71" s="112"/>
      <c r="AC71" s="117"/>
      <c r="AD71" s="37"/>
      <c r="AE71" s="37"/>
      <c r="AF71" s="37"/>
      <c r="AG71" s="33"/>
      <c r="AH71" s="37"/>
      <c r="AI71" s="37"/>
      <c r="AJ71" s="33"/>
      <c r="AK71" s="112"/>
      <c r="AL71" s="112"/>
      <c r="AM71" s="27"/>
      <c r="AN71" s="33"/>
      <c r="AO71" s="27"/>
      <c r="AP71" s="27"/>
      <c r="AQ71" s="33">
        <f t="shared" ref="AQ71:AR72" si="144">+AQ58/AQ68/7.3</f>
        <v>513.760368663594</v>
      </c>
      <c r="AR71" s="33">
        <f t="shared" si="144"/>
        <v>429.310935601458</v>
      </c>
      <c r="AS71" s="33">
        <f>+AS58/AS68/7.3</f>
        <v>379.5165</v>
      </c>
      <c r="AT71" s="33"/>
    </row>
    <row r="72" outlineLevel="1" spans="1:46">
      <c r="A72" s="36" t="s">
        <v>866</v>
      </c>
      <c r="B72" s="112"/>
      <c r="C72" s="112"/>
      <c r="D72" s="112"/>
      <c r="E72" s="117"/>
      <c r="F72" s="112"/>
      <c r="G72" s="112"/>
      <c r="H72" s="112"/>
      <c r="I72" s="117"/>
      <c r="J72" s="112"/>
      <c r="K72" s="112"/>
      <c r="L72" s="112"/>
      <c r="M72" s="117"/>
      <c r="N72" s="125"/>
      <c r="O72" s="125"/>
      <c r="P72" s="125"/>
      <c r="Q72" s="127"/>
      <c r="R72" s="112"/>
      <c r="S72" s="112"/>
      <c r="T72" s="125"/>
      <c r="U72" s="117"/>
      <c r="V72" s="112"/>
      <c r="W72" s="121"/>
      <c r="X72" s="112"/>
      <c r="Y72" s="117"/>
      <c r="Z72" s="112"/>
      <c r="AA72" s="121"/>
      <c r="AB72" s="112"/>
      <c r="AC72" s="117"/>
      <c r="AD72" s="37"/>
      <c r="AE72" s="37"/>
      <c r="AF72" s="37"/>
      <c r="AG72" s="33"/>
      <c r="AH72" s="37"/>
      <c r="AI72" s="37"/>
      <c r="AJ72" s="33"/>
      <c r="AK72" s="112"/>
      <c r="AL72" s="112"/>
      <c r="AM72" s="27"/>
      <c r="AN72" s="33"/>
      <c r="AO72" s="27"/>
      <c r="AP72" s="27"/>
      <c r="AQ72" s="33">
        <f t="shared" si="144"/>
        <v>1280</v>
      </c>
      <c r="AR72" s="33">
        <f t="shared" si="144"/>
        <v>1056.7593220339</v>
      </c>
      <c r="AS72" s="33">
        <f>+AS59/AS69/7.3</f>
        <v>950.116173913043</v>
      </c>
      <c r="AT72" s="33"/>
    </row>
    <row r="73" outlineLevel="1" spans="1:46">
      <c r="A73" s="29" t="s">
        <v>851</v>
      </c>
      <c r="B73" s="112"/>
      <c r="C73" s="112"/>
      <c r="D73" s="112"/>
      <c r="E73" s="117"/>
      <c r="F73" s="112"/>
      <c r="G73" s="112"/>
      <c r="H73" s="112"/>
      <c r="I73" s="117"/>
      <c r="J73" s="27">
        <v>-0.1</v>
      </c>
      <c r="K73" s="27">
        <v>-0.1</v>
      </c>
      <c r="L73" s="27">
        <v>-0.1</v>
      </c>
      <c r="M73" s="52">
        <v>-0.1</v>
      </c>
      <c r="N73" s="27">
        <v>-0.1</v>
      </c>
      <c r="O73" s="27">
        <v>-0.1</v>
      </c>
      <c r="P73" s="27">
        <v>-0.1</v>
      </c>
      <c r="Q73" s="52">
        <v>-0.1</v>
      </c>
      <c r="R73" s="27">
        <v>-0.1</v>
      </c>
      <c r="S73" s="27">
        <v>-0.1</v>
      </c>
      <c r="T73" s="27">
        <v>-0.1</v>
      </c>
      <c r="U73" s="52">
        <v>-0.1</v>
      </c>
      <c r="V73" s="27">
        <v>-0.1</v>
      </c>
      <c r="W73" s="27">
        <v>-0.1</v>
      </c>
      <c r="X73" s="27">
        <v>-0.1</v>
      </c>
      <c r="Y73" s="52">
        <v>-0.1</v>
      </c>
      <c r="Z73" s="27">
        <v>-0.1</v>
      </c>
      <c r="AA73" s="27">
        <v>-0.1</v>
      </c>
      <c r="AB73" s="27">
        <v>-0.1</v>
      </c>
      <c r="AC73" s="52">
        <v>-0.1</v>
      </c>
      <c r="AD73" s="37"/>
      <c r="AE73" s="37"/>
      <c r="AF73" s="37"/>
      <c r="AG73" s="33"/>
      <c r="AH73" s="37"/>
      <c r="AI73" s="37"/>
      <c r="AJ73" s="33"/>
      <c r="AK73" s="112"/>
      <c r="AL73" s="112"/>
      <c r="AM73" s="27"/>
      <c r="AN73" s="27">
        <f t="shared" ref="AN73:AT78" si="145">+AN63/AM63-1</f>
        <v>-0.111111111111111</v>
      </c>
      <c r="AO73" s="27">
        <f t="shared" si="145"/>
        <v>-0.279375</v>
      </c>
      <c r="AP73" s="27">
        <f t="shared" si="145"/>
        <v>-0.653078924544666</v>
      </c>
      <c r="AQ73" s="27">
        <f t="shared" si="145"/>
        <v>-0.1</v>
      </c>
      <c r="AR73" s="27">
        <f t="shared" si="145"/>
        <v>-0.1</v>
      </c>
      <c r="AS73" s="27">
        <f t="shared" ref="AS73:AT76" si="146">+AS63/AR63-1</f>
        <v>-0.1</v>
      </c>
      <c r="AT73" s="27">
        <f t="shared" si="146"/>
        <v>-0.1</v>
      </c>
    </row>
    <row r="74" outlineLevel="1" spans="1:46">
      <c r="A74" s="29" t="s">
        <v>852</v>
      </c>
      <c r="B74" s="112"/>
      <c r="C74" s="112"/>
      <c r="D74" s="112"/>
      <c r="E74" s="117"/>
      <c r="F74" s="112"/>
      <c r="G74" s="112"/>
      <c r="H74" s="112"/>
      <c r="I74" s="117"/>
      <c r="J74" s="27">
        <v>-0.1</v>
      </c>
      <c r="K74" s="27">
        <v>-0.1</v>
      </c>
      <c r="L74" s="27">
        <v>-0.1</v>
      </c>
      <c r="M74" s="52">
        <v>-0.1</v>
      </c>
      <c r="N74" s="27">
        <v>-0.1</v>
      </c>
      <c r="O74" s="27">
        <v>-0.1</v>
      </c>
      <c r="P74" s="27">
        <v>-0.1</v>
      </c>
      <c r="Q74" s="52">
        <v>-0.1</v>
      </c>
      <c r="R74" s="27">
        <v>-0.1</v>
      </c>
      <c r="S74" s="27">
        <v>-0.1</v>
      </c>
      <c r="T74" s="27">
        <v>-0.1</v>
      </c>
      <c r="U74" s="52">
        <v>-0.1</v>
      </c>
      <c r="V74" s="27">
        <v>-0.1</v>
      </c>
      <c r="W74" s="27">
        <v>-0.1</v>
      </c>
      <c r="X74" s="27">
        <v>-0.1</v>
      </c>
      <c r="Y74" s="52">
        <v>-0.1</v>
      </c>
      <c r="Z74" s="27">
        <v>-0.1</v>
      </c>
      <c r="AA74" s="27">
        <v>-0.1</v>
      </c>
      <c r="AB74" s="27">
        <v>-0.1</v>
      </c>
      <c r="AC74" s="52">
        <v>-0.1</v>
      </c>
      <c r="AD74" s="37"/>
      <c r="AE74" s="37"/>
      <c r="AF74" s="37"/>
      <c r="AG74" s="33"/>
      <c r="AH74" s="37"/>
      <c r="AI74" s="37"/>
      <c r="AJ74" s="33"/>
      <c r="AK74" s="112"/>
      <c r="AL74" s="112"/>
      <c r="AM74" s="27"/>
      <c r="AN74" s="27">
        <f t="shared" si="145"/>
        <v>-0.0418250950570341</v>
      </c>
      <c r="AO74" s="27">
        <f t="shared" si="145"/>
        <v>-0.282142857142857</v>
      </c>
      <c r="AP74" s="27">
        <f t="shared" si="145"/>
        <v>-0.723604201216142</v>
      </c>
      <c r="AQ74" s="27">
        <f t="shared" si="145"/>
        <v>-0.2</v>
      </c>
      <c r="AR74" s="27">
        <f t="shared" si="145"/>
        <v>-0.1</v>
      </c>
      <c r="AS74" s="27">
        <f t="shared" si="146"/>
        <v>-0.1</v>
      </c>
      <c r="AT74" s="27">
        <f t="shared" si="146"/>
        <v>-0.1</v>
      </c>
    </row>
    <row r="75" outlineLevel="1" spans="1:46">
      <c r="A75" s="29" t="s">
        <v>853</v>
      </c>
      <c r="B75" s="112"/>
      <c r="C75" s="112"/>
      <c r="D75" s="112"/>
      <c r="E75" s="117"/>
      <c r="F75" s="112"/>
      <c r="G75" s="112"/>
      <c r="H75" s="112"/>
      <c r="I75" s="117"/>
      <c r="J75" s="27">
        <v>-0.45</v>
      </c>
      <c r="K75" s="27">
        <v>-0.45</v>
      </c>
      <c r="L75" s="27">
        <v>-0.45</v>
      </c>
      <c r="M75" s="52">
        <v>-0.45</v>
      </c>
      <c r="N75" s="27">
        <v>-0.11</v>
      </c>
      <c r="O75" s="27">
        <v>-0.11</v>
      </c>
      <c r="P75" s="27">
        <v>-0.11</v>
      </c>
      <c r="Q75" s="52">
        <v>-0.11</v>
      </c>
      <c r="R75" s="27">
        <v>-0.05</v>
      </c>
      <c r="S75" s="27">
        <v>-0.05</v>
      </c>
      <c r="T75" s="27">
        <v>-0.05</v>
      </c>
      <c r="U75" s="52">
        <v>-0.05</v>
      </c>
      <c r="V75" s="27">
        <v>-0.05</v>
      </c>
      <c r="W75" s="27">
        <v>-0.05</v>
      </c>
      <c r="X75" s="27">
        <v>-0.05</v>
      </c>
      <c r="Y75" s="52">
        <v>-0.05</v>
      </c>
      <c r="Z75" s="27">
        <v>-0.05</v>
      </c>
      <c r="AA75" s="27">
        <v>-0.05</v>
      </c>
      <c r="AB75" s="27">
        <v>-0.05</v>
      </c>
      <c r="AC75" s="52">
        <v>-0.05</v>
      </c>
      <c r="AD75" s="37"/>
      <c r="AE75" s="37"/>
      <c r="AF75" s="37"/>
      <c r="AG75" s="33"/>
      <c r="AH75" s="37"/>
      <c r="AI75" s="37"/>
      <c r="AJ75" s="33"/>
      <c r="AK75" s="112"/>
      <c r="AL75" s="112"/>
      <c r="AM75" s="27"/>
      <c r="AN75" s="27">
        <f t="shared" si="145"/>
        <v>3.3</v>
      </c>
      <c r="AO75" s="27">
        <f t="shared" si="145"/>
        <v>-0.186046511627907</v>
      </c>
      <c r="AP75" s="27">
        <f t="shared" si="145"/>
        <v>-0.771428571428571</v>
      </c>
      <c r="AQ75" s="27">
        <f t="shared" si="145"/>
        <v>0.945</v>
      </c>
      <c r="AR75" s="27">
        <f t="shared" si="145"/>
        <v>-0.05</v>
      </c>
      <c r="AS75" s="27">
        <f t="shared" si="146"/>
        <v>-0.05</v>
      </c>
      <c r="AT75" s="27">
        <f t="shared" si="146"/>
        <v>-0.0499999999999999</v>
      </c>
    </row>
    <row r="76" outlineLevel="1" spans="1:46">
      <c r="A76" s="29" t="s">
        <v>854</v>
      </c>
      <c r="B76" s="112"/>
      <c r="C76" s="112"/>
      <c r="D76" s="112"/>
      <c r="E76" s="117"/>
      <c r="F76" s="112"/>
      <c r="G76" s="112"/>
      <c r="H76" s="112"/>
      <c r="I76" s="117"/>
      <c r="J76" s="33">
        <f t="shared" ref="J76:Y78" si="147">+J66/F66-1</f>
        <v>0</v>
      </c>
      <c r="K76" s="27">
        <f t="shared" si="147"/>
        <v>-0.5</v>
      </c>
      <c r="L76" s="27">
        <f t="shared" si="147"/>
        <v>-0.722222222222222</v>
      </c>
      <c r="M76" s="52">
        <f t="shared" si="147"/>
        <v>-0.62962962962963</v>
      </c>
      <c r="N76" s="96">
        <f t="shared" si="147"/>
        <v>0</v>
      </c>
      <c r="O76" s="96">
        <f t="shared" si="147"/>
        <v>0</v>
      </c>
      <c r="P76" s="96">
        <f t="shared" si="147"/>
        <v>0</v>
      </c>
      <c r="Q76" s="128">
        <f t="shared" si="147"/>
        <v>0</v>
      </c>
      <c r="R76" s="96">
        <f t="shared" si="147"/>
        <v>0</v>
      </c>
      <c r="S76" s="96">
        <f t="shared" si="147"/>
        <v>0</v>
      </c>
      <c r="T76" s="96">
        <f t="shared" si="147"/>
        <v>0</v>
      </c>
      <c r="U76" s="128">
        <f t="shared" si="147"/>
        <v>0</v>
      </c>
      <c r="V76" s="96">
        <f t="shared" si="147"/>
        <v>0</v>
      </c>
      <c r="W76" s="96">
        <f t="shared" si="147"/>
        <v>0</v>
      </c>
      <c r="X76" s="96">
        <f t="shared" si="147"/>
        <v>0</v>
      </c>
      <c r="Y76" s="128">
        <f t="shared" si="147"/>
        <v>0</v>
      </c>
      <c r="Z76" s="96">
        <f t="shared" ref="Z76:Z78" si="148">+Z66/V66-1</f>
        <v>0</v>
      </c>
      <c r="AA76" s="96">
        <f t="shared" ref="AA76:AA78" si="149">+AA66/W66-1</f>
        <v>0</v>
      </c>
      <c r="AB76" s="96">
        <f t="shared" ref="AB76:AB78" si="150">+AB66/X66-1</f>
        <v>0</v>
      </c>
      <c r="AC76" s="128">
        <f t="shared" ref="AC76:AC78" si="151">+AC66/Y66-1</f>
        <v>0</v>
      </c>
      <c r="AD76" s="37"/>
      <c r="AE76" s="37"/>
      <c r="AF76" s="37"/>
      <c r="AG76" s="33"/>
      <c r="AH76" s="37"/>
      <c r="AI76" s="37"/>
      <c r="AJ76" s="33"/>
      <c r="AK76" s="112"/>
      <c r="AL76" s="112"/>
      <c r="AM76" s="27"/>
      <c r="AN76" s="27">
        <f t="shared" si="145"/>
        <v>4</v>
      </c>
      <c r="AO76" s="27">
        <f t="shared" si="145"/>
        <v>-0.535</v>
      </c>
      <c r="AP76" s="27">
        <f t="shared" si="145"/>
        <v>-0.56989247311828</v>
      </c>
      <c r="AQ76" s="27">
        <f t="shared" si="145"/>
        <v>0</v>
      </c>
      <c r="AR76" s="27">
        <f t="shared" si="145"/>
        <v>0</v>
      </c>
      <c r="AS76" s="27">
        <f t="shared" si="146"/>
        <v>0</v>
      </c>
      <c r="AT76" s="27">
        <f t="shared" si="146"/>
        <v>0</v>
      </c>
    </row>
    <row r="77" outlineLevel="1" spans="1:46">
      <c r="A77" s="29" t="s">
        <v>855</v>
      </c>
      <c r="B77" s="112"/>
      <c r="C77" s="112"/>
      <c r="D77" s="112"/>
      <c r="E77" s="117"/>
      <c r="F77" s="112"/>
      <c r="G77" s="112"/>
      <c r="H77" s="112"/>
      <c r="I77" s="117"/>
      <c r="J77" s="27">
        <f>+J67/F67-1</f>
        <v>9.875</v>
      </c>
      <c r="K77" s="27">
        <f t="shared" si="147"/>
        <v>10.5909090909091</v>
      </c>
      <c r="L77" s="27">
        <f t="shared" si="147"/>
        <v>13.86</v>
      </c>
      <c r="M77" s="52">
        <f t="shared" si="147"/>
        <v>3.5</v>
      </c>
      <c r="N77" s="27">
        <f t="shared" si="147"/>
        <v>2.16091954022989</v>
      </c>
      <c r="O77" s="27">
        <f t="shared" si="147"/>
        <v>0.941176470588235</v>
      </c>
      <c r="P77" s="27">
        <f t="shared" si="147"/>
        <v>-0.098250336473755</v>
      </c>
      <c r="Q77" s="52">
        <f t="shared" si="147"/>
        <v>-0.222222222222222</v>
      </c>
      <c r="R77" s="27">
        <f t="shared" si="147"/>
        <v>-0.479090909090909</v>
      </c>
      <c r="S77" s="27">
        <f t="shared" si="147"/>
        <v>-0.898989898989899</v>
      </c>
      <c r="T77" s="27">
        <f t="shared" si="147"/>
        <v>-0.970149253731343</v>
      </c>
      <c r="U77" s="52">
        <f t="shared" si="147"/>
        <v>-0.985714285714286</v>
      </c>
      <c r="V77" s="27">
        <f t="shared" si="147"/>
        <v>-0.982547993019197</v>
      </c>
      <c r="W77" s="27">
        <f t="shared" si="147"/>
        <v>-0.9</v>
      </c>
      <c r="X77" s="27">
        <f t="shared" si="147"/>
        <v>-0.5</v>
      </c>
      <c r="Y77" s="52">
        <f t="shared" si="147"/>
        <v>0</v>
      </c>
      <c r="Z77" s="27">
        <f t="shared" si="148"/>
        <v>0</v>
      </c>
      <c r="AA77" s="27">
        <f t="shared" si="149"/>
        <v>0</v>
      </c>
      <c r="AB77" s="27">
        <f t="shared" si="150"/>
        <v>0</v>
      </c>
      <c r="AC77" s="52">
        <f t="shared" si="151"/>
        <v>0</v>
      </c>
      <c r="AD77" s="37"/>
      <c r="AE77" s="37"/>
      <c r="AF77" s="37"/>
      <c r="AG77" s="33"/>
      <c r="AH77" s="37"/>
      <c r="AI77" s="37"/>
      <c r="AJ77" s="33"/>
      <c r="AK77" s="112"/>
      <c r="AL77" s="112"/>
      <c r="AM77" s="27"/>
      <c r="AN77" s="27"/>
      <c r="AO77" s="27">
        <f t="shared" si="145"/>
        <v>5.52</v>
      </c>
      <c r="AP77" s="27">
        <f t="shared" si="145"/>
        <v>6.67177914110429</v>
      </c>
      <c r="AQ77" s="27">
        <f t="shared" si="145"/>
        <v>0.38344662135146</v>
      </c>
      <c r="AR77" s="27">
        <f t="shared" si="145"/>
        <v>-0.796820809248555</v>
      </c>
      <c r="AS77" s="27">
        <f t="shared" si="145"/>
        <v>-0.943100995732575</v>
      </c>
      <c r="AT77" s="27">
        <f t="shared" si="145"/>
        <v>0</v>
      </c>
    </row>
    <row r="78" outlineLevel="1" spans="1:46">
      <c r="A78" s="29" t="s">
        <v>856</v>
      </c>
      <c r="B78" s="112"/>
      <c r="C78" s="112"/>
      <c r="D78" s="112"/>
      <c r="E78" s="117"/>
      <c r="F78" s="112"/>
      <c r="G78" s="112"/>
      <c r="H78" s="112"/>
      <c r="I78" s="117"/>
      <c r="J78" s="27"/>
      <c r="K78" s="27"/>
      <c r="L78" s="27"/>
      <c r="M78" s="52"/>
      <c r="N78" s="27"/>
      <c r="O78" s="27"/>
      <c r="P78" s="27">
        <f t="shared" si="147"/>
        <v>12.75</v>
      </c>
      <c r="Q78" s="52">
        <f t="shared" si="147"/>
        <v>5.36</v>
      </c>
      <c r="R78" s="27">
        <f t="shared" si="147"/>
        <v>4.04643962848297</v>
      </c>
      <c r="S78" s="27">
        <f t="shared" si="147"/>
        <v>0.801801801801802</v>
      </c>
      <c r="T78" s="27">
        <f t="shared" si="147"/>
        <v>1.09090909090909</v>
      </c>
      <c r="U78" s="52">
        <f t="shared" si="147"/>
        <v>0.446540880503145</v>
      </c>
      <c r="V78" s="27">
        <f t="shared" si="147"/>
        <v>0.349693251533743</v>
      </c>
      <c r="W78" s="27">
        <f t="shared" si="147"/>
        <v>0.1</v>
      </c>
      <c r="X78" s="27">
        <f t="shared" si="147"/>
        <v>-0.0434782608695651</v>
      </c>
      <c r="Y78" s="52">
        <f t="shared" si="147"/>
        <v>-0.0434782608695651</v>
      </c>
      <c r="Z78" s="27">
        <f t="shared" si="148"/>
        <v>-0.15</v>
      </c>
      <c r="AA78" s="27">
        <f t="shared" si="149"/>
        <v>-0.15</v>
      </c>
      <c r="AB78" s="27">
        <f t="shared" si="150"/>
        <v>-0.15</v>
      </c>
      <c r="AC78" s="52">
        <f t="shared" si="151"/>
        <v>-0.15</v>
      </c>
      <c r="AD78" s="37"/>
      <c r="AE78" s="37"/>
      <c r="AF78" s="37"/>
      <c r="AG78" s="33"/>
      <c r="AH78" s="37"/>
      <c r="AI78" s="37"/>
      <c r="AJ78" s="33"/>
      <c r="AK78" s="112"/>
      <c r="AL78" s="112"/>
      <c r="AM78" s="27"/>
      <c r="AN78" s="27"/>
      <c r="AO78" s="27"/>
      <c r="AP78" s="27"/>
      <c r="AQ78" s="27">
        <f t="shared" si="145"/>
        <v>10.1432432432432</v>
      </c>
      <c r="AR78" s="27">
        <f t="shared" si="145"/>
        <v>0.996119330584526</v>
      </c>
      <c r="AS78" s="27">
        <f t="shared" si="145"/>
        <v>0.0692588092345079</v>
      </c>
      <c r="AT78" s="27">
        <f t="shared" si="145"/>
        <v>-0.15</v>
      </c>
    </row>
    <row r="79" outlineLevel="1" spans="1:46">
      <c r="A79" s="29" t="s">
        <v>857</v>
      </c>
      <c r="B79" s="112"/>
      <c r="C79" s="112"/>
      <c r="D79" s="112"/>
      <c r="E79" s="117"/>
      <c r="F79" s="112"/>
      <c r="G79" s="112"/>
      <c r="H79" s="112"/>
      <c r="I79" s="117"/>
      <c r="J79" s="27"/>
      <c r="K79" s="27"/>
      <c r="L79" s="27"/>
      <c r="M79" s="52"/>
      <c r="N79" s="27"/>
      <c r="O79" s="27"/>
      <c r="P79" s="27"/>
      <c r="Q79" s="52"/>
      <c r="R79" s="27"/>
      <c r="S79" s="27"/>
      <c r="T79" s="27"/>
      <c r="U79" s="52"/>
      <c r="V79" s="27">
        <f t="shared" ref="V79:AC79" si="152">+V69/R69-1</f>
        <v>7</v>
      </c>
      <c r="W79" s="27">
        <f t="shared" si="152"/>
        <v>1.5</v>
      </c>
      <c r="X79" s="27">
        <f t="shared" si="152"/>
        <v>1.2</v>
      </c>
      <c r="Y79" s="52">
        <f t="shared" si="152"/>
        <v>0.666666666666667</v>
      </c>
      <c r="Z79" s="27">
        <f t="shared" si="152"/>
        <v>0.4</v>
      </c>
      <c r="AA79" s="27">
        <f t="shared" si="152"/>
        <v>0.5</v>
      </c>
      <c r="AB79" s="27">
        <f t="shared" si="152"/>
        <v>0.5</v>
      </c>
      <c r="AC79" s="52">
        <f t="shared" si="152"/>
        <v>0.5</v>
      </c>
      <c r="AD79" s="37"/>
      <c r="AE79" s="37"/>
      <c r="AF79" s="37"/>
      <c r="AG79" s="37"/>
      <c r="AH79" s="37"/>
      <c r="AI79" s="37"/>
      <c r="AJ79" s="33"/>
      <c r="AK79" s="112"/>
      <c r="AL79" s="112"/>
      <c r="AM79" s="27"/>
      <c r="AN79" s="27"/>
      <c r="AO79" s="27"/>
      <c r="AP79" s="27"/>
      <c r="AQ79" s="27"/>
      <c r="AR79" s="27"/>
      <c r="AS79" s="27">
        <f>+AS69/AR69-1</f>
        <v>1.33898305084746</v>
      </c>
      <c r="AT79" s="27">
        <f>+AT69/AS69-1</f>
        <v>0.482608695652174</v>
      </c>
    </row>
    <row r="80" ht="12" customHeight="1" outlineLevel="1" spans="1:46">
      <c r="A80" s="18"/>
      <c r="B80" s="112"/>
      <c r="C80" s="112"/>
      <c r="D80" s="112"/>
      <c r="E80" s="117"/>
      <c r="F80" s="112"/>
      <c r="G80" s="112"/>
      <c r="H80" s="112"/>
      <c r="I80" s="117"/>
      <c r="J80" s="27"/>
      <c r="K80" s="27"/>
      <c r="L80" s="27"/>
      <c r="M80" s="52"/>
      <c r="N80" s="27"/>
      <c r="O80" s="27"/>
      <c r="P80" s="27"/>
      <c r="Q80" s="52"/>
      <c r="R80" s="27"/>
      <c r="S80" s="27"/>
      <c r="T80" s="27"/>
      <c r="U80" s="52"/>
      <c r="V80" s="27"/>
      <c r="W80" s="27"/>
      <c r="X80" s="27"/>
      <c r="Y80" s="52"/>
      <c r="Z80" s="27"/>
      <c r="AA80" s="27"/>
      <c r="AB80" s="27"/>
      <c r="AC80" s="52"/>
      <c r="AD80" s="37"/>
      <c r="AE80" s="37"/>
      <c r="AF80" s="37"/>
      <c r="AG80" s="37"/>
      <c r="AH80" s="37"/>
      <c r="AI80" s="37"/>
      <c r="AJ80" s="33"/>
      <c r="AK80" s="112"/>
      <c r="AL80" s="112"/>
      <c r="AM80" s="27"/>
      <c r="AN80" s="33"/>
      <c r="AO80" s="27"/>
      <c r="AP80" s="27"/>
      <c r="AQ80" s="27"/>
      <c r="AR80" s="27"/>
      <c r="AS80" s="27"/>
      <c r="AT80" s="27"/>
    </row>
    <row r="81" ht="12" customHeight="1" outlineLevel="1" spans="1:46">
      <c r="A81" s="22" t="s">
        <v>867</v>
      </c>
      <c r="B81" s="112"/>
      <c r="C81" s="112"/>
      <c r="D81" s="112"/>
      <c r="E81" s="117"/>
      <c r="F81" s="112"/>
      <c r="G81" s="112"/>
      <c r="H81" s="112"/>
      <c r="I81" s="117"/>
      <c r="J81" s="27"/>
      <c r="K81" s="27"/>
      <c r="L81" s="27"/>
      <c r="M81" s="52"/>
      <c r="N81" s="27"/>
      <c r="O81" s="27"/>
      <c r="P81" s="27"/>
      <c r="Q81" s="52"/>
      <c r="R81" s="27"/>
      <c r="S81" s="27"/>
      <c r="T81" s="27"/>
      <c r="U81" s="52"/>
      <c r="V81" s="27"/>
      <c r="W81" s="27"/>
      <c r="X81" s="27"/>
      <c r="Y81" s="52"/>
      <c r="Z81" s="27"/>
      <c r="AA81" s="27"/>
      <c r="AB81" s="27"/>
      <c r="AC81" s="52"/>
      <c r="AD81" s="37"/>
      <c r="AE81" s="37"/>
      <c r="AF81" s="37"/>
      <c r="AG81" s="37"/>
      <c r="AH81" s="37"/>
      <c r="AI81" s="37"/>
      <c r="AJ81" s="33"/>
      <c r="AK81" s="112"/>
      <c r="AL81" s="112"/>
      <c r="AM81" s="33">
        <f t="shared" ref="AM81:AR85" si="153">+AM91/7.3</f>
        <v>67.5370565507552</v>
      </c>
      <c r="AN81" s="33">
        <f t="shared" si="153"/>
        <v>77.586709414165</v>
      </c>
      <c r="AO81" s="33">
        <f t="shared" si="153"/>
        <v>90.3714784445019</v>
      </c>
      <c r="AP81" s="33">
        <f t="shared" si="153"/>
        <v>273.158516966696</v>
      </c>
      <c r="AQ81" s="33">
        <f t="shared" si="153"/>
        <v>375.913947820404</v>
      </c>
      <c r="AR81" s="33">
        <f t="shared" si="153"/>
        <v>539.150494824695</v>
      </c>
      <c r="AS81" s="33">
        <f t="shared" ref="AS81:AT85" si="154">+AS91/7.3</f>
        <v>602.125664347079</v>
      </c>
      <c r="AT81" s="33">
        <f t="shared" si="154"/>
        <v>582.271456475537</v>
      </c>
    </row>
    <row r="82" ht="12" customHeight="1" outlineLevel="1" spans="1:46">
      <c r="A82" s="29" t="s">
        <v>851</v>
      </c>
      <c r="B82" s="112"/>
      <c r="C82" s="112"/>
      <c r="D82" s="112"/>
      <c r="E82" s="117"/>
      <c r="F82" s="112"/>
      <c r="G82" s="112"/>
      <c r="H82" s="112"/>
      <c r="I82" s="117"/>
      <c r="J82" s="27"/>
      <c r="K82" s="27"/>
      <c r="L82" s="27"/>
      <c r="M82" s="52"/>
      <c r="N82" s="27"/>
      <c r="O82" s="27"/>
      <c r="P82" s="27"/>
      <c r="Q82" s="52"/>
      <c r="R82" s="27"/>
      <c r="S82" s="27"/>
      <c r="T82" s="27"/>
      <c r="U82" s="52"/>
      <c r="V82" s="27"/>
      <c r="W82" s="27"/>
      <c r="X82" s="27"/>
      <c r="Y82" s="52"/>
      <c r="Z82" s="27"/>
      <c r="AA82" s="27"/>
      <c r="AB82" s="27"/>
      <c r="AC82" s="52"/>
      <c r="AD82" s="37"/>
      <c r="AE82" s="37"/>
      <c r="AF82" s="37"/>
      <c r="AG82" s="37"/>
      <c r="AH82" s="37"/>
      <c r="AI82" s="37"/>
      <c r="AJ82" s="33"/>
      <c r="AK82" s="112"/>
      <c r="AL82" s="112"/>
      <c r="AM82" s="33">
        <f t="shared" si="153"/>
        <v>47.4657534246575</v>
      </c>
      <c r="AN82" s="33">
        <f t="shared" si="153"/>
        <v>47.3972602739726</v>
      </c>
      <c r="AO82" s="33">
        <f t="shared" si="153"/>
        <v>45.027397260274</v>
      </c>
      <c r="AP82" s="33">
        <f t="shared" si="153"/>
        <v>42.7760273972603</v>
      </c>
      <c r="AQ82" s="33">
        <f t="shared" si="153"/>
        <v>40.6372260273973</v>
      </c>
      <c r="AR82" s="33">
        <f t="shared" si="153"/>
        <v>38.6053647260274</v>
      </c>
      <c r="AS82" s="33">
        <f t="shared" si="154"/>
        <v>36.675096489726</v>
      </c>
      <c r="AT82" s="33">
        <f t="shared" si="154"/>
        <v>34.8413416652397</v>
      </c>
    </row>
    <row r="83" ht="12" customHeight="1" outlineLevel="1" spans="1:46">
      <c r="A83" s="29" t="s">
        <v>852</v>
      </c>
      <c r="B83" s="112"/>
      <c r="C83" s="112"/>
      <c r="D83" s="112"/>
      <c r="E83" s="117"/>
      <c r="F83" s="112"/>
      <c r="G83" s="112"/>
      <c r="H83" s="112"/>
      <c r="I83" s="117"/>
      <c r="J83" s="27"/>
      <c r="K83" s="27"/>
      <c r="L83" s="27"/>
      <c r="M83" s="52"/>
      <c r="N83" s="27"/>
      <c r="O83" s="27"/>
      <c r="P83" s="27"/>
      <c r="Q83" s="52"/>
      <c r="R83" s="27"/>
      <c r="S83" s="27"/>
      <c r="T83" s="27"/>
      <c r="U83" s="52"/>
      <c r="V83" s="27"/>
      <c r="W83" s="27"/>
      <c r="X83" s="27"/>
      <c r="Y83" s="52"/>
      <c r="Z83" s="27"/>
      <c r="AA83" s="27"/>
      <c r="AB83" s="27"/>
      <c r="AC83" s="52"/>
      <c r="AD83" s="37"/>
      <c r="AE83" s="37"/>
      <c r="AF83" s="37"/>
      <c r="AG83" s="37"/>
      <c r="AH83" s="37"/>
      <c r="AI83" s="37"/>
      <c r="AJ83" s="33"/>
      <c r="AK83" s="112"/>
      <c r="AL83" s="112"/>
      <c r="AM83" s="33">
        <f t="shared" si="153"/>
        <v>77.6712328767123</v>
      </c>
      <c r="AN83" s="33">
        <f t="shared" si="153"/>
        <v>76.7123287671233</v>
      </c>
      <c r="AO83" s="33">
        <f t="shared" si="153"/>
        <v>72.8767123287671</v>
      </c>
      <c r="AP83" s="33">
        <f t="shared" si="153"/>
        <v>69.2328767123288</v>
      </c>
      <c r="AQ83" s="33">
        <f t="shared" si="153"/>
        <v>65.7712328767123</v>
      </c>
      <c r="AR83" s="33">
        <f t="shared" si="153"/>
        <v>62.4826712328767</v>
      </c>
      <c r="AS83" s="33">
        <f t="shared" si="154"/>
        <v>59.3585376712329</v>
      </c>
      <c r="AT83" s="33">
        <f t="shared" si="154"/>
        <v>56.3906107876712</v>
      </c>
    </row>
    <row r="84" ht="12" customHeight="1" outlineLevel="1" spans="1:46">
      <c r="A84" s="29" t="s">
        <v>853</v>
      </c>
      <c r="B84" s="112"/>
      <c r="C84" s="112"/>
      <c r="D84" s="112"/>
      <c r="E84" s="117"/>
      <c r="F84" s="112"/>
      <c r="G84" s="112"/>
      <c r="H84" s="112"/>
      <c r="I84" s="117"/>
      <c r="J84" s="27"/>
      <c r="K84" s="27"/>
      <c r="L84" s="27"/>
      <c r="M84" s="52"/>
      <c r="N84" s="27"/>
      <c r="O84" s="27"/>
      <c r="P84" s="27"/>
      <c r="Q84" s="52"/>
      <c r="R84" s="27"/>
      <c r="S84" s="33"/>
      <c r="T84" s="27"/>
      <c r="U84" s="52"/>
      <c r="V84" s="27"/>
      <c r="W84" s="27"/>
      <c r="X84" s="27"/>
      <c r="Y84" s="52"/>
      <c r="Z84" s="27"/>
      <c r="AA84" s="27"/>
      <c r="AB84" s="27"/>
      <c r="AC84" s="52"/>
      <c r="AD84" s="37"/>
      <c r="AE84" s="37"/>
      <c r="AF84" s="37"/>
      <c r="AG84" s="37"/>
      <c r="AH84" s="37"/>
      <c r="AI84" s="37"/>
      <c r="AJ84" s="33"/>
      <c r="AK84" s="112"/>
      <c r="AL84" s="112"/>
      <c r="AM84" s="33">
        <f t="shared" si="153"/>
        <v>127.853881278539</v>
      </c>
      <c r="AN84" s="33">
        <f t="shared" si="153"/>
        <v>115.068493150685</v>
      </c>
      <c r="AO84" s="33">
        <f t="shared" si="153"/>
        <v>67.1232876712329</v>
      </c>
      <c r="AP84" s="33">
        <f t="shared" si="153"/>
        <v>63.7671232876712</v>
      </c>
      <c r="AQ84" s="33">
        <f t="shared" si="153"/>
        <v>60.5787671232877</v>
      </c>
      <c r="AR84" s="33">
        <f t="shared" si="153"/>
        <v>57.5498287671233</v>
      </c>
      <c r="AS84" s="33">
        <f t="shared" si="154"/>
        <v>54.6723373287671</v>
      </c>
      <c r="AT84" s="33">
        <f t="shared" si="154"/>
        <v>51.9387204623288</v>
      </c>
    </row>
    <row r="85" ht="12" customHeight="1" outlineLevel="1" spans="1:46">
      <c r="A85" s="29" t="s">
        <v>854</v>
      </c>
      <c r="B85" s="112"/>
      <c r="C85" s="112"/>
      <c r="D85" s="112"/>
      <c r="E85" s="117"/>
      <c r="F85" s="112"/>
      <c r="G85" s="112"/>
      <c r="H85" s="112"/>
      <c r="I85" s="117"/>
      <c r="J85" s="27"/>
      <c r="K85" s="27"/>
      <c r="L85" s="27"/>
      <c r="M85" s="52"/>
      <c r="N85" s="27"/>
      <c r="O85" s="27"/>
      <c r="P85" s="27"/>
      <c r="Q85" s="52"/>
      <c r="R85" s="27"/>
      <c r="S85" s="27"/>
      <c r="T85" s="27"/>
      <c r="U85" s="52"/>
      <c r="V85" s="27"/>
      <c r="W85" s="27"/>
      <c r="X85" s="27"/>
      <c r="Y85" s="52"/>
      <c r="Z85" s="27"/>
      <c r="AA85" s="27"/>
      <c r="AB85" s="27"/>
      <c r="AC85" s="52"/>
      <c r="AD85" s="37"/>
      <c r="AE85" s="37"/>
      <c r="AF85" s="37"/>
      <c r="AG85" s="37"/>
      <c r="AH85" s="37"/>
      <c r="AI85" s="37"/>
      <c r="AJ85" s="33"/>
      <c r="AK85" s="112"/>
      <c r="AL85" s="112"/>
      <c r="AM85" s="33">
        <f t="shared" si="153"/>
        <v>239.72602739726</v>
      </c>
      <c r="AN85" s="33">
        <f t="shared" si="153"/>
        <v>210.958904109589</v>
      </c>
      <c r="AO85" s="33">
        <f t="shared" si="153"/>
        <v>180</v>
      </c>
      <c r="AP85" s="33">
        <f t="shared" si="153"/>
        <v>162</v>
      </c>
      <c r="AQ85" s="33">
        <f t="shared" si="153"/>
        <v>145.8</v>
      </c>
      <c r="AR85" s="33">
        <f t="shared" si="153"/>
        <v>138.51</v>
      </c>
      <c r="AS85" s="33">
        <f t="shared" si="154"/>
        <v>131.5845</v>
      </c>
      <c r="AT85" s="33">
        <f t="shared" si="154"/>
        <v>125.005275</v>
      </c>
    </row>
    <row r="86" ht="12" customHeight="1" outlineLevel="1" spans="1:47">
      <c r="A86" s="29" t="s">
        <v>855</v>
      </c>
      <c r="B86" s="112"/>
      <c r="C86" s="112"/>
      <c r="D86" s="112"/>
      <c r="E86" s="117"/>
      <c r="F86" s="112"/>
      <c r="G86" s="112"/>
      <c r="H86" s="112"/>
      <c r="I86" s="117"/>
      <c r="J86" s="27"/>
      <c r="K86" s="27"/>
      <c r="L86" s="27"/>
      <c r="M86" s="52"/>
      <c r="N86" s="27"/>
      <c r="O86" s="27"/>
      <c r="P86" s="27"/>
      <c r="Q86" s="52"/>
      <c r="R86" s="27"/>
      <c r="S86" s="27"/>
      <c r="T86" s="27"/>
      <c r="U86" s="52"/>
      <c r="V86" s="27"/>
      <c r="W86" s="27"/>
      <c r="X86" s="27"/>
      <c r="Y86" s="52"/>
      <c r="Z86" s="27"/>
      <c r="AA86" s="27"/>
      <c r="AB86" s="27"/>
      <c r="AC86" s="52"/>
      <c r="AD86" s="37"/>
      <c r="AE86" s="37"/>
      <c r="AF86" s="37"/>
      <c r="AG86" s="37"/>
      <c r="AH86" s="37"/>
      <c r="AI86" s="37"/>
      <c r="AJ86" s="33"/>
      <c r="AK86" s="112"/>
      <c r="AL86" s="112"/>
      <c r="AM86" s="33">
        <f t="shared" ref="AM86:AO86" si="155">+AM96/7.3</f>
        <v>623.287671232877</v>
      </c>
      <c r="AN86" s="33">
        <f t="shared" si="155"/>
        <v>498.630136986301</v>
      </c>
      <c r="AO86" s="33">
        <f t="shared" si="155"/>
        <v>360</v>
      </c>
      <c r="AP86" s="114">
        <v>306</v>
      </c>
      <c r="AQ86" s="114">
        <f>+AP86*0.85</f>
        <v>260.1</v>
      </c>
      <c r="AR86" s="114">
        <v>234.09</v>
      </c>
      <c r="AS86" s="114">
        <v>222.3855</v>
      </c>
      <c r="AT86" s="114">
        <v>222.3855</v>
      </c>
      <c r="AU86" s="132"/>
    </row>
    <row r="87" ht="12" customHeight="1" outlineLevel="1" spans="1:47">
      <c r="A87" s="29" t="s">
        <v>856</v>
      </c>
      <c r="B87" s="112"/>
      <c r="C87" s="112"/>
      <c r="D87" s="112"/>
      <c r="E87" s="117"/>
      <c r="F87" s="112"/>
      <c r="G87" s="112"/>
      <c r="H87" s="112"/>
      <c r="I87" s="117"/>
      <c r="J87" s="27"/>
      <c r="K87" s="27"/>
      <c r="L87" s="27"/>
      <c r="M87" s="52"/>
      <c r="N87" s="27"/>
      <c r="O87" s="27"/>
      <c r="P87" s="27"/>
      <c r="Q87" s="52"/>
      <c r="R87" s="27"/>
      <c r="S87" s="27"/>
      <c r="T87" s="27"/>
      <c r="U87" s="52"/>
      <c r="V87" s="27"/>
      <c r="W87" s="27"/>
      <c r="X87" s="27"/>
      <c r="Y87" s="52"/>
      <c r="Z87" s="27"/>
      <c r="AA87" s="27"/>
      <c r="AB87" s="27"/>
      <c r="AC87" s="52"/>
      <c r="AD87" s="37"/>
      <c r="AE87" s="37"/>
      <c r="AF87" s="37"/>
      <c r="AG87" s="37"/>
      <c r="AH87" s="37"/>
      <c r="AI87" s="37"/>
      <c r="AJ87" s="33"/>
      <c r="AK87" s="112"/>
      <c r="AL87" s="112"/>
      <c r="AM87" s="33">
        <f t="shared" ref="AM87:AO88" si="156">+AM97/7.3</f>
        <v>0</v>
      </c>
      <c r="AN87" s="33">
        <f t="shared" si="156"/>
        <v>0</v>
      </c>
      <c r="AO87" s="33">
        <v>0</v>
      </c>
      <c r="AP87" s="114">
        <v>600</v>
      </c>
      <c r="AQ87" s="114">
        <f>+AP87*0.85</f>
        <v>510</v>
      </c>
      <c r="AR87" s="114">
        <f>+AQ87*0.82</f>
        <v>418.2</v>
      </c>
      <c r="AS87" s="114">
        <f>+AR87*0.9</f>
        <v>376.38</v>
      </c>
      <c r="AT87" s="114">
        <f>+AS87*0.85</f>
        <v>319.923</v>
      </c>
      <c r="AU87" s="132"/>
    </row>
    <row r="88" ht="12" customHeight="1" outlineLevel="1" spans="1:47">
      <c r="A88" s="29" t="s">
        <v>857</v>
      </c>
      <c r="B88" s="112"/>
      <c r="C88" s="112"/>
      <c r="D88" s="112"/>
      <c r="E88" s="117"/>
      <c r="F88" s="112"/>
      <c r="G88" s="112"/>
      <c r="H88" s="112"/>
      <c r="I88" s="117"/>
      <c r="J88" s="27"/>
      <c r="K88" s="27"/>
      <c r="L88" s="27"/>
      <c r="M88" s="52"/>
      <c r="N88" s="27"/>
      <c r="O88" s="27"/>
      <c r="P88" s="27"/>
      <c r="Q88" s="52"/>
      <c r="R88" s="27"/>
      <c r="S88" s="27"/>
      <c r="T88" s="27"/>
      <c r="U88" s="52"/>
      <c r="V88" s="27"/>
      <c r="W88" s="27"/>
      <c r="X88" s="27"/>
      <c r="Y88" s="52"/>
      <c r="Z88" s="27"/>
      <c r="AA88" s="27"/>
      <c r="AB88" s="27"/>
      <c r="AC88" s="52"/>
      <c r="AD88" s="37"/>
      <c r="AE88" s="37"/>
      <c r="AF88" s="37"/>
      <c r="AG88" s="37"/>
      <c r="AH88" s="37"/>
      <c r="AI88" s="37"/>
      <c r="AJ88" s="33"/>
      <c r="AK88" s="112"/>
      <c r="AL88" s="112"/>
      <c r="AM88" s="27"/>
      <c r="AN88" s="33"/>
      <c r="AO88" s="33">
        <f t="shared" si="156"/>
        <v>0</v>
      </c>
      <c r="AP88" s="114">
        <v>0</v>
      </c>
      <c r="AQ88" s="114">
        <v>1280</v>
      </c>
      <c r="AR88" s="114">
        <f>+AQ88*0.82</f>
        <v>1049.6</v>
      </c>
      <c r="AS88" s="114">
        <f>+AR88*0.9</f>
        <v>944.64</v>
      </c>
      <c r="AT88" s="114">
        <f>+AS88*0.86</f>
        <v>812.3904</v>
      </c>
      <c r="AU88" s="132"/>
    </row>
    <row r="89" ht="12" customHeight="1" outlineLevel="1" spans="1:47">
      <c r="A89" s="29" t="s">
        <v>858</v>
      </c>
      <c r="B89" s="112"/>
      <c r="C89" s="112"/>
      <c r="D89" s="112"/>
      <c r="E89" s="117"/>
      <c r="F89" s="112"/>
      <c r="G89" s="112"/>
      <c r="H89" s="112"/>
      <c r="I89" s="117"/>
      <c r="J89" s="27"/>
      <c r="K89" s="27"/>
      <c r="L89" s="27"/>
      <c r="M89" s="52"/>
      <c r="N89" s="27"/>
      <c r="O89" s="27"/>
      <c r="P89" s="27"/>
      <c r="Q89" s="52"/>
      <c r="R89" s="27"/>
      <c r="S89" s="27"/>
      <c r="T89" s="27"/>
      <c r="U89" s="52"/>
      <c r="V89" s="27"/>
      <c r="W89" s="27"/>
      <c r="X89" s="27"/>
      <c r="Y89" s="52"/>
      <c r="Z89" s="27"/>
      <c r="AA89" s="27"/>
      <c r="AB89" s="27"/>
      <c r="AC89" s="52"/>
      <c r="AD89" s="37"/>
      <c r="AE89" s="37"/>
      <c r="AF89" s="37"/>
      <c r="AG89" s="37"/>
      <c r="AH89" s="37"/>
      <c r="AI89" s="37"/>
      <c r="AJ89" s="33"/>
      <c r="AK89" s="112"/>
      <c r="AL89" s="112"/>
      <c r="AM89" s="27"/>
      <c r="AN89" s="33"/>
      <c r="AO89" s="33"/>
      <c r="AP89" s="114"/>
      <c r="AQ89" s="114"/>
      <c r="AR89" s="114"/>
      <c r="AS89" s="114"/>
      <c r="AT89" s="114">
        <v>1450</v>
      </c>
      <c r="AU89" s="132"/>
    </row>
    <row r="90" ht="12" customHeight="1" outlineLevel="1" spans="1:46">
      <c r="A90" s="18"/>
      <c r="B90" s="112"/>
      <c r="C90" s="112"/>
      <c r="D90" s="112"/>
      <c r="E90" s="117"/>
      <c r="F90" s="112"/>
      <c r="G90" s="112"/>
      <c r="H90" s="112"/>
      <c r="I90" s="117"/>
      <c r="J90" s="27"/>
      <c r="K90" s="27"/>
      <c r="L90" s="27"/>
      <c r="M90" s="52"/>
      <c r="N90" s="27"/>
      <c r="O90" s="27"/>
      <c r="P90" s="27"/>
      <c r="Q90" s="52"/>
      <c r="R90" s="27"/>
      <c r="S90" s="27"/>
      <c r="T90" s="27"/>
      <c r="U90" s="52"/>
      <c r="V90" s="27"/>
      <c r="W90" s="27"/>
      <c r="X90" s="27"/>
      <c r="Y90" s="52"/>
      <c r="Z90" s="27"/>
      <c r="AA90" s="27"/>
      <c r="AB90" s="27"/>
      <c r="AC90" s="52"/>
      <c r="AD90" s="37"/>
      <c r="AE90" s="37"/>
      <c r="AF90" s="37"/>
      <c r="AG90" s="37"/>
      <c r="AH90" s="37"/>
      <c r="AI90" s="37"/>
      <c r="AJ90" s="33"/>
      <c r="AK90" s="112"/>
      <c r="AL90" s="112"/>
      <c r="AM90" s="27"/>
      <c r="AN90" s="33"/>
      <c r="AO90" s="27"/>
      <c r="AP90" s="27"/>
      <c r="AQ90" s="27"/>
      <c r="AR90" s="27"/>
      <c r="AS90" s="27"/>
      <c r="AT90" s="27"/>
    </row>
    <row r="91" outlineLevel="1" spans="1:46">
      <c r="A91" s="22" t="s">
        <v>868</v>
      </c>
      <c r="B91" s="112"/>
      <c r="C91" s="112"/>
      <c r="D91" s="112"/>
      <c r="E91" s="117"/>
      <c r="F91" s="112"/>
      <c r="G91" s="112"/>
      <c r="H91" s="112"/>
      <c r="I91" s="117"/>
      <c r="J91" s="112"/>
      <c r="K91" s="112"/>
      <c r="L91" s="112"/>
      <c r="M91" s="117"/>
      <c r="N91" s="112"/>
      <c r="O91" s="112"/>
      <c r="P91" s="112"/>
      <c r="Q91" s="117"/>
      <c r="R91" s="112"/>
      <c r="S91" s="112"/>
      <c r="T91" s="112"/>
      <c r="U91" s="117"/>
      <c r="V91" s="112"/>
      <c r="W91" s="112"/>
      <c r="X91" s="112"/>
      <c r="Y91" s="117"/>
      <c r="Z91" s="112"/>
      <c r="AA91" s="112"/>
      <c r="AB91" s="112"/>
      <c r="AC91" s="117"/>
      <c r="AD91" s="37"/>
      <c r="AE91" s="37"/>
      <c r="AF91" s="37"/>
      <c r="AG91" s="37"/>
      <c r="AH91" s="37"/>
      <c r="AI91" s="37"/>
      <c r="AJ91" s="33"/>
      <c r="AK91" s="33"/>
      <c r="AL91" s="33"/>
      <c r="AM91" s="33">
        <f>+AM52/AM62</f>
        <v>493.020512820513</v>
      </c>
      <c r="AN91" s="33">
        <f t="shared" ref="AN91:AT91" si="157">+AN52/AN62</f>
        <v>566.382978723404</v>
      </c>
      <c r="AO91" s="33">
        <f t="shared" si="157"/>
        <v>659.711792644864</v>
      </c>
      <c r="AP91" s="33">
        <f t="shared" si="157"/>
        <v>1994.05717385688</v>
      </c>
      <c r="AQ91" s="33">
        <f t="shared" si="157"/>
        <v>2744.17181908895</v>
      </c>
      <c r="AR91" s="33">
        <f t="shared" si="157"/>
        <v>3935.79861222027</v>
      </c>
      <c r="AS91" s="33">
        <f t="shared" si="157"/>
        <v>4395.51734973368</v>
      </c>
      <c r="AT91" s="33">
        <f t="shared" si="157"/>
        <v>4250.58163227142</v>
      </c>
    </row>
    <row r="92" outlineLevel="1" spans="1:46">
      <c r="A92" s="29" t="s">
        <v>851</v>
      </c>
      <c r="B92" s="113">
        <v>346</v>
      </c>
      <c r="C92" s="113">
        <v>346</v>
      </c>
      <c r="D92" s="113">
        <v>346</v>
      </c>
      <c r="E92" s="118">
        <v>346</v>
      </c>
      <c r="F92" s="33">
        <f t="shared" ref="F92:I98" si="158">+$AO92</f>
        <v>328.7</v>
      </c>
      <c r="G92" s="33">
        <f t="shared" si="158"/>
        <v>328.7</v>
      </c>
      <c r="H92" s="33">
        <f t="shared" si="158"/>
        <v>328.7</v>
      </c>
      <c r="I92" s="57">
        <f t="shared" si="158"/>
        <v>328.7</v>
      </c>
      <c r="J92" s="33">
        <f t="shared" ref="J92:M98" si="159">+$AP92</f>
        <v>312.265</v>
      </c>
      <c r="K92" s="33">
        <f t="shared" si="159"/>
        <v>312.265</v>
      </c>
      <c r="L92" s="33">
        <f t="shared" si="159"/>
        <v>312.265</v>
      </c>
      <c r="M92" s="57">
        <f t="shared" si="159"/>
        <v>312.265</v>
      </c>
      <c r="N92" s="33">
        <f t="shared" ref="N92:Q98" si="160">+$AQ92</f>
        <v>296.65175</v>
      </c>
      <c r="O92" s="33">
        <f t="shared" si="160"/>
        <v>296.65175</v>
      </c>
      <c r="P92" s="33">
        <f t="shared" si="160"/>
        <v>296.65175</v>
      </c>
      <c r="Q92" s="57">
        <f t="shared" si="160"/>
        <v>296.65175</v>
      </c>
      <c r="R92" s="33">
        <f t="shared" ref="R92:U98" si="161">+$AR92</f>
        <v>281.8191625</v>
      </c>
      <c r="S92" s="33">
        <f t="shared" si="161"/>
        <v>281.8191625</v>
      </c>
      <c r="T92" s="33">
        <f t="shared" si="161"/>
        <v>281.8191625</v>
      </c>
      <c r="U92" s="57">
        <f t="shared" si="161"/>
        <v>281.8191625</v>
      </c>
      <c r="V92" s="33">
        <f t="shared" ref="V92:X98" si="162">+$AS92</f>
        <v>267.728204375</v>
      </c>
      <c r="W92" s="33">
        <f t="shared" si="162"/>
        <v>267.728204375</v>
      </c>
      <c r="X92" s="33">
        <f t="shared" si="162"/>
        <v>267.728204375</v>
      </c>
      <c r="Y92" s="57">
        <f t="shared" ref="Y92:Y98" si="163">+$AS92</f>
        <v>267.728204375</v>
      </c>
      <c r="Z92" s="33">
        <f t="shared" ref="Z92:Z95" si="164">+$AT92</f>
        <v>254.34179415625</v>
      </c>
      <c r="AA92" s="33">
        <f t="shared" ref="AA92:AC95" si="165">+$AT92</f>
        <v>254.34179415625</v>
      </c>
      <c r="AB92" s="33">
        <f t="shared" si="165"/>
        <v>254.34179415625</v>
      </c>
      <c r="AC92" s="57">
        <f t="shared" si="165"/>
        <v>254.34179415625</v>
      </c>
      <c r="AD92" s="33"/>
      <c r="AE92" s="33"/>
      <c r="AF92" s="33"/>
      <c r="AG92" s="33"/>
      <c r="AH92" s="33"/>
      <c r="AI92" s="33"/>
      <c r="AJ92" s="33"/>
      <c r="AK92" s="130"/>
      <c r="AL92" s="130"/>
      <c r="AM92" s="33">
        <v>346.5</v>
      </c>
      <c r="AN92" s="33">
        <v>346</v>
      </c>
      <c r="AO92" s="33">
        <f t="shared" ref="AO92:AT92" si="166">+AN92*(1+AO102)</f>
        <v>328.7</v>
      </c>
      <c r="AP92" s="33">
        <f t="shared" si="166"/>
        <v>312.265</v>
      </c>
      <c r="AQ92" s="33">
        <f t="shared" si="166"/>
        <v>296.65175</v>
      </c>
      <c r="AR92" s="33">
        <f t="shared" si="166"/>
        <v>281.8191625</v>
      </c>
      <c r="AS92" s="33">
        <f t="shared" si="166"/>
        <v>267.728204375</v>
      </c>
      <c r="AT92" s="33">
        <f t="shared" si="166"/>
        <v>254.34179415625</v>
      </c>
    </row>
    <row r="93" outlineLevel="1" spans="1:46">
      <c r="A93" s="29" t="s">
        <v>852</v>
      </c>
      <c r="B93" s="113">
        <v>560</v>
      </c>
      <c r="C93" s="113">
        <v>560</v>
      </c>
      <c r="D93" s="113">
        <v>560</v>
      </c>
      <c r="E93" s="118">
        <v>560</v>
      </c>
      <c r="F93" s="33">
        <f t="shared" si="158"/>
        <v>532</v>
      </c>
      <c r="G93" s="33">
        <f t="shared" si="158"/>
        <v>532</v>
      </c>
      <c r="H93" s="33">
        <f t="shared" si="158"/>
        <v>532</v>
      </c>
      <c r="I93" s="57">
        <f t="shared" si="158"/>
        <v>532</v>
      </c>
      <c r="J93" s="33">
        <f t="shared" si="159"/>
        <v>505.4</v>
      </c>
      <c r="K93" s="33">
        <f t="shared" si="159"/>
        <v>505.4</v>
      </c>
      <c r="L93" s="33">
        <f t="shared" si="159"/>
        <v>505.4</v>
      </c>
      <c r="M93" s="57">
        <f t="shared" si="159"/>
        <v>505.4</v>
      </c>
      <c r="N93" s="33">
        <f t="shared" si="160"/>
        <v>480.13</v>
      </c>
      <c r="O93" s="33">
        <f t="shared" si="160"/>
        <v>480.13</v>
      </c>
      <c r="P93" s="33">
        <f t="shared" si="160"/>
        <v>480.13</v>
      </c>
      <c r="Q93" s="57">
        <f t="shared" si="160"/>
        <v>480.13</v>
      </c>
      <c r="R93" s="33">
        <f t="shared" si="161"/>
        <v>456.1235</v>
      </c>
      <c r="S93" s="33">
        <f t="shared" si="161"/>
        <v>456.1235</v>
      </c>
      <c r="T93" s="33">
        <f t="shared" si="161"/>
        <v>456.1235</v>
      </c>
      <c r="U93" s="57">
        <f t="shared" si="161"/>
        <v>456.1235</v>
      </c>
      <c r="V93" s="33">
        <f t="shared" si="162"/>
        <v>433.317325</v>
      </c>
      <c r="W93" s="33">
        <f t="shared" si="162"/>
        <v>433.317325</v>
      </c>
      <c r="X93" s="33">
        <f t="shared" si="162"/>
        <v>433.317325</v>
      </c>
      <c r="Y93" s="57">
        <f t="shared" si="163"/>
        <v>433.317325</v>
      </c>
      <c r="Z93" s="33">
        <f t="shared" si="164"/>
        <v>411.65145875</v>
      </c>
      <c r="AA93" s="33">
        <f t="shared" si="165"/>
        <v>411.65145875</v>
      </c>
      <c r="AB93" s="33">
        <f t="shared" si="165"/>
        <v>411.65145875</v>
      </c>
      <c r="AC93" s="57">
        <f t="shared" si="165"/>
        <v>411.65145875</v>
      </c>
      <c r="AD93" s="33"/>
      <c r="AE93" s="33"/>
      <c r="AF93" s="33"/>
      <c r="AG93" s="33"/>
      <c r="AH93" s="33"/>
      <c r="AI93" s="33"/>
      <c r="AJ93" s="33"/>
      <c r="AK93" s="33"/>
      <c r="AL93" s="33"/>
      <c r="AM93" s="33">
        <v>567</v>
      </c>
      <c r="AN93" s="33">
        <f>80*7</f>
        <v>560</v>
      </c>
      <c r="AO93" s="33">
        <f t="shared" ref="AO93:AT93" si="167">+AN93*(1+AO103)</f>
        <v>532</v>
      </c>
      <c r="AP93" s="33">
        <f t="shared" si="167"/>
        <v>505.4</v>
      </c>
      <c r="AQ93" s="33">
        <f t="shared" si="167"/>
        <v>480.13</v>
      </c>
      <c r="AR93" s="33">
        <f t="shared" si="167"/>
        <v>456.1235</v>
      </c>
      <c r="AS93" s="33">
        <f t="shared" si="167"/>
        <v>433.317325</v>
      </c>
      <c r="AT93" s="33">
        <f t="shared" si="167"/>
        <v>411.65145875</v>
      </c>
    </row>
    <row r="94" outlineLevel="1" spans="1:46">
      <c r="A94" s="29" t="s">
        <v>853</v>
      </c>
      <c r="B94" s="113">
        <v>840</v>
      </c>
      <c r="C94" s="113">
        <v>840</v>
      </c>
      <c r="D94" s="113">
        <v>840</v>
      </c>
      <c r="E94" s="118">
        <v>840</v>
      </c>
      <c r="F94" s="33">
        <f t="shared" si="158"/>
        <v>490</v>
      </c>
      <c r="G94" s="33">
        <f t="shared" si="158"/>
        <v>490</v>
      </c>
      <c r="H94" s="33">
        <f t="shared" si="158"/>
        <v>490</v>
      </c>
      <c r="I94" s="57">
        <f t="shared" si="158"/>
        <v>490</v>
      </c>
      <c r="J94" s="33">
        <f t="shared" si="159"/>
        <v>465.5</v>
      </c>
      <c r="K94" s="33">
        <f t="shared" si="159"/>
        <v>465.5</v>
      </c>
      <c r="L94" s="33">
        <f t="shared" si="159"/>
        <v>465.5</v>
      </c>
      <c r="M94" s="57">
        <f t="shared" si="159"/>
        <v>465.5</v>
      </c>
      <c r="N94" s="33">
        <f t="shared" si="160"/>
        <v>442.225</v>
      </c>
      <c r="O94" s="33">
        <f t="shared" si="160"/>
        <v>442.225</v>
      </c>
      <c r="P94" s="33">
        <f t="shared" si="160"/>
        <v>442.225</v>
      </c>
      <c r="Q94" s="57">
        <f t="shared" si="160"/>
        <v>442.225</v>
      </c>
      <c r="R94" s="33">
        <f t="shared" si="161"/>
        <v>420.11375</v>
      </c>
      <c r="S94" s="33">
        <f t="shared" si="161"/>
        <v>420.11375</v>
      </c>
      <c r="T94" s="33">
        <f t="shared" si="161"/>
        <v>420.11375</v>
      </c>
      <c r="U94" s="57">
        <f t="shared" si="161"/>
        <v>420.11375</v>
      </c>
      <c r="V94" s="33">
        <f t="shared" si="162"/>
        <v>399.1080625</v>
      </c>
      <c r="W94" s="33">
        <f t="shared" si="162"/>
        <v>399.1080625</v>
      </c>
      <c r="X94" s="33">
        <f t="shared" si="162"/>
        <v>399.1080625</v>
      </c>
      <c r="Y94" s="57">
        <f t="shared" si="163"/>
        <v>399.1080625</v>
      </c>
      <c r="Z94" s="33">
        <f t="shared" si="164"/>
        <v>379.152659375</v>
      </c>
      <c r="AA94" s="33">
        <f t="shared" si="165"/>
        <v>379.152659375</v>
      </c>
      <c r="AB94" s="33">
        <f t="shared" si="165"/>
        <v>379.152659375</v>
      </c>
      <c r="AC94" s="57">
        <f t="shared" si="165"/>
        <v>379.152659375</v>
      </c>
      <c r="AD94" s="37"/>
      <c r="AE94" s="37"/>
      <c r="AF94" s="37"/>
      <c r="AG94" s="37"/>
      <c r="AH94" s="37"/>
      <c r="AI94" s="37"/>
      <c r="AJ94" s="33"/>
      <c r="AK94" s="33"/>
      <c r="AL94" s="131"/>
      <c r="AM94" s="33">
        <f>+AN94/0.9</f>
        <v>933.333333333333</v>
      </c>
      <c r="AN94" s="33">
        <f>120*7</f>
        <v>840</v>
      </c>
      <c r="AO94" s="33">
        <f>70*7</f>
        <v>490</v>
      </c>
      <c r="AP94" s="33">
        <f t="shared" ref="AP94:AT94" si="168">+AO94*(1+AP104)</f>
        <v>465.5</v>
      </c>
      <c r="AQ94" s="33">
        <f t="shared" si="168"/>
        <v>442.225</v>
      </c>
      <c r="AR94" s="33">
        <f t="shared" si="168"/>
        <v>420.11375</v>
      </c>
      <c r="AS94" s="33">
        <f t="shared" si="168"/>
        <v>399.1080625</v>
      </c>
      <c r="AT94" s="33">
        <f t="shared" si="168"/>
        <v>379.152659375</v>
      </c>
    </row>
    <row r="95" outlineLevel="1" spans="1:46">
      <c r="A95" s="29" t="s">
        <v>854</v>
      </c>
      <c r="B95" s="113">
        <v>1540</v>
      </c>
      <c r="C95" s="113">
        <v>1540</v>
      </c>
      <c r="D95" s="113">
        <v>1540</v>
      </c>
      <c r="E95" s="118">
        <v>1540</v>
      </c>
      <c r="F95" s="33">
        <f t="shared" si="158"/>
        <v>1314</v>
      </c>
      <c r="G95" s="33">
        <f t="shared" si="158"/>
        <v>1314</v>
      </c>
      <c r="H95" s="33">
        <f t="shared" si="158"/>
        <v>1314</v>
      </c>
      <c r="I95" s="57">
        <f t="shared" si="158"/>
        <v>1314</v>
      </c>
      <c r="J95" s="33">
        <f t="shared" si="159"/>
        <v>1182.6</v>
      </c>
      <c r="K95" s="33">
        <f t="shared" si="159"/>
        <v>1182.6</v>
      </c>
      <c r="L95" s="33">
        <f t="shared" si="159"/>
        <v>1182.6</v>
      </c>
      <c r="M95" s="57">
        <f t="shared" si="159"/>
        <v>1182.6</v>
      </c>
      <c r="N95" s="33">
        <f t="shared" si="160"/>
        <v>1064.34</v>
      </c>
      <c r="O95" s="33">
        <f t="shared" si="160"/>
        <v>1064.34</v>
      </c>
      <c r="P95" s="33">
        <f t="shared" si="160"/>
        <v>1064.34</v>
      </c>
      <c r="Q95" s="57">
        <f t="shared" si="160"/>
        <v>1064.34</v>
      </c>
      <c r="R95" s="33">
        <f t="shared" si="161"/>
        <v>1011.123</v>
      </c>
      <c r="S95" s="33">
        <f t="shared" si="161"/>
        <v>1011.123</v>
      </c>
      <c r="T95" s="33">
        <f t="shared" si="161"/>
        <v>1011.123</v>
      </c>
      <c r="U95" s="57">
        <f t="shared" si="161"/>
        <v>1011.123</v>
      </c>
      <c r="V95" s="33">
        <f t="shared" si="162"/>
        <v>960.56685</v>
      </c>
      <c r="W95" s="33">
        <f t="shared" si="162"/>
        <v>960.56685</v>
      </c>
      <c r="X95" s="33">
        <f t="shared" si="162"/>
        <v>960.56685</v>
      </c>
      <c r="Y95" s="57">
        <f t="shared" si="163"/>
        <v>960.56685</v>
      </c>
      <c r="Z95" s="33">
        <f t="shared" si="164"/>
        <v>912.5385075</v>
      </c>
      <c r="AA95" s="33">
        <f t="shared" si="165"/>
        <v>912.5385075</v>
      </c>
      <c r="AB95" s="33">
        <f t="shared" si="165"/>
        <v>912.5385075</v>
      </c>
      <c r="AC95" s="57">
        <f t="shared" si="165"/>
        <v>912.5385075</v>
      </c>
      <c r="AD95" s="37"/>
      <c r="AE95" s="37"/>
      <c r="AF95" s="37"/>
      <c r="AG95" s="37"/>
      <c r="AH95" s="37"/>
      <c r="AI95" s="37"/>
      <c r="AJ95" s="33"/>
      <c r="AK95" s="33"/>
      <c r="AL95" s="32"/>
      <c r="AM95" s="33">
        <f>250*7</f>
        <v>1750</v>
      </c>
      <c r="AN95" s="33">
        <f>220*7</f>
        <v>1540</v>
      </c>
      <c r="AO95" s="33">
        <v>1314</v>
      </c>
      <c r="AP95" s="33">
        <v>1182.6</v>
      </c>
      <c r="AQ95" s="33">
        <v>1064.34</v>
      </c>
      <c r="AR95" s="33">
        <v>1011.123</v>
      </c>
      <c r="AS95" s="33">
        <v>960.56685</v>
      </c>
      <c r="AT95" s="33">
        <f>AS95*0.95</f>
        <v>912.5385075</v>
      </c>
    </row>
    <row r="96" outlineLevel="1" spans="1:46">
      <c r="A96" s="29" t="s">
        <v>855</v>
      </c>
      <c r="B96" s="113">
        <v>3640</v>
      </c>
      <c r="C96" s="113">
        <v>3640</v>
      </c>
      <c r="D96" s="113">
        <v>3640</v>
      </c>
      <c r="E96" s="118">
        <v>3640</v>
      </c>
      <c r="F96" s="33">
        <f t="shared" ref="F96:F98" si="169">+$AO96</f>
        <v>2628</v>
      </c>
      <c r="G96" s="33">
        <f t="shared" si="158"/>
        <v>2628</v>
      </c>
      <c r="H96" s="33">
        <f t="shared" si="158"/>
        <v>2628</v>
      </c>
      <c r="I96" s="57">
        <f t="shared" si="158"/>
        <v>2628</v>
      </c>
      <c r="J96" s="33">
        <f>+I96*0.93</f>
        <v>2444.04</v>
      </c>
      <c r="K96" s="33">
        <f t="shared" si="159"/>
        <v>2233.8</v>
      </c>
      <c r="L96" s="33">
        <f t="shared" si="159"/>
        <v>2233.8</v>
      </c>
      <c r="M96" s="57">
        <f t="shared" si="159"/>
        <v>2233.8</v>
      </c>
      <c r="N96" s="33">
        <f>+M96*0.97</f>
        <v>2166.786</v>
      </c>
      <c r="O96" s="33">
        <f t="shared" si="160"/>
        <v>1898.73</v>
      </c>
      <c r="P96" s="33">
        <f t="shared" si="160"/>
        <v>1898.73</v>
      </c>
      <c r="Q96" s="57">
        <f t="shared" si="160"/>
        <v>1898.73</v>
      </c>
      <c r="R96" s="33">
        <f t="shared" ref="R96:R98" si="170">+Q96*0.93</f>
        <v>1765.8189</v>
      </c>
      <c r="S96" s="33">
        <f t="shared" si="161"/>
        <v>1708.857</v>
      </c>
      <c r="T96" s="33">
        <f t="shared" si="161"/>
        <v>1708.857</v>
      </c>
      <c r="U96" s="57">
        <f t="shared" si="161"/>
        <v>1708.857</v>
      </c>
      <c r="V96" s="33">
        <f>+U96*0.97</f>
        <v>1657.59129</v>
      </c>
      <c r="W96" s="33">
        <f>+$AS96</f>
        <v>1623.41415</v>
      </c>
      <c r="X96" s="33">
        <f t="shared" si="162"/>
        <v>1623.41415</v>
      </c>
      <c r="Y96" s="57">
        <f t="shared" si="163"/>
        <v>1623.41415</v>
      </c>
      <c r="Z96" s="33">
        <f t="shared" ref="Z96:Z98" si="171">$AT96</f>
        <v>1542.2434425</v>
      </c>
      <c r="AA96" s="33">
        <f t="shared" ref="AA96:AC98" si="172">$AT96</f>
        <v>1542.2434425</v>
      </c>
      <c r="AB96" s="33">
        <f t="shared" si="172"/>
        <v>1542.2434425</v>
      </c>
      <c r="AC96" s="57">
        <f t="shared" si="172"/>
        <v>1542.2434425</v>
      </c>
      <c r="AD96" s="37"/>
      <c r="AE96" s="37"/>
      <c r="AF96" s="37"/>
      <c r="AG96" s="37"/>
      <c r="AH96" s="37"/>
      <c r="AI96" s="37"/>
      <c r="AJ96" s="33"/>
      <c r="AK96" s="33"/>
      <c r="AL96" s="32"/>
      <c r="AM96" s="33">
        <f>650*7</f>
        <v>4550</v>
      </c>
      <c r="AN96" s="33">
        <f>520*7</f>
        <v>3640</v>
      </c>
      <c r="AO96" s="33">
        <v>2628</v>
      </c>
      <c r="AP96" s="33">
        <f t="shared" ref="AP96:AR98" si="173">+AP86*7.3</f>
        <v>2233.8</v>
      </c>
      <c r="AQ96" s="33">
        <f t="shared" si="173"/>
        <v>1898.73</v>
      </c>
      <c r="AR96" s="33">
        <f t="shared" si="173"/>
        <v>1708.857</v>
      </c>
      <c r="AS96" s="33">
        <f t="shared" ref="AS96:AS98" si="174">+AS86*7.3</f>
        <v>1623.41415</v>
      </c>
      <c r="AT96" s="33">
        <f>AS96*0.95</f>
        <v>1542.2434425</v>
      </c>
    </row>
    <row r="97" outlineLevel="1" spans="1:46">
      <c r="A97" s="29" t="s">
        <v>856</v>
      </c>
      <c r="B97" s="113"/>
      <c r="C97" s="113"/>
      <c r="D97" s="113"/>
      <c r="E97" s="118"/>
      <c r="F97" s="33">
        <f t="shared" si="169"/>
        <v>5152.94117647059</v>
      </c>
      <c r="G97" s="33">
        <f t="shared" si="158"/>
        <v>5152.94117647059</v>
      </c>
      <c r="H97" s="33">
        <f t="shared" si="158"/>
        <v>5152.94117647059</v>
      </c>
      <c r="I97" s="57">
        <f t="shared" si="158"/>
        <v>5152.94117647059</v>
      </c>
      <c r="J97" s="33">
        <f>+$AP97</f>
        <v>4380</v>
      </c>
      <c r="K97" s="33">
        <f t="shared" si="159"/>
        <v>4380</v>
      </c>
      <c r="L97" s="33">
        <f t="shared" si="159"/>
        <v>4380</v>
      </c>
      <c r="M97" s="57">
        <f t="shared" si="159"/>
        <v>4380</v>
      </c>
      <c r="N97" s="33">
        <f>+M97*0.93</f>
        <v>4073.4</v>
      </c>
      <c r="O97" s="33">
        <f t="shared" si="160"/>
        <v>3723</v>
      </c>
      <c r="P97" s="33">
        <f t="shared" si="160"/>
        <v>3723</v>
      </c>
      <c r="Q97" s="57">
        <f t="shared" si="160"/>
        <v>3723</v>
      </c>
      <c r="R97" s="33">
        <f t="shared" si="170"/>
        <v>3462.39</v>
      </c>
      <c r="S97" s="33">
        <f t="shared" si="161"/>
        <v>3052.86</v>
      </c>
      <c r="T97" s="33">
        <f t="shared" si="161"/>
        <v>3052.86</v>
      </c>
      <c r="U97" s="57">
        <f t="shared" si="161"/>
        <v>3052.86</v>
      </c>
      <c r="V97" s="33">
        <f>+U97*0.93</f>
        <v>2839.1598</v>
      </c>
      <c r="W97" s="33">
        <f>+$AS97</f>
        <v>2747.574</v>
      </c>
      <c r="X97" s="33">
        <f>+$AS97</f>
        <v>2747.574</v>
      </c>
      <c r="Y97" s="57">
        <f t="shared" si="163"/>
        <v>2747.574</v>
      </c>
      <c r="Z97" s="33">
        <f t="shared" si="171"/>
        <v>2335.4379</v>
      </c>
      <c r="AA97" s="33">
        <f t="shared" si="172"/>
        <v>2335.4379</v>
      </c>
      <c r="AB97" s="33">
        <f t="shared" si="172"/>
        <v>2335.4379</v>
      </c>
      <c r="AC97" s="57">
        <f t="shared" si="172"/>
        <v>2335.4379</v>
      </c>
      <c r="AD97" s="37"/>
      <c r="AE97" s="37"/>
      <c r="AF97" s="37"/>
      <c r="AG97" s="37"/>
      <c r="AH97" s="37"/>
      <c r="AI97" s="37"/>
      <c r="AJ97" s="33"/>
      <c r="AK97" s="33"/>
      <c r="AL97" s="32"/>
      <c r="AM97" s="33">
        <v>0</v>
      </c>
      <c r="AN97" s="33">
        <v>0</v>
      </c>
      <c r="AO97" s="33">
        <f>+AP97/0.85</f>
        <v>5152.94117647059</v>
      </c>
      <c r="AP97" s="33">
        <f t="shared" si="173"/>
        <v>4380</v>
      </c>
      <c r="AQ97" s="33">
        <f t="shared" si="173"/>
        <v>3723</v>
      </c>
      <c r="AR97" s="33">
        <f t="shared" si="173"/>
        <v>3052.86</v>
      </c>
      <c r="AS97" s="33">
        <f t="shared" si="174"/>
        <v>2747.574</v>
      </c>
      <c r="AT97" s="33">
        <f t="shared" ref="AT97:AT99" si="175">+AT87*7.3</f>
        <v>2335.4379</v>
      </c>
    </row>
    <row r="98" outlineLevel="1" spans="1:46">
      <c r="A98" s="29" t="s">
        <v>857</v>
      </c>
      <c r="B98" s="113"/>
      <c r="C98" s="113"/>
      <c r="D98" s="113"/>
      <c r="E98" s="118"/>
      <c r="F98" s="33">
        <f t="shared" si="169"/>
        <v>0</v>
      </c>
      <c r="G98" s="33">
        <f t="shared" si="158"/>
        <v>0</v>
      </c>
      <c r="H98" s="33">
        <f t="shared" si="158"/>
        <v>0</v>
      </c>
      <c r="I98" s="57">
        <f t="shared" si="158"/>
        <v>0</v>
      </c>
      <c r="J98" s="33">
        <f>+$AP98</f>
        <v>0</v>
      </c>
      <c r="K98" s="33">
        <f t="shared" si="159"/>
        <v>0</v>
      </c>
      <c r="L98" s="33">
        <f t="shared" si="159"/>
        <v>0</v>
      </c>
      <c r="M98" s="57">
        <f t="shared" si="159"/>
        <v>0</v>
      </c>
      <c r="N98" s="33">
        <f>+$AQ98</f>
        <v>9344</v>
      </c>
      <c r="O98" s="33">
        <f t="shared" si="160"/>
        <v>9344</v>
      </c>
      <c r="P98" s="33">
        <f t="shared" si="160"/>
        <v>9344</v>
      </c>
      <c r="Q98" s="57">
        <f t="shared" si="160"/>
        <v>9344</v>
      </c>
      <c r="R98" s="33">
        <f t="shared" si="170"/>
        <v>8689.92</v>
      </c>
      <c r="S98" s="33">
        <f t="shared" si="161"/>
        <v>7662.08</v>
      </c>
      <c r="T98" s="33">
        <f t="shared" si="161"/>
        <v>7662.08</v>
      </c>
      <c r="U98" s="57">
        <f t="shared" si="161"/>
        <v>7662.08</v>
      </c>
      <c r="V98" s="33">
        <f>+U98*0.93</f>
        <v>7125.7344</v>
      </c>
      <c r="W98" s="33">
        <f t="shared" si="162"/>
        <v>6895.872</v>
      </c>
      <c r="X98" s="33">
        <f t="shared" si="162"/>
        <v>6895.872</v>
      </c>
      <c r="Y98" s="57">
        <f t="shared" si="163"/>
        <v>6895.872</v>
      </c>
      <c r="Z98" s="33">
        <f t="shared" si="171"/>
        <v>5930.44992</v>
      </c>
      <c r="AA98" s="33">
        <f t="shared" si="172"/>
        <v>5930.44992</v>
      </c>
      <c r="AB98" s="33">
        <f t="shared" si="172"/>
        <v>5930.44992</v>
      </c>
      <c r="AC98" s="57">
        <f t="shared" si="172"/>
        <v>5930.44992</v>
      </c>
      <c r="AD98" s="37"/>
      <c r="AE98" s="37"/>
      <c r="AF98" s="37"/>
      <c r="AG98" s="37"/>
      <c r="AH98" s="37"/>
      <c r="AI98" s="37"/>
      <c r="AJ98" s="33"/>
      <c r="AK98" s="33"/>
      <c r="AL98" s="32"/>
      <c r="AM98" s="33">
        <v>0</v>
      </c>
      <c r="AN98" s="33">
        <v>0</v>
      </c>
      <c r="AO98" s="33">
        <v>0</v>
      </c>
      <c r="AP98" s="33">
        <f t="shared" si="173"/>
        <v>0</v>
      </c>
      <c r="AQ98" s="33">
        <f t="shared" si="173"/>
        <v>9344</v>
      </c>
      <c r="AR98" s="33">
        <f t="shared" si="173"/>
        <v>7662.08</v>
      </c>
      <c r="AS98" s="33">
        <f t="shared" si="174"/>
        <v>6895.872</v>
      </c>
      <c r="AT98" s="33">
        <f t="shared" si="175"/>
        <v>5930.44992</v>
      </c>
    </row>
    <row r="99" outlineLevel="1" spans="1:46">
      <c r="A99" s="29" t="s">
        <v>858</v>
      </c>
      <c r="B99" s="113"/>
      <c r="C99" s="113"/>
      <c r="D99" s="113"/>
      <c r="E99" s="118"/>
      <c r="F99" s="33"/>
      <c r="G99" s="33"/>
      <c r="H99" s="33"/>
      <c r="I99" s="57"/>
      <c r="J99" s="33"/>
      <c r="K99" s="33"/>
      <c r="L99" s="33"/>
      <c r="M99" s="57"/>
      <c r="N99" s="33"/>
      <c r="O99" s="33"/>
      <c r="P99" s="33"/>
      <c r="Q99" s="57"/>
      <c r="R99" s="33"/>
      <c r="S99" s="33"/>
      <c r="T99" s="33"/>
      <c r="U99" s="57"/>
      <c r="V99" s="33"/>
      <c r="W99" s="33"/>
      <c r="X99" s="33"/>
      <c r="Y99" s="57"/>
      <c r="Z99" s="33"/>
      <c r="AA99" s="33">
        <f>$AT99</f>
        <v>10585</v>
      </c>
      <c r="AB99" s="33">
        <f>AA99</f>
        <v>10585</v>
      </c>
      <c r="AC99" s="57">
        <f>AB99</f>
        <v>10585</v>
      </c>
      <c r="AD99" s="37"/>
      <c r="AE99" s="37"/>
      <c r="AF99" s="37"/>
      <c r="AG99" s="37"/>
      <c r="AH99" s="37"/>
      <c r="AI99" s="37"/>
      <c r="AJ99" s="33"/>
      <c r="AK99" s="33"/>
      <c r="AL99" s="32"/>
      <c r="AM99" s="33"/>
      <c r="AN99" s="33"/>
      <c r="AO99" s="33"/>
      <c r="AP99" s="33"/>
      <c r="AQ99" s="33"/>
      <c r="AR99" s="33"/>
      <c r="AS99" s="33"/>
      <c r="AT99" s="33">
        <f t="shared" si="175"/>
        <v>10585</v>
      </c>
    </row>
    <row r="100" outlineLevel="1" spans="1:46">
      <c r="A100" s="18"/>
      <c r="B100" s="33"/>
      <c r="C100" s="33"/>
      <c r="D100" s="33"/>
      <c r="E100" s="57"/>
      <c r="F100" s="33"/>
      <c r="G100" s="33"/>
      <c r="H100" s="33"/>
      <c r="I100" s="57"/>
      <c r="J100" s="27"/>
      <c r="K100" s="32"/>
      <c r="L100" s="33"/>
      <c r="M100" s="57"/>
      <c r="N100" s="27"/>
      <c r="O100" s="33"/>
      <c r="P100" s="33"/>
      <c r="Q100" s="57"/>
      <c r="R100" s="33"/>
      <c r="S100" s="27"/>
      <c r="T100" s="33"/>
      <c r="U100" s="57"/>
      <c r="V100" s="33"/>
      <c r="W100" s="33"/>
      <c r="X100" s="33"/>
      <c r="Y100" s="57"/>
      <c r="Z100" s="33"/>
      <c r="AA100" s="33"/>
      <c r="AB100" s="33"/>
      <c r="AC100" s="57"/>
      <c r="AD100" s="37"/>
      <c r="AE100" s="37"/>
      <c r="AF100" s="37"/>
      <c r="AG100" s="37"/>
      <c r="AH100" s="37"/>
      <c r="AI100" s="37"/>
      <c r="AJ100" s="33"/>
      <c r="AK100" s="33"/>
      <c r="AL100" s="32"/>
      <c r="AM100" s="32"/>
      <c r="AN100" s="32"/>
      <c r="AO100" s="32"/>
      <c r="AP100" s="32"/>
      <c r="AQ100" s="32"/>
      <c r="AR100" s="32"/>
      <c r="AS100" s="32"/>
      <c r="AT100" s="32"/>
    </row>
    <row r="101" outlineLevel="1" spans="1:46">
      <c r="A101" s="22" t="s">
        <v>869</v>
      </c>
      <c r="B101" s="33"/>
      <c r="C101" s="33"/>
      <c r="D101" s="33"/>
      <c r="E101" s="57"/>
      <c r="F101" s="33"/>
      <c r="G101" s="33"/>
      <c r="H101" s="33"/>
      <c r="I101" s="57"/>
      <c r="J101" s="33"/>
      <c r="K101" s="33"/>
      <c r="L101" s="33"/>
      <c r="M101" s="57"/>
      <c r="N101" s="33"/>
      <c r="O101" s="33"/>
      <c r="P101" s="33"/>
      <c r="Q101" s="57"/>
      <c r="R101" s="33"/>
      <c r="S101" s="33"/>
      <c r="T101" s="33"/>
      <c r="U101" s="57"/>
      <c r="V101" s="33"/>
      <c r="W101" s="33"/>
      <c r="X101" s="33"/>
      <c r="Y101" s="57"/>
      <c r="Z101" s="33"/>
      <c r="AA101" s="33"/>
      <c r="AB101" s="33"/>
      <c r="AC101" s="57"/>
      <c r="AD101" s="33"/>
      <c r="AE101" s="33"/>
      <c r="AF101" s="33"/>
      <c r="AG101" s="33"/>
      <c r="AH101" s="33"/>
      <c r="AI101" s="33"/>
      <c r="AJ101" s="33"/>
      <c r="AK101" s="33"/>
      <c r="AL101" s="32"/>
      <c r="AM101" s="32"/>
      <c r="AN101" s="32"/>
      <c r="AO101" s="32"/>
      <c r="AP101" s="32"/>
      <c r="AQ101" s="27"/>
      <c r="AR101" s="32"/>
      <c r="AS101" s="32"/>
      <c r="AT101" s="32"/>
    </row>
    <row r="102" outlineLevel="1" spans="1:46">
      <c r="A102" s="29" t="s">
        <v>851</v>
      </c>
      <c r="B102" s="33"/>
      <c r="C102" s="27">
        <f t="shared" ref="C102:C106" si="176">+C92/B92-1</f>
        <v>0</v>
      </c>
      <c r="D102" s="27">
        <f t="shared" ref="D102:Y108" si="177">+D92/C92-1</f>
        <v>0</v>
      </c>
      <c r="E102" s="52">
        <f t="shared" si="177"/>
        <v>0</v>
      </c>
      <c r="F102" s="27">
        <f t="shared" si="177"/>
        <v>-0.05</v>
      </c>
      <c r="G102" s="27">
        <f t="shared" si="177"/>
        <v>0</v>
      </c>
      <c r="H102" s="27">
        <f t="shared" si="177"/>
        <v>0</v>
      </c>
      <c r="I102" s="52">
        <f t="shared" si="177"/>
        <v>0</v>
      </c>
      <c r="J102" s="27">
        <f t="shared" si="177"/>
        <v>-0.05</v>
      </c>
      <c r="K102" s="27">
        <f t="shared" si="177"/>
        <v>0</v>
      </c>
      <c r="L102" s="27">
        <f t="shared" si="177"/>
        <v>0</v>
      </c>
      <c r="M102" s="52">
        <f t="shared" si="177"/>
        <v>0</v>
      </c>
      <c r="N102" s="27">
        <f t="shared" si="177"/>
        <v>-0.0499999999999999</v>
      </c>
      <c r="O102" s="27">
        <f t="shared" si="177"/>
        <v>0</v>
      </c>
      <c r="P102" s="27">
        <f t="shared" si="177"/>
        <v>0</v>
      </c>
      <c r="Q102" s="52">
        <f t="shared" si="177"/>
        <v>0</v>
      </c>
      <c r="R102" s="27">
        <f t="shared" si="177"/>
        <v>-0.0499999999999999</v>
      </c>
      <c r="S102" s="27">
        <f t="shared" si="177"/>
        <v>0</v>
      </c>
      <c r="T102" s="27">
        <f t="shared" si="177"/>
        <v>0</v>
      </c>
      <c r="U102" s="52">
        <f t="shared" si="177"/>
        <v>0</v>
      </c>
      <c r="V102" s="27">
        <f t="shared" si="177"/>
        <v>-0.0499999999999999</v>
      </c>
      <c r="W102" s="27">
        <f t="shared" si="177"/>
        <v>0</v>
      </c>
      <c r="X102" s="27">
        <f t="shared" si="177"/>
        <v>0</v>
      </c>
      <c r="Y102" s="52">
        <f t="shared" si="177"/>
        <v>0</v>
      </c>
      <c r="Z102" s="27">
        <f>+Z92/Y92-1</f>
        <v>-0.05</v>
      </c>
      <c r="AA102" s="27">
        <f>+AA92/Z92-1</f>
        <v>0</v>
      </c>
      <c r="AB102" s="27">
        <f t="shared" ref="AB102:AB108" si="178">+AB92/AA92-1</f>
        <v>0</v>
      </c>
      <c r="AC102" s="52">
        <f t="shared" ref="AC102:AC108" si="179">+AC92/AB92-1</f>
        <v>0</v>
      </c>
      <c r="AD102" s="33"/>
      <c r="AE102" s="33"/>
      <c r="AF102" s="33"/>
      <c r="AG102" s="33"/>
      <c r="AH102" s="33"/>
      <c r="AI102" s="33"/>
      <c r="AJ102" s="33"/>
      <c r="AK102" s="33"/>
      <c r="AL102" s="32"/>
      <c r="AM102" s="32"/>
      <c r="AN102" s="27">
        <f t="shared" ref="AN102:AN106" si="180">+AN92/AM92-1</f>
        <v>-0.00144300144300147</v>
      </c>
      <c r="AO102" s="27">
        <v>-0.05</v>
      </c>
      <c r="AP102" s="27">
        <v>-0.05</v>
      </c>
      <c r="AQ102" s="27">
        <v>-0.05</v>
      </c>
      <c r="AR102" s="27">
        <v>-0.05</v>
      </c>
      <c r="AS102" s="27">
        <v>-0.05</v>
      </c>
      <c r="AT102" s="27">
        <v>-0.05</v>
      </c>
    </row>
    <row r="103" outlineLevel="1" spans="1:46">
      <c r="A103" s="29" t="s">
        <v>852</v>
      </c>
      <c r="B103" s="33"/>
      <c r="C103" s="27">
        <f t="shared" si="176"/>
        <v>0</v>
      </c>
      <c r="D103" s="27">
        <f t="shared" si="177"/>
        <v>0</v>
      </c>
      <c r="E103" s="52">
        <f t="shared" si="177"/>
        <v>0</v>
      </c>
      <c r="F103" s="27">
        <f t="shared" si="177"/>
        <v>-0.05</v>
      </c>
      <c r="G103" s="27">
        <f t="shared" si="177"/>
        <v>0</v>
      </c>
      <c r="H103" s="27">
        <f t="shared" si="177"/>
        <v>0</v>
      </c>
      <c r="I103" s="52">
        <f t="shared" si="177"/>
        <v>0</v>
      </c>
      <c r="J103" s="27">
        <f t="shared" si="177"/>
        <v>-0.05</v>
      </c>
      <c r="K103" s="27">
        <f t="shared" si="177"/>
        <v>0</v>
      </c>
      <c r="L103" s="27">
        <f t="shared" si="177"/>
        <v>0</v>
      </c>
      <c r="M103" s="52">
        <f t="shared" si="177"/>
        <v>0</v>
      </c>
      <c r="N103" s="27">
        <f t="shared" si="177"/>
        <v>-0.05</v>
      </c>
      <c r="O103" s="27">
        <f t="shared" si="177"/>
        <v>0</v>
      </c>
      <c r="P103" s="27">
        <f t="shared" si="177"/>
        <v>0</v>
      </c>
      <c r="Q103" s="52">
        <f t="shared" si="177"/>
        <v>0</v>
      </c>
      <c r="R103" s="27">
        <f t="shared" si="177"/>
        <v>-0.05</v>
      </c>
      <c r="S103" s="27">
        <f t="shared" si="177"/>
        <v>0</v>
      </c>
      <c r="T103" s="27">
        <f t="shared" si="177"/>
        <v>0</v>
      </c>
      <c r="U103" s="52">
        <f t="shared" si="177"/>
        <v>0</v>
      </c>
      <c r="V103" s="27">
        <f t="shared" si="177"/>
        <v>-0.05</v>
      </c>
      <c r="W103" s="27">
        <f t="shared" si="177"/>
        <v>0</v>
      </c>
      <c r="X103" s="27">
        <f t="shared" si="177"/>
        <v>0</v>
      </c>
      <c r="Y103" s="52">
        <f t="shared" si="177"/>
        <v>0</v>
      </c>
      <c r="Z103" s="27">
        <f t="shared" ref="Z103:Z108" si="181">+Z93/Y93-1</f>
        <v>-0.05</v>
      </c>
      <c r="AA103" s="27">
        <f t="shared" ref="AA103:AA108" si="182">+AA93/Z93-1</f>
        <v>0</v>
      </c>
      <c r="AB103" s="27">
        <f t="shared" si="178"/>
        <v>0</v>
      </c>
      <c r="AC103" s="52">
        <f t="shared" si="179"/>
        <v>0</v>
      </c>
      <c r="AD103" s="33"/>
      <c r="AE103" s="33"/>
      <c r="AF103" s="33"/>
      <c r="AG103" s="33"/>
      <c r="AH103" s="33"/>
      <c r="AI103" s="33"/>
      <c r="AJ103" s="33"/>
      <c r="AK103" s="33"/>
      <c r="AL103" s="33"/>
      <c r="AM103" s="33"/>
      <c r="AN103" s="27">
        <f t="shared" si="180"/>
        <v>-0.0123456790123457</v>
      </c>
      <c r="AO103" s="27">
        <v>-0.05</v>
      </c>
      <c r="AP103" s="27">
        <v>-0.05</v>
      </c>
      <c r="AQ103" s="27">
        <v>-0.05</v>
      </c>
      <c r="AR103" s="27">
        <v>-0.05</v>
      </c>
      <c r="AS103" s="27">
        <v>-0.05</v>
      </c>
      <c r="AT103" s="27">
        <v>-0.05</v>
      </c>
    </row>
    <row r="104" outlineLevel="1" spans="1:46">
      <c r="A104" s="29" t="s">
        <v>853</v>
      </c>
      <c r="B104" s="33"/>
      <c r="C104" s="27">
        <f t="shared" si="176"/>
        <v>0</v>
      </c>
      <c r="D104" s="27">
        <f t="shared" si="177"/>
        <v>0</v>
      </c>
      <c r="E104" s="52">
        <f t="shared" si="177"/>
        <v>0</v>
      </c>
      <c r="F104" s="27">
        <f t="shared" si="177"/>
        <v>-0.416666666666667</v>
      </c>
      <c r="G104" s="27">
        <f t="shared" si="177"/>
        <v>0</v>
      </c>
      <c r="H104" s="27">
        <f t="shared" si="177"/>
        <v>0</v>
      </c>
      <c r="I104" s="52">
        <f t="shared" si="177"/>
        <v>0</v>
      </c>
      <c r="J104" s="27">
        <f t="shared" si="177"/>
        <v>-0.05</v>
      </c>
      <c r="K104" s="27">
        <f t="shared" si="177"/>
        <v>0</v>
      </c>
      <c r="L104" s="27">
        <f t="shared" si="177"/>
        <v>0</v>
      </c>
      <c r="M104" s="52">
        <f t="shared" si="177"/>
        <v>0</v>
      </c>
      <c r="N104" s="27">
        <f t="shared" si="177"/>
        <v>-0.05</v>
      </c>
      <c r="O104" s="27">
        <f t="shared" si="177"/>
        <v>0</v>
      </c>
      <c r="P104" s="27">
        <f t="shared" si="177"/>
        <v>0</v>
      </c>
      <c r="Q104" s="52">
        <f t="shared" si="177"/>
        <v>0</v>
      </c>
      <c r="R104" s="27">
        <f t="shared" si="177"/>
        <v>-0.05</v>
      </c>
      <c r="S104" s="27">
        <f t="shared" si="177"/>
        <v>0</v>
      </c>
      <c r="T104" s="27">
        <f t="shared" si="177"/>
        <v>0</v>
      </c>
      <c r="U104" s="52">
        <f t="shared" si="177"/>
        <v>0</v>
      </c>
      <c r="V104" s="27">
        <f t="shared" si="177"/>
        <v>-0.05</v>
      </c>
      <c r="W104" s="27">
        <f t="shared" si="177"/>
        <v>0</v>
      </c>
      <c r="X104" s="27">
        <f t="shared" si="177"/>
        <v>0</v>
      </c>
      <c r="Y104" s="52">
        <f t="shared" si="177"/>
        <v>0</v>
      </c>
      <c r="Z104" s="27">
        <f t="shared" si="181"/>
        <v>-0.05</v>
      </c>
      <c r="AA104" s="27">
        <f t="shared" si="182"/>
        <v>0</v>
      </c>
      <c r="AB104" s="27">
        <f t="shared" si="178"/>
        <v>0</v>
      </c>
      <c r="AC104" s="52">
        <f t="shared" si="179"/>
        <v>0</v>
      </c>
      <c r="AD104" s="33"/>
      <c r="AE104" s="33"/>
      <c r="AF104" s="33"/>
      <c r="AG104" s="33"/>
      <c r="AH104" s="33"/>
      <c r="AI104" s="33"/>
      <c r="AJ104" s="33"/>
      <c r="AK104" s="33"/>
      <c r="AL104" s="33"/>
      <c r="AM104" s="33"/>
      <c r="AN104" s="27">
        <f t="shared" si="180"/>
        <v>-0.1</v>
      </c>
      <c r="AO104" s="27">
        <v>-0.05</v>
      </c>
      <c r="AP104" s="27">
        <v>-0.05</v>
      </c>
      <c r="AQ104" s="27">
        <v>-0.05</v>
      </c>
      <c r="AR104" s="27">
        <v>-0.05</v>
      </c>
      <c r="AS104" s="27">
        <v>-0.05</v>
      </c>
      <c r="AT104" s="27">
        <v>-0.05</v>
      </c>
    </row>
    <row r="105" outlineLevel="1" spans="1:46">
      <c r="A105" s="29" t="s">
        <v>854</v>
      </c>
      <c r="B105" s="112"/>
      <c r="C105" s="27">
        <f t="shared" si="176"/>
        <v>0</v>
      </c>
      <c r="D105" s="27">
        <f t="shared" si="177"/>
        <v>0</v>
      </c>
      <c r="E105" s="52">
        <f t="shared" si="177"/>
        <v>0</v>
      </c>
      <c r="F105" s="27">
        <f t="shared" si="177"/>
        <v>-0.146753246753247</v>
      </c>
      <c r="G105" s="27">
        <f t="shared" si="177"/>
        <v>0</v>
      </c>
      <c r="H105" s="27">
        <f t="shared" si="177"/>
        <v>0</v>
      </c>
      <c r="I105" s="52">
        <f t="shared" si="177"/>
        <v>0</v>
      </c>
      <c r="J105" s="27">
        <f t="shared" si="177"/>
        <v>-0.1</v>
      </c>
      <c r="K105" s="27">
        <f t="shared" si="177"/>
        <v>0</v>
      </c>
      <c r="L105" s="27">
        <f t="shared" si="177"/>
        <v>0</v>
      </c>
      <c r="M105" s="52">
        <f t="shared" si="177"/>
        <v>0</v>
      </c>
      <c r="N105" s="27">
        <f t="shared" si="177"/>
        <v>-0.0999999999999998</v>
      </c>
      <c r="O105" s="27">
        <f t="shared" si="177"/>
        <v>0</v>
      </c>
      <c r="P105" s="27">
        <f t="shared" si="177"/>
        <v>0</v>
      </c>
      <c r="Q105" s="52">
        <f t="shared" si="177"/>
        <v>0</v>
      </c>
      <c r="R105" s="27">
        <f t="shared" si="177"/>
        <v>-0.0499999999999999</v>
      </c>
      <c r="S105" s="27">
        <f t="shared" si="177"/>
        <v>0</v>
      </c>
      <c r="T105" s="27">
        <f t="shared" si="177"/>
        <v>0</v>
      </c>
      <c r="U105" s="52">
        <f t="shared" si="177"/>
        <v>0</v>
      </c>
      <c r="V105" s="27">
        <f t="shared" si="177"/>
        <v>-0.0500000000000002</v>
      </c>
      <c r="W105" s="27">
        <f t="shared" si="177"/>
        <v>0</v>
      </c>
      <c r="X105" s="27">
        <f t="shared" si="177"/>
        <v>0</v>
      </c>
      <c r="Y105" s="52">
        <f t="shared" si="177"/>
        <v>0</v>
      </c>
      <c r="Z105" s="27">
        <f t="shared" si="181"/>
        <v>-0.05</v>
      </c>
      <c r="AA105" s="27">
        <f t="shared" si="182"/>
        <v>0</v>
      </c>
      <c r="AB105" s="27">
        <f t="shared" si="178"/>
        <v>0</v>
      </c>
      <c r="AC105" s="52">
        <f t="shared" si="179"/>
        <v>0</v>
      </c>
      <c r="AD105" s="33"/>
      <c r="AE105" s="33"/>
      <c r="AF105" s="33"/>
      <c r="AG105" s="33"/>
      <c r="AH105" s="33"/>
      <c r="AI105" s="33"/>
      <c r="AJ105" s="33"/>
      <c r="AK105" s="33"/>
      <c r="AL105" s="33"/>
      <c r="AM105" s="27"/>
      <c r="AN105" s="27">
        <f t="shared" si="180"/>
        <v>-0.12</v>
      </c>
      <c r="AO105" s="27">
        <f t="shared" ref="AO105:AS106" si="183">+AO95/AN95-1</f>
        <v>-0.146753246753247</v>
      </c>
      <c r="AP105" s="27">
        <f t="shared" si="183"/>
        <v>-0.1</v>
      </c>
      <c r="AQ105" s="27">
        <f t="shared" si="183"/>
        <v>-0.0999999999999998</v>
      </c>
      <c r="AR105" s="27">
        <f t="shared" si="183"/>
        <v>-0.0499999999999999</v>
      </c>
      <c r="AS105" s="27">
        <f>+AS95/AR95-1</f>
        <v>-0.0500000000000002</v>
      </c>
      <c r="AT105" s="27">
        <f t="shared" ref="AT105:AT108" si="184">+AT95/AS95-1</f>
        <v>-0.05</v>
      </c>
    </row>
    <row r="106" outlineLevel="1" spans="1:61">
      <c r="A106" s="29" t="s">
        <v>855</v>
      </c>
      <c r="B106" s="112"/>
      <c r="C106" s="27">
        <f t="shared" si="176"/>
        <v>0</v>
      </c>
      <c r="D106" s="27">
        <f t="shared" si="177"/>
        <v>0</v>
      </c>
      <c r="E106" s="52">
        <f t="shared" si="177"/>
        <v>0</v>
      </c>
      <c r="F106" s="27">
        <f t="shared" si="177"/>
        <v>-0.278021978021978</v>
      </c>
      <c r="G106" s="27">
        <f t="shared" si="177"/>
        <v>0</v>
      </c>
      <c r="H106" s="27">
        <f t="shared" si="177"/>
        <v>0</v>
      </c>
      <c r="I106" s="52">
        <f t="shared" si="177"/>
        <v>0</v>
      </c>
      <c r="J106" s="27">
        <f t="shared" si="177"/>
        <v>-0.0700000000000001</v>
      </c>
      <c r="K106" s="27">
        <f t="shared" si="177"/>
        <v>-0.0860215053763442</v>
      </c>
      <c r="L106" s="27">
        <f t="shared" si="177"/>
        <v>0</v>
      </c>
      <c r="M106" s="52">
        <f t="shared" si="177"/>
        <v>0</v>
      </c>
      <c r="N106" s="27">
        <f t="shared" si="177"/>
        <v>-0.03</v>
      </c>
      <c r="O106" s="27">
        <f>+O96/N96-1</f>
        <v>-0.123711340206185</v>
      </c>
      <c r="P106" s="27">
        <f t="shared" si="177"/>
        <v>0</v>
      </c>
      <c r="Q106" s="52">
        <f t="shared" si="177"/>
        <v>0</v>
      </c>
      <c r="R106" s="27">
        <f t="shared" si="177"/>
        <v>-0.07</v>
      </c>
      <c r="S106" s="27">
        <f t="shared" si="177"/>
        <v>-0.032258064516129</v>
      </c>
      <c r="T106" s="27">
        <f t="shared" si="177"/>
        <v>0</v>
      </c>
      <c r="U106" s="52">
        <f t="shared" si="177"/>
        <v>0</v>
      </c>
      <c r="V106" s="27">
        <f t="shared" si="177"/>
        <v>-0.03</v>
      </c>
      <c r="W106" s="27">
        <f t="shared" si="177"/>
        <v>-0.0206185567010307</v>
      </c>
      <c r="X106" s="27">
        <f t="shared" si="177"/>
        <v>0</v>
      </c>
      <c r="Y106" s="52">
        <f t="shared" si="177"/>
        <v>0</v>
      </c>
      <c r="Z106" s="27">
        <f t="shared" si="181"/>
        <v>-0.05</v>
      </c>
      <c r="AA106" s="27">
        <f t="shared" si="182"/>
        <v>0</v>
      </c>
      <c r="AB106" s="27">
        <f t="shared" si="178"/>
        <v>0</v>
      </c>
      <c r="AC106" s="52">
        <f t="shared" si="179"/>
        <v>0</v>
      </c>
      <c r="AD106" s="33"/>
      <c r="AE106" s="33"/>
      <c r="AF106" s="33"/>
      <c r="AG106" s="33"/>
      <c r="AH106" s="33"/>
      <c r="AI106" s="33"/>
      <c r="AJ106" s="33"/>
      <c r="AK106" s="33"/>
      <c r="AL106" s="33"/>
      <c r="AM106" s="27"/>
      <c r="AN106" s="27">
        <f t="shared" si="180"/>
        <v>-0.2</v>
      </c>
      <c r="AO106" s="27">
        <f t="shared" si="183"/>
        <v>-0.278021978021978</v>
      </c>
      <c r="AP106" s="27">
        <f t="shared" si="183"/>
        <v>-0.15</v>
      </c>
      <c r="AQ106" s="27">
        <f t="shared" si="183"/>
        <v>-0.15</v>
      </c>
      <c r="AR106" s="27">
        <f t="shared" si="183"/>
        <v>-0.0999999999999999</v>
      </c>
      <c r="AS106" s="27">
        <f t="shared" si="183"/>
        <v>-0.0499999999999999</v>
      </c>
      <c r="AT106" s="27">
        <f t="shared" si="184"/>
        <v>-0.05</v>
      </c>
      <c r="BF106" s="3"/>
      <c r="BG106" s="3"/>
      <c r="BH106" s="3"/>
      <c r="BI106" s="3"/>
    </row>
    <row r="107" outlineLevel="1" spans="1:61">
      <c r="A107" s="29" t="s">
        <v>856</v>
      </c>
      <c r="B107" s="112"/>
      <c r="C107" s="27"/>
      <c r="D107" s="27"/>
      <c r="E107" s="52"/>
      <c r="F107" s="27"/>
      <c r="G107" s="27">
        <f t="shared" si="177"/>
        <v>0</v>
      </c>
      <c r="H107" s="27">
        <f t="shared" si="177"/>
        <v>0</v>
      </c>
      <c r="I107" s="52">
        <f t="shared" si="177"/>
        <v>0</v>
      </c>
      <c r="J107" s="27">
        <f t="shared" si="177"/>
        <v>-0.15</v>
      </c>
      <c r="K107" s="27">
        <f t="shared" si="177"/>
        <v>0</v>
      </c>
      <c r="L107" s="27">
        <f t="shared" si="177"/>
        <v>0</v>
      </c>
      <c r="M107" s="52">
        <f t="shared" si="177"/>
        <v>0</v>
      </c>
      <c r="N107" s="27">
        <f t="shared" si="177"/>
        <v>-0.07</v>
      </c>
      <c r="O107" s="27">
        <f t="shared" si="177"/>
        <v>-0.0860215053763441</v>
      </c>
      <c r="P107" s="27">
        <f t="shared" si="177"/>
        <v>0</v>
      </c>
      <c r="Q107" s="52">
        <f t="shared" si="177"/>
        <v>0</v>
      </c>
      <c r="R107" s="27">
        <f t="shared" si="177"/>
        <v>-0.07</v>
      </c>
      <c r="S107" s="27">
        <f t="shared" si="177"/>
        <v>-0.118279569892473</v>
      </c>
      <c r="T107" s="27">
        <f t="shared" si="177"/>
        <v>0</v>
      </c>
      <c r="U107" s="52">
        <f t="shared" si="177"/>
        <v>0</v>
      </c>
      <c r="V107" s="27">
        <f t="shared" si="177"/>
        <v>-0.07</v>
      </c>
      <c r="W107" s="27">
        <f t="shared" si="177"/>
        <v>-0.032258064516129</v>
      </c>
      <c r="X107" s="27">
        <f t="shared" si="177"/>
        <v>0</v>
      </c>
      <c r="Y107" s="52">
        <f t="shared" si="177"/>
        <v>0</v>
      </c>
      <c r="Z107" s="27">
        <f t="shared" si="181"/>
        <v>-0.15</v>
      </c>
      <c r="AA107" s="27">
        <f t="shared" si="182"/>
        <v>0</v>
      </c>
      <c r="AB107" s="27">
        <f t="shared" si="178"/>
        <v>0</v>
      </c>
      <c r="AC107" s="52">
        <f t="shared" si="179"/>
        <v>0</v>
      </c>
      <c r="AD107" s="33"/>
      <c r="AE107" s="33"/>
      <c r="AF107" s="33"/>
      <c r="AG107" s="33"/>
      <c r="AH107" s="33"/>
      <c r="AI107" s="33"/>
      <c r="AJ107" s="33"/>
      <c r="AK107" s="33"/>
      <c r="AL107" s="33"/>
      <c r="AM107" s="27"/>
      <c r="AN107" s="27"/>
      <c r="AO107" s="27"/>
      <c r="AP107" s="27">
        <f t="shared" ref="AP107:AT107" si="185">+AP97/AO97-1</f>
        <v>-0.15</v>
      </c>
      <c r="AQ107" s="27">
        <f t="shared" si="185"/>
        <v>-0.15</v>
      </c>
      <c r="AR107" s="27">
        <f t="shared" si="185"/>
        <v>-0.18</v>
      </c>
      <c r="AS107" s="27">
        <f t="shared" si="185"/>
        <v>-0.0999999999999999</v>
      </c>
      <c r="AT107" s="27">
        <f t="shared" si="185"/>
        <v>-0.15</v>
      </c>
      <c r="BF107" s="3"/>
      <c r="BG107" s="3"/>
      <c r="BH107" s="3"/>
      <c r="BI107" s="3"/>
    </row>
    <row r="108" outlineLevel="1" spans="1:61">
      <c r="A108" s="29" t="s">
        <v>857</v>
      </c>
      <c r="B108" s="112"/>
      <c r="C108" s="27"/>
      <c r="D108" s="27"/>
      <c r="E108" s="52"/>
      <c r="F108" s="27"/>
      <c r="G108" s="27"/>
      <c r="H108" s="27"/>
      <c r="I108" s="52"/>
      <c r="J108" s="27"/>
      <c r="K108" s="27"/>
      <c r="L108" s="27"/>
      <c r="M108" s="52"/>
      <c r="N108" s="27"/>
      <c r="O108" s="27">
        <f t="shared" si="177"/>
        <v>0</v>
      </c>
      <c r="P108" s="27">
        <f t="shared" si="177"/>
        <v>0</v>
      </c>
      <c r="Q108" s="52">
        <f t="shared" si="177"/>
        <v>0</v>
      </c>
      <c r="R108" s="27">
        <f t="shared" si="177"/>
        <v>-0.07</v>
      </c>
      <c r="S108" s="27">
        <f t="shared" si="177"/>
        <v>-0.118279569892473</v>
      </c>
      <c r="T108" s="27">
        <f t="shared" si="177"/>
        <v>0</v>
      </c>
      <c r="U108" s="52">
        <f t="shared" si="177"/>
        <v>0</v>
      </c>
      <c r="V108" s="27">
        <f t="shared" si="177"/>
        <v>-0.07</v>
      </c>
      <c r="W108" s="27">
        <f t="shared" si="177"/>
        <v>-0.032258064516129</v>
      </c>
      <c r="X108" s="27">
        <f t="shared" si="177"/>
        <v>0</v>
      </c>
      <c r="Y108" s="52">
        <f t="shared" si="177"/>
        <v>0</v>
      </c>
      <c r="Z108" s="27">
        <f t="shared" si="181"/>
        <v>-0.14</v>
      </c>
      <c r="AA108" s="27">
        <f t="shared" si="182"/>
        <v>0</v>
      </c>
      <c r="AB108" s="27">
        <f t="shared" si="178"/>
        <v>0</v>
      </c>
      <c r="AC108" s="52">
        <f t="shared" si="179"/>
        <v>0</v>
      </c>
      <c r="AD108" s="33"/>
      <c r="AE108" s="33"/>
      <c r="AF108" s="33"/>
      <c r="AG108" s="33"/>
      <c r="AH108" s="33"/>
      <c r="AI108" s="33"/>
      <c r="AJ108" s="33"/>
      <c r="AK108" s="33"/>
      <c r="AL108" s="33"/>
      <c r="AM108" s="27"/>
      <c r="AN108" s="27"/>
      <c r="AO108" s="27"/>
      <c r="AP108" s="27"/>
      <c r="AQ108" s="27"/>
      <c r="AR108" s="27">
        <f>+AR98/AQ98-1</f>
        <v>-0.18</v>
      </c>
      <c r="AS108" s="27">
        <f>+AS98/AR98-1</f>
        <v>-0.1</v>
      </c>
      <c r="AT108" s="27">
        <f t="shared" si="184"/>
        <v>-0.14</v>
      </c>
      <c r="BF108" s="3"/>
      <c r="BG108" s="3"/>
      <c r="BH108" s="3"/>
      <c r="BI108" s="3"/>
    </row>
    <row r="109" outlineLevel="1" spans="1:61">
      <c r="A109" s="18"/>
      <c r="B109" s="112"/>
      <c r="C109" s="112"/>
      <c r="D109" s="112"/>
      <c r="E109" s="117"/>
      <c r="F109" s="112"/>
      <c r="G109" s="112"/>
      <c r="H109" s="112"/>
      <c r="I109" s="117"/>
      <c r="J109" s="112"/>
      <c r="K109" s="112"/>
      <c r="L109" s="112"/>
      <c r="M109" s="117"/>
      <c r="N109" s="112"/>
      <c r="O109" s="112"/>
      <c r="P109" s="112"/>
      <c r="Q109" s="117"/>
      <c r="R109" s="112"/>
      <c r="S109" s="112"/>
      <c r="T109" s="112"/>
      <c r="U109" s="117"/>
      <c r="V109" s="112"/>
      <c r="W109" s="112"/>
      <c r="X109" s="112"/>
      <c r="Y109" s="117"/>
      <c r="Z109" s="112"/>
      <c r="AA109" s="112"/>
      <c r="AB109" s="112"/>
      <c r="AC109" s="117"/>
      <c r="AD109" s="33"/>
      <c r="AE109" s="33"/>
      <c r="AF109" s="33"/>
      <c r="AG109" s="33"/>
      <c r="AH109" s="33"/>
      <c r="AI109" s="33"/>
      <c r="AJ109" s="33"/>
      <c r="AK109" s="33"/>
      <c r="AL109" s="33"/>
      <c r="AM109" s="27"/>
      <c r="AN109" s="27"/>
      <c r="AO109" s="27"/>
      <c r="AP109" s="27"/>
      <c r="AQ109" s="27"/>
      <c r="AR109" s="27"/>
      <c r="AS109" s="27"/>
      <c r="AT109" s="27"/>
      <c r="BF109" s="3"/>
      <c r="BG109" s="3"/>
      <c r="BH109" s="3"/>
      <c r="BI109" s="3"/>
    </row>
    <row r="110" outlineLevel="1" spans="1:61">
      <c r="A110" s="18" t="s">
        <v>870</v>
      </c>
      <c r="B110" s="112"/>
      <c r="C110" s="112"/>
      <c r="D110" s="112"/>
      <c r="E110" s="117"/>
      <c r="F110" s="112"/>
      <c r="G110" s="112"/>
      <c r="H110" s="112"/>
      <c r="I110" s="117"/>
      <c r="J110" s="112"/>
      <c r="K110" s="112"/>
      <c r="L110" s="112"/>
      <c r="M110" s="117"/>
      <c r="N110" s="112"/>
      <c r="O110" s="112"/>
      <c r="P110" s="112"/>
      <c r="Q110" s="117"/>
      <c r="R110" s="112"/>
      <c r="S110" s="112"/>
      <c r="T110" s="112"/>
      <c r="U110" s="117"/>
      <c r="V110" s="112"/>
      <c r="W110" s="112"/>
      <c r="X110" s="112"/>
      <c r="Y110" s="117"/>
      <c r="Z110" s="112"/>
      <c r="AA110" s="112"/>
      <c r="AB110" s="112"/>
      <c r="AC110" s="117"/>
      <c r="AD110" s="33"/>
      <c r="AE110" s="33"/>
      <c r="AF110" s="33"/>
      <c r="AG110" s="33"/>
      <c r="AH110" s="33"/>
      <c r="AI110" s="33"/>
      <c r="AJ110" s="33"/>
      <c r="AK110" s="33"/>
      <c r="AL110" s="33"/>
      <c r="AM110" s="27"/>
      <c r="AN110" s="27"/>
      <c r="AO110" s="27"/>
      <c r="AP110" s="27"/>
      <c r="AQ110" s="27"/>
      <c r="AR110" s="27"/>
      <c r="AS110" s="27"/>
      <c r="AT110" s="27"/>
      <c r="BF110" s="3"/>
      <c r="BG110" s="3"/>
      <c r="BH110" s="3"/>
      <c r="BI110" s="3"/>
    </row>
    <row r="111" outlineLevel="1" spans="1:61">
      <c r="A111" s="29" t="s">
        <v>851</v>
      </c>
      <c r="B111" s="33">
        <v>242.2</v>
      </c>
      <c r="C111" s="33">
        <f t="shared" ref="C111:AC111" si="186">+B111*(1+C121)</f>
        <v>238.74</v>
      </c>
      <c r="D111" s="33">
        <f t="shared" si="186"/>
        <v>235.28</v>
      </c>
      <c r="E111" s="57">
        <f t="shared" si="186"/>
        <v>224.9</v>
      </c>
      <c r="F111" s="33">
        <f t="shared" si="186"/>
        <v>230.09</v>
      </c>
      <c r="G111" s="33">
        <f t="shared" si="186"/>
        <v>295.83</v>
      </c>
      <c r="H111" s="33">
        <f t="shared" si="186"/>
        <v>282.682</v>
      </c>
      <c r="I111" s="57">
        <f t="shared" si="186"/>
        <v>266.247</v>
      </c>
      <c r="J111" s="33">
        <f t="shared" si="186"/>
        <v>249.812</v>
      </c>
      <c r="K111" s="33">
        <f t="shared" si="186"/>
        <v>249.812</v>
      </c>
      <c r="L111" s="33">
        <f t="shared" si="186"/>
        <v>249.812</v>
      </c>
      <c r="M111" s="57">
        <f t="shared" si="186"/>
        <v>249.812</v>
      </c>
      <c r="N111" s="33">
        <f t="shared" si="186"/>
        <v>243.254435</v>
      </c>
      <c r="O111" s="33">
        <f t="shared" si="186"/>
        <v>243.254435</v>
      </c>
      <c r="P111" s="33">
        <f t="shared" si="186"/>
        <v>243.254435</v>
      </c>
      <c r="Q111" s="57">
        <f t="shared" si="186"/>
        <v>243.254435</v>
      </c>
      <c r="R111" s="33">
        <f t="shared" si="186"/>
        <v>233.909904875</v>
      </c>
      <c r="S111" s="33">
        <f t="shared" si="186"/>
        <v>233.909904875</v>
      </c>
      <c r="T111" s="33">
        <f t="shared" si="186"/>
        <v>233.909904875</v>
      </c>
      <c r="U111" s="57">
        <f t="shared" si="186"/>
        <v>233.909904875</v>
      </c>
      <c r="V111" s="33">
        <f t="shared" si="186"/>
        <v>224.891691675</v>
      </c>
      <c r="W111" s="33">
        <f t="shared" si="186"/>
        <v>224.891691675</v>
      </c>
      <c r="X111" s="33">
        <f t="shared" si="186"/>
        <v>224.891691675</v>
      </c>
      <c r="Y111" s="57">
        <f t="shared" si="186"/>
        <v>224.891691675</v>
      </c>
      <c r="Z111" s="33">
        <f t="shared" si="186"/>
        <v>216.22116862247</v>
      </c>
      <c r="AA111" s="33">
        <f t="shared" si="186"/>
        <v>216.22116862247</v>
      </c>
      <c r="AB111" s="33">
        <f t="shared" si="186"/>
        <v>216.22116862247</v>
      </c>
      <c r="AC111" s="57">
        <f t="shared" si="186"/>
        <v>216.22116862247</v>
      </c>
      <c r="AD111" s="33"/>
      <c r="AE111" s="33"/>
      <c r="AF111" s="33"/>
      <c r="AG111" s="33"/>
      <c r="AH111" s="33"/>
      <c r="AI111" s="33"/>
      <c r="AJ111" s="33"/>
      <c r="AK111" s="33"/>
      <c r="AL111" s="33"/>
      <c r="AM111" s="27"/>
      <c r="AN111" s="27"/>
      <c r="AO111" s="27"/>
      <c r="AP111" s="27"/>
      <c r="AQ111" s="27"/>
      <c r="AR111" s="27"/>
      <c r="AS111" s="27"/>
      <c r="AT111" s="27"/>
      <c r="BF111" s="3"/>
      <c r="BG111" s="3"/>
      <c r="BH111" s="3"/>
      <c r="BI111" s="3"/>
    </row>
    <row r="112" outlineLevel="1" spans="1:61">
      <c r="A112" s="29" t="s">
        <v>852</v>
      </c>
      <c r="B112" s="33">
        <v>369.6</v>
      </c>
      <c r="C112" s="33">
        <f t="shared" ref="C112:AC112" si="187">+B112*(1+C122)</f>
        <v>364</v>
      </c>
      <c r="D112" s="33">
        <f t="shared" si="187"/>
        <v>347.2</v>
      </c>
      <c r="E112" s="57">
        <f t="shared" si="187"/>
        <v>347.2</v>
      </c>
      <c r="F112" s="33">
        <f t="shared" si="187"/>
        <v>345.8</v>
      </c>
      <c r="G112" s="33">
        <f t="shared" si="187"/>
        <v>388.36</v>
      </c>
      <c r="H112" s="33">
        <f t="shared" si="187"/>
        <v>394.212</v>
      </c>
      <c r="I112" s="57">
        <f t="shared" si="187"/>
        <v>393.68</v>
      </c>
      <c r="J112" s="33">
        <f t="shared" si="187"/>
        <v>373.996</v>
      </c>
      <c r="K112" s="33">
        <f t="shared" si="187"/>
        <v>368.942</v>
      </c>
      <c r="L112" s="33">
        <f t="shared" si="187"/>
        <v>368.942</v>
      </c>
      <c r="M112" s="57">
        <f t="shared" si="187"/>
        <v>368.942</v>
      </c>
      <c r="N112" s="33">
        <f t="shared" si="187"/>
        <v>369.7001</v>
      </c>
      <c r="O112" s="33">
        <f t="shared" si="187"/>
        <v>369.7001</v>
      </c>
      <c r="P112" s="33">
        <f t="shared" si="187"/>
        <v>369.7001</v>
      </c>
      <c r="Q112" s="57">
        <f t="shared" si="187"/>
        <v>369.7001</v>
      </c>
      <c r="R112" s="33">
        <f t="shared" si="187"/>
        <v>360.337565</v>
      </c>
      <c r="S112" s="33">
        <f t="shared" si="187"/>
        <v>360.337565</v>
      </c>
      <c r="T112" s="33">
        <f t="shared" si="187"/>
        <v>360.337565</v>
      </c>
      <c r="U112" s="57">
        <f t="shared" si="187"/>
        <v>360.337565</v>
      </c>
      <c r="V112" s="33">
        <f t="shared" si="187"/>
        <v>350.98703325</v>
      </c>
      <c r="W112" s="33">
        <f t="shared" si="187"/>
        <v>350.98703325</v>
      </c>
      <c r="X112" s="33">
        <f t="shared" si="187"/>
        <v>350.98703325</v>
      </c>
      <c r="Y112" s="57">
        <f t="shared" si="187"/>
        <v>350.98703325</v>
      </c>
      <c r="Z112" s="33">
        <f t="shared" si="187"/>
        <v>341.879141880854</v>
      </c>
      <c r="AA112" s="33">
        <f t="shared" si="187"/>
        <v>341.879141880854</v>
      </c>
      <c r="AB112" s="33">
        <f t="shared" si="187"/>
        <v>341.879141880854</v>
      </c>
      <c r="AC112" s="57">
        <f t="shared" si="187"/>
        <v>341.879141880854</v>
      </c>
      <c r="AD112" s="33"/>
      <c r="AE112" s="33"/>
      <c r="AF112" s="33"/>
      <c r="AG112" s="33"/>
      <c r="AH112" s="33"/>
      <c r="AI112" s="33"/>
      <c r="AJ112" s="33"/>
      <c r="AK112" s="33"/>
      <c r="AL112" s="33"/>
      <c r="AM112" s="27"/>
      <c r="AN112" s="27"/>
      <c r="AO112" s="27"/>
      <c r="AP112" s="27"/>
      <c r="AQ112" s="27"/>
      <c r="AR112" s="27"/>
      <c r="AS112" s="27"/>
      <c r="AT112" s="27"/>
      <c r="BF112" s="3"/>
      <c r="BG112" s="3"/>
      <c r="BH112" s="3"/>
      <c r="BI112" s="3"/>
    </row>
    <row r="113" outlineLevel="1" spans="1:61">
      <c r="A113" s="29" t="s">
        <v>853</v>
      </c>
      <c r="B113" s="33">
        <v>537.6</v>
      </c>
      <c r="C113" s="33">
        <f t="shared" ref="C113:AC113" si="188">+B113*(1+C123)</f>
        <v>520.8</v>
      </c>
      <c r="D113" s="33">
        <f t="shared" si="188"/>
        <v>504</v>
      </c>
      <c r="E113" s="57">
        <f t="shared" si="188"/>
        <v>504</v>
      </c>
      <c r="F113" s="33">
        <f t="shared" si="188"/>
        <v>308.7</v>
      </c>
      <c r="G113" s="33">
        <f t="shared" si="188"/>
        <v>328.3</v>
      </c>
      <c r="H113" s="33">
        <f t="shared" si="188"/>
        <v>343</v>
      </c>
      <c r="I113" s="57">
        <f t="shared" si="188"/>
        <v>343</v>
      </c>
      <c r="J113" s="33">
        <f t="shared" si="188"/>
        <v>325.85</v>
      </c>
      <c r="K113" s="33">
        <f t="shared" si="188"/>
        <v>325.85</v>
      </c>
      <c r="L113" s="33">
        <f t="shared" si="188"/>
        <v>325.85</v>
      </c>
      <c r="M113" s="57">
        <f t="shared" si="188"/>
        <v>325.85</v>
      </c>
      <c r="N113" s="33">
        <f t="shared" si="188"/>
        <v>325.85</v>
      </c>
      <c r="O113" s="33">
        <f t="shared" si="188"/>
        <v>325.85</v>
      </c>
      <c r="P113" s="33">
        <f t="shared" si="188"/>
        <v>325.85</v>
      </c>
      <c r="Q113" s="57">
        <f t="shared" si="188"/>
        <v>325.85</v>
      </c>
      <c r="R113" s="33">
        <f t="shared" si="188"/>
        <v>318.156319444444</v>
      </c>
      <c r="S113" s="33">
        <f t="shared" si="188"/>
        <v>318.156319444444</v>
      </c>
      <c r="T113" s="33">
        <f t="shared" si="188"/>
        <v>318.156319444444</v>
      </c>
      <c r="U113" s="57">
        <f t="shared" si="188"/>
        <v>318.156319444444</v>
      </c>
      <c r="V113" s="33">
        <f t="shared" si="188"/>
        <v>310.417381944444</v>
      </c>
      <c r="W113" s="33">
        <f t="shared" si="188"/>
        <v>310.417381944444</v>
      </c>
      <c r="X113" s="33">
        <f t="shared" si="188"/>
        <v>310.417381944444</v>
      </c>
      <c r="Y113" s="57">
        <f t="shared" si="188"/>
        <v>310.417381944444</v>
      </c>
      <c r="Z113" s="33">
        <f t="shared" si="188"/>
        <v>302.86668887012</v>
      </c>
      <c r="AA113" s="33">
        <f t="shared" si="188"/>
        <v>302.86668887012</v>
      </c>
      <c r="AB113" s="33">
        <f t="shared" si="188"/>
        <v>302.86668887012</v>
      </c>
      <c r="AC113" s="57">
        <f t="shared" si="188"/>
        <v>302.86668887012</v>
      </c>
      <c r="AD113" s="33"/>
      <c r="AE113" s="33"/>
      <c r="AF113" s="33"/>
      <c r="AG113" s="33"/>
      <c r="AH113" s="33"/>
      <c r="AI113" s="33"/>
      <c r="AJ113" s="33"/>
      <c r="AK113" s="33"/>
      <c r="AL113" s="33"/>
      <c r="AM113" s="27"/>
      <c r="AN113" s="27"/>
      <c r="AO113" s="27"/>
      <c r="AP113" s="27"/>
      <c r="AQ113" s="27"/>
      <c r="AR113" s="27"/>
      <c r="AS113" s="27"/>
      <c r="AT113" s="27"/>
      <c r="BF113" s="3"/>
      <c r="BG113" s="3"/>
      <c r="BH113" s="3"/>
      <c r="BI113" s="3"/>
    </row>
    <row r="114" outlineLevel="1" spans="1:61">
      <c r="A114" s="29" t="s">
        <v>854</v>
      </c>
      <c r="B114" s="33">
        <v>924</v>
      </c>
      <c r="C114" s="33">
        <f t="shared" ref="C114:AC114" si="189">+B114*(1+C124)</f>
        <v>924</v>
      </c>
      <c r="D114" s="33">
        <f t="shared" si="189"/>
        <v>847</v>
      </c>
      <c r="E114" s="57">
        <f t="shared" si="189"/>
        <v>847</v>
      </c>
      <c r="F114" s="33">
        <f t="shared" si="189"/>
        <v>814.68</v>
      </c>
      <c r="G114" s="33">
        <f t="shared" si="189"/>
        <v>814.68</v>
      </c>
      <c r="H114" s="33">
        <f t="shared" si="189"/>
        <v>906.66</v>
      </c>
      <c r="I114" s="57">
        <f t="shared" si="189"/>
        <v>906.66</v>
      </c>
      <c r="J114" s="33">
        <f t="shared" si="189"/>
        <v>827.82</v>
      </c>
      <c r="K114" s="33">
        <f t="shared" si="189"/>
        <v>827.82</v>
      </c>
      <c r="L114" s="33">
        <f t="shared" si="189"/>
        <v>827.82</v>
      </c>
      <c r="M114" s="57">
        <f t="shared" si="189"/>
        <v>827.82</v>
      </c>
      <c r="N114" s="33">
        <f t="shared" si="189"/>
        <v>745.038</v>
      </c>
      <c r="O114" s="33">
        <f t="shared" si="189"/>
        <v>745.038</v>
      </c>
      <c r="P114" s="33">
        <f t="shared" si="189"/>
        <v>745.038</v>
      </c>
      <c r="Q114" s="57">
        <f t="shared" si="189"/>
        <v>745.038</v>
      </c>
      <c r="R114" s="33">
        <f t="shared" si="189"/>
        <v>707.7861</v>
      </c>
      <c r="S114" s="33">
        <f t="shared" si="189"/>
        <v>707.7861</v>
      </c>
      <c r="T114" s="33">
        <f t="shared" si="189"/>
        <v>707.7861</v>
      </c>
      <c r="U114" s="57">
        <f t="shared" si="189"/>
        <v>707.7861</v>
      </c>
      <c r="V114" s="33">
        <f t="shared" si="189"/>
        <v>672.396795</v>
      </c>
      <c r="W114" s="33">
        <f t="shared" si="189"/>
        <v>672.396795</v>
      </c>
      <c r="X114" s="33">
        <f t="shared" si="189"/>
        <v>672.396795</v>
      </c>
      <c r="Y114" s="57">
        <f t="shared" si="189"/>
        <v>672.396795</v>
      </c>
      <c r="Z114" s="33">
        <f t="shared" si="189"/>
        <v>638.77695525</v>
      </c>
      <c r="AA114" s="33">
        <f t="shared" si="189"/>
        <v>638.77695525</v>
      </c>
      <c r="AB114" s="33">
        <f t="shared" si="189"/>
        <v>638.77695525</v>
      </c>
      <c r="AC114" s="57">
        <f t="shared" si="189"/>
        <v>638.77695525</v>
      </c>
      <c r="AD114" s="33"/>
      <c r="AE114" s="33"/>
      <c r="AF114" s="33"/>
      <c r="AG114" s="33"/>
      <c r="AH114" s="33"/>
      <c r="AI114" s="33"/>
      <c r="AJ114" s="33"/>
      <c r="AK114" s="33"/>
      <c r="AL114" s="33"/>
      <c r="AM114" s="27"/>
      <c r="AN114" s="27"/>
      <c r="AO114" s="27"/>
      <c r="AP114" s="27"/>
      <c r="AQ114" s="27"/>
      <c r="AR114" s="27"/>
      <c r="AS114" s="27"/>
      <c r="AT114" s="27"/>
      <c r="BF114" s="3"/>
      <c r="BG114" s="3"/>
      <c r="BH114" s="3"/>
      <c r="BI114" s="3"/>
    </row>
    <row r="115" outlineLevel="1" spans="1:61">
      <c r="A115" s="29" t="s">
        <v>855</v>
      </c>
      <c r="B115" s="33">
        <v>2111.2</v>
      </c>
      <c r="C115" s="33">
        <f t="shared" ref="C115:AC115" si="190">+B115*(1+C125)</f>
        <v>2111.2</v>
      </c>
      <c r="D115" s="33">
        <f t="shared" si="190"/>
        <v>2002</v>
      </c>
      <c r="E115" s="57">
        <f t="shared" si="190"/>
        <v>2002</v>
      </c>
      <c r="F115" s="33">
        <f t="shared" si="190"/>
        <v>1445.4</v>
      </c>
      <c r="G115" s="33">
        <f t="shared" si="190"/>
        <v>1445.4</v>
      </c>
      <c r="H115" s="33">
        <f t="shared" si="190"/>
        <v>1524.24</v>
      </c>
      <c r="I115" s="57">
        <f t="shared" si="190"/>
        <v>1366.56</v>
      </c>
      <c r="J115" s="33">
        <f t="shared" si="190"/>
        <v>1305.11736</v>
      </c>
      <c r="K115" s="33">
        <f t="shared" si="190"/>
        <v>1163.8098</v>
      </c>
      <c r="L115" s="33">
        <f t="shared" si="190"/>
        <v>1267.6815</v>
      </c>
      <c r="M115" s="57">
        <f t="shared" si="190"/>
        <v>1166.26698</v>
      </c>
      <c r="N115" s="33">
        <f t="shared" si="190"/>
        <v>1142.9416404</v>
      </c>
      <c r="O115" s="33">
        <f t="shared" si="190"/>
        <v>1142.9416404</v>
      </c>
      <c r="P115" s="33">
        <f t="shared" si="190"/>
        <v>1142.9416404</v>
      </c>
      <c r="Q115" s="57">
        <f t="shared" si="190"/>
        <v>1142.9416404</v>
      </c>
      <c r="R115" s="33">
        <f t="shared" si="190"/>
        <v>1131.512223996</v>
      </c>
      <c r="S115" s="33">
        <f t="shared" si="190"/>
        <v>1131.512223996</v>
      </c>
      <c r="T115" s="33">
        <f t="shared" si="190"/>
        <v>1131.512223996</v>
      </c>
      <c r="U115" s="57">
        <f t="shared" si="190"/>
        <v>1131.512223996</v>
      </c>
      <c r="V115" s="33">
        <f t="shared" si="190"/>
        <v>1131.512223996</v>
      </c>
      <c r="W115" s="33">
        <f t="shared" si="190"/>
        <v>1131.512223996</v>
      </c>
      <c r="X115" s="33">
        <f t="shared" si="190"/>
        <v>1131.512223996</v>
      </c>
      <c r="Y115" s="57">
        <f t="shared" si="190"/>
        <v>1131.512223996</v>
      </c>
      <c r="Z115" s="33">
        <f t="shared" si="190"/>
        <v>1131.512223996</v>
      </c>
      <c r="AA115" s="33">
        <f t="shared" si="190"/>
        <v>1131.512223996</v>
      </c>
      <c r="AB115" s="33">
        <f t="shared" si="190"/>
        <v>1131.512223996</v>
      </c>
      <c r="AC115" s="57">
        <f t="shared" si="190"/>
        <v>1131.512223996</v>
      </c>
      <c r="AD115" s="33"/>
      <c r="AE115" s="33"/>
      <c r="AF115" s="33"/>
      <c r="AG115" s="33"/>
      <c r="AH115" s="33"/>
      <c r="AI115" s="33"/>
      <c r="AJ115" s="33"/>
      <c r="AK115" s="33"/>
      <c r="AL115" s="33"/>
      <c r="AM115" s="27"/>
      <c r="AN115" s="27"/>
      <c r="AO115" s="27"/>
      <c r="AP115" s="27"/>
      <c r="AQ115" s="27"/>
      <c r="AR115" s="27"/>
      <c r="AS115" s="27"/>
      <c r="AT115" s="27"/>
      <c r="BF115" s="3"/>
      <c r="BG115" s="3"/>
      <c r="BH115" s="3"/>
      <c r="BI115" s="3"/>
    </row>
    <row r="116" outlineLevel="1" spans="1:61">
      <c r="A116" s="29" t="s">
        <v>856</v>
      </c>
      <c r="B116" s="33">
        <v>0</v>
      </c>
      <c r="C116" s="33">
        <f>+B116*(1+C126)</f>
        <v>0</v>
      </c>
      <c r="D116" s="33">
        <v>0</v>
      </c>
      <c r="E116" s="57">
        <v>0</v>
      </c>
      <c r="F116" s="33">
        <v>0</v>
      </c>
      <c r="G116" s="33">
        <v>0</v>
      </c>
      <c r="H116" s="33">
        <v>0</v>
      </c>
      <c r="I116" s="57">
        <v>0</v>
      </c>
      <c r="J116" s="122">
        <v>2178.94245737451</v>
      </c>
      <c r="K116" s="122">
        <v>2320.54913610549</v>
      </c>
      <c r="L116" s="122">
        <v>2280.37484502543</v>
      </c>
      <c r="M116" s="126">
        <v>1946.34190824767</v>
      </c>
      <c r="N116" s="122">
        <v>1790.56431637227</v>
      </c>
      <c r="O116" s="122">
        <v>1807.2035269615</v>
      </c>
      <c r="P116" s="122">
        <v>1855.80461483729</v>
      </c>
      <c r="Q116" s="126">
        <v>1816.10712724269</v>
      </c>
      <c r="R116" s="122">
        <v>1706.02544660907</v>
      </c>
      <c r="S116" s="33">
        <f t="shared" ref="S116:AC116" si="191">+R116*(1+S126)</f>
        <v>1688.96519214298</v>
      </c>
      <c r="T116" s="33">
        <f t="shared" si="191"/>
        <v>1705.85484406441</v>
      </c>
      <c r="U116" s="57">
        <f t="shared" si="191"/>
        <v>1722.91339250506</v>
      </c>
      <c r="V116" s="33">
        <f t="shared" si="191"/>
        <v>1688.45512465496</v>
      </c>
      <c r="W116" s="33">
        <f t="shared" si="191"/>
        <v>1654.68602216186</v>
      </c>
      <c r="X116" s="33">
        <f t="shared" si="191"/>
        <v>1621.59230171862</v>
      </c>
      <c r="Y116" s="57">
        <f t="shared" si="191"/>
        <v>1621.59230171862</v>
      </c>
      <c r="Z116" s="33">
        <f t="shared" si="191"/>
        <v>1572.94453266706</v>
      </c>
      <c r="AA116" s="33">
        <f t="shared" si="191"/>
        <v>1447.1089700537</v>
      </c>
      <c r="AB116" s="33">
        <f t="shared" si="191"/>
        <v>1418.16679065262</v>
      </c>
      <c r="AC116" s="57">
        <f t="shared" si="191"/>
        <v>1418.16679065262</v>
      </c>
      <c r="AD116" s="33"/>
      <c r="AE116" s="33"/>
      <c r="AF116" s="33"/>
      <c r="AG116" s="33"/>
      <c r="AH116" s="33"/>
      <c r="AI116" s="33"/>
      <c r="AJ116" s="33"/>
      <c r="AK116" s="33"/>
      <c r="AL116" s="33"/>
      <c r="AM116" s="27"/>
      <c r="AN116" s="27"/>
      <c r="AO116" s="27"/>
      <c r="AP116" s="27"/>
      <c r="AQ116" s="27"/>
      <c r="AR116" s="27"/>
      <c r="AS116" s="27"/>
      <c r="AT116" s="27"/>
      <c r="BF116" s="3"/>
      <c r="BG116" s="3"/>
      <c r="BH116" s="3"/>
      <c r="BI116" s="3"/>
    </row>
    <row r="117" outlineLevel="1" spans="1:61">
      <c r="A117" s="29" t="s">
        <v>857</v>
      </c>
      <c r="B117" s="33">
        <v>0</v>
      </c>
      <c r="C117" s="33">
        <f>+B117*(1+C127)</f>
        <v>0</v>
      </c>
      <c r="D117" s="33">
        <v>0</v>
      </c>
      <c r="E117" s="57">
        <v>0</v>
      </c>
      <c r="F117" s="33">
        <v>0</v>
      </c>
      <c r="G117" s="33">
        <v>0</v>
      </c>
      <c r="H117" s="33">
        <v>0</v>
      </c>
      <c r="I117" s="57">
        <v>0</v>
      </c>
      <c r="J117" s="33">
        <v>0</v>
      </c>
      <c r="K117" s="33">
        <v>0</v>
      </c>
      <c r="L117" s="33">
        <v>0</v>
      </c>
      <c r="M117" s="57">
        <v>0</v>
      </c>
      <c r="N117" s="33">
        <v>0</v>
      </c>
      <c r="O117" s="33">
        <v>0</v>
      </c>
      <c r="P117" s="33">
        <v>0</v>
      </c>
      <c r="Q117" s="57">
        <v>0</v>
      </c>
      <c r="R117" s="129">
        <v>3600</v>
      </c>
      <c r="S117" s="33">
        <f t="shared" ref="S117:AC117" si="192">+R117*(1+S127)</f>
        <v>3528</v>
      </c>
      <c r="T117" s="33">
        <f t="shared" si="192"/>
        <v>3598.56</v>
      </c>
      <c r="U117" s="57">
        <f t="shared" si="192"/>
        <v>3634.5456</v>
      </c>
      <c r="V117" s="33">
        <f t="shared" si="192"/>
        <v>3525.509232</v>
      </c>
      <c r="W117" s="33">
        <f t="shared" si="192"/>
        <v>3172.9583088</v>
      </c>
      <c r="X117" s="33">
        <f t="shared" si="192"/>
        <v>3172.9583088</v>
      </c>
      <c r="Y117" s="57">
        <f t="shared" si="192"/>
        <v>3172.9583088</v>
      </c>
      <c r="Z117" s="33">
        <f t="shared" si="192"/>
        <v>3077.769559536</v>
      </c>
      <c r="AA117" s="33">
        <f t="shared" si="192"/>
        <v>2769.9926035824</v>
      </c>
      <c r="AB117" s="33">
        <f t="shared" si="192"/>
        <v>2769.9926035824</v>
      </c>
      <c r="AC117" s="57">
        <f t="shared" si="192"/>
        <v>2769.9926035824</v>
      </c>
      <c r="AD117" s="33"/>
      <c r="AE117" s="33"/>
      <c r="AF117" s="33"/>
      <c r="AG117" s="33"/>
      <c r="AH117" s="33"/>
      <c r="AI117" s="33"/>
      <c r="AJ117" s="33"/>
      <c r="AK117" s="33"/>
      <c r="AL117" s="33"/>
      <c r="AM117" s="27"/>
      <c r="AN117" s="27"/>
      <c r="AO117" s="27"/>
      <c r="AP117" s="27"/>
      <c r="AQ117" s="27"/>
      <c r="AR117" s="27"/>
      <c r="AS117" s="27"/>
      <c r="AT117" s="27"/>
      <c r="BF117" s="3"/>
      <c r="BG117" s="3"/>
      <c r="BH117" s="3"/>
      <c r="BI117" s="3"/>
    </row>
    <row r="118" outlineLevel="1" spans="1:61">
      <c r="A118" s="29" t="s">
        <v>858</v>
      </c>
      <c r="B118" s="33"/>
      <c r="C118" s="33"/>
      <c r="D118" s="33"/>
      <c r="E118" s="57"/>
      <c r="F118" s="33"/>
      <c r="G118" s="33"/>
      <c r="H118" s="33"/>
      <c r="I118" s="57"/>
      <c r="J118" s="33"/>
      <c r="K118" s="33"/>
      <c r="L118" s="33"/>
      <c r="M118" s="57"/>
      <c r="N118" s="33"/>
      <c r="O118" s="33"/>
      <c r="P118" s="33"/>
      <c r="Q118" s="57"/>
      <c r="R118" s="129"/>
      <c r="S118" s="33"/>
      <c r="T118" s="33"/>
      <c r="U118" s="57"/>
      <c r="V118" s="33"/>
      <c r="W118" s="33"/>
      <c r="X118" s="33"/>
      <c r="Y118" s="57"/>
      <c r="Z118" s="129"/>
      <c r="AA118" s="129">
        <f>AA99*50%</f>
        <v>5292.5</v>
      </c>
      <c r="AB118" s="33">
        <f>AA118</f>
        <v>5292.5</v>
      </c>
      <c r="AC118" s="57">
        <f>AB118</f>
        <v>5292.5</v>
      </c>
      <c r="AD118" s="33"/>
      <c r="AE118" s="33"/>
      <c r="AF118" s="33"/>
      <c r="AG118" s="33"/>
      <c r="AH118" s="33"/>
      <c r="AI118" s="33"/>
      <c r="AJ118" s="33"/>
      <c r="AK118" s="33"/>
      <c r="AL118" s="33"/>
      <c r="AM118" s="27"/>
      <c r="AN118" s="27"/>
      <c r="AO118" s="27"/>
      <c r="AP118" s="27"/>
      <c r="AQ118" s="27"/>
      <c r="AR118" s="27"/>
      <c r="AS118" s="27"/>
      <c r="AT118" s="27"/>
      <c r="BF118" s="3"/>
      <c r="BG118" s="3"/>
      <c r="BH118" s="3"/>
      <c r="BI118" s="3"/>
    </row>
    <row r="119" outlineLevel="1" spans="1:61">
      <c r="A119" s="18"/>
      <c r="B119" s="112"/>
      <c r="C119" s="112"/>
      <c r="D119" s="112"/>
      <c r="E119" s="117"/>
      <c r="F119" s="112"/>
      <c r="G119" s="112"/>
      <c r="H119" s="112"/>
      <c r="I119" s="117"/>
      <c r="J119" s="112"/>
      <c r="K119" s="112"/>
      <c r="L119" s="112"/>
      <c r="M119" s="117"/>
      <c r="N119" s="112"/>
      <c r="O119" s="112"/>
      <c r="P119" s="112"/>
      <c r="Q119" s="117"/>
      <c r="R119" s="112"/>
      <c r="S119" s="112"/>
      <c r="T119" s="112"/>
      <c r="U119" s="117"/>
      <c r="V119" s="112"/>
      <c r="W119" s="112"/>
      <c r="X119" s="112"/>
      <c r="Y119" s="117"/>
      <c r="Z119" s="112"/>
      <c r="AA119" s="112"/>
      <c r="AB119" s="112"/>
      <c r="AC119" s="117"/>
      <c r="AD119" s="33"/>
      <c r="AE119" s="33"/>
      <c r="AF119" s="33"/>
      <c r="AG119" s="33"/>
      <c r="AH119" s="33"/>
      <c r="AI119" s="33"/>
      <c r="AJ119" s="33"/>
      <c r="AK119" s="33"/>
      <c r="AL119" s="33"/>
      <c r="AM119" s="27"/>
      <c r="AN119" s="27"/>
      <c r="AO119" s="27"/>
      <c r="AP119" s="27"/>
      <c r="AQ119" s="27"/>
      <c r="AR119" s="27"/>
      <c r="AS119" s="27"/>
      <c r="AT119" s="27"/>
      <c r="BF119" s="3"/>
      <c r="BG119" s="3"/>
      <c r="BH119" s="3"/>
      <c r="BI119" s="3"/>
    </row>
    <row r="120" outlineLevel="1" spans="1:61">
      <c r="A120" s="18" t="s">
        <v>871</v>
      </c>
      <c r="B120" s="112"/>
      <c r="C120" s="112"/>
      <c r="D120" s="112"/>
      <c r="E120" s="117"/>
      <c r="F120" s="112"/>
      <c r="G120" s="112"/>
      <c r="H120" s="112"/>
      <c r="I120" s="117"/>
      <c r="J120" s="112"/>
      <c r="K120" s="112"/>
      <c r="L120" s="112"/>
      <c r="M120" s="117"/>
      <c r="N120" s="112"/>
      <c r="O120" s="112"/>
      <c r="P120" s="112"/>
      <c r="Q120" s="117"/>
      <c r="R120" s="112"/>
      <c r="S120" s="112"/>
      <c r="T120" s="112"/>
      <c r="U120" s="117"/>
      <c r="V120" s="112"/>
      <c r="W120" s="112"/>
      <c r="X120" s="112"/>
      <c r="Y120" s="117"/>
      <c r="Z120" s="112"/>
      <c r="AA120" s="112"/>
      <c r="AB120" s="112"/>
      <c r="AC120" s="117"/>
      <c r="AD120" s="33"/>
      <c r="AE120" s="33"/>
      <c r="AF120" s="33"/>
      <c r="AG120" s="33"/>
      <c r="AH120" s="33"/>
      <c r="AI120" s="33"/>
      <c r="AJ120" s="33"/>
      <c r="AK120" s="33"/>
      <c r="AL120" s="33"/>
      <c r="AM120" s="27"/>
      <c r="AN120" s="27"/>
      <c r="AO120" s="27"/>
      <c r="AP120" s="27"/>
      <c r="AQ120" s="27"/>
      <c r="AR120" s="27"/>
      <c r="AS120" s="27"/>
      <c r="AT120" s="27"/>
      <c r="BF120" s="3"/>
      <c r="BG120" s="3"/>
      <c r="BH120" s="3"/>
      <c r="BI120" s="3"/>
    </row>
    <row r="121" outlineLevel="1" spans="1:61">
      <c r="A121" s="29" t="s">
        <v>851</v>
      </c>
      <c r="B121" s="114"/>
      <c r="C121" s="115">
        <v>-0.0142857142857143</v>
      </c>
      <c r="D121" s="115">
        <v>-0.0144927536231885</v>
      </c>
      <c r="E121" s="119">
        <v>-0.0441176470588234</v>
      </c>
      <c r="F121" s="115">
        <v>0.023076923076923</v>
      </c>
      <c r="G121" s="115">
        <v>0.285714285714286</v>
      </c>
      <c r="H121" s="115">
        <v>-0.0444444444444445</v>
      </c>
      <c r="I121" s="119">
        <v>-0.0581395348837207</v>
      </c>
      <c r="J121" s="115">
        <v>-0.0617283950617284</v>
      </c>
      <c r="K121" s="115">
        <v>0</v>
      </c>
      <c r="L121" s="115">
        <v>0</v>
      </c>
      <c r="M121" s="119">
        <v>0</v>
      </c>
      <c r="N121" s="115">
        <v>-0.02625</v>
      </c>
      <c r="O121" s="115">
        <v>0</v>
      </c>
      <c r="P121" s="115">
        <v>0</v>
      </c>
      <c r="Q121" s="119">
        <v>0</v>
      </c>
      <c r="R121" s="115">
        <v>-0.0384146341463415</v>
      </c>
      <c r="S121" s="115">
        <v>0</v>
      </c>
      <c r="T121" s="115">
        <v>0</v>
      </c>
      <c r="U121" s="119">
        <v>0</v>
      </c>
      <c r="V121" s="115">
        <v>-0.0385542168674698</v>
      </c>
      <c r="W121" s="115">
        <v>0</v>
      </c>
      <c r="X121" s="115">
        <v>0</v>
      </c>
      <c r="Y121" s="119">
        <v>0</v>
      </c>
      <c r="Z121" s="115">
        <v>-0.0385542168674698</v>
      </c>
      <c r="AA121" s="115">
        <v>0</v>
      </c>
      <c r="AB121" s="115">
        <v>0</v>
      </c>
      <c r="AC121" s="119">
        <v>0</v>
      </c>
      <c r="AD121" s="33"/>
      <c r="AE121" s="33"/>
      <c r="AF121" s="33"/>
      <c r="AG121" s="33"/>
      <c r="AH121" s="33"/>
      <c r="AI121" s="33"/>
      <c r="AJ121" s="33"/>
      <c r="AK121" s="33"/>
      <c r="AL121" s="33"/>
      <c r="AM121" s="27"/>
      <c r="AN121" s="27"/>
      <c r="AO121" s="27"/>
      <c r="AP121" s="27"/>
      <c r="AQ121" s="27"/>
      <c r="AR121" s="27"/>
      <c r="AS121" s="27"/>
      <c r="AT121" s="27"/>
      <c r="BF121" s="3"/>
      <c r="BG121" s="3"/>
      <c r="BH121" s="3"/>
      <c r="BI121" s="3"/>
    </row>
    <row r="122" outlineLevel="1" spans="1:61">
      <c r="A122" s="29" t="s">
        <v>852</v>
      </c>
      <c r="B122" s="114"/>
      <c r="C122" s="115">
        <v>-0.015151515151515</v>
      </c>
      <c r="D122" s="115">
        <v>-0.0461538461538462</v>
      </c>
      <c r="E122" s="119">
        <v>0</v>
      </c>
      <c r="F122" s="115">
        <v>-0.00403225806451601</v>
      </c>
      <c r="G122" s="115">
        <v>0.123076923076923</v>
      </c>
      <c r="H122" s="115">
        <v>0.0150684931506848</v>
      </c>
      <c r="I122" s="119">
        <v>-0.00134952766531704</v>
      </c>
      <c r="J122" s="115">
        <v>-0.05</v>
      </c>
      <c r="K122" s="115">
        <v>-0.0135135135135136</v>
      </c>
      <c r="L122" s="115">
        <v>0</v>
      </c>
      <c r="M122" s="119">
        <v>0</v>
      </c>
      <c r="N122" s="115">
        <v>0.00205479452054802</v>
      </c>
      <c r="O122" s="115">
        <v>0</v>
      </c>
      <c r="P122" s="115">
        <v>0</v>
      </c>
      <c r="Q122" s="119">
        <v>0</v>
      </c>
      <c r="R122" s="115">
        <v>-0.0253246753246754</v>
      </c>
      <c r="S122" s="115">
        <v>0</v>
      </c>
      <c r="T122" s="115">
        <v>0</v>
      </c>
      <c r="U122" s="119">
        <v>0</v>
      </c>
      <c r="V122" s="115">
        <v>-0.0259493670886075</v>
      </c>
      <c r="W122" s="115">
        <v>0</v>
      </c>
      <c r="X122" s="115">
        <v>0</v>
      </c>
      <c r="Y122" s="119">
        <v>0</v>
      </c>
      <c r="Z122" s="115">
        <v>-0.0259493670886075</v>
      </c>
      <c r="AA122" s="115">
        <v>0</v>
      </c>
      <c r="AB122" s="115">
        <v>0</v>
      </c>
      <c r="AC122" s="119">
        <v>0</v>
      </c>
      <c r="AD122" s="33"/>
      <c r="AE122" s="33"/>
      <c r="AF122" s="33"/>
      <c r="AG122" s="33"/>
      <c r="AH122" s="33"/>
      <c r="AI122" s="33"/>
      <c r="AJ122" s="33"/>
      <c r="AK122" s="33"/>
      <c r="AL122" s="33"/>
      <c r="AM122" s="27"/>
      <c r="AN122" s="27"/>
      <c r="AO122" s="27"/>
      <c r="AP122" s="27"/>
      <c r="AQ122" s="27"/>
      <c r="AR122" s="27"/>
      <c r="AS122" s="27"/>
      <c r="AT122" s="27"/>
      <c r="BF122" s="3"/>
      <c r="BG122" s="3"/>
      <c r="BH122" s="3"/>
      <c r="BI122" s="3"/>
    </row>
    <row r="123" outlineLevel="1" spans="1:61">
      <c r="A123" s="29" t="s">
        <v>853</v>
      </c>
      <c r="B123" s="114"/>
      <c r="C123" s="115">
        <v>-0.0312500000000001</v>
      </c>
      <c r="D123" s="115">
        <v>-0.0322580645161289</v>
      </c>
      <c r="E123" s="119">
        <v>0</v>
      </c>
      <c r="F123" s="115">
        <v>-0.3875</v>
      </c>
      <c r="G123" s="115">
        <v>0.0634920634920635</v>
      </c>
      <c r="H123" s="115">
        <v>0.0447761194029852</v>
      </c>
      <c r="I123" s="119">
        <v>0</v>
      </c>
      <c r="J123" s="115">
        <v>-0.05</v>
      </c>
      <c r="K123" s="115">
        <v>0</v>
      </c>
      <c r="L123" s="115">
        <v>0</v>
      </c>
      <c r="M123" s="119">
        <v>0</v>
      </c>
      <c r="N123" s="115">
        <v>0</v>
      </c>
      <c r="O123" s="115">
        <v>0</v>
      </c>
      <c r="P123" s="115">
        <v>0</v>
      </c>
      <c r="Q123" s="119">
        <v>0</v>
      </c>
      <c r="R123" s="115">
        <v>-0.0236111111111114</v>
      </c>
      <c r="S123" s="115">
        <v>0</v>
      </c>
      <c r="T123" s="115">
        <v>0</v>
      </c>
      <c r="U123" s="119">
        <v>0</v>
      </c>
      <c r="V123" s="115">
        <v>-0.0243243243243243</v>
      </c>
      <c r="W123" s="115">
        <v>0</v>
      </c>
      <c r="X123" s="115">
        <v>0</v>
      </c>
      <c r="Y123" s="119">
        <v>0</v>
      </c>
      <c r="Z123" s="115">
        <v>-0.0243243243243243</v>
      </c>
      <c r="AA123" s="115">
        <v>0</v>
      </c>
      <c r="AB123" s="115">
        <v>0</v>
      </c>
      <c r="AC123" s="119">
        <v>0</v>
      </c>
      <c r="AD123" s="33"/>
      <c r="AE123" s="33"/>
      <c r="AF123" s="33"/>
      <c r="AG123" s="33"/>
      <c r="AH123" s="33"/>
      <c r="AI123" s="33"/>
      <c r="AJ123" s="33"/>
      <c r="AK123" s="33"/>
      <c r="AL123" s="33"/>
      <c r="AM123" s="27"/>
      <c r="AN123" s="27"/>
      <c r="AO123" s="27"/>
      <c r="AP123" s="27"/>
      <c r="AQ123" s="27"/>
      <c r="AR123" s="27"/>
      <c r="AS123" s="27"/>
      <c r="AT123" s="27"/>
      <c r="BF123" s="3"/>
      <c r="BG123" s="3"/>
      <c r="BH123" s="3"/>
      <c r="BI123" s="3"/>
    </row>
    <row r="124" outlineLevel="1" spans="1:61">
      <c r="A124" s="29" t="s">
        <v>854</v>
      </c>
      <c r="B124" s="114"/>
      <c r="C124" s="115">
        <v>0</v>
      </c>
      <c r="D124" s="115">
        <v>-0.0833333333333333</v>
      </c>
      <c r="E124" s="119">
        <v>0</v>
      </c>
      <c r="F124" s="115">
        <v>-0.0381582054309328</v>
      </c>
      <c r="G124" s="115">
        <v>0</v>
      </c>
      <c r="H124" s="115">
        <v>0.112903225806452</v>
      </c>
      <c r="I124" s="119">
        <v>0</v>
      </c>
      <c r="J124" s="115">
        <v>-0.0869565217391305</v>
      </c>
      <c r="K124" s="115">
        <v>0</v>
      </c>
      <c r="L124" s="115">
        <v>0</v>
      </c>
      <c r="M124" s="119">
        <v>0</v>
      </c>
      <c r="N124" s="115">
        <v>-0.0999999999999999</v>
      </c>
      <c r="O124" s="115">
        <v>0</v>
      </c>
      <c r="P124" s="115">
        <v>0</v>
      </c>
      <c r="Q124" s="119">
        <v>0</v>
      </c>
      <c r="R124" s="115">
        <v>-0.0499999999999999</v>
      </c>
      <c r="S124" s="115">
        <v>0</v>
      </c>
      <c r="T124" s="115">
        <v>0</v>
      </c>
      <c r="U124" s="119">
        <v>0</v>
      </c>
      <c r="V124" s="115">
        <v>-0.0499999999999999</v>
      </c>
      <c r="W124" s="115">
        <v>0</v>
      </c>
      <c r="X124" s="115">
        <v>0</v>
      </c>
      <c r="Y124" s="119">
        <v>0</v>
      </c>
      <c r="Z124" s="115">
        <v>-0.0499999999999999</v>
      </c>
      <c r="AA124" s="115">
        <v>0</v>
      </c>
      <c r="AB124" s="115">
        <v>0</v>
      </c>
      <c r="AC124" s="119">
        <v>0</v>
      </c>
      <c r="AD124" s="33"/>
      <c r="AE124" s="33"/>
      <c r="AF124" s="33"/>
      <c r="AG124" s="33"/>
      <c r="AH124" s="33"/>
      <c r="AI124" s="33"/>
      <c r="AJ124" s="33"/>
      <c r="AK124" s="33"/>
      <c r="AL124" s="33"/>
      <c r="AM124" s="27"/>
      <c r="AN124" s="27"/>
      <c r="AO124" s="27"/>
      <c r="AP124" s="27"/>
      <c r="AQ124" s="27"/>
      <c r="AR124" s="27"/>
      <c r="AS124" s="27"/>
      <c r="AT124" s="27"/>
      <c r="BF124" s="3"/>
      <c r="BG124" s="3"/>
      <c r="BH124" s="3"/>
      <c r="BI124" s="3"/>
    </row>
    <row r="125" outlineLevel="1" spans="1:61">
      <c r="A125" s="29" t="s">
        <v>855</v>
      </c>
      <c r="B125" s="114"/>
      <c r="C125" s="115">
        <v>0</v>
      </c>
      <c r="D125" s="115">
        <v>-0.0517241379310345</v>
      </c>
      <c r="E125" s="119">
        <v>0</v>
      </c>
      <c r="F125" s="115">
        <v>-0.278021978021978</v>
      </c>
      <c r="G125" s="115">
        <v>0</v>
      </c>
      <c r="H125" s="115">
        <v>0.0545454545454547</v>
      </c>
      <c r="I125" s="119">
        <v>-0.103448275862069</v>
      </c>
      <c r="J125" s="115">
        <v>-0.0449615384615385</v>
      </c>
      <c r="K125" s="115">
        <v>-0.108271918166808</v>
      </c>
      <c r="L125" s="115">
        <v>0.0892514395393473</v>
      </c>
      <c r="M125" s="119">
        <v>-0.08</v>
      </c>
      <c r="N125" s="115">
        <v>-0.02</v>
      </c>
      <c r="O125" s="115">
        <v>0</v>
      </c>
      <c r="P125" s="115">
        <v>0</v>
      </c>
      <c r="Q125" s="119">
        <v>0</v>
      </c>
      <c r="R125" s="115">
        <v>-0.01</v>
      </c>
      <c r="S125" s="115">
        <v>0</v>
      </c>
      <c r="T125" s="115">
        <v>0</v>
      </c>
      <c r="U125" s="119">
        <v>0</v>
      </c>
      <c r="V125" s="115">
        <v>0</v>
      </c>
      <c r="W125" s="115">
        <v>0</v>
      </c>
      <c r="X125" s="115">
        <v>0</v>
      </c>
      <c r="Y125" s="119">
        <v>0</v>
      </c>
      <c r="Z125" s="115">
        <v>0</v>
      </c>
      <c r="AA125" s="115">
        <v>0</v>
      </c>
      <c r="AB125" s="115">
        <v>0</v>
      </c>
      <c r="AC125" s="119">
        <v>0</v>
      </c>
      <c r="AD125" s="33"/>
      <c r="AE125" s="33"/>
      <c r="AF125" s="27"/>
      <c r="AG125" s="33"/>
      <c r="AH125" s="33"/>
      <c r="AI125" s="33"/>
      <c r="AJ125" s="33"/>
      <c r="AK125" s="33"/>
      <c r="AL125" s="33"/>
      <c r="AM125" s="27"/>
      <c r="AN125" s="27"/>
      <c r="AO125" s="27"/>
      <c r="AP125" s="27"/>
      <c r="AQ125" s="27"/>
      <c r="AR125" s="27"/>
      <c r="AS125" s="27"/>
      <c r="AT125" s="27"/>
      <c r="BF125" s="3"/>
      <c r="BG125" s="3"/>
      <c r="BH125" s="3"/>
      <c r="BI125" s="3"/>
    </row>
    <row r="126" outlineLevel="1" spans="1:61">
      <c r="A126" s="29" t="s">
        <v>856</v>
      </c>
      <c r="B126" s="114"/>
      <c r="C126" s="115"/>
      <c r="D126" s="115"/>
      <c r="E126" s="119"/>
      <c r="F126" s="115"/>
      <c r="G126" s="115"/>
      <c r="H126" s="115"/>
      <c r="I126" s="119"/>
      <c r="J126" s="123"/>
      <c r="K126" s="123">
        <f>K116/J116-1</f>
        <v>0.0649887188400606</v>
      </c>
      <c r="L126" s="123">
        <f t="shared" ref="L126:R126" si="193">L116/K116-1</f>
        <v>-0.0173124069880656</v>
      </c>
      <c r="M126" s="123">
        <f t="shared" si="193"/>
        <v>-0.146481591614837</v>
      </c>
      <c r="N126" s="123">
        <f t="shared" si="193"/>
        <v>-0.0800360878092813</v>
      </c>
      <c r="O126" s="123">
        <f t="shared" si="193"/>
        <v>0.00929271874630699</v>
      </c>
      <c r="P126" s="123">
        <f t="shared" si="193"/>
        <v>0.026892979761671</v>
      </c>
      <c r="Q126" s="123">
        <f t="shared" si="193"/>
        <v>-0.021390984415717</v>
      </c>
      <c r="R126" s="123">
        <f t="shared" si="193"/>
        <v>-0.0606140898751663</v>
      </c>
      <c r="S126" s="115">
        <v>-0.01</v>
      </c>
      <c r="T126" s="115">
        <v>0.01</v>
      </c>
      <c r="U126" s="115">
        <v>0.01</v>
      </c>
      <c r="V126" s="115">
        <v>-0.02</v>
      </c>
      <c r="W126" s="115">
        <v>-0.02</v>
      </c>
      <c r="X126" s="115">
        <v>-0.02</v>
      </c>
      <c r="Y126" s="119">
        <v>0</v>
      </c>
      <c r="Z126" s="115">
        <v>-0.03</v>
      </c>
      <c r="AA126" s="115">
        <v>-0.08</v>
      </c>
      <c r="AB126" s="115">
        <v>-0.02</v>
      </c>
      <c r="AC126" s="119">
        <v>0</v>
      </c>
      <c r="AD126" s="33"/>
      <c r="AE126" s="33"/>
      <c r="AF126" s="27"/>
      <c r="AG126" s="33"/>
      <c r="AH126" s="33"/>
      <c r="AI126" s="33"/>
      <c r="AJ126" s="33"/>
      <c r="AK126" s="33"/>
      <c r="AL126" s="33"/>
      <c r="AM126" s="27"/>
      <c r="AN126" s="27"/>
      <c r="AO126" s="27"/>
      <c r="AP126" s="27"/>
      <c r="AQ126" s="27"/>
      <c r="AR126" s="27"/>
      <c r="AS126" s="27"/>
      <c r="AT126" s="27"/>
      <c r="BF126" s="3"/>
      <c r="BG126" s="3"/>
      <c r="BH126" s="3"/>
      <c r="BI126" s="3"/>
    </row>
    <row r="127" outlineLevel="1" spans="1:61">
      <c r="A127" s="29" t="s">
        <v>857</v>
      </c>
      <c r="B127" s="114"/>
      <c r="C127" s="115"/>
      <c r="D127" s="115"/>
      <c r="E127" s="119"/>
      <c r="F127" s="115"/>
      <c r="G127" s="115"/>
      <c r="H127" s="115"/>
      <c r="I127" s="119"/>
      <c r="J127" s="115"/>
      <c r="K127" s="115"/>
      <c r="L127" s="115"/>
      <c r="M127" s="119"/>
      <c r="N127" s="115"/>
      <c r="O127" s="115"/>
      <c r="P127" s="115"/>
      <c r="Q127" s="119"/>
      <c r="R127" s="115">
        <v>-0.02</v>
      </c>
      <c r="S127" s="115">
        <v>-0.02</v>
      </c>
      <c r="T127" s="115">
        <v>0.02</v>
      </c>
      <c r="U127" s="115">
        <v>0.01</v>
      </c>
      <c r="V127" s="115">
        <v>-0.03</v>
      </c>
      <c r="W127" s="115">
        <v>-0.1</v>
      </c>
      <c r="X127" s="115">
        <v>0</v>
      </c>
      <c r="Y127" s="119">
        <v>0</v>
      </c>
      <c r="Z127" s="115">
        <v>-0.03</v>
      </c>
      <c r="AA127" s="115">
        <v>-0.1</v>
      </c>
      <c r="AB127" s="115">
        <v>0</v>
      </c>
      <c r="AC127" s="119">
        <v>0</v>
      </c>
      <c r="AD127" s="33"/>
      <c r="AE127" s="33"/>
      <c r="AF127" s="33"/>
      <c r="AG127" s="33"/>
      <c r="AH127" s="33"/>
      <c r="AI127" s="33"/>
      <c r="AJ127" s="33"/>
      <c r="AK127" s="33"/>
      <c r="AL127" s="33"/>
      <c r="AM127" s="27"/>
      <c r="AN127" s="27"/>
      <c r="AO127" s="27"/>
      <c r="AP127" s="27"/>
      <c r="AQ127" s="27"/>
      <c r="AR127" s="27"/>
      <c r="AS127" s="27"/>
      <c r="AT127" s="27"/>
      <c r="BF127" s="3"/>
      <c r="BG127" s="3"/>
      <c r="BH127" s="3"/>
      <c r="BI127" s="3"/>
    </row>
    <row r="128" outlineLevel="1" spans="1:61">
      <c r="A128" s="18" t="s">
        <v>872</v>
      </c>
      <c r="B128" s="112"/>
      <c r="C128" s="112"/>
      <c r="D128" s="112"/>
      <c r="E128" s="117"/>
      <c r="F128" s="112"/>
      <c r="G128" s="112"/>
      <c r="H128" s="112"/>
      <c r="I128" s="117"/>
      <c r="J128" s="112"/>
      <c r="K128" s="112"/>
      <c r="L128" s="112"/>
      <c r="M128" s="117"/>
      <c r="N128" s="112"/>
      <c r="O128" s="112"/>
      <c r="P128" s="112"/>
      <c r="Q128" s="117"/>
      <c r="R128" s="112"/>
      <c r="S128" s="112"/>
      <c r="T128" s="112"/>
      <c r="U128" s="117"/>
      <c r="V128" s="112"/>
      <c r="W128" s="112"/>
      <c r="X128" s="112"/>
      <c r="Y128" s="117"/>
      <c r="Z128" s="112"/>
      <c r="AA128" s="112"/>
      <c r="AB128" s="112"/>
      <c r="AC128" s="117"/>
      <c r="AD128" s="33"/>
      <c r="AE128" s="33"/>
      <c r="AF128" s="33"/>
      <c r="AG128" s="33"/>
      <c r="AH128" s="33"/>
      <c r="AI128" s="33"/>
      <c r="AJ128" s="33"/>
      <c r="AK128" s="33"/>
      <c r="AL128" s="33"/>
      <c r="AM128" s="27"/>
      <c r="AN128" s="27"/>
      <c r="AO128" s="27"/>
      <c r="AP128" s="27"/>
      <c r="AQ128" s="27"/>
      <c r="AR128" s="27"/>
      <c r="AS128" s="27"/>
      <c r="AT128" s="27"/>
      <c r="BF128" s="3"/>
      <c r="BG128" s="3"/>
      <c r="BH128" s="3"/>
      <c r="BI128" s="3"/>
    </row>
    <row r="129" outlineLevel="1" spans="1:61">
      <c r="A129" s="18"/>
      <c r="B129" s="112"/>
      <c r="C129" s="112"/>
      <c r="D129" s="112"/>
      <c r="E129" s="117"/>
      <c r="F129" s="112"/>
      <c r="G129" s="112"/>
      <c r="H129" s="112"/>
      <c r="I129" s="117"/>
      <c r="J129" s="112"/>
      <c r="K129" s="112"/>
      <c r="L129" s="112"/>
      <c r="M129" s="117"/>
      <c r="N129" s="112"/>
      <c r="O129" s="112"/>
      <c r="P129" s="112"/>
      <c r="Q129" s="117"/>
      <c r="R129" s="112"/>
      <c r="S129" s="112"/>
      <c r="T129" s="112"/>
      <c r="U129" s="117"/>
      <c r="V129" s="112"/>
      <c r="W129" s="112"/>
      <c r="X129" s="112"/>
      <c r="Y129" s="117"/>
      <c r="Z129" s="112"/>
      <c r="AA129" s="112"/>
      <c r="AB129" s="112"/>
      <c r="AC129" s="117"/>
      <c r="AD129" s="33"/>
      <c r="AE129" s="33"/>
      <c r="AF129" s="33"/>
      <c r="AG129" s="33"/>
      <c r="AH129" s="33"/>
      <c r="AI129" s="33"/>
      <c r="AJ129" s="33"/>
      <c r="AK129" s="33"/>
      <c r="AL129" s="33"/>
      <c r="AM129" s="27"/>
      <c r="AN129" s="27"/>
      <c r="AO129" s="27"/>
      <c r="AP129" s="27"/>
      <c r="AQ129" s="27"/>
      <c r="AR129" s="27"/>
      <c r="AS129" s="27"/>
      <c r="AT129" s="27"/>
      <c r="BF129" s="3"/>
      <c r="BG129" s="3"/>
      <c r="BH129" s="3"/>
      <c r="BI129" s="3"/>
    </row>
    <row r="130" outlineLevel="1" spans="1:61">
      <c r="A130" s="18"/>
      <c r="B130" s="112"/>
      <c r="C130" s="112"/>
      <c r="D130" s="112"/>
      <c r="E130" s="117"/>
      <c r="F130" s="112"/>
      <c r="G130" s="112"/>
      <c r="H130" s="112"/>
      <c r="I130" s="117"/>
      <c r="J130" s="112"/>
      <c r="K130" s="112"/>
      <c r="L130" s="112"/>
      <c r="M130" s="117"/>
      <c r="N130" s="112"/>
      <c r="O130" s="112"/>
      <c r="P130" s="112"/>
      <c r="Q130" s="117"/>
      <c r="R130" s="112"/>
      <c r="S130" s="112"/>
      <c r="T130" s="112"/>
      <c r="U130" s="117"/>
      <c r="V130" s="112"/>
      <c r="W130" s="112"/>
      <c r="X130" s="112"/>
      <c r="Y130" s="117"/>
      <c r="Z130" s="112"/>
      <c r="AA130" s="112"/>
      <c r="AB130" s="112"/>
      <c r="AC130" s="117"/>
      <c r="AD130" s="33"/>
      <c r="AE130" s="33"/>
      <c r="AF130" s="33"/>
      <c r="AG130" s="33"/>
      <c r="AH130" s="33"/>
      <c r="AI130" s="33"/>
      <c r="AJ130" s="33"/>
      <c r="AK130" s="33"/>
      <c r="AL130" s="33"/>
      <c r="AM130" s="27"/>
      <c r="AN130" s="27"/>
      <c r="AO130" s="27"/>
      <c r="AP130" s="27"/>
      <c r="AQ130" s="27"/>
      <c r="AR130" s="27"/>
      <c r="AS130" s="27"/>
      <c r="AT130" s="27"/>
      <c r="BF130" s="3"/>
      <c r="BG130" s="3"/>
      <c r="BH130" s="3"/>
      <c r="BI130" s="3"/>
    </row>
    <row r="131" outlineLevel="1" spans="1:61">
      <c r="A131" s="18"/>
      <c r="B131" s="112"/>
      <c r="C131" s="112"/>
      <c r="D131" s="112"/>
      <c r="E131" s="117"/>
      <c r="F131" s="112"/>
      <c r="G131" s="112"/>
      <c r="H131" s="112"/>
      <c r="I131" s="117"/>
      <c r="J131" s="112"/>
      <c r="K131" s="112"/>
      <c r="L131" s="112"/>
      <c r="M131" s="117"/>
      <c r="N131" s="112"/>
      <c r="O131" s="112"/>
      <c r="P131" s="112"/>
      <c r="Q131" s="117"/>
      <c r="R131" s="112"/>
      <c r="S131" s="112"/>
      <c r="T131" s="112"/>
      <c r="U131" s="117"/>
      <c r="V131" s="112"/>
      <c r="W131" s="112"/>
      <c r="X131" s="112"/>
      <c r="Y131" s="117"/>
      <c r="Z131" s="112"/>
      <c r="AA131" s="112"/>
      <c r="AB131" s="112"/>
      <c r="AC131" s="117"/>
      <c r="AD131" s="33"/>
      <c r="AE131" s="33"/>
      <c r="AF131" s="33"/>
      <c r="AG131" s="33"/>
      <c r="AH131" s="33"/>
      <c r="AI131" s="33"/>
      <c r="AJ131" s="33"/>
      <c r="AK131" s="33"/>
      <c r="AL131" s="33"/>
      <c r="AM131" s="27"/>
      <c r="AN131" s="27"/>
      <c r="AO131" s="27"/>
      <c r="AP131" s="27"/>
      <c r="AQ131" s="27"/>
      <c r="AR131" s="27"/>
      <c r="AS131" s="27"/>
      <c r="AT131" s="27"/>
      <c r="BF131" s="3"/>
      <c r="BG131" s="3"/>
      <c r="BH131" s="3"/>
      <c r="BI131" s="3"/>
    </row>
    <row r="132" outlineLevel="1" spans="1:61">
      <c r="A132" s="18"/>
      <c r="B132" s="112"/>
      <c r="C132" s="112"/>
      <c r="D132" s="112"/>
      <c r="E132" s="117"/>
      <c r="F132" s="112"/>
      <c r="G132" s="112"/>
      <c r="H132" s="112"/>
      <c r="I132" s="117"/>
      <c r="J132" s="112"/>
      <c r="K132" s="112"/>
      <c r="L132" s="112"/>
      <c r="M132" s="117"/>
      <c r="N132" s="112"/>
      <c r="O132" s="112"/>
      <c r="P132" s="112"/>
      <c r="Q132" s="117"/>
      <c r="R132" s="112"/>
      <c r="S132" s="112"/>
      <c r="T132" s="112"/>
      <c r="U132" s="117"/>
      <c r="V132" s="112"/>
      <c r="W132" s="112"/>
      <c r="X132" s="112"/>
      <c r="Y132" s="117"/>
      <c r="Z132" s="112"/>
      <c r="AA132" s="112"/>
      <c r="AB132" s="112"/>
      <c r="AC132" s="117"/>
      <c r="AD132" s="33"/>
      <c r="AE132" s="33"/>
      <c r="AF132" s="33"/>
      <c r="AG132" s="33"/>
      <c r="AH132" s="33"/>
      <c r="AI132" s="33"/>
      <c r="AJ132" s="33"/>
      <c r="AK132" s="33"/>
      <c r="AL132" s="33"/>
      <c r="AM132" s="27"/>
      <c r="AN132" s="27"/>
      <c r="AO132" s="27"/>
      <c r="AP132" s="27"/>
      <c r="AQ132" s="27"/>
      <c r="AR132" s="27"/>
      <c r="AS132" s="27"/>
      <c r="AT132" s="27"/>
      <c r="BF132" s="3"/>
      <c r="BG132" s="3"/>
      <c r="BH132" s="3"/>
      <c r="BI132" s="3"/>
    </row>
    <row r="133" s="4" customFormat="1" spans="1:51">
      <c r="A133" s="133" t="s">
        <v>873</v>
      </c>
      <c r="B133" s="134"/>
      <c r="C133" s="134"/>
      <c r="D133" s="134"/>
      <c r="E133" s="142"/>
      <c r="F133" s="143"/>
      <c r="G133" s="143"/>
      <c r="H133" s="143"/>
      <c r="I133" s="152"/>
      <c r="J133" s="143"/>
      <c r="K133" s="143"/>
      <c r="L133" s="143"/>
      <c r="M133" s="152"/>
      <c r="N133" s="143"/>
      <c r="O133" s="143"/>
      <c r="P133" s="143"/>
      <c r="Q133" s="152"/>
      <c r="R133" s="143"/>
      <c r="S133" s="143"/>
      <c r="T133" s="143"/>
      <c r="U133" s="152"/>
      <c r="V133" s="143"/>
      <c r="W133" s="143"/>
      <c r="X133" s="143"/>
      <c r="Y133" s="152"/>
      <c r="Z133" s="143"/>
      <c r="AA133" s="143"/>
      <c r="AB133" s="143"/>
      <c r="AC133" s="152"/>
      <c r="AD133" s="168"/>
      <c r="AE133" s="168"/>
      <c r="AF133" s="168"/>
      <c r="AG133" s="168"/>
      <c r="AH133" s="168"/>
      <c r="AI133" s="168"/>
      <c r="AJ133" s="169"/>
      <c r="AK133" s="169"/>
      <c r="AL133" s="170"/>
      <c r="AM133" s="171"/>
      <c r="AN133" s="171"/>
      <c r="AO133" s="171"/>
      <c r="AP133" s="171"/>
      <c r="AQ133" s="171"/>
      <c r="AR133" s="171"/>
      <c r="AS133" s="171"/>
      <c r="AT133" s="171"/>
      <c r="AU133" s="172"/>
      <c r="AV133" s="172"/>
      <c r="AW133" s="173"/>
      <c r="AX133" s="173"/>
      <c r="AY133" s="173"/>
    </row>
    <row r="134" s="4" customFormat="1" spans="1:51">
      <c r="A134" s="135" t="s">
        <v>874</v>
      </c>
      <c r="B134" s="136"/>
      <c r="C134" s="136"/>
      <c r="D134" s="136"/>
      <c r="E134" s="144"/>
      <c r="F134" s="145"/>
      <c r="G134" s="146"/>
      <c r="H134" s="146"/>
      <c r="I134" s="153"/>
      <c r="J134" s="146"/>
      <c r="K134" s="146"/>
      <c r="L134" s="146"/>
      <c r="M134" s="153"/>
      <c r="N134" s="146"/>
      <c r="O134" s="146"/>
      <c r="P134" s="146"/>
      <c r="Q134" s="153"/>
      <c r="R134" s="146"/>
      <c r="S134" s="146"/>
      <c r="T134" s="146"/>
      <c r="U134" s="153"/>
      <c r="V134" s="146"/>
      <c r="W134" s="146"/>
      <c r="X134" s="146"/>
      <c r="Y134" s="153"/>
      <c r="Z134" s="146"/>
      <c r="AA134" s="146"/>
      <c r="AB134" s="146"/>
      <c r="AC134" s="153"/>
      <c r="AD134" s="168"/>
      <c r="AE134" s="168"/>
      <c r="AF134" s="168"/>
      <c r="AG134" s="168"/>
      <c r="AH134" s="168"/>
      <c r="AI134" s="168"/>
      <c r="AJ134" s="169"/>
      <c r="AK134" s="169"/>
      <c r="AL134" s="170"/>
      <c r="AM134" s="171"/>
      <c r="AN134" s="171"/>
      <c r="AO134" s="171"/>
      <c r="AP134" s="171"/>
      <c r="AQ134" s="171"/>
      <c r="AR134" s="171"/>
      <c r="AS134" s="171"/>
      <c r="AT134" s="171"/>
      <c r="AU134" s="172"/>
      <c r="AV134" s="172"/>
      <c r="AW134" s="173"/>
      <c r="AX134" s="173"/>
      <c r="AY134" s="173"/>
    </row>
    <row r="135" s="4" customFormat="1" ht="12" spans="1:51">
      <c r="A135" s="137" t="s">
        <v>875</v>
      </c>
      <c r="B135" s="138"/>
      <c r="C135" s="138"/>
      <c r="D135" s="138"/>
      <c r="E135" s="147"/>
      <c r="F135" s="125"/>
      <c r="G135" s="27"/>
      <c r="H135" s="27"/>
      <c r="I135" s="52"/>
      <c r="J135" s="27"/>
      <c r="K135" s="27"/>
      <c r="L135" s="27"/>
      <c r="M135" s="52"/>
      <c r="N135" s="27"/>
      <c r="O135" s="27">
        <v>0</v>
      </c>
      <c r="P135" s="27">
        <v>0</v>
      </c>
      <c r="Q135" s="52">
        <v>0</v>
      </c>
      <c r="R135" s="27">
        <v>0</v>
      </c>
      <c r="S135" s="27">
        <v>0</v>
      </c>
      <c r="T135" s="27">
        <v>0</v>
      </c>
      <c r="U135" s="52">
        <v>0</v>
      </c>
      <c r="V135" s="27">
        <v>0</v>
      </c>
      <c r="W135" s="27">
        <v>0</v>
      </c>
      <c r="X135" s="27">
        <v>0</v>
      </c>
      <c r="Y135" s="52">
        <v>0</v>
      </c>
      <c r="Z135" s="27">
        <v>0</v>
      </c>
      <c r="AA135" s="27">
        <v>0</v>
      </c>
      <c r="AB135" s="27">
        <v>0</v>
      </c>
      <c r="AC135" s="52">
        <v>0</v>
      </c>
      <c r="AD135" s="168"/>
      <c r="AE135" s="168"/>
      <c r="AF135" s="168"/>
      <c r="AG135" s="168"/>
      <c r="AH135" s="168"/>
      <c r="AI135" s="168"/>
      <c r="AJ135" s="169"/>
      <c r="AK135" s="169"/>
      <c r="AL135" s="170"/>
      <c r="AM135" s="171"/>
      <c r="AN135" s="171"/>
      <c r="AO135" s="171"/>
      <c r="AP135" s="171"/>
      <c r="AQ135" s="171"/>
      <c r="AR135" s="171"/>
      <c r="AS135" s="171"/>
      <c r="AT135" s="171"/>
      <c r="AU135" s="172"/>
      <c r="AV135" s="172"/>
      <c r="AW135" s="173"/>
      <c r="AX135" s="173"/>
      <c r="AY135" s="173"/>
    </row>
    <row r="136" s="4" customFormat="1" ht="12" spans="1:51">
      <c r="A136" s="137" t="s">
        <v>876</v>
      </c>
      <c r="B136" s="138"/>
      <c r="C136" s="138"/>
      <c r="D136" s="138"/>
      <c r="E136" s="147"/>
      <c r="F136" s="125"/>
      <c r="G136" s="27"/>
      <c r="H136" s="27"/>
      <c r="I136" s="52"/>
      <c r="J136" s="27"/>
      <c r="K136" s="27"/>
      <c r="L136" s="27"/>
      <c r="M136" s="52"/>
      <c r="N136" s="27"/>
      <c r="O136" s="155">
        <f>+O135-O137</f>
        <v>0</v>
      </c>
      <c r="P136" s="155">
        <f t="shared" ref="P136:Y136" si="194">+P135-P137</f>
        <v>0</v>
      </c>
      <c r="Q136" s="161">
        <f t="shared" si="194"/>
        <v>0</v>
      </c>
      <c r="R136" s="155">
        <f t="shared" si="194"/>
        <v>0</v>
      </c>
      <c r="S136" s="155">
        <f t="shared" si="194"/>
        <v>0</v>
      </c>
      <c r="T136" s="155">
        <f t="shared" si="194"/>
        <v>0</v>
      </c>
      <c r="U136" s="161">
        <f t="shared" si="194"/>
        <v>0</v>
      </c>
      <c r="V136" s="155">
        <f t="shared" si="194"/>
        <v>0</v>
      </c>
      <c r="W136" s="155">
        <f t="shared" si="194"/>
        <v>0</v>
      </c>
      <c r="X136" s="155">
        <f t="shared" si="194"/>
        <v>0</v>
      </c>
      <c r="Y136" s="161">
        <f t="shared" si="194"/>
        <v>0</v>
      </c>
      <c r="Z136" s="155">
        <f t="shared" ref="Z136:AC136" si="195">+Z135-Z137</f>
        <v>0</v>
      </c>
      <c r="AA136" s="155">
        <f t="shared" si="195"/>
        <v>0</v>
      </c>
      <c r="AB136" s="155">
        <f t="shared" si="195"/>
        <v>0</v>
      </c>
      <c r="AC136" s="161">
        <f t="shared" si="195"/>
        <v>0</v>
      </c>
      <c r="AD136" s="168"/>
      <c r="AE136" s="168"/>
      <c r="AF136" s="168"/>
      <c r="AG136" s="168"/>
      <c r="AH136" s="168"/>
      <c r="AI136" s="168"/>
      <c r="AJ136" s="169"/>
      <c r="AK136" s="169"/>
      <c r="AL136" s="170"/>
      <c r="AM136" s="171"/>
      <c r="AN136" s="171"/>
      <c r="AO136" s="171"/>
      <c r="AP136" s="171"/>
      <c r="AQ136" s="171"/>
      <c r="AR136" s="171"/>
      <c r="AS136" s="171"/>
      <c r="AT136" s="171"/>
      <c r="AU136" s="172"/>
      <c r="AV136" s="172"/>
      <c r="AW136" s="173"/>
      <c r="AX136" s="173"/>
      <c r="AY136" s="173"/>
    </row>
    <row r="137" s="4" customFormat="1" ht="12" spans="1:51">
      <c r="A137" s="137" t="s">
        <v>877</v>
      </c>
      <c r="B137" s="138"/>
      <c r="C137" s="138"/>
      <c r="D137" s="138"/>
      <c r="E137" s="147"/>
      <c r="F137" s="125"/>
      <c r="G137" s="27"/>
      <c r="H137" s="27"/>
      <c r="I137" s="52"/>
      <c r="J137" s="27"/>
      <c r="K137" s="27"/>
      <c r="L137" s="27"/>
      <c r="M137" s="52"/>
      <c r="N137" s="27"/>
      <c r="O137" s="27">
        <f>+O135*O138</f>
        <v>0</v>
      </c>
      <c r="P137" s="27">
        <f t="shared" ref="P137:Y137" si="196">+P135*P138</f>
        <v>0</v>
      </c>
      <c r="Q137" s="52">
        <f t="shared" si="196"/>
        <v>0</v>
      </c>
      <c r="R137" s="27">
        <f t="shared" si="196"/>
        <v>0</v>
      </c>
      <c r="S137" s="27">
        <f t="shared" si="196"/>
        <v>0</v>
      </c>
      <c r="T137" s="27">
        <f t="shared" si="196"/>
        <v>0</v>
      </c>
      <c r="U137" s="52">
        <f t="shared" si="196"/>
        <v>0</v>
      </c>
      <c r="V137" s="27">
        <f t="shared" si="196"/>
        <v>0</v>
      </c>
      <c r="W137" s="27">
        <f t="shared" si="196"/>
        <v>0</v>
      </c>
      <c r="X137" s="27">
        <f t="shared" si="196"/>
        <v>0</v>
      </c>
      <c r="Y137" s="52">
        <f t="shared" si="196"/>
        <v>0</v>
      </c>
      <c r="Z137" s="27">
        <f t="shared" ref="Z137:AC137" si="197">+Z135*Z138</f>
        <v>0</v>
      </c>
      <c r="AA137" s="27">
        <f t="shared" si="197"/>
        <v>0</v>
      </c>
      <c r="AB137" s="27">
        <f t="shared" si="197"/>
        <v>0</v>
      </c>
      <c r="AC137" s="52">
        <f t="shared" si="197"/>
        <v>0</v>
      </c>
      <c r="AD137" s="168"/>
      <c r="AE137" s="168"/>
      <c r="AF137" s="168"/>
      <c r="AG137" s="168"/>
      <c r="AH137" s="168"/>
      <c r="AI137" s="168"/>
      <c r="AJ137" s="169"/>
      <c r="AK137" s="169"/>
      <c r="AL137" s="170"/>
      <c r="AM137" s="171"/>
      <c r="AN137" s="171"/>
      <c r="AO137" s="171"/>
      <c r="AP137" s="171"/>
      <c r="AQ137" s="171"/>
      <c r="AR137" s="171"/>
      <c r="AS137" s="171"/>
      <c r="AT137" s="171"/>
      <c r="AU137" s="172"/>
      <c r="AV137" s="172"/>
      <c r="AW137" s="173"/>
      <c r="AX137" s="173"/>
      <c r="AY137" s="173"/>
    </row>
    <row r="138" s="4" customFormat="1" ht="12" spans="1:51">
      <c r="A138" s="29" t="s">
        <v>878</v>
      </c>
      <c r="B138" s="138"/>
      <c r="C138" s="138"/>
      <c r="D138" s="138"/>
      <c r="E138" s="147"/>
      <c r="F138" s="125"/>
      <c r="G138" s="27"/>
      <c r="H138" s="27"/>
      <c r="I138" s="52"/>
      <c r="J138" s="27"/>
      <c r="K138" s="27"/>
      <c r="L138" s="27"/>
      <c r="M138" s="52"/>
      <c r="N138" s="27"/>
      <c r="O138" s="155">
        <v>0.5</v>
      </c>
      <c r="P138" s="155">
        <v>0.5</v>
      </c>
      <c r="Q138" s="161">
        <v>0.5</v>
      </c>
      <c r="R138" s="155">
        <v>0.5</v>
      </c>
      <c r="S138" s="155">
        <v>0.5</v>
      </c>
      <c r="T138" s="155">
        <v>0.5</v>
      </c>
      <c r="U138" s="161">
        <v>0.5</v>
      </c>
      <c r="V138" s="155">
        <v>0.5</v>
      </c>
      <c r="W138" s="155">
        <v>0.5</v>
      </c>
      <c r="X138" s="155">
        <v>0.5</v>
      </c>
      <c r="Y138" s="161">
        <v>0.5</v>
      </c>
      <c r="Z138" s="155">
        <v>0.5</v>
      </c>
      <c r="AA138" s="155">
        <v>0.5</v>
      </c>
      <c r="AB138" s="155">
        <v>0.5</v>
      </c>
      <c r="AC138" s="161">
        <v>0.5</v>
      </c>
      <c r="AD138" s="168"/>
      <c r="AE138" s="168"/>
      <c r="AF138" s="168"/>
      <c r="AG138" s="168"/>
      <c r="AH138" s="168"/>
      <c r="AI138" s="168"/>
      <c r="AJ138" s="169"/>
      <c r="AK138" s="169"/>
      <c r="AL138" s="170"/>
      <c r="AM138" s="171"/>
      <c r="AN138" s="171"/>
      <c r="AO138" s="171"/>
      <c r="AP138" s="171"/>
      <c r="AQ138" s="171"/>
      <c r="AR138" s="171"/>
      <c r="AS138" s="171"/>
      <c r="AT138" s="171"/>
      <c r="AU138" s="172"/>
      <c r="AV138" s="172"/>
      <c r="AW138" s="173"/>
      <c r="AX138" s="173"/>
      <c r="AY138" s="173"/>
    </row>
    <row r="139" s="4" customFormat="1" ht="12" spans="1:51">
      <c r="A139" s="29" t="s">
        <v>879</v>
      </c>
      <c r="B139" s="138"/>
      <c r="C139" s="138"/>
      <c r="D139" s="138"/>
      <c r="E139" s="147"/>
      <c r="F139" s="125"/>
      <c r="G139" s="27"/>
      <c r="H139" s="27"/>
      <c r="I139" s="52"/>
      <c r="J139" s="27"/>
      <c r="K139" s="27"/>
      <c r="L139" s="27"/>
      <c r="M139" s="52"/>
      <c r="N139" s="27"/>
      <c r="O139" s="156">
        <f t="shared" ref="O139:Y139" si="198">+O135/(O135+(1/O138))</f>
        <v>0</v>
      </c>
      <c r="P139" s="156">
        <f t="shared" si="198"/>
        <v>0</v>
      </c>
      <c r="Q139" s="162">
        <f t="shared" si="198"/>
        <v>0</v>
      </c>
      <c r="R139" s="156">
        <f t="shared" si="198"/>
        <v>0</v>
      </c>
      <c r="S139" s="156">
        <f t="shared" si="198"/>
        <v>0</v>
      </c>
      <c r="T139" s="156">
        <f t="shared" si="198"/>
        <v>0</v>
      </c>
      <c r="U139" s="162">
        <f t="shared" si="198"/>
        <v>0</v>
      </c>
      <c r="V139" s="156">
        <f t="shared" si="198"/>
        <v>0</v>
      </c>
      <c r="W139" s="156">
        <f t="shared" si="198"/>
        <v>0</v>
      </c>
      <c r="X139" s="156">
        <f t="shared" si="198"/>
        <v>0</v>
      </c>
      <c r="Y139" s="162">
        <f t="shared" si="198"/>
        <v>0</v>
      </c>
      <c r="Z139" s="156">
        <f t="shared" ref="Z139:AC139" si="199">+Z135/(Z135+(1/Z138))</f>
        <v>0</v>
      </c>
      <c r="AA139" s="156">
        <f t="shared" si="199"/>
        <v>0</v>
      </c>
      <c r="AB139" s="156">
        <f t="shared" si="199"/>
        <v>0</v>
      </c>
      <c r="AC139" s="162">
        <f t="shared" si="199"/>
        <v>0</v>
      </c>
      <c r="AD139" s="168"/>
      <c r="AE139" s="168"/>
      <c r="AF139" s="168"/>
      <c r="AG139" s="168"/>
      <c r="AH139" s="168"/>
      <c r="AI139" s="168"/>
      <c r="AJ139" s="169"/>
      <c r="AK139" s="169"/>
      <c r="AL139" s="170"/>
      <c r="AM139" s="171"/>
      <c r="AN139" s="171"/>
      <c r="AO139" s="171"/>
      <c r="AP139" s="171"/>
      <c r="AQ139" s="171"/>
      <c r="AR139" s="171"/>
      <c r="AS139" s="171"/>
      <c r="AT139" s="171"/>
      <c r="AU139" s="172"/>
      <c r="AV139" s="172"/>
      <c r="AW139" s="173"/>
      <c r="AX139" s="173"/>
      <c r="AY139" s="173"/>
    </row>
    <row r="140" s="4" customFormat="1" ht="12" spans="1:51">
      <c r="A140" s="29"/>
      <c r="B140" s="138"/>
      <c r="C140" s="138"/>
      <c r="D140" s="138"/>
      <c r="E140" s="147"/>
      <c r="F140" s="125"/>
      <c r="G140" s="27"/>
      <c r="H140" s="27"/>
      <c r="I140" s="52"/>
      <c r="J140" s="27"/>
      <c r="K140" s="27"/>
      <c r="L140" s="27"/>
      <c r="M140" s="52"/>
      <c r="N140" s="27"/>
      <c r="O140" s="27"/>
      <c r="P140" s="27"/>
      <c r="Q140" s="52"/>
      <c r="R140" s="27"/>
      <c r="S140" s="27"/>
      <c r="T140" s="27"/>
      <c r="U140" s="52"/>
      <c r="V140" s="27"/>
      <c r="W140" s="27"/>
      <c r="X140" s="27"/>
      <c r="Y140" s="52"/>
      <c r="Z140" s="27"/>
      <c r="AA140" s="27"/>
      <c r="AB140" s="27"/>
      <c r="AC140" s="52"/>
      <c r="AD140" s="168"/>
      <c r="AE140" s="168"/>
      <c r="AF140" s="168"/>
      <c r="AG140" s="168"/>
      <c r="AH140" s="168"/>
      <c r="AI140" s="168"/>
      <c r="AJ140" s="169"/>
      <c r="AK140" s="169"/>
      <c r="AL140" s="170"/>
      <c r="AM140" s="171"/>
      <c r="AN140" s="171"/>
      <c r="AO140" s="171"/>
      <c r="AP140" s="171"/>
      <c r="AQ140" s="171"/>
      <c r="AR140" s="171"/>
      <c r="AS140" s="171"/>
      <c r="AT140" s="171"/>
      <c r="AU140" s="172"/>
      <c r="AV140" s="172"/>
      <c r="AW140" s="173"/>
      <c r="AX140" s="173"/>
      <c r="AY140" s="173"/>
    </row>
    <row r="141" s="4" customFormat="1" ht="12" spans="1:51">
      <c r="A141" s="36" t="s">
        <v>880</v>
      </c>
      <c r="B141" s="138"/>
      <c r="C141" s="138"/>
      <c r="D141" s="138"/>
      <c r="E141" s="147"/>
      <c r="F141" s="125"/>
      <c r="G141" s="27"/>
      <c r="H141" s="27"/>
      <c r="I141" s="52"/>
      <c r="J141" s="27"/>
      <c r="K141" s="27"/>
      <c r="L141" s="27"/>
      <c r="M141" s="52"/>
      <c r="N141" s="27"/>
      <c r="O141" s="155">
        <v>0</v>
      </c>
      <c r="P141" s="155">
        <v>0</v>
      </c>
      <c r="Q141" s="161">
        <v>0</v>
      </c>
      <c r="R141" s="155">
        <v>0</v>
      </c>
      <c r="S141" s="155">
        <v>0</v>
      </c>
      <c r="T141" s="155">
        <v>0</v>
      </c>
      <c r="U141" s="161">
        <v>0</v>
      </c>
      <c r="V141" s="155">
        <v>0</v>
      </c>
      <c r="W141" s="155">
        <v>0</v>
      </c>
      <c r="X141" s="155">
        <v>0</v>
      </c>
      <c r="Y141" s="161">
        <v>0</v>
      </c>
      <c r="Z141" s="155">
        <v>0</v>
      </c>
      <c r="AA141" s="155">
        <v>0</v>
      </c>
      <c r="AB141" s="155">
        <v>0</v>
      </c>
      <c r="AC141" s="161">
        <v>0</v>
      </c>
      <c r="AD141" s="168"/>
      <c r="AE141" s="168"/>
      <c r="AF141" s="168"/>
      <c r="AG141" s="168"/>
      <c r="AH141" s="168"/>
      <c r="AI141" s="168"/>
      <c r="AJ141" s="169"/>
      <c r="AK141" s="169"/>
      <c r="AL141" s="170"/>
      <c r="AM141" s="171"/>
      <c r="AN141" s="171"/>
      <c r="AO141" s="171"/>
      <c r="AP141" s="171"/>
      <c r="AQ141" s="171"/>
      <c r="AR141" s="171"/>
      <c r="AS141" s="171"/>
      <c r="AT141" s="171"/>
      <c r="AU141" s="172"/>
      <c r="AV141" s="172"/>
      <c r="AW141" s="173"/>
      <c r="AX141" s="173"/>
      <c r="AY141" s="173"/>
    </row>
    <row r="142" s="4" customFormat="1" ht="12" spans="1:51">
      <c r="A142" s="29"/>
      <c r="B142" s="138"/>
      <c r="C142" s="138"/>
      <c r="D142" s="138"/>
      <c r="E142" s="147"/>
      <c r="F142" s="125"/>
      <c r="G142" s="27"/>
      <c r="H142" s="27"/>
      <c r="I142" s="52"/>
      <c r="J142" s="27"/>
      <c r="K142" s="27"/>
      <c r="L142" s="27"/>
      <c r="M142" s="52"/>
      <c r="N142" s="27"/>
      <c r="O142" s="27"/>
      <c r="P142" s="27"/>
      <c r="Q142" s="52"/>
      <c r="R142" s="27"/>
      <c r="S142" s="27"/>
      <c r="T142" s="27"/>
      <c r="U142" s="52"/>
      <c r="V142" s="27"/>
      <c r="W142" s="27"/>
      <c r="X142" s="27"/>
      <c r="Y142" s="57"/>
      <c r="Z142" s="27"/>
      <c r="AA142" s="27"/>
      <c r="AB142" s="27"/>
      <c r="AC142" s="57"/>
      <c r="AD142" s="168"/>
      <c r="AE142" s="168"/>
      <c r="AF142" s="168"/>
      <c r="AG142" s="168"/>
      <c r="AH142" s="168"/>
      <c r="AI142" s="168"/>
      <c r="AJ142" s="169"/>
      <c r="AK142" s="169"/>
      <c r="AL142" s="170"/>
      <c r="AM142" s="171"/>
      <c r="AN142" s="171"/>
      <c r="AO142" s="171"/>
      <c r="AP142" s="171"/>
      <c r="AQ142" s="171"/>
      <c r="AR142" s="171"/>
      <c r="AS142" s="171"/>
      <c r="AT142" s="171"/>
      <c r="AU142" s="172"/>
      <c r="AV142" s="172"/>
      <c r="AW142" s="173"/>
      <c r="AX142" s="173"/>
      <c r="AY142" s="173"/>
    </row>
    <row r="143" s="4" customFormat="1" ht="12" spans="1:51">
      <c r="A143" s="36" t="s">
        <v>881</v>
      </c>
      <c r="B143" s="138"/>
      <c r="C143" s="138"/>
      <c r="D143" s="138"/>
      <c r="E143" s="147"/>
      <c r="F143" s="125"/>
      <c r="G143" s="27"/>
      <c r="H143" s="27"/>
      <c r="I143" s="52"/>
      <c r="J143" s="27"/>
      <c r="K143" s="27"/>
      <c r="L143" s="27"/>
      <c r="M143" s="52"/>
      <c r="N143" s="27"/>
      <c r="O143" s="157">
        <f>+SUM(O144:O146)</f>
        <v>0</v>
      </c>
      <c r="P143" s="157">
        <f t="shared" ref="P143:Y143" si="200">+SUM(P144:P146)</f>
        <v>0</v>
      </c>
      <c r="Q143" s="163">
        <f t="shared" si="200"/>
        <v>0</v>
      </c>
      <c r="R143" s="157">
        <f t="shared" si="200"/>
        <v>0</v>
      </c>
      <c r="S143" s="157">
        <f t="shared" si="200"/>
        <v>0</v>
      </c>
      <c r="T143" s="157">
        <f t="shared" si="200"/>
        <v>0</v>
      </c>
      <c r="U143" s="163">
        <f t="shared" si="200"/>
        <v>0</v>
      </c>
      <c r="V143" s="157">
        <f t="shared" si="200"/>
        <v>0</v>
      </c>
      <c r="W143" s="157">
        <f t="shared" si="200"/>
        <v>0</v>
      </c>
      <c r="X143" s="157">
        <f t="shared" si="200"/>
        <v>0</v>
      </c>
      <c r="Y143" s="163">
        <f t="shared" si="200"/>
        <v>0</v>
      </c>
      <c r="Z143" s="157">
        <f t="shared" ref="Z143:AC143" si="201">+SUM(Z144:Z146)</f>
        <v>0</v>
      </c>
      <c r="AA143" s="157">
        <f t="shared" si="201"/>
        <v>0</v>
      </c>
      <c r="AB143" s="157">
        <f t="shared" si="201"/>
        <v>0</v>
      </c>
      <c r="AC143" s="163">
        <f t="shared" si="201"/>
        <v>0</v>
      </c>
      <c r="AD143" s="168"/>
      <c r="AE143" s="168"/>
      <c r="AF143" s="168"/>
      <c r="AG143" s="168"/>
      <c r="AH143" s="168"/>
      <c r="AI143" s="168"/>
      <c r="AJ143" s="169"/>
      <c r="AK143" s="169"/>
      <c r="AL143" s="170"/>
      <c r="AM143" s="171"/>
      <c r="AN143" s="171"/>
      <c r="AO143" s="171"/>
      <c r="AP143" s="171"/>
      <c r="AQ143" s="171"/>
      <c r="AR143" s="171"/>
      <c r="AS143" s="171"/>
      <c r="AT143" s="171"/>
      <c r="AU143" s="172"/>
      <c r="AV143" s="172"/>
      <c r="AW143" s="173"/>
      <c r="AX143" s="173"/>
      <c r="AY143" s="173"/>
    </row>
    <row r="144" s="4" customFormat="1" ht="12" spans="1:51">
      <c r="A144" s="29" t="s">
        <v>855</v>
      </c>
      <c r="B144" s="138"/>
      <c r="C144" s="138"/>
      <c r="D144" s="138"/>
      <c r="E144" s="147"/>
      <c r="F144" s="125"/>
      <c r="G144" s="27"/>
      <c r="H144" s="27"/>
      <c r="I144" s="52"/>
      <c r="J144" s="27"/>
      <c r="K144" s="27"/>
      <c r="L144" s="27"/>
      <c r="M144" s="52"/>
      <c r="N144" s="27"/>
      <c r="O144" s="33">
        <f>+O149*O159</f>
        <v>0</v>
      </c>
      <c r="P144" s="33">
        <f t="shared" ref="P144:Y144" si="202">+P149*P159</f>
        <v>0</v>
      </c>
      <c r="Q144" s="57">
        <f t="shared" si="202"/>
        <v>0</v>
      </c>
      <c r="R144" s="33">
        <f t="shared" si="202"/>
        <v>0</v>
      </c>
      <c r="S144" s="33">
        <f t="shared" si="202"/>
        <v>0</v>
      </c>
      <c r="T144" s="33">
        <f t="shared" si="202"/>
        <v>0</v>
      </c>
      <c r="U144" s="57">
        <f t="shared" si="202"/>
        <v>0</v>
      </c>
      <c r="V144" s="33">
        <f t="shared" si="202"/>
        <v>0</v>
      </c>
      <c r="W144" s="33">
        <f t="shared" si="202"/>
        <v>0</v>
      </c>
      <c r="X144" s="33">
        <f t="shared" si="202"/>
        <v>0</v>
      </c>
      <c r="Y144" s="57">
        <f t="shared" si="202"/>
        <v>0</v>
      </c>
      <c r="Z144" s="33">
        <f t="shared" ref="Z144:AC144" si="203">+Z149*Z159</f>
        <v>0</v>
      </c>
      <c r="AA144" s="33">
        <f t="shared" si="203"/>
        <v>0</v>
      </c>
      <c r="AB144" s="33">
        <f t="shared" si="203"/>
        <v>0</v>
      </c>
      <c r="AC144" s="57">
        <f t="shared" si="203"/>
        <v>0</v>
      </c>
      <c r="AD144" s="168"/>
      <c r="AE144" s="168"/>
      <c r="AF144" s="168"/>
      <c r="AG144" s="168"/>
      <c r="AH144" s="168"/>
      <c r="AI144" s="168"/>
      <c r="AJ144" s="169"/>
      <c r="AK144" s="169"/>
      <c r="AL144" s="170"/>
      <c r="AM144" s="171"/>
      <c r="AN144" s="171"/>
      <c r="AO144" s="171"/>
      <c r="AP144" s="171"/>
      <c r="AQ144" s="171"/>
      <c r="AR144" s="171"/>
      <c r="AS144" s="171"/>
      <c r="AT144" s="171"/>
      <c r="AU144" s="172"/>
      <c r="AV144" s="172"/>
      <c r="AW144" s="173"/>
      <c r="AX144" s="173"/>
      <c r="AY144" s="173"/>
    </row>
    <row r="145" s="4" customFormat="1" ht="12" spans="1:51">
      <c r="A145" s="29" t="s">
        <v>856</v>
      </c>
      <c r="B145" s="138"/>
      <c r="C145" s="138"/>
      <c r="D145" s="138"/>
      <c r="E145" s="147"/>
      <c r="F145" s="125"/>
      <c r="G145" s="27"/>
      <c r="H145" s="27"/>
      <c r="I145" s="52"/>
      <c r="J145" s="27"/>
      <c r="K145" s="27"/>
      <c r="L145" s="27"/>
      <c r="M145" s="52"/>
      <c r="N145" s="27"/>
      <c r="O145" s="33">
        <f t="shared" ref="O145:Y146" si="204">+O150*O160</f>
        <v>0</v>
      </c>
      <c r="P145" s="33">
        <f t="shared" si="204"/>
        <v>0</v>
      </c>
      <c r="Q145" s="57">
        <f t="shared" si="204"/>
        <v>0</v>
      </c>
      <c r="R145" s="33">
        <f t="shared" si="204"/>
        <v>0</v>
      </c>
      <c r="S145" s="33">
        <f t="shared" si="204"/>
        <v>0</v>
      </c>
      <c r="T145" s="33">
        <f t="shared" si="204"/>
        <v>0</v>
      </c>
      <c r="U145" s="57">
        <f t="shared" si="204"/>
        <v>0</v>
      </c>
      <c r="V145" s="33">
        <f t="shared" si="204"/>
        <v>0</v>
      </c>
      <c r="W145" s="33">
        <f t="shared" si="204"/>
        <v>0</v>
      </c>
      <c r="X145" s="33">
        <f t="shared" si="204"/>
        <v>0</v>
      </c>
      <c r="Y145" s="57">
        <f t="shared" si="204"/>
        <v>0</v>
      </c>
      <c r="Z145" s="33">
        <f t="shared" ref="Z145:AC145" si="205">+Z150*Z160</f>
        <v>0</v>
      </c>
      <c r="AA145" s="33">
        <f t="shared" si="205"/>
        <v>0</v>
      </c>
      <c r="AB145" s="33">
        <f t="shared" si="205"/>
        <v>0</v>
      </c>
      <c r="AC145" s="57">
        <f t="shared" si="205"/>
        <v>0</v>
      </c>
      <c r="AD145" s="168"/>
      <c r="AE145" s="168"/>
      <c r="AF145" s="168"/>
      <c r="AG145" s="168"/>
      <c r="AH145" s="168"/>
      <c r="AI145" s="168"/>
      <c r="AJ145" s="169"/>
      <c r="AK145" s="169"/>
      <c r="AL145" s="170"/>
      <c r="AM145" s="171"/>
      <c r="AN145" s="171"/>
      <c r="AO145" s="171"/>
      <c r="AP145" s="171"/>
      <c r="AQ145" s="171"/>
      <c r="AR145" s="171"/>
      <c r="AS145" s="171"/>
      <c r="AT145" s="171"/>
      <c r="AU145" s="172"/>
      <c r="AV145" s="172"/>
      <c r="AW145" s="173"/>
      <c r="AX145" s="173"/>
      <c r="AY145" s="173"/>
    </row>
    <row r="146" s="4" customFormat="1" ht="12" spans="1:51">
      <c r="A146" s="29" t="s">
        <v>857</v>
      </c>
      <c r="B146" s="138"/>
      <c r="C146" s="138"/>
      <c r="D146" s="138"/>
      <c r="E146" s="147"/>
      <c r="F146" s="125"/>
      <c r="G146" s="27"/>
      <c r="H146" s="27"/>
      <c r="I146" s="52"/>
      <c r="J146" s="27"/>
      <c r="K146" s="27"/>
      <c r="L146" s="27"/>
      <c r="M146" s="52"/>
      <c r="N146" s="27"/>
      <c r="O146" s="33">
        <f t="shared" si="204"/>
        <v>0</v>
      </c>
      <c r="P146" s="33">
        <f t="shared" si="204"/>
        <v>0</v>
      </c>
      <c r="Q146" s="57">
        <f t="shared" si="204"/>
        <v>0</v>
      </c>
      <c r="R146" s="33">
        <f t="shared" si="204"/>
        <v>0</v>
      </c>
      <c r="S146" s="33">
        <f t="shared" si="204"/>
        <v>0</v>
      </c>
      <c r="T146" s="33">
        <f t="shared" si="204"/>
        <v>0</v>
      </c>
      <c r="U146" s="57">
        <f t="shared" si="204"/>
        <v>0</v>
      </c>
      <c r="V146" s="33">
        <f t="shared" si="204"/>
        <v>0</v>
      </c>
      <c r="W146" s="33">
        <f t="shared" si="204"/>
        <v>0</v>
      </c>
      <c r="X146" s="33">
        <f t="shared" si="204"/>
        <v>0</v>
      </c>
      <c r="Y146" s="57">
        <f t="shared" si="204"/>
        <v>0</v>
      </c>
      <c r="Z146" s="33">
        <f t="shared" ref="Z146:AC146" si="206">+Z151*Z161</f>
        <v>0</v>
      </c>
      <c r="AA146" s="33">
        <f t="shared" si="206"/>
        <v>0</v>
      </c>
      <c r="AB146" s="33">
        <f t="shared" si="206"/>
        <v>0</v>
      </c>
      <c r="AC146" s="57">
        <f t="shared" si="206"/>
        <v>0</v>
      </c>
      <c r="AD146" s="168"/>
      <c r="AE146" s="168"/>
      <c r="AF146" s="168"/>
      <c r="AG146" s="168"/>
      <c r="AH146" s="168"/>
      <c r="AI146" s="168"/>
      <c r="AJ146" s="169"/>
      <c r="AK146" s="169"/>
      <c r="AL146" s="170"/>
      <c r="AM146" s="171"/>
      <c r="AN146" s="171"/>
      <c r="AO146" s="171"/>
      <c r="AP146" s="171"/>
      <c r="AQ146" s="171"/>
      <c r="AR146" s="171"/>
      <c r="AS146" s="171"/>
      <c r="AT146" s="171"/>
      <c r="AU146" s="172"/>
      <c r="AV146" s="172"/>
      <c r="AW146" s="173"/>
      <c r="AX146" s="173"/>
      <c r="AY146" s="173"/>
    </row>
    <row r="147" s="4" customFormat="1" ht="12" spans="1:51">
      <c r="A147" s="29"/>
      <c r="B147" s="138"/>
      <c r="C147" s="138"/>
      <c r="D147" s="138"/>
      <c r="E147" s="147"/>
      <c r="F147" s="125"/>
      <c r="G147" s="27"/>
      <c r="H147" s="27"/>
      <c r="I147" s="52"/>
      <c r="J147" s="27"/>
      <c r="K147" s="27"/>
      <c r="L147" s="27"/>
      <c r="M147" s="52"/>
      <c r="N147" s="27"/>
      <c r="O147" s="27"/>
      <c r="P147" s="27"/>
      <c r="Q147" s="57"/>
      <c r="R147" s="27"/>
      <c r="S147" s="27"/>
      <c r="T147" s="27"/>
      <c r="U147" s="57"/>
      <c r="V147" s="27"/>
      <c r="W147" s="27"/>
      <c r="X147" s="27"/>
      <c r="Y147" s="57"/>
      <c r="Z147" s="27"/>
      <c r="AA147" s="27"/>
      <c r="AB147" s="27"/>
      <c r="AC147" s="57"/>
      <c r="AD147" s="168"/>
      <c r="AE147" s="168"/>
      <c r="AF147" s="168"/>
      <c r="AG147" s="168"/>
      <c r="AH147" s="168"/>
      <c r="AI147" s="168"/>
      <c r="AJ147" s="169"/>
      <c r="AK147" s="169"/>
      <c r="AL147" s="170"/>
      <c r="AM147" s="171"/>
      <c r="AN147" s="171"/>
      <c r="AO147" s="171"/>
      <c r="AP147" s="171"/>
      <c r="AQ147" s="171"/>
      <c r="AR147" s="171"/>
      <c r="AS147" s="171"/>
      <c r="AT147" s="171"/>
      <c r="AU147" s="172"/>
      <c r="AV147" s="172"/>
      <c r="AW147" s="173"/>
      <c r="AX147" s="173"/>
      <c r="AY147" s="173"/>
    </row>
    <row r="148" s="4" customFormat="1" ht="12" spans="1:51">
      <c r="A148" s="36" t="s">
        <v>882</v>
      </c>
      <c r="B148" s="138"/>
      <c r="C148" s="138"/>
      <c r="D148" s="138"/>
      <c r="E148" s="147"/>
      <c r="F148" s="125"/>
      <c r="G148" s="27"/>
      <c r="H148" s="27"/>
      <c r="I148" s="52"/>
      <c r="J148" s="27"/>
      <c r="K148" s="27"/>
      <c r="L148" s="27"/>
      <c r="M148" s="52"/>
      <c r="N148" s="27"/>
      <c r="O148" s="27"/>
      <c r="P148" s="27"/>
      <c r="Q148" s="52"/>
      <c r="R148" s="27"/>
      <c r="S148" s="27"/>
      <c r="T148" s="27"/>
      <c r="U148" s="57"/>
      <c r="V148" s="27"/>
      <c r="W148" s="27"/>
      <c r="X148" s="27"/>
      <c r="Y148" s="57"/>
      <c r="Z148" s="27"/>
      <c r="AA148" s="27"/>
      <c r="AB148" s="27"/>
      <c r="AC148" s="57"/>
      <c r="AD148" s="168"/>
      <c r="AE148" s="168"/>
      <c r="AF148" s="168"/>
      <c r="AG148" s="168"/>
      <c r="AH148" s="168"/>
      <c r="AI148" s="168"/>
      <c r="AJ148" s="169"/>
      <c r="AK148" s="169"/>
      <c r="AL148" s="170"/>
      <c r="AM148" s="171"/>
      <c r="AN148" s="171"/>
      <c r="AO148" s="171"/>
      <c r="AP148" s="171"/>
      <c r="AQ148" s="171"/>
      <c r="AR148" s="171"/>
      <c r="AS148" s="171"/>
      <c r="AT148" s="171"/>
      <c r="AU148" s="172"/>
      <c r="AV148" s="172"/>
      <c r="AW148" s="173"/>
      <c r="AX148" s="173"/>
      <c r="AY148" s="173"/>
    </row>
    <row r="149" s="4" customFormat="1" ht="12" spans="1:51">
      <c r="A149" s="29" t="s">
        <v>855</v>
      </c>
      <c r="B149" s="138"/>
      <c r="C149" s="138"/>
      <c r="D149" s="138"/>
      <c r="E149" s="147"/>
      <c r="F149" s="125"/>
      <c r="G149" s="27"/>
      <c r="H149" s="27"/>
      <c r="I149" s="52"/>
      <c r="J149" s="27"/>
      <c r="K149" s="27"/>
      <c r="L149" s="27"/>
      <c r="M149" s="52"/>
      <c r="N149" s="27"/>
      <c r="O149" s="158">
        <f t="shared" ref="O149:Y149" si="207">+O$141*O67</f>
        <v>0</v>
      </c>
      <c r="P149" s="158">
        <f t="shared" si="207"/>
        <v>0</v>
      </c>
      <c r="Q149" s="164">
        <f t="shared" si="207"/>
        <v>0</v>
      </c>
      <c r="R149" s="158">
        <f t="shared" si="207"/>
        <v>0</v>
      </c>
      <c r="S149" s="158">
        <f t="shared" si="207"/>
        <v>0</v>
      </c>
      <c r="T149" s="158">
        <f t="shared" si="207"/>
        <v>0</v>
      </c>
      <c r="U149" s="164">
        <f t="shared" si="207"/>
        <v>0</v>
      </c>
      <c r="V149" s="158">
        <f t="shared" si="207"/>
        <v>0</v>
      </c>
      <c r="W149" s="158">
        <f t="shared" si="207"/>
        <v>0</v>
      </c>
      <c r="X149" s="158">
        <f t="shared" si="207"/>
        <v>0</v>
      </c>
      <c r="Y149" s="164">
        <f t="shared" si="207"/>
        <v>0</v>
      </c>
      <c r="Z149" s="158">
        <f t="shared" ref="Z149:AC149" si="208">+Z$141*Z67</f>
        <v>0</v>
      </c>
      <c r="AA149" s="158">
        <f t="shared" si="208"/>
        <v>0</v>
      </c>
      <c r="AB149" s="158">
        <f t="shared" si="208"/>
        <v>0</v>
      </c>
      <c r="AC149" s="164">
        <f t="shared" si="208"/>
        <v>0</v>
      </c>
      <c r="AD149" s="168"/>
      <c r="AE149" s="168"/>
      <c r="AF149" s="168"/>
      <c r="AG149" s="168"/>
      <c r="AH149" s="168"/>
      <c r="AI149" s="168"/>
      <c r="AJ149" s="169"/>
      <c r="AK149" s="169"/>
      <c r="AL149" s="170"/>
      <c r="AM149" s="171"/>
      <c r="AN149" s="171"/>
      <c r="AO149" s="171"/>
      <c r="AP149" s="171"/>
      <c r="AQ149" s="171"/>
      <c r="AR149" s="171"/>
      <c r="AS149" s="171"/>
      <c r="AT149" s="171"/>
      <c r="AU149" s="172"/>
      <c r="AV149" s="172"/>
      <c r="AW149" s="173"/>
      <c r="AX149" s="173"/>
      <c r="AY149" s="173"/>
    </row>
    <row r="150" s="4" customFormat="1" ht="12" spans="1:51">
      <c r="A150" s="29" t="s">
        <v>856</v>
      </c>
      <c r="B150" s="138"/>
      <c r="C150" s="138"/>
      <c r="D150" s="138"/>
      <c r="E150" s="147"/>
      <c r="F150" s="125"/>
      <c r="G150" s="27"/>
      <c r="H150" s="27"/>
      <c r="I150" s="52"/>
      <c r="J150" s="27"/>
      <c r="K150" s="27"/>
      <c r="L150" s="27"/>
      <c r="M150" s="52"/>
      <c r="N150" s="27"/>
      <c r="O150" s="158">
        <f t="shared" ref="O150:Y150" si="209">+O$141*O68</f>
        <v>0</v>
      </c>
      <c r="P150" s="158">
        <f t="shared" si="209"/>
        <v>0</v>
      </c>
      <c r="Q150" s="164">
        <f t="shared" si="209"/>
        <v>0</v>
      </c>
      <c r="R150" s="158">
        <f t="shared" si="209"/>
        <v>0</v>
      </c>
      <c r="S150" s="158">
        <f t="shared" si="209"/>
        <v>0</v>
      </c>
      <c r="T150" s="158">
        <f t="shared" si="209"/>
        <v>0</v>
      </c>
      <c r="U150" s="164">
        <f t="shared" si="209"/>
        <v>0</v>
      </c>
      <c r="V150" s="158">
        <f t="shared" si="209"/>
        <v>0</v>
      </c>
      <c r="W150" s="158">
        <f t="shared" si="209"/>
        <v>0</v>
      </c>
      <c r="X150" s="158">
        <f t="shared" si="209"/>
        <v>0</v>
      </c>
      <c r="Y150" s="164">
        <f t="shared" si="209"/>
        <v>0</v>
      </c>
      <c r="Z150" s="158">
        <f t="shared" ref="Z150:AC150" si="210">+Z$141*Z68</f>
        <v>0</v>
      </c>
      <c r="AA150" s="158">
        <f t="shared" si="210"/>
        <v>0</v>
      </c>
      <c r="AB150" s="158">
        <f t="shared" si="210"/>
        <v>0</v>
      </c>
      <c r="AC150" s="164">
        <f t="shared" si="210"/>
        <v>0</v>
      </c>
      <c r="AD150" s="168"/>
      <c r="AE150" s="168"/>
      <c r="AF150" s="168"/>
      <c r="AG150" s="168"/>
      <c r="AH150" s="168"/>
      <c r="AI150" s="168"/>
      <c r="AJ150" s="169"/>
      <c r="AK150" s="169"/>
      <c r="AL150" s="170"/>
      <c r="AM150" s="171"/>
      <c r="AN150" s="171"/>
      <c r="AO150" s="171"/>
      <c r="AP150" s="171"/>
      <c r="AQ150" s="171"/>
      <c r="AR150" s="171"/>
      <c r="AS150" s="171"/>
      <c r="AT150" s="171"/>
      <c r="AU150" s="172"/>
      <c r="AV150" s="172"/>
      <c r="AW150" s="173"/>
      <c r="AX150" s="173"/>
      <c r="AY150" s="173"/>
    </row>
    <row r="151" s="4" customFormat="1" ht="12" spans="1:51">
      <c r="A151" s="29" t="s">
        <v>857</v>
      </c>
      <c r="B151" s="138"/>
      <c r="C151" s="138"/>
      <c r="D151" s="138"/>
      <c r="E151" s="147"/>
      <c r="F151" s="125"/>
      <c r="G151" s="27"/>
      <c r="H151" s="27"/>
      <c r="I151" s="52"/>
      <c r="J151" s="27"/>
      <c r="K151" s="27"/>
      <c r="L151" s="27"/>
      <c r="M151" s="52"/>
      <c r="N151" s="27"/>
      <c r="O151" s="158">
        <f t="shared" ref="O151:Y151" si="211">+O$141*O69</f>
        <v>0</v>
      </c>
      <c r="P151" s="158">
        <f t="shared" si="211"/>
        <v>0</v>
      </c>
      <c r="Q151" s="164">
        <f t="shared" si="211"/>
        <v>0</v>
      </c>
      <c r="R151" s="158">
        <f t="shared" si="211"/>
        <v>0</v>
      </c>
      <c r="S151" s="158">
        <f t="shared" si="211"/>
        <v>0</v>
      </c>
      <c r="T151" s="158">
        <f t="shared" si="211"/>
        <v>0</v>
      </c>
      <c r="U151" s="164">
        <f t="shared" si="211"/>
        <v>0</v>
      </c>
      <c r="V151" s="158">
        <f t="shared" si="211"/>
        <v>0</v>
      </c>
      <c r="W151" s="158">
        <f t="shared" si="211"/>
        <v>0</v>
      </c>
      <c r="X151" s="158">
        <f t="shared" si="211"/>
        <v>0</v>
      </c>
      <c r="Y151" s="164">
        <f t="shared" si="211"/>
        <v>0</v>
      </c>
      <c r="Z151" s="158">
        <f t="shared" ref="Z151:AC151" si="212">+Z$141*Z69</f>
        <v>0</v>
      </c>
      <c r="AA151" s="158">
        <f t="shared" si="212"/>
        <v>0</v>
      </c>
      <c r="AB151" s="158">
        <f t="shared" si="212"/>
        <v>0</v>
      </c>
      <c r="AC151" s="164">
        <f t="shared" si="212"/>
        <v>0</v>
      </c>
      <c r="AD151" s="168"/>
      <c r="AE151" s="168"/>
      <c r="AF151" s="168"/>
      <c r="AG151" s="168"/>
      <c r="AH151" s="168"/>
      <c r="AI151" s="168"/>
      <c r="AJ151" s="169"/>
      <c r="AK151" s="169"/>
      <c r="AL151" s="170"/>
      <c r="AM151" s="171"/>
      <c r="AN151" s="171"/>
      <c r="AO151" s="171"/>
      <c r="AP151" s="171"/>
      <c r="AQ151" s="171"/>
      <c r="AR151" s="171"/>
      <c r="AS151" s="171"/>
      <c r="AT151" s="171"/>
      <c r="AU151" s="172"/>
      <c r="AV151" s="172"/>
      <c r="AW151" s="173"/>
      <c r="AX151" s="173"/>
      <c r="AY151" s="173"/>
    </row>
    <row r="152" s="4" customFormat="1" ht="12" spans="1:51">
      <c r="A152" s="29"/>
      <c r="B152" s="138"/>
      <c r="C152" s="138"/>
      <c r="D152" s="138"/>
      <c r="E152" s="147"/>
      <c r="F152" s="125"/>
      <c r="G152" s="27"/>
      <c r="H152" s="27"/>
      <c r="I152" s="52"/>
      <c r="J152" s="27"/>
      <c r="K152" s="27"/>
      <c r="L152" s="27"/>
      <c r="M152" s="52"/>
      <c r="N152" s="27"/>
      <c r="O152" s="27"/>
      <c r="P152" s="27"/>
      <c r="Q152" s="52"/>
      <c r="R152" s="27"/>
      <c r="S152" s="27"/>
      <c r="T152" s="27"/>
      <c r="U152" s="52"/>
      <c r="V152" s="27"/>
      <c r="W152" s="27"/>
      <c r="X152" s="27"/>
      <c r="Y152" s="52"/>
      <c r="Z152" s="27"/>
      <c r="AA152" s="27"/>
      <c r="AB152" s="27"/>
      <c r="AC152" s="52"/>
      <c r="AD152" s="168"/>
      <c r="AE152" s="168"/>
      <c r="AF152" s="168"/>
      <c r="AG152" s="168"/>
      <c r="AH152" s="168"/>
      <c r="AI152" s="168"/>
      <c r="AJ152" s="169"/>
      <c r="AK152" s="169"/>
      <c r="AL152" s="170"/>
      <c r="AM152" s="171"/>
      <c r="AN152" s="171"/>
      <c r="AO152" s="171"/>
      <c r="AP152" s="171"/>
      <c r="AQ152" s="171"/>
      <c r="AR152" s="171"/>
      <c r="AS152" s="171"/>
      <c r="AT152" s="171"/>
      <c r="AU152" s="172"/>
      <c r="AV152" s="172"/>
      <c r="AW152" s="173"/>
      <c r="AX152" s="173"/>
      <c r="AY152" s="173"/>
    </row>
    <row r="153" s="4" customFormat="1" ht="12" spans="1:51">
      <c r="A153" s="36" t="s">
        <v>883</v>
      </c>
      <c r="B153" s="138"/>
      <c r="C153" s="138"/>
      <c r="D153" s="138"/>
      <c r="E153" s="147"/>
      <c r="F153" s="125"/>
      <c r="G153" s="27"/>
      <c r="H153" s="27"/>
      <c r="I153" s="52"/>
      <c r="J153" s="27"/>
      <c r="K153" s="27"/>
      <c r="L153" s="27"/>
      <c r="M153" s="52"/>
      <c r="N153" s="27"/>
      <c r="O153" s="27"/>
      <c r="P153" s="27"/>
      <c r="Q153" s="52"/>
      <c r="R153" s="27"/>
      <c r="S153" s="27"/>
      <c r="T153" s="27"/>
      <c r="U153" s="52"/>
      <c r="V153" s="27"/>
      <c r="W153" s="27"/>
      <c r="X153" s="27"/>
      <c r="Y153" s="52"/>
      <c r="Z153" s="27"/>
      <c r="AA153" s="27"/>
      <c r="AB153" s="27"/>
      <c r="AC153" s="52"/>
      <c r="AD153" s="168"/>
      <c r="AE153" s="168"/>
      <c r="AF153" s="168"/>
      <c r="AG153" s="168"/>
      <c r="AH153" s="168"/>
      <c r="AI153" s="168"/>
      <c r="AJ153" s="169"/>
      <c r="AK153" s="169"/>
      <c r="AL153" s="170"/>
      <c r="AM153" s="171"/>
      <c r="AN153" s="171"/>
      <c r="AO153" s="171"/>
      <c r="AP153" s="171"/>
      <c r="AQ153" s="171"/>
      <c r="AR153" s="171"/>
      <c r="AS153" s="171"/>
      <c r="AT153" s="171"/>
      <c r="AU153" s="172"/>
      <c r="AV153" s="172"/>
      <c r="AW153" s="173"/>
      <c r="AX153" s="173"/>
      <c r="AY153" s="173"/>
    </row>
    <row r="154" s="4" customFormat="1" ht="12" spans="1:51">
      <c r="A154" s="29" t="s">
        <v>855</v>
      </c>
      <c r="B154" s="138"/>
      <c r="C154" s="138"/>
      <c r="D154" s="138"/>
      <c r="E154" s="147"/>
      <c r="F154" s="125"/>
      <c r="G154" s="27"/>
      <c r="H154" s="27"/>
      <c r="I154" s="52"/>
      <c r="J154" s="27"/>
      <c r="K154" s="27"/>
      <c r="L154" s="27"/>
      <c r="M154" s="52"/>
      <c r="N154" s="27"/>
      <c r="O154" s="33">
        <f t="shared" ref="O154:Y154" si="213">+O96*O$136</f>
        <v>0</v>
      </c>
      <c r="P154" s="33">
        <f t="shared" si="213"/>
        <v>0</v>
      </c>
      <c r="Q154" s="57">
        <f t="shared" si="213"/>
        <v>0</v>
      </c>
      <c r="R154" s="33">
        <f t="shared" si="213"/>
        <v>0</v>
      </c>
      <c r="S154" s="33">
        <f t="shared" si="213"/>
        <v>0</v>
      </c>
      <c r="T154" s="33">
        <f t="shared" si="213"/>
        <v>0</v>
      </c>
      <c r="U154" s="57">
        <f t="shared" si="213"/>
        <v>0</v>
      </c>
      <c r="V154" s="33">
        <f t="shared" si="213"/>
        <v>0</v>
      </c>
      <c r="W154" s="33">
        <f t="shared" si="213"/>
        <v>0</v>
      </c>
      <c r="X154" s="33">
        <f t="shared" si="213"/>
        <v>0</v>
      </c>
      <c r="Y154" s="57">
        <f t="shared" si="213"/>
        <v>0</v>
      </c>
      <c r="Z154" s="33">
        <f t="shared" ref="Z154:AC154" si="214">+Z96*Z$136</f>
        <v>0</v>
      </c>
      <c r="AA154" s="33">
        <f t="shared" si="214"/>
        <v>0</v>
      </c>
      <c r="AB154" s="33">
        <f t="shared" si="214"/>
        <v>0</v>
      </c>
      <c r="AC154" s="57">
        <f t="shared" si="214"/>
        <v>0</v>
      </c>
      <c r="AD154" s="168"/>
      <c r="AE154" s="168"/>
      <c r="AF154" s="168"/>
      <c r="AG154" s="168"/>
      <c r="AH154" s="168"/>
      <c r="AI154" s="168"/>
      <c r="AJ154" s="169"/>
      <c r="AK154" s="169"/>
      <c r="AL154" s="170"/>
      <c r="AM154" s="171"/>
      <c r="AN154" s="171"/>
      <c r="AO154" s="171"/>
      <c r="AP154" s="171"/>
      <c r="AQ154" s="171"/>
      <c r="AR154" s="171"/>
      <c r="AS154" s="171"/>
      <c r="AT154" s="171"/>
      <c r="AU154" s="172"/>
      <c r="AV154" s="172"/>
      <c r="AW154" s="173"/>
      <c r="AX154" s="173"/>
      <c r="AY154" s="173"/>
    </row>
    <row r="155" s="4" customFormat="1" ht="12" spans="1:51">
      <c r="A155" s="29" t="s">
        <v>856</v>
      </c>
      <c r="B155" s="138"/>
      <c r="C155" s="138"/>
      <c r="D155" s="138"/>
      <c r="E155" s="147"/>
      <c r="F155" s="125"/>
      <c r="G155" s="27"/>
      <c r="H155" s="27"/>
      <c r="I155" s="52"/>
      <c r="J155" s="27"/>
      <c r="K155" s="27"/>
      <c r="L155" s="27"/>
      <c r="M155" s="52"/>
      <c r="N155" s="27"/>
      <c r="O155" s="33">
        <f t="shared" ref="O155:Y155" si="215">+O97*O$136</f>
        <v>0</v>
      </c>
      <c r="P155" s="33">
        <f t="shared" si="215"/>
        <v>0</v>
      </c>
      <c r="Q155" s="57">
        <f t="shared" si="215"/>
        <v>0</v>
      </c>
      <c r="R155" s="33">
        <f t="shared" si="215"/>
        <v>0</v>
      </c>
      <c r="S155" s="33">
        <f t="shared" si="215"/>
        <v>0</v>
      </c>
      <c r="T155" s="33">
        <f t="shared" si="215"/>
        <v>0</v>
      </c>
      <c r="U155" s="57">
        <f t="shared" si="215"/>
        <v>0</v>
      </c>
      <c r="V155" s="33">
        <f t="shared" si="215"/>
        <v>0</v>
      </c>
      <c r="W155" s="33">
        <f t="shared" si="215"/>
        <v>0</v>
      </c>
      <c r="X155" s="33">
        <f t="shared" si="215"/>
        <v>0</v>
      </c>
      <c r="Y155" s="57">
        <f t="shared" si="215"/>
        <v>0</v>
      </c>
      <c r="Z155" s="33">
        <f t="shared" ref="Z155:AC155" si="216">+Z97*Z$136</f>
        <v>0</v>
      </c>
      <c r="AA155" s="33">
        <f t="shared" si="216"/>
        <v>0</v>
      </c>
      <c r="AB155" s="33">
        <f t="shared" si="216"/>
        <v>0</v>
      </c>
      <c r="AC155" s="57">
        <f t="shared" si="216"/>
        <v>0</v>
      </c>
      <c r="AD155" s="168"/>
      <c r="AE155" s="168"/>
      <c r="AF155" s="168"/>
      <c r="AG155" s="168"/>
      <c r="AH155" s="168"/>
      <c r="AI155" s="168"/>
      <c r="AJ155" s="169"/>
      <c r="AK155" s="169"/>
      <c r="AL155" s="170"/>
      <c r="AM155" s="171"/>
      <c r="AN155" s="171"/>
      <c r="AO155" s="171"/>
      <c r="AP155" s="171"/>
      <c r="AQ155" s="171"/>
      <c r="AR155" s="171"/>
      <c r="AS155" s="171"/>
      <c r="AT155" s="171"/>
      <c r="AU155" s="172"/>
      <c r="AV155" s="172"/>
      <c r="AW155" s="173"/>
      <c r="AX155" s="173"/>
      <c r="AY155" s="173"/>
    </row>
    <row r="156" s="4" customFormat="1" ht="12" spans="1:51">
      <c r="A156" s="29" t="s">
        <v>857</v>
      </c>
      <c r="B156" s="138"/>
      <c r="C156" s="138"/>
      <c r="D156" s="138"/>
      <c r="E156" s="147"/>
      <c r="F156" s="125"/>
      <c r="G156" s="27"/>
      <c r="H156" s="27"/>
      <c r="I156" s="52"/>
      <c r="J156" s="27"/>
      <c r="K156" s="27"/>
      <c r="L156" s="27"/>
      <c r="M156" s="52"/>
      <c r="N156" s="27"/>
      <c r="O156" s="33">
        <f t="shared" ref="O156:Y156" si="217">+O98*O$136</f>
        <v>0</v>
      </c>
      <c r="P156" s="33">
        <f t="shared" si="217"/>
        <v>0</v>
      </c>
      <c r="Q156" s="57">
        <f t="shared" si="217"/>
        <v>0</v>
      </c>
      <c r="R156" s="33">
        <f t="shared" si="217"/>
        <v>0</v>
      </c>
      <c r="S156" s="33">
        <f t="shared" si="217"/>
        <v>0</v>
      </c>
      <c r="T156" s="33">
        <f t="shared" si="217"/>
        <v>0</v>
      </c>
      <c r="U156" s="57">
        <f t="shared" si="217"/>
        <v>0</v>
      </c>
      <c r="V156" s="33">
        <f t="shared" si="217"/>
        <v>0</v>
      </c>
      <c r="W156" s="33">
        <f t="shared" si="217"/>
        <v>0</v>
      </c>
      <c r="X156" s="33">
        <f t="shared" si="217"/>
        <v>0</v>
      </c>
      <c r="Y156" s="57">
        <f t="shared" si="217"/>
        <v>0</v>
      </c>
      <c r="Z156" s="33">
        <f t="shared" ref="Z156:AC156" si="218">+Z98*Z$136</f>
        <v>0</v>
      </c>
      <c r="AA156" s="33">
        <f t="shared" si="218"/>
        <v>0</v>
      </c>
      <c r="AB156" s="33">
        <f t="shared" si="218"/>
        <v>0</v>
      </c>
      <c r="AC156" s="57">
        <f t="shared" si="218"/>
        <v>0</v>
      </c>
      <c r="AD156" s="168"/>
      <c r="AE156" s="168"/>
      <c r="AF156" s="168"/>
      <c r="AG156" s="168"/>
      <c r="AH156" s="168"/>
      <c r="AI156" s="168"/>
      <c r="AJ156" s="169"/>
      <c r="AK156" s="169"/>
      <c r="AL156" s="170"/>
      <c r="AM156" s="171"/>
      <c r="AN156" s="171"/>
      <c r="AO156" s="171"/>
      <c r="AP156" s="171"/>
      <c r="AQ156" s="171"/>
      <c r="AR156" s="171"/>
      <c r="AS156" s="171"/>
      <c r="AT156" s="171"/>
      <c r="AU156" s="172"/>
      <c r="AV156" s="172"/>
      <c r="AW156" s="173"/>
      <c r="AX156" s="173"/>
      <c r="AY156" s="173"/>
    </row>
    <row r="157" s="4" customFormat="1" ht="12" spans="1:51">
      <c r="A157" s="29"/>
      <c r="B157" s="138"/>
      <c r="C157" s="138"/>
      <c r="D157" s="138"/>
      <c r="E157" s="147"/>
      <c r="F157" s="125"/>
      <c r="G157" s="27"/>
      <c r="H157" s="27"/>
      <c r="I157" s="52"/>
      <c r="J157" s="27"/>
      <c r="K157" s="27"/>
      <c r="L157" s="27"/>
      <c r="M157" s="52"/>
      <c r="N157" s="27"/>
      <c r="O157" s="27"/>
      <c r="P157" s="27"/>
      <c r="Q157" s="52"/>
      <c r="R157" s="27"/>
      <c r="S157" s="27"/>
      <c r="T157" s="27"/>
      <c r="U157" s="52"/>
      <c r="V157" s="27"/>
      <c r="W157" s="27"/>
      <c r="X157" s="27"/>
      <c r="Y157" s="52"/>
      <c r="Z157" s="27"/>
      <c r="AA157" s="27"/>
      <c r="AB157" s="27"/>
      <c r="AC157" s="52"/>
      <c r="AD157" s="168"/>
      <c r="AE157" s="168"/>
      <c r="AF157" s="168"/>
      <c r="AG157" s="168"/>
      <c r="AH157" s="168"/>
      <c r="AI157" s="168"/>
      <c r="AJ157" s="169"/>
      <c r="AK157" s="169"/>
      <c r="AL157" s="170"/>
      <c r="AM157" s="171"/>
      <c r="AN157" s="171"/>
      <c r="AO157" s="171"/>
      <c r="AP157" s="171"/>
      <c r="AQ157" s="171"/>
      <c r="AR157" s="171"/>
      <c r="AS157" s="171"/>
      <c r="AT157" s="171"/>
      <c r="AU157" s="172"/>
      <c r="AV157" s="172"/>
      <c r="AW157" s="173"/>
      <c r="AX157" s="173"/>
      <c r="AY157" s="173"/>
    </row>
    <row r="158" s="4" customFormat="1" ht="12" spans="1:51">
      <c r="A158" s="22" t="s">
        <v>884</v>
      </c>
      <c r="B158" s="138"/>
      <c r="C158" s="138"/>
      <c r="D158" s="138"/>
      <c r="E158" s="147"/>
      <c r="F158" s="125"/>
      <c r="G158" s="27"/>
      <c r="H158" s="27"/>
      <c r="I158" s="52"/>
      <c r="J158" s="27"/>
      <c r="K158" s="27"/>
      <c r="L158" s="27"/>
      <c r="M158" s="52"/>
      <c r="N158" s="27"/>
      <c r="O158" s="33"/>
      <c r="P158" s="27"/>
      <c r="Q158" s="52"/>
      <c r="R158" s="27"/>
      <c r="S158" s="27"/>
      <c r="T158" s="27"/>
      <c r="U158" s="52"/>
      <c r="V158" s="27"/>
      <c r="W158" s="27"/>
      <c r="X158" s="27"/>
      <c r="Y158" s="52"/>
      <c r="Z158" s="27"/>
      <c r="AA158" s="27"/>
      <c r="AB158" s="27"/>
      <c r="AC158" s="52"/>
      <c r="AD158" s="168"/>
      <c r="AE158" s="168"/>
      <c r="AF158" s="168"/>
      <c r="AG158" s="168"/>
      <c r="AH158" s="168"/>
      <c r="AI158" s="168"/>
      <c r="AJ158" s="169"/>
      <c r="AK158" s="169"/>
      <c r="AL158" s="170"/>
      <c r="AM158" s="171"/>
      <c r="AN158" s="171"/>
      <c r="AO158" s="171"/>
      <c r="AP158" s="171"/>
      <c r="AQ158" s="171"/>
      <c r="AR158" s="171"/>
      <c r="AS158" s="171"/>
      <c r="AT158" s="171"/>
      <c r="AU158" s="172"/>
      <c r="AV158" s="172"/>
      <c r="AW158" s="173"/>
      <c r="AX158" s="173"/>
      <c r="AY158" s="173"/>
    </row>
    <row r="159" s="4" customFormat="1" ht="12" spans="1:51">
      <c r="A159" s="29" t="s">
        <v>855</v>
      </c>
      <c r="B159" s="138"/>
      <c r="C159" s="138"/>
      <c r="D159" s="138"/>
      <c r="E159" s="147"/>
      <c r="F159" s="125"/>
      <c r="G159" s="27"/>
      <c r="H159" s="27"/>
      <c r="I159" s="52"/>
      <c r="J159" s="27"/>
      <c r="K159" s="27"/>
      <c r="L159" s="27"/>
      <c r="M159" s="52"/>
      <c r="N159" s="27"/>
      <c r="O159" s="33">
        <f t="shared" ref="O159:Y159" si="219">+O96*(1-O$139)</f>
        <v>1898.73</v>
      </c>
      <c r="P159" s="33">
        <f t="shared" si="219"/>
        <v>1898.73</v>
      </c>
      <c r="Q159" s="57">
        <f t="shared" si="219"/>
        <v>1898.73</v>
      </c>
      <c r="R159" s="33">
        <f t="shared" si="219"/>
        <v>1765.8189</v>
      </c>
      <c r="S159" s="33">
        <f t="shared" si="219"/>
        <v>1708.857</v>
      </c>
      <c r="T159" s="33">
        <f t="shared" si="219"/>
        <v>1708.857</v>
      </c>
      <c r="U159" s="57">
        <f t="shared" si="219"/>
        <v>1708.857</v>
      </c>
      <c r="V159" s="33">
        <f t="shared" si="219"/>
        <v>1657.59129</v>
      </c>
      <c r="W159" s="33">
        <f t="shared" si="219"/>
        <v>1623.41415</v>
      </c>
      <c r="X159" s="33">
        <f t="shared" si="219"/>
        <v>1623.41415</v>
      </c>
      <c r="Y159" s="57">
        <f t="shared" si="219"/>
        <v>1623.41415</v>
      </c>
      <c r="Z159" s="33">
        <f t="shared" ref="Z159:AC159" si="220">+Z96*(1-Z$139)</f>
        <v>1542.2434425</v>
      </c>
      <c r="AA159" s="33">
        <f t="shared" si="220"/>
        <v>1542.2434425</v>
      </c>
      <c r="AB159" s="33">
        <f t="shared" si="220"/>
        <v>1542.2434425</v>
      </c>
      <c r="AC159" s="57">
        <f t="shared" si="220"/>
        <v>1542.2434425</v>
      </c>
      <c r="AD159" s="168"/>
      <c r="AE159" s="168"/>
      <c r="AF159" s="168"/>
      <c r="AG159" s="168"/>
      <c r="AH159" s="168"/>
      <c r="AI159" s="168"/>
      <c r="AJ159" s="169"/>
      <c r="AK159" s="169"/>
      <c r="AL159" s="170"/>
      <c r="AM159" s="171"/>
      <c r="AN159" s="171"/>
      <c r="AO159" s="171"/>
      <c r="AP159" s="171"/>
      <c r="AQ159" s="171"/>
      <c r="AR159" s="171"/>
      <c r="AS159" s="171"/>
      <c r="AT159" s="171"/>
      <c r="AU159" s="172"/>
      <c r="AV159" s="172"/>
      <c r="AW159" s="173"/>
      <c r="AX159" s="173"/>
      <c r="AY159" s="173"/>
    </row>
    <row r="160" s="4" customFormat="1" ht="12" spans="1:51">
      <c r="A160" s="29" t="s">
        <v>856</v>
      </c>
      <c r="B160" s="138"/>
      <c r="C160" s="138"/>
      <c r="D160" s="138"/>
      <c r="E160" s="147"/>
      <c r="F160" s="125"/>
      <c r="G160" s="27"/>
      <c r="H160" s="27"/>
      <c r="I160" s="52"/>
      <c r="J160" s="27"/>
      <c r="K160" s="27"/>
      <c r="L160" s="27"/>
      <c r="M160" s="52"/>
      <c r="N160" s="27"/>
      <c r="O160" s="33">
        <f t="shared" ref="O160:Y160" si="221">+O97*(1-O$139)</f>
        <v>3723</v>
      </c>
      <c r="P160" s="33">
        <f t="shared" si="221"/>
        <v>3723</v>
      </c>
      <c r="Q160" s="57">
        <f t="shared" si="221"/>
        <v>3723</v>
      </c>
      <c r="R160" s="33">
        <f t="shared" si="221"/>
        <v>3462.39</v>
      </c>
      <c r="S160" s="33">
        <f t="shared" si="221"/>
        <v>3052.86</v>
      </c>
      <c r="T160" s="33">
        <f t="shared" si="221"/>
        <v>3052.86</v>
      </c>
      <c r="U160" s="57">
        <f t="shared" si="221"/>
        <v>3052.86</v>
      </c>
      <c r="V160" s="33">
        <f t="shared" si="221"/>
        <v>2839.1598</v>
      </c>
      <c r="W160" s="33">
        <f t="shared" si="221"/>
        <v>2747.574</v>
      </c>
      <c r="X160" s="33">
        <f t="shared" si="221"/>
        <v>2747.574</v>
      </c>
      <c r="Y160" s="57">
        <f t="shared" si="221"/>
        <v>2747.574</v>
      </c>
      <c r="Z160" s="33">
        <f t="shared" ref="Z160:AC160" si="222">+Z97*(1-Z$139)</f>
        <v>2335.4379</v>
      </c>
      <c r="AA160" s="33">
        <f t="shared" si="222"/>
        <v>2335.4379</v>
      </c>
      <c r="AB160" s="33">
        <f t="shared" si="222"/>
        <v>2335.4379</v>
      </c>
      <c r="AC160" s="57">
        <f t="shared" si="222"/>
        <v>2335.4379</v>
      </c>
      <c r="AD160" s="168"/>
      <c r="AE160" s="168"/>
      <c r="AF160" s="168"/>
      <c r="AG160" s="168"/>
      <c r="AH160" s="168"/>
      <c r="AI160" s="168"/>
      <c r="AJ160" s="169"/>
      <c r="AK160" s="169"/>
      <c r="AL160" s="170"/>
      <c r="AM160" s="171"/>
      <c r="AN160" s="171"/>
      <c r="AO160" s="171"/>
      <c r="AP160" s="171"/>
      <c r="AQ160" s="171"/>
      <c r="AR160" s="171"/>
      <c r="AS160" s="171"/>
      <c r="AT160" s="171"/>
      <c r="AU160" s="172"/>
      <c r="AV160" s="172"/>
      <c r="AW160" s="173"/>
      <c r="AX160" s="173"/>
      <c r="AY160" s="173"/>
    </row>
    <row r="161" s="4" customFormat="1" ht="12" spans="1:51">
      <c r="A161" s="29" t="s">
        <v>857</v>
      </c>
      <c r="B161" s="138"/>
      <c r="C161" s="138"/>
      <c r="D161" s="138"/>
      <c r="E161" s="147"/>
      <c r="F161" s="125"/>
      <c r="G161" s="27"/>
      <c r="H161" s="27"/>
      <c r="I161" s="52"/>
      <c r="J161" s="27"/>
      <c r="K161" s="27"/>
      <c r="L161" s="27"/>
      <c r="M161" s="52"/>
      <c r="N161" s="27"/>
      <c r="O161" s="33">
        <f t="shared" ref="O161:Y161" si="223">+O98*(1-O$139)</f>
        <v>9344</v>
      </c>
      <c r="P161" s="33">
        <f t="shared" si="223"/>
        <v>9344</v>
      </c>
      <c r="Q161" s="57">
        <f t="shared" si="223"/>
        <v>9344</v>
      </c>
      <c r="R161" s="33">
        <f t="shared" si="223"/>
        <v>8689.92</v>
      </c>
      <c r="S161" s="33">
        <f t="shared" si="223"/>
        <v>7662.08</v>
      </c>
      <c r="T161" s="33">
        <f t="shared" si="223"/>
        <v>7662.08</v>
      </c>
      <c r="U161" s="57">
        <f t="shared" si="223"/>
        <v>7662.08</v>
      </c>
      <c r="V161" s="33">
        <f t="shared" si="223"/>
        <v>7125.7344</v>
      </c>
      <c r="W161" s="33">
        <f t="shared" si="223"/>
        <v>6895.872</v>
      </c>
      <c r="X161" s="33">
        <f t="shared" si="223"/>
        <v>6895.872</v>
      </c>
      <c r="Y161" s="57">
        <f t="shared" si="223"/>
        <v>6895.872</v>
      </c>
      <c r="Z161" s="33">
        <f t="shared" ref="Z161:AC161" si="224">+Z98*(1-Z$139)</f>
        <v>5930.44992</v>
      </c>
      <c r="AA161" s="33">
        <f t="shared" si="224"/>
        <v>5930.44992</v>
      </c>
      <c r="AB161" s="33">
        <f t="shared" si="224"/>
        <v>5930.44992</v>
      </c>
      <c r="AC161" s="57">
        <f t="shared" si="224"/>
        <v>5930.44992</v>
      </c>
      <c r="AD161" s="168"/>
      <c r="AE161" s="168"/>
      <c r="AF161" s="168"/>
      <c r="AG161" s="168"/>
      <c r="AH161" s="168"/>
      <c r="AI161" s="168"/>
      <c r="AJ161" s="169"/>
      <c r="AK161" s="169"/>
      <c r="AL161" s="170"/>
      <c r="AM161" s="171"/>
      <c r="AN161" s="171"/>
      <c r="AO161" s="171"/>
      <c r="AP161" s="171"/>
      <c r="AQ161" s="171"/>
      <c r="AR161" s="171"/>
      <c r="AS161" s="171"/>
      <c r="AT161" s="171"/>
      <c r="AU161" s="172"/>
      <c r="AV161" s="172"/>
      <c r="AW161" s="173"/>
      <c r="AX161" s="173"/>
      <c r="AY161" s="173"/>
    </row>
    <row r="162" s="4" customFormat="1" ht="12" spans="1:51">
      <c r="A162" s="25"/>
      <c r="B162" s="138"/>
      <c r="C162" s="138"/>
      <c r="D162" s="138"/>
      <c r="E162" s="147"/>
      <c r="F162" s="125"/>
      <c r="G162" s="27"/>
      <c r="H162" s="27"/>
      <c r="I162" s="52"/>
      <c r="J162" s="27"/>
      <c r="K162" s="27"/>
      <c r="L162" s="27"/>
      <c r="M162" s="52"/>
      <c r="N162" s="27"/>
      <c r="O162" s="159"/>
      <c r="P162" s="27"/>
      <c r="Q162" s="52"/>
      <c r="R162" s="27"/>
      <c r="S162" s="27"/>
      <c r="T162" s="27"/>
      <c r="U162" s="52"/>
      <c r="V162" s="27"/>
      <c r="W162" s="27"/>
      <c r="X162" s="27"/>
      <c r="Y162" s="52"/>
      <c r="Z162" s="27"/>
      <c r="AA162" s="27"/>
      <c r="AB162" s="27"/>
      <c r="AC162" s="52"/>
      <c r="AD162" s="168"/>
      <c r="AE162" s="168"/>
      <c r="AF162" s="168"/>
      <c r="AG162" s="168"/>
      <c r="AH162" s="168"/>
      <c r="AI162" s="168"/>
      <c r="AJ162" s="169"/>
      <c r="AK162" s="169"/>
      <c r="AL162" s="170"/>
      <c r="AM162" s="171"/>
      <c r="AN162" s="171"/>
      <c r="AO162" s="171"/>
      <c r="AP162" s="171"/>
      <c r="AQ162" s="171"/>
      <c r="AR162" s="171"/>
      <c r="AS162" s="171"/>
      <c r="AT162" s="171"/>
      <c r="AU162" s="172"/>
      <c r="AV162" s="172"/>
      <c r="AW162" s="173"/>
      <c r="AX162" s="173"/>
      <c r="AY162" s="173"/>
    </row>
    <row r="163" s="4" customFormat="1" ht="12" spans="1:51">
      <c r="A163" s="22" t="s">
        <v>885</v>
      </c>
      <c r="B163" s="138"/>
      <c r="C163" s="138"/>
      <c r="D163" s="138"/>
      <c r="E163" s="147"/>
      <c r="F163" s="125"/>
      <c r="G163" s="27"/>
      <c r="H163" s="27"/>
      <c r="I163" s="52"/>
      <c r="J163" s="27"/>
      <c r="K163" s="27"/>
      <c r="L163" s="27"/>
      <c r="M163" s="52"/>
      <c r="N163" s="27"/>
      <c r="O163" s="33"/>
      <c r="P163" s="27"/>
      <c r="Q163" s="52"/>
      <c r="R163" s="27"/>
      <c r="S163" s="27"/>
      <c r="T163" s="27"/>
      <c r="U163" s="52"/>
      <c r="V163" s="27"/>
      <c r="W163" s="27"/>
      <c r="X163" s="27"/>
      <c r="Y163" s="52"/>
      <c r="Z163" s="27"/>
      <c r="AA163" s="27"/>
      <c r="AB163" s="27"/>
      <c r="AC163" s="52"/>
      <c r="AD163" s="168"/>
      <c r="AE163" s="168"/>
      <c r="AF163" s="168"/>
      <c r="AG163" s="168"/>
      <c r="AH163" s="168"/>
      <c r="AI163" s="168"/>
      <c r="AJ163" s="169"/>
      <c r="AK163" s="169"/>
      <c r="AL163" s="170"/>
      <c r="AM163" s="171"/>
      <c r="AN163" s="171"/>
      <c r="AO163" s="171"/>
      <c r="AP163" s="171"/>
      <c r="AQ163" s="171"/>
      <c r="AR163" s="171"/>
      <c r="AS163" s="171"/>
      <c r="AT163" s="171"/>
      <c r="AU163" s="172"/>
      <c r="AV163" s="172"/>
      <c r="AW163" s="173"/>
      <c r="AX163" s="173"/>
      <c r="AY163" s="173"/>
    </row>
    <row r="164" s="4" customFormat="1" ht="12" spans="1:51">
      <c r="A164" s="29" t="s">
        <v>855</v>
      </c>
      <c r="B164" s="138"/>
      <c r="C164" s="138"/>
      <c r="D164" s="138"/>
      <c r="E164" s="147"/>
      <c r="F164" s="125"/>
      <c r="G164" s="27"/>
      <c r="H164" s="27"/>
      <c r="I164" s="52"/>
      <c r="J164" s="27"/>
      <c r="K164" s="27"/>
      <c r="L164" s="27"/>
      <c r="M164" s="52"/>
      <c r="N164" s="27"/>
      <c r="O164" s="159">
        <f t="shared" ref="O164:Y164" si="225">+O96-O159</f>
        <v>0</v>
      </c>
      <c r="P164" s="159">
        <f t="shared" si="225"/>
        <v>0</v>
      </c>
      <c r="Q164" s="165">
        <f t="shared" si="225"/>
        <v>0</v>
      </c>
      <c r="R164" s="159">
        <f t="shared" si="225"/>
        <v>0</v>
      </c>
      <c r="S164" s="159">
        <f t="shared" si="225"/>
        <v>0</v>
      </c>
      <c r="T164" s="159">
        <f t="shared" si="225"/>
        <v>0</v>
      </c>
      <c r="U164" s="165">
        <f t="shared" si="225"/>
        <v>0</v>
      </c>
      <c r="V164" s="159">
        <f t="shared" si="225"/>
        <v>0</v>
      </c>
      <c r="W164" s="159">
        <f t="shared" si="225"/>
        <v>0</v>
      </c>
      <c r="X164" s="159">
        <f t="shared" si="225"/>
        <v>0</v>
      </c>
      <c r="Y164" s="165">
        <f t="shared" si="225"/>
        <v>0</v>
      </c>
      <c r="Z164" s="159">
        <f t="shared" ref="Z164:AC164" si="226">+Z96-Z159</f>
        <v>0</v>
      </c>
      <c r="AA164" s="159">
        <f t="shared" si="226"/>
        <v>0</v>
      </c>
      <c r="AB164" s="159">
        <f t="shared" si="226"/>
        <v>0</v>
      </c>
      <c r="AC164" s="165">
        <f t="shared" si="226"/>
        <v>0</v>
      </c>
      <c r="AD164" s="168"/>
      <c r="AE164" s="168"/>
      <c r="AF164" s="168"/>
      <c r="AG164" s="168"/>
      <c r="AH164" s="168"/>
      <c r="AI164" s="168"/>
      <c r="AJ164" s="169"/>
      <c r="AK164" s="169"/>
      <c r="AL164" s="170"/>
      <c r="AM164" s="171"/>
      <c r="AN164" s="171"/>
      <c r="AO164" s="171"/>
      <c r="AP164" s="171"/>
      <c r="AQ164" s="171"/>
      <c r="AR164" s="171"/>
      <c r="AS164" s="171"/>
      <c r="AT164" s="171"/>
      <c r="AU164" s="172"/>
      <c r="AV164" s="172"/>
      <c r="AW164" s="173"/>
      <c r="AX164" s="173"/>
      <c r="AY164" s="173"/>
    </row>
    <row r="165" s="4" customFormat="1" ht="12" spans="1:51">
      <c r="A165" s="29" t="s">
        <v>856</v>
      </c>
      <c r="B165" s="138"/>
      <c r="C165" s="138"/>
      <c r="D165" s="138"/>
      <c r="E165" s="147"/>
      <c r="F165" s="125"/>
      <c r="G165" s="27"/>
      <c r="H165" s="27"/>
      <c r="I165" s="52"/>
      <c r="J165" s="27"/>
      <c r="K165" s="27"/>
      <c r="L165" s="27"/>
      <c r="M165" s="52"/>
      <c r="N165" s="27"/>
      <c r="O165" s="159">
        <f t="shared" ref="O165:Y165" si="227">+O97-O160</f>
        <v>0</v>
      </c>
      <c r="P165" s="159">
        <f t="shared" si="227"/>
        <v>0</v>
      </c>
      <c r="Q165" s="165">
        <f t="shared" si="227"/>
        <v>0</v>
      </c>
      <c r="R165" s="159">
        <f t="shared" si="227"/>
        <v>0</v>
      </c>
      <c r="S165" s="159">
        <f t="shared" si="227"/>
        <v>0</v>
      </c>
      <c r="T165" s="159">
        <f t="shared" si="227"/>
        <v>0</v>
      </c>
      <c r="U165" s="165">
        <f t="shared" si="227"/>
        <v>0</v>
      </c>
      <c r="V165" s="159">
        <f t="shared" si="227"/>
        <v>0</v>
      </c>
      <c r="W165" s="159">
        <f t="shared" si="227"/>
        <v>0</v>
      </c>
      <c r="X165" s="159">
        <f t="shared" si="227"/>
        <v>0</v>
      </c>
      <c r="Y165" s="165">
        <f t="shared" si="227"/>
        <v>0</v>
      </c>
      <c r="Z165" s="159">
        <f t="shared" ref="Z165:AC165" si="228">+Z97-Z160</f>
        <v>0</v>
      </c>
      <c r="AA165" s="159">
        <f t="shared" si="228"/>
        <v>0</v>
      </c>
      <c r="AB165" s="159">
        <f t="shared" si="228"/>
        <v>0</v>
      </c>
      <c r="AC165" s="165">
        <f t="shared" si="228"/>
        <v>0</v>
      </c>
      <c r="AD165" s="168"/>
      <c r="AE165" s="168"/>
      <c r="AF165" s="168"/>
      <c r="AG165" s="168"/>
      <c r="AH165" s="168"/>
      <c r="AI165" s="168"/>
      <c r="AJ165" s="169"/>
      <c r="AK165" s="169"/>
      <c r="AL165" s="170"/>
      <c r="AM165" s="171"/>
      <c r="AN165" s="171"/>
      <c r="AO165" s="171"/>
      <c r="AP165" s="171"/>
      <c r="AQ165" s="171"/>
      <c r="AR165" s="171"/>
      <c r="AS165" s="171"/>
      <c r="AT165" s="171"/>
      <c r="AU165" s="172"/>
      <c r="AV165" s="172"/>
      <c r="AW165" s="173"/>
      <c r="AX165" s="173"/>
      <c r="AY165" s="173"/>
    </row>
    <row r="166" s="4" customFormat="1" ht="12" spans="1:51">
      <c r="A166" s="29" t="s">
        <v>857</v>
      </c>
      <c r="B166" s="138"/>
      <c r="C166" s="138"/>
      <c r="D166" s="138"/>
      <c r="E166" s="147"/>
      <c r="F166" s="125"/>
      <c r="G166" s="27"/>
      <c r="H166" s="27"/>
      <c r="I166" s="52"/>
      <c r="J166" s="27"/>
      <c r="K166" s="27"/>
      <c r="L166" s="27"/>
      <c r="M166" s="52"/>
      <c r="N166" s="27"/>
      <c r="O166" s="159">
        <f t="shared" ref="O166:Y166" si="229">+O98-O161</f>
        <v>0</v>
      </c>
      <c r="P166" s="159">
        <f t="shared" si="229"/>
        <v>0</v>
      </c>
      <c r="Q166" s="165">
        <f t="shared" si="229"/>
        <v>0</v>
      </c>
      <c r="R166" s="159">
        <f t="shared" si="229"/>
        <v>0</v>
      </c>
      <c r="S166" s="159">
        <f t="shared" si="229"/>
        <v>0</v>
      </c>
      <c r="T166" s="159">
        <f t="shared" si="229"/>
        <v>0</v>
      </c>
      <c r="U166" s="165">
        <f t="shared" si="229"/>
        <v>0</v>
      </c>
      <c r="V166" s="159">
        <f t="shared" si="229"/>
        <v>0</v>
      </c>
      <c r="W166" s="159">
        <f t="shared" si="229"/>
        <v>0</v>
      </c>
      <c r="X166" s="159">
        <f t="shared" si="229"/>
        <v>0</v>
      </c>
      <c r="Y166" s="165">
        <f t="shared" si="229"/>
        <v>0</v>
      </c>
      <c r="Z166" s="159">
        <f t="shared" ref="Z166:AC166" si="230">+Z98-Z161</f>
        <v>0</v>
      </c>
      <c r="AA166" s="159">
        <f t="shared" si="230"/>
        <v>0</v>
      </c>
      <c r="AB166" s="159">
        <f t="shared" si="230"/>
        <v>0</v>
      </c>
      <c r="AC166" s="165">
        <f t="shared" si="230"/>
        <v>0</v>
      </c>
      <c r="AD166" s="168"/>
      <c r="AE166" s="168"/>
      <c r="AF166" s="168"/>
      <c r="AG166" s="168"/>
      <c r="AH166" s="168"/>
      <c r="AI166" s="168"/>
      <c r="AJ166" s="169"/>
      <c r="AK166" s="169"/>
      <c r="AL166" s="170"/>
      <c r="AM166" s="171"/>
      <c r="AN166" s="171"/>
      <c r="AO166" s="171"/>
      <c r="AP166" s="171"/>
      <c r="AQ166" s="171"/>
      <c r="AR166" s="171"/>
      <c r="AS166" s="171"/>
      <c r="AT166" s="171"/>
      <c r="AU166" s="172"/>
      <c r="AV166" s="172"/>
      <c r="AW166" s="173"/>
      <c r="AX166" s="173"/>
      <c r="AY166" s="173"/>
    </row>
    <row r="167" s="4" customFormat="1" ht="12" spans="1:51">
      <c r="A167" s="25"/>
      <c r="B167" s="138"/>
      <c r="C167" s="138"/>
      <c r="D167" s="138"/>
      <c r="E167" s="147"/>
      <c r="F167" s="125"/>
      <c r="G167" s="27"/>
      <c r="H167" s="27"/>
      <c r="I167" s="52"/>
      <c r="J167" s="27"/>
      <c r="K167" s="27"/>
      <c r="L167" s="27"/>
      <c r="M167" s="52"/>
      <c r="N167" s="27"/>
      <c r="O167" s="33"/>
      <c r="P167" s="27"/>
      <c r="Q167" s="52"/>
      <c r="R167" s="27"/>
      <c r="S167" s="27"/>
      <c r="T167" s="27"/>
      <c r="U167" s="52"/>
      <c r="V167" s="27"/>
      <c r="W167" s="27"/>
      <c r="X167" s="27"/>
      <c r="Y167" s="52"/>
      <c r="Z167" s="27"/>
      <c r="AA167" s="27"/>
      <c r="AB167" s="27"/>
      <c r="AC167" s="52"/>
      <c r="AD167" s="168"/>
      <c r="AE167" s="168"/>
      <c r="AF167" s="168"/>
      <c r="AG167" s="168"/>
      <c r="AH167" s="168"/>
      <c r="AI167" s="168"/>
      <c r="AJ167" s="169"/>
      <c r="AK167" s="169"/>
      <c r="AL167" s="170"/>
      <c r="AM167" s="171"/>
      <c r="AN167" s="171"/>
      <c r="AO167" s="171"/>
      <c r="AP167" s="171"/>
      <c r="AQ167" s="171"/>
      <c r="AR167" s="171"/>
      <c r="AS167" s="171"/>
      <c r="AT167" s="171"/>
      <c r="AU167" s="172"/>
      <c r="AV167" s="172"/>
      <c r="AW167" s="173"/>
      <c r="AX167" s="173"/>
      <c r="AY167" s="173"/>
    </row>
    <row r="168" s="4" customFormat="1" ht="12" spans="1:51">
      <c r="A168" s="36" t="s">
        <v>886</v>
      </c>
      <c r="B168" s="138"/>
      <c r="C168" s="138"/>
      <c r="D168" s="138"/>
      <c r="E168" s="147"/>
      <c r="F168" s="125"/>
      <c r="G168" s="27"/>
      <c r="H168" s="27"/>
      <c r="I168" s="52"/>
      <c r="J168" s="27"/>
      <c r="K168" s="27"/>
      <c r="L168" s="27"/>
      <c r="M168" s="52"/>
      <c r="N168" s="27"/>
      <c r="O168" s="159"/>
      <c r="P168" s="27"/>
      <c r="Q168" s="52"/>
      <c r="R168" s="27"/>
      <c r="S168" s="27"/>
      <c r="T168" s="27"/>
      <c r="U168" s="52"/>
      <c r="V168" s="27"/>
      <c r="W168" s="27"/>
      <c r="X168" s="27"/>
      <c r="Y168" s="52"/>
      <c r="Z168" s="27"/>
      <c r="AA168" s="27"/>
      <c r="AB168" s="27"/>
      <c r="AC168" s="52"/>
      <c r="AD168" s="168"/>
      <c r="AE168" s="168"/>
      <c r="AF168" s="168"/>
      <c r="AG168" s="168"/>
      <c r="AH168" s="168"/>
      <c r="AI168" s="168"/>
      <c r="AJ168" s="169"/>
      <c r="AK168" s="169"/>
      <c r="AL168" s="170"/>
      <c r="AM168" s="171"/>
      <c r="AN168" s="171"/>
      <c r="AO168" s="171"/>
      <c r="AP168" s="171"/>
      <c r="AQ168" s="171"/>
      <c r="AR168" s="171"/>
      <c r="AS168" s="171"/>
      <c r="AT168" s="171"/>
      <c r="AU168" s="172"/>
      <c r="AV168" s="172"/>
      <c r="AW168" s="173"/>
      <c r="AX168" s="173"/>
      <c r="AY168" s="173"/>
    </row>
    <row r="169" s="4" customFormat="1" ht="12" spans="1:51">
      <c r="A169" s="29" t="s">
        <v>851</v>
      </c>
      <c r="B169" s="139">
        <f t="shared" ref="B169:Y169" si="231">+B111</f>
        <v>242.2</v>
      </c>
      <c r="C169" s="139">
        <f t="shared" si="231"/>
        <v>238.74</v>
      </c>
      <c r="D169" s="139">
        <f t="shared" si="231"/>
        <v>235.28</v>
      </c>
      <c r="E169" s="148">
        <f t="shared" si="231"/>
        <v>224.9</v>
      </c>
      <c r="F169" s="139">
        <f t="shared" si="231"/>
        <v>230.09</v>
      </c>
      <c r="G169" s="139">
        <f t="shared" si="231"/>
        <v>295.83</v>
      </c>
      <c r="H169" s="139">
        <f t="shared" si="231"/>
        <v>282.682</v>
      </c>
      <c r="I169" s="148">
        <f t="shared" si="231"/>
        <v>266.247</v>
      </c>
      <c r="J169" s="139">
        <f t="shared" si="231"/>
        <v>249.812</v>
      </c>
      <c r="K169" s="139">
        <f t="shared" si="231"/>
        <v>249.812</v>
      </c>
      <c r="L169" s="139">
        <f t="shared" si="231"/>
        <v>249.812</v>
      </c>
      <c r="M169" s="148">
        <f t="shared" si="231"/>
        <v>249.812</v>
      </c>
      <c r="N169" s="139">
        <f t="shared" si="231"/>
        <v>243.254435</v>
      </c>
      <c r="O169" s="139">
        <f t="shared" si="231"/>
        <v>243.254435</v>
      </c>
      <c r="P169" s="139">
        <f t="shared" si="231"/>
        <v>243.254435</v>
      </c>
      <c r="Q169" s="148">
        <f t="shared" si="231"/>
        <v>243.254435</v>
      </c>
      <c r="R169" s="139">
        <f t="shared" si="231"/>
        <v>233.909904875</v>
      </c>
      <c r="S169" s="139">
        <f t="shared" si="231"/>
        <v>233.909904875</v>
      </c>
      <c r="T169" s="139">
        <f t="shared" si="231"/>
        <v>233.909904875</v>
      </c>
      <c r="U169" s="148">
        <f t="shared" si="231"/>
        <v>233.909904875</v>
      </c>
      <c r="V169" s="139">
        <f t="shared" si="231"/>
        <v>224.891691675</v>
      </c>
      <c r="W169" s="139">
        <f t="shared" si="231"/>
        <v>224.891691675</v>
      </c>
      <c r="X169" s="139">
        <f t="shared" si="231"/>
        <v>224.891691675</v>
      </c>
      <c r="Y169" s="148">
        <f t="shared" si="231"/>
        <v>224.891691675</v>
      </c>
      <c r="Z169" s="139">
        <f t="shared" ref="Z169:AC169" si="232">+Z111</f>
        <v>216.22116862247</v>
      </c>
      <c r="AA169" s="139">
        <f t="shared" si="232"/>
        <v>216.22116862247</v>
      </c>
      <c r="AB169" s="139">
        <f t="shared" si="232"/>
        <v>216.22116862247</v>
      </c>
      <c r="AC169" s="148">
        <f t="shared" si="232"/>
        <v>216.22116862247</v>
      </c>
      <c r="AD169" s="168"/>
      <c r="AE169" s="168"/>
      <c r="AF169" s="168"/>
      <c r="AG169" s="168"/>
      <c r="AH169" s="168"/>
      <c r="AI169" s="168"/>
      <c r="AJ169" s="169"/>
      <c r="AK169" s="169"/>
      <c r="AL169" s="170"/>
      <c r="AM169" s="171"/>
      <c r="AN169" s="171"/>
      <c r="AO169" s="171"/>
      <c r="AP169" s="171"/>
      <c r="AQ169" s="171"/>
      <c r="AR169" s="171"/>
      <c r="AS169" s="171"/>
      <c r="AT169" s="171"/>
      <c r="AU169" s="172"/>
      <c r="AV169" s="172"/>
      <c r="AW169" s="173"/>
      <c r="AX169" s="173"/>
      <c r="AY169" s="173"/>
    </row>
    <row r="170" s="4" customFormat="1" ht="12" spans="1:51">
      <c r="A170" s="29" t="s">
        <v>852</v>
      </c>
      <c r="B170" s="139">
        <f t="shared" ref="B170:Y170" si="233">+B112</f>
        <v>369.6</v>
      </c>
      <c r="C170" s="139">
        <f t="shared" si="233"/>
        <v>364</v>
      </c>
      <c r="D170" s="139">
        <f t="shared" si="233"/>
        <v>347.2</v>
      </c>
      <c r="E170" s="148">
        <f t="shared" si="233"/>
        <v>347.2</v>
      </c>
      <c r="F170" s="139">
        <f t="shared" si="233"/>
        <v>345.8</v>
      </c>
      <c r="G170" s="139">
        <f t="shared" si="233"/>
        <v>388.36</v>
      </c>
      <c r="H170" s="139">
        <f t="shared" si="233"/>
        <v>394.212</v>
      </c>
      <c r="I170" s="148">
        <f t="shared" si="233"/>
        <v>393.68</v>
      </c>
      <c r="J170" s="139">
        <f t="shared" si="233"/>
        <v>373.996</v>
      </c>
      <c r="K170" s="139">
        <f t="shared" si="233"/>
        <v>368.942</v>
      </c>
      <c r="L170" s="139">
        <f t="shared" si="233"/>
        <v>368.942</v>
      </c>
      <c r="M170" s="148">
        <f t="shared" si="233"/>
        <v>368.942</v>
      </c>
      <c r="N170" s="139">
        <f t="shared" si="233"/>
        <v>369.7001</v>
      </c>
      <c r="O170" s="139">
        <f t="shared" si="233"/>
        <v>369.7001</v>
      </c>
      <c r="P170" s="139">
        <f t="shared" si="233"/>
        <v>369.7001</v>
      </c>
      <c r="Q170" s="148">
        <f t="shared" si="233"/>
        <v>369.7001</v>
      </c>
      <c r="R170" s="139">
        <f t="shared" si="233"/>
        <v>360.337565</v>
      </c>
      <c r="S170" s="139">
        <f t="shared" si="233"/>
        <v>360.337565</v>
      </c>
      <c r="T170" s="139">
        <f t="shared" si="233"/>
        <v>360.337565</v>
      </c>
      <c r="U170" s="148">
        <f t="shared" si="233"/>
        <v>360.337565</v>
      </c>
      <c r="V170" s="139">
        <f t="shared" si="233"/>
        <v>350.98703325</v>
      </c>
      <c r="W170" s="139">
        <f t="shared" si="233"/>
        <v>350.98703325</v>
      </c>
      <c r="X170" s="139">
        <f t="shared" si="233"/>
        <v>350.98703325</v>
      </c>
      <c r="Y170" s="148">
        <f t="shared" si="233"/>
        <v>350.98703325</v>
      </c>
      <c r="Z170" s="139">
        <f t="shared" ref="Z170:AC170" si="234">+Z112</f>
        <v>341.879141880854</v>
      </c>
      <c r="AA170" s="139">
        <f t="shared" si="234"/>
        <v>341.879141880854</v>
      </c>
      <c r="AB170" s="139">
        <f t="shared" si="234"/>
        <v>341.879141880854</v>
      </c>
      <c r="AC170" s="148">
        <f t="shared" si="234"/>
        <v>341.879141880854</v>
      </c>
      <c r="AD170" s="168"/>
      <c r="AE170" s="168"/>
      <c r="AF170" s="168"/>
      <c r="AG170" s="168"/>
      <c r="AH170" s="168"/>
      <c r="AI170" s="168"/>
      <c r="AJ170" s="169"/>
      <c r="AK170" s="169"/>
      <c r="AL170" s="170"/>
      <c r="AM170" s="171"/>
      <c r="AN170" s="171"/>
      <c r="AO170" s="171"/>
      <c r="AP170" s="171"/>
      <c r="AQ170" s="171"/>
      <c r="AR170" s="171"/>
      <c r="AS170" s="171"/>
      <c r="AT170" s="171"/>
      <c r="AU170" s="172"/>
      <c r="AV170" s="172"/>
      <c r="AW170" s="173"/>
      <c r="AX170" s="173"/>
      <c r="AY170" s="173"/>
    </row>
    <row r="171" s="4" customFormat="1" ht="12" spans="1:51">
      <c r="A171" s="29" t="s">
        <v>853</v>
      </c>
      <c r="B171" s="139">
        <f t="shared" ref="B171:Y171" si="235">+B113</f>
        <v>537.6</v>
      </c>
      <c r="C171" s="139">
        <f t="shared" si="235"/>
        <v>520.8</v>
      </c>
      <c r="D171" s="139">
        <f t="shared" si="235"/>
        <v>504</v>
      </c>
      <c r="E171" s="148">
        <f t="shared" si="235"/>
        <v>504</v>
      </c>
      <c r="F171" s="139">
        <f t="shared" si="235"/>
        <v>308.7</v>
      </c>
      <c r="G171" s="139">
        <f t="shared" si="235"/>
        <v>328.3</v>
      </c>
      <c r="H171" s="139">
        <f t="shared" si="235"/>
        <v>343</v>
      </c>
      <c r="I171" s="148">
        <f t="shared" si="235"/>
        <v>343</v>
      </c>
      <c r="J171" s="139">
        <f t="shared" si="235"/>
        <v>325.85</v>
      </c>
      <c r="K171" s="139">
        <f t="shared" si="235"/>
        <v>325.85</v>
      </c>
      <c r="L171" s="139">
        <f t="shared" si="235"/>
        <v>325.85</v>
      </c>
      <c r="M171" s="148">
        <f t="shared" si="235"/>
        <v>325.85</v>
      </c>
      <c r="N171" s="139">
        <f t="shared" si="235"/>
        <v>325.85</v>
      </c>
      <c r="O171" s="139">
        <f t="shared" si="235"/>
        <v>325.85</v>
      </c>
      <c r="P171" s="139">
        <f t="shared" si="235"/>
        <v>325.85</v>
      </c>
      <c r="Q171" s="148">
        <f t="shared" si="235"/>
        <v>325.85</v>
      </c>
      <c r="R171" s="139">
        <f t="shared" si="235"/>
        <v>318.156319444444</v>
      </c>
      <c r="S171" s="139">
        <f t="shared" si="235"/>
        <v>318.156319444444</v>
      </c>
      <c r="T171" s="139">
        <f t="shared" si="235"/>
        <v>318.156319444444</v>
      </c>
      <c r="U171" s="148">
        <f t="shared" si="235"/>
        <v>318.156319444444</v>
      </c>
      <c r="V171" s="139">
        <f t="shared" si="235"/>
        <v>310.417381944444</v>
      </c>
      <c r="W171" s="139">
        <f t="shared" si="235"/>
        <v>310.417381944444</v>
      </c>
      <c r="X171" s="139">
        <f t="shared" si="235"/>
        <v>310.417381944444</v>
      </c>
      <c r="Y171" s="148">
        <f t="shared" si="235"/>
        <v>310.417381944444</v>
      </c>
      <c r="Z171" s="139">
        <f t="shared" ref="Z171:AC171" si="236">+Z113</f>
        <v>302.86668887012</v>
      </c>
      <c r="AA171" s="139">
        <f t="shared" si="236"/>
        <v>302.86668887012</v>
      </c>
      <c r="AB171" s="139">
        <f t="shared" si="236"/>
        <v>302.86668887012</v>
      </c>
      <c r="AC171" s="148">
        <f t="shared" si="236"/>
        <v>302.86668887012</v>
      </c>
      <c r="AD171" s="168"/>
      <c r="AE171" s="168"/>
      <c r="AF171" s="168"/>
      <c r="AG171" s="168"/>
      <c r="AH171" s="168"/>
      <c r="AI171" s="168"/>
      <c r="AJ171" s="169"/>
      <c r="AK171" s="169"/>
      <c r="AL171" s="170"/>
      <c r="AM171" s="171"/>
      <c r="AN171" s="171"/>
      <c r="AO171" s="171"/>
      <c r="AP171" s="171"/>
      <c r="AQ171" s="171"/>
      <c r="AR171" s="171"/>
      <c r="AS171" s="171"/>
      <c r="AT171" s="171"/>
      <c r="AU171" s="172"/>
      <c r="AV171" s="172"/>
      <c r="AW171" s="173"/>
      <c r="AX171" s="173"/>
      <c r="AY171" s="173"/>
    </row>
    <row r="172" s="4" customFormat="1" ht="12" spans="1:51">
      <c r="A172" s="29" t="s">
        <v>854</v>
      </c>
      <c r="B172" s="139">
        <f t="shared" ref="B172:Y172" si="237">+B114</f>
        <v>924</v>
      </c>
      <c r="C172" s="139">
        <f t="shared" si="237"/>
        <v>924</v>
      </c>
      <c r="D172" s="139">
        <f t="shared" si="237"/>
        <v>847</v>
      </c>
      <c r="E172" s="148">
        <f t="shared" si="237"/>
        <v>847</v>
      </c>
      <c r="F172" s="139">
        <f t="shared" si="237"/>
        <v>814.68</v>
      </c>
      <c r="G172" s="139">
        <f t="shared" si="237"/>
        <v>814.68</v>
      </c>
      <c r="H172" s="139">
        <f t="shared" si="237"/>
        <v>906.66</v>
      </c>
      <c r="I172" s="148">
        <f t="shared" si="237"/>
        <v>906.66</v>
      </c>
      <c r="J172" s="139">
        <f t="shared" si="237"/>
        <v>827.82</v>
      </c>
      <c r="K172" s="139">
        <f t="shared" si="237"/>
        <v>827.82</v>
      </c>
      <c r="L172" s="139">
        <f t="shared" si="237"/>
        <v>827.82</v>
      </c>
      <c r="M172" s="148">
        <f t="shared" si="237"/>
        <v>827.82</v>
      </c>
      <c r="N172" s="139">
        <f t="shared" si="237"/>
        <v>745.038</v>
      </c>
      <c r="O172" s="139">
        <f t="shared" si="237"/>
        <v>745.038</v>
      </c>
      <c r="P172" s="139">
        <f t="shared" si="237"/>
        <v>745.038</v>
      </c>
      <c r="Q172" s="148">
        <f t="shared" si="237"/>
        <v>745.038</v>
      </c>
      <c r="R172" s="139">
        <f t="shared" si="237"/>
        <v>707.7861</v>
      </c>
      <c r="S172" s="139">
        <f t="shared" si="237"/>
        <v>707.7861</v>
      </c>
      <c r="T172" s="139">
        <f t="shared" si="237"/>
        <v>707.7861</v>
      </c>
      <c r="U172" s="148">
        <f t="shared" si="237"/>
        <v>707.7861</v>
      </c>
      <c r="V172" s="139">
        <f t="shared" si="237"/>
        <v>672.396795</v>
      </c>
      <c r="W172" s="139">
        <f t="shared" si="237"/>
        <v>672.396795</v>
      </c>
      <c r="X172" s="139">
        <f t="shared" si="237"/>
        <v>672.396795</v>
      </c>
      <c r="Y172" s="148">
        <f t="shared" si="237"/>
        <v>672.396795</v>
      </c>
      <c r="Z172" s="139">
        <f t="shared" ref="Z172:AC172" si="238">+Z114</f>
        <v>638.77695525</v>
      </c>
      <c r="AA172" s="139">
        <f t="shared" si="238"/>
        <v>638.77695525</v>
      </c>
      <c r="AB172" s="139">
        <f t="shared" si="238"/>
        <v>638.77695525</v>
      </c>
      <c r="AC172" s="148">
        <f t="shared" si="238"/>
        <v>638.77695525</v>
      </c>
      <c r="AD172" s="168"/>
      <c r="AE172" s="168"/>
      <c r="AF172" s="168"/>
      <c r="AG172" s="168"/>
      <c r="AH172" s="168"/>
      <c r="AI172" s="168"/>
      <c r="AJ172" s="169"/>
      <c r="AK172" s="169"/>
      <c r="AL172" s="170"/>
      <c r="AM172" s="171"/>
      <c r="AN172" s="171"/>
      <c r="AO172" s="171"/>
      <c r="AP172" s="171"/>
      <c r="AQ172" s="171"/>
      <c r="AR172" s="171"/>
      <c r="AS172" s="171"/>
      <c r="AT172" s="171"/>
      <c r="AU172" s="172"/>
      <c r="AV172" s="172"/>
      <c r="AW172" s="173"/>
      <c r="AX172" s="173"/>
      <c r="AY172" s="173"/>
    </row>
    <row r="173" s="4" customFormat="1" ht="12" spans="1:51">
      <c r="A173" s="29" t="s">
        <v>855</v>
      </c>
      <c r="B173" s="139">
        <f t="shared" ref="B173:Y173" si="239">+B115</f>
        <v>2111.2</v>
      </c>
      <c r="C173" s="139">
        <f t="shared" si="239"/>
        <v>2111.2</v>
      </c>
      <c r="D173" s="139">
        <f t="shared" si="239"/>
        <v>2002</v>
      </c>
      <c r="E173" s="148">
        <f t="shared" si="239"/>
        <v>2002</v>
      </c>
      <c r="F173" s="139">
        <f t="shared" si="239"/>
        <v>1445.4</v>
      </c>
      <c r="G173" s="139">
        <f t="shared" si="239"/>
        <v>1445.4</v>
      </c>
      <c r="H173" s="139">
        <f t="shared" si="239"/>
        <v>1524.24</v>
      </c>
      <c r="I173" s="148">
        <f t="shared" si="239"/>
        <v>1366.56</v>
      </c>
      <c r="J173" s="139">
        <f t="shared" si="239"/>
        <v>1305.11736</v>
      </c>
      <c r="K173" s="139">
        <f t="shared" si="239"/>
        <v>1163.8098</v>
      </c>
      <c r="L173" s="139">
        <f t="shared" si="239"/>
        <v>1267.6815</v>
      </c>
      <c r="M173" s="148">
        <f t="shared" si="239"/>
        <v>1166.26698</v>
      </c>
      <c r="N173" s="139">
        <f t="shared" si="239"/>
        <v>1142.9416404</v>
      </c>
      <c r="O173" s="139">
        <f t="shared" si="239"/>
        <v>1142.9416404</v>
      </c>
      <c r="P173" s="139">
        <f t="shared" si="239"/>
        <v>1142.9416404</v>
      </c>
      <c r="Q173" s="148">
        <f t="shared" si="239"/>
        <v>1142.9416404</v>
      </c>
      <c r="R173" s="139">
        <f t="shared" si="239"/>
        <v>1131.512223996</v>
      </c>
      <c r="S173" s="139">
        <f t="shared" si="239"/>
        <v>1131.512223996</v>
      </c>
      <c r="T173" s="139">
        <f t="shared" si="239"/>
        <v>1131.512223996</v>
      </c>
      <c r="U173" s="148">
        <f t="shared" si="239"/>
        <v>1131.512223996</v>
      </c>
      <c r="V173" s="139">
        <f t="shared" si="239"/>
        <v>1131.512223996</v>
      </c>
      <c r="W173" s="139">
        <f t="shared" si="239"/>
        <v>1131.512223996</v>
      </c>
      <c r="X173" s="139">
        <f t="shared" si="239"/>
        <v>1131.512223996</v>
      </c>
      <c r="Y173" s="148">
        <f t="shared" si="239"/>
        <v>1131.512223996</v>
      </c>
      <c r="Z173" s="139">
        <f t="shared" ref="Z173:AC173" si="240">+Z115</f>
        <v>1131.512223996</v>
      </c>
      <c r="AA173" s="139">
        <f t="shared" si="240"/>
        <v>1131.512223996</v>
      </c>
      <c r="AB173" s="139">
        <f t="shared" si="240"/>
        <v>1131.512223996</v>
      </c>
      <c r="AC173" s="148">
        <f t="shared" si="240"/>
        <v>1131.512223996</v>
      </c>
      <c r="AD173" s="168"/>
      <c r="AE173" s="168"/>
      <c r="AF173" s="168"/>
      <c r="AG173" s="168"/>
      <c r="AH173" s="168"/>
      <c r="AI173" s="168"/>
      <c r="AJ173" s="169"/>
      <c r="AK173" s="169"/>
      <c r="AL173" s="170"/>
      <c r="AM173" s="171"/>
      <c r="AN173" s="171"/>
      <c r="AO173" s="171"/>
      <c r="AP173" s="171"/>
      <c r="AQ173" s="171"/>
      <c r="AR173" s="171"/>
      <c r="AS173" s="171"/>
      <c r="AT173" s="171"/>
      <c r="AU173" s="172"/>
      <c r="AV173" s="172"/>
      <c r="AW173" s="173"/>
      <c r="AX173" s="173"/>
      <c r="AY173" s="173"/>
    </row>
    <row r="174" s="4" customFormat="1" ht="12" spans="1:51">
      <c r="A174" s="29" t="s">
        <v>856</v>
      </c>
      <c r="B174" s="139">
        <f t="shared" ref="B174:Y174" si="241">+B116</f>
        <v>0</v>
      </c>
      <c r="C174" s="139">
        <f t="shared" si="241"/>
        <v>0</v>
      </c>
      <c r="D174" s="139">
        <f t="shared" si="241"/>
        <v>0</v>
      </c>
      <c r="E174" s="148">
        <f t="shared" si="241"/>
        <v>0</v>
      </c>
      <c r="F174" s="139">
        <f t="shared" si="241"/>
        <v>0</v>
      </c>
      <c r="G174" s="139">
        <f t="shared" si="241"/>
        <v>0</v>
      </c>
      <c r="H174" s="139">
        <f t="shared" si="241"/>
        <v>0</v>
      </c>
      <c r="I174" s="148">
        <f t="shared" si="241"/>
        <v>0</v>
      </c>
      <c r="J174" s="139">
        <f t="shared" si="241"/>
        <v>2178.94245737451</v>
      </c>
      <c r="K174" s="139">
        <f t="shared" si="241"/>
        <v>2320.54913610549</v>
      </c>
      <c r="L174" s="139">
        <f t="shared" si="241"/>
        <v>2280.37484502543</v>
      </c>
      <c r="M174" s="148">
        <f t="shared" si="241"/>
        <v>1946.34190824767</v>
      </c>
      <c r="N174" s="139">
        <f t="shared" si="241"/>
        <v>1790.56431637227</v>
      </c>
      <c r="O174" s="139">
        <f t="shared" si="241"/>
        <v>1807.2035269615</v>
      </c>
      <c r="P174" s="139">
        <f t="shared" si="241"/>
        <v>1855.80461483729</v>
      </c>
      <c r="Q174" s="148">
        <f t="shared" si="241"/>
        <v>1816.10712724269</v>
      </c>
      <c r="R174" s="139">
        <f t="shared" si="241"/>
        <v>1706.02544660907</v>
      </c>
      <c r="S174" s="139">
        <f t="shared" si="241"/>
        <v>1688.96519214298</v>
      </c>
      <c r="T174" s="139">
        <f t="shared" si="241"/>
        <v>1705.85484406441</v>
      </c>
      <c r="U174" s="148">
        <f t="shared" si="241"/>
        <v>1722.91339250506</v>
      </c>
      <c r="V174" s="139">
        <f t="shared" si="241"/>
        <v>1688.45512465496</v>
      </c>
      <c r="W174" s="139">
        <f t="shared" si="241"/>
        <v>1654.68602216186</v>
      </c>
      <c r="X174" s="139">
        <f t="shared" si="241"/>
        <v>1621.59230171862</v>
      </c>
      <c r="Y174" s="148">
        <f t="shared" si="241"/>
        <v>1621.59230171862</v>
      </c>
      <c r="Z174" s="139">
        <f t="shared" ref="Z174:AC174" si="242">+Z116</f>
        <v>1572.94453266706</v>
      </c>
      <c r="AA174" s="139">
        <f t="shared" si="242"/>
        <v>1447.1089700537</v>
      </c>
      <c r="AB174" s="139">
        <f t="shared" si="242"/>
        <v>1418.16679065262</v>
      </c>
      <c r="AC174" s="148">
        <f t="shared" si="242"/>
        <v>1418.16679065262</v>
      </c>
      <c r="AD174" s="168"/>
      <c r="AE174" s="168"/>
      <c r="AF174" s="168"/>
      <c r="AG174" s="168"/>
      <c r="AH174" s="168"/>
      <c r="AI174" s="168"/>
      <c r="AJ174" s="169"/>
      <c r="AK174" s="169"/>
      <c r="AL174" s="170"/>
      <c r="AM174" s="171"/>
      <c r="AN174" s="171"/>
      <c r="AO174" s="171"/>
      <c r="AP174" s="171"/>
      <c r="AQ174" s="171"/>
      <c r="AR174" s="171"/>
      <c r="AS174" s="171"/>
      <c r="AT174" s="171"/>
      <c r="AU174" s="172"/>
      <c r="AV174" s="172"/>
      <c r="AW174" s="173"/>
      <c r="AX174" s="173"/>
      <c r="AY174" s="173"/>
    </row>
    <row r="175" s="4" customFormat="1" ht="12" spans="1:51">
      <c r="A175" s="29" t="s">
        <v>857</v>
      </c>
      <c r="B175" s="139">
        <f t="shared" ref="B175:O175" si="243">+B117</f>
        <v>0</v>
      </c>
      <c r="C175" s="139">
        <f t="shared" si="243"/>
        <v>0</v>
      </c>
      <c r="D175" s="139">
        <f t="shared" si="243"/>
        <v>0</v>
      </c>
      <c r="E175" s="148">
        <f t="shared" si="243"/>
        <v>0</v>
      </c>
      <c r="F175" s="139">
        <f t="shared" si="243"/>
        <v>0</v>
      </c>
      <c r="G175" s="139">
        <f t="shared" si="243"/>
        <v>0</v>
      </c>
      <c r="H175" s="139">
        <f t="shared" si="243"/>
        <v>0</v>
      </c>
      <c r="I175" s="148">
        <f t="shared" si="243"/>
        <v>0</v>
      </c>
      <c r="J175" s="139">
        <f t="shared" si="243"/>
        <v>0</v>
      </c>
      <c r="K175" s="139">
        <f t="shared" si="243"/>
        <v>0</v>
      </c>
      <c r="L175" s="139">
        <f t="shared" si="243"/>
        <v>0</v>
      </c>
      <c r="M175" s="148">
        <f t="shared" si="243"/>
        <v>0</v>
      </c>
      <c r="N175" s="139">
        <f t="shared" si="243"/>
        <v>0</v>
      </c>
      <c r="O175" s="139">
        <f t="shared" si="243"/>
        <v>0</v>
      </c>
      <c r="P175" s="139">
        <v>3800</v>
      </c>
      <c r="Q175" s="148">
        <v>3800</v>
      </c>
      <c r="R175" s="139">
        <f t="shared" ref="R175:Y175" si="244">+R117</f>
        <v>3600</v>
      </c>
      <c r="S175" s="139">
        <f t="shared" si="244"/>
        <v>3528</v>
      </c>
      <c r="T175" s="139">
        <f t="shared" si="244"/>
        <v>3598.56</v>
      </c>
      <c r="U175" s="148">
        <f t="shared" si="244"/>
        <v>3634.5456</v>
      </c>
      <c r="V175" s="139">
        <f t="shared" si="244"/>
        <v>3525.509232</v>
      </c>
      <c r="W175" s="139">
        <f t="shared" si="244"/>
        <v>3172.9583088</v>
      </c>
      <c r="X175" s="139">
        <f t="shared" si="244"/>
        <v>3172.9583088</v>
      </c>
      <c r="Y175" s="148">
        <f t="shared" si="244"/>
        <v>3172.9583088</v>
      </c>
      <c r="Z175" s="139">
        <f t="shared" ref="Z175:AC175" si="245">+Z117</f>
        <v>3077.769559536</v>
      </c>
      <c r="AA175" s="139">
        <f t="shared" si="245"/>
        <v>2769.9926035824</v>
      </c>
      <c r="AB175" s="139">
        <f t="shared" si="245"/>
        <v>2769.9926035824</v>
      </c>
      <c r="AC175" s="148">
        <f t="shared" si="245"/>
        <v>2769.9926035824</v>
      </c>
      <c r="AD175" s="168"/>
      <c r="AE175" s="168"/>
      <c r="AF175" s="168"/>
      <c r="AG175" s="168"/>
      <c r="AH175" s="168"/>
      <c r="AI175" s="168"/>
      <c r="AJ175" s="169"/>
      <c r="AK175" s="169"/>
      <c r="AL175" s="170"/>
      <c r="AM175" s="171"/>
      <c r="AN175" s="171"/>
      <c r="AO175" s="171"/>
      <c r="AP175" s="171"/>
      <c r="AQ175" s="171"/>
      <c r="AR175" s="171"/>
      <c r="AS175" s="171"/>
      <c r="AT175" s="171"/>
      <c r="AU175" s="172"/>
      <c r="AV175" s="172"/>
      <c r="AW175" s="173"/>
      <c r="AX175" s="173"/>
      <c r="AY175" s="173"/>
    </row>
    <row r="176" s="4" customFormat="1" ht="12" spans="1:51">
      <c r="A176" s="25"/>
      <c r="B176" s="138"/>
      <c r="C176" s="138"/>
      <c r="D176" s="138"/>
      <c r="E176" s="147"/>
      <c r="F176" s="125"/>
      <c r="G176" s="27"/>
      <c r="H176" s="27"/>
      <c r="I176" s="52"/>
      <c r="J176" s="27"/>
      <c r="K176" s="27"/>
      <c r="L176" s="27"/>
      <c r="M176" s="52"/>
      <c r="N176" s="27"/>
      <c r="O176" s="27"/>
      <c r="P176" s="27"/>
      <c r="Q176" s="52"/>
      <c r="R176" s="27"/>
      <c r="S176" s="27"/>
      <c r="T176" s="27"/>
      <c r="U176" s="52"/>
      <c r="V176" s="27"/>
      <c r="W176" s="27"/>
      <c r="X176" s="27"/>
      <c r="Y176" s="52"/>
      <c r="Z176" s="27"/>
      <c r="AA176" s="27"/>
      <c r="AB176" s="27"/>
      <c r="AC176" s="52"/>
      <c r="AD176" s="168"/>
      <c r="AE176" s="168"/>
      <c r="AF176" s="168"/>
      <c r="AG176" s="168"/>
      <c r="AH176" s="168"/>
      <c r="AI176" s="168"/>
      <c r="AJ176" s="169"/>
      <c r="AK176" s="169"/>
      <c r="AL176" s="170"/>
      <c r="AM176" s="171"/>
      <c r="AN176" s="171"/>
      <c r="AO176" s="171"/>
      <c r="AP176" s="171"/>
      <c r="AQ176" s="171"/>
      <c r="AR176" s="171"/>
      <c r="AS176" s="171"/>
      <c r="AT176" s="171"/>
      <c r="AU176" s="172"/>
      <c r="AV176" s="172"/>
      <c r="AW176" s="173"/>
      <c r="AX176" s="173"/>
      <c r="AY176" s="173"/>
    </row>
    <row r="177" s="4" customFormat="1" ht="12" spans="1:51">
      <c r="A177" s="36" t="s">
        <v>887</v>
      </c>
      <c r="B177" s="138"/>
      <c r="C177" s="138"/>
      <c r="D177" s="138"/>
      <c r="E177" s="147"/>
      <c r="F177" s="125"/>
      <c r="G177" s="27"/>
      <c r="H177" s="27"/>
      <c r="I177" s="52"/>
      <c r="J177" s="27"/>
      <c r="K177" s="27"/>
      <c r="L177" s="27"/>
      <c r="M177" s="52"/>
      <c r="N177" s="27"/>
      <c r="O177" s="27"/>
      <c r="P177" s="27"/>
      <c r="Q177" s="52"/>
      <c r="R177" s="27"/>
      <c r="S177" s="27"/>
      <c r="T177" s="27"/>
      <c r="U177" s="52"/>
      <c r="V177" s="27"/>
      <c r="W177" s="27"/>
      <c r="X177" s="27"/>
      <c r="Y177" s="52"/>
      <c r="Z177" s="27"/>
      <c r="AA177" s="27"/>
      <c r="AB177" s="27"/>
      <c r="AC177" s="52"/>
      <c r="AD177" s="168"/>
      <c r="AE177" s="168"/>
      <c r="AF177" s="168"/>
      <c r="AG177" s="168"/>
      <c r="AH177" s="168"/>
      <c r="AI177" s="168"/>
      <c r="AJ177" s="169"/>
      <c r="AK177" s="169"/>
      <c r="AL177" s="170"/>
      <c r="AM177" s="171"/>
      <c r="AN177" s="171"/>
      <c r="AO177" s="171"/>
      <c r="AP177" s="171"/>
      <c r="AQ177" s="171"/>
      <c r="AR177" s="171"/>
      <c r="AS177" s="171"/>
      <c r="AT177" s="171"/>
      <c r="AU177" s="172"/>
      <c r="AV177" s="172"/>
      <c r="AW177" s="173"/>
      <c r="AX177" s="173"/>
      <c r="AY177" s="173"/>
    </row>
    <row r="178" s="4" customFormat="1" ht="12" spans="1:51">
      <c r="A178" s="29" t="s">
        <v>855</v>
      </c>
      <c r="B178" s="138"/>
      <c r="C178" s="138"/>
      <c r="D178" s="138"/>
      <c r="E178" s="147"/>
      <c r="F178" s="125"/>
      <c r="G178" s="27"/>
      <c r="H178" s="27"/>
      <c r="I178" s="52"/>
      <c r="J178" s="27"/>
      <c r="K178" s="27"/>
      <c r="L178" s="27"/>
      <c r="M178" s="52"/>
      <c r="N178" s="27"/>
      <c r="O178" s="159">
        <f t="shared" ref="O178:Y180" si="246">+O159-O173</f>
        <v>755.7883596</v>
      </c>
      <c r="P178" s="159">
        <f t="shared" si="246"/>
        <v>755.7883596</v>
      </c>
      <c r="Q178" s="165">
        <f t="shared" si="246"/>
        <v>755.7883596</v>
      </c>
      <c r="R178" s="159">
        <f t="shared" si="246"/>
        <v>634.306676004</v>
      </c>
      <c r="S178" s="159">
        <f t="shared" si="246"/>
        <v>577.344776004</v>
      </c>
      <c r="T178" s="159">
        <f t="shared" si="246"/>
        <v>577.344776004</v>
      </c>
      <c r="U178" s="165">
        <f t="shared" si="246"/>
        <v>577.344776004</v>
      </c>
      <c r="V178" s="159">
        <f t="shared" si="246"/>
        <v>526.079066004</v>
      </c>
      <c r="W178" s="159">
        <f t="shared" si="246"/>
        <v>491.901926004</v>
      </c>
      <c r="X178" s="159">
        <f t="shared" si="246"/>
        <v>491.901926004</v>
      </c>
      <c r="Y178" s="165">
        <f t="shared" si="246"/>
        <v>491.901926004</v>
      </c>
      <c r="Z178" s="159">
        <f t="shared" ref="Z178:AC178" si="247">+Z159-Z173</f>
        <v>410.731218504</v>
      </c>
      <c r="AA178" s="159">
        <f t="shared" si="247"/>
        <v>410.731218504</v>
      </c>
      <c r="AB178" s="159">
        <f t="shared" si="247"/>
        <v>410.731218504</v>
      </c>
      <c r="AC178" s="165">
        <f t="shared" si="247"/>
        <v>410.731218504</v>
      </c>
      <c r="AD178" s="168"/>
      <c r="AE178" s="168"/>
      <c r="AF178" s="168"/>
      <c r="AG178" s="168"/>
      <c r="AH178" s="168"/>
      <c r="AI178" s="168"/>
      <c r="AJ178" s="169"/>
      <c r="AK178" s="169"/>
      <c r="AL178" s="170"/>
      <c r="AM178" s="171"/>
      <c r="AN178" s="171"/>
      <c r="AO178" s="171"/>
      <c r="AP178" s="171"/>
      <c r="AQ178" s="171"/>
      <c r="AR178" s="171"/>
      <c r="AS178" s="171"/>
      <c r="AT178" s="171"/>
      <c r="AU178" s="172"/>
      <c r="AV178" s="172"/>
      <c r="AW178" s="173"/>
      <c r="AX178" s="173"/>
      <c r="AY178" s="173"/>
    </row>
    <row r="179" s="4" customFormat="1" ht="12" spans="1:51">
      <c r="A179" s="29" t="s">
        <v>856</v>
      </c>
      <c r="B179" s="138"/>
      <c r="C179" s="138"/>
      <c r="D179" s="138"/>
      <c r="E179" s="147"/>
      <c r="F179" s="125"/>
      <c r="G179" s="27"/>
      <c r="H179" s="27"/>
      <c r="I179" s="52"/>
      <c r="J179" s="27"/>
      <c r="K179" s="27"/>
      <c r="L179" s="27"/>
      <c r="M179" s="52"/>
      <c r="N179" s="27"/>
      <c r="O179" s="159">
        <f t="shared" si="246"/>
        <v>1915.7964730385</v>
      </c>
      <c r="P179" s="159">
        <f t="shared" si="246"/>
        <v>1867.19538516271</v>
      </c>
      <c r="Q179" s="165">
        <f t="shared" si="246"/>
        <v>1906.89287275731</v>
      </c>
      <c r="R179" s="159">
        <f t="shared" si="246"/>
        <v>1756.36455339093</v>
      </c>
      <c r="S179" s="159">
        <f t="shared" si="246"/>
        <v>1363.89480785702</v>
      </c>
      <c r="T179" s="159">
        <f t="shared" si="246"/>
        <v>1347.00515593559</v>
      </c>
      <c r="U179" s="165">
        <f t="shared" si="246"/>
        <v>1329.94660749494</v>
      </c>
      <c r="V179" s="159">
        <f t="shared" si="246"/>
        <v>1150.70467534504</v>
      </c>
      <c r="W179" s="159">
        <f t="shared" si="246"/>
        <v>1092.88797783814</v>
      </c>
      <c r="X179" s="159">
        <f t="shared" si="246"/>
        <v>1125.98169828138</v>
      </c>
      <c r="Y179" s="165">
        <f t="shared" si="246"/>
        <v>1125.98169828138</v>
      </c>
      <c r="Z179" s="159">
        <f t="shared" ref="Z179:AC179" si="248">+Z160-Z174</f>
        <v>762.49336733294</v>
      </c>
      <c r="AA179" s="159">
        <f t="shared" si="248"/>
        <v>888.328929946304</v>
      </c>
      <c r="AB179" s="159">
        <f t="shared" si="248"/>
        <v>917.271109347378</v>
      </c>
      <c r="AC179" s="165">
        <f t="shared" si="248"/>
        <v>917.271109347378</v>
      </c>
      <c r="AD179" s="168"/>
      <c r="AE179" s="168"/>
      <c r="AF179" s="168"/>
      <c r="AG179" s="168"/>
      <c r="AH179" s="168"/>
      <c r="AI179" s="168"/>
      <c r="AJ179" s="169"/>
      <c r="AK179" s="169"/>
      <c r="AL179" s="170"/>
      <c r="AM179" s="171"/>
      <c r="AN179" s="171"/>
      <c r="AO179" s="171"/>
      <c r="AP179" s="171"/>
      <c r="AQ179" s="171"/>
      <c r="AR179" s="171"/>
      <c r="AS179" s="171"/>
      <c r="AT179" s="171"/>
      <c r="AU179" s="172"/>
      <c r="AV179" s="172"/>
      <c r="AW179" s="173"/>
      <c r="AX179" s="173"/>
      <c r="AY179" s="173"/>
    </row>
    <row r="180" s="4" customFormat="1" ht="12" spans="1:51">
      <c r="A180" s="29" t="s">
        <v>857</v>
      </c>
      <c r="B180" s="138"/>
      <c r="C180" s="138"/>
      <c r="D180" s="138"/>
      <c r="E180" s="147"/>
      <c r="F180" s="125"/>
      <c r="G180" s="27"/>
      <c r="H180" s="27"/>
      <c r="I180" s="52"/>
      <c r="J180" s="27"/>
      <c r="K180" s="27"/>
      <c r="L180" s="27"/>
      <c r="M180" s="52"/>
      <c r="N180" s="27"/>
      <c r="O180" s="159"/>
      <c r="P180" s="159">
        <f t="shared" si="246"/>
        <v>5544</v>
      </c>
      <c r="Q180" s="165">
        <f t="shared" si="246"/>
        <v>5544</v>
      </c>
      <c r="R180" s="159">
        <f t="shared" si="246"/>
        <v>5089.92</v>
      </c>
      <c r="S180" s="159">
        <f t="shared" si="246"/>
        <v>4134.08</v>
      </c>
      <c r="T180" s="159">
        <f t="shared" si="246"/>
        <v>4063.52</v>
      </c>
      <c r="U180" s="165">
        <f t="shared" si="246"/>
        <v>4027.5344</v>
      </c>
      <c r="V180" s="159">
        <f t="shared" si="246"/>
        <v>3600.225168</v>
      </c>
      <c r="W180" s="159">
        <f t="shared" si="246"/>
        <v>3722.9136912</v>
      </c>
      <c r="X180" s="159">
        <f t="shared" si="246"/>
        <v>3722.9136912</v>
      </c>
      <c r="Y180" s="165">
        <f t="shared" si="246"/>
        <v>3722.9136912</v>
      </c>
      <c r="Z180" s="159">
        <f t="shared" ref="Z180:AC180" si="249">+Z161-Z175</f>
        <v>2852.680360464</v>
      </c>
      <c r="AA180" s="159">
        <f t="shared" si="249"/>
        <v>3160.4573164176</v>
      </c>
      <c r="AB180" s="159">
        <f t="shared" si="249"/>
        <v>3160.4573164176</v>
      </c>
      <c r="AC180" s="165">
        <f t="shared" si="249"/>
        <v>3160.4573164176</v>
      </c>
      <c r="AD180" s="168"/>
      <c r="AE180" s="168"/>
      <c r="AF180" s="168"/>
      <c r="AG180" s="168"/>
      <c r="AH180" s="168"/>
      <c r="AI180" s="168"/>
      <c r="AJ180" s="169"/>
      <c r="AK180" s="169"/>
      <c r="AL180" s="170"/>
      <c r="AM180" s="171"/>
      <c r="AN180" s="171"/>
      <c r="AO180" s="171"/>
      <c r="AP180" s="171"/>
      <c r="AQ180" s="171"/>
      <c r="AR180" s="171"/>
      <c r="AS180" s="171"/>
      <c r="AT180" s="171"/>
      <c r="AU180" s="172"/>
      <c r="AV180" s="172"/>
      <c r="AW180" s="173"/>
      <c r="AX180" s="173"/>
      <c r="AY180" s="173"/>
    </row>
    <row r="181" s="4" customFormat="1" ht="12" spans="1:51">
      <c r="A181" s="25"/>
      <c r="B181" s="138"/>
      <c r="C181" s="138"/>
      <c r="D181" s="138"/>
      <c r="E181" s="147"/>
      <c r="F181" s="125"/>
      <c r="G181" s="27"/>
      <c r="H181" s="27"/>
      <c r="I181" s="52"/>
      <c r="J181" s="27"/>
      <c r="K181" s="27"/>
      <c r="L181" s="27"/>
      <c r="M181" s="52"/>
      <c r="N181" s="27"/>
      <c r="O181" s="27"/>
      <c r="P181" s="27"/>
      <c r="Q181" s="52"/>
      <c r="R181" s="27"/>
      <c r="S181" s="27"/>
      <c r="T181" s="27"/>
      <c r="U181" s="52"/>
      <c r="V181" s="27"/>
      <c r="W181" s="27"/>
      <c r="X181" s="27"/>
      <c r="Y181" s="52"/>
      <c r="Z181" s="27"/>
      <c r="AA181" s="27"/>
      <c r="AB181" s="27"/>
      <c r="AC181" s="52"/>
      <c r="AD181" s="168"/>
      <c r="AE181" s="168"/>
      <c r="AF181" s="168"/>
      <c r="AG181" s="168"/>
      <c r="AH181" s="168"/>
      <c r="AI181" s="168"/>
      <c r="AJ181" s="169"/>
      <c r="AK181" s="169"/>
      <c r="AL181" s="170"/>
      <c r="AM181" s="171"/>
      <c r="AN181" s="171"/>
      <c r="AO181" s="171"/>
      <c r="AP181" s="171"/>
      <c r="AQ181" s="171"/>
      <c r="AR181" s="171"/>
      <c r="AS181" s="171"/>
      <c r="AT181" s="171"/>
      <c r="AU181" s="172"/>
      <c r="AV181" s="172"/>
      <c r="AW181" s="173"/>
      <c r="AX181" s="173"/>
      <c r="AY181" s="173"/>
    </row>
    <row r="182" s="4" customFormat="1" ht="12" spans="1:51">
      <c r="A182" s="22" t="s">
        <v>888</v>
      </c>
      <c r="B182" s="138"/>
      <c r="C182" s="138"/>
      <c r="D182" s="138"/>
      <c r="E182" s="147"/>
      <c r="F182" s="125"/>
      <c r="G182" s="27"/>
      <c r="H182" s="27"/>
      <c r="I182" s="52"/>
      <c r="J182" s="27"/>
      <c r="K182" s="27"/>
      <c r="L182" s="27"/>
      <c r="M182" s="52"/>
      <c r="N182" s="27"/>
      <c r="O182" s="27"/>
      <c r="P182" s="27"/>
      <c r="Q182" s="52"/>
      <c r="R182" s="27"/>
      <c r="S182" s="27"/>
      <c r="T182" s="27"/>
      <c r="U182" s="52"/>
      <c r="V182" s="27"/>
      <c r="W182" s="27"/>
      <c r="X182" s="27"/>
      <c r="Y182" s="52"/>
      <c r="Z182" s="27"/>
      <c r="AA182" s="27"/>
      <c r="AB182" s="27"/>
      <c r="AC182" s="52"/>
      <c r="AD182" s="168"/>
      <c r="AE182" s="168"/>
      <c r="AF182" s="168"/>
      <c r="AG182" s="168"/>
      <c r="AH182" s="168"/>
      <c r="AI182" s="168"/>
      <c r="AJ182" s="169"/>
      <c r="AK182" s="169"/>
      <c r="AL182" s="170"/>
      <c r="AM182" s="171"/>
      <c r="AN182" s="171"/>
      <c r="AO182" s="171"/>
      <c r="AP182" s="171"/>
      <c r="AQ182" s="171"/>
      <c r="AR182" s="171"/>
      <c r="AS182" s="171"/>
      <c r="AT182" s="171"/>
      <c r="AU182" s="172"/>
      <c r="AV182" s="172"/>
      <c r="AW182" s="173"/>
      <c r="AX182" s="173"/>
      <c r="AY182" s="173"/>
    </row>
    <row r="183" s="4" customFormat="1" ht="12" spans="1:51">
      <c r="A183" s="29" t="s">
        <v>855</v>
      </c>
      <c r="B183" s="138"/>
      <c r="C183" s="138"/>
      <c r="D183" s="138"/>
      <c r="E183" s="147"/>
      <c r="F183" s="125"/>
      <c r="G183" s="27"/>
      <c r="H183" s="27"/>
      <c r="I183" s="52"/>
      <c r="J183" s="27"/>
      <c r="K183" s="27"/>
      <c r="L183" s="27"/>
      <c r="M183" s="52"/>
      <c r="N183" s="27"/>
      <c r="O183" s="27">
        <f t="shared" ref="O183:Y185" si="250">+O178/O159</f>
        <v>0.398049411764706</v>
      </c>
      <c r="P183" s="27">
        <f t="shared" si="250"/>
        <v>0.398049411764706</v>
      </c>
      <c r="Q183" s="52">
        <f t="shared" si="250"/>
        <v>0.398049411764706</v>
      </c>
      <c r="R183" s="27">
        <f t="shared" si="250"/>
        <v>0.359213889943074</v>
      </c>
      <c r="S183" s="27">
        <f t="shared" si="250"/>
        <v>0.337854352941177</v>
      </c>
      <c r="T183" s="27">
        <f t="shared" si="250"/>
        <v>0.337854352941177</v>
      </c>
      <c r="U183" s="52">
        <f t="shared" si="250"/>
        <v>0.337854352941177</v>
      </c>
      <c r="V183" s="27">
        <f t="shared" si="250"/>
        <v>0.317375621588842</v>
      </c>
      <c r="W183" s="27">
        <f t="shared" si="250"/>
        <v>0.303004582043344</v>
      </c>
      <c r="X183" s="27">
        <f t="shared" si="250"/>
        <v>0.303004582043344</v>
      </c>
      <c r="Y183" s="52">
        <f t="shared" si="250"/>
        <v>0.303004582043344</v>
      </c>
      <c r="Z183" s="27">
        <f t="shared" ref="Z183:AC183" si="251">+Z178/Z159</f>
        <v>0.266320612677204</v>
      </c>
      <c r="AA183" s="27">
        <f t="shared" si="251"/>
        <v>0.266320612677204</v>
      </c>
      <c r="AB183" s="27">
        <f t="shared" si="251"/>
        <v>0.266320612677204</v>
      </c>
      <c r="AC183" s="52">
        <f t="shared" si="251"/>
        <v>0.266320612677204</v>
      </c>
      <c r="AD183" s="168"/>
      <c r="AE183" s="168"/>
      <c r="AF183" s="168"/>
      <c r="AG183" s="168"/>
      <c r="AH183" s="168"/>
      <c r="AI183" s="168"/>
      <c r="AJ183" s="169"/>
      <c r="AK183" s="169"/>
      <c r="AL183" s="170"/>
      <c r="AM183" s="171"/>
      <c r="AN183" s="171"/>
      <c r="AO183" s="171"/>
      <c r="AP183" s="171"/>
      <c r="AQ183" s="171"/>
      <c r="AR183" s="171"/>
      <c r="AS183" s="171"/>
      <c r="AT183" s="171"/>
      <c r="AU183" s="172"/>
      <c r="AV183" s="172"/>
      <c r="AW183" s="173"/>
      <c r="AX183" s="173"/>
      <c r="AY183" s="173"/>
    </row>
    <row r="184" s="4" customFormat="1" ht="12" spans="1:51">
      <c r="A184" s="29" t="s">
        <v>856</v>
      </c>
      <c r="B184" s="138"/>
      <c r="C184" s="138"/>
      <c r="D184" s="138"/>
      <c r="E184" s="147"/>
      <c r="F184" s="125"/>
      <c r="G184" s="27"/>
      <c r="H184" s="27"/>
      <c r="I184" s="52"/>
      <c r="J184" s="27"/>
      <c r="K184" s="27"/>
      <c r="L184" s="27"/>
      <c r="M184" s="52"/>
      <c r="N184" s="27"/>
      <c r="O184" s="27">
        <f>+O179/O160</f>
        <v>0.514584064743085</v>
      </c>
      <c r="P184" s="27">
        <f t="shared" si="250"/>
        <v>0.501529783820228</v>
      </c>
      <c r="Q184" s="52">
        <f t="shared" si="250"/>
        <v>0.512192552446228</v>
      </c>
      <c r="R184" s="27">
        <f t="shared" si="250"/>
        <v>0.507269416036589</v>
      </c>
      <c r="S184" s="27">
        <f t="shared" si="250"/>
        <v>0.446759696762058</v>
      </c>
      <c r="T184" s="27">
        <f t="shared" si="250"/>
        <v>0.441227293729679</v>
      </c>
      <c r="U184" s="52">
        <f t="shared" si="250"/>
        <v>0.435639566666976</v>
      </c>
      <c r="V184" s="27">
        <f t="shared" si="250"/>
        <v>0.40529760788563</v>
      </c>
      <c r="W184" s="27">
        <f t="shared" si="250"/>
        <v>0.397764710918848</v>
      </c>
      <c r="X184" s="27">
        <f t="shared" si="250"/>
        <v>0.409809416700471</v>
      </c>
      <c r="Y184" s="52">
        <f t="shared" si="250"/>
        <v>0.409809416700471</v>
      </c>
      <c r="Z184" s="27">
        <f t="shared" ref="Z184:AC184" si="252">+Z179/Z160</f>
        <v>0.326488393175832</v>
      </c>
      <c r="AA184" s="27">
        <f t="shared" si="252"/>
        <v>0.380369321721766</v>
      </c>
      <c r="AB184" s="27">
        <f t="shared" si="252"/>
        <v>0.39276193528733</v>
      </c>
      <c r="AC184" s="52">
        <f t="shared" si="252"/>
        <v>0.39276193528733</v>
      </c>
      <c r="AD184" s="168"/>
      <c r="AE184" s="168"/>
      <c r="AF184" s="168"/>
      <c r="AG184" s="168"/>
      <c r="AH184" s="168"/>
      <c r="AI184" s="168"/>
      <c r="AJ184" s="169"/>
      <c r="AK184" s="169"/>
      <c r="AL184" s="170"/>
      <c r="AM184" s="171"/>
      <c r="AN184" s="171"/>
      <c r="AO184" s="171"/>
      <c r="AP184" s="171"/>
      <c r="AQ184" s="171"/>
      <c r="AR184" s="171"/>
      <c r="AS184" s="171"/>
      <c r="AT184" s="171"/>
      <c r="AU184" s="172"/>
      <c r="AV184" s="172"/>
      <c r="AW184" s="173"/>
      <c r="AX184" s="173"/>
      <c r="AY184" s="173"/>
    </row>
    <row r="185" s="4" customFormat="1" ht="12" spans="1:51">
      <c r="A185" s="29" t="s">
        <v>857</v>
      </c>
      <c r="B185" s="138"/>
      <c r="C185" s="138"/>
      <c r="D185" s="138"/>
      <c r="E185" s="147"/>
      <c r="F185" s="125"/>
      <c r="G185" s="27"/>
      <c r="H185" s="27"/>
      <c r="I185" s="52"/>
      <c r="J185" s="27"/>
      <c r="K185" s="27"/>
      <c r="L185" s="27"/>
      <c r="M185" s="52"/>
      <c r="N185" s="27"/>
      <c r="O185" s="27"/>
      <c r="P185" s="27">
        <f t="shared" si="250"/>
        <v>0.593321917808219</v>
      </c>
      <c r="Q185" s="52">
        <f t="shared" si="250"/>
        <v>0.593321917808219</v>
      </c>
      <c r="R185" s="27">
        <f t="shared" si="250"/>
        <v>0.58572691117985</v>
      </c>
      <c r="S185" s="27">
        <f t="shared" si="250"/>
        <v>0.539550618108921</v>
      </c>
      <c r="T185" s="27">
        <f t="shared" si="250"/>
        <v>0.530341630471099</v>
      </c>
      <c r="U185" s="52">
        <f t="shared" si="250"/>
        <v>0.52564504677581</v>
      </c>
      <c r="V185" s="27">
        <f t="shared" si="250"/>
        <v>0.505242683196275</v>
      </c>
      <c r="W185" s="27">
        <f t="shared" si="250"/>
        <v>0.539875695372536</v>
      </c>
      <c r="X185" s="27">
        <f t="shared" si="250"/>
        <v>0.539875695372536</v>
      </c>
      <c r="Y185" s="52">
        <f t="shared" si="250"/>
        <v>0.539875695372536</v>
      </c>
      <c r="Z185" s="27">
        <f t="shared" ref="Z185:AC185" si="253">+Z180/Z161</f>
        <v>0.481022586641116</v>
      </c>
      <c r="AA185" s="27">
        <f t="shared" si="253"/>
        <v>0.532920327977005</v>
      </c>
      <c r="AB185" s="27">
        <f t="shared" si="253"/>
        <v>0.532920327977005</v>
      </c>
      <c r="AC185" s="52">
        <f t="shared" si="253"/>
        <v>0.532920327977005</v>
      </c>
      <c r="AD185" s="168"/>
      <c r="AE185" s="168"/>
      <c r="AF185" s="168"/>
      <c r="AG185" s="168"/>
      <c r="AH185" s="168"/>
      <c r="AI185" s="168"/>
      <c r="AJ185" s="169"/>
      <c r="AK185" s="169"/>
      <c r="AL185" s="170"/>
      <c r="AM185" s="171"/>
      <c r="AN185" s="171"/>
      <c r="AO185" s="171"/>
      <c r="AP185" s="171"/>
      <c r="AQ185" s="171"/>
      <c r="AR185" s="171"/>
      <c r="AS185" s="171"/>
      <c r="AT185" s="171"/>
      <c r="AU185" s="172"/>
      <c r="AV185" s="172"/>
      <c r="AW185" s="173"/>
      <c r="AX185" s="173"/>
      <c r="AY185" s="173"/>
    </row>
    <row r="186" s="4" customFormat="1" ht="12" spans="1:51">
      <c r="A186" s="25"/>
      <c r="B186" s="138"/>
      <c r="C186" s="138"/>
      <c r="D186" s="138"/>
      <c r="E186" s="147"/>
      <c r="F186" s="125"/>
      <c r="G186" s="27"/>
      <c r="H186" s="27"/>
      <c r="I186" s="52"/>
      <c r="J186" s="27"/>
      <c r="K186" s="27"/>
      <c r="L186" s="27"/>
      <c r="M186" s="52"/>
      <c r="N186" s="27"/>
      <c r="O186" s="27"/>
      <c r="P186" s="27"/>
      <c r="Q186" s="52"/>
      <c r="R186" s="27"/>
      <c r="S186" s="27"/>
      <c r="T186" s="27"/>
      <c r="U186" s="52"/>
      <c r="V186" s="27"/>
      <c r="W186" s="27"/>
      <c r="X186" s="27"/>
      <c r="Y186" s="52"/>
      <c r="Z186" s="27"/>
      <c r="AA186" s="27"/>
      <c r="AB186" s="27"/>
      <c r="AC186" s="52"/>
      <c r="AD186" s="168"/>
      <c r="AE186" s="168"/>
      <c r="AF186" s="168"/>
      <c r="AG186" s="168"/>
      <c r="AH186" s="168"/>
      <c r="AI186" s="168"/>
      <c r="AJ186" s="169"/>
      <c r="AK186" s="169"/>
      <c r="AL186" s="170"/>
      <c r="AM186" s="171"/>
      <c r="AN186" s="171"/>
      <c r="AO186" s="171"/>
      <c r="AP186" s="171"/>
      <c r="AQ186" s="171"/>
      <c r="AR186" s="171"/>
      <c r="AS186" s="171"/>
      <c r="AT186" s="171"/>
      <c r="AU186" s="172"/>
      <c r="AV186" s="172"/>
      <c r="AW186" s="173"/>
      <c r="AX186" s="173"/>
      <c r="AY186" s="173"/>
    </row>
    <row r="187" s="4" customFormat="1" ht="12" spans="1:51">
      <c r="A187" s="22" t="s">
        <v>889</v>
      </c>
      <c r="B187" s="138"/>
      <c r="C187" s="138"/>
      <c r="D187" s="138"/>
      <c r="E187" s="147"/>
      <c r="F187" s="125"/>
      <c r="G187" s="27"/>
      <c r="H187" s="27"/>
      <c r="I187" s="52"/>
      <c r="J187" s="27"/>
      <c r="K187" s="27"/>
      <c r="L187" s="27"/>
      <c r="M187" s="52"/>
      <c r="N187" s="27"/>
      <c r="O187" s="27"/>
      <c r="P187" s="27"/>
      <c r="Q187" s="52"/>
      <c r="R187" s="27"/>
      <c r="S187" s="27"/>
      <c r="T187" s="27"/>
      <c r="U187" s="52"/>
      <c r="V187" s="27"/>
      <c r="W187" s="27"/>
      <c r="X187" s="27"/>
      <c r="Y187" s="52"/>
      <c r="Z187" s="27"/>
      <c r="AA187" s="27"/>
      <c r="AB187" s="27"/>
      <c r="AC187" s="52"/>
      <c r="AD187" s="168"/>
      <c r="AE187" s="168"/>
      <c r="AF187" s="168"/>
      <c r="AG187" s="168"/>
      <c r="AH187" s="168"/>
      <c r="AI187" s="168"/>
      <c r="AJ187" s="169"/>
      <c r="AK187" s="169"/>
      <c r="AL187" s="170"/>
      <c r="AM187" s="171"/>
      <c r="AN187" s="171"/>
      <c r="AO187" s="171"/>
      <c r="AP187" s="171"/>
      <c r="AQ187" s="171"/>
      <c r="AR187" s="171"/>
      <c r="AS187" s="171"/>
      <c r="AT187" s="171"/>
      <c r="AU187" s="172"/>
      <c r="AV187" s="172"/>
      <c r="AW187" s="173"/>
      <c r="AX187" s="173"/>
      <c r="AY187" s="173"/>
    </row>
    <row r="188" s="4" customFormat="1" ht="12" spans="1:51">
      <c r="A188" s="29" t="s">
        <v>855</v>
      </c>
      <c r="B188" s="138"/>
      <c r="C188" s="138"/>
      <c r="D188" s="138"/>
      <c r="E188" s="147"/>
      <c r="F188" s="125"/>
      <c r="G188" s="27"/>
      <c r="H188" s="27"/>
      <c r="I188" s="52"/>
      <c r="J188" s="27"/>
      <c r="K188" s="27"/>
      <c r="L188" s="27"/>
      <c r="M188" s="52"/>
      <c r="N188" s="27"/>
      <c r="O188" s="33">
        <f t="shared" ref="O188:Y190" si="254">+O178*O149</f>
        <v>0</v>
      </c>
      <c r="P188" s="33">
        <f t="shared" si="254"/>
        <v>0</v>
      </c>
      <c r="Q188" s="57">
        <f t="shared" si="254"/>
        <v>0</v>
      </c>
      <c r="R188" s="33">
        <f t="shared" si="254"/>
        <v>0</v>
      </c>
      <c r="S188" s="33">
        <f t="shared" si="254"/>
        <v>0</v>
      </c>
      <c r="T188" s="33">
        <f t="shared" si="254"/>
        <v>0</v>
      </c>
      <c r="U188" s="57">
        <f t="shared" si="254"/>
        <v>0</v>
      </c>
      <c r="V188" s="33">
        <f t="shared" si="254"/>
        <v>0</v>
      </c>
      <c r="W188" s="33">
        <f t="shared" si="254"/>
        <v>0</v>
      </c>
      <c r="X188" s="33">
        <f t="shared" si="254"/>
        <v>0</v>
      </c>
      <c r="Y188" s="57">
        <f t="shared" si="254"/>
        <v>0</v>
      </c>
      <c r="Z188" s="33">
        <f t="shared" ref="Z188:AC188" si="255">+Z178*Z149</f>
        <v>0</v>
      </c>
      <c r="AA188" s="33">
        <f t="shared" si="255"/>
        <v>0</v>
      </c>
      <c r="AB188" s="33">
        <f t="shared" si="255"/>
        <v>0</v>
      </c>
      <c r="AC188" s="57">
        <f t="shared" si="255"/>
        <v>0</v>
      </c>
      <c r="AD188" s="168"/>
      <c r="AE188" s="168"/>
      <c r="AF188" s="168"/>
      <c r="AG188" s="168"/>
      <c r="AH188" s="168"/>
      <c r="AI188" s="168"/>
      <c r="AJ188" s="169"/>
      <c r="AK188" s="169"/>
      <c r="AL188" s="170"/>
      <c r="AM188" s="171"/>
      <c r="AN188" s="171"/>
      <c r="AO188" s="171"/>
      <c r="AP188" s="171"/>
      <c r="AQ188" s="171"/>
      <c r="AR188" s="171"/>
      <c r="AS188" s="171"/>
      <c r="AT188" s="171"/>
      <c r="AU188" s="172"/>
      <c r="AV188" s="172"/>
      <c r="AW188" s="173"/>
      <c r="AX188" s="173"/>
      <c r="AY188" s="173"/>
    </row>
    <row r="189" s="4" customFormat="1" ht="12" spans="1:51">
      <c r="A189" s="29" t="s">
        <v>856</v>
      </c>
      <c r="B189" s="138"/>
      <c r="C189" s="138"/>
      <c r="D189" s="138"/>
      <c r="E189" s="147"/>
      <c r="F189" s="125"/>
      <c r="G189" s="27"/>
      <c r="H189" s="27"/>
      <c r="I189" s="52"/>
      <c r="J189" s="27"/>
      <c r="K189" s="27"/>
      <c r="L189" s="27"/>
      <c r="M189" s="52"/>
      <c r="N189" s="27"/>
      <c r="O189" s="33">
        <f t="shared" si="254"/>
        <v>0</v>
      </c>
      <c r="P189" s="33">
        <f t="shared" si="254"/>
        <v>0</v>
      </c>
      <c r="Q189" s="57">
        <f t="shared" si="254"/>
        <v>0</v>
      </c>
      <c r="R189" s="33">
        <f t="shared" si="254"/>
        <v>0</v>
      </c>
      <c r="S189" s="33">
        <f t="shared" si="254"/>
        <v>0</v>
      </c>
      <c r="T189" s="33">
        <f t="shared" si="254"/>
        <v>0</v>
      </c>
      <c r="U189" s="57">
        <f t="shared" si="254"/>
        <v>0</v>
      </c>
      <c r="V189" s="33">
        <f t="shared" si="254"/>
        <v>0</v>
      </c>
      <c r="W189" s="33">
        <f t="shared" si="254"/>
        <v>0</v>
      </c>
      <c r="X189" s="33">
        <f t="shared" si="254"/>
        <v>0</v>
      </c>
      <c r="Y189" s="57">
        <f t="shared" si="254"/>
        <v>0</v>
      </c>
      <c r="Z189" s="33">
        <f t="shared" ref="Z189:AC189" si="256">+Z179*Z150</f>
        <v>0</v>
      </c>
      <c r="AA189" s="33">
        <f t="shared" si="256"/>
        <v>0</v>
      </c>
      <c r="AB189" s="33">
        <f t="shared" si="256"/>
        <v>0</v>
      </c>
      <c r="AC189" s="57">
        <f t="shared" si="256"/>
        <v>0</v>
      </c>
      <c r="AD189" s="168"/>
      <c r="AE189" s="168"/>
      <c r="AF189" s="168"/>
      <c r="AG189" s="168"/>
      <c r="AH189" s="168"/>
      <c r="AI189" s="168"/>
      <c r="AJ189" s="169"/>
      <c r="AK189" s="169"/>
      <c r="AL189" s="170"/>
      <c r="AM189" s="171"/>
      <c r="AN189" s="171"/>
      <c r="AO189" s="171"/>
      <c r="AP189" s="171"/>
      <c r="AQ189" s="171"/>
      <c r="AR189" s="171"/>
      <c r="AS189" s="171"/>
      <c r="AT189" s="171"/>
      <c r="AU189" s="172"/>
      <c r="AV189" s="172"/>
      <c r="AW189" s="173"/>
      <c r="AX189" s="173"/>
      <c r="AY189" s="173"/>
    </row>
    <row r="190" s="4" customFormat="1" spans="1:51">
      <c r="A190" s="140" t="s">
        <v>857</v>
      </c>
      <c r="B190" s="141"/>
      <c r="C190" s="141"/>
      <c r="D190" s="141"/>
      <c r="E190" s="149"/>
      <c r="F190" s="150"/>
      <c r="G190" s="151"/>
      <c r="H190" s="151"/>
      <c r="I190" s="154"/>
      <c r="J190" s="151"/>
      <c r="K190" s="151"/>
      <c r="L190" s="151"/>
      <c r="M190" s="154"/>
      <c r="N190" s="151"/>
      <c r="O190" s="160">
        <f t="shared" si="254"/>
        <v>0</v>
      </c>
      <c r="P190" s="160">
        <f t="shared" si="254"/>
        <v>0</v>
      </c>
      <c r="Q190" s="166">
        <f t="shared" si="254"/>
        <v>0</v>
      </c>
      <c r="R190" s="160">
        <f t="shared" si="254"/>
        <v>0</v>
      </c>
      <c r="S190" s="160">
        <f t="shared" si="254"/>
        <v>0</v>
      </c>
      <c r="T190" s="160">
        <f t="shared" si="254"/>
        <v>0</v>
      </c>
      <c r="U190" s="166">
        <f t="shared" si="254"/>
        <v>0</v>
      </c>
      <c r="V190" s="160">
        <f t="shared" si="254"/>
        <v>0</v>
      </c>
      <c r="W190" s="160">
        <f t="shared" si="254"/>
        <v>0</v>
      </c>
      <c r="X190" s="160">
        <f t="shared" si="254"/>
        <v>0</v>
      </c>
      <c r="Y190" s="166">
        <f t="shared" si="254"/>
        <v>0</v>
      </c>
      <c r="Z190" s="160">
        <f t="shared" ref="Z190:AC190" si="257">+Z180*Z151</f>
        <v>0</v>
      </c>
      <c r="AA190" s="160">
        <f t="shared" si="257"/>
        <v>0</v>
      </c>
      <c r="AB190" s="160">
        <f t="shared" si="257"/>
        <v>0</v>
      </c>
      <c r="AC190" s="166">
        <f t="shared" si="257"/>
        <v>0</v>
      </c>
      <c r="AD190" s="168"/>
      <c r="AE190" s="168"/>
      <c r="AF190" s="168"/>
      <c r="AG190" s="168"/>
      <c r="AH190" s="168"/>
      <c r="AI190" s="168"/>
      <c r="AJ190" s="169"/>
      <c r="AK190" s="169"/>
      <c r="AL190" s="170"/>
      <c r="AM190" s="171"/>
      <c r="AN190" s="171"/>
      <c r="AO190" s="171"/>
      <c r="AP190" s="171"/>
      <c r="AQ190" s="171"/>
      <c r="AR190" s="171"/>
      <c r="AS190" s="171"/>
      <c r="AT190" s="171"/>
      <c r="AU190" s="172"/>
      <c r="AV190" s="172"/>
      <c r="AW190" s="173"/>
      <c r="AX190" s="173"/>
      <c r="AY190" s="173"/>
    </row>
    <row r="191" s="4" customFormat="1" spans="1:51">
      <c r="A191" s="29"/>
      <c r="B191" s="138"/>
      <c r="C191" s="138"/>
      <c r="D191" s="138"/>
      <c r="E191" s="147"/>
      <c r="F191" s="125"/>
      <c r="G191" s="27"/>
      <c r="H191" s="27"/>
      <c r="I191" s="52"/>
      <c r="J191" s="27"/>
      <c r="K191" s="27"/>
      <c r="L191" s="27"/>
      <c r="M191" s="52"/>
      <c r="N191" s="27"/>
      <c r="O191" s="33"/>
      <c r="P191" s="33"/>
      <c r="Q191" s="57"/>
      <c r="R191" s="33"/>
      <c r="S191" s="33"/>
      <c r="T191" s="33"/>
      <c r="U191" s="167"/>
      <c r="V191" s="33"/>
      <c r="W191" s="33"/>
      <c r="X191" s="33"/>
      <c r="Y191" s="57"/>
      <c r="Z191" s="33"/>
      <c r="AA191" s="33"/>
      <c r="AB191" s="33"/>
      <c r="AC191" s="57"/>
      <c r="AD191" s="168"/>
      <c r="AE191" s="168"/>
      <c r="AF191" s="168"/>
      <c r="AG191" s="168"/>
      <c r="AH191" s="168"/>
      <c r="AI191" s="168"/>
      <c r="AJ191" s="169"/>
      <c r="AK191" s="169"/>
      <c r="AL191" s="170"/>
      <c r="AM191" s="171"/>
      <c r="AN191" s="171"/>
      <c r="AO191" s="171"/>
      <c r="AP191" s="171"/>
      <c r="AQ191" s="171"/>
      <c r="AR191" s="171"/>
      <c r="AS191" s="171"/>
      <c r="AT191" s="171"/>
      <c r="AU191" s="172"/>
      <c r="AV191" s="172"/>
      <c r="AW191" s="173"/>
      <c r="AX191" s="173"/>
      <c r="AY191" s="173"/>
    </row>
    <row r="192" s="4" customFormat="1" ht="12" spans="1:51">
      <c r="A192" s="29" t="s">
        <v>890</v>
      </c>
      <c r="B192" s="138"/>
      <c r="C192" s="138"/>
      <c r="D192" s="138"/>
      <c r="E192" s="147"/>
      <c r="F192" s="125"/>
      <c r="G192" s="27"/>
      <c r="H192" s="27"/>
      <c r="I192" s="52"/>
      <c r="J192" s="27"/>
      <c r="K192" s="27"/>
      <c r="L192" s="27"/>
      <c r="M192" s="52"/>
      <c r="N192" s="27"/>
      <c r="O192" s="33"/>
      <c r="P192" s="33"/>
      <c r="Q192" s="57"/>
      <c r="R192" s="33"/>
      <c r="S192" s="33"/>
      <c r="T192" s="33"/>
      <c r="U192" s="57"/>
      <c r="V192" s="33"/>
      <c r="W192" s="33"/>
      <c r="X192" s="33"/>
      <c r="Y192" s="57"/>
      <c r="Z192" s="33"/>
      <c r="AA192" s="33"/>
      <c r="AB192" s="33"/>
      <c r="AC192" s="57"/>
      <c r="AD192" s="168"/>
      <c r="AE192" s="168"/>
      <c r="AF192" s="168"/>
      <c r="AG192" s="168"/>
      <c r="AH192" s="168"/>
      <c r="AI192" s="168"/>
      <c r="AJ192" s="169"/>
      <c r="AK192" s="169"/>
      <c r="AL192" s="170"/>
      <c r="AM192" s="171"/>
      <c r="AN192" s="171"/>
      <c r="AO192" s="171"/>
      <c r="AP192" s="171"/>
      <c r="AQ192" s="171"/>
      <c r="AR192" s="171"/>
      <c r="AS192" s="171"/>
      <c r="AT192" s="171"/>
      <c r="AU192" s="172"/>
      <c r="AV192" s="172"/>
      <c r="AW192" s="173"/>
      <c r="AX192" s="173"/>
      <c r="AY192" s="173"/>
    </row>
    <row r="193" s="4" customFormat="1" ht="12" spans="1:51">
      <c r="A193" s="29" t="s">
        <v>726</v>
      </c>
      <c r="B193" s="138"/>
      <c r="C193" s="138"/>
      <c r="D193" s="138"/>
      <c r="E193" s="147"/>
      <c r="F193" s="125"/>
      <c r="G193" s="27"/>
      <c r="H193" s="27"/>
      <c r="I193" s="52"/>
      <c r="J193" s="27"/>
      <c r="K193" s="27"/>
      <c r="L193" s="27"/>
      <c r="M193" s="52"/>
      <c r="N193" s="27"/>
      <c r="O193" s="33">
        <f>+O143</f>
        <v>0</v>
      </c>
      <c r="P193" s="33">
        <f t="shared" ref="P193:Y193" si="258">+P143</f>
        <v>0</v>
      </c>
      <c r="Q193" s="57">
        <f t="shared" si="258"/>
        <v>0</v>
      </c>
      <c r="R193" s="33">
        <f t="shared" si="258"/>
        <v>0</v>
      </c>
      <c r="S193" s="33">
        <f t="shared" si="258"/>
        <v>0</v>
      </c>
      <c r="T193" s="33">
        <f t="shared" si="258"/>
        <v>0</v>
      </c>
      <c r="U193" s="57">
        <f t="shared" si="258"/>
        <v>0</v>
      </c>
      <c r="V193" s="33">
        <f t="shared" si="258"/>
        <v>0</v>
      </c>
      <c r="W193" s="33">
        <f t="shared" si="258"/>
        <v>0</v>
      </c>
      <c r="X193" s="33">
        <f t="shared" si="258"/>
        <v>0</v>
      </c>
      <c r="Y193" s="57">
        <f t="shared" si="258"/>
        <v>0</v>
      </c>
      <c r="Z193" s="33">
        <f t="shared" ref="Z193:AC193" si="259">+Z143</f>
        <v>0</v>
      </c>
      <c r="AA193" s="33">
        <f t="shared" si="259"/>
        <v>0</v>
      </c>
      <c r="AB193" s="33">
        <f t="shared" si="259"/>
        <v>0</v>
      </c>
      <c r="AC193" s="57">
        <f t="shared" si="259"/>
        <v>0</v>
      </c>
      <c r="AD193" s="168"/>
      <c r="AE193" s="168"/>
      <c r="AF193" s="168"/>
      <c r="AG193" s="168"/>
      <c r="AH193" s="168"/>
      <c r="AI193" s="168"/>
      <c r="AJ193" s="169"/>
      <c r="AK193" s="169"/>
      <c r="AL193" s="170"/>
      <c r="AM193" s="171"/>
      <c r="AN193" s="171"/>
      <c r="AO193" s="171"/>
      <c r="AP193" s="171"/>
      <c r="AQ193" s="171"/>
      <c r="AR193" s="171"/>
      <c r="AS193" s="171"/>
      <c r="AT193" s="171"/>
      <c r="AU193" s="172"/>
      <c r="AV193" s="172"/>
      <c r="AW193" s="173"/>
      <c r="AX193" s="173"/>
      <c r="AY193" s="173"/>
    </row>
    <row r="194" s="4" customFormat="1" ht="12" spans="1:51">
      <c r="A194" s="29" t="s">
        <v>804</v>
      </c>
      <c r="B194" s="138"/>
      <c r="C194" s="138"/>
      <c r="D194" s="138"/>
      <c r="E194" s="147"/>
      <c r="F194" s="125"/>
      <c r="G194" s="27"/>
      <c r="H194" s="27"/>
      <c r="I194" s="52"/>
      <c r="J194" s="27"/>
      <c r="K194" s="27"/>
      <c r="L194" s="27"/>
      <c r="M194" s="52"/>
      <c r="N194" s="27"/>
      <c r="O194" s="27">
        <v>0.03</v>
      </c>
      <c r="P194" s="27">
        <v>0.03</v>
      </c>
      <c r="Q194" s="52">
        <v>0.03</v>
      </c>
      <c r="R194" s="27">
        <v>0.03</v>
      </c>
      <c r="S194" s="27">
        <v>0.03</v>
      </c>
      <c r="T194" s="27">
        <v>0.03</v>
      </c>
      <c r="U194" s="52">
        <v>0.03</v>
      </c>
      <c r="V194" s="27">
        <v>0.03</v>
      </c>
      <c r="W194" s="27">
        <v>0.03</v>
      </c>
      <c r="X194" s="27">
        <v>0.03</v>
      </c>
      <c r="Y194" s="52">
        <v>0.03</v>
      </c>
      <c r="Z194" s="27">
        <v>0.03</v>
      </c>
      <c r="AA194" s="27">
        <v>0.03</v>
      </c>
      <c r="AB194" s="27">
        <v>0.03</v>
      </c>
      <c r="AC194" s="52">
        <v>0.03</v>
      </c>
      <c r="AD194" s="168"/>
      <c r="AE194" s="168"/>
      <c r="AF194" s="168"/>
      <c r="AG194" s="168"/>
      <c r="AH194" s="168"/>
      <c r="AI194" s="168"/>
      <c r="AJ194" s="169"/>
      <c r="AK194" s="169"/>
      <c r="AL194" s="170"/>
      <c r="AM194" s="171"/>
      <c r="AN194" s="171"/>
      <c r="AO194" s="171"/>
      <c r="AP194" s="171"/>
      <c r="AQ194" s="171"/>
      <c r="AR194" s="171"/>
      <c r="AS194" s="171"/>
      <c r="AT194" s="171"/>
      <c r="AU194" s="172"/>
      <c r="AV194" s="172"/>
      <c r="AW194" s="173"/>
      <c r="AX194" s="173"/>
      <c r="AY194" s="173"/>
    </row>
    <row r="195" s="4" customFormat="1" ht="12" spans="1:51">
      <c r="A195" s="29" t="s">
        <v>891</v>
      </c>
      <c r="B195" s="138"/>
      <c r="C195" s="138"/>
      <c r="D195" s="138"/>
      <c r="E195" s="147"/>
      <c r="F195" s="125"/>
      <c r="G195" s="27"/>
      <c r="H195" s="27"/>
      <c r="I195" s="52"/>
      <c r="J195" s="27"/>
      <c r="K195" s="27"/>
      <c r="L195" s="27"/>
      <c r="M195" s="52"/>
      <c r="N195" s="27"/>
      <c r="O195" s="33">
        <f>+O193*O194</f>
        <v>0</v>
      </c>
      <c r="P195" s="33">
        <f t="shared" ref="P195:Y195" si="260">+P193*P194</f>
        <v>0</v>
      </c>
      <c r="Q195" s="57">
        <f t="shared" si="260"/>
        <v>0</v>
      </c>
      <c r="R195" s="33">
        <f t="shared" si="260"/>
        <v>0</v>
      </c>
      <c r="S195" s="33">
        <f t="shared" si="260"/>
        <v>0</v>
      </c>
      <c r="T195" s="33">
        <f t="shared" si="260"/>
        <v>0</v>
      </c>
      <c r="U195" s="57">
        <f t="shared" si="260"/>
        <v>0</v>
      </c>
      <c r="V195" s="33">
        <f t="shared" si="260"/>
        <v>0</v>
      </c>
      <c r="W195" s="33">
        <f t="shared" si="260"/>
        <v>0</v>
      </c>
      <c r="X195" s="33">
        <f t="shared" si="260"/>
        <v>0</v>
      </c>
      <c r="Y195" s="57">
        <f t="shared" si="260"/>
        <v>0</v>
      </c>
      <c r="Z195" s="33">
        <f t="shared" ref="Z195:AC195" si="261">+Z193*Z194</f>
        <v>0</v>
      </c>
      <c r="AA195" s="33">
        <f t="shared" si="261"/>
        <v>0</v>
      </c>
      <c r="AB195" s="33">
        <f t="shared" si="261"/>
        <v>0</v>
      </c>
      <c r="AC195" s="57">
        <f t="shared" si="261"/>
        <v>0</v>
      </c>
      <c r="AD195" s="168"/>
      <c r="AE195" s="168"/>
      <c r="AF195" s="168"/>
      <c r="AG195" s="168"/>
      <c r="AH195" s="168"/>
      <c r="AI195" s="168"/>
      <c r="AJ195" s="169"/>
      <c r="AK195" s="169"/>
      <c r="AL195" s="170"/>
      <c r="AM195" s="171"/>
      <c r="AN195" s="171"/>
      <c r="AO195" s="171"/>
      <c r="AP195" s="171"/>
      <c r="AQ195" s="171"/>
      <c r="AR195" s="171"/>
      <c r="AS195" s="171"/>
      <c r="AT195" s="171"/>
      <c r="AU195" s="172"/>
      <c r="AV195" s="172"/>
      <c r="AW195" s="173"/>
      <c r="AX195" s="173"/>
      <c r="AY195" s="173"/>
    </row>
    <row r="196" s="4" customFormat="1" ht="12" spans="1:51">
      <c r="A196" s="29" t="s">
        <v>892</v>
      </c>
      <c r="B196" s="138"/>
      <c r="C196" s="138"/>
      <c r="D196" s="138"/>
      <c r="E196" s="147"/>
      <c r="F196" s="125"/>
      <c r="G196" s="27"/>
      <c r="H196" s="27"/>
      <c r="I196" s="52"/>
      <c r="J196" s="27"/>
      <c r="K196" s="27"/>
      <c r="L196" s="27"/>
      <c r="M196" s="52"/>
      <c r="N196" s="27"/>
      <c r="O196" s="27">
        <v>0.0844</v>
      </c>
      <c r="P196" s="27">
        <v>0.0844</v>
      </c>
      <c r="Q196" s="52">
        <v>0.0844</v>
      </c>
      <c r="R196" s="27">
        <v>0.0844</v>
      </c>
      <c r="S196" s="27">
        <v>0.0844</v>
      </c>
      <c r="T196" s="27">
        <v>0.0844</v>
      </c>
      <c r="U196" s="52">
        <v>0.0844</v>
      </c>
      <c r="V196" s="27">
        <v>0.0844</v>
      </c>
      <c r="W196" s="27">
        <v>0.0844</v>
      </c>
      <c r="X196" s="27">
        <v>0.0844</v>
      </c>
      <c r="Y196" s="52">
        <v>0.0844</v>
      </c>
      <c r="Z196" s="27">
        <v>0.0844</v>
      </c>
      <c r="AA196" s="27">
        <v>0.0844</v>
      </c>
      <c r="AB196" s="27">
        <v>0.0844</v>
      </c>
      <c r="AC196" s="52">
        <v>0.0844</v>
      </c>
      <c r="AD196" s="168"/>
      <c r="AE196" s="168"/>
      <c r="AF196" s="168"/>
      <c r="AG196" s="168"/>
      <c r="AH196" s="168"/>
      <c r="AI196" s="168"/>
      <c r="AJ196" s="169"/>
      <c r="AK196" s="169"/>
      <c r="AL196" s="170"/>
      <c r="AM196" s="171"/>
      <c r="AN196" s="171"/>
      <c r="AO196" s="171"/>
      <c r="AP196" s="171"/>
      <c r="AQ196" s="171"/>
      <c r="AR196" s="171"/>
      <c r="AS196" s="171"/>
      <c r="AT196" s="171"/>
      <c r="AU196" s="172"/>
      <c r="AV196" s="172"/>
      <c r="AW196" s="173"/>
      <c r="AX196" s="173"/>
      <c r="AY196" s="173"/>
    </row>
    <row r="197" s="4" customFormat="1" ht="12" spans="1:51">
      <c r="A197" s="29" t="s">
        <v>890</v>
      </c>
      <c r="B197" s="138"/>
      <c r="C197" s="138"/>
      <c r="D197" s="138"/>
      <c r="E197" s="147"/>
      <c r="F197" s="125"/>
      <c r="G197" s="27"/>
      <c r="H197" s="27"/>
      <c r="I197" s="52"/>
      <c r="J197" s="27"/>
      <c r="K197" s="27"/>
      <c r="L197" s="27"/>
      <c r="M197" s="52"/>
      <c r="N197" s="27"/>
      <c r="O197" s="32">
        <f>+O195*O196</f>
        <v>0</v>
      </c>
      <c r="P197" s="32">
        <f t="shared" ref="P197:Z197" si="262">+P195*P196</f>
        <v>0</v>
      </c>
      <c r="Q197" s="56">
        <f t="shared" si="262"/>
        <v>0</v>
      </c>
      <c r="R197" s="32">
        <f t="shared" si="262"/>
        <v>0</v>
      </c>
      <c r="S197" s="32">
        <f t="shared" si="262"/>
        <v>0</v>
      </c>
      <c r="T197" s="32">
        <f t="shared" si="262"/>
        <v>0</v>
      </c>
      <c r="U197" s="56">
        <f t="shared" si="262"/>
        <v>0</v>
      </c>
      <c r="V197" s="32">
        <f t="shared" si="262"/>
        <v>0</v>
      </c>
      <c r="W197" s="32">
        <f t="shared" si="262"/>
        <v>0</v>
      </c>
      <c r="X197" s="32">
        <f t="shared" si="262"/>
        <v>0</v>
      </c>
      <c r="Y197" s="56">
        <f t="shared" si="262"/>
        <v>0</v>
      </c>
      <c r="Z197" s="32">
        <f t="shared" si="262"/>
        <v>0</v>
      </c>
      <c r="AA197" s="32">
        <f t="shared" ref="AA197:AC197" si="263">+AA195*AA196</f>
        <v>0</v>
      </c>
      <c r="AB197" s="32">
        <f t="shared" si="263"/>
        <v>0</v>
      </c>
      <c r="AC197" s="56">
        <f t="shared" si="263"/>
        <v>0</v>
      </c>
      <c r="AD197" s="168"/>
      <c r="AE197" s="168"/>
      <c r="AF197" s="168"/>
      <c r="AG197" s="168"/>
      <c r="AH197" s="168"/>
      <c r="AI197" s="168"/>
      <c r="AJ197" s="169"/>
      <c r="AK197" s="169"/>
      <c r="AL197" s="170"/>
      <c r="AM197" s="171"/>
      <c r="AN197" s="171"/>
      <c r="AO197" s="171"/>
      <c r="AP197" s="171"/>
      <c r="AQ197" s="171"/>
      <c r="AR197" s="171"/>
      <c r="AS197" s="171"/>
      <c r="AT197" s="171"/>
      <c r="AU197" s="172"/>
      <c r="AV197" s="172"/>
      <c r="AW197" s="173"/>
      <c r="AX197" s="173"/>
      <c r="AY197" s="173"/>
    </row>
    <row r="198" s="4" customFormat="1" ht="12" spans="1:51">
      <c r="A198" s="29"/>
      <c r="B198" s="138"/>
      <c r="C198" s="138"/>
      <c r="D198" s="138"/>
      <c r="E198" s="147"/>
      <c r="F198" s="125"/>
      <c r="G198" s="27"/>
      <c r="H198" s="27"/>
      <c r="I198" s="52"/>
      <c r="J198" s="27"/>
      <c r="K198" s="27"/>
      <c r="L198" s="27"/>
      <c r="M198" s="52"/>
      <c r="N198" s="27"/>
      <c r="O198" s="33"/>
      <c r="P198" s="33"/>
      <c r="Q198" s="57"/>
      <c r="R198" s="33"/>
      <c r="S198" s="33"/>
      <c r="T198" s="33"/>
      <c r="U198" s="57"/>
      <c r="V198" s="33"/>
      <c r="W198" s="33"/>
      <c r="X198" s="33"/>
      <c r="Y198" s="57"/>
      <c r="Z198" s="33"/>
      <c r="AA198" s="33"/>
      <c r="AB198" s="33"/>
      <c r="AC198" s="57"/>
      <c r="AD198" s="168"/>
      <c r="AE198" s="168"/>
      <c r="AF198" s="168"/>
      <c r="AG198" s="168"/>
      <c r="AH198" s="168"/>
      <c r="AI198" s="168"/>
      <c r="AJ198" s="169"/>
      <c r="AK198" s="169"/>
      <c r="AL198" s="170"/>
      <c r="AM198" s="171"/>
      <c r="AN198" s="171"/>
      <c r="AO198" s="171"/>
      <c r="AP198" s="171"/>
      <c r="AQ198" s="171"/>
      <c r="AR198" s="171"/>
      <c r="AS198" s="171"/>
      <c r="AT198" s="171"/>
      <c r="AU198" s="172"/>
      <c r="AV198" s="172"/>
      <c r="AW198" s="173"/>
      <c r="AX198" s="173"/>
      <c r="AY198" s="173"/>
    </row>
    <row r="199" s="4" customFormat="1" ht="12" spans="1:51">
      <c r="A199" s="29"/>
      <c r="B199" s="138"/>
      <c r="C199" s="138"/>
      <c r="D199" s="138"/>
      <c r="E199" s="147"/>
      <c r="F199" s="125"/>
      <c r="G199" s="27"/>
      <c r="H199" s="27"/>
      <c r="I199" s="52"/>
      <c r="J199" s="27"/>
      <c r="K199" s="27"/>
      <c r="L199" s="27"/>
      <c r="M199" s="52"/>
      <c r="N199" s="27"/>
      <c r="O199" s="33"/>
      <c r="P199" s="33"/>
      <c r="Q199" s="57"/>
      <c r="R199" s="33"/>
      <c r="S199" s="33"/>
      <c r="T199" s="33"/>
      <c r="U199" s="57"/>
      <c r="V199" s="33"/>
      <c r="W199" s="33"/>
      <c r="X199" s="33"/>
      <c r="Y199" s="57"/>
      <c r="Z199" s="33"/>
      <c r="AA199" s="33"/>
      <c r="AB199" s="33"/>
      <c r="AC199" s="57"/>
      <c r="AD199" s="168"/>
      <c r="AE199" s="168"/>
      <c r="AF199" s="168"/>
      <c r="AG199" s="168"/>
      <c r="AH199" s="168"/>
      <c r="AI199" s="168"/>
      <c r="AJ199" s="169"/>
      <c r="AK199" s="169"/>
      <c r="AL199" s="170"/>
      <c r="AM199" s="171"/>
      <c r="AN199" s="171"/>
      <c r="AO199" s="171"/>
      <c r="AP199" s="171"/>
      <c r="AQ199" s="171"/>
      <c r="AR199" s="171"/>
      <c r="AS199" s="171"/>
      <c r="AT199" s="171"/>
      <c r="AU199" s="172"/>
      <c r="AV199" s="172"/>
      <c r="AW199" s="173"/>
      <c r="AX199" s="173"/>
      <c r="AY199" s="173"/>
    </row>
    <row r="200" s="4" customFormat="1" spans="1:51">
      <c r="A200" s="29"/>
      <c r="B200" s="138"/>
      <c r="C200" s="138"/>
      <c r="D200" s="138"/>
      <c r="E200" s="147"/>
      <c r="F200" s="125"/>
      <c r="G200" s="27"/>
      <c r="H200" s="27"/>
      <c r="I200" s="52"/>
      <c r="J200" s="27"/>
      <c r="K200" s="27"/>
      <c r="L200" s="27"/>
      <c r="M200" s="52"/>
      <c r="N200" s="27"/>
      <c r="O200" s="33"/>
      <c r="P200" s="33"/>
      <c r="Q200" s="57"/>
      <c r="R200" s="33"/>
      <c r="S200" s="33"/>
      <c r="T200" s="33"/>
      <c r="U200" s="57"/>
      <c r="V200" s="33"/>
      <c r="W200" s="33"/>
      <c r="X200" s="33"/>
      <c r="Y200" s="57"/>
      <c r="Z200" s="33"/>
      <c r="AA200" s="33"/>
      <c r="AB200" s="33"/>
      <c r="AC200" s="57"/>
      <c r="AD200" s="168"/>
      <c r="AE200" s="168"/>
      <c r="AF200" s="168"/>
      <c r="AG200" s="168"/>
      <c r="AH200" s="168"/>
      <c r="AI200" s="168"/>
      <c r="AJ200" s="169"/>
      <c r="AK200" s="169"/>
      <c r="AL200" s="170"/>
      <c r="AM200" s="171"/>
      <c r="AN200" s="171"/>
      <c r="AO200" s="171"/>
      <c r="AP200" s="171"/>
      <c r="AQ200" s="171"/>
      <c r="AR200" s="171"/>
      <c r="AS200" s="171"/>
      <c r="AT200" s="171"/>
      <c r="AU200" s="172"/>
      <c r="AV200" s="172"/>
      <c r="AW200" s="173"/>
      <c r="AX200" s="173"/>
      <c r="AY200" s="173"/>
    </row>
    <row r="201" s="4" customFormat="1" spans="1:51">
      <c r="A201" s="174" t="s">
        <v>893</v>
      </c>
      <c r="B201" s="134"/>
      <c r="C201" s="134"/>
      <c r="D201" s="134"/>
      <c r="E201" s="176"/>
      <c r="F201" s="143"/>
      <c r="G201" s="143"/>
      <c r="H201" s="143"/>
      <c r="I201" s="152"/>
      <c r="J201" s="143"/>
      <c r="K201" s="143"/>
      <c r="L201" s="143"/>
      <c r="M201" s="152"/>
      <c r="N201" s="143"/>
      <c r="O201" s="143"/>
      <c r="P201" s="143"/>
      <c r="Q201" s="152"/>
      <c r="R201" s="143"/>
      <c r="S201" s="143"/>
      <c r="T201" s="143"/>
      <c r="U201" s="152"/>
      <c r="V201" s="143"/>
      <c r="W201" s="143"/>
      <c r="X201" s="143"/>
      <c r="Y201" s="152"/>
      <c r="Z201" s="143"/>
      <c r="AA201" s="143"/>
      <c r="AB201" s="143"/>
      <c r="AC201" s="152"/>
      <c r="AD201" s="168"/>
      <c r="AE201" s="168"/>
      <c r="AF201" s="168"/>
      <c r="AG201" s="168"/>
      <c r="AH201" s="168"/>
      <c r="AI201" s="168"/>
      <c r="AJ201" s="169"/>
      <c r="AK201" s="169"/>
      <c r="AL201" s="170"/>
      <c r="AM201" s="171"/>
      <c r="AN201" s="171"/>
      <c r="AO201" s="171"/>
      <c r="AP201" s="171"/>
      <c r="AQ201" s="171"/>
      <c r="AR201" s="171"/>
      <c r="AS201" s="171"/>
      <c r="AT201" s="171"/>
      <c r="AU201" s="172"/>
      <c r="AV201" s="172"/>
      <c r="AW201" s="173"/>
      <c r="AX201" s="173"/>
      <c r="AY201" s="173"/>
    </row>
    <row r="202" s="4" customFormat="1" ht="12" spans="1:51">
      <c r="A202" s="22" t="s">
        <v>864</v>
      </c>
      <c r="B202" s="138"/>
      <c r="C202" s="138"/>
      <c r="D202" s="138"/>
      <c r="E202" s="147"/>
      <c r="F202" s="125"/>
      <c r="G202" s="27"/>
      <c r="H202" s="27"/>
      <c r="I202" s="52"/>
      <c r="J202" s="27"/>
      <c r="K202" s="27"/>
      <c r="L202" s="27"/>
      <c r="M202" s="52"/>
      <c r="N202" s="27"/>
      <c r="O202" s="27"/>
      <c r="P202" s="27"/>
      <c r="Q202" s="52"/>
      <c r="R202" s="27"/>
      <c r="S202" s="27"/>
      <c r="T202" s="27"/>
      <c r="U202" s="52"/>
      <c r="V202" s="27"/>
      <c r="W202" s="27"/>
      <c r="X202" s="27"/>
      <c r="Y202" s="52"/>
      <c r="Z202" s="27"/>
      <c r="AA202" s="27"/>
      <c r="AB202" s="27"/>
      <c r="AC202" s="52"/>
      <c r="AD202" s="168"/>
      <c r="AE202" s="168"/>
      <c r="AF202" s="168"/>
      <c r="AG202" s="168"/>
      <c r="AH202" s="168"/>
      <c r="AI202" s="168"/>
      <c r="AJ202" s="169"/>
      <c r="AK202" s="169"/>
      <c r="AL202" s="170"/>
      <c r="AM202" s="171"/>
      <c r="AN202" s="171"/>
      <c r="AO202" s="171"/>
      <c r="AP202" s="171"/>
      <c r="AQ202" s="171"/>
      <c r="AR202" s="171"/>
      <c r="AS202" s="171"/>
      <c r="AT202" s="171"/>
      <c r="AU202" s="172"/>
      <c r="AV202" s="172"/>
      <c r="AW202" s="173"/>
      <c r="AX202" s="173"/>
      <c r="AY202" s="173"/>
    </row>
    <row r="203" s="4" customFormat="1" ht="12" spans="1:51">
      <c r="A203" s="29" t="s">
        <v>851</v>
      </c>
      <c r="B203" s="33">
        <f t="shared" ref="B203:Y209" si="264">+B212*B221</f>
        <v>138.4</v>
      </c>
      <c r="C203" s="33">
        <f t="shared" si="264"/>
        <v>138.4</v>
      </c>
      <c r="D203" s="33">
        <f t="shared" si="264"/>
        <v>138.4</v>
      </c>
      <c r="E203" s="57">
        <f t="shared" si="264"/>
        <v>138.4</v>
      </c>
      <c r="F203" s="33">
        <f t="shared" si="264"/>
        <v>109.4571</v>
      </c>
      <c r="G203" s="33">
        <f t="shared" si="264"/>
        <v>105.184</v>
      </c>
      <c r="H203" s="33">
        <f t="shared" si="264"/>
        <v>98.61</v>
      </c>
      <c r="I203" s="57">
        <f t="shared" si="264"/>
        <v>65.74</v>
      </c>
      <c r="J203" s="33">
        <f t="shared" si="264"/>
        <v>31.2265</v>
      </c>
      <c r="K203" s="33">
        <f t="shared" si="264"/>
        <v>31.2265</v>
      </c>
      <c r="L203" s="33">
        <f t="shared" si="264"/>
        <v>31.2265</v>
      </c>
      <c r="M203" s="57">
        <f t="shared" si="264"/>
        <v>31.2265</v>
      </c>
      <c r="N203" s="33">
        <f t="shared" si="264"/>
        <v>26.6986575</v>
      </c>
      <c r="O203" s="33">
        <f t="shared" si="264"/>
        <v>26.6986575</v>
      </c>
      <c r="P203" s="33">
        <f t="shared" si="264"/>
        <v>26.6986575</v>
      </c>
      <c r="Q203" s="57">
        <f t="shared" si="264"/>
        <v>26.6986575</v>
      </c>
      <c r="R203" s="33">
        <f t="shared" si="264"/>
        <v>22.8273521625</v>
      </c>
      <c r="S203" s="33">
        <f t="shared" si="264"/>
        <v>22.8273521625</v>
      </c>
      <c r="T203" s="33">
        <f t="shared" si="264"/>
        <v>22.8273521625</v>
      </c>
      <c r="U203" s="57">
        <f t="shared" si="264"/>
        <v>22.8273521625</v>
      </c>
      <c r="V203" s="33">
        <f t="shared" si="264"/>
        <v>19.5173860989375</v>
      </c>
      <c r="W203" s="33">
        <f t="shared" si="264"/>
        <v>19.5173860989375</v>
      </c>
      <c r="X203" s="33">
        <f t="shared" si="264"/>
        <v>19.5173860989375</v>
      </c>
      <c r="Y203" s="57">
        <f t="shared" si="264"/>
        <v>19.5173860989375</v>
      </c>
      <c r="Z203" s="33">
        <f t="shared" ref="Z203:Z209" si="265">+Z212*Z221</f>
        <v>16.6873651145916</v>
      </c>
      <c r="AA203" s="33">
        <f t="shared" ref="AA203:AC203" si="266">+AA212*AA221</f>
        <v>16.6873651145916</v>
      </c>
      <c r="AB203" s="33">
        <f t="shared" si="266"/>
        <v>16.6873651145916</v>
      </c>
      <c r="AC203" s="57">
        <f t="shared" si="266"/>
        <v>16.6873651145916</v>
      </c>
      <c r="AD203" s="168"/>
      <c r="AE203" s="168"/>
      <c r="AF203" s="168"/>
      <c r="AG203" s="168"/>
      <c r="AH203" s="168"/>
      <c r="AI203" s="168"/>
      <c r="AJ203" s="169"/>
      <c r="AK203" s="169"/>
      <c r="AL203" s="170"/>
      <c r="AM203" s="171"/>
      <c r="AN203" s="171"/>
      <c r="AO203" s="171"/>
      <c r="AP203" s="171"/>
      <c r="AQ203" s="171"/>
      <c r="AR203" s="171"/>
      <c r="AS203" s="171"/>
      <c r="AT203" s="171"/>
      <c r="AU203" s="172"/>
      <c r="AV203" s="172"/>
      <c r="AW203" s="173"/>
      <c r="AX203" s="173"/>
      <c r="AY203" s="173"/>
    </row>
    <row r="204" s="4" customFormat="1" ht="12" spans="1:51">
      <c r="A204" s="29" t="s">
        <v>852</v>
      </c>
      <c r="B204" s="33">
        <f t="shared" si="264"/>
        <v>336</v>
      </c>
      <c r="C204" s="33">
        <f t="shared" si="264"/>
        <v>336</v>
      </c>
      <c r="D204" s="33">
        <f t="shared" si="264"/>
        <v>392</v>
      </c>
      <c r="E204" s="57">
        <f t="shared" si="264"/>
        <v>347.2</v>
      </c>
      <c r="F204" s="33">
        <f t="shared" si="264"/>
        <v>212.8</v>
      </c>
      <c r="G204" s="33">
        <f t="shared" si="264"/>
        <v>270.788</v>
      </c>
      <c r="H204" s="33">
        <f t="shared" si="264"/>
        <v>292.6</v>
      </c>
      <c r="I204" s="57">
        <f t="shared" si="264"/>
        <v>186.2</v>
      </c>
      <c r="J204" s="33">
        <f t="shared" si="264"/>
        <v>25.27</v>
      </c>
      <c r="K204" s="33">
        <f t="shared" si="264"/>
        <v>75.81</v>
      </c>
      <c r="L204" s="33">
        <f t="shared" si="264"/>
        <v>75.81</v>
      </c>
      <c r="M204" s="57">
        <f t="shared" si="264"/>
        <v>75.81</v>
      </c>
      <c r="N204" s="33">
        <f t="shared" si="264"/>
        <v>48.013</v>
      </c>
      <c r="O204" s="33">
        <f t="shared" si="264"/>
        <v>48.013</v>
      </c>
      <c r="P204" s="33">
        <f t="shared" si="264"/>
        <v>48.013</v>
      </c>
      <c r="Q204" s="57">
        <f t="shared" si="264"/>
        <v>48.013</v>
      </c>
      <c r="R204" s="33">
        <f t="shared" si="264"/>
        <v>41.051115</v>
      </c>
      <c r="S204" s="33">
        <f t="shared" si="264"/>
        <v>41.051115</v>
      </c>
      <c r="T204" s="33">
        <f t="shared" si="264"/>
        <v>41.051115</v>
      </c>
      <c r="U204" s="57">
        <f t="shared" si="264"/>
        <v>41.051115</v>
      </c>
      <c r="V204" s="33">
        <f t="shared" si="264"/>
        <v>35.098703325</v>
      </c>
      <c r="W204" s="33">
        <f t="shared" si="264"/>
        <v>35.098703325</v>
      </c>
      <c r="X204" s="33">
        <f t="shared" si="264"/>
        <v>35.098703325</v>
      </c>
      <c r="Y204" s="57">
        <f t="shared" si="264"/>
        <v>35.098703325</v>
      </c>
      <c r="Z204" s="33">
        <f t="shared" si="265"/>
        <v>30.009391342875</v>
      </c>
      <c r="AA204" s="33">
        <f t="shared" ref="AA204:AC204" si="267">+AA213*AA222</f>
        <v>30.009391342875</v>
      </c>
      <c r="AB204" s="33">
        <f t="shared" si="267"/>
        <v>30.009391342875</v>
      </c>
      <c r="AC204" s="57">
        <f t="shared" si="267"/>
        <v>30.009391342875</v>
      </c>
      <c r="AD204" s="168"/>
      <c r="AE204" s="168"/>
      <c r="AF204" s="168"/>
      <c r="AG204" s="168"/>
      <c r="AH204" s="168"/>
      <c r="AI204" s="168"/>
      <c r="AJ204" s="169"/>
      <c r="AK204" s="169"/>
      <c r="AL204" s="170"/>
      <c r="AM204" s="171"/>
      <c r="AN204" s="171"/>
      <c r="AO204" s="171"/>
      <c r="AP204" s="171"/>
      <c r="AQ204" s="171"/>
      <c r="AR204" s="171"/>
      <c r="AS204" s="171"/>
      <c r="AT204" s="171"/>
      <c r="AU204" s="172"/>
      <c r="AV204" s="172"/>
      <c r="AW204" s="173"/>
      <c r="AX204" s="173"/>
      <c r="AY204" s="173"/>
    </row>
    <row r="205" s="4" customFormat="1" ht="12" spans="1:51">
      <c r="A205" s="29" t="s">
        <v>853</v>
      </c>
      <c r="B205" s="33">
        <f t="shared" si="264"/>
        <v>75.6</v>
      </c>
      <c r="C205" s="33">
        <f t="shared" si="264"/>
        <v>84</v>
      </c>
      <c r="D205" s="33">
        <f t="shared" si="264"/>
        <v>109.2</v>
      </c>
      <c r="E205" s="57">
        <f t="shared" si="264"/>
        <v>92.4</v>
      </c>
      <c r="F205" s="33">
        <f t="shared" si="264"/>
        <v>39.2</v>
      </c>
      <c r="G205" s="33">
        <f t="shared" si="264"/>
        <v>39.2</v>
      </c>
      <c r="H205" s="33">
        <f t="shared" si="264"/>
        <v>49</v>
      </c>
      <c r="I205" s="57">
        <f t="shared" si="264"/>
        <v>44.1</v>
      </c>
      <c r="J205" s="33">
        <f t="shared" si="264"/>
        <v>9.31</v>
      </c>
      <c r="K205" s="33">
        <f t="shared" si="264"/>
        <v>9.31</v>
      </c>
      <c r="L205" s="33">
        <f t="shared" si="264"/>
        <v>9.31</v>
      </c>
      <c r="M205" s="57">
        <f t="shared" si="264"/>
        <v>9.31</v>
      </c>
      <c r="N205" s="33">
        <f t="shared" si="264"/>
        <v>7.871605</v>
      </c>
      <c r="O205" s="33">
        <f t="shared" si="264"/>
        <v>7.871605</v>
      </c>
      <c r="P205" s="33">
        <f t="shared" si="264"/>
        <v>26.5335</v>
      </c>
      <c r="Q205" s="57">
        <f t="shared" si="264"/>
        <v>26.5335</v>
      </c>
      <c r="R205" s="33">
        <f t="shared" si="264"/>
        <v>7.1041235125</v>
      </c>
      <c r="S205" s="33">
        <f t="shared" si="264"/>
        <v>7.1041235125</v>
      </c>
      <c r="T205" s="33">
        <f t="shared" si="264"/>
        <v>23.94648375</v>
      </c>
      <c r="U205" s="57">
        <f t="shared" si="264"/>
        <v>23.94648375</v>
      </c>
      <c r="V205" s="33">
        <f t="shared" si="264"/>
        <v>6.41147147003125</v>
      </c>
      <c r="W205" s="33">
        <f t="shared" si="264"/>
        <v>6.41147147003125</v>
      </c>
      <c r="X205" s="33">
        <f t="shared" si="264"/>
        <v>21.611701584375</v>
      </c>
      <c r="Y205" s="57">
        <f t="shared" si="264"/>
        <v>21.611701584375</v>
      </c>
      <c r="Z205" s="33">
        <f t="shared" si="265"/>
        <v>5.7863530017032</v>
      </c>
      <c r="AA205" s="33">
        <f t="shared" ref="AA205:AC205" si="268">+AA214*AA223</f>
        <v>5.7863530017032</v>
      </c>
      <c r="AB205" s="33">
        <f t="shared" si="268"/>
        <v>19.5045606798984</v>
      </c>
      <c r="AC205" s="57">
        <f t="shared" si="268"/>
        <v>19.5045606798984</v>
      </c>
      <c r="AD205" s="168"/>
      <c r="AE205" s="168"/>
      <c r="AF205" s="168"/>
      <c r="AG205" s="168"/>
      <c r="AH205" s="168"/>
      <c r="AI205" s="168"/>
      <c r="AJ205" s="169"/>
      <c r="AK205" s="169"/>
      <c r="AL205" s="170"/>
      <c r="AM205" s="171"/>
      <c r="AN205" s="171"/>
      <c r="AO205" s="171"/>
      <c r="AP205" s="171"/>
      <c r="AQ205" s="171"/>
      <c r="AR205" s="171"/>
      <c r="AS205" s="171"/>
      <c r="AT205" s="171"/>
      <c r="AU205" s="172"/>
      <c r="AV205" s="172"/>
      <c r="AW205" s="173"/>
      <c r="AX205" s="173"/>
      <c r="AY205" s="173"/>
    </row>
    <row r="206" s="4" customFormat="1" ht="12" spans="1:51">
      <c r="A206" s="29" t="s">
        <v>854</v>
      </c>
      <c r="B206" s="33">
        <f t="shared" si="264"/>
        <v>15.4</v>
      </c>
      <c r="C206" s="33">
        <f t="shared" si="264"/>
        <v>30.8</v>
      </c>
      <c r="D206" s="33">
        <f t="shared" si="264"/>
        <v>46.2</v>
      </c>
      <c r="E206" s="57">
        <f t="shared" si="264"/>
        <v>61.6</v>
      </c>
      <c r="F206" s="33">
        <f t="shared" si="264"/>
        <v>6.57</v>
      </c>
      <c r="G206" s="33">
        <f t="shared" si="264"/>
        <v>13.14</v>
      </c>
      <c r="H206" s="33">
        <f t="shared" si="264"/>
        <v>23.652</v>
      </c>
      <c r="I206" s="57">
        <f t="shared" si="264"/>
        <v>17.739</v>
      </c>
      <c r="J206" s="33">
        <f t="shared" si="264"/>
        <v>5.913</v>
      </c>
      <c r="K206" s="33">
        <f t="shared" si="264"/>
        <v>5.913</v>
      </c>
      <c r="L206" s="33">
        <f t="shared" si="264"/>
        <v>5.913</v>
      </c>
      <c r="M206" s="57">
        <f t="shared" si="264"/>
        <v>5.913</v>
      </c>
      <c r="N206" s="33">
        <f t="shared" si="264"/>
        <v>5.3217</v>
      </c>
      <c r="O206" s="33">
        <f t="shared" si="264"/>
        <v>5.3217</v>
      </c>
      <c r="P206" s="33">
        <f t="shared" si="264"/>
        <v>5.3217</v>
      </c>
      <c r="Q206" s="57">
        <f t="shared" si="264"/>
        <v>5.3217</v>
      </c>
      <c r="R206" s="33">
        <f t="shared" si="264"/>
        <v>5.055615</v>
      </c>
      <c r="S206" s="33">
        <f t="shared" si="264"/>
        <v>5.055615</v>
      </c>
      <c r="T206" s="33">
        <f t="shared" si="264"/>
        <v>5.055615</v>
      </c>
      <c r="U206" s="57">
        <f t="shared" si="264"/>
        <v>5.055615</v>
      </c>
      <c r="V206" s="33">
        <f t="shared" si="264"/>
        <v>4.80283425</v>
      </c>
      <c r="W206" s="33">
        <f t="shared" si="264"/>
        <v>4.80283425</v>
      </c>
      <c r="X206" s="33">
        <f t="shared" si="264"/>
        <v>4.80283425</v>
      </c>
      <c r="Y206" s="57">
        <f t="shared" si="264"/>
        <v>4.80283425</v>
      </c>
      <c r="Z206" s="33">
        <f t="shared" si="265"/>
        <v>4.5626925375</v>
      </c>
      <c r="AA206" s="33">
        <f t="shared" ref="AA206:AC206" si="269">+AA215*AA224</f>
        <v>4.5626925375</v>
      </c>
      <c r="AB206" s="33">
        <f t="shared" si="269"/>
        <v>4.5626925375</v>
      </c>
      <c r="AC206" s="57">
        <f t="shared" si="269"/>
        <v>4.5626925375</v>
      </c>
      <c r="AD206" s="168"/>
      <c r="AE206" s="168"/>
      <c r="AF206" s="168"/>
      <c r="AG206" s="168"/>
      <c r="AH206" s="168"/>
      <c r="AI206" s="168"/>
      <c r="AJ206" s="169"/>
      <c r="AK206" s="169"/>
      <c r="AL206" s="170"/>
      <c r="AM206" s="171"/>
      <c r="AN206" s="171"/>
      <c r="AO206" s="171"/>
      <c r="AP206" s="171"/>
      <c r="AQ206" s="171"/>
      <c r="AR206" s="171"/>
      <c r="AS206" s="171"/>
      <c r="AT206" s="171"/>
      <c r="AU206" s="172"/>
      <c r="AV206" s="172"/>
      <c r="AW206" s="173"/>
      <c r="AX206" s="173"/>
      <c r="AY206" s="173"/>
    </row>
    <row r="207" s="4" customFormat="1" ht="12" spans="1:51">
      <c r="A207" s="29" t="s">
        <v>855</v>
      </c>
      <c r="B207" s="33">
        <f t="shared" si="264"/>
        <v>0</v>
      </c>
      <c r="C207" s="33">
        <f t="shared" si="264"/>
        <v>0</v>
      </c>
      <c r="D207" s="33">
        <f t="shared" si="264"/>
        <v>72.8</v>
      </c>
      <c r="E207" s="57">
        <f t="shared" si="264"/>
        <v>109.2</v>
      </c>
      <c r="F207" s="33">
        <f t="shared" si="264"/>
        <v>84.096</v>
      </c>
      <c r="G207" s="33">
        <f t="shared" si="264"/>
        <v>115.632</v>
      </c>
      <c r="H207" s="33">
        <f t="shared" si="264"/>
        <v>131.4</v>
      </c>
      <c r="I207" s="57">
        <f t="shared" si="264"/>
        <v>525.6</v>
      </c>
      <c r="J207" s="33">
        <f t="shared" si="264"/>
        <v>850.52592</v>
      </c>
      <c r="K207" s="33">
        <f t="shared" si="264"/>
        <v>1139.238</v>
      </c>
      <c r="L207" s="33">
        <f t="shared" si="264"/>
        <v>1659.7134</v>
      </c>
      <c r="M207" s="57">
        <f t="shared" si="264"/>
        <v>2010.42</v>
      </c>
      <c r="N207" s="33">
        <f t="shared" si="264"/>
        <v>2383.4646</v>
      </c>
      <c r="O207" s="65">
        <f t="shared" si="264"/>
        <v>1879.7427</v>
      </c>
      <c r="P207" s="65">
        <f t="shared" si="264"/>
        <v>1272.1491</v>
      </c>
      <c r="Q207" s="67">
        <f t="shared" si="264"/>
        <v>1329.111</v>
      </c>
      <c r="R207" s="65">
        <f t="shared" si="264"/>
        <v>1011.8142297</v>
      </c>
      <c r="S207" s="65">
        <f t="shared" si="264"/>
        <v>170.8857</v>
      </c>
      <c r="T207" s="65">
        <f t="shared" si="264"/>
        <v>34.17714</v>
      </c>
      <c r="U207" s="67">
        <f t="shared" si="264"/>
        <v>17.08857</v>
      </c>
      <c r="V207" s="65">
        <f t="shared" si="264"/>
        <v>16.5759129</v>
      </c>
      <c r="W207" s="65">
        <f t="shared" si="264"/>
        <v>16.2341415</v>
      </c>
      <c r="X207" s="65">
        <f t="shared" si="264"/>
        <v>16.2341415</v>
      </c>
      <c r="Y207" s="67">
        <f t="shared" si="264"/>
        <v>16.2341415</v>
      </c>
      <c r="Z207" s="65">
        <f t="shared" si="265"/>
        <v>15.422434425</v>
      </c>
      <c r="AA207" s="65">
        <f t="shared" ref="AA207:AC207" si="270">+AA216*AA225</f>
        <v>15.422434425</v>
      </c>
      <c r="AB207" s="65">
        <f t="shared" si="270"/>
        <v>15.422434425</v>
      </c>
      <c r="AC207" s="67">
        <f t="shared" si="270"/>
        <v>15.422434425</v>
      </c>
      <c r="AD207" s="168"/>
      <c r="AE207" s="168"/>
      <c r="AF207" s="168"/>
      <c r="AG207" s="168"/>
      <c r="AH207" s="168"/>
      <c r="AI207" s="168"/>
      <c r="AJ207" s="169"/>
      <c r="AK207" s="169"/>
      <c r="AL207" s="170"/>
      <c r="AM207" s="171"/>
      <c r="AN207" s="171"/>
      <c r="AO207" s="171"/>
      <c r="AP207" s="171"/>
      <c r="AQ207" s="171"/>
      <c r="AR207" s="171"/>
      <c r="AS207" s="171"/>
      <c r="AT207" s="171"/>
      <c r="AU207" s="172"/>
      <c r="AV207" s="172"/>
      <c r="AW207" s="173"/>
      <c r="AX207" s="173"/>
      <c r="AY207" s="173"/>
    </row>
    <row r="208" s="4" customFormat="1" ht="12" spans="1:51">
      <c r="A208" s="29" t="s">
        <v>856</v>
      </c>
      <c r="B208" s="33">
        <f t="shared" si="264"/>
        <v>0</v>
      </c>
      <c r="C208" s="33">
        <f t="shared" si="264"/>
        <v>0</v>
      </c>
      <c r="D208" s="33">
        <f t="shared" si="264"/>
        <v>0</v>
      </c>
      <c r="E208" s="57">
        <f t="shared" si="264"/>
        <v>0</v>
      </c>
      <c r="F208" s="33">
        <f t="shared" si="264"/>
        <v>0</v>
      </c>
      <c r="G208" s="33">
        <f t="shared" si="264"/>
        <v>0</v>
      </c>
      <c r="H208" s="33">
        <f t="shared" si="264"/>
        <v>0</v>
      </c>
      <c r="I208" s="57">
        <f t="shared" si="264"/>
        <v>0</v>
      </c>
      <c r="J208" s="33">
        <f t="shared" si="264"/>
        <v>43.8</v>
      </c>
      <c r="K208" s="33">
        <f t="shared" si="264"/>
        <v>131.4</v>
      </c>
      <c r="L208" s="33">
        <f t="shared" si="264"/>
        <v>350.4</v>
      </c>
      <c r="M208" s="57">
        <f t="shared" si="264"/>
        <v>1095</v>
      </c>
      <c r="N208" s="33">
        <f t="shared" si="264"/>
        <v>1315.7082</v>
      </c>
      <c r="O208" s="65">
        <f t="shared" si="264"/>
        <v>4132.53</v>
      </c>
      <c r="P208" s="65">
        <f t="shared" si="264"/>
        <v>4095.3</v>
      </c>
      <c r="Q208" s="67">
        <f t="shared" si="264"/>
        <v>5919.57</v>
      </c>
      <c r="R208" s="65">
        <f t="shared" si="264"/>
        <v>5643.6957</v>
      </c>
      <c r="S208" s="65">
        <f t="shared" si="264"/>
        <v>6105.72</v>
      </c>
      <c r="T208" s="65">
        <f t="shared" si="264"/>
        <v>7021.578</v>
      </c>
      <c r="U208" s="67">
        <f t="shared" si="264"/>
        <v>7021.578</v>
      </c>
      <c r="V208" s="65">
        <f t="shared" si="264"/>
        <v>6246.15156</v>
      </c>
      <c r="W208" s="65">
        <f t="shared" si="264"/>
        <v>6044.6628</v>
      </c>
      <c r="X208" s="65">
        <f t="shared" si="264"/>
        <v>6044.6628</v>
      </c>
      <c r="Y208" s="67">
        <f t="shared" si="264"/>
        <v>6044.6628</v>
      </c>
      <c r="Z208" s="65">
        <f t="shared" si="265"/>
        <v>4367.268873</v>
      </c>
      <c r="AA208" s="65">
        <f t="shared" ref="AA208:AC208" si="271">+AA217*AA226</f>
        <v>4367.268873</v>
      </c>
      <c r="AB208" s="65">
        <f t="shared" si="271"/>
        <v>4367.268873</v>
      </c>
      <c r="AC208" s="67">
        <f t="shared" si="271"/>
        <v>4367.268873</v>
      </c>
      <c r="AD208" s="168"/>
      <c r="AE208" s="168"/>
      <c r="AF208" s="168"/>
      <c r="AG208" s="168"/>
      <c r="AH208" s="168"/>
      <c r="AI208" s="168"/>
      <c r="AJ208" s="169"/>
      <c r="AK208" s="169"/>
      <c r="AL208" s="170"/>
      <c r="AM208" s="171"/>
      <c r="AN208" s="171"/>
      <c r="AO208" s="171"/>
      <c r="AP208" s="171"/>
      <c r="AQ208" s="171"/>
      <c r="AR208" s="171"/>
      <c r="AS208" s="171"/>
      <c r="AT208" s="171"/>
      <c r="AU208" s="172"/>
      <c r="AV208" s="172"/>
      <c r="AW208" s="173"/>
      <c r="AX208" s="173"/>
      <c r="AY208" s="173"/>
    </row>
    <row r="209" s="4" customFormat="1" ht="12" spans="1:51">
      <c r="A209" s="29" t="s">
        <v>857</v>
      </c>
      <c r="B209" s="33">
        <f t="shared" si="264"/>
        <v>0</v>
      </c>
      <c r="C209" s="33">
        <f t="shared" si="264"/>
        <v>0</v>
      </c>
      <c r="D209" s="33">
        <f t="shared" si="264"/>
        <v>0</v>
      </c>
      <c r="E209" s="57">
        <f t="shared" si="264"/>
        <v>0</v>
      </c>
      <c r="F209" s="33">
        <f t="shared" si="264"/>
        <v>0</v>
      </c>
      <c r="G209" s="33">
        <f t="shared" si="264"/>
        <v>0</v>
      </c>
      <c r="H209" s="33">
        <f t="shared" si="264"/>
        <v>0</v>
      </c>
      <c r="I209" s="57">
        <f t="shared" si="264"/>
        <v>0</v>
      </c>
      <c r="J209" s="33">
        <f t="shared" si="264"/>
        <v>0</v>
      </c>
      <c r="K209" s="33">
        <f t="shared" si="264"/>
        <v>0</v>
      </c>
      <c r="L209" s="33">
        <f t="shared" si="264"/>
        <v>0</v>
      </c>
      <c r="M209" s="57">
        <f t="shared" si="264"/>
        <v>0</v>
      </c>
      <c r="N209" s="33">
        <f t="shared" si="264"/>
        <v>0</v>
      </c>
      <c r="O209" s="65">
        <f t="shared" si="264"/>
        <v>0</v>
      </c>
      <c r="P209" s="65">
        <f t="shared" si="264"/>
        <v>280.32</v>
      </c>
      <c r="Q209" s="67">
        <f t="shared" si="264"/>
        <v>654.08</v>
      </c>
      <c r="R209" s="65">
        <f t="shared" si="264"/>
        <v>1303.488</v>
      </c>
      <c r="S209" s="65">
        <f t="shared" si="264"/>
        <v>4597.248</v>
      </c>
      <c r="T209" s="65">
        <f t="shared" si="264"/>
        <v>7662.08</v>
      </c>
      <c r="U209" s="67">
        <f t="shared" si="264"/>
        <v>9194.496</v>
      </c>
      <c r="V209" s="65">
        <f t="shared" si="264"/>
        <v>8550.88128</v>
      </c>
      <c r="W209" s="65">
        <f t="shared" si="264"/>
        <v>10343.808</v>
      </c>
      <c r="X209" s="65">
        <f t="shared" si="264"/>
        <v>15170.9184</v>
      </c>
      <c r="Y209" s="67">
        <f t="shared" si="264"/>
        <v>13791.744</v>
      </c>
      <c r="Z209" s="65">
        <f t="shared" si="265"/>
        <v>9963.1558656</v>
      </c>
      <c r="AA209" s="65">
        <f t="shared" ref="AA209:AC209" si="272">+AA218*AA227</f>
        <v>13343.51232</v>
      </c>
      <c r="AB209" s="65">
        <f t="shared" si="272"/>
        <v>19570.484736</v>
      </c>
      <c r="AC209" s="67">
        <f t="shared" si="272"/>
        <v>17791.34976</v>
      </c>
      <c r="AD209" s="168"/>
      <c r="AE209" s="168"/>
      <c r="AF209" s="168"/>
      <c r="AG209" s="168"/>
      <c r="AH209" s="168"/>
      <c r="AI209" s="168"/>
      <c r="AJ209" s="169"/>
      <c r="AK209" s="169"/>
      <c r="AL209" s="170"/>
      <c r="AM209" s="171"/>
      <c r="AN209" s="171"/>
      <c r="AO209" s="171"/>
      <c r="AP209" s="171"/>
      <c r="AQ209" s="171"/>
      <c r="AR209" s="171"/>
      <c r="AS209" s="171"/>
      <c r="AT209" s="171"/>
      <c r="AU209" s="172"/>
      <c r="AV209" s="172"/>
      <c r="AW209" s="173"/>
      <c r="AX209" s="173"/>
      <c r="AY209" s="173"/>
    </row>
    <row r="210" s="4" customFormat="1" ht="12" spans="1:51">
      <c r="A210" s="29"/>
      <c r="B210" s="33"/>
      <c r="C210" s="33"/>
      <c r="D210" s="33"/>
      <c r="E210" s="57"/>
      <c r="F210" s="33"/>
      <c r="G210" s="33"/>
      <c r="H210" s="33"/>
      <c r="I210" s="57"/>
      <c r="J210" s="33"/>
      <c r="K210" s="33"/>
      <c r="L210" s="33"/>
      <c r="M210" s="57"/>
      <c r="N210" s="33"/>
      <c r="O210" s="33"/>
      <c r="P210" s="33"/>
      <c r="Q210" s="57"/>
      <c r="R210" s="33"/>
      <c r="S210" s="33"/>
      <c r="T210" s="33"/>
      <c r="U210" s="57"/>
      <c r="V210" s="33"/>
      <c r="W210" s="33"/>
      <c r="X210" s="33"/>
      <c r="Y210" s="57"/>
      <c r="Z210" s="33"/>
      <c r="AA210" s="33"/>
      <c r="AB210" s="33"/>
      <c r="AC210" s="57"/>
      <c r="AD210" s="168"/>
      <c r="AE210" s="168"/>
      <c r="AF210" s="168"/>
      <c r="AG210" s="168"/>
      <c r="AH210" s="168"/>
      <c r="AI210" s="168"/>
      <c r="AJ210" s="169"/>
      <c r="AK210" s="169"/>
      <c r="AL210" s="170"/>
      <c r="AM210" s="171"/>
      <c r="AN210" s="171"/>
      <c r="AO210" s="171"/>
      <c r="AP210" s="171"/>
      <c r="AQ210" s="171"/>
      <c r="AR210" s="171"/>
      <c r="AS210" s="171"/>
      <c r="AT210" s="171"/>
      <c r="AU210" s="172"/>
      <c r="AV210" s="172"/>
      <c r="AW210" s="173"/>
      <c r="AX210" s="173"/>
      <c r="AY210" s="173"/>
    </row>
    <row r="211" s="4" customFormat="1" ht="12" spans="1:51">
      <c r="A211" s="22" t="s">
        <v>894</v>
      </c>
      <c r="B211" s="138"/>
      <c r="C211" s="138"/>
      <c r="D211" s="138"/>
      <c r="E211" s="147"/>
      <c r="F211" s="125"/>
      <c r="G211" s="27"/>
      <c r="H211" s="27"/>
      <c r="I211" s="52"/>
      <c r="J211" s="27"/>
      <c r="K211" s="27"/>
      <c r="L211" s="27"/>
      <c r="M211" s="52"/>
      <c r="N211" s="27"/>
      <c r="O211" s="27"/>
      <c r="P211" s="27"/>
      <c r="Q211" s="52"/>
      <c r="R211" s="27"/>
      <c r="S211" s="27"/>
      <c r="T211" s="27"/>
      <c r="U211" s="52"/>
      <c r="V211" s="27"/>
      <c r="W211" s="27"/>
      <c r="X211" s="27"/>
      <c r="Y211" s="52"/>
      <c r="Z211" s="27"/>
      <c r="AA211" s="27"/>
      <c r="AB211" s="27"/>
      <c r="AC211" s="52"/>
      <c r="AD211" s="168"/>
      <c r="AE211" s="168"/>
      <c r="AF211" s="168"/>
      <c r="AG211" s="168"/>
      <c r="AH211" s="168"/>
      <c r="AI211" s="168"/>
      <c r="AJ211" s="169"/>
      <c r="AK211" s="169"/>
      <c r="AL211" s="170"/>
      <c r="AM211" s="171"/>
      <c r="AN211" s="171"/>
      <c r="AO211" s="171"/>
      <c r="AP211" s="171"/>
      <c r="AQ211" s="171"/>
      <c r="AR211" s="171"/>
      <c r="AS211" s="171"/>
      <c r="AT211" s="171"/>
      <c r="AU211" s="172"/>
      <c r="AV211" s="172"/>
      <c r="AW211" s="173"/>
      <c r="AX211" s="173"/>
      <c r="AY211" s="173"/>
    </row>
    <row r="212" s="4" customFormat="1" ht="12" spans="1:51">
      <c r="A212" s="29" t="s">
        <v>851</v>
      </c>
      <c r="B212" s="121">
        <f t="shared" ref="B212:Y212" si="273">+B63</f>
        <v>0.4</v>
      </c>
      <c r="C212" s="121">
        <f t="shared" si="273"/>
        <v>0.4</v>
      </c>
      <c r="D212" s="121">
        <f t="shared" si="273"/>
        <v>0.4</v>
      </c>
      <c r="E212" s="124">
        <f t="shared" si="273"/>
        <v>0.4</v>
      </c>
      <c r="F212" s="121">
        <f t="shared" si="273"/>
        <v>0.333</v>
      </c>
      <c r="G212" s="121">
        <f t="shared" si="273"/>
        <v>0.32</v>
      </c>
      <c r="H212" s="121">
        <f t="shared" si="273"/>
        <v>0.3</v>
      </c>
      <c r="I212" s="124">
        <f t="shared" si="273"/>
        <v>0.2</v>
      </c>
      <c r="J212" s="121">
        <f t="shared" si="273"/>
        <v>0.1</v>
      </c>
      <c r="K212" s="121">
        <f t="shared" si="273"/>
        <v>0.1</v>
      </c>
      <c r="L212" s="121">
        <f t="shared" si="273"/>
        <v>0.1</v>
      </c>
      <c r="M212" s="124">
        <f t="shared" si="273"/>
        <v>0.1</v>
      </c>
      <c r="N212" s="121">
        <f t="shared" si="273"/>
        <v>0.09</v>
      </c>
      <c r="O212" s="121">
        <f t="shared" si="273"/>
        <v>0.09</v>
      </c>
      <c r="P212" s="121">
        <f t="shared" si="273"/>
        <v>0.09</v>
      </c>
      <c r="Q212" s="124">
        <f t="shared" si="273"/>
        <v>0.09</v>
      </c>
      <c r="R212" s="121">
        <f t="shared" si="273"/>
        <v>0.081</v>
      </c>
      <c r="S212" s="121">
        <f t="shared" si="273"/>
        <v>0.081</v>
      </c>
      <c r="T212" s="121">
        <f t="shared" si="273"/>
        <v>0.081</v>
      </c>
      <c r="U212" s="124">
        <f t="shared" si="273"/>
        <v>0.081</v>
      </c>
      <c r="V212" s="121">
        <f t="shared" si="273"/>
        <v>0.0729</v>
      </c>
      <c r="W212" s="121">
        <f t="shared" si="273"/>
        <v>0.0729</v>
      </c>
      <c r="X212" s="121">
        <f t="shared" si="273"/>
        <v>0.0729</v>
      </c>
      <c r="Y212" s="124">
        <f t="shared" si="273"/>
        <v>0.0729</v>
      </c>
      <c r="Z212" s="121">
        <f t="shared" ref="Z212:AC212" si="274">+Z63</f>
        <v>0.06561</v>
      </c>
      <c r="AA212" s="121">
        <f t="shared" si="274"/>
        <v>0.06561</v>
      </c>
      <c r="AB212" s="121">
        <f t="shared" si="274"/>
        <v>0.06561</v>
      </c>
      <c r="AC212" s="124">
        <f t="shared" si="274"/>
        <v>0.06561</v>
      </c>
      <c r="AD212" s="168"/>
      <c r="AE212" s="168"/>
      <c r="AF212" s="168"/>
      <c r="AG212" s="168"/>
      <c r="AH212" s="168"/>
      <c r="AI212" s="168"/>
      <c r="AJ212" s="169"/>
      <c r="AK212" s="169"/>
      <c r="AL212" s="170"/>
      <c r="AM212" s="171"/>
      <c r="AN212" s="171"/>
      <c r="AO212" s="171"/>
      <c r="AP212" s="171"/>
      <c r="AQ212" s="171"/>
      <c r="AR212" s="171"/>
      <c r="AS212" s="171"/>
      <c r="AT212" s="171"/>
      <c r="AU212" s="172"/>
      <c r="AV212" s="172"/>
      <c r="AW212" s="173"/>
      <c r="AX212" s="173"/>
      <c r="AY212" s="173"/>
    </row>
    <row r="213" s="4" customFormat="1" ht="12" spans="1:51">
      <c r="A213" s="29" t="s">
        <v>852</v>
      </c>
      <c r="B213" s="121">
        <f t="shared" ref="B213:Y213" si="275">+B64</f>
        <v>0.6</v>
      </c>
      <c r="C213" s="121">
        <f t="shared" si="275"/>
        <v>0.6</v>
      </c>
      <c r="D213" s="121">
        <f t="shared" si="275"/>
        <v>0.7</v>
      </c>
      <c r="E213" s="124">
        <f t="shared" si="275"/>
        <v>0.62</v>
      </c>
      <c r="F213" s="121">
        <f t="shared" si="275"/>
        <v>0.4</v>
      </c>
      <c r="G213" s="121">
        <f t="shared" si="275"/>
        <v>0.509</v>
      </c>
      <c r="H213" s="121">
        <f t="shared" si="275"/>
        <v>0.55</v>
      </c>
      <c r="I213" s="124">
        <f t="shared" si="275"/>
        <v>0.35</v>
      </c>
      <c r="J213" s="121">
        <f t="shared" si="275"/>
        <v>0.05</v>
      </c>
      <c r="K213" s="121">
        <f t="shared" si="275"/>
        <v>0.15</v>
      </c>
      <c r="L213" s="121">
        <f t="shared" si="275"/>
        <v>0.15</v>
      </c>
      <c r="M213" s="124">
        <f t="shared" si="275"/>
        <v>0.15</v>
      </c>
      <c r="N213" s="121">
        <f t="shared" si="275"/>
        <v>0.1</v>
      </c>
      <c r="O213" s="121">
        <f t="shared" si="275"/>
        <v>0.1</v>
      </c>
      <c r="P213" s="121">
        <f t="shared" si="275"/>
        <v>0.1</v>
      </c>
      <c r="Q213" s="124">
        <f t="shared" si="275"/>
        <v>0.1</v>
      </c>
      <c r="R213" s="121">
        <f t="shared" si="275"/>
        <v>0.09</v>
      </c>
      <c r="S213" s="121">
        <f t="shared" si="275"/>
        <v>0.09</v>
      </c>
      <c r="T213" s="121">
        <f t="shared" si="275"/>
        <v>0.09</v>
      </c>
      <c r="U213" s="124">
        <f t="shared" si="275"/>
        <v>0.09</v>
      </c>
      <c r="V213" s="121">
        <f t="shared" si="275"/>
        <v>0.081</v>
      </c>
      <c r="W213" s="121">
        <f t="shared" si="275"/>
        <v>0.081</v>
      </c>
      <c r="X213" s="121">
        <f t="shared" si="275"/>
        <v>0.081</v>
      </c>
      <c r="Y213" s="124">
        <f t="shared" si="275"/>
        <v>0.081</v>
      </c>
      <c r="Z213" s="121">
        <f t="shared" ref="Z213:AC213" si="276">+Z64</f>
        <v>0.0729</v>
      </c>
      <c r="AA213" s="121">
        <f t="shared" si="276"/>
        <v>0.0729</v>
      </c>
      <c r="AB213" s="121">
        <f t="shared" si="276"/>
        <v>0.0729</v>
      </c>
      <c r="AC213" s="124">
        <f t="shared" si="276"/>
        <v>0.0729</v>
      </c>
      <c r="AD213" s="168"/>
      <c r="AE213" s="168"/>
      <c r="AF213" s="168"/>
      <c r="AG213" s="168"/>
      <c r="AH213" s="168"/>
      <c r="AI213" s="168"/>
      <c r="AJ213" s="169"/>
      <c r="AK213" s="169"/>
      <c r="AL213" s="170"/>
      <c r="AM213" s="171"/>
      <c r="AN213" s="171"/>
      <c r="AO213" s="171"/>
      <c r="AP213" s="171"/>
      <c r="AQ213" s="171"/>
      <c r="AR213" s="171"/>
      <c r="AS213" s="171"/>
      <c r="AT213" s="171"/>
      <c r="AU213" s="172"/>
      <c r="AV213" s="172"/>
      <c r="AW213" s="173"/>
      <c r="AX213" s="173"/>
      <c r="AY213" s="173"/>
    </row>
    <row r="214" s="4" customFormat="1" ht="12" spans="1:51">
      <c r="A214" s="29" t="s">
        <v>853</v>
      </c>
      <c r="B214" s="121">
        <f t="shared" ref="B214:Y214" si="277">+B65</f>
        <v>0.09</v>
      </c>
      <c r="C214" s="121">
        <f t="shared" si="277"/>
        <v>0.1</v>
      </c>
      <c r="D214" s="121">
        <f t="shared" si="277"/>
        <v>0.13</v>
      </c>
      <c r="E214" s="124">
        <f t="shared" si="277"/>
        <v>0.11</v>
      </c>
      <c r="F214" s="121">
        <f t="shared" si="277"/>
        <v>0.08</v>
      </c>
      <c r="G214" s="121">
        <f t="shared" si="277"/>
        <v>0.08</v>
      </c>
      <c r="H214" s="121">
        <f t="shared" si="277"/>
        <v>0.1</v>
      </c>
      <c r="I214" s="124">
        <f t="shared" si="277"/>
        <v>0.09</v>
      </c>
      <c r="J214" s="121">
        <f t="shared" si="277"/>
        <v>0.02</v>
      </c>
      <c r="K214" s="121">
        <f t="shared" si="277"/>
        <v>0.02</v>
      </c>
      <c r="L214" s="121">
        <f t="shared" si="277"/>
        <v>0.02</v>
      </c>
      <c r="M214" s="124">
        <f t="shared" si="277"/>
        <v>0.02</v>
      </c>
      <c r="N214" s="121">
        <f t="shared" si="277"/>
        <v>0.0178</v>
      </c>
      <c r="O214" s="121">
        <f t="shared" si="277"/>
        <v>0.0178</v>
      </c>
      <c r="P214" s="121">
        <f t="shared" si="277"/>
        <v>0.06</v>
      </c>
      <c r="Q214" s="124">
        <f t="shared" si="277"/>
        <v>0.06</v>
      </c>
      <c r="R214" s="121">
        <f t="shared" si="277"/>
        <v>0.01691</v>
      </c>
      <c r="S214" s="121">
        <f t="shared" si="277"/>
        <v>0.01691</v>
      </c>
      <c r="T214" s="121">
        <f t="shared" si="277"/>
        <v>0.057</v>
      </c>
      <c r="U214" s="124">
        <f t="shared" si="277"/>
        <v>0.057</v>
      </c>
      <c r="V214" s="121">
        <f t="shared" si="277"/>
        <v>0.0160645</v>
      </c>
      <c r="W214" s="121">
        <f t="shared" si="277"/>
        <v>0.0160645</v>
      </c>
      <c r="X214" s="121">
        <f t="shared" si="277"/>
        <v>0.05415</v>
      </c>
      <c r="Y214" s="124">
        <f t="shared" si="277"/>
        <v>0.05415</v>
      </c>
      <c r="Z214" s="121">
        <f t="shared" ref="Z214:AC214" si="278">+Z65</f>
        <v>0.015261275</v>
      </c>
      <c r="AA214" s="121">
        <f t="shared" si="278"/>
        <v>0.015261275</v>
      </c>
      <c r="AB214" s="121">
        <f t="shared" si="278"/>
        <v>0.0514425</v>
      </c>
      <c r="AC214" s="124">
        <f t="shared" si="278"/>
        <v>0.0514425</v>
      </c>
      <c r="AD214" s="168"/>
      <c r="AE214" s="168"/>
      <c r="AF214" s="168"/>
      <c r="AG214" s="168"/>
      <c r="AH214" s="168"/>
      <c r="AI214" s="168"/>
      <c r="AJ214" s="169"/>
      <c r="AK214" s="169"/>
      <c r="AL214" s="170"/>
      <c r="AM214" s="171"/>
      <c r="AN214" s="171"/>
      <c r="AO214" s="171"/>
      <c r="AP214" s="171"/>
      <c r="AQ214" s="171"/>
      <c r="AR214" s="171"/>
      <c r="AS214" s="171"/>
      <c r="AT214" s="171"/>
      <c r="AU214" s="172"/>
      <c r="AV214" s="172"/>
      <c r="AW214" s="173"/>
      <c r="AX214" s="173"/>
      <c r="AY214" s="173"/>
    </row>
    <row r="215" s="4" customFormat="1" ht="12" spans="1:51">
      <c r="A215" s="29" t="s">
        <v>854</v>
      </c>
      <c r="B215" s="121">
        <f t="shared" ref="B215:Y215" si="279">+B66</f>
        <v>0.01</v>
      </c>
      <c r="C215" s="121">
        <f t="shared" si="279"/>
        <v>0.02</v>
      </c>
      <c r="D215" s="121">
        <f t="shared" si="279"/>
        <v>0.03</v>
      </c>
      <c r="E215" s="124">
        <f t="shared" si="279"/>
        <v>0.04</v>
      </c>
      <c r="F215" s="121">
        <f t="shared" si="279"/>
        <v>0.005</v>
      </c>
      <c r="G215" s="121">
        <f t="shared" si="279"/>
        <v>0.01</v>
      </c>
      <c r="H215" s="121">
        <f t="shared" si="279"/>
        <v>0.018</v>
      </c>
      <c r="I215" s="124">
        <f t="shared" si="279"/>
        <v>0.0135</v>
      </c>
      <c r="J215" s="121">
        <f t="shared" si="279"/>
        <v>0.005</v>
      </c>
      <c r="K215" s="121">
        <f t="shared" si="279"/>
        <v>0.005</v>
      </c>
      <c r="L215" s="121">
        <f t="shared" si="279"/>
        <v>0.005</v>
      </c>
      <c r="M215" s="124">
        <f t="shared" si="279"/>
        <v>0.005</v>
      </c>
      <c r="N215" s="121">
        <f t="shared" si="279"/>
        <v>0.005</v>
      </c>
      <c r="O215" s="121">
        <f t="shared" si="279"/>
        <v>0.005</v>
      </c>
      <c r="P215" s="121">
        <f t="shared" si="279"/>
        <v>0.005</v>
      </c>
      <c r="Q215" s="124">
        <f t="shared" si="279"/>
        <v>0.005</v>
      </c>
      <c r="R215" s="121">
        <f t="shared" si="279"/>
        <v>0.005</v>
      </c>
      <c r="S215" s="121">
        <f t="shared" si="279"/>
        <v>0.005</v>
      </c>
      <c r="T215" s="121">
        <f t="shared" si="279"/>
        <v>0.005</v>
      </c>
      <c r="U215" s="124">
        <f t="shared" si="279"/>
        <v>0.005</v>
      </c>
      <c r="V215" s="121">
        <f t="shared" si="279"/>
        <v>0.005</v>
      </c>
      <c r="W215" s="121">
        <f t="shared" si="279"/>
        <v>0.005</v>
      </c>
      <c r="X215" s="121">
        <f t="shared" si="279"/>
        <v>0.005</v>
      </c>
      <c r="Y215" s="124">
        <f t="shared" si="279"/>
        <v>0.005</v>
      </c>
      <c r="Z215" s="121">
        <f t="shared" ref="Z215:AC215" si="280">+Z66</f>
        <v>0.005</v>
      </c>
      <c r="AA215" s="121">
        <f t="shared" si="280"/>
        <v>0.005</v>
      </c>
      <c r="AB215" s="121">
        <f t="shared" si="280"/>
        <v>0.005</v>
      </c>
      <c r="AC215" s="124">
        <f t="shared" si="280"/>
        <v>0.005</v>
      </c>
      <c r="AD215" s="168"/>
      <c r="AE215" s="168"/>
      <c r="AF215" s="168"/>
      <c r="AG215" s="168"/>
      <c r="AH215" s="168"/>
      <c r="AI215" s="168"/>
      <c r="AJ215" s="169"/>
      <c r="AK215" s="169"/>
      <c r="AL215" s="170"/>
      <c r="AM215" s="171"/>
      <c r="AN215" s="171"/>
      <c r="AO215" s="171"/>
      <c r="AP215" s="171"/>
      <c r="AQ215" s="171"/>
      <c r="AR215" s="171"/>
      <c r="AS215" s="171"/>
      <c r="AT215" s="171"/>
      <c r="AU215" s="172"/>
      <c r="AV215" s="172"/>
      <c r="AW215" s="173"/>
      <c r="AX215" s="173"/>
      <c r="AY215" s="173"/>
    </row>
    <row r="216" s="4" customFormat="1" ht="12" spans="1:51">
      <c r="A216" s="29" t="s">
        <v>855</v>
      </c>
      <c r="B216" s="121">
        <f t="shared" ref="B216:N216" si="281">+B67</f>
        <v>0</v>
      </c>
      <c r="C216" s="121">
        <f t="shared" si="281"/>
        <v>0</v>
      </c>
      <c r="D216" s="121">
        <f t="shared" si="281"/>
        <v>0.02</v>
      </c>
      <c r="E216" s="124">
        <f t="shared" si="281"/>
        <v>0.03</v>
      </c>
      <c r="F216" s="121">
        <f t="shared" si="281"/>
        <v>0.032</v>
      </c>
      <c r="G216" s="121">
        <f t="shared" si="281"/>
        <v>0.044</v>
      </c>
      <c r="H216" s="121">
        <f t="shared" si="281"/>
        <v>0.05</v>
      </c>
      <c r="I216" s="124">
        <f t="shared" si="281"/>
        <v>0.2</v>
      </c>
      <c r="J216" s="121">
        <f t="shared" si="281"/>
        <v>0.348</v>
      </c>
      <c r="K216" s="121">
        <f t="shared" si="281"/>
        <v>0.51</v>
      </c>
      <c r="L216" s="121">
        <f t="shared" si="281"/>
        <v>0.743</v>
      </c>
      <c r="M216" s="124">
        <f t="shared" si="281"/>
        <v>0.9</v>
      </c>
      <c r="N216" s="121">
        <f t="shared" si="281"/>
        <v>1.1</v>
      </c>
      <c r="O216" s="179">
        <f t="shared" ref="O216:Y216" si="282">+O67-O149</f>
        <v>0.99</v>
      </c>
      <c r="P216" s="179">
        <f t="shared" si="282"/>
        <v>0.67</v>
      </c>
      <c r="Q216" s="180">
        <f t="shared" si="282"/>
        <v>0.7</v>
      </c>
      <c r="R216" s="179">
        <f t="shared" si="282"/>
        <v>0.573</v>
      </c>
      <c r="S216" s="179">
        <f t="shared" si="282"/>
        <v>0.1</v>
      </c>
      <c r="T216" s="179">
        <f t="shared" si="282"/>
        <v>0.02</v>
      </c>
      <c r="U216" s="180">
        <f t="shared" si="282"/>
        <v>0.01</v>
      </c>
      <c r="V216" s="179">
        <f t="shared" si="282"/>
        <v>0.01</v>
      </c>
      <c r="W216" s="179">
        <f t="shared" si="282"/>
        <v>0.01</v>
      </c>
      <c r="X216" s="179">
        <f t="shared" si="282"/>
        <v>0.01</v>
      </c>
      <c r="Y216" s="180">
        <f t="shared" si="282"/>
        <v>0.01</v>
      </c>
      <c r="Z216" s="179">
        <f t="shared" ref="Z216:AC216" si="283">+Z67-Z149</f>
        <v>0.01</v>
      </c>
      <c r="AA216" s="179">
        <f t="shared" si="283"/>
        <v>0.01</v>
      </c>
      <c r="AB216" s="179">
        <f t="shared" si="283"/>
        <v>0.01</v>
      </c>
      <c r="AC216" s="180">
        <f t="shared" si="283"/>
        <v>0.01</v>
      </c>
      <c r="AD216" s="168"/>
      <c r="AE216" s="168"/>
      <c r="AF216" s="168"/>
      <c r="AG216" s="168"/>
      <c r="AH216" s="168"/>
      <c r="AI216" s="168"/>
      <c r="AJ216" s="169"/>
      <c r="AK216" s="169"/>
      <c r="AL216" s="170"/>
      <c r="AM216" s="171"/>
      <c r="AN216" s="171"/>
      <c r="AO216" s="171"/>
      <c r="AP216" s="171"/>
      <c r="AQ216" s="171"/>
      <c r="AR216" s="171"/>
      <c r="AS216" s="171"/>
      <c r="AT216" s="171"/>
      <c r="AU216" s="172"/>
      <c r="AV216" s="172"/>
      <c r="AW216" s="173"/>
      <c r="AX216" s="173"/>
      <c r="AY216" s="173"/>
    </row>
    <row r="217" s="4" customFormat="1" ht="12" spans="1:51">
      <c r="A217" s="29" t="s">
        <v>856</v>
      </c>
      <c r="B217" s="121">
        <f t="shared" ref="B217:N217" si="284">+B68</f>
        <v>0</v>
      </c>
      <c r="C217" s="121">
        <f t="shared" si="284"/>
        <v>0</v>
      </c>
      <c r="D217" s="121">
        <f t="shared" si="284"/>
        <v>0</v>
      </c>
      <c r="E217" s="124">
        <f t="shared" si="284"/>
        <v>0</v>
      </c>
      <c r="F217" s="121">
        <f t="shared" si="284"/>
        <v>0</v>
      </c>
      <c r="G217" s="121">
        <f t="shared" si="284"/>
        <v>0</v>
      </c>
      <c r="H217" s="121">
        <f t="shared" si="284"/>
        <v>0</v>
      </c>
      <c r="I217" s="124">
        <f t="shared" si="284"/>
        <v>0</v>
      </c>
      <c r="J217" s="121">
        <f t="shared" si="284"/>
        <v>0.01</v>
      </c>
      <c r="K217" s="121">
        <f t="shared" si="284"/>
        <v>0.03</v>
      </c>
      <c r="L217" s="121">
        <f t="shared" si="284"/>
        <v>0.08</v>
      </c>
      <c r="M217" s="124">
        <f t="shared" si="284"/>
        <v>0.25</v>
      </c>
      <c r="N217" s="121">
        <f t="shared" si="284"/>
        <v>0.323</v>
      </c>
      <c r="O217" s="179">
        <f t="shared" ref="O217:Y217" si="285">+O68-O150</f>
        <v>1.11</v>
      </c>
      <c r="P217" s="179">
        <f t="shared" si="285"/>
        <v>1.1</v>
      </c>
      <c r="Q217" s="180">
        <f t="shared" si="285"/>
        <v>1.59</v>
      </c>
      <c r="R217" s="179">
        <f t="shared" si="285"/>
        <v>1.63</v>
      </c>
      <c r="S217" s="179">
        <f t="shared" si="285"/>
        <v>2</v>
      </c>
      <c r="T217" s="179">
        <f t="shared" si="285"/>
        <v>2.3</v>
      </c>
      <c r="U217" s="180">
        <f t="shared" si="285"/>
        <v>2.3</v>
      </c>
      <c r="V217" s="179">
        <f t="shared" si="285"/>
        <v>2.2</v>
      </c>
      <c r="W217" s="179">
        <f t="shared" si="285"/>
        <v>2.2</v>
      </c>
      <c r="X217" s="179">
        <f t="shared" si="285"/>
        <v>2.2</v>
      </c>
      <c r="Y217" s="180">
        <f t="shared" si="285"/>
        <v>2.2</v>
      </c>
      <c r="Z217" s="179">
        <f t="shared" ref="Z217:AC217" si="286">+Z68-Z150</f>
        <v>1.87</v>
      </c>
      <c r="AA217" s="179">
        <f t="shared" si="286"/>
        <v>1.87</v>
      </c>
      <c r="AB217" s="179">
        <f t="shared" si="286"/>
        <v>1.87</v>
      </c>
      <c r="AC217" s="180">
        <f t="shared" si="286"/>
        <v>1.87</v>
      </c>
      <c r="AD217" s="168"/>
      <c r="AE217" s="168"/>
      <c r="AF217" s="168"/>
      <c r="AG217" s="168"/>
      <c r="AH217" s="168"/>
      <c r="AI217" s="168"/>
      <c r="AJ217" s="169"/>
      <c r="AK217" s="169"/>
      <c r="AL217" s="170"/>
      <c r="AM217" s="171"/>
      <c r="AN217" s="171"/>
      <c r="AO217" s="171"/>
      <c r="AP217" s="171"/>
      <c r="AQ217" s="171"/>
      <c r="AR217" s="171"/>
      <c r="AS217" s="171"/>
      <c r="AT217" s="171"/>
      <c r="AU217" s="172"/>
      <c r="AV217" s="172"/>
      <c r="AW217" s="173"/>
      <c r="AX217" s="173"/>
      <c r="AY217" s="173"/>
    </row>
    <row r="218" s="4" customFormat="1" ht="12" spans="1:51">
      <c r="A218" s="29" t="s">
        <v>857</v>
      </c>
      <c r="B218" s="121">
        <f t="shared" ref="B218:N218" si="287">+B69</f>
        <v>0</v>
      </c>
      <c r="C218" s="121">
        <f t="shared" si="287"/>
        <v>0</v>
      </c>
      <c r="D218" s="121">
        <f t="shared" si="287"/>
        <v>0</v>
      </c>
      <c r="E218" s="124">
        <f t="shared" si="287"/>
        <v>0</v>
      </c>
      <c r="F218" s="121">
        <f t="shared" si="287"/>
        <v>0</v>
      </c>
      <c r="G218" s="121">
        <f t="shared" si="287"/>
        <v>0</v>
      </c>
      <c r="H218" s="121">
        <f t="shared" si="287"/>
        <v>0</v>
      </c>
      <c r="I218" s="124">
        <f t="shared" si="287"/>
        <v>0</v>
      </c>
      <c r="J218" s="121">
        <f t="shared" si="287"/>
        <v>0</v>
      </c>
      <c r="K218" s="121">
        <f t="shared" si="287"/>
        <v>0</v>
      </c>
      <c r="L218" s="121">
        <f t="shared" si="287"/>
        <v>0</v>
      </c>
      <c r="M218" s="124">
        <f t="shared" si="287"/>
        <v>0</v>
      </c>
      <c r="N218" s="121">
        <f t="shared" si="287"/>
        <v>0</v>
      </c>
      <c r="O218" s="179">
        <f t="shared" ref="O218:Y218" si="288">+O69-O151</f>
        <v>0</v>
      </c>
      <c r="P218" s="179">
        <f t="shared" si="288"/>
        <v>0.03</v>
      </c>
      <c r="Q218" s="180">
        <f t="shared" si="288"/>
        <v>0.07</v>
      </c>
      <c r="R218" s="179">
        <f t="shared" si="288"/>
        <v>0.15</v>
      </c>
      <c r="S218" s="179">
        <f t="shared" si="288"/>
        <v>0.6</v>
      </c>
      <c r="T218" s="179">
        <f t="shared" si="288"/>
        <v>1</v>
      </c>
      <c r="U218" s="180">
        <f t="shared" si="288"/>
        <v>1.2</v>
      </c>
      <c r="V218" s="179">
        <f t="shared" si="288"/>
        <v>1.2</v>
      </c>
      <c r="W218" s="179">
        <f t="shared" si="288"/>
        <v>1.5</v>
      </c>
      <c r="X218" s="179">
        <f t="shared" si="288"/>
        <v>2.2</v>
      </c>
      <c r="Y218" s="180">
        <f t="shared" si="288"/>
        <v>2</v>
      </c>
      <c r="Z218" s="179">
        <f t="shared" ref="Z218:AC218" si="289">+Z69-Z151</f>
        <v>1.68</v>
      </c>
      <c r="AA218" s="179">
        <f t="shared" si="289"/>
        <v>2.25</v>
      </c>
      <c r="AB218" s="179">
        <f t="shared" si="289"/>
        <v>3.3</v>
      </c>
      <c r="AC218" s="180">
        <f t="shared" si="289"/>
        <v>3</v>
      </c>
      <c r="AD218" s="168"/>
      <c r="AE218" s="168"/>
      <c r="AF218" s="168"/>
      <c r="AG218" s="168"/>
      <c r="AH218" s="168"/>
      <c r="AI218" s="168"/>
      <c r="AJ218" s="169"/>
      <c r="AK218" s="169"/>
      <c r="AL218" s="170"/>
      <c r="AM218" s="171"/>
      <c r="AN218" s="171"/>
      <c r="AO218" s="171"/>
      <c r="AP218" s="171"/>
      <c r="AQ218" s="171"/>
      <c r="AR218" s="171"/>
      <c r="AS218" s="171"/>
      <c r="AT218" s="171"/>
      <c r="AU218" s="172"/>
      <c r="AV218" s="172"/>
      <c r="AW218" s="173"/>
      <c r="AX218" s="173"/>
      <c r="AY218" s="173"/>
    </row>
    <row r="219" s="4" customFormat="1" ht="12" spans="1:51">
      <c r="A219" s="25"/>
      <c r="B219" s="138"/>
      <c r="C219" s="138"/>
      <c r="D219" s="138"/>
      <c r="E219" s="147"/>
      <c r="F219" s="125"/>
      <c r="G219" s="27"/>
      <c r="H219" s="27"/>
      <c r="I219" s="52"/>
      <c r="J219" s="27"/>
      <c r="K219" s="27"/>
      <c r="L219" s="27"/>
      <c r="M219" s="52"/>
      <c r="N219" s="27"/>
      <c r="O219" s="27"/>
      <c r="P219" s="27"/>
      <c r="Q219" s="52"/>
      <c r="R219" s="27"/>
      <c r="S219" s="27"/>
      <c r="T219" s="27"/>
      <c r="U219" s="52"/>
      <c r="V219" s="27"/>
      <c r="W219" s="27"/>
      <c r="X219" s="27"/>
      <c r="Y219" s="52"/>
      <c r="Z219" s="27"/>
      <c r="AA219" s="27"/>
      <c r="AB219" s="27"/>
      <c r="AC219" s="52"/>
      <c r="AD219" s="168"/>
      <c r="AE219" s="168"/>
      <c r="AF219" s="168"/>
      <c r="AG219" s="168"/>
      <c r="AH219" s="168"/>
      <c r="AI219" s="168"/>
      <c r="AJ219" s="169"/>
      <c r="AK219" s="169"/>
      <c r="AL219" s="170"/>
      <c r="AM219" s="171"/>
      <c r="AN219" s="171"/>
      <c r="AO219" s="171"/>
      <c r="AP219" s="171"/>
      <c r="AQ219" s="171"/>
      <c r="AR219" s="171"/>
      <c r="AS219" s="171"/>
      <c r="AT219" s="171"/>
      <c r="AU219" s="172"/>
      <c r="AV219" s="172"/>
      <c r="AW219" s="173"/>
      <c r="AX219" s="173"/>
      <c r="AY219" s="173"/>
    </row>
    <row r="220" s="4" customFormat="1" ht="12" spans="1:51">
      <c r="A220" s="22" t="s">
        <v>895</v>
      </c>
      <c r="B220" s="138"/>
      <c r="C220" s="138"/>
      <c r="D220" s="138"/>
      <c r="E220" s="147"/>
      <c r="F220" s="125"/>
      <c r="G220" s="27"/>
      <c r="H220" s="27"/>
      <c r="I220" s="52"/>
      <c r="J220" s="27"/>
      <c r="K220" s="27"/>
      <c r="L220" s="27"/>
      <c r="M220" s="52"/>
      <c r="N220" s="27"/>
      <c r="O220" s="27"/>
      <c r="P220" s="27"/>
      <c r="Q220" s="52"/>
      <c r="R220" s="27"/>
      <c r="S220" s="27"/>
      <c r="T220" s="27"/>
      <c r="U220" s="52"/>
      <c r="V220" s="27"/>
      <c r="W220" s="27"/>
      <c r="X220" s="27"/>
      <c r="Y220" s="52"/>
      <c r="Z220" s="27"/>
      <c r="AA220" s="27"/>
      <c r="AB220" s="27"/>
      <c r="AC220" s="52"/>
      <c r="AD220" s="168"/>
      <c r="AE220" s="168"/>
      <c r="AF220" s="168"/>
      <c r="AG220" s="168"/>
      <c r="AH220" s="168"/>
      <c r="AI220" s="168"/>
      <c r="AJ220" s="169"/>
      <c r="AK220" s="169"/>
      <c r="AL220" s="170"/>
      <c r="AM220" s="171"/>
      <c r="AN220" s="171"/>
      <c r="AO220" s="171"/>
      <c r="AP220" s="171"/>
      <c r="AQ220" s="171"/>
      <c r="AR220" s="171"/>
      <c r="AS220" s="171"/>
      <c r="AT220" s="171"/>
      <c r="AU220" s="172"/>
      <c r="AV220" s="172"/>
      <c r="AW220" s="173"/>
      <c r="AX220" s="173"/>
      <c r="AY220" s="173"/>
    </row>
    <row r="221" s="4" customFormat="1" ht="12" spans="1:51">
      <c r="A221" s="29" t="s">
        <v>851</v>
      </c>
      <c r="B221" s="112">
        <f t="shared" ref="B221:Y221" si="290">+B92</f>
        <v>346</v>
      </c>
      <c r="C221" s="112">
        <f t="shared" si="290"/>
        <v>346</v>
      </c>
      <c r="D221" s="112">
        <f t="shared" si="290"/>
        <v>346</v>
      </c>
      <c r="E221" s="117">
        <f t="shared" si="290"/>
        <v>346</v>
      </c>
      <c r="F221" s="112">
        <f t="shared" si="290"/>
        <v>328.7</v>
      </c>
      <c r="G221" s="112">
        <f t="shared" si="290"/>
        <v>328.7</v>
      </c>
      <c r="H221" s="112">
        <f t="shared" si="290"/>
        <v>328.7</v>
      </c>
      <c r="I221" s="117">
        <f t="shared" si="290"/>
        <v>328.7</v>
      </c>
      <c r="J221" s="112">
        <f t="shared" si="290"/>
        <v>312.265</v>
      </c>
      <c r="K221" s="112">
        <f t="shared" si="290"/>
        <v>312.265</v>
      </c>
      <c r="L221" s="112">
        <f t="shared" si="290"/>
        <v>312.265</v>
      </c>
      <c r="M221" s="117">
        <f t="shared" si="290"/>
        <v>312.265</v>
      </c>
      <c r="N221" s="112">
        <f t="shared" si="290"/>
        <v>296.65175</v>
      </c>
      <c r="O221" s="112">
        <f t="shared" si="290"/>
        <v>296.65175</v>
      </c>
      <c r="P221" s="112">
        <f t="shared" si="290"/>
        <v>296.65175</v>
      </c>
      <c r="Q221" s="117">
        <f t="shared" si="290"/>
        <v>296.65175</v>
      </c>
      <c r="R221" s="112">
        <f t="shared" si="290"/>
        <v>281.8191625</v>
      </c>
      <c r="S221" s="112">
        <f t="shared" si="290"/>
        <v>281.8191625</v>
      </c>
      <c r="T221" s="112">
        <f t="shared" si="290"/>
        <v>281.8191625</v>
      </c>
      <c r="U221" s="117">
        <f t="shared" si="290"/>
        <v>281.8191625</v>
      </c>
      <c r="V221" s="112">
        <f t="shared" si="290"/>
        <v>267.728204375</v>
      </c>
      <c r="W221" s="112">
        <f t="shared" si="290"/>
        <v>267.728204375</v>
      </c>
      <c r="X221" s="112">
        <f t="shared" si="290"/>
        <v>267.728204375</v>
      </c>
      <c r="Y221" s="117">
        <f t="shared" si="290"/>
        <v>267.728204375</v>
      </c>
      <c r="Z221" s="112">
        <f t="shared" ref="Z221:AC221" si="291">+Z92</f>
        <v>254.34179415625</v>
      </c>
      <c r="AA221" s="112">
        <f t="shared" si="291"/>
        <v>254.34179415625</v>
      </c>
      <c r="AB221" s="112">
        <f t="shared" si="291"/>
        <v>254.34179415625</v>
      </c>
      <c r="AC221" s="117">
        <f t="shared" si="291"/>
        <v>254.34179415625</v>
      </c>
      <c r="AD221" s="168"/>
      <c r="AE221" s="168"/>
      <c r="AF221" s="168"/>
      <c r="AG221" s="168"/>
      <c r="AH221" s="168"/>
      <c r="AI221" s="168"/>
      <c r="AJ221" s="169"/>
      <c r="AK221" s="169"/>
      <c r="AL221" s="170"/>
      <c r="AM221" s="171"/>
      <c r="AN221" s="171"/>
      <c r="AO221" s="171"/>
      <c r="AP221" s="171"/>
      <c r="AQ221" s="171"/>
      <c r="AR221" s="171"/>
      <c r="AS221" s="171"/>
      <c r="AT221" s="171"/>
      <c r="AU221" s="172"/>
      <c r="AV221" s="172"/>
      <c r="AW221" s="173"/>
      <c r="AX221" s="173"/>
      <c r="AY221" s="173"/>
    </row>
    <row r="222" s="4" customFormat="1" ht="12" spans="1:51">
      <c r="A222" s="29" t="s">
        <v>852</v>
      </c>
      <c r="B222" s="112">
        <f t="shared" ref="B222:Y222" si="292">+B93</f>
        <v>560</v>
      </c>
      <c r="C222" s="112">
        <f t="shared" si="292"/>
        <v>560</v>
      </c>
      <c r="D222" s="112">
        <f t="shared" si="292"/>
        <v>560</v>
      </c>
      <c r="E222" s="117">
        <f t="shared" si="292"/>
        <v>560</v>
      </c>
      <c r="F222" s="112">
        <f t="shared" si="292"/>
        <v>532</v>
      </c>
      <c r="G222" s="112">
        <f t="shared" si="292"/>
        <v>532</v>
      </c>
      <c r="H222" s="112">
        <f t="shared" si="292"/>
        <v>532</v>
      </c>
      <c r="I222" s="117">
        <f t="shared" si="292"/>
        <v>532</v>
      </c>
      <c r="J222" s="112">
        <f t="shared" si="292"/>
        <v>505.4</v>
      </c>
      <c r="K222" s="112">
        <f t="shared" si="292"/>
        <v>505.4</v>
      </c>
      <c r="L222" s="112">
        <f t="shared" si="292"/>
        <v>505.4</v>
      </c>
      <c r="M222" s="117">
        <f t="shared" si="292"/>
        <v>505.4</v>
      </c>
      <c r="N222" s="112">
        <f t="shared" si="292"/>
        <v>480.13</v>
      </c>
      <c r="O222" s="112">
        <f t="shared" si="292"/>
        <v>480.13</v>
      </c>
      <c r="P222" s="112">
        <f t="shared" si="292"/>
        <v>480.13</v>
      </c>
      <c r="Q222" s="117">
        <f t="shared" si="292"/>
        <v>480.13</v>
      </c>
      <c r="R222" s="112">
        <f t="shared" si="292"/>
        <v>456.1235</v>
      </c>
      <c r="S222" s="112">
        <f t="shared" si="292"/>
        <v>456.1235</v>
      </c>
      <c r="T222" s="112">
        <f t="shared" si="292"/>
        <v>456.1235</v>
      </c>
      <c r="U222" s="117">
        <f t="shared" si="292"/>
        <v>456.1235</v>
      </c>
      <c r="V222" s="112">
        <f t="shared" si="292"/>
        <v>433.317325</v>
      </c>
      <c r="W222" s="112">
        <f t="shared" si="292"/>
        <v>433.317325</v>
      </c>
      <c r="X222" s="112">
        <f t="shared" si="292"/>
        <v>433.317325</v>
      </c>
      <c r="Y222" s="117">
        <f t="shared" si="292"/>
        <v>433.317325</v>
      </c>
      <c r="Z222" s="112">
        <f t="shared" ref="Z222:AC222" si="293">+Z93</f>
        <v>411.65145875</v>
      </c>
      <c r="AA222" s="112">
        <f t="shared" si="293"/>
        <v>411.65145875</v>
      </c>
      <c r="AB222" s="112">
        <f t="shared" si="293"/>
        <v>411.65145875</v>
      </c>
      <c r="AC222" s="117">
        <f t="shared" si="293"/>
        <v>411.65145875</v>
      </c>
      <c r="AD222" s="168"/>
      <c r="AE222" s="168"/>
      <c r="AF222" s="168"/>
      <c r="AG222" s="168"/>
      <c r="AH222" s="168"/>
      <c r="AI222" s="168"/>
      <c r="AJ222" s="169"/>
      <c r="AK222" s="169"/>
      <c r="AL222" s="170"/>
      <c r="AM222" s="171"/>
      <c r="AN222" s="171"/>
      <c r="AO222" s="171"/>
      <c r="AP222" s="171"/>
      <c r="AQ222" s="171"/>
      <c r="AR222" s="171"/>
      <c r="AS222" s="171"/>
      <c r="AT222" s="171"/>
      <c r="AU222" s="172"/>
      <c r="AV222" s="172"/>
      <c r="AW222" s="173"/>
      <c r="AX222" s="173"/>
      <c r="AY222" s="173"/>
    </row>
    <row r="223" s="4" customFormat="1" ht="12" spans="1:51">
      <c r="A223" s="29" t="s">
        <v>853</v>
      </c>
      <c r="B223" s="112">
        <f t="shared" ref="B223:Y223" si="294">+B94</f>
        <v>840</v>
      </c>
      <c r="C223" s="112">
        <f t="shared" si="294"/>
        <v>840</v>
      </c>
      <c r="D223" s="112">
        <f t="shared" si="294"/>
        <v>840</v>
      </c>
      <c r="E223" s="117">
        <f t="shared" si="294"/>
        <v>840</v>
      </c>
      <c r="F223" s="112">
        <f t="shared" si="294"/>
        <v>490</v>
      </c>
      <c r="G223" s="112">
        <f t="shared" si="294"/>
        <v>490</v>
      </c>
      <c r="H223" s="112">
        <f t="shared" si="294"/>
        <v>490</v>
      </c>
      <c r="I223" s="117">
        <f t="shared" si="294"/>
        <v>490</v>
      </c>
      <c r="J223" s="112">
        <f t="shared" si="294"/>
        <v>465.5</v>
      </c>
      <c r="K223" s="112">
        <f t="shared" si="294"/>
        <v>465.5</v>
      </c>
      <c r="L223" s="112">
        <f t="shared" si="294"/>
        <v>465.5</v>
      </c>
      <c r="M223" s="117">
        <f t="shared" si="294"/>
        <v>465.5</v>
      </c>
      <c r="N223" s="112">
        <f t="shared" si="294"/>
        <v>442.225</v>
      </c>
      <c r="O223" s="112">
        <f t="shared" si="294"/>
        <v>442.225</v>
      </c>
      <c r="P223" s="112">
        <f t="shared" si="294"/>
        <v>442.225</v>
      </c>
      <c r="Q223" s="117">
        <f t="shared" si="294"/>
        <v>442.225</v>
      </c>
      <c r="R223" s="112">
        <f t="shared" si="294"/>
        <v>420.11375</v>
      </c>
      <c r="S223" s="112">
        <f t="shared" si="294"/>
        <v>420.11375</v>
      </c>
      <c r="T223" s="112">
        <f t="shared" si="294"/>
        <v>420.11375</v>
      </c>
      <c r="U223" s="117">
        <f t="shared" si="294"/>
        <v>420.11375</v>
      </c>
      <c r="V223" s="112">
        <f t="shared" si="294"/>
        <v>399.1080625</v>
      </c>
      <c r="W223" s="112">
        <f t="shared" si="294"/>
        <v>399.1080625</v>
      </c>
      <c r="X223" s="112">
        <f t="shared" si="294"/>
        <v>399.1080625</v>
      </c>
      <c r="Y223" s="117">
        <f t="shared" si="294"/>
        <v>399.1080625</v>
      </c>
      <c r="Z223" s="112">
        <f t="shared" ref="Z223:AC223" si="295">+Z94</f>
        <v>379.152659375</v>
      </c>
      <c r="AA223" s="112">
        <f t="shared" si="295"/>
        <v>379.152659375</v>
      </c>
      <c r="AB223" s="112">
        <f t="shared" si="295"/>
        <v>379.152659375</v>
      </c>
      <c r="AC223" s="117">
        <f t="shared" si="295"/>
        <v>379.152659375</v>
      </c>
      <c r="AD223" s="168"/>
      <c r="AE223" s="168"/>
      <c r="AF223" s="168"/>
      <c r="AG223" s="168"/>
      <c r="AH223" s="168"/>
      <c r="AI223" s="168"/>
      <c r="AJ223" s="169"/>
      <c r="AK223" s="169"/>
      <c r="AL223" s="170"/>
      <c r="AM223" s="171"/>
      <c r="AN223" s="171"/>
      <c r="AO223" s="171"/>
      <c r="AP223" s="171"/>
      <c r="AQ223" s="171"/>
      <c r="AR223" s="171"/>
      <c r="AS223" s="171"/>
      <c r="AT223" s="171"/>
      <c r="AU223" s="172"/>
      <c r="AV223" s="172"/>
      <c r="AW223" s="173"/>
      <c r="AX223" s="173"/>
      <c r="AY223" s="173"/>
    </row>
    <row r="224" s="4" customFormat="1" ht="12" spans="1:51">
      <c r="A224" s="29" t="s">
        <v>854</v>
      </c>
      <c r="B224" s="112">
        <f t="shared" ref="B224:Y224" si="296">+B95</f>
        <v>1540</v>
      </c>
      <c r="C224" s="112">
        <f t="shared" si="296"/>
        <v>1540</v>
      </c>
      <c r="D224" s="112">
        <f t="shared" si="296"/>
        <v>1540</v>
      </c>
      <c r="E224" s="117">
        <f t="shared" si="296"/>
        <v>1540</v>
      </c>
      <c r="F224" s="112">
        <f t="shared" si="296"/>
        <v>1314</v>
      </c>
      <c r="G224" s="112">
        <f t="shared" si="296"/>
        <v>1314</v>
      </c>
      <c r="H224" s="112">
        <f t="shared" si="296"/>
        <v>1314</v>
      </c>
      <c r="I224" s="117">
        <f t="shared" si="296"/>
        <v>1314</v>
      </c>
      <c r="J224" s="112">
        <f t="shared" si="296"/>
        <v>1182.6</v>
      </c>
      <c r="K224" s="112">
        <f t="shared" si="296"/>
        <v>1182.6</v>
      </c>
      <c r="L224" s="112">
        <f t="shared" si="296"/>
        <v>1182.6</v>
      </c>
      <c r="M224" s="117">
        <f t="shared" si="296"/>
        <v>1182.6</v>
      </c>
      <c r="N224" s="112">
        <f t="shared" si="296"/>
        <v>1064.34</v>
      </c>
      <c r="O224" s="112">
        <f t="shared" si="296"/>
        <v>1064.34</v>
      </c>
      <c r="P224" s="112">
        <f t="shared" si="296"/>
        <v>1064.34</v>
      </c>
      <c r="Q224" s="117">
        <f t="shared" si="296"/>
        <v>1064.34</v>
      </c>
      <c r="R224" s="112">
        <f t="shared" si="296"/>
        <v>1011.123</v>
      </c>
      <c r="S224" s="112">
        <f t="shared" si="296"/>
        <v>1011.123</v>
      </c>
      <c r="T224" s="112">
        <f t="shared" si="296"/>
        <v>1011.123</v>
      </c>
      <c r="U224" s="117">
        <f t="shared" si="296"/>
        <v>1011.123</v>
      </c>
      <c r="V224" s="112">
        <f t="shared" si="296"/>
        <v>960.56685</v>
      </c>
      <c r="W224" s="112">
        <f t="shared" si="296"/>
        <v>960.56685</v>
      </c>
      <c r="X224" s="112">
        <f t="shared" si="296"/>
        <v>960.56685</v>
      </c>
      <c r="Y224" s="117">
        <f t="shared" si="296"/>
        <v>960.56685</v>
      </c>
      <c r="Z224" s="112">
        <f t="shared" ref="Z224:AC224" si="297">+Z95</f>
        <v>912.5385075</v>
      </c>
      <c r="AA224" s="112">
        <f t="shared" si="297"/>
        <v>912.5385075</v>
      </c>
      <c r="AB224" s="112">
        <f t="shared" si="297"/>
        <v>912.5385075</v>
      </c>
      <c r="AC224" s="117">
        <f t="shared" si="297"/>
        <v>912.5385075</v>
      </c>
      <c r="AD224" s="168"/>
      <c r="AE224" s="168"/>
      <c r="AF224" s="168"/>
      <c r="AG224" s="168"/>
      <c r="AH224" s="168"/>
      <c r="AI224" s="168"/>
      <c r="AJ224" s="169"/>
      <c r="AK224" s="169"/>
      <c r="AL224" s="170"/>
      <c r="AM224" s="171"/>
      <c r="AN224" s="171"/>
      <c r="AO224" s="171"/>
      <c r="AP224" s="171"/>
      <c r="AQ224" s="171"/>
      <c r="AR224" s="171"/>
      <c r="AS224" s="171"/>
      <c r="AT224" s="171"/>
      <c r="AU224" s="172"/>
      <c r="AV224" s="172"/>
      <c r="AW224" s="173"/>
      <c r="AX224" s="173"/>
      <c r="AY224" s="173"/>
    </row>
    <row r="225" s="4" customFormat="1" ht="12" spans="1:51">
      <c r="A225" s="29" t="s">
        <v>855</v>
      </c>
      <c r="B225" s="112">
        <f t="shared" ref="B225:Y225" si="298">+B96</f>
        <v>3640</v>
      </c>
      <c r="C225" s="112">
        <f t="shared" si="298"/>
        <v>3640</v>
      </c>
      <c r="D225" s="112">
        <f t="shared" si="298"/>
        <v>3640</v>
      </c>
      <c r="E225" s="117">
        <f t="shared" si="298"/>
        <v>3640</v>
      </c>
      <c r="F225" s="112">
        <f t="shared" si="298"/>
        <v>2628</v>
      </c>
      <c r="G225" s="112">
        <f t="shared" si="298"/>
        <v>2628</v>
      </c>
      <c r="H225" s="112">
        <f t="shared" si="298"/>
        <v>2628</v>
      </c>
      <c r="I225" s="117">
        <f t="shared" si="298"/>
        <v>2628</v>
      </c>
      <c r="J225" s="112">
        <f t="shared" si="298"/>
        <v>2444.04</v>
      </c>
      <c r="K225" s="112">
        <f t="shared" si="298"/>
        <v>2233.8</v>
      </c>
      <c r="L225" s="112">
        <f t="shared" si="298"/>
        <v>2233.8</v>
      </c>
      <c r="M225" s="117">
        <f t="shared" si="298"/>
        <v>2233.8</v>
      </c>
      <c r="N225" s="112">
        <f t="shared" si="298"/>
        <v>2166.786</v>
      </c>
      <c r="O225" s="112">
        <f t="shared" si="298"/>
        <v>1898.73</v>
      </c>
      <c r="P225" s="112">
        <f t="shared" si="298"/>
        <v>1898.73</v>
      </c>
      <c r="Q225" s="117">
        <f t="shared" si="298"/>
        <v>1898.73</v>
      </c>
      <c r="R225" s="112">
        <f t="shared" si="298"/>
        <v>1765.8189</v>
      </c>
      <c r="S225" s="112">
        <f t="shared" si="298"/>
        <v>1708.857</v>
      </c>
      <c r="T225" s="112">
        <f t="shared" si="298"/>
        <v>1708.857</v>
      </c>
      <c r="U225" s="117">
        <f t="shared" si="298"/>
        <v>1708.857</v>
      </c>
      <c r="V225" s="112">
        <f t="shared" si="298"/>
        <v>1657.59129</v>
      </c>
      <c r="W225" s="112">
        <f t="shared" si="298"/>
        <v>1623.41415</v>
      </c>
      <c r="X225" s="112">
        <f t="shared" si="298"/>
        <v>1623.41415</v>
      </c>
      <c r="Y225" s="117">
        <f t="shared" si="298"/>
        <v>1623.41415</v>
      </c>
      <c r="Z225" s="112">
        <f t="shared" ref="Z225:AC225" si="299">+Z96</f>
        <v>1542.2434425</v>
      </c>
      <c r="AA225" s="112">
        <f t="shared" si="299"/>
        <v>1542.2434425</v>
      </c>
      <c r="AB225" s="112">
        <f t="shared" si="299"/>
        <v>1542.2434425</v>
      </c>
      <c r="AC225" s="117">
        <f t="shared" si="299"/>
        <v>1542.2434425</v>
      </c>
      <c r="AD225" s="168"/>
      <c r="AE225" s="168"/>
      <c r="AF225" s="168"/>
      <c r="AG225" s="168"/>
      <c r="AH225" s="168"/>
      <c r="AI225" s="168"/>
      <c r="AJ225" s="169"/>
      <c r="AK225" s="169"/>
      <c r="AL225" s="170"/>
      <c r="AM225" s="171"/>
      <c r="AN225" s="171"/>
      <c r="AO225" s="171"/>
      <c r="AP225" s="171"/>
      <c r="AQ225" s="171"/>
      <c r="AR225" s="171"/>
      <c r="AS225" s="171"/>
      <c r="AT225" s="171"/>
      <c r="AU225" s="172"/>
      <c r="AV225" s="172"/>
      <c r="AW225" s="173"/>
      <c r="AX225" s="173"/>
      <c r="AY225" s="173"/>
    </row>
    <row r="226" s="4" customFormat="1" ht="12" spans="1:51">
      <c r="A226" s="29" t="s">
        <v>856</v>
      </c>
      <c r="B226" s="112">
        <f t="shared" ref="B226:Y226" si="300">+B97</f>
        <v>0</v>
      </c>
      <c r="C226" s="112">
        <f t="shared" si="300"/>
        <v>0</v>
      </c>
      <c r="D226" s="112">
        <f t="shared" si="300"/>
        <v>0</v>
      </c>
      <c r="E226" s="117">
        <f t="shared" si="300"/>
        <v>0</v>
      </c>
      <c r="F226" s="112">
        <f t="shared" si="300"/>
        <v>5152.94117647059</v>
      </c>
      <c r="G226" s="112">
        <f t="shared" si="300"/>
        <v>5152.94117647059</v>
      </c>
      <c r="H226" s="112">
        <f t="shared" si="300"/>
        <v>5152.94117647059</v>
      </c>
      <c r="I226" s="117">
        <f t="shared" si="300"/>
        <v>5152.94117647059</v>
      </c>
      <c r="J226" s="112">
        <f t="shared" si="300"/>
        <v>4380</v>
      </c>
      <c r="K226" s="112">
        <f t="shared" si="300"/>
        <v>4380</v>
      </c>
      <c r="L226" s="112">
        <f t="shared" si="300"/>
        <v>4380</v>
      </c>
      <c r="M226" s="117">
        <f t="shared" si="300"/>
        <v>4380</v>
      </c>
      <c r="N226" s="112">
        <f t="shared" si="300"/>
        <v>4073.4</v>
      </c>
      <c r="O226" s="112">
        <f t="shared" si="300"/>
        <v>3723</v>
      </c>
      <c r="P226" s="112">
        <f t="shared" si="300"/>
        <v>3723</v>
      </c>
      <c r="Q226" s="117">
        <f t="shared" si="300"/>
        <v>3723</v>
      </c>
      <c r="R226" s="112">
        <f t="shared" si="300"/>
        <v>3462.39</v>
      </c>
      <c r="S226" s="112">
        <f t="shared" si="300"/>
        <v>3052.86</v>
      </c>
      <c r="T226" s="112">
        <f t="shared" si="300"/>
        <v>3052.86</v>
      </c>
      <c r="U226" s="117">
        <f t="shared" si="300"/>
        <v>3052.86</v>
      </c>
      <c r="V226" s="112">
        <f t="shared" si="300"/>
        <v>2839.1598</v>
      </c>
      <c r="W226" s="112">
        <f t="shared" si="300"/>
        <v>2747.574</v>
      </c>
      <c r="X226" s="112">
        <f t="shared" si="300"/>
        <v>2747.574</v>
      </c>
      <c r="Y226" s="117">
        <f t="shared" si="300"/>
        <v>2747.574</v>
      </c>
      <c r="Z226" s="112">
        <f t="shared" ref="Z226:AC226" si="301">+Z97</f>
        <v>2335.4379</v>
      </c>
      <c r="AA226" s="112">
        <f t="shared" si="301"/>
        <v>2335.4379</v>
      </c>
      <c r="AB226" s="112">
        <f t="shared" si="301"/>
        <v>2335.4379</v>
      </c>
      <c r="AC226" s="117">
        <f t="shared" si="301"/>
        <v>2335.4379</v>
      </c>
      <c r="AD226" s="168"/>
      <c r="AE226" s="168"/>
      <c r="AF226" s="168"/>
      <c r="AG226" s="168"/>
      <c r="AH226" s="168"/>
      <c r="AI226" s="168"/>
      <c r="AJ226" s="169"/>
      <c r="AK226" s="169"/>
      <c r="AL226" s="170"/>
      <c r="AM226" s="171"/>
      <c r="AN226" s="171"/>
      <c r="AO226" s="171"/>
      <c r="AP226" s="171"/>
      <c r="AQ226" s="171"/>
      <c r="AR226" s="171"/>
      <c r="AS226" s="171"/>
      <c r="AT226" s="171"/>
      <c r="AU226" s="172"/>
      <c r="AV226" s="172"/>
      <c r="AW226" s="173"/>
      <c r="AX226" s="173"/>
      <c r="AY226" s="173"/>
    </row>
    <row r="227" s="4" customFormat="1" ht="12" spans="1:51">
      <c r="A227" s="29" t="s">
        <v>857</v>
      </c>
      <c r="B227" s="112">
        <f t="shared" ref="B227:Y227" si="302">+B98</f>
        <v>0</v>
      </c>
      <c r="C227" s="112">
        <f t="shared" si="302"/>
        <v>0</v>
      </c>
      <c r="D227" s="112">
        <f t="shared" si="302"/>
        <v>0</v>
      </c>
      <c r="E227" s="117">
        <f t="shared" si="302"/>
        <v>0</v>
      </c>
      <c r="F227" s="112">
        <f t="shared" si="302"/>
        <v>0</v>
      </c>
      <c r="G227" s="112">
        <f t="shared" si="302"/>
        <v>0</v>
      </c>
      <c r="H227" s="112">
        <f t="shared" si="302"/>
        <v>0</v>
      </c>
      <c r="I227" s="117">
        <f t="shared" si="302"/>
        <v>0</v>
      </c>
      <c r="J227" s="112">
        <f t="shared" si="302"/>
        <v>0</v>
      </c>
      <c r="K227" s="112">
        <f t="shared" si="302"/>
        <v>0</v>
      </c>
      <c r="L227" s="112">
        <f t="shared" si="302"/>
        <v>0</v>
      </c>
      <c r="M227" s="117">
        <f t="shared" si="302"/>
        <v>0</v>
      </c>
      <c r="N227" s="112">
        <f t="shared" si="302"/>
        <v>9344</v>
      </c>
      <c r="O227" s="112">
        <f t="shared" si="302"/>
        <v>9344</v>
      </c>
      <c r="P227" s="112">
        <f t="shared" si="302"/>
        <v>9344</v>
      </c>
      <c r="Q227" s="117">
        <f t="shared" si="302"/>
        <v>9344</v>
      </c>
      <c r="R227" s="112">
        <f t="shared" si="302"/>
        <v>8689.92</v>
      </c>
      <c r="S227" s="112">
        <f t="shared" si="302"/>
        <v>7662.08</v>
      </c>
      <c r="T227" s="112">
        <f t="shared" si="302"/>
        <v>7662.08</v>
      </c>
      <c r="U227" s="117">
        <f t="shared" si="302"/>
        <v>7662.08</v>
      </c>
      <c r="V227" s="112">
        <f t="shared" si="302"/>
        <v>7125.7344</v>
      </c>
      <c r="W227" s="112">
        <f t="shared" si="302"/>
        <v>6895.872</v>
      </c>
      <c r="X227" s="112">
        <f t="shared" si="302"/>
        <v>6895.872</v>
      </c>
      <c r="Y227" s="117">
        <f t="shared" si="302"/>
        <v>6895.872</v>
      </c>
      <c r="Z227" s="112">
        <f t="shared" ref="Z227:AC227" si="303">+Z98</f>
        <v>5930.44992</v>
      </c>
      <c r="AA227" s="112">
        <f t="shared" si="303"/>
        <v>5930.44992</v>
      </c>
      <c r="AB227" s="112">
        <f t="shared" si="303"/>
        <v>5930.44992</v>
      </c>
      <c r="AC227" s="117">
        <f t="shared" si="303"/>
        <v>5930.44992</v>
      </c>
      <c r="AD227" s="168"/>
      <c r="AE227" s="168"/>
      <c r="AF227" s="168"/>
      <c r="AG227" s="168"/>
      <c r="AH227" s="168"/>
      <c r="AI227" s="168"/>
      <c r="AJ227" s="169"/>
      <c r="AK227" s="169"/>
      <c r="AL227" s="170"/>
      <c r="AM227" s="171"/>
      <c r="AN227" s="171"/>
      <c r="AO227" s="171"/>
      <c r="AP227" s="171"/>
      <c r="AQ227" s="171"/>
      <c r="AR227" s="171"/>
      <c r="AS227" s="171"/>
      <c r="AT227" s="171"/>
      <c r="AU227" s="172"/>
      <c r="AV227" s="172"/>
      <c r="AW227" s="173"/>
      <c r="AX227" s="173"/>
      <c r="AY227" s="173"/>
    </row>
    <row r="228" s="4" customFormat="1" ht="12" spans="1:51">
      <c r="A228" s="25"/>
      <c r="B228" s="138"/>
      <c r="C228" s="138"/>
      <c r="D228" s="138"/>
      <c r="E228" s="147"/>
      <c r="F228" s="125"/>
      <c r="G228" s="27"/>
      <c r="H228" s="27"/>
      <c r="I228" s="52"/>
      <c r="J228" s="27"/>
      <c r="K228" s="27"/>
      <c r="L228" s="27"/>
      <c r="M228" s="52"/>
      <c r="N228" s="27"/>
      <c r="O228" s="27"/>
      <c r="P228" s="27"/>
      <c r="Q228" s="52"/>
      <c r="R228" s="27"/>
      <c r="S228" s="27"/>
      <c r="T228" s="27"/>
      <c r="U228" s="52"/>
      <c r="V228" s="27"/>
      <c r="W228" s="27"/>
      <c r="X228" s="27"/>
      <c r="Y228" s="52"/>
      <c r="Z228" s="27"/>
      <c r="AA228" s="27"/>
      <c r="AB228" s="27"/>
      <c r="AC228" s="52"/>
      <c r="AD228" s="168"/>
      <c r="AE228" s="168"/>
      <c r="AF228" s="168"/>
      <c r="AG228" s="168"/>
      <c r="AH228" s="168"/>
      <c r="AI228" s="168"/>
      <c r="AJ228" s="169"/>
      <c r="AK228" s="169"/>
      <c r="AL228" s="170"/>
      <c r="AM228" s="171"/>
      <c r="AN228" s="171"/>
      <c r="AO228" s="171"/>
      <c r="AP228" s="171"/>
      <c r="AQ228" s="171"/>
      <c r="AR228" s="171"/>
      <c r="AS228" s="171"/>
      <c r="AT228" s="171"/>
      <c r="AU228" s="172"/>
      <c r="AV228" s="172"/>
      <c r="AW228" s="173"/>
      <c r="AX228" s="173"/>
      <c r="AY228" s="173"/>
    </row>
    <row r="229" s="4" customFormat="1" ht="12" spans="1:51">
      <c r="A229" s="25"/>
      <c r="B229" s="175"/>
      <c r="C229" s="175"/>
      <c r="D229" s="175"/>
      <c r="E229" s="177"/>
      <c r="F229" s="27"/>
      <c r="G229" s="27"/>
      <c r="H229" s="27"/>
      <c r="I229" s="52"/>
      <c r="J229" s="27"/>
      <c r="K229" s="27"/>
      <c r="L229" s="27"/>
      <c r="M229" s="52"/>
      <c r="N229" s="27"/>
      <c r="O229" s="27"/>
      <c r="P229" s="27"/>
      <c r="Q229" s="52"/>
      <c r="R229" s="27"/>
      <c r="S229" s="27"/>
      <c r="T229" s="27"/>
      <c r="U229" s="52"/>
      <c r="V229" s="27"/>
      <c r="W229" s="27"/>
      <c r="X229" s="27"/>
      <c r="Y229" s="52"/>
      <c r="Z229" s="27"/>
      <c r="AA229" s="27"/>
      <c r="AB229" s="27"/>
      <c r="AC229" s="52"/>
      <c r="AD229" s="168"/>
      <c r="AE229" s="168"/>
      <c r="AF229" s="168"/>
      <c r="AG229" s="168"/>
      <c r="AH229" s="168"/>
      <c r="AI229" s="168"/>
      <c r="AJ229" s="169"/>
      <c r="AK229" s="169"/>
      <c r="AL229" s="170"/>
      <c r="AM229" s="171"/>
      <c r="AN229" s="171"/>
      <c r="AO229" s="171"/>
      <c r="AP229" s="171"/>
      <c r="AQ229" s="171"/>
      <c r="AR229" s="171"/>
      <c r="AS229" s="171"/>
      <c r="AT229" s="171"/>
      <c r="AU229" s="172"/>
      <c r="AV229" s="172"/>
      <c r="AW229" s="173"/>
      <c r="AX229" s="173"/>
      <c r="AY229" s="173"/>
    </row>
    <row r="230" s="4" customFormat="1" ht="12" spans="1:51">
      <c r="A230" s="22" t="s">
        <v>896</v>
      </c>
      <c r="B230" s="138"/>
      <c r="C230" s="138"/>
      <c r="D230" s="138"/>
      <c r="E230" s="147"/>
      <c r="F230" s="125"/>
      <c r="G230" s="27"/>
      <c r="H230" s="27"/>
      <c r="I230" s="52"/>
      <c r="J230" s="27"/>
      <c r="K230" s="27"/>
      <c r="L230" s="27"/>
      <c r="M230" s="52"/>
      <c r="N230" s="27"/>
      <c r="O230" s="27"/>
      <c r="P230" s="27"/>
      <c r="Q230" s="52"/>
      <c r="R230" s="27"/>
      <c r="S230" s="27"/>
      <c r="T230" s="27"/>
      <c r="U230" s="52"/>
      <c r="V230" s="27"/>
      <c r="W230" s="27"/>
      <c r="X230" s="27"/>
      <c r="Y230" s="52"/>
      <c r="Z230" s="27"/>
      <c r="AA230" s="27"/>
      <c r="AB230" s="27"/>
      <c r="AC230" s="52"/>
      <c r="AD230" s="168"/>
      <c r="AE230" s="168"/>
      <c r="AF230" s="168"/>
      <c r="AG230" s="168"/>
      <c r="AH230" s="168"/>
      <c r="AI230" s="168"/>
      <c r="AJ230" s="169"/>
      <c r="AK230" s="169"/>
      <c r="AL230" s="170"/>
      <c r="AM230" s="171"/>
      <c r="AN230" s="171"/>
      <c r="AO230" s="171"/>
      <c r="AP230" s="171"/>
      <c r="AQ230" s="171"/>
      <c r="AR230" s="171"/>
      <c r="AS230" s="171"/>
      <c r="AT230" s="171"/>
      <c r="AU230" s="172"/>
      <c r="AV230" s="172"/>
      <c r="AW230" s="173"/>
      <c r="AX230" s="173"/>
      <c r="AY230" s="173"/>
    </row>
    <row r="231" s="4" customFormat="1" ht="12" spans="1:51">
      <c r="A231" s="29" t="s">
        <v>851</v>
      </c>
      <c r="B231" s="112">
        <f t="shared" ref="B231:Y237" si="304">+B169</f>
        <v>242.2</v>
      </c>
      <c r="C231" s="112">
        <f t="shared" si="304"/>
        <v>238.74</v>
      </c>
      <c r="D231" s="112">
        <f t="shared" si="304"/>
        <v>235.28</v>
      </c>
      <c r="E231" s="117">
        <f t="shared" si="304"/>
        <v>224.9</v>
      </c>
      <c r="F231" s="112">
        <f t="shared" si="304"/>
        <v>230.09</v>
      </c>
      <c r="G231" s="112">
        <f t="shared" si="304"/>
        <v>295.83</v>
      </c>
      <c r="H231" s="112">
        <f t="shared" si="304"/>
        <v>282.682</v>
      </c>
      <c r="I231" s="117">
        <f t="shared" si="304"/>
        <v>266.247</v>
      </c>
      <c r="J231" s="112">
        <f t="shared" si="304"/>
        <v>249.812</v>
      </c>
      <c r="K231" s="112">
        <f t="shared" si="304"/>
        <v>249.812</v>
      </c>
      <c r="L231" s="112">
        <f t="shared" si="304"/>
        <v>249.812</v>
      </c>
      <c r="M231" s="117">
        <f t="shared" si="304"/>
        <v>249.812</v>
      </c>
      <c r="N231" s="112">
        <f t="shared" si="304"/>
        <v>243.254435</v>
      </c>
      <c r="O231" s="112">
        <f t="shared" si="304"/>
        <v>243.254435</v>
      </c>
      <c r="P231" s="112">
        <f t="shared" si="304"/>
        <v>243.254435</v>
      </c>
      <c r="Q231" s="117">
        <f t="shared" si="304"/>
        <v>243.254435</v>
      </c>
      <c r="R231" s="112">
        <f t="shared" si="304"/>
        <v>233.909904875</v>
      </c>
      <c r="S231" s="112">
        <f t="shared" si="304"/>
        <v>233.909904875</v>
      </c>
      <c r="T231" s="112">
        <f t="shared" si="304"/>
        <v>233.909904875</v>
      </c>
      <c r="U231" s="117">
        <f t="shared" si="304"/>
        <v>233.909904875</v>
      </c>
      <c r="V231" s="112">
        <f t="shared" si="304"/>
        <v>224.891691675</v>
      </c>
      <c r="W231" s="112">
        <f t="shared" si="304"/>
        <v>224.891691675</v>
      </c>
      <c r="X231" s="112">
        <f t="shared" si="304"/>
        <v>224.891691675</v>
      </c>
      <c r="Y231" s="117">
        <f t="shared" si="304"/>
        <v>224.891691675</v>
      </c>
      <c r="Z231" s="112">
        <f t="shared" ref="Z231:AC231" si="305">+Z169</f>
        <v>216.22116862247</v>
      </c>
      <c r="AA231" s="112">
        <f t="shared" si="305"/>
        <v>216.22116862247</v>
      </c>
      <c r="AB231" s="112">
        <f t="shared" si="305"/>
        <v>216.22116862247</v>
      </c>
      <c r="AC231" s="117">
        <f t="shared" si="305"/>
        <v>216.22116862247</v>
      </c>
      <c r="AD231" s="168"/>
      <c r="AE231" s="168"/>
      <c r="AF231" s="168"/>
      <c r="AG231" s="168"/>
      <c r="AH231" s="168"/>
      <c r="AI231" s="168"/>
      <c r="AJ231" s="169"/>
      <c r="AK231" s="169"/>
      <c r="AL231" s="170"/>
      <c r="AM231" s="171"/>
      <c r="AN231" s="171"/>
      <c r="AO231" s="171"/>
      <c r="AP231" s="171"/>
      <c r="AQ231" s="171"/>
      <c r="AR231" s="171"/>
      <c r="AS231" s="171"/>
      <c r="AT231" s="171"/>
      <c r="AU231" s="172"/>
      <c r="AV231" s="172"/>
      <c r="AW231" s="173"/>
      <c r="AX231" s="173"/>
      <c r="AY231" s="173"/>
    </row>
    <row r="232" s="4" customFormat="1" ht="12" spans="1:51">
      <c r="A232" s="29" t="s">
        <v>852</v>
      </c>
      <c r="B232" s="112">
        <f t="shared" si="304"/>
        <v>369.6</v>
      </c>
      <c r="C232" s="112">
        <f t="shared" si="304"/>
        <v>364</v>
      </c>
      <c r="D232" s="112">
        <f t="shared" si="304"/>
        <v>347.2</v>
      </c>
      <c r="E232" s="117">
        <f t="shared" si="304"/>
        <v>347.2</v>
      </c>
      <c r="F232" s="112">
        <f t="shared" si="304"/>
        <v>345.8</v>
      </c>
      <c r="G232" s="112">
        <f t="shared" si="304"/>
        <v>388.36</v>
      </c>
      <c r="H232" s="112">
        <f t="shared" si="304"/>
        <v>394.212</v>
      </c>
      <c r="I232" s="117">
        <f t="shared" si="304"/>
        <v>393.68</v>
      </c>
      <c r="J232" s="112">
        <f t="shared" si="304"/>
        <v>373.996</v>
      </c>
      <c r="K232" s="112">
        <f t="shared" si="304"/>
        <v>368.942</v>
      </c>
      <c r="L232" s="112">
        <f t="shared" si="304"/>
        <v>368.942</v>
      </c>
      <c r="M232" s="117">
        <f t="shared" si="304"/>
        <v>368.942</v>
      </c>
      <c r="N232" s="112">
        <f t="shared" si="304"/>
        <v>369.7001</v>
      </c>
      <c r="O232" s="112">
        <f t="shared" si="304"/>
        <v>369.7001</v>
      </c>
      <c r="P232" s="112">
        <f t="shared" si="304"/>
        <v>369.7001</v>
      </c>
      <c r="Q232" s="117">
        <f t="shared" si="304"/>
        <v>369.7001</v>
      </c>
      <c r="R232" s="112">
        <f t="shared" si="304"/>
        <v>360.337565</v>
      </c>
      <c r="S232" s="112">
        <f t="shared" si="304"/>
        <v>360.337565</v>
      </c>
      <c r="T232" s="112">
        <f t="shared" si="304"/>
        <v>360.337565</v>
      </c>
      <c r="U232" s="117">
        <f t="shared" si="304"/>
        <v>360.337565</v>
      </c>
      <c r="V232" s="112">
        <f t="shared" si="304"/>
        <v>350.98703325</v>
      </c>
      <c r="W232" s="112">
        <f t="shared" si="304"/>
        <v>350.98703325</v>
      </c>
      <c r="X232" s="112">
        <f t="shared" si="304"/>
        <v>350.98703325</v>
      </c>
      <c r="Y232" s="117">
        <f t="shared" si="304"/>
        <v>350.98703325</v>
      </c>
      <c r="Z232" s="112">
        <f t="shared" ref="Z232:AC232" si="306">+Z170</f>
        <v>341.879141880854</v>
      </c>
      <c r="AA232" s="112">
        <f t="shared" si="306"/>
        <v>341.879141880854</v>
      </c>
      <c r="AB232" s="112">
        <f t="shared" si="306"/>
        <v>341.879141880854</v>
      </c>
      <c r="AC232" s="117">
        <f t="shared" si="306"/>
        <v>341.879141880854</v>
      </c>
      <c r="AD232" s="168"/>
      <c r="AE232" s="168"/>
      <c r="AF232" s="168"/>
      <c r="AG232" s="168"/>
      <c r="AH232" s="168"/>
      <c r="AI232" s="168"/>
      <c r="AJ232" s="169"/>
      <c r="AK232" s="169"/>
      <c r="AL232" s="170"/>
      <c r="AM232" s="171"/>
      <c r="AN232" s="171"/>
      <c r="AO232" s="171"/>
      <c r="AP232" s="171"/>
      <c r="AQ232" s="171"/>
      <c r="AR232" s="171"/>
      <c r="AS232" s="171"/>
      <c r="AT232" s="171"/>
      <c r="AU232" s="172"/>
      <c r="AV232" s="172"/>
      <c r="AW232" s="173"/>
      <c r="AX232" s="173"/>
      <c r="AY232" s="173"/>
    </row>
    <row r="233" s="4" customFormat="1" ht="12" spans="1:51">
      <c r="A233" s="29" t="s">
        <v>853</v>
      </c>
      <c r="B233" s="112">
        <f t="shared" si="304"/>
        <v>537.6</v>
      </c>
      <c r="C233" s="112">
        <f t="shared" si="304"/>
        <v>520.8</v>
      </c>
      <c r="D233" s="112">
        <f t="shared" si="304"/>
        <v>504</v>
      </c>
      <c r="E233" s="117">
        <f t="shared" si="304"/>
        <v>504</v>
      </c>
      <c r="F233" s="112">
        <f t="shared" si="304"/>
        <v>308.7</v>
      </c>
      <c r="G233" s="112">
        <f t="shared" si="304"/>
        <v>328.3</v>
      </c>
      <c r="H233" s="112">
        <f t="shared" si="304"/>
        <v>343</v>
      </c>
      <c r="I233" s="117">
        <f t="shared" si="304"/>
        <v>343</v>
      </c>
      <c r="J233" s="112">
        <f t="shared" si="304"/>
        <v>325.85</v>
      </c>
      <c r="K233" s="112">
        <f t="shared" si="304"/>
        <v>325.85</v>
      </c>
      <c r="L233" s="112">
        <f t="shared" si="304"/>
        <v>325.85</v>
      </c>
      <c r="M233" s="117">
        <f t="shared" si="304"/>
        <v>325.85</v>
      </c>
      <c r="N233" s="112">
        <f t="shared" si="304"/>
        <v>325.85</v>
      </c>
      <c r="O233" s="112">
        <f t="shared" si="304"/>
        <v>325.85</v>
      </c>
      <c r="P233" s="112">
        <f t="shared" si="304"/>
        <v>325.85</v>
      </c>
      <c r="Q233" s="117">
        <f t="shared" si="304"/>
        <v>325.85</v>
      </c>
      <c r="R233" s="112">
        <f t="shared" si="304"/>
        <v>318.156319444444</v>
      </c>
      <c r="S233" s="112">
        <f t="shared" si="304"/>
        <v>318.156319444444</v>
      </c>
      <c r="T233" s="112">
        <f t="shared" si="304"/>
        <v>318.156319444444</v>
      </c>
      <c r="U233" s="117">
        <f t="shared" si="304"/>
        <v>318.156319444444</v>
      </c>
      <c r="V233" s="112">
        <f t="shared" si="304"/>
        <v>310.417381944444</v>
      </c>
      <c r="W233" s="112">
        <f t="shared" si="304"/>
        <v>310.417381944444</v>
      </c>
      <c r="X233" s="112">
        <f t="shared" si="304"/>
        <v>310.417381944444</v>
      </c>
      <c r="Y233" s="117">
        <f t="shared" si="304"/>
        <v>310.417381944444</v>
      </c>
      <c r="Z233" s="112">
        <f t="shared" ref="Z233:AC233" si="307">+Z171</f>
        <v>302.86668887012</v>
      </c>
      <c r="AA233" s="112">
        <f t="shared" si="307"/>
        <v>302.86668887012</v>
      </c>
      <c r="AB233" s="112">
        <f t="shared" si="307"/>
        <v>302.86668887012</v>
      </c>
      <c r="AC233" s="117">
        <f t="shared" si="307"/>
        <v>302.86668887012</v>
      </c>
      <c r="AD233" s="168"/>
      <c r="AE233" s="168"/>
      <c r="AF233" s="168"/>
      <c r="AG233" s="168"/>
      <c r="AH233" s="168"/>
      <c r="AI233" s="168"/>
      <c r="AJ233" s="169"/>
      <c r="AK233" s="169"/>
      <c r="AL233" s="170"/>
      <c r="AM233" s="171"/>
      <c r="AN233" s="171"/>
      <c r="AO233" s="171"/>
      <c r="AP233" s="171"/>
      <c r="AQ233" s="171"/>
      <c r="AR233" s="171"/>
      <c r="AS233" s="171"/>
      <c r="AT233" s="171"/>
      <c r="AU233" s="172"/>
      <c r="AV233" s="172"/>
      <c r="AW233" s="173"/>
      <c r="AX233" s="173"/>
      <c r="AY233" s="173"/>
    </row>
    <row r="234" s="4" customFormat="1" ht="12" spans="1:51">
      <c r="A234" s="29" t="s">
        <v>854</v>
      </c>
      <c r="B234" s="112">
        <f t="shared" si="304"/>
        <v>924</v>
      </c>
      <c r="C234" s="112">
        <f t="shared" si="304"/>
        <v>924</v>
      </c>
      <c r="D234" s="112">
        <f t="shared" si="304"/>
        <v>847</v>
      </c>
      <c r="E234" s="117">
        <f t="shared" si="304"/>
        <v>847</v>
      </c>
      <c r="F234" s="112">
        <f t="shared" si="304"/>
        <v>814.68</v>
      </c>
      <c r="G234" s="112">
        <f t="shared" si="304"/>
        <v>814.68</v>
      </c>
      <c r="H234" s="112">
        <f t="shared" si="304"/>
        <v>906.66</v>
      </c>
      <c r="I234" s="117">
        <f t="shared" si="304"/>
        <v>906.66</v>
      </c>
      <c r="J234" s="112">
        <f t="shared" si="304"/>
        <v>827.82</v>
      </c>
      <c r="K234" s="112">
        <f t="shared" si="304"/>
        <v>827.82</v>
      </c>
      <c r="L234" s="112">
        <f t="shared" si="304"/>
        <v>827.82</v>
      </c>
      <c r="M234" s="117">
        <f t="shared" si="304"/>
        <v>827.82</v>
      </c>
      <c r="N234" s="112">
        <f t="shared" si="304"/>
        <v>745.038</v>
      </c>
      <c r="O234" s="112">
        <f t="shared" si="304"/>
        <v>745.038</v>
      </c>
      <c r="P234" s="112">
        <f t="shared" si="304"/>
        <v>745.038</v>
      </c>
      <c r="Q234" s="117">
        <f t="shared" si="304"/>
        <v>745.038</v>
      </c>
      <c r="R234" s="112">
        <f t="shared" si="304"/>
        <v>707.7861</v>
      </c>
      <c r="S234" s="112">
        <f t="shared" si="304"/>
        <v>707.7861</v>
      </c>
      <c r="T234" s="112">
        <f t="shared" si="304"/>
        <v>707.7861</v>
      </c>
      <c r="U234" s="117">
        <f t="shared" si="304"/>
        <v>707.7861</v>
      </c>
      <c r="V234" s="112">
        <f t="shared" si="304"/>
        <v>672.396795</v>
      </c>
      <c r="W234" s="112">
        <f t="shared" si="304"/>
        <v>672.396795</v>
      </c>
      <c r="X234" s="112">
        <f t="shared" si="304"/>
        <v>672.396795</v>
      </c>
      <c r="Y234" s="117">
        <f t="shared" si="304"/>
        <v>672.396795</v>
      </c>
      <c r="Z234" s="112">
        <f t="shared" ref="Z234:AC234" si="308">+Z172</f>
        <v>638.77695525</v>
      </c>
      <c r="AA234" s="112">
        <f t="shared" si="308"/>
        <v>638.77695525</v>
      </c>
      <c r="AB234" s="112">
        <f t="shared" si="308"/>
        <v>638.77695525</v>
      </c>
      <c r="AC234" s="117">
        <f t="shared" si="308"/>
        <v>638.77695525</v>
      </c>
      <c r="AD234" s="168"/>
      <c r="AE234" s="168"/>
      <c r="AF234" s="168"/>
      <c r="AG234" s="168"/>
      <c r="AH234" s="168"/>
      <c r="AI234" s="168"/>
      <c r="AJ234" s="169"/>
      <c r="AK234" s="169"/>
      <c r="AL234" s="170"/>
      <c r="AM234" s="171"/>
      <c r="AN234" s="171"/>
      <c r="AO234" s="171"/>
      <c r="AP234" s="171"/>
      <c r="AQ234" s="171"/>
      <c r="AR234" s="171"/>
      <c r="AS234" s="171"/>
      <c r="AT234" s="171"/>
      <c r="AU234" s="172"/>
      <c r="AV234" s="172"/>
      <c r="AW234" s="173"/>
      <c r="AX234" s="173"/>
      <c r="AY234" s="173"/>
    </row>
    <row r="235" s="4" customFormat="1" ht="12" spans="1:51">
      <c r="A235" s="29" t="s">
        <v>855</v>
      </c>
      <c r="B235" s="112">
        <f t="shared" si="304"/>
        <v>2111.2</v>
      </c>
      <c r="C235" s="112">
        <f t="shared" si="304"/>
        <v>2111.2</v>
      </c>
      <c r="D235" s="112">
        <f t="shared" si="304"/>
        <v>2002</v>
      </c>
      <c r="E235" s="117">
        <f t="shared" si="304"/>
        <v>2002</v>
      </c>
      <c r="F235" s="112">
        <f t="shared" si="304"/>
        <v>1445.4</v>
      </c>
      <c r="G235" s="112">
        <f t="shared" si="304"/>
        <v>1445.4</v>
      </c>
      <c r="H235" s="112">
        <f t="shared" si="304"/>
        <v>1524.24</v>
      </c>
      <c r="I235" s="117">
        <f t="shared" si="304"/>
        <v>1366.56</v>
      </c>
      <c r="J235" s="112">
        <f t="shared" si="304"/>
        <v>1305.11736</v>
      </c>
      <c r="K235" s="112">
        <f t="shared" si="304"/>
        <v>1163.8098</v>
      </c>
      <c r="L235" s="112">
        <f t="shared" si="304"/>
        <v>1267.6815</v>
      </c>
      <c r="M235" s="117">
        <f t="shared" si="304"/>
        <v>1166.26698</v>
      </c>
      <c r="N235" s="112">
        <f t="shared" si="304"/>
        <v>1142.9416404</v>
      </c>
      <c r="O235" s="112">
        <f t="shared" si="304"/>
        <v>1142.9416404</v>
      </c>
      <c r="P235" s="112">
        <f t="shared" si="304"/>
        <v>1142.9416404</v>
      </c>
      <c r="Q235" s="117">
        <f t="shared" si="304"/>
        <v>1142.9416404</v>
      </c>
      <c r="R235" s="112">
        <f t="shared" si="304"/>
        <v>1131.512223996</v>
      </c>
      <c r="S235" s="112">
        <f t="shared" si="304"/>
        <v>1131.512223996</v>
      </c>
      <c r="T235" s="112">
        <f t="shared" si="304"/>
        <v>1131.512223996</v>
      </c>
      <c r="U235" s="117">
        <f t="shared" si="304"/>
        <v>1131.512223996</v>
      </c>
      <c r="V235" s="112">
        <f t="shared" si="304"/>
        <v>1131.512223996</v>
      </c>
      <c r="W235" s="112">
        <f t="shared" si="304"/>
        <v>1131.512223996</v>
      </c>
      <c r="X235" s="112">
        <f t="shared" si="304"/>
        <v>1131.512223996</v>
      </c>
      <c r="Y235" s="117">
        <f t="shared" si="304"/>
        <v>1131.512223996</v>
      </c>
      <c r="Z235" s="112">
        <f t="shared" ref="Z235:AC235" si="309">+Z173</f>
        <v>1131.512223996</v>
      </c>
      <c r="AA235" s="112">
        <f t="shared" si="309"/>
        <v>1131.512223996</v>
      </c>
      <c r="AB235" s="112">
        <f t="shared" si="309"/>
        <v>1131.512223996</v>
      </c>
      <c r="AC235" s="117">
        <f t="shared" si="309"/>
        <v>1131.512223996</v>
      </c>
      <c r="AD235" s="168"/>
      <c r="AE235" s="168"/>
      <c r="AF235" s="168"/>
      <c r="AG235" s="168"/>
      <c r="AH235" s="168"/>
      <c r="AI235" s="168"/>
      <c r="AJ235" s="169"/>
      <c r="AK235" s="169"/>
      <c r="AL235" s="170"/>
      <c r="AM235" s="171"/>
      <c r="AN235" s="171"/>
      <c r="AO235" s="171"/>
      <c r="AP235" s="171"/>
      <c r="AQ235" s="171"/>
      <c r="AR235" s="171"/>
      <c r="AS235" s="171"/>
      <c r="AT235" s="171"/>
      <c r="AU235" s="172"/>
      <c r="AV235" s="172"/>
      <c r="AW235" s="173"/>
      <c r="AX235" s="173"/>
      <c r="AY235" s="173"/>
    </row>
    <row r="236" s="4" customFormat="1" ht="12" spans="1:51">
      <c r="A236" s="29" t="s">
        <v>856</v>
      </c>
      <c r="B236" s="112">
        <f t="shared" si="304"/>
        <v>0</v>
      </c>
      <c r="C236" s="112">
        <f t="shared" si="304"/>
        <v>0</v>
      </c>
      <c r="D236" s="112">
        <f t="shared" si="304"/>
        <v>0</v>
      </c>
      <c r="E236" s="117">
        <f t="shared" si="304"/>
        <v>0</v>
      </c>
      <c r="F236" s="112">
        <f t="shared" si="304"/>
        <v>0</v>
      </c>
      <c r="G236" s="112">
        <f t="shared" si="304"/>
        <v>0</v>
      </c>
      <c r="H236" s="112">
        <f t="shared" si="304"/>
        <v>0</v>
      </c>
      <c r="I236" s="117">
        <f t="shared" si="304"/>
        <v>0</v>
      </c>
      <c r="J236" s="178">
        <f>J226-J245</f>
        <v>2178.94245737451</v>
      </c>
      <c r="K236" s="178">
        <f t="shared" ref="K236:R236" si="310">K226-K245</f>
        <v>2320.54913610549</v>
      </c>
      <c r="L236" s="178">
        <f t="shared" si="310"/>
        <v>2280.37484502543</v>
      </c>
      <c r="M236" s="178">
        <f t="shared" si="310"/>
        <v>1946.34190824767</v>
      </c>
      <c r="N236" s="178">
        <f t="shared" si="310"/>
        <v>1790.56431637227</v>
      </c>
      <c r="O236" s="178">
        <f t="shared" si="310"/>
        <v>1807.2035269615</v>
      </c>
      <c r="P236" s="178">
        <f t="shared" si="310"/>
        <v>1855.80461483729</v>
      </c>
      <c r="Q236" s="178">
        <f t="shared" si="310"/>
        <v>1816.10712724269</v>
      </c>
      <c r="R236" s="178">
        <f t="shared" si="310"/>
        <v>1705.74851019444</v>
      </c>
      <c r="S236" s="112">
        <f t="shared" si="304"/>
        <v>1688.96519214298</v>
      </c>
      <c r="T236" s="112">
        <f t="shared" si="304"/>
        <v>1705.85484406441</v>
      </c>
      <c r="U236" s="117">
        <f t="shared" si="304"/>
        <v>1722.91339250506</v>
      </c>
      <c r="V236" s="112">
        <f t="shared" si="304"/>
        <v>1688.45512465496</v>
      </c>
      <c r="W236" s="112">
        <f t="shared" si="304"/>
        <v>1654.68602216186</v>
      </c>
      <c r="X236" s="112">
        <f t="shared" si="304"/>
        <v>1621.59230171862</v>
      </c>
      <c r="Y236" s="117">
        <f t="shared" si="304"/>
        <v>1621.59230171862</v>
      </c>
      <c r="Z236" s="112">
        <f t="shared" ref="Z236:AC236" si="311">+Z174</f>
        <v>1572.94453266706</v>
      </c>
      <c r="AA236" s="112">
        <f t="shared" si="311"/>
        <v>1447.1089700537</v>
      </c>
      <c r="AB236" s="112">
        <f t="shared" si="311"/>
        <v>1418.16679065262</v>
      </c>
      <c r="AC236" s="117">
        <f t="shared" si="311"/>
        <v>1418.16679065262</v>
      </c>
      <c r="AD236" s="168"/>
      <c r="AE236" s="168"/>
      <c r="AF236" s="168"/>
      <c r="AG236" s="168"/>
      <c r="AH236" s="168"/>
      <c r="AI236" s="168"/>
      <c r="AJ236" s="169"/>
      <c r="AK236" s="169"/>
      <c r="AL236" s="170"/>
      <c r="AM236" s="171"/>
      <c r="AN236" s="171"/>
      <c r="AO236" s="171"/>
      <c r="AP236" s="171"/>
      <c r="AQ236" s="171"/>
      <c r="AR236" s="171"/>
      <c r="AS236" s="171"/>
      <c r="AT236" s="171"/>
      <c r="AU236" s="172"/>
      <c r="AV236" s="172"/>
      <c r="AW236" s="173"/>
      <c r="AX236" s="173"/>
      <c r="AY236" s="173"/>
    </row>
    <row r="237" s="4" customFormat="1" ht="12" spans="1:51">
      <c r="A237" s="29" t="s">
        <v>857</v>
      </c>
      <c r="B237" s="112">
        <f t="shared" si="304"/>
        <v>0</v>
      </c>
      <c r="C237" s="112">
        <f t="shared" si="304"/>
        <v>0</v>
      </c>
      <c r="D237" s="112">
        <f t="shared" si="304"/>
        <v>0</v>
      </c>
      <c r="E237" s="117">
        <f t="shared" si="304"/>
        <v>0</v>
      </c>
      <c r="F237" s="112">
        <f t="shared" si="304"/>
        <v>0</v>
      </c>
      <c r="G237" s="112">
        <f t="shared" si="304"/>
        <v>0</v>
      </c>
      <c r="H237" s="112">
        <f t="shared" si="304"/>
        <v>0</v>
      </c>
      <c r="I237" s="117">
        <f t="shared" si="304"/>
        <v>0</v>
      </c>
      <c r="J237" s="112">
        <f t="shared" si="304"/>
        <v>0</v>
      </c>
      <c r="K237" s="112">
        <f t="shared" si="304"/>
        <v>0</v>
      </c>
      <c r="L237" s="112">
        <f t="shared" si="304"/>
        <v>0</v>
      </c>
      <c r="M237" s="117">
        <f t="shared" si="304"/>
        <v>0</v>
      </c>
      <c r="N237" s="112">
        <f t="shared" si="304"/>
        <v>0</v>
      </c>
      <c r="O237" s="112">
        <f t="shared" si="304"/>
        <v>0</v>
      </c>
      <c r="P237" s="112">
        <f t="shared" si="304"/>
        <v>3800</v>
      </c>
      <c r="Q237" s="117">
        <f t="shared" si="304"/>
        <v>3800</v>
      </c>
      <c r="R237" s="112">
        <f t="shared" si="304"/>
        <v>3600</v>
      </c>
      <c r="S237" s="112">
        <f t="shared" si="304"/>
        <v>3528</v>
      </c>
      <c r="T237" s="112">
        <f t="shared" si="304"/>
        <v>3598.56</v>
      </c>
      <c r="U237" s="117">
        <f t="shared" si="304"/>
        <v>3634.5456</v>
      </c>
      <c r="V237" s="112">
        <f t="shared" si="304"/>
        <v>3525.509232</v>
      </c>
      <c r="W237" s="112">
        <f t="shared" si="304"/>
        <v>3172.9583088</v>
      </c>
      <c r="X237" s="112">
        <f t="shared" si="304"/>
        <v>3172.9583088</v>
      </c>
      <c r="Y237" s="117">
        <f t="shared" si="304"/>
        <v>3172.9583088</v>
      </c>
      <c r="Z237" s="112">
        <f t="shared" ref="Z237:AC237" si="312">+Z175</f>
        <v>3077.769559536</v>
      </c>
      <c r="AA237" s="112">
        <f t="shared" si="312"/>
        <v>2769.9926035824</v>
      </c>
      <c r="AB237" s="112">
        <f t="shared" si="312"/>
        <v>2769.9926035824</v>
      </c>
      <c r="AC237" s="117">
        <f t="shared" si="312"/>
        <v>2769.9926035824</v>
      </c>
      <c r="AD237" s="168"/>
      <c r="AE237" s="168"/>
      <c r="AF237" s="168"/>
      <c r="AG237" s="168"/>
      <c r="AH237" s="168"/>
      <c r="AI237" s="168"/>
      <c r="AJ237" s="169"/>
      <c r="AK237" s="169"/>
      <c r="AL237" s="170"/>
      <c r="AM237" s="171"/>
      <c r="AN237" s="171"/>
      <c r="AO237" s="171"/>
      <c r="AP237" s="171"/>
      <c r="AQ237" s="171"/>
      <c r="AR237" s="171"/>
      <c r="AS237" s="171"/>
      <c r="AT237" s="171"/>
      <c r="AU237" s="172"/>
      <c r="AV237" s="172"/>
      <c r="AW237" s="173"/>
      <c r="AX237" s="173"/>
      <c r="AY237" s="173"/>
    </row>
    <row r="238" s="4" customFormat="1" ht="12" spans="1:51">
      <c r="A238" s="25"/>
      <c r="B238" s="138"/>
      <c r="C238" s="138"/>
      <c r="D238" s="138"/>
      <c r="E238" s="147"/>
      <c r="F238" s="125"/>
      <c r="G238" s="27"/>
      <c r="H238" s="27"/>
      <c r="I238" s="52"/>
      <c r="J238" s="27"/>
      <c r="K238" s="27"/>
      <c r="L238" s="27"/>
      <c r="M238" s="52"/>
      <c r="N238" s="27"/>
      <c r="O238" s="27"/>
      <c r="P238" s="27"/>
      <c r="Q238" s="52"/>
      <c r="R238" s="27"/>
      <c r="S238" s="27"/>
      <c r="T238" s="27"/>
      <c r="U238" s="52"/>
      <c r="V238" s="27"/>
      <c r="W238" s="27"/>
      <c r="X238" s="27"/>
      <c r="Y238" s="52"/>
      <c r="Z238" s="27"/>
      <c r="AA238" s="27"/>
      <c r="AB238" s="27"/>
      <c r="AC238" s="52"/>
      <c r="AD238" s="168"/>
      <c r="AE238" s="168"/>
      <c r="AF238" s="168"/>
      <c r="AG238" s="168"/>
      <c r="AH238" s="168"/>
      <c r="AI238" s="168"/>
      <c r="AJ238" s="169"/>
      <c r="AK238" s="169"/>
      <c r="AL238" s="170"/>
      <c r="AM238" s="171"/>
      <c r="AN238" s="171"/>
      <c r="AO238" s="171"/>
      <c r="AP238" s="171"/>
      <c r="AQ238" s="171"/>
      <c r="AR238" s="171"/>
      <c r="AS238" s="171"/>
      <c r="AT238" s="171"/>
      <c r="AU238" s="172"/>
      <c r="AV238" s="172"/>
      <c r="AW238" s="173"/>
      <c r="AX238" s="173"/>
      <c r="AY238" s="173"/>
    </row>
    <row r="239" s="4" customFormat="1" ht="12" spans="1:51">
      <c r="A239" s="22" t="s">
        <v>887</v>
      </c>
      <c r="B239" s="138"/>
      <c r="C239" s="138"/>
      <c r="D239" s="138"/>
      <c r="E239" s="147"/>
      <c r="F239" s="125"/>
      <c r="G239" s="27"/>
      <c r="H239" s="27"/>
      <c r="I239" s="52"/>
      <c r="J239" s="27"/>
      <c r="K239" s="27"/>
      <c r="L239" s="27"/>
      <c r="M239" s="52"/>
      <c r="N239" s="27"/>
      <c r="O239" s="27"/>
      <c r="P239" s="27"/>
      <c r="Q239" s="52"/>
      <c r="R239" s="27"/>
      <c r="S239" s="27"/>
      <c r="T239" s="27"/>
      <c r="U239" s="52"/>
      <c r="V239" s="27"/>
      <c r="W239" s="27"/>
      <c r="X239" s="27"/>
      <c r="Y239" s="52"/>
      <c r="Z239" s="27"/>
      <c r="AA239" s="27"/>
      <c r="AB239" s="27"/>
      <c r="AC239" s="52"/>
      <c r="AD239" s="168"/>
      <c r="AE239" s="168"/>
      <c r="AF239" s="168"/>
      <c r="AG239" s="168"/>
      <c r="AH239" s="168"/>
      <c r="AI239" s="168"/>
      <c r="AJ239" s="169"/>
      <c r="AK239" s="169"/>
      <c r="AL239" s="170"/>
      <c r="AM239" s="171"/>
      <c r="AN239" s="171"/>
      <c r="AO239" s="171"/>
      <c r="AP239" s="171"/>
      <c r="AQ239" s="171"/>
      <c r="AR239" s="171"/>
      <c r="AS239" s="171"/>
      <c r="AT239" s="171"/>
      <c r="AU239" s="172"/>
      <c r="AV239" s="172"/>
      <c r="AW239" s="173"/>
      <c r="AX239" s="173"/>
      <c r="AY239" s="173"/>
    </row>
    <row r="240" s="4" customFormat="1" ht="12" spans="1:51">
      <c r="A240" s="29" t="s">
        <v>851</v>
      </c>
      <c r="B240" s="112">
        <f t="shared" ref="B240:Y246" si="313">+B221-B231</f>
        <v>103.8</v>
      </c>
      <c r="C240" s="112">
        <f t="shared" si="313"/>
        <v>107.26</v>
      </c>
      <c r="D240" s="112">
        <f t="shared" si="313"/>
        <v>110.72</v>
      </c>
      <c r="E240" s="117">
        <f t="shared" si="313"/>
        <v>121.1</v>
      </c>
      <c r="F240" s="112">
        <f t="shared" si="313"/>
        <v>98.61</v>
      </c>
      <c r="G240" s="112">
        <f t="shared" si="313"/>
        <v>32.87</v>
      </c>
      <c r="H240" s="112">
        <f t="shared" si="313"/>
        <v>46.018</v>
      </c>
      <c r="I240" s="117">
        <f t="shared" si="313"/>
        <v>62.453</v>
      </c>
      <c r="J240" s="112">
        <f t="shared" si="313"/>
        <v>62.453</v>
      </c>
      <c r="K240" s="112">
        <f t="shared" si="313"/>
        <v>62.453</v>
      </c>
      <c r="L240" s="112">
        <f t="shared" si="313"/>
        <v>62.453</v>
      </c>
      <c r="M240" s="117">
        <f t="shared" si="313"/>
        <v>62.453</v>
      </c>
      <c r="N240" s="112">
        <f t="shared" si="313"/>
        <v>53.397315</v>
      </c>
      <c r="O240" s="112">
        <f t="shared" si="313"/>
        <v>53.397315</v>
      </c>
      <c r="P240" s="112">
        <f t="shared" si="313"/>
        <v>53.397315</v>
      </c>
      <c r="Q240" s="117">
        <f t="shared" si="313"/>
        <v>53.397315</v>
      </c>
      <c r="R240" s="112">
        <f t="shared" si="313"/>
        <v>47.909257625</v>
      </c>
      <c r="S240" s="112">
        <f t="shared" si="313"/>
        <v>47.909257625</v>
      </c>
      <c r="T240" s="112">
        <f t="shared" si="313"/>
        <v>47.909257625</v>
      </c>
      <c r="U240" s="117">
        <f t="shared" si="313"/>
        <v>47.909257625</v>
      </c>
      <c r="V240" s="112">
        <f t="shared" si="313"/>
        <v>42.8365127</v>
      </c>
      <c r="W240" s="112">
        <f t="shared" si="313"/>
        <v>42.8365127</v>
      </c>
      <c r="X240" s="112">
        <f t="shared" si="313"/>
        <v>42.8365127</v>
      </c>
      <c r="Y240" s="117">
        <f t="shared" si="313"/>
        <v>42.8365127</v>
      </c>
      <c r="Z240" s="112">
        <f t="shared" ref="Z240:AC240" si="314">+Z221-Z231</f>
        <v>38.1206255337801</v>
      </c>
      <c r="AA240" s="112">
        <f t="shared" si="314"/>
        <v>38.1206255337801</v>
      </c>
      <c r="AB240" s="112">
        <f t="shared" si="314"/>
        <v>38.1206255337801</v>
      </c>
      <c r="AC240" s="117">
        <f t="shared" si="314"/>
        <v>38.1206255337801</v>
      </c>
      <c r="AD240" s="168"/>
      <c r="AE240" s="168"/>
      <c r="AF240" s="168"/>
      <c r="AG240" s="168"/>
      <c r="AH240" s="168"/>
      <c r="AI240" s="168"/>
      <c r="AJ240" s="169"/>
      <c r="AK240" s="169"/>
      <c r="AL240" s="170"/>
      <c r="AM240" s="171"/>
      <c r="AN240" s="171"/>
      <c r="AO240" s="171"/>
      <c r="AP240" s="171"/>
      <c r="AQ240" s="171"/>
      <c r="AR240" s="171"/>
      <c r="AS240" s="171"/>
      <c r="AT240" s="171"/>
      <c r="AU240" s="172"/>
      <c r="AV240" s="172"/>
      <c r="AW240" s="173"/>
      <c r="AX240" s="173"/>
      <c r="AY240" s="173"/>
    </row>
    <row r="241" s="4" customFormat="1" ht="12" spans="1:51">
      <c r="A241" s="29" t="s">
        <v>852</v>
      </c>
      <c r="B241" s="112">
        <f t="shared" si="313"/>
        <v>190.4</v>
      </c>
      <c r="C241" s="112">
        <f t="shared" si="313"/>
        <v>196</v>
      </c>
      <c r="D241" s="112">
        <f t="shared" si="313"/>
        <v>212.8</v>
      </c>
      <c r="E241" s="117">
        <f t="shared" si="313"/>
        <v>212.8</v>
      </c>
      <c r="F241" s="112">
        <f t="shared" si="313"/>
        <v>186.2</v>
      </c>
      <c r="G241" s="112">
        <f t="shared" si="313"/>
        <v>143.64</v>
      </c>
      <c r="H241" s="112">
        <f t="shared" si="313"/>
        <v>137.788</v>
      </c>
      <c r="I241" s="117">
        <f t="shared" si="313"/>
        <v>138.32</v>
      </c>
      <c r="J241" s="112">
        <f t="shared" si="313"/>
        <v>131.404</v>
      </c>
      <c r="K241" s="112">
        <f t="shared" si="313"/>
        <v>136.458</v>
      </c>
      <c r="L241" s="112">
        <f t="shared" si="313"/>
        <v>136.458</v>
      </c>
      <c r="M241" s="117">
        <f t="shared" si="313"/>
        <v>136.458</v>
      </c>
      <c r="N241" s="112">
        <f t="shared" si="313"/>
        <v>110.4299</v>
      </c>
      <c r="O241" s="112">
        <f t="shared" si="313"/>
        <v>110.4299</v>
      </c>
      <c r="P241" s="112">
        <f t="shared" si="313"/>
        <v>110.4299</v>
      </c>
      <c r="Q241" s="117">
        <f t="shared" si="313"/>
        <v>110.4299</v>
      </c>
      <c r="R241" s="112">
        <f t="shared" si="313"/>
        <v>95.785935</v>
      </c>
      <c r="S241" s="112">
        <f t="shared" si="313"/>
        <v>95.785935</v>
      </c>
      <c r="T241" s="112">
        <f t="shared" si="313"/>
        <v>95.785935</v>
      </c>
      <c r="U241" s="117">
        <f t="shared" si="313"/>
        <v>95.785935</v>
      </c>
      <c r="V241" s="112">
        <f t="shared" si="313"/>
        <v>82.33029175</v>
      </c>
      <c r="W241" s="112">
        <f t="shared" si="313"/>
        <v>82.33029175</v>
      </c>
      <c r="X241" s="112">
        <f t="shared" si="313"/>
        <v>82.33029175</v>
      </c>
      <c r="Y241" s="117">
        <f t="shared" si="313"/>
        <v>82.33029175</v>
      </c>
      <c r="Z241" s="112">
        <f t="shared" ref="Z241:AC241" si="315">+Z222-Z232</f>
        <v>69.7723168691455</v>
      </c>
      <c r="AA241" s="112">
        <f t="shared" si="315"/>
        <v>69.7723168691455</v>
      </c>
      <c r="AB241" s="112">
        <f t="shared" si="315"/>
        <v>69.7723168691455</v>
      </c>
      <c r="AC241" s="117">
        <f t="shared" si="315"/>
        <v>69.7723168691455</v>
      </c>
      <c r="AD241" s="168"/>
      <c r="AE241" s="168"/>
      <c r="AF241" s="168"/>
      <c r="AG241" s="168"/>
      <c r="AH241" s="168"/>
      <c r="AI241" s="168"/>
      <c r="AJ241" s="169"/>
      <c r="AK241" s="169"/>
      <c r="AL241" s="170"/>
      <c r="AM241" s="171"/>
      <c r="AN241" s="171"/>
      <c r="AO241" s="171"/>
      <c r="AP241" s="171"/>
      <c r="AQ241" s="171"/>
      <c r="AR241" s="171"/>
      <c r="AS241" s="171"/>
      <c r="AT241" s="171"/>
      <c r="AU241" s="172"/>
      <c r="AV241" s="172"/>
      <c r="AW241" s="173"/>
      <c r="AX241" s="173"/>
      <c r="AY241" s="173"/>
    </row>
    <row r="242" s="4" customFormat="1" ht="12" spans="1:51">
      <c r="A242" s="29" t="s">
        <v>853</v>
      </c>
      <c r="B242" s="112">
        <f t="shared" si="313"/>
        <v>302.4</v>
      </c>
      <c r="C242" s="112">
        <f t="shared" si="313"/>
        <v>319.2</v>
      </c>
      <c r="D242" s="112">
        <f t="shared" si="313"/>
        <v>336</v>
      </c>
      <c r="E242" s="117">
        <f t="shared" si="313"/>
        <v>336</v>
      </c>
      <c r="F242" s="112">
        <f t="shared" si="313"/>
        <v>181.3</v>
      </c>
      <c r="G242" s="112">
        <f t="shared" si="313"/>
        <v>161.7</v>
      </c>
      <c r="H242" s="112">
        <f t="shared" si="313"/>
        <v>147</v>
      </c>
      <c r="I242" s="117">
        <f t="shared" si="313"/>
        <v>147</v>
      </c>
      <c r="J242" s="112">
        <f t="shared" si="313"/>
        <v>139.65</v>
      </c>
      <c r="K242" s="112">
        <f t="shared" si="313"/>
        <v>139.65</v>
      </c>
      <c r="L242" s="112">
        <f t="shared" si="313"/>
        <v>139.65</v>
      </c>
      <c r="M242" s="117">
        <f t="shared" si="313"/>
        <v>139.65</v>
      </c>
      <c r="N242" s="112">
        <f t="shared" si="313"/>
        <v>116.375</v>
      </c>
      <c r="O242" s="112">
        <f t="shared" si="313"/>
        <v>116.375</v>
      </c>
      <c r="P242" s="112">
        <f t="shared" si="313"/>
        <v>116.375</v>
      </c>
      <c r="Q242" s="117">
        <f t="shared" si="313"/>
        <v>116.375</v>
      </c>
      <c r="R242" s="112">
        <f t="shared" si="313"/>
        <v>101.957430555556</v>
      </c>
      <c r="S242" s="112">
        <f t="shared" si="313"/>
        <v>101.957430555556</v>
      </c>
      <c r="T242" s="112">
        <f t="shared" si="313"/>
        <v>101.957430555556</v>
      </c>
      <c r="U242" s="117">
        <f t="shared" si="313"/>
        <v>101.957430555556</v>
      </c>
      <c r="V242" s="112">
        <f t="shared" si="313"/>
        <v>88.6906805555555</v>
      </c>
      <c r="W242" s="112">
        <f t="shared" si="313"/>
        <v>88.6906805555555</v>
      </c>
      <c r="X242" s="112">
        <f t="shared" si="313"/>
        <v>88.6906805555555</v>
      </c>
      <c r="Y242" s="117">
        <f t="shared" si="313"/>
        <v>88.6906805555555</v>
      </c>
      <c r="Z242" s="112">
        <f t="shared" ref="Z242:AC242" si="316">+Z223-Z233</f>
        <v>76.2859705048798</v>
      </c>
      <c r="AA242" s="112">
        <f t="shared" si="316"/>
        <v>76.2859705048798</v>
      </c>
      <c r="AB242" s="112">
        <f t="shared" si="316"/>
        <v>76.2859705048798</v>
      </c>
      <c r="AC242" s="117">
        <f t="shared" si="316"/>
        <v>76.2859705048798</v>
      </c>
      <c r="AD242" s="168"/>
      <c r="AE242" s="168"/>
      <c r="AF242" s="168"/>
      <c r="AG242" s="168"/>
      <c r="AH242" s="168"/>
      <c r="AI242" s="168"/>
      <c r="AJ242" s="169"/>
      <c r="AK242" s="169"/>
      <c r="AL242" s="170"/>
      <c r="AM242" s="171"/>
      <c r="AN242" s="171"/>
      <c r="AO242" s="171"/>
      <c r="AP242" s="171"/>
      <c r="AQ242" s="171"/>
      <c r="AR242" s="171"/>
      <c r="AS242" s="171"/>
      <c r="AT242" s="171"/>
      <c r="AU242" s="172"/>
      <c r="AV242" s="172"/>
      <c r="AW242" s="173"/>
      <c r="AX242" s="173"/>
      <c r="AY242" s="173"/>
    </row>
    <row r="243" s="4" customFormat="1" ht="12" spans="1:51">
      <c r="A243" s="29" t="s">
        <v>854</v>
      </c>
      <c r="B243" s="112">
        <f t="shared" si="313"/>
        <v>616</v>
      </c>
      <c r="C243" s="112">
        <f t="shared" si="313"/>
        <v>616</v>
      </c>
      <c r="D243" s="112">
        <f t="shared" si="313"/>
        <v>693</v>
      </c>
      <c r="E243" s="117">
        <f t="shared" si="313"/>
        <v>693</v>
      </c>
      <c r="F243" s="112">
        <f t="shared" si="313"/>
        <v>499.32</v>
      </c>
      <c r="G243" s="112">
        <f t="shared" si="313"/>
        <v>499.32</v>
      </c>
      <c r="H243" s="112">
        <f t="shared" si="313"/>
        <v>407.34</v>
      </c>
      <c r="I243" s="117">
        <f t="shared" si="313"/>
        <v>407.34</v>
      </c>
      <c r="J243" s="112">
        <f t="shared" si="313"/>
        <v>354.78</v>
      </c>
      <c r="K243" s="112">
        <f t="shared" si="313"/>
        <v>354.78</v>
      </c>
      <c r="L243" s="112">
        <f t="shared" si="313"/>
        <v>354.78</v>
      </c>
      <c r="M243" s="117">
        <f t="shared" si="313"/>
        <v>354.78</v>
      </c>
      <c r="N243" s="112">
        <f t="shared" si="313"/>
        <v>319.302</v>
      </c>
      <c r="O243" s="112">
        <f t="shared" si="313"/>
        <v>319.302</v>
      </c>
      <c r="P243" s="112">
        <f t="shared" si="313"/>
        <v>319.302</v>
      </c>
      <c r="Q243" s="117">
        <f t="shared" si="313"/>
        <v>319.302</v>
      </c>
      <c r="R243" s="112">
        <f t="shared" si="313"/>
        <v>303.3369</v>
      </c>
      <c r="S243" s="112">
        <f t="shared" si="313"/>
        <v>303.3369</v>
      </c>
      <c r="T243" s="112">
        <f t="shared" si="313"/>
        <v>303.3369</v>
      </c>
      <c r="U243" s="117">
        <f t="shared" si="313"/>
        <v>303.3369</v>
      </c>
      <c r="V243" s="112">
        <f t="shared" si="313"/>
        <v>288.170055</v>
      </c>
      <c r="W243" s="112">
        <f t="shared" si="313"/>
        <v>288.170055</v>
      </c>
      <c r="X243" s="112">
        <f t="shared" si="313"/>
        <v>288.170055</v>
      </c>
      <c r="Y243" s="117">
        <f t="shared" si="313"/>
        <v>288.170055</v>
      </c>
      <c r="Z243" s="112">
        <f t="shared" ref="Z243:AC243" si="317">+Z224-Z234</f>
        <v>273.76155225</v>
      </c>
      <c r="AA243" s="112">
        <f t="shared" si="317"/>
        <v>273.76155225</v>
      </c>
      <c r="AB243" s="112">
        <f t="shared" si="317"/>
        <v>273.76155225</v>
      </c>
      <c r="AC243" s="117">
        <f t="shared" si="317"/>
        <v>273.76155225</v>
      </c>
      <c r="AD243" s="168"/>
      <c r="AE243" s="168"/>
      <c r="AF243" s="168"/>
      <c r="AG243" s="168"/>
      <c r="AH243" s="168"/>
      <c r="AI243" s="168"/>
      <c r="AJ243" s="169"/>
      <c r="AK243" s="169"/>
      <c r="AL243" s="170"/>
      <c r="AM243" s="171"/>
      <c r="AN243" s="171"/>
      <c r="AO243" s="171"/>
      <c r="AP243" s="171"/>
      <c r="AQ243" s="171"/>
      <c r="AR243" s="171"/>
      <c r="AS243" s="171"/>
      <c r="AT243" s="171"/>
      <c r="AU243" s="172"/>
      <c r="AV243" s="172"/>
      <c r="AW243" s="173"/>
      <c r="AX243" s="173"/>
      <c r="AY243" s="173"/>
    </row>
    <row r="244" s="4" customFormat="1" ht="12" spans="1:51">
      <c r="A244" s="29" t="s">
        <v>855</v>
      </c>
      <c r="B244" s="112">
        <f t="shared" si="313"/>
        <v>1528.8</v>
      </c>
      <c r="C244" s="112">
        <f t="shared" si="313"/>
        <v>1528.8</v>
      </c>
      <c r="D244" s="112">
        <f t="shared" si="313"/>
        <v>1638</v>
      </c>
      <c r="E244" s="117">
        <f t="shared" si="313"/>
        <v>1638</v>
      </c>
      <c r="F244" s="112">
        <f t="shared" si="313"/>
        <v>1182.6</v>
      </c>
      <c r="G244" s="112">
        <f t="shared" si="313"/>
        <v>1182.6</v>
      </c>
      <c r="H244" s="112">
        <f t="shared" si="313"/>
        <v>1103.76</v>
      </c>
      <c r="I244" s="117">
        <f t="shared" si="313"/>
        <v>1261.44</v>
      </c>
      <c r="J244" s="112">
        <f t="shared" si="313"/>
        <v>1138.92264</v>
      </c>
      <c r="K244" s="112">
        <f t="shared" si="313"/>
        <v>1069.9902</v>
      </c>
      <c r="L244" s="112">
        <f t="shared" si="313"/>
        <v>966.1185</v>
      </c>
      <c r="M244" s="117">
        <f t="shared" si="313"/>
        <v>1067.53302</v>
      </c>
      <c r="N244" s="112">
        <f t="shared" si="313"/>
        <v>1023.8443596</v>
      </c>
      <c r="O244" s="112">
        <f t="shared" si="313"/>
        <v>755.7883596</v>
      </c>
      <c r="P244" s="112">
        <f t="shared" si="313"/>
        <v>755.7883596</v>
      </c>
      <c r="Q244" s="117">
        <f t="shared" si="313"/>
        <v>755.7883596</v>
      </c>
      <c r="R244" s="112">
        <f t="shared" si="313"/>
        <v>634.306676004</v>
      </c>
      <c r="S244" s="112">
        <f t="shared" si="313"/>
        <v>577.344776004</v>
      </c>
      <c r="T244" s="112">
        <f t="shared" si="313"/>
        <v>577.344776004</v>
      </c>
      <c r="U244" s="117">
        <f t="shared" si="313"/>
        <v>577.344776004</v>
      </c>
      <c r="V244" s="112">
        <f t="shared" si="313"/>
        <v>526.079066004</v>
      </c>
      <c r="W244" s="112">
        <f t="shared" si="313"/>
        <v>491.901926004</v>
      </c>
      <c r="X244" s="112">
        <f t="shared" si="313"/>
        <v>491.901926004</v>
      </c>
      <c r="Y244" s="117">
        <f t="shared" si="313"/>
        <v>491.901926004</v>
      </c>
      <c r="Z244" s="112">
        <f t="shared" ref="Z244:AC244" si="318">+Z225-Z235</f>
        <v>410.731218504</v>
      </c>
      <c r="AA244" s="112">
        <f t="shared" si="318"/>
        <v>410.731218504</v>
      </c>
      <c r="AB244" s="112">
        <f t="shared" si="318"/>
        <v>410.731218504</v>
      </c>
      <c r="AC244" s="117">
        <f t="shared" si="318"/>
        <v>410.731218504</v>
      </c>
      <c r="AD244" s="168"/>
      <c r="AE244" s="168"/>
      <c r="AF244" s="168"/>
      <c r="AG244" s="168"/>
      <c r="AH244" s="168"/>
      <c r="AI244" s="168"/>
      <c r="AJ244" s="169"/>
      <c r="AK244" s="169"/>
      <c r="AL244" s="170"/>
      <c r="AM244" s="171"/>
      <c r="AN244" s="171"/>
      <c r="AO244" s="171"/>
      <c r="AP244" s="171"/>
      <c r="AQ244" s="171"/>
      <c r="AR244" s="171"/>
      <c r="AS244" s="171"/>
      <c r="AT244" s="171"/>
      <c r="AU244" s="172"/>
      <c r="AV244" s="172"/>
      <c r="AW244" s="173"/>
      <c r="AX244" s="173"/>
      <c r="AY244" s="173"/>
    </row>
    <row r="245" s="4" customFormat="1" ht="12" spans="1:51">
      <c r="A245" s="29" t="s">
        <v>856</v>
      </c>
      <c r="B245" s="112">
        <f t="shared" si="313"/>
        <v>0</v>
      </c>
      <c r="C245" s="112">
        <f t="shared" si="313"/>
        <v>0</v>
      </c>
      <c r="D245" s="112">
        <f t="shared" si="313"/>
        <v>0</v>
      </c>
      <c r="E245" s="117">
        <f t="shared" si="313"/>
        <v>0</v>
      </c>
      <c r="F245" s="112"/>
      <c r="G245" s="112"/>
      <c r="H245" s="112"/>
      <c r="I245" s="117"/>
      <c r="J245" s="178">
        <f>J263/J217</f>
        <v>2201.05754262549</v>
      </c>
      <c r="K245" s="178">
        <f t="shared" ref="K245:R245" si="319">K263/K217</f>
        <v>2059.45086389451</v>
      </c>
      <c r="L245" s="178">
        <f t="shared" si="319"/>
        <v>2099.62515497457</v>
      </c>
      <c r="M245" s="178">
        <f t="shared" si="319"/>
        <v>2433.65809175233</v>
      </c>
      <c r="N245" s="178">
        <f t="shared" si="319"/>
        <v>2282.83568362773</v>
      </c>
      <c r="O245" s="178">
        <f t="shared" si="319"/>
        <v>1915.7964730385</v>
      </c>
      <c r="P245" s="178">
        <f t="shared" si="319"/>
        <v>1867.19538516271</v>
      </c>
      <c r="Q245" s="178">
        <f t="shared" si="319"/>
        <v>1906.89287275731</v>
      </c>
      <c r="R245" s="178">
        <f t="shared" si="319"/>
        <v>1756.64148980556</v>
      </c>
      <c r="S245" s="112">
        <f t="shared" si="313"/>
        <v>1363.89480785702</v>
      </c>
      <c r="T245" s="112">
        <f t="shared" si="313"/>
        <v>1347.00515593559</v>
      </c>
      <c r="U245" s="117">
        <f t="shared" si="313"/>
        <v>1329.94660749494</v>
      </c>
      <c r="V245" s="112">
        <f t="shared" si="313"/>
        <v>1150.70467534504</v>
      </c>
      <c r="W245" s="112">
        <f t="shared" si="313"/>
        <v>1092.88797783814</v>
      </c>
      <c r="X245" s="112">
        <f t="shared" si="313"/>
        <v>1125.98169828138</v>
      </c>
      <c r="Y245" s="117">
        <f t="shared" si="313"/>
        <v>1125.98169828138</v>
      </c>
      <c r="Z245" s="112">
        <f t="shared" ref="Z245:AC245" si="320">+Z226-Z236</f>
        <v>762.49336733294</v>
      </c>
      <c r="AA245" s="112">
        <f t="shared" si="320"/>
        <v>888.328929946304</v>
      </c>
      <c r="AB245" s="112">
        <f t="shared" si="320"/>
        <v>917.271109347378</v>
      </c>
      <c r="AC245" s="117">
        <f t="shared" si="320"/>
        <v>917.271109347378</v>
      </c>
      <c r="AD245" s="168"/>
      <c r="AE245" s="168"/>
      <c r="AF245" s="168"/>
      <c r="AG245" s="168"/>
      <c r="AH245" s="168"/>
      <c r="AI245" s="168"/>
      <c r="AJ245" s="169"/>
      <c r="AK245" s="169"/>
      <c r="AL245" s="170"/>
      <c r="AM245" s="171"/>
      <c r="AN245" s="171"/>
      <c r="AO245" s="171"/>
      <c r="AP245" s="171"/>
      <c r="AQ245" s="171"/>
      <c r="AR245" s="171"/>
      <c r="AS245" s="171"/>
      <c r="AT245" s="171"/>
      <c r="AU245" s="172"/>
      <c r="AV245" s="172"/>
      <c r="AW245" s="173"/>
      <c r="AX245" s="173"/>
      <c r="AY245" s="173"/>
    </row>
    <row r="246" s="4" customFormat="1" ht="12" spans="1:51">
      <c r="A246" s="29" t="s">
        <v>857</v>
      </c>
      <c r="B246" s="112">
        <f t="shared" si="313"/>
        <v>0</v>
      </c>
      <c r="C246" s="112">
        <f t="shared" si="313"/>
        <v>0</v>
      </c>
      <c r="D246" s="112">
        <f t="shared" si="313"/>
        <v>0</v>
      </c>
      <c r="E246" s="117">
        <f t="shared" si="313"/>
        <v>0</v>
      </c>
      <c r="F246" s="112">
        <f t="shared" si="313"/>
        <v>0</v>
      </c>
      <c r="G246" s="112">
        <f t="shared" si="313"/>
        <v>0</v>
      </c>
      <c r="H246" s="112">
        <f t="shared" si="313"/>
        <v>0</v>
      </c>
      <c r="I246" s="117">
        <f t="shared" si="313"/>
        <v>0</v>
      </c>
      <c r="J246" s="112">
        <f t="shared" si="313"/>
        <v>0</v>
      </c>
      <c r="K246" s="112">
        <f t="shared" si="313"/>
        <v>0</v>
      </c>
      <c r="L246" s="112">
        <f t="shared" si="313"/>
        <v>0</v>
      </c>
      <c r="M246" s="117">
        <f t="shared" si="313"/>
        <v>0</v>
      </c>
      <c r="N246" s="112"/>
      <c r="O246" s="112"/>
      <c r="P246" s="112">
        <f t="shared" si="313"/>
        <v>5544</v>
      </c>
      <c r="Q246" s="117">
        <f t="shared" si="313"/>
        <v>5544</v>
      </c>
      <c r="R246" s="112">
        <f t="shared" si="313"/>
        <v>5089.92</v>
      </c>
      <c r="S246" s="112">
        <f t="shared" si="313"/>
        <v>4134.08</v>
      </c>
      <c r="T246" s="112">
        <f t="shared" si="313"/>
        <v>4063.52</v>
      </c>
      <c r="U246" s="117">
        <f t="shared" si="313"/>
        <v>4027.5344</v>
      </c>
      <c r="V246" s="112">
        <f t="shared" si="313"/>
        <v>3600.225168</v>
      </c>
      <c r="W246" s="112">
        <f t="shared" si="313"/>
        <v>3722.9136912</v>
      </c>
      <c r="X246" s="112">
        <f t="shared" si="313"/>
        <v>3722.9136912</v>
      </c>
      <c r="Y246" s="117">
        <f t="shared" si="313"/>
        <v>3722.9136912</v>
      </c>
      <c r="Z246" s="112">
        <f t="shared" ref="Z246:AC246" si="321">+Z227-Z237</f>
        <v>2852.680360464</v>
      </c>
      <c r="AA246" s="112">
        <f t="shared" si="321"/>
        <v>3160.4573164176</v>
      </c>
      <c r="AB246" s="112">
        <f t="shared" si="321"/>
        <v>3160.4573164176</v>
      </c>
      <c r="AC246" s="117">
        <f t="shared" si="321"/>
        <v>3160.4573164176</v>
      </c>
      <c r="AD246" s="168"/>
      <c r="AE246" s="168"/>
      <c r="AF246" s="168"/>
      <c r="AG246" s="168"/>
      <c r="AH246" s="168"/>
      <c r="AI246" s="168"/>
      <c r="AJ246" s="169"/>
      <c r="AK246" s="169"/>
      <c r="AL246" s="170"/>
      <c r="AM246" s="171"/>
      <c r="AN246" s="171"/>
      <c r="AO246" s="171"/>
      <c r="AP246" s="171"/>
      <c r="AQ246" s="171"/>
      <c r="AR246" s="171"/>
      <c r="AS246" s="171"/>
      <c r="AT246" s="171"/>
      <c r="AU246" s="172"/>
      <c r="AV246" s="172"/>
      <c r="AW246" s="173"/>
      <c r="AX246" s="173"/>
      <c r="AY246" s="173"/>
    </row>
    <row r="247" s="4" customFormat="1" ht="12" spans="1:51">
      <c r="A247" s="25"/>
      <c r="B247" s="138"/>
      <c r="C247" s="138"/>
      <c r="D247" s="138"/>
      <c r="E247" s="147"/>
      <c r="F247" s="125"/>
      <c r="G247" s="27"/>
      <c r="H247" s="27"/>
      <c r="I247" s="52"/>
      <c r="J247" s="27"/>
      <c r="K247" s="27"/>
      <c r="L247" s="27"/>
      <c r="M247" s="52"/>
      <c r="N247" s="27"/>
      <c r="O247" s="27"/>
      <c r="P247" s="27"/>
      <c r="Q247" s="52"/>
      <c r="R247" s="27"/>
      <c r="S247" s="27"/>
      <c r="T247" s="27"/>
      <c r="U247" s="52"/>
      <c r="V247" s="27"/>
      <c r="W247" s="27"/>
      <c r="X247" s="27"/>
      <c r="Y247" s="52"/>
      <c r="Z247" s="27"/>
      <c r="AA247" s="27"/>
      <c r="AB247" s="27"/>
      <c r="AC247" s="52"/>
      <c r="AD247" s="168"/>
      <c r="AE247" s="168"/>
      <c r="AF247" s="168"/>
      <c r="AG247" s="168"/>
      <c r="AH247" s="168"/>
      <c r="AI247" s="168"/>
      <c r="AJ247" s="169"/>
      <c r="AK247" s="169"/>
      <c r="AL247" s="170"/>
      <c r="AM247" s="171"/>
      <c r="AN247" s="171"/>
      <c r="AO247" s="171"/>
      <c r="AP247" s="171"/>
      <c r="AQ247" s="171"/>
      <c r="AR247" s="171"/>
      <c r="AS247" s="171"/>
      <c r="AT247" s="171"/>
      <c r="AU247" s="172"/>
      <c r="AV247" s="172"/>
      <c r="AW247" s="173"/>
      <c r="AX247" s="173"/>
      <c r="AY247" s="173"/>
    </row>
    <row r="248" s="4" customFormat="1" ht="12" spans="1:51">
      <c r="A248" s="22" t="s">
        <v>731</v>
      </c>
      <c r="B248" s="138"/>
      <c r="C248" s="138"/>
      <c r="D248" s="138"/>
      <c r="E248" s="147"/>
      <c r="F248" s="125"/>
      <c r="G248" s="27"/>
      <c r="H248" s="27"/>
      <c r="I248" s="52"/>
      <c r="J248" s="27"/>
      <c r="K248" s="27"/>
      <c r="L248" s="27"/>
      <c r="M248" s="52"/>
      <c r="N248" s="27"/>
      <c r="O248" s="27"/>
      <c r="P248" s="27"/>
      <c r="Q248" s="52"/>
      <c r="R248" s="27"/>
      <c r="S248" s="27"/>
      <c r="T248" s="27"/>
      <c r="U248" s="52"/>
      <c r="V248" s="27"/>
      <c r="W248" s="27"/>
      <c r="X248" s="27"/>
      <c r="Y248" s="52"/>
      <c r="Z248" s="27"/>
      <c r="AA248" s="27"/>
      <c r="AB248" s="27"/>
      <c r="AC248" s="52"/>
      <c r="AD248" s="168"/>
      <c r="AE248" s="168"/>
      <c r="AF248" s="168"/>
      <c r="AG248" s="168"/>
      <c r="AH248" s="168"/>
      <c r="AI248" s="168"/>
      <c r="AJ248" s="169"/>
      <c r="AK248" s="169"/>
      <c r="AL248" s="170"/>
      <c r="AM248" s="171"/>
      <c r="AN248" s="171"/>
      <c r="AO248" s="171"/>
      <c r="AP248" s="171"/>
      <c r="AQ248" s="171"/>
      <c r="AR248" s="171"/>
      <c r="AS248" s="171"/>
      <c r="AT248" s="171"/>
      <c r="AU248" s="172"/>
      <c r="AV248" s="172"/>
      <c r="AW248" s="173"/>
      <c r="AX248" s="173"/>
      <c r="AY248" s="173"/>
    </row>
    <row r="249" s="4" customFormat="1" ht="12" spans="1:51">
      <c r="A249" s="29" t="s">
        <v>851</v>
      </c>
      <c r="B249" s="138">
        <f t="shared" ref="B249:B253" si="322">+B240/B221</f>
        <v>0.3</v>
      </c>
      <c r="C249" s="138">
        <f t="shared" ref="C249:Y255" si="323">+C240/C221</f>
        <v>0.31</v>
      </c>
      <c r="D249" s="138">
        <f t="shared" si="323"/>
        <v>0.32</v>
      </c>
      <c r="E249" s="147">
        <f t="shared" si="323"/>
        <v>0.35</v>
      </c>
      <c r="F249" s="138">
        <f t="shared" si="323"/>
        <v>0.3</v>
      </c>
      <c r="G249" s="138">
        <f t="shared" si="323"/>
        <v>0.1</v>
      </c>
      <c r="H249" s="138">
        <f t="shared" si="323"/>
        <v>0.14</v>
      </c>
      <c r="I249" s="147">
        <f t="shared" si="323"/>
        <v>0.19</v>
      </c>
      <c r="J249" s="138">
        <f t="shared" si="323"/>
        <v>0.2</v>
      </c>
      <c r="K249" s="138">
        <f t="shared" si="323"/>
        <v>0.2</v>
      </c>
      <c r="L249" s="138">
        <f t="shared" si="323"/>
        <v>0.2</v>
      </c>
      <c r="M249" s="147">
        <f t="shared" si="323"/>
        <v>0.2</v>
      </c>
      <c r="N249" s="138">
        <f t="shared" si="323"/>
        <v>0.18</v>
      </c>
      <c r="O249" s="138">
        <f t="shared" si="323"/>
        <v>0.18</v>
      </c>
      <c r="P249" s="138">
        <f t="shared" si="323"/>
        <v>0.18</v>
      </c>
      <c r="Q249" s="147">
        <f t="shared" si="323"/>
        <v>0.18</v>
      </c>
      <c r="R249" s="138">
        <f t="shared" si="323"/>
        <v>0.17</v>
      </c>
      <c r="S249" s="138">
        <f t="shared" si="323"/>
        <v>0.17</v>
      </c>
      <c r="T249" s="138">
        <f t="shared" si="323"/>
        <v>0.17</v>
      </c>
      <c r="U249" s="147">
        <f t="shared" si="323"/>
        <v>0.17</v>
      </c>
      <c r="V249" s="138">
        <f t="shared" si="323"/>
        <v>0.16</v>
      </c>
      <c r="W249" s="138">
        <f t="shared" si="323"/>
        <v>0.16</v>
      </c>
      <c r="X249" s="138">
        <f t="shared" si="323"/>
        <v>0.16</v>
      </c>
      <c r="Y249" s="147">
        <f t="shared" si="323"/>
        <v>0.16</v>
      </c>
      <c r="Z249" s="138">
        <f t="shared" ref="Z249:AC249" si="324">+Z240/Z221</f>
        <v>0.149879518072289</v>
      </c>
      <c r="AA249" s="138">
        <f t="shared" si="324"/>
        <v>0.149879518072289</v>
      </c>
      <c r="AB249" s="138">
        <f t="shared" si="324"/>
        <v>0.149879518072289</v>
      </c>
      <c r="AC249" s="147">
        <f t="shared" si="324"/>
        <v>0.149879518072289</v>
      </c>
      <c r="AD249" s="168"/>
      <c r="AE249" s="168"/>
      <c r="AF249" s="168"/>
      <c r="AG249" s="168"/>
      <c r="AH249" s="168"/>
      <c r="AI249" s="168"/>
      <c r="AJ249" s="169"/>
      <c r="AK249" s="169"/>
      <c r="AL249" s="170"/>
      <c r="AM249" s="171"/>
      <c r="AN249" s="171"/>
      <c r="AO249" s="171"/>
      <c r="AP249" s="171"/>
      <c r="AQ249" s="171"/>
      <c r="AR249" s="171"/>
      <c r="AS249" s="171"/>
      <c r="AT249" s="171"/>
      <c r="AU249" s="172"/>
      <c r="AV249" s="172"/>
      <c r="AW249" s="173"/>
      <c r="AX249" s="173"/>
      <c r="AY249" s="173"/>
    </row>
    <row r="250" s="4" customFormat="1" ht="12" spans="1:51">
      <c r="A250" s="29" t="s">
        <v>852</v>
      </c>
      <c r="B250" s="138">
        <f t="shared" si="322"/>
        <v>0.34</v>
      </c>
      <c r="C250" s="138">
        <f t="shared" si="323"/>
        <v>0.35</v>
      </c>
      <c r="D250" s="138">
        <f t="shared" si="323"/>
        <v>0.38</v>
      </c>
      <c r="E250" s="147">
        <f t="shared" si="323"/>
        <v>0.38</v>
      </c>
      <c r="F250" s="138">
        <f t="shared" si="323"/>
        <v>0.35</v>
      </c>
      <c r="G250" s="138">
        <f t="shared" si="323"/>
        <v>0.27</v>
      </c>
      <c r="H250" s="138">
        <f t="shared" si="323"/>
        <v>0.259</v>
      </c>
      <c r="I250" s="147">
        <f t="shared" si="323"/>
        <v>0.26</v>
      </c>
      <c r="J250" s="138">
        <f t="shared" si="323"/>
        <v>0.26</v>
      </c>
      <c r="K250" s="138">
        <f t="shared" si="323"/>
        <v>0.27</v>
      </c>
      <c r="L250" s="138">
        <f t="shared" si="323"/>
        <v>0.27</v>
      </c>
      <c r="M250" s="147">
        <f t="shared" si="323"/>
        <v>0.27</v>
      </c>
      <c r="N250" s="138">
        <f t="shared" si="323"/>
        <v>0.23</v>
      </c>
      <c r="O250" s="138">
        <f t="shared" si="323"/>
        <v>0.23</v>
      </c>
      <c r="P250" s="138">
        <f t="shared" si="323"/>
        <v>0.23</v>
      </c>
      <c r="Q250" s="147">
        <f t="shared" si="323"/>
        <v>0.23</v>
      </c>
      <c r="R250" s="138">
        <f t="shared" si="323"/>
        <v>0.21</v>
      </c>
      <c r="S250" s="138">
        <f t="shared" si="323"/>
        <v>0.21</v>
      </c>
      <c r="T250" s="138">
        <f t="shared" si="323"/>
        <v>0.21</v>
      </c>
      <c r="U250" s="147">
        <f t="shared" si="323"/>
        <v>0.21</v>
      </c>
      <c r="V250" s="138">
        <f t="shared" si="323"/>
        <v>0.19</v>
      </c>
      <c r="W250" s="138">
        <f t="shared" si="323"/>
        <v>0.19</v>
      </c>
      <c r="X250" s="138">
        <f t="shared" si="323"/>
        <v>0.19</v>
      </c>
      <c r="Y250" s="147">
        <f t="shared" si="323"/>
        <v>0.19</v>
      </c>
      <c r="Z250" s="138">
        <f t="shared" ref="Z250:AC250" si="325">+Z241/Z222</f>
        <v>0.169493670886076</v>
      </c>
      <c r="AA250" s="138">
        <f t="shared" si="325"/>
        <v>0.169493670886076</v>
      </c>
      <c r="AB250" s="138">
        <f t="shared" si="325"/>
        <v>0.169493670886076</v>
      </c>
      <c r="AC250" s="147">
        <f t="shared" si="325"/>
        <v>0.169493670886076</v>
      </c>
      <c r="AD250" s="168"/>
      <c r="AE250" s="168"/>
      <c r="AF250" s="168"/>
      <c r="AG250" s="168"/>
      <c r="AH250" s="168"/>
      <c r="AI250" s="168"/>
      <c r="AJ250" s="169"/>
      <c r="AK250" s="169"/>
      <c r="AL250" s="170"/>
      <c r="AM250" s="171"/>
      <c r="AN250" s="171"/>
      <c r="AO250" s="171"/>
      <c r="AP250" s="171"/>
      <c r="AQ250" s="171"/>
      <c r="AR250" s="171"/>
      <c r="AS250" s="171"/>
      <c r="AT250" s="171"/>
      <c r="AU250" s="172"/>
      <c r="AV250" s="172"/>
      <c r="AW250" s="173"/>
      <c r="AX250" s="173"/>
      <c r="AY250" s="173"/>
    </row>
    <row r="251" s="4" customFormat="1" ht="12" spans="1:51">
      <c r="A251" s="29" t="s">
        <v>853</v>
      </c>
      <c r="B251" s="138">
        <f t="shared" si="322"/>
        <v>0.36</v>
      </c>
      <c r="C251" s="138">
        <f t="shared" si="323"/>
        <v>0.38</v>
      </c>
      <c r="D251" s="138">
        <f t="shared" si="323"/>
        <v>0.4</v>
      </c>
      <c r="E251" s="147">
        <f t="shared" si="323"/>
        <v>0.4</v>
      </c>
      <c r="F251" s="138">
        <f t="shared" si="323"/>
        <v>0.37</v>
      </c>
      <c r="G251" s="138">
        <f t="shared" si="323"/>
        <v>0.33</v>
      </c>
      <c r="H251" s="138">
        <f t="shared" si="323"/>
        <v>0.3</v>
      </c>
      <c r="I251" s="147">
        <f t="shared" si="323"/>
        <v>0.3</v>
      </c>
      <c r="J251" s="138">
        <f t="shared" si="323"/>
        <v>0.3</v>
      </c>
      <c r="K251" s="138">
        <f t="shared" si="323"/>
        <v>0.3</v>
      </c>
      <c r="L251" s="138">
        <f t="shared" si="323"/>
        <v>0.3</v>
      </c>
      <c r="M251" s="147">
        <f t="shared" si="323"/>
        <v>0.3</v>
      </c>
      <c r="N251" s="138">
        <f t="shared" si="323"/>
        <v>0.263157894736842</v>
      </c>
      <c r="O251" s="138">
        <f t="shared" si="323"/>
        <v>0.263157894736842</v>
      </c>
      <c r="P251" s="138">
        <f t="shared" si="323"/>
        <v>0.263157894736842</v>
      </c>
      <c r="Q251" s="147">
        <f t="shared" si="323"/>
        <v>0.263157894736842</v>
      </c>
      <c r="R251" s="138">
        <f t="shared" si="323"/>
        <v>0.242690058479532</v>
      </c>
      <c r="S251" s="138">
        <f t="shared" si="323"/>
        <v>0.242690058479532</v>
      </c>
      <c r="T251" s="138">
        <f t="shared" si="323"/>
        <v>0.242690058479532</v>
      </c>
      <c r="U251" s="147">
        <f t="shared" si="323"/>
        <v>0.242690058479532</v>
      </c>
      <c r="V251" s="138">
        <f t="shared" si="323"/>
        <v>0.222222222222222</v>
      </c>
      <c r="W251" s="138">
        <f t="shared" si="323"/>
        <v>0.222222222222222</v>
      </c>
      <c r="X251" s="138">
        <f t="shared" si="323"/>
        <v>0.222222222222222</v>
      </c>
      <c r="Y251" s="147">
        <f t="shared" si="323"/>
        <v>0.222222222222222</v>
      </c>
      <c r="Z251" s="138">
        <f t="shared" ref="Z251:AC251" si="326">+Z242/Z223</f>
        <v>0.201201201201201</v>
      </c>
      <c r="AA251" s="138">
        <f t="shared" si="326"/>
        <v>0.201201201201201</v>
      </c>
      <c r="AB251" s="138">
        <f t="shared" si="326"/>
        <v>0.201201201201201</v>
      </c>
      <c r="AC251" s="147">
        <f t="shared" si="326"/>
        <v>0.201201201201201</v>
      </c>
      <c r="AD251" s="168"/>
      <c r="AE251" s="168"/>
      <c r="AF251" s="168"/>
      <c r="AG251" s="168"/>
      <c r="AH251" s="168"/>
      <c r="AI251" s="168"/>
      <c r="AJ251" s="169"/>
      <c r="AK251" s="169"/>
      <c r="AL251" s="170"/>
      <c r="AM251" s="171"/>
      <c r="AN251" s="171"/>
      <c r="AO251" s="171"/>
      <c r="AP251" s="171"/>
      <c r="AQ251" s="171"/>
      <c r="AR251" s="171"/>
      <c r="AS251" s="171"/>
      <c r="AT251" s="171"/>
      <c r="AU251" s="172"/>
      <c r="AV251" s="172"/>
      <c r="AW251" s="173"/>
      <c r="AX251" s="173"/>
      <c r="AY251" s="173"/>
    </row>
    <row r="252" s="4" customFormat="1" ht="12" spans="1:51">
      <c r="A252" s="29" t="s">
        <v>854</v>
      </c>
      <c r="B252" s="138">
        <f t="shared" si="322"/>
        <v>0.4</v>
      </c>
      <c r="C252" s="138">
        <f t="shared" si="323"/>
        <v>0.4</v>
      </c>
      <c r="D252" s="138">
        <f t="shared" si="323"/>
        <v>0.45</v>
      </c>
      <c r="E252" s="147">
        <f t="shared" si="323"/>
        <v>0.45</v>
      </c>
      <c r="F252" s="138">
        <f t="shared" si="323"/>
        <v>0.38</v>
      </c>
      <c r="G252" s="138">
        <f t="shared" si="323"/>
        <v>0.38</v>
      </c>
      <c r="H252" s="138">
        <f t="shared" si="323"/>
        <v>0.31</v>
      </c>
      <c r="I252" s="147">
        <f t="shared" si="323"/>
        <v>0.31</v>
      </c>
      <c r="J252" s="138">
        <f t="shared" si="323"/>
        <v>0.3</v>
      </c>
      <c r="K252" s="138">
        <f t="shared" si="323"/>
        <v>0.3</v>
      </c>
      <c r="L252" s="138">
        <f t="shared" si="323"/>
        <v>0.3</v>
      </c>
      <c r="M252" s="147">
        <f t="shared" si="323"/>
        <v>0.3</v>
      </c>
      <c r="N252" s="138">
        <f t="shared" si="323"/>
        <v>0.3</v>
      </c>
      <c r="O252" s="138">
        <f t="shared" si="323"/>
        <v>0.3</v>
      </c>
      <c r="P252" s="138">
        <f t="shared" si="323"/>
        <v>0.3</v>
      </c>
      <c r="Q252" s="147">
        <f t="shared" si="323"/>
        <v>0.3</v>
      </c>
      <c r="R252" s="138">
        <f t="shared" si="323"/>
        <v>0.3</v>
      </c>
      <c r="S252" s="138">
        <f t="shared" si="323"/>
        <v>0.3</v>
      </c>
      <c r="T252" s="138">
        <f t="shared" si="323"/>
        <v>0.3</v>
      </c>
      <c r="U252" s="147">
        <f t="shared" si="323"/>
        <v>0.3</v>
      </c>
      <c r="V252" s="138">
        <f t="shared" si="323"/>
        <v>0.3</v>
      </c>
      <c r="W252" s="138">
        <f t="shared" si="323"/>
        <v>0.3</v>
      </c>
      <c r="X252" s="138">
        <f t="shared" si="323"/>
        <v>0.3</v>
      </c>
      <c r="Y252" s="147">
        <f t="shared" si="323"/>
        <v>0.3</v>
      </c>
      <c r="Z252" s="138">
        <f t="shared" ref="Z252:AC252" si="327">+Z243/Z224</f>
        <v>0.3</v>
      </c>
      <c r="AA252" s="138">
        <f t="shared" si="327"/>
        <v>0.3</v>
      </c>
      <c r="AB252" s="138">
        <f t="shared" si="327"/>
        <v>0.3</v>
      </c>
      <c r="AC252" s="147">
        <f t="shared" si="327"/>
        <v>0.3</v>
      </c>
      <c r="AD252" s="168"/>
      <c r="AE252" s="168"/>
      <c r="AF252" s="168"/>
      <c r="AG252" s="168"/>
      <c r="AH252" s="168"/>
      <c r="AI252" s="168"/>
      <c r="AJ252" s="169"/>
      <c r="AK252" s="169"/>
      <c r="AL252" s="170"/>
      <c r="AM252" s="171"/>
      <c r="AN252" s="171"/>
      <c r="AO252" s="171"/>
      <c r="AP252" s="171"/>
      <c r="AQ252" s="171"/>
      <c r="AR252" s="171"/>
      <c r="AS252" s="171"/>
      <c r="AT252" s="171"/>
      <c r="AU252" s="172"/>
      <c r="AV252" s="172"/>
      <c r="AW252" s="173"/>
      <c r="AX252" s="173"/>
      <c r="AY252" s="173"/>
    </row>
    <row r="253" s="4" customFormat="1" ht="12" spans="1:51">
      <c r="A253" s="29" t="s">
        <v>855</v>
      </c>
      <c r="B253" s="138">
        <f t="shared" si="322"/>
        <v>0.42</v>
      </c>
      <c r="C253" s="138">
        <f t="shared" si="323"/>
        <v>0.42</v>
      </c>
      <c r="D253" s="138">
        <f t="shared" si="323"/>
        <v>0.45</v>
      </c>
      <c r="E253" s="147">
        <f t="shared" si="323"/>
        <v>0.45</v>
      </c>
      <c r="F253" s="138">
        <f t="shared" si="323"/>
        <v>0.45</v>
      </c>
      <c r="G253" s="138">
        <f t="shared" si="323"/>
        <v>0.45</v>
      </c>
      <c r="H253" s="138">
        <f t="shared" si="323"/>
        <v>0.42</v>
      </c>
      <c r="I253" s="147">
        <f t="shared" si="323"/>
        <v>0.48</v>
      </c>
      <c r="J253" s="138">
        <f t="shared" si="323"/>
        <v>0.466</v>
      </c>
      <c r="K253" s="138">
        <f t="shared" si="323"/>
        <v>0.479</v>
      </c>
      <c r="L253" s="138">
        <f t="shared" si="323"/>
        <v>0.4325</v>
      </c>
      <c r="M253" s="147">
        <f t="shared" si="323"/>
        <v>0.4779</v>
      </c>
      <c r="N253" s="138">
        <f t="shared" si="323"/>
        <v>0.472517525773196</v>
      </c>
      <c r="O253" s="138">
        <f t="shared" si="323"/>
        <v>0.398049411764706</v>
      </c>
      <c r="P253" s="138">
        <f t="shared" si="323"/>
        <v>0.398049411764706</v>
      </c>
      <c r="Q253" s="147">
        <f t="shared" si="323"/>
        <v>0.398049411764706</v>
      </c>
      <c r="R253" s="138">
        <f t="shared" si="323"/>
        <v>0.359213889943074</v>
      </c>
      <c r="S253" s="138">
        <f t="shared" si="323"/>
        <v>0.337854352941177</v>
      </c>
      <c r="T253" s="138">
        <f t="shared" si="323"/>
        <v>0.337854352941177</v>
      </c>
      <c r="U253" s="147">
        <f t="shared" si="323"/>
        <v>0.337854352941177</v>
      </c>
      <c r="V253" s="138">
        <f t="shared" si="323"/>
        <v>0.317375621588842</v>
      </c>
      <c r="W253" s="138">
        <f t="shared" si="323"/>
        <v>0.303004582043344</v>
      </c>
      <c r="X253" s="138">
        <f t="shared" si="323"/>
        <v>0.303004582043344</v>
      </c>
      <c r="Y253" s="147">
        <f t="shared" si="323"/>
        <v>0.303004582043344</v>
      </c>
      <c r="Z253" s="138">
        <f t="shared" ref="Z253:AC253" si="328">+Z244/Z225</f>
        <v>0.266320612677204</v>
      </c>
      <c r="AA253" s="138">
        <f t="shared" si="328"/>
        <v>0.266320612677204</v>
      </c>
      <c r="AB253" s="138">
        <f t="shared" si="328"/>
        <v>0.266320612677204</v>
      </c>
      <c r="AC253" s="147">
        <f t="shared" si="328"/>
        <v>0.266320612677204</v>
      </c>
      <c r="AD253" s="168"/>
      <c r="AE253" s="168"/>
      <c r="AF253" s="168"/>
      <c r="AG253" s="168"/>
      <c r="AH253" s="168"/>
      <c r="AI253" s="168"/>
      <c r="AJ253" s="169"/>
      <c r="AK253" s="169"/>
      <c r="AL253" s="170"/>
      <c r="AM253" s="171"/>
      <c r="AN253" s="171"/>
      <c r="AO253" s="171"/>
      <c r="AP253" s="171"/>
      <c r="AQ253" s="171"/>
      <c r="AR253" s="171"/>
      <c r="AS253" s="171"/>
      <c r="AT253" s="171"/>
      <c r="AU253" s="172"/>
      <c r="AV253" s="172"/>
      <c r="AW253" s="173"/>
      <c r="AX253" s="173"/>
      <c r="AY253" s="173"/>
    </row>
    <row r="254" s="4" customFormat="1" ht="12" spans="1:51">
      <c r="A254" s="29" t="s">
        <v>856</v>
      </c>
      <c r="B254" s="138"/>
      <c r="C254" s="138"/>
      <c r="D254" s="138"/>
      <c r="E254" s="147"/>
      <c r="F254" s="138">
        <f t="shared" si="323"/>
        <v>0</v>
      </c>
      <c r="G254" s="138">
        <f t="shared" si="323"/>
        <v>0</v>
      </c>
      <c r="H254" s="138">
        <f t="shared" si="323"/>
        <v>0</v>
      </c>
      <c r="I254" s="147">
        <f t="shared" si="323"/>
        <v>0</v>
      </c>
      <c r="J254" s="138">
        <f t="shared" si="323"/>
        <v>0.502524553110842</v>
      </c>
      <c r="K254" s="138">
        <f t="shared" si="323"/>
        <v>0.470194261163129</v>
      </c>
      <c r="L254" s="138">
        <f t="shared" si="323"/>
        <v>0.479366473738486</v>
      </c>
      <c r="M254" s="147">
        <f t="shared" si="323"/>
        <v>0.555629701313317</v>
      </c>
      <c r="N254" s="138">
        <f t="shared" si="323"/>
        <v>0.560425119955743</v>
      </c>
      <c r="O254" s="138">
        <f t="shared" si="323"/>
        <v>0.514584064743085</v>
      </c>
      <c r="P254" s="138">
        <f t="shared" si="323"/>
        <v>0.501529783820228</v>
      </c>
      <c r="Q254" s="147">
        <f t="shared" si="323"/>
        <v>0.512192552446228</v>
      </c>
      <c r="R254" s="138">
        <f t="shared" si="323"/>
        <v>0.507349400213597</v>
      </c>
      <c r="S254" s="138">
        <f t="shared" si="323"/>
        <v>0.446759696762058</v>
      </c>
      <c r="T254" s="138">
        <f t="shared" si="323"/>
        <v>0.441227293729679</v>
      </c>
      <c r="U254" s="147">
        <f t="shared" si="323"/>
        <v>0.435639566666976</v>
      </c>
      <c r="V254" s="138">
        <f t="shared" si="323"/>
        <v>0.40529760788563</v>
      </c>
      <c r="W254" s="138">
        <f t="shared" si="323"/>
        <v>0.397764710918848</v>
      </c>
      <c r="X254" s="138">
        <f t="shared" si="323"/>
        <v>0.409809416700471</v>
      </c>
      <c r="Y254" s="147">
        <f t="shared" si="323"/>
        <v>0.409809416700471</v>
      </c>
      <c r="Z254" s="138">
        <f t="shared" ref="Z254:AC254" si="329">+Z245/Z226</f>
        <v>0.326488393175832</v>
      </c>
      <c r="AA254" s="138">
        <f t="shared" si="329"/>
        <v>0.380369321721766</v>
      </c>
      <c r="AB254" s="138">
        <f t="shared" si="329"/>
        <v>0.39276193528733</v>
      </c>
      <c r="AC254" s="147">
        <f t="shared" si="329"/>
        <v>0.39276193528733</v>
      </c>
      <c r="AD254" s="168"/>
      <c r="AE254" s="168"/>
      <c r="AF254" s="168"/>
      <c r="AG254" s="168"/>
      <c r="AH254" s="168"/>
      <c r="AI254" s="168"/>
      <c r="AJ254" s="169"/>
      <c r="AK254" s="169"/>
      <c r="AL254" s="170"/>
      <c r="AM254" s="171"/>
      <c r="AN254" s="171"/>
      <c r="AO254" s="171"/>
      <c r="AP254" s="171"/>
      <c r="AQ254" s="171"/>
      <c r="AR254" s="171"/>
      <c r="AS254" s="171"/>
      <c r="AT254" s="171"/>
      <c r="AU254" s="172"/>
      <c r="AV254" s="172"/>
      <c r="AW254" s="173"/>
      <c r="AX254" s="173"/>
      <c r="AY254" s="173"/>
    </row>
    <row r="255" s="4" customFormat="1" ht="12" spans="1:51">
      <c r="A255" s="29" t="s">
        <v>857</v>
      </c>
      <c r="B255" s="138"/>
      <c r="C255" s="138"/>
      <c r="D255" s="138"/>
      <c r="E255" s="147"/>
      <c r="F255" s="138"/>
      <c r="G255" s="138"/>
      <c r="H255" s="138"/>
      <c r="I255" s="147"/>
      <c r="J255" s="138"/>
      <c r="K255" s="138"/>
      <c r="L255" s="138"/>
      <c r="M255" s="147"/>
      <c r="N255" s="138">
        <f t="shared" si="323"/>
        <v>0</v>
      </c>
      <c r="O255" s="138">
        <f t="shared" si="323"/>
        <v>0</v>
      </c>
      <c r="P255" s="138">
        <f t="shared" si="323"/>
        <v>0.593321917808219</v>
      </c>
      <c r="Q255" s="147">
        <f t="shared" si="323"/>
        <v>0.593321917808219</v>
      </c>
      <c r="R255" s="138">
        <f t="shared" si="323"/>
        <v>0.58572691117985</v>
      </c>
      <c r="S255" s="138">
        <f t="shared" si="323"/>
        <v>0.539550618108921</v>
      </c>
      <c r="T255" s="138">
        <f t="shared" si="323"/>
        <v>0.530341630471099</v>
      </c>
      <c r="U255" s="147">
        <f t="shared" si="323"/>
        <v>0.52564504677581</v>
      </c>
      <c r="V255" s="138">
        <f t="shared" si="323"/>
        <v>0.505242683196275</v>
      </c>
      <c r="W255" s="138">
        <f t="shared" si="323"/>
        <v>0.539875695372536</v>
      </c>
      <c r="X255" s="138">
        <f t="shared" si="323"/>
        <v>0.539875695372536</v>
      </c>
      <c r="Y255" s="147">
        <f t="shared" si="323"/>
        <v>0.539875695372536</v>
      </c>
      <c r="Z255" s="138">
        <f t="shared" ref="Z255:AC255" si="330">+Z246/Z227</f>
        <v>0.481022586641116</v>
      </c>
      <c r="AA255" s="138">
        <f t="shared" si="330"/>
        <v>0.532920327977005</v>
      </c>
      <c r="AB255" s="138">
        <f t="shared" si="330"/>
        <v>0.532920327977005</v>
      </c>
      <c r="AC255" s="147">
        <f t="shared" si="330"/>
        <v>0.532920327977005</v>
      </c>
      <c r="AD255" s="168"/>
      <c r="AE255" s="168"/>
      <c r="AF255" s="168"/>
      <c r="AG255" s="168"/>
      <c r="AH255" s="168"/>
      <c r="AI255" s="168"/>
      <c r="AJ255" s="169"/>
      <c r="AK255" s="169"/>
      <c r="AL255" s="170"/>
      <c r="AM255" s="171"/>
      <c r="AN255" s="171"/>
      <c r="AO255" s="171"/>
      <c r="AP255" s="171"/>
      <c r="AQ255" s="171"/>
      <c r="AR255" s="171"/>
      <c r="AS255" s="171"/>
      <c r="AT255" s="171"/>
      <c r="AU255" s="172"/>
      <c r="AV255" s="172"/>
      <c r="AW255" s="173"/>
      <c r="AX255" s="173"/>
      <c r="AY255" s="173"/>
    </row>
    <row r="256" s="4" customFormat="1" ht="12" spans="1:51">
      <c r="A256" s="25"/>
      <c r="B256" s="138"/>
      <c r="C256" s="138"/>
      <c r="D256" s="138"/>
      <c r="E256" s="147"/>
      <c r="F256" s="125"/>
      <c r="G256" s="27"/>
      <c r="H256" s="27"/>
      <c r="I256" s="52"/>
      <c r="J256" s="27"/>
      <c r="K256" s="27"/>
      <c r="L256" s="27"/>
      <c r="M256" s="52"/>
      <c r="N256" s="27"/>
      <c r="O256" s="27"/>
      <c r="P256" s="27"/>
      <c r="Q256" s="52"/>
      <c r="R256" s="27"/>
      <c r="S256" s="27"/>
      <c r="T256" s="27"/>
      <c r="U256" s="52"/>
      <c r="V256" s="27"/>
      <c r="W256" s="27"/>
      <c r="X256" s="27"/>
      <c r="Y256" s="52"/>
      <c r="Z256" s="27"/>
      <c r="AA256" s="27"/>
      <c r="AB256" s="27"/>
      <c r="AC256" s="52"/>
      <c r="AD256" s="168"/>
      <c r="AE256" s="168"/>
      <c r="AF256" s="168"/>
      <c r="AG256" s="168"/>
      <c r="AH256" s="168"/>
      <c r="AI256" s="168"/>
      <c r="AJ256" s="169"/>
      <c r="AK256" s="169"/>
      <c r="AL256" s="170"/>
      <c r="AM256" s="171"/>
      <c r="AN256" s="171"/>
      <c r="AO256" s="171"/>
      <c r="AP256" s="171"/>
      <c r="AQ256" s="171"/>
      <c r="AR256" s="171"/>
      <c r="AS256" s="171"/>
      <c r="AT256" s="171"/>
      <c r="AU256" s="172"/>
      <c r="AV256" s="172"/>
      <c r="AW256" s="173"/>
      <c r="AX256" s="173"/>
      <c r="AY256" s="173"/>
    </row>
    <row r="257" s="4" customFormat="1" ht="12" spans="1:51">
      <c r="A257" s="22" t="s">
        <v>889</v>
      </c>
      <c r="B257" s="138"/>
      <c r="C257" s="138"/>
      <c r="D257" s="138"/>
      <c r="E257" s="147"/>
      <c r="F257" s="125"/>
      <c r="G257" s="27"/>
      <c r="H257" s="27"/>
      <c r="I257" s="52"/>
      <c r="J257" s="27"/>
      <c r="K257" s="27"/>
      <c r="L257" s="27"/>
      <c r="M257" s="52"/>
      <c r="N257" s="27"/>
      <c r="O257" s="27"/>
      <c r="P257" s="27"/>
      <c r="Q257" s="52"/>
      <c r="R257" s="27"/>
      <c r="S257" s="27"/>
      <c r="T257" s="27"/>
      <c r="U257" s="52"/>
      <c r="V257" s="27"/>
      <c r="W257" s="27"/>
      <c r="X257" s="27"/>
      <c r="Y257" s="52"/>
      <c r="Z257" s="27"/>
      <c r="AA257" s="27"/>
      <c r="AB257" s="27"/>
      <c r="AC257" s="52"/>
      <c r="AD257" s="168"/>
      <c r="AE257" s="168"/>
      <c r="AF257" s="168"/>
      <c r="AG257" s="168"/>
      <c r="AH257" s="168"/>
      <c r="AI257" s="168"/>
      <c r="AJ257" s="169"/>
      <c r="AK257" s="169"/>
      <c r="AL257" s="170"/>
      <c r="AM257" s="171"/>
      <c r="AN257" s="171"/>
      <c r="AO257" s="171"/>
      <c r="AP257" s="171"/>
      <c r="AQ257" s="171"/>
      <c r="AR257" s="171"/>
      <c r="AS257" s="171"/>
      <c r="AT257" s="171"/>
      <c r="AU257" s="172"/>
      <c r="AV257" s="172"/>
      <c r="AW257" s="173"/>
      <c r="AX257" s="173"/>
      <c r="AY257" s="173"/>
    </row>
    <row r="258" s="4" customFormat="1" ht="12" spans="1:51">
      <c r="A258" s="29" t="s">
        <v>851</v>
      </c>
      <c r="B258" s="112">
        <f t="shared" ref="B258:Y264" si="331">+B240*B212</f>
        <v>41.52</v>
      </c>
      <c r="C258" s="112">
        <f t="shared" si="331"/>
        <v>42.904</v>
      </c>
      <c r="D258" s="112">
        <f t="shared" si="331"/>
        <v>44.288</v>
      </c>
      <c r="E258" s="117">
        <f t="shared" si="331"/>
        <v>48.44</v>
      </c>
      <c r="F258" s="112">
        <f t="shared" si="331"/>
        <v>32.83713</v>
      </c>
      <c r="G258" s="112">
        <f t="shared" si="331"/>
        <v>10.5184</v>
      </c>
      <c r="H258" s="112">
        <f t="shared" si="331"/>
        <v>13.8054</v>
      </c>
      <c r="I258" s="117">
        <f t="shared" si="331"/>
        <v>12.4906</v>
      </c>
      <c r="J258" s="112">
        <f t="shared" si="331"/>
        <v>6.2453</v>
      </c>
      <c r="K258" s="112">
        <f t="shared" si="331"/>
        <v>6.2453</v>
      </c>
      <c r="L258" s="112">
        <f t="shared" si="331"/>
        <v>6.2453</v>
      </c>
      <c r="M258" s="117">
        <f t="shared" si="331"/>
        <v>6.2453</v>
      </c>
      <c r="N258" s="112">
        <f t="shared" si="331"/>
        <v>4.80575835</v>
      </c>
      <c r="O258" s="112">
        <f t="shared" si="331"/>
        <v>4.80575835</v>
      </c>
      <c r="P258" s="112">
        <f t="shared" si="331"/>
        <v>4.80575835</v>
      </c>
      <c r="Q258" s="117">
        <f t="shared" si="331"/>
        <v>4.80575835</v>
      </c>
      <c r="R258" s="112">
        <f t="shared" si="331"/>
        <v>3.880649867625</v>
      </c>
      <c r="S258" s="112">
        <f t="shared" si="331"/>
        <v>3.880649867625</v>
      </c>
      <c r="T258" s="112">
        <f t="shared" si="331"/>
        <v>3.880649867625</v>
      </c>
      <c r="U258" s="117">
        <f t="shared" si="331"/>
        <v>3.880649867625</v>
      </c>
      <c r="V258" s="112">
        <f t="shared" si="331"/>
        <v>3.12278177583</v>
      </c>
      <c r="W258" s="112">
        <f t="shared" si="331"/>
        <v>3.12278177583</v>
      </c>
      <c r="X258" s="112">
        <f t="shared" si="331"/>
        <v>3.12278177583</v>
      </c>
      <c r="Y258" s="117">
        <f t="shared" si="331"/>
        <v>3.12278177583</v>
      </c>
      <c r="Z258" s="112">
        <f t="shared" ref="Z258:AC258" si="332">+Z240*Z212</f>
        <v>2.50109424127131</v>
      </c>
      <c r="AA258" s="112">
        <f t="shared" si="332"/>
        <v>2.50109424127131</v>
      </c>
      <c r="AB258" s="112">
        <f t="shared" si="332"/>
        <v>2.50109424127131</v>
      </c>
      <c r="AC258" s="117">
        <f t="shared" si="332"/>
        <v>2.50109424127131</v>
      </c>
      <c r="AD258" s="168"/>
      <c r="AE258" s="168"/>
      <c r="AF258" s="168"/>
      <c r="AG258" s="168"/>
      <c r="AH258" s="168"/>
      <c r="AI258" s="168"/>
      <c r="AJ258" s="169"/>
      <c r="AK258" s="169"/>
      <c r="AL258" s="170"/>
      <c r="AM258" s="171"/>
      <c r="AN258" s="171"/>
      <c r="AO258" s="171"/>
      <c r="AP258" s="171"/>
      <c r="AQ258" s="171"/>
      <c r="AR258" s="171"/>
      <c r="AS258" s="171"/>
      <c r="AT258" s="171"/>
      <c r="AU258" s="172"/>
      <c r="AV258" s="172"/>
      <c r="AW258" s="173"/>
      <c r="AX258" s="173"/>
      <c r="AY258" s="173"/>
    </row>
    <row r="259" s="4" customFormat="1" ht="12" spans="1:51">
      <c r="A259" s="29" t="s">
        <v>852</v>
      </c>
      <c r="B259" s="112">
        <f t="shared" si="331"/>
        <v>114.24</v>
      </c>
      <c r="C259" s="112">
        <f t="shared" si="331"/>
        <v>117.6</v>
      </c>
      <c r="D259" s="112">
        <f t="shared" si="331"/>
        <v>148.96</v>
      </c>
      <c r="E259" s="117">
        <f t="shared" si="331"/>
        <v>131.936</v>
      </c>
      <c r="F259" s="112">
        <f t="shared" si="331"/>
        <v>74.48</v>
      </c>
      <c r="G259" s="112">
        <f t="shared" si="331"/>
        <v>73.11276</v>
      </c>
      <c r="H259" s="112">
        <f t="shared" si="331"/>
        <v>75.7834</v>
      </c>
      <c r="I259" s="117">
        <f t="shared" si="331"/>
        <v>48.412</v>
      </c>
      <c r="J259" s="112">
        <f t="shared" si="331"/>
        <v>6.5702</v>
      </c>
      <c r="K259" s="112">
        <f t="shared" si="331"/>
        <v>20.4687</v>
      </c>
      <c r="L259" s="112">
        <f t="shared" si="331"/>
        <v>20.4687</v>
      </c>
      <c r="M259" s="117">
        <f t="shared" si="331"/>
        <v>20.4687</v>
      </c>
      <c r="N259" s="112">
        <f t="shared" si="331"/>
        <v>11.04299</v>
      </c>
      <c r="O259" s="112">
        <f t="shared" si="331"/>
        <v>11.04299</v>
      </c>
      <c r="P259" s="112">
        <f t="shared" si="331"/>
        <v>11.04299</v>
      </c>
      <c r="Q259" s="117">
        <f t="shared" si="331"/>
        <v>11.04299</v>
      </c>
      <c r="R259" s="112">
        <f t="shared" si="331"/>
        <v>8.62073415</v>
      </c>
      <c r="S259" s="112">
        <f t="shared" si="331"/>
        <v>8.62073415</v>
      </c>
      <c r="T259" s="112">
        <f t="shared" si="331"/>
        <v>8.62073415</v>
      </c>
      <c r="U259" s="117">
        <f t="shared" si="331"/>
        <v>8.62073415</v>
      </c>
      <c r="V259" s="112">
        <f t="shared" si="331"/>
        <v>6.66875363175</v>
      </c>
      <c r="W259" s="112">
        <f t="shared" si="331"/>
        <v>6.66875363175</v>
      </c>
      <c r="X259" s="112">
        <f t="shared" si="331"/>
        <v>6.66875363175</v>
      </c>
      <c r="Y259" s="117">
        <f t="shared" si="331"/>
        <v>6.66875363175</v>
      </c>
      <c r="Z259" s="112">
        <f t="shared" ref="Z259:AC259" si="333">+Z241*Z213</f>
        <v>5.08640189976071</v>
      </c>
      <c r="AA259" s="112">
        <f t="shared" si="333"/>
        <v>5.08640189976071</v>
      </c>
      <c r="AB259" s="112">
        <f t="shared" si="333"/>
        <v>5.08640189976071</v>
      </c>
      <c r="AC259" s="117">
        <f t="shared" si="333"/>
        <v>5.08640189976071</v>
      </c>
      <c r="AD259" s="168"/>
      <c r="AE259" s="168"/>
      <c r="AF259" s="168"/>
      <c r="AG259" s="168"/>
      <c r="AH259" s="168"/>
      <c r="AI259" s="168"/>
      <c r="AJ259" s="169"/>
      <c r="AK259" s="169"/>
      <c r="AL259" s="170"/>
      <c r="AM259" s="171"/>
      <c r="AN259" s="171"/>
      <c r="AO259" s="171"/>
      <c r="AP259" s="171"/>
      <c r="AQ259" s="171"/>
      <c r="AR259" s="171"/>
      <c r="AS259" s="171"/>
      <c r="AT259" s="171"/>
      <c r="AU259" s="172"/>
      <c r="AV259" s="172"/>
      <c r="AW259" s="173"/>
      <c r="AX259" s="173"/>
      <c r="AY259" s="173"/>
    </row>
    <row r="260" s="4" customFormat="1" ht="12" spans="1:51">
      <c r="A260" s="29" t="s">
        <v>853</v>
      </c>
      <c r="B260" s="112">
        <f t="shared" si="331"/>
        <v>27.216</v>
      </c>
      <c r="C260" s="112">
        <f t="shared" si="331"/>
        <v>31.92</v>
      </c>
      <c r="D260" s="112">
        <f t="shared" si="331"/>
        <v>43.68</v>
      </c>
      <c r="E260" s="117">
        <f t="shared" si="331"/>
        <v>36.96</v>
      </c>
      <c r="F260" s="112">
        <f t="shared" si="331"/>
        <v>14.504</v>
      </c>
      <c r="G260" s="112">
        <f t="shared" si="331"/>
        <v>12.936</v>
      </c>
      <c r="H260" s="112">
        <f t="shared" si="331"/>
        <v>14.7</v>
      </c>
      <c r="I260" s="117">
        <f t="shared" si="331"/>
        <v>13.23</v>
      </c>
      <c r="J260" s="112">
        <f t="shared" si="331"/>
        <v>2.793</v>
      </c>
      <c r="K260" s="112">
        <f t="shared" si="331"/>
        <v>2.793</v>
      </c>
      <c r="L260" s="112">
        <f t="shared" si="331"/>
        <v>2.793</v>
      </c>
      <c r="M260" s="117">
        <f t="shared" si="331"/>
        <v>2.793</v>
      </c>
      <c r="N260" s="112">
        <f t="shared" si="331"/>
        <v>2.071475</v>
      </c>
      <c r="O260" s="112">
        <f t="shared" si="331"/>
        <v>2.071475</v>
      </c>
      <c r="P260" s="112">
        <f t="shared" si="331"/>
        <v>6.9825</v>
      </c>
      <c r="Q260" s="117">
        <f t="shared" si="331"/>
        <v>6.9825</v>
      </c>
      <c r="R260" s="112">
        <f t="shared" si="331"/>
        <v>1.72410015069444</v>
      </c>
      <c r="S260" s="112">
        <f t="shared" si="331"/>
        <v>1.72410015069444</v>
      </c>
      <c r="T260" s="112">
        <f t="shared" si="331"/>
        <v>5.81157354166667</v>
      </c>
      <c r="U260" s="117">
        <f t="shared" si="331"/>
        <v>5.81157354166667</v>
      </c>
      <c r="V260" s="112">
        <f t="shared" si="331"/>
        <v>1.42477143778472</v>
      </c>
      <c r="W260" s="112">
        <f t="shared" si="331"/>
        <v>1.42477143778472</v>
      </c>
      <c r="X260" s="112">
        <f t="shared" si="331"/>
        <v>4.80260035208333</v>
      </c>
      <c r="Y260" s="117">
        <f t="shared" si="331"/>
        <v>4.80260035208333</v>
      </c>
      <c r="Z260" s="112">
        <f t="shared" ref="Z260:AC260" si="334">+Z242*Z214</f>
        <v>1.16422117451686</v>
      </c>
      <c r="AA260" s="112">
        <f t="shared" si="334"/>
        <v>1.16422117451686</v>
      </c>
      <c r="AB260" s="112">
        <f t="shared" si="334"/>
        <v>3.92434103769728</v>
      </c>
      <c r="AC260" s="117">
        <f t="shared" si="334"/>
        <v>3.92434103769728</v>
      </c>
      <c r="AD260" s="168"/>
      <c r="AE260" s="168"/>
      <c r="AF260" s="168"/>
      <c r="AG260" s="168"/>
      <c r="AH260" s="168"/>
      <c r="AI260" s="168"/>
      <c r="AJ260" s="169"/>
      <c r="AK260" s="169"/>
      <c r="AL260" s="170"/>
      <c r="AM260" s="171"/>
      <c r="AN260" s="171"/>
      <c r="AO260" s="171"/>
      <c r="AP260" s="171"/>
      <c r="AQ260" s="171"/>
      <c r="AR260" s="171"/>
      <c r="AS260" s="171"/>
      <c r="AT260" s="171"/>
      <c r="AU260" s="172"/>
      <c r="AV260" s="172"/>
      <c r="AW260" s="173"/>
      <c r="AX260" s="173"/>
      <c r="AY260" s="173"/>
    </row>
    <row r="261" s="4" customFormat="1" ht="12" spans="1:51">
      <c r="A261" s="29" t="s">
        <v>854</v>
      </c>
      <c r="B261" s="112">
        <f t="shared" si="331"/>
        <v>6.16</v>
      </c>
      <c r="C261" s="112">
        <f t="shared" si="331"/>
        <v>12.32</v>
      </c>
      <c r="D261" s="112">
        <f t="shared" si="331"/>
        <v>20.79</v>
      </c>
      <c r="E261" s="117">
        <f t="shared" si="331"/>
        <v>27.72</v>
      </c>
      <c r="F261" s="112">
        <f t="shared" si="331"/>
        <v>2.4966</v>
      </c>
      <c r="G261" s="112">
        <f t="shared" si="331"/>
        <v>4.9932</v>
      </c>
      <c r="H261" s="112">
        <f t="shared" si="331"/>
        <v>7.33212</v>
      </c>
      <c r="I261" s="117">
        <f t="shared" si="331"/>
        <v>5.49909</v>
      </c>
      <c r="J261" s="112">
        <f t="shared" si="331"/>
        <v>1.7739</v>
      </c>
      <c r="K261" s="112">
        <f t="shared" si="331"/>
        <v>1.7739</v>
      </c>
      <c r="L261" s="112">
        <f t="shared" si="331"/>
        <v>1.7739</v>
      </c>
      <c r="M261" s="117">
        <f t="shared" si="331"/>
        <v>1.7739</v>
      </c>
      <c r="N261" s="112">
        <f t="shared" si="331"/>
        <v>1.59651</v>
      </c>
      <c r="O261" s="112">
        <f t="shared" si="331"/>
        <v>1.59651</v>
      </c>
      <c r="P261" s="112">
        <f t="shared" si="331"/>
        <v>1.59651</v>
      </c>
      <c r="Q261" s="117">
        <f t="shared" si="331"/>
        <v>1.59651</v>
      </c>
      <c r="R261" s="112">
        <f t="shared" si="331"/>
        <v>1.5166845</v>
      </c>
      <c r="S261" s="112">
        <f t="shared" si="331"/>
        <v>1.5166845</v>
      </c>
      <c r="T261" s="112">
        <f t="shared" si="331"/>
        <v>1.5166845</v>
      </c>
      <c r="U261" s="117">
        <f t="shared" si="331"/>
        <v>1.5166845</v>
      </c>
      <c r="V261" s="112">
        <f t="shared" si="331"/>
        <v>1.440850275</v>
      </c>
      <c r="W261" s="112">
        <f t="shared" si="331"/>
        <v>1.440850275</v>
      </c>
      <c r="X261" s="112">
        <f t="shared" si="331"/>
        <v>1.440850275</v>
      </c>
      <c r="Y261" s="117">
        <f t="shared" si="331"/>
        <v>1.440850275</v>
      </c>
      <c r="Z261" s="112">
        <f t="shared" ref="Z261:AC261" si="335">+Z243*Z215</f>
        <v>1.36880776125</v>
      </c>
      <c r="AA261" s="112">
        <f t="shared" si="335"/>
        <v>1.36880776125</v>
      </c>
      <c r="AB261" s="112">
        <f t="shared" si="335"/>
        <v>1.36880776125</v>
      </c>
      <c r="AC261" s="117">
        <f t="shared" si="335"/>
        <v>1.36880776125</v>
      </c>
      <c r="AD261" s="168"/>
      <c r="AE261" s="168"/>
      <c r="AF261" s="168"/>
      <c r="AG261" s="168"/>
      <c r="AH261" s="168"/>
      <c r="AI261" s="168"/>
      <c r="AJ261" s="169"/>
      <c r="AK261" s="169"/>
      <c r="AL261" s="170"/>
      <c r="AM261" s="171"/>
      <c r="AN261" s="171"/>
      <c r="AO261" s="171"/>
      <c r="AP261" s="171"/>
      <c r="AQ261" s="171"/>
      <c r="AR261" s="171"/>
      <c r="AS261" s="171"/>
      <c r="AT261" s="171"/>
      <c r="AU261" s="172"/>
      <c r="AV261" s="172"/>
      <c r="AW261" s="173"/>
      <c r="AX261" s="173"/>
      <c r="AY261" s="173"/>
    </row>
    <row r="262" s="4" customFormat="1" ht="12" spans="1:51">
      <c r="A262" s="29" t="s">
        <v>855</v>
      </c>
      <c r="B262" s="112">
        <f t="shared" si="331"/>
        <v>0</v>
      </c>
      <c r="C262" s="112">
        <f t="shared" si="331"/>
        <v>0</v>
      </c>
      <c r="D262" s="112">
        <f t="shared" si="331"/>
        <v>32.76</v>
      </c>
      <c r="E262" s="117">
        <f t="shared" si="331"/>
        <v>49.14</v>
      </c>
      <c r="F262" s="112">
        <f t="shared" si="331"/>
        <v>37.8432</v>
      </c>
      <c r="G262" s="112">
        <f t="shared" si="331"/>
        <v>52.0344</v>
      </c>
      <c r="H262" s="112">
        <f t="shared" si="331"/>
        <v>55.188</v>
      </c>
      <c r="I262" s="117">
        <f t="shared" si="331"/>
        <v>252.288</v>
      </c>
      <c r="J262" s="112">
        <f t="shared" si="331"/>
        <v>396.34507872</v>
      </c>
      <c r="K262" s="112">
        <f t="shared" si="331"/>
        <v>545.695002</v>
      </c>
      <c r="L262" s="112">
        <f t="shared" si="331"/>
        <v>717.8260455</v>
      </c>
      <c r="M262" s="117">
        <f t="shared" si="331"/>
        <v>960.779718</v>
      </c>
      <c r="N262" s="112">
        <f t="shared" si="331"/>
        <v>1126.22879556</v>
      </c>
      <c r="O262" s="186">
        <f t="shared" si="331"/>
        <v>748.230476004</v>
      </c>
      <c r="P262" s="186">
        <f t="shared" si="331"/>
        <v>506.378200932</v>
      </c>
      <c r="Q262" s="188">
        <f t="shared" si="331"/>
        <v>529.05185172</v>
      </c>
      <c r="R262" s="186">
        <f t="shared" si="331"/>
        <v>363.457725350292</v>
      </c>
      <c r="S262" s="186">
        <f t="shared" si="331"/>
        <v>57.7344776004</v>
      </c>
      <c r="T262" s="186">
        <f t="shared" si="331"/>
        <v>11.54689552008</v>
      </c>
      <c r="U262" s="188">
        <f t="shared" si="331"/>
        <v>5.77344776004</v>
      </c>
      <c r="V262" s="186">
        <f t="shared" si="331"/>
        <v>5.26079066004</v>
      </c>
      <c r="W262" s="186">
        <f t="shared" si="331"/>
        <v>4.91901926004</v>
      </c>
      <c r="X262" s="186">
        <f t="shared" si="331"/>
        <v>4.91901926004</v>
      </c>
      <c r="Y262" s="188">
        <f t="shared" si="331"/>
        <v>4.91901926004</v>
      </c>
      <c r="Z262" s="186">
        <f t="shared" ref="Z262:AC262" si="336">+Z244*Z216</f>
        <v>4.10731218504</v>
      </c>
      <c r="AA262" s="186">
        <f t="shared" si="336"/>
        <v>4.10731218504</v>
      </c>
      <c r="AB262" s="186">
        <f t="shared" si="336"/>
        <v>4.10731218504</v>
      </c>
      <c r="AC262" s="188">
        <f t="shared" si="336"/>
        <v>4.10731218504</v>
      </c>
      <c r="AD262" s="168"/>
      <c r="AE262" s="168"/>
      <c r="AF262" s="168"/>
      <c r="AG262" s="168"/>
      <c r="AH262" s="168"/>
      <c r="AI262" s="168"/>
      <c r="AJ262" s="169"/>
      <c r="AK262" s="169"/>
      <c r="AL262" s="170"/>
      <c r="AM262" s="171"/>
      <c r="AN262" s="171"/>
      <c r="AO262" s="171"/>
      <c r="AP262" s="171"/>
      <c r="AQ262" s="171"/>
      <c r="AR262" s="171"/>
      <c r="AS262" s="171"/>
      <c r="AT262" s="171"/>
      <c r="AU262" s="172"/>
      <c r="AV262" s="172"/>
      <c r="AW262" s="173"/>
      <c r="AX262" s="173"/>
      <c r="AY262" s="173"/>
    </row>
    <row r="263" s="4" customFormat="1" ht="12" spans="1:51">
      <c r="A263" s="29" t="s">
        <v>856</v>
      </c>
      <c r="B263" s="112">
        <f t="shared" si="331"/>
        <v>0</v>
      </c>
      <c r="C263" s="112">
        <f t="shared" si="331"/>
        <v>0</v>
      </c>
      <c r="D263" s="112">
        <f t="shared" si="331"/>
        <v>0</v>
      </c>
      <c r="E263" s="117">
        <f t="shared" si="331"/>
        <v>0</v>
      </c>
      <c r="F263" s="112">
        <f t="shared" si="331"/>
        <v>0</v>
      </c>
      <c r="G263" s="112">
        <f t="shared" si="331"/>
        <v>0</v>
      </c>
      <c r="H263" s="112">
        <f t="shared" si="331"/>
        <v>0</v>
      </c>
      <c r="I263" s="117">
        <f t="shared" si="331"/>
        <v>0</v>
      </c>
      <c r="J263" s="178">
        <f>J362-J341</f>
        <v>22.0105754262549</v>
      </c>
      <c r="K263" s="178">
        <f t="shared" ref="K263:R263" si="337">K362-K341</f>
        <v>61.7835259168352</v>
      </c>
      <c r="L263" s="178">
        <f t="shared" si="337"/>
        <v>167.970012397965</v>
      </c>
      <c r="M263" s="178">
        <f t="shared" si="337"/>
        <v>608.414522938083</v>
      </c>
      <c r="N263" s="178">
        <f t="shared" si="337"/>
        <v>737.355925811755</v>
      </c>
      <c r="O263" s="178">
        <f t="shared" si="337"/>
        <v>2126.53408507274</v>
      </c>
      <c r="P263" s="178">
        <f t="shared" si="337"/>
        <v>2053.91492367898</v>
      </c>
      <c r="Q263" s="178">
        <f t="shared" si="337"/>
        <v>3031.95966768412</v>
      </c>
      <c r="R263" s="178">
        <f t="shared" si="337"/>
        <v>2863.32562838306</v>
      </c>
      <c r="S263" s="186">
        <f t="shared" si="331"/>
        <v>2727.78961571403</v>
      </c>
      <c r="T263" s="186">
        <f t="shared" si="331"/>
        <v>3098.11185865185</v>
      </c>
      <c r="U263" s="188">
        <f t="shared" si="331"/>
        <v>3058.87719723837</v>
      </c>
      <c r="V263" s="186">
        <f t="shared" si="331"/>
        <v>2531.5502857591</v>
      </c>
      <c r="W263" s="186">
        <f t="shared" si="331"/>
        <v>2404.35355124392</v>
      </c>
      <c r="X263" s="186">
        <f t="shared" si="331"/>
        <v>2477.15973621904</v>
      </c>
      <c r="Y263" s="188">
        <f t="shared" si="331"/>
        <v>2477.15973621904</v>
      </c>
      <c r="Z263" s="186">
        <f t="shared" ref="Z263:AC263" si="338">+Z245*Z217</f>
        <v>1425.8625969126</v>
      </c>
      <c r="AA263" s="186">
        <f t="shared" si="338"/>
        <v>1661.17509899959</v>
      </c>
      <c r="AB263" s="186">
        <f t="shared" si="338"/>
        <v>1715.2969744796</v>
      </c>
      <c r="AC263" s="188">
        <f t="shared" si="338"/>
        <v>1715.2969744796</v>
      </c>
      <c r="AD263" s="168"/>
      <c r="AE263" s="168"/>
      <c r="AF263" s="168"/>
      <c r="AG263" s="168"/>
      <c r="AH263" s="168"/>
      <c r="AI263" s="168"/>
      <c r="AJ263" s="169"/>
      <c r="AK263" s="169"/>
      <c r="AL263" s="170"/>
      <c r="AM263" s="171"/>
      <c r="AN263" s="171"/>
      <c r="AO263" s="171"/>
      <c r="AP263" s="171"/>
      <c r="AQ263" s="171"/>
      <c r="AR263" s="171"/>
      <c r="AS263" s="171"/>
      <c r="AT263" s="171"/>
      <c r="AU263" s="172"/>
      <c r="AV263" s="172"/>
      <c r="AW263" s="173"/>
      <c r="AX263" s="173"/>
      <c r="AY263" s="173"/>
    </row>
    <row r="264" s="4" customFormat="1" ht="12" spans="1:51">
      <c r="A264" s="29" t="s">
        <v>857</v>
      </c>
      <c r="B264" s="112">
        <f t="shared" si="331"/>
        <v>0</v>
      </c>
      <c r="C264" s="112">
        <f t="shared" si="331"/>
        <v>0</v>
      </c>
      <c r="D264" s="112">
        <f t="shared" si="331"/>
        <v>0</v>
      </c>
      <c r="E264" s="117">
        <f t="shared" si="331"/>
        <v>0</v>
      </c>
      <c r="F264" s="112">
        <f t="shared" si="331"/>
        <v>0</v>
      </c>
      <c r="G264" s="112">
        <f t="shared" si="331"/>
        <v>0</v>
      </c>
      <c r="H264" s="112">
        <f t="shared" si="331"/>
        <v>0</v>
      </c>
      <c r="I264" s="117">
        <f t="shared" si="331"/>
        <v>0</v>
      </c>
      <c r="J264" s="112">
        <f t="shared" si="331"/>
        <v>0</v>
      </c>
      <c r="K264" s="112">
        <f t="shared" si="331"/>
        <v>0</v>
      </c>
      <c r="L264" s="112">
        <f t="shared" si="331"/>
        <v>0</v>
      </c>
      <c r="M264" s="117">
        <f t="shared" si="331"/>
        <v>0</v>
      </c>
      <c r="N264" s="112">
        <f t="shared" si="331"/>
        <v>0</v>
      </c>
      <c r="O264" s="186">
        <f t="shared" si="331"/>
        <v>0</v>
      </c>
      <c r="P264" s="186">
        <f t="shared" si="331"/>
        <v>166.32</v>
      </c>
      <c r="Q264" s="188">
        <f t="shared" si="331"/>
        <v>388.08</v>
      </c>
      <c r="R264" s="186">
        <f t="shared" si="331"/>
        <v>763.488</v>
      </c>
      <c r="S264" s="186">
        <f t="shared" si="331"/>
        <v>2480.448</v>
      </c>
      <c r="T264" s="186">
        <f t="shared" si="331"/>
        <v>4063.52</v>
      </c>
      <c r="U264" s="188">
        <f t="shared" si="331"/>
        <v>4833.04128</v>
      </c>
      <c r="V264" s="186">
        <f t="shared" si="331"/>
        <v>4320.2702016</v>
      </c>
      <c r="W264" s="186">
        <f t="shared" si="331"/>
        <v>5584.3705368</v>
      </c>
      <c r="X264" s="186">
        <f t="shared" si="331"/>
        <v>8190.41012064</v>
      </c>
      <c r="Y264" s="188">
        <f t="shared" si="331"/>
        <v>7445.8273824</v>
      </c>
      <c r="Z264" s="186">
        <f t="shared" ref="Z264:AC264" si="339">+Z246*Z218</f>
        <v>4792.50300557952</v>
      </c>
      <c r="AA264" s="186">
        <f t="shared" si="339"/>
        <v>7111.0289619396</v>
      </c>
      <c r="AB264" s="186">
        <f t="shared" si="339"/>
        <v>10429.5091441781</v>
      </c>
      <c r="AC264" s="188">
        <f t="shared" si="339"/>
        <v>9481.3719492528</v>
      </c>
      <c r="AD264" s="168"/>
      <c r="AE264" s="168"/>
      <c r="AF264" s="168"/>
      <c r="AG264" s="168"/>
      <c r="AH264" s="168"/>
      <c r="AI264" s="168"/>
      <c r="AJ264" s="169"/>
      <c r="AK264" s="169"/>
      <c r="AL264" s="170"/>
      <c r="AM264" s="171"/>
      <c r="AN264" s="171"/>
      <c r="AO264" s="171"/>
      <c r="AP264" s="171"/>
      <c r="AQ264" s="171"/>
      <c r="AR264" s="171"/>
      <c r="AS264" s="171"/>
      <c r="AT264" s="171"/>
      <c r="AU264" s="172"/>
      <c r="AV264" s="172"/>
      <c r="AW264" s="173"/>
      <c r="AX264" s="173"/>
      <c r="AY264" s="173"/>
    </row>
    <row r="265" s="4" customFormat="1" ht="12" spans="1:51">
      <c r="A265" s="29"/>
      <c r="B265" s="112"/>
      <c r="C265" s="112"/>
      <c r="D265" s="112"/>
      <c r="E265" s="117"/>
      <c r="F265" s="112"/>
      <c r="G265" s="112"/>
      <c r="H265" s="112"/>
      <c r="I265" s="117"/>
      <c r="J265" s="112"/>
      <c r="K265" s="112"/>
      <c r="L265" s="112"/>
      <c r="M265" s="117"/>
      <c r="N265" s="112"/>
      <c r="O265" s="112"/>
      <c r="P265" s="112"/>
      <c r="Q265" s="117"/>
      <c r="R265" s="112"/>
      <c r="S265" s="112"/>
      <c r="T265" s="112"/>
      <c r="U265" s="117"/>
      <c r="V265" s="112"/>
      <c r="W265" s="112"/>
      <c r="X265" s="112"/>
      <c r="Y265" s="117"/>
      <c r="Z265" s="112"/>
      <c r="AA265" s="112"/>
      <c r="AB265" s="112"/>
      <c r="AC265" s="117"/>
      <c r="AD265" s="168"/>
      <c r="AE265" s="168"/>
      <c r="AF265" s="168"/>
      <c r="AG265" s="168"/>
      <c r="AH265" s="168"/>
      <c r="AI265" s="168"/>
      <c r="AJ265" s="169"/>
      <c r="AK265" s="169"/>
      <c r="AL265" s="170"/>
      <c r="AM265" s="171"/>
      <c r="AN265" s="171"/>
      <c r="AO265" s="171"/>
      <c r="AP265" s="171"/>
      <c r="AQ265" s="171"/>
      <c r="AR265" s="171"/>
      <c r="AS265" s="171"/>
      <c r="AT265" s="171"/>
      <c r="AU265" s="172"/>
      <c r="AV265" s="172"/>
      <c r="AW265" s="173"/>
      <c r="AX265" s="173"/>
      <c r="AY265" s="173"/>
    </row>
    <row r="266" outlineLevel="1" spans="1:62">
      <c r="A266" s="181" t="s">
        <v>897</v>
      </c>
      <c r="B266" s="182"/>
      <c r="C266" s="182"/>
      <c r="D266" s="182"/>
      <c r="E266" s="184"/>
      <c r="F266" s="182"/>
      <c r="G266" s="182"/>
      <c r="H266" s="182"/>
      <c r="I266" s="184"/>
      <c r="J266" s="182"/>
      <c r="K266" s="182"/>
      <c r="L266" s="182"/>
      <c r="M266" s="184"/>
      <c r="N266" s="182"/>
      <c r="O266" s="182"/>
      <c r="P266" s="182"/>
      <c r="Q266" s="184"/>
      <c r="R266" s="182"/>
      <c r="S266" s="182"/>
      <c r="T266" s="182"/>
      <c r="U266" s="184"/>
      <c r="V266" s="182"/>
      <c r="W266" s="182"/>
      <c r="X266" s="182"/>
      <c r="Y266" s="184"/>
      <c r="Z266" s="182"/>
      <c r="AA266" s="182"/>
      <c r="AB266" s="182"/>
      <c r="AC266" s="184"/>
      <c r="AD266" s="35"/>
      <c r="AE266" s="35"/>
      <c r="AF266" s="34"/>
      <c r="AG266" s="34"/>
      <c r="AH266" s="34"/>
      <c r="AI266" s="35"/>
      <c r="AJ266" s="35"/>
      <c r="AK266" s="35"/>
      <c r="AL266" s="75"/>
      <c r="AM266" s="35"/>
      <c r="AN266" s="35"/>
      <c r="AO266" s="35"/>
      <c r="AP266" s="35"/>
      <c r="AQ266" s="35"/>
      <c r="AR266" s="35"/>
      <c r="AS266" s="35"/>
      <c r="AT266" s="35"/>
      <c r="BG266" s="111"/>
      <c r="BH266" s="111"/>
      <c r="BI266" s="111"/>
      <c r="BJ266" s="111"/>
    </row>
    <row r="267" outlineLevel="1" spans="1:61">
      <c r="A267" s="18" t="s">
        <v>898</v>
      </c>
      <c r="B267" s="33">
        <f t="shared" ref="B267:Z267" si="340">+B271</f>
        <v>140.2</v>
      </c>
      <c r="C267" s="33">
        <f t="shared" si="340"/>
        <v>144.4</v>
      </c>
      <c r="D267" s="33">
        <f t="shared" si="340"/>
        <v>165.98</v>
      </c>
      <c r="E267" s="57">
        <f t="shared" si="340"/>
        <v>138.22</v>
      </c>
      <c r="F267" s="33">
        <f t="shared" si="340"/>
        <v>137.2345</v>
      </c>
      <c r="G267" s="33">
        <f t="shared" si="340"/>
        <v>152.947</v>
      </c>
      <c r="H267" s="33">
        <f t="shared" si="340"/>
        <v>172.42295</v>
      </c>
      <c r="I267" s="57">
        <f t="shared" si="340"/>
        <v>159.29155</v>
      </c>
      <c r="J267" s="33">
        <f t="shared" si="340"/>
        <v>125.49266125</v>
      </c>
      <c r="K267" s="33">
        <f t="shared" si="340"/>
        <v>208.08133</v>
      </c>
      <c r="L267" s="33">
        <f t="shared" si="340"/>
        <v>247.996374875</v>
      </c>
      <c r="M267" s="57">
        <f t="shared" si="340"/>
        <v>259.877423875</v>
      </c>
      <c r="N267" s="33">
        <f t="shared" si="340"/>
        <v>244.890092340625</v>
      </c>
      <c r="O267" s="33">
        <f t="shared" si="340"/>
        <v>263.23219991875</v>
      </c>
      <c r="P267" s="33">
        <f t="shared" si="340"/>
        <v>298.082782918437</v>
      </c>
      <c r="Q267" s="57">
        <f t="shared" si="340"/>
        <v>309.014713672187</v>
      </c>
      <c r="R267" s="33">
        <f t="shared" si="340"/>
        <v>281.892780862258</v>
      </c>
      <c r="S267" s="33">
        <f t="shared" si="340"/>
        <v>319.780430436437</v>
      </c>
      <c r="T267" s="33">
        <f t="shared" si="340"/>
        <v>334.097043343655</v>
      </c>
      <c r="U267" s="57">
        <f t="shared" si="340"/>
        <v>328.905427933837</v>
      </c>
      <c r="V267" s="33">
        <f t="shared" si="340"/>
        <v>275.645744558607</v>
      </c>
      <c r="W267" s="33">
        <f t="shared" si="340"/>
        <v>315.740214517526</v>
      </c>
      <c r="X267" s="33">
        <f t="shared" si="340"/>
        <v>328.66095766629</v>
      </c>
      <c r="Y267" s="57">
        <f t="shared" si="340"/>
        <v>326.135855647151</v>
      </c>
      <c r="Z267" s="33">
        <f t="shared" si="340"/>
        <v>253.153280555672</v>
      </c>
      <c r="AA267" s="33">
        <f t="shared" ref="AA267:AC267" si="341">+AA271</f>
        <v>293.744687602609</v>
      </c>
      <c r="AB267" s="33">
        <f t="shared" si="341"/>
        <v>305.405658294369</v>
      </c>
      <c r="AC267" s="57">
        <f t="shared" si="341"/>
        <v>305.372777939608</v>
      </c>
      <c r="AD267" s="33"/>
      <c r="AE267" s="33"/>
      <c r="AF267" s="33"/>
      <c r="AG267" s="33"/>
      <c r="AH267" s="33"/>
      <c r="AI267" s="33"/>
      <c r="AJ267" s="33"/>
      <c r="AK267" s="33"/>
      <c r="AL267" s="33"/>
      <c r="AM267" s="159">
        <v>596.855</v>
      </c>
      <c r="AN267" s="159">
        <v>586.89</v>
      </c>
      <c r="AO267" s="33">
        <f t="shared" ref="AO267:AT267" si="342">+AO271</f>
        <v>621.896</v>
      </c>
      <c r="AP267" s="33">
        <f t="shared" si="342"/>
        <v>841.44779</v>
      </c>
      <c r="AQ267" s="33">
        <f t="shared" si="342"/>
        <v>1115.21978885</v>
      </c>
      <c r="AR267" s="33">
        <f t="shared" si="342"/>
        <v>1264.67568257619</v>
      </c>
      <c r="AS267" s="33">
        <f t="shared" si="342"/>
        <v>1246.18277238957</v>
      </c>
      <c r="AT267" s="33">
        <f t="shared" si="342"/>
        <v>1157.67640439226</v>
      </c>
      <c r="BF267" s="111"/>
      <c r="BG267" s="111"/>
      <c r="BH267" s="111"/>
      <c r="BI267" s="111"/>
    </row>
    <row r="268" outlineLevel="1" spans="1:61">
      <c r="A268" s="18" t="s">
        <v>899</v>
      </c>
      <c r="B268" s="32">
        <f t="shared" ref="B268:Z268" si="343">+B279</f>
        <v>0.36</v>
      </c>
      <c r="C268" s="32">
        <f t="shared" si="343"/>
        <v>0.365</v>
      </c>
      <c r="D268" s="32">
        <f t="shared" si="343"/>
        <v>0.415</v>
      </c>
      <c r="E268" s="56">
        <f t="shared" si="343"/>
        <v>0.34</v>
      </c>
      <c r="F268" s="32">
        <f t="shared" si="343"/>
        <v>0.353</v>
      </c>
      <c r="G268" s="32">
        <f t="shared" si="343"/>
        <v>0.36825</v>
      </c>
      <c r="H268" s="32">
        <f t="shared" si="343"/>
        <v>0.41575</v>
      </c>
      <c r="I268" s="56">
        <f t="shared" si="343"/>
        <v>0.355</v>
      </c>
      <c r="J268" s="32">
        <f t="shared" si="343"/>
        <v>0.3379</v>
      </c>
      <c r="K268" s="32">
        <f t="shared" si="343"/>
        <v>0.3844125</v>
      </c>
      <c r="L268" s="32">
        <f t="shared" si="343"/>
        <v>0.4395375</v>
      </c>
      <c r="M268" s="56">
        <f t="shared" si="343"/>
        <v>0.39385</v>
      </c>
      <c r="N268" s="32">
        <f t="shared" si="343"/>
        <v>0.3837575</v>
      </c>
      <c r="O268" s="32">
        <f t="shared" si="343"/>
        <v>0.411645625</v>
      </c>
      <c r="P268" s="32">
        <f t="shared" si="343"/>
        <v>0.464514375</v>
      </c>
      <c r="Q268" s="56">
        <f t="shared" si="343"/>
        <v>0.4238125</v>
      </c>
      <c r="R268" s="32">
        <f t="shared" si="343"/>
        <v>0.39054225</v>
      </c>
      <c r="S268" s="32">
        <f t="shared" si="343"/>
        <v>0.40992978125</v>
      </c>
      <c r="T268" s="32">
        <f t="shared" si="343"/>
        <v>0.45065509375</v>
      </c>
      <c r="U268" s="56">
        <f t="shared" si="343"/>
        <v>0.404882125</v>
      </c>
      <c r="V268" s="32">
        <f t="shared" si="343"/>
        <v>0.38822714375</v>
      </c>
      <c r="W268" s="32">
        <f t="shared" si="343"/>
        <v>0.4092495515625</v>
      </c>
      <c r="X268" s="32">
        <f t="shared" si="343"/>
        <v>0.4479385984375</v>
      </c>
      <c r="Y268" s="56">
        <f t="shared" si="343"/>
        <v>0.40705853125</v>
      </c>
      <c r="Z268" s="32">
        <f t="shared" si="343"/>
        <v>0.376788218125</v>
      </c>
      <c r="AA268" s="32">
        <f t="shared" ref="AA268:AC268" si="344">+AA279</f>
        <v>0.399593796328125</v>
      </c>
      <c r="AB268" s="32">
        <f t="shared" si="344"/>
        <v>0.436348390859375</v>
      </c>
      <c r="AC268" s="56">
        <f t="shared" si="344"/>
        <v>0.4003466178125</v>
      </c>
      <c r="AD268" s="33"/>
      <c r="AE268" s="33"/>
      <c r="AF268" s="33"/>
      <c r="AG268" s="33"/>
      <c r="AH268" s="33"/>
      <c r="AI268" s="33"/>
      <c r="AJ268" s="33"/>
      <c r="AK268" s="33"/>
      <c r="AL268" s="33"/>
      <c r="AO268" s="112"/>
      <c r="AP268" s="112"/>
      <c r="AQ268" s="112"/>
      <c r="AR268" s="112"/>
      <c r="AS268" s="112"/>
      <c r="AT268" s="112"/>
      <c r="BF268" s="111"/>
      <c r="BG268" s="111"/>
      <c r="BH268" s="111"/>
      <c r="BI268" s="111"/>
    </row>
    <row r="269" outlineLevel="1" spans="1:61">
      <c r="A269" s="18" t="s">
        <v>900</v>
      </c>
      <c r="B269" s="33">
        <f t="shared" ref="B269:Z269" si="345">+B267/B268</f>
        <v>389.444444444445</v>
      </c>
      <c r="C269" s="33">
        <f t="shared" si="345"/>
        <v>395.616438356164</v>
      </c>
      <c r="D269" s="33">
        <f t="shared" si="345"/>
        <v>399.951807228916</v>
      </c>
      <c r="E269" s="57">
        <f t="shared" si="345"/>
        <v>406.529411764706</v>
      </c>
      <c r="F269" s="33">
        <f t="shared" si="345"/>
        <v>388.766288951841</v>
      </c>
      <c r="G269" s="33">
        <f t="shared" si="345"/>
        <v>415.334691106585</v>
      </c>
      <c r="H269" s="33">
        <f t="shared" si="345"/>
        <v>414.727480457005</v>
      </c>
      <c r="I269" s="57">
        <f t="shared" si="345"/>
        <v>448.708591549296</v>
      </c>
      <c r="J269" s="33">
        <f t="shared" si="345"/>
        <v>371.389941550755</v>
      </c>
      <c r="K269" s="33">
        <f t="shared" si="345"/>
        <v>541.296992163366</v>
      </c>
      <c r="L269" s="33">
        <f t="shared" si="345"/>
        <v>564.221198134403</v>
      </c>
      <c r="M269" s="57">
        <f t="shared" si="345"/>
        <v>659.838577821506</v>
      </c>
      <c r="N269" s="33">
        <f t="shared" si="345"/>
        <v>638.137606015843</v>
      </c>
      <c r="O269" s="33">
        <f t="shared" si="345"/>
        <v>639.463130256152</v>
      </c>
      <c r="P269" s="33">
        <f t="shared" si="345"/>
        <v>641.708414122679</v>
      </c>
      <c r="Q269" s="57">
        <f t="shared" si="345"/>
        <v>729.130720948975</v>
      </c>
      <c r="R269" s="33">
        <f t="shared" si="345"/>
        <v>721.798424785687</v>
      </c>
      <c r="S269" s="33">
        <f t="shared" si="345"/>
        <v>780.085870954118</v>
      </c>
      <c r="T269" s="33">
        <f t="shared" si="345"/>
        <v>741.358630973325</v>
      </c>
      <c r="U269" s="57">
        <f t="shared" si="345"/>
        <v>812.348601296826</v>
      </c>
      <c r="V269" s="33">
        <f t="shared" si="345"/>
        <v>710.01152030758</v>
      </c>
      <c r="W269" s="33">
        <f t="shared" si="345"/>
        <v>771.510227224541</v>
      </c>
      <c r="X269" s="33">
        <f t="shared" si="345"/>
        <v>733.718770413458</v>
      </c>
      <c r="Y269" s="57">
        <f t="shared" si="345"/>
        <v>801.2013767299</v>
      </c>
      <c r="Z269" s="33">
        <f t="shared" si="345"/>
        <v>671.871540504719</v>
      </c>
      <c r="AA269" s="33">
        <f t="shared" ref="AA269:AC269" si="346">+AA267/AA268</f>
        <v>735.108228160284</v>
      </c>
      <c r="AB269" s="33">
        <f t="shared" si="346"/>
        <v>699.912420194519</v>
      </c>
      <c r="AC269" s="57">
        <f t="shared" si="346"/>
        <v>762.770969836513</v>
      </c>
      <c r="AD269" s="37"/>
      <c r="AE269" s="37"/>
      <c r="AF269" s="37"/>
      <c r="AG269" s="37"/>
      <c r="AH269" s="37"/>
      <c r="AI269" s="37"/>
      <c r="AJ269" s="33"/>
      <c r="AK269" s="33"/>
      <c r="AL269" s="33"/>
      <c r="AM269" s="189"/>
      <c r="AN269" s="189"/>
      <c r="AO269" s="189"/>
      <c r="AP269" s="189"/>
      <c r="AQ269" s="189"/>
      <c r="AR269" s="189"/>
      <c r="AS269" s="189"/>
      <c r="AT269" s="189"/>
      <c r="BG269" s="111"/>
      <c r="BH269" s="111"/>
      <c r="BI269" s="111"/>
    </row>
    <row r="270" outlineLevel="1" spans="1:46">
      <c r="A270" s="18"/>
      <c r="B270" s="32"/>
      <c r="C270" s="32"/>
      <c r="D270" s="32"/>
      <c r="E270" s="56"/>
      <c r="F270" s="32"/>
      <c r="G270" s="32"/>
      <c r="H270" s="32"/>
      <c r="I270" s="56"/>
      <c r="J270" s="32"/>
      <c r="K270" s="32"/>
      <c r="L270" s="32"/>
      <c r="M270" s="56"/>
      <c r="N270" s="32"/>
      <c r="O270" s="32"/>
      <c r="P270" s="32"/>
      <c r="Q270" s="56"/>
      <c r="R270" s="32"/>
      <c r="S270" s="32"/>
      <c r="T270" s="32"/>
      <c r="U270" s="56"/>
      <c r="V270" s="32"/>
      <c r="W270" s="32"/>
      <c r="X270" s="32"/>
      <c r="Y270" s="56"/>
      <c r="Z270" s="32"/>
      <c r="AA270" s="32"/>
      <c r="AB270" s="32"/>
      <c r="AC270" s="56"/>
      <c r="AD270" s="37"/>
      <c r="AE270" s="37"/>
      <c r="AF270" s="37"/>
      <c r="AG270" s="37"/>
      <c r="AH270" s="37"/>
      <c r="AI270" s="37"/>
      <c r="AJ270" s="33"/>
      <c r="AK270" s="33"/>
      <c r="AL270" s="33"/>
      <c r="AM270" s="27"/>
      <c r="AN270" s="27"/>
      <c r="AO270" s="27"/>
      <c r="AP270" s="27"/>
      <c r="AQ270" s="27"/>
      <c r="AR270" s="27"/>
      <c r="AS270" s="27"/>
      <c r="AT270" s="27"/>
    </row>
    <row r="271" outlineLevel="1" spans="1:46">
      <c r="A271" s="29" t="s">
        <v>864</v>
      </c>
      <c r="B271" s="37">
        <f>SUM(B272:B277)</f>
        <v>140.2</v>
      </c>
      <c r="C271" s="37">
        <f t="shared" ref="C271:Z271" si="347">SUM(C272:C277)</f>
        <v>144.4</v>
      </c>
      <c r="D271" s="37">
        <f t="shared" si="347"/>
        <v>165.98</v>
      </c>
      <c r="E271" s="59">
        <f t="shared" si="347"/>
        <v>138.22</v>
      </c>
      <c r="F271" s="37">
        <f t="shared" si="347"/>
        <v>137.2345</v>
      </c>
      <c r="G271" s="37">
        <f t="shared" si="347"/>
        <v>152.947</v>
      </c>
      <c r="H271" s="37">
        <f t="shared" si="347"/>
        <v>172.42295</v>
      </c>
      <c r="I271" s="59">
        <f t="shared" si="347"/>
        <v>159.29155</v>
      </c>
      <c r="J271" s="37">
        <f t="shared" si="347"/>
        <v>125.49266125</v>
      </c>
      <c r="K271" s="37">
        <f t="shared" si="347"/>
        <v>208.08133</v>
      </c>
      <c r="L271" s="37">
        <f t="shared" si="347"/>
        <v>247.996374875</v>
      </c>
      <c r="M271" s="59">
        <f t="shared" si="347"/>
        <v>259.877423875</v>
      </c>
      <c r="N271" s="37">
        <f t="shared" si="347"/>
        <v>244.890092340625</v>
      </c>
      <c r="O271" s="37">
        <f t="shared" si="347"/>
        <v>263.23219991875</v>
      </c>
      <c r="P271" s="37">
        <f t="shared" si="347"/>
        <v>298.082782918437</v>
      </c>
      <c r="Q271" s="59">
        <f t="shared" si="347"/>
        <v>309.014713672187</v>
      </c>
      <c r="R271" s="37">
        <f t="shared" si="347"/>
        <v>281.892780862258</v>
      </c>
      <c r="S271" s="37">
        <f t="shared" si="347"/>
        <v>319.780430436437</v>
      </c>
      <c r="T271" s="37">
        <f t="shared" si="347"/>
        <v>334.097043343655</v>
      </c>
      <c r="U271" s="59">
        <f t="shared" si="347"/>
        <v>328.905427933837</v>
      </c>
      <c r="V271" s="37">
        <f t="shared" si="347"/>
        <v>275.645744558607</v>
      </c>
      <c r="W271" s="37">
        <f t="shared" si="347"/>
        <v>315.740214517526</v>
      </c>
      <c r="X271" s="37">
        <f t="shared" si="347"/>
        <v>328.66095766629</v>
      </c>
      <c r="Y271" s="59">
        <f t="shared" si="347"/>
        <v>326.135855647151</v>
      </c>
      <c r="Z271" s="37">
        <f t="shared" si="347"/>
        <v>253.153280555672</v>
      </c>
      <c r="AA271" s="37">
        <f t="shared" ref="AA271:AC271" si="348">SUM(AA272:AA277)</f>
        <v>293.744687602609</v>
      </c>
      <c r="AB271" s="37">
        <f t="shared" si="348"/>
        <v>305.405658294369</v>
      </c>
      <c r="AC271" s="59">
        <f t="shared" si="348"/>
        <v>305.372777939608</v>
      </c>
      <c r="AD271" s="37"/>
      <c r="AE271" s="37"/>
      <c r="AF271" s="37"/>
      <c r="AG271" s="37"/>
      <c r="AH271" s="37"/>
      <c r="AI271" s="37"/>
      <c r="AJ271" s="33"/>
      <c r="AK271" s="33"/>
      <c r="AL271" s="33"/>
      <c r="AM271" s="33">
        <f>+SUM(AM272:AM276)</f>
        <v>596.656666666667</v>
      </c>
      <c r="AN271" s="33">
        <f>+SUM(AN272:AN276)</f>
        <v>587.07</v>
      </c>
      <c r="AO271" s="33">
        <f t="shared" ref="AO271:AT271" si="349">+SUM(AO272:AO278)</f>
        <v>621.896</v>
      </c>
      <c r="AP271" s="33">
        <f t="shared" si="349"/>
        <v>841.44779</v>
      </c>
      <c r="AQ271" s="33">
        <f t="shared" si="349"/>
        <v>1115.21978885</v>
      </c>
      <c r="AR271" s="33">
        <f t="shared" si="349"/>
        <v>1264.67568257619</v>
      </c>
      <c r="AS271" s="33">
        <f t="shared" si="349"/>
        <v>1246.18277238957</v>
      </c>
      <c r="AT271" s="33">
        <f t="shared" si="349"/>
        <v>1157.67640439226</v>
      </c>
    </row>
    <row r="272" outlineLevel="1" spans="1:46">
      <c r="A272" s="29" t="s">
        <v>851</v>
      </c>
      <c r="B272" s="33">
        <f t="shared" ref="B272:Y277" si="350">+B280*B296</f>
        <v>103.8</v>
      </c>
      <c r="C272" s="33">
        <f t="shared" si="350"/>
        <v>103.8</v>
      </c>
      <c r="D272" s="33">
        <f t="shared" si="350"/>
        <v>114.18</v>
      </c>
      <c r="E272" s="57">
        <f t="shared" si="350"/>
        <v>93.42</v>
      </c>
      <c r="F272" s="33">
        <f t="shared" si="350"/>
        <v>93.6795</v>
      </c>
      <c r="G272" s="33">
        <f t="shared" si="350"/>
        <v>93.6795</v>
      </c>
      <c r="H272" s="33">
        <f t="shared" si="350"/>
        <v>103.04745</v>
      </c>
      <c r="I272" s="57">
        <f t="shared" si="350"/>
        <v>84.31155</v>
      </c>
      <c r="J272" s="33">
        <f t="shared" si="350"/>
        <v>84.54574875</v>
      </c>
      <c r="K272" s="33">
        <f t="shared" si="350"/>
        <v>84.54574875</v>
      </c>
      <c r="L272" s="33">
        <f t="shared" si="350"/>
        <v>93.000323625</v>
      </c>
      <c r="M272" s="57">
        <f t="shared" si="350"/>
        <v>76.091173875</v>
      </c>
      <c r="N272" s="96">
        <f t="shared" si="350"/>
        <v>76.302538246875</v>
      </c>
      <c r="O272" s="33">
        <f t="shared" si="350"/>
        <v>76.302538246875</v>
      </c>
      <c r="P272" s="33">
        <f t="shared" si="350"/>
        <v>83.9327920715625</v>
      </c>
      <c r="Q272" s="57">
        <f t="shared" si="350"/>
        <v>68.6722844221875</v>
      </c>
      <c r="R272" s="33">
        <f t="shared" si="350"/>
        <v>68.8630407678047</v>
      </c>
      <c r="S272" s="33">
        <f t="shared" si="350"/>
        <v>68.8630407678047</v>
      </c>
      <c r="T272" s="33">
        <f t="shared" si="350"/>
        <v>75.7493448445851</v>
      </c>
      <c r="U272" s="57">
        <f t="shared" si="350"/>
        <v>61.9767366910242</v>
      </c>
      <c r="V272" s="33">
        <f t="shared" si="350"/>
        <v>62.1488942929437</v>
      </c>
      <c r="W272" s="33">
        <f t="shared" si="350"/>
        <v>62.1488942929437</v>
      </c>
      <c r="X272" s="33">
        <f t="shared" si="350"/>
        <v>68.3637837222381</v>
      </c>
      <c r="Y272" s="57">
        <f t="shared" ref="Y272:Y277" si="351">+Y280*Y296</f>
        <v>55.9340048636494</v>
      </c>
      <c r="Z272" s="33">
        <f>+Z280*Z296</f>
        <v>56.0893770993817</v>
      </c>
      <c r="AA272" s="33">
        <f t="shared" ref="AA272:AC272" si="352">+AA280*AA296</f>
        <v>56.0893770993817</v>
      </c>
      <c r="AB272" s="33">
        <f t="shared" si="352"/>
        <v>61.6983148093199</v>
      </c>
      <c r="AC272" s="57">
        <f t="shared" si="352"/>
        <v>50.4804393894435</v>
      </c>
      <c r="AD272" s="37"/>
      <c r="AE272" s="37"/>
      <c r="AF272" s="37"/>
      <c r="AG272" s="37"/>
      <c r="AH272" s="37"/>
      <c r="AI272" s="37"/>
      <c r="AJ272" s="33"/>
      <c r="AK272" s="33"/>
      <c r="AL272" s="33"/>
      <c r="AM272" s="33">
        <f t="shared" ref="AM272:AN276" si="353">+AM296*AM280</f>
        <v>436.59</v>
      </c>
      <c r="AN272" s="33">
        <f t="shared" si="353"/>
        <v>413.47</v>
      </c>
      <c r="AO272" s="33">
        <f t="shared" ref="AO272:AO277" si="354">SUM(F272:I272)</f>
        <v>374.718</v>
      </c>
      <c r="AP272" s="33">
        <f t="shared" ref="AP272:AP277" si="355">SUM(J272:M272)</f>
        <v>338.182995</v>
      </c>
      <c r="AQ272" s="33">
        <f t="shared" ref="AQ272:AQ277" si="356">SUM(N272:Q272)</f>
        <v>305.2101529875</v>
      </c>
      <c r="AR272" s="33">
        <f t="shared" ref="AR272:AR277" si="357">SUM(R272:U272)</f>
        <v>275.452163071219</v>
      </c>
      <c r="AS272" s="33">
        <f>SUM(V272:Y272)</f>
        <v>248.595577171775</v>
      </c>
      <c r="AT272" s="33">
        <f t="shared" ref="AT272:AT277" si="358">SUM(Z272:AC272)</f>
        <v>224.357508397527</v>
      </c>
    </row>
    <row r="273" outlineLevel="1" spans="1:46">
      <c r="A273" s="29" t="s">
        <v>852</v>
      </c>
      <c r="B273" s="33">
        <f t="shared" si="350"/>
        <v>28</v>
      </c>
      <c r="C273" s="33">
        <f t="shared" si="350"/>
        <v>28</v>
      </c>
      <c r="D273" s="33">
        <f t="shared" si="350"/>
        <v>39.2</v>
      </c>
      <c r="E273" s="57">
        <f t="shared" si="350"/>
        <v>28</v>
      </c>
      <c r="F273" s="33">
        <f t="shared" si="350"/>
        <v>25.27</v>
      </c>
      <c r="G273" s="33">
        <f t="shared" si="350"/>
        <v>25.27</v>
      </c>
      <c r="H273" s="33">
        <f t="shared" si="350"/>
        <v>35.378</v>
      </c>
      <c r="I273" s="57">
        <f t="shared" si="350"/>
        <v>25.27</v>
      </c>
      <c r="J273" s="33">
        <f t="shared" si="350"/>
        <v>22.806175</v>
      </c>
      <c r="K273" s="33">
        <f t="shared" si="350"/>
        <v>22.806175</v>
      </c>
      <c r="L273" s="33">
        <f t="shared" si="350"/>
        <v>31.928645</v>
      </c>
      <c r="M273" s="57">
        <f t="shared" si="350"/>
        <v>22.806175</v>
      </c>
      <c r="N273" s="33">
        <f t="shared" si="350"/>
        <v>20.5825729375</v>
      </c>
      <c r="O273" s="33">
        <f t="shared" si="350"/>
        <v>20.5825729375</v>
      </c>
      <c r="P273" s="33">
        <f t="shared" si="350"/>
        <v>28.8156021125</v>
      </c>
      <c r="Q273" s="57">
        <f t="shared" si="350"/>
        <v>20.5825729375</v>
      </c>
      <c r="R273" s="33">
        <f t="shared" si="350"/>
        <v>18.5757720760937</v>
      </c>
      <c r="S273" s="33">
        <f t="shared" si="350"/>
        <v>18.5757720760937</v>
      </c>
      <c r="T273" s="33">
        <f t="shared" si="350"/>
        <v>26.0060809065312</v>
      </c>
      <c r="U273" s="57">
        <f t="shared" si="350"/>
        <v>18.5757720760937</v>
      </c>
      <c r="V273" s="33">
        <f t="shared" si="350"/>
        <v>16.7646342986746</v>
      </c>
      <c r="W273" s="33">
        <f t="shared" si="350"/>
        <v>16.7646342986746</v>
      </c>
      <c r="X273" s="33">
        <f t="shared" si="350"/>
        <v>23.4704880181444</v>
      </c>
      <c r="Y273" s="57">
        <f t="shared" si="351"/>
        <v>16.7646342986746</v>
      </c>
      <c r="Z273" s="33">
        <f t="shared" ref="Z273:AC273" si="359">+Z281*Z297</f>
        <v>15.1300824545538</v>
      </c>
      <c r="AA273" s="33">
        <f t="shared" si="359"/>
        <v>15.1300824545538</v>
      </c>
      <c r="AB273" s="33">
        <f t="shared" si="359"/>
        <v>21.1821154363754</v>
      </c>
      <c r="AC273" s="57">
        <f t="shared" si="359"/>
        <v>15.1300824545538</v>
      </c>
      <c r="AD273" s="37"/>
      <c r="AE273" s="37"/>
      <c r="AF273" s="37"/>
      <c r="AG273" s="37"/>
      <c r="AH273" s="37"/>
      <c r="AI273" s="37"/>
      <c r="AJ273" s="33"/>
      <c r="AK273" s="33"/>
      <c r="AL273" s="33"/>
      <c r="AM273" s="33">
        <f t="shared" si="353"/>
        <v>113.4</v>
      </c>
      <c r="AN273" s="33">
        <f t="shared" si="353"/>
        <v>123.2</v>
      </c>
      <c r="AO273" s="33">
        <f t="shared" si="354"/>
        <v>111.188</v>
      </c>
      <c r="AP273" s="33">
        <f t="shared" si="355"/>
        <v>100.34717</v>
      </c>
      <c r="AQ273" s="33">
        <f t="shared" si="356"/>
        <v>90.563320925</v>
      </c>
      <c r="AR273" s="33">
        <f t="shared" si="357"/>
        <v>81.7333971348125</v>
      </c>
      <c r="AS273" s="33">
        <f>SUM(V273:Y273)</f>
        <v>73.7643909141683</v>
      </c>
      <c r="AT273" s="33">
        <f t="shared" si="358"/>
        <v>66.5723628000368</v>
      </c>
    </row>
    <row r="274" outlineLevel="1" spans="1:46">
      <c r="A274" s="29" t="s">
        <v>853</v>
      </c>
      <c r="B274" s="33">
        <f t="shared" si="350"/>
        <v>8.4</v>
      </c>
      <c r="C274" s="33">
        <f t="shared" si="350"/>
        <v>12.6</v>
      </c>
      <c r="D274" s="33">
        <f t="shared" si="350"/>
        <v>12.6</v>
      </c>
      <c r="E274" s="57">
        <f t="shared" si="350"/>
        <v>16.8</v>
      </c>
      <c r="F274" s="33">
        <f t="shared" si="350"/>
        <v>5.145</v>
      </c>
      <c r="G274" s="33">
        <f t="shared" si="350"/>
        <v>7.7175</v>
      </c>
      <c r="H274" s="33">
        <f t="shared" si="350"/>
        <v>7.7175</v>
      </c>
      <c r="I274" s="57">
        <f t="shared" si="350"/>
        <v>10.29</v>
      </c>
      <c r="J274" s="33">
        <f t="shared" si="350"/>
        <v>5.1321375</v>
      </c>
      <c r="K274" s="33">
        <f t="shared" si="350"/>
        <v>7.69820625</v>
      </c>
      <c r="L274" s="33">
        <f t="shared" si="350"/>
        <v>7.69820625</v>
      </c>
      <c r="M274" s="57">
        <f t="shared" si="350"/>
        <v>10.264275</v>
      </c>
      <c r="N274" s="33">
        <f t="shared" si="350"/>
        <v>5.11930715625</v>
      </c>
      <c r="O274" s="33">
        <f t="shared" si="350"/>
        <v>7.678960734375</v>
      </c>
      <c r="P274" s="33">
        <f t="shared" si="350"/>
        <v>7.678960734375</v>
      </c>
      <c r="Q274" s="57">
        <f t="shared" si="350"/>
        <v>10.2386143125</v>
      </c>
      <c r="R274" s="33">
        <f t="shared" si="350"/>
        <v>5.10650888835938</v>
      </c>
      <c r="S274" s="33">
        <f t="shared" si="350"/>
        <v>7.65976333253906</v>
      </c>
      <c r="T274" s="33">
        <f t="shared" si="350"/>
        <v>7.65976333253906</v>
      </c>
      <c r="U274" s="57">
        <f t="shared" si="350"/>
        <v>10.2130177767188</v>
      </c>
      <c r="V274" s="33">
        <f t="shared" si="350"/>
        <v>5.09374261613848</v>
      </c>
      <c r="W274" s="33">
        <f t="shared" si="350"/>
        <v>7.64061392420771</v>
      </c>
      <c r="X274" s="33">
        <f t="shared" si="350"/>
        <v>7.64061392420771</v>
      </c>
      <c r="Y274" s="57">
        <f t="shared" si="350"/>
        <v>10.187485232277</v>
      </c>
      <c r="Z274" s="33">
        <f t="shared" ref="Z274:AC274" si="360">+Z282*Z298</f>
        <v>5.08100825959813</v>
      </c>
      <c r="AA274" s="33">
        <f t="shared" si="360"/>
        <v>7.62151238939719</v>
      </c>
      <c r="AB274" s="33">
        <f t="shared" si="360"/>
        <v>7.62151238939719</v>
      </c>
      <c r="AC274" s="57">
        <f t="shared" si="360"/>
        <v>10.1620165191963</v>
      </c>
      <c r="AD274" s="37"/>
      <c r="AE274" s="37"/>
      <c r="AF274" s="37"/>
      <c r="AG274" s="37"/>
      <c r="AH274" s="37"/>
      <c r="AI274" s="37"/>
      <c r="AJ274" s="33"/>
      <c r="AK274" s="33"/>
      <c r="AL274" s="33"/>
      <c r="AM274" s="33">
        <f t="shared" si="353"/>
        <v>46.6666666666667</v>
      </c>
      <c r="AN274" s="33">
        <f t="shared" si="353"/>
        <v>50.4</v>
      </c>
      <c r="AO274" s="33">
        <f t="shared" si="354"/>
        <v>30.87</v>
      </c>
      <c r="AP274" s="33">
        <f t="shared" si="355"/>
        <v>30.792825</v>
      </c>
      <c r="AQ274" s="33">
        <f t="shared" si="356"/>
        <v>30.7158429375</v>
      </c>
      <c r="AR274" s="33">
        <f t="shared" si="357"/>
        <v>30.6390533301563</v>
      </c>
      <c r="AS274" s="33">
        <f t="shared" ref="AS274:AS277" si="361">SUM(V274:Y274)</f>
        <v>30.5624556968309</v>
      </c>
      <c r="AT274" s="33">
        <f t="shared" si="358"/>
        <v>30.4860495575888</v>
      </c>
    </row>
    <row r="275" outlineLevel="1" spans="1:46">
      <c r="A275" s="29" t="s">
        <v>854</v>
      </c>
      <c r="B275" s="33">
        <f t="shared" si="350"/>
        <v>0</v>
      </c>
      <c r="C275" s="33">
        <f t="shared" si="350"/>
        <v>0</v>
      </c>
      <c r="D275" s="33">
        <f t="shared" si="350"/>
        <v>0</v>
      </c>
      <c r="E275" s="57">
        <f t="shared" si="350"/>
        <v>0</v>
      </c>
      <c r="F275" s="33">
        <f t="shared" si="350"/>
        <v>13.14</v>
      </c>
      <c r="G275" s="33">
        <f t="shared" si="350"/>
        <v>26.28</v>
      </c>
      <c r="H275" s="33">
        <f t="shared" si="350"/>
        <v>26.28</v>
      </c>
      <c r="I275" s="57">
        <f t="shared" si="350"/>
        <v>39.42</v>
      </c>
      <c r="J275" s="33">
        <f t="shared" si="350"/>
        <v>13.0086</v>
      </c>
      <c r="K275" s="33">
        <f t="shared" si="350"/>
        <v>26.0172</v>
      </c>
      <c r="L275" s="33">
        <f t="shared" si="350"/>
        <v>26.0172</v>
      </c>
      <c r="M275" s="57">
        <f t="shared" si="350"/>
        <v>39.0258</v>
      </c>
      <c r="N275" s="33">
        <f t="shared" si="350"/>
        <v>12.878514</v>
      </c>
      <c r="O275" s="33">
        <f t="shared" si="350"/>
        <v>25.757028</v>
      </c>
      <c r="P275" s="33">
        <f t="shared" si="350"/>
        <v>25.757028</v>
      </c>
      <c r="Q275" s="57">
        <f t="shared" si="350"/>
        <v>38.635542</v>
      </c>
      <c r="R275" s="33">
        <f t="shared" si="350"/>
        <v>13.45804713</v>
      </c>
      <c r="S275" s="33">
        <f t="shared" si="350"/>
        <v>26.91609426</v>
      </c>
      <c r="T275" s="33">
        <f t="shared" si="350"/>
        <v>26.91609426</v>
      </c>
      <c r="U275" s="57">
        <f t="shared" si="350"/>
        <v>40.37414139</v>
      </c>
      <c r="V275" s="33">
        <f t="shared" si="350"/>
        <v>14.06365925085</v>
      </c>
      <c r="W275" s="33">
        <f t="shared" si="350"/>
        <v>28.1273185017</v>
      </c>
      <c r="X275" s="33">
        <f t="shared" si="350"/>
        <v>28.1273185017</v>
      </c>
      <c r="Y275" s="57">
        <f t="shared" si="350"/>
        <v>42.19097775255</v>
      </c>
      <c r="Z275" s="33">
        <f t="shared" ref="Z275:AC275" si="362">+Z283*Z299</f>
        <v>14.6965239171383</v>
      </c>
      <c r="AA275" s="33">
        <f t="shared" si="362"/>
        <v>29.3930478342765</v>
      </c>
      <c r="AB275" s="33">
        <f t="shared" si="362"/>
        <v>29.3930478342765</v>
      </c>
      <c r="AC275" s="57">
        <f t="shared" si="362"/>
        <v>44.0895717514148</v>
      </c>
      <c r="AD275" s="37"/>
      <c r="AE275" s="37"/>
      <c r="AF275" s="37"/>
      <c r="AG275" s="37"/>
      <c r="AH275" s="37"/>
      <c r="AI275" s="37"/>
      <c r="AJ275" s="33"/>
      <c r="AK275" s="33"/>
      <c r="AL275" s="33"/>
      <c r="AM275" s="33">
        <f t="shared" si="353"/>
        <v>0</v>
      </c>
      <c r="AN275" s="33">
        <f t="shared" si="353"/>
        <v>0</v>
      </c>
      <c r="AO275" s="33">
        <f t="shared" si="354"/>
        <v>105.12</v>
      </c>
      <c r="AP275" s="33">
        <f t="shared" si="355"/>
        <v>104.0688</v>
      </c>
      <c r="AQ275" s="33">
        <f t="shared" si="356"/>
        <v>103.028112</v>
      </c>
      <c r="AR275" s="33">
        <f t="shared" si="357"/>
        <v>107.66437704</v>
      </c>
      <c r="AS275" s="33">
        <f t="shared" si="361"/>
        <v>112.5092740068</v>
      </c>
      <c r="AT275" s="33">
        <f t="shared" si="358"/>
        <v>117.572191337106</v>
      </c>
    </row>
    <row r="276" outlineLevel="1" spans="1:46">
      <c r="A276" s="29" t="s">
        <v>855</v>
      </c>
      <c r="B276" s="33">
        <f t="shared" si="350"/>
        <v>0</v>
      </c>
      <c r="C276" s="33">
        <f t="shared" si="350"/>
        <v>0</v>
      </c>
      <c r="D276" s="33">
        <f t="shared" si="350"/>
        <v>0</v>
      </c>
      <c r="E276" s="57">
        <f t="shared" si="350"/>
        <v>0</v>
      </c>
      <c r="F276" s="33">
        <f t="shared" si="350"/>
        <v>0</v>
      </c>
      <c r="G276" s="33">
        <f t="shared" si="350"/>
        <v>0</v>
      </c>
      <c r="H276" s="33">
        <f t="shared" si="350"/>
        <v>0</v>
      </c>
      <c r="I276" s="57">
        <f t="shared" si="350"/>
        <v>0</v>
      </c>
      <c r="J276" s="96">
        <f>+J284*J300</f>
        <v>0</v>
      </c>
      <c r="K276" s="33">
        <f t="shared" si="350"/>
        <v>67.014</v>
      </c>
      <c r="L276" s="33">
        <f t="shared" si="350"/>
        <v>89.352</v>
      </c>
      <c r="M276" s="57">
        <f t="shared" si="350"/>
        <v>111.69</v>
      </c>
      <c r="N276" s="33">
        <f t="shared" si="350"/>
        <v>130.00716</v>
      </c>
      <c r="O276" s="33">
        <f t="shared" si="350"/>
        <v>132.9111</v>
      </c>
      <c r="P276" s="33">
        <f t="shared" si="350"/>
        <v>151.8984</v>
      </c>
      <c r="Q276" s="57">
        <f t="shared" si="350"/>
        <v>170.8857</v>
      </c>
      <c r="R276" s="33">
        <f t="shared" si="350"/>
        <v>141.265512</v>
      </c>
      <c r="S276" s="33">
        <f t="shared" si="350"/>
        <v>136.70856</v>
      </c>
      <c r="T276" s="33">
        <f t="shared" si="350"/>
        <v>136.70856</v>
      </c>
      <c r="U276" s="57">
        <f t="shared" si="350"/>
        <v>136.70856</v>
      </c>
      <c r="V276" s="33">
        <f t="shared" si="350"/>
        <v>149.1832161</v>
      </c>
      <c r="W276" s="33">
        <f t="shared" si="350"/>
        <v>146.1072735</v>
      </c>
      <c r="X276" s="33">
        <f t="shared" si="350"/>
        <v>146.1072735</v>
      </c>
      <c r="Y276" s="57">
        <f t="shared" si="350"/>
        <v>146.1072735</v>
      </c>
      <c r="Z276" s="33">
        <f t="shared" ref="Z276:AC276" si="363">+Z284*Z300</f>
        <v>138.801909825</v>
      </c>
      <c r="AA276" s="33">
        <f t="shared" si="363"/>
        <v>138.801909825</v>
      </c>
      <c r="AB276" s="33">
        <f t="shared" si="363"/>
        <v>138.801909825</v>
      </c>
      <c r="AC276" s="57">
        <f t="shared" si="363"/>
        <v>138.801909825</v>
      </c>
      <c r="AD276" s="37"/>
      <c r="AE276" s="37"/>
      <c r="AF276" s="37"/>
      <c r="AG276" s="37"/>
      <c r="AH276" s="37"/>
      <c r="AI276" s="37"/>
      <c r="AJ276" s="33"/>
      <c r="AK276" s="33"/>
      <c r="AL276" s="33"/>
      <c r="AM276" s="33">
        <f t="shared" si="353"/>
        <v>0</v>
      </c>
      <c r="AN276" s="33">
        <f t="shared" si="353"/>
        <v>0</v>
      </c>
      <c r="AO276" s="33">
        <f t="shared" si="354"/>
        <v>0</v>
      </c>
      <c r="AP276" s="33">
        <f t="shared" si="355"/>
        <v>268.056</v>
      </c>
      <c r="AQ276" s="33">
        <f t="shared" si="356"/>
        <v>585.70236</v>
      </c>
      <c r="AR276" s="33">
        <f t="shared" si="357"/>
        <v>551.391192</v>
      </c>
      <c r="AS276" s="33">
        <f t="shared" si="361"/>
        <v>587.5050366</v>
      </c>
      <c r="AT276" s="33">
        <f t="shared" si="358"/>
        <v>555.2076393</v>
      </c>
    </row>
    <row r="277" outlineLevel="1" spans="1:46">
      <c r="A277" s="29" t="s">
        <v>856</v>
      </c>
      <c r="B277" s="33">
        <f t="shared" si="350"/>
        <v>0</v>
      </c>
      <c r="C277" s="33">
        <f t="shared" si="350"/>
        <v>0</v>
      </c>
      <c r="D277" s="33">
        <f t="shared" si="350"/>
        <v>0</v>
      </c>
      <c r="E277" s="57">
        <f t="shared" si="350"/>
        <v>0</v>
      </c>
      <c r="F277" s="33">
        <f t="shared" si="350"/>
        <v>0</v>
      </c>
      <c r="G277" s="33">
        <f t="shared" si="350"/>
        <v>0</v>
      </c>
      <c r="H277" s="33">
        <f t="shared" si="350"/>
        <v>0</v>
      </c>
      <c r="I277" s="57">
        <f t="shared" si="350"/>
        <v>0</v>
      </c>
      <c r="J277" s="33">
        <f t="shared" si="350"/>
        <v>0</v>
      </c>
      <c r="K277" s="33">
        <f t="shared" si="350"/>
        <v>0</v>
      </c>
      <c r="L277" s="33">
        <f t="shared" si="350"/>
        <v>0</v>
      </c>
      <c r="M277" s="57">
        <f t="shared" si="350"/>
        <v>0</v>
      </c>
      <c r="N277" s="33">
        <f t="shared" si="350"/>
        <v>0</v>
      </c>
      <c r="O277" s="33">
        <f t="shared" si="350"/>
        <v>0</v>
      </c>
      <c r="P277" s="33">
        <f t="shared" si="350"/>
        <v>0</v>
      </c>
      <c r="Q277" s="57">
        <f t="shared" si="350"/>
        <v>0</v>
      </c>
      <c r="R277" s="33">
        <f t="shared" si="350"/>
        <v>34.6239</v>
      </c>
      <c r="S277" s="33">
        <f t="shared" si="350"/>
        <v>61.0572</v>
      </c>
      <c r="T277" s="33">
        <f t="shared" si="350"/>
        <v>61.0572</v>
      </c>
      <c r="U277" s="57">
        <f t="shared" si="350"/>
        <v>61.0572</v>
      </c>
      <c r="V277" s="33">
        <f t="shared" si="350"/>
        <v>28.391598</v>
      </c>
      <c r="W277" s="33">
        <f t="shared" si="350"/>
        <v>54.95148</v>
      </c>
      <c r="X277" s="33">
        <f t="shared" si="350"/>
        <v>54.95148</v>
      </c>
      <c r="Y277" s="57">
        <f t="shared" si="351"/>
        <v>54.95148</v>
      </c>
      <c r="Z277" s="33">
        <f>+Z285*Z301</f>
        <v>23.354379</v>
      </c>
      <c r="AA277" s="33">
        <f t="shared" ref="AA277:AC277" si="364">+AA285*AA301</f>
        <v>46.708758</v>
      </c>
      <c r="AB277" s="33">
        <f t="shared" si="364"/>
        <v>46.708758</v>
      </c>
      <c r="AC277" s="57">
        <f t="shared" si="364"/>
        <v>46.708758</v>
      </c>
      <c r="AD277" s="37"/>
      <c r="AE277" s="37"/>
      <c r="AF277" s="37"/>
      <c r="AG277" s="37"/>
      <c r="AH277" s="37"/>
      <c r="AI277" s="37"/>
      <c r="AJ277" s="33"/>
      <c r="AK277" s="33"/>
      <c r="AL277" s="33"/>
      <c r="AM277" s="33"/>
      <c r="AN277" s="33"/>
      <c r="AO277" s="33">
        <f t="shared" si="354"/>
        <v>0</v>
      </c>
      <c r="AP277" s="33">
        <f t="shared" si="355"/>
        <v>0</v>
      </c>
      <c r="AQ277" s="33">
        <f t="shared" si="356"/>
        <v>0</v>
      </c>
      <c r="AR277" s="33">
        <f t="shared" si="357"/>
        <v>217.7955</v>
      </c>
      <c r="AS277" s="33">
        <f t="shared" si="361"/>
        <v>193.246038</v>
      </c>
      <c r="AT277" s="33">
        <f t="shared" si="358"/>
        <v>163.480653</v>
      </c>
    </row>
    <row r="278" outlineLevel="1" spans="1:46">
      <c r="A278" s="29"/>
      <c r="B278" s="32"/>
      <c r="C278" s="32"/>
      <c r="D278" s="32"/>
      <c r="E278" s="56"/>
      <c r="F278" s="33"/>
      <c r="G278" s="33"/>
      <c r="H278" s="33"/>
      <c r="I278" s="57"/>
      <c r="J278" s="33"/>
      <c r="K278" s="33"/>
      <c r="L278" s="33"/>
      <c r="M278" s="57"/>
      <c r="N278" s="33"/>
      <c r="O278" s="33"/>
      <c r="P278" s="33"/>
      <c r="Q278" s="57"/>
      <c r="R278" s="33"/>
      <c r="S278" s="33"/>
      <c r="T278" s="33"/>
      <c r="U278" s="57"/>
      <c r="V278" s="33"/>
      <c r="W278" s="33"/>
      <c r="X278" s="33"/>
      <c r="Y278" s="57"/>
      <c r="Z278" s="33"/>
      <c r="AA278" s="33"/>
      <c r="AB278" s="33"/>
      <c r="AC278" s="57"/>
      <c r="AD278" s="37"/>
      <c r="AE278" s="37"/>
      <c r="AF278" s="37"/>
      <c r="AG278" s="37"/>
      <c r="AH278" s="37"/>
      <c r="AI278" s="37"/>
      <c r="AJ278" s="33"/>
      <c r="AK278" s="33"/>
      <c r="AL278" s="33"/>
      <c r="AM278" s="96"/>
      <c r="AN278" s="33"/>
      <c r="AO278" s="96"/>
      <c r="AP278" s="96"/>
      <c r="AQ278" s="96"/>
      <c r="AR278" s="96"/>
      <c r="AS278" s="96"/>
      <c r="AT278" s="96"/>
    </row>
    <row r="279" outlineLevel="1" spans="1:46">
      <c r="A279" s="29" t="s">
        <v>865</v>
      </c>
      <c r="B279" s="38">
        <f t="shared" ref="B279:Y279" si="365">SUM(B280:B284)</f>
        <v>0.36</v>
      </c>
      <c r="C279" s="38">
        <f t="shared" si="365"/>
        <v>0.365</v>
      </c>
      <c r="D279" s="38">
        <f t="shared" si="365"/>
        <v>0.415</v>
      </c>
      <c r="E279" s="60">
        <f t="shared" si="365"/>
        <v>0.34</v>
      </c>
      <c r="F279" s="38">
        <f t="shared" si="365"/>
        <v>0.353</v>
      </c>
      <c r="G279" s="38">
        <f t="shared" si="365"/>
        <v>0.36825</v>
      </c>
      <c r="H279" s="38">
        <f t="shared" si="365"/>
        <v>0.41575</v>
      </c>
      <c r="I279" s="60">
        <f t="shared" si="365"/>
        <v>0.355</v>
      </c>
      <c r="J279" s="38">
        <f t="shared" si="365"/>
        <v>0.3379</v>
      </c>
      <c r="K279" s="38">
        <f t="shared" si="365"/>
        <v>0.3844125</v>
      </c>
      <c r="L279" s="38">
        <f t="shared" si="365"/>
        <v>0.4395375</v>
      </c>
      <c r="M279" s="60">
        <f t="shared" si="365"/>
        <v>0.39385</v>
      </c>
      <c r="N279" s="38">
        <f t="shared" si="365"/>
        <v>0.3837575</v>
      </c>
      <c r="O279" s="38">
        <f t="shared" si="365"/>
        <v>0.411645625</v>
      </c>
      <c r="P279" s="38">
        <f t="shared" si="365"/>
        <v>0.464514375</v>
      </c>
      <c r="Q279" s="60">
        <f t="shared" si="365"/>
        <v>0.4238125</v>
      </c>
      <c r="R279" s="38">
        <f t="shared" si="365"/>
        <v>0.39054225</v>
      </c>
      <c r="S279" s="38">
        <f t="shared" si="365"/>
        <v>0.40992978125</v>
      </c>
      <c r="T279" s="38">
        <f t="shared" si="365"/>
        <v>0.45065509375</v>
      </c>
      <c r="U279" s="60">
        <f t="shared" si="365"/>
        <v>0.404882125</v>
      </c>
      <c r="V279" s="38">
        <f t="shared" si="365"/>
        <v>0.38822714375</v>
      </c>
      <c r="W279" s="38">
        <f t="shared" si="365"/>
        <v>0.4092495515625</v>
      </c>
      <c r="X279" s="38">
        <f t="shared" si="365"/>
        <v>0.4479385984375</v>
      </c>
      <c r="Y279" s="60">
        <f t="shared" si="365"/>
        <v>0.40705853125</v>
      </c>
      <c r="Z279" s="38">
        <f t="shared" ref="Z279:AC279" si="366">SUM(Z280:Z284)</f>
        <v>0.376788218125</v>
      </c>
      <c r="AA279" s="38">
        <f t="shared" si="366"/>
        <v>0.399593796328125</v>
      </c>
      <c r="AB279" s="38">
        <f t="shared" si="366"/>
        <v>0.436348390859375</v>
      </c>
      <c r="AC279" s="60">
        <f t="shared" si="366"/>
        <v>0.4003466178125</v>
      </c>
      <c r="AD279" s="37"/>
      <c r="AE279" s="37"/>
      <c r="AF279" s="37"/>
      <c r="AG279" s="37"/>
      <c r="AH279" s="37"/>
      <c r="AI279" s="37"/>
      <c r="AJ279" s="33"/>
      <c r="AK279" s="33"/>
      <c r="AL279" s="33"/>
      <c r="AM279" s="190">
        <f>SUM(AM280:AM284)</f>
        <v>1.51</v>
      </c>
      <c r="AN279" s="190">
        <f>SUM(AN280:AN284)</f>
        <v>1.475</v>
      </c>
      <c r="AO279" s="38">
        <f t="shared" ref="AO279:AT279" si="367">+SUM(AO280:AO286)</f>
        <v>1.492</v>
      </c>
      <c r="AP279" s="38">
        <f t="shared" si="367"/>
        <v>1.5557</v>
      </c>
      <c r="AQ279" s="38">
        <f t="shared" si="367"/>
        <v>1.68373</v>
      </c>
      <c r="AR279" s="38">
        <f t="shared" si="367"/>
        <v>1.72600925</v>
      </c>
      <c r="AS279" s="38">
        <f t="shared" si="367"/>
        <v>1.722473825</v>
      </c>
      <c r="AT279" s="38">
        <f t="shared" si="367"/>
        <v>1.683077023125</v>
      </c>
    </row>
    <row r="280" outlineLevel="1" spans="1:46">
      <c r="A280" s="29" t="s">
        <v>851</v>
      </c>
      <c r="B280" s="39">
        <v>0.3</v>
      </c>
      <c r="C280" s="39">
        <v>0.3</v>
      </c>
      <c r="D280" s="39">
        <v>0.33</v>
      </c>
      <c r="E280" s="61">
        <v>0.27</v>
      </c>
      <c r="F280" s="96">
        <f t="shared" ref="F280:F282" si="368">+B280*(1+F288)</f>
        <v>0.285</v>
      </c>
      <c r="G280" s="96">
        <f t="shared" ref="G280:X283" si="369">+C280*(1+G288)</f>
        <v>0.285</v>
      </c>
      <c r="H280" s="96">
        <f t="shared" si="369"/>
        <v>0.3135</v>
      </c>
      <c r="I280" s="128">
        <f t="shared" si="369"/>
        <v>0.2565</v>
      </c>
      <c r="J280" s="96">
        <f t="shared" si="369"/>
        <v>0.27075</v>
      </c>
      <c r="K280" s="96">
        <f t="shared" si="369"/>
        <v>0.27075</v>
      </c>
      <c r="L280" s="96">
        <f t="shared" si="369"/>
        <v>0.297825</v>
      </c>
      <c r="M280" s="128">
        <f t="shared" si="369"/>
        <v>0.243675</v>
      </c>
      <c r="N280" s="96">
        <f t="shared" si="369"/>
        <v>0.2572125</v>
      </c>
      <c r="O280" s="96">
        <f t="shared" si="369"/>
        <v>0.2572125</v>
      </c>
      <c r="P280" s="96">
        <f t="shared" si="369"/>
        <v>0.28293375</v>
      </c>
      <c r="Q280" s="128">
        <f t="shared" si="369"/>
        <v>0.23149125</v>
      </c>
      <c r="R280" s="96">
        <f t="shared" si="369"/>
        <v>0.244351875</v>
      </c>
      <c r="S280" s="96">
        <f t="shared" si="369"/>
        <v>0.244351875</v>
      </c>
      <c r="T280" s="96">
        <f t="shared" si="369"/>
        <v>0.2687870625</v>
      </c>
      <c r="U280" s="128">
        <f t="shared" si="369"/>
        <v>0.2199166875</v>
      </c>
      <c r="V280" s="96">
        <f t="shared" si="369"/>
        <v>0.23213428125</v>
      </c>
      <c r="W280" s="96">
        <f t="shared" si="369"/>
        <v>0.23213428125</v>
      </c>
      <c r="X280" s="96">
        <f t="shared" si="369"/>
        <v>0.255347709375</v>
      </c>
      <c r="Y280" s="128">
        <f t="shared" ref="Y280:Z283" si="370">+U280*(1+Y288)</f>
        <v>0.208920853125</v>
      </c>
      <c r="Z280" s="96">
        <f t="shared" si="370"/>
        <v>0.2205275671875</v>
      </c>
      <c r="AA280" s="96">
        <f t="shared" ref="AA280:AA283" si="371">+W280*(1+AA288)</f>
        <v>0.2205275671875</v>
      </c>
      <c r="AB280" s="96">
        <f t="shared" ref="AB280:AB283" si="372">+X280*(1+AB288)</f>
        <v>0.24258032390625</v>
      </c>
      <c r="AC280" s="128">
        <f t="shared" ref="AC280:AC283" si="373">+Y280*(1+AC288)</f>
        <v>0.19847481046875</v>
      </c>
      <c r="AD280" s="37"/>
      <c r="AE280" s="37"/>
      <c r="AF280" s="37"/>
      <c r="AG280" s="37"/>
      <c r="AH280" s="37"/>
      <c r="AI280" s="37"/>
      <c r="AJ280" s="33"/>
      <c r="AK280" s="33"/>
      <c r="AL280" s="33"/>
      <c r="AM280" s="98">
        <v>1.26</v>
      </c>
      <c r="AN280" s="98">
        <v>1.195</v>
      </c>
      <c r="AO280" s="185">
        <f t="shared" ref="AO280:AO285" si="374">SUM(F280:I280)</f>
        <v>1.14</v>
      </c>
      <c r="AP280" s="185">
        <f t="shared" ref="AP280:AP285" si="375">SUM(J280:M280)</f>
        <v>1.083</v>
      </c>
      <c r="AQ280" s="185">
        <f t="shared" ref="AQ280:AQ285" si="376">SUM(N280:Q280)</f>
        <v>1.02885</v>
      </c>
      <c r="AR280" s="185">
        <f t="shared" ref="AR280:AR285" si="377">SUM(R280:U280)</f>
        <v>0.9774075</v>
      </c>
      <c r="AS280" s="185">
        <f>SUM(V280:Y280)</f>
        <v>0.928537125</v>
      </c>
      <c r="AT280" s="185">
        <f t="shared" ref="AT280:AT285" si="378">SUM(Z280:AC280)</f>
        <v>0.88211026875</v>
      </c>
    </row>
    <row r="281" outlineLevel="1" spans="1:46">
      <c r="A281" s="29" t="s">
        <v>852</v>
      </c>
      <c r="B281" s="39">
        <v>0.05</v>
      </c>
      <c r="C281" s="39">
        <v>0.05</v>
      </c>
      <c r="D281" s="39">
        <v>0.07</v>
      </c>
      <c r="E281" s="61">
        <v>0.05</v>
      </c>
      <c r="F281" s="96">
        <f t="shared" si="368"/>
        <v>0.0475</v>
      </c>
      <c r="G281" s="96">
        <f t="shared" si="369"/>
        <v>0.0475</v>
      </c>
      <c r="H281" s="96">
        <f t="shared" si="369"/>
        <v>0.0665</v>
      </c>
      <c r="I281" s="128">
        <f t="shared" si="369"/>
        <v>0.0475</v>
      </c>
      <c r="J281" s="96">
        <f t="shared" si="369"/>
        <v>0.045125</v>
      </c>
      <c r="K281" s="96">
        <f t="shared" si="369"/>
        <v>0.045125</v>
      </c>
      <c r="L281" s="96">
        <f t="shared" si="369"/>
        <v>0.063175</v>
      </c>
      <c r="M281" s="128">
        <f t="shared" si="369"/>
        <v>0.045125</v>
      </c>
      <c r="N281" s="96">
        <f t="shared" si="369"/>
        <v>0.04286875</v>
      </c>
      <c r="O281" s="96">
        <f t="shared" si="369"/>
        <v>0.04286875</v>
      </c>
      <c r="P281" s="96">
        <f t="shared" si="369"/>
        <v>0.06001625</v>
      </c>
      <c r="Q281" s="128">
        <f t="shared" si="369"/>
        <v>0.04286875</v>
      </c>
      <c r="R281" s="96">
        <f t="shared" si="369"/>
        <v>0.0407253125</v>
      </c>
      <c r="S281" s="96">
        <f t="shared" si="369"/>
        <v>0.0407253125</v>
      </c>
      <c r="T281" s="96">
        <f t="shared" si="369"/>
        <v>0.0570154375</v>
      </c>
      <c r="U281" s="128">
        <f t="shared" si="369"/>
        <v>0.0407253125</v>
      </c>
      <c r="V281" s="96">
        <f t="shared" si="369"/>
        <v>0.038689046875</v>
      </c>
      <c r="W281" s="96">
        <f t="shared" si="369"/>
        <v>0.038689046875</v>
      </c>
      <c r="X281" s="96">
        <f t="shared" si="369"/>
        <v>0.054164665625</v>
      </c>
      <c r="Y281" s="128">
        <f t="shared" si="370"/>
        <v>0.038689046875</v>
      </c>
      <c r="Z281" s="96">
        <f t="shared" si="370"/>
        <v>0.03675459453125</v>
      </c>
      <c r="AA281" s="96">
        <f t="shared" si="371"/>
        <v>0.03675459453125</v>
      </c>
      <c r="AB281" s="96">
        <f t="shared" si="372"/>
        <v>0.05145643234375</v>
      </c>
      <c r="AC281" s="128">
        <f t="shared" si="373"/>
        <v>0.03675459453125</v>
      </c>
      <c r="AD281" s="37"/>
      <c r="AE281" s="37"/>
      <c r="AF281" s="37"/>
      <c r="AG281" s="37"/>
      <c r="AH281" s="37"/>
      <c r="AI281" s="37"/>
      <c r="AJ281" s="33"/>
      <c r="AK281" s="33"/>
      <c r="AL281" s="33"/>
      <c r="AM281" s="98">
        <v>0.2</v>
      </c>
      <c r="AN281" s="98">
        <v>0.22</v>
      </c>
      <c r="AO281" s="185">
        <f t="shared" si="374"/>
        <v>0.209</v>
      </c>
      <c r="AP281" s="185">
        <f t="shared" si="375"/>
        <v>0.19855</v>
      </c>
      <c r="AQ281" s="185">
        <f t="shared" si="376"/>
        <v>0.1886225</v>
      </c>
      <c r="AR281" s="185">
        <f t="shared" si="377"/>
        <v>0.179191375</v>
      </c>
      <c r="AS281" s="185">
        <f t="shared" ref="AS281:AS285" si="379">SUM(V281:Y281)</f>
        <v>0.17023180625</v>
      </c>
      <c r="AT281" s="185">
        <f t="shared" si="378"/>
        <v>0.1617202159375</v>
      </c>
    </row>
    <row r="282" outlineLevel="1" spans="1:46">
      <c r="A282" s="29" t="s">
        <v>853</v>
      </c>
      <c r="B282" s="39">
        <v>0.01</v>
      </c>
      <c r="C282" s="39">
        <v>0.015</v>
      </c>
      <c r="D282" s="39">
        <v>0.015</v>
      </c>
      <c r="E282" s="61">
        <v>0.02</v>
      </c>
      <c r="F282" s="96">
        <f t="shared" si="368"/>
        <v>0.0105</v>
      </c>
      <c r="G282" s="96">
        <f t="shared" si="369"/>
        <v>0.01575</v>
      </c>
      <c r="H282" s="96">
        <f t="shared" si="369"/>
        <v>0.01575</v>
      </c>
      <c r="I282" s="128">
        <f t="shared" si="369"/>
        <v>0.021</v>
      </c>
      <c r="J282" s="96">
        <f t="shared" si="369"/>
        <v>0.011025</v>
      </c>
      <c r="K282" s="96">
        <f t="shared" si="369"/>
        <v>0.0165375</v>
      </c>
      <c r="L282" s="96">
        <f t="shared" si="369"/>
        <v>0.0165375</v>
      </c>
      <c r="M282" s="128">
        <f t="shared" si="369"/>
        <v>0.02205</v>
      </c>
      <c r="N282" s="96">
        <f t="shared" si="369"/>
        <v>0.01157625</v>
      </c>
      <c r="O282" s="96">
        <f t="shared" si="369"/>
        <v>0.017364375</v>
      </c>
      <c r="P282" s="96">
        <f t="shared" si="369"/>
        <v>0.017364375</v>
      </c>
      <c r="Q282" s="128">
        <f t="shared" si="369"/>
        <v>0.0231525</v>
      </c>
      <c r="R282" s="96">
        <f t="shared" si="369"/>
        <v>0.0121550625</v>
      </c>
      <c r="S282" s="96">
        <f t="shared" si="369"/>
        <v>0.01823259375</v>
      </c>
      <c r="T282" s="96">
        <f t="shared" si="369"/>
        <v>0.01823259375</v>
      </c>
      <c r="U282" s="128">
        <f t="shared" si="369"/>
        <v>0.024310125</v>
      </c>
      <c r="V282" s="96">
        <f t="shared" si="369"/>
        <v>0.012762815625</v>
      </c>
      <c r="W282" s="96">
        <f t="shared" si="369"/>
        <v>0.0191442234375</v>
      </c>
      <c r="X282" s="96">
        <f t="shared" si="369"/>
        <v>0.0191442234375</v>
      </c>
      <c r="Y282" s="128">
        <f t="shared" si="370"/>
        <v>0.02552563125</v>
      </c>
      <c r="Z282" s="96">
        <f t="shared" si="370"/>
        <v>0.01340095640625</v>
      </c>
      <c r="AA282" s="96">
        <f t="shared" si="371"/>
        <v>0.020101434609375</v>
      </c>
      <c r="AB282" s="96">
        <f t="shared" si="372"/>
        <v>0.020101434609375</v>
      </c>
      <c r="AC282" s="128">
        <f t="shared" si="373"/>
        <v>0.0268019128125</v>
      </c>
      <c r="AD282" s="37"/>
      <c r="AE282" s="37"/>
      <c r="AF282" s="37"/>
      <c r="AG282" s="37"/>
      <c r="AH282" s="37"/>
      <c r="AI282" s="37"/>
      <c r="AJ282" s="33"/>
      <c r="AK282" s="33"/>
      <c r="AL282" s="33"/>
      <c r="AM282" s="98">
        <v>0.05</v>
      </c>
      <c r="AN282" s="98">
        <v>0.06</v>
      </c>
      <c r="AO282" s="185">
        <f t="shared" si="374"/>
        <v>0.063</v>
      </c>
      <c r="AP282" s="185">
        <f t="shared" si="375"/>
        <v>0.06615</v>
      </c>
      <c r="AQ282" s="185">
        <f t="shared" si="376"/>
        <v>0.0694575</v>
      </c>
      <c r="AR282" s="185">
        <f t="shared" si="377"/>
        <v>0.072930375</v>
      </c>
      <c r="AS282" s="185">
        <f t="shared" si="379"/>
        <v>0.07657689375</v>
      </c>
      <c r="AT282" s="185">
        <f t="shared" si="378"/>
        <v>0.0804057384375</v>
      </c>
    </row>
    <row r="283" outlineLevel="1" spans="1:46">
      <c r="A283" s="29" t="s">
        <v>854</v>
      </c>
      <c r="B283" s="116">
        <v>0</v>
      </c>
      <c r="C283" s="116">
        <v>0</v>
      </c>
      <c r="D283" s="116">
        <v>0</v>
      </c>
      <c r="E283" s="120">
        <v>0</v>
      </c>
      <c r="F283" s="96">
        <v>0.01</v>
      </c>
      <c r="G283" s="96">
        <v>0.02</v>
      </c>
      <c r="H283" s="96">
        <v>0.02</v>
      </c>
      <c r="I283" s="128">
        <v>0.03</v>
      </c>
      <c r="J283" s="96">
        <f t="shared" si="369"/>
        <v>0.011</v>
      </c>
      <c r="K283" s="96">
        <f t="shared" si="369"/>
        <v>0.022</v>
      </c>
      <c r="L283" s="96">
        <f t="shared" si="369"/>
        <v>0.022</v>
      </c>
      <c r="M283" s="128">
        <f t="shared" si="369"/>
        <v>0.033</v>
      </c>
      <c r="N283" s="96">
        <f t="shared" si="369"/>
        <v>0.0121</v>
      </c>
      <c r="O283" s="96">
        <f t="shared" si="369"/>
        <v>0.0242</v>
      </c>
      <c r="P283" s="96">
        <f t="shared" si="369"/>
        <v>0.0242</v>
      </c>
      <c r="Q283" s="128">
        <f t="shared" si="369"/>
        <v>0.0363</v>
      </c>
      <c r="R283" s="96">
        <f t="shared" si="369"/>
        <v>0.01331</v>
      </c>
      <c r="S283" s="96">
        <f t="shared" si="369"/>
        <v>0.02662</v>
      </c>
      <c r="T283" s="96">
        <f t="shared" si="369"/>
        <v>0.02662</v>
      </c>
      <c r="U283" s="128">
        <f t="shared" si="369"/>
        <v>0.03993</v>
      </c>
      <c r="V283" s="96">
        <f t="shared" si="369"/>
        <v>0.014641</v>
      </c>
      <c r="W283" s="96">
        <f t="shared" si="369"/>
        <v>0.029282</v>
      </c>
      <c r="X283" s="96">
        <f t="shared" si="369"/>
        <v>0.029282</v>
      </c>
      <c r="Y283" s="128">
        <f t="shared" si="370"/>
        <v>0.043923</v>
      </c>
      <c r="Z283" s="96">
        <f t="shared" si="370"/>
        <v>0.0161051</v>
      </c>
      <c r="AA283" s="96">
        <f t="shared" si="371"/>
        <v>0.0322102</v>
      </c>
      <c r="AB283" s="96">
        <f t="shared" si="372"/>
        <v>0.0322102</v>
      </c>
      <c r="AC283" s="128">
        <f t="shared" si="373"/>
        <v>0.0483153</v>
      </c>
      <c r="AD283" s="37"/>
      <c r="AE283" s="37"/>
      <c r="AF283" s="37"/>
      <c r="AG283" s="37"/>
      <c r="AH283" s="37"/>
      <c r="AI283" s="37"/>
      <c r="AJ283" s="33"/>
      <c r="AK283" s="33"/>
      <c r="AL283" s="33"/>
      <c r="AM283" s="98">
        <v>0</v>
      </c>
      <c r="AN283" s="98">
        <v>0</v>
      </c>
      <c r="AO283" s="185">
        <f t="shared" si="374"/>
        <v>0.08</v>
      </c>
      <c r="AP283" s="185">
        <f t="shared" si="375"/>
        <v>0.088</v>
      </c>
      <c r="AQ283" s="185">
        <f t="shared" si="376"/>
        <v>0.0968</v>
      </c>
      <c r="AR283" s="185">
        <f t="shared" si="377"/>
        <v>0.10648</v>
      </c>
      <c r="AS283" s="185">
        <f t="shared" si="379"/>
        <v>0.117128</v>
      </c>
      <c r="AT283" s="185">
        <f t="shared" si="378"/>
        <v>0.1288408</v>
      </c>
    </row>
    <row r="284" outlineLevel="1" spans="1:46">
      <c r="A284" s="29" t="s">
        <v>855</v>
      </c>
      <c r="B284" s="39">
        <v>0</v>
      </c>
      <c r="C284" s="39">
        <v>0</v>
      </c>
      <c r="D284" s="39">
        <v>0</v>
      </c>
      <c r="E284" s="61">
        <v>0</v>
      </c>
      <c r="F284" s="33">
        <v>0</v>
      </c>
      <c r="G284" s="33">
        <v>0</v>
      </c>
      <c r="H284" s="33">
        <v>0</v>
      </c>
      <c r="I284" s="57">
        <v>0</v>
      </c>
      <c r="J284" s="185">
        <v>0</v>
      </c>
      <c r="K284" s="185">
        <v>0.03</v>
      </c>
      <c r="L284" s="185">
        <v>0.04</v>
      </c>
      <c r="M284" s="187">
        <v>0.05</v>
      </c>
      <c r="N284" s="185">
        <v>0.06</v>
      </c>
      <c r="O284" s="185">
        <v>0.07</v>
      </c>
      <c r="P284" s="185">
        <v>0.08</v>
      </c>
      <c r="Q284" s="187">
        <v>0.09</v>
      </c>
      <c r="R284" s="96">
        <v>0.08</v>
      </c>
      <c r="S284" s="96">
        <v>0.08</v>
      </c>
      <c r="T284" s="96">
        <v>0.08</v>
      </c>
      <c r="U284" s="128">
        <v>0.08</v>
      </c>
      <c r="V284" s="96">
        <v>0.09</v>
      </c>
      <c r="W284" s="96">
        <v>0.09</v>
      </c>
      <c r="X284" s="96">
        <v>0.09</v>
      </c>
      <c r="Y284" s="128">
        <v>0.09</v>
      </c>
      <c r="Z284" s="96">
        <v>0.09</v>
      </c>
      <c r="AA284" s="96">
        <v>0.09</v>
      </c>
      <c r="AB284" s="96">
        <v>0.09</v>
      </c>
      <c r="AC284" s="128">
        <v>0.09</v>
      </c>
      <c r="AD284" s="37"/>
      <c r="AE284" s="37"/>
      <c r="AF284" s="37"/>
      <c r="AG284" s="37"/>
      <c r="AH284" s="37"/>
      <c r="AI284" s="37"/>
      <c r="AJ284" s="33"/>
      <c r="AK284" s="33"/>
      <c r="AL284" s="33"/>
      <c r="AM284" s="98">
        <v>0</v>
      </c>
      <c r="AN284" s="98">
        <v>0</v>
      </c>
      <c r="AO284" s="185">
        <f t="shared" si="374"/>
        <v>0</v>
      </c>
      <c r="AP284" s="185">
        <f t="shared" si="375"/>
        <v>0.12</v>
      </c>
      <c r="AQ284" s="185">
        <f t="shared" si="376"/>
        <v>0.3</v>
      </c>
      <c r="AR284" s="185">
        <f t="shared" si="377"/>
        <v>0.32</v>
      </c>
      <c r="AS284" s="185">
        <f t="shared" si="379"/>
        <v>0.36</v>
      </c>
      <c r="AT284" s="185">
        <f t="shared" si="378"/>
        <v>0.36</v>
      </c>
    </row>
    <row r="285" outlineLevel="1" spans="1:46">
      <c r="A285" s="29" t="s">
        <v>856</v>
      </c>
      <c r="B285" s="39"/>
      <c r="C285" s="39"/>
      <c r="D285" s="39"/>
      <c r="E285" s="61"/>
      <c r="F285" s="33"/>
      <c r="G285" s="33"/>
      <c r="H285" s="33"/>
      <c r="I285" s="57"/>
      <c r="J285" s="96"/>
      <c r="K285" s="96"/>
      <c r="L285" s="96"/>
      <c r="M285" s="128"/>
      <c r="N285" s="96">
        <v>0</v>
      </c>
      <c r="O285" s="96">
        <v>0</v>
      </c>
      <c r="P285" s="96">
        <v>0</v>
      </c>
      <c r="Q285" s="128">
        <v>0</v>
      </c>
      <c r="R285" s="185">
        <v>0.01</v>
      </c>
      <c r="S285" s="185">
        <v>0.02</v>
      </c>
      <c r="T285" s="185">
        <v>0.02</v>
      </c>
      <c r="U285" s="187">
        <v>0.02</v>
      </c>
      <c r="V285" s="185">
        <v>0.01</v>
      </c>
      <c r="W285" s="185">
        <v>0.02</v>
      </c>
      <c r="X285" s="185">
        <v>0.02</v>
      </c>
      <c r="Y285" s="187">
        <v>0.02</v>
      </c>
      <c r="Z285" s="185">
        <v>0.01</v>
      </c>
      <c r="AA285" s="185">
        <v>0.02</v>
      </c>
      <c r="AB285" s="185">
        <v>0.02</v>
      </c>
      <c r="AC285" s="187">
        <v>0.02</v>
      </c>
      <c r="AD285" s="37"/>
      <c r="AE285" s="37"/>
      <c r="AF285" s="37"/>
      <c r="AG285" s="37"/>
      <c r="AH285" s="37"/>
      <c r="AI285" s="37"/>
      <c r="AJ285" s="33"/>
      <c r="AK285" s="33"/>
      <c r="AL285" s="33"/>
      <c r="AM285" s="98"/>
      <c r="AN285" s="98"/>
      <c r="AO285" s="185">
        <f t="shared" si="374"/>
        <v>0</v>
      </c>
      <c r="AP285" s="185">
        <f t="shared" si="375"/>
        <v>0</v>
      </c>
      <c r="AQ285" s="185">
        <f t="shared" si="376"/>
        <v>0</v>
      </c>
      <c r="AR285" s="185">
        <f t="shared" si="377"/>
        <v>0.07</v>
      </c>
      <c r="AS285" s="185">
        <f t="shared" si="379"/>
        <v>0.07</v>
      </c>
      <c r="AT285" s="185">
        <f t="shared" si="378"/>
        <v>0.07</v>
      </c>
    </row>
    <row r="286" outlineLevel="1" spans="1:46">
      <c r="A286" s="18"/>
      <c r="B286" s="112"/>
      <c r="C286" s="112"/>
      <c r="D286" s="112"/>
      <c r="E286" s="117"/>
      <c r="F286" s="33"/>
      <c r="G286" s="112"/>
      <c r="H286" s="112"/>
      <c r="I286" s="117"/>
      <c r="J286" s="112"/>
      <c r="K286" s="121"/>
      <c r="L286" s="112"/>
      <c r="M286" s="117"/>
      <c r="N286" s="112"/>
      <c r="O286" s="112"/>
      <c r="P286" s="112"/>
      <c r="Q286" s="117"/>
      <c r="R286" s="112"/>
      <c r="S286" s="112"/>
      <c r="T286" s="112"/>
      <c r="U286" s="117"/>
      <c r="V286" s="112"/>
      <c r="W286" s="112"/>
      <c r="X286" s="112"/>
      <c r="Y286" s="117"/>
      <c r="Z286" s="112"/>
      <c r="AA286" s="112"/>
      <c r="AB286" s="112"/>
      <c r="AC286" s="117"/>
      <c r="AD286" s="37"/>
      <c r="AE286" s="37"/>
      <c r="AF286" s="37"/>
      <c r="AG286" s="37"/>
      <c r="AH286" s="37"/>
      <c r="AI286" s="37"/>
      <c r="AJ286" s="33"/>
      <c r="AK286" s="33"/>
      <c r="AL286" s="33"/>
      <c r="AM286" s="27"/>
      <c r="AN286" s="33"/>
      <c r="AO286" s="27"/>
      <c r="AP286" s="27"/>
      <c r="AQ286" s="27"/>
      <c r="AR286" s="27"/>
      <c r="AS286" s="27"/>
      <c r="AT286" s="33"/>
    </row>
    <row r="287" outlineLevel="1" spans="1:46">
      <c r="A287" s="29" t="s">
        <v>866</v>
      </c>
      <c r="B287" s="112"/>
      <c r="C287" s="112"/>
      <c r="D287" s="112"/>
      <c r="E287" s="117"/>
      <c r="F287" s="33"/>
      <c r="G287" s="112"/>
      <c r="H287" s="112"/>
      <c r="I287" s="117"/>
      <c r="J287" s="112"/>
      <c r="K287" s="112"/>
      <c r="L287" s="112"/>
      <c r="M287" s="117"/>
      <c r="N287" s="112"/>
      <c r="O287" s="112"/>
      <c r="P287" s="112"/>
      <c r="Q287" s="117"/>
      <c r="R287" s="112"/>
      <c r="S287" s="112"/>
      <c r="T287" s="112"/>
      <c r="U287" s="117"/>
      <c r="V287" s="112"/>
      <c r="W287" s="112"/>
      <c r="X287" s="112"/>
      <c r="Y287" s="117"/>
      <c r="Z287" s="112"/>
      <c r="AA287" s="112"/>
      <c r="AB287" s="112"/>
      <c r="AC287" s="117"/>
      <c r="AD287" s="37"/>
      <c r="AE287" s="37"/>
      <c r="AF287" s="37"/>
      <c r="AG287" s="37"/>
      <c r="AH287" s="37"/>
      <c r="AI287" s="37"/>
      <c r="AJ287" s="33"/>
      <c r="AK287" s="33"/>
      <c r="AL287" s="33"/>
      <c r="AM287" s="27"/>
      <c r="AN287" s="33"/>
      <c r="AO287" s="27"/>
      <c r="AP287" s="27"/>
      <c r="AQ287" s="27"/>
      <c r="AR287" s="27"/>
      <c r="AS287" s="27"/>
      <c r="AT287" s="27"/>
    </row>
    <row r="288" outlineLevel="1" spans="1:46">
      <c r="A288" s="29" t="s">
        <v>851</v>
      </c>
      <c r="B288" s="112"/>
      <c r="C288" s="112"/>
      <c r="D288" s="112"/>
      <c r="E288" s="117"/>
      <c r="F288" s="27">
        <v>-0.05</v>
      </c>
      <c r="G288" s="27">
        <v>-0.05</v>
      </c>
      <c r="H288" s="27">
        <v>-0.05</v>
      </c>
      <c r="I288" s="52">
        <v>-0.05</v>
      </c>
      <c r="J288" s="27">
        <v>-0.05</v>
      </c>
      <c r="K288" s="27">
        <v>-0.05</v>
      </c>
      <c r="L288" s="27">
        <v>-0.05</v>
      </c>
      <c r="M288" s="52">
        <v>-0.05</v>
      </c>
      <c r="N288" s="27">
        <v>-0.05</v>
      </c>
      <c r="O288" s="27">
        <v>-0.05</v>
      </c>
      <c r="P288" s="27">
        <v>-0.05</v>
      </c>
      <c r="Q288" s="52">
        <v>-0.05</v>
      </c>
      <c r="R288" s="27">
        <v>-0.05</v>
      </c>
      <c r="S288" s="27">
        <v>-0.05</v>
      </c>
      <c r="T288" s="27">
        <v>-0.05</v>
      </c>
      <c r="U288" s="52">
        <v>-0.05</v>
      </c>
      <c r="V288" s="27">
        <v>-0.05</v>
      </c>
      <c r="W288" s="27">
        <v>-0.05</v>
      </c>
      <c r="X288" s="27">
        <v>-0.05</v>
      </c>
      <c r="Y288" s="52">
        <v>-0.05</v>
      </c>
      <c r="Z288" s="27">
        <v>-0.05</v>
      </c>
      <c r="AA288" s="27">
        <v>-0.05</v>
      </c>
      <c r="AB288" s="27">
        <v>-0.05</v>
      </c>
      <c r="AC288" s="52">
        <v>-0.05</v>
      </c>
      <c r="AD288" s="37"/>
      <c r="AE288" s="37"/>
      <c r="AF288" s="37"/>
      <c r="AG288" s="37"/>
      <c r="AH288" s="37"/>
      <c r="AI288" s="37"/>
      <c r="AJ288" s="33"/>
      <c r="AK288" s="33"/>
      <c r="AL288" s="33"/>
      <c r="AM288" s="27"/>
      <c r="AN288" s="27">
        <f t="shared" ref="AN288:AT290" si="380">+AN280/AM280-1</f>
        <v>-0.0515873015873015</v>
      </c>
      <c r="AO288" s="27">
        <f t="shared" si="380"/>
        <v>-0.0460251046025106</v>
      </c>
      <c r="AP288" s="27">
        <f t="shared" si="380"/>
        <v>-0.0499999999999999</v>
      </c>
      <c r="AQ288" s="27">
        <f t="shared" si="380"/>
        <v>-0.0500000000000002</v>
      </c>
      <c r="AR288" s="27">
        <f t="shared" si="380"/>
        <v>-0.05</v>
      </c>
      <c r="AS288" s="27">
        <f>+AS280/AR280-1</f>
        <v>-0.0499999999999999</v>
      </c>
      <c r="AT288" s="27">
        <f>+AT280/AS280-1</f>
        <v>-0.0500000000000002</v>
      </c>
    </row>
    <row r="289" outlineLevel="1" spans="1:46">
      <c r="A289" s="29" t="s">
        <v>852</v>
      </c>
      <c r="B289" s="112"/>
      <c r="C289" s="112"/>
      <c r="D289" s="112"/>
      <c r="E289" s="117"/>
      <c r="F289" s="27">
        <v>-0.05</v>
      </c>
      <c r="G289" s="27">
        <v>-0.05</v>
      </c>
      <c r="H289" s="27">
        <v>-0.05</v>
      </c>
      <c r="I289" s="52">
        <v>-0.05</v>
      </c>
      <c r="J289" s="27">
        <v>-0.05</v>
      </c>
      <c r="K289" s="27">
        <v>-0.05</v>
      </c>
      <c r="L289" s="27">
        <v>-0.05</v>
      </c>
      <c r="M289" s="52">
        <v>-0.05</v>
      </c>
      <c r="N289" s="27">
        <v>-0.05</v>
      </c>
      <c r="O289" s="27">
        <v>-0.05</v>
      </c>
      <c r="P289" s="27">
        <v>-0.05</v>
      </c>
      <c r="Q289" s="52">
        <v>-0.05</v>
      </c>
      <c r="R289" s="27">
        <v>-0.05</v>
      </c>
      <c r="S289" s="27">
        <v>-0.05</v>
      </c>
      <c r="T289" s="27">
        <v>-0.05</v>
      </c>
      <c r="U289" s="52">
        <v>-0.05</v>
      </c>
      <c r="V289" s="27">
        <v>-0.05</v>
      </c>
      <c r="W289" s="27">
        <v>-0.05</v>
      </c>
      <c r="X289" s="27">
        <v>-0.05</v>
      </c>
      <c r="Y289" s="52">
        <v>-0.05</v>
      </c>
      <c r="Z289" s="27">
        <v>-0.05</v>
      </c>
      <c r="AA289" s="27">
        <v>-0.05</v>
      </c>
      <c r="AB289" s="27">
        <v>-0.05</v>
      </c>
      <c r="AC289" s="52">
        <v>-0.05</v>
      </c>
      <c r="AD289" s="37"/>
      <c r="AE289" s="37"/>
      <c r="AF289" s="37"/>
      <c r="AG289" s="37"/>
      <c r="AH289" s="37"/>
      <c r="AI289" s="37"/>
      <c r="AJ289" s="33"/>
      <c r="AK289" s="33"/>
      <c r="AL289" s="33"/>
      <c r="AM289" s="27"/>
      <c r="AN289" s="27">
        <f t="shared" si="380"/>
        <v>0.0999999999999999</v>
      </c>
      <c r="AO289" s="27">
        <f t="shared" si="380"/>
        <v>-0.0499999999999999</v>
      </c>
      <c r="AP289" s="27">
        <f t="shared" si="380"/>
        <v>-0.0500000000000002</v>
      </c>
      <c r="AQ289" s="27">
        <f t="shared" si="380"/>
        <v>-0.05</v>
      </c>
      <c r="AR289" s="27">
        <f t="shared" si="380"/>
        <v>-0.0499999999999999</v>
      </c>
      <c r="AS289" s="27">
        <f t="shared" si="380"/>
        <v>-0.05</v>
      </c>
      <c r="AT289" s="27">
        <f t="shared" si="380"/>
        <v>-0.05</v>
      </c>
    </row>
    <row r="290" outlineLevel="1" spans="1:46">
      <c r="A290" s="29" t="s">
        <v>853</v>
      </c>
      <c r="B290" s="112"/>
      <c r="C290" s="112"/>
      <c r="D290" s="112"/>
      <c r="E290" s="117"/>
      <c r="F290" s="27">
        <v>0.05</v>
      </c>
      <c r="G290" s="27">
        <v>0.05</v>
      </c>
      <c r="H290" s="27">
        <v>0.05</v>
      </c>
      <c r="I290" s="52">
        <v>0.05</v>
      </c>
      <c r="J290" s="27">
        <v>0.05</v>
      </c>
      <c r="K290" s="27">
        <v>0.05</v>
      </c>
      <c r="L290" s="27">
        <v>0.05</v>
      </c>
      <c r="M290" s="52">
        <v>0.05</v>
      </c>
      <c r="N290" s="27">
        <v>0.05</v>
      </c>
      <c r="O290" s="27">
        <v>0.05</v>
      </c>
      <c r="P290" s="27">
        <v>0.05</v>
      </c>
      <c r="Q290" s="52">
        <v>0.05</v>
      </c>
      <c r="R290" s="27">
        <v>0.05</v>
      </c>
      <c r="S290" s="27">
        <v>0.05</v>
      </c>
      <c r="T290" s="27">
        <v>0.05</v>
      </c>
      <c r="U290" s="52">
        <v>0.05</v>
      </c>
      <c r="V290" s="27">
        <v>0.05</v>
      </c>
      <c r="W290" s="27">
        <v>0.05</v>
      </c>
      <c r="X290" s="27">
        <v>0.05</v>
      </c>
      <c r="Y290" s="52">
        <v>0.05</v>
      </c>
      <c r="Z290" s="27">
        <v>0.05</v>
      </c>
      <c r="AA290" s="27">
        <v>0.05</v>
      </c>
      <c r="AB290" s="27">
        <v>0.05</v>
      </c>
      <c r="AC290" s="52">
        <v>0.05</v>
      </c>
      <c r="AD290" s="37"/>
      <c r="AE290" s="37"/>
      <c r="AF290" s="37"/>
      <c r="AG290" s="37"/>
      <c r="AH290" s="37"/>
      <c r="AI290" s="37"/>
      <c r="AJ290" s="33"/>
      <c r="AK290" s="33"/>
      <c r="AL290" s="33"/>
      <c r="AM290" s="27"/>
      <c r="AN290" s="27">
        <f t="shared" si="380"/>
        <v>0.2</v>
      </c>
      <c r="AO290" s="27">
        <f t="shared" si="380"/>
        <v>0.05</v>
      </c>
      <c r="AP290" s="27">
        <f t="shared" si="380"/>
        <v>0.05</v>
      </c>
      <c r="AQ290" s="27">
        <f t="shared" si="380"/>
        <v>0.05</v>
      </c>
      <c r="AR290" s="27">
        <f t="shared" si="380"/>
        <v>0.0500000000000003</v>
      </c>
      <c r="AS290" s="27">
        <f t="shared" si="380"/>
        <v>0.05</v>
      </c>
      <c r="AT290" s="27">
        <f t="shared" si="380"/>
        <v>0.05</v>
      </c>
    </row>
    <row r="291" outlineLevel="1" spans="1:46">
      <c r="A291" s="29" t="s">
        <v>854</v>
      </c>
      <c r="B291" s="112"/>
      <c r="C291" s="112"/>
      <c r="D291" s="112"/>
      <c r="E291" s="117"/>
      <c r="F291" s="27">
        <v>0.1</v>
      </c>
      <c r="G291" s="27">
        <v>0.1</v>
      </c>
      <c r="H291" s="27">
        <v>0.1</v>
      </c>
      <c r="I291" s="52">
        <v>0.1</v>
      </c>
      <c r="J291" s="27">
        <v>0.1</v>
      </c>
      <c r="K291" s="27">
        <v>0.1</v>
      </c>
      <c r="L291" s="27">
        <v>0.1</v>
      </c>
      <c r="M291" s="52">
        <v>0.1</v>
      </c>
      <c r="N291" s="27">
        <v>0.1</v>
      </c>
      <c r="O291" s="27">
        <v>0.1</v>
      </c>
      <c r="P291" s="27">
        <v>0.1</v>
      </c>
      <c r="Q291" s="52">
        <v>0.1</v>
      </c>
      <c r="R291" s="27">
        <v>0.1</v>
      </c>
      <c r="S291" s="27">
        <v>0.1</v>
      </c>
      <c r="T291" s="27">
        <v>0.1</v>
      </c>
      <c r="U291" s="52">
        <v>0.1</v>
      </c>
      <c r="V291" s="27">
        <v>0.1</v>
      </c>
      <c r="W291" s="27">
        <v>0.1</v>
      </c>
      <c r="X291" s="27">
        <v>0.1</v>
      </c>
      <c r="Y291" s="52">
        <v>0.1</v>
      </c>
      <c r="Z291" s="27">
        <v>0.1</v>
      </c>
      <c r="AA291" s="27">
        <v>0.1</v>
      </c>
      <c r="AB291" s="27">
        <v>0.1</v>
      </c>
      <c r="AC291" s="52">
        <v>0.1</v>
      </c>
      <c r="AD291" s="37"/>
      <c r="AE291" s="37"/>
      <c r="AF291" s="37"/>
      <c r="AG291" s="37"/>
      <c r="AH291" s="37"/>
      <c r="AI291" s="37"/>
      <c r="AJ291" s="33"/>
      <c r="AK291" s="33"/>
      <c r="AL291" s="33"/>
      <c r="AM291" s="27"/>
      <c r="AN291" s="27"/>
      <c r="AO291" s="27"/>
      <c r="AP291" s="27">
        <f t="shared" ref="AP291:AT291" si="381">+AP283/AO283-1</f>
        <v>0.1</v>
      </c>
      <c r="AQ291" s="27">
        <f t="shared" si="381"/>
        <v>0.1</v>
      </c>
      <c r="AR291" s="27">
        <f t="shared" si="381"/>
        <v>0.0999999999999999</v>
      </c>
      <c r="AS291" s="27">
        <f t="shared" si="381"/>
        <v>0.1</v>
      </c>
      <c r="AT291" s="27">
        <f t="shared" si="381"/>
        <v>0.0999999999999999</v>
      </c>
    </row>
    <row r="292" outlineLevel="1" spans="1:46">
      <c r="A292" s="29" t="s">
        <v>855</v>
      </c>
      <c r="B292" s="112"/>
      <c r="C292" s="112"/>
      <c r="D292" s="112"/>
      <c r="E292" s="117"/>
      <c r="F292" s="27"/>
      <c r="G292" s="27"/>
      <c r="H292" s="27"/>
      <c r="I292" s="52"/>
      <c r="J292" s="27"/>
      <c r="K292" s="27"/>
      <c r="L292" s="27"/>
      <c r="M292" s="52"/>
      <c r="N292" s="27"/>
      <c r="O292" s="27"/>
      <c r="P292" s="27"/>
      <c r="Q292" s="52"/>
      <c r="R292" s="27"/>
      <c r="S292" s="27"/>
      <c r="T292" s="27"/>
      <c r="U292" s="52"/>
      <c r="V292" s="27"/>
      <c r="W292" s="27"/>
      <c r="X292" s="27"/>
      <c r="Y292" s="52"/>
      <c r="Z292" s="27"/>
      <c r="AA292" s="27"/>
      <c r="AB292" s="27"/>
      <c r="AC292" s="52"/>
      <c r="AD292" s="37"/>
      <c r="AE292" s="37"/>
      <c r="AF292" s="37"/>
      <c r="AG292" s="37"/>
      <c r="AH292" s="37"/>
      <c r="AI292" s="37"/>
      <c r="AJ292" s="33"/>
      <c r="AK292" s="33"/>
      <c r="AL292" s="33"/>
      <c r="AM292" s="27"/>
      <c r="AN292" s="27"/>
      <c r="AO292" s="27"/>
      <c r="AP292" s="27"/>
      <c r="AQ292" s="27">
        <f t="shared" ref="AQ292:AT292" si="382">+AQ284/AP284-1</f>
        <v>1.5</v>
      </c>
      <c r="AR292" s="27">
        <f t="shared" si="382"/>
        <v>0.0666666666666664</v>
      </c>
      <c r="AS292" s="27">
        <f t="shared" si="382"/>
        <v>0.125</v>
      </c>
      <c r="AT292" s="27">
        <f t="shared" si="382"/>
        <v>0</v>
      </c>
    </row>
    <row r="293" outlineLevel="1" spans="1:46">
      <c r="A293" s="29" t="s">
        <v>856</v>
      </c>
      <c r="B293" s="112"/>
      <c r="C293" s="112"/>
      <c r="D293" s="112"/>
      <c r="E293" s="117"/>
      <c r="F293" s="27"/>
      <c r="G293" s="27"/>
      <c r="H293" s="27"/>
      <c r="I293" s="52"/>
      <c r="J293" s="27"/>
      <c r="K293" s="27"/>
      <c r="L293" s="27"/>
      <c r="M293" s="52"/>
      <c r="N293" s="27"/>
      <c r="O293" s="27"/>
      <c r="P293" s="27"/>
      <c r="Q293" s="52"/>
      <c r="R293" s="27"/>
      <c r="S293" s="27"/>
      <c r="T293" s="27"/>
      <c r="U293" s="52"/>
      <c r="V293" s="27"/>
      <c r="W293" s="27"/>
      <c r="X293" s="27"/>
      <c r="Y293" s="52"/>
      <c r="Z293" s="27"/>
      <c r="AA293" s="27"/>
      <c r="AB293" s="27"/>
      <c r="AC293" s="52"/>
      <c r="AD293" s="37"/>
      <c r="AE293" s="37"/>
      <c r="AF293" s="37"/>
      <c r="AG293" s="37"/>
      <c r="AH293" s="37"/>
      <c r="AI293" s="37"/>
      <c r="AJ293" s="33"/>
      <c r="AK293" s="33"/>
      <c r="AL293" s="33"/>
      <c r="AM293" s="27"/>
      <c r="AN293" s="27"/>
      <c r="AO293" s="27"/>
      <c r="AP293" s="27"/>
      <c r="AQ293" s="27"/>
      <c r="AR293" s="27"/>
      <c r="AS293" s="27">
        <f>+AS285/AR285-1</f>
        <v>0</v>
      </c>
      <c r="AT293" s="27">
        <f>+AT285/AS285-1</f>
        <v>0</v>
      </c>
    </row>
    <row r="294" outlineLevel="1" spans="1:46">
      <c r="A294" s="18"/>
      <c r="B294" s="112"/>
      <c r="C294" s="112"/>
      <c r="D294" s="112"/>
      <c r="E294" s="117"/>
      <c r="F294" s="96"/>
      <c r="G294" s="96"/>
      <c r="H294" s="96"/>
      <c r="I294" s="128"/>
      <c r="J294" s="96"/>
      <c r="K294" s="96"/>
      <c r="L294" s="96"/>
      <c r="M294" s="128"/>
      <c r="N294" s="96"/>
      <c r="O294" s="96"/>
      <c r="P294" s="96"/>
      <c r="Q294" s="128"/>
      <c r="R294" s="96"/>
      <c r="S294" s="96"/>
      <c r="T294" s="96"/>
      <c r="U294" s="128"/>
      <c r="V294" s="96"/>
      <c r="W294" s="96"/>
      <c r="X294" s="96"/>
      <c r="Y294" s="128"/>
      <c r="Z294" s="96"/>
      <c r="AA294" s="96"/>
      <c r="AB294" s="96"/>
      <c r="AC294" s="128"/>
      <c r="AD294" s="37"/>
      <c r="AE294" s="37"/>
      <c r="AF294" s="37"/>
      <c r="AG294" s="37"/>
      <c r="AH294" s="37"/>
      <c r="AI294" s="37"/>
      <c r="AJ294" s="33"/>
      <c r="AK294" s="33"/>
      <c r="AL294" s="33"/>
      <c r="AM294" s="27"/>
      <c r="AN294" s="33"/>
      <c r="AO294" s="32"/>
      <c r="AP294" s="32"/>
      <c r="AQ294" s="27"/>
      <c r="AR294" s="27"/>
      <c r="AS294" s="27"/>
      <c r="AT294" s="27"/>
    </row>
    <row r="295" outlineLevel="1" spans="1:46">
      <c r="A295" s="22" t="s">
        <v>901</v>
      </c>
      <c r="B295" s="112"/>
      <c r="C295" s="112"/>
      <c r="D295" s="112"/>
      <c r="E295" s="117"/>
      <c r="F295" s="96"/>
      <c r="G295" s="96"/>
      <c r="H295" s="96"/>
      <c r="I295" s="128"/>
      <c r="J295" s="96"/>
      <c r="K295" s="96"/>
      <c r="L295" s="96"/>
      <c r="M295" s="128"/>
      <c r="N295" s="96"/>
      <c r="O295" s="96"/>
      <c r="P295" s="96"/>
      <c r="Q295" s="128"/>
      <c r="R295" s="96"/>
      <c r="S295" s="96"/>
      <c r="T295" s="96"/>
      <c r="U295" s="128"/>
      <c r="V295" s="96"/>
      <c r="W295" s="96"/>
      <c r="X295" s="96"/>
      <c r="Y295" s="128"/>
      <c r="Z295" s="96"/>
      <c r="AA295" s="96"/>
      <c r="AB295" s="96"/>
      <c r="AC295" s="128"/>
      <c r="AD295" s="37"/>
      <c r="AE295" s="37"/>
      <c r="AF295" s="37"/>
      <c r="AG295" s="37"/>
      <c r="AH295" s="37"/>
      <c r="AI295" s="37"/>
      <c r="AJ295" s="33"/>
      <c r="AK295" s="33"/>
      <c r="AL295" s="33"/>
      <c r="AM295" s="27"/>
      <c r="AN295" s="27"/>
      <c r="AO295" s="32"/>
      <c r="AP295" s="32"/>
      <c r="AQ295" s="32"/>
      <c r="AR295" s="32"/>
      <c r="AS295" s="32"/>
      <c r="AT295" s="32"/>
    </row>
    <row r="296" outlineLevel="1" spans="1:46">
      <c r="A296" s="29" t="s">
        <v>851</v>
      </c>
      <c r="B296" s="113">
        <v>346</v>
      </c>
      <c r="C296" s="113">
        <v>346</v>
      </c>
      <c r="D296" s="113">
        <v>346</v>
      </c>
      <c r="E296" s="118">
        <v>346</v>
      </c>
      <c r="F296" s="33">
        <f t="shared" ref="F296:Z296" si="383">+F92</f>
        <v>328.7</v>
      </c>
      <c r="G296" s="33">
        <f t="shared" si="383"/>
        <v>328.7</v>
      </c>
      <c r="H296" s="33">
        <f t="shared" si="383"/>
        <v>328.7</v>
      </c>
      <c r="I296" s="57">
        <f t="shared" si="383"/>
        <v>328.7</v>
      </c>
      <c r="J296" s="33">
        <f t="shared" si="383"/>
        <v>312.265</v>
      </c>
      <c r="K296" s="33">
        <f t="shared" si="383"/>
        <v>312.265</v>
      </c>
      <c r="L296" s="33">
        <f t="shared" si="383"/>
        <v>312.265</v>
      </c>
      <c r="M296" s="57">
        <f t="shared" si="383"/>
        <v>312.265</v>
      </c>
      <c r="N296" s="33">
        <f t="shared" si="383"/>
        <v>296.65175</v>
      </c>
      <c r="O296" s="33">
        <f t="shared" si="383"/>
        <v>296.65175</v>
      </c>
      <c r="P296" s="33">
        <f t="shared" si="383"/>
        <v>296.65175</v>
      </c>
      <c r="Q296" s="57">
        <f t="shared" si="383"/>
        <v>296.65175</v>
      </c>
      <c r="R296" s="33">
        <f t="shared" si="383"/>
        <v>281.8191625</v>
      </c>
      <c r="S296" s="33">
        <f t="shared" si="383"/>
        <v>281.8191625</v>
      </c>
      <c r="T296" s="33">
        <f t="shared" si="383"/>
        <v>281.8191625</v>
      </c>
      <c r="U296" s="57">
        <f t="shared" si="383"/>
        <v>281.8191625</v>
      </c>
      <c r="V296" s="33">
        <f t="shared" si="383"/>
        <v>267.728204375</v>
      </c>
      <c r="W296" s="33">
        <f t="shared" si="383"/>
        <v>267.728204375</v>
      </c>
      <c r="X296" s="33">
        <f t="shared" si="383"/>
        <v>267.728204375</v>
      </c>
      <c r="Y296" s="57">
        <f t="shared" si="383"/>
        <v>267.728204375</v>
      </c>
      <c r="Z296" s="33">
        <f t="shared" si="383"/>
        <v>254.34179415625</v>
      </c>
      <c r="AA296" s="33">
        <f t="shared" ref="AA296:AC296" si="384">+AA92</f>
        <v>254.34179415625</v>
      </c>
      <c r="AB296" s="33">
        <f t="shared" si="384"/>
        <v>254.34179415625</v>
      </c>
      <c r="AC296" s="57">
        <f t="shared" si="384"/>
        <v>254.34179415625</v>
      </c>
      <c r="AD296" s="37"/>
      <c r="AE296" s="37"/>
      <c r="AF296" s="37"/>
      <c r="AG296" s="37"/>
      <c r="AH296" s="37"/>
      <c r="AI296" s="37"/>
      <c r="AJ296" s="33"/>
      <c r="AK296" s="33"/>
      <c r="AL296" s="33"/>
      <c r="AM296" s="113">
        <v>346.5</v>
      </c>
      <c r="AN296" s="113">
        <v>346</v>
      </c>
      <c r="AO296" s="191">
        <f t="shared" ref="AO296:AT301" si="385">+AO92</f>
        <v>328.7</v>
      </c>
      <c r="AP296" s="191">
        <f t="shared" si="385"/>
        <v>312.265</v>
      </c>
      <c r="AQ296" s="191">
        <f t="shared" si="385"/>
        <v>296.65175</v>
      </c>
      <c r="AR296" s="191">
        <f t="shared" si="385"/>
        <v>281.8191625</v>
      </c>
      <c r="AS296" s="191">
        <f t="shared" si="385"/>
        <v>267.728204375</v>
      </c>
      <c r="AT296" s="191">
        <f t="shared" si="385"/>
        <v>254.34179415625</v>
      </c>
    </row>
    <row r="297" outlineLevel="1" spans="1:46">
      <c r="A297" s="29" t="s">
        <v>852</v>
      </c>
      <c r="B297" s="113">
        <v>560</v>
      </c>
      <c r="C297" s="113">
        <v>560</v>
      </c>
      <c r="D297" s="113">
        <v>560</v>
      </c>
      <c r="E297" s="118">
        <v>560</v>
      </c>
      <c r="F297" s="33">
        <f t="shared" ref="F297:Z297" si="386">+F93</f>
        <v>532</v>
      </c>
      <c r="G297" s="33">
        <f t="shared" si="386"/>
        <v>532</v>
      </c>
      <c r="H297" s="33">
        <f t="shared" si="386"/>
        <v>532</v>
      </c>
      <c r="I297" s="57">
        <f t="shared" si="386"/>
        <v>532</v>
      </c>
      <c r="J297" s="33">
        <f t="shared" si="386"/>
        <v>505.4</v>
      </c>
      <c r="K297" s="33">
        <f t="shared" si="386"/>
        <v>505.4</v>
      </c>
      <c r="L297" s="33">
        <f t="shared" si="386"/>
        <v>505.4</v>
      </c>
      <c r="M297" s="57">
        <f t="shared" si="386"/>
        <v>505.4</v>
      </c>
      <c r="N297" s="33">
        <f t="shared" si="386"/>
        <v>480.13</v>
      </c>
      <c r="O297" s="33">
        <f t="shared" si="386"/>
        <v>480.13</v>
      </c>
      <c r="P297" s="33">
        <f t="shared" si="386"/>
        <v>480.13</v>
      </c>
      <c r="Q297" s="57">
        <f t="shared" si="386"/>
        <v>480.13</v>
      </c>
      <c r="R297" s="33">
        <f t="shared" si="386"/>
        <v>456.1235</v>
      </c>
      <c r="S297" s="33">
        <f t="shared" si="386"/>
        <v>456.1235</v>
      </c>
      <c r="T297" s="33">
        <f t="shared" si="386"/>
        <v>456.1235</v>
      </c>
      <c r="U297" s="57">
        <f t="shared" si="386"/>
        <v>456.1235</v>
      </c>
      <c r="V297" s="33">
        <f t="shared" si="386"/>
        <v>433.317325</v>
      </c>
      <c r="W297" s="33">
        <f t="shared" si="386"/>
        <v>433.317325</v>
      </c>
      <c r="X297" s="33">
        <f t="shared" si="386"/>
        <v>433.317325</v>
      </c>
      <c r="Y297" s="57">
        <f t="shared" si="386"/>
        <v>433.317325</v>
      </c>
      <c r="Z297" s="33">
        <f t="shared" si="386"/>
        <v>411.65145875</v>
      </c>
      <c r="AA297" s="33">
        <f t="shared" ref="AA297:AC297" si="387">+AA93</f>
        <v>411.65145875</v>
      </c>
      <c r="AB297" s="33">
        <f t="shared" si="387"/>
        <v>411.65145875</v>
      </c>
      <c r="AC297" s="57">
        <f t="shared" si="387"/>
        <v>411.65145875</v>
      </c>
      <c r="AD297" s="37"/>
      <c r="AE297" s="37"/>
      <c r="AF297" s="37"/>
      <c r="AG297" s="37"/>
      <c r="AH297" s="37"/>
      <c r="AI297" s="37"/>
      <c r="AJ297" s="33"/>
      <c r="AK297" s="33"/>
      <c r="AL297" s="33"/>
      <c r="AM297" s="113">
        <v>567</v>
      </c>
      <c r="AN297" s="113">
        <f>80*7</f>
        <v>560</v>
      </c>
      <c r="AO297" s="191">
        <f t="shared" si="385"/>
        <v>532</v>
      </c>
      <c r="AP297" s="191">
        <f t="shared" si="385"/>
        <v>505.4</v>
      </c>
      <c r="AQ297" s="191">
        <f t="shared" si="385"/>
        <v>480.13</v>
      </c>
      <c r="AR297" s="191">
        <f t="shared" si="385"/>
        <v>456.1235</v>
      </c>
      <c r="AS297" s="191">
        <f t="shared" si="385"/>
        <v>433.317325</v>
      </c>
      <c r="AT297" s="191">
        <f t="shared" si="385"/>
        <v>411.65145875</v>
      </c>
    </row>
    <row r="298" outlineLevel="1" spans="1:46">
      <c r="A298" s="29" t="s">
        <v>853</v>
      </c>
      <c r="B298" s="113">
        <v>840</v>
      </c>
      <c r="C298" s="113">
        <v>840</v>
      </c>
      <c r="D298" s="113">
        <v>840</v>
      </c>
      <c r="E298" s="118">
        <v>840</v>
      </c>
      <c r="F298" s="33">
        <f t="shared" ref="F298:Z298" si="388">+F94</f>
        <v>490</v>
      </c>
      <c r="G298" s="33">
        <f t="shared" si="388"/>
        <v>490</v>
      </c>
      <c r="H298" s="33">
        <f t="shared" si="388"/>
        <v>490</v>
      </c>
      <c r="I298" s="57">
        <f t="shared" si="388"/>
        <v>490</v>
      </c>
      <c r="J298" s="33">
        <f t="shared" si="388"/>
        <v>465.5</v>
      </c>
      <c r="K298" s="33">
        <f t="shared" si="388"/>
        <v>465.5</v>
      </c>
      <c r="L298" s="33">
        <f t="shared" si="388"/>
        <v>465.5</v>
      </c>
      <c r="M298" s="57">
        <f t="shared" si="388"/>
        <v>465.5</v>
      </c>
      <c r="N298" s="33">
        <f t="shared" si="388"/>
        <v>442.225</v>
      </c>
      <c r="O298" s="33">
        <f t="shared" si="388"/>
        <v>442.225</v>
      </c>
      <c r="P298" s="33">
        <f t="shared" si="388"/>
        <v>442.225</v>
      </c>
      <c r="Q298" s="57">
        <f t="shared" si="388"/>
        <v>442.225</v>
      </c>
      <c r="R298" s="33">
        <f t="shared" si="388"/>
        <v>420.11375</v>
      </c>
      <c r="S298" s="33">
        <f t="shared" si="388"/>
        <v>420.11375</v>
      </c>
      <c r="T298" s="33">
        <f t="shared" si="388"/>
        <v>420.11375</v>
      </c>
      <c r="U298" s="57">
        <f t="shared" si="388"/>
        <v>420.11375</v>
      </c>
      <c r="V298" s="33">
        <f t="shared" si="388"/>
        <v>399.1080625</v>
      </c>
      <c r="W298" s="33">
        <f t="shared" si="388"/>
        <v>399.1080625</v>
      </c>
      <c r="X298" s="33">
        <f t="shared" si="388"/>
        <v>399.1080625</v>
      </c>
      <c r="Y298" s="57">
        <f t="shared" si="388"/>
        <v>399.1080625</v>
      </c>
      <c r="Z298" s="33">
        <f t="shared" si="388"/>
        <v>379.152659375</v>
      </c>
      <c r="AA298" s="33">
        <f t="shared" ref="AA298:AC298" si="389">+AA94</f>
        <v>379.152659375</v>
      </c>
      <c r="AB298" s="33">
        <f t="shared" si="389"/>
        <v>379.152659375</v>
      </c>
      <c r="AC298" s="57">
        <f t="shared" si="389"/>
        <v>379.152659375</v>
      </c>
      <c r="AD298" s="37"/>
      <c r="AE298" s="37"/>
      <c r="AF298" s="37"/>
      <c r="AG298" s="37"/>
      <c r="AH298" s="37"/>
      <c r="AI298" s="37"/>
      <c r="AJ298" s="33"/>
      <c r="AK298" s="33"/>
      <c r="AL298" s="33"/>
      <c r="AM298" s="113">
        <f>+AN298/0.9</f>
        <v>933.333333333333</v>
      </c>
      <c r="AN298" s="113">
        <f>120*7</f>
        <v>840</v>
      </c>
      <c r="AO298" s="191">
        <f t="shared" si="385"/>
        <v>490</v>
      </c>
      <c r="AP298" s="191">
        <f t="shared" si="385"/>
        <v>465.5</v>
      </c>
      <c r="AQ298" s="191">
        <f t="shared" si="385"/>
        <v>442.225</v>
      </c>
      <c r="AR298" s="191">
        <f t="shared" si="385"/>
        <v>420.11375</v>
      </c>
      <c r="AS298" s="191">
        <f t="shared" si="385"/>
        <v>399.1080625</v>
      </c>
      <c r="AT298" s="191">
        <f t="shared" si="385"/>
        <v>379.152659375</v>
      </c>
    </row>
    <row r="299" outlineLevel="1" spans="1:46">
      <c r="A299" s="29" t="s">
        <v>854</v>
      </c>
      <c r="B299" s="113">
        <v>1540</v>
      </c>
      <c r="C299" s="113">
        <v>1540</v>
      </c>
      <c r="D299" s="113">
        <v>1540</v>
      </c>
      <c r="E299" s="118">
        <v>1540</v>
      </c>
      <c r="F299" s="33">
        <f t="shared" ref="F299:Z299" si="390">+F95</f>
        <v>1314</v>
      </c>
      <c r="G299" s="33">
        <f t="shared" si="390"/>
        <v>1314</v>
      </c>
      <c r="H299" s="33">
        <f t="shared" si="390"/>
        <v>1314</v>
      </c>
      <c r="I299" s="57">
        <f t="shared" si="390"/>
        <v>1314</v>
      </c>
      <c r="J299" s="33">
        <f t="shared" si="390"/>
        <v>1182.6</v>
      </c>
      <c r="K299" s="33">
        <f t="shared" si="390"/>
        <v>1182.6</v>
      </c>
      <c r="L299" s="33">
        <f t="shared" si="390"/>
        <v>1182.6</v>
      </c>
      <c r="M299" s="57">
        <f t="shared" si="390"/>
        <v>1182.6</v>
      </c>
      <c r="N299" s="33">
        <f t="shared" si="390"/>
        <v>1064.34</v>
      </c>
      <c r="O299" s="33">
        <f t="shared" si="390"/>
        <v>1064.34</v>
      </c>
      <c r="P299" s="33">
        <f t="shared" si="390"/>
        <v>1064.34</v>
      </c>
      <c r="Q299" s="57">
        <f t="shared" si="390"/>
        <v>1064.34</v>
      </c>
      <c r="R299" s="33">
        <f t="shared" si="390"/>
        <v>1011.123</v>
      </c>
      <c r="S299" s="33">
        <f t="shared" si="390"/>
        <v>1011.123</v>
      </c>
      <c r="T299" s="33">
        <f t="shared" si="390"/>
        <v>1011.123</v>
      </c>
      <c r="U299" s="57">
        <f t="shared" si="390"/>
        <v>1011.123</v>
      </c>
      <c r="V299" s="33">
        <f t="shared" si="390"/>
        <v>960.56685</v>
      </c>
      <c r="W299" s="33">
        <f t="shared" si="390"/>
        <v>960.56685</v>
      </c>
      <c r="X299" s="33">
        <f t="shared" si="390"/>
        <v>960.56685</v>
      </c>
      <c r="Y299" s="57">
        <f t="shared" si="390"/>
        <v>960.56685</v>
      </c>
      <c r="Z299" s="33">
        <f t="shared" si="390"/>
        <v>912.5385075</v>
      </c>
      <c r="AA299" s="33">
        <f t="shared" ref="AA299:AC299" si="391">+AA95</f>
        <v>912.5385075</v>
      </c>
      <c r="AB299" s="33">
        <f t="shared" si="391"/>
        <v>912.5385075</v>
      </c>
      <c r="AC299" s="57">
        <f t="shared" si="391"/>
        <v>912.5385075</v>
      </c>
      <c r="AD299" s="37"/>
      <c r="AE299" s="37"/>
      <c r="AF299" s="37"/>
      <c r="AG299" s="37"/>
      <c r="AH299" s="37"/>
      <c r="AI299" s="37"/>
      <c r="AJ299" s="33"/>
      <c r="AK299" s="33"/>
      <c r="AL299" s="33"/>
      <c r="AM299" s="113">
        <f>250*7</f>
        <v>1750</v>
      </c>
      <c r="AN299" s="113">
        <f>220*7</f>
        <v>1540</v>
      </c>
      <c r="AO299" s="191">
        <f t="shared" si="385"/>
        <v>1314</v>
      </c>
      <c r="AP299" s="191">
        <f t="shared" si="385"/>
        <v>1182.6</v>
      </c>
      <c r="AQ299" s="191">
        <f t="shared" si="385"/>
        <v>1064.34</v>
      </c>
      <c r="AR299" s="191">
        <f t="shared" si="385"/>
        <v>1011.123</v>
      </c>
      <c r="AS299" s="191">
        <f t="shared" si="385"/>
        <v>960.56685</v>
      </c>
      <c r="AT299" s="191">
        <f t="shared" si="385"/>
        <v>912.5385075</v>
      </c>
    </row>
    <row r="300" s="3" customFormat="1" outlineLevel="1" spans="1:46">
      <c r="A300" s="29" t="s">
        <v>855</v>
      </c>
      <c r="B300" s="113">
        <v>3640</v>
      </c>
      <c r="C300" s="113">
        <v>3640</v>
      </c>
      <c r="D300" s="113">
        <v>3640</v>
      </c>
      <c r="E300" s="118">
        <v>3640</v>
      </c>
      <c r="F300" s="33">
        <f t="shared" ref="F300:Z300" si="392">+F96</f>
        <v>2628</v>
      </c>
      <c r="G300" s="33">
        <f t="shared" si="392"/>
        <v>2628</v>
      </c>
      <c r="H300" s="33">
        <f t="shared" si="392"/>
        <v>2628</v>
      </c>
      <c r="I300" s="57">
        <f t="shared" si="392"/>
        <v>2628</v>
      </c>
      <c r="J300" s="33">
        <f t="shared" si="392"/>
        <v>2444.04</v>
      </c>
      <c r="K300" s="33">
        <f t="shared" si="392"/>
        <v>2233.8</v>
      </c>
      <c r="L300" s="33">
        <f t="shared" si="392"/>
        <v>2233.8</v>
      </c>
      <c r="M300" s="57">
        <f t="shared" si="392"/>
        <v>2233.8</v>
      </c>
      <c r="N300" s="33">
        <f t="shared" si="392"/>
        <v>2166.786</v>
      </c>
      <c r="O300" s="33">
        <f t="shared" si="392"/>
        <v>1898.73</v>
      </c>
      <c r="P300" s="33">
        <f t="shared" si="392"/>
        <v>1898.73</v>
      </c>
      <c r="Q300" s="57">
        <f t="shared" si="392"/>
        <v>1898.73</v>
      </c>
      <c r="R300" s="33">
        <f t="shared" si="392"/>
        <v>1765.8189</v>
      </c>
      <c r="S300" s="33">
        <f t="shared" si="392"/>
        <v>1708.857</v>
      </c>
      <c r="T300" s="33">
        <f t="shared" si="392"/>
        <v>1708.857</v>
      </c>
      <c r="U300" s="57">
        <f t="shared" si="392"/>
        <v>1708.857</v>
      </c>
      <c r="V300" s="33">
        <f t="shared" si="392"/>
        <v>1657.59129</v>
      </c>
      <c r="W300" s="33">
        <f t="shared" si="392"/>
        <v>1623.41415</v>
      </c>
      <c r="X300" s="33">
        <f t="shared" si="392"/>
        <v>1623.41415</v>
      </c>
      <c r="Y300" s="57">
        <f t="shared" si="392"/>
        <v>1623.41415</v>
      </c>
      <c r="Z300" s="33">
        <f t="shared" si="392"/>
        <v>1542.2434425</v>
      </c>
      <c r="AA300" s="33">
        <f t="shared" ref="AA300:AC300" si="393">+AA96</f>
        <v>1542.2434425</v>
      </c>
      <c r="AB300" s="33">
        <f t="shared" si="393"/>
        <v>1542.2434425</v>
      </c>
      <c r="AC300" s="57">
        <f t="shared" si="393"/>
        <v>1542.2434425</v>
      </c>
      <c r="AD300" s="37"/>
      <c r="AE300" s="37"/>
      <c r="AF300" s="37"/>
      <c r="AG300" s="37"/>
      <c r="AH300" s="37"/>
      <c r="AI300" s="37"/>
      <c r="AJ300" s="37"/>
      <c r="AK300" s="37"/>
      <c r="AL300" s="37"/>
      <c r="AM300" s="113">
        <f>650*7</f>
        <v>4550</v>
      </c>
      <c r="AN300" s="113">
        <f>520*7</f>
        <v>3640</v>
      </c>
      <c r="AO300" s="191">
        <f t="shared" si="385"/>
        <v>2628</v>
      </c>
      <c r="AP300" s="191">
        <f t="shared" si="385"/>
        <v>2233.8</v>
      </c>
      <c r="AQ300" s="191">
        <f t="shared" si="385"/>
        <v>1898.73</v>
      </c>
      <c r="AR300" s="191">
        <f t="shared" si="385"/>
        <v>1708.857</v>
      </c>
      <c r="AS300" s="191">
        <f t="shared" si="385"/>
        <v>1623.41415</v>
      </c>
      <c r="AT300" s="191">
        <f t="shared" si="385"/>
        <v>1542.2434425</v>
      </c>
    </row>
    <row r="301" s="3" customFormat="1" outlineLevel="1" spans="1:46">
      <c r="A301" s="29" t="s">
        <v>856</v>
      </c>
      <c r="B301" s="113"/>
      <c r="C301" s="113"/>
      <c r="D301" s="113"/>
      <c r="E301" s="118"/>
      <c r="F301" s="33">
        <f t="shared" ref="F301:Z301" si="394">+F97</f>
        <v>5152.94117647059</v>
      </c>
      <c r="G301" s="33">
        <f t="shared" si="394"/>
        <v>5152.94117647059</v>
      </c>
      <c r="H301" s="33">
        <f t="shared" si="394"/>
        <v>5152.94117647059</v>
      </c>
      <c r="I301" s="57">
        <f t="shared" si="394"/>
        <v>5152.94117647059</v>
      </c>
      <c r="J301" s="33">
        <f t="shared" si="394"/>
        <v>4380</v>
      </c>
      <c r="K301" s="33">
        <f t="shared" si="394"/>
        <v>4380</v>
      </c>
      <c r="L301" s="33">
        <f t="shared" si="394"/>
        <v>4380</v>
      </c>
      <c r="M301" s="57">
        <f t="shared" si="394"/>
        <v>4380</v>
      </c>
      <c r="N301" s="33">
        <f t="shared" si="394"/>
        <v>4073.4</v>
      </c>
      <c r="O301" s="33">
        <f t="shared" si="394"/>
        <v>3723</v>
      </c>
      <c r="P301" s="33">
        <f t="shared" si="394"/>
        <v>3723</v>
      </c>
      <c r="Q301" s="57">
        <f t="shared" si="394"/>
        <v>3723</v>
      </c>
      <c r="R301" s="33">
        <f t="shared" si="394"/>
        <v>3462.39</v>
      </c>
      <c r="S301" s="33">
        <f t="shared" si="394"/>
        <v>3052.86</v>
      </c>
      <c r="T301" s="33">
        <f t="shared" si="394"/>
        <v>3052.86</v>
      </c>
      <c r="U301" s="57">
        <f t="shared" si="394"/>
        <v>3052.86</v>
      </c>
      <c r="V301" s="33">
        <f t="shared" si="394"/>
        <v>2839.1598</v>
      </c>
      <c r="W301" s="33">
        <f t="shared" si="394"/>
        <v>2747.574</v>
      </c>
      <c r="X301" s="33">
        <f t="shared" si="394"/>
        <v>2747.574</v>
      </c>
      <c r="Y301" s="57">
        <f t="shared" si="394"/>
        <v>2747.574</v>
      </c>
      <c r="Z301" s="33">
        <f t="shared" si="394"/>
        <v>2335.4379</v>
      </c>
      <c r="AA301" s="33">
        <f t="shared" ref="AA301:AC301" si="395">+AA97</f>
        <v>2335.4379</v>
      </c>
      <c r="AB301" s="33">
        <f t="shared" si="395"/>
        <v>2335.4379</v>
      </c>
      <c r="AC301" s="57">
        <f t="shared" si="395"/>
        <v>2335.4379</v>
      </c>
      <c r="AD301" s="37"/>
      <c r="AE301" s="37"/>
      <c r="AF301" s="37"/>
      <c r="AG301" s="37"/>
      <c r="AH301" s="37"/>
      <c r="AI301" s="37"/>
      <c r="AJ301" s="37"/>
      <c r="AK301" s="37"/>
      <c r="AL301" s="37"/>
      <c r="AM301" s="113"/>
      <c r="AN301" s="113"/>
      <c r="AO301" s="191">
        <f t="shared" si="385"/>
        <v>5152.94117647059</v>
      </c>
      <c r="AP301" s="191">
        <f t="shared" si="385"/>
        <v>4380</v>
      </c>
      <c r="AQ301" s="191">
        <f t="shared" si="385"/>
        <v>3723</v>
      </c>
      <c r="AR301" s="191">
        <f t="shared" si="385"/>
        <v>3052.86</v>
      </c>
      <c r="AS301" s="191">
        <f t="shared" si="385"/>
        <v>2747.574</v>
      </c>
      <c r="AT301" s="191">
        <f t="shared" si="385"/>
        <v>2335.4379</v>
      </c>
    </row>
    <row r="302" outlineLevel="1" spans="1:46">
      <c r="A302" s="18"/>
      <c r="B302" s="33"/>
      <c r="C302" s="33"/>
      <c r="D302" s="33"/>
      <c r="E302" s="57"/>
      <c r="F302" s="27"/>
      <c r="G302" s="27"/>
      <c r="H302" s="27"/>
      <c r="I302" s="52"/>
      <c r="J302" s="27"/>
      <c r="K302" s="27"/>
      <c r="L302" s="27"/>
      <c r="M302" s="52"/>
      <c r="N302" s="27"/>
      <c r="O302" s="27"/>
      <c r="P302" s="27"/>
      <c r="Q302" s="52"/>
      <c r="R302" s="27"/>
      <c r="S302" s="27"/>
      <c r="T302" s="27"/>
      <c r="U302" s="52"/>
      <c r="V302" s="27"/>
      <c r="W302" s="27"/>
      <c r="X302" s="27"/>
      <c r="Y302" s="52"/>
      <c r="Z302" s="27"/>
      <c r="AA302" s="27"/>
      <c r="AB302" s="27"/>
      <c r="AC302" s="52"/>
      <c r="AD302" s="37"/>
      <c r="AE302" s="37"/>
      <c r="AF302" s="37"/>
      <c r="AG302" s="37"/>
      <c r="AH302" s="37"/>
      <c r="AI302" s="37"/>
      <c r="AJ302" s="33"/>
      <c r="AK302" s="33"/>
      <c r="AL302" s="33"/>
      <c r="AM302" s="33"/>
      <c r="AN302" s="27"/>
      <c r="AO302" s="27"/>
      <c r="AP302" s="27"/>
      <c r="AQ302" s="27"/>
      <c r="AR302" s="27"/>
      <c r="AS302" s="27"/>
      <c r="AT302" s="27"/>
    </row>
    <row r="303" outlineLevel="1" spans="1:46">
      <c r="A303" s="22" t="s">
        <v>902</v>
      </c>
      <c r="B303" s="33"/>
      <c r="C303" s="33"/>
      <c r="D303" s="33"/>
      <c r="E303" s="57"/>
      <c r="F303" s="27"/>
      <c r="G303" s="27"/>
      <c r="H303" s="27"/>
      <c r="I303" s="52"/>
      <c r="J303" s="27"/>
      <c r="K303" s="27"/>
      <c r="L303" s="27"/>
      <c r="M303" s="52"/>
      <c r="N303" s="27"/>
      <c r="O303" s="27"/>
      <c r="P303" s="27"/>
      <c r="Q303" s="52"/>
      <c r="R303" s="27"/>
      <c r="S303" s="27"/>
      <c r="T303" s="27"/>
      <c r="U303" s="52"/>
      <c r="V303" s="27"/>
      <c r="W303" s="27"/>
      <c r="X303" s="27"/>
      <c r="Y303" s="52"/>
      <c r="Z303" s="27"/>
      <c r="AA303" s="27"/>
      <c r="AB303" s="27"/>
      <c r="AC303" s="52"/>
      <c r="AD303" s="37"/>
      <c r="AE303" s="37"/>
      <c r="AF303" s="37"/>
      <c r="AG303" s="37"/>
      <c r="AH303" s="37"/>
      <c r="AI303" s="37"/>
      <c r="AJ303" s="33"/>
      <c r="AK303" s="33"/>
      <c r="AL303" s="33"/>
      <c r="AM303" s="33"/>
      <c r="AN303" s="27"/>
      <c r="AO303" s="27"/>
      <c r="AP303" s="27"/>
      <c r="AQ303" s="27"/>
      <c r="AR303" s="27"/>
      <c r="AS303" s="27"/>
      <c r="AT303" s="27"/>
    </row>
    <row r="304" outlineLevel="1" spans="1:46">
      <c r="A304" s="29" t="s">
        <v>851</v>
      </c>
      <c r="B304" s="33"/>
      <c r="C304" s="27">
        <f t="shared" ref="C304:C308" si="396">+C296/B296-1</f>
        <v>0</v>
      </c>
      <c r="D304" s="27">
        <f t="shared" ref="D304:Y308" si="397">+D296/C296-1</f>
        <v>0</v>
      </c>
      <c r="E304" s="52">
        <f t="shared" si="397"/>
        <v>0</v>
      </c>
      <c r="F304" s="27">
        <f t="shared" si="397"/>
        <v>-0.05</v>
      </c>
      <c r="G304" s="27">
        <f t="shared" si="397"/>
        <v>0</v>
      </c>
      <c r="H304" s="27">
        <f t="shared" si="397"/>
        <v>0</v>
      </c>
      <c r="I304" s="52">
        <f t="shared" si="397"/>
        <v>0</v>
      </c>
      <c r="J304" s="27">
        <f t="shared" si="397"/>
        <v>-0.05</v>
      </c>
      <c r="K304" s="27">
        <f t="shared" si="397"/>
        <v>0</v>
      </c>
      <c r="L304" s="27">
        <f t="shared" si="397"/>
        <v>0</v>
      </c>
      <c r="M304" s="52">
        <f t="shared" si="397"/>
        <v>0</v>
      </c>
      <c r="N304" s="27">
        <f t="shared" si="397"/>
        <v>-0.0499999999999999</v>
      </c>
      <c r="O304" s="27">
        <f t="shared" si="397"/>
        <v>0</v>
      </c>
      <c r="P304" s="27">
        <f t="shared" si="397"/>
        <v>0</v>
      </c>
      <c r="Q304" s="52">
        <f t="shared" si="397"/>
        <v>0</v>
      </c>
      <c r="R304" s="27">
        <f t="shared" si="397"/>
        <v>-0.0499999999999999</v>
      </c>
      <c r="S304" s="27">
        <f t="shared" si="397"/>
        <v>0</v>
      </c>
      <c r="T304" s="27">
        <f t="shared" si="397"/>
        <v>0</v>
      </c>
      <c r="U304" s="52">
        <f t="shared" si="397"/>
        <v>0</v>
      </c>
      <c r="V304" s="27">
        <f t="shared" si="397"/>
        <v>-0.0499999999999999</v>
      </c>
      <c r="W304" s="27">
        <f t="shared" si="397"/>
        <v>0</v>
      </c>
      <c r="X304" s="27">
        <f t="shared" si="397"/>
        <v>0</v>
      </c>
      <c r="Y304" s="52">
        <f t="shared" si="397"/>
        <v>0</v>
      </c>
      <c r="Z304" s="27">
        <f t="shared" ref="Z304:Z308" si="398">+Z296/Y296-1</f>
        <v>-0.05</v>
      </c>
      <c r="AA304" s="27">
        <f t="shared" ref="AA304:AA308" si="399">+AA296/Z296-1</f>
        <v>0</v>
      </c>
      <c r="AB304" s="27">
        <f t="shared" ref="AB304:AB308" si="400">+AB296/AA296-1</f>
        <v>0</v>
      </c>
      <c r="AC304" s="52">
        <f t="shared" ref="AC304:AC308" si="401">+AC296/AB296-1</f>
        <v>0</v>
      </c>
      <c r="AD304" s="37"/>
      <c r="AE304" s="37"/>
      <c r="AF304" s="37"/>
      <c r="AG304" s="37"/>
      <c r="AH304" s="37"/>
      <c r="AI304" s="37"/>
      <c r="AJ304" s="33"/>
      <c r="AK304" s="33"/>
      <c r="AL304" s="33"/>
      <c r="AM304" s="33"/>
      <c r="AN304" s="27">
        <f t="shared" ref="AN304:AT308" si="402">+AN296/AM296-1</f>
        <v>-0.00144300144300147</v>
      </c>
      <c r="AO304" s="27">
        <f t="shared" si="402"/>
        <v>-0.05</v>
      </c>
      <c r="AP304" s="27">
        <f t="shared" si="402"/>
        <v>-0.05</v>
      </c>
      <c r="AQ304" s="27">
        <f t="shared" si="402"/>
        <v>-0.0499999999999999</v>
      </c>
      <c r="AR304" s="27">
        <f t="shared" si="402"/>
        <v>-0.0499999999999999</v>
      </c>
      <c r="AS304" s="27">
        <f>+AS296/AR296-1</f>
        <v>-0.0499999999999999</v>
      </c>
      <c r="AT304" s="27">
        <f>+AT296/AS296-1</f>
        <v>-0.05</v>
      </c>
    </row>
    <row r="305" outlineLevel="1" spans="1:46">
      <c r="A305" s="29" t="s">
        <v>852</v>
      </c>
      <c r="B305" s="33"/>
      <c r="C305" s="27">
        <f t="shared" si="396"/>
        <v>0</v>
      </c>
      <c r="D305" s="27">
        <f t="shared" si="397"/>
        <v>0</v>
      </c>
      <c r="E305" s="52">
        <f t="shared" si="397"/>
        <v>0</v>
      </c>
      <c r="F305" s="27">
        <f t="shared" si="397"/>
        <v>-0.05</v>
      </c>
      <c r="G305" s="27">
        <f t="shared" si="397"/>
        <v>0</v>
      </c>
      <c r="H305" s="27">
        <f t="shared" si="397"/>
        <v>0</v>
      </c>
      <c r="I305" s="52">
        <f t="shared" si="397"/>
        <v>0</v>
      </c>
      <c r="J305" s="27">
        <f t="shared" si="397"/>
        <v>-0.05</v>
      </c>
      <c r="K305" s="27">
        <f t="shared" si="397"/>
        <v>0</v>
      </c>
      <c r="L305" s="27">
        <f t="shared" si="397"/>
        <v>0</v>
      </c>
      <c r="M305" s="52">
        <f t="shared" si="397"/>
        <v>0</v>
      </c>
      <c r="N305" s="27">
        <f t="shared" si="397"/>
        <v>-0.05</v>
      </c>
      <c r="O305" s="27">
        <f t="shared" si="397"/>
        <v>0</v>
      </c>
      <c r="P305" s="27">
        <f t="shared" si="397"/>
        <v>0</v>
      </c>
      <c r="Q305" s="52">
        <f t="shared" si="397"/>
        <v>0</v>
      </c>
      <c r="R305" s="27">
        <f t="shared" si="397"/>
        <v>-0.05</v>
      </c>
      <c r="S305" s="27">
        <f t="shared" si="397"/>
        <v>0</v>
      </c>
      <c r="T305" s="27">
        <f t="shared" si="397"/>
        <v>0</v>
      </c>
      <c r="U305" s="52">
        <f t="shared" si="397"/>
        <v>0</v>
      </c>
      <c r="V305" s="27">
        <f t="shared" si="397"/>
        <v>-0.05</v>
      </c>
      <c r="W305" s="27">
        <f t="shared" si="397"/>
        <v>0</v>
      </c>
      <c r="X305" s="27">
        <f t="shared" si="397"/>
        <v>0</v>
      </c>
      <c r="Y305" s="52">
        <f t="shared" si="397"/>
        <v>0</v>
      </c>
      <c r="Z305" s="27">
        <f t="shared" si="398"/>
        <v>-0.05</v>
      </c>
      <c r="AA305" s="27">
        <f t="shared" si="399"/>
        <v>0</v>
      </c>
      <c r="AB305" s="27">
        <f t="shared" si="400"/>
        <v>0</v>
      </c>
      <c r="AC305" s="52">
        <f t="shared" si="401"/>
        <v>0</v>
      </c>
      <c r="AD305" s="37"/>
      <c r="AE305" s="37"/>
      <c r="AF305" s="37"/>
      <c r="AG305" s="37"/>
      <c r="AH305" s="37"/>
      <c r="AI305" s="37"/>
      <c r="AJ305" s="33"/>
      <c r="AK305" s="33"/>
      <c r="AL305" s="33"/>
      <c r="AM305" s="33"/>
      <c r="AN305" s="27">
        <f t="shared" si="402"/>
        <v>-0.0123456790123457</v>
      </c>
      <c r="AO305" s="27">
        <f t="shared" si="402"/>
        <v>-0.05</v>
      </c>
      <c r="AP305" s="27">
        <f t="shared" si="402"/>
        <v>-0.05</v>
      </c>
      <c r="AQ305" s="27">
        <f t="shared" si="402"/>
        <v>-0.05</v>
      </c>
      <c r="AR305" s="27">
        <f t="shared" si="402"/>
        <v>-0.05</v>
      </c>
      <c r="AS305" s="27">
        <f t="shared" si="402"/>
        <v>-0.05</v>
      </c>
      <c r="AT305" s="27">
        <f t="shared" si="402"/>
        <v>-0.05</v>
      </c>
    </row>
    <row r="306" outlineLevel="1" spans="1:46">
      <c r="A306" s="29" t="s">
        <v>853</v>
      </c>
      <c r="B306" s="33"/>
      <c r="C306" s="27">
        <f t="shared" si="396"/>
        <v>0</v>
      </c>
      <c r="D306" s="27">
        <f t="shared" si="397"/>
        <v>0</v>
      </c>
      <c r="E306" s="52">
        <f t="shared" si="397"/>
        <v>0</v>
      </c>
      <c r="F306" s="27">
        <f t="shared" si="397"/>
        <v>-0.416666666666667</v>
      </c>
      <c r="G306" s="27">
        <f t="shared" si="397"/>
        <v>0</v>
      </c>
      <c r="H306" s="27">
        <f t="shared" si="397"/>
        <v>0</v>
      </c>
      <c r="I306" s="52">
        <f t="shared" si="397"/>
        <v>0</v>
      </c>
      <c r="J306" s="27">
        <f t="shared" si="397"/>
        <v>-0.05</v>
      </c>
      <c r="K306" s="27">
        <f t="shared" si="397"/>
        <v>0</v>
      </c>
      <c r="L306" s="27">
        <f t="shared" si="397"/>
        <v>0</v>
      </c>
      <c r="M306" s="52">
        <f t="shared" si="397"/>
        <v>0</v>
      </c>
      <c r="N306" s="27">
        <f t="shared" si="397"/>
        <v>-0.05</v>
      </c>
      <c r="O306" s="27">
        <f t="shared" si="397"/>
        <v>0</v>
      </c>
      <c r="P306" s="27">
        <f t="shared" si="397"/>
        <v>0</v>
      </c>
      <c r="Q306" s="52">
        <f t="shared" si="397"/>
        <v>0</v>
      </c>
      <c r="R306" s="27">
        <f t="shared" si="397"/>
        <v>-0.05</v>
      </c>
      <c r="S306" s="27">
        <f t="shared" si="397"/>
        <v>0</v>
      </c>
      <c r="T306" s="27">
        <f t="shared" si="397"/>
        <v>0</v>
      </c>
      <c r="U306" s="52">
        <f t="shared" si="397"/>
        <v>0</v>
      </c>
      <c r="V306" s="27">
        <f t="shared" si="397"/>
        <v>-0.05</v>
      </c>
      <c r="W306" s="27">
        <f t="shared" si="397"/>
        <v>0</v>
      </c>
      <c r="X306" s="27">
        <f t="shared" si="397"/>
        <v>0</v>
      </c>
      <c r="Y306" s="52">
        <f t="shared" si="397"/>
        <v>0</v>
      </c>
      <c r="Z306" s="27">
        <f t="shared" si="398"/>
        <v>-0.05</v>
      </c>
      <c r="AA306" s="27">
        <f t="shared" si="399"/>
        <v>0</v>
      </c>
      <c r="AB306" s="27">
        <f t="shared" si="400"/>
        <v>0</v>
      </c>
      <c r="AC306" s="52">
        <f t="shared" si="401"/>
        <v>0</v>
      </c>
      <c r="AD306" s="37"/>
      <c r="AE306" s="37"/>
      <c r="AF306" s="37"/>
      <c r="AG306" s="37"/>
      <c r="AH306" s="37"/>
      <c r="AI306" s="37"/>
      <c r="AJ306" s="33"/>
      <c r="AK306" s="33"/>
      <c r="AL306" s="33"/>
      <c r="AM306" s="33"/>
      <c r="AN306" s="27">
        <f t="shared" si="402"/>
        <v>-0.1</v>
      </c>
      <c r="AO306" s="27">
        <f t="shared" si="402"/>
        <v>-0.416666666666667</v>
      </c>
      <c r="AP306" s="27">
        <f t="shared" si="402"/>
        <v>-0.05</v>
      </c>
      <c r="AQ306" s="27">
        <f t="shared" si="402"/>
        <v>-0.05</v>
      </c>
      <c r="AR306" s="27">
        <f t="shared" si="402"/>
        <v>-0.05</v>
      </c>
      <c r="AS306" s="27">
        <f t="shared" si="402"/>
        <v>-0.05</v>
      </c>
      <c r="AT306" s="27">
        <f t="shared" si="402"/>
        <v>-0.05</v>
      </c>
    </row>
    <row r="307" outlineLevel="1" spans="1:46">
      <c r="A307" s="29" t="s">
        <v>854</v>
      </c>
      <c r="B307" s="33"/>
      <c r="C307" s="27">
        <f t="shared" si="396"/>
        <v>0</v>
      </c>
      <c r="D307" s="27">
        <f t="shared" si="397"/>
        <v>0</v>
      </c>
      <c r="E307" s="52">
        <f t="shared" si="397"/>
        <v>0</v>
      </c>
      <c r="F307" s="27">
        <f t="shared" si="397"/>
        <v>-0.146753246753247</v>
      </c>
      <c r="G307" s="27">
        <f t="shared" si="397"/>
        <v>0</v>
      </c>
      <c r="H307" s="27">
        <f t="shared" si="397"/>
        <v>0</v>
      </c>
      <c r="I307" s="52">
        <f t="shared" si="397"/>
        <v>0</v>
      </c>
      <c r="J307" s="27">
        <f t="shared" si="397"/>
        <v>-0.1</v>
      </c>
      <c r="K307" s="27">
        <f t="shared" si="397"/>
        <v>0</v>
      </c>
      <c r="L307" s="27">
        <f t="shared" si="397"/>
        <v>0</v>
      </c>
      <c r="M307" s="52">
        <f t="shared" si="397"/>
        <v>0</v>
      </c>
      <c r="N307" s="27">
        <f t="shared" si="397"/>
        <v>-0.0999999999999998</v>
      </c>
      <c r="O307" s="27">
        <f t="shared" si="397"/>
        <v>0</v>
      </c>
      <c r="P307" s="27">
        <f t="shared" si="397"/>
        <v>0</v>
      </c>
      <c r="Q307" s="52">
        <f t="shared" si="397"/>
        <v>0</v>
      </c>
      <c r="R307" s="27">
        <f t="shared" si="397"/>
        <v>-0.0499999999999999</v>
      </c>
      <c r="S307" s="27">
        <f t="shared" si="397"/>
        <v>0</v>
      </c>
      <c r="T307" s="27">
        <f t="shared" si="397"/>
        <v>0</v>
      </c>
      <c r="U307" s="52">
        <f t="shared" si="397"/>
        <v>0</v>
      </c>
      <c r="V307" s="27">
        <f t="shared" si="397"/>
        <v>-0.0500000000000002</v>
      </c>
      <c r="W307" s="27">
        <f t="shared" si="397"/>
        <v>0</v>
      </c>
      <c r="X307" s="27">
        <f t="shared" si="397"/>
        <v>0</v>
      </c>
      <c r="Y307" s="52">
        <f t="shared" si="397"/>
        <v>0</v>
      </c>
      <c r="Z307" s="27">
        <f t="shared" si="398"/>
        <v>-0.05</v>
      </c>
      <c r="AA307" s="27">
        <f t="shared" si="399"/>
        <v>0</v>
      </c>
      <c r="AB307" s="27">
        <f t="shared" si="400"/>
        <v>0</v>
      </c>
      <c r="AC307" s="52">
        <f t="shared" si="401"/>
        <v>0</v>
      </c>
      <c r="AD307" s="37"/>
      <c r="AE307" s="37"/>
      <c r="AF307" s="37"/>
      <c r="AG307" s="37"/>
      <c r="AH307" s="37"/>
      <c r="AI307" s="37"/>
      <c r="AJ307" s="33"/>
      <c r="AK307" s="33"/>
      <c r="AL307" s="33"/>
      <c r="AM307" s="33"/>
      <c r="AN307" s="27">
        <f t="shared" si="402"/>
        <v>-0.12</v>
      </c>
      <c r="AO307" s="27">
        <f t="shared" si="402"/>
        <v>-0.146753246753247</v>
      </c>
      <c r="AP307" s="27">
        <f t="shared" si="402"/>
        <v>-0.1</v>
      </c>
      <c r="AQ307" s="27">
        <f t="shared" si="402"/>
        <v>-0.0999999999999998</v>
      </c>
      <c r="AR307" s="27">
        <f t="shared" si="402"/>
        <v>-0.0499999999999999</v>
      </c>
      <c r="AS307" s="27">
        <f t="shared" si="402"/>
        <v>-0.0500000000000002</v>
      </c>
      <c r="AT307" s="27">
        <f t="shared" si="402"/>
        <v>-0.05</v>
      </c>
    </row>
    <row r="308" s="3" customFormat="1" outlineLevel="1" spans="1:46">
      <c r="A308" s="29" t="s">
        <v>855</v>
      </c>
      <c r="B308" s="33"/>
      <c r="C308" s="27">
        <f t="shared" si="396"/>
        <v>0</v>
      </c>
      <c r="D308" s="27">
        <f t="shared" si="397"/>
        <v>0</v>
      </c>
      <c r="E308" s="52">
        <f t="shared" si="397"/>
        <v>0</v>
      </c>
      <c r="F308" s="27">
        <f t="shared" si="397"/>
        <v>-0.278021978021978</v>
      </c>
      <c r="G308" s="27">
        <f t="shared" si="397"/>
        <v>0</v>
      </c>
      <c r="H308" s="27">
        <f t="shared" si="397"/>
        <v>0</v>
      </c>
      <c r="I308" s="52">
        <f t="shared" si="397"/>
        <v>0</v>
      </c>
      <c r="J308" s="27">
        <f t="shared" si="397"/>
        <v>-0.0700000000000001</v>
      </c>
      <c r="K308" s="27">
        <f t="shared" si="397"/>
        <v>-0.0860215053763442</v>
      </c>
      <c r="L308" s="27">
        <f t="shared" si="397"/>
        <v>0</v>
      </c>
      <c r="M308" s="52">
        <f t="shared" si="397"/>
        <v>0</v>
      </c>
      <c r="N308" s="27">
        <f t="shared" si="397"/>
        <v>-0.03</v>
      </c>
      <c r="O308" s="27">
        <f t="shared" si="397"/>
        <v>-0.123711340206185</v>
      </c>
      <c r="P308" s="27">
        <f t="shared" si="397"/>
        <v>0</v>
      </c>
      <c r="Q308" s="52">
        <f t="shared" si="397"/>
        <v>0</v>
      </c>
      <c r="R308" s="27">
        <f t="shared" si="397"/>
        <v>-0.07</v>
      </c>
      <c r="S308" s="27">
        <f t="shared" si="397"/>
        <v>-0.032258064516129</v>
      </c>
      <c r="T308" s="27">
        <f t="shared" si="397"/>
        <v>0</v>
      </c>
      <c r="U308" s="52">
        <f t="shared" si="397"/>
        <v>0</v>
      </c>
      <c r="V308" s="27">
        <f t="shared" si="397"/>
        <v>-0.03</v>
      </c>
      <c r="W308" s="27">
        <f t="shared" si="397"/>
        <v>-0.0206185567010307</v>
      </c>
      <c r="X308" s="27">
        <f t="shared" si="397"/>
        <v>0</v>
      </c>
      <c r="Y308" s="52">
        <f t="shared" si="397"/>
        <v>0</v>
      </c>
      <c r="Z308" s="27">
        <f t="shared" si="398"/>
        <v>-0.05</v>
      </c>
      <c r="AA308" s="27">
        <f t="shared" si="399"/>
        <v>0</v>
      </c>
      <c r="AB308" s="27">
        <f t="shared" si="400"/>
        <v>0</v>
      </c>
      <c r="AC308" s="52">
        <f t="shared" si="401"/>
        <v>0</v>
      </c>
      <c r="AD308" s="37"/>
      <c r="AE308" s="37"/>
      <c r="AF308" s="37"/>
      <c r="AG308" s="37"/>
      <c r="AH308" s="37"/>
      <c r="AI308" s="37"/>
      <c r="AJ308" s="37"/>
      <c r="AK308" s="37"/>
      <c r="AL308" s="157"/>
      <c r="AM308" s="157"/>
      <c r="AN308" s="27">
        <f t="shared" si="402"/>
        <v>-0.2</v>
      </c>
      <c r="AO308" s="27">
        <f t="shared" si="402"/>
        <v>-0.278021978021978</v>
      </c>
      <c r="AP308" s="27">
        <f t="shared" si="402"/>
        <v>-0.15</v>
      </c>
      <c r="AQ308" s="27">
        <f t="shared" si="402"/>
        <v>-0.15</v>
      </c>
      <c r="AR308" s="27">
        <f t="shared" si="402"/>
        <v>-0.0999999999999999</v>
      </c>
      <c r="AS308" s="27">
        <f t="shared" si="402"/>
        <v>-0.0499999999999999</v>
      </c>
      <c r="AT308" s="27">
        <f>+AT300/AS300-1</f>
        <v>-0.05</v>
      </c>
    </row>
    <row r="309" outlineLevel="1" spans="1:46">
      <c r="A309" s="29" t="s">
        <v>856</v>
      </c>
      <c r="B309" s="33"/>
      <c r="C309" s="33"/>
      <c r="D309" s="33"/>
      <c r="E309" s="57"/>
      <c r="F309" s="33"/>
      <c r="G309" s="33"/>
      <c r="H309" s="33"/>
      <c r="I309" s="57"/>
      <c r="J309" s="33"/>
      <c r="K309" s="33"/>
      <c r="L309" s="33"/>
      <c r="M309" s="57"/>
      <c r="N309" s="33"/>
      <c r="O309" s="33"/>
      <c r="P309" s="33"/>
      <c r="Q309" s="57"/>
      <c r="R309" s="33"/>
      <c r="S309" s="33"/>
      <c r="T309" s="33"/>
      <c r="U309" s="57"/>
      <c r="V309" s="33"/>
      <c r="W309" s="33"/>
      <c r="X309" s="33"/>
      <c r="Y309" s="57"/>
      <c r="Z309" s="33"/>
      <c r="AA309" s="33"/>
      <c r="AB309" s="33"/>
      <c r="AC309" s="57"/>
      <c r="AD309" s="37"/>
      <c r="AE309" s="37"/>
      <c r="AF309" s="37"/>
      <c r="AG309" s="37"/>
      <c r="AH309" s="37"/>
      <c r="AI309" s="37"/>
      <c r="AJ309" s="33"/>
      <c r="AK309" s="33"/>
      <c r="AL309" s="33"/>
      <c r="AM309" s="33"/>
      <c r="AN309" s="33"/>
      <c r="AO309" s="33"/>
      <c r="AP309" s="33"/>
      <c r="AQ309" s="33"/>
      <c r="AR309" s="33"/>
      <c r="AS309" s="33"/>
      <c r="AT309" s="33"/>
    </row>
    <row r="310" outlineLevel="1" spans="1:46">
      <c r="A310" s="183"/>
      <c r="B310" s="33"/>
      <c r="C310" s="33"/>
      <c r="D310" s="33"/>
      <c r="E310" s="57"/>
      <c r="F310" s="33"/>
      <c r="G310" s="33"/>
      <c r="H310" s="33"/>
      <c r="I310" s="57"/>
      <c r="J310" s="33"/>
      <c r="K310" s="33"/>
      <c r="L310" s="33"/>
      <c r="M310" s="57"/>
      <c r="N310" s="33"/>
      <c r="O310" s="33"/>
      <c r="P310" s="33"/>
      <c r="Q310" s="57"/>
      <c r="R310" s="33"/>
      <c r="S310" s="33"/>
      <c r="T310" s="33"/>
      <c r="U310" s="57"/>
      <c r="V310" s="33"/>
      <c r="W310" s="33"/>
      <c r="X310" s="33"/>
      <c r="Y310" s="57"/>
      <c r="Z310" s="33"/>
      <c r="AA310" s="33"/>
      <c r="AB310" s="33"/>
      <c r="AC310" s="57"/>
      <c r="AD310" s="37"/>
      <c r="AE310" s="37"/>
      <c r="AF310" s="37"/>
      <c r="AG310" s="37"/>
      <c r="AH310" s="37"/>
      <c r="AI310" s="37"/>
      <c r="AJ310" s="33"/>
      <c r="AK310" s="33"/>
      <c r="AL310" s="33"/>
      <c r="AM310" s="33"/>
      <c r="AN310" s="33"/>
      <c r="AO310" s="33"/>
      <c r="AP310" s="33"/>
      <c r="AQ310" s="33"/>
      <c r="AR310" s="33"/>
      <c r="AS310" s="33"/>
      <c r="AT310" s="33"/>
    </row>
    <row r="311" spans="1:46">
      <c r="A311" s="22" t="s">
        <v>886</v>
      </c>
      <c r="B311" s="27"/>
      <c r="C311" s="27"/>
      <c r="D311" s="27"/>
      <c r="E311" s="52"/>
      <c r="F311" s="27"/>
      <c r="G311" s="27"/>
      <c r="H311" s="27"/>
      <c r="I311" s="52"/>
      <c r="J311" s="27"/>
      <c r="K311" s="27"/>
      <c r="L311" s="27"/>
      <c r="M311" s="52"/>
      <c r="N311" s="27"/>
      <c r="O311" s="27"/>
      <c r="P311" s="27"/>
      <c r="Q311" s="52"/>
      <c r="R311" s="27"/>
      <c r="S311" s="27"/>
      <c r="T311" s="27"/>
      <c r="U311" s="52"/>
      <c r="V311" s="27"/>
      <c r="W311" s="27"/>
      <c r="X311" s="27"/>
      <c r="Y311" s="52"/>
      <c r="Z311" s="27"/>
      <c r="AA311" s="27"/>
      <c r="AB311" s="27"/>
      <c r="AC311" s="52"/>
      <c r="AD311" s="37"/>
      <c r="AE311" s="37"/>
      <c r="AF311" s="37"/>
      <c r="AG311" s="37"/>
      <c r="AH311" s="37"/>
      <c r="AI311" s="37"/>
      <c r="AJ311" s="33"/>
      <c r="AK311" s="33"/>
      <c r="AL311" s="33"/>
      <c r="AM311" s="33"/>
      <c r="AN311" s="33"/>
      <c r="AO311" s="33"/>
      <c r="AP311" s="33"/>
      <c r="AQ311" s="33"/>
      <c r="AR311" s="33"/>
      <c r="AS311" s="33"/>
      <c r="AT311" s="33"/>
    </row>
    <row r="312" spans="1:46">
      <c r="A312" s="29" t="s">
        <v>851</v>
      </c>
      <c r="B312" s="159">
        <f t="shared" ref="B312:Y317" si="403">+B169</f>
        <v>242.2</v>
      </c>
      <c r="C312" s="159">
        <f t="shared" si="403"/>
        <v>238.74</v>
      </c>
      <c r="D312" s="159">
        <f t="shared" si="403"/>
        <v>235.28</v>
      </c>
      <c r="E312" s="165">
        <f t="shared" si="403"/>
        <v>224.9</v>
      </c>
      <c r="F312" s="159">
        <f t="shared" si="403"/>
        <v>230.09</v>
      </c>
      <c r="G312" s="159">
        <f t="shared" si="403"/>
        <v>295.83</v>
      </c>
      <c r="H312" s="159">
        <f t="shared" si="403"/>
        <v>282.682</v>
      </c>
      <c r="I312" s="165">
        <f t="shared" si="403"/>
        <v>266.247</v>
      </c>
      <c r="J312" s="159">
        <f t="shared" si="403"/>
        <v>249.812</v>
      </c>
      <c r="K312" s="159">
        <f t="shared" si="403"/>
        <v>249.812</v>
      </c>
      <c r="L312" s="159">
        <f t="shared" si="403"/>
        <v>249.812</v>
      </c>
      <c r="M312" s="165">
        <f t="shared" si="403"/>
        <v>249.812</v>
      </c>
      <c r="N312" s="159">
        <f t="shared" si="403"/>
        <v>243.254435</v>
      </c>
      <c r="O312" s="159">
        <f t="shared" si="403"/>
        <v>243.254435</v>
      </c>
      <c r="P312" s="159">
        <f t="shared" si="403"/>
        <v>243.254435</v>
      </c>
      <c r="Q312" s="165">
        <f t="shared" si="403"/>
        <v>243.254435</v>
      </c>
      <c r="R312" s="159">
        <f t="shared" si="403"/>
        <v>233.909904875</v>
      </c>
      <c r="S312" s="159">
        <f t="shared" si="403"/>
        <v>233.909904875</v>
      </c>
      <c r="T312" s="159">
        <f t="shared" si="403"/>
        <v>233.909904875</v>
      </c>
      <c r="U312" s="165">
        <f t="shared" si="403"/>
        <v>233.909904875</v>
      </c>
      <c r="V312" s="159">
        <f t="shared" si="403"/>
        <v>224.891691675</v>
      </c>
      <c r="W312" s="159">
        <f t="shared" si="403"/>
        <v>224.891691675</v>
      </c>
      <c r="X312" s="159">
        <f t="shared" si="403"/>
        <v>224.891691675</v>
      </c>
      <c r="Y312" s="165">
        <f t="shared" si="403"/>
        <v>224.891691675</v>
      </c>
      <c r="Z312" s="159">
        <f>+Z169</f>
        <v>216.22116862247</v>
      </c>
      <c r="AA312" s="159">
        <f t="shared" ref="AA312:AC312" si="404">+AA169</f>
        <v>216.22116862247</v>
      </c>
      <c r="AB312" s="159">
        <f t="shared" si="404"/>
        <v>216.22116862247</v>
      </c>
      <c r="AC312" s="165">
        <f t="shared" si="404"/>
        <v>216.22116862247</v>
      </c>
      <c r="AD312" s="37"/>
      <c r="AE312" s="37"/>
      <c r="AF312" s="37"/>
      <c r="AG312" s="37"/>
      <c r="AH312" s="37"/>
      <c r="AI312" s="37"/>
      <c r="AJ312" s="33"/>
      <c r="AK312" s="33"/>
      <c r="AL312" s="33"/>
      <c r="AM312" s="33"/>
      <c r="AN312" s="33"/>
      <c r="AO312" s="33"/>
      <c r="AP312" s="33"/>
      <c r="AQ312" s="33"/>
      <c r="AR312" s="33"/>
      <c r="AS312" s="33"/>
      <c r="AT312" s="33"/>
    </row>
    <row r="313" spans="1:46">
      <c r="A313" s="29" t="s">
        <v>852</v>
      </c>
      <c r="B313" s="159">
        <f t="shared" si="403"/>
        <v>369.6</v>
      </c>
      <c r="C313" s="159">
        <f t="shared" si="403"/>
        <v>364</v>
      </c>
      <c r="D313" s="159">
        <f t="shared" si="403"/>
        <v>347.2</v>
      </c>
      <c r="E313" s="165">
        <f t="shared" si="403"/>
        <v>347.2</v>
      </c>
      <c r="F313" s="159">
        <f t="shared" si="403"/>
        <v>345.8</v>
      </c>
      <c r="G313" s="159">
        <f t="shared" si="403"/>
        <v>388.36</v>
      </c>
      <c r="H313" s="159">
        <f t="shared" si="403"/>
        <v>394.212</v>
      </c>
      <c r="I313" s="165">
        <f t="shared" si="403"/>
        <v>393.68</v>
      </c>
      <c r="J313" s="159">
        <f t="shared" si="403"/>
        <v>373.996</v>
      </c>
      <c r="K313" s="159">
        <f t="shared" si="403"/>
        <v>368.942</v>
      </c>
      <c r="L313" s="159">
        <f t="shared" si="403"/>
        <v>368.942</v>
      </c>
      <c r="M313" s="165">
        <f t="shared" si="403"/>
        <v>368.942</v>
      </c>
      <c r="N313" s="159">
        <f t="shared" si="403"/>
        <v>369.7001</v>
      </c>
      <c r="O313" s="159">
        <f t="shared" si="403"/>
        <v>369.7001</v>
      </c>
      <c r="P313" s="159">
        <f t="shared" si="403"/>
        <v>369.7001</v>
      </c>
      <c r="Q313" s="165">
        <f t="shared" si="403"/>
        <v>369.7001</v>
      </c>
      <c r="R313" s="159">
        <f t="shared" si="403"/>
        <v>360.337565</v>
      </c>
      <c r="S313" s="159">
        <f t="shared" si="403"/>
        <v>360.337565</v>
      </c>
      <c r="T313" s="159">
        <f t="shared" si="403"/>
        <v>360.337565</v>
      </c>
      <c r="U313" s="165">
        <f t="shared" si="403"/>
        <v>360.337565</v>
      </c>
      <c r="V313" s="159">
        <f t="shared" si="403"/>
        <v>350.98703325</v>
      </c>
      <c r="W313" s="159">
        <f t="shared" si="403"/>
        <v>350.98703325</v>
      </c>
      <c r="X313" s="159">
        <f t="shared" si="403"/>
        <v>350.98703325</v>
      </c>
      <c r="Y313" s="165">
        <f t="shared" si="403"/>
        <v>350.98703325</v>
      </c>
      <c r="Z313" s="159">
        <f>+Z170</f>
        <v>341.879141880854</v>
      </c>
      <c r="AA313" s="159">
        <f t="shared" ref="AA313:AC313" si="405">+AA170</f>
        <v>341.879141880854</v>
      </c>
      <c r="AB313" s="159">
        <f t="shared" si="405"/>
        <v>341.879141880854</v>
      </c>
      <c r="AC313" s="165">
        <f t="shared" si="405"/>
        <v>341.879141880854</v>
      </c>
      <c r="AD313" s="37"/>
      <c r="AE313" s="37"/>
      <c r="AF313" s="37"/>
      <c r="AG313" s="37"/>
      <c r="AH313" s="37"/>
      <c r="AI313" s="37"/>
      <c r="AJ313" s="33"/>
      <c r="AK313" s="33"/>
      <c r="AL313" s="33"/>
      <c r="AM313" s="33"/>
      <c r="AN313" s="33"/>
      <c r="AO313" s="33"/>
      <c r="AP313" s="33"/>
      <c r="AQ313" s="33"/>
      <c r="AR313" s="33"/>
      <c r="AS313" s="33"/>
      <c r="AT313" s="33"/>
    </row>
    <row r="314" spans="1:46">
      <c r="A314" s="29" t="s">
        <v>853</v>
      </c>
      <c r="B314" s="159">
        <f t="shared" si="403"/>
        <v>537.6</v>
      </c>
      <c r="C314" s="159">
        <f t="shared" si="403"/>
        <v>520.8</v>
      </c>
      <c r="D314" s="159">
        <f t="shared" si="403"/>
        <v>504</v>
      </c>
      <c r="E314" s="165">
        <f t="shared" si="403"/>
        <v>504</v>
      </c>
      <c r="F314" s="159">
        <f t="shared" si="403"/>
        <v>308.7</v>
      </c>
      <c r="G314" s="159">
        <f t="shared" si="403"/>
        <v>328.3</v>
      </c>
      <c r="H314" s="159">
        <f t="shared" si="403"/>
        <v>343</v>
      </c>
      <c r="I314" s="165">
        <f t="shared" si="403"/>
        <v>343</v>
      </c>
      <c r="J314" s="159">
        <f t="shared" si="403"/>
        <v>325.85</v>
      </c>
      <c r="K314" s="159">
        <f t="shared" si="403"/>
        <v>325.85</v>
      </c>
      <c r="L314" s="159">
        <f t="shared" si="403"/>
        <v>325.85</v>
      </c>
      <c r="M314" s="165">
        <f t="shared" si="403"/>
        <v>325.85</v>
      </c>
      <c r="N314" s="159">
        <f t="shared" si="403"/>
        <v>325.85</v>
      </c>
      <c r="O314" s="159">
        <f t="shared" si="403"/>
        <v>325.85</v>
      </c>
      <c r="P314" s="159">
        <f t="shared" si="403"/>
        <v>325.85</v>
      </c>
      <c r="Q314" s="165">
        <f t="shared" si="403"/>
        <v>325.85</v>
      </c>
      <c r="R314" s="159">
        <f t="shared" si="403"/>
        <v>318.156319444444</v>
      </c>
      <c r="S314" s="159">
        <f t="shared" si="403"/>
        <v>318.156319444444</v>
      </c>
      <c r="T314" s="159">
        <f t="shared" si="403"/>
        <v>318.156319444444</v>
      </c>
      <c r="U314" s="165">
        <f t="shared" si="403"/>
        <v>318.156319444444</v>
      </c>
      <c r="V314" s="159">
        <f t="shared" si="403"/>
        <v>310.417381944444</v>
      </c>
      <c r="W314" s="159">
        <f t="shared" si="403"/>
        <v>310.417381944444</v>
      </c>
      <c r="X314" s="159">
        <f t="shared" si="403"/>
        <v>310.417381944444</v>
      </c>
      <c r="Y314" s="165">
        <f t="shared" si="403"/>
        <v>310.417381944444</v>
      </c>
      <c r="Z314" s="159">
        <f t="shared" ref="Z314:AC314" si="406">+Z171</f>
        <v>302.86668887012</v>
      </c>
      <c r="AA314" s="159">
        <f t="shared" si="406"/>
        <v>302.86668887012</v>
      </c>
      <c r="AB314" s="159">
        <f t="shared" si="406"/>
        <v>302.86668887012</v>
      </c>
      <c r="AC314" s="165">
        <f t="shared" si="406"/>
        <v>302.86668887012</v>
      </c>
      <c r="AD314" s="37"/>
      <c r="AE314" s="37"/>
      <c r="AF314" s="37"/>
      <c r="AG314" s="37"/>
      <c r="AH314" s="37"/>
      <c r="AI314" s="37"/>
      <c r="AJ314" s="33"/>
      <c r="AK314" s="33"/>
      <c r="AL314" s="33"/>
      <c r="AM314" s="33"/>
      <c r="AN314" s="33"/>
      <c r="AO314" s="33"/>
      <c r="AP314" s="33"/>
      <c r="AQ314" s="33"/>
      <c r="AR314" s="33"/>
      <c r="AS314" s="33"/>
      <c r="AT314" s="33"/>
    </row>
    <row r="315" spans="1:46">
      <c r="A315" s="29" t="s">
        <v>854</v>
      </c>
      <c r="B315" s="159">
        <f t="shared" si="403"/>
        <v>924</v>
      </c>
      <c r="C315" s="159">
        <f t="shared" si="403"/>
        <v>924</v>
      </c>
      <c r="D315" s="159">
        <f t="shared" si="403"/>
        <v>847</v>
      </c>
      <c r="E315" s="165">
        <f t="shared" si="403"/>
        <v>847</v>
      </c>
      <c r="F315" s="159">
        <f t="shared" si="403"/>
        <v>814.68</v>
      </c>
      <c r="G315" s="159">
        <f t="shared" si="403"/>
        <v>814.68</v>
      </c>
      <c r="H315" s="159">
        <f t="shared" si="403"/>
        <v>906.66</v>
      </c>
      <c r="I315" s="165">
        <f t="shared" si="403"/>
        <v>906.66</v>
      </c>
      <c r="J315" s="159">
        <f t="shared" si="403"/>
        <v>827.82</v>
      </c>
      <c r="K315" s="159">
        <f t="shared" si="403"/>
        <v>827.82</v>
      </c>
      <c r="L315" s="159">
        <f t="shared" si="403"/>
        <v>827.82</v>
      </c>
      <c r="M315" s="165">
        <f t="shared" si="403"/>
        <v>827.82</v>
      </c>
      <c r="N315" s="159">
        <f t="shared" si="403"/>
        <v>745.038</v>
      </c>
      <c r="O315" s="159">
        <f t="shared" si="403"/>
        <v>745.038</v>
      </c>
      <c r="P315" s="159">
        <f t="shared" si="403"/>
        <v>745.038</v>
      </c>
      <c r="Q315" s="165">
        <f t="shared" si="403"/>
        <v>745.038</v>
      </c>
      <c r="R315" s="159">
        <f t="shared" si="403"/>
        <v>707.7861</v>
      </c>
      <c r="S315" s="159">
        <f t="shared" si="403"/>
        <v>707.7861</v>
      </c>
      <c r="T315" s="159">
        <f t="shared" si="403"/>
        <v>707.7861</v>
      </c>
      <c r="U315" s="165">
        <f t="shared" si="403"/>
        <v>707.7861</v>
      </c>
      <c r="V315" s="159">
        <f t="shared" si="403"/>
        <v>672.396795</v>
      </c>
      <c r="W315" s="159">
        <f t="shared" si="403"/>
        <v>672.396795</v>
      </c>
      <c r="X315" s="159">
        <f t="shared" si="403"/>
        <v>672.396795</v>
      </c>
      <c r="Y315" s="165">
        <f t="shared" si="403"/>
        <v>672.396795</v>
      </c>
      <c r="Z315" s="159">
        <f t="shared" ref="Z315:AC315" si="407">+Z172</f>
        <v>638.77695525</v>
      </c>
      <c r="AA315" s="159">
        <f t="shared" si="407"/>
        <v>638.77695525</v>
      </c>
      <c r="AB315" s="159">
        <f t="shared" si="407"/>
        <v>638.77695525</v>
      </c>
      <c r="AC315" s="165">
        <f t="shared" si="407"/>
        <v>638.77695525</v>
      </c>
      <c r="AD315" s="37"/>
      <c r="AE315" s="37"/>
      <c r="AF315" s="37"/>
      <c r="AG315" s="37"/>
      <c r="AH315" s="37"/>
      <c r="AI315" s="37"/>
      <c r="AJ315" s="33"/>
      <c r="AK315" s="33"/>
      <c r="AL315" s="33"/>
      <c r="AM315" s="33"/>
      <c r="AN315" s="33"/>
      <c r="AO315" s="33"/>
      <c r="AP315" s="33"/>
      <c r="AQ315" s="33"/>
      <c r="AR315" s="33"/>
      <c r="AS315" s="33"/>
      <c r="AT315" s="33"/>
    </row>
    <row r="316" spans="1:46">
      <c r="A316" s="29" t="s">
        <v>855</v>
      </c>
      <c r="B316" s="159">
        <f t="shared" si="403"/>
        <v>2111.2</v>
      </c>
      <c r="C316" s="159">
        <f t="shared" si="403"/>
        <v>2111.2</v>
      </c>
      <c r="D316" s="159">
        <f t="shared" si="403"/>
        <v>2002</v>
      </c>
      <c r="E316" s="165">
        <f t="shared" si="403"/>
        <v>2002</v>
      </c>
      <c r="F316" s="159">
        <f t="shared" si="403"/>
        <v>1445.4</v>
      </c>
      <c r="G316" s="159">
        <f t="shared" si="403"/>
        <v>1445.4</v>
      </c>
      <c r="H316" s="159">
        <f t="shared" si="403"/>
        <v>1524.24</v>
      </c>
      <c r="I316" s="165">
        <f t="shared" si="403"/>
        <v>1366.56</v>
      </c>
      <c r="J316" s="159">
        <f t="shared" si="403"/>
        <v>1305.11736</v>
      </c>
      <c r="K316" s="159">
        <f t="shared" si="403"/>
        <v>1163.8098</v>
      </c>
      <c r="L316" s="159">
        <f t="shared" si="403"/>
        <v>1267.6815</v>
      </c>
      <c r="M316" s="165">
        <f t="shared" si="403"/>
        <v>1166.26698</v>
      </c>
      <c r="N316" s="159">
        <f t="shared" si="403"/>
        <v>1142.9416404</v>
      </c>
      <c r="O316" s="159">
        <f t="shared" si="403"/>
        <v>1142.9416404</v>
      </c>
      <c r="P316" s="159">
        <f t="shared" si="403"/>
        <v>1142.9416404</v>
      </c>
      <c r="Q316" s="165">
        <f t="shared" si="403"/>
        <v>1142.9416404</v>
      </c>
      <c r="R316" s="159">
        <f t="shared" si="403"/>
        <v>1131.512223996</v>
      </c>
      <c r="S316" s="159">
        <f t="shared" si="403"/>
        <v>1131.512223996</v>
      </c>
      <c r="T316" s="159">
        <f t="shared" si="403"/>
        <v>1131.512223996</v>
      </c>
      <c r="U316" s="165">
        <f t="shared" si="403"/>
        <v>1131.512223996</v>
      </c>
      <c r="V316" s="159">
        <f t="shared" si="403"/>
        <v>1131.512223996</v>
      </c>
      <c r="W316" s="159">
        <f t="shared" si="403"/>
        <v>1131.512223996</v>
      </c>
      <c r="X316" s="159">
        <f t="shared" si="403"/>
        <v>1131.512223996</v>
      </c>
      <c r="Y316" s="165">
        <f t="shared" si="403"/>
        <v>1131.512223996</v>
      </c>
      <c r="Z316" s="159">
        <f t="shared" ref="Z316:AC316" si="408">+Z173</f>
        <v>1131.512223996</v>
      </c>
      <c r="AA316" s="159">
        <f t="shared" si="408"/>
        <v>1131.512223996</v>
      </c>
      <c r="AB316" s="159">
        <f t="shared" si="408"/>
        <v>1131.512223996</v>
      </c>
      <c r="AC316" s="165">
        <f t="shared" si="408"/>
        <v>1131.512223996</v>
      </c>
      <c r="AD316" s="37"/>
      <c r="AE316" s="37"/>
      <c r="AF316" s="37"/>
      <c r="AG316" s="37"/>
      <c r="AH316" s="37"/>
      <c r="AI316" s="37"/>
      <c r="AJ316" s="33"/>
      <c r="AK316" s="33"/>
      <c r="AL316" s="33"/>
      <c r="AM316" s="33"/>
      <c r="AN316" s="33"/>
      <c r="AO316" s="33"/>
      <c r="AP316" s="33"/>
      <c r="AQ316" s="33"/>
      <c r="AR316" s="33"/>
      <c r="AS316" s="33"/>
      <c r="AT316" s="33"/>
    </row>
    <row r="317" spans="1:46">
      <c r="A317" s="29" t="s">
        <v>856</v>
      </c>
      <c r="B317" s="159">
        <f t="shared" si="403"/>
        <v>0</v>
      </c>
      <c r="C317" s="159">
        <f t="shared" si="403"/>
        <v>0</v>
      </c>
      <c r="D317" s="159">
        <f t="shared" si="403"/>
        <v>0</v>
      </c>
      <c r="E317" s="165">
        <f t="shared" si="403"/>
        <v>0</v>
      </c>
      <c r="F317" s="159">
        <f t="shared" si="403"/>
        <v>0</v>
      </c>
      <c r="G317" s="159">
        <f t="shared" si="403"/>
        <v>0</v>
      </c>
      <c r="H317" s="159">
        <f t="shared" si="403"/>
        <v>0</v>
      </c>
      <c r="I317" s="165">
        <f t="shared" si="403"/>
        <v>0</v>
      </c>
      <c r="J317" s="159">
        <f t="shared" si="403"/>
        <v>2178.94245737451</v>
      </c>
      <c r="K317" s="159">
        <f t="shared" si="403"/>
        <v>2320.54913610549</v>
      </c>
      <c r="L317" s="159">
        <f t="shared" si="403"/>
        <v>2280.37484502543</v>
      </c>
      <c r="M317" s="165">
        <f t="shared" si="403"/>
        <v>1946.34190824767</v>
      </c>
      <c r="N317" s="159">
        <f t="shared" si="403"/>
        <v>1790.56431637227</v>
      </c>
      <c r="O317" s="159">
        <f t="shared" si="403"/>
        <v>1807.2035269615</v>
      </c>
      <c r="P317" s="159">
        <f t="shared" si="403"/>
        <v>1855.80461483729</v>
      </c>
      <c r="Q317" s="165">
        <f t="shared" si="403"/>
        <v>1816.10712724269</v>
      </c>
      <c r="R317" s="159">
        <f t="shared" si="403"/>
        <v>1706.02544660907</v>
      </c>
      <c r="S317" s="159">
        <f t="shared" si="403"/>
        <v>1688.96519214298</v>
      </c>
      <c r="T317" s="159">
        <f t="shared" si="403"/>
        <v>1705.85484406441</v>
      </c>
      <c r="U317" s="165">
        <f t="shared" si="403"/>
        <v>1722.91339250506</v>
      </c>
      <c r="V317" s="159">
        <f t="shared" si="403"/>
        <v>1688.45512465496</v>
      </c>
      <c r="W317" s="159">
        <f t="shared" si="403"/>
        <v>1654.68602216186</v>
      </c>
      <c r="X317" s="159">
        <f t="shared" si="403"/>
        <v>1621.59230171862</v>
      </c>
      <c r="Y317" s="165">
        <f t="shared" si="403"/>
        <v>1621.59230171862</v>
      </c>
      <c r="Z317" s="159">
        <f t="shared" ref="Z317:AC317" si="409">+Z174</f>
        <v>1572.94453266706</v>
      </c>
      <c r="AA317" s="159">
        <f t="shared" si="409"/>
        <v>1447.1089700537</v>
      </c>
      <c r="AB317" s="159">
        <f t="shared" si="409"/>
        <v>1418.16679065262</v>
      </c>
      <c r="AC317" s="165">
        <f t="shared" si="409"/>
        <v>1418.16679065262</v>
      </c>
      <c r="AD317" s="37"/>
      <c r="AE317" s="37"/>
      <c r="AF317" s="37"/>
      <c r="AG317" s="37"/>
      <c r="AH317" s="37"/>
      <c r="AI317" s="37"/>
      <c r="AJ317" s="33"/>
      <c r="AK317" s="33"/>
      <c r="AL317" s="33"/>
      <c r="AM317" s="33"/>
      <c r="AN317" s="33"/>
      <c r="AO317" s="33"/>
      <c r="AP317" s="33"/>
      <c r="AQ317" s="33"/>
      <c r="AR317" s="33"/>
      <c r="AS317" s="33"/>
      <c r="AT317" s="33"/>
    </row>
    <row r="318" spans="1:46">
      <c r="A318" s="22"/>
      <c r="B318" s="27"/>
      <c r="C318" s="27"/>
      <c r="D318" s="27"/>
      <c r="E318" s="52"/>
      <c r="F318" s="27"/>
      <c r="G318" s="27"/>
      <c r="H318" s="27"/>
      <c r="I318" s="52"/>
      <c r="J318" s="27"/>
      <c r="K318" s="27"/>
      <c r="L318" s="27"/>
      <c r="M318" s="52"/>
      <c r="N318" s="27"/>
      <c r="O318" s="27"/>
      <c r="P318" s="27"/>
      <c r="Q318" s="52"/>
      <c r="R318" s="27"/>
      <c r="S318" s="27"/>
      <c r="T318" s="27"/>
      <c r="U318" s="52"/>
      <c r="V318" s="27"/>
      <c r="W318" s="27"/>
      <c r="X318" s="27"/>
      <c r="Y318" s="52"/>
      <c r="Z318" s="27"/>
      <c r="AA318" s="27"/>
      <c r="AB318" s="27"/>
      <c r="AC318" s="52"/>
      <c r="AD318" s="37"/>
      <c r="AE318" s="37"/>
      <c r="AF318" s="37"/>
      <c r="AG318" s="37"/>
      <c r="AH318" s="37"/>
      <c r="AI318" s="37"/>
      <c r="AJ318" s="33"/>
      <c r="AK318" s="33"/>
      <c r="AL318" s="33"/>
      <c r="AM318" s="33"/>
      <c r="AN318" s="33"/>
      <c r="AO318" s="33"/>
      <c r="AP318" s="33"/>
      <c r="AQ318" s="33"/>
      <c r="AR318" s="33"/>
      <c r="AS318" s="33"/>
      <c r="AT318" s="33"/>
    </row>
    <row r="319" spans="1:46">
      <c r="A319" s="22" t="s">
        <v>887</v>
      </c>
      <c r="B319" s="27"/>
      <c r="C319" s="27"/>
      <c r="D319" s="27"/>
      <c r="E319" s="52"/>
      <c r="F319" s="27"/>
      <c r="G319" s="27"/>
      <c r="H319" s="27"/>
      <c r="I319" s="52"/>
      <c r="J319" s="27"/>
      <c r="K319" s="27"/>
      <c r="L319" s="27"/>
      <c r="M319" s="52"/>
      <c r="N319" s="27"/>
      <c r="O319" s="27"/>
      <c r="P319" s="27"/>
      <c r="Q319" s="52"/>
      <c r="R319" s="27"/>
      <c r="S319" s="27"/>
      <c r="T319" s="27"/>
      <c r="U319" s="52"/>
      <c r="V319" s="27"/>
      <c r="W319" s="27"/>
      <c r="X319" s="27"/>
      <c r="Y319" s="52"/>
      <c r="Z319" s="27"/>
      <c r="AA319" s="27"/>
      <c r="AB319" s="27"/>
      <c r="AC319" s="52"/>
      <c r="AD319" s="37"/>
      <c r="AE319" s="37"/>
      <c r="AF319" s="37"/>
      <c r="AG319" s="37"/>
      <c r="AH319" s="37"/>
      <c r="AI319" s="37"/>
      <c r="AJ319" s="33"/>
      <c r="AK319" s="33"/>
      <c r="AL319" s="33"/>
      <c r="AM319" s="33"/>
      <c r="AN319" s="33"/>
      <c r="AO319" s="33"/>
      <c r="AP319" s="33"/>
      <c r="AQ319" s="33"/>
      <c r="AR319" s="33"/>
      <c r="AS319" s="33"/>
      <c r="AT319" s="33"/>
    </row>
    <row r="320" spans="1:46">
      <c r="A320" s="29" t="s">
        <v>851</v>
      </c>
      <c r="B320" s="159">
        <f t="shared" ref="B320:Y325" si="410">+B296-B312</f>
        <v>103.8</v>
      </c>
      <c r="C320" s="159">
        <f t="shared" si="410"/>
        <v>107.26</v>
      </c>
      <c r="D320" s="159">
        <f t="shared" si="410"/>
        <v>110.72</v>
      </c>
      <c r="E320" s="165">
        <f t="shared" si="410"/>
        <v>121.1</v>
      </c>
      <c r="F320" s="159">
        <f t="shared" si="410"/>
        <v>98.61</v>
      </c>
      <c r="G320" s="159">
        <f t="shared" si="410"/>
        <v>32.87</v>
      </c>
      <c r="H320" s="159">
        <f t="shared" si="410"/>
        <v>46.018</v>
      </c>
      <c r="I320" s="165">
        <f t="shared" si="410"/>
        <v>62.453</v>
      </c>
      <c r="J320" s="159">
        <f t="shared" si="410"/>
        <v>62.453</v>
      </c>
      <c r="K320" s="159">
        <f t="shared" si="410"/>
        <v>62.453</v>
      </c>
      <c r="L320" s="159">
        <f t="shared" si="410"/>
        <v>62.453</v>
      </c>
      <c r="M320" s="165">
        <f t="shared" si="410"/>
        <v>62.453</v>
      </c>
      <c r="N320" s="159">
        <f t="shared" si="410"/>
        <v>53.397315</v>
      </c>
      <c r="O320" s="159">
        <f t="shared" si="410"/>
        <v>53.397315</v>
      </c>
      <c r="P320" s="159">
        <f t="shared" si="410"/>
        <v>53.397315</v>
      </c>
      <c r="Q320" s="165">
        <f t="shared" si="410"/>
        <v>53.397315</v>
      </c>
      <c r="R320" s="159">
        <f t="shared" si="410"/>
        <v>47.909257625</v>
      </c>
      <c r="S320" s="159">
        <f t="shared" si="410"/>
        <v>47.909257625</v>
      </c>
      <c r="T320" s="159">
        <f t="shared" si="410"/>
        <v>47.909257625</v>
      </c>
      <c r="U320" s="165">
        <f t="shared" si="410"/>
        <v>47.909257625</v>
      </c>
      <c r="V320" s="159">
        <f t="shared" si="410"/>
        <v>42.8365127</v>
      </c>
      <c r="W320" s="159">
        <f t="shared" si="410"/>
        <v>42.8365127</v>
      </c>
      <c r="X320" s="159">
        <f t="shared" si="410"/>
        <v>42.8365127</v>
      </c>
      <c r="Y320" s="165">
        <f t="shared" si="410"/>
        <v>42.8365127</v>
      </c>
      <c r="Z320" s="159">
        <f t="shared" ref="Z320:Z325" si="411">+Z296-Z312</f>
        <v>38.1206255337801</v>
      </c>
      <c r="AA320" s="159">
        <f t="shared" ref="AA320:AC320" si="412">+AA296-AA312</f>
        <v>38.1206255337801</v>
      </c>
      <c r="AB320" s="159">
        <f t="shared" si="412"/>
        <v>38.1206255337801</v>
      </c>
      <c r="AC320" s="165">
        <f t="shared" si="412"/>
        <v>38.1206255337801</v>
      </c>
      <c r="AD320" s="37"/>
      <c r="AE320" s="37"/>
      <c r="AF320" s="37"/>
      <c r="AG320" s="37"/>
      <c r="AH320" s="37"/>
      <c r="AI320" s="37"/>
      <c r="AJ320" s="33"/>
      <c r="AK320" s="33"/>
      <c r="AL320" s="33"/>
      <c r="AM320" s="33"/>
      <c r="AN320" s="33"/>
      <c r="AO320" s="33"/>
      <c r="AP320" s="33"/>
      <c r="AQ320" s="33"/>
      <c r="AR320" s="33"/>
      <c r="AS320" s="33"/>
      <c r="AT320" s="33"/>
    </row>
    <row r="321" spans="1:46">
      <c r="A321" s="29" t="s">
        <v>852</v>
      </c>
      <c r="B321" s="159">
        <f t="shared" si="410"/>
        <v>190.4</v>
      </c>
      <c r="C321" s="159">
        <f t="shared" si="410"/>
        <v>196</v>
      </c>
      <c r="D321" s="159">
        <f t="shared" si="410"/>
        <v>212.8</v>
      </c>
      <c r="E321" s="165">
        <f t="shared" si="410"/>
        <v>212.8</v>
      </c>
      <c r="F321" s="159">
        <f t="shared" si="410"/>
        <v>186.2</v>
      </c>
      <c r="G321" s="159">
        <f t="shared" si="410"/>
        <v>143.64</v>
      </c>
      <c r="H321" s="159">
        <f t="shared" si="410"/>
        <v>137.788</v>
      </c>
      <c r="I321" s="165">
        <f t="shared" si="410"/>
        <v>138.32</v>
      </c>
      <c r="J321" s="159">
        <f t="shared" si="410"/>
        <v>131.404</v>
      </c>
      <c r="K321" s="159">
        <f t="shared" si="410"/>
        <v>136.458</v>
      </c>
      <c r="L321" s="159">
        <f t="shared" si="410"/>
        <v>136.458</v>
      </c>
      <c r="M321" s="165">
        <f t="shared" si="410"/>
        <v>136.458</v>
      </c>
      <c r="N321" s="159">
        <f t="shared" si="410"/>
        <v>110.4299</v>
      </c>
      <c r="O321" s="159">
        <f t="shared" si="410"/>
        <v>110.4299</v>
      </c>
      <c r="P321" s="159">
        <f t="shared" si="410"/>
        <v>110.4299</v>
      </c>
      <c r="Q321" s="165">
        <f t="shared" si="410"/>
        <v>110.4299</v>
      </c>
      <c r="R321" s="159">
        <f t="shared" si="410"/>
        <v>95.785935</v>
      </c>
      <c r="S321" s="159">
        <f t="shared" si="410"/>
        <v>95.785935</v>
      </c>
      <c r="T321" s="159">
        <f t="shared" si="410"/>
        <v>95.785935</v>
      </c>
      <c r="U321" s="165">
        <f t="shared" si="410"/>
        <v>95.785935</v>
      </c>
      <c r="V321" s="159">
        <f t="shared" si="410"/>
        <v>82.33029175</v>
      </c>
      <c r="W321" s="159">
        <f t="shared" si="410"/>
        <v>82.33029175</v>
      </c>
      <c r="X321" s="159">
        <f t="shared" si="410"/>
        <v>82.33029175</v>
      </c>
      <c r="Y321" s="165">
        <f t="shared" si="410"/>
        <v>82.33029175</v>
      </c>
      <c r="Z321" s="159">
        <f t="shared" si="411"/>
        <v>69.7723168691455</v>
      </c>
      <c r="AA321" s="159">
        <f t="shared" ref="AA321:AC321" si="413">+AA297-AA313</f>
        <v>69.7723168691455</v>
      </c>
      <c r="AB321" s="159">
        <f t="shared" si="413"/>
        <v>69.7723168691455</v>
      </c>
      <c r="AC321" s="165">
        <f t="shared" si="413"/>
        <v>69.7723168691455</v>
      </c>
      <c r="AD321" s="37"/>
      <c r="AE321" s="37"/>
      <c r="AF321" s="37"/>
      <c r="AG321" s="37"/>
      <c r="AH321" s="37"/>
      <c r="AI321" s="37"/>
      <c r="AJ321" s="33"/>
      <c r="AK321" s="33"/>
      <c r="AL321" s="33"/>
      <c r="AM321" s="33"/>
      <c r="AN321" s="33"/>
      <c r="AO321" s="33"/>
      <c r="AP321" s="33"/>
      <c r="AQ321" s="33"/>
      <c r="AR321" s="33"/>
      <c r="AS321" s="33"/>
      <c r="AT321" s="33"/>
    </row>
    <row r="322" spans="1:46">
      <c r="A322" s="29" t="s">
        <v>853</v>
      </c>
      <c r="B322" s="159">
        <f t="shared" si="410"/>
        <v>302.4</v>
      </c>
      <c r="C322" s="159">
        <f t="shared" si="410"/>
        <v>319.2</v>
      </c>
      <c r="D322" s="159">
        <f t="shared" si="410"/>
        <v>336</v>
      </c>
      <c r="E322" s="165">
        <f t="shared" si="410"/>
        <v>336</v>
      </c>
      <c r="F322" s="159">
        <f t="shared" si="410"/>
        <v>181.3</v>
      </c>
      <c r="G322" s="159">
        <f t="shared" si="410"/>
        <v>161.7</v>
      </c>
      <c r="H322" s="159">
        <f t="shared" si="410"/>
        <v>147</v>
      </c>
      <c r="I322" s="165">
        <f t="shared" si="410"/>
        <v>147</v>
      </c>
      <c r="J322" s="159">
        <f t="shared" si="410"/>
        <v>139.65</v>
      </c>
      <c r="K322" s="159">
        <f t="shared" si="410"/>
        <v>139.65</v>
      </c>
      <c r="L322" s="159">
        <f t="shared" si="410"/>
        <v>139.65</v>
      </c>
      <c r="M322" s="165">
        <f t="shared" si="410"/>
        <v>139.65</v>
      </c>
      <c r="N322" s="159">
        <f t="shared" si="410"/>
        <v>116.375</v>
      </c>
      <c r="O322" s="159">
        <f t="shared" si="410"/>
        <v>116.375</v>
      </c>
      <c r="P322" s="159">
        <f t="shared" si="410"/>
        <v>116.375</v>
      </c>
      <c r="Q322" s="165">
        <f t="shared" si="410"/>
        <v>116.375</v>
      </c>
      <c r="R322" s="159">
        <f t="shared" si="410"/>
        <v>101.957430555556</v>
      </c>
      <c r="S322" s="159">
        <f t="shared" si="410"/>
        <v>101.957430555556</v>
      </c>
      <c r="T322" s="159">
        <f t="shared" si="410"/>
        <v>101.957430555556</v>
      </c>
      <c r="U322" s="165">
        <f t="shared" si="410"/>
        <v>101.957430555556</v>
      </c>
      <c r="V322" s="159">
        <f t="shared" si="410"/>
        <v>88.6906805555555</v>
      </c>
      <c r="W322" s="159">
        <f t="shared" si="410"/>
        <v>88.6906805555555</v>
      </c>
      <c r="X322" s="159">
        <f t="shared" si="410"/>
        <v>88.6906805555555</v>
      </c>
      <c r="Y322" s="165">
        <f>+Y298-Y314</f>
        <v>88.6906805555555</v>
      </c>
      <c r="Z322" s="159">
        <f t="shared" ref="Z322:AC322" si="414">+Z298-Z314</f>
        <v>76.2859705048798</v>
      </c>
      <c r="AA322" s="159">
        <f t="shared" si="414"/>
        <v>76.2859705048798</v>
      </c>
      <c r="AB322" s="159">
        <f t="shared" si="414"/>
        <v>76.2859705048798</v>
      </c>
      <c r="AC322" s="165">
        <f t="shared" si="414"/>
        <v>76.2859705048798</v>
      </c>
      <c r="AD322" s="37"/>
      <c r="AE322" s="37"/>
      <c r="AF322" s="37"/>
      <c r="AG322" s="37"/>
      <c r="AH322" s="37"/>
      <c r="AI322" s="37"/>
      <c r="AJ322" s="33"/>
      <c r="AK322" s="33"/>
      <c r="AL322" s="33"/>
      <c r="AM322" s="33"/>
      <c r="AN322" s="33"/>
      <c r="AO322" s="33"/>
      <c r="AP322" s="33"/>
      <c r="AQ322" s="33"/>
      <c r="AR322" s="33"/>
      <c r="AS322" s="33"/>
      <c r="AT322" s="33"/>
    </row>
    <row r="323" spans="1:46">
      <c r="A323" s="29" t="s">
        <v>854</v>
      </c>
      <c r="B323" s="159">
        <f t="shared" si="410"/>
        <v>616</v>
      </c>
      <c r="C323" s="159">
        <f t="shared" si="410"/>
        <v>616</v>
      </c>
      <c r="D323" s="159">
        <f t="shared" si="410"/>
        <v>693</v>
      </c>
      <c r="E323" s="165">
        <f t="shared" si="410"/>
        <v>693</v>
      </c>
      <c r="F323" s="159">
        <f t="shared" si="410"/>
        <v>499.32</v>
      </c>
      <c r="G323" s="159">
        <f t="shared" si="410"/>
        <v>499.32</v>
      </c>
      <c r="H323" s="159">
        <f t="shared" si="410"/>
        <v>407.34</v>
      </c>
      <c r="I323" s="165">
        <f t="shared" si="410"/>
        <v>407.34</v>
      </c>
      <c r="J323" s="159">
        <f t="shared" si="410"/>
        <v>354.78</v>
      </c>
      <c r="K323" s="159">
        <f t="shared" si="410"/>
        <v>354.78</v>
      </c>
      <c r="L323" s="159">
        <f t="shared" si="410"/>
        <v>354.78</v>
      </c>
      <c r="M323" s="165">
        <f t="shared" si="410"/>
        <v>354.78</v>
      </c>
      <c r="N323" s="159">
        <f t="shared" si="410"/>
        <v>319.302</v>
      </c>
      <c r="O323" s="159">
        <f t="shared" si="410"/>
        <v>319.302</v>
      </c>
      <c r="P323" s="159">
        <f t="shared" si="410"/>
        <v>319.302</v>
      </c>
      <c r="Q323" s="165">
        <f t="shared" si="410"/>
        <v>319.302</v>
      </c>
      <c r="R323" s="159">
        <f t="shared" si="410"/>
        <v>303.3369</v>
      </c>
      <c r="S323" s="159">
        <f t="shared" si="410"/>
        <v>303.3369</v>
      </c>
      <c r="T323" s="159">
        <f t="shared" si="410"/>
        <v>303.3369</v>
      </c>
      <c r="U323" s="165">
        <f t="shared" si="410"/>
        <v>303.3369</v>
      </c>
      <c r="V323" s="159">
        <f t="shared" si="410"/>
        <v>288.170055</v>
      </c>
      <c r="W323" s="159">
        <f t="shared" si="410"/>
        <v>288.170055</v>
      </c>
      <c r="X323" s="159">
        <f t="shared" si="410"/>
        <v>288.170055</v>
      </c>
      <c r="Y323" s="165">
        <f t="shared" si="410"/>
        <v>288.170055</v>
      </c>
      <c r="Z323" s="159">
        <f t="shared" ref="Z323:AC323" si="415">+Z299-Z315</f>
        <v>273.76155225</v>
      </c>
      <c r="AA323" s="159">
        <f t="shared" si="415"/>
        <v>273.76155225</v>
      </c>
      <c r="AB323" s="159">
        <f t="shared" si="415"/>
        <v>273.76155225</v>
      </c>
      <c r="AC323" s="165">
        <f t="shared" si="415"/>
        <v>273.76155225</v>
      </c>
      <c r="AD323" s="37"/>
      <c r="AE323" s="37"/>
      <c r="AF323" s="37"/>
      <c r="AG323" s="37"/>
      <c r="AH323" s="37"/>
      <c r="AI323" s="37"/>
      <c r="AJ323" s="33"/>
      <c r="AK323" s="33"/>
      <c r="AL323" s="33"/>
      <c r="AM323" s="33"/>
      <c r="AN323" s="33"/>
      <c r="AO323" s="33"/>
      <c r="AP323" s="33"/>
      <c r="AQ323" s="33"/>
      <c r="AR323" s="33"/>
      <c r="AS323" s="33"/>
      <c r="AT323" s="33"/>
    </row>
    <row r="324" spans="1:46">
      <c r="A324" s="29" t="s">
        <v>855</v>
      </c>
      <c r="B324" s="159">
        <f t="shared" si="410"/>
        <v>1528.8</v>
      </c>
      <c r="C324" s="159">
        <f t="shared" si="410"/>
        <v>1528.8</v>
      </c>
      <c r="D324" s="159">
        <f t="shared" si="410"/>
        <v>1638</v>
      </c>
      <c r="E324" s="165">
        <f t="shared" si="410"/>
        <v>1638</v>
      </c>
      <c r="F324" s="159">
        <f t="shared" si="410"/>
        <v>1182.6</v>
      </c>
      <c r="G324" s="159">
        <f t="shared" si="410"/>
        <v>1182.6</v>
      </c>
      <c r="H324" s="159">
        <f t="shared" si="410"/>
        <v>1103.76</v>
      </c>
      <c r="I324" s="165">
        <f t="shared" si="410"/>
        <v>1261.44</v>
      </c>
      <c r="J324" s="159">
        <f t="shared" si="410"/>
        <v>1138.92264</v>
      </c>
      <c r="K324" s="159">
        <f t="shared" si="410"/>
        <v>1069.9902</v>
      </c>
      <c r="L324" s="159">
        <f t="shared" si="410"/>
        <v>966.1185</v>
      </c>
      <c r="M324" s="165">
        <f t="shared" si="410"/>
        <v>1067.53302</v>
      </c>
      <c r="N324" s="159">
        <f t="shared" si="410"/>
        <v>1023.8443596</v>
      </c>
      <c r="O324" s="159">
        <f t="shared" si="410"/>
        <v>755.7883596</v>
      </c>
      <c r="P324" s="159">
        <f t="shared" si="410"/>
        <v>755.7883596</v>
      </c>
      <c r="Q324" s="165">
        <f t="shared" si="410"/>
        <v>755.7883596</v>
      </c>
      <c r="R324" s="159">
        <f t="shared" si="410"/>
        <v>634.306676004</v>
      </c>
      <c r="S324" s="159">
        <f t="shared" si="410"/>
        <v>577.344776004</v>
      </c>
      <c r="T324" s="159">
        <f t="shared" si="410"/>
        <v>577.344776004</v>
      </c>
      <c r="U324" s="165">
        <f t="shared" si="410"/>
        <v>577.344776004</v>
      </c>
      <c r="V324" s="159">
        <f t="shared" si="410"/>
        <v>526.079066004</v>
      </c>
      <c r="W324" s="159">
        <f t="shared" si="410"/>
        <v>491.901926004</v>
      </c>
      <c r="X324" s="159">
        <f t="shared" si="410"/>
        <v>491.901926004</v>
      </c>
      <c r="Y324" s="165">
        <f t="shared" si="410"/>
        <v>491.901926004</v>
      </c>
      <c r="Z324" s="159">
        <f t="shared" ref="Z324:AC324" si="416">+Z300-Z316</f>
        <v>410.731218504</v>
      </c>
      <c r="AA324" s="159">
        <f t="shared" si="416"/>
        <v>410.731218504</v>
      </c>
      <c r="AB324" s="159">
        <f t="shared" si="416"/>
        <v>410.731218504</v>
      </c>
      <c r="AC324" s="165">
        <f t="shared" si="416"/>
        <v>410.731218504</v>
      </c>
      <c r="AD324" s="37"/>
      <c r="AE324" s="37"/>
      <c r="AF324" s="37"/>
      <c r="AG324" s="37"/>
      <c r="AH324" s="37"/>
      <c r="AI324" s="37"/>
      <c r="AJ324" s="33"/>
      <c r="AK324" s="33"/>
      <c r="AL324" s="33"/>
      <c r="AM324" s="33"/>
      <c r="AN324" s="33"/>
      <c r="AO324" s="33"/>
      <c r="AP324" s="33"/>
      <c r="AQ324" s="33"/>
      <c r="AR324" s="33"/>
      <c r="AS324" s="33"/>
      <c r="AT324" s="33"/>
    </row>
    <row r="325" spans="1:46">
      <c r="A325" s="29" t="s">
        <v>856</v>
      </c>
      <c r="B325" s="159">
        <f t="shared" si="410"/>
        <v>0</v>
      </c>
      <c r="C325" s="159">
        <f t="shared" si="410"/>
        <v>0</v>
      </c>
      <c r="D325" s="159">
        <f t="shared" si="410"/>
        <v>0</v>
      </c>
      <c r="E325" s="165">
        <f t="shared" si="410"/>
        <v>0</v>
      </c>
      <c r="F325" s="159"/>
      <c r="G325" s="159"/>
      <c r="H325" s="159"/>
      <c r="I325" s="165"/>
      <c r="J325" s="159">
        <f t="shared" si="410"/>
        <v>2201.05754262549</v>
      </c>
      <c r="K325" s="159">
        <f t="shared" si="410"/>
        <v>2059.45086389451</v>
      </c>
      <c r="L325" s="159">
        <f t="shared" si="410"/>
        <v>2099.62515497457</v>
      </c>
      <c r="M325" s="165">
        <f t="shared" si="410"/>
        <v>2433.65809175233</v>
      </c>
      <c r="N325" s="159">
        <f>+N301-N317</f>
        <v>2282.83568362773</v>
      </c>
      <c r="O325" s="159">
        <f t="shared" si="410"/>
        <v>1915.7964730385</v>
      </c>
      <c r="P325" s="159">
        <f t="shared" si="410"/>
        <v>1867.19538516271</v>
      </c>
      <c r="Q325" s="165">
        <f t="shared" si="410"/>
        <v>1906.89287275731</v>
      </c>
      <c r="R325" s="159">
        <f t="shared" si="410"/>
        <v>1756.36455339093</v>
      </c>
      <c r="S325" s="159">
        <f t="shared" si="410"/>
        <v>1363.89480785702</v>
      </c>
      <c r="T325" s="159">
        <f t="shared" si="410"/>
        <v>1347.00515593559</v>
      </c>
      <c r="U325" s="165">
        <f t="shared" si="410"/>
        <v>1329.94660749494</v>
      </c>
      <c r="V325" s="159">
        <f t="shared" si="410"/>
        <v>1150.70467534504</v>
      </c>
      <c r="W325" s="159">
        <f t="shared" si="410"/>
        <v>1092.88797783814</v>
      </c>
      <c r="X325" s="159">
        <f t="shared" si="410"/>
        <v>1125.98169828138</v>
      </c>
      <c r="Y325" s="165">
        <f t="shared" si="410"/>
        <v>1125.98169828138</v>
      </c>
      <c r="Z325" s="159">
        <f t="shared" si="411"/>
        <v>762.49336733294</v>
      </c>
      <c r="AA325" s="159">
        <f t="shared" ref="AA325:AC325" si="417">+AA301-AA317</f>
        <v>888.328929946304</v>
      </c>
      <c r="AB325" s="159">
        <f t="shared" si="417"/>
        <v>917.271109347378</v>
      </c>
      <c r="AC325" s="165">
        <f t="shared" si="417"/>
        <v>917.271109347378</v>
      </c>
      <c r="AD325" s="37"/>
      <c r="AE325" s="37"/>
      <c r="AF325" s="37"/>
      <c r="AG325" s="37"/>
      <c r="AH325" s="37"/>
      <c r="AI325" s="37"/>
      <c r="AJ325" s="33"/>
      <c r="AK325" s="33"/>
      <c r="AL325" s="33"/>
      <c r="AM325" s="33"/>
      <c r="AN325" s="33"/>
      <c r="AO325" s="33"/>
      <c r="AP325" s="33"/>
      <c r="AQ325" s="33"/>
      <c r="AR325" s="33"/>
      <c r="AS325" s="33"/>
      <c r="AT325" s="33"/>
    </row>
    <row r="326" spans="1:46">
      <c r="A326" s="22"/>
      <c r="B326" s="27"/>
      <c r="C326" s="27"/>
      <c r="D326" s="27"/>
      <c r="E326" s="52"/>
      <c r="F326" s="27"/>
      <c r="G326" s="27"/>
      <c r="H326" s="27"/>
      <c r="I326" s="52"/>
      <c r="J326" s="27"/>
      <c r="K326" s="27"/>
      <c r="L326" s="27"/>
      <c r="M326" s="52"/>
      <c r="N326" s="27"/>
      <c r="O326" s="27"/>
      <c r="P326" s="27"/>
      <c r="Q326" s="52"/>
      <c r="R326" s="27"/>
      <c r="S326" s="27"/>
      <c r="T326" s="27"/>
      <c r="U326" s="52"/>
      <c r="V326" s="27"/>
      <c r="W326" s="27"/>
      <c r="X326" s="27"/>
      <c r="Y326" s="52"/>
      <c r="Z326" s="27"/>
      <c r="AA326" s="27"/>
      <c r="AB326" s="27"/>
      <c r="AC326" s="52"/>
      <c r="AD326" s="37"/>
      <c r="AE326" s="37"/>
      <c r="AF326" s="37"/>
      <c r="AG326" s="37"/>
      <c r="AH326" s="37"/>
      <c r="AI326" s="37"/>
      <c r="AJ326" s="33"/>
      <c r="AK326" s="33"/>
      <c r="AL326" s="33"/>
      <c r="AM326" s="33"/>
      <c r="AN326" s="33"/>
      <c r="AO326" s="33"/>
      <c r="AP326" s="33"/>
      <c r="AQ326" s="33"/>
      <c r="AR326" s="33"/>
      <c r="AS326" s="33"/>
      <c r="AT326" s="33"/>
    </row>
    <row r="327" spans="1:46">
      <c r="A327" s="22" t="s">
        <v>731</v>
      </c>
      <c r="B327" s="27"/>
      <c r="C327" s="27"/>
      <c r="D327" s="27"/>
      <c r="E327" s="52"/>
      <c r="F327" s="27"/>
      <c r="G327" s="27"/>
      <c r="H327" s="27"/>
      <c r="I327" s="52"/>
      <c r="J327" s="27"/>
      <c r="K327" s="27"/>
      <c r="L327" s="27"/>
      <c r="M327" s="52"/>
      <c r="N327" s="27"/>
      <c r="O327" s="27"/>
      <c r="P327" s="27"/>
      <c r="Q327" s="52"/>
      <c r="R327" s="27"/>
      <c r="S327" s="27"/>
      <c r="T327" s="27"/>
      <c r="U327" s="52"/>
      <c r="V327" s="27"/>
      <c r="W327" s="27"/>
      <c r="X327" s="27"/>
      <c r="Y327" s="52"/>
      <c r="Z327" s="27"/>
      <c r="AA327" s="27"/>
      <c r="AB327" s="27"/>
      <c r="AC327" s="52"/>
      <c r="AD327" s="37"/>
      <c r="AE327" s="37"/>
      <c r="AF327" s="37"/>
      <c r="AG327" s="37"/>
      <c r="AH327" s="37"/>
      <c r="AI327" s="37"/>
      <c r="AJ327" s="33"/>
      <c r="AK327" s="33"/>
      <c r="AL327" s="33"/>
      <c r="AM327" s="33"/>
      <c r="AN327" s="33"/>
      <c r="AO327" s="33"/>
      <c r="AP327" s="33"/>
      <c r="AQ327" s="33"/>
      <c r="AR327" s="33"/>
      <c r="AS327" s="33"/>
      <c r="AT327" s="33"/>
    </row>
    <row r="328" spans="1:46">
      <c r="A328" s="29" t="s">
        <v>851</v>
      </c>
      <c r="B328" s="27">
        <f t="shared" ref="B328:B332" si="418">+B320/B296</f>
        <v>0.3</v>
      </c>
      <c r="C328" s="27">
        <f t="shared" ref="C328:Y333" si="419">+C320/C296</f>
        <v>0.31</v>
      </c>
      <c r="D328" s="27">
        <f t="shared" si="419"/>
        <v>0.32</v>
      </c>
      <c r="E328" s="52">
        <f t="shared" si="419"/>
        <v>0.35</v>
      </c>
      <c r="F328" s="27">
        <f t="shared" si="419"/>
        <v>0.3</v>
      </c>
      <c r="G328" s="27">
        <f t="shared" si="419"/>
        <v>0.1</v>
      </c>
      <c r="H328" s="27">
        <f t="shared" si="419"/>
        <v>0.14</v>
      </c>
      <c r="I328" s="52">
        <f t="shared" si="419"/>
        <v>0.19</v>
      </c>
      <c r="J328" s="27">
        <f t="shared" si="419"/>
        <v>0.2</v>
      </c>
      <c r="K328" s="27">
        <f t="shared" si="419"/>
        <v>0.2</v>
      </c>
      <c r="L328" s="27">
        <f t="shared" si="419"/>
        <v>0.2</v>
      </c>
      <c r="M328" s="52">
        <f t="shared" si="419"/>
        <v>0.2</v>
      </c>
      <c r="N328" s="27">
        <f t="shared" si="419"/>
        <v>0.18</v>
      </c>
      <c r="O328" s="27">
        <f t="shared" si="419"/>
        <v>0.18</v>
      </c>
      <c r="P328" s="27">
        <f t="shared" si="419"/>
        <v>0.18</v>
      </c>
      <c r="Q328" s="52">
        <f t="shared" si="419"/>
        <v>0.18</v>
      </c>
      <c r="R328" s="27">
        <f t="shared" si="419"/>
        <v>0.17</v>
      </c>
      <c r="S328" s="27">
        <f t="shared" si="419"/>
        <v>0.17</v>
      </c>
      <c r="T328" s="27">
        <f t="shared" si="419"/>
        <v>0.17</v>
      </c>
      <c r="U328" s="52">
        <f t="shared" si="419"/>
        <v>0.17</v>
      </c>
      <c r="V328" s="27">
        <f t="shared" si="419"/>
        <v>0.16</v>
      </c>
      <c r="W328" s="27">
        <f t="shared" si="419"/>
        <v>0.16</v>
      </c>
      <c r="X328" s="27">
        <f t="shared" si="419"/>
        <v>0.16</v>
      </c>
      <c r="Y328" s="52">
        <f t="shared" ref="Y328:Y330" si="420">+Y320/Y296</f>
        <v>0.16</v>
      </c>
      <c r="Z328" s="27">
        <f t="shared" ref="Z328:AC328" si="421">+Z320/Z296</f>
        <v>0.149879518072289</v>
      </c>
      <c r="AA328" s="27">
        <f t="shared" si="421"/>
        <v>0.149879518072289</v>
      </c>
      <c r="AB328" s="27">
        <f t="shared" si="421"/>
        <v>0.149879518072289</v>
      </c>
      <c r="AC328" s="52">
        <f t="shared" si="421"/>
        <v>0.149879518072289</v>
      </c>
      <c r="AD328" s="37"/>
      <c r="AE328" s="37"/>
      <c r="AF328" s="37"/>
      <c r="AG328" s="37"/>
      <c r="AH328" s="37"/>
      <c r="AI328" s="37"/>
      <c r="AJ328" s="33"/>
      <c r="AK328" s="33"/>
      <c r="AL328" s="33"/>
      <c r="AM328" s="33"/>
      <c r="AN328" s="33"/>
      <c r="AO328" s="33"/>
      <c r="AP328" s="33"/>
      <c r="AQ328" s="33"/>
      <c r="AR328" s="33"/>
      <c r="AS328" s="33"/>
      <c r="AT328" s="33"/>
    </row>
    <row r="329" spans="1:46">
      <c r="A329" s="29" t="s">
        <v>852</v>
      </c>
      <c r="B329" s="27">
        <f t="shared" si="418"/>
        <v>0.34</v>
      </c>
      <c r="C329" s="27">
        <f t="shared" si="419"/>
        <v>0.35</v>
      </c>
      <c r="D329" s="27">
        <f t="shared" si="419"/>
        <v>0.38</v>
      </c>
      <c r="E329" s="52">
        <f t="shared" si="419"/>
        <v>0.38</v>
      </c>
      <c r="F329" s="27">
        <f t="shared" si="419"/>
        <v>0.35</v>
      </c>
      <c r="G329" s="27">
        <f t="shared" si="419"/>
        <v>0.27</v>
      </c>
      <c r="H329" s="27">
        <f t="shared" si="419"/>
        <v>0.259</v>
      </c>
      <c r="I329" s="52">
        <f t="shared" si="419"/>
        <v>0.26</v>
      </c>
      <c r="J329" s="27">
        <f t="shared" si="419"/>
        <v>0.26</v>
      </c>
      <c r="K329" s="27">
        <f t="shared" si="419"/>
        <v>0.27</v>
      </c>
      <c r="L329" s="27">
        <f t="shared" si="419"/>
        <v>0.27</v>
      </c>
      <c r="M329" s="52">
        <f t="shared" si="419"/>
        <v>0.27</v>
      </c>
      <c r="N329" s="27">
        <f t="shared" si="419"/>
        <v>0.23</v>
      </c>
      <c r="O329" s="27">
        <f t="shared" si="419"/>
        <v>0.23</v>
      </c>
      <c r="P329" s="27">
        <f t="shared" si="419"/>
        <v>0.23</v>
      </c>
      <c r="Q329" s="52">
        <f t="shared" si="419"/>
        <v>0.23</v>
      </c>
      <c r="R329" s="27">
        <f t="shared" si="419"/>
        <v>0.21</v>
      </c>
      <c r="S329" s="27">
        <f t="shared" si="419"/>
        <v>0.21</v>
      </c>
      <c r="T329" s="27">
        <f t="shared" si="419"/>
        <v>0.21</v>
      </c>
      <c r="U329" s="52">
        <f t="shared" si="419"/>
        <v>0.21</v>
      </c>
      <c r="V329" s="27">
        <f t="shared" si="419"/>
        <v>0.19</v>
      </c>
      <c r="W329" s="27">
        <f t="shared" si="419"/>
        <v>0.19</v>
      </c>
      <c r="X329" s="27">
        <f t="shared" si="419"/>
        <v>0.19</v>
      </c>
      <c r="Y329" s="52">
        <f t="shared" si="420"/>
        <v>0.19</v>
      </c>
      <c r="Z329" s="27">
        <f t="shared" ref="Z329:AC329" si="422">+Z321/Z297</f>
        <v>0.169493670886076</v>
      </c>
      <c r="AA329" s="27">
        <f t="shared" si="422"/>
        <v>0.169493670886076</v>
      </c>
      <c r="AB329" s="27">
        <f t="shared" si="422"/>
        <v>0.169493670886076</v>
      </c>
      <c r="AC329" s="52">
        <f t="shared" si="422"/>
        <v>0.169493670886076</v>
      </c>
      <c r="AD329" s="37"/>
      <c r="AE329" s="37"/>
      <c r="AF329" s="37"/>
      <c r="AG329" s="37"/>
      <c r="AH329" s="37"/>
      <c r="AI329" s="37"/>
      <c r="AJ329" s="33"/>
      <c r="AK329" s="33"/>
      <c r="AL329" s="33"/>
      <c r="AM329" s="33"/>
      <c r="AN329" s="33"/>
      <c r="AO329" s="33"/>
      <c r="AP329" s="33"/>
      <c r="AQ329" s="33"/>
      <c r="AR329" s="33"/>
      <c r="AS329" s="33"/>
      <c r="AT329" s="33"/>
    </row>
    <row r="330" spans="1:46">
      <c r="A330" s="29" t="s">
        <v>853</v>
      </c>
      <c r="B330" s="27">
        <f t="shared" si="418"/>
        <v>0.36</v>
      </c>
      <c r="C330" s="27">
        <f t="shared" si="419"/>
        <v>0.38</v>
      </c>
      <c r="D330" s="27">
        <f t="shared" si="419"/>
        <v>0.4</v>
      </c>
      <c r="E330" s="52">
        <f t="shared" si="419"/>
        <v>0.4</v>
      </c>
      <c r="F330" s="27">
        <f t="shared" si="419"/>
        <v>0.37</v>
      </c>
      <c r="G330" s="27">
        <f t="shared" si="419"/>
        <v>0.33</v>
      </c>
      <c r="H330" s="27">
        <f t="shared" si="419"/>
        <v>0.3</v>
      </c>
      <c r="I330" s="52">
        <f t="shared" si="419"/>
        <v>0.3</v>
      </c>
      <c r="J330" s="27">
        <f t="shared" si="419"/>
        <v>0.3</v>
      </c>
      <c r="K330" s="27">
        <f t="shared" si="419"/>
        <v>0.3</v>
      </c>
      <c r="L330" s="27">
        <f t="shared" si="419"/>
        <v>0.3</v>
      </c>
      <c r="M330" s="52">
        <f t="shared" si="419"/>
        <v>0.3</v>
      </c>
      <c r="N330" s="27">
        <f t="shared" si="419"/>
        <v>0.263157894736842</v>
      </c>
      <c r="O330" s="27">
        <f t="shared" si="419"/>
        <v>0.263157894736842</v>
      </c>
      <c r="P330" s="27">
        <f t="shared" si="419"/>
        <v>0.263157894736842</v>
      </c>
      <c r="Q330" s="52">
        <f t="shared" si="419"/>
        <v>0.263157894736842</v>
      </c>
      <c r="R330" s="27">
        <f t="shared" si="419"/>
        <v>0.242690058479532</v>
      </c>
      <c r="S330" s="27">
        <f t="shared" si="419"/>
        <v>0.242690058479532</v>
      </c>
      <c r="T330" s="27">
        <f t="shared" si="419"/>
        <v>0.242690058479532</v>
      </c>
      <c r="U330" s="52">
        <f t="shared" si="419"/>
        <v>0.242690058479532</v>
      </c>
      <c r="V330" s="27">
        <f t="shared" si="419"/>
        <v>0.222222222222222</v>
      </c>
      <c r="W330" s="27">
        <f t="shared" si="419"/>
        <v>0.222222222222222</v>
      </c>
      <c r="X330" s="27">
        <f t="shared" si="419"/>
        <v>0.222222222222222</v>
      </c>
      <c r="Y330" s="52">
        <f t="shared" si="420"/>
        <v>0.222222222222222</v>
      </c>
      <c r="Z330" s="27">
        <f t="shared" ref="Z330:Z333" si="423">+Z322/Z298</f>
        <v>0.201201201201201</v>
      </c>
      <c r="AA330" s="27">
        <f t="shared" ref="AA330:AC330" si="424">+AA322/AA298</f>
        <v>0.201201201201201</v>
      </c>
      <c r="AB330" s="27">
        <f t="shared" si="424"/>
        <v>0.201201201201201</v>
      </c>
      <c r="AC330" s="52">
        <f t="shared" si="424"/>
        <v>0.201201201201201</v>
      </c>
      <c r="AD330" s="37"/>
      <c r="AE330" s="37"/>
      <c r="AF330" s="37"/>
      <c r="AG330" s="37"/>
      <c r="AH330" s="37"/>
      <c r="AI330" s="37"/>
      <c r="AJ330" s="33"/>
      <c r="AK330" s="33"/>
      <c r="AL330" s="33"/>
      <c r="AM330" s="33"/>
      <c r="AN330" s="33"/>
      <c r="AO330" s="33"/>
      <c r="AP330" s="33"/>
      <c r="AQ330" s="33"/>
      <c r="AR330" s="33"/>
      <c r="AS330" s="33"/>
      <c r="AT330" s="33"/>
    </row>
    <row r="331" spans="1:46">
      <c r="A331" s="29" t="s">
        <v>854</v>
      </c>
      <c r="B331" s="27">
        <f t="shared" si="418"/>
        <v>0.4</v>
      </c>
      <c r="C331" s="27">
        <f t="shared" si="419"/>
        <v>0.4</v>
      </c>
      <c r="D331" s="27">
        <f t="shared" si="419"/>
        <v>0.45</v>
      </c>
      <c r="E331" s="52">
        <f t="shared" si="419"/>
        <v>0.45</v>
      </c>
      <c r="F331" s="27">
        <f t="shared" si="419"/>
        <v>0.38</v>
      </c>
      <c r="G331" s="27">
        <f t="shared" si="419"/>
        <v>0.38</v>
      </c>
      <c r="H331" s="27">
        <f t="shared" si="419"/>
        <v>0.31</v>
      </c>
      <c r="I331" s="52">
        <f t="shared" si="419"/>
        <v>0.31</v>
      </c>
      <c r="J331" s="27">
        <f t="shared" si="419"/>
        <v>0.3</v>
      </c>
      <c r="K331" s="27">
        <f t="shared" si="419"/>
        <v>0.3</v>
      </c>
      <c r="L331" s="27">
        <f t="shared" si="419"/>
        <v>0.3</v>
      </c>
      <c r="M331" s="52">
        <f t="shared" si="419"/>
        <v>0.3</v>
      </c>
      <c r="N331" s="27">
        <f t="shared" si="419"/>
        <v>0.3</v>
      </c>
      <c r="O331" s="27">
        <f t="shared" si="419"/>
        <v>0.3</v>
      </c>
      <c r="P331" s="27">
        <f t="shared" si="419"/>
        <v>0.3</v>
      </c>
      <c r="Q331" s="52">
        <f t="shared" si="419"/>
        <v>0.3</v>
      </c>
      <c r="R331" s="27">
        <f t="shared" si="419"/>
        <v>0.3</v>
      </c>
      <c r="S331" s="27">
        <f t="shared" si="419"/>
        <v>0.3</v>
      </c>
      <c r="T331" s="27">
        <f t="shared" si="419"/>
        <v>0.3</v>
      </c>
      <c r="U331" s="52">
        <f t="shared" si="419"/>
        <v>0.3</v>
      </c>
      <c r="V331" s="27">
        <f t="shared" si="419"/>
        <v>0.3</v>
      </c>
      <c r="W331" s="27">
        <f t="shared" si="419"/>
        <v>0.3</v>
      </c>
      <c r="X331" s="27">
        <f t="shared" si="419"/>
        <v>0.3</v>
      </c>
      <c r="Y331" s="52">
        <f t="shared" si="419"/>
        <v>0.3</v>
      </c>
      <c r="Z331" s="27">
        <f t="shared" si="423"/>
        <v>0.3</v>
      </c>
      <c r="AA331" s="27">
        <f t="shared" ref="AA331:AC331" si="425">+AA323/AA299</f>
        <v>0.3</v>
      </c>
      <c r="AB331" s="27">
        <f t="shared" si="425"/>
        <v>0.3</v>
      </c>
      <c r="AC331" s="52">
        <f t="shared" si="425"/>
        <v>0.3</v>
      </c>
      <c r="AD331" s="37"/>
      <c r="AE331" s="37"/>
      <c r="AF331" s="37"/>
      <c r="AG331" s="37"/>
      <c r="AH331" s="37"/>
      <c r="AI331" s="37"/>
      <c r="AJ331" s="33"/>
      <c r="AK331" s="33"/>
      <c r="AL331" s="33"/>
      <c r="AM331" s="33"/>
      <c r="AN331" s="33"/>
      <c r="AO331" s="33"/>
      <c r="AP331" s="33"/>
      <c r="AQ331" s="33"/>
      <c r="AR331" s="33"/>
      <c r="AS331" s="33"/>
      <c r="AT331" s="33"/>
    </row>
    <row r="332" spans="1:46">
      <c r="A332" s="29" t="s">
        <v>855</v>
      </c>
      <c r="B332" s="27">
        <f t="shared" si="418"/>
        <v>0.42</v>
      </c>
      <c r="C332" s="27">
        <f t="shared" si="419"/>
        <v>0.42</v>
      </c>
      <c r="D332" s="27">
        <f t="shared" si="419"/>
        <v>0.45</v>
      </c>
      <c r="E332" s="52">
        <f t="shared" si="419"/>
        <v>0.45</v>
      </c>
      <c r="F332" s="27">
        <f t="shared" si="419"/>
        <v>0.45</v>
      </c>
      <c r="G332" s="27">
        <f t="shared" si="419"/>
        <v>0.45</v>
      </c>
      <c r="H332" s="27">
        <f t="shared" si="419"/>
        <v>0.42</v>
      </c>
      <c r="I332" s="52">
        <f t="shared" si="419"/>
        <v>0.48</v>
      </c>
      <c r="J332" s="27">
        <f t="shared" si="419"/>
        <v>0.466</v>
      </c>
      <c r="K332" s="27">
        <f t="shared" si="419"/>
        <v>0.479</v>
      </c>
      <c r="L332" s="27">
        <f t="shared" si="419"/>
        <v>0.4325</v>
      </c>
      <c r="M332" s="52">
        <f t="shared" si="419"/>
        <v>0.4779</v>
      </c>
      <c r="N332" s="27">
        <f t="shared" si="419"/>
        <v>0.472517525773196</v>
      </c>
      <c r="O332" s="27">
        <f t="shared" si="419"/>
        <v>0.398049411764706</v>
      </c>
      <c r="P332" s="27">
        <f t="shared" si="419"/>
        <v>0.398049411764706</v>
      </c>
      <c r="Q332" s="52">
        <f t="shared" si="419"/>
        <v>0.398049411764706</v>
      </c>
      <c r="R332" s="27">
        <f t="shared" si="419"/>
        <v>0.359213889943074</v>
      </c>
      <c r="S332" s="27">
        <f t="shared" si="419"/>
        <v>0.337854352941177</v>
      </c>
      <c r="T332" s="27">
        <f t="shared" si="419"/>
        <v>0.337854352941177</v>
      </c>
      <c r="U332" s="52">
        <f t="shared" si="419"/>
        <v>0.337854352941177</v>
      </c>
      <c r="V332" s="27">
        <f t="shared" si="419"/>
        <v>0.317375621588842</v>
      </c>
      <c r="W332" s="27">
        <f t="shared" si="419"/>
        <v>0.303004582043344</v>
      </c>
      <c r="X332" s="27">
        <f t="shared" si="419"/>
        <v>0.303004582043344</v>
      </c>
      <c r="Y332" s="52">
        <f t="shared" si="419"/>
        <v>0.303004582043344</v>
      </c>
      <c r="Z332" s="27">
        <f t="shared" si="423"/>
        <v>0.266320612677204</v>
      </c>
      <c r="AA332" s="27">
        <f t="shared" ref="AA332:AC332" si="426">+AA324/AA300</f>
        <v>0.266320612677204</v>
      </c>
      <c r="AB332" s="27">
        <f t="shared" si="426"/>
        <v>0.266320612677204</v>
      </c>
      <c r="AC332" s="52">
        <f t="shared" si="426"/>
        <v>0.266320612677204</v>
      </c>
      <c r="AD332" s="37"/>
      <c r="AE332" s="37"/>
      <c r="AF332" s="37"/>
      <c r="AG332" s="37"/>
      <c r="AH332" s="37"/>
      <c r="AI332" s="37"/>
      <c r="AJ332" s="33"/>
      <c r="AK332" s="33"/>
      <c r="AL332" s="33"/>
      <c r="AM332" s="33"/>
      <c r="AN332" s="33"/>
      <c r="AO332" s="33"/>
      <c r="AP332" s="33"/>
      <c r="AQ332" s="33"/>
      <c r="AR332" s="33"/>
      <c r="AS332" s="33"/>
      <c r="AT332" s="33"/>
    </row>
    <row r="333" spans="1:46">
      <c r="A333" s="29" t="s">
        <v>856</v>
      </c>
      <c r="B333" s="27"/>
      <c r="C333" s="27"/>
      <c r="D333" s="27"/>
      <c r="E333" s="52"/>
      <c r="F333" s="27">
        <f t="shared" si="419"/>
        <v>0</v>
      </c>
      <c r="G333" s="27">
        <f t="shared" si="419"/>
        <v>0</v>
      </c>
      <c r="H333" s="27">
        <f t="shared" si="419"/>
        <v>0</v>
      </c>
      <c r="I333" s="52">
        <f t="shared" si="419"/>
        <v>0</v>
      </c>
      <c r="J333" s="27">
        <f t="shared" si="419"/>
        <v>0.502524553110842</v>
      </c>
      <c r="K333" s="27">
        <f t="shared" si="419"/>
        <v>0.470194261163129</v>
      </c>
      <c r="L333" s="27">
        <f t="shared" si="419"/>
        <v>0.479366473738486</v>
      </c>
      <c r="M333" s="52">
        <f t="shared" si="419"/>
        <v>0.555629701313317</v>
      </c>
      <c r="N333" s="27">
        <f t="shared" si="419"/>
        <v>0.560425119955743</v>
      </c>
      <c r="O333" s="27">
        <f t="shared" si="419"/>
        <v>0.514584064743085</v>
      </c>
      <c r="P333" s="27">
        <f t="shared" si="419"/>
        <v>0.501529783820228</v>
      </c>
      <c r="Q333" s="52">
        <f t="shared" si="419"/>
        <v>0.512192552446228</v>
      </c>
      <c r="R333" s="27">
        <f t="shared" si="419"/>
        <v>0.507269416036589</v>
      </c>
      <c r="S333" s="27">
        <f t="shared" si="419"/>
        <v>0.446759696762058</v>
      </c>
      <c r="T333" s="27">
        <f t="shared" si="419"/>
        <v>0.441227293729679</v>
      </c>
      <c r="U333" s="52">
        <f t="shared" si="419"/>
        <v>0.435639566666976</v>
      </c>
      <c r="V333" s="27">
        <f t="shared" si="419"/>
        <v>0.40529760788563</v>
      </c>
      <c r="W333" s="27">
        <f t="shared" si="419"/>
        <v>0.397764710918848</v>
      </c>
      <c r="X333" s="27">
        <f t="shared" si="419"/>
        <v>0.409809416700471</v>
      </c>
      <c r="Y333" s="52">
        <f t="shared" si="419"/>
        <v>0.409809416700471</v>
      </c>
      <c r="Z333" s="27">
        <f t="shared" si="423"/>
        <v>0.326488393175832</v>
      </c>
      <c r="AA333" s="27">
        <f t="shared" ref="AA333:AC333" si="427">+AA325/AA301</f>
        <v>0.380369321721766</v>
      </c>
      <c r="AB333" s="27">
        <f t="shared" si="427"/>
        <v>0.39276193528733</v>
      </c>
      <c r="AC333" s="52">
        <f t="shared" si="427"/>
        <v>0.39276193528733</v>
      </c>
      <c r="AD333" s="37"/>
      <c r="AE333" s="37"/>
      <c r="AF333" s="37"/>
      <c r="AG333" s="37"/>
      <c r="AH333" s="37"/>
      <c r="AI333" s="37"/>
      <c r="AJ333" s="33"/>
      <c r="AK333" s="33"/>
      <c r="AL333" s="33"/>
      <c r="AM333" s="33"/>
      <c r="AN333" s="33"/>
      <c r="AO333" s="33"/>
      <c r="AP333" s="33"/>
      <c r="AQ333" s="33"/>
      <c r="AR333" s="33"/>
      <c r="AS333" s="33"/>
      <c r="AT333" s="33"/>
    </row>
    <row r="334" spans="1:46">
      <c r="A334" s="22"/>
      <c r="B334" s="27"/>
      <c r="C334" s="27"/>
      <c r="D334" s="27"/>
      <c r="E334" s="52"/>
      <c r="F334" s="27"/>
      <c r="G334" s="27"/>
      <c r="H334" s="27"/>
      <c r="I334" s="52"/>
      <c r="J334" s="27"/>
      <c r="K334" s="27"/>
      <c r="L334" s="27"/>
      <c r="M334" s="52"/>
      <c r="N334" s="27"/>
      <c r="O334" s="27"/>
      <c r="P334" s="27"/>
      <c r="Q334" s="52"/>
      <c r="R334" s="27"/>
      <c r="S334" s="27"/>
      <c r="T334" s="27"/>
      <c r="U334" s="52"/>
      <c r="V334" s="27"/>
      <c r="W334" s="27"/>
      <c r="X334" s="27"/>
      <c r="Y334" s="52"/>
      <c r="Z334" s="27"/>
      <c r="AA334" s="27"/>
      <c r="AB334" s="27"/>
      <c r="AC334" s="52"/>
      <c r="AD334" s="37"/>
      <c r="AE334" s="37"/>
      <c r="AF334" s="37"/>
      <c r="AG334" s="37"/>
      <c r="AH334" s="37"/>
      <c r="AI334" s="37"/>
      <c r="AJ334" s="33"/>
      <c r="AK334" s="33"/>
      <c r="AL334" s="33"/>
      <c r="AM334" s="33"/>
      <c r="AN334" s="33"/>
      <c r="AO334" s="33"/>
      <c r="AP334" s="33"/>
      <c r="AQ334" s="33"/>
      <c r="AR334" s="33"/>
      <c r="AS334" s="33"/>
      <c r="AT334" s="33"/>
    </row>
    <row r="335" spans="1:46">
      <c r="A335" s="22" t="s">
        <v>889</v>
      </c>
      <c r="B335" s="27"/>
      <c r="C335" s="27"/>
      <c r="D335" s="27"/>
      <c r="E335" s="52"/>
      <c r="F335" s="27"/>
      <c r="G335" s="27"/>
      <c r="H335" s="27"/>
      <c r="I335" s="52"/>
      <c r="J335" s="27"/>
      <c r="K335" s="27"/>
      <c r="L335" s="27"/>
      <c r="M335" s="52"/>
      <c r="N335" s="27"/>
      <c r="O335" s="27"/>
      <c r="P335" s="27"/>
      <c r="Q335" s="52"/>
      <c r="R335" s="27"/>
      <c r="S335" s="27"/>
      <c r="T335" s="27"/>
      <c r="U335" s="52"/>
      <c r="V335" s="27"/>
      <c r="W335" s="27"/>
      <c r="X335" s="27"/>
      <c r="Y335" s="52"/>
      <c r="Z335" s="27"/>
      <c r="AA335" s="27"/>
      <c r="AB335" s="27"/>
      <c r="AC335" s="52"/>
      <c r="AD335" s="37"/>
      <c r="AE335" s="37"/>
      <c r="AF335" s="37"/>
      <c r="AG335" s="37"/>
      <c r="AH335" s="37"/>
      <c r="AI335" s="37"/>
      <c r="AJ335" s="33"/>
      <c r="AK335" s="33"/>
      <c r="AL335" s="33"/>
      <c r="AM335" s="33"/>
      <c r="AN335" s="33"/>
      <c r="AO335" s="33"/>
      <c r="AP335" s="33"/>
      <c r="AQ335" s="33"/>
      <c r="AR335" s="33"/>
      <c r="AS335" s="33"/>
      <c r="AT335" s="33"/>
    </row>
    <row r="336" spans="1:46">
      <c r="A336" s="29" t="s">
        <v>851</v>
      </c>
      <c r="B336" s="33">
        <f t="shared" ref="B336:Y341" si="428">+B320*B280</f>
        <v>31.14</v>
      </c>
      <c r="C336" s="33">
        <f t="shared" si="428"/>
        <v>32.178</v>
      </c>
      <c r="D336" s="33">
        <f t="shared" si="428"/>
        <v>36.5376</v>
      </c>
      <c r="E336" s="57">
        <f t="shared" si="428"/>
        <v>32.697</v>
      </c>
      <c r="F336" s="33">
        <f t="shared" si="428"/>
        <v>28.10385</v>
      </c>
      <c r="G336" s="33">
        <f t="shared" si="428"/>
        <v>9.36795</v>
      </c>
      <c r="H336" s="33">
        <f t="shared" si="428"/>
        <v>14.426643</v>
      </c>
      <c r="I336" s="57">
        <f t="shared" si="428"/>
        <v>16.0191945</v>
      </c>
      <c r="J336" s="33">
        <f t="shared" si="428"/>
        <v>16.90914975</v>
      </c>
      <c r="K336" s="33">
        <f t="shared" si="428"/>
        <v>16.90914975</v>
      </c>
      <c r="L336" s="33">
        <f t="shared" si="428"/>
        <v>18.600064725</v>
      </c>
      <c r="M336" s="57">
        <f t="shared" si="428"/>
        <v>15.218234775</v>
      </c>
      <c r="N336" s="33">
        <f t="shared" si="428"/>
        <v>13.7344568844375</v>
      </c>
      <c r="O336" s="33">
        <f t="shared" si="428"/>
        <v>13.7344568844375</v>
      </c>
      <c r="P336" s="33">
        <f t="shared" si="428"/>
        <v>15.1079025728812</v>
      </c>
      <c r="Q336" s="57">
        <f t="shared" si="428"/>
        <v>12.3610111959937</v>
      </c>
      <c r="R336" s="33">
        <f t="shared" si="428"/>
        <v>11.7067169305268</v>
      </c>
      <c r="S336" s="33">
        <f t="shared" si="428"/>
        <v>11.7067169305268</v>
      </c>
      <c r="T336" s="33">
        <f t="shared" si="428"/>
        <v>12.8773886235795</v>
      </c>
      <c r="U336" s="57">
        <f t="shared" si="428"/>
        <v>10.5360452374741</v>
      </c>
      <c r="V336" s="33">
        <f t="shared" si="428"/>
        <v>9.943823086871</v>
      </c>
      <c r="W336" s="33">
        <f t="shared" si="428"/>
        <v>9.943823086871</v>
      </c>
      <c r="X336" s="33">
        <f t="shared" si="428"/>
        <v>10.9382053955581</v>
      </c>
      <c r="Y336" s="57">
        <f t="shared" si="428"/>
        <v>8.9494407781839</v>
      </c>
      <c r="Z336" s="33">
        <f t="shared" ref="Z336:Z341" si="429">+Z320*Z280</f>
        <v>8.40664880863022</v>
      </c>
      <c r="AA336" s="33">
        <f t="shared" ref="AA336:AC336" si="430">+AA320*AA280</f>
        <v>8.40664880863022</v>
      </c>
      <c r="AB336" s="33">
        <f t="shared" si="430"/>
        <v>9.24731368949325</v>
      </c>
      <c r="AC336" s="57">
        <f t="shared" si="430"/>
        <v>7.5659839277672</v>
      </c>
      <c r="AD336" s="37"/>
      <c r="AE336" s="37"/>
      <c r="AF336" s="37"/>
      <c r="AG336" s="37"/>
      <c r="AH336" s="37"/>
      <c r="AI336" s="37"/>
      <c r="AJ336" s="33"/>
      <c r="AK336" s="33"/>
      <c r="AL336" s="33"/>
      <c r="AM336" s="33"/>
      <c r="AN336" s="33"/>
      <c r="AO336" s="33"/>
      <c r="AP336" s="33"/>
      <c r="AQ336" s="33"/>
      <c r="AR336" s="33"/>
      <c r="AS336" s="33"/>
      <c r="AT336" s="33"/>
    </row>
    <row r="337" spans="1:46">
      <c r="A337" s="29" t="s">
        <v>852</v>
      </c>
      <c r="B337" s="33">
        <f t="shared" si="428"/>
        <v>9.52</v>
      </c>
      <c r="C337" s="33">
        <f t="shared" si="428"/>
        <v>9.8</v>
      </c>
      <c r="D337" s="33">
        <f t="shared" si="428"/>
        <v>14.896</v>
      </c>
      <c r="E337" s="57">
        <f t="shared" si="428"/>
        <v>10.64</v>
      </c>
      <c r="F337" s="33">
        <f t="shared" si="428"/>
        <v>8.8445</v>
      </c>
      <c r="G337" s="33">
        <f t="shared" si="428"/>
        <v>6.8229</v>
      </c>
      <c r="H337" s="33">
        <f t="shared" si="428"/>
        <v>9.162902</v>
      </c>
      <c r="I337" s="57">
        <f t="shared" si="428"/>
        <v>6.5702</v>
      </c>
      <c r="J337" s="33">
        <f t="shared" si="428"/>
        <v>5.9296055</v>
      </c>
      <c r="K337" s="33">
        <f t="shared" si="428"/>
        <v>6.15766725</v>
      </c>
      <c r="L337" s="33">
        <f t="shared" si="428"/>
        <v>8.62073415</v>
      </c>
      <c r="M337" s="57">
        <f t="shared" si="428"/>
        <v>6.15766725</v>
      </c>
      <c r="N337" s="33">
        <f t="shared" si="428"/>
        <v>4.733991775625</v>
      </c>
      <c r="O337" s="33">
        <f t="shared" si="428"/>
        <v>4.733991775625</v>
      </c>
      <c r="P337" s="33">
        <f t="shared" si="428"/>
        <v>6.627588485875</v>
      </c>
      <c r="Q337" s="57">
        <f t="shared" si="428"/>
        <v>4.733991775625</v>
      </c>
      <c r="R337" s="33">
        <f t="shared" si="428"/>
        <v>3.90091213597969</v>
      </c>
      <c r="S337" s="33">
        <f t="shared" si="428"/>
        <v>3.90091213597969</v>
      </c>
      <c r="T337" s="33">
        <f t="shared" si="428"/>
        <v>5.46127699037156</v>
      </c>
      <c r="U337" s="57">
        <f t="shared" si="428"/>
        <v>3.90091213597969</v>
      </c>
      <c r="V337" s="33">
        <f t="shared" si="428"/>
        <v>3.18528051674817</v>
      </c>
      <c r="W337" s="33">
        <f t="shared" si="428"/>
        <v>3.18528051674817</v>
      </c>
      <c r="X337" s="33">
        <f t="shared" si="428"/>
        <v>4.45939272344744</v>
      </c>
      <c r="Y337" s="57">
        <f t="shared" si="428"/>
        <v>3.18528051674817</v>
      </c>
      <c r="Z337" s="33">
        <f t="shared" si="429"/>
        <v>2.56445321603134</v>
      </c>
      <c r="AA337" s="33">
        <f t="shared" ref="AA337:AC337" si="431">+AA321*AA281</f>
        <v>2.56445321603134</v>
      </c>
      <c r="AB337" s="33">
        <f t="shared" si="431"/>
        <v>3.59023450244387</v>
      </c>
      <c r="AC337" s="57">
        <f t="shared" si="431"/>
        <v>2.56445321603134</v>
      </c>
      <c r="AD337" s="37"/>
      <c r="AE337" s="37"/>
      <c r="AF337" s="37"/>
      <c r="AG337" s="37"/>
      <c r="AH337" s="37"/>
      <c r="AI337" s="37"/>
      <c r="AJ337" s="33"/>
      <c r="AK337" s="33"/>
      <c r="AL337" s="33"/>
      <c r="AM337" s="33"/>
      <c r="AN337" s="33"/>
      <c r="AO337" s="33"/>
      <c r="AP337" s="33"/>
      <c r="AQ337" s="33"/>
      <c r="AR337" s="33"/>
      <c r="AS337" s="33"/>
      <c r="AT337" s="33"/>
    </row>
    <row r="338" spans="1:46">
      <c r="A338" s="29" t="s">
        <v>853</v>
      </c>
      <c r="B338" s="33">
        <f t="shared" si="428"/>
        <v>3.024</v>
      </c>
      <c r="C338" s="33">
        <f t="shared" si="428"/>
        <v>4.788</v>
      </c>
      <c r="D338" s="33">
        <f t="shared" si="428"/>
        <v>5.04</v>
      </c>
      <c r="E338" s="57">
        <f t="shared" si="428"/>
        <v>6.72</v>
      </c>
      <c r="F338" s="33">
        <f t="shared" si="428"/>
        <v>1.90365</v>
      </c>
      <c r="G338" s="33">
        <f t="shared" si="428"/>
        <v>2.546775</v>
      </c>
      <c r="H338" s="33">
        <f t="shared" si="428"/>
        <v>2.31525</v>
      </c>
      <c r="I338" s="57">
        <f t="shared" si="428"/>
        <v>3.087</v>
      </c>
      <c r="J338" s="33">
        <f t="shared" si="428"/>
        <v>1.53964125</v>
      </c>
      <c r="K338" s="33">
        <f t="shared" si="428"/>
        <v>2.309461875</v>
      </c>
      <c r="L338" s="33">
        <f t="shared" si="428"/>
        <v>2.309461875</v>
      </c>
      <c r="M338" s="57">
        <f t="shared" si="428"/>
        <v>3.0792825</v>
      </c>
      <c r="N338" s="33">
        <f t="shared" si="428"/>
        <v>1.34718609375</v>
      </c>
      <c r="O338" s="33">
        <f t="shared" si="428"/>
        <v>2.020779140625</v>
      </c>
      <c r="P338" s="33">
        <f t="shared" si="428"/>
        <v>2.020779140625</v>
      </c>
      <c r="Q338" s="57">
        <f t="shared" si="428"/>
        <v>2.6943721875</v>
      </c>
      <c r="R338" s="33">
        <f t="shared" si="428"/>
        <v>1.23929894074219</v>
      </c>
      <c r="S338" s="33">
        <f t="shared" si="428"/>
        <v>1.85894841111328</v>
      </c>
      <c r="T338" s="33">
        <f t="shared" si="428"/>
        <v>1.85894841111328</v>
      </c>
      <c r="U338" s="57">
        <f t="shared" si="428"/>
        <v>2.47859788148438</v>
      </c>
      <c r="V338" s="33">
        <f t="shared" si="428"/>
        <v>1.13194280358633</v>
      </c>
      <c r="W338" s="33">
        <f t="shared" si="428"/>
        <v>1.69791420537949</v>
      </c>
      <c r="X338" s="33">
        <f t="shared" si="428"/>
        <v>1.69791420537949</v>
      </c>
      <c r="Y338" s="57">
        <f t="shared" si="428"/>
        <v>2.26388560717266</v>
      </c>
      <c r="Z338" s="33">
        <f t="shared" si="429"/>
        <v>1.02230496514437</v>
      </c>
      <c r="AA338" s="33">
        <f t="shared" ref="AA338:AC338" si="432">+AA322*AA282</f>
        <v>1.53345744771655</v>
      </c>
      <c r="AB338" s="33">
        <f t="shared" si="432"/>
        <v>1.53345744771655</v>
      </c>
      <c r="AC338" s="57">
        <f t="shared" si="432"/>
        <v>2.04460993028874</v>
      </c>
      <c r="AD338" s="37"/>
      <c r="AE338" s="37"/>
      <c r="AF338" s="37"/>
      <c r="AG338" s="37"/>
      <c r="AH338" s="37"/>
      <c r="AI338" s="37"/>
      <c r="AJ338" s="33"/>
      <c r="AK338" s="33"/>
      <c r="AL338" s="33"/>
      <c r="AM338" s="33"/>
      <c r="AN338" s="33"/>
      <c r="AO338" s="33"/>
      <c r="AP338" s="33"/>
      <c r="AQ338" s="33"/>
      <c r="AR338" s="33"/>
      <c r="AS338" s="33"/>
      <c r="AT338" s="33"/>
    </row>
    <row r="339" spans="1:46">
      <c r="A339" s="29" t="s">
        <v>854</v>
      </c>
      <c r="B339" s="33">
        <f t="shared" si="428"/>
        <v>0</v>
      </c>
      <c r="C339" s="33">
        <f t="shared" si="428"/>
        <v>0</v>
      </c>
      <c r="D339" s="33">
        <f t="shared" si="428"/>
        <v>0</v>
      </c>
      <c r="E339" s="57">
        <f t="shared" si="428"/>
        <v>0</v>
      </c>
      <c r="F339" s="33">
        <f t="shared" si="428"/>
        <v>4.9932</v>
      </c>
      <c r="G339" s="33">
        <f t="shared" si="428"/>
        <v>9.9864</v>
      </c>
      <c r="H339" s="33">
        <f t="shared" si="428"/>
        <v>8.1468</v>
      </c>
      <c r="I339" s="57">
        <f t="shared" si="428"/>
        <v>12.2202</v>
      </c>
      <c r="J339" s="33">
        <f t="shared" si="428"/>
        <v>3.90258</v>
      </c>
      <c r="K339" s="33">
        <f t="shared" si="428"/>
        <v>7.80516</v>
      </c>
      <c r="L339" s="33">
        <f t="shared" si="428"/>
        <v>7.80516</v>
      </c>
      <c r="M339" s="57">
        <f t="shared" si="428"/>
        <v>11.70774</v>
      </c>
      <c r="N339" s="33">
        <f t="shared" si="428"/>
        <v>3.8635542</v>
      </c>
      <c r="O339" s="33">
        <f t="shared" si="428"/>
        <v>7.7271084</v>
      </c>
      <c r="P339" s="33">
        <f t="shared" si="428"/>
        <v>7.7271084</v>
      </c>
      <c r="Q339" s="57">
        <f t="shared" si="428"/>
        <v>11.5906626</v>
      </c>
      <c r="R339" s="33">
        <f t="shared" si="428"/>
        <v>4.037414139</v>
      </c>
      <c r="S339" s="33">
        <f t="shared" si="428"/>
        <v>8.074828278</v>
      </c>
      <c r="T339" s="33">
        <f t="shared" si="428"/>
        <v>8.074828278</v>
      </c>
      <c r="U339" s="57">
        <f t="shared" si="428"/>
        <v>12.112242417</v>
      </c>
      <c r="V339" s="33">
        <f t="shared" si="428"/>
        <v>4.219097775255</v>
      </c>
      <c r="W339" s="33">
        <f t="shared" si="428"/>
        <v>8.43819555051</v>
      </c>
      <c r="X339" s="33">
        <f t="shared" si="428"/>
        <v>8.43819555051</v>
      </c>
      <c r="Y339" s="57">
        <f t="shared" si="428"/>
        <v>12.657293325765</v>
      </c>
      <c r="Z339" s="33">
        <f t="shared" si="429"/>
        <v>4.40895717514147</v>
      </c>
      <c r="AA339" s="33">
        <f t="shared" ref="AA339:AC339" si="433">+AA323*AA283</f>
        <v>8.81791435028295</v>
      </c>
      <c r="AB339" s="33">
        <f t="shared" si="433"/>
        <v>8.81791435028295</v>
      </c>
      <c r="AC339" s="57">
        <f t="shared" si="433"/>
        <v>13.2268715254244</v>
      </c>
      <c r="AD339" s="37"/>
      <c r="AE339" s="37"/>
      <c r="AF339" s="37"/>
      <c r="AG339" s="37"/>
      <c r="AH339" s="37"/>
      <c r="AI339" s="37"/>
      <c r="AJ339" s="33"/>
      <c r="AK339" s="33"/>
      <c r="AL339" s="33"/>
      <c r="AM339" s="33"/>
      <c r="AN339" s="33"/>
      <c r="AO339" s="33"/>
      <c r="AP339" s="33"/>
      <c r="AQ339" s="33"/>
      <c r="AR339" s="33"/>
      <c r="AS339" s="33"/>
      <c r="AT339" s="33"/>
    </row>
    <row r="340" spans="1:46">
      <c r="A340" s="29" t="s">
        <v>855</v>
      </c>
      <c r="B340" s="33">
        <f t="shared" si="428"/>
        <v>0</v>
      </c>
      <c r="C340" s="33">
        <f t="shared" si="428"/>
        <v>0</v>
      </c>
      <c r="D340" s="33">
        <f t="shared" si="428"/>
        <v>0</v>
      </c>
      <c r="E340" s="57">
        <f t="shared" si="428"/>
        <v>0</v>
      </c>
      <c r="F340" s="33">
        <f t="shared" si="428"/>
        <v>0</v>
      </c>
      <c r="G340" s="33">
        <f t="shared" si="428"/>
        <v>0</v>
      </c>
      <c r="H340" s="33">
        <f t="shared" si="428"/>
        <v>0</v>
      </c>
      <c r="I340" s="57">
        <f t="shared" si="428"/>
        <v>0</v>
      </c>
      <c r="J340" s="33">
        <f t="shared" si="428"/>
        <v>0</v>
      </c>
      <c r="K340" s="33">
        <f t="shared" si="428"/>
        <v>32.099706</v>
      </c>
      <c r="L340" s="33">
        <f t="shared" si="428"/>
        <v>38.64474</v>
      </c>
      <c r="M340" s="57">
        <f>+M324*M284</f>
        <v>53.376651</v>
      </c>
      <c r="N340" s="33">
        <f t="shared" si="428"/>
        <v>61.430661576</v>
      </c>
      <c r="O340" s="33">
        <f t="shared" si="428"/>
        <v>52.905185172</v>
      </c>
      <c r="P340" s="33">
        <f t="shared" si="428"/>
        <v>60.463068768</v>
      </c>
      <c r="Q340" s="57">
        <f t="shared" si="428"/>
        <v>68.020952364</v>
      </c>
      <c r="R340" s="33">
        <f t="shared" si="428"/>
        <v>50.74453408032</v>
      </c>
      <c r="S340" s="33">
        <f t="shared" si="428"/>
        <v>46.18758208032</v>
      </c>
      <c r="T340" s="33">
        <f t="shared" si="428"/>
        <v>46.18758208032</v>
      </c>
      <c r="U340" s="57">
        <f t="shared" si="428"/>
        <v>46.18758208032</v>
      </c>
      <c r="V340" s="33">
        <f t="shared" si="428"/>
        <v>47.34711594036</v>
      </c>
      <c r="W340" s="33">
        <f t="shared" si="428"/>
        <v>44.27117334036</v>
      </c>
      <c r="X340" s="33">
        <f t="shared" si="428"/>
        <v>44.27117334036</v>
      </c>
      <c r="Y340" s="57">
        <f t="shared" si="428"/>
        <v>44.27117334036</v>
      </c>
      <c r="Z340" s="33">
        <f t="shared" si="429"/>
        <v>36.96580966536</v>
      </c>
      <c r="AA340" s="33">
        <f t="shared" ref="AA340:AC340" si="434">+AA324*AA284</f>
        <v>36.96580966536</v>
      </c>
      <c r="AB340" s="33">
        <f t="shared" si="434"/>
        <v>36.96580966536</v>
      </c>
      <c r="AC340" s="57">
        <f t="shared" si="434"/>
        <v>36.96580966536</v>
      </c>
      <c r="AD340" s="37"/>
      <c r="AE340" s="37"/>
      <c r="AF340" s="37"/>
      <c r="AG340" s="37"/>
      <c r="AH340" s="37"/>
      <c r="AI340" s="37"/>
      <c r="AJ340" s="33"/>
      <c r="AK340" s="33"/>
      <c r="AL340" s="33"/>
      <c r="AM340" s="33"/>
      <c r="AN340" s="33"/>
      <c r="AO340" s="33"/>
      <c r="AP340" s="33"/>
      <c r="AQ340" s="33"/>
      <c r="AR340" s="33"/>
      <c r="AS340" s="33"/>
      <c r="AT340" s="33"/>
    </row>
    <row r="341" spans="1:46">
      <c r="A341" s="29" t="s">
        <v>856</v>
      </c>
      <c r="B341" s="33">
        <f t="shared" si="428"/>
        <v>0</v>
      </c>
      <c r="C341" s="33">
        <f t="shared" si="428"/>
        <v>0</v>
      </c>
      <c r="D341" s="33">
        <f t="shared" si="428"/>
        <v>0</v>
      </c>
      <c r="E341" s="57">
        <f t="shared" si="428"/>
        <v>0</v>
      </c>
      <c r="F341" s="33">
        <f t="shared" si="428"/>
        <v>0</v>
      </c>
      <c r="G341" s="33">
        <f t="shared" si="428"/>
        <v>0</v>
      </c>
      <c r="H341" s="33">
        <f t="shared" si="428"/>
        <v>0</v>
      </c>
      <c r="I341" s="57">
        <f t="shared" si="428"/>
        <v>0</v>
      </c>
      <c r="J341" s="33">
        <f t="shared" si="428"/>
        <v>0</v>
      </c>
      <c r="K341" s="33">
        <f t="shared" si="428"/>
        <v>0</v>
      </c>
      <c r="L341" s="33">
        <f t="shared" si="428"/>
        <v>0</v>
      </c>
      <c r="M341" s="57">
        <f t="shared" si="428"/>
        <v>0</v>
      </c>
      <c r="N341" s="33">
        <f>+N325*N285</f>
        <v>0</v>
      </c>
      <c r="O341" s="33">
        <f t="shared" si="428"/>
        <v>0</v>
      </c>
      <c r="P341" s="33">
        <f t="shared" si="428"/>
        <v>0</v>
      </c>
      <c r="Q341" s="57">
        <f t="shared" si="428"/>
        <v>0</v>
      </c>
      <c r="R341" s="33">
        <f t="shared" si="428"/>
        <v>17.5636455339093</v>
      </c>
      <c r="S341" s="33">
        <f t="shared" si="428"/>
        <v>27.2778961571403</v>
      </c>
      <c r="T341" s="33">
        <f t="shared" si="428"/>
        <v>26.9401031187118</v>
      </c>
      <c r="U341" s="57">
        <f t="shared" si="428"/>
        <v>26.5989321498989</v>
      </c>
      <c r="V341" s="33">
        <f t="shared" si="428"/>
        <v>11.5070467534504</v>
      </c>
      <c r="W341" s="33">
        <f t="shared" si="428"/>
        <v>21.8577595567629</v>
      </c>
      <c r="X341" s="33">
        <f t="shared" si="428"/>
        <v>22.5196339656276</v>
      </c>
      <c r="Y341" s="57">
        <f t="shared" si="428"/>
        <v>22.5196339656276</v>
      </c>
      <c r="Z341" s="33">
        <f t="shared" si="429"/>
        <v>7.6249336733294</v>
      </c>
      <c r="AA341" s="33">
        <f t="shared" ref="AA341:AC341" si="435">+AA325*AA285</f>
        <v>17.7665785989261</v>
      </c>
      <c r="AB341" s="33">
        <f t="shared" si="435"/>
        <v>18.3454221869476</v>
      </c>
      <c r="AC341" s="57">
        <f t="shared" si="435"/>
        <v>18.3454221869476</v>
      </c>
      <c r="AD341" s="37"/>
      <c r="AE341" s="37"/>
      <c r="AF341" s="37"/>
      <c r="AG341" s="37"/>
      <c r="AH341" s="37"/>
      <c r="AI341" s="37"/>
      <c r="AJ341" s="33"/>
      <c r="AK341" s="33"/>
      <c r="AL341" s="33"/>
      <c r="AM341" s="33"/>
      <c r="AN341" s="33"/>
      <c r="AO341" s="33"/>
      <c r="AP341" s="33"/>
      <c r="AQ341" s="33"/>
      <c r="AR341" s="33"/>
      <c r="AS341" s="33"/>
      <c r="AT341" s="33"/>
    </row>
    <row r="342" spans="1:46">
      <c r="A342" s="22"/>
      <c r="B342" s="27"/>
      <c r="C342" s="27"/>
      <c r="D342" s="27"/>
      <c r="E342" s="52"/>
      <c r="F342" s="27"/>
      <c r="G342" s="27"/>
      <c r="H342" s="27"/>
      <c r="I342" s="52"/>
      <c r="J342" s="27"/>
      <c r="K342" s="27"/>
      <c r="L342" s="27"/>
      <c r="M342" s="52"/>
      <c r="N342" s="27"/>
      <c r="O342" s="27"/>
      <c r="P342" s="27"/>
      <c r="Q342" s="52"/>
      <c r="R342" s="27"/>
      <c r="S342" s="27"/>
      <c r="T342" s="27"/>
      <c r="U342" s="52"/>
      <c r="V342" s="27"/>
      <c r="W342" s="27"/>
      <c r="X342" s="27"/>
      <c r="Y342" s="52"/>
      <c r="Z342" s="27"/>
      <c r="AA342" s="27"/>
      <c r="AB342" s="27"/>
      <c r="AC342" s="52"/>
      <c r="AD342" s="37"/>
      <c r="AE342" s="37"/>
      <c r="AF342" s="37"/>
      <c r="AG342" s="37"/>
      <c r="AH342" s="37"/>
      <c r="AI342" s="37"/>
      <c r="AJ342" s="33"/>
      <c r="AK342" s="33"/>
      <c r="AL342" s="33"/>
      <c r="AM342" s="33"/>
      <c r="AN342" s="33"/>
      <c r="AO342" s="33"/>
      <c r="AP342" s="33"/>
      <c r="AQ342" s="33"/>
      <c r="AR342" s="33"/>
      <c r="AS342" s="33"/>
      <c r="AT342" s="33"/>
    </row>
    <row r="343" spans="1:46">
      <c r="A343" s="22"/>
      <c r="B343" s="27"/>
      <c r="C343" s="27"/>
      <c r="D343" s="27"/>
      <c r="E343" s="52"/>
      <c r="F343" s="27"/>
      <c r="G343" s="27"/>
      <c r="H343" s="27"/>
      <c r="I343" s="52"/>
      <c r="J343" s="27"/>
      <c r="K343" s="27"/>
      <c r="L343" s="27"/>
      <c r="M343" s="52"/>
      <c r="N343" s="27"/>
      <c r="O343" s="27"/>
      <c r="P343" s="27"/>
      <c r="Q343" s="52"/>
      <c r="R343" s="27"/>
      <c r="S343" s="27"/>
      <c r="T343" s="27"/>
      <c r="U343" s="52"/>
      <c r="V343" s="27"/>
      <c r="W343" s="27"/>
      <c r="X343" s="27"/>
      <c r="Y343" s="52"/>
      <c r="Z343" s="27"/>
      <c r="AA343" s="27"/>
      <c r="AB343" s="27"/>
      <c r="AC343" s="52"/>
      <c r="AD343" s="37"/>
      <c r="AE343" s="37"/>
      <c r="AF343" s="37"/>
      <c r="AG343" s="37"/>
      <c r="AH343" s="37"/>
      <c r="AI343" s="37"/>
      <c r="AJ343" s="33"/>
      <c r="AK343" s="33"/>
      <c r="AL343" s="33"/>
      <c r="AM343" s="33"/>
      <c r="AN343" s="33"/>
      <c r="AO343" s="33"/>
      <c r="AP343" s="33"/>
      <c r="AQ343" s="33"/>
      <c r="AR343" s="33"/>
      <c r="AS343" s="33"/>
      <c r="AT343" s="33"/>
    </row>
    <row r="344" spans="1:46">
      <c r="A344" s="22"/>
      <c r="B344" s="27"/>
      <c r="C344" s="27"/>
      <c r="D344" s="27"/>
      <c r="E344" s="52"/>
      <c r="F344" s="27"/>
      <c r="G344" s="27"/>
      <c r="H344" s="27"/>
      <c r="I344" s="52"/>
      <c r="J344" s="27"/>
      <c r="K344" s="27"/>
      <c r="L344" s="27"/>
      <c r="M344" s="52"/>
      <c r="N344" s="27"/>
      <c r="O344" s="27"/>
      <c r="P344" s="27"/>
      <c r="Q344" s="52"/>
      <c r="R344" s="27"/>
      <c r="S344" s="27"/>
      <c r="T344" s="27"/>
      <c r="U344" s="52"/>
      <c r="V344" s="27"/>
      <c r="W344" s="27"/>
      <c r="X344" s="27"/>
      <c r="Y344" s="52"/>
      <c r="Z344" s="27"/>
      <c r="AA344" s="27"/>
      <c r="AB344" s="27"/>
      <c r="AC344" s="52"/>
      <c r="AD344" s="37"/>
      <c r="AE344" s="37"/>
      <c r="AF344" s="37"/>
      <c r="AG344" s="37"/>
      <c r="AH344" s="37"/>
      <c r="AI344" s="37"/>
      <c r="AJ344" s="33"/>
      <c r="AK344" s="33"/>
      <c r="AL344" s="33"/>
      <c r="AM344" s="33"/>
      <c r="AN344" s="33"/>
      <c r="AO344" s="33"/>
      <c r="AP344" s="33"/>
      <c r="AQ344" s="33"/>
      <c r="AR344" s="33"/>
      <c r="AS344" s="33"/>
      <c r="AT344" s="33"/>
    </row>
    <row r="345" s="5" customFormat="1" ht="12" spans="1:53">
      <c r="A345" s="192" t="s">
        <v>731</v>
      </c>
      <c r="B345" s="193"/>
      <c r="C345" s="193"/>
      <c r="D345" s="193"/>
      <c r="E345" s="199"/>
      <c r="F345" s="193"/>
      <c r="G345" s="193"/>
      <c r="H345" s="193"/>
      <c r="I345" s="199"/>
      <c r="J345" s="193"/>
      <c r="K345" s="193"/>
      <c r="L345" s="193"/>
      <c r="M345" s="199"/>
      <c r="N345" s="193"/>
      <c r="O345" s="193"/>
      <c r="P345" s="193"/>
      <c r="Q345" s="199"/>
      <c r="R345" s="193"/>
      <c r="S345" s="193"/>
      <c r="T345" s="193"/>
      <c r="U345" s="199"/>
      <c r="V345" s="193"/>
      <c r="W345" s="193"/>
      <c r="X345" s="193"/>
      <c r="Y345" s="199"/>
      <c r="Z345" s="193"/>
      <c r="AA345" s="193"/>
      <c r="AB345" s="193"/>
      <c r="AC345" s="199"/>
      <c r="AD345" s="193"/>
      <c r="AE345" s="193"/>
      <c r="AF345" s="193">
        <f t="shared" ref="AF345:AT345" si="436">+AF3</f>
        <v>2014</v>
      </c>
      <c r="AG345" s="193">
        <f t="shared" si="436"/>
        <v>2015</v>
      </c>
      <c r="AH345" s="193">
        <f t="shared" si="436"/>
        <v>2016</v>
      </c>
      <c r="AI345" s="193">
        <f t="shared" si="436"/>
        <v>2017</v>
      </c>
      <c r="AJ345" s="193">
        <f t="shared" si="436"/>
        <v>2018</v>
      </c>
      <c r="AK345" s="193">
        <f t="shared" si="436"/>
        <v>2019</v>
      </c>
      <c r="AL345" s="193">
        <f t="shared" si="436"/>
        <v>2020</v>
      </c>
      <c r="AM345" s="193">
        <f t="shared" si="436"/>
        <v>2021</v>
      </c>
      <c r="AN345" s="193">
        <f t="shared" si="436"/>
        <v>2022</v>
      </c>
      <c r="AO345" s="193">
        <f t="shared" si="436"/>
        <v>2023</v>
      </c>
      <c r="AP345" s="193">
        <f t="shared" si="436"/>
        <v>2024</v>
      </c>
      <c r="AQ345" s="193" t="str">
        <f t="shared" si="436"/>
        <v>2025E</v>
      </c>
      <c r="AR345" s="193" t="str">
        <f t="shared" si="436"/>
        <v>2026E</v>
      </c>
      <c r="AS345" s="193" t="str">
        <f t="shared" si="436"/>
        <v>2027E</v>
      </c>
      <c r="AT345" s="193" t="str">
        <f t="shared" si="436"/>
        <v>2028E</v>
      </c>
      <c r="AU345" s="193"/>
      <c r="AV345" s="193"/>
      <c r="AW345" s="193"/>
      <c r="AX345" s="193"/>
      <c r="AY345" s="193"/>
      <c r="AZ345" s="193"/>
      <c r="BA345" s="193"/>
    </row>
    <row r="346" s="6" customFormat="1" ht="12" spans="1:53">
      <c r="A346" s="194"/>
      <c r="B346" s="195"/>
      <c r="C346" s="195"/>
      <c r="D346" s="195"/>
      <c r="E346" s="200"/>
      <c r="F346" s="195"/>
      <c r="G346" s="195"/>
      <c r="H346" s="175"/>
      <c r="I346" s="177"/>
      <c r="J346" s="175"/>
      <c r="K346" s="175"/>
      <c r="L346" s="175"/>
      <c r="M346" s="177"/>
      <c r="N346" s="175"/>
      <c r="O346" s="175"/>
      <c r="P346" s="175"/>
      <c r="Q346" s="177"/>
      <c r="R346" s="175"/>
      <c r="S346" s="175"/>
      <c r="T346" s="175"/>
      <c r="U346" s="177"/>
      <c r="V346" s="175"/>
      <c r="W346" s="175"/>
      <c r="X346" s="175"/>
      <c r="Y346" s="177"/>
      <c r="Z346" s="175"/>
      <c r="AA346" s="175"/>
      <c r="AB346" s="175"/>
      <c r="AC346" s="177"/>
      <c r="AD346" s="175"/>
      <c r="AE346" s="175"/>
      <c r="AF346" s="196"/>
      <c r="AG346" s="196"/>
      <c r="AH346" s="196"/>
      <c r="AI346" s="196"/>
      <c r="AJ346" s="196"/>
      <c r="AK346" s="196"/>
      <c r="AL346" s="207"/>
      <c r="AM346" s="207"/>
      <c r="AN346" s="207"/>
      <c r="AO346" s="207"/>
      <c r="AP346" s="207"/>
      <c r="AQ346" s="207"/>
      <c r="AR346" s="207"/>
      <c r="AS346" s="207"/>
      <c r="AT346" s="207"/>
      <c r="AU346" s="30"/>
      <c r="AV346" s="30"/>
      <c r="AW346" s="30"/>
      <c r="AX346" s="30"/>
      <c r="AY346" s="30"/>
      <c r="AZ346" s="30"/>
      <c r="BA346" s="30"/>
    </row>
    <row r="347" s="6" customFormat="1" ht="12" spans="1:53">
      <c r="A347" s="194" t="s">
        <v>903</v>
      </c>
      <c r="B347" s="175">
        <f>+Model!BD13</f>
        <v>0.331165762081333</v>
      </c>
      <c r="C347" s="175">
        <f>+Model!BE13</f>
        <v>0.343593051160688</v>
      </c>
      <c r="D347" s="175">
        <f>+Model!BF13</f>
        <v>0.375928586827187</v>
      </c>
      <c r="E347" s="177">
        <f>+Model!BG13</f>
        <v>0.405137328801181</v>
      </c>
      <c r="F347" s="175">
        <f>+Model!BH13</f>
        <v>0.340442968353827</v>
      </c>
      <c r="G347" s="175">
        <f>+Model!BI13</f>
        <v>0.254661369611694</v>
      </c>
      <c r="H347" s="175">
        <f>+Model!BJ13</f>
        <v>0.261572796309247</v>
      </c>
      <c r="I347" s="177">
        <f>+Model!BK13</f>
        <v>0.367681601216027</v>
      </c>
      <c r="J347" s="175">
        <f>+Model!BL13</f>
        <v>0.420049085378117</v>
      </c>
      <c r="K347" s="175">
        <f>+Model!BM13</f>
        <v>0.437606158521172</v>
      </c>
      <c r="L347" s="175">
        <f>+Model!BN13</f>
        <v>0.41530453400057</v>
      </c>
      <c r="M347" s="177">
        <f>+Model!BO13</f>
        <v>0.481928981689354</v>
      </c>
      <c r="N347" s="175">
        <f>+Model!BP13</f>
        <v>0.486597338537</v>
      </c>
      <c r="O347" s="175">
        <f>+Model!BQ13</f>
        <v>0.466435206537813</v>
      </c>
      <c r="P347" s="175">
        <f>+Model!BR13</f>
        <v>0.469384757497321</v>
      </c>
      <c r="Q347" s="177">
        <f>+Model!BS13</f>
        <v>0.489115887391668</v>
      </c>
      <c r="R347" s="175">
        <f>+Model!BT13</f>
        <v>0.49160955149051</v>
      </c>
      <c r="S347" s="175"/>
      <c r="T347" s="175"/>
      <c r="U347" s="177"/>
      <c r="V347" s="175"/>
      <c r="W347" s="175"/>
      <c r="X347" s="175"/>
      <c r="Y347" s="177"/>
      <c r="Z347" s="175"/>
      <c r="AA347" s="175"/>
      <c r="AB347" s="175"/>
      <c r="AC347" s="177"/>
      <c r="AD347" s="175"/>
      <c r="AE347" s="175"/>
      <c r="AF347" s="207">
        <f t="shared" ref="AF347:AN347" si="437">AF348/AF5</f>
        <v>0.305307920565301</v>
      </c>
      <c r="AG347" s="207">
        <f t="shared" si="437"/>
        <v>0.274038357849976</v>
      </c>
      <c r="AH347" s="207">
        <f t="shared" si="437"/>
        <v>0.263720832626465</v>
      </c>
      <c r="AI347" s="207">
        <f t="shared" si="437"/>
        <v>0.2400147181133</v>
      </c>
      <c r="AJ347" s="207">
        <f t="shared" si="437"/>
        <v>0.195087752888393</v>
      </c>
      <c r="AK347" s="207">
        <f t="shared" si="437"/>
        <v>0.347186895690388</v>
      </c>
      <c r="AL347" s="207">
        <f t="shared" si="437"/>
        <v>0.368606703960072</v>
      </c>
      <c r="AM347" s="207">
        <f t="shared" si="437"/>
        <v>0.321714641634189</v>
      </c>
      <c r="AN347" s="207">
        <f t="shared" si="437"/>
        <v>0.366617790357632</v>
      </c>
      <c r="AO347" s="207"/>
      <c r="AP347" s="207"/>
      <c r="AQ347" s="207"/>
      <c r="AR347" s="207"/>
      <c r="AS347" s="207"/>
      <c r="AT347" s="207"/>
      <c r="AU347" s="30"/>
      <c r="AV347" s="30"/>
      <c r="AW347" s="30"/>
      <c r="AX347" s="30"/>
      <c r="AY347" s="30"/>
      <c r="AZ347" s="30"/>
      <c r="BA347" s="30"/>
    </row>
    <row r="348" s="7" customFormat="1" ht="12" spans="1:53">
      <c r="A348" s="22" t="s">
        <v>904</v>
      </c>
      <c r="B348" s="37">
        <f>+Model!BD12</f>
        <v>244.57032108</v>
      </c>
      <c r="C348" s="37">
        <f>+Model!BE12</f>
        <v>254.37384205</v>
      </c>
      <c r="D348" s="37">
        <f>+Model!BF12</f>
        <v>351.74102447</v>
      </c>
      <c r="E348" s="59">
        <f>+Model!BG12</f>
        <v>363.0300603</v>
      </c>
      <c r="F348" s="37">
        <f>+Model!BH12</f>
        <v>204.34166272</v>
      </c>
      <c r="G348" s="37">
        <f>+Model!BI12</f>
        <v>179.39898627</v>
      </c>
      <c r="H348" s="37">
        <f>+Model!BJ12</f>
        <v>204.64506775</v>
      </c>
      <c r="I348" s="59">
        <f>+Model!BK12</f>
        <v>371.56365662</v>
      </c>
      <c r="J348" s="37">
        <f>+Model!BL12</f>
        <v>467.45326054</v>
      </c>
      <c r="K348" s="37">
        <f>+Model!BM12</f>
        <v>706.65556064</v>
      </c>
      <c r="L348" s="37">
        <f>+Model!BN12</f>
        <v>997.87755284</v>
      </c>
      <c r="M348" s="59">
        <f>+Model!BO12</f>
        <v>1694.65281858</v>
      </c>
      <c r="N348" s="37">
        <f>+Model!BP12</f>
        <v>1971.81724664</v>
      </c>
      <c r="O348" s="37">
        <f>+Model!BQ12</f>
        <v>2978.14855304</v>
      </c>
      <c r="P348" s="37">
        <f>+Model!BR12</f>
        <v>2848.04878623</v>
      </c>
      <c r="Q348" s="59">
        <f>+Model!BS12</f>
        <v>4077.7902751</v>
      </c>
      <c r="R348" s="37">
        <f>+Model!BT12</f>
        <v>4098.99228262</v>
      </c>
      <c r="S348" s="196"/>
      <c r="T348" s="196"/>
      <c r="U348" s="201"/>
      <c r="V348" s="196"/>
      <c r="W348" s="196"/>
      <c r="X348" s="196"/>
      <c r="Y348" s="201"/>
      <c r="Z348" s="196"/>
      <c r="AA348" s="196"/>
      <c r="AB348" s="196"/>
      <c r="AC348" s="201"/>
      <c r="AD348" s="196"/>
      <c r="AE348" s="196"/>
      <c r="AF348" s="208">
        <f>Model!H12</f>
        <v>159.56438168</v>
      </c>
      <c r="AG348" s="208">
        <f>Model!I12</f>
        <v>168.56635825</v>
      </c>
      <c r="AH348" s="208">
        <f>Model!J12</f>
        <v>188.27864939</v>
      </c>
      <c r="AI348" s="208">
        <f>Model!K12</f>
        <v>210.58059999</v>
      </c>
      <c r="AJ348" s="208">
        <f>Model!L12</f>
        <v>148.25699331</v>
      </c>
      <c r="AK348" s="208">
        <f>Model!M12</f>
        <v>404.42887765</v>
      </c>
      <c r="AL348" s="208">
        <f>Model!N12</f>
        <v>736.45324737</v>
      </c>
      <c r="AM348" s="208">
        <f>Model!O12</f>
        <v>935.66716309</v>
      </c>
      <c r="AN348" s="208">
        <f>Model!P12</f>
        <v>1213.7152479</v>
      </c>
      <c r="AO348" s="207"/>
      <c r="AP348" s="207"/>
      <c r="AQ348" s="207"/>
      <c r="AR348" s="207"/>
      <c r="AS348" s="207"/>
      <c r="AT348" s="207"/>
      <c r="AU348" s="30"/>
      <c r="AV348" s="30"/>
      <c r="AW348" s="30"/>
      <c r="AX348" s="30"/>
      <c r="AY348" s="30"/>
      <c r="AZ348" s="30"/>
      <c r="BA348" s="30"/>
    </row>
    <row r="349" s="7" customFormat="1" ht="12" spans="1:53">
      <c r="A349" s="22"/>
      <c r="B349" s="37"/>
      <c r="C349" s="37"/>
      <c r="D349" s="37"/>
      <c r="E349" s="59"/>
      <c r="F349" s="37"/>
      <c r="G349" s="37"/>
      <c r="H349" s="196"/>
      <c r="I349" s="201"/>
      <c r="J349" s="196"/>
      <c r="K349" s="196"/>
      <c r="L349" s="196"/>
      <c r="M349" s="201"/>
      <c r="N349" s="196"/>
      <c r="O349" s="196"/>
      <c r="P349" s="196"/>
      <c r="Q349" s="201"/>
      <c r="R349" s="196"/>
      <c r="S349" s="196"/>
      <c r="T349" s="196"/>
      <c r="U349" s="201"/>
      <c r="V349" s="196"/>
      <c r="W349" s="196"/>
      <c r="X349" s="196"/>
      <c r="Y349" s="201"/>
      <c r="Z349" s="196"/>
      <c r="AA349" s="196"/>
      <c r="AB349" s="196"/>
      <c r="AC349" s="201"/>
      <c r="AD349" s="196"/>
      <c r="AE349" s="196"/>
      <c r="AF349" s="196"/>
      <c r="AG349" s="196"/>
      <c r="AH349" s="196"/>
      <c r="AI349" s="196"/>
      <c r="AJ349" s="214"/>
      <c r="AK349" s="214"/>
      <c r="AL349" s="207"/>
      <c r="AM349" s="207"/>
      <c r="AN349" s="207"/>
      <c r="AO349" s="207"/>
      <c r="AP349" s="207"/>
      <c r="AQ349" s="207"/>
      <c r="AR349" s="207"/>
      <c r="AS349" s="207"/>
      <c r="AT349" s="207"/>
      <c r="AU349" s="30"/>
      <c r="AV349" s="30"/>
      <c r="AW349" s="30"/>
      <c r="AX349" s="30"/>
      <c r="AY349" s="30"/>
      <c r="AZ349" s="30"/>
      <c r="BA349" s="30"/>
    </row>
    <row r="350" s="6" customFormat="1" ht="12" spans="1:53">
      <c r="A350" s="22" t="s">
        <v>905</v>
      </c>
      <c r="B350" s="138"/>
      <c r="C350" s="138"/>
      <c r="D350" s="138"/>
      <c r="E350" s="147"/>
      <c r="F350" s="138"/>
      <c r="G350" s="175"/>
      <c r="H350" s="175"/>
      <c r="I350" s="177"/>
      <c r="J350" s="175"/>
      <c r="K350" s="175"/>
      <c r="L350" s="175"/>
      <c r="M350" s="177"/>
      <c r="N350" s="175"/>
      <c r="O350" s="175"/>
      <c r="P350" s="175"/>
      <c r="Q350" s="177"/>
      <c r="R350" s="175"/>
      <c r="S350" s="175"/>
      <c r="T350" s="175"/>
      <c r="U350" s="177"/>
      <c r="V350" s="175"/>
      <c r="W350" s="175"/>
      <c r="X350" s="175"/>
      <c r="Y350" s="177"/>
      <c r="Z350" s="175"/>
      <c r="AA350" s="175"/>
      <c r="AB350" s="175"/>
      <c r="AC350" s="177"/>
      <c r="AD350" s="209"/>
      <c r="AE350" s="209"/>
      <c r="AF350" s="209"/>
      <c r="AG350" s="209"/>
      <c r="AH350" s="209"/>
      <c r="AI350" s="209"/>
      <c r="AJ350" s="215"/>
      <c r="AK350" s="215"/>
      <c r="AL350" s="171"/>
      <c r="AM350" s="171"/>
      <c r="AN350" s="171"/>
      <c r="AO350" s="171"/>
      <c r="AP350" s="171"/>
      <c r="AQ350" s="171"/>
      <c r="AR350" s="171"/>
      <c r="AS350" s="171"/>
      <c r="AT350" s="171"/>
      <c r="AU350" s="27"/>
      <c r="AV350" s="27"/>
      <c r="AW350" s="27"/>
      <c r="AX350" s="27"/>
      <c r="AY350" s="27"/>
      <c r="AZ350" s="27"/>
      <c r="BA350" s="27"/>
    </row>
    <row r="351" s="6" customFormat="1" ht="12" spans="1:53">
      <c r="A351" s="18" t="s">
        <v>906</v>
      </c>
      <c r="B351" s="33">
        <f t="shared" ref="B351:G351" si="438">+B348-B352-B353</f>
        <v>233.19608466436</v>
      </c>
      <c r="C351" s="33">
        <f t="shared" si="438"/>
        <v>252.01175165276</v>
      </c>
      <c r="D351" s="33">
        <f t="shared" si="438"/>
        <v>347.38638861604</v>
      </c>
      <c r="E351" s="57">
        <f t="shared" si="438"/>
        <v>358.83966720262</v>
      </c>
      <c r="F351" s="33">
        <f t="shared" si="438"/>
        <v>201.0709675831</v>
      </c>
      <c r="G351" s="33">
        <f t="shared" si="438"/>
        <v>176.9085216527</v>
      </c>
      <c r="H351" s="33">
        <f t="shared" ref="H351:Y351" si="439">+H356</f>
        <v>200.860515</v>
      </c>
      <c r="I351" s="57">
        <f t="shared" si="439"/>
        <v>369.8162845</v>
      </c>
      <c r="J351" s="33">
        <f>J348-J352-J353</f>
        <v>464.019030646255</v>
      </c>
      <c r="K351" s="33">
        <f t="shared" ref="K351:R351" si="440">K348-K352-K353</f>
        <v>704.040572791835</v>
      </c>
      <c r="L351" s="33">
        <f t="shared" si="440"/>
        <v>993.057118647965</v>
      </c>
      <c r="M351" s="33">
        <f t="shared" si="440"/>
        <v>1690.01471646308</v>
      </c>
      <c r="N351" s="33">
        <f t="shared" si="440"/>
        <v>1968.21130525157</v>
      </c>
      <c r="O351" s="33">
        <f t="shared" si="440"/>
        <v>2975.40281579943</v>
      </c>
      <c r="P351" s="33">
        <f t="shared" si="440"/>
        <v>2842.98733032836</v>
      </c>
      <c r="Q351" s="57">
        <f t="shared" si="440"/>
        <v>4072.92026787724</v>
      </c>
      <c r="R351" s="33">
        <f t="shared" si="440"/>
        <v>4095.20604416215</v>
      </c>
      <c r="S351" s="33">
        <f t="shared" si="439"/>
        <v>5380.72114597583</v>
      </c>
      <c r="T351" s="33">
        <f t="shared" si="439"/>
        <v>7294.40852373332</v>
      </c>
      <c r="U351" s="57">
        <f t="shared" si="439"/>
        <v>8019.33587895986</v>
      </c>
      <c r="V351" s="33">
        <f t="shared" si="439"/>
        <v>6947.07274201577</v>
      </c>
      <c r="W351" s="33">
        <f t="shared" si="439"/>
        <v>8095.69441068095</v>
      </c>
      <c r="X351" s="33">
        <f t="shared" si="439"/>
        <v>10780.8483773346</v>
      </c>
      <c r="Y351" s="57">
        <f t="shared" si="439"/>
        <v>10037.7878314476</v>
      </c>
      <c r="Z351" s="33">
        <f t="shared" ref="Z351:AC351" si="441">+Z356</f>
        <v>6293.58654725759</v>
      </c>
      <c r="AA351" s="33">
        <f t="shared" si="441"/>
        <v>9391.73676028798</v>
      </c>
      <c r="AB351" s="33">
        <f t="shared" si="441"/>
        <v>13298.7942276249</v>
      </c>
      <c r="AC351" s="57">
        <f t="shared" si="441"/>
        <v>12352.8700313092</v>
      </c>
      <c r="AD351" s="209"/>
      <c r="AE351" s="209"/>
      <c r="AF351" s="209"/>
      <c r="AG351" s="209"/>
      <c r="AH351" s="209"/>
      <c r="AI351" s="209"/>
      <c r="AJ351" s="215"/>
      <c r="AK351" s="215"/>
      <c r="AL351" s="171"/>
      <c r="AM351" s="33">
        <f>+AM6*AM367</f>
        <v>920.440759</v>
      </c>
      <c r="AN351" s="33">
        <f t="shared" ref="AN351:AN353" si="442">+AN6*AN367</f>
        <v>1191.221283</v>
      </c>
      <c r="AO351" s="33">
        <f t="shared" ref="AO351:AO353" si="443">SUM(F351:I351)</f>
        <v>948.6562887358</v>
      </c>
      <c r="AP351" s="33">
        <f t="shared" ref="AP351:AP353" si="444">SUM(J351:M351)</f>
        <v>3851.13143854914</v>
      </c>
      <c r="AQ351" s="33">
        <f t="shared" ref="AQ351:AQ353" si="445">SUM(N351:Q351)</f>
        <v>11859.5217192566</v>
      </c>
      <c r="AR351" s="33">
        <f t="shared" ref="AR351:AR353" si="446">SUM(R351:U351)</f>
        <v>24789.6715928312</v>
      </c>
      <c r="AS351" s="33">
        <f t="shared" ref="AS351:AS353" si="447">SUM(V351:Y351)</f>
        <v>35861.403361479</v>
      </c>
      <c r="AT351" s="33">
        <f t="shared" ref="AT351:AT353" si="448">SUM(Z351:AC351)</f>
        <v>41336.9875664798</v>
      </c>
      <c r="AU351" s="27"/>
      <c r="AV351" s="27"/>
      <c r="AW351" s="27"/>
      <c r="AX351" s="27"/>
      <c r="AY351" s="27"/>
      <c r="AZ351" s="27"/>
      <c r="BA351" s="27"/>
    </row>
    <row r="352" s="6" customFormat="1" ht="12" spans="1:53">
      <c r="A352" s="18" t="s">
        <v>846</v>
      </c>
      <c r="B352" s="33">
        <f t="shared" ref="B352:Y352" si="449">+B7*B368</f>
        <v>1.092</v>
      </c>
      <c r="C352" s="33">
        <f t="shared" si="449"/>
        <v>0.2184</v>
      </c>
      <c r="D352" s="33">
        <f t="shared" si="449"/>
        <v>0.2912</v>
      </c>
      <c r="E352" s="57">
        <f t="shared" si="449"/>
        <v>0.1456</v>
      </c>
      <c r="F352" s="33">
        <f t="shared" si="449"/>
        <v>0.315</v>
      </c>
      <c r="G352" s="33">
        <f t="shared" si="449"/>
        <v>0.231</v>
      </c>
      <c r="H352" s="33">
        <f t="shared" si="449"/>
        <v>0.308</v>
      </c>
      <c r="I352" s="57">
        <f t="shared" si="449"/>
        <v>0.154</v>
      </c>
      <c r="J352" s="33">
        <f t="shared" si="449"/>
        <v>0.33075</v>
      </c>
      <c r="K352" s="33">
        <f t="shared" si="449"/>
        <v>0.24255</v>
      </c>
      <c r="L352" s="33">
        <f t="shared" si="449"/>
        <v>0.3234</v>
      </c>
      <c r="M352" s="57">
        <f t="shared" si="449"/>
        <v>0.1617</v>
      </c>
      <c r="N352" s="33">
        <f t="shared" si="449"/>
        <v>0.3472875</v>
      </c>
      <c r="O352" s="33">
        <f t="shared" si="449"/>
        <v>0.2546775</v>
      </c>
      <c r="P352" s="33">
        <f t="shared" si="449"/>
        <v>0.33957</v>
      </c>
      <c r="Q352" s="57">
        <f t="shared" si="449"/>
        <v>0.169785</v>
      </c>
      <c r="R352" s="33">
        <f t="shared" si="449"/>
        <v>0.364651875</v>
      </c>
      <c r="S352" s="33">
        <f t="shared" si="449"/>
        <v>0.267411375</v>
      </c>
      <c r="T352" s="33">
        <f t="shared" si="449"/>
        <v>0.3565485</v>
      </c>
      <c r="U352" s="57">
        <f t="shared" si="449"/>
        <v>0.17827425</v>
      </c>
      <c r="V352" s="33">
        <f t="shared" si="449"/>
        <v>0.38288446875</v>
      </c>
      <c r="W352" s="33">
        <f t="shared" si="449"/>
        <v>0.28078194375</v>
      </c>
      <c r="X352" s="33">
        <f t="shared" si="449"/>
        <v>0.374375925</v>
      </c>
      <c r="Y352" s="57">
        <f t="shared" si="449"/>
        <v>0.1871879625</v>
      </c>
      <c r="Z352" s="33">
        <f t="shared" ref="Z352:AC352" si="450">+Z7*Z368</f>
        <v>0.4020286921875</v>
      </c>
      <c r="AA352" s="33">
        <f t="shared" si="450"/>
        <v>0.2948210409375</v>
      </c>
      <c r="AB352" s="33">
        <f t="shared" si="450"/>
        <v>0.39309472125</v>
      </c>
      <c r="AC352" s="57">
        <f t="shared" si="450"/>
        <v>0.196547360625</v>
      </c>
      <c r="AD352" s="209"/>
      <c r="AE352" s="209"/>
      <c r="AF352" s="209"/>
      <c r="AG352" s="209"/>
      <c r="AH352" s="209"/>
      <c r="AI352" s="209"/>
      <c r="AJ352" s="215"/>
      <c r="AK352" s="215"/>
      <c r="AL352" s="171"/>
      <c r="AM352" s="33">
        <f>+AM7*AM368</f>
        <v>3.0163</v>
      </c>
      <c r="AN352" s="33">
        <f t="shared" si="442"/>
        <v>1.917552</v>
      </c>
      <c r="AO352" s="33">
        <f t="shared" si="443"/>
        <v>1.008</v>
      </c>
      <c r="AP352" s="33">
        <f t="shared" si="444"/>
        <v>1.0584</v>
      </c>
      <c r="AQ352" s="33">
        <f t="shared" si="445"/>
        <v>1.11132</v>
      </c>
      <c r="AR352" s="33">
        <f t="shared" si="446"/>
        <v>1.166886</v>
      </c>
      <c r="AS352" s="33">
        <f t="shared" si="447"/>
        <v>1.2252303</v>
      </c>
      <c r="AT352" s="33">
        <f t="shared" si="448"/>
        <v>1.286491815</v>
      </c>
      <c r="AU352" s="27"/>
      <c r="AV352" s="27"/>
      <c r="AW352" s="27"/>
      <c r="AX352" s="27"/>
      <c r="AY352" s="27"/>
      <c r="AZ352" s="27"/>
      <c r="BA352" s="27"/>
    </row>
    <row r="353" s="6" customFormat="1" ht="12" spans="1:53">
      <c r="A353" s="18" t="s">
        <v>847</v>
      </c>
      <c r="B353" s="33">
        <f t="shared" ref="B353:Y353" si="451">+B8*B369</f>
        <v>10.28223641564</v>
      </c>
      <c r="C353" s="33">
        <f t="shared" si="451"/>
        <v>2.14369039724004</v>
      </c>
      <c r="D353" s="33">
        <f t="shared" si="451"/>
        <v>4.06343585395993</v>
      </c>
      <c r="E353" s="57">
        <f t="shared" si="451"/>
        <v>4.04479309737996</v>
      </c>
      <c r="F353" s="33">
        <f t="shared" si="451"/>
        <v>2.95569513690001</v>
      </c>
      <c r="G353" s="33">
        <f t="shared" si="451"/>
        <v>2.25946461730005</v>
      </c>
      <c r="H353" s="33">
        <f t="shared" si="451"/>
        <v>4.28288970669992</v>
      </c>
      <c r="I353" s="57">
        <f t="shared" si="451"/>
        <v>4.26324011134996</v>
      </c>
      <c r="J353" s="33">
        <f t="shared" si="451"/>
        <v>3.10347989374501</v>
      </c>
      <c r="K353" s="33">
        <f t="shared" si="451"/>
        <v>2.37243784816505</v>
      </c>
      <c r="L353" s="33">
        <f t="shared" si="451"/>
        <v>4.49703419203492</v>
      </c>
      <c r="M353" s="57">
        <f t="shared" si="451"/>
        <v>4.47640211691746</v>
      </c>
      <c r="N353" s="33">
        <f t="shared" si="451"/>
        <v>3.25865388843226</v>
      </c>
      <c r="O353" s="33">
        <f t="shared" si="451"/>
        <v>2.4910597405733</v>
      </c>
      <c r="P353" s="33">
        <f t="shared" si="451"/>
        <v>4.72188590163667</v>
      </c>
      <c r="Q353" s="57">
        <f t="shared" si="451"/>
        <v>4.70022222276334</v>
      </c>
      <c r="R353" s="33">
        <f t="shared" si="451"/>
        <v>3.42158658285387</v>
      </c>
      <c r="S353" s="33">
        <f t="shared" si="451"/>
        <v>2.61561272760197</v>
      </c>
      <c r="T353" s="33">
        <f t="shared" si="451"/>
        <v>4.9579801967185</v>
      </c>
      <c r="U353" s="57">
        <f t="shared" si="451"/>
        <v>4.9352333339015</v>
      </c>
      <c r="V353" s="33">
        <f t="shared" si="451"/>
        <v>3.59266591199656</v>
      </c>
      <c r="W353" s="33">
        <f t="shared" si="451"/>
        <v>2.74639336398206</v>
      </c>
      <c r="X353" s="33">
        <f t="shared" si="451"/>
        <v>5.20587920655443</v>
      </c>
      <c r="Y353" s="57">
        <f t="shared" si="451"/>
        <v>5.18199500059658</v>
      </c>
      <c r="Z353" s="33">
        <f t="shared" ref="Z353:AC353" si="452">+Z8*Z369</f>
        <v>3.77229920759639</v>
      </c>
      <c r="AA353" s="33">
        <f t="shared" si="452"/>
        <v>2.88371303218117</v>
      </c>
      <c r="AB353" s="33">
        <f t="shared" si="452"/>
        <v>5.46617316688215</v>
      </c>
      <c r="AC353" s="57">
        <f t="shared" si="452"/>
        <v>5.44109475062641</v>
      </c>
      <c r="AD353" s="209"/>
      <c r="AE353" s="209"/>
      <c r="AF353" s="209"/>
      <c r="AG353" s="209"/>
      <c r="AH353" s="209"/>
      <c r="AI353" s="209"/>
      <c r="AJ353" s="215"/>
      <c r="AK353" s="215"/>
      <c r="AL353" s="171"/>
      <c r="AM353" s="33">
        <f>+AM348-AM351-AM352</f>
        <v>12.2101040900003</v>
      </c>
      <c r="AN353" s="33">
        <f t="shared" si="442"/>
        <v>20.516925</v>
      </c>
      <c r="AO353" s="33">
        <f t="shared" si="443"/>
        <v>13.7612895722499</v>
      </c>
      <c r="AP353" s="33">
        <f t="shared" si="444"/>
        <v>14.4493540508624</v>
      </c>
      <c r="AQ353" s="33">
        <f t="shared" si="445"/>
        <v>15.1718217534056</v>
      </c>
      <c r="AR353" s="33">
        <f t="shared" si="446"/>
        <v>15.9304128410758</v>
      </c>
      <c r="AS353" s="33">
        <f t="shared" si="447"/>
        <v>16.7269334831296</v>
      </c>
      <c r="AT353" s="33">
        <f t="shared" si="448"/>
        <v>17.5632801572861</v>
      </c>
      <c r="AU353" s="27"/>
      <c r="AV353" s="27"/>
      <c r="AW353" s="27"/>
      <c r="AX353" s="27"/>
      <c r="AY353" s="27"/>
      <c r="AZ353" s="27"/>
      <c r="BA353" s="27"/>
    </row>
    <row r="354" s="7" customFormat="1" ht="12" spans="1:53">
      <c r="A354" s="22" t="s">
        <v>907</v>
      </c>
      <c r="B354" s="37">
        <f>SUM(B351:B353)</f>
        <v>244.57032108</v>
      </c>
      <c r="C354" s="37">
        <f t="shared" ref="C354:Y354" si="453">SUM(C351:C353)</f>
        <v>254.37384205</v>
      </c>
      <c r="D354" s="37">
        <f t="shared" si="453"/>
        <v>351.74102447</v>
      </c>
      <c r="E354" s="59">
        <f t="shared" si="453"/>
        <v>363.0300603</v>
      </c>
      <c r="F354" s="37">
        <f t="shared" si="453"/>
        <v>204.34166272</v>
      </c>
      <c r="G354" s="37">
        <f t="shared" si="453"/>
        <v>179.39898627</v>
      </c>
      <c r="H354" s="37">
        <f t="shared" si="453"/>
        <v>205.4514047067</v>
      </c>
      <c r="I354" s="59">
        <f t="shared" si="453"/>
        <v>374.23352461135</v>
      </c>
      <c r="J354" s="37">
        <f t="shared" si="453"/>
        <v>467.45326054</v>
      </c>
      <c r="K354" s="37">
        <f t="shared" si="453"/>
        <v>706.65556064</v>
      </c>
      <c r="L354" s="37">
        <f t="shared" si="453"/>
        <v>997.87755284</v>
      </c>
      <c r="M354" s="59">
        <f t="shared" si="453"/>
        <v>1694.65281858</v>
      </c>
      <c r="N354" s="37">
        <f t="shared" si="453"/>
        <v>1971.81724664</v>
      </c>
      <c r="O354" s="37">
        <f t="shared" si="453"/>
        <v>2978.14855304</v>
      </c>
      <c r="P354" s="37">
        <f t="shared" si="453"/>
        <v>2848.04878623</v>
      </c>
      <c r="Q354" s="59">
        <f t="shared" si="453"/>
        <v>4077.7902751</v>
      </c>
      <c r="R354" s="37">
        <f t="shared" si="453"/>
        <v>4098.99228262</v>
      </c>
      <c r="S354" s="37">
        <f t="shared" si="453"/>
        <v>5383.60417007843</v>
      </c>
      <c r="T354" s="37">
        <f t="shared" si="453"/>
        <v>7299.72305243004</v>
      </c>
      <c r="U354" s="59">
        <f t="shared" si="453"/>
        <v>8024.44938654376</v>
      </c>
      <c r="V354" s="37">
        <f t="shared" si="453"/>
        <v>6951.04829239652</v>
      </c>
      <c r="W354" s="37">
        <f t="shared" si="453"/>
        <v>8098.72158598869</v>
      </c>
      <c r="X354" s="37">
        <f t="shared" si="453"/>
        <v>10786.4286324662</v>
      </c>
      <c r="Y354" s="59">
        <f t="shared" si="453"/>
        <v>10043.1570144107</v>
      </c>
      <c r="Z354" s="37">
        <f t="shared" ref="Z354:AC354" si="454">SUM(Z351:Z353)</f>
        <v>6297.76087515738</v>
      </c>
      <c r="AA354" s="37">
        <f t="shared" si="454"/>
        <v>9394.9152943611</v>
      </c>
      <c r="AB354" s="37">
        <f t="shared" si="454"/>
        <v>13304.6534955131</v>
      </c>
      <c r="AC354" s="59">
        <f t="shared" si="454"/>
        <v>12358.5076734205</v>
      </c>
      <c r="AD354" s="210"/>
      <c r="AE354" s="210"/>
      <c r="AF354" s="210"/>
      <c r="AG354" s="210"/>
      <c r="AH354" s="210"/>
      <c r="AI354" s="210"/>
      <c r="AJ354" s="214"/>
      <c r="AK354" s="214"/>
      <c r="AL354" s="207"/>
      <c r="AM354" s="37">
        <f t="shared" ref="AM354:AT354" si="455">SUM(AM351:AM353)</f>
        <v>935.66716309</v>
      </c>
      <c r="AN354" s="37">
        <f t="shared" si="455"/>
        <v>1213.65576</v>
      </c>
      <c r="AO354" s="37">
        <f t="shared" si="455"/>
        <v>963.42557830805</v>
      </c>
      <c r="AP354" s="37">
        <f t="shared" si="455"/>
        <v>3866.6391926</v>
      </c>
      <c r="AQ354" s="37">
        <f t="shared" si="455"/>
        <v>11875.80486101</v>
      </c>
      <c r="AR354" s="37">
        <f t="shared" si="455"/>
        <v>24806.7688916722</v>
      </c>
      <c r="AS354" s="37">
        <f t="shared" si="455"/>
        <v>35879.3555252621</v>
      </c>
      <c r="AT354" s="37">
        <f t="shared" si="455"/>
        <v>41355.837338452</v>
      </c>
      <c r="AU354" s="30"/>
      <c r="AV354" s="30"/>
      <c r="AW354" s="30"/>
      <c r="AX354" s="30"/>
      <c r="AY354" s="30"/>
      <c r="AZ354" s="30"/>
      <c r="BA354" s="30"/>
    </row>
    <row r="355" s="6" customFormat="1" ht="12" spans="1:53">
      <c r="A355" s="21"/>
      <c r="B355" s="138"/>
      <c r="C355" s="138"/>
      <c r="D355" s="138"/>
      <c r="E355" s="147"/>
      <c r="F355" s="138"/>
      <c r="G355" s="175"/>
      <c r="H355" s="175"/>
      <c r="I355" s="177"/>
      <c r="J355" s="175"/>
      <c r="K355" s="175"/>
      <c r="L355" s="175"/>
      <c r="M355" s="177"/>
      <c r="N355" s="175"/>
      <c r="O355" s="175"/>
      <c r="P355" s="175"/>
      <c r="Q355" s="177"/>
      <c r="R355" s="175"/>
      <c r="S355" s="175"/>
      <c r="T355" s="175"/>
      <c r="U355" s="177"/>
      <c r="V355" s="175"/>
      <c r="W355" s="175"/>
      <c r="X355" s="175"/>
      <c r="Y355" s="177"/>
      <c r="Z355" s="175"/>
      <c r="AA355" s="175"/>
      <c r="AB355" s="175"/>
      <c r="AC355" s="177"/>
      <c r="AD355" s="209"/>
      <c r="AE355" s="209"/>
      <c r="AF355" s="209"/>
      <c r="AG355" s="209"/>
      <c r="AH355" s="209"/>
      <c r="AI355" s="209"/>
      <c r="AJ355" s="215"/>
      <c r="AK355" s="215"/>
      <c r="AL355" s="171"/>
      <c r="AM355" s="171"/>
      <c r="AN355" s="171"/>
      <c r="AO355" s="171"/>
      <c r="AP355" s="171"/>
      <c r="AQ355" s="171"/>
      <c r="AR355" s="171"/>
      <c r="AS355" s="171"/>
      <c r="AT355" s="171"/>
      <c r="AU355" s="27"/>
      <c r="AV355" s="27"/>
      <c r="AW355" s="27"/>
      <c r="AX355" s="27"/>
      <c r="AY355" s="27"/>
      <c r="AZ355" s="27"/>
      <c r="BA355" s="27"/>
    </row>
    <row r="356" s="4" customFormat="1" ht="12" spans="1:51">
      <c r="A356" s="36" t="s">
        <v>908</v>
      </c>
      <c r="B356" s="37">
        <f t="shared" ref="B356:Y356" si="456">SUM(B357:B363)</f>
        <v>232.82</v>
      </c>
      <c r="C356" s="37">
        <f t="shared" si="456"/>
        <v>251.51</v>
      </c>
      <c r="D356" s="37">
        <f t="shared" si="456"/>
        <v>346.9516</v>
      </c>
      <c r="E356" s="59">
        <f t="shared" si="456"/>
        <v>344.253</v>
      </c>
      <c r="F356" s="37">
        <f t="shared" si="456"/>
        <v>206.00613</v>
      </c>
      <c r="G356" s="37">
        <f t="shared" si="456"/>
        <v>182.318785</v>
      </c>
      <c r="H356" s="37">
        <f t="shared" si="456"/>
        <v>200.860515</v>
      </c>
      <c r="I356" s="59">
        <f t="shared" si="456"/>
        <v>369.8162845</v>
      </c>
      <c r="J356" s="37">
        <f>J351</f>
        <v>464.019030646255</v>
      </c>
      <c r="K356" s="37">
        <f t="shared" ref="K356:R356" si="457">K351</f>
        <v>704.040572791835</v>
      </c>
      <c r="L356" s="37">
        <f t="shared" si="457"/>
        <v>993.057118647965</v>
      </c>
      <c r="M356" s="37">
        <f t="shared" si="457"/>
        <v>1690.01471646308</v>
      </c>
      <c r="N356" s="37">
        <f t="shared" si="457"/>
        <v>1968.21130525157</v>
      </c>
      <c r="O356" s="37">
        <f t="shared" si="457"/>
        <v>2975.40281579943</v>
      </c>
      <c r="P356" s="37">
        <f t="shared" si="457"/>
        <v>2842.98733032836</v>
      </c>
      <c r="Q356" s="59">
        <f t="shared" si="457"/>
        <v>4072.92026787724</v>
      </c>
      <c r="R356" s="37">
        <f t="shared" si="457"/>
        <v>4095.20604416215</v>
      </c>
      <c r="S356" s="37">
        <f t="shared" si="456"/>
        <v>5380.72114597583</v>
      </c>
      <c r="T356" s="37">
        <f t="shared" si="456"/>
        <v>7294.40852373332</v>
      </c>
      <c r="U356" s="59">
        <f t="shared" si="456"/>
        <v>8019.33587895986</v>
      </c>
      <c r="V356" s="37">
        <f t="shared" si="456"/>
        <v>6947.07274201577</v>
      </c>
      <c r="W356" s="37">
        <f t="shared" si="456"/>
        <v>8095.69441068095</v>
      </c>
      <c r="X356" s="37">
        <f t="shared" si="456"/>
        <v>10780.8483773346</v>
      </c>
      <c r="Y356" s="59">
        <f t="shared" si="456"/>
        <v>10037.7878314476</v>
      </c>
      <c r="Z356" s="37">
        <f>SUM(Z357:Z364)</f>
        <v>6293.58654725759</v>
      </c>
      <c r="AA356" s="37">
        <f t="shared" ref="AA356:AC356" si="458">SUM(AA357:AA364)</f>
        <v>9391.73676028798</v>
      </c>
      <c r="AB356" s="37">
        <f t="shared" si="458"/>
        <v>13298.7942276249</v>
      </c>
      <c r="AC356" s="59">
        <f t="shared" si="458"/>
        <v>12352.8700313092</v>
      </c>
      <c r="AD356" s="168"/>
      <c r="AE356" s="168"/>
      <c r="AF356" s="168"/>
      <c r="AG356" s="168"/>
      <c r="AH356" s="168"/>
      <c r="AI356" s="168"/>
      <c r="AJ356" s="169"/>
      <c r="AK356" s="169"/>
      <c r="AL356" s="171"/>
      <c r="AM356" s="171"/>
      <c r="AN356" s="37">
        <f>SUM(E356:H356)</f>
        <v>933.43843</v>
      </c>
      <c r="AO356" s="37">
        <f>SUM(F356:I356)</f>
        <v>959.0017145</v>
      </c>
      <c r="AP356" s="37">
        <f t="shared" ref="AP356:AP363" si="459">SUM(J356:M356)</f>
        <v>3851.13143854914</v>
      </c>
      <c r="AQ356" s="37">
        <f t="shared" ref="AQ356:AQ363" si="460">SUM(N356:Q356)</f>
        <v>11859.5217192566</v>
      </c>
      <c r="AR356" s="37">
        <f t="shared" ref="AR356:AR363" si="461">SUM(R356:U356)</f>
        <v>24789.6715928312</v>
      </c>
      <c r="AS356" s="37">
        <f>SUM(V356:Y356)</f>
        <v>35861.403361479</v>
      </c>
      <c r="AT356" s="37">
        <f t="shared" ref="AT356:AT364" si="462">SUM(Z356:AC356)</f>
        <v>41336.9875664798</v>
      </c>
      <c r="AU356" s="172"/>
      <c r="AV356" s="172"/>
      <c r="AW356" s="173"/>
      <c r="AX356" s="173"/>
      <c r="AY356" s="173"/>
    </row>
    <row r="357" s="6" customFormat="1" ht="12" spans="1:51">
      <c r="A357" s="29" t="s">
        <v>851</v>
      </c>
      <c r="B357" s="33">
        <f t="shared" ref="B357:F357" si="463">+B336+B258</f>
        <v>72.66</v>
      </c>
      <c r="C357" s="33">
        <f t="shared" si="463"/>
        <v>75.082</v>
      </c>
      <c r="D357" s="33">
        <f t="shared" si="463"/>
        <v>80.8256</v>
      </c>
      <c r="E357" s="57">
        <f t="shared" si="463"/>
        <v>81.137</v>
      </c>
      <c r="F357" s="33">
        <f t="shared" si="463"/>
        <v>60.94098</v>
      </c>
      <c r="G357" s="33">
        <f t="shared" ref="G357:Y360" si="464">+G336+G258</f>
        <v>19.88635</v>
      </c>
      <c r="H357" s="33">
        <f t="shared" si="464"/>
        <v>28.232043</v>
      </c>
      <c r="I357" s="57">
        <f t="shared" si="464"/>
        <v>28.5097945</v>
      </c>
      <c r="J357" s="33">
        <f t="shared" si="464"/>
        <v>23.15444975</v>
      </c>
      <c r="K357" s="33">
        <f t="shared" si="464"/>
        <v>23.15444975</v>
      </c>
      <c r="L357" s="33">
        <f t="shared" si="464"/>
        <v>24.845364725</v>
      </c>
      <c r="M357" s="57">
        <f t="shared" si="464"/>
        <v>21.463534775</v>
      </c>
      <c r="N357" s="33">
        <f t="shared" si="464"/>
        <v>18.5402152344375</v>
      </c>
      <c r="O357" s="33">
        <f t="shared" si="464"/>
        <v>18.5402152344375</v>
      </c>
      <c r="P357" s="33">
        <f t="shared" si="464"/>
        <v>19.9136609228812</v>
      </c>
      <c r="Q357" s="57">
        <f t="shared" si="464"/>
        <v>17.1667695459937</v>
      </c>
      <c r="R357" s="33">
        <f t="shared" si="464"/>
        <v>15.5873667981518</v>
      </c>
      <c r="S357" s="33">
        <f t="shared" si="464"/>
        <v>15.5873667981518</v>
      </c>
      <c r="T357" s="33">
        <f t="shared" si="464"/>
        <v>16.7580384912045</v>
      </c>
      <c r="U357" s="57">
        <f t="shared" si="464"/>
        <v>14.4166951050991</v>
      </c>
      <c r="V357" s="33">
        <f t="shared" si="464"/>
        <v>13.066604862701</v>
      </c>
      <c r="W357" s="33">
        <f t="shared" si="464"/>
        <v>13.066604862701</v>
      </c>
      <c r="X357" s="33">
        <f t="shared" si="464"/>
        <v>14.0609871713881</v>
      </c>
      <c r="Y357" s="57">
        <f t="shared" si="464"/>
        <v>12.0722225540139</v>
      </c>
      <c r="Z357" s="33">
        <f t="shared" ref="Z357:AC357" si="465">+Z336+Z258</f>
        <v>10.9077430499015</v>
      </c>
      <c r="AA357" s="33">
        <f t="shared" si="465"/>
        <v>10.9077430499015</v>
      </c>
      <c r="AB357" s="33">
        <f t="shared" si="465"/>
        <v>11.7484079307646</v>
      </c>
      <c r="AC357" s="57">
        <f t="shared" si="465"/>
        <v>10.0670781690385</v>
      </c>
      <c r="AD357" s="211"/>
      <c r="AE357" s="211"/>
      <c r="AF357" s="211"/>
      <c r="AG357" s="211"/>
      <c r="AH357" s="211"/>
      <c r="AI357" s="211"/>
      <c r="AJ357" s="215"/>
      <c r="AK357" s="215"/>
      <c r="AL357" s="171"/>
      <c r="AM357" s="171"/>
      <c r="AN357" s="33">
        <f>SUM(B357:E357)</f>
        <v>309.7046</v>
      </c>
      <c r="AO357" s="33">
        <f t="shared" ref="AO357:AO363" si="466">SUM(F357:I357)</f>
        <v>137.5691675</v>
      </c>
      <c r="AP357" s="33">
        <f t="shared" si="459"/>
        <v>92.617799</v>
      </c>
      <c r="AQ357" s="33">
        <f t="shared" si="460"/>
        <v>74.16086093775</v>
      </c>
      <c r="AR357" s="33">
        <f t="shared" si="461"/>
        <v>62.3494671926072</v>
      </c>
      <c r="AS357" s="33">
        <f>SUM(V357:Y357)</f>
        <v>52.266419450804</v>
      </c>
      <c r="AT357" s="33">
        <f t="shared" si="462"/>
        <v>43.6309721996062</v>
      </c>
      <c r="AU357" s="216"/>
      <c r="AV357" s="216"/>
      <c r="AW357" s="218"/>
      <c r="AX357" s="218"/>
      <c r="AY357" s="218"/>
    </row>
    <row r="358" s="7" customFormat="1" ht="12" spans="1:51">
      <c r="A358" s="29" t="s">
        <v>852</v>
      </c>
      <c r="B358" s="33">
        <f t="shared" ref="B358:N363" si="467">+B337+B259</f>
        <v>123.76</v>
      </c>
      <c r="C358" s="33">
        <f t="shared" si="467"/>
        <v>127.4</v>
      </c>
      <c r="D358" s="33">
        <f t="shared" si="467"/>
        <v>163.856</v>
      </c>
      <c r="E358" s="57">
        <f t="shared" si="467"/>
        <v>142.576</v>
      </c>
      <c r="F358" s="33">
        <f t="shared" si="467"/>
        <v>83.3245</v>
      </c>
      <c r="G358" s="33">
        <f t="shared" si="467"/>
        <v>79.93566</v>
      </c>
      <c r="H358" s="33">
        <f t="shared" si="467"/>
        <v>84.946302</v>
      </c>
      <c r="I358" s="57">
        <f t="shared" si="467"/>
        <v>54.9822</v>
      </c>
      <c r="J358" s="33">
        <f t="shared" si="467"/>
        <v>12.4998055</v>
      </c>
      <c r="K358" s="33">
        <f t="shared" si="467"/>
        <v>26.62636725</v>
      </c>
      <c r="L358" s="33">
        <f t="shared" si="467"/>
        <v>29.08943415</v>
      </c>
      <c r="M358" s="57">
        <f t="shared" si="467"/>
        <v>26.62636725</v>
      </c>
      <c r="N358" s="33">
        <f t="shared" si="467"/>
        <v>15.776981775625</v>
      </c>
      <c r="O358" s="33">
        <f t="shared" si="464"/>
        <v>15.776981775625</v>
      </c>
      <c r="P358" s="33">
        <f t="shared" si="464"/>
        <v>17.670578485875</v>
      </c>
      <c r="Q358" s="57">
        <f t="shared" si="464"/>
        <v>15.776981775625</v>
      </c>
      <c r="R358" s="33">
        <f t="shared" si="464"/>
        <v>12.5216462859797</v>
      </c>
      <c r="S358" s="33">
        <f t="shared" si="464"/>
        <v>12.5216462859797</v>
      </c>
      <c r="T358" s="33">
        <f t="shared" si="464"/>
        <v>14.0820111403716</v>
      </c>
      <c r="U358" s="57">
        <f t="shared" si="464"/>
        <v>12.5216462859797</v>
      </c>
      <c r="V358" s="33">
        <f t="shared" si="464"/>
        <v>9.85403414849817</v>
      </c>
      <c r="W358" s="33">
        <f t="shared" si="464"/>
        <v>9.85403414849817</v>
      </c>
      <c r="X358" s="33">
        <f t="shared" si="464"/>
        <v>11.1281463551974</v>
      </c>
      <c r="Y358" s="57">
        <f t="shared" si="464"/>
        <v>9.85403414849817</v>
      </c>
      <c r="Z358" s="33">
        <f t="shared" ref="Z358:AC358" si="468">+Z337+Z259</f>
        <v>7.65085511579204</v>
      </c>
      <c r="AA358" s="33">
        <f t="shared" si="468"/>
        <v>7.65085511579204</v>
      </c>
      <c r="AB358" s="33">
        <f t="shared" si="468"/>
        <v>8.67663640220458</v>
      </c>
      <c r="AC358" s="57">
        <f t="shared" si="468"/>
        <v>7.65085511579204</v>
      </c>
      <c r="AD358" s="212"/>
      <c r="AE358" s="212"/>
      <c r="AF358" s="212"/>
      <c r="AG358" s="212"/>
      <c r="AH358" s="212"/>
      <c r="AI358" s="212"/>
      <c r="AJ358" s="214"/>
      <c r="AK358" s="214"/>
      <c r="AL358" s="207"/>
      <c r="AM358" s="207"/>
      <c r="AN358" s="33">
        <f t="shared" ref="AN358:AN363" si="469">SUM(B358:E358)</f>
        <v>557.592</v>
      </c>
      <c r="AO358" s="33">
        <f t="shared" si="466"/>
        <v>303.188662</v>
      </c>
      <c r="AP358" s="33">
        <f t="shared" si="459"/>
        <v>94.84197415</v>
      </c>
      <c r="AQ358" s="33">
        <f t="shared" si="460"/>
        <v>65.00152381275</v>
      </c>
      <c r="AR358" s="33">
        <f t="shared" si="461"/>
        <v>51.6469499983106</v>
      </c>
      <c r="AS358" s="33">
        <f t="shared" ref="AS358:AS363" si="470">SUM(V358:Y358)</f>
        <v>40.690248800692</v>
      </c>
      <c r="AT358" s="33">
        <f t="shared" si="462"/>
        <v>31.6292017495807</v>
      </c>
      <c r="AU358" s="217"/>
      <c r="AV358" s="217"/>
      <c r="AW358" s="219"/>
      <c r="AX358" s="219"/>
      <c r="AY358" s="219"/>
    </row>
    <row r="359" s="7" customFormat="1" ht="12" spans="1:51">
      <c r="A359" s="29" t="s">
        <v>853</v>
      </c>
      <c r="B359" s="33">
        <f t="shared" si="467"/>
        <v>30.24</v>
      </c>
      <c r="C359" s="33">
        <f t="shared" si="467"/>
        <v>36.708</v>
      </c>
      <c r="D359" s="33">
        <f t="shared" si="467"/>
        <v>48.72</v>
      </c>
      <c r="E359" s="57">
        <f t="shared" si="467"/>
        <v>43.68</v>
      </c>
      <c r="F359" s="33">
        <f t="shared" si="467"/>
        <v>16.40765</v>
      </c>
      <c r="G359" s="33">
        <f t="shared" si="467"/>
        <v>15.482775</v>
      </c>
      <c r="H359" s="33">
        <f t="shared" si="467"/>
        <v>17.01525</v>
      </c>
      <c r="I359" s="57">
        <f t="shared" si="467"/>
        <v>16.317</v>
      </c>
      <c r="J359" s="33">
        <f t="shared" si="467"/>
        <v>4.33264125</v>
      </c>
      <c r="K359" s="33">
        <f t="shared" si="467"/>
        <v>5.102461875</v>
      </c>
      <c r="L359" s="33">
        <f t="shared" si="467"/>
        <v>5.102461875</v>
      </c>
      <c r="M359" s="57">
        <f t="shared" si="467"/>
        <v>5.8722825</v>
      </c>
      <c r="N359" s="33">
        <f t="shared" si="467"/>
        <v>3.41866109375</v>
      </c>
      <c r="O359" s="33">
        <f t="shared" si="464"/>
        <v>4.092254140625</v>
      </c>
      <c r="P359" s="33">
        <f t="shared" si="464"/>
        <v>9.003279140625</v>
      </c>
      <c r="Q359" s="57">
        <f t="shared" si="464"/>
        <v>9.6768721875</v>
      </c>
      <c r="R359" s="33">
        <f t="shared" si="464"/>
        <v>2.96339909143663</v>
      </c>
      <c r="S359" s="33">
        <f t="shared" si="464"/>
        <v>3.58304856180773</v>
      </c>
      <c r="T359" s="33">
        <f t="shared" si="464"/>
        <v>7.67052195277995</v>
      </c>
      <c r="U359" s="57">
        <f t="shared" si="464"/>
        <v>8.29017142315104</v>
      </c>
      <c r="V359" s="33">
        <f t="shared" si="464"/>
        <v>2.55671424137105</v>
      </c>
      <c r="W359" s="33">
        <f t="shared" si="464"/>
        <v>3.12268564316421</v>
      </c>
      <c r="X359" s="33">
        <f t="shared" si="464"/>
        <v>6.50051455746282</v>
      </c>
      <c r="Y359" s="57">
        <f t="shared" si="464"/>
        <v>7.06648595925598</v>
      </c>
      <c r="Z359" s="33">
        <f t="shared" ref="Z359:AC359" si="471">+Z338+Z260</f>
        <v>2.18652613966123</v>
      </c>
      <c r="AA359" s="33">
        <f t="shared" si="471"/>
        <v>2.69767862223341</v>
      </c>
      <c r="AB359" s="33">
        <f t="shared" si="471"/>
        <v>5.45779848541383</v>
      </c>
      <c r="AC359" s="57">
        <f t="shared" si="471"/>
        <v>5.96895096798601</v>
      </c>
      <c r="AD359" s="212"/>
      <c r="AE359" s="212"/>
      <c r="AF359" s="212"/>
      <c r="AG359" s="212"/>
      <c r="AH359" s="212"/>
      <c r="AI359" s="212"/>
      <c r="AJ359" s="214"/>
      <c r="AK359" s="214"/>
      <c r="AL359" s="170"/>
      <c r="AM359" s="171"/>
      <c r="AN359" s="33">
        <f t="shared" si="469"/>
        <v>159.348</v>
      </c>
      <c r="AO359" s="33">
        <f t="shared" si="466"/>
        <v>65.222675</v>
      </c>
      <c r="AP359" s="33">
        <f t="shared" si="459"/>
        <v>20.4098475</v>
      </c>
      <c r="AQ359" s="33">
        <f t="shared" si="460"/>
        <v>26.1910665625</v>
      </c>
      <c r="AR359" s="33">
        <f t="shared" si="461"/>
        <v>22.5071410291754</v>
      </c>
      <c r="AS359" s="33">
        <f t="shared" si="470"/>
        <v>19.2464004012541</v>
      </c>
      <c r="AT359" s="33">
        <f t="shared" si="462"/>
        <v>16.3109542152945</v>
      </c>
      <c r="AU359" s="217"/>
      <c r="AV359" s="217"/>
      <c r="AW359" s="219"/>
      <c r="AX359" s="219"/>
      <c r="AY359" s="219"/>
    </row>
    <row r="360" s="6" customFormat="1" ht="12" spans="1:51">
      <c r="A360" s="29" t="s">
        <v>854</v>
      </c>
      <c r="B360" s="33">
        <f t="shared" si="467"/>
        <v>6.16</v>
      </c>
      <c r="C360" s="33">
        <f t="shared" si="467"/>
        <v>12.32</v>
      </c>
      <c r="D360" s="33">
        <f t="shared" si="467"/>
        <v>20.79</v>
      </c>
      <c r="E360" s="57">
        <f t="shared" si="467"/>
        <v>27.72</v>
      </c>
      <c r="F360" s="33">
        <f t="shared" si="467"/>
        <v>7.4898</v>
      </c>
      <c r="G360" s="33">
        <f t="shared" si="467"/>
        <v>14.9796</v>
      </c>
      <c r="H360" s="33">
        <f t="shared" si="467"/>
        <v>15.47892</v>
      </c>
      <c r="I360" s="57">
        <f t="shared" si="467"/>
        <v>17.71929</v>
      </c>
      <c r="J360" s="33">
        <f t="shared" si="467"/>
        <v>5.67648</v>
      </c>
      <c r="K360" s="33">
        <f t="shared" si="467"/>
        <v>9.57906</v>
      </c>
      <c r="L360" s="33">
        <f t="shared" si="467"/>
        <v>9.57906</v>
      </c>
      <c r="M360" s="57">
        <f t="shared" si="467"/>
        <v>13.48164</v>
      </c>
      <c r="N360" s="33">
        <f t="shared" si="467"/>
        <v>5.4600642</v>
      </c>
      <c r="O360" s="33">
        <f t="shared" si="464"/>
        <v>9.3236184</v>
      </c>
      <c r="P360" s="33">
        <f t="shared" si="464"/>
        <v>9.3236184</v>
      </c>
      <c r="Q360" s="57">
        <f t="shared" si="464"/>
        <v>13.1871726</v>
      </c>
      <c r="R360" s="33">
        <f t="shared" si="464"/>
        <v>5.554098639</v>
      </c>
      <c r="S360" s="33">
        <f t="shared" si="464"/>
        <v>9.591512778</v>
      </c>
      <c r="T360" s="33">
        <f t="shared" si="464"/>
        <v>9.591512778</v>
      </c>
      <c r="U360" s="57">
        <f t="shared" si="464"/>
        <v>13.628926917</v>
      </c>
      <c r="V360" s="33">
        <f t="shared" si="464"/>
        <v>5.659948050255</v>
      </c>
      <c r="W360" s="33">
        <f t="shared" si="464"/>
        <v>9.87904582551</v>
      </c>
      <c r="X360" s="33">
        <f t="shared" si="464"/>
        <v>9.87904582551</v>
      </c>
      <c r="Y360" s="57">
        <f t="shared" si="464"/>
        <v>14.098143600765</v>
      </c>
      <c r="Z360" s="33">
        <f t="shared" ref="Z360:AC360" si="472">+Z339+Z261</f>
        <v>5.77776493639147</v>
      </c>
      <c r="AA360" s="33">
        <f t="shared" si="472"/>
        <v>10.1867221115329</v>
      </c>
      <c r="AB360" s="33">
        <f t="shared" si="472"/>
        <v>10.1867221115329</v>
      </c>
      <c r="AC360" s="57">
        <f t="shared" si="472"/>
        <v>14.5956792866744</v>
      </c>
      <c r="AD360" s="211"/>
      <c r="AE360" s="211"/>
      <c r="AF360" s="211"/>
      <c r="AG360" s="211"/>
      <c r="AH360" s="211"/>
      <c r="AI360" s="211"/>
      <c r="AJ360" s="215"/>
      <c r="AK360" s="215"/>
      <c r="AL360" s="171"/>
      <c r="AM360" s="171"/>
      <c r="AN360" s="33">
        <f t="shared" si="469"/>
        <v>66.99</v>
      </c>
      <c r="AO360" s="33">
        <f t="shared" si="466"/>
        <v>55.66761</v>
      </c>
      <c r="AP360" s="33">
        <f t="shared" si="459"/>
        <v>38.31624</v>
      </c>
      <c r="AQ360" s="33">
        <f t="shared" si="460"/>
        <v>37.2944736</v>
      </c>
      <c r="AR360" s="33">
        <f t="shared" si="461"/>
        <v>38.366051112</v>
      </c>
      <c r="AS360" s="33">
        <f t="shared" si="470"/>
        <v>39.51618330204</v>
      </c>
      <c r="AT360" s="33">
        <f t="shared" si="462"/>
        <v>40.7468884461318</v>
      </c>
      <c r="AU360" s="216"/>
      <c r="AV360" s="216"/>
      <c r="AW360" s="218"/>
      <c r="AX360" s="218"/>
      <c r="AY360" s="218"/>
    </row>
    <row r="361" s="6" customFormat="1" ht="12" spans="1:51">
      <c r="A361" s="29" t="s">
        <v>855</v>
      </c>
      <c r="B361" s="33">
        <f t="shared" si="467"/>
        <v>0</v>
      </c>
      <c r="C361" s="33">
        <f t="shared" si="467"/>
        <v>0</v>
      </c>
      <c r="D361" s="33">
        <f t="shared" si="467"/>
        <v>32.76</v>
      </c>
      <c r="E361" s="57">
        <f t="shared" si="467"/>
        <v>49.14</v>
      </c>
      <c r="F361" s="33">
        <f t="shared" si="467"/>
        <v>37.8432</v>
      </c>
      <c r="G361" s="33">
        <f t="shared" si="467"/>
        <v>52.0344</v>
      </c>
      <c r="H361" s="33">
        <f t="shared" si="467"/>
        <v>55.188</v>
      </c>
      <c r="I361" s="57">
        <f t="shared" si="467"/>
        <v>252.288</v>
      </c>
      <c r="J361" s="33">
        <f t="shared" si="467"/>
        <v>396.34507872</v>
      </c>
      <c r="K361" s="33">
        <f t="shared" si="467"/>
        <v>577.794708</v>
      </c>
      <c r="L361" s="33">
        <f t="shared" si="467"/>
        <v>756.4707855</v>
      </c>
      <c r="M361" s="57">
        <f>+M340+M262</f>
        <v>1014.156369</v>
      </c>
      <c r="N361" s="33">
        <f t="shared" si="467"/>
        <v>1187.659457136</v>
      </c>
      <c r="O361" s="205">
        <f t="shared" ref="O361:Y363" si="473">+O340+O262+O188</f>
        <v>801.135661176</v>
      </c>
      <c r="P361" s="205">
        <f t="shared" si="473"/>
        <v>566.8412697</v>
      </c>
      <c r="Q361" s="206">
        <f t="shared" si="473"/>
        <v>597.072804084</v>
      </c>
      <c r="R361" s="205">
        <f>+R340+R262+R188</f>
        <v>414.202259430612</v>
      </c>
      <c r="S361" s="205">
        <f t="shared" si="473"/>
        <v>103.92205968072</v>
      </c>
      <c r="T361" s="205">
        <f t="shared" si="473"/>
        <v>57.7344776004</v>
      </c>
      <c r="U361" s="206">
        <f t="shared" si="473"/>
        <v>51.96102984036</v>
      </c>
      <c r="V361" s="205">
        <f t="shared" si="473"/>
        <v>52.6079066004</v>
      </c>
      <c r="W361" s="205">
        <f t="shared" si="473"/>
        <v>49.1901926004</v>
      </c>
      <c r="X361" s="205">
        <f t="shared" si="473"/>
        <v>49.1901926004</v>
      </c>
      <c r="Y361" s="206">
        <f t="shared" si="473"/>
        <v>49.1901926004</v>
      </c>
      <c r="Z361" s="205">
        <f t="shared" ref="Z361:AC361" si="474">+Z340+Z262+Z188</f>
        <v>41.0731218504</v>
      </c>
      <c r="AA361" s="205">
        <f t="shared" si="474"/>
        <v>41.0731218504</v>
      </c>
      <c r="AB361" s="205">
        <f t="shared" si="474"/>
        <v>41.0731218504</v>
      </c>
      <c r="AC361" s="206">
        <f t="shared" si="474"/>
        <v>41.0731218504</v>
      </c>
      <c r="AD361" s="211"/>
      <c r="AE361" s="211"/>
      <c r="AF361" s="211"/>
      <c r="AG361" s="211"/>
      <c r="AH361" s="211"/>
      <c r="AI361" s="211"/>
      <c r="AJ361" s="215"/>
      <c r="AK361" s="215"/>
      <c r="AL361" s="171"/>
      <c r="AM361" s="171"/>
      <c r="AN361" s="33">
        <f t="shared" si="469"/>
        <v>81.9</v>
      </c>
      <c r="AO361" s="33">
        <f t="shared" si="466"/>
        <v>397.3536</v>
      </c>
      <c r="AP361" s="33">
        <f t="shared" si="459"/>
        <v>2744.76694122</v>
      </c>
      <c r="AQ361" s="33">
        <f t="shared" si="460"/>
        <v>3152.709192096</v>
      </c>
      <c r="AR361" s="33">
        <f t="shared" si="461"/>
        <v>627.819826552092</v>
      </c>
      <c r="AS361" s="33">
        <f t="shared" si="470"/>
        <v>200.1784844016</v>
      </c>
      <c r="AT361" s="33">
        <f t="shared" si="462"/>
        <v>164.2924874016</v>
      </c>
      <c r="AU361" s="216"/>
      <c r="AV361" s="216"/>
      <c r="AW361" s="218"/>
      <c r="AX361" s="218"/>
      <c r="AY361" s="218"/>
    </row>
    <row r="362" s="6" customFormat="1" ht="12" spans="1:51">
      <c r="A362" s="29" t="s">
        <v>856</v>
      </c>
      <c r="B362" s="33">
        <f t="shared" si="467"/>
        <v>0</v>
      </c>
      <c r="C362" s="33">
        <f t="shared" si="467"/>
        <v>0</v>
      </c>
      <c r="D362" s="33">
        <f t="shared" si="467"/>
        <v>0</v>
      </c>
      <c r="E362" s="57">
        <f t="shared" si="467"/>
        <v>0</v>
      </c>
      <c r="F362" s="33">
        <f t="shared" si="467"/>
        <v>0</v>
      </c>
      <c r="G362" s="33">
        <f t="shared" si="467"/>
        <v>0</v>
      </c>
      <c r="H362" s="33">
        <f t="shared" si="467"/>
        <v>0</v>
      </c>
      <c r="I362" s="57">
        <f t="shared" si="467"/>
        <v>0</v>
      </c>
      <c r="J362" s="33">
        <f>J356-SUM(J357:J361)-J363-J364</f>
        <v>22.0105754262549</v>
      </c>
      <c r="K362" s="33">
        <f t="shared" ref="K362:R362" si="475">K356-SUM(K357:K361)-K363-K364</f>
        <v>61.7835259168352</v>
      </c>
      <c r="L362" s="33">
        <f t="shared" si="475"/>
        <v>167.970012397965</v>
      </c>
      <c r="M362" s="33">
        <f t="shared" si="475"/>
        <v>608.414522938083</v>
      </c>
      <c r="N362" s="33">
        <f t="shared" si="475"/>
        <v>737.355925811755</v>
      </c>
      <c r="O362" s="33">
        <f t="shared" si="475"/>
        <v>2126.53408507274</v>
      </c>
      <c r="P362" s="33">
        <f t="shared" si="475"/>
        <v>2053.91492367898</v>
      </c>
      <c r="Q362" s="57">
        <f t="shared" si="475"/>
        <v>3031.95966768412</v>
      </c>
      <c r="R362" s="33">
        <f t="shared" si="475"/>
        <v>2880.88927391697</v>
      </c>
      <c r="S362" s="205">
        <f t="shared" si="473"/>
        <v>2755.06751187117</v>
      </c>
      <c r="T362" s="205">
        <f t="shared" si="473"/>
        <v>3125.05196177056</v>
      </c>
      <c r="U362" s="206">
        <f t="shared" si="473"/>
        <v>3085.47612938827</v>
      </c>
      <c r="V362" s="205">
        <f t="shared" si="473"/>
        <v>2543.05733251255</v>
      </c>
      <c r="W362" s="205">
        <f t="shared" si="473"/>
        <v>2426.21131080068</v>
      </c>
      <c r="X362" s="205">
        <f t="shared" si="473"/>
        <v>2499.67937018467</v>
      </c>
      <c r="Y362" s="206">
        <f t="shared" si="473"/>
        <v>2499.67937018467</v>
      </c>
      <c r="Z362" s="205">
        <f t="shared" ref="Z362:AC362" si="476">+Z341+Z263+Z189</f>
        <v>1433.48753058593</v>
      </c>
      <c r="AA362" s="205">
        <f t="shared" si="476"/>
        <v>1678.94167759852</v>
      </c>
      <c r="AB362" s="205">
        <f t="shared" si="476"/>
        <v>1733.64239666655</v>
      </c>
      <c r="AC362" s="206">
        <f t="shared" si="476"/>
        <v>1733.64239666655</v>
      </c>
      <c r="AD362" s="211"/>
      <c r="AE362" s="211"/>
      <c r="AF362" s="211"/>
      <c r="AG362" s="211"/>
      <c r="AH362" s="211"/>
      <c r="AI362" s="211"/>
      <c r="AJ362" s="215"/>
      <c r="AK362" s="215"/>
      <c r="AL362" s="171"/>
      <c r="AM362" s="171"/>
      <c r="AN362" s="33">
        <f t="shared" si="469"/>
        <v>0</v>
      </c>
      <c r="AO362" s="33">
        <f t="shared" si="466"/>
        <v>0</v>
      </c>
      <c r="AP362" s="33">
        <f t="shared" si="459"/>
        <v>860.178636679138</v>
      </c>
      <c r="AQ362" s="33">
        <f t="shared" si="460"/>
        <v>7949.76460224759</v>
      </c>
      <c r="AR362" s="33">
        <f t="shared" si="461"/>
        <v>11846.484876947</v>
      </c>
      <c r="AS362" s="33">
        <f t="shared" si="470"/>
        <v>9968.62738368256</v>
      </c>
      <c r="AT362" s="33">
        <f t="shared" si="462"/>
        <v>6579.71400151753</v>
      </c>
      <c r="AU362" s="216"/>
      <c r="AV362" s="216"/>
      <c r="AW362" s="218"/>
      <c r="AX362" s="218"/>
      <c r="AY362" s="218"/>
    </row>
    <row r="363" s="6" customFormat="1" ht="12" spans="1:51">
      <c r="A363" s="29" t="s">
        <v>857</v>
      </c>
      <c r="B363" s="33">
        <f t="shared" si="467"/>
        <v>0</v>
      </c>
      <c r="C363" s="33">
        <f t="shared" si="467"/>
        <v>0</v>
      </c>
      <c r="D363" s="33">
        <f t="shared" si="467"/>
        <v>0</v>
      </c>
      <c r="E363" s="57">
        <f t="shared" si="467"/>
        <v>0</v>
      </c>
      <c r="F363" s="33">
        <f t="shared" si="467"/>
        <v>0</v>
      </c>
      <c r="G363" s="33">
        <f t="shared" si="467"/>
        <v>0</v>
      </c>
      <c r="H363" s="33">
        <f t="shared" si="467"/>
        <v>0</v>
      </c>
      <c r="I363" s="57">
        <f t="shared" si="467"/>
        <v>0</v>
      </c>
      <c r="J363" s="33">
        <f t="shared" si="467"/>
        <v>0</v>
      </c>
      <c r="K363" s="33">
        <f t="shared" si="467"/>
        <v>0</v>
      </c>
      <c r="L363" s="33">
        <f t="shared" si="467"/>
        <v>0</v>
      </c>
      <c r="M363" s="57">
        <f t="shared" si="467"/>
        <v>0</v>
      </c>
      <c r="N363" s="33">
        <f t="shared" si="467"/>
        <v>0</v>
      </c>
      <c r="O363" s="205">
        <f t="shared" si="473"/>
        <v>0</v>
      </c>
      <c r="P363" s="205">
        <f t="shared" si="473"/>
        <v>166.32</v>
      </c>
      <c r="Q363" s="206">
        <f t="shared" si="473"/>
        <v>388.08</v>
      </c>
      <c r="R363" s="205">
        <f t="shared" si="473"/>
        <v>763.488</v>
      </c>
      <c r="S363" s="205">
        <f t="shared" si="473"/>
        <v>2480.448</v>
      </c>
      <c r="T363" s="205">
        <f t="shared" si="473"/>
        <v>4063.52</v>
      </c>
      <c r="U363" s="206">
        <f t="shared" si="473"/>
        <v>4833.04128</v>
      </c>
      <c r="V363" s="205">
        <f t="shared" si="473"/>
        <v>4320.2702016</v>
      </c>
      <c r="W363" s="205">
        <f t="shared" si="473"/>
        <v>5584.3705368</v>
      </c>
      <c r="X363" s="205">
        <f t="shared" si="473"/>
        <v>8190.41012064</v>
      </c>
      <c r="Y363" s="206">
        <f t="shared" si="473"/>
        <v>7445.8273824</v>
      </c>
      <c r="Z363" s="205">
        <f t="shared" ref="Z363:AC363" si="477">+Z342+Z264+Z190</f>
        <v>4792.50300557952</v>
      </c>
      <c r="AA363" s="205">
        <f t="shared" si="477"/>
        <v>7111.0289619396</v>
      </c>
      <c r="AB363" s="205">
        <f t="shared" si="477"/>
        <v>10429.5091441781</v>
      </c>
      <c r="AC363" s="206">
        <f t="shared" si="477"/>
        <v>9481.3719492528</v>
      </c>
      <c r="AD363" s="211"/>
      <c r="AE363" s="211"/>
      <c r="AF363" s="211"/>
      <c r="AG363" s="211"/>
      <c r="AH363" s="211"/>
      <c r="AI363" s="211"/>
      <c r="AJ363" s="215"/>
      <c r="AK363" s="215"/>
      <c r="AL363" s="171"/>
      <c r="AM363" s="171"/>
      <c r="AN363" s="33">
        <f t="shared" si="469"/>
        <v>0</v>
      </c>
      <c r="AO363" s="33">
        <f t="shared" si="466"/>
        <v>0</v>
      </c>
      <c r="AP363" s="33">
        <f t="shared" si="459"/>
        <v>0</v>
      </c>
      <c r="AQ363" s="33">
        <f t="shared" si="460"/>
        <v>554.4</v>
      </c>
      <c r="AR363" s="33">
        <f t="shared" si="461"/>
        <v>12140.49728</v>
      </c>
      <c r="AS363" s="33">
        <f t="shared" si="470"/>
        <v>25540.87824144</v>
      </c>
      <c r="AT363" s="33">
        <f t="shared" si="462"/>
        <v>31814.41306095</v>
      </c>
      <c r="AU363" s="216"/>
      <c r="AV363" s="216"/>
      <c r="AW363" s="218"/>
      <c r="AX363" s="218"/>
      <c r="AY363" s="218"/>
    </row>
    <row r="364" s="6" customFormat="1" ht="12" spans="1:51">
      <c r="A364" s="29" t="s">
        <v>858</v>
      </c>
      <c r="B364" s="33"/>
      <c r="C364" s="33"/>
      <c r="D364" s="33"/>
      <c r="E364" s="57"/>
      <c r="F364" s="33"/>
      <c r="G364" s="33"/>
      <c r="H364" s="33"/>
      <c r="I364" s="57"/>
      <c r="J364" s="33"/>
      <c r="K364" s="33"/>
      <c r="L364" s="33"/>
      <c r="M364" s="57"/>
      <c r="N364" s="33"/>
      <c r="O364" s="205"/>
      <c r="P364" s="205"/>
      <c r="Q364" s="206"/>
      <c r="R364" s="205"/>
      <c r="S364" s="205"/>
      <c r="T364" s="205"/>
      <c r="U364" s="206"/>
      <c r="V364" s="205"/>
      <c r="W364" s="205"/>
      <c r="X364" s="205"/>
      <c r="Y364" s="206"/>
      <c r="Z364" s="205"/>
      <c r="AA364" s="205">
        <f>(1-(AA118/AA99))*AA60</f>
        <v>529.25</v>
      </c>
      <c r="AB364" s="205">
        <f t="shared" ref="AB364:AC364" si="478">(1-(AB118/AB99))*AB60</f>
        <v>1058.5</v>
      </c>
      <c r="AC364" s="206">
        <f t="shared" si="478"/>
        <v>1058.5</v>
      </c>
      <c r="AD364" s="211"/>
      <c r="AE364" s="211"/>
      <c r="AF364" s="211"/>
      <c r="AG364" s="211"/>
      <c r="AH364" s="211"/>
      <c r="AI364" s="211"/>
      <c r="AJ364" s="215"/>
      <c r="AK364" s="215"/>
      <c r="AL364" s="171"/>
      <c r="AM364" s="171"/>
      <c r="AN364" s="33"/>
      <c r="AO364" s="33"/>
      <c r="AP364" s="33"/>
      <c r="AQ364" s="33"/>
      <c r="AR364" s="33"/>
      <c r="AS364" s="33"/>
      <c r="AT364" s="33">
        <f t="shared" si="462"/>
        <v>2646.25</v>
      </c>
      <c r="AU364" s="216"/>
      <c r="AV364" s="216"/>
      <c r="AW364" s="218"/>
      <c r="AX364" s="218"/>
      <c r="AY364" s="218"/>
    </row>
    <row r="365" s="6" customFormat="1" ht="12" spans="1:51">
      <c r="A365" s="29"/>
      <c r="B365" s="33"/>
      <c r="C365" s="33"/>
      <c r="D365" s="33"/>
      <c r="E365" s="57"/>
      <c r="F365" s="33"/>
      <c r="G365" s="33"/>
      <c r="H365" s="33"/>
      <c r="I365" s="57"/>
      <c r="J365" s="33"/>
      <c r="K365" s="33"/>
      <c r="L365" s="33"/>
      <c r="M365" s="57"/>
      <c r="N365" s="33"/>
      <c r="O365" s="33"/>
      <c r="P365" s="33"/>
      <c r="Q365" s="57"/>
      <c r="R365" s="33"/>
      <c r="S365" s="33"/>
      <c r="T365" s="33"/>
      <c r="U365" s="57"/>
      <c r="V365" s="33"/>
      <c r="W365" s="33"/>
      <c r="X365" s="33"/>
      <c r="Y365" s="57"/>
      <c r="Z365" s="33"/>
      <c r="AA365" s="33"/>
      <c r="AB365" s="33"/>
      <c r="AC365" s="57"/>
      <c r="AD365" s="211"/>
      <c r="AE365" s="211"/>
      <c r="AF365" s="211"/>
      <c r="AG365" s="211"/>
      <c r="AH365" s="211"/>
      <c r="AI365" s="211"/>
      <c r="AJ365" s="215"/>
      <c r="AK365" s="215"/>
      <c r="AL365" s="171"/>
      <c r="AM365" s="171"/>
      <c r="AN365" s="33"/>
      <c r="AO365" s="33"/>
      <c r="AP365" s="33"/>
      <c r="AQ365" s="33"/>
      <c r="AR365" s="33"/>
      <c r="AS365" s="33"/>
      <c r="AT365" s="33"/>
      <c r="AU365" s="216"/>
      <c r="AV365" s="216"/>
      <c r="AW365" s="218"/>
      <c r="AX365" s="218"/>
      <c r="AY365" s="218"/>
    </row>
    <row r="366" s="6" customFormat="1" ht="12" spans="1:53">
      <c r="A366" s="22" t="s">
        <v>731</v>
      </c>
      <c r="B366" s="196">
        <f t="shared" ref="B366:Y366" si="479">+B354/B5</f>
        <v>0.331165762081333</v>
      </c>
      <c r="C366" s="196">
        <f t="shared" si="479"/>
        <v>0.343593051160688</v>
      </c>
      <c r="D366" s="196">
        <f t="shared" si="479"/>
        <v>0.375928586827187</v>
      </c>
      <c r="E366" s="201">
        <f t="shared" si="479"/>
        <v>0.405137328801181</v>
      </c>
      <c r="F366" s="196">
        <f t="shared" si="479"/>
        <v>0.340442968353827</v>
      </c>
      <c r="G366" s="196">
        <f t="shared" si="479"/>
        <v>0.254661369611694</v>
      </c>
      <c r="H366" s="196">
        <f t="shared" si="479"/>
        <v>0.26260343836112</v>
      </c>
      <c r="I366" s="201">
        <f t="shared" si="479"/>
        <v>0.370323574726097</v>
      </c>
      <c r="J366" s="196">
        <f t="shared" si="479"/>
        <v>0.420049085378117</v>
      </c>
      <c r="K366" s="196">
        <f t="shared" si="479"/>
        <v>0.437606158521172</v>
      </c>
      <c r="L366" s="196">
        <f t="shared" si="479"/>
        <v>0.41530453400057</v>
      </c>
      <c r="M366" s="201">
        <f t="shared" si="479"/>
        <v>0.481928981689354</v>
      </c>
      <c r="N366" s="196">
        <f t="shared" si="479"/>
        <v>0.486597338537</v>
      </c>
      <c r="O366" s="196">
        <f t="shared" si="479"/>
        <v>0.466435206537813</v>
      </c>
      <c r="P366" s="196">
        <f t="shared" si="479"/>
        <v>0.469384757497321</v>
      </c>
      <c r="Q366" s="201">
        <f t="shared" si="479"/>
        <v>0.489115887391668</v>
      </c>
      <c r="R366" s="196">
        <f t="shared" si="479"/>
        <v>0.49160955149051</v>
      </c>
      <c r="S366" s="196">
        <f t="shared" si="479"/>
        <v>0.477132479463012</v>
      </c>
      <c r="T366" s="196">
        <f t="shared" si="479"/>
        <v>0.481387574131862</v>
      </c>
      <c r="U366" s="201">
        <f t="shared" si="479"/>
        <v>0.481328287977904</v>
      </c>
      <c r="V366" s="196">
        <f t="shared" si="479"/>
        <v>0.4581471480059</v>
      </c>
      <c r="W366" s="196">
        <f t="shared" si="479"/>
        <v>0.482058722045264</v>
      </c>
      <c r="X366" s="196">
        <f t="shared" si="479"/>
        <v>0.497958039483895</v>
      </c>
      <c r="Y366" s="201">
        <f t="shared" si="479"/>
        <v>0.495300334740937</v>
      </c>
      <c r="Z366" s="196">
        <f t="shared" ref="Z366:AC366" si="480">+Z354/Z5</f>
        <v>0.429188485953155</v>
      </c>
      <c r="AA366" s="196">
        <f t="shared" si="480"/>
        <v>0.490597406478739</v>
      </c>
      <c r="AB366" s="196">
        <f t="shared" si="480"/>
        <v>0.50269028758399</v>
      </c>
      <c r="AC366" s="201">
        <f t="shared" si="480"/>
        <v>0.500650940467887</v>
      </c>
      <c r="AD366" s="209"/>
      <c r="AE366" s="209"/>
      <c r="AF366" s="207">
        <f t="shared" ref="AF366:AL366" si="481">+AF347</f>
        <v>0.305307920565301</v>
      </c>
      <c r="AG366" s="207">
        <f t="shared" si="481"/>
        <v>0.274038357849976</v>
      </c>
      <c r="AH366" s="207">
        <f t="shared" si="481"/>
        <v>0.263720832626465</v>
      </c>
      <c r="AI366" s="207">
        <f t="shared" si="481"/>
        <v>0.2400147181133</v>
      </c>
      <c r="AJ366" s="207">
        <f t="shared" si="481"/>
        <v>0.195087752888393</v>
      </c>
      <c r="AK366" s="207">
        <f t="shared" si="481"/>
        <v>0.347186895690388</v>
      </c>
      <c r="AL366" s="207">
        <f t="shared" si="481"/>
        <v>0.368606703960072</v>
      </c>
      <c r="AM366" s="196">
        <f t="shared" ref="AM366:AT366" si="482">+AM354/AM5</f>
        <v>0.321714641634189</v>
      </c>
      <c r="AN366" s="196">
        <f t="shared" si="482"/>
        <v>0.366599821297353</v>
      </c>
      <c r="AO366" s="196">
        <f t="shared" si="482"/>
        <v>0.311022659402772</v>
      </c>
      <c r="AP366" s="196">
        <f t="shared" si="482"/>
        <v>0.44717413033001</v>
      </c>
      <c r="AQ366" s="196">
        <f t="shared" si="482"/>
        <v>0.478056285949412</v>
      </c>
      <c r="AR366" s="196">
        <f t="shared" si="482"/>
        <v>0.482091666748661</v>
      </c>
      <c r="AS366" s="196">
        <f t="shared" si="482"/>
        <v>0.485442684083544</v>
      </c>
      <c r="AT366" s="196">
        <f t="shared" si="482"/>
        <v>0.486680253329314</v>
      </c>
      <c r="AU366" s="27"/>
      <c r="AV366" s="27"/>
      <c r="AW366" s="27"/>
      <c r="AX366" s="27"/>
      <c r="AY366" s="27"/>
      <c r="AZ366" s="27"/>
      <c r="BA366" s="27"/>
    </row>
    <row r="367" s="6" customFormat="1" ht="12" spans="1:53">
      <c r="A367" s="18" t="s">
        <v>906</v>
      </c>
      <c r="B367" s="175">
        <f t="shared" ref="B367:Y367" si="483">+B351/B6</f>
        <v>0.330493317268084</v>
      </c>
      <c r="C367" s="175">
        <f t="shared" si="483"/>
        <v>0.343527469537568</v>
      </c>
      <c r="D367" s="175">
        <f t="shared" si="483"/>
        <v>0.375723451314153</v>
      </c>
      <c r="E367" s="177">
        <f t="shared" si="483"/>
        <v>0.404545181847783</v>
      </c>
      <c r="F367" s="175">
        <f t="shared" si="483"/>
        <v>0.341169720358404</v>
      </c>
      <c r="G367" s="175">
        <f t="shared" si="483"/>
        <v>0.253853933617596</v>
      </c>
      <c r="H367" s="175">
        <f t="shared" si="483"/>
        <v>0.261644461051373</v>
      </c>
      <c r="I367" s="177">
        <f t="shared" si="483"/>
        <v>0.370308591256646</v>
      </c>
      <c r="J367" s="175">
        <f t="shared" si="483"/>
        <v>0.425105673010393</v>
      </c>
      <c r="K367" s="175">
        <f t="shared" si="483"/>
        <v>0.439756328815313</v>
      </c>
      <c r="L367" s="175">
        <f t="shared" si="483"/>
        <v>0.417186160622122</v>
      </c>
      <c r="M367" s="175">
        <f t="shared" si="483"/>
        <v>0.484584123887308</v>
      </c>
      <c r="N367" s="175">
        <f t="shared" si="483"/>
        <v>0.488151536944574</v>
      </c>
      <c r="O367" s="175">
        <f t="shared" si="483"/>
        <v>0.467579942221177</v>
      </c>
      <c r="P367" s="175">
        <f t="shared" si="483"/>
        <v>0.469727468019143</v>
      </c>
      <c r="Q367" s="175">
        <f t="shared" si="483"/>
        <v>0.489631225575181</v>
      </c>
      <c r="R367" s="175">
        <f t="shared" si="483"/>
        <v>0.492394017720533</v>
      </c>
      <c r="S367" s="175">
        <f t="shared" si="483"/>
        <v>0.477451427645716</v>
      </c>
      <c r="T367" s="175">
        <f t="shared" si="483"/>
        <v>0.481644021917114</v>
      </c>
      <c r="U367" s="177">
        <f t="shared" si="483"/>
        <v>0.481498687805485</v>
      </c>
      <c r="V367" s="175">
        <f t="shared" si="483"/>
        <v>0.458398800880802</v>
      </c>
      <c r="W367" s="175">
        <f t="shared" si="483"/>
        <v>0.482280562237094</v>
      </c>
      <c r="X367" s="175">
        <f t="shared" si="483"/>
        <v>0.498156085663672</v>
      </c>
      <c r="Y367" s="177">
        <f t="shared" si="483"/>
        <v>0.495453269725888</v>
      </c>
      <c r="Z367" s="175">
        <f t="shared" ref="Z367:AC367" si="484">+Z351/Z6</f>
        <v>0.429419124196785</v>
      </c>
      <c r="AA367" s="175">
        <f t="shared" si="484"/>
        <v>0.490801894262685</v>
      </c>
      <c r="AB367" s="175">
        <f t="shared" si="484"/>
        <v>0.502859426128399</v>
      </c>
      <c r="AC367" s="177">
        <f t="shared" si="484"/>
        <v>0.500781650171041</v>
      </c>
      <c r="AD367" s="209"/>
      <c r="AE367" s="209"/>
      <c r="AF367" s="209"/>
      <c r="AG367" s="209"/>
      <c r="AH367" s="209"/>
      <c r="AI367" s="209"/>
      <c r="AJ367" s="215"/>
      <c r="AK367" s="215"/>
      <c r="AL367" s="171"/>
      <c r="AM367" s="171">
        <v>0.3241</v>
      </c>
      <c r="AN367" s="171">
        <v>0.3667</v>
      </c>
      <c r="AO367" s="175">
        <f t="shared" ref="AO367:AT369" si="485">+AO351/AO6</f>
        <v>0.310769512736945</v>
      </c>
      <c r="AP367" s="175">
        <f t="shared" si="485"/>
        <v>0.449875244664658</v>
      </c>
      <c r="AQ367" s="175">
        <f t="shared" si="485"/>
        <v>0.47886033852275</v>
      </c>
      <c r="AR367" s="175">
        <f t="shared" si="485"/>
        <v>0.482417325438366</v>
      </c>
      <c r="AS367" s="175">
        <f t="shared" si="485"/>
        <v>0.485646050379081</v>
      </c>
      <c r="AT367" s="175">
        <f t="shared" si="485"/>
        <v>0.486861273623928</v>
      </c>
      <c r="AU367" s="27"/>
      <c r="AV367" s="27"/>
      <c r="AW367" s="27"/>
      <c r="AX367" s="27"/>
      <c r="AY367" s="27"/>
      <c r="AZ367" s="27"/>
      <c r="BA367" s="27"/>
    </row>
    <row r="368" s="6" customFormat="1" ht="12" spans="1:53">
      <c r="A368" s="18" t="s">
        <v>846</v>
      </c>
      <c r="B368" s="197">
        <v>0.0728</v>
      </c>
      <c r="C368" s="197">
        <v>0.0728</v>
      </c>
      <c r="D368" s="197">
        <v>0.0728</v>
      </c>
      <c r="E368" s="202">
        <v>0.0728</v>
      </c>
      <c r="F368" s="197">
        <v>0.07</v>
      </c>
      <c r="G368" s="197">
        <v>0.07</v>
      </c>
      <c r="H368" s="197">
        <v>0.07</v>
      </c>
      <c r="I368" s="202">
        <v>0.07</v>
      </c>
      <c r="J368" s="197">
        <v>0.07</v>
      </c>
      <c r="K368" s="197">
        <v>0.07</v>
      </c>
      <c r="L368" s="197">
        <v>0.07</v>
      </c>
      <c r="M368" s="202">
        <v>0.07</v>
      </c>
      <c r="N368" s="197">
        <v>0.07</v>
      </c>
      <c r="O368" s="197">
        <v>0.07</v>
      </c>
      <c r="P368" s="197">
        <v>0.07</v>
      </c>
      <c r="Q368" s="202">
        <v>0.07</v>
      </c>
      <c r="R368" s="197">
        <v>0.07</v>
      </c>
      <c r="S368" s="197">
        <v>0.07</v>
      </c>
      <c r="T368" s="197">
        <v>0.07</v>
      </c>
      <c r="U368" s="202">
        <v>0.07</v>
      </c>
      <c r="V368" s="197">
        <v>0.07</v>
      </c>
      <c r="W368" s="197">
        <v>0.07</v>
      </c>
      <c r="X368" s="197">
        <v>0.07</v>
      </c>
      <c r="Y368" s="202">
        <v>0.07</v>
      </c>
      <c r="Z368" s="197">
        <v>0.07</v>
      </c>
      <c r="AA368" s="197">
        <v>0.07</v>
      </c>
      <c r="AB368" s="197">
        <v>0.07</v>
      </c>
      <c r="AC368" s="202">
        <v>0.07</v>
      </c>
      <c r="AD368" s="209"/>
      <c r="AE368" s="209"/>
      <c r="AF368" s="209"/>
      <c r="AG368" s="209"/>
      <c r="AH368" s="209"/>
      <c r="AI368" s="209"/>
      <c r="AJ368" s="215"/>
      <c r="AK368" s="215"/>
      <c r="AL368" s="171"/>
      <c r="AM368" s="171">
        <v>0.07</v>
      </c>
      <c r="AN368" s="171">
        <v>0.0728</v>
      </c>
      <c r="AO368" s="175">
        <f t="shared" si="485"/>
        <v>0.07</v>
      </c>
      <c r="AP368" s="175">
        <f t="shared" si="485"/>
        <v>0.07</v>
      </c>
      <c r="AQ368" s="175">
        <f t="shared" si="485"/>
        <v>0.07</v>
      </c>
      <c r="AR368" s="175">
        <f t="shared" si="485"/>
        <v>0.07</v>
      </c>
      <c r="AS368" s="175">
        <f t="shared" si="485"/>
        <v>0.07</v>
      </c>
      <c r="AT368" s="175">
        <f t="shared" si="485"/>
        <v>0.07</v>
      </c>
      <c r="AU368" s="27"/>
      <c r="AV368" s="27"/>
      <c r="AW368" s="27"/>
      <c r="AX368" s="27"/>
      <c r="AY368" s="27"/>
      <c r="AZ368" s="27"/>
      <c r="BA368" s="27"/>
    </row>
    <row r="369" s="6" customFormat="1" ht="12" spans="1:53">
      <c r="A369" s="18" t="s">
        <v>847</v>
      </c>
      <c r="B369" s="197">
        <v>0.574</v>
      </c>
      <c r="C369" s="197">
        <v>0.574</v>
      </c>
      <c r="D369" s="197">
        <v>0.574</v>
      </c>
      <c r="E369" s="202">
        <v>0.574</v>
      </c>
      <c r="F369" s="197">
        <v>0.55</v>
      </c>
      <c r="G369" s="197">
        <v>0.55</v>
      </c>
      <c r="H369" s="197">
        <v>0.55</v>
      </c>
      <c r="I369" s="202">
        <v>0.55</v>
      </c>
      <c r="J369" s="197">
        <v>0.55</v>
      </c>
      <c r="K369" s="197">
        <v>0.55</v>
      </c>
      <c r="L369" s="197">
        <v>0.55</v>
      </c>
      <c r="M369" s="202">
        <v>0.55</v>
      </c>
      <c r="N369" s="197">
        <v>0.55</v>
      </c>
      <c r="O369" s="197">
        <v>0.55</v>
      </c>
      <c r="P369" s="197">
        <v>0.55</v>
      </c>
      <c r="Q369" s="202">
        <v>0.55</v>
      </c>
      <c r="R369" s="197">
        <v>0.55</v>
      </c>
      <c r="S369" s="197">
        <v>0.55</v>
      </c>
      <c r="T369" s="197">
        <v>0.55</v>
      </c>
      <c r="U369" s="202">
        <v>0.55</v>
      </c>
      <c r="V369" s="197">
        <v>0.55</v>
      </c>
      <c r="W369" s="197">
        <v>0.55</v>
      </c>
      <c r="X369" s="197">
        <v>0.55</v>
      </c>
      <c r="Y369" s="202">
        <v>0.55</v>
      </c>
      <c r="Z369" s="197">
        <v>0.55</v>
      </c>
      <c r="AA369" s="197">
        <v>0.55</v>
      </c>
      <c r="AB369" s="197">
        <v>0.55</v>
      </c>
      <c r="AC369" s="202">
        <v>0.55</v>
      </c>
      <c r="AD369" s="209"/>
      <c r="AE369" s="209"/>
      <c r="AF369" s="209"/>
      <c r="AG369" s="209"/>
      <c r="AH369" s="209"/>
      <c r="AI369" s="209"/>
      <c r="AJ369" s="215"/>
      <c r="AK369" s="215"/>
      <c r="AL369" s="171"/>
      <c r="AM369" s="171">
        <f>+AM353/AM8</f>
        <v>0.482803641360233</v>
      </c>
      <c r="AN369" s="171">
        <v>0.5739</v>
      </c>
      <c r="AO369" s="175">
        <f t="shared" si="485"/>
        <v>0.55</v>
      </c>
      <c r="AP369" s="175">
        <f t="shared" si="485"/>
        <v>0.55</v>
      </c>
      <c r="AQ369" s="175">
        <f t="shared" si="485"/>
        <v>0.55</v>
      </c>
      <c r="AR369" s="175">
        <f t="shared" si="485"/>
        <v>0.55</v>
      </c>
      <c r="AS369" s="175">
        <f t="shared" si="485"/>
        <v>0.55</v>
      </c>
      <c r="AT369" s="175">
        <f t="shared" si="485"/>
        <v>0.55</v>
      </c>
      <c r="AU369" s="27"/>
      <c r="AV369" s="27"/>
      <c r="AW369" s="27"/>
      <c r="AX369" s="27"/>
      <c r="AY369" s="27"/>
      <c r="AZ369" s="27"/>
      <c r="BA369" s="27"/>
    </row>
    <row r="370" s="6" customFormat="1" ht="12" spans="1:53">
      <c r="A370" s="21"/>
      <c r="B370" s="138"/>
      <c r="C370" s="138"/>
      <c r="D370" s="138"/>
      <c r="E370" s="147"/>
      <c r="F370" s="138"/>
      <c r="G370" s="175"/>
      <c r="H370" s="175"/>
      <c r="I370" s="177"/>
      <c r="J370" s="175"/>
      <c r="K370" s="175"/>
      <c r="L370" s="175"/>
      <c r="M370" s="177"/>
      <c r="N370" s="175"/>
      <c r="O370" s="175"/>
      <c r="P370" s="175"/>
      <c r="Q370" s="177"/>
      <c r="R370" s="175"/>
      <c r="S370" s="175"/>
      <c r="T370" s="175"/>
      <c r="U370" s="177"/>
      <c r="V370" s="175"/>
      <c r="W370" s="175"/>
      <c r="X370" s="175"/>
      <c r="Y370" s="177"/>
      <c r="Z370" s="175"/>
      <c r="AA370" s="175"/>
      <c r="AB370" s="175"/>
      <c r="AC370" s="177"/>
      <c r="AD370" s="209"/>
      <c r="AE370" s="209"/>
      <c r="AF370" s="209"/>
      <c r="AG370" s="209"/>
      <c r="AH370" s="209"/>
      <c r="AI370" s="209"/>
      <c r="AJ370" s="215"/>
      <c r="AK370" s="215"/>
      <c r="AL370" s="171"/>
      <c r="AM370" s="171"/>
      <c r="AN370" s="171"/>
      <c r="AO370" s="171"/>
      <c r="AP370" s="171"/>
      <c r="AQ370" s="171"/>
      <c r="AR370" s="171"/>
      <c r="AS370" s="171"/>
      <c r="AT370" s="171"/>
      <c r="AU370" s="27"/>
      <c r="AV370" s="27"/>
      <c r="AW370" s="27"/>
      <c r="AX370" s="27"/>
      <c r="AY370" s="27"/>
      <c r="AZ370" s="27"/>
      <c r="BA370" s="27"/>
    </row>
    <row r="371" s="6" customFormat="1" ht="12" spans="1:53">
      <c r="A371" s="29" t="s">
        <v>909</v>
      </c>
      <c r="B371" s="138"/>
      <c r="C371" s="138"/>
      <c r="D371" s="138"/>
      <c r="E371" s="147"/>
      <c r="F371" s="138"/>
      <c r="G371" s="175"/>
      <c r="H371" s="175"/>
      <c r="I371" s="177"/>
      <c r="J371" s="175"/>
      <c r="K371" s="175"/>
      <c r="L371" s="175"/>
      <c r="M371" s="177"/>
      <c r="N371" s="175"/>
      <c r="O371" s="175"/>
      <c r="P371" s="175"/>
      <c r="Q371" s="177"/>
      <c r="R371" s="175"/>
      <c r="S371" s="175"/>
      <c r="T371" s="175"/>
      <c r="U371" s="177"/>
      <c r="V371" s="175"/>
      <c r="W371" s="175"/>
      <c r="X371" s="175"/>
      <c r="Y371" s="177"/>
      <c r="Z371" s="175"/>
      <c r="AA371" s="175"/>
      <c r="AB371" s="175"/>
      <c r="AC371" s="177"/>
      <c r="AD371" s="209"/>
      <c r="AE371" s="209"/>
      <c r="AF371" s="209"/>
      <c r="AG371" s="209"/>
      <c r="AH371" s="209"/>
      <c r="AI371" s="209"/>
      <c r="AJ371" s="215"/>
      <c r="AK371" s="215"/>
      <c r="AL371" s="171"/>
      <c r="AM371" s="171"/>
      <c r="AN371" s="171"/>
      <c r="AO371" s="171"/>
      <c r="AP371" s="171"/>
      <c r="AQ371" s="171"/>
      <c r="AR371" s="171"/>
      <c r="AS371" s="171"/>
      <c r="AT371" s="171"/>
      <c r="AU371" s="27"/>
      <c r="AV371" s="27"/>
      <c r="AW371" s="27"/>
      <c r="AX371" s="27"/>
      <c r="AY371" s="27"/>
      <c r="AZ371" s="27"/>
      <c r="BA371" s="27"/>
    </row>
    <row r="372" s="6" customFormat="1" ht="12" spans="1:53">
      <c r="A372" s="29" t="s">
        <v>851</v>
      </c>
      <c r="B372" s="171">
        <f t="shared" ref="B372:Y372" si="486">+B357/B24</f>
        <v>0.3</v>
      </c>
      <c r="C372" s="171">
        <f t="shared" si="486"/>
        <v>0.31</v>
      </c>
      <c r="D372" s="171">
        <f t="shared" si="486"/>
        <v>0.32</v>
      </c>
      <c r="E372" s="203">
        <f t="shared" si="486"/>
        <v>0.35</v>
      </c>
      <c r="F372" s="171">
        <f t="shared" si="486"/>
        <v>0.3</v>
      </c>
      <c r="G372" s="171">
        <f t="shared" si="486"/>
        <v>0.1</v>
      </c>
      <c r="H372" s="171">
        <f t="shared" si="486"/>
        <v>0.14</v>
      </c>
      <c r="I372" s="203">
        <f t="shared" si="486"/>
        <v>0.19</v>
      </c>
      <c r="J372" s="171">
        <f t="shared" si="486"/>
        <v>0.2</v>
      </c>
      <c r="K372" s="171">
        <f t="shared" si="486"/>
        <v>0.2</v>
      </c>
      <c r="L372" s="171">
        <f t="shared" si="486"/>
        <v>0.2</v>
      </c>
      <c r="M372" s="203">
        <f t="shared" si="486"/>
        <v>0.2</v>
      </c>
      <c r="N372" s="171">
        <f t="shared" si="486"/>
        <v>0.18</v>
      </c>
      <c r="O372" s="171">
        <f t="shared" si="486"/>
        <v>0.18</v>
      </c>
      <c r="P372" s="171">
        <f t="shared" si="486"/>
        <v>0.18</v>
      </c>
      <c r="Q372" s="203">
        <f t="shared" si="486"/>
        <v>0.18</v>
      </c>
      <c r="R372" s="171">
        <f t="shared" si="486"/>
        <v>0.17</v>
      </c>
      <c r="S372" s="171">
        <f t="shared" si="486"/>
        <v>0.17</v>
      </c>
      <c r="T372" s="171">
        <f t="shared" si="486"/>
        <v>0.17</v>
      </c>
      <c r="U372" s="203">
        <f t="shared" si="486"/>
        <v>0.17</v>
      </c>
      <c r="V372" s="171">
        <f t="shared" si="486"/>
        <v>0.16</v>
      </c>
      <c r="W372" s="171">
        <f t="shared" si="486"/>
        <v>0.16</v>
      </c>
      <c r="X372" s="171">
        <f t="shared" si="486"/>
        <v>0.16</v>
      </c>
      <c r="Y372" s="203">
        <f t="shared" si="486"/>
        <v>0.16</v>
      </c>
      <c r="Z372" s="171">
        <f t="shared" ref="Z372:AC372" si="487">+Z357/Z24</f>
        <v>0.149879518072289</v>
      </c>
      <c r="AA372" s="171">
        <f t="shared" si="487"/>
        <v>0.149879518072289</v>
      </c>
      <c r="AB372" s="171">
        <f t="shared" si="487"/>
        <v>0.149879518072289</v>
      </c>
      <c r="AC372" s="203">
        <f t="shared" si="487"/>
        <v>0.149879518072289</v>
      </c>
      <c r="AD372" s="209"/>
      <c r="AE372" s="209"/>
      <c r="AF372" s="209"/>
      <c r="AG372" s="209"/>
      <c r="AH372" s="209"/>
      <c r="AI372" s="209"/>
      <c r="AJ372" s="215"/>
      <c r="AK372" s="215"/>
      <c r="AL372" s="171"/>
      <c r="AM372" s="171"/>
      <c r="AN372" s="171">
        <f t="shared" ref="AN372:AT376" si="488">+AN357/AN24</f>
        <v>0.320250447227191</v>
      </c>
      <c r="AO372" s="171">
        <f t="shared" si="488"/>
        <v>0.182522895769734</v>
      </c>
      <c r="AP372" s="171">
        <f t="shared" si="488"/>
        <v>0.2</v>
      </c>
      <c r="AQ372" s="171">
        <f t="shared" si="488"/>
        <v>0.18</v>
      </c>
      <c r="AR372" s="171">
        <f t="shared" si="488"/>
        <v>0.17</v>
      </c>
      <c r="AS372" s="171">
        <f t="shared" si="488"/>
        <v>0.16</v>
      </c>
      <c r="AT372" s="171">
        <f t="shared" si="488"/>
        <v>0.149879518072289</v>
      </c>
      <c r="AU372" s="27"/>
      <c r="AV372" s="27"/>
      <c r="AW372" s="27"/>
      <c r="AX372" s="27"/>
      <c r="AY372" s="27"/>
      <c r="AZ372" s="27"/>
      <c r="BA372" s="27"/>
    </row>
    <row r="373" s="6" customFormat="1" ht="12" spans="1:53">
      <c r="A373" s="29" t="s">
        <v>852</v>
      </c>
      <c r="B373" s="171">
        <f t="shared" ref="B373:Y373" si="489">+B358/B25</f>
        <v>0.34</v>
      </c>
      <c r="C373" s="171">
        <f t="shared" si="489"/>
        <v>0.35</v>
      </c>
      <c r="D373" s="171">
        <f t="shared" si="489"/>
        <v>0.38</v>
      </c>
      <c r="E373" s="203">
        <f t="shared" si="489"/>
        <v>0.38</v>
      </c>
      <c r="F373" s="171">
        <f t="shared" si="489"/>
        <v>0.35</v>
      </c>
      <c r="G373" s="171">
        <f t="shared" si="489"/>
        <v>0.27</v>
      </c>
      <c r="H373" s="171">
        <f t="shared" si="489"/>
        <v>0.259</v>
      </c>
      <c r="I373" s="203">
        <f t="shared" si="489"/>
        <v>0.26</v>
      </c>
      <c r="J373" s="171">
        <f t="shared" si="489"/>
        <v>0.26</v>
      </c>
      <c r="K373" s="171">
        <f t="shared" si="489"/>
        <v>0.27</v>
      </c>
      <c r="L373" s="171">
        <f t="shared" si="489"/>
        <v>0.27</v>
      </c>
      <c r="M373" s="203">
        <f t="shared" si="489"/>
        <v>0.27</v>
      </c>
      <c r="N373" s="171">
        <f t="shared" si="489"/>
        <v>0.23</v>
      </c>
      <c r="O373" s="171">
        <f t="shared" si="489"/>
        <v>0.23</v>
      </c>
      <c r="P373" s="171">
        <f t="shared" si="489"/>
        <v>0.23</v>
      </c>
      <c r="Q373" s="203">
        <f t="shared" si="489"/>
        <v>0.23</v>
      </c>
      <c r="R373" s="171">
        <f t="shared" si="489"/>
        <v>0.21</v>
      </c>
      <c r="S373" s="171">
        <f t="shared" si="489"/>
        <v>0.21</v>
      </c>
      <c r="T373" s="171">
        <f t="shared" si="489"/>
        <v>0.21</v>
      </c>
      <c r="U373" s="203">
        <f t="shared" si="489"/>
        <v>0.21</v>
      </c>
      <c r="V373" s="171">
        <f t="shared" si="489"/>
        <v>0.19</v>
      </c>
      <c r="W373" s="171">
        <f t="shared" si="489"/>
        <v>0.19</v>
      </c>
      <c r="X373" s="171">
        <f t="shared" si="489"/>
        <v>0.19</v>
      </c>
      <c r="Y373" s="203">
        <f t="shared" si="489"/>
        <v>0.19</v>
      </c>
      <c r="Z373" s="171">
        <f t="shared" ref="Z373:AC373" si="490">+Z358/Z25</f>
        <v>0.169493670886076</v>
      </c>
      <c r="AA373" s="171">
        <f t="shared" si="490"/>
        <v>0.169493670886076</v>
      </c>
      <c r="AB373" s="171">
        <f t="shared" si="490"/>
        <v>0.169493670886076</v>
      </c>
      <c r="AC373" s="203">
        <f t="shared" si="490"/>
        <v>0.169493670886076</v>
      </c>
      <c r="AD373" s="209"/>
      <c r="AE373" s="209"/>
      <c r="AF373" s="209"/>
      <c r="AG373" s="209"/>
      <c r="AH373" s="209"/>
      <c r="AI373" s="209"/>
      <c r="AJ373" s="215"/>
      <c r="AK373" s="215"/>
      <c r="AL373" s="171"/>
      <c r="AM373" s="171"/>
      <c r="AN373" s="171">
        <f t="shared" si="488"/>
        <v>0.363394160583942</v>
      </c>
      <c r="AO373" s="171">
        <f t="shared" si="488"/>
        <v>0.282410059464817</v>
      </c>
      <c r="AP373" s="171">
        <f t="shared" si="488"/>
        <v>0.268638250662086</v>
      </c>
      <c r="AQ373" s="171">
        <f t="shared" si="488"/>
        <v>0.23</v>
      </c>
      <c r="AR373" s="171">
        <f t="shared" si="488"/>
        <v>0.21</v>
      </c>
      <c r="AS373" s="171">
        <f t="shared" si="488"/>
        <v>0.19</v>
      </c>
      <c r="AT373" s="171">
        <f t="shared" si="488"/>
        <v>0.169493670886076</v>
      </c>
      <c r="AU373" s="27"/>
      <c r="AV373" s="27"/>
      <c r="AW373" s="27"/>
      <c r="AX373" s="27"/>
      <c r="AY373" s="27"/>
      <c r="AZ373" s="27"/>
      <c r="BA373" s="27"/>
    </row>
    <row r="374" s="6" customFormat="1" ht="12" spans="1:53">
      <c r="A374" s="29" t="s">
        <v>853</v>
      </c>
      <c r="B374" s="171">
        <f t="shared" ref="B374:Y374" si="491">+B359/B26</f>
        <v>0.36</v>
      </c>
      <c r="C374" s="171">
        <f t="shared" si="491"/>
        <v>0.38</v>
      </c>
      <c r="D374" s="171">
        <f t="shared" si="491"/>
        <v>0.4</v>
      </c>
      <c r="E374" s="203">
        <f t="shared" si="491"/>
        <v>0.4</v>
      </c>
      <c r="F374" s="171">
        <f t="shared" si="491"/>
        <v>0.37</v>
      </c>
      <c r="G374" s="171">
        <f t="shared" si="491"/>
        <v>0.33</v>
      </c>
      <c r="H374" s="171">
        <f t="shared" si="491"/>
        <v>0.3</v>
      </c>
      <c r="I374" s="203">
        <f t="shared" si="491"/>
        <v>0.3</v>
      </c>
      <c r="J374" s="171">
        <f t="shared" si="491"/>
        <v>0.3</v>
      </c>
      <c r="K374" s="171">
        <f t="shared" si="491"/>
        <v>0.3</v>
      </c>
      <c r="L374" s="171">
        <f t="shared" si="491"/>
        <v>0.3</v>
      </c>
      <c r="M374" s="203">
        <f t="shared" si="491"/>
        <v>0.3</v>
      </c>
      <c r="N374" s="171">
        <f t="shared" si="491"/>
        <v>0.263157894736842</v>
      </c>
      <c r="O374" s="171">
        <f t="shared" si="491"/>
        <v>0.263157894736842</v>
      </c>
      <c r="P374" s="171">
        <f t="shared" si="491"/>
        <v>0.263157894736842</v>
      </c>
      <c r="Q374" s="203">
        <f t="shared" si="491"/>
        <v>0.263157894736842</v>
      </c>
      <c r="R374" s="171">
        <f t="shared" si="491"/>
        <v>0.242690058479532</v>
      </c>
      <c r="S374" s="171">
        <f t="shared" si="491"/>
        <v>0.242690058479532</v>
      </c>
      <c r="T374" s="171">
        <f t="shared" si="491"/>
        <v>0.242690058479532</v>
      </c>
      <c r="U374" s="203">
        <f t="shared" si="491"/>
        <v>0.242690058479532</v>
      </c>
      <c r="V374" s="171">
        <f t="shared" si="491"/>
        <v>0.222222222222222</v>
      </c>
      <c r="W374" s="171">
        <f t="shared" si="491"/>
        <v>0.222222222222222</v>
      </c>
      <c r="X374" s="171">
        <f t="shared" si="491"/>
        <v>0.222222222222222</v>
      </c>
      <c r="Y374" s="203">
        <f t="shared" si="491"/>
        <v>0.222222222222222</v>
      </c>
      <c r="Z374" s="171">
        <f t="shared" ref="Z374:AC374" si="492">+Z359/Z26</f>
        <v>0.201201201201201</v>
      </c>
      <c r="AA374" s="171">
        <f t="shared" si="492"/>
        <v>0.201201201201201</v>
      </c>
      <c r="AB374" s="171">
        <f t="shared" si="492"/>
        <v>0.201201201201201</v>
      </c>
      <c r="AC374" s="203">
        <f t="shared" si="492"/>
        <v>0.201201201201201</v>
      </c>
      <c r="AD374" s="209"/>
      <c r="AE374" s="209"/>
      <c r="AF374" s="209"/>
      <c r="AG374" s="209"/>
      <c r="AH374" s="209"/>
      <c r="AI374" s="209"/>
      <c r="AJ374" s="215"/>
      <c r="AK374" s="215"/>
      <c r="AL374" s="170"/>
      <c r="AM374" s="170"/>
      <c r="AN374" s="171">
        <f t="shared" si="488"/>
        <v>0.387142857142857</v>
      </c>
      <c r="AO374" s="171">
        <f t="shared" si="488"/>
        <v>0.322294188861985</v>
      </c>
      <c r="AP374" s="171">
        <f t="shared" si="488"/>
        <v>0.3</v>
      </c>
      <c r="AQ374" s="171">
        <f t="shared" si="488"/>
        <v>0.263157894736842</v>
      </c>
      <c r="AR374" s="171">
        <f t="shared" si="488"/>
        <v>0.242690058479532</v>
      </c>
      <c r="AS374" s="171">
        <f t="shared" si="488"/>
        <v>0.222222222222222</v>
      </c>
      <c r="AT374" s="171">
        <f t="shared" si="488"/>
        <v>0.201201201201201</v>
      </c>
      <c r="AU374" s="27"/>
      <c r="AV374" s="27"/>
      <c r="AW374" s="27"/>
      <c r="AX374" s="27"/>
      <c r="AY374" s="27"/>
      <c r="AZ374" s="27"/>
      <c r="BA374" s="27"/>
    </row>
    <row r="375" s="6" customFormat="1" ht="12" spans="1:53">
      <c r="A375" s="29" t="s">
        <v>854</v>
      </c>
      <c r="B375" s="171">
        <f t="shared" ref="B375:Y375" si="493">+B360/B27</f>
        <v>0.4</v>
      </c>
      <c r="C375" s="171">
        <f t="shared" si="493"/>
        <v>0.4</v>
      </c>
      <c r="D375" s="171">
        <f t="shared" si="493"/>
        <v>0.45</v>
      </c>
      <c r="E375" s="203">
        <f t="shared" si="493"/>
        <v>0.45</v>
      </c>
      <c r="F375" s="171">
        <f t="shared" si="493"/>
        <v>0.38</v>
      </c>
      <c r="G375" s="171">
        <f t="shared" si="493"/>
        <v>0.38</v>
      </c>
      <c r="H375" s="171">
        <f t="shared" si="493"/>
        <v>0.31</v>
      </c>
      <c r="I375" s="203">
        <f t="shared" si="493"/>
        <v>0.31</v>
      </c>
      <c r="J375" s="171">
        <f t="shared" si="493"/>
        <v>0.3</v>
      </c>
      <c r="K375" s="171">
        <f t="shared" si="493"/>
        <v>0.3</v>
      </c>
      <c r="L375" s="171">
        <f t="shared" si="493"/>
        <v>0.3</v>
      </c>
      <c r="M375" s="203">
        <f t="shared" si="493"/>
        <v>0.3</v>
      </c>
      <c r="N375" s="171">
        <f t="shared" si="493"/>
        <v>0.3</v>
      </c>
      <c r="O375" s="171">
        <f t="shared" si="493"/>
        <v>0.3</v>
      </c>
      <c r="P375" s="171">
        <f t="shared" si="493"/>
        <v>0.3</v>
      </c>
      <c r="Q375" s="203">
        <f t="shared" si="493"/>
        <v>0.3</v>
      </c>
      <c r="R375" s="171">
        <f t="shared" si="493"/>
        <v>0.3</v>
      </c>
      <c r="S375" s="171">
        <f t="shared" si="493"/>
        <v>0.3</v>
      </c>
      <c r="T375" s="171">
        <f t="shared" si="493"/>
        <v>0.3</v>
      </c>
      <c r="U375" s="203">
        <f t="shared" si="493"/>
        <v>0.3</v>
      </c>
      <c r="V375" s="171">
        <f t="shared" si="493"/>
        <v>0.3</v>
      </c>
      <c r="W375" s="171">
        <f t="shared" si="493"/>
        <v>0.3</v>
      </c>
      <c r="X375" s="171">
        <f t="shared" si="493"/>
        <v>0.3</v>
      </c>
      <c r="Y375" s="203">
        <f t="shared" si="493"/>
        <v>0.3</v>
      </c>
      <c r="Z375" s="171">
        <f t="shared" ref="Z375:AC375" si="494">+Z360/Z27</f>
        <v>0.3</v>
      </c>
      <c r="AA375" s="171">
        <f t="shared" si="494"/>
        <v>0.3</v>
      </c>
      <c r="AB375" s="171">
        <f t="shared" si="494"/>
        <v>0.3</v>
      </c>
      <c r="AC375" s="203">
        <f t="shared" si="494"/>
        <v>0.3</v>
      </c>
      <c r="AD375" s="209"/>
      <c r="AE375" s="209"/>
      <c r="AF375" s="209"/>
      <c r="AG375" s="209"/>
      <c r="AH375" s="209"/>
      <c r="AI375" s="209"/>
      <c r="AJ375" s="215"/>
      <c r="AK375" s="215"/>
      <c r="AL375" s="171"/>
      <c r="AM375" s="171"/>
      <c r="AN375" s="171">
        <f t="shared" si="488"/>
        <v>0.435</v>
      </c>
      <c r="AO375" s="171">
        <f t="shared" si="488"/>
        <v>0.334901185770751</v>
      </c>
      <c r="AP375" s="171">
        <f t="shared" si="488"/>
        <v>0.3</v>
      </c>
      <c r="AQ375" s="171">
        <f t="shared" si="488"/>
        <v>0.3</v>
      </c>
      <c r="AR375" s="171">
        <f t="shared" si="488"/>
        <v>0.3</v>
      </c>
      <c r="AS375" s="171">
        <f t="shared" si="488"/>
        <v>0.3</v>
      </c>
      <c r="AT375" s="171">
        <f t="shared" si="488"/>
        <v>0.3</v>
      </c>
      <c r="AU375" s="27"/>
      <c r="AV375" s="27"/>
      <c r="AW375" s="27"/>
      <c r="AX375" s="27"/>
      <c r="AY375" s="27"/>
      <c r="AZ375" s="27"/>
      <c r="BA375" s="27"/>
    </row>
    <row r="376" s="7" customFormat="1" ht="12" spans="1:51">
      <c r="A376" s="29" t="s">
        <v>855</v>
      </c>
      <c r="B376" s="171"/>
      <c r="C376" s="171"/>
      <c r="D376" s="171">
        <f t="shared" ref="D376:Y376" si="495">+D361/D28</f>
        <v>0.45</v>
      </c>
      <c r="E376" s="203">
        <f t="shared" si="495"/>
        <v>0.45</v>
      </c>
      <c r="F376" s="171">
        <f t="shared" si="495"/>
        <v>0.45</v>
      </c>
      <c r="G376" s="171">
        <f t="shared" si="495"/>
        <v>0.45</v>
      </c>
      <c r="H376" s="171">
        <f t="shared" si="495"/>
        <v>0.42</v>
      </c>
      <c r="I376" s="203">
        <f t="shared" si="495"/>
        <v>0.48</v>
      </c>
      <c r="J376" s="171">
        <f t="shared" si="495"/>
        <v>0.466</v>
      </c>
      <c r="K376" s="171">
        <f t="shared" si="495"/>
        <v>0.479</v>
      </c>
      <c r="L376" s="171">
        <f t="shared" si="495"/>
        <v>0.4325</v>
      </c>
      <c r="M376" s="203">
        <f t="shared" si="495"/>
        <v>0.4779</v>
      </c>
      <c r="N376" s="171">
        <f t="shared" si="495"/>
        <v>0.472517525773196</v>
      </c>
      <c r="O376" s="171">
        <f t="shared" si="495"/>
        <v>0.398049411764706</v>
      </c>
      <c r="P376" s="171">
        <f t="shared" si="495"/>
        <v>0.398049411764706</v>
      </c>
      <c r="Q376" s="203">
        <f t="shared" si="495"/>
        <v>0.398049411764706</v>
      </c>
      <c r="R376" s="171">
        <f t="shared" si="495"/>
        <v>0.359213889943074</v>
      </c>
      <c r="S376" s="171">
        <f t="shared" si="495"/>
        <v>0.337854352941177</v>
      </c>
      <c r="T376" s="171">
        <f t="shared" si="495"/>
        <v>0.337854352941176</v>
      </c>
      <c r="U376" s="203">
        <f t="shared" si="495"/>
        <v>0.337854352941176</v>
      </c>
      <c r="V376" s="171">
        <f t="shared" si="495"/>
        <v>0.317375621588842</v>
      </c>
      <c r="W376" s="171">
        <f t="shared" si="495"/>
        <v>0.303004582043344</v>
      </c>
      <c r="X376" s="171">
        <f t="shared" si="495"/>
        <v>0.303004582043344</v>
      </c>
      <c r="Y376" s="203">
        <f t="shared" si="495"/>
        <v>0.303004582043344</v>
      </c>
      <c r="Z376" s="171">
        <f t="shared" ref="Z376:AC376" si="496">+Z361/Z28</f>
        <v>0.266320612677204</v>
      </c>
      <c r="AA376" s="171">
        <f t="shared" si="496"/>
        <v>0.266320612677204</v>
      </c>
      <c r="AB376" s="171">
        <f t="shared" si="496"/>
        <v>0.266320612677204</v>
      </c>
      <c r="AC376" s="203">
        <f t="shared" si="496"/>
        <v>0.266320612677204</v>
      </c>
      <c r="AD376" s="212"/>
      <c r="AE376" s="212"/>
      <c r="AF376" s="212"/>
      <c r="AG376" s="212"/>
      <c r="AH376" s="212"/>
      <c r="AI376" s="212"/>
      <c r="AJ376" s="214"/>
      <c r="AK376" s="214"/>
      <c r="AL376" s="207"/>
      <c r="AM376" s="207"/>
      <c r="AN376" s="171">
        <f t="shared" si="488"/>
        <v>0.45</v>
      </c>
      <c r="AO376" s="171">
        <f t="shared" si="488"/>
        <v>0.463803680981595</v>
      </c>
      <c r="AP376" s="171">
        <f t="shared" si="488"/>
        <v>0.463021011309178</v>
      </c>
      <c r="AQ376" s="171">
        <f t="shared" si="488"/>
        <v>0.42317279923243</v>
      </c>
      <c r="AR376" s="171">
        <f t="shared" si="488"/>
        <v>0.351649494042201</v>
      </c>
      <c r="AS376" s="171">
        <f t="shared" si="488"/>
        <v>0.306653772713274</v>
      </c>
      <c r="AT376" s="171">
        <f t="shared" si="488"/>
        <v>0.266320612677204</v>
      </c>
      <c r="AU376" s="217"/>
      <c r="AV376" s="217"/>
      <c r="AW376" s="219"/>
      <c r="AX376" s="219"/>
      <c r="AY376" s="219"/>
    </row>
    <row r="377" s="6" customFormat="1" ht="12" spans="1:51">
      <c r="A377" s="29" t="s">
        <v>856</v>
      </c>
      <c r="B377" s="171"/>
      <c r="C377" s="171"/>
      <c r="D377" s="171"/>
      <c r="E377" s="203"/>
      <c r="F377" s="171"/>
      <c r="G377" s="171"/>
      <c r="H377" s="171"/>
      <c r="I377" s="203"/>
      <c r="J377" s="171">
        <f t="shared" ref="J377:Y377" si="497">+J362/J29</f>
        <v>0.502524553110842</v>
      </c>
      <c r="K377" s="171">
        <f t="shared" si="497"/>
        <v>0.470194261163129</v>
      </c>
      <c r="L377" s="171">
        <f t="shared" si="497"/>
        <v>0.479366473738486</v>
      </c>
      <c r="M377" s="171">
        <f t="shared" si="497"/>
        <v>0.555629701313317</v>
      </c>
      <c r="N377" s="171">
        <f t="shared" si="497"/>
        <v>0.560425119955743</v>
      </c>
      <c r="O377" s="171">
        <f t="shared" si="497"/>
        <v>0.514584064743085</v>
      </c>
      <c r="P377" s="171">
        <f t="shared" si="497"/>
        <v>0.501529783820228</v>
      </c>
      <c r="Q377" s="203">
        <f t="shared" si="497"/>
        <v>0.512192552446228</v>
      </c>
      <c r="R377" s="171">
        <f t="shared" si="497"/>
        <v>0.507348912505201</v>
      </c>
      <c r="S377" s="171">
        <f t="shared" si="497"/>
        <v>0.446759696762058</v>
      </c>
      <c r="T377" s="171">
        <f t="shared" si="497"/>
        <v>0.441227293729679</v>
      </c>
      <c r="U377" s="203">
        <f t="shared" si="497"/>
        <v>0.435639566666976</v>
      </c>
      <c r="V377" s="171">
        <f t="shared" si="497"/>
        <v>0.40529760788563</v>
      </c>
      <c r="W377" s="171">
        <f t="shared" si="497"/>
        <v>0.397764710918848</v>
      </c>
      <c r="X377" s="171">
        <f t="shared" si="497"/>
        <v>0.409809416700471</v>
      </c>
      <c r="Y377" s="203">
        <f t="shared" si="497"/>
        <v>0.409809416700471</v>
      </c>
      <c r="Z377" s="171">
        <f t="shared" ref="Z377:AC377" si="498">+Z362/Z29</f>
        <v>0.326488393175832</v>
      </c>
      <c r="AA377" s="171">
        <f t="shared" si="498"/>
        <v>0.380369321721766</v>
      </c>
      <c r="AB377" s="171">
        <f t="shared" si="498"/>
        <v>0.39276193528733</v>
      </c>
      <c r="AC377" s="203">
        <f t="shared" si="498"/>
        <v>0.39276193528733</v>
      </c>
      <c r="AD377" s="211"/>
      <c r="AE377" s="211"/>
      <c r="AF377" s="211"/>
      <c r="AG377" s="211"/>
      <c r="AH377" s="211"/>
      <c r="AI377" s="211"/>
      <c r="AJ377" s="215"/>
      <c r="AK377" s="215"/>
      <c r="AL377" s="171"/>
      <c r="AM377" s="171"/>
      <c r="AN377" s="171"/>
      <c r="AO377" s="171"/>
      <c r="AP377" s="171">
        <f t="shared" ref="AP377:AT377" si="499">+AP362/AP29</f>
        <v>0.530777882684893</v>
      </c>
      <c r="AQ377" s="171">
        <f t="shared" si="499"/>
        <v>0.514111684366769</v>
      </c>
      <c r="AR377" s="171">
        <f t="shared" si="499"/>
        <v>0.455452427328553</v>
      </c>
      <c r="AS377" s="171">
        <f t="shared" si="499"/>
        <v>0.405667635078613</v>
      </c>
      <c r="AT377" s="171">
        <f t="shared" si="499"/>
        <v>0.373157127498121</v>
      </c>
      <c r="AU377" s="216"/>
      <c r="AV377" s="216"/>
      <c r="AW377" s="218"/>
      <c r="AX377" s="218"/>
      <c r="AY377" s="218"/>
    </row>
    <row r="378" s="4" customFormat="1" ht="12" spans="1:51">
      <c r="A378" s="29" t="s">
        <v>857</v>
      </c>
      <c r="B378" s="171"/>
      <c r="C378" s="171"/>
      <c r="D378" s="171"/>
      <c r="E378" s="203"/>
      <c r="F378" s="171"/>
      <c r="G378" s="171"/>
      <c r="H378" s="171"/>
      <c r="I378" s="203"/>
      <c r="J378" s="171"/>
      <c r="K378" s="171"/>
      <c r="L378" s="171"/>
      <c r="M378" s="203"/>
      <c r="N378" s="171"/>
      <c r="O378" s="171"/>
      <c r="P378" s="171">
        <f t="shared" ref="P378:Y378" si="500">+P363/P30</f>
        <v>0.593321917808219</v>
      </c>
      <c r="Q378" s="203">
        <f t="shared" si="500"/>
        <v>0.593321917808219</v>
      </c>
      <c r="R378" s="171">
        <f t="shared" si="500"/>
        <v>0.58572691117985</v>
      </c>
      <c r="S378" s="171">
        <f t="shared" si="500"/>
        <v>0.539550618108921</v>
      </c>
      <c r="T378" s="171">
        <f t="shared" si="500"/>
        <v>0.530341630471099</v>
      </c>
      <c r="U378" s="203">
        <f t="shared" si="500"/>
        <v>0.52564504677581</v>
      </c>
      <c r="V378" s="171">
        <f t="shared" si="500"/>
        <v>0.505242683196275</v>
      </c>
      <c r="W378" s="171">
        <f t="shared" si="500"/>
        <v>0.539875695372536</v>
      </c>
      <c r="X378" s="171">
        <f t="shared" si="500"/>
        <v>0.539875695372536</v>
      </c>
      <c r="Y378" s="203">
        <f t="shared" si="500"/>
        <v>0.539875695372536</v>
      </c>
      <c r="Z378" s="171">
        <f t="shared" ref="Z378:AC378" si="501">+Z363/Z30</f>
        <v>0.481022586641116</v>
      </c>
      <c r="AA378" s="171">
        <f t="shared" si="501"/>
        <v>0.532920327977005</v>
      </c>
      <c r="AB378" s="171">
        <f t="shared" si="501"/>
        <v>0.532920327977005</v>
      </c>
      <c r="AC378" s="203">
        <f t="shared" si="501"/>
        <v>0.532920327977005</v>
      </c>
      <c r="AD378" s="168"/>
      <c r="AE378" s="168"/>
      <c r="AF378" s="168"/>
      <c r="AG378" s="168"/>
      <c r="AH378" s="168"/>
      <c r="AI378" s="168"/>
      <c r="AJ378" s="169"/>
      <c r="AK378" s="169"/>
      <c r="AL378" s="170"/>
      <c r="AM378" s="171"/>
      <c r="AN378" s="171"/>
      <c r="AO378" s="171"/>
      <c r="AP378" s="171"/>
      <c r="AQ378" s="171"/>
      <c r="AR378" s="171">
        <f t="shared" ref="AR378:AT378" si="502">+AR363/AR30</f>
        <v>0.533476769136882</v>
      </c>
      <c r="AS378" s="171">
        <f t="shared" si="502"/>
        <v>0.533687664378507</v>
      </c>
      <c r="AT378" s="171">
        <f t="shared" si="502"/>
        <v>0.524397531745891</v>
      </c>
      <c r="AU378" s="172"/>
      <c r="AV378" s="172"/>
      <c r="AW378" s="173"/>
      <c r="AX378" s="173"/>
      <c r="AY378" s="173"/>
    </row>
    <row r="379" s="4" customFormat="1" ht="12" spans="1:51">
      <c r="A379" s="29" t="s">
        <v>858</v>
      </c>
      <c r="B379" s="171"/>
      <c r="C379" s="171"/>
      <c r="D379" s="171"/>
      <c r="E379" s="203"/>
      <c r="F379" s="171"/>
      <c r="G379" s="171"/>
      <c r="H379" s="171"/>
      <c r="I379" s="203"/>
      <c r="J379" s="171"/>
      <c r="K379" s="171"/>
      <c r="L379" s="171"/>
      <c r="M379" s="203"/>
      <c r="N379" s="171"/>
      <c r="O379" s="171"/>
      <c r="P379" s="171"/>
      <c r="Q379" s="203"/>
      <c r="R379" s="171"/>
      <c r="S379" s="171"/>
      <c r="T379" s="171"/>
      <c r="U379" s="203"/>
      <c r="V379" s="171"/>
      <c r="W379" s="171"/>
      <c r="X379" s="171"/>
      <c r="Y379" s="203"/>
      <c r="Z379" s="171"/>
      <c r="AA379" s="171"/>
      <c r="AB379" s="171"/>
      <c r="AC379" s="203"/>
      <c r="AD379" s="168"/>
      <c r="AE379" s="168"/>
      <c r="AF379" s="168"/>
      <c r="AG379" s="168"/>
      <c r="AH379" s="168"/>
      <c r="AI379" s="168"/>
      <c r="AJ379" s="169"/>
      <c r="AK379" s="169"/>
      <c r="AL379" s="170"/>
      <c r="AM379" s="171"/>
      <c r="AN379" s="171"/>
      <c r="AO379" s="171"/>
      <c r="AP379" s="171"/>
      <c r="AQ379" s="171"/>
      <c r="AR379" s="171"/>
      <c r="AS379" s="171"/>
      <c r="AT379" s="171"/>
      <c r="AU379" s="172"/>
      <c r="AV379" s="172"/>
      <c r="AW379" s="173"/>
      <c r="AX379" s="173"/>
      <c r="AY379" s="173"/>
    </row>
    <row r="380" s="4" customFormat="1" ht="12" spans="1:51">
      <c r="A380" s="25"/>
      <c r="B380" s="138"/>
      <c r="C380" s="138"/>
      <c r="D380" s="138"/>
      <c r="E380" s="147"/>
      <c r="F380" s="125"/>
      <c r="G380" s="27"/>
      <c r="H380" s="27"/>
      <c r="I380" s="52"/>
      <c r="J380" s="27"/>
      <c r="K380" s="27"/>
      <c r="L380" s="27"/>
      <c r="M380" s="52"/>
      <c r="N380" s="27"/>
      <c r="O380" s="27"/>
      <c r="P380" s="27"/>
      <c r="Q380" s="52"/>
      <c r="R380" s="27"/>
      <c r="S380" s="27"/>
      <c r="T380" s="27"/>
      <c r="U380" s="52"/>
      <c r="V380" s="27"/>
      <c r="W380" s="27"/>
      <c r="X380" s="27"/>
      <c r="Y380" s="52"/>
      <c r="Z380" s="27"/>
      <c r="AA380" s="27"/>
      <c r="AB380" s="27"/>
      <c r="AC380" s="52"/>
      <c r="AD380" s="168"/>
      <c r="AE380" s="168"/>
      <c r="AF380" s="168"/>
      <c r="AG380" s="168"/>
      <c r="AH380" s="168"/>
      <c r="AI380" s="168"/>
      <c r="AJ380" s="169"/>
      <c r="AK380" s="169"/>
      <c r="AL380" s="170"/>
      <c r="AM380" s="171"/>
      <c r="AN380" s="171"/>
      <c r="AO380" s="171"/>
      <c r="AP380" s="171"/>
      <c r="AQ380" s="171"/>
      <c r="AR380" s="171"/>
      <c r="AS380" s="171"/>
      <c r="AT380" s="171"/>
      <c r="AU380" s="172"/>
      <c r="AV380" s="172"/>
      <c r="AW380" s="173"/>
      <c r="AX380" s="173"/>
      <c r="AY380" s="173"/>
    </row>
    <row r="381" s="5" customFormat="1" ht="12" spans="1:53">
      <c r="A381" s="192" t="s">
        <v>910</v>
      </c>
      <c r="B381" s="193"/>
      <c r="C381" s="193"/>
      <c r="D381" s="193"/>
      <c r="E381" s="199"/>
      <c r="F381" s="193"/>
      <c r="G381" s="193"/>
      <c r="H381" s="193"/>
      <c r="I381" s="199"/>
      <c r="J381" s="193"/>
      <c r="K381" s="193"/>
      <c r="L381" s="193"/>
      <c r="M381" s="199"/>
      <c r="N381" s="193"/>
      <c r="O381" s="193"/>
      <c r="P381" s="193"/>
      <c r="Q381" s="199"/>
      <c r="R381" s="193"/>
      <c r="S381" s="193"/>
      <c r="T381" s="193"/>
      <c r="U381" s="199"/>
      <c r="V381" s="193"/>
      <c r="W381" s="193"/>
      <c r="X381" s="193"/>
      <c r="Y381" s="199"/>
      <c r="Z381" s="193"/>
      <c r="AA381" s="193"/>
      <c r="AB381" s="193"/>
      <c r="AC381" s="199"/>
      <c r="AD381" s="193"/>
      <c r="AE381" s="193"/>
      <c r="AF381" s="193"/>
      <c r="AG381" s="193"/>
      <c r="AH381" s="199"/>
      <c r="AI381" s="193"/>
      <c r="AJ381" s="193"/>
      <c r="AK381" s="193"/>
      <c r="AL381" s="193"/>
      <c r="AM381" s="193"/>
      <c r="AN381" s="193"/>
      <c r="AU381" s="193"/>
      <c r="AV381" s="193"/>
      <c r="AW381" s="193"/>
      <c r="AX381" s="193"/>
      <c r="AY381" s="193"/>
      <c r="AZ381" s="193"/>
      <c r="BA381" s="193"/>
    </row>
    <row r="382" s="8" customFormat="1" spans="1:46">
      <c r="A382" s="198" t="s">
        <v>911</v>
      </c>
      <c r="B382" s="105">
        <f>Model!BD17</f>
        <v>6.4221203</v>
      </c>
      <c r="C382" s="105">
        <f>Model!BE17</f>
        <v>14.14130639</v>
      </c>
      <c r="D382" s="105">
        <f>Model!BF17</f>
        <v>14.57763827</v>
      </c>
      <c r="E382" s="204">
        <f>Model!BG17</f>
        <v>17.36691116</v>
      </c>
      <c r="F382" s="105">
        <f>Model!BH17</f>
        <v>7.53509681</v>
      </c>
      <c r="G382" s="105">
        <f>Model!BI17</f>
        <v>9.49220947</v>
      </c>
      <c r="H382" s="105">
        <f>Model!BJ17</f>
        <v>8.411287</v>
      </c>
      <c r="I382" s="204">
        <f>Model!BK17</f>
        <v>12.1333825</v>
      </c>
      <c r="J382" s="105">
        <f>Model!BL17</f>
        <v>20.4266914</v>
      </c>
      <c r="K382" s="105">
        <f>Model!BM17</f>
        <v>19.06603749</v>
      </c>
      <c r="L382" s="105">
        <f>Model!BN17</f>
        <v>23.14775986</v>
      </c>
      <c r="M382" s="204">
        <f>Model!BO17</f>
        <v>34.87908085</v>
      </c>
      <c r="N382" s="105">
        <f>Model!BP17</f>
        <v>37.83148917</v>
      </c>
      <c r="O382" s="105">
        <f>Model!BQ17</f>
        <v>47.13314088</v>
      </c>
      <c r="P382" s="105">
        <f>Model!BR17</f>
        <v>38.36048103</v>
      </c>
      <c r="Q382" s="105">
        <f>Model!BS17</f>
        <v>27.52972217</v>
      </c>
      <c r="R382" s="105">
        <f>Model!BT17</f>
        <v>35.61554813</v>
      </c>
      <c r="S382" s="105">
        <f t="shared" ref="S382:Z382" si="503">+S392</f>
        <v>41.796828990625</v>
      </c>
      <c r="T382" s="105">
        <f t="shared" si="503"/>
        <v>45.431335859375</v>
      </c>
      <c r="U382" s="204">
        <f t="shared" si="503"/>
        <v>54.51760303125</v>
      </c>
      <c r="V382" s="105">
        <f t="shared" si="503"/>
        <v>38.9736822560938</v>
      </c>
      <c r="W382" s="105">
        <f t="shared" si="503"/>
        <v>41.024928690625</v>
      </c>
      <c r="X382" s="105">
        <f t="shared" si="503"/>
        <v>51.2811608632813</v>
      </c>
      <c r="Y382" s="204">
        <f t="shared" si="503"/>
        <v>73.844871643125</v>
      </c>
      <c r="Z382" s="105">
        <f t="shared" si="503"/>
        <v>44.1458961270078</v>
      </c>
      <c r="AA382" s="105">
        <f t="shared" ref="AA382:AC382" si="504">+AA392</f>
        <v>46.4693643442188</v>
      </c>
      <c r="AB382" s="105">
        <f t="shared" si="504"/>
        <v>58.0867054302734</v>
      </c>
      <c r="AC382" s="204">
        <f t="shared" si="504"/>
        <v>83.6448558195938</v>
      </c>
      <c r="AF382" s="213">
        <f>Model!H17</f>
        <v>8.88690065</v>
      </c>
      <c r="AG382" s="213">
        <f>Model!I17</f>
        <v>9.37675607</v>
      </c>
      <c r="AH382" s="213">
        <f>Model!J17</f>
        <v>10.45975832</v>
      </c>
      <c r="AI382" s="213">
        <f>Model!K17</f>
        <v>13.32346714</v>
      </c>
      <c r="AJ382" s="213">
        <f>Model!L17</f>
        <v>18.53402565</v>
      </c>
      <c r="AK382" s="213">
        <f>Model!M17</f>
        <v>25.77356518</v>
      </c>
      <c r="AL382" s="213">
        <f>Model!N17</f>
        <v>33.3379024</v>
      </c>
      <c r="AM382" s="213">
        <f>Model!O17</f>
        <v>35.69091042</v>
      </c>
      <c r="AN382" s="213">
        <f>Model!P17</f>
        <v>52.50797612</v>
      </c>
      <c r="AO382" s="213">
        <f>Model!Q17</f>
        <v>37.57197578</v>
      </c>
      <c r="AP382" s="213">
        <f>Model!R17</f>
        <v>97.5195696</v>
      </c>
      <c r="AQ382" s="213">
        <f>Model!S17</f>
        <v>150.85483325</v>
      </c>
      <c r="AR382" s="8">
        <f t="shared" ref="AR382:AT382" si="505">+AR392</f>
        <v>181.7253434375</v>
      </c>
      <c r="AS382" s="8">
        <f t="shared" si="505"/>
        <v>205.124643453125</v>
      </c>
      <c r="AT382" s="8">
        <f t="shared" si="505"/>
        <v>232.346821721094</v>
      </c>
    </row>
    <row r="383" s="8" customFormat="1" spans="1:46">
      <c r="A383" s="198" t="s">
        <v>912</v>
      </c>
      <c r="B383" s="105">
        <f>Model!BD18</f>
        <v>6.62486053</v>
      </c>
      <c r="C383" s="105">
        <f>Model!BE18</f>
        <v>33.07101883</v>
      </c>
      <c r="D383" s="105">
        <f>Model!BF18</f>
        <v>19.9835685</v>
      </c>
      <c r="E383" s="204">
        <f>Model!BG18</f>
        <v>24.83767011</v>
      </c>
      <c r="F383" s="105">
        <f>Model!BH18</f>
        <v>17.43972928</v>
      </c>
      <c r="G383" s="105">
        <f>Model!BI18</f>
        <v>18.00179024</v>
      </c>
      <c r="H383" s="105">
        <f>Model!BJ18</f>
        <v>21.86766117</v>
      </c>
      <c r="I383" s="204">
        <f>Model!BK18</f>
        <v>18.90376483</v>
      </c>
      <c r="J383" s="105">
        <f>Model!BL18</f>
        <v>28.60884844</v>
      </c>
      <c r="K383" s="105">
        <f>Model!BM18</f>
        <v>39.09153447</v>
      </c>
      <c r="L383" s="105">
        <f>Model!BN18</f>
        <v>34.51227477</v>
      </c>
      <c r="M383" s="204">
        <f>Model!BO18</f>
        <v>66.80454381</v>
      </c>
      <c r="N383" s="105">
        <f>Model!BP18</f>
        <v>59.79065951</v>
      </c>
      <c r="O383" s="105">
        <f>Model!BQ18</f>
        <v>65.11523233</v>
      </c>
      <c r="P383" s="105">
        <f>Model!BR18</f>
        <v>62.9732381</v>
      </c>
      <c r="Q383" s="105">
        <f>Model!BS18</f>
        <v>51.56254031</v>
      </c>
      <c r="R383" s="105">
        <f>Model!BT18</f>
        <v>62.31596336</v>
      </c>
      <c r="S383" s="105">
        <f t="shared" ref="S383:Z383" si="506">+S402</f>
        <v>66.884915332725</v>
      </c>
      <c r="T383" s="105">
        <f t="shared" si="506"/>
        <v>72.700994926875</v>
      </c>
      <c r="U383" s="204">
        <f t="shared" si="506"/>
        <v>87.24119391225</v>
      </c>
      <c r="V383" s="105">
        <f t="shared" si="506"/>
        <v>69.9940068659975</v>
      </c>
      <c r="W383" s="105">
        <f t="shared" si="506"/>
        <v>76.35709839927</v>
      </c>
      <c r="X383" s="105">
        <f t="shared" si="506"/>
        <v>79.5386441659062</v>
      </c>
      <c r="Y383" s="204">
        <f t="shared" si="506"/>
        <v>92.2648272324512</v>
      </c>
      <c r="Z383" s="105">
        <f t="shared" si="506"/>
        <v>76.7872078958971</v>
      </c>
      <c r="AA383" s="105">
        <f t="shared" ref="AA383:AC383" si="507">+AA402</f>
        <v>83.7678631591605</v>
      </c>
      <c r="AB383" s="105">
        <f t="shared" si="507"/>
        <v>87.2581907907922</v>
      </c>
      <c r="AC383" s="204">
        <f t="shared" si="507"/>
        <v>101.219501317319</v>
      </c>
      <c r="AF383" s="213">
        <f>Model!H18</f>
        <v>18.83861098</v>
      </c>
      <c r="AG383" s="213">
        <f>Model!I18</f>
        <v>18.54184553</v>
      </c>
      <c r="AH383" s="213">
        <f>Model!J18</f>
        <v>21.86359188</v>
      </c>
      <c r="AI383" s="213">
        <f>Model!K18</f>
        <v>21.367830616864</v>
      </c>
      <c r="AJ383" s="213">
        <f>Model!L18</f>
        <v>26.50485115</v>
      </c>
      <c r="AK383" s="213">
        <f>Model!M18</f>
        <v>33.66914046</v>
      </c>
      <c r="AL383" s="213">
        <f>Model!N18</f>
        <v>31.56337272</v>
      </c>
      <c r="AM383" s="213">
        <f>Model!O18</f>
        <v>33.88891322</v>
      </c>
      <c r="AN383" s="213">
        <f>Model!P18</f>
        <v>84.51711797</v>
      </c>
      <c r="AO383" s="213">
        <f>Model!Q18</f>
        <v>76.21294552</v>
      </c>
      <c r="AP383" s="213">
        <f>Model!R18</f>
        <v>169.01720149</v>
      </c>
      <c r="AQ383" s="213">
        <f>Model!S18</f>
        <v>239.44167025</v>
      </c>
      <c r="AR383" s="8">
        <f t="shared" ref="AR383:AT383" si="508">+AR402</f>
        <v>290.8039797075</v>
      </c>
      <c r="AS383" s="8">
        <f t="shared" si="508"/>
        <v>318.154576663625</v>
      </c>
      <c r="AT383" s="8">
        <f t="shared" si="508"/>
        <v>349.032763163169</v>
      </c>
    </row>
    <row r="384" s="8" customFormat="1" spans="1:46">
      <c r="A384" s="198" t="s">
        <v>700</v>
      </c>
      <c r="B384" s="105">
        <f>Model!BD19</f>
        <v>36.82673998</v>
      </c>
      <c r="C384" s="105">
        <f>Model!BE19</f>
        <v>28.36320069</v>
      </c>
      <c r="D384" s="105">
        <f>Model!BF19</f>
        <v>46.24608016</v>
      </c>
      <c r="E384" s="204">
        <f>Model!BG19</f>
        <v>75.80534111</v>
      </c>
      <c r="F384" s="105">
        <f>Model!BH19</f>
        <v>31.57793624</v>
      </c>
      <c r="G384" s="105">
        <f>Model!BI19</f>
        <v>29.23529009</v>
      </c>
      <c r="H384" s="105">
        <f>Model!BJ19</f>
        <v>39.46999666</v>
      </c>
      <c r="I384" s="204">
        <f>Model!BK19</f>
        <v>33.49127856</v>
      </c>
      <c r="J384" s="105">
        <f>Model!BL19</f>
        <v>53.18913031</v>
      </c>
      <c r="K384" s="105">
        <f>Model!BM19</f>
        <v>76.38059619</v>
      </c>
      <c r="L384" s="105">
        <f>Model!BN19</f>
        <v>71.28638816</v>
      </c>
      <c r="M384" s="204">
        <f>Model!BO19</f>
        <v>202.31250894</v>
      </c>
      <c r="N384" s="105">
        <f>Model!BP19</f>
        <v>117.88531689</v>
      </c>
      <c r="O384" s="105">
        <f>Model!BQ19</f>
        <v>215.83030265</v>
      </c>
      <c r="P384" s="105">
        <f>Model!BR19</f>
        <v>167.55891718</v>
      </c>
      <c r="Q384" s="105">
        <f>Model!BS19</f>
        <v>200.86931152</v>
      </c>
      <c r="R384" s="105">
        <f>Model!BT19</f>
        <v>119.90908567</v>
      </c>
      <c r="S384" s="105">
        <f t="shared" ref="S384:Z384" si="509">+S429</f>
        <v>160.23</v>
      </c>
      <c r="T384" s="105">
        <f t="shared" si="509"/>
        <v>167.86</v>
      </c>
      <c r="U384" s="204">
        <f t="shared" si="509"/>
        <v>282.31</v>
      </c>
      <c r="V384" s="105">
        <f t="shared" si="509"/>
        <v>190</v>
      </c>
      <c r="W384" s="105">
        <f t="shared" si="509"/>
        <v>209</v>
      </c>
      <c r="X384" s="105">
        <f t="shared" si="509"/>
        <v>218.5</v>
      </c>
      <c r="Y384" s="204">
        <f t="shared" si="509"/>
        <v>332.5</v>
      </c>
      <c r="Z384" s="105">
        <f t="shared" si="509"/>
        <v>196.88</v>
      </c>
      <c r="AA384" s="105">
        <f t="shared" ref="AA384:AC384" si="510">+AA429</f>
        <v>216.568</v>
      </c>
      <c r="AB384" s="105">
        <f t="shared" si="510"/>
        <v>226.412</v>
      </c>
      <c r="AC384" s="204">
        <f t="shared" si="510"/>
        <v>344.54</v>
      </c>
      <c r="AF384" s="213">
        <f>Model!H19</f>
        <v>18.18896454</v>
      </c>
      <c r="AG384" s="213">
        <f>Model!I19</f>
        <v>23.42025289</v>
      </c>
      <c r="AH384" s="213">
        <f>Model!J19</f>
        <v>29.25614945</v>
      </c>
      <c r="AI384" s="213">
        <f>Model!K19</f>
        <v>44.921106523136</v>
      </c>
      <c r="AJ384" s="213">
        <f>Model!L19</f>
        <v>52.66466969</v>
      </c>
      <c r="AK384" s="213">
        <f>Model!M19</f>
        <v>81.34319845</v>
      </c>
      <c r="AL384" s="213">
        <f>Model!N19</f>
        <v>85.08281993</v>
      </c>
      <c r="AM384" s="213">
        <f>Model!O19</f>
        <v>108.42423218</v>
      </c>
      <c r="AN384" s="213">
        <f>Model!P19</f>
        <v>187.24136194</v>
      </c>
      <c r="AO384" s="213">
        <f>Model!Q19</f>
        <v>133.77450155</v>
      </c>
      <c r="AP384" s="213">
        <f>Model!R19</f>
        <v>403.1686236</v>
      </c>
      <c r="AQ384" s="213">
        <f>Model!S19</f>
        <v>702.14384824</v>
      </c>
      <c r="AR384" s="8">
        <f t="shared" ref="AR384:AT384" si="511">+AR429</f>
        <v>763</v>
      </c>
      <c r="AS384" s="8">
        <f t="shared" si="511"/>
        <v>950</v>
      </c>
      <c r="AT384" s="8">
        <f t="shared" si="511"/>
        <v>984.4</v>
      </c>
    </row>
    <row r="385" s="8" customFormat="1" spans="1:34">
      <c r="A385" s="198"/>
      <c r="E385" s="225"/>
      <c r="I385" s="225"/>
      <c r="M385" s="225"/>
      <c r="Q385" s="225"/>
      <c r="U385" s="225"/>
      <c r="Y385" s="225"/>
      <c r="AC385" s="225"/>
      <c r="AF385" s="232"/>
      <c r="AG385" s="232"/>
      <c r="AH385" s="232"/>
    </row>
    <row r="386" spans="1:46">
      <c r="A386" s="198" t="s">
        <v>913</v>
      </c>
      <c r="AF386" s="233"/>
      <c r="AG386" s="233"/>
      <c r="AH386" s="233"/>
      <c r="AN386" s="235"/>
      <c r="AO386" s="235"/>
      <c r="AP386" s="235"/>
      <c r="AQ386" s="235"/>
      <c r="AR386" s="235"/>
      <c r="AS386" s="235"/>
      <c r="AT386" s="235"/>
    </row>
    <row r="387" spans="1:46">
      <c r="A387" s="198" t="s">
        <v>911</v>
      </c>
      <c r="B387" s="106"/>
      <c r="C387" s="106"/>
      <c r="D387" s="106"/>
      <c r="E387" s="226"/>
      <c r="F387" s="106"/>
      <c r="G387" s="106"/>
      <c r="H387" s="106"/>
      <c r="I387" s="226"/>
      <c r="J387" s="106"/>
      <c r="K387" s="106"/>
      <c r="L387" s="106"/>
      <c r="M387" s="226"/>
      <c r="N387" s="106"/>
      <c r="O387" s="106"/>
      <c r="P387" s="106"/>
      <c r="Q387" s="226"/>
      <c r="R387" s="106"/>
      <c r="S387" s="106"/>
      <c r="T387" s="106"/>
      <c r="U387" s="226"/>
      <c r="V387" s="106"/>
      <c r="W387" s="106"/>
      <c r="X387" s="106"/>
      <c r="Y387" s="226"/>
      <c r="Z387" s="106"/>
      <c r="AA387" s="106"/>
      <c r="AB387" s="106"/>
      <c r="AC387" s="226"/>
      <c r="AF387" s="106">
        <f t="shared" ref="AF387:AT389" si="512">AF382/AF$5</f>
        <v>0.017004052716246</v>
      </c>
      <c r="AG387" s="106">
        <f t="shared" si="512"/>
        <v>0.0152437939696819</v>
      </c>
      <c r="AH387" s="106">
        <f t="shared" si="512"/>
        <v>0.0146509239478776</v>
      </c>
      <c r="AI387" s="106">
        <f t="shared" si="512"/>
        <v>0.0151857683473728</v>
      </c>
      <c r="AJ387" s="106">
        <f t="shared" si="512"/>
        <v>0.0243884712303177</v>
      </c>
      <c r="AK387" s="106">
        <f t="shared" si="512"/>
        <v>0.0221256309334618</v>
      </c>
      <c r="AL387" s="106">
        <f t="shared" si="512"/>
        <v>0.0166861567444928</v>
      </c>
      <c r="AM387" s="236">
        <f t="shared" si="512"/>
        <v>0.0122717659743968</v>
      </c>
      <c r="AN387" s="236">
        <f t="shared" si="512"/>
        <v>0.0158606874343658</v>
      </c>
      <c r="AO387" s="236">
        <f t="shared" si="512"/>
        <v>0.0121293601594369</v>
      </c>
      <c r="AP387" s="236">
        <f t="shared" si="512"/>
        <v>0.0112780703225412</v>
      </c>
      <c r="AQ387" s="236">
        <f t="shared" si="512"/>
        <v>0.00607260746913953</v>
      </c>
      <c r="AR387" s="236">
        <f t="shared" si="512"/>
        <v>0.00353162776219792</v>
      </c>
      <c r="AS387" s="236">
        <f>AS382/AS$5</f>
        <v>0.00277530786246857</v>
      </c>
      <c r="AT387" s="236">
        <f>AT382/AT$5</f>
        <v>0.0027342841381752</v>
      </c>
    </row>
    <row r="388" spans="1:46">
      <c r="A388" s="198" t="s">
        <v>912</v>
      </c>
      <c r="B388" s="106"/>
      <c r="C388" s="106"/>
      <c r="D388" s="106"/>
      <c r="E388" s="226"/>
      <c r="F388" s="106"/>
      <c r="G388" s="106"/>
      <c r="H388" s="106"/>
      <c r="I388" s="226"/>
      <c r="J388" s="106"/>
      <c r="K388" s="106"/>
      <c r="L388" s="106"/>
      <c r="M388" s="226"/>
      <c r="N388" s="106"/>
      <c r="O388" s="106"/>
      <c r="P388" s="106"/>
      <c r="Q388" s="226"/>
      <c r="R388" s="106"/>
      <c r="S388" s="106"/>
      <c r="T388" s="106"/>
      <c r="U388" s="226"/>
      <c r="V388" s="106"/>
      <c r="W388" s="106"/>
      <c r="X388" s="106"/>
      <c r="Y388" s="226"/>
      <c r="Z388" s="106"/>
      <c r="AA388" s="106"/>
      <c r="AB388" s="106"/>
      <c r="AC388" s="226"/>
      <c r="AF388" s="106">
        <f t="shared" si="512"/>
        <v>0.0360454951417479</v>
      </c>
      <c r="AG388" s="106">
        <f t="shared" si="512"/>
        <v>0.0301434814947668</v>
      </c>
      <c r="AH388" s="106">
        <f t="shared" si="512"/>
        <v>0.0306242087112882</v>
      </c>
      <c r="AI388" s="106">
        <f t="shared" si="512"/>
        <v>0.0243545409332241</v>
      </c>
      <c r="AJ388" s="106">
        <f t="shared" si="512"/>
        <v>0.0348770856338827</v>
      </c>
      <c r="AK388" s="106">
        <f t="shared" si="512"/>
        <v>0.0289036836953749</v>
      </c>
      <c r="AL388" s="106">
        <f t="shared" si="512"/>
        <v>0.0157979760775462</v>
      </c>
      <c r="AM388" s="106">
        <f t="shared" si="512"/>
        <v>0.011652177186532</v>
      </c>
      <c r="AN388" s="236">
        <f t="shared" si="512"/>
        <v>0.025529446953203</v>
      </c>
      <c r="AO388" s="236">
        <f t="shared" si="512"/>
        <v>0.0246038236167421</v>
      </c>
      <c r="AP388" s="236">
        <f t="shared" si="512"/>
        <v>0.019546721667682</v>
      </c>
      <c r="AQ388" s="236">
        <f t="shared" si="512"/>
        <v>0.00963863897402435</v>
      </c>
      <c r="AR388" s="236">
        <f t="shared" si="512"/>
        <v>0.00565144843677713</v>
      </c>
      <c r="AS388" s="236">
        <f t="shared" si="512"/>
        <v>0.00430458711947351</v>
      </c>
      <c r="AT388" s="236">
        <f t="shared" si="512"/>
        <v>0.00410745772613196</v>
      </c>
    </row>
    <row r="389" spans="1:46">
      <c r="A389" s="198" t="s">
        <v>700</v>
      </c>
      <c r="B389" s="106"/>
      <c r="C389" s="106"/>
      <c r="D389" s="106"/>
      <c r="E389" s="226"/>
      <c r="F389" s="106"/>
      <c r="G389" s="106"/>
      <c r="H389" s="106"/>
      <c r="I389" s="226"/>
      <c r="J389" s="106"/>
      <c r="K389" s="106"/>
      <c r="L389" s="106"/>
      <c r="M389" s="226"/>
      <c r="N389" s="106"/>
      <c r="O389" s="106"/>
      <c r="P389" s="106"/>
      <c r="Q389" s="226"/>
      <c r="R389" s="106"/>
      <c r="S389" s="106"/>
      <c r="T389" s="106"/>
      <c r="U389" s="226"/>
      <c r="V389" s="106"/>
      <c r="W389" s="106"/>
      <c r="X389" s="106"/>
      <c r="Y389" s="226"/>
      <c r="Z389" s="106"/>
      <c r="AA389" s="106"/>
      <c r="AB389" s="106"/>
      <c r="AC389" s="226"/>
      <c r="AF389" s="106">
        <f t="shared" si="512"/>
        <v>0.0348024720960608</v>
      </c>
      <c r="AG389" s="106">
        <f t="shared" si="512"/>
        <v>0.0380743091862267</v>
      </c>
      <c r="AH389" s="106">
        <f t="shared" si="512"/>
        <v>0.0409789220253887</v>
      </c>
      <c r="AI389" s="106">
        <f t="shared" si="512"/>
        <v>0.0512</v>
      </c>
      <c r="AJ389" s="106">
        <f t="shared" si="512"/>
        <v>0.0693001512916731</v>
      </c>
      <c r="AK389" s="106">
        <f t="shared" si="512"/>
        <v>0.0698300594148552</v>
      </c>
      <c r="AL389" s="106">
        <f t="shared" si="512"/>
        <v>0.0425853208333659</v>
      </c>
      <c r="AM389" s="106">
        <f t="shared" si="512"/>
        <v>0.0372799905524691</v>
      </c>
      <c r="AN389" s="106">
        <f t="shared" si="512"/>
        <v>0.0565585828280311</v>
      </c>
      <c r="AO389" s="106">
        <f t="shared" si="512"/>
        <v>0.0431864195524376</v>
      </c>
      <c r="AP389" s="106">
        <f t="shared" si="512"/>
        <v>0.0466261705978957</v>
      </c>
      <c r="AQ389" s="106">
        <f t="shared" si="512"/>
        <v>0.0282645500006384</v>
      </c>
      <c r="AR389" s="106">
        <f t="shared" si="512"/>
        <v>0.014828047269498</v>
      </c>
      <c r="AS389" s="106">
        <f t="shared" si="512"/>
        <v>0.012853367713215</v>
      </c>
      <c r="AT389" s="106">
        <f>AT384/AT$5</f>
        <v>0.0115845324919084</v>
      </c>
    </row>
    <row r="390" spans="32:34">
      <c r="AF390" s="233"/>
      <c r="AG390" s="233"/>
      <c r="AH390" s="233"/>
    </row>
    <row r="391" spans="1:34">
      <c r="A391" s="220" t="s">
        <v>914</v>
      </c>
      <c r="B391" s="111">
        <f>+B392/SUM($B$382:$E$382)</f>
        <v>0.122307519248563</v>
      </c>
      <c r="C391" s="111">
        <f>+C392/SUM($B$382:$E$382)</f>
        <v>0.269317300626517</v>
      </c>
      <c r="D391" s="111">
        <f>+D392/SUM($B$382:$E$382)</f>
        <v>0.277627121576439</v>
      </c>
      <c r="E391" s="227">
        <f>+E392/SUM($B$382:$E$382)</f>
        <v>0.330748058548481</v>
      </c>
      <c r="F391" s="111">
        <f>+F392/$AO392</f>
        <v>0.200550986568319</v>
      </c>
      <c r="G391" s="111">
        <f>+G392/$AO392</f>
        <v>0.252640678935304</v>
      </c>
      <c r="H391" s="111">
        <v>0.3</v>
      </c>
      <c r="I391" s="227">
        <v>0.39</v>
      </c>
      <c r="J391" s="111">
        <v>0.19</v>
      </c>
      <c r="K391" s="111">
        <v>0.24</v>
      </c>
      <c r="L391" s="111">
        <v>0.26</v>
      </c>
      <c r="M391" s="227">
        <v>0.28</v>
      </c>
      <c r="N391" s="111">
        <v>0.19</v>
      </c>
      <c r="O391" s="111">
        <v>0.23</v>
      </c>
      <c r="P391" s="111">
        <v>0.24</v>
      </c>
      <c r="Q391" s="227">
        <v>0.3</v>
      </c>
      <c r="R391" s="111">
        <v>0.22</v>
      </c>
      <c r="S391" s="111">
        <v>0.23</v>
      </c>
      <c r="T391" s="111">
        <v>0.25</v>
      </c>
      <c r="U391" s="227">
        <v>0.3</v>
      </c>
      <c r="V391" s="111">
        <v>0.19</v>
      </c>
      <c r="W391" s="111">
        <v>0.2</v>
      </c>
      <c r="X391" s="111">
        <v>0.25</v>
      </c>
      <c r="Y391" s="227">
        <v>0.36</v>
      </c>
      <c r="Z391" s="111">
        <v>0.19</v>
      </c>
      <c r="AA391" s="111">
        <v>0.2</v>
      </c>
      <c r="AB391" s="111">
        <v>0.25</v>
      </c>
      <c r="AC391" s="227">
        <v>0.36</v>
      </c>
      <c r="AF391" s="233"/>
      <c r="AG391" s="233"/>
      <c r="AH391" s="233"/>
    </row>
    <row r="392" spans="1:46">
      <c r="A392" s="22" t="s">
        <v>915</v>
      </c>
      <c r="B392" s="221">
        <f>+B382</f>
        <v>6.4221203</v>
      </c>
      <c r="C392" s="221">
        <f t="shared" ref="C392:R392" si="513">+C382</f>
        <v>14.14130639</v>
      </c>
      <c r="D392" s="221">
        <f t="shared" si="513"/>
        <v>14.57763827</v>
      </c>
      <c r="E392" s="228">
        <f t="shared" si="513"/>
        <v>17.36691116</v>
      </c>
      <c r="F392" s="221">
        <f t="shared" si="513"/>
        <v>7.53509681</v>
      </c>
      <c r="G392" s="221">
        <f t="shared" si="513"/>
        <v>9.49220947</v>
      </c>
      <c r="H392" s="221">
        <f t="shared" si="513"/>
        <v>8.411287</v>
      </c>
      <c r="I392" s="228">
        <f t="shared" si="513"/>
        <v>12.1333825</v>
      </c>
      <c r="J392" s="221">
        <f t="shared" si="513"/>
        <v>20.4266914</v>
      </c>
      <c r="K392" s="221">
        <f t="shared" si="513"/>
        <v>19.06603749</v>
      </c>
      <c r="L392" s="221">
        <f t="shared" si="513"/>
        <v>23.14775986</v>
      </c>
      <c r="M392" s="228">
        <f t="shared" si="513"/>
        <v>34.87908085</v>
      </c>
      <c r="N392" s="221">
        <f t="shared" si="513"/>
        <v>37.83148917</v>
      </c>
      <c r="O392" s="221">
        <f t="shared" si="513"/>
        <v>47.13314088</v>
      </c>
      <c r="P392" s="221">
        <f t="shared" si="513"/>
        <v>38.36048103</v>
      </c>
      <c r="Q392" s="221">
        <f t="shared" si="513"/>
        <v>27.52972217</v>
      </c>
      <c r="R392" s="221">
        <f t="shared" si="513"/>
        <v>35.61554813</v>
      </c>
      <c r="S392" s="221">
        <f t="shared" ref="S392:U392" si="514">+S391*$AR392</f>
        <v>41.796828990625</v>
      </c>
      <c r="T392" s="221">
        <f t="shared" si="514"/>
        <v>45.431335859375</v>
      </c>
      <c r="U392" s="228">
        <f t="shared" si="514"/>
        <v>54.51760303125</v>
      </c>
      <c r="V392" s="221">
        <f>+V391*$AS392</f>
        <v>38.9736822560938</v>
      </c>
      <c r="W392" s="221">
        <f t="shared" ref="W392:Y392" si="515">+W391*$AS392</f>
        <v>41.024928690625</v>
      </c>
      <c r="X392" s="221">
        <f t="shared" si="515"/>
        <v>51.2811608632813</v>
      </c>
      <c r="Y392" s="228">
        <f t="shared" si="515"/>
        <v>73.844871643125</v>
      </c>
      <c r="Z392" s="221">
        <f>+Z391*$AT392</f>
        <v>44.1458961270078</v>
      </c>
      <c r="AA392" s="221">
        <f t="shared" ref="AA392:AC392" si="516">+AA391*$AT392</f>
        <v>46.4693643442188</v>
      </c>
      <c r="AB392" s="221">
        <f t="shared" si="516"/>
        <v>58.0867054302734</v>
      </c>
      <c r="AC392" s="228">
        <f t="shared" si="516"/>
        <v>83.6448558195938</v>
      </c>
      <c r="AF392" s="224">
        <f t="shared" ref="AF392:AQ392" si="517">AF382</f>
        <v>8.88690065</v>
      </c>
      <c r="AG392" s="224">
        <f t="shared" si="517"/>
        <v>9.37675607</v>
      </c>
      <c r="AH392" s="224">
        <f t="shared" si="517"/>
        <v>10.45975832</v>
      </c>
      <c r="AI392" s="224">
        <f t="shared" si="517"/>
        <v>13.32346714</v>
      </c>
      <c r="AJ392" s="224">
        <f t="shared" si="517"/>
        <v>18.53402565</v>
      </c>
      <c r="AK392" s="224">
        <f t="shared" si="517"/>
        <v>25.77356518</v>
      </c>
      <c r="AL392" s="224">
        <f t="shared" si="517"/>
        <v>33.3379024</v>
      </c>
      <c r="AM392" s="224">
        <f t="shared" si="517"/>
        <v>35.69091042</v>
      </c>
      <c r="AN392" s="224">
        <f t="shared" si="517"/>
        <v>52.50797612</v>
      </c>
      <c r="AO392" s="224">
        <f t="shared" si="517"/>
        <v>37.57197578</v>
      </c>
      <c r="AP392" s="224">
        <f t="shared" si="517"/>
        <v>97.5195696</v>
      </c>
      <c r="AQ392" s="224">
        <f t="shared" si="517"/>
        <v>150.85483325</v>
      </c>
      <c r="AR392" s="224">
        <f t="shared" ref="AR392:AT392" si="518">SUM(AR393:AR400)</f>
        <v>181.7253434375</v>
      </c>
      <c r="AS392" s="224">
        <f t="shared" si="518"/>
        <v>205.124643453125</v>
      </c>
      <c r="AT392" s="224">
        <f t="shared" si="518"/>
        <v>232.346821721094</v>
      </c>
    </row>
    <row r="393" spans="1:46">
      <c r="A393" s="198" t="s">
        <v>916</v>
      </c>
      <c r="AF393" s="233"/>
      <c r="AG393" s="233"/>
      <c r="AH393" s="233"/>
      <c r="AI393" s="105">
        <v>5.712</v>
      </c>
      <c r="AJ393" s="105">
        <v>6.5715</v>
      </c>
      <c r="AK393" s="105">
        <v>14.552</v>
      </c>
      <c r="AL393" s="105">
        <v>12.787</v>
      </c>
      <c r="AM393" s="105">
        <v>11.2</v>
      </c>
      <c r="AN393" s="105">
        <v>20.7</v>
      </c>
      <c r="AO393" s="105">
        <v>9.09</v>
      </c>
      <c r="AP393" s="105">
        <v>31.127</v>
      </c>
      <c r="AQ393" s="105">
        <f>+AP393*2.1</f>
        <v>65.3667</v>
      </c>
      <c r="AR393" s="105">
        <f>+AQ393*1.3</f>
        <v>84.97671</v>
      </c>
      <c r="AS393" s="105">
        <f>+AR393*1.1</f>
        <v>93.474381</v>
      </c>
      <c r="AT393" s="105">
        <f>+AS393*1.1</f>
        <v>102.8218191</v>
      </c>
    </row>
    <row r="394" spans="1:46">
      <c r="A394" s="198" t="s">
        <v>917</v>
      </c>
      <c r="AF394" s="233"/>
      <c r="AG394" s="233"/>
      <c r="AH394" s="233"/>
      <c r="AI394" s="105">
        <v>0.8825</v>
      </c>
      <c r="AJ394" s="105">
        <v>0.7797</v>
      </c>
      <c r="AK394" s="105">
        <v>0.94</v>
      </c>
      <c r="AL394" s="105">
        <v>3.96</v>
      </c>
      <c r="AM394" s="105">
        <v>0</v>
      </c>
      <c r="AN394" s="105">
        <v>0</v>
      </c>
      <c r="AO394" s="105">
        <v>0</v>
      </c>
      <c r="AP394" s="105">
        <v>0</v>
      </c>
      <c r="AQ394" s="105">
        <v>0</v>
      </c>
      <c r="AR394" s="105">
        <v>0</v>
      </c>
      <c r="AS394" s="105">
        <v>0</v>
      </c>
      <c r="AT394" s="105">
        <v>0</v>
      </c>
    </row>
    <row r="395" spans="1:46">
      <c r="A395" s="198" t="s">
        <v>918</v>
      </c>
      <c r="AF395" s="233"/>
      <c r="AG395" s="233"/>
      <c r="AH395" s="233"/>
      <c r="AI395" s="105">
        <v>0.9048</v>
      </c>
      <c r="AJ395" s="105">
        <v>1.626</v>
      </c>
      <c r="AK395" s="105">
        <v>1.66</v>
      </c>
      <c r="AL395" s="105">
        <v>0.3076</v>
      </c>
      <c r="AM395" s="105">
        <v>0.313</v>
      </c>
      <c r="AN395" s="105">
        <v>0.55</v>
      </c>
      <c r="AO395" s="105">
        <f t="shared" ref="AO395:AT395" si="519">+AN395*1.15</f>
        <v>0.6325</v>
      </c>
      <c r="AP395" s="105">
        <f t="shared" si="519"/>
        <v>0.727375</v>
      </c>
      <c r="AQ395" s="105">
        <f t="shared" si="519"/>
        <v>0.83648125</v>
      </c>
      <c r="AR395" s="105">
        <f t="shared" si="519"/>
        <v>0.9619534375</v>
      </c>
      <c r="AS395" s="105">
        <f t="shared" si="519"/>
        <v>1.106246453125</v>
      </c>
      <c r="AT395" s="105">
        <f t="shared" si="519"/>
        <v>1.27218342109375</v>
      </c>
    </row>
    <row r="396" spans="1:46">
      <c r="A396" s="198" t="s">
        <v>919</v>
      </c>
      <c r="AF396" s="233"/>
      <c r="AG396" s="233"/>
      <c r="AH396" s="233"/>
      <c r="AI396" s="105">
        <v>1.13</v>
      </c>
      <c r="AJ396" s="105">
        <v>1.63</v>
      </c>
      <c r="AK396" s="105">
        <v>1.553</v>
      </c>
      <c r="AL396" s="105">
        <v>1.017</v>
      </c>
      <c r="AM396" s="105">
        <v>0.539</v>
      </c>
      <c r="AN396" s="105">
        <v>1.6</v>
      </c>
      <c r="AO396" s="105">
        <v>2.75</v>
      </c>
      <c r="AP396" s="105">
        <f t="shared" ref="AP396:AT396" si="520">+AO396*1.2</f>
        <v>3.3</v>
      </c>
      <c r="AQ396" s="105">
        <f t="shared" si="520"/>
        <v>3.96</v>
      </c>
      <c r="AR396" s="105">
        <f t="shared" si="520"/>
        <v>4.752</v>
      </c>
      <c r="AS396" s="105">
        <f t="shared" si="520"/>
        <v>5.7024</v>
      </c>
      <c r="AT396" s="105">
        <f t="shared" si="520"/>
        <v>6.84288</v>
      </c>
    </row>
    <row r="397" spans="1:46">
      <c r="A397" s="198" t="s">
        <v>920</v>
      </c>
      <c r="AF397" s="233"/>
      <c r="AG397" s="233"/>
      <c r="AH397" s="233"/>
      <c r="AI397" s="105">
        <v>0</v>
      </c>
      <c r="AJ397" s="105">
        <v>4</v>
      </c>
      <c r="AK397" s="105">
        <v>5.31</v>
      </c>
      <c r="AL397" s="105">
        <v>12.47</v>
      </c>
      <c r="AM397" s="105">
        <v>20.97</v>
      </c>
      <c r="AN397" s="105">
        <v>27.7</v>
      </c>
      <c r="AO397" s="105">
        <v>21</v>
      </c>
      <c r="AP397" s="105">
        <v>52.299</v>
      </c>
      <c r="AQ397" s="105">
        <f>+AP397*1.1</f>
        <v>57.5289</v>
      </c>
      <c r="AR397" s="105">
        <f t="shared" ref="AR397:AT397" si="521">+AQ397*1.2</f>
        <v>69.03468</v>
      </c>
      <c r="AS397" s="105">
        <f t="shared" si="521"/>
        <v>82.841616</v>
      </c>
      <c r="AT397" s="105">
        <f t="shared" si="521"/>
        <v>99.4099392</v>
      </c>
    </row>
    <row r="398" spans="1:46">
      <c r="A398" s="198" t="s">
        <v>921</v>
      </c>
      <c r="AF398" s="233"/>
      <c r="AG398" s="233"/>
      <c r="AH398" s="233"/>
      <c r="AI398" s="105">
        <v>1.12</v>
      </c>
      <c r="AJ398" s="105">
        <v>0.155</v>
      </c>
      <c r="AK398" s="105">
        <v>0.142</v>
      </c>
      <c r="AL398" s="105">
        <v>0.283</v>
      </c>
      <c r="AM398" s="105">
        <v>0</v>
      </c>
      <c r="AN398" s="105">
        <v>0</v>
      </c>
      <c r="AO398" s="105">
        <v>0</v>
      </c>
      <c r="AP398" s="105">
        <v>0</v>
      </c>
      <c r="AQ398" s="105">
        <v>0</v>
      </c>
      <c r="AR398" s="105">
        <v>0</v>
      </c>
      <c r="AS398" s="105">
        <v>0</v>
      </c>
      <c r="AT398" s="105">
        <v>0</v>
      </c>
    </row>
    <row r="399" spans="1:46">
      <c r="A399" s="198" t="s">
        <v>922</v>
      </c>
      <c r="AF399" s="105"/>
      <c r="AG399" s="105"/>
      <c r="AH399" s="105"/>
      <c r="AI399" s="105">
        <v>1.014</v>
      </c>
      <c r="AJ399" s="105">
        <v>2.5797</v>
      </c>
      <c r="AK399" s="105">
        <v>0.76</v>
      </c>
      <c r="AL399" s="105">
        <v>0.624</v>
      </c>
      <c r="AM399" s="105">
        <v>0.221</v>
      </c>
      <c r="AN399" s="105">
        <v>0.221</v>
      </c>
      <c r="AO399" s="105">
        <v>0.269</v>
      </c>
      <c r="AP399" s="105">
        <v>6.21</v>
      </c>
      <c r="AQ399" s="105">
        <v>20</v>
      </c>
      <c r="AR399" s="105">
        <v>20</v>
      </c>
      <c r="AS399" s="105">
        <v>20</v>
      </c>
      <c r="AT399" s="105">
        <v>20</v>
      </c>
    </row>
    <row r="400" spans="1:46">
      <c r="A400" s="198" t="s">
        <v>692</v>
      </c>
      <c r="AF400" s="105"/>
      <c r="AG400" s="105"/>
      <c r="AH400" s="105"/>
      <c r="AI400" s="105">
        <f t="shared" ref="AI400:AQ400" si="522">+AI392-SUM(AI393:AI399)</f>
        <v>2.56016714</v>
      </c>
      <c r="AJ400" s="105">
        <f t="shared" si="522"/>
        <v>1.19212565</v>
      </c>
      <c r="AK400" s="105">
        <f t="shared" si="522"/>
        <v>0.85656518</v>
      </c>
      <c r="AL400" s="105">
        <f t="shared" si="522"/>
        <v>1.88930239999999</v>
      </c>
      <c r="AM400" s="105">
        <f t="shared" si="522"/>
        <v>2.44791042000001</v>
      </c>
      <c r="AN400" s="105">
        <f t="shared" si="522"/>
        <v>1.73697612000001</v>
      </c>
      <c r="AO400" s="105">
        <f t="shared" si="522"/>
        <v>3.83047578000001</v>
      </c>
      <c r="AP400" s="105">
        <f t="shared" si="522"/>
        <v>3.85619460000001</v>
      </c>
      <c r="AQ400" s="105">
        <f t="shared" si="522"/>
        <v>3.16275200000001</v>
      </c>
      <c r="AR400" s="105">
        <v>2</v>
      </c>
      <c r="AS400" s="105">
        <v>2</v>
      </c>
      <c r="AT400" s="105">
        <v>2</v>
      </c>
    </row>
    <row r="401" spans="1:46">
      <c r="A401" s="198"/>
      <c r="B401" s="111">
        <f>+B402/SUM($B$383:$E$383)</f>
        <v>0.0783848371681527</v>
      </c>
      <c r="C401" s="111">
        <f>+C402/SUM($B$383:$E$383)</f>
        <v>0.391293735805554</v>
      </c>
      <c r="D401" s="111">
        <f>+D402/SUM($B$383:$E$383)</f>
        <v>0.236444036190317</v>
      </c>
      <c r="E401" s="227">
        <f>+E402/SUM($B$383:$E$383)</f>
        <v>0.293877390835976</v>
      </c>
      <c r="F401" s="111">
        <f>+F402/$AO402</f>
        <v>0.228828962862004</v>
      </c>
      <c r="G401" s="111">
        <f>+G402/$AO402</f>
        <v>0.236203838037934</v>
      </c>
      <c r="H401" s="111">
        <v>0.25</v>
      </c>
      <c r="I401" s="227">
        <v>0.36</v>
      </c>
      <c r="J401" s="111">
        <v>0.190390057641921</v>
      </c>
      <c r="K401" s="111">
        <v>0.24</v>
      </c>
      <c r="L401" s="111">
        <v>0.26</v>
      </c>
      <c r="M401" s="227">
        <v>0.31</v>
      </c>
      <c r="N401" s="111">
        <v>0.190390057641921</v>
      </c>
      <c r="O401" s="111">
        <v>0.23</v>
      </c>
      <c r="P401" s="111">
        <v>0.24</v>
      </c>
      <c r="Q401" s="227">
        <v>0.3</v>
      </c>
      <c r="R401" s="111">
        <v>0.22</v>
      </c>
      <c r="S401" s="111">
        <v>0.23</v>
      </c>
      <c r="T401" s="111">
        <v>0.25</v>
      </c>
      <c r="U401" s="227">
        <v>0.3</v>
      </c>
      <c r="V401" s="111">
        <v>0.22</v>
      </c>
      <c r="W401" s="111">
        <v>0.24</v>
      </c>
      <c r="X401" s="111">
        <v>0.25</v>
      </c>
      <c r="Y401" s="227">
        <v>0.29</v>
      </c>
      <c r="Z401" s="111">
        <v>0.22</v>
      </c>
      <c r="AA401" s="111">
        <v>0.24</v>
      </c>
      <c r="AB401" s="111">
        <v>0.25</v>
      </c>
      <c r="AC401" s="227">
        <v>0.29</v>
      </c>
      <c r="AF401" s="105"/>
      <c r="AG401" s="105"/>
      <c r="AH401" s="105"/>
      <c r="AI401" s="105"/>
      <c r="AJ401" s="105"/>
      <c r="AK401" s="105"/>
      <c r="AL401" s="105"/>
      <c r="AM401" s="105"/>
      <c r="AN401" s="105"/>
      <c r="AO401" s="111"/>
      <c r="AP401" s="111"/>
      <c r="AQ401" s="111"/>
      <c r="AR401" s="111"/>
      <c r="AS401" s="111"/>
      <c r="AT401" s="111"/>
    </row>
    <row r="402" spans="1:46">
      <c r="A402" s="22" t="s">
        <v>923</v>
      </c>
      <c r="B402" s="221">
        <f>+B383</f>
        <v>6.62486053</v>
      </c>
      <c r="C402" s="221">
        <f t="shared" ref="C402:R402" si="523">+C383</f>
        <v>33.07101883</v>
      </c>
      <c r="D402" s="221">
        <f t="shared" si="523"/>
        <v>19.9835685</v>
      </c>
      <c r="E402" s="228">
        <f t="shared" si="523"/>
        <v>24.83767011</v>
      </c>
      <c r="F402" s="221">
        <f t="shared" si="523"/>
        <v>17.43972928</v>
      </c>
      <c r="G402" s="221">
        <f t="shared" si="523"/>
        <v>18.00179024</v>
      </c>
      <c r="H402" s="221">
        <f t="shared" si="523"/>
        <v>21.86766117</v>
      </c>
      <c r="I402" s="228">
        <f t="shared" si="523"/>
        <v>18.90376483</v>
      </c>
      <c r="J402" s="221">
        <f t="shared" si="523"/>
        <v>28.60884844</v>
      </c>
      <c r="K402" s="221">
        <f t="shared" si="523"/>
        <v>39.09153447</v>
      </c>
      <c r="L402" s="221">
        <f t="shared" si="523"/>
        <v>34.51227477</v>
      </c>
      <c r="M402" s="228">
        <f t="shared" si="523"/>
        <v>66.80454381</v>
      </c>
      <c r="N402" s="221">
        <f t="shared" si="523"/>
        <v>59.79065951</v>
      </c>
      <c r="O402" s="221">
        <f t="shared" si="523"/>
        <v>65.11523233</v>
      </c>
      <c r="P402" s="221">
        <f t="shared" si="523"/>
        <v>62.9732381</v>
      </c>
      <c r="Q402" s="221">
        <f t="shared" si="523"/>
        <v>51.56254031</v>
      </c>
      <c r="R402" s="221">
        <f t="shared" si="523"/>
        <v>62.31596336</v>
      </c>
      <c r="S402" s="221">
        <f t="shared" ref="S402:U402" si="524">+S401*$AR402</f>
        <v>66.884915332725</v>
      </c>
      <c r="T402" s="221">
        <f t="shared" si="524"/>
        <v>72.700994926875</v>
      </c>
      <c r="U402" s="228">
        <f t="shared" si="524"/>
        <v>87.24119391225</v>
      </c>
      <c r="V402" s="221">
        <f t="shared" ref="V402:Y402" si="525">+V401*$AS402</f>
        <v>69.9940068659975</v>
      </c>
      <c r="W402" s="221">
        <f t="shared" si="525"/>
        <v>76.35709839927</v>
      </c>
      <c r="X402" s="221">
        <f t="shared" si="525"/>
        <v>79.5386441659062</v>
      </c>
      <c r="Y402" s="228">
        <f t="shared" si="525"/>
        <v>92.2648272324512</v>
      </c>
      <c r="Z402" s="221">
        <f>+Z401*$AT402</f>
        <v>76.7872078958971</v>
      </c>
      <c r="AA402" s="221">
        <f t="shared" ref="AA402:AC402" si="526">+AA401*$AT402</f>
        <v>83.7678631591605</v>
      </c>
      <c r="AB402" s="221">
        <f t="shared" si="526"/>
        <v>87.2581907907922</v>
      </c>
      <c r="AC402" s="228">
        <f t="shared" si="526"/>
        <v>101.219501317319</v>
      </c>
      <c r="AF402" s="221">
        <f t="shared" ref="AF402:AQ402" si="527">AF383</f>
        <v>18.83861098</v>
      </c>
      <c r="AG402" s="221">
        <f t="shared" si="527"/>
        <v>18.54184553</v>
      </c>
      <c r="AH402" s="221">
        <f t="shared" si="527"/>
        <v>21.86359188</v>
      </c>
      <c r="AI402" s="221">
        <f t="shared" si="527"/>
        <v>21.367830616864</v>
      </c>
      <c r="AJ402" s="221">
        <f t="shared" si="527"/>
        <v>26.50485115</v>
      </c>
      <c r="AK402" s="221">
        <f t="shared" si="527"/>
        <v>33.66914046</v>
      </c>
      <c r="AL402" s="221">
        <f t="shared" si="527"/>
        <v>31.56337272</v>
      </c>
      <c r="AM402" s="221">
        <f t="shared" si="527"/>
        <v>33.88891322</v>
      </c>
      <c r="AN402" s="221">
        <f t="shared" si="527"/>
        <v>84.51711797</v>
      </c>
      <c r="AO402" s="221">
        <f t="shared" si="527"/>
        <v>76.21294552</v>
      </c>
      <c r="AP402" s="221">
        <f t="shared" si="527"/>
        <v>169.01720149</v>
      </c>
      <c r="AQ402" s="221">
        <f t="shared" si="527"/>
        <v>239.44167025</v>
      </c>
      <c r="AR402" s="221">
        <f t="shared" ref="AR402:AT402" si="528">SUM(AR403:AR411)</f>
        <v>290.8039797075</v>
      </c>
      <c r="AS402" s="221">
        <f t="shared" si="528"/>
        <v>318.154576663625</v>
      </c>
      <c r="AT402" s="221">
        <f t="shared" si="528"/>
        <v>349.032763163169</v>
      </c>
    </row>
    <row r="403" spans="1:46">
      <c r="A403" s="198" t="s">
        <v>916</v>
      </c>
      <c r="AI403" s="105">
        <v>6.79</v>
      </c>
      <c r="AJ403" s="105">
        <v>8.77</v>
      </c>
      <c r="AK403" s="105">
        <v>17.954</v>
      </c>
      <c r="AL403" s="105">
        <v>17.42</v>
      </c>
      <c r="AM403" s="105">
        <v>15.2</v>
      </c>
      <c r="AN403" s="105">
        <v>39.555861</v>
      </c>
      <c r="AO403" s="105">
        <v>20.0298</v>
      </c>
      <c r="AP403" s="105">
        <v>63.1788</v>
      </c>
      <c r="AQ403" s="105">
        <f>+AP403*2</f>
        <v>126.3576</v>
      </c>
      <c r="AR403" s="105">
        <f>+AQ403*1.4</f>
        <v>176.90064</v>
      </c>
      <c r="AS403" s="105">
        <f>+AR403*1.15</f>
        <v>203.435736</v>
      </c>
      <c r="AT403" s="105">
        <f>+AS403*1.15</f>
        <v>233.9510964</v>
      </c>
    </row>
    <row r="404" spans="1:46">
      <c r="A404" s="198" t="s">
        <v>918</v>
      </c>
      <c r="AI404" s="234">
        <v>0.26</v>
      </c>
      <c r="AJ404" s="234">
        <v>0.13</v>
      </c>
      <c r="AK404" s="234">
        <v>0.1488</v>
      </c>
      <c r="AL404" s="234">
        <v>0.085</v>
      </c>
      <c r="AM404" s="234">
        <v>0.057</v>
      </c>
      <c r="AN404" s="234">
        <v>0.0715</v>
      </c>
      <c r="AO404" s="234">
        <v>0.8527</v>
      </c>
      <c r="AP404" s="105">
        <v>1.275</v>
      </c>
      <c r="AQ404" s="105">
        <v>0.3</v>
      </c>
      <c r="AR404" s="105">
        <v>0.4</v>
      </c>
      <c r="AS404" s="105">
        <v>0.5</v>
      </c>
      <c r="AT404" s="105">
        <v>0.5</v>
      </c>
    </row>
    <row r="405" spans="1:46">
      <c r="A405" s="198" t="s">
        <v>924</v>
      </c>
      <c r="AI405" s="234">
        <v>0.336</v>
      </c>
      <c r="AJ405" s="234">
        <v>0.314</v>
      </c>
      <c r="AK405" s="234">
        <v>0.37</v>
      </c>
      <c r="AL405" s="234">
        <v>0.25685</v>
      </c>
      <c r="AM405" s="234">
        <v>0.364</v>
      </c>
      <c r="AN405" s="234">
        <v>0.361</v>
      </c>
      <c r="AO405" s="234">
        <v>0.716</v>
      </c>
      <c r="AP405" s="105">
        <v>0.8653</v>
      </c>
      <c r="AQ405" s="105">
        <v>0.7</v>
      </c>
      <c r="AR405" s="105">
        <v>0.8</v>
      </c>
      <c r="AS405" s="105">
        <v>1</v>
      </c>
      <c r="AT405" s="105">
        <v>1</v>
      </c>
    </row>
    <row r="406" spans="1:46">
      <c r="A406" s="198" t="s">
        <v>925</v>
      </c>
      <c r="AI406" s="234">
        <v>1.185</v>
      </c>
      <c r="AJ406" s="234">
        <v>1.15</v>
      </c>
      <c r="AK406" s="234">
        <v>1.23</v>
      </c>
      <c r="AL406" s="234">
        <v>1.582</v>
      </c>
      <c r="AM406" s="234">
        <v>1.24</v>
      </c>
      <c r="AN406" s="234">
        <v>0.5919</v>
      </c>
      <c r="AO406" s="105">
        <v>2.4</v>
      </c>
      <c r="AP406" s="105">
        <v>2.63</v>
      </c>
      <c r="AQ406" s="105">
        <v>1.4</v>
      </c>
      <c r="AR406" s="105">
        <v>1.6</v>
      </c>
      <c r="AS406" s="105">
        <v>1.8</v>
      </c>
      <c r="AT406" s="105">
        <v>1.8</v>
      </c>
    </row>
    <row r="407" spans="1:46">
      <c r="A407" s="198" t="s">
        <v>926</v>
      </c>
      <c r="AI407" s="234">
        <v>6.56</v>
      </c>
      <c r="AJ407" s="234">
        <v>6.817</v>
      </c>
      <c r="AK407" s="234">
        <v>4.81</v>
      </c>
      <c r="AL407" s="234">
        <v>4.67</v>
      </c>
      <c r="AM407" s="234">
        <v>3.6</v>
      </c>
      <c r="AN407" s="234">
        <v>15.83</v>
      </c>
      <c r="AO407" s="105">
        <v>26.888</v>
      </c>
      <c r="AP407" s="105">
        <v>51.598</v>
      </c>
      <c r="AQ407" s="105">
        <v>60</v>
      </c>
      <c r="AR407" s="105">
        <v>65</v>
      </c>
      <c r="AS407" s="105">
        <v>65</v>
      </c>
      <c r="AT407" s="105">
        <v>65</v>
      </c>
    </row>
    <row r="408" spans="1:46">
      <c r="A408" s="198" t="s">
        <v>927</v>
      </c>
      <c r="AI408" s="234">
        <v>0.307</v>
      </c>
      <c r="AJ408" s="234">
        <v>0.329</v>
      </c>
      <c r="AK408" s="234">
        <v>0.331</v>
      </c>
      <c r="AL408" s="234">
        <v>0.786</v>
      </c>
      <c r="AM408" s="234">
        <v>0.49</v>
      </c>
      <c r="AN408" s="234">
        <v>1.96</v>
      </c>
      <c r="AO408" s="105">
        <v>1.38298</v>
      </c>
      <c r="AP408" s="105">
        <f t="shared" ref="AP408:AT408" si="529">+AO408*1.15</f>
        <v>1.590427</v>
      </c>
      <c r="AQ408" s="105">
        <f t="shared" si="529"/>
        <v>1.82899105</v>
      </c>
      <c r="AR408" s="105">
        <f t="shared" si="529"/>
        <v>2.1033397075</v>
      </c>
      <c r="AS408" s="105">
        <f t="shared" si="529"/>
        <v>2.418840663625</v>
      </c>
      <c r="AT408" s="105">
        <f t="shared" si="529"/>
        <v>2.78166676316875</v>
      </c>
    </row>
    <row r="409" spans="1:46">
      <c r="A409" s="198" t="s">
        <v>928</v>
      </c>
      <c r="AI409" s="234">
        <v>0.5744</v>
      </c>
      <c r="AJ409" s="234">
        <v>2.457</v>
      </c>
      <c r="AK409" s="234">
        <v>4.58</v>
      </c>
      <c r="AL409" s="234">
        <v>1.83</v>
      </c>
      <c r="AM409" s="234">
        <v>6.24</v>
      </c>
      <c r="AN409" s="234">
        <v>8.5</v>
      </c>
      <c r="AO409" s="105">
        <v>6.997</v>
      </c>
      <c r="AP409" s="105">
        <v>15.3</v>
      </c>
      <c r="AQ409" s="105">
        <v>15</v>
      </c>
      <c r="AR409" s="105">
        <v>9</v>
      </c>
      <c r="AS409" s="105">
        <v>9</v>
      </c>
      <c r="AT409" s="105">
        <v>9</v>
      </c>
    </row>
    <row r="410" spans="1:46">
      <c r="A410" s="198" t="s">
        <v>922</v>
      </c>
      <c r="AI410" s="234">
        <v>1.5</v>
      </c>
      <c r="AJ410" s="234">
        <v>3.6</v>
      </c>
      <c r="AK410" s="234">
        <v>0.907</v>
      </c>
      <c r="AL410" s="234">
        <v>0.793</v>
      </c>
      <c r="AM410" s="234">
        <v>0</v>
      </c>
      <c r="AN410" s="234">
        <v>11.6</v>
      </c>
      <c r="AO410" s="105">
        <v>6.9586</v>
      </c>
      <c r="AP410" s="105">
        <v>17.554</v>
      </c>
      <c r="AQ410" s="105">
        <v>20</v>
      </c>
      <c r="AR410" s="105">
        <v>20</v>
      </c>
      <c r="AS410" s="105">
        <v>20</v>
      </c>
      <c r="AT410" s="105">
        <v>20</v>
      </c>
    </row>
    <row r="411" spans="1:46">
      <c r="A411" s="198" t="s">
        <v>692</v>
      </c>
      <c r="AI411" s="234">
        <f>AI402-SUM(AI403:AI410)</f>
        <v>3.855430616864</v>
      </c>
      <c r="AJ411" s="234">
        <f t="shared" ref="AJ411:AQ411" si="530">AJ402-SUM(AJ403:AJ410)</f>
        <v>2.93785114999999</v>
      </c>
      <c r="AK411" s="234">
        <v>3.27</v>
      </c>
      <c r="AL411" s="234">
        <f t="shared" si="530"/>
        <v>4.14052272</v>
      </c>
      <c r="AM411" s="234">
        <f t="shared" si="530"/>
        <v>6.69791322</v>
      </c>
      <c r="AN411" s="234">
        <f t="shared" si="530"/>
        <v>6.04685696999999</v>
      </c>
      <c r="AO411" s="234">
        <f t="shared" si="530"/>
        <v>9.98786552</v>
      </c>
      <c r="AP411" s="234">
        <f t="shared" si="530"/>
        <v>15.02567449</v>
      </c>
      <c r="AQ411" s="234">
        <f t="shared" si="530"/>
        <v>13.8550792</v>
      </c>
      <c r="AR411" s="105">
        <v>15</v>
      </c>
      <c r="AS411" s="105">
        <v>15</v>
      </c>
      <c r="AT411" s="105">
        <v>15</v>
      </c>
    </row>
    <row r="412" spans="1:46">
      <c r="A412" s="198"/>
      <c r="AI412" s="105"/>
      <c r="AJ412" s="105"/>
      <c r="AK412" s="105"/>
      <c r="AL412" s="105"/>
      <c r="AM412" s="105"/>
      <c r="AN412" s="105"/>
      <c r="AO412" s="105"/>
      <c r="AP412" s="105"/>
      <c r="AQ412" s="105"/>
      <c r="AR412" s="105"/>
      <c r="AS412" s="105"/>
      <c r="AT412" s="105"/>
    </row>
    <row r="413" spans="1:46">
      <c r="A413" s="198"/>
      <c r="AI413" s="105"/>
      <c r="AJ413" s="105"/>
      <c r="AK413" s="105"/>
      <c r="AL413" s="105"/>
      <c r="AM413" s="105"/>
      <c r="AN413" s="105"/>
      <c r="AO413" s="105"/>
      <c r="AP413" s="105"/>
      <c r="AQ413" s="105"/>
      <c r="AR413" s="105"/>
      <c r="AS413" s="105"/>
      <c r="AT413" s="105"/>
    </row>
    <row r="414" spans="42:46">
      <c r="AP414" s="102"/>
      <c r="AQ414" s="102"/>
      <c r="AR414" s="102"/>
      <c r="AS414" s="102"/>
      <c r="AT414" s="102"/>
    </row>
    <row r="415" spans="1:46">
      <c r="A415" s="222" t="s">
        <v>848</v>
      </c>
      <c r="AF415" s="106"/>
      <c r="AG415" s="106">
        <f t="shared" ref="AG415:AR424" si="531">AG402/AF402-1</f>
        <v>-0.0157530430622015</v>
      </c>
      <c r="AH415" s="106">
        <f t="shared" si="531"/>
        <v>0.179148636775424</v>
      </c>
      <c r="AI415" s="106">
        <f t="shared" si="531"/>
        <v>-0.0226751974632999</v>
      </c>
      <c r="AJ415" s="106">
        <f t="shared" si="531"/>
        <v>0.240409081541565</v>
      </c>
      <c r="AK415" s="106">
        <f t="shared" si="531"/>
        <v>0.270301058076306</v>
      </c>
      <c r="AL415" s="106">
        <f t="shared" si="531"/>
        <v>-0.06254296103881</v>
      </c>
      <c r="AM415" s="106">
        <f t="shared" si="531"/>
        <v>0.0736784538404678</v>
      </c>
      <c r="AN415" s="106">
        <f t="shared" si="531"/>
        <v>1.49394595280562</v>
      </c>
      <c r="AO415" s="106">
        <f t="shared" si="531"/>
        <v>-0.0982543258626922</v>
      </c>
      <c r="AP415" s="106">
        <f t="shared" si="531"/>
        <v>1.21769674871897</v>
      </c>
      <c r="AQ415" s="106">
        <f t="shared" si="531"/>
        <v>0.416670422531914</v>
      </c>
      <c r="AR415" s="106">
        <f t="shared" si="531"/>
        <v>0.21450865007696</v>
      </c>
      <c r="AS415" s="106">
        <f>AS402/AR402-1</f>
        <v>0.0940516597593852</v>
      </c>
      <c r="AT415" s="106">
        <f>AT402/AS402-1</f>
        <v>0.0970540383965317</v>
      </c>
    </row>
    <row r="416" spans="1:46">
      <c r="A416" s="198" t="str">
        <f t="shared" ref="A416:A424" si="532">A403</f>
        <v>Employee salary</v>
      </c>
      <c r="AF416" s="106"/>
      <c r="AG416" s="106"/>
      <c r="AH416" s="106"/>
      <c r="AI416" s="106"/>
      <c r="AJ416" s="106">
        <f t="shared" si="531"/>
        <v>0.29160530191458</v>
      </c>
      <c r="AK416" s="106">
        <f t="shared" si="531"/>
        <v>1.04720638540479</v>
      </c>
      <c r="AL416" s="106">
        <f t="shared" si="531"/>
        <v>-0.0297426757268575</v>
      </c>
      <c r="AM416" s="111">
        <v>0.25</v>
      </c>
      <c r="AN416" s="111">
        <v>0.1</v>
      </c>
      <c r="AO416" s="111">
        <v>0.1</v>
      </c>
      <c r="AP416" s="111">
        <v>0.1</v>
      </c>
      <c r="AQ416" s="111">
        <v>0.1</v>
      </c>
      <c r="AR416" s="111">
        <v>0.1</v>
      </c>
      <c r="AS416" s="111">
        <v>0.1</v>
      </c>
      <c r="AT416" s="111">
        <v>0.1</v>
      </c>
    </row>
    <row r="417" spans="1:46">
      <c r="A417" s="198" t="str">
        <f t="shared" si="532"/>
        <v>Travel</v>
      </c>
      <c r="AF417" s="106"/>
      <c r="AG417" s="106"/>
      <c r="AH417" s="106"/>
      <c r="AI417" s="106"/>
      <c r="AJ417" s="106">
        <f t="shared" si="531"/>
        <v>-0.5</v>
      </c>
      <c r="AK417" s="106">
        <f t="shared" si="531"/>
        <v>0.144615384615385</v>
      </c>
      <c r="AL417" s="106">
        <f t="shared" si="531"/>
        <v>-0.428763440860215</v>
      </c>
      <c r="AM417" s="111">
        <v>0.1</v>
      </c>
      <c r="AN417" s="111">
        <v>0</v>
      </c>
      <c r="AO417" s="111">
        <v>0</v>
      </c>
      <c r="AP417" s="111">
        <v>0</v>
      </c>
      <c r="AQ417" s="111">
        <v>0</v>
      </c>
      <c r="AR417" s="111">
        <v>0</v>
      </c>
      <c r="AS417" s="111">
        <v>0</v>
      </c>
      <c r="AT417" s="111">
        <v>0</v>
      </c>
    </row>
    <row r="418" spans="1:46">
      <c r="A418" s="198" t="str">
        <f t="shared" si="532"/>
        <v>Reception</v>
      </c>
      <c r="AF418" s="106"/>
      <c r="AG418" s="106"/>
      <c r="AH418" s="106"/>
      <c r="AI418" s="106"/>
      <c r="AJ418" s="106">
        <f t="shared" si="531"/>
        <v>-0.0654761904761906</v>
      </c>
      <c r="AK418" s="106">
        <f t="shared" si="531"/>
        <v>0.178343949044586</v>
      </c>
      <c r="AL418" s="106">
        <f t="shared" si="531"/>
        <v>-0.305810810810811</v>
      </c>
      <c r="AM418" s="111">
        <v>0.2</v>
      </c>
      <c r="AN418" s="111">
        <v>0.2</v>
      </c>
      <c r="AO418" s="111">
        <v>0.2</v>
      </c>
      <c r="AP418" s="111">
        <v>0.2</v>
      </c>
      <c r="AQ418" s="111">
        <v>0.2</v>
      </c>
      <c r="AR418" s="111">
        <v>0.2</v>
      </c>
      <c r="AS418" s="111">
        <v>0.2</v>
      </c>
      <c r="AT418" s="111">
        <v>0.2</v>
      </c>
    </row>
    <row r="419" spans="1:46">
      <c r="A419" s="198" t="str">
        <f t="shared" si="532"/>
        <v>Utilities</v>
      </c>
      <c r="AF419" s="106"/>
      <c r="AG419" s="106"/>
      <c r="AH419" s="106"/>
      <c r="AI419" s="106"/>
      <c r="AJ419" s="106">
        <f t="shared" si="531"/>
        <v>-0.029535864978903</v>
      </c>
      <c r="AK419" s="106">
        <f t="shared" si="531"/>
        <v>0.0695652173913044</v>
      </c>
      <c r="AL419" s="106">
        <f t="shared" si="531"/>
        <v>0.286178861788618</v>
      </c>
      <c r="AM419" s="111">
        <v>0.1</v>
      </c>
      <c r="AN419" s="111">
        <v>0.1</v>
      </c>
      <c r="AO419" s="111">
        <v>0.1</v>
      </c>
      <c r="AP419" s="111">
        <v>0.1</v>
      </c>
      <c r="AQ419" s="111">
        <v>0.1</v>
      </c>
      <c r="AR419" s="111">
        <v>0.1</v>
      </c>
      <c r="AS419" s="111">
        <v>0.1</v>
      </c>
      <c r="AT419" s="111">
        <v>0.1</v>
      </c>
    </row>
    <row r="420" spans="1:46">
      <c r="A420" s="198" t="str">
        <f t="shared" si="532"/>
        <v>D&amp;A</v>
      </c>
      <c r="AF420" s="106"/>
      <c r="AG420" s="106"/>
      <c r="AH420" s="106"/>
      <c r="AI420" s="106"/>
      <c r="AJ420" s="106">
        <f t="shared" si="531"/>
        <v>0.0391768292682928</v>
      </c>
      <c r="AK420" s="106">
        <f t="shared" si="531"/>
        <v>-0.294411031245416</v>
      </c>
      <c r="AL420" s="106">
        <f t="shared" si="531"/>
        <v>-0.029106029106029</v>
      </c>
      <c r="AM420" s="111">
        <v>0.05</v>
      </c>
      <c r="AN420" s="111">
        <v>0.05</v>
      </c>
      <c r="AO420" s="111">
        <v>0.05</v>
      </c>
      <c r="AP420" s="111">
        <v>0.05</v>
      </c>
      <c r="AQ420" s="111">
        <v>0.05</v>
      </c>
      <c r="AR420" s="111">
        <v>0.05</v>
      </c>
      <c r="AS420" s="111">
        <v>0.05</v>
      </c>
      <c r="AT420" s="111">
        <v>0.05</v>
      </c>
    </row>
    <row r="421" spans="1:46">
      <c r="A421" s="198" t="str">
        <f t="shared" si="532"/>
        <v>Office expense</v>
      </c>
      <c r="AF421" s="106"/>
      <c r="AG421" s="106"/>
      <c r="AH421" s="106"/>
      <c r="AI421" s="106"/>
      <c r="AJ421" s="106">
        <f t="shared" si="531"/>
        <v>0.0716612377850163</v>
      </c>
      <c r="AK421" s="106">
        <f t="shared" si="531"/>
        <v>0.00607902735562305</v>
      </c>
      <c r="AL421" s="106">
        <f t="shared" si="531"/>
        <v>1.37462235649547</v>
      </c>
      <c r="AM421" s="111">
        <v>0.2</v>
      </c>
      <c r="AN421" s="111">
        <v>0.2</v>
      </c>
      <c r="AO421" s="111">
        <v>0.2</v>
      </c>
      <c r="AP421" s="111">
        <v>0.2</v>
      </c>
      <c r="AQ421" s="111">
        <v>0.2</v>
      </c>
      <c r="AR421" s="111">
        <v>0.2</v>
      </c>
      <c r="AS421" s="111">
        <v>0.2</v>
      </c>
      <c r="AT421" s="111">
        <v>0.2</v>
      </c>
    </row>
    <row r="422" spans="1:46">
      <c r="A422" s="198" t="str">
        <f t="shared" si="532"/>
        <v>Agency fees</v>
      </c>
      <c r="AF422" s="106"/>
      <c r="AG422" s="106"/>
      <c r="AH422" s="106"/>
      <c r="AI422" s="106"/>
      <c r="AJ422" s="106">
        <f t="shared" si="531"/>
        <v>3.2775069637883</v>
      </c>
      <c r="AK422" s="106">
        <f t="shared" si="531"/>
        <v>0.864061864061864</v>
      </c>
      <c r="AL422" s="106">
        <f t="shared" si="531"/>
        <v>-0.600436681222707</v>
      </c>
      <c r="AM422" s="111">
        <v>0.5</v>
      </c>
      <c r="AN422" s="111">
        <v>0.3</v>
      </c>
      <c r="AO422" s="111">
        <v>0.3</v>
      </c>
      <c r="AP422" s="111">
        <v>0.3</v>
      </c>
      <c r="AQ422" s="111">
        <v>0.3</v>
      </c>
      <c r="AR422" s="111">
        <v>0.3</v>
      </c>
      <c r="AS422" s="111">
        <v>0.3</v>
      </c>
      <c r="AT422" s="111">
        <v>0.3</v>
      </c>
    </row>
    <row r="423" spans="1:46">
      <c r="A423" s="198" t="str">
        <f t="shared" si="532"/>
        <v>Stock compensation</v>
      </c>
      <c r="AF423" s="106"/>
      <c r="AG423" s="106"/>
      <c r="AH423" s="106"/>
      <c r="AI423" s="106"/>
      <c r="AJ423" s="106">
        <f t="shared" si="531"/>
        <v>1.4</v>
      </c>
      <c r="AK423" s="106">
        <f t="shared" si="531"/>
        <v>-0.748055555555555</v>
      </c>
      <c r="AL423" s="106">
        <f t="shared" si="531"/>
        <v>-0.125689084895259</v>
      </c>
      <c r="AM423" s="111">
        <v>0.05</v>
      </c>
      <c r="AN423" s="111">
        <v>0.05</v>
      </c>
      <c r="AO423" s="111">
        <v>0.05</v>
      </c>
      <c r="AP423" s="111">
        <v>0.05</v>
      </c>
      <c r="AQ423" s="111">
        <v>0.05</v>
      </c>
      <c r="AR423" s="111">
        <v>0.05</v>
      </c>
      <c r="AS423" s="111">
        <v>0.05</v>
      </c>
      <c r="AT423" s="111">
        <v>0.05</v>
      </c>
    </row>
    <row r="424" spans="1:46">
      <c r="A424" s="198" t="str">
        <f t="shared" si="532"/>
        <v>Others</v>
      </c>
      <c r="AF424" s="106"/>
      <c r="AG424" s="106"/>
      <c r="AH424" s="106"/>
      <c r="AI424" s="106"/>
      <c r="AJ424" s="106">
        <f t="shared" si="531"/>
        <v>-0.237996622958388</v>
      </c>
      <c r="AK424" s="106">
        <f t="shared" si="531"/>
        <v>0.113058433882877</v>
      </c>
      <c r="AL424" s="106">
        <f t="shared" si="531"/>
        <v>0.266214899082568</v>
      </c>
      <c r="AM424" s="111">
        <v>0.1</v>
      </c>
      <c r="AN424" s="111">
        <v>0.1</v>
      </c>
      <c r="AO424" s="111">
        <v>0.1</v>
      </c>
      <c r="AP424" s="111">
        <v>0.1</v>
      </c>
      <c r="AQ424" s="111">
        <v>0.1</v>
      </c>
      <c r="AR424" s="111">
        <v>0.1</v>
      </c>
      <c r="AS424" s="111">
        <v>0.1</v>
      </c>
      <c r="AT424" s="111">
        <v>0.1</v>
      </c>
    </row>
    <row r="425" spans="1:46">
      <c r="A425" s="198"/>
      <c r="AF425" s="106"/>
      <c r="AG425" s="106"/>
      <c r="AH425" s="106"/>
      <c r="AI425" s="106"/>
      <c r="AJ425" s="106"/>
      <c r="AK425" s="106"/>
      <c r="AL425" s="106"/>
      <c r="AM425" s="111"/>
      <c r="AN425" s="111"/>
      <c r="AO425" s="111"/>
      <c r="AP425" s="111"/>
      <c r="AQ425" s="111"/>
      <c r="AR425" s="111"/>
      <c r="AS425" s="111"/>
      <c r="AT425" s="111"/>
    </row>
    <row r="426" spans="1:46">
      <c r="A426" s="198"/>
      <c r="AF426" s="106"/>
      <c r="AG426" s="106"/>
      <c r="AH426" s="106"/>
      <c r="AI426" s="106"/>
      <c r="AJ426" s="106"/>
      <c r="AK426" s="106"/>
      <c r="AL426" s="106"/>
      <c r="AM426" s="111"/>
      <c r="AN426" s="111"/>
      <c r="AO426" s="111"/>
      <c r="AP426" s="111"/>
      <c r="AQ426" s="111"/>
      <c r="AR426" s="111"/>
      <c r="AS426" s="111"/>
      <c r="AT426" s="111"/>
    </row>
    <row r="428" spans="1:29">
      <c r="A428" s="198"/>
      <c r="B428" s="111">
        <f>+B429/SUM($B$384:$E$384)</f>
        <v>0.196680581675115</v>
      </c>
      <c r="C428" s="111">
        <f>+C429/SUM($B$384:$E$384)</f>
        <v>0.151479354754367</v>
      </c>
      <c r="D428" s="111">
        <f>+D429/SUM($B$384:$E$384)</f>
        <v>0.246986454706622</v>
      </c>
      <c r="E428" s="227">
        <f>+E429/SUM($B$384:$E$384)</f>
        <v>0.404853608863896</v>
      </c>
      <c r="F428" s="111">
        <f t="shared" ref="F428:H428" si="533">+F429/$AO429</f>
        <v>0.236053477113479</v>
      </c>
      <c r="G428" s="111">
        <f t="shared" si="533"/>
        <v>0.218541573702466</v>
      </c>
      <c r="H428" s="111">
        <f t="shared" si="533"/>
        <v>0.295048729037855</v>
      </c>
      <c r="I428" s="227">
        <v>0.38</v>
      </c>
      <c r="J428" s="111">
        <v>0.174463736132597</v>
      </c>
      <c r="K428" s="111">
        <v>0.21</v>
      </c>
      <c r="L428" s="111">
        <v>0.28</v>
      </c>
      <c r="M428" s="227">
        <v>0.27</v>
      </c>
      <c r="N428" s="111">
        <v>0.21</v>
      </c>
      <c r="O428" s="111">
        <v>0.2</v>
      </c>
      <c r="P428" s="111">
        <v>0.22</v>
      </c>
      <c r="Q428" s="227">
        <v>0.34</v>
      </c>
      <c r="R428" s="111">
        <v>0.2</v>
      </c>
      <c r="S428" s="111">
        <v>0.21</v>
      </c>
      <c r="T428" s="111">
        <v>0.22</v>
      </c>
      <c r="U428" s="227">
        <v>0.37</v>
      </c>
      <c r="V428" s="111">
        <v>0.2</v>
      </c>
      <c r="W428" s="111">
        <v>0.22</v>
      </c>
      <c r="X428" s="111">
        <v>0.23</v>
      </c>
      <c r="Y428" s="227">
        <v>0.35</v>
      </c>
      <c r="Z428" s="111">
        <v>0.2</v>
      </c>
      <c r="AA428" s="111">
        <v>0.22</v>
      </c>
      <c r="AB428" s="111">
        <v>0.23</v>
      </c>
      <c r="AC428" s="227">
        <v>0.35</v>
      </c>
    </row>
    <row r="429" s="3" customFormat="1" spans="1:46">
      <c r="A429" s="223" t="s">
        <v>92</v>
      </c>
      <c r="B429" s="224">
        <f>+B384</f>
        <v>36.82673998</v>
      </c>
      <c r="C429" s="224">
        <f t="shared" ref="C429:R429" si="534">+C384</f>
        <v>28.36320069</v>
      </c>
      <c r="D429" s="224">
        <f t="shared" si="534"/>
        <v>46.24608016</v>
      </c>
      <c r="E429" s="229">
        <f t="shared" si="534"/>
        <v>75.80534111</v>
      </c>
      <c r="F429" s="224">
        <f t="shared" si="534"/>
        <v>31.57793624</v>
      </c>
      <c r="G429" s="224">
        <f t="shared" si="534"/>
        <v>29.23529009</v>
      </c>
      <c r="H429" s="224">
        <f t="shared" si="534"/>
        <v>39.46999666</v>
      </c>
      <c r="I429" s="229">
        <f t="shared" si="534"/>
        <v>33.49127856</v>
      </c>
      <c r="J429" s="221">
        <f t="shared" si="534"/>
        <v>53.18913031</v>
      </c>
      <c r="K429" s="221">
        <f t="shared" si="534"/>
        <v>76.38059619</v>
      </c>
      <c r="L429" s="221">
        <f t="shared" si="534"/>
        <v>71.28638816</v>
      </c>
      <c r="M429" s="228">
        <f t="shared" si="534"/>
        <v>202.31250894</v>
      </c>
      <c r="N429" s="228">
        <f t="shared" si="534"/>
        <v>117.88531689</v>
      </c>
      <c r="O429" s="228">
        <f t="shared" si="534"/>
        <v>215.83030265</v>
      </c>
      <c r="P429" s="228">
        <f t="shared" si="534"/>
        <v>167.55891718</v>
      </c>
      <c r="Q429" s="228">
        <f t="shared" si="534"/>
        <v>200.86931152</v>
      </c>
      <c r="R429" s="228">
        <f t="shared" si="534"/>
        <v>119.90908567</v>
      </c>
      <c r="S429" s="230">
        <f t="shared" ref="S429:U429" si="535">+S428*$AR429</f>
        <v>160.23</v>
      </c>
      <c r="T429" s="230">
        <f t="shared" si="535"/>
        <v>167.86</v>
      </c>
      <c r="U429" s="231">
        <f t="shared" si="535"/>
        <v>282.31</v>
      </c>
      <c r="V429" s="230">
        <f t="shared" ref="V429:Y429" si="536">+V428*$AS429</f>
        <v>190</v>
      </c>
      <c r="W429" s="230">
        <f t="shared" si="536"/>
        <v>209</v>
      </c>
      <c r="X429" s="230">
        <f t="shared" si="536"/>
        <v>218.5</v>
      </c>
      <c r="Y429" s="231">
        <f t="shared" si="536"/>
        <v>332.5</v>
      </c>
      <c r="Z429" s="230">
        <f>+Z428*$AT429</f>
        <v>196.88</v>
      </c>
      <c r="AA429" s="230">
        <f t="shared" ref="AA429:AC429" si="537">+AA428*$AT429</f>
        <v>216.568</v>
      </c>
      <c r="AB429" s="230">
        <f t="shared" si="537"/>
        <v>226.412</v>
      </c>
      <c r="AC429" s="231">
        <f t="shared" si="537"/>
        <v>344.54</v>
      </c>
      <c r="AI429" s="221">
        <f>AI384</f>
        <v>44.921106523136</v>
      </c>
      <c r="AJ429" s="221">
        <f>AJ384</f>
        <v>52.66466969</v>
      </c>
      <c r="AK429" s="221">
        <f t="shared" ref="AK429:AQ429" si="538">AK384</f>
        <v>81.34319845</v>
      </c>
      <c r="AL429" s="221">
        <f t="shared" si="538"/>
        <v>85.08281993</v>
      </c>
      <c r="AM429" s="221">
        <f t="shared" si="538"/>
        <v>108.42423218</v>
      </c>
      <c r="AN429" s="221">
        <f t="shared" si="538"/>
        <v>187.24136194</v>
      </c>
      <c r="AO429" s="221">
        <f t="shared" si="538"/>
        <v>133.77450155</v>
      </c>
      <c r="AP429" s="221">
        <f t="shared" si="538"/>
        <v>403.1686236</v>
      </c>
      <c r="AQ429" s="221">
        <f t="shared" si="538"/>
        <v>702.14384824</v>
      </c>
      <c r="AR429" s="221">
        <f t="shared" ref="AR429:AT429" si="539">SUM(AR430:AR436)</f>
        <v>763</v>
      </c>
      <c r="AS429" s="221">
        <f t="shared" si="539"/>
        <v>950</v>
      </c>
      <c r="AT429" s="221">
        <f t="shared" si="539"/>
        <v>984.4</v>
      </c>
    </row>
    <row r="430" spans="1:46">
      <c r="A430" s="198" t="s">
        <v>929</v>
      </c>
      <c r="AI430" s="105"/>
      <c r="AJ430" s="105">
        <v>31.29</v>
      </c>
      <c r="AK430" s="237">
        <v>68.69</v>
      </c>
      <c r="AL430" s="237">
        <v>70.87</v>
      </c>
      <c r="AM430" s="105">
        <v>76.723</v>
      </c>
      <c r="AN430" s="105">
        <v>135.983</v>
      </c>
      <c r="AO430" s="105">
        <v>78.18</v>
      </c>
      <c r="AP430" s="105">
        <v>295.285</v>
      </c>
      <c r="AQ430" s="105">
        <v>550</v>
      </c>
      <c r="AR430" s="105">
        <v>630</v>
      </c>
      <c r="AS430" s="105">
        <v>800</v>
      </c>
      <c r="AT430" s="105">
        <v>820</v>
      </c>
    </row>
    <row r="431" spans="1:46">
      <c r="A431" s="198" t="s">
        <v>926</v>
      </c>
      <c r="AI431" s="105"/>
      <c r="AJ431" s="105">
        <v>6.28</v>
      </c>
      <c r="AK431" s="237">
        <v>3.77</v>
      </c>
      <c r="AL431" s="237">
        <v>3.95</v>
      </c>
      <c r="AM431" s="105">
        <v>5.7</v>
      </c>
      <c r="AN431" s="105">
        <v>10.94</v>
      </c>
      <c r="AO431" s="105">
        <v>16.886</v>
      </c>
      <c r="AP431" s="105">
        <v>18.47</v>
      </c>
      <c r="AQ431" s="105">
        <v>20</v>
      </c>
      <c r="AR431" s="105">
        <v>25</v>
      </c>
      <c r="AS431" s="105">
        <v>35</v>
      </c>
      <c r="AT431" s="105">
        <v>35</v>
      </c>
    </row>
    <row r="432" spans="1:46">
      <c r="A432" s="198" t="s">
        <v>924</v>
      </c>
      <c r="AI432" s="105"/>
      <c r="AJ432" s="105">
        <v>0.018</v>
      </c>
      <c r="AK432" s="237">
        <v>0.054</v>
      </c>
      <c r="AL432" s="237">
        <v>0.003</v>
      </c>
      <c r="AM432" s="105">
        <v>0</v>
      </c>
      <c r="AN432" s="105">
        <v>0</v>
      </c>
      <c r="AO432" s="105">
        <v>0</v>
      </c>
      <c r="AP432" s="105">
        <v>0</v>
      </c>
      <c r="AQ432" s="105">
        <v>0</v>
      </c>
      <c r="AR432" s="105">
        <v>0</v>
      </c>
      <c r="AS432" s="105">
        <v>0</v>
      </c>
      <c r="AT432" s="105">
        <v>0</v>
      </c>
    </row>
    <row r="433" spans="1:46">
      <c r="A433" s="198" t="s">
        <v>918</v>
      </c>
      <c r="AI433" s="105"/>
      <c r="AJ433" s="105">
        <v>0.76</v>
      </c>
      <c r="AK433" s="237">
        <v>0.966</v>
      </c>
      <c r="AL433" s="237">
        <v>0.2018</v>
      </c>
      <c r="AM433" s="105">
        <v>0.2</v>
      </c>
      <c r="AN433" s="105">
        <v>0.245</v>
      </c>
      <c r="AO433" s="105">
        <v>0</v>
      </c>
      <c r="AP433" s="105">
        <v>0</v>
      </c>
      <c r="AQ433" s="105">
        <v>0</v>
      </c>
      <c r="AR433" s="105">
        <v>0</v>
      </c>
      <c r="AS433" s="105">
        <v>0</v>
      </c>
      <c r="AT433" s="105">
        <v>0</v>
      </c>
    </row>
    <row r="434" spans="1:46">
      <c r="A434" s="198" t="s">
        <v>922</v>
      </c>
      <c r="AI434" s="105"/>
      <c r="AJ434" s="105">
        <v>10.9</v>
      </c>
      <c r="AK434" s="237">
        <v>2.35</v>
      </c>
      <c r="AL434" s="237">
        <v>6.85</v>
      </c>
      <c r="AM434" s="105">
        <v>0</v>
      </c>
      <c r="AN434" s="105">
        <v>1.1</v>
      </c>
      <c r="AO434" s="105">
        <v>1</v>
      </c>
      <c r="AP434" s="105">
        <v>45.455</v>
      </c>
      <c r="AQ434" s="105">
        <v>50</v>
      </c>
      <c r="AR434" s="105">
        <v>35</v>
      </c>
      <c r="AS434" s="105">
        <v>30</v>
      </c>
      <c r="AT434" s="105">
        <v>30</v>
      </c>
    </row>
    <row r="435" spans="1:46">
      <c r="A435" s="198" t="s">
        <v>930</v>
      </c>
      <c r="AI435" s="105"/>
      <c r="AJ435" s="105">
        <v>2.78</v>
      </c>
      <c r="AK435" s="237">
        <v>5.31</v>
      </c>
      <c r="AL435" s="237">
        <v>1.088</v>
      </c>
      <c r="AM435" s="105">
        <v>23.98</v>
      </c>
      <c r="AN435" s="105">
        <v>30.1</v>
      </c>
      <c r="AO435" s="105">
        <v>24.6596</v>
      </c>
      <c r="AP435" s="105">
        <v>30.1</v>
      </c>
      <c r="AQ435" s="105">
        <v>45</v>
      </c>
      <c r="AR435" s="105">
        <v>60</v>
      </c>
      <c r="AS435" s="105">
        <f>+AR435*1.2</f>
        <v>72</v>
      </c>
      <c r="AT435" s="105">
        <f>+AS435*1.2</f>
        <v>86.4</v>
      </c>
    </row>
    <row r="436" spans="1:46">
      <c r="A436" s="198" t="s">
        <v>692</v>
      </c>
      <c r="AI436" s="105"/>
      <c r="AJ436" s="105">
        <f>+AJ429-SUM(AJ430:AJ435)</f>
        <v>0.636669689999998</v>
      </c>
      <c r="AK436" s="105">
        <f t="shared" ref="AK436:AQ436" si="540">+AK429-SUM(AK430:AK435)</f>
        <v>0.203198450000016</v>
      </c>
      <c r="AL436" s="105">
        <f t="shared" si="540"/>
        <v>2.12001993000001</v>
      </c>
      <c r="AM436" s="105">
        <f t="shared" si="540"/>
        <v>1.82123218</v>
      </c>
      <c r="AN436" s="105">
        <f t="shared" si="540"/>
        <v>8.87336194</v>
      </c>
      <c r="AO436" s="105">
        <f t="shared" si="540"/>
        <v>13.04890155</v>
      </c>
      <c r="AP436" s="105">
        <f t="shared" si="540"/>
        <v>13.8586236</v>
      </c>
      <c r="AQ436" s="105">
        <f t="shared" si="540"/>
        <v>37.14384824</v>
      </c>
      <c r="AR436" s="105">
        <v>13</v>
      </c>
      <c r="AS436" s="105">
        <v>13</v>
      </c>
      <c r="AT436" s="105">
        <v>13</v>
      </c>
    </row>
    <row r="437" spans="1:46">
      <c r="A437" s="198"/>
      <c r="AI437" s="105"/>
      <c r="AJ437" s="105"/>
      <c r="AK437" s="237"/>
      <c r="AL437" s="237"/>
      <c r="AM437" s="105"/>
      <c r="AN437" s="105"/>
      <c r="AO437" s="105"/>
      <c r="AP437" s="105"/>
      <c r="AQ437" s="102"/>
      <c r="AR437" s="102"/>
      <c r="AS437" s="102"/>
      <c r="AT437" s="102"/>
    </row>
    <row r="438" spans="37:46">
      <c r="AK438" s="237"/>
      <c r="AL438" s="237"/>
      <c r="AP438" s="102"/>
      <c r="AQ438" s="102"/>
      <c r="AR438" s="102"/>
      <c r="AS438" s="102"/>
      <c r="AT438" s="102"/>
    </row>
    <row r="439" spans="1:46">
      <c r="A439" s="222" t="s">
        <v>848</v>
      </c>
      <c r="AF439" s="106"/>
      <c r="AG439" s="106"/>
      <c r="AH439" s="106"/>
      <c r="AI439" s="106"/>
      <c r="AJ439" s="106">
        <f t="shared" ref="AJ439:AN439" si="541">AJ429/AI429-1</f>
        <v>0.172381398549828</v>
      </c>
      <c r="AK439" s="106">
        <f t="shared" si="541"/>
        <v>0.544549674930279</v>
      </c>
      <c r="AL439" s="106">
        <f t="shared" si="541"/>
        <v>0.0459733764009622</v>
      </c>
      <c r="AM439" s="106">
        <f t="shared" si="541"/>
        <v>0.274337548628544</v>
      </c>
      <c r="AN439" s="106">
        <f t="shared" si="541"/>
        <v>0.726932791455254</v>
      </c>
      <c r="AO439" s="106">
        <f t="shared" ref="AO439:AS445" si="542">AO429/AN429-1</f>
        <v>-0.285550477928766</v>
      </c>
      <c r="AP439" s="106">
        <f t="shared" si="542"/>
        <v>2.01379275518594</v>
      </c>
      <c r="AQ439" s="106">
        <f t="shared" si="542"/>
        <v>0.741563720833161</v>
      </c>
      <c r="AR439" s="106">
        <f t="shared" si="542"/>
        <v>0.0866719147544233</v>
      </c>
      <c r="AS439" s="106">
        <f t="shared" si="542"/>
        <v>0.245085190039319</v>
      </c>
      <c r="AT439" s="106">
        <f t="shared" ref="AT439:AT441" si="543">AT429/AS429-1</f>
        <v>0.0362105263157895</v>
      </c>
    </row>
    <row r="440" spans="1:46">
      <c r="A440" s="198" t="str">
        <f t="shared" ref="A440:A447" si="544">A430</f>
        <v>Salary</v>
      </c>
      <c r="AF440" s="106"/>
      <c r="AG440" s="106"/>
      <c r="AH440" s="106"/>
      <c r="AI440" s="106"/>
      <c r="AJ440" s="106"/>
      <c r="AK440" s="106">
        <f t="shared" ref="AK440:AN445" si="545">AK430/AJ430-1</f>
        <v>1.19527005433046</v>
      </c>
      <c r="AL440" s="106">
        <f t="shared" si="545"/>
        <v>0.0317367884699375</v>
      </c>
      <c r="AM440" s="106">
        <f t="shared" si="545"/>
        <v>0.0825878368844362</v>
      </c>
      <c r="AN440" s="106">
        <f t="shared" si="545"/>
        <v>0.772388983746725</v>
      </c>
      <c r="AO440" s="106">
        <f t="shared" si="542"/>
        <v>-0.425075193222682</v>
      </c>
      <c r="AP440" s="106">
        <f t="shared" si="542"/>
        <v>2.77698899974418</v>
      </c>
      <c r="AQ440" s="106">
        <f t="shared" si="542"/>
        <v>0.862607311580337</v>
      </c>
      <c r="AR440" s="106">
        <f>AR430/AQ430-1</f>
        <v>0.145454545454546</v>
      </c>
      <c r="AS440" s="106">
        <f t="shared" si="542"/>
        <v>0.26984126984127</v>
      </c>
      <c r="AT440" s="106">
        <f t="shared" si="543"/>
        <v>0.0249999999999999</v>
      </c>
    </row>
    <row r="441" spans="1:46">
      <c r="A441" s="198" t="str">
        <f t="shared" si="544"/>
        <v>D&amp;A</v>
      </c>
      <c r="AF441" s="106"/>
      <c r="AG441" s="106"/>
      <c r="AH441" s="106"/>
      <c r="AI441" s="106"/>
      <c r="AJ441" s="106"/>
      <c r="AK441" s="106">
        <f t="shared" si="545"/>
        <v>-0.39968152866242</v>
      </c>
      <c r="AL441" s="106">
        <f t="shared" si="545"/>
        <v>0.0477453580901857</v>
      </c>
      <c r="AM441" s="106">
        <f t="shared" si="545"/>
        <v>0.443037974683544</v>
      </c>
      <c r="AN441" s="106">
        <f t="shared" si="545"/>
        <v>0.919298245614035</v>
      </c>
      <c r="AO441" s="106">
        <f t="shared" si="542"/>
        <v>0.543510054844607</v>
      </c>
      <c r="AP441" s="106">
        <f t="shared" si="542"/>
        <v>0.0938055193651546</v>
      </c>
      <c r="AQ441" s="106">
        <f t="shared" si="542"/>
        <v>0.0828370330265296</v>
      </c>
      <c r="AR441" s="106">
        <f t="shared" si="542"/>
        <v>0.25</v>
      </c>
      <c r="AS441" s="106">
        <f t="shared" si="542"/>
        <v>0.4</v>
      </c>
      <c r="AT441" s="106">
        <f t="shared" si="543"/>
        <v>0</v>
      </c>
    </row>
    <row r="442" spans="1:46">
      <c r="A442" s="198" t="str">
        <f t="shared" si="544"/>
        <v>Reception</v>
      </c>
      <c r="AF442" s="106"/>
      <c r="AG442" s="106"/>
      <c r="AH442" s="106"/>
      <c r="AI442" s="106"/>
      <c r="AJ442" s="106"/>
      <c r="AK442" s="106">
        <f t="shared" si="545"/>
        <v>2</v>
      </c>
      <c r="AL442" s="106">
        <f t="shared" si="545"/>
        <v>-0.944444444444444</v>
      </c>
      <c r="AM442" s="106">
        <f t="shared" si="545"/>
        <v>-1</v>
      </c>
      <c r="AN442" s="106"/>
      <c r="AO442" s="106"/>
      <c r="AP442" s="106"/>
      <c r="AQ442" s="106"/>
      <c r="AR442" s="106"/>
      <c r="AS442" s="106"/>
      <c r="AT442" s="106"/>
    </row>
    <row r="443" spans="1:46">
      <c r="A443" s="198" t="str">
        <f t="shared" si="544"/>
        <v>Travel</v>
      </c>
      <c r="AF443" s="106"/>
      <c r="AG443" s="106"/>
      <c r="AH443" s="106"/>
      <c r="AI443" s="106"/>
      <c r="AJ443" s="106"/>
      <c r="AK443" s="106">
        <f t="shared" si="545"/>
        <v>0.271052631578947</v>
      </c>
      <c r="AL443" s="106">
        <f t="shared" si="545"/>
        <v>-0.791097308488613</v>
      </c>
      <c r="AM443" s="106">
        <f t="shared" si="545"/>
        <v>-0.00891972249752226</v>
      </c>
      <c r="AN443" s="106">
        <f t="shared" si="545"/>
        <v>0.225</v>
      </c>
      <c r="AO443" s="106">
        <f t="shared" si="542"/>
        <v>-1</v>
      </c>
      <c r="AP443" s="106"/>
      <c r="AQ443" s="106"/>
      <c r="AR443" s="106"/>
      <c r="AS443" s="106"/>
      <c r="AT443" s="106"/>
    </row>
    <row r="444" spans="1:46">
      <c r="A444" s="198" t="str">
        <f t="shared" si="544"/>
        <v>Stock compensation</v>
      </c>
      <c r="AF444" s="106"/>
      <c r="AG444" s="106"/>
      <c r="AH444" s="106"/>
      <c r="AI444" s="106"/>
      <c r="AJ444" s="106"/>
      <c r="AK444" s="106">
        <f t="shared" si="545"/>
        <v>-0.784403669724771</v>
      </c>
      <c r="AL444" s="106">
        <f t="shared" si="545"/>
        <v>1.91489361702128</v>
      </c>
      <c r="AM444" s="106">
        <f t="shared" si="545"/>
        <v>-1</v>
      </c>
      <c r="AN444" s="106" t="e">
        <f t="shared" si="545"/>
        <v>#DIV/0!</v>
      </c>
      <c r="AO444" s="106">
        <f t="shared" si="542"/>
        <v>-0.0909090909090909</v>
      </c>
      <c r="AP444" s="106">
        <f t="shared" si="542"/>
        <v>44.455</v>
      </c>
      <c r="AQ444" s="106">
        <f t="shared" si="542"/>
        <v>0.099989000109999</v>
      </c>
      <c r="AR444" s="106">
        <f t="shared" si="542"/>
        <v>-0.3</v>
      </c>
      <c r="AS444" s="106">
        <f t="shared" si="542"/>
        <v>-0.142857142857143</v>
      </c>
      <c r="AT444" s="106">
        <f>AT434/AS434-1</f>
        <v>0</v>
      </c>
    </row>
    <row r="445" spans="1:46">
      <c r="A445" s="198" t="str">
        <f t="shared" si="544"/>
        <v>Materials expense</v>
      </c>
      <c r="AF445" s="106"/>
      <c r="AG445" s="106"/>
      <c r="AH445" s="106"/>
      <c r="AI445" s="106"/>
      <c r="AJ445" s="106"/>
      <c r="AK445" s="106">
        <f t="shared" si="545"/>
        <v>0.910071942446043</v>
      </c>
      <c r="AL445" s="106">
        <f t="shared" si="545"/>
        <v>-0.795103578154426</v>
      </c>
      <c r="AM445" s="106">
        <f t="shared" si="545"/>
        <v>21.0404411764706</v>
      </c>
      <c r="AN445" s="106">
        <f t="shared" si="545"/>
        <v>0.255212677231026</v>
      </c>
      <c r="AO445" s="106">
        <f t="shared" si="542"/>
        <v>-0.180744186046512</v>
      </c>
      <c r="AP445" s="106">
        <f t="shared" si="542"/>
        <v>0.220619961394345</v>
      </c>
      <c r="AQ445" s="106">
        <f t="shared" si="542"/>
        <v>0.495016611295681</v>
      </c>
      <c r="AR445" s="106">
        <f t="shared" si="542"/>
        <v>0.333333333333333</v>
      </c>
      <c r="AS445" s="106">
        <f t="shared" si="542"/>
        <v>0.2</v>
      </c>
      <c r="AT445" s="106">
        <f>AT435/AS435-1</f>
        <v>0.2</v>
      </c>
    </row>
    <row r="446" spans="1:38">
      <c r="A446" s="198" t="str">
        <f t="shared" si="544"/>
        <v>Others</v>
      </c>
      <c r="AF446" s="106"/>
      <c r="AG446" s="106"/>
      <c r="AH446" s="106"/>
      <c r="AI446" s="106"/>
      <c r="AJ446" s="106"/>
      <c r="AK446" s="106"/>
      <c r="AL446" s="106"/>
    </row>
    <row r="447" spans="1:38">
      <c r="A447" s="198">
        <f t="shared" si="544"/>
        <v>0</v>
      </c>
      <c r="AF447" s="106"/>
      <c r="AG447" s="106"/>
      <c r="AH447" s="106"/>
      <c r="AI447" s="106"/>
      <c r="AJ447" s="106"/>
      <c r="AK447" s="106"/>
      <c r="AL447" s="106"/>
    </row>
    <row r="449" spans="1:46">
      <c r="A449" s="238" t="s">
        <v>931</v>
      </c>
      <c r="AI449" s="106">
        <f t="shared" ref="AI449:AN449" si="546">SUM(AI450:AI457)</f>
        <v>0</v>
      </c>
      <c r="AJ449" s="106">
        <f t="shared" si="546"/>
        <v>1</v>
      </c>
      <c r="AK449" s="106">
        <f t="shared" si="546"/>
        <v>1</v>
      </c>
      <c r="AL449" s="106">
        <f t="shared" si="546"/>
        <v>1</v>
      </c>
      <c r="AM449" s="106">
        <f t="shared" si="546"/>
        <v>1</v>
      </c>
      <c r="AN449" s="106">
        <f t="shared" si="546"/>
        <v>1</v>
      </c>
      <c r="AO449" s="106"/>
      <c r="AP449" s="106"/>
      <c r="AQ449" s="106"/>
      <c r="AR449" s="106"/>
      <c r="AS449" s="106"/>
      <c r="AT449" s="106"/>
    </row>
    <row r="450" spans="1:46">
      <c r="A450" s="239" t="str">
        <f t="shared" ref="A450:A457" si="547">A440</f>
        <v>Salary</v>
      </c>
      <c r="AI450" s="106">
        <f t="shared" ref="AI450:AN457" si="548">AI430/AI$429</f>
        <v>0</v>
      </c>
      <c r="AJ450" s="106">
        <f t="shared" si="548"/>
        <v>0.594136452087943</v>
      </c>
      <c r="AK450" s="106">
        <f t="shared" si="548"/>
        <v>0.844446755339014</v>
      </c>
      <c r="AL450" s="106">
        <f t="shared" si="548"/>
        <v>0.832953116249634</v>
      </c>
      <c r="AM450" s="106">
        <f t="shared" si="548"/>
        <v>0.707618568814291</v>
      </c>
      <c r="AN450" s="106">
        <f t="shared" si="548"/>
        <v>0.726244450430641</v>
      </c>
      <c r="AO450" s="106"/>
      <c r="AP450" s="106"/>
      <c r="AQ450" s="106"/>
      <c r="AR450" s="106"/>
      <c r="AS450" s="106"/>
      <c r="AT450" s="106"/>
    </row>
    <row r="451" spans="1:46">
      <c r="A451" s="239" t="str">
        <f t="shared" si="547"/>
        <v>D&amp;A</v>
      </c>
      <c r="AI451" s="106">
        <f t="shared" si="548"/>
        <v>0</v>
      </c>
      <c r="AJ451" s="106">
        <f t="shared" si="548"/>
        <v>0.11924502777604</v>
      </c>
      <c r="AK451" s="106">
        <f t="shared" si="548"/>
        <v>0.0463468374964053</v>
      </c>
      <c r="AL451" s="106">
        <f t="shared" si="548"/>
        <v>0.0464253535937076</v>
      </c>
      <c r="AM451" s="106">
        <f t="shared" si="548"/>
        <v>0.052571273832377</v>
      </c>
      <c r="AN451" s="106">
        <f t="shared" si="548"/>
        <v>0.0584272614055522</v>
      </c>
      <c r="AO451" s="106"/>
      <c r="AP451" s="106"/>
      <c r="AQ451" s="106"/>
      <c r="AR451" s="106"/>
      <c r="AS451" s="106"/>
      <c r="AT451" s="106"/>
    </row>
    <row r="452" spans="1:46">
      <c r="A452" s="239" t="str">
        <f t="shared" si="547"/>
        <v>Reception</v>
      </c>
      <c r="AI452" s="106">
        <f t="shared" si="548"/>
        <v>0</v>
      </c>
      <c r="AJ452" s="106">
        <f t="shared" si="548"/>
        <v>0.000341785111459986</v>
      </c>
      <c r="AK452" s="106">
        <f t="shared" si="548"/>
        <v>0.000663853905784055</v>
      </c>
      <c r="AL452" s="106">
        <f t="shared" si="548"/>
        <v>3.5259762223069e-5</v>
      </c>
      <c r="AM452" s="106">
        <f t="shared" si="548"/>
        <v>0</v>
      </c>
      <c r="AN452" s="106">
        <f t="shared" si="548"/>
        <v>0</v>
      </c>
      <c r="AO452" s="106"/>
      <c r="AP452" s="106"/>
      <c r="AQ452" s="106"/>
      <c r="AR452" s="106"/>
      <c r="AS452" s="106"/>
      <c r="AT452" s="106"/>
    </row>
    <row r="453" spans="1:46">
      <c r="A453" s="239" t="str">
        <f t="shared" si="547"/>
        <v>Travel</v>
      </c>
      <c r="AI453" s="106">
        <f t="shared" si="548"/>
        <v>0</v>
      </c>
      <c r="AJ453" s="106">
        <f t="shared" si="548"/>
        <v>0.0144309269283105</v>
      </c>
      <c r="AK453" s="106">
        <f t="shared" si="548"/>
        <v>0.0118756087590259</v>
      </c>
      <c r="AL453" s="106">
        <f t="shared" si="548"/>
        <v>0.00237180667220511</v>
      </c>
      <c r="AM453" s="106">
        <f t="shared" si="548"/>
        <v>0.00184460609938165</v>
      </c>
      <c r="AN453" s="106">
        <f t="shared" si="548"/>
        <v>0.00130847157626694</v>
      </c>
      <c r="AO453" s="106"/>
      <c r="AP453" s="106"/>
      <c r="AQ453" s="106"/>
      <c r="AR453" s="106"/>
      <c r="AS453" s="106"/>
      <c r="AT453" s="106"/>
    </row>
    <row r="454" spans="1:46">
      <c r="A454" s="239" t="str">
        <f t="shared" si="547"/>
        <v>Stock compensation</v>
      </c>
      <c r="AI454" s="106">
        <f t="shared" si="548"/>
        <v>0</v>
      </c>
      <c r="AJ454" s="106">
        <f t="shared" si="548"/>
        <v>0.206969873050769</v>
      </c>
      <c r="AK454" s="106">
        <f t="shared" si="548"/>
        <v>0.0288899384924543</v>
      </c>
      <c r="AL454" s="106">
        <f t="shared" si="548"/>
        <v>0.080509790409341</v>
      </c>
      <c r="AM454" s="106">
        <f t="shared" si="548"/>
        <v>0</v>
      </c>
      <c r="AN454" s="106">
        <f t="shared" si="548"/>
        <v>0.00587477034242299</v>
      </c>
      <c r="AO454" s="106"/>
      <c r="AP454" s="106"/>
      <c r="AQ454" s="106"/>
      <c r="AR454" s="106"/>
      <c r="AS454" s="106"/>
      <c r="AT454" s="106"/>
    </row>
    <row r="455" spans="1:46">
      <c r="A455" s="239" t="str">
        <f t="shared" si="547"/>
        <v>Materials expense</v>
      </c>
      <c r="AI455" s="106">
        <f t="shared" si="548"/>
        <v>0</v>
      </c>
      <c r="AJ455" s="106">
        <f t="shared" si="548"/>
        <v>0.0527868116588201</v>
      </c>
      <c r="AK455" s="106">
        <f t="shared" si="548"/>
        <v>0.0652789674020988</v>
      </c>
      <c r="AL455" s="106">
        <f t="shared" si="548"/>
        <v>0.0127875404328997</v>
      </c>
      <c r="AM455" s="106">
        <f t="shared" si="548"/>
        <v>0.22116827131586</v>
      </c>
      <c r="AN455" s="106">
        <f t="shared" si="548"/>
        <v>0.160755079369938</v>
      </c>
      <c r="AO455" s="106"/>
      <c r="AP455" s="106"/>
      <c r="AQ455" s="106"/>
      <c r="AR455" s="106"/>
      <c r="AS455" s="106"/>
      <c r="AT455" s="106"/>
    </row>
    <row r="456" spans="1:46">
      <c r="A456" s="239" t="str">
        <f t="shared" si="547"/>
        <v>Others</v>
      </c>
      <c r="AI456" s="106">
        <f t="shared" si="548"/>
        <v>0</v>
      </c>
      <c r="AJ456" s="106">
        <f t="shared" si="548"/>
        <v>0.012089123386658</v>
      </c>
      <c r="AK456" s="106">
        <f t="shared" si="548"/>
        <v>0.00249803860521809</v>
      </c>
      <c r="AL456" s="106">
        <f t="shared" si="548"/>
        <v>0.0249171328799893</v>
      </c>
      <c r="AM456" s="106">
        <f t="shared" si="548"/>
        <v>0.0167972799380906</v>
      </c>
      <c r="AN456" s="106">
        <f t="shared" si="548"/>
        <v>0.047389966875179</v>
      </c>
      <c r="AO456" s="106"/>
      <c r="AP456" s="106"/>
      <c r="AQ456" s="106"/>
      <c r="AR456" s="106"/>
      <c r="AS456" s="106"/>
      <c r="AT456" s="106"/>
    </row>
    <row r="457" spans="1:46">
      <c r="A457" s="239">
        <f t="shared" si="547"/>
        <v>0</v>
      </c>
      <c r="AI457" s="106">
        <f t="shared" si="548"/>
        <v>0</v>
      </c>
      <c r="AJ457" s="106">
        <f t="shared" si="548"/>
        <v>0</v>
      </c>
      <c r="AK457" s="106">
        <f t="shared" si="548"/>
        <v>0</v>
      </c>
      <c r="AL457" s="106">
        <f t="shared" si="548"/>
        <v>0</v>
      </c>
      <c r="AM457" s="106">
        <f t="shared" si="548"/>
        <v>0</v>
      </c>
      <c r="AN457" s="106">
        <f t="shared" si="548"/>
        <v>0</v>
      </c>
      <c r="AO457" s="106"/>
      <c r="AP457" s="106"/>
      <c r="AQ457" s="106"/>
      <c r="AR457" s="106"/>
      <c r="AS457" s="106"/>
      <c r="AT457" s="106"/>
    </row>
    <row r="461" spans="42:44">
      <c r="AP461" s="106"/>
      <c r="AQ461" s="106"/>
      <c r="AR461" s="106"/>
    </row>
  </sheetData>
  <printOptions horizontalCentered="1" verticalCentered="1"/>
  <pageMargins left="0.699305555555556" right="0.699305555555556" top="0.75" bottom="0.75" header="0.3" footer="0.3"/>
  <pageSetup paperSize="9" orientation="portrait"/>
  <headerFooter/>
  <customProperties>
    <customPr name="Qube.Worksheet.Visibility" r:id="rId1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E0D9565-E54E-4376-98F8-E28C2907163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Goldman Sachs</Company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Cover Page </vt:lpstr>
      <vt:lpstr>300502.SZ_Exchange_Sheet </vt:lpstr>
      <vt:lpstr>Model</vt:lpstr>
      <vt:lpstr>Assumption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Guo, Jin [GSCN GIR]</dc:creator>
  <cp:lastModifiedBy>iPhone</cp:lastModifiedBy>
  <dcterms:created xsi:type="dcterms:W3CDTF">2025-09-10T03:54:17Z</dcterms:created>
  <cp:lastPrinted>2026-07-19T14:51:53Z</cp:lastPrinted>
  <dcterms:modified xsi:type="dcterms:W3CDTF">2026-07-21T03:49:54Z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f22ab267-176c-4c97-b36f-427ecb13a5e8</vt:lpwstr>
  </property>
  <property fmtid="{D5CDD505-2E9C-101B-9397-08002B2CF9AE}" pid="3" name="Classification">
    <vt:lpwstr>I</vt:lpwstr>
  </property>
  <property fmtid="{D5CDD505-2E9C-101B-9397-08002B2CF9AE}" pid="4" name="ICV">
    <vt:lpwstr>679BDDDAA6B3BF4462EC5E6A46EC1687_33</vt:lpwstr>
  </property>
  <property fmtid="{D5CDD505-2E9C-101B-9397-08002B2CF9AE}" pid="5" name="KSOProductBuildVer">
    <vt:lpwstr>2052-26.6.2</vt:lpwstr>
  </property>
</Properties>
</file>