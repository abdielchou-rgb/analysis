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124226"/>
  <xr:revisionPtr revIDLastSave="0" documentId="13_ncr:1_{D80EFCE3-D8A1-458E-81BD-2CCD1EF541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基础设施公募REITs估值跟踪" sheetId="6" r:id="rId1"/>
    <sheet name="免责声明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color_scheme">'[1]图9-作图过程'!$J$7</definedName>
    <definedName name="color_table">'[1]图9-作图过程'!$G$11:$H$20</definedName>
    <definedName name="CPI日期">OFFSET([2]CPI与RPI数据!$O$2,1,0,IF([2]CPI与RPI数据!$C$6=1,COUNT([2]CPI与RPI数据!$O:$O),(6-[2]CPI与RPI数据!$C$6)*50),1)</definedName>
    <definedName name="CPI商品日期">OFFSET([2]CPI与RPI数据!$W$2,1,0,IF([2]CPI与RPI数据!$C$26=1,COUNT([2]CPI与RPI数据!$W:$W),(6-[2]CPI与RPI数据!$C$26)*20),1)</definedName>
    <definedName name="CPI商品数据">OFFSET([2]CPI与RPI数据!$X$1,2,[2]CPI与RPI数据!$B$26-1,IF([2]CPI与RPI数据!$C$26=1,COUNT([2]CPI与RPI数据!$W:$W),(6-[2]CPI与RPI数据!$C$26)*20),1)</definedName>
    <definedName name="CPI数据">OFFSET([2]CPI与RPI数据!$P$1,2,[2]CPI与RPI数据!$B$6-1,IF([2]CPI与RPI数据!$C$6=1,COUNT([2]CPI与RPI数据!$O:$O),(6-[2]CPI与RPI数据!$C$6)*50),1)</definedName>
    <definedName name="CPI种类日期">OFFSET([2]CPI与RPI数据!$R$2,1,0,IF([2]CPI与RPI数据!$K$7=1,COUNT([2]CPI与RPI数据!$R:$R),(6-[2]CPI与RPI数据!$K$7)*20),1)</definedName>
    <definedName name="CPI种类数据">OFFSET([2]CPI与RPI数据!$S$1,2,[2]CPI与RPI数据!$J$7-1,IF([2]CPI与RPI数据!$K$7=1,COUNT([2]CPI与RPI数据!$R:$R),(6-[2]CPI与RPI数据!$K$7)*20),1)</definedName>
    <definedName name="EB_CurrentYear">'[3]2设置'!$D$10</definedName>
    <definedName name="EB_NewBGQ">'[4]2设置'!$C$62</definedName>
    <definedName name="EB_NewYear">'[3]2设置'!$D$11</definedName>
    <definedName name="EB_PriceDate">'[3]2设置'!$D$12</definedName>
    <definedName name="EB_ReportIDStr">[5]设置!$F$14</definedName>
    <definedName name="EB_SHARE_A">'[3]2设置'!$D$18</definedName>
    <definedName name="EB_SHARE_ALL">'[3]2设置'!$D$17</definedName>
    <definedName name="EB_SHARE_B">'[3]2设置'!$D$19</definedName>
    <definedName name="EB_SHARE_H">'[3]2设置'!$D$20</definedName>
    <definedName name="EB_StockCode">'[3]2设置'!$D$7</definedName>
    <definedName name="EB_StockName">'[3]2设置'!$D$8</definedName>
    <definedName name="EB_UNIT">'[3]2设置'!$D$16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"08/12/2021 05:20:51"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newyear">[6]设置!$B$6</definedName>
    <definedName name="numbers_format">'[1]图9-作图过程'!$S$8</definedName>
    <definedName name="Q0家名称">OFFSET('[2]50家及百家重点零售企业情况'!#REF!,1,('[2]50家及百家重点零售企业情况'!$B$6-1),2,1)</definedName>
    <definedName name="Q0家日期">OFFSET('[2]50家及百家重点零售企业情况'!$O$2,1,0,IF('[2]50家及百家重点零售企业情况'!$C$6=1,COUNT('[2]50家及百家重点零售企业情况'!$O:$O),(6-'[2]50家及百家重点零售企业情况'!$C$6)*50),1)</definedName>
    <definedName name="Q0家数据">OFFSET('[2]50家及百家重点零售企业情况'!$P$1,2,'[2]50家及百家重点零售企业情况'!$B$6-1,IF('[2]50家及百家重点零售企业情况'!$C$6=1,COUNT('[2]50家及百家重点零售企业情况'!$O:$O),(6-'[2]50家及百家重点零售企业情况'!$C$6)*50),1)</definedName>
    <definedName name="Q1家名称">OFFSET('[2]50家及百家重点零售企业情况'!#REF!,1,('[2]50家及百家重点零售企业情况'!$J$7-1),2,1)</definedName>
    <definedName name="Q1家日期">OFFSET('[2]50家及百家重点零售企业情况'!$Y$2,1,0,IF('[2]50家及百家重点零售企业情况'!$K$7=1,COUNT('[2]50家及百家重点零售企业情况'!$Y:$Y),(6-'[2]50家及百家重点零售企业情况'!$K$7)*50),1)</definedName>
    <definedName name="Q1家数据">OFFSET('[2]50家及百家重点零售企业情况'!$Z$1,2,'[2]50家及百家重点零售企业情况'!$J$7-1,IF('[2]50家及百家重点零售企业情况'!$K$7=1,COUNT('[2]50家及百家重点零售企业情况'!$Y:$Y),(6-'[2]50家及百家重点零售企业情况'!$K$7)*50),1)</definedName>
    <definedName name="RPI日期">OFFSET([2]CPI与RPI数据!$AG$2,1,0,IF([2]CPI与RPI数据!$K$26=1,COUNT([2]CPI与RPI数据!$AG:$AG),(6-[2]CPI与RPI数据!$K$26)*50),1)</definedName>
    <definedName name="RPI商品名称">OFFSET([2]CPI与RPI数据!#REF!,1,([2]CPI与RPI数据!$B$45-1),2,1)</definedName>
    <definedName name="RPI商品日期">OFFSET([2]CPI与RPI数据!$AJ$2,1,0,IF([2]CPI与RPI数据!$C$45=1,COUNT([2]CPI与RPI数据!$AJ:$AJ),(6-[2]CPI与RPI数据!$C$45)*20),1)</definedName>
    <definedName name="RPI商品数据">OFFSET([2]CPI与RPI数据!$AK$1,2,[2]CPI与RPI数据!$B$45-1,IF([2]CPI与RPI数据!$C$45=1,COUNT([2]CPI与RPI数据!$AJ:$AJ),(6-[2]CPI与RPI数据!$C$45)*20),1)</definedName>
    <definedName name="RPI数据">OFFSET([2]CPI与RPI数据!$AH$1,2,[2]CPI与RPI数据!$J$26-1,IF([2]CPI与RPI数据!$K$26=1,COUNT([2]CPI与RPI数据!$AG:$AG),(6-[2]CPI与RPI数据!$K$26)*50),1)</definedName>
    <definedName name="show_numbers">'[1]图9-作图过程'!$Q$7</definedName>
    <definedName name="show_province">'[1]图9-作图过程'!$O$7</definedName>
    <definedName name="黄金周名称1">OFFSET([2]重点零售企业销售情况!$AM$1,0,0,2,1)</definedName>
    <definedName name="黄金周名称2">OFFSET([2]重点零售企业销售情况!$AN$1,0,0,2,1)</definedName>
    <definedName name="黄金周日期">OFFSET([2]重点零售企业销售情况!$AL$2,1,0,COUNT([2]重点零售企业销售情况!$AL:$AL)-1,1)</definedName>
    <definedName name="黄金周数据1">OFFSET([2]重点零售企业销售情况!$AM$2,1,0,COUNT([2]重点零售企业销售情况!$AL:$AL)-1,1)</definedName>
    <definedName name="黄金周数据2">OFFSET([2]重点零售企业销售情况!$AN$2,1,0,COUNT([2]重点零售企业销售情况!$AL:$AL)-1,1)</definedName>
    <definedName name="美国CPI名称1">OFFSET([7]美国!$W$6,0,([7]美国!$J$11-1)*2,1,1)</definedName>
    <definedName name="美国CPI名称2">OFFSET([7]日本!$X$6,0,([7]日本!$J$11-1)*2,1,1)</definedName>
    <definedName name="美国CPI日期">OFFSET([7]美国!$V$6,1,0,IF([7]美国!$K$11=1,COUNT([7]美国!$V$1:$V$65536),(6-[7]美国!$K$11)*50),1)</definedName>
    <definedName name="美国CPI数据1">OFFSET([7]美国!$W$6,1,([7]美国!$J$11-1)*2,IF([7]美国!$K$11=1,COUNT([7]美国!$V$1:$V$65536),(6-[7]美国!$K$11)*50),1)</definedName>
    <definedName name="美国CPI数据2">OFFSET([7]美国!$X$6,1,([7]美国!$J$11-1)*2,IF([7]美国!$K$11=1,COUNT([7]美国!$V$1:$V$65536),(6-[7]美国!$K$11)*50),1)</definedName>
    <definedName name="美国GDP名称1">OFFSET([7]美国!$Q$6,0,([7]美国!$B$11-1)*2,1,1)</definedName>
    <definedName name="美国GDP名称2">OFFSET([7]美国!$R$6,0,([7]美国!$B$11-1)*2,1,1)</definedName>
    <definedName name="美国GDP日期">OFFSET([7]美国!$P$6,1,0,IF([7]美国!$C$11=1,COUNT([7]美国!$P$1:$P$65536),(6-[7]美国!$C$11)*50),1)</definedName>
    <definedName name="美国GDP数据1">OFFSET([7]美国!$Q$6,1,([7]美国!$B$11-1)*2,IF([7]美国!$C$11=1,COUNT([7]美国!$Q$1:$Q$65536),(6-[7]美国!$C$11)*50),1)</definedName>
    <definedName name="美国GDP数据2">OFFSET([7]美国!$R$6,1,([7]美国!$B$11-1)*2,IF([7]美国!$C$11=1,COUNT([7]美国!$Q$1:$Q$65536),(6-[7]美国!$C$11)*50),1)</definedName>
    <definedName name="美国可支配收入名称1">OFFSET([7]美国!$AC$6,0,([7]美国!$B$36-1)*2,1,1)</definedName>
    <definedName name="美国可支配收入名称2">OFFSET([7]美国!$AD$6,0,([7]美国!$B$36-1)*2,1,1)</definedName>
    <definedName name="美国可支配收入日期">OFFSET([7]美国!$AB$6,1,0,IF([7]美国!$C$36=1,COUNT([7]美国!$AB$1:$AB$65536),(6-[7]美国!$C$36)*50),1)</definedName>
    <definedName name="美国可支配收入数据1">OFFSET([7]美国!$AC$6,1,([7]美国!$B$36-1)*2,IF([7]美国!$C$36=1,COUNT([7]美国!$AB$1:$AB$65536),(6-[7]美国!$C$36)*50),1)</definedName>
    <definedName name="美国可支配收入数据2">OFFSET([7]美国!$AD$6,1,([7]美国!$B$36-1)*2,IF([7]美国!$C$36=1,COUNT([7]美国!$AB$1:$AB$65536),(6-[7]美国!$C$36)*50),1)</definedName>
    <definedName name="美国零售业态名称">OFFSET([7]美国!$AS$6,0,([7]美国!$B$61-1),1,1)</definedName>
    <definedName name="美国零售业态日期">OFFSET([7]美国!$AR$6,1,0,IF([7]美国!$C$61=1,COUNT([7]美国!$AR$1:$AR$65536),(6-[7]美国!$C$61)*50),1)</definedName>
    <definedName name="美国零售业态数据">OFFSET([7]美国!$AS$6,1,([7]美国!$B$61-1),IF([7]美国!$C$61=1,COUNT([7]美国!$AR$1:$AR$65536),(6-[7]美国!$C$61)*50),1)</definedName>
    <definedName name="美国零售总额名称1">OFFSET([7]美国!$AJ$6,0,([7]美国!$J$36-1)*2,1,1)</definedName>
    <definedName name="美国零售总额名称2">OFFSET([7]美国!$AJ$6,0,([7]美国!$J$36-1)*2,1,1)</definedName>
    <definedName name="美国零售总额日期">OFFSET([7]美国!$AH$6,1,0,IF([7]美国!$K$36=1,COUNT([7]美国!$AH$1:$AH$65536),(6-[7]美国!$K$36)*50),1)</definedName>
    <definedName name="美国零售总额数据1">OFFSET([7]美国!$AI$6,1,([7]美国!$J$36-1)*2,IF([7]美国!$K$36=1,COUNT([7]美国!$AH$1:$AH$65536),(6-[7]美国!$K$36)*50),1)</definedName>
    <definedName name="美国零售总额数据2">OFFSET([7]美国!$AJ$6,1,([7]美国!$J$36-1)*2,IF([7]美国!$K$36=1,COUNT([7]美国!$AH$1:$AH$65536),(6-[7]美国!$K$36)*50),1)</definedName>
    <definedName name="美国消费者信心指数名称">OFFSET([7]美国!$BR$6,0,([7]美国!$J$86-1),1,1)</definedName>
    <definedName name="美国消费者信心指数日期">OFFSET([7]美国!$BQ$6,1,0,IF([7]美国!$K$86=1,COUNT([7]美国!$BQ$1:$BQ$65536),(6-[7]美国!$L$86)*50),1)</definedName>
    <definedName name="美国消费者信心指数数据">OFFSET([7]美国!$BR$6,1,([7]美国!$J$86-1),IF([7]美国!$K$86=1,COUNT([7]美国!$BQ$1:$BQ$65536),(6-[7]美国!$K$86)*50),1)</definedName>
    <definedName name="美国指数名称">OFFSET([7]美国!$BM$6,0,([7]美国!$B$86-1),1,1)</definedName>
    <definedName name="美国指数日期">OFFSET([7]美国!$BL$6,1,0,IF([7]美国!$C$86=1,COUNT([7]美国!$BL$1:$BL$65536),(6-[7]美国!$C$86)*50),1)</definedName>
    <definedName name="美国指数数据">OFFSET([7]美国!$BM$6,1,([7]美国!$B$86-1),IF([7]美国!$C$86=1,COUNT([7]美国!$BL$1:$BL$65536),(6-[7]美国!$C$86)*50),1)</definedName>
    <definedName name="美国主要零售同店增长名称">OFFSET([7]全球主要零售公司基本情况!$U$4,0,([7]全球主要零售公司基本情况!$D$13-1),1,1)</definedName>
    <definedName name="美国主要零售同店增长日期">OFFSET([7]全球主要零售公司基本情况!$T$4,1,0,IF([7]全球主要零售公司基本情况!$E$13=1,COUNT([7]全球主要零售公司基本情况!$T$1:$T$65536),(6-[7]全球主要零售公司基本情况!$E$13)*15),1)</definedName>
    <definedName name="美国主要零售同店增长数据">OFFSET([7]全球主要零售公司基本情况!$U$4,1,[7]全球主要零售公司基本情况!$D$13-1,IF([7]日本!$D$13=1,COUNT([7]全球主要零售公司基本情况!$T$1:$T$65536),(6-[7]全球主要零售公司基本情况!$E$13)*15),1)</definedName>
    <definedName name="彭博同店销售名称">OFFSET([7]美国!$BE$6,0,([7]美国!$J$61-1),1,1)</definedName>
    <definedName name="彭博同店销售日期">OFFSET([7]美国!$BD$6,1,0,IF([7]美国!$K$61=1,COUNT([7]美国!$BD$1:$BD$65536),(6-[7]美国!$K$61)*50),1)</definedName>
    <definedName name="彭博同店销售数据">OFFSET([7]美国!$BE$6,1,[7]美国!$J$61-1,IF([7]美国!$K$61=1,COUNT([7]美国!$BD$1:$BD$65536),(6-[7]美国!$K$61)*50),1)</definedName>
    <definedName name="千家名称">OFFSET([2]重点零售企业销售情况!#REF!,1,([2]重点零售企业销售情况!$B$6-1),2,1)</definedName>
    <definedName name="千家日期">OFFSET([2]重点零售企业销售情况!$O$2,1,0,IF([2]重点零售企业销售情况!$C$6=1,COUNT([2]重点零售企业销售情况!$O:$O),(6-[2]重点零售企业销售情况!$C$6)*50),1)</definedName>
    <definedName name="千家数据">OFFSET([2]重点零售企业销售情况!$P$1,2,[2]重点零售企业销售情况!$B$6-1,IF([2]重点零售企业销售情况!$C$6=1,COUNT([2]重点零售企业销售情况!$O:$O),(6-[2]重点零售企业销售情况!$C$6)*7),1)</definedName>
    <definedName name="日本CPI名称1">OFFSET([7]日本!$W$6,0,([7]日本!$J$11-1)*2,1,1)</definedName>
    <definedName name="日本CPI名称2">OFFSET([7]日本!$X$6,0,([7]日本!$J$11-1)*2,1,1)</definedName>
    <definedName name="日本CPI日期">OFFSET([7]日本!$V$6,1,0,IF([7]日本!$K$11=1,COUNT([7]日本!$V$1:$V$65536),(6-[7]日本!$K$11)*50),1)</definedName>
    <definedName name="日本CPI数据1">OFFSET([7]日本!$W$6,1,([7]日本!$J$11-1)*2,IF([7]日本!$K$11=1,COUNT([7]日本!$V$1:$V$65536),(6-[7]日本!$K$11)*50),1)</definedName>
    <definedName name="日本CPI数据2">OFFSET([7]日本!$X$6,1,([7]日本!$J$11-1)*2,IF([7]日本!$K$11=1,COUNT([7]日本!$V$1:$V$65536),(6-[7]日本!$K$11)*50),1)</definedName>
    <definedName name="日本GDP名称1">OFFSET([7]日本!$Q$6,0,([7]日本!$B$11-1)*2,1,1)</definedName>
    <definedName name="日本GDP名称2">OFFSET([7]日本!$R$6,0,([7]日本!$B$11-1)*2,1,1)</definedName>
    <definedName name="日本GDP日期">OFFSET([7]日本!$P$6,1,0,IF([7]日本!$C$11=1,COUNT([7]日本!$P$1:$P$65536),(6-[7]日本!$C$11)*50),1)</definedName>
    <definedName name="日本GDP数据1">OFFSET([7]日本!$Q$6,1,([7]日本!$B$11-1)*2,IF([7]日本!$C$11=1,COUNT([7]日本!$Q$1:$Q$65536),(6-[7]日本!$C$11)*50),1)</definedName>
    <definedName name="日本GDP数据2">OFFSET([7]日本!$R$6,1,([7]日本!$B$11-1)*2,IF([7]日本!$C$11=1,COUNT([7]日本!$Q$1:$Q$65536),(6-[7]日本!$C$11)*50),1)</definedName>
    <definedName name="日本便利店名称">OFFSET([7]日本!$AW$6,0,([7]日本!$B$61-1),1,1)</definedName>
    <definedName name="日本便利店日期">OFFSET([7]日本!$AV$6,1,0,IF([7]日本!$C$61=1,COUNT([7]日本!$AV$1:$AV$65536),(6-[7]日本!$C$61)*50),1)</definedName>
    <definedName name="日本便利店数据">OFFSET([7]日本!$AW$6,1,[7]日本!$B$61-1,IF([7]日本!$C$61=1,COUNT([7]日本!$AV$1:$AV$65536),(6-[7]日本!$C$61)*50),1)</definedName>
    <definedName name="日本零售业态名称1">OFFSET([7]日本!$AM$6,0,([7]日本!$J$36-1)*2,1,1)</definedName>
    <definedName name="日本零售业态名称2">OFFSET([7]日本!$AN$6,0,([7]日本!$J$36-1)*2,1,1)</definedName>
    <definedName name="日本零售业态日期">OFFSET([7]日本!$AL$6,1,0,IF([7]日本!$K$36=1,COUNT([7]日本!$AL$1:$AL$65536),(6-[7]日本!$K$36)*50),1)</definedName>
    <definedName name="日本零售业态数据1">OFFSET([7]日本!$AM$6,1,([7]日本!$J$36-1)*2,IF([7]日本!$K$36=1,COUNT([7]日本!$AL$1:$AL$65536),(6-[7]日本!$K$36)*50),1)</definedName>
    <definedName name="日本零售业态数据2">OFFSET([7]日本!$AN$6,1,([7]日本!$J$36-1)*2,IF([7]日本!$K$36=1,COUNT([7]日本!$AL$1:$AL$65536),(6-[7]日本!$K$36)*50),1)</definedName>
    <definedName name="日本批发零售名称1">OFFSET([7]日本!$AE$6,0,([7]日本!$B$36-1)*2,1,1)</definedName>
    <definedName name="日本批发零售名称2">OFFSET([7]日本!$AF$6,0,([7]日本!$B$36-1)*2,1,1)</definedName>
    <definedName name="日本批发零售日期">OFFSET([7]日本!$AD$6,1,0,IF([7]日本!$C$36=1,COUNT([7]日本!$AD$1:$AD$65536),(6-[7]日本!$C$36)*50),1)</definedName>
    <definedName name="日本批发零售数据1">OFFSET([7]日本!$AE$6,1,([7]日本!$B$36-1)*2,IF([7]日本!$C$36=1,COUNT([7]日本!$AD$1:$AD$65536),(6-[7]日本!$C$36)*50),1)</definedName>
    <definedName name="日本批发零售数据2">OFFSET([7]日本!$AF$6,1,([7]日本!$B$36-1)*2,IF([7]日本!$C$36=1,COUNT([7]日本!$AD$1:$AD$65536),(6-[7]日本!$C$36)*50),1)</definedName>
    <definedName name="日本消费者信心名称">OFFSET([7]日本!$AZ$6,0,([7]日本!$J$61-1),1,1)</definedName>
    <definedName name="日本消费者信心日期">OFFSET([7]日本!$AY$6,1,0,IF([7]日本!$K$61=1,COUNT([7]日本!$AY$1:$AY$65536),(6-[7]日本!$K$61)*50),1)</definedName>
    <definedName name="日本消费者信心数据">OFFSET([7]日本!$AZ$6,1,[7]日本!$J$61-1,IF([7]日本!$K$61=1,COUNT([7]日本!$AY$1:$AY$65536),(6-[7]日本!$K$61)*50),1)</definedName>
    <definedName name="未来时间">OFFSET([2]重点零售企业销售情况!$AU$1,2,0,COUNT([2]重点零售企业销售情况!$AU:$AU),1)</definedName>
    <definedName name="未来数据">OFFSET([2]重点零售企业销售情况!$AV$1,2,0,COUNT([2]重点零售企业销售情况!$AU:$AU),1)</definedName>
    <definedName name="消费品零售地区名称">OFFSET([2]社会消费品零售情况!$AB$1,0,([2]社会消费品零售情况!$B$26-1),2,1)</definedName>
    <definedName name="消费品零售地区日期">OFFSET([2]社会消费品零售情况!$AA$2,1,0,IF([2]社会消费品零售情况!$C$26=1,COUNT([2]社会消费品零售情况!$AA:$AA),(6-[2]社会消费品零售情况!$C$26)*50),1)</definedName>
    <definedName name="消费品零售地区数据">OFFSET([2]社会消费品零售情况!$AB$1,2,[2]社会消费品零售情况!$B$26-1,IF([2]社会消费品零售情况!$C$26=1,COUNT([2]社会消费品零售情况!$AA:$AA),(6-[2]社会消费品零售情况!$C$26)*50),1)</definedName>
    <definedName name="消费品零售地区同比名称">OFFSET([2]社会消费品零售情况!$BJ$1,0,([2]社会消费品零售情况!$J$26-1),2,1)</definedName>
    <definedName name="消费品零售地区同比日期">OFFSET([2]社会消费品零售情况!$BI$2,1,0,IF([2]社会消费品零售情况!$K$26=1,COUNT([2]社会消费品零售情况!$BI:$BI),(6-[2]社会消费品零售情况!$K$26)*7),1)</definedName>
    <definedName name="消费品零售地区同比数据">OFFSET([2]社会消费品零售情况!$BJ$1,2,[2]社会消费品零售情况!$J$26-1,IF([2]社会消费品零售情况!$K$26=1,COUNT([2]社会消费品零售情况!$BI:$BI),(6-[2]社会消费品零售情况!$K$26)*7),1)</definedName>
    <definedName name="消费品零售分市县名称">OFFSET([2]社会消费品零售情况!$W$1,0,([2]社会消费品零售情况!$J$7-1),2,1)</definedName>
    <definedName name="消费品零售分市县日期">OFFSET([2]社会消费品零售情况!$V$2,1,0,IF([2]社会消费品零售情况!$K$7=1,COUNT([2]社会消费品零售情况!$V:$V),(6-[2]社会消费品零售情况!$K$7)*50),1)</definedName>
    <definedName name="消费品零售分市县数据">OFFSET([2]社会消费品零售情况!$W$1,2,[2]社会消费品零售情况!$J$7-1,IF([2]社会消费品零售情况!$K$7=1,COUNT([2]社会消费品零售情况!$V:$V),(6-[2]社会消费品零售情况!$K$7)*50),1)</definedName>
    <definedName name="消费品零售名称1">OFFSET([2]社会消费品零售情况!$P$1,0,([2]社会消费品零售情况!$B$9-1),2,1)</definedName>
    <definedName name="消费品零售名称2">OFFSET([2]社会消费品零售情况!$R$1,0,([2]社会消费品零售情况!$B$9-1),2,1)</definedName>
    <definedName name="消费品零售日期">OFFSET([2]社会消费品零售情况!$O$2,1,0,IF([2]社会消费品零售情况!$C$9=1,COUNT([2]社会消费品零售情况!$O:$O),(6-[2]社会消费品零售情况!$C$9)*50),1)</definedName>
    <definedName name="消费品零售商品名称">OFFSET([2]社会消费品零售情况!$CQ$1,0,([2]社会消费品零售情况!$B$45-1),2,1)</definedName>
    <definedName name="消费品零售商品日期">OFFSET([2]社会消费品零售情况!$CP$2,1,0,IF([2]社会消费品零售情况!$C$45=1,COUNT([2]社会消费品零售情况!$CP:$CP),(6-[2]社会消费品零售情况!$C$45)*50),1)</definedName>
    <definedName name="消费品零售商品数据">OFFSET([2]社会消费品零售情况!$CQ$1,2,[2]社会消费品零售情况!$B$45-1,IF([2]社会消费品零售情况!$C$45=1,COUNT([2]社会消费品零售情况!$CP:$CP),(6-[2]社会消费品零售情况!$C$45)*50),1)</definedName>
    <definedName name="消费品零售商品同比名称">OFFSET([2]社会消费品零售情况!$DL$1,0,([2]社会消费品零售情况!$J$45-1),2,1)</definedName>
    <definedName name="消费品零售商品同比日期">OFFSET([2]社会消费品零售情况!$DK$2,1,0,IF([2]社会消费品零售情况!$K$45=1,COUNT([2]社会消费品零售情况!$DK:$DK),(6-[2]社会消费品零售情况!$K$45)*30),1)</definedName>
    <definedName name="消费品零售商品同比数据">OFFSET([2]社会消费品零售情况!$DL$1,2,[2]社会消费品零售情况!$J$45-1,IF([2]社会消费品零售情况!$K$45=1,COUNT([2]社会消费品零售情况!$DK:$DK),(6-[2]社会消费品零售情况!$K$45)*7),1)</definedName>
    <definedName name="消费品零售数据1">OFFSET([2]社会消费品零售情况!$P$1,2,[2]社会消费品零售情况!$B$9-1,IF([2]社会消费品零售情况!$C$9=1,COUNT([2]社会消费品零售情况!$O:$O),(6-[2]社会消费品零售情况!$C$9)*50),1)</definedName>
    <definedName name="消费品零售数据2">OFFSET([2]社会消费品零售情况!$R$1,2,[2]社会消费品零售情况!$B$9-1,IF([2]社会消费品零售情况!$C$9=1,COUNT([2]社会消费品零售情况!$O:$O),(6-[2]社会消费品零售情况!$C$9)*50),1)</definedName>
    <definedName name="信心名称">OFFSET([2]重点零售企业销售情况!#REF!,1,([2]重点零售企业销售情况!$B$46-1),2,1)</definedName>
    <definedName name="信心日期">OFFSET([2]重点零售企业销售情况!$AP$2,1,0,IF([2]重点零售企业销售情况!$C$46=1,COUNT([2]重点零售企业销售情况!$AP:$AP),(6-[2]重点零售企业销售情况!$C$46)*20),1)</definedName>
    <definedName name="信心数据">OFFSET([2]重点零售企业销售情况!$AQ$1,2,[2]重点零售企业销售情况!$B$46-1,IF([2]重点零售企业销售情况!$C$46=1,COUNT([2]重点零售企业销售情况!$AP:$AP),(6-[2]重点零售企业销售情况!$C$46)*50),1)</definedName>
    <definedName name="浙商沪杭甬">OFFSET('[8]2.33波动率'!$H$9,1,,COUNTA('[8]2.33波动率'!$H:$H))</definedName>
    <definedName name="中国GDP日期">OFFSET([2]GDP及居民收支情况!$O$2,1,0,COUNT([2]GDP及居民收支情况!$O:$O),1)</definedName>
    <definedName name="中国GDP数据">OFFSET([2]GDP及居民收支情况!$P$2,1,0,COUNT([2]GDP及居民收支情况!$O:$O),1)</definedName>
    <definedName name="中国城镇人均可支配收入数据">OFFSET([2]GDP及居民收支情况!$CG$1,2,0,COUNT([2]GDP及居民收支情况!$CE:$CE),1)</definedName>
    <definedName name="中国城镇人均收入数据">OFFSET([2]GDP及居民收支情况!$CF$1,2,0,COUNT([2]GDP及居民收支情况!$CE:$CE),1)</definedName>
    <definedName name="中国城镇人均消费支出数据">OFFSET([2]GDP及居民收支情况!$CH$1,2,0,COUNT([2]GDP及居民收支情况!$CE:$CE),1)</definedName>
    <definedName name="中国城镇日期">OFFSET([2]GDP及居民收支情况!$CE$1,2,0,COUNT([2]GDP及居民收支情况!$CE:$CE),1)</definedName>
    <definedName name="中国城镇消费分类名称">OFFSET([2]GDP及居民收支情况!$CI$1,0,([2]GDP及居民收支情况!$B$59-1),2,1)</definedName>
    <definedName name="中国城镇消费分类数据">OFFSET([2]GDP及居民收支情况!$CI$1,2,[2]GDP及居民收支情况!$B$59-1,IF([2]GDP及居民收支情况!$C$59=1,COUNT([2]GDP及居民收支情况!$CE:$CE),(6-[2]GDP及居民收支情况!$C$59)*10),1)</definedName>
    <definedName name="中国农村人均现金收入数据">OFFSET([2]GDP及居民收支情况!$CS$1,2,0,COUNT([2]GDP及居民收支情况!$CR:$CR),1)</definedName>
    <definedName name="中国农村人均现金支出数据">OFFSET([2]GDP及居民收支情况!$CT$1,2,0,COUNT([2]GDP及居民收支情况!$CR:$CR),1)</definedName>
    <definedName name="中国农村日期">OFFSET([2]GDP及居民收支情况!$CR$1,2,0,COUNT([2]GDP及居民收支情况!$CR:$CR),1)</definedName>
    <definedName name="中国农村消费分类名称">OFFSET([2]GDP及居民收支情况!$CU$1,0,([2]GDP及居民收支情况!$J$59-1),2,1)</definedName>
    <definedName name="中国农村消费分类数据">OFFSET([2]GDP及居民收支情况!$CU$1,2,[2]GDP及居民收支情况!$J$59-1,IF([2]GDP及居民收支情况!$K$59=1,COUNT([2]GDP及居民收支情况!$CU:$CU),(6-[2]GDP及居民收支情况!$K$59)*10),1)</definedName>
    <definedName name="中国人均GDP日期">OFFSET([2]GDP及居民收支情况!$AW$2,1,0,COUNT([2]GDP及居民收支情况!$AW:$AW),1)</definedName>
    <definedName name="中国人均GDP数据">OFFSET([2]GDP及居民收支情况!$AX$2,1,0,COUNT([2]GDP及居民收支情况!$AW:$AW),1)</definedName>
    <definedName name="中国省市GDP名称">OFFSET([2]GDP及居民收支情况!$Q$1,0,[2]GDP及居民收支情况!$B$23-1,2,1)</definedName>
    <definedName name="中国省市GDP日期">OFFSET([2]GDP及居民收支情况!$O$2,1,0,COUNT([2]GDP及居民收支情况!$O:$O),1)</definedName>
    <definedName name="中国省市GDP数据">OFFSET([2]GDP及居民收支情况!$Q$2,1,[2]GDP及居民收支情况!$B$23-1,COUNT([2]GDP及居民收支情况!$O:$O),1)</definedName>
    <definedName name="中国省市人均GDP名称">OFFSET([2]GDP及居民收支情况!$AY$1,0,[2]GDP及居民收支情况!$J$23-1,2,1)</definedName>
    <definedName name="中国省市人均GDP日期">OFFSET([2]GDP及居民收支情况!$AW$2,1,0,COUNT([2]GDP及居民收支情况!$AW:$AW),1)</definedName>
    <definedName name="中国省市人均GDP数据">OFFSET([2]GDP及居民收支情况!$AY$2,1,[2]GDP及居民收支情况!$J$23-1,COUNT([2]GDP及居民收支情况!$AW:$AW),1)</definedName>
    <definedName name="中国主要零售同店增长名称">OFFSET([2]全球主要零售公司基本情况!$AG$3,0,([2]全球主要零售公司基本情况!$C$30-1),1,1)</definedName>
    <definedName name="中国主要零售同店增长日期">OFFSET([2]全球主要零售公司基本情况!$AF$3,1,0,IF([2]全球主要零售公司基本情况!$D$30=1,COUNT([2]全球主要零售公司基本情况!$AF:$AF),(6-[2]全球主要零售公司基本情况!$D$30)*15),1)</definedName>
    <definedName name="中国主要零售同店增长数据">OFFSET([2]全球主要零售公司基本情况!$AG$3,1,[2]全球主要零售公司基本情况!$C$30-1,IF([2]日本零售情况!$D$11=1,COUNT([2]全球主要零售公司基本情况!$AF:$AF),(6-[2]全球主要零售公司基本情况!$D$30)*15),1)</definedName>
    <definedName name="重点名称">OFFSET([2]重点零售企业销售情况!#REF!,1,([2]重点零售企业销售情况!$J$7-1),2,1)</definedName>
    <definedName name="重点日期">OFFSET([2]重点零售企业销售情况!$W$2,1,0,IF([2]重点零售企业销售情况!$K$7=1,COUNT([2]重点零售企业销售情况!$W:$W),(6-[2]重点零售企业销售情况!$K$7)*15),1)</definedName>
    <definedName name="重点商品名称">OFFSET([2]重点零售企业销售情况!#REF!,1,([2]重点零售企业销售情况!$B$26-1),2,1)</definedName>
    <definedName name="重点商品日期">OFFSET([2]重点零售企业销售情况!$AB$2,1,0,IF([2]重点零售企业销售情况!$C$26=1,COUNT([2]重点零售企业销售情况!$AB:$AB),(6-[2]重点零售企业销售情况!$C$26)*20),1)</definedName>
    <definedName name="重点商品数据">OFFSET([2]重点零售企业销售情况!$AC$1,2,[2]重点零售企业销售情况!$B$26-1,IF([2]重点零售企业销售情况!$C$26=1,COUNT([2]重点零售企业销售情况!$AB:$AB),(6-[2]重点零售企业销售情况!$C$26)*20),1)</definedName>
    <definedName name="重点数据">OFFSET([2]重点零售企业销售情况!$X$1,2,[2]重点零售企业销售情况!$J$7-1,IF([2]重点零售企业销售情况!$K$7=1,COUNT([2]重点零售企业销售情况!$W:$W),(6-[2]重点零售企业销售情况!$K$7)*15),1)</definedName>
  </definedNames>
  <calcPr calcId="191029" iterate="1" calcOnSave="0" concurrentManualCount="3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<sst xmlns="http://schemas.openxmlformats.org/spreadsheetml/2006/main" count="489" uniqueCount="283">
  <si>
    <t>作者</t>
  </si>
  <si>
    <t>分析师：孙伟风</t>
    <phoneticPr fontId="2" type="noConversion"/>
  </si>
  <si>
    <t>执业证书编号：S0930516110003</t>
    <phoneticPr fontId="2" type="noConversion"/>
  </si>
  <si>
    <t>021-52523822</t>
    <phoneticPr fontId="2" type="noConversion"/>
  </si>
  <si>
    <t>sunwf@ebscn.com</t>
    <phoneticPr fontId="2" type="noConversion"/>
  </si>
  <si>
    <t>分析师：吴钰洁</t>
  </si>
  <si>
    <t>执业证书编号：S0930523100001</t>
  </si>
  <si>
    <t>021-52523879</t>
  </si>
  <si>
    <t>wuyujie@ebscn.com</t>
  </si>
  <si>
    <t>REITs名称</t>
  </si>
  <si>
    <t>东吴苏园产业REIT</t>
  </si>
  <si>
    <t>华安张江产业园REIT</t>
  </si>
  <si>
    <t>建信中关村REIT</t>
  </si>
  <si>
    <t>华夏合肥高新REIT</t>
  </si>
  <si>
    <t>华夏和达高科REIT</t>
  </si>
  <si>
    <t>中金湖北科投光谷REIT</t>
  </si>
  <si>
    <t>红土创新盐田港REIT</t>
  </si>
  <si>
    <t>中金普洛斯REIT</t>
  </si>
  <si>
    <t>中金厦门安居REIT</t>
  </si>
  <si>
    <t>华夏北京保障房REIT</t>
  </si>
  <si>
    <t>红土创新深圳安居REIT</t>
  </si>
  <si>
    <t>华夏基金华润有巢REIT</t>
  </si>
  <si>
    <t>富国首创水务REIT</t>
  </si>
  <si>
    <t>中航首钢绿能REIT</t>
  </si>
  <si>
    <t>平安广州广河REIT</t>
  </si>
  <si>
    <t>华夏越秀高速REIT</t>
  </si>
  <si>
    <t>浙商沪杭甬REIT</t>
  </si>
  <si>
    <t>华夏中国交建REIT</t>
  </si>
  <si>
    <t>国金中国铁建REIT</t>
  </si>
  <si>
    <t>华泰江苏交控REIT</t>
  </si>
  <si>
    <t>中金安徽交控REIT</t>
  </si>
  <si>
    <t>中金山东高速REIT</t>
  </si>
  <si>
    <t>鹏华深圳能源REIT</t>
  </si>
  <si>
    <t>中信建投国家电投新能源REIT</t>
  </si>
  <si>
    <t>508027.SH</t>
  </si>
  <si>
    <t>2021-06-21</t>
  </si>
  <si>
    <t>180101.SZ</t>
  </si>
  <si>
    <t>508000.SH</t>
  </si>
  <si>
    <t>508099.SH</t>
  </si>
  <si>
    <t>2021-12-17</t>
  </si>
  <si>
    <t>180102.SZ</t>
  </si>
  <si>
    <t>2022-10-10</t>
  </si>
  <si>
    <t>508021.SH</t>
  </si>
  <si>
    <t>2022-10-13</t>
  </si>
  <si>
    <t>508088.SH</t>
  </si>
  <si>
    <t>2022-10-14</t>
  </si>
  <si>
    <t>180103.SZ</t>
  </si>
  <si>
    <t>2022-12-27</t>
  </si>
  <si>
    <t>508019.SH</t>
  </si>
  <si>
    <t>2023-06-30</t>
  </si>
  <si>
    <t>180301.SZ</t>
  </si>
  <si>
    <t>508056.SH</t>
  </si>
  <si>
    <t>508098.SH</t>
  </si>
  <si>
    <t>2023-02-08</t>
  </si>
  <si>
    <t>508058.SH</t>
  </si>
  <si>
    <t>2022-08-31</t>
  </si>
  <si>
    <t>508068.SH</t>
  </si>
  <si>
    <t>180501.SZ</t>
  </si>
  <si>
    <t>508077.SH</t>
  </si>
  <si>
    <t>2022-12-09</t>
  </si>
  <si>
    <t>508031.SH</t>
  </si>
  <si>
    <t>2024-01-12</t>
  </si>
  <si>
    <t>508006.SH</t>
  </si>
  <si>
    <t>180801.SZ</t>
  </si>
  <si>
    <t>180201.SZ</t>
  </si>
  <si>
    <t>180202.SZ</t>
  </si>
  <si>
    <t>2021-12-14</t>
  </si>
  <si>
    <t>508001.SH</t>
  </si>
  <si>
    <t>508018.SH</t>
  </si>
  <si>
    <t>2022-04-28</t>
  </si>
  <si>
    <t>508008.SH</t>
  </si>
  <si>
    <t>2022-07-08</t>
  </si>
  <si>
    <t>508066.SH</t>
  </si>
  <si>
    <t>2022-11-15</t>
  </si>
  <si>
    <t>508009.SH</t>
  </si>
  <si>
    <t>2022-11-22</t>
  </si>
  <si>
    <t>508007.SH</t>
  </si>
  <si>
    <t>2023-10-27</t>
  </si>
  <si>
    <t>180401.SZ</t>
  </si>
  <si>
    <t>2022-07-26</t>
  </si>
  <si>
    <t>508028.SH</t>
  </si>
  <si>
    <t>2023-03-29</t>
  </si>
  <si>
    <t>508096.SH</t>
  </si>
  <si>
    <t>-</t>
  </si>
  <si>
    <t>508011.SH</t>
  </si>
  <si>
    <t>2024-03-12</t>
  </si>
  <si>
    <t>508017.SH</t>
  </si>
  <si>
    <t>180601.SZ</t>
  </si>
  <si>
    <t>2024-03-14</t>
  </si>
  <si>
    <t>508026.SH</t>
  </si>
  <si>
    <t>2024-03-28</t>
  </si>
  <si>
    <t>508033.SH</t>
  </si>
  <si>
    <t>2024-03-29</t>
  </si>
  <si>
    <t>180602.SZ</t>
  </si>
  <si>
    <t>2024-04-30</t>
  </si>
  <si>
    <t>508086.SH</t>
  </si>
  <si>
    <t>2024-06-28</t>
  </si>
  <si>
    <t>508089.SH</t>
  </si>
  <si>
    <t>2024-07-02</t>
  </si>
  <si>
    <t>180302.SZ</t>
  </si>
  <si>
    <t>2024-07-09</t>
  </si>
  <si>
    <t>508015.SH</t>
  </si>
  <si>
    <t>2024-07-23</t>
  </si>
  <si>
    <t>508002.SH</t>
  </si>
  <si>
    <t>2024-08-16</t>
  </si>
  <si>
    <t>2024-08-28</t>
  </si>
  <si>
    <t>508022.SH</t>
  </si>
  <si>
    <t>2024-09-19</t>
  </si>
  <si>
    <t>180603.SZ</t>
  </si>
  <si>
    <t>2024-09-20</t>
  </si>
  <si>
    <t>180105.SZ</t>
  </si>
  <si>
    <t>2024-09-23</t>
  </si>
  <si>
    <t>180502.SZ</t>
  </si>
  <si>
    <t>2024-10-23</t>
  </si>
  <si>
    <t>中金联东科创REIT</t>
  </si>
  <si>
    <t>2024-11-05</t>
  </si>
  <si>
    <t>2024-12-03</t>
  </si>
  <si>
    <t>2024-12-11</t>
  </si>
  <si>
    <t>广发成都高投产业园REIT</t>
  </si>
  <si>
    <t>2024-12-19</t>
  </si>
  <si>
    <t>2024-12-31</t>
  </si>
  <si>
    <t>2024-10-29</t>
  </si>
  <si>
    <t>2024-12-25</t>
  </si>
  <si>
    <t>2024-11-21</t>
  </si>
  <si>
    <t>2024-11-01</t>
  </si>
  <si>
    <t>2024-12-26</t>
  </si>
  <si>
    <t>2024-12-10</t>
  </si>
  <si>
    <t>2024-11-08</t>
  </si>
  <si>
    <t>508003.SH</t>
  </si>
  <si>
    <t>508097.SH</t>
  </si>
  <si>
    <t>508010.SH</t>
  </si>
  <si>
    <t>180106.SZ</t>
  </si>
  <si>
    <t>508012.SH</t>
  </si>
  <si>
    <t>180303.SZ</t>
  </si>
  <si>
    <t>508048.SH</t>
  </si>
  <si>
    <t>180203.SZ</t>
  </si>
  <si>
    <t>508069.SH</t>
  </si>
  <si>
    <t>508036.SH</t>
  </si>
  <si>
    <t>180402.SZ</t>
  </si>
  <si>
    <t>180701.SZ</t>
  </si>
  <si>
    <t>REITs代码</t>
  </si>
  <si>
    <t>REITs资产类型</t>
  </si>
  <si>
    <t>上市日期</t>
  </si>
  <si>
    <t>发行价（元/份）</t>
  </si>
  <si>
    <t>基准日收盘价（元/份）</t>
  </si>
  <si>
    <t>市值（亿元）</t>
  </si>
  <si>
    <t>基准日涨跌幅</t>
  </si>
  <si>
    <t>累计涨跌幅</t>
  </si>
  <si>
    <t>可供分配收益率（以基准日市值为基数）</t>
  </si>
  <si>
    <t>可供分配收益率与10年期国债收益率价差</t>
  </si>
  <si>
    <t>IRR</t>
  </si>
  <si>
    <t>P/NAV</t>
  </si>
  <si>
    <t>园区基础设施</t>
  </si>
  <si>
    <t>博时津开产园REIT</t>
  </si>
  <si>
    <t>易方达广开产园REIT</t>
  </si>
  <si>
    <t>华泰南京建邺REIT</t>
  </si>
  <si>
    <t>中金重庆两江REIT</t>
  </si>
  <si>
    <t>招商科创REIT</t>
  </si>
  <si>
    <t>仓储物流</t>
  </si>
  <si>
    <t>嘉实京东仓储基础设施REIT</t>
  </si>
  <si>
    <t>华夏深国际REIT</t>
  </si>
  <si>
    <t>华泰宝湾物流REIT</t>
  </si>
  <si>
    <t>华安外高桥REIT</t>
  </si>
  <si>
    <t>保障性租赁住房</t>
  </si>
  <si>
    <t>招商基金蛇口租赁住房REIT</t>
  </si>
  <si>
    <t>嘉实物美消费REIT</t>
  </si>
  <si>
    <t>消费基础设施</t>
  </si>
  <si>
    <t>中金印力消费REIT</t>
  </si>
  <si>
    <t>华安百联消费REIT</t>
  </si>
  <si>
    <t>508005.SH</t>
  </si>
  <si>
    <t>华夏首创奥莱REIT</t>
  </si>
  <si>
    <t>交通基础设施</t>
  </si>
  <si>
    <t>易方达深高速REIT</t>
  </si>
  <si>
    <t>工银河北高速REIT</t>
  </si>
  <si>
    <t>招商高速公路REIT</t>
  </si>
  <si>
    <t>华夏南京交通高速公路REIT</t>
  </si>
  <si>
    <t>平安宁波交投REIT</t>
  </si>
  <si>
    <t>嘉实中国电建清洁能源REIT</t>
  </si>
  <si>
    <t>中信建投明阳智能新能源REIT</t>
  </si>
  <si>
    <t>工银蒙能清洁能源REIT</t>
  </si>
  <si>
    <t>银华绍兴原水水利REIT</t>
  </si>
  <si>
    <t>508078.SH</t>
  </si>
  <si>
    <t>中航易商仓储物流REIT</t>
  </si>
  <si>
    <t>2025-01-24</t>
  </si>
  <si>
    <t>180605.SZ</t>
  </si>
  <si>
    <t>易方达华威市场REIT</t>
  </si>
  <si>
    <t>生态环保、市政及水利</t>
  </si>
  <si>
    <t>508087.SH</t>
  </si>
  <si>
    <t>2025-02-17</t>
  </si>
  <si>
    <t>508092.SH</t>
  </si>
  <si>
    <t>华夏金隅智造工场REIT</t>
  </si>
  <si>
    <t>2025-02-26</t>
  </si>
  <si>
    <t>508084.SH</t>
  </si>
  <si>
    <t>汇添富九州通医药REIT</t>
  </si>
  <si>
    <t>2025-02-27</t>
  </si>
  <si>
    <t>508055.SH</t>
  </si>
  <si>
    <t>汇添富上海地产租赁住房REIT</t>
  </si>
  <si>
    <t>2025-03-31</t>
  </si>
  <si>
    <t>180305.SZ</t>
  </si>
  <si>
    <t>南方顺丰物流REIT</t>
  </si>
  <si>
    <t>2025-04-21</t>
  </si>
  <si>
    <t>华夏特变电工新能源REIT</t>
  </si>
  <si>
    <t>508085.SH</t>
  </si>
  <si>
    <t>2025-05-21</t>
  </si>
  <si>
    <t>508080.SH</t>
  </si>
  <si>
    <t>中金亦庄产业园REIT</t>
  </si>
  <si>
    <t>2025-06-26</t>
  </si>
  <si>
    <t>180606.SZ</t>
  </si>
  <si>
    <t>2025-06-27</t>
  </si>
  <si>
    <t>508039.SH</t>
  </si>
  <si>
    <t>创金合信首农REIT</t>
  </si>
  <si>
    <t>2025-07-25</t>
  </si>
  <si>
    <t>508090.SH</t>
  </si>
  <si>
    <t>中银中外运仓储物流REIT</t>
  </si>
  <si>
    <t>2025-07-29</t>
  </si>
  <si>
    <t>508016.SH</t>
  </si>
  <si>
    <t>华夏华电清洁能源REIT</t>
  </si>
  <si>
    <t>2025-08-01</t>
  </si>
  <si>
    <t>180901.SZ</t>
  </si>
  <si>
    <t>南方润泽科技数据中心REIT</t>
  </si>
  <si>
    <t>数据中心</t>
  </si>
  <si>
    <t>508060.SH</t>
  </si>
  <si>
    <t>南方万国数据中心REIT</t>
  </si>
  <si>
    <t>风险提示：因数据来源或统计方法导致结果可能存在误差</t>
  </si>
  <si>
    <t>508082.SH</t>
  </si>
  <si>
    <t>中金唯品会奥莱REIT</t>
  </si>
  <si>
    <t>2025-09-12</t>
  </si>
  <si>
    <t>国泰海通临港创新产业园REIT</t>
  </si>
  <si>
    <t>国泰海通东久新经济REIT</t>
  </si>
  <si>
    <t>国泰海通城投宽庭保租房REIT</t>
  </si>
  <si>
    <t>508091.SH</t>
  </si>
  <si>
    <t>2025-09-29</t>
  </si>
  <si>
    <t>国泰海通济南能源供热REIT</t>
  </si>
  <si>
    <t>华泰苏州恒泰租赁住房REIT</t>
  </si>
  <si>
    <t>180607.SZ</t>
  </si>
  <si>
    <t>2025-10-31</t>
  </si>
  <si>
    <t>中信建投沈阳国际软件园REIT</t>
  </si>
  <si>
    <t>2025-11-06</t>
  </si>
  <si>
    <t>180306.SZ</t>
  </si>
  <si>
    <t>华夏安博仓储REIT</t>
  </si>
  <si>
    <t>2025-12-19</t>
  </si>
  <si>
    <t>2026年以来涨跌幅</t>
  </si>
  <si>
    <t>博时蛇口产园REIT</t>
  </si>
  <si>
    <t>508050.SH</t>
  </si>
  <si>
    <t>华夏中核清洁能源REIT</t>
  </si>
  <si>
    <t>2026-02-02</t>
  </si>
  <si>
    <t>中航京能国际能源REIT</t>
  </si>
  <si>
    <t>508029.SH</t>
  </si>
  <si>
    <t>508020.SH</t>
  </si>
  <si>
    <t>东方红隧道股份高速公路REIT</t>
  </si>
  <si>
    <t>2026-04-22</t>
  </si>
  <si>
    <t>2026Q1收入同比</t>
  </si>
  <si>
    <t>2026Q1收入达标率</t>
  </si>
  <si>
    <t>2026Q1可供分配同比</t>
  </si>
  <si>
    <t>2026Q1可供分配达标率</t>
  </si>
  <si>
    <t/>
  </si>
  <si>
    <t>资料来源：wind，中债金融估值中心，各REIT公告，光大证券研究所
注：
1）基准日为标题日期，假设实现的可供分配收益分红率为100%；可供分配收益率（以基准日市值为基数）=各REITs的可供分配收益/基准日市值，披露26年预计可供分配收益的REITs使用26年预计可供分配收益（年化），未披露26年预计可供分配收益的使用过去四个季度（25Q2-26Q1)的可供分配收益，如不满四个季度则依据年内累计值进行年化处理。
2）IRR取自基准日中债流通公募REITs份额估值收益率；收盘价为后复权价格；
3）累计涨跌幅=基准日收盘价（后复权）/发行价-1；2026年以来的涨跌幅计算中不含上市首日涨跌幅，如为上市当日，则该涨跌幅为上市日涨跌幅；
4）可供分配金额达标率=各REITs当季实现的可供分配金额之和/当年预计可供分配金额，未披露26年预计可供分配收益的,不予计算，收入达标金额同理;
5)  NAV计算中，对于产权类产品， 发布25年年报的REITs，NAV=（25年净资产+最近一期资产估值-25年投资性房地产）/发行总份额，数据中心REIT的NAV直接取25年年报中披露的期末不动产基金份额公允价值参考净值；对于经营权产品，发布25年评估报告的，NAV=NAV=（25年净资产+25年资产估值-25年资产账面价值）/发行总份额。未发布25年年报的REITs，NAV=拟发行规模/发行总份额。</t>
  </si>
  <si>
    <t>180503.SZ</t>
  </si>
  <si>
    <t>中航北京昌保租赁住房REIT</t>
  </si>
  <si>
    <t>2026-04-29</t>
  </si>
  <si>
    <t>华夏金茂消费REIT</t>
  </si>
  <si>
    <t>华夏华润消费REIT</t>
  </si>
  <si>
    <t>华夏大悦城消费REIT</t>
  </si>
  <si>
    <t>中金中国绿发消费REIT</t>
  </si>
  <si>
    <t>华夏凯德消费REIT</t>
  </si>
  <si>
    <t>华夏中海消费REIT</t>
  </si>
  <si>
    <t>能源基础设施</t>
  </si>
  <si>
    <t>508093.SH</t>
  </si>
  <si>
    <t>易方达广西北投高速REIT</t>
  </si>
  <si>
    <t>2026-05-26</t>
  </si>
  <si>
    <t>508602.SH</t>
  </si>
  <si>
    <t>国泰海通砂之船商业REIT</t>
  </si>
  <si>
    <t>商业不动产</t>
  </si>
  <si>
    <t>2026-06-18</t>
  </si>
  <si>
    <t>508603.SH</t>
  </si>
  <si>
    <t>中金唯品会商业REIT</t>
  </si>
  <si>
    <t>508601.SH</t>
  </si>
  <si>
    <t>中信建投首农商业REIT</t>
  </si>
  <si>
    <t>508600.SH</t>
  </si>
  <si>
    <t>汇添富上海地产商业REIT</t>
  </si>
  <si>
    <t>s</t>
    <phoneticPr fontId="2" type="noConversion"/>
  </si>
  <si>
    <t>【光大建筑建材及新兴产业】公募REITs估值跟踪-20260717</t>
  </si>
  <si>
    <t>2026年7月17日，中证REITs全收益指数环比下降0.52%，收于970.0；市场总成交金额环比下降18.8%，为4.16亿元；换手率为0.37%，环比下降0.04pct；汇添富上海地产租赁住房REIT涨幅最高，环比上涨1.08%。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</si>
</sst>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76" formatCode="0.0%"/>
    <numFmt numFmtId="177" formatCode="[$-F800]dddd\,\ mmmm\ dd\,\ yyyy"/>
    <numFmt numFmtId="178" formatCode="###,###,##0.00"/>
    <numFmt numFmtId="179" formatCode="0.00_);[Red]\(0.00\)"/>
    <numFmt numFmtId="180" formatCode="yyyy\-mm\-dd;@"/>
  </numFmts>
  <fonts count="27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0"/>
      <name val="思源黑体（修正）CN Regular"/>
      <family val="2"/>
      <charset val="134"/>
    </font>
    <font>
      <sz val="11"/>
      <color indexed="20"/>
      <name val="等线"/>
      <family val="3"/>
      <charset val="134"/>
    </font>
    <font>
      <sz val="10"/>
      <name val="Arial"/>
      <family val="2"/>
    </font>
    <font>
      <u/>
      <sz val="11"/>
      <color theme="10"/>
      <name val="宋体"/>
      <family val="2"/>
      <charset val="134"/>
      <scheme val="minor"/>
    </font>
    <font>
      <sz val="11"/>
      <color indexed="17"/>
      <name val="等线"/>
      <family val="3"/>
      <charset val="134"/>
    </font>
    <font>
      <sz val="11"/>
      <color theme="1"/>
      <name val="思源黑体（修正）CN Regular"/>
      <family val="2"/>
      <charset val="134"/>
    </font>
    <font>
      <sz val="11"/>
      <color theme="1"/>
      <name val="宋体"/>
      <family val="2"/>
      <scheme val="minor"/>
    </font>
    <font>
      <b/>
      <sz val="7.5"/>
      <color rgb="FFFFFFFF"/>
      <name val="思源黑体（修正）CN Regular"/>
      <family val="2"/>
      <charset val="134"/>
    </font>
    <font>
      <sz val="7.5"/>
      <color rgb="FF000000"/>
      <name val="思源黑体（修正）CN Regular"/>
      <family val="2"/>
      <charset val="134"/>
    </font>
    <font>
      <sz val="6.5"/>
      <color rgb="FF000000"/>
      <name val="思源黑体（修正）CN Regular"/>
      <family val="2"/>
      <charset val="134"/>
    </font>
    <font>
      <b/>
      <sz val="11"/>
      <color rgb="FFFFFFFF"/>
      <name val="思源黑体（修正）CN Regular"/>
      <family val="2"/>
      <charset val="134"/>
    </font>
    <font>
      <b/>
      <sz val="11"/>
      <color rgb="FF000000"/>
      <name val="思源黑体（修正）CN Regular"/>
      <family val="2"/>
      <charset val="134"/>
    </font>
    <font>
      <sz val="11"/>
      <color rgb="FF000000"/>
      <name val="思源黑体（修正）CN Regular"/>
      <family val="2"/>
      <charset val="134"/>
    </font>
    <font>
      <b/>
      <sz val="14"/>
      <color rgb="FFFFFFFF"/>
      <name val="思源黑体（修正）CN Regular"/>
      <family val="2"/>
      <charset val="134"/>
    </font>
    <font>
      <sz val="11"/>
      <color indexed="8"/>
      <name val="宋体"/>
      <family val="2"/>
      <scheme val="minor"/>
    </font>
    <font>
      <sz val="8"/>
      <color theme="1"/>
      <name val="思源黑体（修正）CN Regular"/>
      <family val="2"/>
      <charset val="134"/>
    </font>
    <font>
      <sz val="10"/>
      <color rgb="FF000000"/>
      <name val="思源黑体（修正）CN Regular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theme="1"/>
      <name val="楷体"/>
      <family val="3"/>
      <charset val="134"/>
    </font>
    <font>
      <sz val="11"/>
      <color indexed="8"/>
      <name val="宋体"/>
      <family val="3"/>
      <charset val="134"/>
      <scheme val="minor"/>
    </font>
    <font>
      <sz val="7.5"/>
      <color rgb="FF000000"/>
      <name val="宋体"/>
      <family val="2"/>
      <charset val="134"/>
    </font>
    <font>
      <sz val="7.5"/>
      <color theme="1"/>
      <name val="思源黑体（修正）CN Regular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C643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7F7F7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2">
    <xf numFmtId="177" fontId="0" fillId="0" borderId="0">
      <alignment vertical="center"/>
    </xf>
    <xf numFmtId="177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5" fillId="4" borderId="0" applyNumberFormat="0" applyBorder="0" applyAlignment="0" applyProtection="0">
      <alignment vertical="center"/>
    </xf>
    <xf numFmtId="177" fontId="6" fillId="0" borderId="0"/>
    <xf numFmtId="177" fontId="7" fillId="0" borderId="0" applyNumberFormat="0" applyFill="0" applyBorder="0" applyAlignment="0" applyProtection="0">
      <alignment vertical="center"/>
    </xf>
    <xf numFmtId="177" fontId="8" fillId="5" borderId="0" applyNumberFormat="0" applyBorder="0" applyAlignment="0" applyProtection="0">
      <alignment vertical="center"/>
    </xf>
    <xf numFmtId="177" fontId="10" fillId="0" borderId="0"/>
    <xf numFmtId="9" fontId="10" fillId="0" borderId="0" applyFont="0" applyFill="0" applyBorder="0" applyAlignment="0" applyProtection="0">
      <alignment vertical="center"/>
    </xf>
    <xf numFmtId="177" fontId="1" fillId="0" borderId="0"/>
    <xf numFmtId="9" fontId="1" fillId="0" borderId="0" applyFont="0" applyFill="0" applyBorder="0" applyAlignment="0" applyProtection="0">
      <alignment vertical="center"/>
    </xf>
    <xf numFmtId="177" fontId="1" fillId="0" borderId="0"/>
    <xf numFmtId="177" fontId="18" fillId="0" borderId="0">
      <alignment vertical="center"/>
    </xf>
    <xf numFmtId="177" fontId="21" fillId="0" borderId="0"/>
    <xf numFmtId="9" fontId="2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24" fillId="0" borderId="0">
      <alignment vertical="center"/>
    </xf>
    <xf numFmtId="177" fontId="2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24" fillId="0" borderId="0">
      <alignment vertical="center"/>
    </xf>
    <xf numFmtId="0" fontId="23" fillId="0" borderId="0">
      <alignment vertical="center"/>
    </xf>
    <xf numFmtId="177" fontId="24" fillId="0" borderId="0">
      <alignment vertical="center"/>
    </xf>
    <xf numFmtId="177" fontId="3" fillId="0" borderId="0"/>
    <xf numFmtId="177" fontId="23" fillId="0" borderId="0">
      <alignment vertical="center"/>
    </xf>
    <xf numFmtId="0" fontId="22" fillId="0" borderId="0">
      <alignment vertical="center"/>
    </xf>
    <xf numFmtId="177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23" fillId="0" borderId="0">
      <alignment vertical="center"/>
    </xf>
    <xf numFmtId="0" fontId="18" fillId="0" borderId="0">
      <alignment vertical="center"/>
    </xf>
  </cellStyleXfs>
  <cellXfs count="52">
    <xf numFmtId="177" fontId="0" fillId="0" borderId="0" xfId="0">
      <alignment vertical="center"/>
    </xf>
    <xf numFmtId="177" fontId="9" fillId="3" borderId="0" xfId="0" applyFont="1" applyFill="1" applyAlignment="1"/>
    <xf numFmtId="177" fontId="14" fillId="2" borderId="0" xfId="0" applyFont="1" applyFill="1" applyAlignment="1">
      <alignment vertical="center" wrapText="1"/>
    </xf>
    <xf numFmtId="177" fontId="15" fillId="3" borderId="0" xfId="0" applyFont="1" applyFill="1">
      <alignment vertical="center"/>
    </xf>
    <xf numFmtId="177" fontId="16" fillId="3" borderId="0" xfId="0" applyFont="1" applyFill="1">
      <alignment vertical="center"/>
    </xf>
    <xf numFmtId="177" fontId="9" fillId="3" borderId="0" xfId="0" applyFont="1" applyFill="1" applyAlignment="1">
      <alignment horizontal="justify" vertical="center"/>
    </xf>
    <xf numFmtId="177" fontId="15" fillId="3" borderId="0" xfId="0" applyFont="1" applyFill="1" applyAlignment="1">
      <alignment horizontal="left" vertical="center"/>
    </xf>
    <xf numFmtId="177" fontId="16" fillId="3" borderId="0" xfId="0" applyFont="1" applyFill="1" applyAlignment="1">
      <alignment horizontal="left" vertical="center"/>
    </xf>
    <xf numFmtId="177" fontId="0" fillId="3" borderId="0" xfId="0" applyFill="1">
      <alignment vertical="center"/>
    </xf>
    <xf numFmtId="179" fontId="0" fillId="3" borderId="0" xfId="0" applyNumberFormat="1" applyFill="1">
      <alignment vertical="center"/>
    </xf>
    <xf numFmtId="176" fontId="12" fillId="7" borderId="0" xfId="2" applyNumberFormat="1" applyFont="1" applyFill="1" applyBorder="1" applyAlignment="1">
      <alignment horizontal="center" vertical="center"/>
    </xf>
    <xf numFmtId="179" fontId="19" fillId="7" borderId="1" xfId="13" applyNumberFormat="1" applyFont="1" applyFill="1" applyBorder="1" applyAlignment="1">
      <alignment horizontal="center"/>
    </xf>
    <xf numFmtId="178" fontId="12" fillId="7" borderId="2" xfId="13" applyNumberFormat="1" applyFont="1" applyFill="1" applyBorder="1" applyAlignment="1">
      <alignment horizontal="center" vertical="center"/>
    </xf>
    <xf numFmtId="179" fontId="12" fillId="7" borderId="2" xfId="13" applyNumberFormat="1" applyFont="1" applyFill="1" applyBorder="1" applyAlignment="1">
      <alignment horizontal="center" vertical="center"/>
    </xf>
    <xf numFmtId="180" fontId="12" fillId="7" borderId="2" xfId="13" applyNumberFormat="1" applyFont="1" applyFill="1" applyBorder="1" applyAlignment="1">
      <alignment horizontal="center" vertical="center"/>
    </xf>
    <xf numFmtId="176" fontId="12" fillId="7" borderId="2" xfId="2" applyNumberFormat="1" applyFont="1" applyFill="1" applyBorder="1" applyAlignment="1">
      <alignment horizontal="center" vertical="center"/>
    </xf>
    <xf numFmtId="176" fontId="12" fillId="3" borderId="2" xfId="2" applyNumberFormat="1" applyFont="1" applyFill="1" applyBorder="1" applyAlignment="1">
      <alignment horizontal="center" vertical="center"/>
    </xf>
    <xf numFmtId="176" fontId="12" fillId="7" borderId="5" xfId="2" applyNumberFormat="1" applyFont="1" applyFill="1" applyBorder="1" applyAlignment="1">
      <alignment horizontal="center" vertical="center"/>
    </xf>
    <xf numFmtId="176" fontId="12" fillId="3" borderId="3" xfId="2" applyNumberFormat="1" applyFont="1" applyFill="1" applyBorder="1" applyAlignment="1">
      <alignment horizontal="center" vertical="center"/>
    </xf>
    <xf numFmtId="179" fontId="12" fillId="7" borderId="2" xfId="2" applyNumberFormat="1" applyFont="1" applyFill="1" applyBorder="1" applyAlignment="1">
      <alignment horizontal="center" vertical="center"/>
    </xf>
    <xf numFmtId="179" fontId="11" fillId="2" borderId="1" xfId="13" applyNumberFormat="1" applyFont="1" applyFill="1" applyBorder="1" applyAlignment="1">
      <alignment horizontal="center" vertical="center" wrapText="1"/>
    </xf>
    <xf numFmtId="178" fontId="26" fillId="7" borderId="2" xfId="13" applyNumberFormat="1" applyFont="1" applyFill="1" applyBorder="1" applyAlignment="1">
      <alignment horizontal="center" vertical="center"/>
    </xf>
    <xf numFmtId="179" fontId="26" fillId="7" borderId="2" xfId="2" applyNumberFormat="1" applyFont="1" applyFill="1" applyBorder="1" applyAlignment="1">
      <alignment horizontal="center" vertical="center"/>
    </xf>
    <xf numFmtId="179" fontId="12" fillId="7" borderId="2" xfId="21" applyNumberFormat="1" applyFont="1" applyFill="1" applyBorder="1" applyAlignment="1">
      <alignment horizontal="center" vertical="center"/>
    </xf>
    <xf numFmtId="176" fontId="11" fillId="2" borderId="2" xfId="13" applyNumberFormat="1" applyFont="1" applyFill="1" applyBorder="1" applyAlignment="1">
      <alignment horizontal="center" vertical="center" wrapText="1"/>
    </xf>
    <xf numFmtId="177" fontId="0" fillId="3" borderId="0" xfId="0" applyFill="1" applyAlignment="1">
      <alignment horizontal="center" vertical="center"/>
    </xf>
    <xf numFmtId="176" fontId="12" fillId="7" borderId="4" xfId="2" applyNumberFormat="1" applyFont="1" applyFill="1" applyBorder="1" applyAlignment="1">
      <alignment horizontal="center" vertical="center"/>
    </xf>
    <xf numFmtId="176" fontId="12" fillId="7" borderId="0" xfId="2" applyNumberFormat="1" applyFont="1" applyFill="1" applyBorder="1" applyAlignment="1">
      <alignment horizontal="center" vertical="center"/>
    </xf>
    <xf numFmtId="177" fontId="17" fillId="2" borderId="10" xfId="13" applyNumberFormat="1" applyFont="1" applyFill="1" applyBorder="1" applyAlignment="1">
      <alignment horizontal="center" vertical="center" wrapText="1"/>
    </xf>
    <xf numFmtId="177" fontId="17" fillId="2" borderId="9" xfId="13" applyNumberFormat="1" applyFont="1" applyFill="1" applyBorder="1" applyAlignment="1">
      <alignment horizontal="center" vertical="center" wrapText="1"/>
    </xf>
    <xf numFmtId="177" fontId="17" fillId="2" borderId="11" xfId="13" applyNumberFormat="1" applyFont="1" applyFill="1" applyBorder="1" applyAlignment="1">
      <alignment horizontal="center" vertical="center" wrapText="1"/>
    </xf>
    <xf numFmtId="177" fontId="20" fillId="6" borderId="4" xfId="13" applyNumberFormat="1" applyFont="1" applyFill="1" applyBorder="1" applyAlignment="1">
      <alignment horizontal="left" vertical="center" wrapText="1"/>
    </xf>
    <xf numFmtId="177" fontId="20" fillId="6" borderId="0" xfId="13" applyNumberFormat="1" applyFont="1" applyFill="1" applyAlignment="1">
      <alignment horizontal="left" vertical="center" wrapText="1"/>
    </xf>
    <xf numFmtId="177" fontId="20" fillId="6" borderId="5" xfId="13" applyNumberFormat="1" applyFont="1" applyFill="1" applyBorder="1" applyAlignment="1">
      <alignment horizontal="left" vertical="center" wrapText="1"/>
    </xf>
    <xf numFmtId="177" fontId="11" fillId="2" borderId="2" xfId="13" applyNumberFormat="1" applyFont="1" applyFill="1" applyBorder="1" applyAlignment="1">
      <alignment horizontal="center" vertical="center" wrapText="1"/>
    </xf>
    <xf numFmtId="177" fontId="11" fillId="2" borderId="2" xfId="24" applyNumberFormat="1" applyFont="1" applyFill="1" applyBorder="1" applyAlignment="1">
      <alignment horizontal="center" vertical="center" wrapText="1"/>
    </xf>
    <xf numFmtId="177" fontId="11" fillId="2" borderId="3" xfId="13" applyNumberFormat="1" applyFont="1" applyFill="1" applyBorder="1" applyAlignment="1">
      <alignment horizontal="center" vertical="center" wrapText="1"/>
    </xf>
    <xf numFmtId="177" fontId="12" fillId="7" borderId="2" xfId="13" applyNumberFormat="1" applyFont="1" applyFill="1" applyBorder="1" applyAlignment="1">
      <alignment horizontal="center" vertical="center"/>
    </xf>
    <xf numFmtId="177" fontId="12" fillId="7" borderId="7" xfId="13" applyNumberFormat="1" applyFont="1" applyFill="1" applyBorder="1" applyAlignment="1">
      <alignment horizontal="center" vertical="center"/>
    </xf>
    <xf numFmtId="177" fontId="12" fillId="7" borderId="8" xfId="13" applyNumberFormat="1" applyFont="1" applyFill="1" applyBorder="1" applyAlignment="1">
      <alignment horizontal="center" vertical="center"/>
    </xf>
    <xf numFmtId="177" fontId="12" fillId="7" borderId="6" xfId="13" applyNumberFormat="1" applyFont="1" applyFill="1" applyBorder="1" applyAlignment="1">
      <alignment horizontal="center" vertical="center"/>
    </xf>
    <xf numFmtId="177" fontId="12" fillId="7" borderId="2" xfId="13" applyNumberFormat="1" applyFont="1" applyFill="1" applyBorder="1" applyAlignment="1">
      <alignment horizontal="center" vertical="center"/>
    </xf>
    <xf numFmtId="177" fontId="25" fillId="7" borderId="2" xfId="13" applyNumberFormat="1" applyFont="1" applyFill="1" applyBorder="1" applyAlignment="1">
      <alignment horizontal="center" vertical="center"/>
    </xf>
    <xf numFmtId="177" fontId="12" fillId="7" borderId="2" xfId="13" applyNumberFormat="1" applyFont="1" applyFill="1" applyBorder="1" applyAlignment="1">
      <alignment horizontal="center" vertical="center" wrapText="1"/>
    </xf>
    <xf numFmtId="177" fontId="26" fillId="7" borderId="2" xfId="13" applyNumberFormat="1" applyFont="1" applyFill="1" applyBorder="1" applyAlignment="1">
      <alignment horizontal="center" vertical="center"/>
    </xf>
    <xf numFmtId="177" fontId="12" fillId="7" borderId="2" xfId="21" applyNumberFormat="1" applyFont="1" applyFill="1" applyBorder="1" applyAlignment="1">
      <alignment horizontal="center" vertical="center"/>
    </xf>
    <xf numFmtId="177" fontId="13" fillId="7" borderId="1" xfId="13" applyNumberFormat="1" applyFont="1" applyFill="1" applyBorder="1" applyAlignment="1">
      <alignment horizontal="left" vertical="center" wrapText="1"/>
    </xf>
    <xf numFmtId="177" fontId="13" fillId="7" borderId="2" xfId="13" applyNumberFormat="1" applyFont="1" applyFill="1" applyBorder="1" applyAlignment="1">
      <alignment horizontal="left" vertical="center" wrapText="1"/>
    </xf>
    <xf numFmtId="177" fontId="13" fillId="7" borderId="3" xfId="13" applyNumberFormat="1" applyFont="1" applyFill="1" applyBorder="1" applyAlignment="1">
      <alignment horizontal="left" vertical="center" wrapText="1"/>
    </xf>
    <xf numFmtId="177" fontId="4" fillId="2" borderId="12" xfId="17" applyNumberFormat="1" applyFont="1" applyFill="1" applyBorder="1" applyAlignment="1">
      <alignment horizontal="left" vertical="center"/>
    </xf>
    <xf numFmtId="177" fontId="4" fillId="2" borderId="13" xfId="17" applyNumberFormat="1" applyFont="1" applyFill="1" applyBorder="1" applyAlignment="1">
      <alignment horizontal="left" vertical="center"/>
    </xf>
    <xf numFmtId="177" fontId="4" fillId="2" borderId="14" xfId="17" applyNumberFormat="1" applyFont="1" applyFill="1" applyBorder="1" applyAlignment="1">
      <alignment horizontal="left" vertical="center"/>
    </xf>
  </cellXfs>
  <cellStyles count="32">
    <cellStyle name="百分比 2" xfId="2" xr:uid="{00000000-0005-0000-0000-000000000000}"/>
    <cellStyle name="百分比 3" xfId="8" xr:uid="{00000000-0005-0000-0000-000001000000}"/>
    <cellStyle name="百分比 3 2" xfId="15" xr:uid="{92A18DD9-5EF7-4159-ABE0-C0C36F6E6FF3}"/>
    <cellStyle name="百分比 3 3" xfId="14" xr:uid="{11A98E7A-0BB3-4B7A-A4D9-D8979057D207}"/>
    <cellStyle name="百分比 4" xfId="10" xr:uid="{0D370221-D57A-47EB-BD4B-1467BCFD3EDC}"/>
    <cellStyle name="百分比 4 2" xfId="16" xr:uid="{2984CBEA-A59C-4D3D-A043-4BC80A814DF3}"/>
    <cellStyle name="差_2021.2" xfId="3" xr:uid="{00000000-0005-0000-0000-000002000000}"/>
    <cellStyle name="常规" xfId="0" builtinId="0"/>
    <cellStyle name="常规 2" xfId="1" xr:uid="{00000000-0005-0000-0000-000004000000}"/>
    <cellStyle name="常规 2 2" xfId="18" xr:uid="{800F0B12-5428-4203-AE34-93438D8F3782}"/>
    <cellStyle name="常规 2 2 2" xfId="30" xr:uid="{FF1F60DC-DF22-48FA-8080-CF5B221CD555}"/>
    <cellStyle name="常规 2 3" xfId="19" xr:uid="{1415F6AC-646D-436C-AFD0-DE9177D54D19}"/>
    <cellStyle name="常规 2 3 2" xfId="20" xr:uid="{6DDF68B4-33F9-4990-8E6C-1ACD3BD71283}"/>
    <cellStyle name="常规 2 3 2 2" xfId="29" xr:uid="{C4208741-CA86-4ADA-8C3C-7B694C64255C}"/>
    <cellStyle name="常规 2 4" xfId="17" xr:uid="{E31A3705-77D1-4579-B100-BD9483F7BD53}"/>
    <cellStyle name="常规 3" xfId="4" xr:uid="{00000000-0005-0000-0000-000005000000}"/>
    <cellStyle name="常规 3 2" xfId="12" xr:uid="{C89B8EE7-A211-4BD4-8987-F9D12DF4AB66}"/>
    <cellStyle name="常规 3 2 2" xfId="22" xr:uid="{E0D3981F-3B2D-4465-B5E6-6080209C84D5}"/>
    <cellStyle name="常规 3 3" xfId="21" xr:uid="{CF0C8833-CF16-4531-BF5C-54296878A422}"/>
    <cellStyle name="常规 3 5" xfId="23" xr:uid="{C2B963A1-9079-4753-B8FD-6AB515D9CE30}"/>
    <cellStyle name="常规 4" xfId="7" xr:uid="{00000000-0005-0000-0000-000006000000}"/>
    <cellStyle name="常规 4 2" xfId="11" xr:uid="{32AF58F0-17F9-4919-8D25-300CE0F5848A}"/>
    <cellStyle name="常规 4 3" xfId="24" xr:uid="{6E0CCE30-5F4A-4508-90E2-483FB79628DD}"/>
    <cellStyle name="常规 5" xfId="9" xr:uid="{19589E60-BD65-4E30-91B7-7DDE4AE13CA0}"/>
    <cellStyle name="常规 5 2" xfId="25" xr:uid="{6EDB8274-745A-4578-AD76-404410C2636B}"/>
    <cellStyle name="常规 6" xfId="26" xr:uid="{AA148575-833F-4CF5-B1AA-F4AF5A98D4BF}"/>
    <cellStyle name="常规 6 2" xfId="27" xr:uid="{60CDF9BF-01D6-4013-899B-51EEF707155E}"/>
    <cellStyle name="常规 7" xfId="31" xr:uid="{2F5A3157-9630-495F-82A9-981AE23522BF}"/>
    <cellStyle name="常规 8" xfId="13" xr:uid="{64E86678-9552-47AD-8E59-7392C07EB975}"/>
    <cellStyle name="超链接 2" xfId="5" xr:uid="{00000000-0005-0000-0000-000007000000}"/>
    <cellStyle name="好_2021.2" xfId="6" xr:uid="{00000000-0005-0000-0000-000008000000}"/>
    <cellStyle name="千位分隔 2" xfId="28" xr:uid="{61E53C56-017F-4711-B42A-99FD7C06650A}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17318</xdr:colOff>
      <xdr:row>4</xdr:row>
      <xdr:rowOff>17318</xdr:rowOff>
    </xdr:from>
    <xdr:to>
      <xdr:col>19</xdr:col>
      <xdr:colOff>710045</xdr:colOff>
      <xdr:row>13</xdr:row>
      <xdr:rowOff>171806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07323D5-48EC-85DC-8FA1-1E6B95A41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4863" y="1316182"/>
          <a:ext cx="17318182" cy="17131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627623</xdr:colOff>
      <xdr:row>47</xdr:row>
      <xdr:rowOff>146104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70F9F3C-1804-BABC-AFFA-0E739BDE1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09223" cy="820425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eChat%20Files\wxid_3973499735712\FileStorage\File\2024-01\&#24037;&#20316;&#24213;&#31295;20240120-&#25913;&#25193;&#21215;&#2925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5B9667D\&#38646;&#21806;&#34892;&#19994;&#25968;&#25454;&#26376;&#25253;&#65288;2019&#24180;5&#26376;15&#26085;&#26356;&#26032;&#6528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88A7E82\&#65288;&#22855;&#20961;23&#65306;30&#65289;&#20013;&#22797;&#31070;&#40560;-&#20272;&#20540;&#27169;&#22411;V4.02-2022.3.2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F49BB8\&#65288;&#37329;&#33322;21&#65306;30&#65289;&#20013;&#22797;&#31070;&#40560;-&#20272;&#20540;&#27169;&#22411;V4.02-2022.3.2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CCF5B5E\&#36130;&#21153;&#25253;&#34920;&#21644;&#20272;&#20540;&#27169;&#22411;_&#26032;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B91EAB6\2&#12289;&#20809;&#22823;&#20272;&#20540;&#27169;&#22411;V3.1&#65288;&#21407;&#22987;&#25253;&#34920;WIND&#33258;&#21160;&#26356;&#26032;&#6528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77CE57C\&#25968;&#25454;&#24211;,&#26368;&#26032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8064EAF\&#20013;&#20449;&#24314;&#25237;-REITs&#25968;&#25454;&#24211;-202201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图1-2"/>
      <sheetName val="图3"/>
      <sheetName val="图4"/>
      <sheetName val="图5"/>
      <sheetName val="图6"/>
      <sheetName val="图7"/>
      <sheetName val="图8"/>
      <sheetName val="图9"/>
      <sheetName val="图10"/>
      <sheetName val="图11"/>
      <sheetName val="表1"/>
      <sheetName val="表2"/>
      <sheetName val="表3"/>
      <sheetName val="表4"/>
      <sheetName val="表5"/>
      <sheetName val="图1-2底稿"/>
      <sheetName val="图3底稿"/>
      <sheetName val="图4底稿"/>
      <sheetName val="图9-作图过程"/>
      <sheetName val="图9-原图"/>
      <sheetName val="表1底稿"/>
      <sheetName val="表2底稿"/>
      <sheetName val="文字底稿补充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7">
          <cell r="J7">
            <v>10</v>
          </cell>
          <cell r="O7" t="b">
            <v>1</v>
          </cell>
          <cell r="Q7" t="b">
            <v>1</v>
          </cell>
        </row>
        <row r="8">
          <cell r="S8" t="str">
            <v>0</v>
          </cell>
        </row>
        <row r="11">
          <cell r="G11">
            <v>0</v>
          </cell>
          <cell r="H11" t="str">
            <v>color1</v>
          </cell>
        </row>
        <row r="12">
          <cell r="G12">
            <v>5</v>
          </cell>
          <cell r="H12" t="str">
            <v>color2</v>
          </cell>
        </row>
        <row r="13">
          <cell r="G13">
            <v>15</v>
          </cell>
          <cell r="H13" t="str">
            <v>color3</v>
          </cell>
        </row>
        <row r="14">
          <cell r="G14">
            <v>30</v>
          </cell>
          <cell r="H14" t="str">
            <v>color4</v>
          </cell>
        </row>
        <row r="15">
          <cell r="G15">
            <v>50</v>
          </cell>
          <cell r="H15" t="str">
            <v>color5</v>
          </cell>
        </row>
        <row r="16">
          <cell r="G16"/>
          <cell r="H16"/>
        </row>
        <row r="17">
          <cell r="G17"/>
          <cell r="H17"/>
        </row>
        <row r="18">
          <cell r="G18"/>
          <cell r="H18"/>
        </row>
        <row r="19">
          <cell r="G19"/>
          <cell r="H19"/>
        </row>
        <row r="20">
          <cell r="G20"/>
          <cell r="H20"/>
        </row>
      </sheetData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GDP及居民收支情况"/>
      <sheetName val="社会消费品零售情况"/>
      <sheetName val="CPI与RPI数据"/>
      <sheetName val="50家及百家重点零售企业情况"/>
      <sheetName val="重点零售企业销售情况"/>
      <sheetName val="美国零售情况"/>
      <sheetName val="日本零售情况"/>
      <sheetName val="全球主要零售公司基本情况"/>
      <sheetName val="免责声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"/>
      <sheetName val="1.模型说明"/>
      <sheetName val="2设置"/>
      <sheetName val="3.收入、成本等关键项目预测"/>
      <sheetName val="输出结果"/>
      <sheetName val="4.预测假设"/>
      <sheetName val="5.情景分析"/>
      <sheetName val="6.固定资产预测"/>
      <sheetName val="7.损益表及利润分配"/>
      <sheetName val="8.资产负债表"/>
      <sheetName val="9.现金流量表"/>
      <sheetName val="10.长短期借款及现金预测"/>
      <sheetName val="原始资产负债表（年度）"/>
      <sheetName val="敏感性分析"/>
      <sheetName val="年度分析"/>
      <sheetName val="季度分析"/>
      <sheetName val="DCF估值(FCFF)"/>
      <sheetName val="DCF估值(FCFE)"/>
      <sheetName val="DDM估值"/>
      <sheetName val="APV估值"/>
      <sheetName val="EVA估值"/>
      <sheetName val="AE估值"/>
      <sheetName val="图表"/>
      <sheetName val="原始流量表（年度）"/>
      <sheetName val="原始利润表（年度）"/>
      <sheetName val="原始报表（季度累计）"/>
      <sheetName val="原始报表（单季度）"/>
      <sheetName val="附注明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"/>
      <sheetName val="1.模型说明"/>
      <sheetName val="2设置"/>
      <sheetName val="3.收入、成本等关键项目预测"/>
      <sheetName val="输出结果"/>
      <sheetName val="4.预测假设"/>
      <sheetName val="5.情景分析"/>
      <sheetName val="6.固定资产预测"/>
      <sheetName val="7.损益表及利润分配"/>
      <sheetName val="8.资产负债表"/>
      <sheetName val="9.现金流量表"/>
      <sheetName val="10.长短期借款及现金预测"/>
      <sheetName val="原始资产负债表（年度）"/>
      <sheetName val="敏感性分析"/>
      <sheetName val="年度分析"/>
      <sheetName val="季度分析"/>
      <sheetName val="DCF估值(FCFF)"/>
      <sheetName val="DCF估值(FCFE)"/>
      <sheetName val="DDM估值"/>
      <sheetName val="APV估值"/>
      <sheetName val="EVA估值"/>
      <sheetName val="AE估值"/>
      <sheetName val="图表"/>
      <sheetName val="原始流量表（年度）"/>
      <sheetName val="原始利润表（年度）"/>
      <sheetName val="原始报表（季度累计）"/>
      <sheetName val="原始报表（单季度）"/>
      <sheetName val="附注明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设置"/>
      <sheetName val="IS(O)"/>
      <sheetName val="BS(O)"/>
      <sheetName val="CF(0)"/>
      <sheetName val="RCA"/>
      <sheetName val="CEA"/>
      <sheetName val="SDFA"/>
      <sheetName val="IS(A)"/>
      <sheetName val="BS(A)"/>
      <sheetName val="CF(A)"/>
      <sheetName val="VA"/>
      <sheetName val="FR"/>
      <sheetName val="图表"/>
      <sheetName val="Output"/>
      <sheetName val="杜邦"/>
      <sheetName val="原始利润表"/>
      <sheetName val="原始资产负债表"/>
      <sheetName val="原始现金流量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设置"/>
      <sheetName val="自动更新流量表（年度）"/>
      <sheetName val="自动更新负债表（年度）"/>
      <sheetName val="自动更新利润表（年度）"/>
      <sheetName val="原始报表（季度累计）"/>
      <sheetName val="原始报表（单季度）"/>
      <sheetName val="附注明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美国"/>
      <sheetName val="日本"/>
      <sheetName val="全球主要零售公司基本情况"/>
    </sheetNames>
    <sheetDataSet>
      <sheetData sheetId="0"/>
      <sheetData sheetId="1"/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页"/>
      <sheetName val="1.1中央层面政策"/>
      <sheetName val="1.2地方层面政策"/>
      <sheetName val="2.11市值"/>
      <sheetName val="2.12P-FFO"/>
      <sheetName val="2.2价格"/>
      <sheetName val="2.31交易量"/>
      <sheetName val="2.32换手率"/>
      <sheetName val="2.33波动率"/>
      <sheetName val="2.4相关产业指数"/>
      <sheetName val="2.5资金面情况"/>
      <sheetName val="2.6其他产品收益"/>
      <sheetName val="2.7项目申报审批进展情况"/>
      <sheetName val="2.8拟申报的REITs项目信息整理"/>
      <sheetName val="3.01项目信息总览"/>
      <sheetName val="3.1.1东吴苏园基本要素"/>
      <sheetName val="3.1.2东吴苏园经营情况"/>
      <sheetName val="3.2.1首创水务基本要素"/>
      <sheetName val="3.2.2首创水务经营情况"/>
      <sheetName val="3.3.1广州广河基本要素"/>
      <sheetName val="3.3.2广州广河经营情况"/>
      <sheetName val="3.4.1浙江杭徽基本要素"/>
      <sheetName val="3.4.2浙江杭徽经营情况"/>
      <sheetName val="3.5.1蛇口产园基本要素"/>
      <sheetName val="3.5.2蛇口产园经营情况"/>
      <sheetName val="3.6.1张江REIT基本要素"/>
      <sheetName val="3.6.2张江REIT经营情况"/>
      <sheetName val="3.7.1首钢绿能基本要素"/>
      <sheetName val="3.7.2首钢绿能经营情况"/>
      <sheetName val="3.8.1盐田港基本要素"/>
      <sheetName val="3.8.2盐田港经营情况"/>
      <sheetName val="3.9.1普洛斯基本要素"/>
      <sheetName val="3.9.2普洛斯经营情况"/>
      <sheetName val="3.10.1华夏越秀高速基本要素"/>
      <sheetName val="3.11.1建信中关村基本要素"/>
      <sheetName val="3.12.1上海临港基本要素"/>
      <sheetName val="3.13.1中交高速基本要素"/>
      <sheetName val="中信建投-REITs数据库-202201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F7770-C63D-4988-A89F-BBA1CE306A93}">
  <dimension ref="A2:V224"/>
  <sheetViews>
    <sheetView tabSelected="1" zoomScale="55" zoomScaleNormal="55" workbookViewId="0">
      <selection activeCell="X22" sqref="X22"/>
    </sheetView>
  </sheetViews>
  <sheetFormatPr defaultColWidth="8.75" defaultRowHeight="14.25" x14ac:dyDescent="0.2"/>
  <cols>
    <col min="1" max="1" width="32.625" style="1" customWidth="1"/>
    <col min="2" max="2" width="14" style="8" bestFit="1" customWidth="1"/>
    <col min="3" max="3" width="11.25" style="8" customWidth="1"/>
    <col min="4" max="4" width="24.875" style="8" customWidth="1"/>
    <col min="5" max="5" width="15.75" style="25" customWidth="1"/>
    <col min="6" max="6" width="13.125" style="8" customWidth="1"/>
    <col min="7" max="8" width="8.75" style="8"/>
    <col min="9" max="9" width="14.5" style="8" bestFit="1" customWidth="1"/>
    <col min="10" max="12" width="15.125" style="8" customWidth="1"/>
    <col min="13" max="13" width="14" style="8" customWidth="1"/>
    <col min="14" max="14" width="11.5" style="8" customWidth="1"/>
    <col min="15" max="15" width="13.125" style="8" customWidth="1"/>
    <col min="16" max="16" width="8.375" style="8" customWidth="1"/>
    <col min="17" max="19" width="9.25" style="8" customWidth="1"/>
    <col min="20" max="20" width="10" style="8" customWidth="1"/>
    <col min="21" max="21" width="14.5" style="8" bestFit="1" customWidth="1"/>
    <col min="22" max="16384" width="8.75" style="8"/>
  </cols>
  <sheetData>
    <row r="2" spans="1:22" ht="15" thickBot="1" x14ac:dyDescent="0.25"/>
    <row r="3" spans="1:22" ht="36" customHeight="1" x14ac:dyDescent="0.2">
      <c r="C3" s="28" t="s">
        <v>281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30"/>
    </row>
    <row r="4" spans="1:22" ht="37.5" customHeight="1" x14ac:dyDescent="0.2">
      <c r="C4" s="31" t="s">
        <v>282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</row>
    <row r="5" spans="1:22" x14ac:dyDescent="0.2">
      <c r="C5" s="26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10"/>
      <c r="S5" s="10"/>
      <c r="T5" s="17"/>
    </row>
    <row r="6" spans="1:22" x14ac:dyDescent="0.15">
      <c r="A6" s="5"/>
      <c r="C6" s="26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10"/>
      <c r="S6" s="10"/>
      <c r="T6" s="17"/>
    </row>
    <row r="7" spans="1:22" x14ac:dyDescent="0.15">
      <c r="A7" s="6"/>
      <c r="C7" s="26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10"/>
      <c r="S7" s="10"/>
      <c r="T7" s="17"/>
    </row>
    <row r="8" spans="1:22" x14ac:dyDescent="0.2">
      <c r="C8" s="26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10"/>
      <c r="S8" s="10"/>
      <c r="T8" s="17"/>
      <c r="V8" s="8" t="s">
        <v>280</v>
      </c>
    </row>
    <row r="9" spans="1:22" x14ac:dyDescent="0.2">
      <c r="C9" s="26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10"/>
      <c r="S9" s="10"/>
      <c r="T9" s="17"/>
    </row>
    <row r="10" spans="1:22" x14ac:dyDescent="0.2"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10"/>
      <c r="S10" s="10"/>
      <c r="T10" s="17"/>
    </row>
    <row r="11" spans="1:22" x14ac:dyDescent="0.2"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10"/>
      <c r="S11" s="10"/>
      <c r="T11" s="17"/>
    </row>
    <row r="12" spans="1:22" x14ac:dyDescent="0.2"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10"/>
      <c r="S12" s="10"/>
      <c r="T12" s="17"/>
    </row>
    <row r="13" spans="1:22" x14ac:dyDescent="0.2"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10"/>
      <c r="S13" s="10"/>
      <c r="T13" s="17"/>
    </row>
    <row r="14" spans="1:22" ht="18.95" customHeight="1" x14ac:dyDescent="0.2"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10"/>
      <c r="S14" s="10"/>
      <c r="T14" s="17"/>
    </row>
    <row r="15" spans="1:22" ht="27.95" customHeight="1" x14ac:dyDescent="0.15">
      <c r="A15" s="2" t="s">
        <v>0</v>
      </c>
      <c r="C15" s="20" t="s">
        <v>140</v>
      </c>
      <c r="D15" s="34" t="s">
        <v>9</v>
      </c>
      <c r="E15" s="34" t="s">
        <v>141</v>
      </c>
      <c r="F15" s="34" t="s">
        <v>142</v>
      </c>
      <c r="G15" s="35" t="s">
        <v>143</v>
      </c>
      <c r="H15" s="35" t="s">
        <v>144</v>
      </c>
      <c r="I15" s="34" t="s">
        <v>145</v>
      </c>
      <c r="J15" s="34" t="s">
        <v>146</v>
      </c>
      <c r="K15" s="34" t="s">
        <v>147</v>
      </c>
      <c r="L15" s="34" t="s">
        <v>241</v>
      </c>
      <c r="M15" s="34" t="s">
        <v>148</v>
      </c>
      <c r="N15" s="34" t="s">
        <v>149</v>
      </c>
      <c r="O15" s="34" t="s">
        <v>150</v>
      </c>
      <c r="P15" s="34" t="s">
        <v>151</v>
      </c>
      <c r="Q15" s="34" t="s">
        <v>251</v>
      </c>
      <c r="R15" s="34" t="s">
        <v>252</v>
      </c>
      <c r="S15" s="24" t="s">
        <v>253</v>
      </c>
      <c r="T15" s="36" t="s">
        <v>254</v>
      </c>
    </row>
    <row r="16" spans="1:22" x14ac:dyDescent="0.2">
      <c r="A16" s="3" t="s">
        <v>1</v>
      </c>
      <c r="B16" s="9"/>
      <c r="C16" s="11" t="s">
        <v>34</v>
      </c>
      <c r="D16" s="37" t="s">
        <v>10</v>
      </c>
      <c r="E16" s="38" t="s">
        <v>152</v>
      </c>
      <c r="F16" s="37" t="s">
        <v>35</v>
      </c>
      <c r="G16" s="12">
        <v>3.88</v>
      </c>
      <c r="H16" s="12">
        <v>3.2246868360000001</v>
      </c>
      <c r="I16" s="12">
        <v>23.436</v>
      </c>
      <c r="J16" s="15">
        <v>-1.916443081640441E-3</v>
      </c>
      <c r="K16" s="15">
        <v>-0.16889514536082473</v>
      </c>
      <c r="L16" s="15">
        <v>-5.1476379644665338E-2</v>
      </c>
      <c r="M16" s="15">
        <v>5.5577269610855094E-2</v>
      </c>
      <c r="N16" s="15">
        <v>3.8173269610855098E-2</v>
      </c>
      <c r="O16" s="15">
        <v>7.5609999999999997E-2</v>
      </c>
      <c r="P16" s="19">
        <v>0.98103337941723379</v>
      </c>
      <c r="Q16" s="16">
        <v>-6.8314924028138657E-2</v>
      </c>
      <c r="R16" s="16" t="s">
        <v>83</v>
      </c>
      <c r="S16" s="16">
        <v>-8.6343346955767286E-2</v>
      </c>
      <c r="T16" s="18" t="s">
        <v>83</v>
      </c>
    </row>
    <row r="17" spans="1:21" x14ac:dyDescent="0.2">
      <c r="A17" s="4" t="s">
        <v>2</v>
      </c>
      <c r="B17" s="9"/>
      <c r="C17" s="11" t="s">
        <v>36</v>
      </c>
      <c r="D17" s="37" t="s">
        <v>242</v>
      </c>
      <c r="E17" s="39"/>
      <c r="F17" s="37" t="s">
        <v>35</v>
      </c>
      <c r="G17" s="12">
        <v>2.31</v>
      </c>
      <c r="H17" s="12">
        <v>1.9099528379999999</v>
      </c>
      <c r="I17" s="12">
        <v>22.638614695379999</v>
      </c>
      <c r="J17" s="15">
        <v>1.2570710245129097E-3</v>
      </c>
      <c r="K17" s="15">
        <v>-0.17318058961038962</v>
      </c>
      <c r="L17" s="15">
        <v>-0.14227646148742379</v>
      </c>
      <c r="M17" s="15">
        <v>5.1763194368034629E-2</v>
      </c>
      <c r="N17" s="15">
        <v>3.4359194368034626E-2</v>
      </c>
      <c r="O17" s="15">
        <v>8.6889999999999995E-2</v>
      </c>
      <c r="P17" s="19">
        <v>0.90208340285057287</v>
      </c>
      <c r="Q17" s="16">
        <v>-0.10920631616183063</v>
      </c>
      <c r="R17" s="16" t="s">
        <v>83</v>
      </c>
      <c r="S17" s="16">
        <v>-0.14426679239837503</v>
      </c>
      <c r="T17" s="18" t="s">
        <v>83</v>
      </c>
    </row>
    <row r="18" spans="1:21" x14ac:dyDescent="0.2">
      <c r="A18" s="4" t="s">
        <v>3</v>
      </c>
      <c r="B18" s="9"/>
      <c r="C18" s="11" t="s">
        <v>37</v>
      </c>
      <c r="D18" s="37" t="s">
        <v>11</v>
      </c>
      <c r="E18" s="39"/>
      <c r="F18" s="37" t="s">
        <v>35</v>
      </c>
      <c r="G18" s="12">
        <v>2.99</v>
      </c>
      <c r="H18" s="12">
        <v>2.4667623519999999</v>
      </c>
      <c r="I18" s="12">
        <v>19.801924615019999</v>
      </c>
      <c r="J18" s="15">
        <v>-8.6538461538462723E-3</v>
      </c>
      <c r="K18" s="15">
        <v>-0.17499586889632113</v>
      </c>
      <c r="L18" s="15">
        <v>-0.16390473807923089</v>
      </c>
      <c r="M18" s="15">
        <v>5.3671123517653421E-2</v>
      </c>
      <c r="N18" s="15">
        <v>3.6267123517653418E-2</v>
      </c>
      <c r="O18" s="15">
        <v>8.0336000000000005E-2</v>
      </c>
      <c r="P18" s="19">
        <v>0.92709715319050101</v>
      </c>
      <c r="Q18" s="16">
        <v>-9.6029647959786524E-2</v>
      </c>
      <c r="R18" s="16" t="s">
        <v>83</v>
      </c>
      <c r="S18" s="16">
        <v>-0.19898764990641782</v>
      </c>
      <c r="T18" s="18" t="s">
        <v>255</v>
      </c>
    </row>
    <row r="19" spans="1:21" x14ac:dyDescent="0.2">
      <c r="A19" s="4" t="s">
        <v>4</v>
      </c>
      <c r="B19" s="9"/>
      <c r="C19" s="11" t="s">
        <v>38</v>
      </c>
      <c r="D19" s="37" t="s">
        <v>12</v>
      </c>
      <c r="E19" s="39"/>
      <c r="F19" s="37" t="s">
        <v>39</v>
      </c>
      <c r="G19" s="12">
        <v>3.2</v>
      </c>
      <c r="H19" s="12">
        <v>1.3169027339999999</v>
      </c>
      <c r="I19" s="12">
        <v>10.458</v>
      </c>
      <c r="J19" s="15">
        <v>-9.377664109122056E-3</v>
      </c>
      <c r="K19" s="15">
        <v>-0.58846789562500001</v>
      </c>
      <c r="L19" s="15">
        <v>-0.39483516529040896</v>
      </c>
      <c r="M19" s="15">
        <v>4.0699910575635878E-2</v>
      </c>
      <c r="N19" s="15">
        <v>2.3295910575635879E-2</v>
      </c>
      <c r="O19" s="15">
        <v>8.6283999999999986E-2</v>
      </c>
      <c r="P19" s="19">
        <v>0.63157362051821164</v>
      </c>
      <c r="Q19" s="16">
        <v>-4.918918759518609E-2</v>
      </c>
      <c r="R19" s="16" t="s">
        <v>83</v>
      </c>
      <c r="S19" s="16">
        <v>0.63920150660073749</v>
      </c>
      <c r="T19" s="18" t="s">
        <v>255</v>
      </c>
    </row>
    <row r="20" spans="1:21" x14ac:dyDescent="0.2">
      <c r="B20" s="9"/>
      <c r="C20" s="11" t="s">
        <v>40</v>
      </c>
      <c r="D20" s="37" t="s">
        <v>13</v>
      </c>
      <c r="E20" s="39"/>
      <c r="F20" s="37" t="s">
        <v>41</v>
      </c>
      <c r="G20" s="12">
        <v>2.19</v>
      </c>
      <c r="H20" s="12">
        <v>1.233750098</v>
      </c>
      <c r="I20" s="12">
        <v>7.3010000000000002</v>
      </c>
      <c r="J20" s="15">
        <v>-3.8204393505252908E-3</v>
      </c>
      <c r="K20" s="15">
        <v>-0.43664379086757987</v>
      </c>
      <c r="L20" s="15">
        <v>-0.33937310069312998</v>
      </c>
      <c r="M20" s="15">
        <v>6.9715194521298443E-2</v>
      </c>
      <c r="N20" s="15">
        <v>5.231119452129844E-2</v>
      </c>
      <c r="O20" s="15">
        <v>0.114063</v>
      </c>
      <c r="P20" s="19">
        <v>0.60723040778258519</v>
      </c>
      <c r="Q20" s="16">
        <v>-0.39390109448700461</v>
      </c>
      <c r="R20" s="16" t="s">
        <v>83</v>
      </c>
      <c r="S20" s="16">
        <v>-0.50609031996572529</v>
      </c>
      <c r="T20" s="18" t="s">
        <v>255</v>
      </c>
      <c r="U20" s="9"/>
    </row>
    <row r="21" spans="1:21" x14ac:dyDescent="0.2">
      <c r="A21" s="6" t="s">
        <v>5</v>
      </c>
      <c r="B21" s="9"/>
      <c r="C21" s="11" t="s">
        <v>42</v>
      </c>
      <c r="D21" s="37" t="s">
        <v>227</v>
      </c>
      <c r="E21" s="39"/>
      <c r="F21" s="37" t="s">
        <v>43</v>
      </c>
      <c r="G21" s="12">
        <v>4.12</v>
      </c>
      <c r="H21" s="12">
        <v>4.1026258000000002</v>
      </c>
      <c r="I21" s="12">
        <v>21.431906132000002</v>
      </c>
      <c r="J21" s="15">
        <v>8.0310163389643117E-3</v>
      </c>
      <c r="K21" s="15">
        <v>-4.2170388349513921E-3</v>
      </c>
      <c r="L21" s="15">
        <v>-0.16491666520790227</v>
      </c>
      <c r="M21" s="15">
        <v>5.1605672070792544E-2</v>
      </c>
      <c r="N21" s="15">
        <v>3.4201672070792541E-2</v>
      </c>
      <c r="O21" s="15">
        <v>6.5243999999999996E-2</v>
      </c>
      <c r="P21" s="19">
        <v>0.96556711764367842</v>
      </c>
      <c r="Q21" s="16" t="s">
        <v>83</v>
      </c>
      <c r="R21" s="16">
        <v>0.212485449316766</v>
      </c>
      <c r="S21" s="16" t="s">
        <v>83</v>
      </c>
      <c r="T21" s="18">
        <v>0.13831169881953906</v>
      </c>
    </row>
    <row r="22" spans="1:21" x14ac:dyDescent="0.2">
      <c r="A22" s="4" t="s">
        <v>6</v>
      </c>
      <c r="B22" s="9"/>
      <c r="C22" s="11" t="s">
        <v>44</v>
      </c>
      <c r="D22" s="37" t="s">
        <v>228</v>
      </c>
      <c r="E22" s="39"/>
      <c r="F22" s="37" t="s">
        <v>45</v>
      </c>
      <c r="G22" s="12">
        <v>3.0350000000000001</v>
      </c>
      <c r="H22" s="12">
        <v>4.12099802</v>
      </c>
      <c r="I22" s="12">
        <v>22.26869679676</v>
      </c>
      <c r="J22" s="15">
        <v>-1.2630422844590842E-2</v>
      </c>
      <c r="K22" s="15">
        <v>0.35782471828665563</v>
      </c>
      <c r="L22" s="15">
        <v>-6.9972666399895633E-3</v>
      </c>
      <c r="M22" s="15">
        <v>4.3323617578751555E-2</v>
      </c>
      <c r="N22" s="15">
        <v>2.5919617578751556E-2</v>
      </c>
      <c r="O22" s="15">
        <v>6.0526999999999997E-2</v>
      </c>
      <c r="P22" s="19">
        <v>1.3340361789738411</v>
      </c>
      <c r="Q22" s="16" t="s">
        <v>83</v>
      </c>
      <c r="R22" s="16">
        <v>0.26119713973072028</v>
      </c>
      <c r="S22" s="16" t="s">
        <v>83</v>
      </c>
      <c r="T22" s="18">
        <v>0.29517342523798012</v>
      </c>
    </row>
    <row r="23" spans="1:21" x14ac:dyDescent="0.2">
      <c r="A23" s="7" t="s">
        <v>7</v>
      </c>
      <c r="B23" s="9"/>
      <c r="C23" s="11" t="s">
        <v>46</v>
      </c>
      <c r="D23" s="37" t="s">
        <v>14</v>
      </c>
      <c r="E23" s="39"/>
      <c r="F23" s="37" t="s">
        <v>47</v>
      </c>
      <c r="G23" s="12">
        <v>2.8079999999999998</v>
      </c>
      <c r="H23" s="12">
        <v>2.1533793000000001</v>
      </c>
      <c r="I23" s="12">
        <v>9.15</v>
      </c>
      <c r="J23" s="15">
        <v>-1.3477088948787021E-2</v>
      </c>
      <c r="K23" s="15">
        <v>-0.23312702991452983</v>
      </c>
      <c r="L23" s="15">
        <v>-9.1535627616221249E-2</v>
      </c>
      <c r="M23" s="15">
        <v>5.6859356983606557E-2</v>
      </c>
      <c r="N23" s="15">
        <v>3.9455356983606554E-2</v>
      </c>
      <c r="O23" s="15">
        <v>8.6273000000000002E-2</v>
      </c>
      <c r="P23" s="19">
        <v>0.99052615527230836</v>
      </c>
      <c r="Q23" s="16">
        <v>-0.13884930689067854</v>
      </c>
      <c r="R23" s="16" t="s">
        <v>83</v>
      </c>
      <c r="S23" s="16">
        <v>-9.7805521729317557E-2</v>
      </c>
      <c r="T23" s="18" t="s">
        <v>83</v>
      </c>
    </row>
    <row r="24" spans="1:21" x14ac:dyDescent="0.2">
      <c r="A24" s="7" t="s">
        <v>8</v>
      </c>
      <c r="B24" s="9"/>
      <c r="C24" s="11" t="s">
        <v>48</v>
      </c>
      <c r="D24" s="37" t="s">
        <v>15</v>
      </c>
      <c r="E24" s="39"/>
      <c r="F24" s="37" t="s">
        <v>49</v>
      </c>
      <c r="G24" s="12">
        <v>2.625</v>
      </c>
      <c r="H24" s="12">
        <v>1.5926352300000002</v>
      </c>
      <c r="I24" s="12">
        <v>8.3699999999999992</v>
      </c>
      <c r="J24" s="15">
        <v>-8.5287846481876314E-3</v>
      </c>
      <c r="K24" s="15">
        <v>-0.39328181714285704</v>
      </c>
      <c r="L24" s="15">
        <v>-0.22280725609217211</v>
      </c>
      <c r="M24" s="15">
        <v>6.4648748195937883E-2</v>
      </c>
      <c r="N24" s="15">
        <v>4.724474819593788E-2</v>
      </c>
      <c r="O24" s="15">
        <v>0.11684599999999999</v>
      </c>
      <c r="P24" s="19">
        <v>0.6967105205877705</v>
      </c>
      <c r="Q24" s="16">
        <v>-0.217496855901404</v>
      </c>
      <c r="R24" s="16" t="s">
        <v>83</v>
      </c>
      <c r="S24" s="16">
        <v>-0.24290478175041985</v>
      </c>
      <c r="T24" s="18" t="s">
        <v>83</v>
      </c>
    </row>
    <row r="25" spans="1:21" x14ac:dyDescent="0.2">
      <c r="A25" s="7"/>
      <c r="B25" s="9"/>
      <c r="C25" s="11" t="s">
        <v>106</v>
      </c>
      <c r="D25" s="37" t="s">
        <v>153</v>
      </c>
      <c r="E25" s="39"/>
      <c r="F25" s="37" t="s">
        <v>107</v>
      </c>
      <c r="G25" s="12">
        <v>2.3980000000000001</v>
      </c>
      <c r="H25" s="12">
        <v>3.0094722950000006</v>
      </c>
      <c r="I25" s="12">
        <v>14.225</v>
      </c>
      <c r="J25" s="15">
        <v>-2.5017135023988883E-2</v>
      </c>
      <c r="K25" s="15">
        <v>0.25499261676397023</v>
      </c>
      <c r="L25" s="15">
        <v>-0.15981398957516679</v>
      </c>
      <c r="M25" s="15">
        <v>5.7395516119507911E-2</v>
      </c>
      <c r="N25" s="15">
        <v>3.9991516119507908E-2</v>
      </c>
      <c r="O25" s="15">
        <v>4.8243000000000001E-2</v>
      </c>
      <c r="P25" s="19">
        <v>1.2887019492225074</v>
      </c>
      <c r="Q25" s="16">
        <v>-9.930064004320871E-2</v>
      </c>
      <c r="R25" s="16" t="s">
        <v>83</v>
      </c>
      <c r="S25" s="16">
        <v>6.2655073297200659E-2</v>
      </c>
      <c r="T25" s="18" t="s">
        <v>83</v>
      </c>
    </row>
    <row r="26" spans="1:21" x14ac:dyDescent="0.2">
      <c r="A26" s="7"/>
      <c r="B26" s="9"/>
      <c r="C26" s="11" t="s">
        <v>110</v>
      </c>
      <c r="D26" s="37" t="s">
        <v>154</v>
      </c>
      <c r="E26" s="39"/>
      <c r="F26" s="37" t="s">
        <v>111</v>
      </c>
      <c r="G26" s="12">
        <v>2.573</v>
      </c>
      <c r="H26" s="12">
        <v>1.456210665</v>
      </c>
      <c r="I26" s="12">
        <v>10.92</v>
      </c>
      <c r="J26" s="15">
        <v>-3.6496350364964869E-3</v>
      </c>
      <c r="K26" s="15">
        <v>-0.4340417158958414</v>
      </c>
      <c r="L26" s="15">
        <v>-0.26157523719081122</v>
      </c>
      <c r="M26" s="15">
        <v>6.3648398177655677E-2</v>
      </c>
      <c r="N26" s="15">
        <v>4.6244398177655674E-2</v>
      </c>
      <c r="O26" s="15">
        <v>0.127253</v>
      </c>
      <c r="P26" s="19">
        <v>0.61512673902394366</v>
      </c>
      <c r="Q26" s="16">
        <v>-0.17354879479995033</v>
      </c>
      <c r="R26" s="16" t="s">
        <v>83</v>
      </c>
      <c r="S26" s="16">
        <v>-0.42496872344416214</v>
      </c>
      <c r="T26" s="18" t="s">
        <v>83</v>
      </c>
    </row>
    <row r="27" spans="1:21" x14ac:dyDescent="0.2">
      <c r="B27" s="9"/>
      <c r="C27" s="11" t="s">
        <v>128</v>
      </c>
      <c r="D27" s="37" t="s">
        <v>114</v>
      </c>
      <c r="E27" s="39"/>
      <c r="F27" s="37" t="s">
        <v>115</v>
      </c>
      <c r="G27" s="12">
        <v>3.234</v>
      </c>
      <c r="H27" s="12">
        <v>3.7996548060000004</v>
      </c>
      <c r="I27" s="12">
        <v>18.065000000000001</v>
      </c>
      <c r="J27" s="15">
        <v>-5.7787561915244945E-3</v>
      </c>
      <c r="K27" s="15">
        <v>0.17490872170686478</v>
      </c>
      <c r="L27" s="15">
        <v>-3.1505383777313489E-2</v>
      </c>
      <c r="M27" s="15">
        <v>4.4602900381954053E-2</v>
      </c>
      <c r="N27" s="15">
        <v>2.7198900381954053E-2</v>
      </c>
      <c r="O27" s="15">
        <v>6.0311000000000003E-2</v>
      </c>
      <c r="P27" s="19">
        <v>1.1765548606477718</v>
      </c>
      <c r="Q27" s="16">
        <v>-4.0813623221050865E-2</v>
      </c>
      <c r="R27" s="16" t="s">
        <v>83</v>
      </c>
      <c r="S27" s="16">
        <v>-1.293128375353414E-2</v>
      </c>
      <c r="T27" s="18" t="s">
        <v>83</v>
      </c>
    </row>
    <row r="28" spans="1:21" x14ac:dyDescent="0.2">
      <c r="B28" s="9"/>
      <c r="C28" s="11" t="s">
        <v>129</v>
      </c>
      <c r="D28" s="37" t="s">
        <v>155</v>
      </c>
      <c r="E28" s="39"/>
      <c r="F28" s="37" t="s">
        <v>116</v>
      </c>
      <c r="G28" s="12">
        <v>2.556</v>
      </c>
      <c r="H28" s="12">
        <v>2.31005751</v>
      </c>
      <c r="I28" s="12">
        <v>8.7799999999999994</v>
      </c>
      <c r="J28" s="15">
        <v>-2.0963425512934869E-2</v>
      </c>
      <c r="K28" s="15">
        <v>-9.6221631455399081E-2</v>
      </c>
      <c r="L28" s="15">
        <v>-0.20365880711265974</v>
      </c>
      <c r="M28" s="15">
        <v>5.9908465239179948E-2</v>
      </c>
      <c r="N28" s="15">
        <v>4.2504465239179945E-2</v>
      </c>
      <c r="O28" s="15">
        <v>7.0280999999999996E-2</v>
      </c>
      <c r="P28" s="19">
        <v>0.90531895207218172</v>
      </c>
      <c r="Q28" s="16">
        <v>-0.21101405146129404</v>
      </c>
      <c r="R28" s="16" t="s">
        <v>83</v>
      </c>
      <c r="S28" s="16">
        <v>-2.9203243439401727E-2</v>
      </c>
      <c r="T28" s="18" t="s">
        <v>83</v>
      </c>
    </row>
    <row r="29" spans="1:21" x14ac:dyDescent="0.2">
      <c r="B29" s="9"/>
      <c r="C29" s="11" t="s">
        <v>130</v>
      </c>
      <c r="D29" s="37" t="s">
        <v>156</v>
      </c>
      <c r="E29" s="39"/>
      <c r="F29" s="37" t="s">
        <v>117</v>
      </c>
      <c r="G29" s="12">
        <v>2.5499999999999998</v>
      </c>
      <c r="H29" s="12">
        <v>2.189010852</v>
      </c>
      <c r="I29" s="12">
        <v>8.3439999999999994</v>
      </c>
      <c r="J29" s="15">
        <v>-1.9138755980860009E-3</v>
      </c>
      <c r="K29" s="15">
        <v>-0.14156437176470582</v>
      </c>
      <c r="L29" s="15">
        <v>-0.25275789623637102</v>
      </c>
      <c r="M29" s="15">
        <v>6.4291667988974122E-2</v>
      </c>
      <c r="N29" s="15">
        <v>4.6887667988974119E-2</v>
      </c>
      <c r="O29" s="15">
        <v>7.9190999999999998E-2</v>
      </c>
      <c r="P29" s="19">
        <v>0.82100629612235809</v>
      </c>
      <c r="Q29" s="16">
        <v>-0.2231267275630735</v>
      </c>
      <c r="R29" s="16" t="s">
        <v>83</v>
      </c>
      <c r="S29" s="16">
        <v>-8.1632197525924877E-2</v>
      </c>
      <c r="T29" s="18" t="s">
        <v>83</v>
      </c>
    </row>
    <row r="30" spans="1:21" x14ac:dyDescent="0.2">
      <c r="B30" s="9"/>
      <c r="C30" s="11" t="s">
        <v>131</v>
      </c>
      <c r="D30" s="37" t="s">
        <v>118</v>
      </c>
      <c r="E30" s="39"/>
      <c r="F30" s="37" t="s">
        <v>119</v>
      </c>
      <c r="G30" s="12">
        <v>3.125</v>
      </c>
      <c r="H30" s="12">
        <v>2.872609899</v>
      </c>
      <c r="I30" s="12">
        <v>10.747999999999999</v>
      </c>
      <c r="J30" s="15">
        <v>0</v>
      </c>
      <c r="K30" s="15">
        <v>-8.076483231999998E-2</v>
      </c>
      <c r="L30" s="15">
        <v>-0.16577578006847027</v>
      </c>
      <c r="M30" s="15">
        <v>6.0039322878675104E-2</v>
      </c>
      <c r="N30" s="15">
        <v>4.2635322878675108E-2</v>
      </c>
      <c r="O30" s="15">
        <v>6.3201999999999994E-2</v>
      </c>
      <c r="P30" s="19">
        <v>0.8890190692920299</v>
      </c>
      <c r="Q30" s="16">
        <v>-1.363160675512487E-2</v>
      </c>
      <c r="R30" s="16" t="s">
        <v>83</v>
      </c>
      <c r="S30" s="16">
        <v>-5.7093385927381113E-2</v>
      </c>
      <c r="T30" s="18" t="s">
        <v>83</v>
      </c>
    </row>
    <row r="31" spans="1:21" x14ac:dyDescent="0.2">
      <c r="B31" s="9"/>
      <c r="C31" s="11" t="s">
        <v>132</v>
      </c>
      <c r="D31" s="37" t="s">
        <v>157</v>
      </c>
      <c r="E31" s="39"/>
      <c r="F31" s="37" t="s">
        <v>120</v>
      </c>
      <c r="G31" s="12">
        <v>3.2</v>
      </c>
      <c r="H31" s="12">
        <v>1.9702927149999998</v>
      </c>
      <c r="I31" s="12">
        <v>5.5049999999999999</v>
      </c>
      <c r="J31" s="15">
        <v>-1.9241047568145354E-2</v>
      </c>
      <c r="K31" s="15">
        <v>-0.38428352656250009</v>
      </c>
      <c r="L31" s="15">
        <v>-0.34811207888299817</v>
      </c>
      <c r="M31" s="15">
        <v>7.470816701180745E-2</v>
      </c>
      <c r="N31" s="15">
        <v>5.7304167011807447E-2</v>
      </c>
      <c r="O31" s="15">
        <v>0.10142</v>
      </c>
      <c r="P31" s="19">
        <v>0.63871208388057066</v>
      </c>
      <c r="Q31" s="16">
        <v>-1.9607747089248173E-2</v>
      </c>
      <c r="R31" s="16" t="s">
        <v>83</v>
      </c>
      <c r="S31" s="16">
        <v>-0.4498560237356739</v>
      </c>
      <c r="T31" s="18" t="s">
        <v>83</v>
      </c>
    </row>
    <row r="32" spans="1:21" x14ac:dyDescent="0.2">
      <c r="B32" s="9"/>
      <c r="C32" s="11" t="s">
        <v>189</v>
      </c>
      <c r="D32" s="37" t="s">
        <v>190</v>
      </c>
      <c r="E32" s="39"/>
      <c r="F32" s="37" t="s">
        <v>191</v>
      </c>
      <c r="G32" s="12">
        <v>2.839</v>
      </c>
      <c r="H32" s="12">
        <v>3.1575600360000005</v>
      </c>
      <c r="I32" s="12">
        <v>11.952</v>
      </c>
      <c r="J32" s="15">
        <v>-2.0040080160321104E-3</v>
      </c>
      <c r="K32" s="15">
        <v>0.11220853680873555</v>
      </c>
      <c r="L32" s="15">
        <v>-0.21390792474619202</v>
      </c>
      <c r="M32" s="15">
        <v>6.4449258868808562E-2</v>
      </c>
      <c r="N32" s="15">
        <v>4.7045258868808559E-2</v>
      </c>
      <c r="O32" s="15">
        <v>4.0367E-2</v>
      </c>
      <c r="P32" s="19">
        <v>1.1128616760712042</v>
      </c>
      <c r="Q32" s="16">
        <v>-0.16467294035372182</v>
      </c>
      <c r="R32" s="16" t="s">
        <v>83</v>
      </c>
      <c r="S32" s="16">
        <v>-0.106656663492391</v>
      </c>
      <c r="T32" s="18" t="s">
        <v>83</v>
      </c>
    </row>
    <row r="33" spans="2:20" x14ac:dyDescent="0.2">
      <c r="B33" s="9"/>
      <c r="C33" s="11" t="s">
        <v>204</v>
      </c>
      <c r="D33" s="37" t="s">
        <v>205</v>
      </c>
      <c r="E33" s="39"/>
      <c r="F33" s="37" t="s">
        <v>206</v>
      </c>
      <c r="G33" s="12">
        <v>2.72</v>
      </c>
      <c r="H33" s="12">
        <v>3.0143942370000003</v>
      </c>
      <c r="I33" s="12">
        <v>11.772</v>
      </c>
      <c r="J33" s="15">
        <v>-9.4244362167619916E-3</v>
      </c>
      <c r="K33" s="15">
        <v>0.10823317536764709</v>
      </c>
      <c r="L33" s="15">
        <v>-0.18815129625639637</v>
      </c>
      <c r="M33" s="15">
        <v>5.7645848453958544E-2</v>
      </c>
      <c r="N33" s="15">
        <v>4.0241848453958548E-2</v>
      </c>
      <c r="O33" s="15">
        <v>3.8378999999999996E-2</v>
      </c>
      <c r="P33" s="19">
        <v>1.0898360718746285</v>
      </c>
      <c r="Q33" s="16" t="s">
        <v>83</v>
      </c>
      <c r="R33" s="16">
        <v>0.23783716992621315</v>
      </c>
      <c r="S33" s="16" t="s">
        <v>83</v>
      </c>
      <c r="T33" s="18">
        <v>0.25303055408830133</v>
      </c>
    </row>
    <row r="34" spans="2:20" x14ac:dyDescent="0.2">
      <c r="B34" s="9"/>
      <c r="C34" s="11" t="s">
        <v>209</v>
      </c>
      <c r="D34" s="37" t="s">
        <v>210</v>
      </c>
      <c r="E34" s="39"/>
      <c r="F34" s="37" t="s">
        <v>211</v>
      </c>
      <c r="G34" s="12">
        <v>3.6850000000000001</v>
      </c>
      <c r="H34" s="12">
        <v>3.6753103400000002</v>
      </c>
      <c r="I34" s="12">
        <v>35.799999999999997</v>
      </c>
      <c r="J34" s="15">
        <v>-5.5555555555555783E-3</v>
      </c>
      <c r="K34" s="15">
        <v>-2.6294871099049599E-3</v>
      </c>
      <c r="L34" s="15">
        <v>-0.23859325875284854</v>
      </c>
      <c r="M34" s="15">
        <v>7.0551975173184373E-2</v>
      </c>
      <c r="N34" s="15">
        <v>5.314797517318437E-2</v>
      </c>
      <c r="O34" s="15">
        <v>3.5702999999999999E-2</v>
      </c>
      <c r="P34" s="19">
        <v>1.1169186401515745</v>
      </c>
      <c r="Q34" s="16" t="s">
        <v>83</v>
      </c>
      <c r="R34" s="16">
        <v>0.24717200295663955</v>
      </c>
      <c r="S34" s="16" t="s">
        <v>83</v>
      </c>
      <c r="T34" s="18">
        <v>0.19023866796618019</v>
      </c>
    </row>
    <row r="35" spans="2:20" x14ac:dyDescent="0.2">
      <c r="B35" s="9"/>
      <c r="C35" s="11" t="s">
        <v>247</v>
      </c>
      <c r="D35" s="23" t="s">
        <v>236</v>
      </c>
      <c r="E35" s="40"/>
      <c r="F35" s="37" t="s">
        <v>237</v>
      </c>
      <c r="G35" s="12">
        <v>3.66</v>
      </c>
      <c r="H35" s="12">
        <v>3.30329044</v>
      </c>
      <c r="I35" s="12">
        <v>9.2129999999999992</v>
      </c>
      <c r="J35" s="15">
        <v>-7.7544426494344917E-3</v>
      </c>
      <c r="K35" s="15">
        <v>-9.7461628415300594E-2</v>
      </c>
      <c r="L35" s="15">
        <v>-7.7808364042434297E-2</v>
      </c>
      <c r="M35" s="15">
        <v>6.2460098122218602E-2</v>
      </c>
      <c r="N35" s="15">
        <v>4.5056098122218599E-2</v>
      </c>
      <c r="O35" s="15">
        <v>6.6462999999999994E-2</v>
      </c>
      <c r="P35" s="19">
        <v>0.87452633302275862</v>
      </c>
      <c r="Q35" s="16" t="s">
        <v>83</v>
      </c>
      <c r="R35" s="16">
        <v>0.24666867759640926</v>
      </c>
      <c r="S35" s="16" t="s">
        <v>83</v>
      </c>
      <c r="T35" s="18">
        <v>0.264977502693377</v>
      </c>
    </row>
    <row r="36" spans="2:20" x14ac:dyDescent="0.2">
      <c r="B36" s="9"/>
      <c r="C36" s="11" t="s">
        <v>50</v>
      </c>
      <c r="D36" s="37" t="s">
        <v>16</v>
      </c>
      <c r="E36" s="38" t="s">
        <v>158</v>
      </c>
      <c r="F36" s="37" t="s">
        <v>35</v>
      </c>
      <c r="G36" s="12">
        <v>2.2999999999999998</v>
      </c>
      <c r="H36" s="12">
        <v>2.6818310400000005</v>
      </c>
      <c r="I36" s="12">
        <v>21.361303667200001</v>
      </c>
      <c r="J36" s="15">
        <v>-4.4444444444442658E-3</v>
      </c>
      <c r="K36" s="15">
        <v>0.16601349565217416</v>
      </c>
      <c r="L36" s="15">
        <v>-3.2738002799733268E-2</v>
      </c>
      <c r="M36" s="15">
        <v>4.23827220569011E-2</v>
      </c>
      <c r="N36" s="15">
        <v>2.49787220569011E-2</v>
      </c>
      <c r="O36" s="15">
        <v>6.0447000000000001E-2</v>
      </c>
      <c r="P36" s="19">
        <v>1.2871937332710532</v>
      </c>
      <c r="Q36" s="16">
        <v>-7.5955015236693346E-2</v>
      </c>
      <c r="R36" s="16" t="s">
        <v>83</v>
      </c>
      <c r="S36" s="16">
        <v>-8.6907072990051515E-2</v>
      </c>
      <c r="T36" s="18" t="s">
        <v>83</v>
      </c>
    </row>
    <row r="37" spans="2:20" x14ac:dyDescent="0.2">
      <c r="B37" s="9"/>
      <c r="C37" s="11" t="s">
        <v>51</v>
      </c>
      <c r="D37" s="37" t="s">
        <v>17</v>
      </c>
      <c r="E37" s="39"/>
      <c r="F37" s="37" t="s">
        <v>35</v>
      </c>
      <c r="G37" s="12">
        <v>3.89</v>
      </c>
      <c r="H37" s="12">
        <v>3.0141895680000004</v>
      </c>
      <c r="I37" s="12">
        <v>46.751040658080008</v>
      </c>
      <c r="J37" s="15">
        <v>-1.6556291390727527E-3</v>
      </c>
      <c r="K37" s="15">
        <v>-0.22514406992287905</v>
      </c>
      <c r="L37" s="15">
        <v>-0.23229971077378575</v>
      </c>
      <c r="M37" s="15">
        <v>6.9203939184203617E-2</v>
      </c>
      <c r="N37" s="15">
        <v>5.1799939184203614E-2</v>
      </c>
      <c r="O37" s="15">
        <v>9.3821999999999989E-2</v>
      </c>
      <c r="P37" s="19">
        <v>0.83524762801681329</v>
      </c>
      <c r="Q37" s="16">
        <v>-0.10339398986887016</v>
      </c>
      <c r="R37" s="16" t="s">
        <v>83</v>
      </c>
      <c r="S37" s="16">
        <v>-0.16827111167583231</v>
      </c>
      <c r="T37" s="18" t="s">
        <v>83</v>
      </c>
    </row>
    <row r="38" spans="2:20" x14ac:dyDescent="0.2">
      <c r="B38" s="9"/>
      <c r="C38" s="11" t="s">
        <v>52</v>
      </c>
      <c r="D38" s="37" t="s">
        <v>159</v>
      </c>
      <c r="E38" s="39"/>
      <c r="F38" s="37" t="s">
        <v>53</v>
      </c>
      <c r="G38" s="12">
        <v>3.5139999999999998</v>
      </c>
      <c r="H38" s="12">
        <v>3.925453987</v>
      </c>
      <c r="I38" s="12">
        <v>16.835000000000001</v>
      </c>
      <c r="J38" s="15">
        <v>-1.6359918200409083E-2</v>
      </c>
      <c r="K38" s="15">
        <v>0.1170899223107571</v>
      </c>
      <c r="L38" s="15">
        <v>-3.4200660928530469E-2</v>
      </c>
      <c r="M38" s="15">
        <v>4.3013165660825664E-2</v>
      </c>
      <c r="N38" s="15">
        <v>2.5609165660825665E-2</v>
      </c>
      <c r="O38" s="15">
        <v>5.8992000000000003E-2</v>
      </c>
      <c r="P38" s="19">
        <v>1.3232655385042873</v>
      </c>
      <c r="Q38" s="16">
        <v>-3.8885154975017988E-3</v>
      </c>
      <c r="R38" s="16" t="s">
        <v>83</v>
      </c>
      <c r="S38" s="16">
        <v>5.0345375793841463E-2</v>
      </c>
      <c r="T38" s="18" t="s">
        <v>83</v>
      </c>
    </row>
    <row r="39" spans="2:20" x14ac:dyDescent="0.2">
      <c r="B39" s="9"/>
      <c r="C39" s="11" t="s">
        <v>99</v>
      </c>
      <c r="D39" s="37" t="s">
        <v>160</v>
      </c>
      <c r="E39" s="39"/>
      <c r="F39" s="37" t="s">
        <v>100</v>
      </c>
      <c r="G39" s="12">
        <v>2.4900000000000002</v>
      </c>
      <c r="H39" s="12">
        <v>3.0579681860000001</v>
      </c>
      <c r="I39" s="12">
        <v>17.004000000000001</v>
      </c>
      <c r="J39" s="15">
        <v>-8.3974807557733386E-3</v>
      </c>
      <c r="K39" s="15">
        <v>0.22809967309236945</v>
      </c>
      <c r="L39" s="15">
        <v>1.8421196762762326E-2</v>
      </c>
      <c r="M39" s="15">
        <v>4.3430148582686422E-2</v>
      </c>
      <c r="N39" s="15">
        <v>2.6026148582686422E-2</v>
      </c>
      <c r="O39" s="15">
        <v>6.0988000000000001E-2</v>
      </c>
      <c r="P39" s="19">
        <v>1.2151887786308084</v>
      </c>
      <c r="Q39" s="16">
        <v>-0.21889679704268561</v>
      </c>
      <c r="R39" s="16" t="s">
        <v>83</v>
      </c>
      <c r="S39" s="16">
        <v>-3.0303030170085732E-2</v>
      </c>
      <c r="T39" s="18" t="s">
        <v>83</v>
      </c>
    </row>
    <row r="40" spans="2:20" x14ac:dyDescent="0.2">
      <c r="B40" s="9"/>
      <c r="C40" s="11" t="s">
        <v>133</v>
      </c>
      <c r="D40" s="37" t="s">
        <v>161</v>
      </c>
      <c r="E40" s="39"/>
      <c r="F40" s="37" t="s">
        <v>121</v>
      </c>
      <c r="G40" s="12">
        <v>4.0620000000000003</v>
      </c>
      <c r="H40" s="12">
        <v>3.8931472249999999</v>
      </c>
      <c r="I40" s="12">
        <v>11.055</v>
      </c>
      <c r="J40" s="15">
        <v>3.8136747480252194E-3</v>
      </c>
      <c r="K40" s="15">
        <v>-4.1568876169374769E-2</v>
      </c>
      <c r="L40" s="15">
        <v>-6.4292228421005793E-2</v>
      </c>
      <c r="M40" s="15">
        <v>5.1608040199004973E-2</v>
      </c>
      <c r="N40" s="15">
        <v>3.420404019900497E-2</v>
      </c>
      <c r="O40" s="15">
        <v>6.9296999999999997E-2</v>
      </c>
      <c r="P40" s="19">
        <v>0.89583864101155286</v>
      </c>
      <c r="Q40" s="16">
        <v>-0.12619957904753809</v>
      </c>
      <c r="R40" s="16" t="s">
        <v>83</v>
      </c>
      <c r="S40" s="16">
        <v>0.15821535341882598</v>
      </c>
      <c r="T40" s="18" t="s">
        <v>83</v>
      </c>
    </row>
    <row r="41" spans="2:20" x14ac:dyDescent="0.2">
      <c r="B41" s="9"/>
      <c r="C41" s="11" t="s">
        <v>134</v>
      </c>
      <c r="D41" s="37" t="s">
        <v>162</v>
      </c>
      <c r="E41" s="39"/>
      <c r="F41" s="37" t="s">
        <v>122</v>
      </c>
      <c r="G41" s="12">
        <v>2.79</v>
      </c>
      <c r="H41" s="12">
        <v>3.2418191630000006</v>
      </c>
      <c r="I41" s="12">
        <v>12.364000000000003</v>
      </c>
      <c r="J41" s="15">
        <v>2.2697795071336272E-3</v>
      </c>
      <c r="K41" s="15">
        <v>0.16194235232974941</v>
      </c>
      <c r="L41" s="15">
        <v>-0.13318332498731067</v>
      </c>
      <c r="M41" s="15">
        <v>4.7171609754124863E-2</v>
      </c>
      <c r="N41" s="15">
        <v>2.9767609754124864E-2</v>
      </c>
      <c r="O41" s="15">
        <v>4.8799999999999996E-2</v>
      </c>
      <c r="P41" s="19">
        <v>1.2300585920019749</v>
      </c>
      <c r="Q41" s="16">
        <v>-9.3213751018285662E-2</v>
      </c>
      <c r="R41" s="16" t="s">
        <v>83</v>
      </c>
      <c r="S41" s="16">
        <v>-8.3546054478795928E-2</v>
      </c>
      <c r="T41" s="18" t="s">
        <v>83</v>
      </c>
    </row>
    <row r="42" spans="2:20" x14ac:dyDescent="0.2">
      <c r="B42" s="9"/>
      <c r="C42" s="11" t="s">
        <v>181</v>
      </c>
      <c r="D42" s="37" t="s">
        <v>182</v>
      </c>
      <c r="E42" s="39"/>
      <c r="F42" s="37" t="s">
        <v>183</v>
      </c>
      <c r="G42" s="12">
        <v>2.6280000000000001</v>
      </c>
      <c r="H42" s="12">
        <v>2.3991355520000002</v>
      </c>
      <c r="I42" s="12">
        <v>17.792000000000002</v>
      </c>
      <c r="J42" s="15">
        <v>-2.6905829596412549E-3</v>
      </c>
      <c r="K42" s="15">
        <v>-8.7086928462709268E-2</v>
      </c>
      <c r="L42" s="15">
        <v>-0.20473736938601106</v>
      </c>
      <c r="M42" s="15">
        <v>7.0068554631294966E-2</v>
      </c>
      <c r="N42" s="15">
        <v>5.2664554631294963E-2</v>
      </c>
      <c r="O42" s="15">
        <v>8.6973000000000009E-2</v>
      </c>
      <c r="P42" s="19">
        <v>0.95266368415151648</v>
      </c>
      <c r="Q42" s="16">
        <v>1.0735740466224275E-2</v>
      </c>
      <c r="R42" s="16" t="s">
        <v>83</v>
      </c>
      <c r="S42" s="16">
        <v>2.7815795118628417E-2</v>
      </c>
      <c r="T42" s="18" t="s">
        <v>83</v>
      </c>
    </row>
    <row r="43" spans="2:20" x14ac:dyDescent="0.2">
      <c r="B43" s="9"/>
      <c r="C43" s="11" t="s">
        <v>192</v>
      </c>
      <c r="D43" s="37" t="s">
        <v>193</v>
      </c>
      <c r="E43" s="39"/>
      <c r="F43" s="37" t="s">
        <v>194</v>
      </c>
      <c r="G43" s="12">
        <v>2.895</v>
      </c>
      <c r="H43" s="12">
        <v>4.0579943600000004</v>
      </c>
      <c r="I43" s="12">
        <v>15.544</v>
      </c>
      <c r="J43" s="15">
        <v>-1.1195928753180649E-2</v>
      </c>
      <c r="K43" s="15">
        <v>0.40172516753022469</v>
      </c>
      <c r="L43" s="15">
        <v>-2.9808594272101585E-2</v>
      </c>
      <c r="M43" s="15">
        <v>4.1034513835992457E-2</v>
      </c>
      <c r="N43" s="15">
        <v>2.3630513835992458E-2</v>
      </c>
      <c r="O43" s="15">
        <v>4.1860000000000001E-2</v>
      </c>
      <c r="P43" s="19">
        <v>1.3457060110676629</v>
      </c>
      <c r="Q43" s="16" t="s">
        <v>83</v>
      </c>
      <c r="R43" s="16" t="s">
        <v>83</v>
      </c>
      <c r="S43" s="16" t="s">
        <v>83</v>
      </c>
      <c r="T43" s="18" t="s">
        <v>83</v>
      </c>
    </row>
    <row r="44" spans="2:20" x14ac:dyDescent="0.2">
      <c r="B44" s="9"/>
      <c r="C44" s="11" t="s">
        <v>198</v>
      </c>
      <c r="D44" s="13" t="s">
        <v>199</v>
      </c>
      <c r="E44" s="39"/>
      <c r="F44" s="37" t="s">
        <v>200</v>
      </c>
      <c r="G44" s="12">
        <v>3.29</v>
      </c>
      <c r="H44" s="12">
        <v>3.5902137060000006</v>
      </c>
      <c r="I44" s="12">
        <v>34.83</v>
      </c>
      <c r="J44" s="15">
        <v>-5.4254711593373943E-3</v>
      </c>
      <c r="K44" s="15">
        <v>9.1250366565349683E-2</v>
      </c>
      <c r="L44" s="15">
        <v>-0.12021803286982437</v>
      </c>
      <c r="M44" s="15">
        <v>4.7975998690783811E-2</v>
      </c>
      <c r="N44" s="15">
        <v>3.0571998690783812E-2</v>
      </c>
      <c r="O44" s="15">
        <v>6.0727000000000003E-2</v>
      </c>
      <c r="P44" s="19">
        <v>1.0900731629565759</v>
      </c>
      <c r="Q44" s="16" t="s">
        <v>83</v>
      </c>
      <c r="R44" s="16" t="s">
        <v>83</v>
      </c>
      <c r="S44" s="16" t="s">
        <v>83</v>
      </c>
      <c r="T44" s="18" t="s">
        <v>83</v>
      </c>
    </row>
    <row r="45" spans="2:20" x14ac:dyDescent="0.2">
      <c r="B45" s="9"/>
      <c r="C45" s="11" t="s">
        <v>212</v>
      </c>
      <c r="D45" s="13" t="s">
        <v>213</v>
      </c>
      <c r="E45" s="39"/>
      <c r="F45" s="37" t="s">
        <v>214</v>
      </c>
      <c r="G45" s="12">
        <v>3.2770000000000001</v>
      </c>
      <c r="H45" s="12">
        <v>3.8141642000000004</v>
      </c>
      <c r="I45" s="12">
        <v>14.96</v>
      </c>
      <c r="J45" s="15">
        <v>0</v>
      </c>
      <c r="K45" s="15">
        <v>0.16391949954226437</v>
      </c>
      <c r="L45" s="15">
        <v>-8.0702771752229396E-2</v>
      </c>
      <c r="M45" s="15">
        <v>4.3153384231283419E-2</v>
      </c>
      <c r="N45" s="15">
        <v>2.574938423128342E-2</v>
      </c>
      <c r="O45" s="15">
        <v>4.5693000000000004E-2</v>
      </c>
      <c r="P45" s="19">
        <v>1.2035837008651329</v>
      </c>
      <c r="Q45" s="16" t="s">
        <v>83</v>
      </c>
      <c r="R45" s="16">
        <v>8.0368176316341855E-2</v>
      </c>
      <c r="S45" s="16" t="s">
        <v>83</v>
      </c>
      <c r="T45" s="18">
        <v>6.3682368043321544E-2</v>
      </c>
    </row>
    <row r="46" spans="2:20" x14ac:dyDescent="0.2">
      <c r="B46" s="9"/>
      <c r="C46" s="11" t="s">
        <v>238</v>
      </c>
      <c r="D46" s="37" t="s">
        <v>239</v>
      </c>
      <c r="E46" s="40"/>
      <c r="F46" s="37" t="s">
        <v>240</v>
      </c>
      <c r="G46" s="12">
        <v>6.1210000000000004</v>
      </c>
      <c r="H46" s="12">
        <v>4.9082014440000004</v>
      </c>
      <c r="I46" s="12">
        <v>19.244</v>
      </c>
      <c r="J46" s="15">
        <v>-1.3735137351373574E-2</v>
      </c>
      <c r="K46" s="15">
        <v>-0.19813732331318412</v>
      </c>
      <c r="L46" s="15">
        <v>-0.15083020000000003</v>
      </c>
      <c r="M46" s="15">
        <v>5.5620766056952813E-2</v>
      </c>
      <c r="N46" s="15">
        <v>3.8216766056952817E-2</v>
      </c>
      <c r="O46" s="15">
        <v>6.8407999999999997E-2</v>
      </c>
      <c r="P46" s="19">
        <v>0.8658348743550166</v>
      </c>
      <c r="Q46" s="16" t="s">
        <v>83</v>
      </c>
      <c r="R46" s="16">
        <v>0.27497261900718101</v>
      </c>
      <c r="S46" s="16" t="s">
        <v>83</v>
      </c>
      <c r="T46" s="18">
        <v>0.24999516679351394</v>
      </c>
    </row>
    <row r="47" spans="2:20" x14ac:dyDescent="0.2">
      <c r="B47" s="9"/>
      <c r="C47" s="11" t="s">
        <v>54</v>
      </c>
      <c r="D47" s="37" t="s">
        <v>18</v>
      </c>
      <c r="E47" s="38" t="s">
        <v>163</v>
      </c>
      <c r="F47" s="37" t="s">
        <v>55</v>
      </c>
      <c r="G47" s="12">
        <v>2.6</v>
      </c>
      <c r="H47" s="12">
        <v>4.3939020949999996</v>
      </c>
      <c r="I47" s="12">
        <v>27.855737060800003</v>
      </c>
      <c r="J47" s="15">
        <v>-2.5542784163475555E-3</v>
      </c>
      <c r="K47" s="15">
        <v>0.68996234423076896</v>
      </c>
      <c r="L47" s="15">
        <v>-6.9870118663500125E-2</v>
      </c>
      <c r="M47" s="15">
        <v>3.0059495165121013E-2</v>
      </c>
      <c r="N47" s="15">
        <v>1.2655495165121013E-2</v>
      </c>
      <c r="O47" s="15">
        <v>4.2492999999999996E-2</v>
      </c>
      <c r="P47" s="19">
        <v>1.6509944716529819</v>
      </c>
      <c r="Q47" s="16">
        <v>2.2158237005238446E-2</v>
      </c>
      <c r="R47" s="16" t="s">
        <v>83</v>
      </c>
      <c r="S47" s="16">
        <v>1.2697700942051693E-2</v>
      </c>
      <c r="T47" s="18" t="s">
        <v>83</v>
      </c>
    </row>
    <row r="48" spans="2:20" x14ac:dyDescent="0.2">
      <c r="B48" s="9"/>
      <c r="C48" s="11" t="s">
        <v>56</v>
      </c>
      <c r="D48" s="37" t="s">
        <v>19</v>
      </c>
      <c r="E48" s="39"/>
      <c r="F48" s="37" t="s">
        <v>55</v>
      </c>
      <c r="G48" s="12">
        <v>2.5099999999999998</v>
      </c>
      <c r="H48" s="12">
        <v>4.2639595219999995</v>
      </c>
      <c r="I48" s="12">
        <v>27.759276284969996</v>
      </c>
      <c r="J48" s="15">
        <v>-1.9693094629156072E-2</v>
      </c>
      <c r="K48" s="15">
        <v>0.69878865418326686</v>
      </c>
      <c r="L48" s="15">
        <v>-4.8010064824273613E-2</v>
      </c>
      <c r="M48" s="15">
        <v>3.0887752833051646E-2</v>
      </c>
      <c r="N48" s="15">
        <v>1.3483752833051647E-2</v>
      </c>
      <c r="O48" s="15">
        <v>3.8421999999999998E-2</v>
      </c>
      <c r="P48" s="19">
        <v>1.3431111080778964</v>
      </c>
      <c r="Q48" s="16" t="s">
        <v>83</v>
      </c>
      <c r="R48" s="16">
        <v>0.25721887219131206</v>
      </c>
      <c r="S48" s="16" t="s">
        <v>83</v>
      </c>
      <c r="T48" s="18">
        <v>0.2609436774851302</v>
      </c>
    </row>
    <row r="49" spans="2:20" x14ac:dyDescent="0.2">
      <c r="B49" s="9"/>
      <c r="C49" s="11" t="s">
        <v>57</v>
      </c>
      <c r="D49" s="37" t="s">
        <v>20</v>
      </c>
      <c r="E49" s="39"/>
      <c r="F49" s="37" t="s">
        <v>55</v>
      </c>
      <c r="G49" s="12">
        <v>2.484</v>
      </c>
      <c r="H49" s="12">
        <v>3.7492062809999998</v>
      </c>
      <c r="I49" s="12">
        <v>16.635000000000002</v>
      </c>
      <c r="J49" s="15">
        <v>-1.0410469958358219E-2</v>
      </c>
      <c r="K49" s="15">
        <v>0.50934230314009654</v>
      </c>
      <c r="L49" s="15">
        <v>-4.3857100873036965E-2</v>
      </c>
      <c r="M49" s="15">
        <v>2.8818359248572283E-2</v>
      </c>
      <c r="N49" s="15">
        <v>1.1414359248572283E-2</v>
      </c>
      <c r="O49" s="15">
        <v>3.0842000000000001E-2</v>
      </c>
      <c r="P49" s="19">
        <v>1.4294508169356648</v>
      </c>
      <c r="Q49" s="16">
        <v>3.6728177772597626E-2</v>
      </c>
      <c r="R49" s="16" t="s">
        <v>83</v>
      </c>
      <c r="S49" s="16">
        <v>2.293447707979368E-2</v>
      </c>
      <c r="T49" s="18" t="s">
        <v>83</v>
      </c>
    </row>
    <row r="50" spans="2:20" x14ac:dyDescent="0.2">
      <c r="B50" s="9"/>
      <c r="C50" s="11" t="s">
        <v>58</v>
      </c>
      <c r="D50" s="37" t="s">
        <v>21</v>
      </c>
      <c r="E50" s="39"/>
      <c r="F50" s="37" t="s">
        <v>59</v>
      </c>
      <c r="G50" s="12">
        <v>2.4169999999999998</v>
      </c>
      <c r="H50" s="12">
        <v>3.3854810040000003</v>
      </c>
      <c r="I50" s="12">
        <v>25.761296738159995</v>
      </c>
      <c r="J50" s="15">
        <v>1.1049723756906954E-3</v>
      </c>
      <c r="K50" s="15">
        <v>0.40069549193214749</v>
      </c>
      <c r="L50" s="15">
        <v>-6.8319197220281791E-2</v>
      </c>
      <c r="M50" s="15">
        <v>3.4612967532770558E-2</v>
      </c>
      <c r="N50" s="15">
        <v>1.7208967532770559E-2</v>
      </c>
      <c r="O50" s="15">
        <v>4.3887000000000002E-2</v>
      </c>
      <c r="P50" s="19">
        <v>1.3521659784606785</v>
      </c>
      <c r="Q50" s="16" t="s">
        <v>83</v>
      </c>
      <c r="R50" s="16">
        <v>0.23479365460395688</v>
      </c>
      <c r="S50" s="16" t="s">
        <v>83</v>
      </c>
      <c r="T50" s="18">
        <v>0.25275465298392003</v>
      </c>
    </row>
    <row r="51" spans="2:20" x14ac:dyDescent="0.2">
      <c r="B51" s="9"/>
      <c r="C51" s="11" t="s">
        <v>60</v>
      </c>
      <c r="D51" s="37" t="s">
        <v>229</v>
      </c>
      <c r="E51" s="39"/>
      <c r="F51" s="37" t="s">
        <v>61</v>
      </c>
      <c r="G51" s="12">
        <v>3.05</v>
      </c>
      <c r="H51" s="12">
        <v>4.0179926899999998</v>
      </c>
      <c r="I51" s="12">
        <v>37.549999999999997</v>
      </c>
      <c r="J51" s="15">
        <v>-7.9260237780715455E-3</v>
      </c>
      <c r="K51" s="15">
        <v>0.31737465245901642</v>
      </c>
      <c r="L51" s="15">
        <v>-1.8330334691084249E-2</v>
      </c>
      <c r="M51" s="15">
        <v>3.4627170487350208E-2</v>
      </c>
      <c r="N51" s="15">
        <v>1.7223170487350208E-2</v>
      </c>
      <c r="O51" s="15">
        <v>4.9006999999999995E-2</v>
      </c>
      <c r="P51" s="19">
        <v>1.2886984372182975</v>
      </c>
      <c r="Q51" s="16">
        <v>1.2658525219303218E-2</v>
      </c>
      <c r="R51" s="16" t="s">
        <v>83</v>
      </c>
      <c r="S51" s="16">
        <v>6.2169902914002151E-3</v>
      </c>
      <c r="T51" s="18" t="s">
        <v>83</v>
      </c>
    </row>
    <row r="52" spans="2:20" x14ac:dyDescent="0.2">
      <c r="B52" s="9"/>
      <c r="C52" s="11" t="s">
        <v>112</v>
      </c>
      <c r="D52" s="37" t="s">
        <v>164</v>
      </c>
      <c r="E52" s="39"/>
      <c r="F52" s="37" t="s">
        <v>113</v>
      </c>
      <c r="G52" s="12">
        <v>2.7269999999999999</v>
      </c>
      <c r="H52" s="12">
        <v>3.5646570630000003</v>
      </c>
      <c r="I52" s="12">
        <v>16.995000000000001</v>
      </c>
      <c r="J52" s="15">
        <v>-1.1918604651162686E-2</v>
      </c>
      <c r="K52" s="15">
        <v>0.30717164026402655</v>
      </c>
      <c r="L52" s="15">
        <v>-2.6902360485628662E-2</v>
      </c>
      <c r="M52" s="15">
        <v>3.4400095581053246E-2</v>
      </c>
      <c r="N52" s="15">
        <v>1.6996095581053246E-2</v>
      </c>
      <c r="O52" s="15">
        <v>3.4345000000000001E-2</v>
      </c>
      <c r="P52" s="19">
        <v>1.2425600824151986</v>
      </c>
      <c r="Q52" s="16">
        <v>0.12728586291195687</v>
      </c>
      <c r="R52" s="16" t="s">
        <v>83</v>
      </c>
      <c r="S52" s="16">
        <v>0.14041627498966269</v>
      </c>
      <c r="T52" s="18" t="s">
        <v>83</v>
      </c>
    </row>
    <row r="53" spans="2:20" x14ac:dyDescent="0.2">
      <c r="B53" s="9"/>
      <c r="C53" s="11" t="s">
        <v>195</v>
      </c>
      <c r="D53" s="37" t="s">
        <v>196</v>
      </c>
      <c r="E53" s="39"/>
      <c r="F53" s="37" t="s">
        <v>197</v>
      </c>
      <c r="G53" s="12">
        <v>2.7240000000000002</v>
      </c>
      <c r="H53" s="12">
        <v>3.4031409249999998</v>
      </c>
      <c r="I53" s="12">
        <v>16.375</v>
      </c>
      <c r="J53" s="15">
        <v>1.0802469135802356E-2</v>
      </c>
      <c r="K53" s="15">
        <v>0.24931752019089548</v>
      </c>
      <c r="L53" s="15">
        <v>-5.3691548588126414E-2</v>
      </c>
      <c r="M53" s="15">
        <v>3.1673083377099238E-2</v>
      </c>
      <c r="N53" s="15">
        <v>1.4269083377099239E-2</v>
      </c>
      <c r="O53" s="15">
        <v>4.0195999999999996E-2</v>
      </c>
      <c r="P53" s="19">
        <v>1.2413931852022777</v>
      </c>
      <c r="Q53" s="16" t="s">
        <v>83</v>
      </c>
      <c r="R53" s="16" t="s">
        <v>83</v>
      </c>
      <c r="S53" s="16" t="s">
        <v>83</v>
      </c>
      <c r="T53" s="18" t="s">
        <v>83</v>
      </c>
    </row>
    <row r="54" spans="2:20" x14ac:dyDescent="0.2">
      <c r="B54" s="9"/>
      <c r="C54" s="11" t="s">
        <v>202</v>
      </c>
      <c r="D54" s="13" t="s">
        <v>233</v>
      </c>
      <c r="E54" s="39"/>
      <c r="F54" s="37" t="s">
        <v>203</v>
      </c>
      <c r="G54" s="12">
        <v>2.734</v>
      </c>
      <c r="H54" s="12">
        <v>3.472686634</v>
      </c>
      <c r="I54" s="12">
        <v>17.015000000000001</v>
      </c>
      <c r="J54" s="15">
        <v>-6.7133683596030894E-3</v>
      </c>
      <c r="K54" s="15">
        <v>0.27018530870519375</v>
      </c>
      <c r="L54" s="15">
        <v>-5.7299371574617064E-2</v>
      </c>
      <c r="M54" s="15">
        <v>3.2697560975609753E-2</v>
      </c>
      <c r="N54" s="15">
        <v>1.5293560975609754E-2</v>
      </c>
      <c r="O54" s="15">
        <v>3.7484000000000003E-2</v>
      </c>
      <c r="P54" s="19">
        <v>1.3109059355736039</v>
      </c>
      <c r="Q54" s="16" t="s">
        <v>83</v>
      </c>
      <c r="R54" s="16">
        <v>0.24986347742034787</v>
      </c>
      <c r="S54" s="16" t="s">
        <v>83</v>
      </c>
      <c r="T54" s="18">
        <v>0.25955191309771386</v>
      </c>
    </row>
    <row r="55" spans="2:20" x14ac:dyDescent="0.2">
      <c r="B55" s="9"/>
      <c r="C55" s="11" t="s">
        <v>257</v>
      </c>
      <c r="D55" s="37" t="s">
        <v>258</v>
      </c>
      <c r="E55" s="40"/>
      <c r="F55" s="37" t="s">
        <v>259</v>
      </c>
      <c r="G55" s="12">
        <v>2.3170000000000002</v>
      </c>
      <c r="H55" s="12">
        <v>2.7120000000000002</v>
      </c>
      <c r="I55" s="12">
        <v>10.848000000000003</v>
      </c>
      <c r="J55" s="15">
        <v>7.0553286297809605E-3</v>
      </c>
      <c r="K55" s="15">
        <v>0.17047906776003452</v>
      </c>
      <c r="L55" s="15">
        <v>-2.4460431654676151E-2</v>
      </c>
      <c r="M55" s="15">
        <v>3.1707307448377568E-2</v>
      </c>
      <c r="N55" s="15">
        <v>1.4303307448377569E-2</v>
      </c>
      <c r="O55" s="15">
        <v>3.1844999999999998E-2</v>
      </c>
      <c r="P55" s="19">
        <v>1.310144927536232</v>
      </c>
      <c r="Q55" s="16" t="s">
        <v>83</v>
      </c>
      <c r="R55" s="16" t="s">
        <v>83</v>
      </c>
      <c r="S55" s="16" t="s">
        <v>83</v>
      </c>
      <c r="T55" s="18" t="s">
        <v>83</v>
      </c>
    </row>
    <row r="56" spans="2:20" x14ac:dyDescent="0.2">
      <c r="B56" s="9"/>
      <c r="C56" s="11" t="s">
        <v>84</v>
      </c>
      <c r="D56" s="37" t="s">
        <v>165</v>
      </c>
      <c r="E56" s="41" t="s">
        <v>166</v>
      </c>
      <c r="F56" s="37" t="s">
        <v>85</v>
      </c>
      <c r="G56" s="12">
        <v>2.383</v>
      </c>
      <c r="H56" s="12">
        <v>4.08853095</v>
      </c>
      <c r="I56" s="12">
        <v>14.952</v>
      </c>
      <c r="J56" s="15">
        <v>-2.6745119015762444E-4</v>
      </c>
      <c r="K56" s="15">
        <v>0.71570749055812</v>
      </c>
      <c r="L56" s="15">
        <v>-4.1182012936235246E-2</v>
      </c>
      <c r="M56" s="15">
        <v>4.6345346161048698E-2</v>
      </c>
      <c r="N56" s="15">
        <v>2.8941346161048698E-2</v>
      </c>
      <c r="O56" s="15">
        <v>7.5709999999999996E-3</v>
      </c>
      <c r="P56" s="19">
        <v>1.4808735644885598</v>
      </c>
      <c r="Q56" s="16">
        <v>6.9653487716434093E-2</v>
      </c>
      <c r="R56" s="16" t="s">
        <v>83</v>
      </c>
      <c r="S56" s="16">
        <v>4.6123961721011852E-3</v>
      </c>
      <c r="T56" s="18" t="s">
        <v>83</v>
      </c>
    </row>
    <row r="57" spans="2:20" x14ac:dyDescent="0.2">
      <c r="B57" s="9"/>
      <c r="C57" s="11" t="s">
        <v>86</v>
      </c>
      <c r="D57" s="37" t="s">
        <v>260</v>
      </c>
      <c r="E57" s="41"/>
      <c r="F57" s="37" t="s">
        <v>85</v>
      </c>
      <c r="G57" s="12">
        <v>2.67</v>
      </c>
      <c r="H57" s="12">
        <v>4.0034748069999999</v>
      </c>
      <c r="I57" s="12">
        <v>14.596</v>
      </c>
      <c r="J57" s="15">
        <v>-1.325040562466202E-2</v>
      </c>
      <c r="K57" s="15">
        <v>0.49942876666666658</v>
      </c>
      <c r="L57" s="15">
        <v>-2.0864741095048878E-2</v>
      </c>
      <c r="M57" s="15">
        <v>3.9447142285557686E-2</v>
      </c>
      <c r="N57" s="15">
        <v>2.2043142285557687E-2</v>
      </c>
      <c r="O57" s="15">
        <v>3.8740999999999998E-2</v>
      </c>
      <c r="P57" s="19">
        <v>1.4400913055417144</v>
      </c>
      <c r="Q57" s="16">
        <v>5.810638564140036E-2</v>
      </c>
      <c r="R57" s="16" t="s">
        <v>83</v>
      </c>
      <c r="S57" s="16">
        <v>4.290642181517379E-2</v>
      </c>
      <c r="T57" s="18" t="s">
        <v>83</v>
      </c>
    </row>
    <row r="58" spans="2:20" x14ac:dyDescent="0.2">
      <c r="B58" s="9"/>
      <c r="C58" s="11" t="s">
        <v>87</v>
      </c>
      <c r="D58" s="37" t="s">
        <v>261</v>
      </c>
      <c r="E58" s="41"/>
      <c r="F58" s="37" t="s">
        <v>88</v>
      </c>
      <c r="G58" s="12">
        <v>6.9020000000000001</v>
      </c>
      <c r="H58" s="12">
        <v>10.4656032</v>
      </c>
      <c r="I58" s="12">
        <v>96</v>
      </c>
      <c r="J58" s="15">
        <v>-2.0790020790020739E-3</v>
      </c>
      <c r="K58" s="15">
        <v>0.51631457548536663</v>
      </c>
      <c r="L58" s="15">
        <v>-4.5472059709982249E-3</v>
      </c>
      <c r="M58" s="15">
        <v>3.8222351543749998E-2</v>
      </c>
      <c r="N58" s="15">
        <v>2.0818351543749999E-2</v>
      </c>
      <c r="O58" s="15">
        <v>3.2878999999999999E-2</v>
      </c>
      <c r="P58" s="19">
        <v>1.4369524724331613</v>
      </c>
      <c r="Q58" s="16">
        <v>0.1207387602774368</v>
      </c>
      <c r="R58" s="16" t="s">
        <v>83</v>
      </c>
      <c r="S58" s="16">
        <v>2.1199991245737904E-2</v>
      </c>
      <c r="T58" s="18" t="s">
        <v>83</v>
      </c>
    </row>
    <row r="59" spans="2:20" x14ac:dyDescent="0.2">
      <c r="B59" s="9"/>
      <c r="C59" s="11" t="s">
        <v>93</v>
      </c>
      <c r="D59" s="37" t="s">
        <v>167</v>
      </c>
      <c r="E59" s="41"/>
      <c r="F59" s="37" t="s">
        <v>94</v>
      </c>
      <c r="G59" s="12">
        <v>3.26</v>
      </c>
      <c r="H59" s="12">
        <v>4.2445905599999998</v>
      </c>
      <c r="I59" s="12">
        <v>38.840000000000003</v>
      </c>
      <c r="J59" s="15">
        <v>-6.6496163682866058E-3</v>
      </c>
      <c r="K59" s="15">
        <v>0.30202164417177912</v>
      </c>
      <c r="L59" s="15">
        <v>-4.5127806335850999E-2</v>
      </c>
      <c r="M59" s="15">
        <v>4.469137531668383E-2</v>
      </c>
      <c r="N59" s="15">
        <v>2.7287375316683831E-2</v>
      </c>
      <c r="O59" s="15">
        <v>4.9623999999999995E-2</v>
      </c>
      <c r="P59" s="19">
        <v>1.2396747759307187</v>
      </c>
      <c r="Q59" s="16">
        <v>5.8259337072645856E-3</v>
      </c>
      <c r="R59" s="16" t="s">
        <v>83</v>
      </c>
      <c r="S59" s="16">
        <v>-7.2563448695556199E-3</v>
      </c>
      <c r="T59" s="18" t="s">
        <v>83</v>
      </c>
    </row>
    <row r="60" spans="2:20" x14ac:dyDescent="0.2">
      <c r="B60" s="9"/>
      <c r="C60" s="11" t="s">
        <v>103</v>
      </c>
      <c r="D60" s="37" t="s">
        <v>168</v>
      </c>
      <c r="E60" s="41"/>
      <c r="F60" s="37" t="s">
        <v>104</v>
      </c>
      <c r="G60" s="12">
        <v>2.3319999999999999</v>
      </c>
      <c r="H60" s="12">
        <v>3.1047876900000002</v>
      </c>
      <c r="I60" s="12">
        <v>28.9</v>
      </c>
      <c r="J60" s="15">
        <v>-1.7675050985724028E-2</v>
      </c>
      <c r="K60" s="15">
        <v>0.33138408662092633</v>
      </c>
      <c r="L60" s="15">
        <v>-2.6380283156215212E-2</v>
      </c>
      <c r="M60" s="15">
        <v>4.9037728653979241E-2</v>
      </c>
      <c r="N60" s="15">
        <v>3.1633728653979246E-2</v>
      </c>
      <c r="O60" s="15">
        <v>2.4385E-2</v>
      </c>
      <c r="P60" s="19">
        <v>1.4115940823650208</v>
      </c>
      <c r="Q60" s="16">
        <v>-1.7365571685053371E-2</v>
      </c>
      <c r="R60" s="16" t="s">
        <v>83</v>
      </c>
      <c r="S60" s="16">
        <v>-8.7840359094048859E-2</v>
      </c>
      <c r="T60" s="18" t="s">
        <v>83</v>
      </c>
    </row>
    <row r="61" spans="2:20" x14ac:dyDescent="0.2">
      <c r="B61" s="9"/>
      <c r="C61" s="11" t="s">
        <v>169</v>
      </c>
      <c r="D61" s="37" t="s">
        <v>170</v>
      </c>
      <c r="E61" s="41"/>
      <c r="F61" s="37" t="s">
        <v>105</v>
      </c>
      <c r="G61" s="12">
        <v>2.468</v>
      </c>
      <c r="H61" s="12">
        <v>4.3449566159999993</v>
      </c>
      <c r="I61" s="12">
        <v>32.927999999999997</v>
      </c>
      <c r="J61" s="15">
        <v>7.2939460247974628E-4</v>
      </c>
      <c r="K61" s="15">
        <v>0.76051726742301429</v>
      </c>
      <c r="L61" s="15">
        <v>5.6424536061031594E-2</v>
      </c>
      <c r="M61" s="15">
        <v>4.2269275321914483E-2</v>
      </c>
      <c r="N61" s="15">
        <v>2.4865275321914484E-2</v>
      </c>
      <c r="O61" s="15">
        <v>3.3755E-2</v>
      </c>
      <c r="P61" s="19">
        <v>1.5403586541913825</v>
      </c>
      <c r="Q61" s="16">
        <v>0.15183155794796588</v>
      </c>
      <c r="R61" s="16" t="s">
        <v>83</v>
      </c>
      <c r="S61" s="16">
        <v>0.33213898378325024</v>
      </c>
      <c r="T61" s="18" t="s">
        <v>83</v>
      </c>
    </row>
    <row r="62" spans="2:20" x14ac:dyDescent="0.2">
      <c r="B62" s="9"/>
      <c r="C62" s="11" t="s">
        <v>108</v>
      </c>
      <c r="D62" s="37" t="s">
        <v>262</v>
      </c>
      <c r="E62" s="41"/>
      <c r="F62" s="37" t="s">
        <v>109</v>
      </c>
      <c r="G62" s="12">
        <v>3.323</v>
      </c>
      <c r="H62" s="12">
        <v>4.7638202280000002</v>
      </c>
      <c r="I62" s="12">
        <v>44.76</v>
      </c>
      <c r="J62" s="15">
        <v>-6.8781894830263878E-3</v>
      </c>
      <c r="K62" s="15">
        <v>0.43359019801384302</v>
      </c>
      <c r="L62" s="15">
        <v>-7.7464614055279268E-3</v>
      </c>
      <c r="M62" s="15">
        <v>4.1016685203306529E-2</v>
      </c>
      <c r="N62" s="15">
        <v>2.3612685203306529E-2</v>
      </c>
      <c r="O62" s="15">
        <v>2.6372E-2</v>
      </c>
      <c r="P62" s="19">
        <v>1.3972353812719296</v>
      </c>
      <c r="Q62" s="16">
        <v>8.0031216254210502E-2</v>
      </c>
      <c r="R62" s="16" t="s">
        <v>83</v>
      </c>
      <c r="S62" s="16">
        <v>3.2437174540027813E-2</v>
      </c>
      <c r="T62" s="18" t="s">
        <v>83</v>
      </c>
    </row>
    <row r="63" spans="2:20" x14ac:dyDescent="0.2">
      <c r="B63" s="9"/>
      <c r="C63" s="11" t="s">
        <v>184</v>
      </c>
      <c r="D63" s="37" t="s">
        <v>185</v>
      </c>
      <c r="E63" s="41"/>
      <c r="F63" s="37" t="s">
        <v>183</v>
      </c>
      <c r="G63" s="12">
        <v>3.0270000000000001</v>
      </c>
      <c r="H63" s="12">
        <v>4.7086211040000006</v>
      </c>
      <c r="I63" s="12">
        <v>22.440000000000005</v>
      </c>
      <c r="J63" s="15">
        <v>-2.2232103156958763E-3</v>
      </c>
      <c r="K63" s="15">
        <v>0.55554050346878103</v>
      </c>
      <c r="L63" s="15">
        <v>-4.286925136262143E-2</v>
      </c>
      <c r="M63" s="15">
        <v>3.8353484224598923E-2</v>
      </c>
      <c r="N63" s="15">
        <v>2.0949484224598924E-2</v>
      </c>
      <c r="O63" s="15">
        <v>2.7328999999999999E-2</v>
      </c>
      <c r="P63" s="19">
        <v>1.5697139573085821</v>
      </c>
      <c r="Q63" s="16" t="s">
        <v>83</v>
      </c>
      <c r="R63" s="16" t="s">
        <v>83</v>
      </c>
      <c r="S63" s="16" t="s">
        <v>83</v>
      </c>
      <c r="T63" s="18" t="s">
        <v>83</v>
      </c>
    </row>
    <row r="64" spans="2:20" x14ac:dyDescent="0.2">
      <c r="B64" s="9"/>
      <c r="C64" s="11" t="s">
        <v>207</v>
      </c>
      <c r="D64" s="37" t="s">
        <v>263</v>
      </c>
      <c r="E64" s="41"/>
      <c r="F64" s="37" t="s">
        <v>208</v>
      </c>
      <c r="G64" s="12">
        <v>3.16</v>
      </c>
      <c r="H64" s="12">
        <v>3.7859925509999997</v>
      </c>
      <c r="I64" s="12">
        <v>18.315000000000001</v>
      </c>
      <c r="J64" s="15">
        <v>-4.6195652173914121E-3</v>
      </c>
      <c r="K64" s="15">
        <v>0.19809890854430368</v>
      </c>
      <c r="L64" s="15">
        <v>-8.7712638313253155E-2</v>
      </c>
      <c r="M64" s="15">
        <v>4.1729049429429427E-2</v>
      </c>
      <c r="N64" s="15">
        <v>2.4325049429429427E-2</v>
      </c>
      <c r="O64" s="15">
        <v>4.3388999999999997E-2</v>
      </c>
      <c r="P64" s="19">
        <v>1.1492981489599527</v>
      </c>
      <c r="Q64" s="16" t="s">
        <v>83</v>
      </c>
      <c r="R64" s="16">
        <v>0.25960558198345551</v>
      </c>
      <c r="S64" s="16" t="s">
        <v>83</v>
      </c>
      <c r="T64" s="18">
        <v>0.27368108165093036</v>
      </c>
    </row>
    <row r="65" spans="2:20" x14ac:dyDescent="0.2">
      <c r="B65" s="9"/>
      <c r="C65" s="11" t="s">
        <v>224</v>
      </c>
      <c r="D65" s="37" t="s">
        <v>225</v>
      </c>
      <c r="E65" s="41"/>
      <c r="F65" s="37" t="s">
        <v>226</v>
      </c>
      <c r="G65" s="12">
        <v>3.48</v>
      </c>
      <c r="H65" s="12">
        <v>4.1856274840000003</v>
      </c>
      <c r="I65" s="12">
        <v>40.869999999999997</v>
      </c>
      <c r="J65" s="15">
        <v>-8.009708737864045E-3</v>
      </c>
      <c r="K65" s="15">
        <v>0.20276651839080473</v>
      </c>
      <c r="L65" s="15">
        <v>-7.6748496917969922E-3</v>
      </c>
      <c r="M65" s="15">
        <v>4.0083679960851486E-2</v>
      </c>
      <c r="N65" s="15">
        <v>2.2679679960851486E-2</v>
      </c>
      <c r="O65" s="15">
        <v>2.1250000000000002E-2</v>
      </c>
      <c r="P65" s="19">
        <v>1.3403406864831278</v>
      </c>
      <c r="Q65" s="16" t="s">
        <v>83</v>
      </c>
      <c r="R65" s="16">
        <v>0.3141057478003989</v>
      </c>
      <c r="S65" s="16" t="s">
        <v>83</v>
      </c>
      <c r="T65" s="18">
        <v>0.28487065400251493</v>
      </c>
    </row>
    <row r="66" spans="2:20" x14ac:dyDescent="0.2">
      <c r="B66" s="9"/>
      <c r="C66" s="11" t="s">
        <v>230</v>
      </c>
      <c r="D66" s="37" t="s">
        <v>264</v>
      </c>
      <c r="E66" s="41"/>
      <c r="F66" s="37" t="s">
        <v>231</v>
      </c>
      <c r="G66" s="12">
        <v>5.718</v>
      </c>
      <c r="H66" s="12">
        <v>5.8649988099999995</v>
      </c>
      <c r="I66" s="12">
        <v>23.187999999999999</v>
      </c>
      <c r="J66" s="15">
        <v>-1.4953271028037512E-2</v>
      </c>
      <c r="K66" s="15">
        <v>2.5708081497026747E-2</v>
      </c>
      <c r="L66" s="15">
        <v>-0.10114960766283543</v>
      </c>
      <c r="M66" s="15">
        <v>4.4637643345696046E-2</v>
      </c>
      <c r="N66" s="15">
        <v>2.7233643345696047E-2</v>
      </c>
      <c r="O66" s="15">
        <v>4.4770999999999998E-2</v>
      </c>
      <c r="P66" s="19">
        <v>1.0648504556857472</v>
      </c>
      <c r="Q66" s="16" t="s">
        <v>83</v>
      </c>
      <c r="R66" s="16">
        <v>0.25773979769121552</v>
      </c>
      <c r="S66" s="16" t="s">
        <v>83</v>
      </c>
      <c r="T66" s="18">
        <v>0.25950879402489302</v>
      </c>
    </row>
    <row r="67" spans="2:20" x14ac:dyDescent="0.2">
      <c r="B67" s="9"/>
      <c r="C67" s="11" t="s">
        <v>234</v>
      </c>
      <c r="D67" s="42" t="s">
        <v>265</v>
      </c>
      <c r="E67" s="41"/>
      <c r="F67" s="37" t="s">
        <v>235</v>
      </c>
      <c r="G67" s="12">
        <v>5.2809999999999997</v>
      </c>
      <c r="H67" s="12">
        <v>5.5265453939999993</v>
      </c>
      <c r="I67" s="12">
        <v>16.298999999999999</v>
      </c>
      <c r="J67" s="15">
        <v>-8.0335950337777472E-3</v>
      </c>
      <c r="K67" s="15">
        <v>4.6496003408445397E-2</v>
      </c>
      <c r="L67" s="15">
        <v>-1.2058385055416676E-2</v>
      </c>
      <c r="M67" s="15">
        <v>4.0946179330020246E-2</v>
      </c>
      <c r="N67" s="15">
        <v>2.3542179330020247E-2</v>
      </c>
      <c r="O67" s="15">
        <v>2.3075999999999999E-2</v>
      </c>
      <c r="P67" s="19">
        <v>1.2008128495695205</v>
      </c>
      <c r="Q67" s="16" t="s">
        <v>83</v>
      </c>
      <c r="R67" s="16">
        <v>0.23630005416094924</v>
      </c>
      <c r="S67" s="16" t="s">
        <v>83</v>
      </c>
      <c r="T67" s="18">
        <v>0.24659987071337128</v>
      </c>
    </row>
    <row r="68" spans="2:20" x14ac:dyDescent="0.2">
      <c r="B68" s="9"/>
      <c r="C68" s="11" t="s">
        <v>218</v>
      </c>
      <c r="D68" s="37" t="s">
        <v>219</v>
      </c>
      <c r="E68" s="38" t="s">
        <v>220</v>
      </c>
      <c r="F68" s="14">
        <v>45877</v>
      </c>
      <c r="G68" s="12">
        <v>4.5</v>
      </c>
      <c r="H68" s="12">
        <v>6.4746925600000003</v>
      </c>
      <c r="I68" s="12">
        <v>62.8</v>
      </c>
      <c r="J68" s="15">
        <v>-5.6998100063329693E-3</v>
      </c>
      <c r="K68" s="15">
        <v>0.43882056888888887</v>
      </c>
      <c r="L68" s="15">
        <v>1.3888593798935256E-2</v>
      </c>
      <c r="M68" s="15">
        <v>3.8100971337579621E-2</v>
      </c>
      <c r="N68" s="15">
        <v>2.0696971337579622E-2</v>
      </c>
      <c r="O68" s="15">
        <v>3.3277000000000001E-2</v>
      </c>
      <c r="P68" s="19">
        <v>1.1185247831945548</v>
      </c>
      <c r="Q68" s="16" t="s">
        <v>83</v>
      </c>
      <c r="R68" s="16">
        <v>0.25064954212809815</v>
      </c>
      <c r="S68" s="16" t="s">
        <v>83</v>
      </c>
      <c r="T68" s="18">
        <v>0.2524240233272218</v>
      </c>
    </row>
    <row r="69" spans="2:20" ht="14.25" customHeight="1" x14ac:dyDescent="0.2">
      <c r="B69" s="9"/>
      <c r="C69" s="11" t="s">
        <v>221</v>
      </c>
      <c r="D69" s="37" t="s">
        <v>222</v>
      </c>
      <c r="E69" s="40"/>
      <c r="F69" s="14">
        <v>45877</v>
      </c>
      <c r="G69" s="12">
        <v>3</v>
      </c>
      <c r="H69" s="12">
        <v>4.2288568239999993</v>
      </c>
      <c r="I69" s="12">
        <v>32.991999999999997</v>
      </c>
      <c r="J69" s="15">
        <v>-1.5516829792313346E-2</v>
      </c>
      <c r="K69" s="15">
        <v>0.4096189413333331</v>
      </c>
      <c r="L69" s="15">
        <v>-3.5828357501140218E-2</v>
      </c>
      <c r="M69" s="15">
        <v>3.7823745150339483E-2</v>
      </c>
      <c r="N69" s="15">
        <v>2.0419745150339483E-2</v>
      </c>
      <c r="O69" s="15">
        <v>2.7633999999999999E-2</v>
      </c>
      <c r="P69" s="19">
        <v>0.96575701653421009</v>
      </c>
      <c r="Q69" s="16" t="s">
        <v>83</v>
      </c>
      <c r="R69" s="16">
        <v>0.25710979904176234</v>
      </c>
      <c r="S69" s="16" t="s">
        <v>83</v>
      </c>
      <c r="T69" s="18">
        <v>0.1495525026024116</v>
      </c>
    </row>
    <row r="70" spans="2:20" ht="14.25" customHeight="1" x14ac:dyDescent="0.2">
      <c r="B70" s="9"/>
      <c r="C70" s="11" t="s">
        <v>270</v>
      </c>
      <c r="D70" s="37" t="s">
        <v>271</v>
      </c>
      <c r="E70" s="41" t="s">
        <v>272</v>
      </c>
      <c r="F70" s="37" t="s">
        <v>273</v>
      </c>
      <c r="G70" s="12">
        <v>5.5309999999999997</v>
      </c>
      <c r="H70" s="12">
        <v>6.5</v>
      </c>
      <c r="I70" s="12">
        <v>65</v>
      </c>
      <c r="J70" s="15">
        <v>3.0778701138808553E-4</v>
      </c>
      <c r="K70" s="15">
        <v>0.17519435906707659</v>
      </c>
      <c r="L70" s="15">
        <v>5.7942708333333259E-2</v>
      </c>
      <c r="M70" s="15">
        <v>4.2237091195384609E-2</v>
      </c>
      <c r="N70" s="15">
        <v>2.4833091195384609E-2</v>
      </c>
      <c r="O70" s="15">
        <v>4.1939999999999998E-2</v>
      </c>
      <c r="P70" s="19">
        <v>1.2927605409705647</v>
      </c>
      <c r="Q70" s="16" t="s">
        <v>83</v>
      </c>
      <c r="R70" s="16" t="s">
        <v>83</v>
      </c>
      <c r="S70" s="16" t="s">
        <v>83</v>
      </c>
      <c r="T70" s="18" t="s">
        <v>83</v>
      </c>
    </row>
    <row r="71" spans="2:20" ht="14.25" customHeight="1" x14ac:dyDescent="0.2">
      <c r="B71" s="9"/>
      <c r="C71" s="11" t="s">
        <v>274</v>
      </c>
      <c r="D71" s="37" t="s">
        <v>275</v>
      </c>
      <c r="E71" s="41"/>
      <c r="F71" s="37" t="s">
        <v>273</v>
      </c>
      <c r="G71" s="12">
        <v>3.8479999999999999</v>
      </c>
      <c r="H71" s="12">
        <v>3.9950000000000001</v>
      </c>
      <c r="I71" s="12">
        <v>79.900000000000006</v>
      </c>
      <c r="J71" s="15">
        <v>-3.4921426789723707E-3</v>
      </c>
      <c r="K71" s="15">
        <v>3.8201663201663294E-2</v>
      </c>
      <c r="L71" s="15">
        <v>2.7520576131687235E-2</v>
      </c>
      <c r="M71" s="15">
        <v>4.2387747183979974E-2</v>
      </c>
      <c r="N71" s="15">
        <v>2.4983747183979974E-2</v>
      </c>
      <c r="O71" s="15">
        <v>4.4010999999999995E-2</v>
      </c>
      <c r="P71" s="19">
        <v>1.1415916559508501</v>
      </c>
      <c r="Q71" s="16" t="s">
        <v>83</v>
      </c>
      <c r="R71" s="16" t="s">
        <v>83</v>
      </c>
      <c r="S71" s="16" t="s">
        <v>83</v>
      </c>
      <c r="T71" s="18" t="s">
        <v>83</v>
      </c>
    </row>
    <row r="72" spans="2:20" ht="14.25" customHeight="1" x14ac:dyDescent="0.2">
      <c r="B72" s="9"/>
      <c r="C72" s="11" t="s">
        <v>276</v>
      </c>
      <c r="D72" s="37" t="s">
        <v>277</v>
      </c>
      <c r="E72" s="41"/>
      <c r="F72" s="37" t="s">
        <v>273</v>
      </c>
      <c r="G72" s="12">
        <v>3.0129999999999999</v>
      </c>
      <c r="H72" s="12">
        <v>3.0139999999999998</v>
      </c>
      <c r="I72" s="12">
        <v>30.14</v>
      </c>
      <c r="J72" s="15">
        <v>-2.3171135385634286E-3</v>
      </c>
      <c r="K72" s="15">
        <v>3.3189512114173425E-4</v>
      </c>
      <c r="L72" s="15">
        <v>-1.3743455497382318E-2</v>
      </c>
      <c r="M72" s="15">
        <v>5.6530871947577971E-2</v>
      </c>
      <c r="N72" s="15">
        <v>3.9126871947577968E-2</v>
      </c>
      <c r="O72" s="15">
        <v>2.5239999999999999E-2</v>
      </c>
      <c r="P72" s="19">
        <v>1.1000000000000001</v>
      </c>
      <c r="Q72" s="16" t="s">
        <v>83</v>
      </c>
      <c r="R72" s="16" t="s">
        <v>83</v>
      </c>
      <c r="S72" s="16" t="s">
        <v>83</v>
      </c>
      <c r="T72" s="18" t="s">
        <v>83</v>
      </c>
    </row>
    <row r="73" spans="2:20" ht="14.25" customHeight="1" x14ac:dyDescent="0.2">
      <c r="B73" s="9"/>
      <c r="C73" s="11" t="s">
        <v>278</v>
      </c>
      <c r="D73" s="37" t="s">
        <v>279</v>
      </c>
      <c r="E73" s="41"/>
      <c r="F73" s="37" t="s">
        <v>273</v>
      </c>
      <c r="G73" s="12">
        <v>4.0919999999999996</v>
      </c>
      <c r="H73" s="12">
        <v>3.63</v>
      </c>
      <c r="I73" s="12">
        <v>36.299999999999997</v>
      </c>
      <c r="J73" s="15">
        <v>0</v>
      </c>
      <c r="K73" s="15">
        <v>-0.11290322580645151</v>
      </c>
      <c r="L73" s="15">
        <v>-0.11311996090886878</v>
      </c>
      <c r="M73" s="15">
        <v>5.0392258953168047E-2</v>
      </c>
      <c r="N73" s="15">
        <v>3.2988258953168051E-2</v>
      </c>
      <c r="O73" s="15">
        <v>4.8899999999999999E-2</v>
      </c>
      <c r="P73" s="19">
        <v>0.94310210444271236</v>
      </c>
      <c r="Q73" s="16" t="s">
        <v>83</v>
      </c>
      <c r="R73" s="16" t="s">
        <v>83</v>
      </c>
      <c r="S73" s="16" t="s">
        <v>83</v>
      </c>
      <c r="T73" s="18" t="s">
        <v>83</v>
      </c>
    </row>
    <row r="74" spans="2:20" x14ac:dyDescent="0.2">
      <c r="B74" s="9"/>
      <c r="C74" s="11" t="s">
        <v>62</v>
      </c>
      <c r="D74" s="37" t="s">
        <v>22</v>
      </c>
      <c r="E74" s="43" t="s">
        <v>186</v>
      </c>
      <c r="F74" s="37" t="s">
        <v>35</v>
      </c>
      <c r="G74" s="12">
        <v>3.7</v>
      </c>
      <c r="H74" s="12">
        <v>4.9131307259999994</v>
      </c>
      <c r="I74" s="12">
        <v>17.57</v>
      </c>
      <c r="J74" s="15">
        <v>-6.2217194570135968E-3</v>
      </c>
      <c r="K74" s="15">
        <v>0.32787316918918896</v>
      </c>
      <c r="L74" s="15">
        <v>1.3454493445196336E-2</v>
      </c>
      <c r="M74" s="15">
        <v>0.10050777505406945</v>
      </c>
      <c r="N74" s="15">
        <v>8.3103775054069448E-2</v>
      </c>
      <c r="O74" s="15">
        <v>1.1953E-2</v>
      </c>
      <c r="P74" s="19">
        <v>1.631322912264922</v>
      </c>
      <c r="Q74" s="16">
        <v>9.5207403669273827E-2</v>
      </c>
      <c r="R74" s="16" t="s">
        <v>83</v>
      </c>
      <c r="S74" s="16">
        <v>0.36735859569758578</v>
      </c>
      <c r="T74" s="18" t="s">
        <v>83</v>
      </c>
    </row>
    <row r="75" spans="2:20" x14ac:dyDescent="0.2">
      <c r="B75" s="9"/>
      <c r="C75" s="11" t="s">
        <v>63</v>
      </c>
      <c r="D75" s="44" t="s">
        <v>23</v>
      </c>
      <c r="E75" s="43"/>
      <c r="F75" s="44" t="s">
        <v>35</v>
      </c>
      <c r="G75" s="21">
        <v>13.38</v>
      </c>
      <c r="H75" s="21">
        <v>16.747690905999999</v>
      </c>
      <c r="I75" s="21">
        <v>11.356999999999999</v>
      </c>
      <c r="J75" s="15">
        <v>-9.6762843068282794E-4</v>
      </c>
      <c r="K75" s="15">
        <v>0.25169588236173368</v>
      </c>
      <c r="L75" s="15">
        <v>-9.75767661150162E-3</v>
      </c>
      <c r="M75" s="15">
        <v>6.2375733494760936E-2</v>
      </c>
      <c r="N75" s="15">
        <v>4.497173349476094E-2</v>
      </c>
      <c r="O75" s="15">
        <v>4.4029999999999993E-2</v>
      </c>
      <c r="P75" s="22">
        <v>1.4578048992187669</v>
      </c>
      <c r="Q75" s="16">
        <v>0.13441347369898171</v>
      </c>
      <c r="R75" s="16" t="s">
        <v>83</v>
      </c>
      <c r="S75" s="16">
        <v>-0.19888102679127473</v>
      </c>
      <c r="T75" s="18" t="s">
        <v>83</v>
      </c>
    </row>
    <row r="76" spans="2:20" x14ac:dyDescent="0.2">
      <c r="B76" s="9"/>
      <c r="C76" s="11" t="s">
        <v>139</v>
      </c>
      <c r="D76" s="44" t="s">
        <v>180</v>
      </c>
      <c r="E76" s="43"/>
      <c r="F76" s="44" t="s">
        <v>127</v>
      </c>
      <c r="G76" s="21">
        <v>2.8279999999999998</v>
      </c>
      <c r="H76" s="21">
        <v>4.2881129519999996</v>
      </c>
      <c r="I76" s="21">
        <v>23.928000000000001</v>
      </c>
      <c r="J76" s="15">
        <v>-1.3115565454095639E-2</v>
      </c>
      <c r="K76" s="15">
        <v>0.51630585289957565</v>
      </c>
      <c r="L76" s="15">
        <v>6.7618757140923691E-2</v>
      </c>
      <c r="M76" s="15">
        <v>4.277176302240053E-2</v>
      </c>
      <c r="N76" s="15">
        <v>2.5367763022400531E-2</v>
      </c>
      <c r="O76" s="15">
        <v>2.1647E-2</v>
      </c>
      <c r="P76" s="22">
        <v>1.5545907393298097</v>
      </c>
      <c r="Q76" s="16">
        <v>-0.68557792373089876</v>
      </c>
      <c r="R76" s="16" t="s">
        <v>83</v>
      </c>
      <c r="S76" s="16">
        <v>-0.76708456464707431</v>
      </c>
      <c r="T76" s="18" t="s">
        <v>83</v>
      </c>
    </row>
    <row r="77" spans="2:20" x14ac:dyDescent="0.2">
      <c r="B77" s="9"/>
      <c r="C77" s="11" t="s">
        <v>187</v>
      </c>
      <c r="D77" s="44" t="s">
        <v>232</v>
      </c>
      <c r="E77" s="43"/>
      <c r="F77" s="44" t="s">
        <v>188</v>
      </c>
      <c r="G77" s="21">
        <v>7.48</v>
      </c>
      <c r="H77" s="21">
        <v>11.404628237999999</v>
      </c>
      <c r="I77" s="21">
        <v>21.628</v>
      </c>
      <c r="J77" s="15">
        <v>-2.5825493451392626E-3</v>
      </c>
      <c r="K77" s="15">
        <v>0.52468291951871637</v>
      </c>
      <c r="L77" s="15">
        <v>1.9127683158897346E-2</v>
      </c>
      <c r="M77" s="15">
        <v>5.3364619937118545E-2</v>
      </c>
      <c r="N77" s="15">
        <v>3.5960619937118549E-2</v>
      </c>
      <c r="O77" s="15">
        <v>2.4728E-2</v>
      </c>
      <c r="P77" s="22">
        <v>1.1970502757715433</v>
      </c>
      <c r="Q77" s="16">
        <v>8.0307877672485262E-2</v>
      </c>
      <c r="R77" s="16">
        <v>0.64739990508928114</v>
      </c>
      <c r="S77" s="16">
        <v>-0.3987605944430348</v>
      </c>
      <c r="T77" s="18">
        <v>0.46091292365942627</v>
      </c>
    </row>
    <row r="78" spans="2:20" x14ac:dyDescent="0.2">
      <c r="B78" s="9"/>
      <c r="C78" s="11" t="s">
        <v>64</v>
      </c>
      <c r="D78" s="44" t="s">
        <v>24</v>
      </c>
      <c r="E78" s="38" t="s">
        <v>171</v>
      </c>
      <c r="F78" s="44" t="s">
        <v>35</v>
      </c>
      <c r="G78" s="21">
        <v>13.02</v>
      </c>
      <c r="H78" s="21">
        <v>11.296134244999999</v>
      </c>
      <c r="I78" s="21">
        <v>54.859000000000002</v>
      </c>
      <c r="J78" s="15">
        <v>-4.8253968253968637E-3</v>
      </c>
      <c r="K78" s="15">
        <v>-0.13240136367127497</v>
      </c>
      <c r="L78" s="15">
        <v>-4.0049534992174785E-3</v>
      </c>
      <c r="M78" s="15">
        <v>9.3549885776262776E-2</v>
      </c>
      <c r="N78" s="15">
        <v>7.6145885776262773E-2</v>
      </c>
      <c r="O78" s="15">
        <v>0.119634</v>
      </c>
      <c r="P78" s="22">
        <v>1.1287187806471617</v>
      </c>
      <c r="Q78" s="16">
        <v>1.1400129028384054E-2</v>
      </c>
      <c r="R78" s="16" t="s">
        <v>83</v>
      </c>
      <c r="S78" s="16">
        <v>-4.4347468566431347E-3</v>
      </c>
      <c r="T78" s="18" t="s">
        <v>83</v>
      </c>
    </row>
    <row r="79" spans="2:20" x14ac:dyDescent="0.2">
      <c r="B79" s="9"/>
      <c r="C79" s="11" t="s">
        <v>65</v>
      </c>
      <c r="D79" s="44" t="s">
        <v>25</v>
      </c>
      <c r="E79" s="39"/>
      <c r="F79" s="44" t="s">
        <v>66</v>
      </c>
      <c r="G79" s="21">
        <v>7.1</v>
      </c>
      <c r="H79" s="21">
        <v>6.5119312009999994</v>
      </c>
      <c r="I79" s="21">
        <v>14.673</v>
      </c>
      <c r="J79" s="15">
        <v>-3.6667345691586335E-3</v>
      </c>
      <c r="K79" s="15">
        <v>-8.2826591408450723E-2</v>
      </c>
      <c r="L79" s="15">
        <v>-5.0123094815905829E-2</v>
      </c>
      <c r="M79" s="15">
        <v>7.859533211340558E-2</v>
      </c>
      <c r="N79" s="15">
        <v>6.1191332113405578E-2</v>
      </c>
      <c r="O79" s="15">
        <v>7.8089000000000006E-2</v>
      </c>
      <c r="P79" s="22">
        <v>1.0473209809727231</v>
      </c>
      <c r="Q79" s="16">
        <v>1.8532530639300271E-2</v>
      </c>
      <c r="R79" s="16" t="s">
        <v>83</v>
      </c>
      <c r="S79" s="16">
        <v>0.11748198645455066</v>
      </c>
      <c r="T79" s="18" t="s">
        <v>83</v>
      </c>
    </row>
    <row r="80" spans="2:20" x14ac:dyDescent="0.2">
      <c r="B80" s="9"/>
      <c r="C80" s="11" t="s">
        <v>67</v>
      </c>
      <c r="D80" s="44" t="s">
        <v>26</v>
      </c>
      <c r="E80" s="39"/>
      <c r="F80" s="44" t="s">
        <v>35</v>
      </c>
      <c r="G80" s="21">
        <v>8.7200000000000006</v>
      </c>
      <c r="H80" s="21">
        <v>8.7359268150000009</v>
      </c>
      <c r="I80" s="21">
        <v>26.954999999999998</v>
      </c>
      <c r="J80" s="15">
        <v>5.5959709009515222E-3</v>
      </c>
      <c r="K80" s="15">
        <v>1.8264696100918076E-3</v>
      </c>
      <c r="L80" s="15">
        <v>-4.6347072350963907E-2</v>
      </c>
      <c r="M80" s="15">
        <v>0.14676817474309034</v>
      </c>
      <c r="N80" s="15">
        <v>0.12936417474309034</v>
      </c>
      <c r="O80" s="15">
        <v>0.119634</v>
      </c>
      <c r="P80" s="22">
        <v>1.1254782833341512</v>
      </c>
      <c r="Q80" s="16">
        <v>1.2337137807305609E-3</v>
      </c>
      <c r="R80" s="16" t="s">
        <v>83</v>
      </c>
      <c r="S80" s="16">
        <v>-2.8503487249869397E-2</v>
      </c>
      <c r="T80" s="18" t="s">
        <v>83</v>
      </c>
    </row>
    <row r="81" spans="2:20" x14ac:dyDescent="0.2">
      <c r="B81" s="9"/>
      <c r="C81" s="11" t="s">
        <v>68</v>
      </c>
      <c r="D81" s="44" t="s">
        <v>27</v>
      </c>
      <c r="E81" s="39"/>
      <c r="F81" s="44" t="s">
        <v>69</v>
      </c>
      <c r="G81" s="21">
        <v>9.3989999999999991</v>
      </c>
      <c r="H81" s="21">
        <v>7.1037896359999992</v>
      </c>
      <c r="I81" s="21">
        <v>58.18</v>
      </c>
      <c r="J81" s="15">
        <v>-3.7671232876712994E-3</v>
      </c>
      <c r="K81" s="15">
        <v>-0.24419729375465471</v>
      </c>
      <c r="L81" s="15">
        <v>0.13236809867770494</v>
      </c>
      <c r="M81" s="15">
        <v>4.7549387629769686E-2</v>
      </c>
      <c r="N81" s="15">
        <v>3.0145387629769687E-2</v>
      </c>
      <c r="O81" s="15">
        <v>9.2149999999999996E-2</v>
      </c>
      <c r="P81" s="22">
        <v>0.8423174593420385</v>
      </c>
      <c r="Q81" s="16">
        <v>0.10072779545915123</v>
      </c>
      <c r="R81" s="16" t="s">
        <v>83</v>
      </c>
      <c r="S81" s="16">
        <v>0.19160536571775677</v>
      </c>
      <c r="T81" s="18" t="s">
        <v>83</v>
      </c>
    </row>
    <row r="82" spans="2:20" x14ac:dyDescent="0.2">
      <c r="B82" s="9"/>
      <c r="C82" s="11" t="s">
        <v>70</v>
      </c>
      <c r="D82" s="44" t="s">
        <v>28</v>
      </c>
      <c r="E82" s="39"/>
      <c r="F82" s="44" t="s">
        <v>71</v>
      </c>
      <c r="G82" s="21">
        <v>9.5860000000000003</v>
      </c>
      <c r="H82" s="21">
        <v>11.39828958</v>
      </c>
      <c r="I82" s="21">
        <v>38.82</v>
      </c>
      <c r="J82" s="15">
        <v>-6.7800946654726513E-3</v>
      </c>
      <c r="K82" s="15">
        <v>0.18905587106196542</v>
      </c>
      <c r="L82" s="15">
        <v>1.8756198052373829E-2</v>
      </c>
      <c r="M82" s="15">
        <v>0.10717889768418341</v>
      </c>
      <c r="N82" s="15">
        <v>8.9774897684183411E-2</v>
      </c>
      <c r="O82" s="15">
        <v>5.3362E-2</v>
      </c>
      <c r="P82" s="22">
        <v>1.5332400831411319</v>
      </c>
      <c r="Q82" s="16">
        <v>-2.0332951830184354E-2</v>
      </c>
      <c r="R82" s="16" t="s">
        <v>83</v>
      </c>
      <c r="S82" s="16">
        <v>6.4594030193212637E-2</v>
      </c>
      <c r="T82" s="18" t="s">
        <v>83</v>
      </c>
    </row>
    <row r="83" spans="2:20" x14ac:dyDescent="0.2">
      <c r="B83" s="9"/>
      <c r="C83" s="11" t="s">
        <v>72</v>
      </c>
      <c r="D83" s="44" t="s">
        <v>29</v>
      </c>
      <c r="E83" s="39"/>
      <c r="F83" s="44" t="s">
        <v>73</v>
      </c>
      <c r="G83" s="21">
        <v>7.6349999999999998</v>
      </c>
      <c r="H83" s="21">
        <v>7.9291565360000007</v>
      </c>
      <c r="I83" s="21">
        <v>23.228000000000005</v>
      </c>
      <c r="J83" s="15">
        <v>-2.233676975944926E-3</v>
      </c>
      <c r="K83" s="15">
        <v>3.8527378650949684E-2</v>
      </c>
      <c r="L83" s="15">
        <v>5.7278590419475028E-2</v>
      </c>
      <c r="M83" s="15">
        <v>0.12649586895126569</v>
      </c>
      <c r="N83" s="15">
        <v>0.10909186895126569</v>
      </c>
      <c r="O83" s="15">
        <v>7.4171000000000001E-2</v>
      </c>
      <c r="P83" s="22">
        <v>1.265159556306872</v>
      </c>
      <c r="Q83" s="16">
        <v>0.21366904955051313</v>
      </c>
      <c r="R83" s="16" t="s">
        <v>83</v>
      </c>
      <c r="S83" s="16">
        <v>0.23962726576323279</v>
      </c>
      <c r="T83" s="18" t="s">
        <v>83</v>
      </c>
    </row>
    <row r="84" spans="2:20" x14ac:dyDescent="0.2">
      <c r="B84" s="9"/>
      <c r="C84" s="11" t="s">
        <v>74</v>
      </c>
      <c r="D84" s="44" t="s">
        <v>30</v>
      </c>
      <c r="E84" s="39"/>
      <c r="F84" s="44" t="s">
        <v>75</v>
      </c>
      <c r="G84" s="21">
        <v>10.88</v>
      </c>
      <c r="H84" s="21">
        <v>8.6257324799999999</v>
      </c>
      <c r="I84" s="21">
        <v>60.8</v>
      </c>
      <c r="J84" s="15">
        <v>6.2893081761005529E-3</v>
      </c>
      <c r="K84" s="15">
        <v>-0.20719370588235297</v>
      </c>
      <c r="L84" s="15">
        <v>-4.9429563834104344E-2</v>
      </c>
      <c r="M84" s="15">
        <v>9.1643740360197373E-2</v>
      </c>
      <c r="N84" s="15">
        <v>7.423974036019737E-2</v>
      </c>
      <c r="O84" s="15">
        <v>9.8396000000000011E-2</v>
      </c>
      <c r="P84" s="22">
        <v>1.1850428970602616</v>
      </c>
      <c r="Q84" s="16">
        <v>-0.12719581135898672</v>
      </c>
      <c r="R84" s="16" t="s">
        <v>83</v>
      </c>
      <c r="S84" s="16">
        <v>-0.47410021714614958</v>
      </c>
      <c r="T84" s="18" t="s">
        <v>83</v>
      </c>
    </row>
    <row r="85" spans="2:20" x14ac:dyDescent="0.2">
      <c r="B85" s="9"/>
      <c r="C85" s="11" t="s">
        <v>76</v>
      </c>
      <c r="D85" s="44" t="s">
        <v>31</v>
      </c>
      <c r="E85" s="39"/>
      <c r="F85" s="44" t="s">
        <v>77</v>
      </c>
      <c r="G85" s="21">
        <v>7.4630000000000001</v>
      </c>
      <c r="H85" s="21">
        <v>11.04101801</v>
      </c>
      <c r="I85" s="21">
        <v>33.86</v>
      </c>
      <c r="J85" s="15">
        <v>4.1518386714116612E-3</v>
      </c>
      <c r="K85" s="15">
        <v>0.47943427710036168</v>
      </c>
      <c r="L85" s="15">
        <v>0.20609325124913844</v>
      </c>
      <c r="M85" s="15">
        <v>5.6418085513880681E-2</v>
      </c>
      <c r="N85" s="15">
        <v>3.9014085513880678E-2</v>
      </c>
      <c r="O85" s="15">
        <v>3.3648999999999998E-2</v>
      </c>
      <c r="P85" s="22">
        <v>1.6217481821225463</v>
      </c>
      <c r="Q85" s="16">
        <v>-8.3829624191803731E-2</v>
      </c>
      <c r="R85" s="16" t="s">
        <v>83</v>
      </c>
      <c r="S85" s="16">
        <v>3.0892223932699192E-3</v>
      </c>
      <c r="T85" s="18" t="s">
        <v>83</v>
      </c>
    </row>
    <row r="86" spans="2:20" x14ac:dyDescent="0.2">
      <c r="B86" s="9"/>
      <c r="C86" s="11" t="s">
        <v>91</v>
      </c>
      <c r="D86" s="44" t="s">
        <v>172</v>
      </c>
      <c r="E86" s="39"/>
      <c r="F86" s="44" t="s">
        <v>92</v>
      </c>
      <c r="G86" s="21">
        <v>6.8250000000000002</v>
      </c>
      <c r="H86" s="21">
        <v>8.1541947899999982</v>
      </c>
      <c r="I86" s="21">
        <v>19.026</v>
      </c>
      <c r="J86" s="15">
        <v>-1.0299625468164968E-2</v>
      </c>
      <c r="K86" s="15">
        <v>0.19475381538461511</v>
      </c>
      <c r="L86" s="15">
        <v>6.4332964632697331E-2</v>
      </c>
      <c r="M86" s="15">
        <v>0.12631732210659097</v>
      </c>
      <c r="N86" s="15">
        <v>0.10891332210659097</v>
      </c>
      <c r="O86" s="15">
        <v>4.9493000000000002E-2</v>
      </c>
      <c r="P86" s="22">
        <v>1.3414737647303616</v>
      </c>
      <c r="Q86" s="16">
        <v>4.5423924557407513E-2</v>
      </c>
      <c r="R86" s="16" t="s">
        <v>83</v>
      </c>
      <c r="S86" s="16">
        <v>0.23790178161740427</v>
      </c>
      <c r="T86" s="18" t="s">
        <v>83</v>
      </c>
    </row>
    <row r="87" spans="2:20" x14ac:dyDescent="0.2">
      <c r="B87" s="9"/>
      <c r="C87" s="11" t="s">
        <v>95</v>
      </c>
      <c r="D87" s="37" t="s">
        <v>173</v>
      </c>
      <c r="E87" s="39"/>
      <c r="F87" s="37" t="s">
        <v>96</v>
      </c>
      <c r="G87" s="12">
        <v>5.6980000000000004</v>
      </c>
      <c r="H87" s="12">
        <v>5.5351059120000006</v>
      </c>
      <c r="I87" s="12">
        <v>45.69</v>
      </c>
      <c r="J87" s="15">
        <v>-7.3864870736475843E-3</v>
      </c>
      <c r="K87" s="15">
        <v>-2.8587941031940955E-2</v>
      </c>
      <c r="L87" s="15">
        <v>-6.1549197324986427E-2</v>
      </c>
      <c r="M87" s="15">
        <v>9.281484391114031E-2</v>
      </c>
      <c r="N87" s="15">
        <v>7.5410843911140307E-2</v>
      </c>
      <c r="O87" s="15">
        <v>8.4875000000000006E-2</v>
      </c>
      <c r="P87" s="19">
        <v>1.1361866059225858</v>
      </c>
      <c r="Q87" s="16">
        <v>9.6958367489003994E-3</v>
      </c>
      <c r="R87" s="16" t="s">
        <v>83</v>
      </c>
      <c r="S87" s="16">
        <v>1.0093079098659974E-2</v>
      </c>
      <c r="T87" s="18" t="s">
        <v>83</v>
      </c>
    </row>
    <row r="88" spans="2:20" x14ac:dyDescent="0.2">
      <c r="B88" s="9"/>
      <c r="C88" s="11" t="s">
        <v>135</v>
      </c>
      <c r="D88" s="37" t="s">
        <v>174</v>
      </c>
      <c r="E88" s="39"/>
      <c r="F88" s="37" t="s">
        <v>123</v>
      </c>
      <c r="G88" s="12">
        <v>6.992</v>
      </c>
      <c r="H88" s="12">
        <v>8.9595502339999999</v>
      </c>
      <c r="I88" s="12">
        <v>37.494999999999997</v>
      </c>
      <c r="J88" s="15">
        <v>-3.8522848034005098E-3</v>
      </c>
      <c r="K88" s="15">
        <v>0.28140020509153318</v>
      </c>
      <c r="L88" s="15">
        <v>0.15777382553480046</v>
      </c>
      <c r="M88" s="15">
        <v>8.1976697111614885E-2</v>
      </c>
      <c r="N88" s="15">
        <v>6.4572697111614882E-2</v>
      </c>
      <c r="O88" s="15">
        <v>4.0570000000000002E-2</v>
      </c>
      <c r="P88" s="19">
        <v>0.89643666421673052</v>
      </c>
      <c r="Q88" s="16">
        <v>0.160122972463135</v>
      </c>
      <c r="R88" s="16" t="s">
        <v>83</v>
      </c>
      <c r="S88" s="16">
        <v>-0.13788133475331199</v>
      </c>
      <c r="T88" s="18" t="s">
        <v>83</v>
      </c>
    </row>
    <row r="89" spans="2:20" x14ac:dyDescent="0.2">
      <c r="B89" s="9"/>
      <c r="C89" s="11" t="s">
        <v>136</v>
      </c>
      <c r="D89" s="37" t="s">
        <v>175</v>
      </c>
      <c r="E89" s="39"/>
      <c r="F89" s="37" t="s">
        <v>124</v>
      </c>
      <c r="G89" s="12">
        <v>5.452</v>
      </c>
      <c r="H89" s="12">
        <v>6.2749153599999996</v>
      </c>
      <c r="I89" s="12">
        <v>26.74</v>
      </c>
      <c r="J89" s="15">
        <v>5.2631578947367778E-3</v>
      </c>
      <c r="K89" s="15">
        <v>0.15093825385179738</v>
      </c>
      <c r="L89" s="15">
        <v>-0.13075697801645392</v>
      </c>
      <c r="M89" s="15">
        <v>0.11427445685489904</v>
      </c>
      <c r="N89" s="15">
        <v>9.6870456854899034E-2</v>
      </c>
      <c r="O89" s="15">
        <v>4.9463999999999994E-2</v>
      </c>
      <c r="P89" s="19">
        <v>1.2403164287557393</v>
      </c>
      <c r="Q89" s="16">
        <v>2.0239344692727146E-2</v>
      </c>
      <c r="R89" s="16" t="s">
        <v>83</v>
      </c>
      <c r="S89" s="16">
        <v>9.7713604260418307E-2</v>
      </c>
      <c r="T89" s="18" t="s">
        <v>83</v>
      </c>
    </row>
    <row r="90" spans="2:20" x14ac:dyDescent="0.2">
      <c r="B90" s="9"/>
      <c r="C90" s="11" t="s">
        <v>137</v>
      </c>
      <c r="D90" s="37" t="s">
        <v>176</v>
      </c>
      <c r="E90" s="39"/>
      <c r="F90" s="37" t="s">
        <v>125</v>
      </c>
      <c r="G90" s="12">
        <v>8.0879999999999992</v>
      </c>
      <c r="H90" s="12">
        <v>9.3526523479999994</v>
      </c>
      <c r="I90" s="12">
        <v>81.86</v>
      </c>
      <c r="J90" s="15">
        <v>2.8175915717260345E-3</v>
      </c>
      <c r="K90" s="15">
        <v>0.15636156627101894</v>
      </c>
      <c r="L90" s="15">
        <v>-3.6600471782038069E-2</v>
      </c>
      <c r="M90" s="15">
        <v>0.12630930512338137</v>
      </c>
      <c r="N90" s="15">
        <v>0.10890530512338137</v>
      </c>
      <c r="O90" s="15">
        <v>2.2980999999999998E-2</v>
      </c>
      <c r="P90" s="19">
        <v>1.2237085461147585</v>
      </c>
      <c r="Q90" s="16">
        <v>-7.0102467107477806E-2</v>
      </c>
      <c r="R90" s="16" t="s">
        <v>83</v>
      </c>
      <c r="S90" s="16">
        <v>-0.15651532539532365</v>
      </c>
      <c r="T90" s="18" t="s">
        <v>83</v>
      </c>
    </row>
    <row r="91" spans="2:20" x14ac:dyDescent="0.2">
      <c r="B91" s="9"/>
      <c r="C91" s="11" t="s">
        <v>248</v>
      </c>
      <c r="D91" s="37" t="s">
        <v>249</v>
      </c>
      <c r="E91" s="39"/>
      <c r="F91" s="37" t="s">
        <v>250</v>
      </c>
      <c r="G91" s="12">
        <v>4.68</v>
      </c>
      <c r="H91" s="12">
        <v>5.0869999999999997</v>
      </c>
      <c r="I91" s="12">
        <v>50.87</v>
      </c>
      <c r="J91" s="15">
        <v>-4.3061264435310708E-3</v>
      </c>
      <c r="K91" s="15">
        <v>8.6965811965811879E-2</v>
      </c>
      <c r="L91" s="15">
        <v>-1.2233009708737974E-2</v>
      </c>
      <c r="M91" s="15">
        <v>0.14236687635148418</v>
      </c>
      <c r="N91" s="15">
        <v>0.12496287635148418</v>
      </c>
      <c r="O91" s="15">
        <v>3.0518999999999998E-2</v>
      </c>
      <c r="P91" s="19">
        <v>1.1678145087235996</v>
      </c>
      <c r="Q91" s="16" t="s">
        <v>83</v>
      </c>
      <c r="R91" s="16" t="s">
        <v>83</v>
      </c>
      <c r="S91" s="16" t="s">
        <v>83</v>
      </c>
      <c r="T91" s="18" t="s">
        <v>83</v>
      </c>
    </row>
    <row r="92" spans="2:20" x14ac:dyDescent="0.2">
      <c r="B92" s="9"/>
      <c r="C92" s="11" t="s">
        <v>267</v>
      </c>
      <c r="D92" s="37" t="s">
        <v>268</v>
      </c>
      <c r="E92" s="40"/>
      <c r="F92" s="37" t="s">
        <v>269</v>
      </c>
      <c r="G92" s="12">
        <v>8.25</v>
      </c>
      <c r="H92" s="12">
        <v>8.4749999999999996</v>
      </c>
      <c r="I92" s="12">
        <v>25.425000000000001</v>
      </c>
      <c r="J92" s="15">
        <v>-5.896226415095261E-4</v>
      </c>
      <c r="K92" s="15">
        <v>2.7272727272727337E-2</v>
      </c>
      <c r="L92" s="15">
        <v>2.1284143313229364E-3</v>
      </c>
      <c r="M92" s="15">
        <v>8.3873612629301875E-2</v>
      </c>
      <c r="N92" s="15">
        <v>6.6469612629301872E-2</v>
      </c>
      <c r="O92" s="15">
        <v>4.9119000000000003E-2</v>
      </c>
      <c r="P92" s="19">
        <v>1.0809948979591837</v>
      </c>
      <c r="Q92" s="16" t="s">
        <v>83</v>
      </c>
      <c r="R92" s="16" t="s">
        <v>83</v>
      </c>
      <c r="S92" s="16" t="s">
        <v>83</v>
      </c>
      <c r="T92" s="18" t="s">
        <v>83</v>
      </c>
    </row>
    <row r="93" spans="2:20" x14ac:dyDescent="0.2">
      <c r="B93" s="9"/>
      <c r="C93" s="11" t="s">
        <v>78</v>
      </c>
      <c r="D93" s="37" t="s">
        <v>32</v>
      </c>
      <c r="E93" s="38" t="s">
        <v>266</v>
      </c>
      <c r="F93" s="37" t="s">
        <v>79</v>
      </c>
      <c r="G93" s="12">
        <v>5.8959999999999999</v>
      </c>
      <c r="H93" s="12">
        <v>8.2869401299999996</v>
      </c>
      <c r="I93" s="12">
        <v>34.26</v>
      </c>
      <c r="J93" s="15">
        <v>5.4587075189292764E-3</v>
      </c>
      <c r="K93" s="15">
        <v>0.40551901797829037</v>
      </c>
      <c r="L93" s="15">
        <v>8.6829205319104444E-2</v>
      </c>
      <c r="M93" s="15">
        <v>7.1590447212492705E-2</v>
      </c>
      <c r="N93" s="15">
        <v>5.4186447212492703E-2</v>
      </c>
      <c r="O93" s="15">
        <v>5.0561999999999996E-2</v>
      </c>
      <c r="P93" s="19">
        <v>1.605901767561374</v>
      </c>
      <c r="Q93" s="16">
        <v>0.21821647619675399</v>
      </c>
      <c r="R93" s="16" t="s">
        <v>83</v>
      </c>
      <c r="S93" s="16">
        <v>-8.4675877727961368E-2</v>
      </c>
      <c r="T93" s="18" t="s">
        <v>83</v>
      </c>
    </row>
    <row r="94" spans="2:20" x14ac:dyDescent="0.2">
      <c r="B94" s="9"/>
      <c r="C94" s="11" t="s">
        <v>80</v>
      </c>
      <c r="D94" s="37" t="s">
        <v>33</v>
      </c>
      <c r="E94" s="39"/>
      <c r="F94" s="37" t="s">
        <v>81</v>
      </c>
      <c r="G94" s="12">
        <v>9.8000000000000007</v>
      </c>
      <c r="H94" s="12">
        <v>12.735000900000001</v>
      </c>
      <c r="I94" s="12">
        <v>77.040000000000006</v>
      </c>
      <c r="J94" s="15">
        <v>-1.3117442098790595E-2</v>
      </c>
      <c r="K94" s="15">
        <v>0.29948988775510199</v>
      </c>
      <c r="L94" s="15">
        <v>1.3892263498920254E-3</v>
      </c>
      <c r="M94" s="15">
        <v>3.889939579439252E-2</v>
      </c>
      <c r="N94" s="15">
        <v>2.1495395794392521E-2</v>
      </c>
      <c r="O94" s="15">
        <v>4.1907E-2</v>
      </c>
      <c r="P94" s="19">
        <v>1.1519199807788356</v>
      </c>
      <c r="Q94" s="16">
        <v>-0.20425559003684812</v>
      </c>
      <c r="R94" s="16" t="s">
        <v>83</v>
      </c>
      <c r="S94" s="16">
        <v>0.17892446949897756</v>
      </c>
      <c r="T94" s="18" t="s">
        <v>83</v>
      </c>
    </row>
    <row r="95" spans="2:20" x14ac:dyDescent="0.2">
      <c r="B95" s="9"/>
      <c r="C95" s="11" t="s">
        <v>82</v>
      </c>
      <c r="D95" s="37" t="s">
        <v>246</v>
      </c>
      <c r="E95" s="39"/>
      <c r="F95" s="37" t="s">
        <v>81</v>
      </c>
      <c r="G95" s="12">
        <v>9.782</v>
      </c>
      <c r="H95" s="12">
        <v>12.936423163999999</v>
      </c>
      <c r="I95" s="12">
        <v>57.131704058319997</v>
      </c>
      <c r="J95" s="15">
        <v>-1.8895653999581575E-3</v>
      </c>
      <c r="K95" s="15">
        <v>0.32247221059088105</v>
      </c>
      <c r="L95" s="15">
        <v>9.8785202562974295E-3</v>
      </c>
      <c r="M95" s="15">
        <v>7.3517028295051148E-2</v>
      </c>
      <c r="N95" s="15">
        <v>5.6113028295051146E-2</v>
      </c>
      <c r="O95" s="15">
        <v>3.4532E-2</v>
      </c>
      <c r="P95" s="19">
        <v>1.3161877430648341</v>
      </c>
      <c r="Q95" s="16" t="s">
        <v>83</v>
      </c>
      <c r="R95" s="16">
        <v>0.20967512223958595</v>
      </c>
      <c r="S95" s="16" t="s">
        <v>83</v>
      </c>
      <c r="T95" s="18">
        <v>0.36710490498667808</v>
      </c>
    </row>
    <row r="96" spans="2:20" x14ac:dyDescent="0.2">
      <c r="B96" s="9"/>
      <c r="C96" s="11" t="s">
        <v>89</v>
      </c>
      <c r="D96" s="37" t="s">
        <v>177</v>
      </c>
      <c r="E96" s="39"/>
      <c r="F96" s="37" t="s">
        <v>90</v>
      </c>
      <c r="G96" s="12">
        <v>2.6749999999999998</v>
      </c>
      <c r="H96" s="12">
        <v>4.2365946899999996</v>
      </c>
      <c r="I96" s="12">
        <v>15.448</v>
      </c>
      <c r="J96" s="15">
        <v>-1.034661148474022E-3</v>
      </c>
      <c r="K96" s="15">
        <v>0.58377371588785043</v>
      </c>
      <c r="L96" s="15">
        <v>-7.2401993179609381E-3</v>
      </c>
      <c r="M96" s="15">
        <v>5.5992712836613154E-2</v>
      </c>
      <c r="N96" s="15">
        <v>3.8588712836613151E-2</v>
      </c>
      <c r="O96" s="15">
        <v>2.5947000000000001E-2</v>
      </c>
      <c r="P96" s="19">
        <v>1.3099034518603301</v>
      </c>
      <c r="Q96" s="16">
        <v>0.47258865225796565</v>
      </c>
      <c r="R96" s="16" t="s">
        <v>83</v>
      </c>
      <c r="S96" s="16">
        <v>0.19848272162804004</v>
      </c>
      <c r="T96" s="18" t="s">
        <v>83</v>
      </c>
    </row>
    <row r="97" spans="2:20" x14ac:dyDescent="0.2">
      <c r="B97" s="9"/>
      <c r="C97" s="11" t="s">
        <v>97</v>
      </c>
      <c r="D97" s="37" t="s">
        <v>201</v>
      </c>
      <c r="E97" s="39"/>
      <c r="F97" s="37" t="s">
        <v>98</v>
      </c>
      <c r="G97" s="12">
        <v>3.879</v>
      </c>
      <c r="H97" s="12">
        <v>5.5483865409999993</v>
      </c>
      <c r="I97" s="12">
        <v>14.097</v>
      </c>
      <c r="J97" s="15">
        <v>-5.7130765975455054E-3</v>
      </c>
      <c r="K97" s="15">
        <v>0.43036518200567131</v>
      </c>
      <c r="L97" s="15">
        <v>6.3797661388514282E-2</v>
      </c>
      <c r="M97" s="15">
        <v>8.1913438738738742E-2</v>
      </c>
      <c r="N97" s="15">
        <v>6.4509438738738739E-2</v>
      </c>
      <c r="O97" s="15">
        <v>1.2263E-2</v>
      </c>
      <c r="P97" s="19">
        <v>1.3286966419463406</v>
      </c>
      <c r="Q97" s="16">
        <v>-5.2213539394598274E-2</v>
      </c>
      <c r="R97" s="16" t="s">
        <v>83</v>
      </c>
      <c r="S97" s="16">
        <v>-0.3533041777671545</v>
      </c>
      <c r="T97" s="18" t="s">
        <v>83</v>
      </c>
    </row>
    <row r="98" spans="2:20" x14ac:dyDescent="0.2">
      <c r="B98" s="9"/>
      <c r="C98" s="11" t="s">
        <v>101</v>
      </c>
      <c r="D98" s="37" t="s">
        <v>178</v>
      </c>
      <c r="E98" s="39"/>
      <c r="F98" s="37" t="s">
        <v>102</v>
      </c>
      <c r="G98" s="12">
        <v>6.4080000000000004</v>
      </c>
      <c r="H98" s="12">
        <v>6.7770775079999996</v>
      </c>
      <c r="I98" s="12">
        <v>10.872</v>
      </c>
      <c r="J98" s="15">
        <v>-1.4145810663764994E-2</v>
      </c>
      <c r="K98" s="15">
        <v>5.7596365168539165E-2</v>
      </c>
      <c r="L98" s="15">
        <v>-0.14542908751800088</v>
      </c>
      <c r="M98" s="15">
        <v>8.6361149494113318E-2</v>
      </c>
      <c r="N98" s="15">
        <v>6.8957149494113315E-2</v>
      </c>
      <c r="O98" s="15">
        <v>5.6026999999999993E-2</v>
      </c>
      <c r="P98" s="19">
        <v>0.93940079770560303</v>
      </c>
      <c r="Q98" s="16">
        <v>-0.17564276005179502</v>
      </c>
      <c r="R98" s="16" t="s">
        <v>83</v>
      </c>
      <c r="S98" s="16">
        <v>-0.42644291938223855</v>
      </c>
      <c r="T98" s="18" t="s">
        <v>83</v>
      </c>
    </row>
    <row r="99" spans="2:20" x14ac:dyDescent="0.2">
      <c r="B99" s="9"/>
      <c r="C99" s="11" t="s">
        <v>138</v>
      </c>
      <c r="D99" s="37" t="s">
        <v>179</v>
      </c>
      <c r="E99" s="39"/>
      <c r="F99" s="37" t="s">
        <v>126</v>
      </c>
      <c r="G99" s="12">
        <v>5.3369999999999997</v>
      </c>
      <c r="H99" s="12">
        <v>6.7537861699999988</v>
      </c>
      <c r="I99" s="12">
        <v>11.78</v>
      </c>
      <c r="J99" s="15">
        <v>-1.6201770502756091E-2</v>
      </c>
      <c r="K99" s="15">
        <v>0.26546489975641729</v>
      </c>
      <c r="L99" s="15">
        <v>-2.1868328257167224E-2</v>
      </c>
      <c r="M99" s="15">
        <v>0.1357904026910017</v>
      </c>
      <c r="N99" s="15">
        <v>0.1183864026910017</v>
      </c>
      <c r="O99" s="15">
        <v>1.3762000000000002E-2</v>
      </c>
      <c r="P99" s="19">
        <v>1.4115104871923321</v>
      </c>
      <c r="Q99" s="16">
        <v>-0.2563467257135027</v>
      </c>
      <c r="R99" s="16" t="s">
        <v>83</v>
      </c>
      <c r="S99" s="16">
        <v>-0.93201530459242676</v>
      </c>
      <c r="T99" s="18" t="s">
        <v>83</v>
      </c>
    </row>
    <row r="100" spans="2:20" x14ac:dyDescent="0.2">
      <c r="B100" s="9"/>
      <c r="C100" s="11" t="s">
        <v>215</v>
      </c>
      <c r="D100" s="45" t="s">
        <v>216</v>
      </c>
      <c r="E100" s="39"/>
      <c r="F100" s="37" t="s">
        <v>217</v>
      </c>
      <c r="G100" s="12">
        <v>3.7890000000000001</v>
      </c>
      <c r="H100" s="12">
        <v>4.2732586720000008</v>
      </c>
      <c r="I100" s="12">
        <v>20.84</v>
      </c>
      <c r="J100" s="15">
        <v>-9.5057034220532091E-3</v>
      </c>
      <c r="K100" s="15">
        <v>0.12780645869622598</v>
      </c>
      <c r="L100" s="15">
        <v>-1.7189817847285904E-2</v>
      </c>
      <c r="M100" s="15">
        <v>4.8840231919385795E-2</v>
      </c>
      <c r="N100" s="15">
        <v>3.1436231919385799E-2</v>
      </c>
      <c r="O100" s="15">
        <v>2.3342999999999999E-2</v>
      </c>
      <c r="P100" s="19">
        <v>1.0090666190606699</v>
      </c>
      <c r="Q100" s="16" t="s">
        <v>83</v>
      </c>
      <c r="R100" s="16">
        <v>0.26486573288761445</v>
      </c>
      <c r="S100" s="16" t="s">
        <v>83</v>
      </c>
      <c r="T100" s="18">
        <v>0.29371910806409951</v>
      </c>
    </row>
    <row r="101" spans="2:20" x14ac:dyDescent="0.2">
      <c r="B101" s="9"/>
      <c r="C101" s="11" t="s">
        <v>243</v>
      </c>
      <c r="D101" s="45" t="s">
        <v>244</v>
      </c>
      <c r="E101" s="40"/>
      <c r="F101" s="37" t="s">
        <v>245</v>
      </c>
      <c r="G101" s="12">
        <v>5.0149999999999997</v>
      </c>
      <c r="H101" s="12">
        <v>6.3280000000000003</v>
      </c>
      <c r="I101" s="12">
        <v>18.984000000000002</v>
      </c>
      <c r="J101" s="15">
        <v>-3.4645669291337566E-3</v>
      </c>
      <c r="K101" s="15">
        <v>0.26181455633100703</v>
      </c>
      <c r="L101" s="15">
        <v>-1.5403765364866873E-2</v>
      </c>
      <c r="M101" s="15">
        <v>3.7354298356510746E-2</v>
      </c>
      <c r="N101" s="15">
        <v>1.9950298356510746E-2</v>
      </c>
      <c r="O101" s="15">
        <v>3.1595999999999999E-2</v>
      </c>
      <c r="P101" s="19">
        <v>1.5086605529837755</v>
      </c>
      <c r="Q101" s="16" t="s">
        <v>83</v>
      </c>
      <c r="R101" s="16">
        <v>0.1096876235108321</v>
      </c>
      <c r="S101" s="16" t="s">
        <v>83</v>
      </c>
      <c r="T101" s="18">
        <v>0.13981761003930754</v>
      </c>
    </row>
    <row r="102" spans="2:20" ht="12.75" customHeight="1" x14ac:dyDescent="0.2">
      <c r="C102" s="46" t="s">
        <v>256</v>
      </c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8"/>
    </row>
    <row r="103" spans="2:20" x14ac:dyDescent="0.2">
      <c r="C103" s="46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8"/>
    </row>
    <row r="104" spans="2:20" ht="18" customHeight="1" x14ac:dyDescent="0.2">
      <c r="C104" s="46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8"/>
    </row>
    <row r="105" spans="2:20" ht="15" customHeight="1" x14ac:dyDescent="0.2">
      <c r="C105" s="46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8"/>
    </row>
    <row r="106" spans="2:20" ht="9" customHeight="1" x14ac:dyDescent="0.2">
      <c r="C106" s="46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8"/>
    </row>
    <row r="107" spans="2:20" ht="17.45" customHeight="1" thickBot="1" x14ac:dyDescent="0.25">
      <c r="C107" s="49" t="s">
        <v>223</v>
      </c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1"/>
    </row>
    <row r="110" spans="2:20" x14ac:dyDescent="0.2"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</row>
    <row r="111" spans="2:20" x14ac:dyDescent="0.2"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</row>
    <row r="112" spans="2:20" x14ac:dyDescent="0.2"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</row>
    <row r="113" spans="9:20" x14ac:dyDescent="0.2"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</row>
    <row r="114" spans="9:20" x14ac:dyDescent="0.2"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</row>
    <row r="115" spans="9:20" x14ac:dyDescent="0.2"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</row>
    <row r="116" spans="9:20" x14ac:dyDescent="0.2"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</row>
    <row r="117" spans="9:20" x14ac:dyDescent="0.2"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</row>
    <row r="118" spans="9:20" x14ac:dyDescent="0.2"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</row>
    <row r="119" spans="9:20" x14ac:dyDescent="0.2"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</row>
    <row r="120" spans="9:20" x14ac:dyDescent="0.2"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</row>
    <row r="121" spans="9:20" x14ac:dyDescent="0.2"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</row>
    <row r="122" spans="9:20" x14ac:dyDescent="0.2"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</row>
    <row r="123" spans="9:20" x14ac:dyDescent="0.2"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</row>
    <row r="124" spans="9:20" x14ac:dyDescent="0.2"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</row>
    <row r="125" spans="9:20" x14ac:dyDescent="0.2"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</row>
    <row r="126" spans="9:20" x14ac:dyDescent="0.2"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</row>
    <row r="127" spans="9:20" x14ac:dyDescent="0.2"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</row>
    <row r="128" spans="9:20" x14ac:dyDescent="0.2"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</row>
    <row r="129" spans="9:20" x14ac:dyDescent="0.2"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</row>
    <row r="130" spans="9:20" x14ac:dyDescent="0.2"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</row>
    <row r="131" spans="9:20" x14ac:dyDescent="0.2"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</row>
    <row r="132" spans="9:20" x14ac:dyDescent="0.2"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</row>
    <row r="133" spans="9:20" x14ac:dyDescent="0.2"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</row>
    <row r="134" spans="9:20" x14ac:dyDescent="0.2"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</row>
    <row r="135" spans="9:20" x14ac:dyDescent="0.2"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</row>
    <row r="136" spans="9:20" x14ac:dyDescent="0.2"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</row>
    <row r="137" spans="9:20" x14ac:dyDescent="0.2"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</row>
    <row r="138" spans="9:20" x14ac:dyDescent="0.2"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</row>
    <row r="139" spans="9:20" x14ac:dyDescent="0.2"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</row>
    <row r="140" spans="9:20" x14ac:dyDescent="0.2"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</row>
    <row r="141" spans="9:20" x14ac:dyDescent="0.2"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</row>
    <row r="142" spans="9:20" x14ac:dyDescent="0.2"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</row>
    <row r="143" spans="9:20" x14ac:dyDescent="0.2"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</row>
    <row r="144" spans="9:20" x14ac:dyDescent="0.2"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</row>
    <row r="145" spans="9:20" x14ac:dyDescent="0.2"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</row>
    <row r="146" spans="9:20" x14ac:dyDescent="0.2"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</row>
    <row r="147" spans="9:20" x14ac:dyDescent="0.2"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</row>
    <row r="148" spans="9:20" x14ac:dyDescent="0.2"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</row>
    <row r="149" spans="9:20" x14ac:dyDescent="0.2"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</row>
    <row r="150" spans="9:20" x14ac:dyDescent="0.2"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</row>
    <row r="151" spans="9:20" x14ac:dyDescent="0.2"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</row>
    <row r="152" spans="9:20" x14ac:dyDescent="0.2"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</row>
    <row r="153" spans="9:20" x14ac:dyDescent="0.2"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</row>
    <row r="154" spans="9:20" x14ac:dyDescent="0.2"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</row>
    <row r="155" spans="9:20" x14ac:dyDescent="0.2"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</row>
    <row r="156" spans="9:20" x14ac:dyDescent="0.2"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</row>
    <row r="157" spans="9:20" x14ac:dyDescent="0.2"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</row>
    <row r="158" spans="9:20" x14ac:dyDescent="0.2"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</row>
    <row r="159" spans="9:20" x14ac:dyDescent="0.2"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</row>
    <row r="160" spans="9:20" x14ac:dyDescent="0.2"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</row>
    <row r="161" spans="9:20" x14ac:dyDescent="0.2"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</row>
    <row r="162" spans="9:20" x14ac:dyDescent="0.2"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</row>
    <row r="163" spans="9:20" x14ac:dyDescent="0.2"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</row>
    <row r="164" spans="9:20" x14ac:dyDescent="0.2"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</row>
    <row r="165" spans="9:20" x14ac:dyDescent="0.2"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</row>
    <row r="166" spans="9:20" x14ac:dyDescent="0.2"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</row>
    <row r="167" spans="9:20" x14ac:dyDescent="0.2"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</row>
    <row r="168" spans="9:20" x14ac:dyDescent="0.2"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</row>
    <row r="169" spans="9:20" x14ac:dyDescent="0.2"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</row>
    <row r="170" spans="9:20" x14ac:dyDescent="0.2"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</row>
    <row r="171" spans="9:20" x14ac:dyDescent="0.2"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</row>
    <row r="172" spans="9:20" x14ac:dyDescent="0.2"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</row>
    <row r="173" spans="9:20" x14ac:dyDescent="0.2"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</row>
    <row r="174" spans="9:20" x14ac:dyDescent="0.2"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</row>
    <row r="175" spans="9:20" x14ac:dyDescent="0.2"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</row>
    <row r="176" spans="9:20" x14ac:dyDescent="0.2"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</row>
    <row r="177" spans="9:20" x14ac:dyDescent="0.2"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</row>
    <row r="178" spans="9:20" x14ac:dyDescent="0.2"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</row>
    <row r="179" spans="9:20" x14ac:dyDescent="0.2"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</row>
    <row r="180" spans="9:20" x14ac:dyDescent="0.2"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</row>
    <row r="181" spans="9:20" x14ac:dyDescent="0.2"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</row>
    <row r="182" spans="9:20" x14ac:dyDescent="0.2"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</row>
    <row r="183" spans="9:20" x14ac:dyDescent="0.2"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</row>
    <row r="184" spans="9:20" x14ac:dyDescent="0.2"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</row>
    <row r="185" spans="9:20" x14ac:dyDescent="0.2"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</row>
    <row r="186" spans="9:20" x14ac:dyDescent="0.2"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</row>
    <row r="187" spans="9:20" x14ac:dyDescent="0.2"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</row>
    <row r="188" spans="9:20" x14ac:dyDescent="0.2"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</row>
    <row r="189" spans="9:20" x14ac:dyDescent="0.2"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</row>
    <row r="190" spans="9:20" x14ac:dyDescent="0.2"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</row>
    <row r="191" spans="9:20" x14ac:dyDescent="0.2"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</row>
    <row r="192" spans="9:20" x14ac:dyDescent="0.2"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</row>
    <row r="193" spans="9:20" x14ac:dyDescent="0.2"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</row>
    <row r="194" spans="9:20" x14ac:dyDescent="0.2"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</row>
    <row r="195" spans="9:20" x14ac:dyDescent="0.2"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</row>
    <row r="196" spans="9:20" x14ac:dyDescent="0.2"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</row>
    <row r="197" spans="9:20" x14ac:dyDescent="0.2"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</row>
    <row r="198" spans="9:20" x14ac:dyDescent="0.2"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</row>
    <row r="199" spans="9:20" x14ac:dyDescent="0.2"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</row>
    <row r="200" spans="9:20" x14ac:dyDescent="0.2"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</row>
    <row r="201" spans="9:20" x14ac:dyDescent="0.2"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</row>
    <row r="202" spans="9:20" x14ac:dyDescent="0.2"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</row>
    <row r="203" spans="9:20" x14ac:dyDescent="0.2"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</row>
    <row r="204" spans="9:20" x14ac:dyDescent="0.2"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</row>
    <row r="205" spans="9:20" x14ac:dyDescent="0.2"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</row>
    <row r="206" spans="9:20" x14ac:dyDescent="0.2"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</row>
    <row r="207" spans="9:20" x14ac:dyDescent="0.2"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</row>
    <row r="208" spans="9:20" x14ac:dyDescent="0.2"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</row>
    <row r="209" spans="9:20" x14ac:dyDescent="0.2"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</row>
    <row r="210" spans="9:20" x14ac:dyDescent="0.2"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</row>
    <row r="211" spans="9:20" x14ac:dyDescent="0.2"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</row>
    <row r="212" spans="9:20" x14ac:dyDescent="0.2"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</row>
    <row r="213" spans="9:20" x14ac:dyDescent="0.2"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</row>
    <row r="214" spans="9:20" x14ac:dyDescent="0.2"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</row>
    <row r="215" spans="9:20" x14ac:dyDescent="0.2"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</row>
    <row r="216" spans="9:20" x14ac:dyDescent="0.2"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</row>
    <row r="217" spans="9:20" x14ac:dyDescent="0.2"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</row>
    <row r="218" spans="9:20" x14ac:dyDescent="0.2"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</row>
    <row r="219" spans="9:20" x14ac:dyDescent="0.2"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</row>
    <row r="220" spans="9:20" x14ac:dyDescent="0.2"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</row>
    <row r="221" spans="9:20" x14ac:dyDescent="0.2"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</row>
    <row r="222" spans="9:20" x14ac:dyDescent="0.2"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</row>
    <row r="223" spans="9:20" x14ac:dyDescent="0.2"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</row>
    <row r="224" spans="9:20" x14ac:dyDescent="0.2"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</row>
  </sheetData>
  <mergeCells count="14">
    <mergeCell ref="E93:E101"/>
    <mergeCell ref="C5:Q14"/>
    <mergeCell ref="C3:T3"/>
    <mergeCell ref="C4:T4"/>
    <mergeCell ref="C107:T107"/>
    <mergeCell ref="C102:T106"/>
    <mergeCell ref="E56:E67"/>
    <mergeCell ref="E16:E35"/>
    <mergeCell ref="E36:E46"/>
    <mergeCell ref="E68:E69"/>
    <mergeCell ref="E74:E77"/>
    <mergeCell ref="E47:E55"/>
    <mergeCell ref="E78:E92"/>
    <mergeCell ref="E70:E73"/>
  </mergeCells>
  <phoneticPr fontId="2" type="noConversion"/>
  <conditionalFormatting sqref="J16:J101">
    <cfRule type="dataBar" priority="4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{3A00585F-674A-4BCA-81FB-3BA58DA83927}</x14:id>
        </ext>
      </extLst>
    </cfRule>
  </conditionalFormatting>
  <conditionalFormatting sqref="K16:K101">
    <cfRule type="dataBar" priority="5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{03074785-1E88-4DED-8191-CA0045D2CA95}</x14:id>
        </ext>
      </extLst>
    </cfRule>
  </conditionalFormatting>
  <conditionalFormatting sqref="L16:L101">
    <cfRule type="dataBar" priority="5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{C5A70391-5E20-45BF-A31F-90ED53F208C6}</x14:id>
        </ext>
      </extLst>
    </cfRule>
  </conditionalFormatting>
  <conditionalFormatting sqref="M16:N97">
    <cfRule type="dataBar" priority="5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{C90D3411-A4F2-4647-8F36-345C08376B50}</x14:id>
        </ext>
      </extLst>
    </cfRule>
  </conditionalFormatting>
  <conditionalFormatting sqref="M98:N101">
    <cfRule type="dataBar" priority="1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{1BF7F6C7-41F5-4645-ABF9-17462AF9292F}</x14:id>
        </ext>
      </extLst>
    </cfRule>
  </conditionalFormatting>
  <conditionalFormatting sqref="O16:O101">
    <cfRule type="dataBar" priority="5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{DEE6DB11-E846-409A-9604-C26604EC9341}</x14:id>
        </ext>
      </extLst>
    </cfRule>
  </conditionalFormatting>
  <conditionalFormatting sqref="O17:O101">
    <cfRule type="dataBar" priority="6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{7FEA1694-6403-418B-9EAD-BE509A7F8883}</x14:id>
        </ext>
      </extLst>
    </cfRule>
  </conditionalFormatting>
  <conditionalFormatting sqref="Q16:Q20 Q23:Q24 Q36:Q38">
    <cfRule type="cellIs" dxfId="28" priority="19" operator="lessThan">
      <formula>0</formula>
    </cfRule>
  </conditionalFormatting>
  <conditionalFormatting sqref="Q17:Q20 Q23:Q24 Q36:Q38 Q47 Q49 Q74:Q75 Q78:Q83 Q93">
    <cfRule type="cellIs" dxfId="27" priority="18" operator="greaterThan">
      <formula>0</formula>
    </cfRule>
  </conditionalFormatting>
  <conditionalFormatting sqref="Q22">
    <cfRule type="cellIs" dxfId="26" priority="7" operator="between">
      <formula>0</formula>
      <formula>0.25</formula>
    </cfRule>
    <cfRule type="cellIs" dxfId="25" priority="8" operator="between">
      <formula>0.25</formula>
      <formula>1</formula>
    </cfRule>
  </conditionalFormatting>
  <conditionalFormatting sqref="Q47:Q50">
    <cfRule type="cellIs" dxfId="24" priority="5" operator="lessThan">
      <formula>0</formula>
    </cfRule>
  </conditionalFormatting>
  <conditionalFormatting sqref="Q74:Q83">
    <cfRule type="cellIs" dxfId="23" priority="10" operator="lessThan">
      <formula>0</formula>
    </cfRule>
  </conditionalFormatting>
  <conditionalFormatting sqref="Q90:Q93">
    <cfRule type="cellIs" dxfId="22" priority="2" operator="lessThan">
      <formula>0</formula>
    </cfRule>
  </conditionalFormatting>
  <conditionalFormatting sqref="Q21:S21">
    <cfRule type="cellIs" dxfId="21" priority="11" operator="between">
      <formula>0</formula>
      <formula>0.25</formula>
    </cfRule>
    <cfRule type="cellIs" dxfId="20" priority="12" operator="between">
      <formula>0.25</formula>
      <formula>1</formula>
    </cfRule>
  </conditionalFormatting>
  <conditionalFormatting sqref="R16">
    <cfRule type="dataBar" priority="3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{7176AEC8-E119-4C8E-9F60-E6D72688D002}</x14:id>
        </ext>
      </extLst>
    </cfRule>
  </conditionalFormatting>
  <conditionalFormatting sqref="R17:R20 R22:R37">
    <cfRule type="cellIs" dxfId="19" priority="35" operator="between">
      <formula>0</formula>
      <formula>0.25</formula>
    </cfRule>
  </conditionalFormatting>
  <conditionalFormatting sqref="R17:R20 R22:R101">
    <cfRule type="cellIs" dxfId="18" priority="36" operator="between">
      <formula>0.25</formula>
      <formula>1</formula>
    </cfRule>
  </conditionalFormatting>
  <conditionalFormatting sqref="R57">
    <cfRule type="cellIs" dxfId="17" priority="34" operator="between">
      <formula>0</formula>
      <formula>0.25</formula>
    </cfRule>
  </conditionalFormatting>
  <conditionalFormatting sqref="R60">
    <cfRule type="cellIs" dxfId="16" priority="33" operator="between">
      <formula>0</formula>
      <formula>0.25</formula>
    </cfRule>
  </conditionalFormatting>
  <conditionalFormatting sqref="R85">
    <cfRule type="cellIs" dxfId="15" priority="32" operator="between">
      <formula>0</formula>
      <formula>0.25</formula>
    </cfRule>
  </conditionalFormatting>
  <conditionalFormatting sqref="R91:R93">
    <cfRule type="cellIs" dxfId="14" priority="31" operator="between">
      <formula>0</formula>
      <formula>0.25</formula>
    </cfRule>
  </conditionalFormatting>
  <conditionalFormatting sqref="R96:R101">
    <cfRule type="cellIs" dxfId="13" priority="30" operator="between">
      <formula>0</formula>
      <formula>0.25</formula>
    </cfRule>
  </conditionalFormatting>
  <conditionalFormatting sqref="S16:S20 S22:S24 S36:S38 S74:S83">
    <cfRule type="cellIs" dxfId="12" priority="17" operator="lessThan">
      <formula>0</formula>
    </cfRule>
  </conditionalFormatting>
  <conditionalFormatting sqref="S17 S19 S23:S24 S37:S38 S77 S79 S81 S83">
    <cfRule type="cellIs" dxfId="11" priority="16" operator="greaterThan">
      <formula>0</formula>
    </cfRule>
  </conditionalFormatting>
  <conditionalFormatting sqref="S47:S50">
    <cfRule type="cellIs" dxfId="10" priority="3" operator="lessThan">
      <formula>0</formula>
    </cfRule>
  </conditionalFormatting>
  <conditionalFormatting sqref="S90:S93">
    <cfRule type="cellIs" dxfId="9" priority="1" operator="lessThan">
      <formula>0</formula>
    </cfRule>
  </conditionalFormatting>
  <conditionalFormatting sqref="T16:T23">
    <cfRule type="cellIs" dxfId="8" priority="21" operator="between">
      <formula>0.25</formula>
      <formula>1</formula>
    </cfRule>
    <cfRule type="cellIs" dxfId="7" priority="20" operator="between">
      <formula>0</formula>
      <formula>0.25</formula>
    </cfRule>
  </conditionalFormatting>
  <conditionalFormatting sqref="T24:T39 T56:T60 T77:T86 T91:T101">
    <cfRule type="cellIs" dxfId="6" priority="28" operator="between">
      <formula>0</formula>
      <formula>0.25</formula>
    </cfRule>
    <cfRule type="cellIs" dxfId="5" priority="29" operator="between">
      <formula>0.25</formula>
      <formula>1</formula>
    </cfRule>
  </conditionalFormatting>
  <conditionalFormatting sqref="T25:T35">
    <cfRule type="cellIs" dxfId="4" priority="23" operator="between">
      <formula>0.25</formula>
      <formula>1</formula>
    </cfRule>
    <cfRule type="cellIs" dxfId="3" priority="22" operator="between">
      <formula>0</formula>
      <formula>0.25</formula>
    </cfRule>
  </conditionalFormatting>
  <conditionalFormatting sqref="T40:T55">
    <cfRule type="cellIs" dxfId="2" priority="24" operator="between">
      <formula>0.25</formula>
      <formula>1</formula>
    </cfRule>
  </conditionalFormatting>
  <conditionalFormatting sqref="T61:T76">
    <cfRule type="cellIs" dxfId="1" priority="25" operator="between">
      <formula>0.25</formula>
      <formula>1</formula>
    </cfRule>
  </conditionalFormatting>
  <conditionalFormatting sqref="T87:T90">
    <cfRule type="cellIs" dxfId="0" priority="26" operator="between">
      <formula>0.25</formula>
      <formula>1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00585F-674A-4BCA-81FB-3BA58DA83927}">
            <x14:dataBar minLength="0" maxLength="100" border="1" negativeBarBorderColorSameAsPositive="0">
              <x14:cfvo type="autoMin"/>
              <x14:cfvo type="autoMax"/>
              <x14:borderColor rgb="FFFF0000"/>
              <x14:negativeFillColor rgb="FF00B050"/>
              <x14:negativeBorderColor rgb="FF00B050"/>
              <x14:axisColor rgb="FF000000"/>
            </x14:dataBar>
          </x14:cfRule>
          <xm:sqref>J16:J101</xm:sqref>
        </x14:conditionalFormatting>
        <x14:conditionalFormatting xmlns:xm="http://schemas.microsoft.com/office/excel/2006/main">
          <x14:cfRule type="dataBar" id="{03074785-1E88-4DED-8191-CA0045D2CA95}">
            <x14:dataBar minLength="0" maxLength="100" border="1" negativeBarBorderColorSameAsPositive="0">
              <x14:cfvo type="autoMin"/>
              <x14:cfvo type="autoMax"/>
              <x14:borderColor rgb="FFFF0000"/>
              <x14:negativeFillColor rgb="FF00B050"/>
              <x14:negativeBorderColor rgb="FF00B050"/>
              <x14:axisColor rgb="FF000000"/>
            </x14:dataBar>
          </x14:cfRule>
          <xm:sqref>K16:K101</xm:sqref>
        </x14:conditionalFormatting>
        <x14:conditionalFormatting xmlns:xm="http://schemas.microsoft.com/office/excel/2006/main">
          <x14:cfRule type="dataBar" id="{C5A70391-5E20-45BF-A31F-90ED53F208C6}">
            <x14:dataBar minLength="0" maxLength="100" border="1" negativeBarBorderColorSameAsPositive="0">
              <x14:cfvo type="autoMin"/>
              <x14:cfvo type="autoMax"/>
              <x14:borderColor rgb="FFFF0000"/>
              <x14:negativeFillColor rgb="FF00B050"/>
              <x14:negativeBorderColor rgb="FF00B050"/>
              <x14:axisColor rgb="FF000000"/>
            </x14:dataBar>
          </x14:cfRule>
          <xm:sqref>L16:L101</xm:sqref>
        </x14:conditionalFormatting>
        <x14:conditionalFormatting xmlns:xm="http://schemas.microsoft.com/office/excel/2006/main">
          <x14:cfRule type="dataBar" id="{C90D3411-A4F2-4647-8F36-345C08376B50}">
            <x14:dataBar minLength="0" maxLength="100" border="1" negativeBarBorderColorSameAsPositive="0">
              <x14:cfvo type="autoMin"/>
              <x14:cfvo type="autoMax"/>
              <x14:borderColor rgb="FFFF0000"/>
              <x14:negativeFillColor rgb="FF00B050"/>
              <x14:negativeBorderColor rgb="FF00B050"/>
              <x14:axisColor rgb="FF000000"/>
            </x14:dataBar>
          </x14:cfRule>
          <xm:sqref>M16:N97</xm:sqref>
        </x14:conditionalFormatting>
        <x14:conditionalFormatting xmlns:xm="http://schemas.microsoft.com/office/excel/2006/main">
          <x14:cfRule type="dataBar" id="{1BF7F6C7-41F5-4645-ABF9-17462AF9292F}">
            <x14:dataBar minLength="0" maxLength="100" border="1" negativeBarBorderColorSameAsPositive="0">
              <x14:cfvo type="autoMin"/>
              <x14:cfvo type="autoMax"/>
              <x14:borderColor rgb="FFFF0000"/>
              <x14:negativeFillColor rgb="FF00B050"/>
              <x14:negativeBorderColor rgb="FF00B050"/>
              <x14:axisColor rgb="FF000000"/>
            </x14:dataBar>
          </x14:cfRule>
          <xm:sqref>M98:N101</xm:sqref>
        </x14:conditionalFormatting>
        <x14:conditionalFormatting xmlns:xm="http://schemas.microsoft.com/office/excel/2006/main">
          <x14:cfRule type="dataBar" id="{DEE6DB11-E846-409A-9604-C26604EC9341}">
            <x14:dataBar minLength="0" maxLength="100" border="1" negativeBarBorderColorSameAsPositive="0">
              <x14:cfvo type="autoMin"/>
              <x14:cfvo type="autoMax"/>
              <x14:borderColor rgb="FFFF0000"/>
              <x14:negativeFillColor rgb="FF00B050"/>
              <x14:negativeBorderColor rgb="FF00B050"/>
              <x14:axisColor rgb="FF000000"/>
            </x14:dataBar>
          </x14:cfRule>
          <xm:sqref>O16:O101</xm:sqref>
        </x14:conditionalFormatting>
        <x14:conditionalFormatting xmlns:xm="http://schemas.microsoft.com/office/excel/2006/main">
          <x14:cfRule type="dataBar" id="{7FEA1694-6403-418B-9EAD-BE509A7F8883}">
            <x14:dataBar minLength="0" maxLength="100" border="1" negativeBarBorderColorSameAsPositive="0">
              <x14:cfvo type="autoMin"/>
              <x14:cfvo type="autoMax"/>
              <x14:borderColor rgb="FFFF0000"/>
              <x14:negativeFillColor rgb="FF00B050"/>
              <x14:negativeBorderColor rgb="FF00B050"/>
              <x14:axisColor rgb="FF000000"/>
            </x14:dataBar>
          </x14:cfRule>
          <xm:sqref>O17:O101</xm:sqref>
        </x14:conditionalFormatting>
        <x14:conditionalFormatting xmlns:xm="http://schemas.microsoft.com/office/excel/2006/main">
          <x14:cfRule type="dataBar" id="{7176AEC8-E119-4C8E-9F60-E6D72688D002}">
            <x14:dataBar minLength="0" maxLength="100" border="1" negativeBarBorderColorSameAsPositive="0">
              <x14:cfvo type="autoMin"/>
              <x14:cfvo type="autoMax"/>
              <x14:borderColor rgb="FFFF0000"/>
              <x14:negativeFillColor rgb="FF00B050"/>
              <x14:negativeBorderColor rgb="FF00B050"/>
              <x14:axisColor rgb="FF000000"/>
            </x14:dataBar>
          </x14:cfRule>
          <xm:sqref>R16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L37" sqref="L37"/>
    </sheetView>
  </sheetViews>
  <sheetFormatPr defaultRowHeight="13.5" x14ac:dyDescent="0.15"/>
  <sheetData/>
  <phoneticPr fontId="2" type="noConversion"/>
  <pageMargins left="0.7" right="0.7" top="0.75" bottom="0.75" header="0.3" footer="0.3"/>
  <pageSetup paperSize="9"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基础设施公募REITs估值跟踪</vt:lpstr>
      <vt:lpstr>免责声明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2026-07-19T15:30:59Z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1A2CBC5A-5473-4CE6-A148-AFD598F219D9</vt:lpwstr>
  </property>
</Properties>
</file>