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gif" ContentType="image/gi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855" windowHeight="17205" tabRatio="774"/>
  </bookViews>
  <sheets>
    <sheet name="ImportantDisclosures" sheetId="10" r:id="rId1"/>
    <sheet name="Earnings Model" sheetId="6" r:id="rId2"/>
    <sheet name="Balance Sheet" sheetId="8" r:id="rId3"/>
    <sheet name="Cash Flow" sheetId="9" r:id="rId4"/>
    <sheet name="IndexInformation" sheetId="11" r:id="rId5"/>
    <sheet name="ModPubIndex" sheetId="12" r:id="rId6"/>
  </sheets>
  <definedNames>
    <definedName name="africa">0.01</definedName>
    <definedName name="africaCountries">#REF!</definedName>
    <definedName name="allRegions">#REF!</definedName>
    <definedName name="americaRegion">#REF!</definedName>
    <definedName name="americas">0.16</definedName>
    <definedName name="americasStates">#REF!</definedName>
    <definedName name="AppVersion">"GEG-1.0"</definedName>
    <definedName name="asiaPacific">0.73</definedName>
    <definedName name="asiaPacificExJapan">0.26</definedName>
    <definedName name="asiaPacificExJapanCountries">#REF!</definedName>
    <definedName name="asiaPacificRegion">#REF!</definedName>
    <definedName name="asiaPacificStates">#REF!</definedName>
    <definedName name="australasia">0.02</definedName>
    <definedName name="BRICS">0.47</definedName>
    <definedName name="BSMethod">2</definedName>
    <definedName name="Button_1">"TFT_report_data_share_prices_List"</definedName>
    <definedName name="cc_ReportCurrency">"NTD"</definedName>
    <definedName name="cc_ReportCurrencyUnit">"NT$"</definedName>
    <definedName name="cc_ReportCurrencyUnitFactor">1</definedName>
    <definedName name="centralEasternEurope">0.02</definedName>
    <definedName name="centralEasternEuropeCountries">#REF!</definedName>
    <definedName name="china">0.4</definedName>
    <definedName name="Choices_Wrapper">Choices_Wrapper</definedName>
    <definedName name="consumerDemandExposure">#REF!</definedName>
    <definedName name="consumersExposure">0</definedName>
    <definedName name="Conv_ITL">1.93627</definedName>
    <definedName name="Conv_mark">0</definedName>
    <definedName name="countryList">"Country Mapping"</definedName>
    <definedName name="DB">"WIREHKPROD"</definedName>
    <definedName name="developedEuropeExUK">0.05</definedName>
    <definedName name="developedEuropeExUKCountries">#REF!</definedName>
    <definedName name="domesticAndForeignExposure">#REF!</definedName>
    <definedName name="domesticCostExposure">#REF!</definedName>
    <definedName name="DummyEstYears">3</definedName>
    <definedName name="EEMEA">0.04</definedName>
    <definedName name="endDemandExposure">#REF!</definedName>
    <definedName name="europe">0.09</definedName>
    <definedName name="europeRegion">#REF!</definedName>
    <definedName name="europeStates">#REF!</definedName>
    <definedName name="EurosFRF">1</definedName>
    <definedName name="EurosITL">1</definedName>
    <definedName name="FINCriteriaType">1</definedName>
    <definedName name="FR_COM_ABBR">"1122.HK"</definedName>
    <definedName name="FR_COU_ABBR">"chn"</definedName>
    <definedName name="FR_END_DATE">"'31 Dec 2001"</definedName>
    <definedName name="FR_START_DATE">"'1 Jan 2001"</definedName>
    <definedName name="FR_SYBASE_SERVER">"PTKFBVDF01"</definedName>
    <definedName name="FR_TEMPLATE_KEY">"110952|1"</definedName>
    <definedName name="ICP">0</definedName>
    <definedName name="ictsymbol">"NT$"</definedName>
    <definedName name="icusymbol">"NT$"</definedName>
    <definedName name="india">0.05</definedName>
    <definedName name="instructions">#REF!</definedName>
    <definedName name="ISMethod">1</definedName>
    <definedName name="italy">0.01</definedName>
    <definedName name="iue">1</definedName>
    <definedName name="iuesymbol">"NT$"</definedName>
    <definedName name="iun">1000000</definedName>
    <definedName name="iunsymbol">"NT$m"</definedName>
    <definedName name="ius">1000000</definedName>
    <definedName name="japan">0.02</definedName>
    <definedName name="LabelList">OFFSET(LabelData,1,0,ROWS(LabelData)-1,1)</definedName>
    <definedName name="latinAmerica">0</definedName>
    <definedName name="latinAmericaCountries">#REF!</definedName>
    <definedName name="Linking_1">#REF!</definedName>
    <definedName name="Linking_10">#REF!</definedName>
    <definedName name="Linking_11">#REF!</definedName>
    <definedName name="Linking_12">#REF!</definedName>
    <definedName name="Linking_13">#REF!</definedName>
    <definedName name="Linking_14">#REF!</definedName>
    <definedName name="Linking_15">#REF!</definedName>
    <definedName name="Linking_16">#REF!</definedName>
    <definedName name="Linking_17">#REF!</definedName>
    <definedName name="Linking_18">#REF!</definedName>
    <definedName name="Linking_19">#REF!</definedName>
    <definedName name="Linking_2">#REF!</definedName>
    <definedName name="Linking_20">#REF!</definedName>
    <definedName name="Linking_21">#REF!</definedName>
    <definedName name="Linking_22">#REF!</definedName>
    <definedName name="Linking_23">#REF!</definedName>
    <definedName name="Linking_24">#REF!</definedName>
    <definedName name="Linking_25">#REF!</definedName>
    <definedName name="Linking_26">#REF!</definedName>
    <definedName name="Linking_27">#REF!</definedName>
    <definedName name="Linking_28">#REF!</definedName>
    <definedName name="Linking_29">#REF!</definedName>
    <definedName name="Linking_3">#REF!</definedName>
    <definedName name="Linking_30">#REF!</definedName>
    <definedName name="Linking_31">#REF!</definedName>
    <definedName name="Linking_32">#REF!</definedName>
    <definedName name="Linking_33">#REF!</definedName>
    <definedName name="Linking_34">#REF!</definedName>
    <definedName name="Linking_35">#REF!</definedName>
    <definedName name="Linking_36">#REF!</definedName>
    <definedName name="Linking_37">#REF!</definedName>
    <definedName name="Linking_38">#REF!</definedName>
    <definedName name="Linking_39">#REF!</definedName>
    <definedName name="Linking_4">#REF!</definedName>
    <definedName name="Linking_40">#REF!</definedName>
    <definedName name="Linking_41">#REF!</definedName>
    <definedName name="Linking_42">#REF!</definedName>
    <definedName name="Linking_43">#REF!</definedName>
    <definedName name="Linking_44">#REF!</definedName>
    <definedName name="Linking_45">#REF!</definedName>
    <definedName name="Linking_46">#REF!</definedName>
    <definedName name="Linking_47">#REF!</definedName>
    <definedName name="Linking_48">#REF!</definedName>
    <definedName name="Linking_49">#REF!</definedName>
    <definedName name="Linking_5">#REF!</definedName>
    <definedName name="Linking_50">#REF!</definedName>
    <definedName name="Linking_51">#REF!</definedName>
    <definedName name="Linking_52">#REF!</definedName>
    <definedName name="Linking_53">#REF!</definedName>
    <definedName name="Linking_54">#REF!</definedName>
    <definedName name="Linking_55">#REF!</definedName>
    <definedName name="Linking_56">#REF!</definedName>
    <definedName name="Linking_57">#REF!</definedName>
    <definedName name="Linking_58">#REF!</definedName>
    <definedName name="Linking_59">#REF!</definedName>
    <definedName name="Linking_6">#REF!</definedName>
    <definedName name="Linking_60">#REF!</definedName>
    <definedName name="Linking_7">#REF!</definedName>
    <definedName name="Linking_8">#REF!</definedName>
    <definedName name="Linking_9">#REF!</definedName>
    <definedName name="Linking_Range_1">'Earnings Model'!$A$8:$BF$66</definedName>
    <definedName name="Linking_Range_11">'Earnings Model'!$A$8:$BF$66</definedName>
    <definedName name="Linking_Range_13">'Earnings Model'!#REF!</definedName>
    <definedName name="Linking_Range_14">#REF!</definedName>
    <definedName name="Linking_Range_16">#REF!</definedName>
    <definedName name="Linking_Range_17">#REF!</definedName>
    <definedName name="Linking_Range_2">#REF!</definedName>
    <definedName name="Linking_Range_22">'Earnings Model'!$A$8:$BG$67</definedName>
    <definedName name="Linking_Range_23">'Earnings Model'!$A$8:$BG$66</definedName>
    <definedName name="Linking_Range_24">#REF!</definedName>
    <definedName name="Linking_Range_25">#REF!</definedName>
    <definedName name="Linking_Range_26">#REF!</definedName>
    <definedName name="Linking_Range_27">#REF!</definedName>
    <definedName name="Linking_Range_28">#REF!</definedName>
    <definedName name="Linking_Range_29">#REF!</definedName>
    <definedName name="Linking_Range_30">'Earnings Model'!$A$7:$BG$66</definedName>
    <definedName name="Linking_Range_31">#REF!</definedName>
    <definedName name="Linking_Range_32">'Earnings Model'!$A$8:$BH$66</definedName>
    <definedName name="Linking_Range_4">'Earnings Model'!$A$8:$BF$66</definedName>
    <definedName name="Linking_Range_7">#REF!</definedName>
    <definedName name="Linking_Range_8">#REF!</definedName>
    <definedName name="Linking_Text_1">'Earnings Model'!#REF!</definedName>
    <definedName name="Macro12">Macro12</definedName>
    <definedName name="Macro3">Macro3</definedName>
    <definedName name="middleEast">0.01</definedName>
    <definedName name="middleEastAfrica">0.02</definedName>
    <definedName name="middleEastAfricaRegion">#REF!</definedName>
    <definedName name="middleEastAfricaStates">#REF!</definedName>
    <definedName name="northAmerica">0.16</definedName>
    <definedName name="northAmericaCountries">#REF!</definedName>
    <definedName name="otherAfrica">0</definedName>
    <definedName name="otherAsiaPacific">0.02</definedName>
    <definedName name="otherCentralEasternEurope">0.01</definedName>
    <definedName name="otherDevelopedEurope">0.01</definedName>
    <definedName name="otherLATAM">0</definedName>
    <definedName name="_xlnm.Print_Area" localSheetId="3">'Cash Flow'!$A$1:$D$51</definedName>
    <definedName name="_xlnm.Print_Area" localSheetId="1">'Earnings Model'!$A$8:$BF$66</definedName>
    <definedName name="_xlnm.Print_Area">"Formula removed, name can be deleted."</definedName>
    <definedName name="_xlnm.Print_Titles" localSheetId="3">'Cash Flow'!$A:$D</definedName>
    <definedName name="_xlnm.Print_Titles">"Formula removed, name can be deleted."</definedName>
    <definedName name="Rangename">"Summary DCF"</definedName>
    <definedName name="Rec.Asset_Debt">0</definedName>
    <definedName name="regionalCostExposure">#REF!</definedName>
    <definedName name="REP_CHT_DivisionalBreakdown">"Chart 416"</definedName>
    <definedName name="REP_CHT_GeographicalBreakdown">"Chart 417"</definedName>
    <definedName name="REP_CHT_Spare1">"Chart 422"</definedName>
    <definedName name="REP_CHT_Spare2">"Chart 423"</definedName>
    <definedName name="RepairedName0029">"iQShowAnnual"</definedName>
    <definedName name="RepairedName0030">"iQShowAnnual"</definedName>
    <definedName name="RepairedName0034">"iQShowAnnual"</definedName>
    <definedName name="RepairedName0290">"iQShowAnnual"</definedName>
    <definedName name="rngBRICS">#REF!,#REF!,#REF!,#REF!</definedName>
    <definedName name="rngContinentWiseValue">#REF!</definedName>
    <definedName name="rngCountryWiseValue">#REF!</definedName>
    <definedName name="rngEEMEA">#REF!,#REF!,#REF!,#REF!</definedName>
    <definedName name="rngStateWiseValue">#REF!</definedName>
    <definedName name="rngTotalRegionExposure">1</definedName>
    <definedName name="SavedThisSession">FALSE</definedName>
    <definedName name="showVersionCheckMessage">1</definedName>
    <definedName name="socioEconomicRegion">#REF!</definedName>
    <definedName name="socioEconomicRegions">#REF!</definedName>
    <definedName name="spain">0.01</definedName>
    <definedName name="Stock_dividend">0</definedName>
    <definedName name="TaxTV">10%</definedName>
    <definedName name="TaxXL">5%</definedName>
    <definedName name="Template.WIRE">"DBACCESS"</definedName>
    <definedName name="TestAdd">"Test RefersTo1"</definedName>
    <definedName name="totalConsumerDemandExposure">0</definedName>
    <definedName name="totalDomesticCostExposure">#REF!</definedName>
    <definedName name="totalDomesticRevenueExposure">#REF!</definedName>
    <definedName name="totalEndDemandRevenueExposure">#REF!</definedName>
    <definedName name="totalRegionCostExposure">#REF!</definedName>
    <definedName name="totalRegionRevenueExposure">#REF!</definedName>
    <definedName name="Trace">FALSE</definedName>
    <definedName name="uk">0.02</definedName>
    <definedName name="UnitStringsList">OFFSET(UnitStrings,0,0,ROWS(UnitStrings),1)</definedName>
    <definedName name="UpgradeVersion">"v2.35"</definedName>
    <definedName name="validate_Equity_Data">#REF!</definedName>
    <definedName name="ValidDateTable">#REF!</definedName>
    <definedName name="Version">0</definedName>
    <definedName name="Version.WIRE">1</definedName>
    <definedName name="XX_TEJ1">#REF!</definedName>
    <definedName name="XX_TEJ2">#REF!</definedName>
    <definedName name="XX_TEJ3">#REF!</definedName>
    <definedName name="XX_TEJ4">#REF!</definedName>
    <definedName name="XX_TEJ5">#REF!</definedName>
    <definedName name="XX_TEJ6">#REF!</definedName>
    <definedName name="XX_TEJ7">#REF!</definedName>
    <definedName name="XX_TEJ8">#REF!</definedName>
    <definedName name="Years">"A1:v1"</definedName>
  </definedNames>
  <calcPr calcId="191029" calcMode="manual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<sst xmlns="http://schemas.openxmlformats.org/spreadsheetml/2006/main" count="910" uniqueCount="671">
  <si>
    <t xml:space="preserve">1 Austin Road West </t>
  </si>
  <si>
    <t xml:space="preserve">Kowloon </t>
  </si>
  <si>
    <t xml:space="preserve">Hong Kong </t>
  </si>
  <si>
    <t>Tel: +852 2848 5200</t>
  </si>
  <si>
    <t>Authors: Daniel Yen,Charlie Chan</t>
  </si>
  <si>
    <t>Date: 16 Jul 2026</t>
  </si>
  <si>
    <t>Ticker: 688008.SS</t>
  </si>
  <si>
    <t>Stock Rating: Overweight</t>
  </si>
  <si>
    <t>Industry: Greater China Technology Semiconductors</t>
  </si>
  <si>
    <t>Industry View: Attractive</t>
  </si>
  <si>
    <t>Price as of 16 Jul 2026: 233.50</t>
  </si>
  <si>
    <t>Target Price: 377.00</t>
  </si>
  <si>
    <t>e = Morgan Stanley Research estimates unless otherwise noted</t>
  </si>
  <si>
    <t>Source: Morgan Stanley Research unless otherwise noted</t>
  </si>
  <si>
    <t>Stocks ratings are relative to the analyst's industry coverage universe.</t>
  </si>
  <si>
    <t>Morgan Stanley does and seeks to do business with companies covered in Morgan Stanley Research. As a</t>
  </si>
  <si>
    <t>result, investors should be aware that the firm may have a conflict of interest that could affect the</t>
  </si>
  <si>
    <t>objectivity of Morgan Stanley Research. Investors should consider Morgan Stanley Research as only a</t>
  </si>
  <si>
    <t>single factor in making their investment decision.</t>
  </si>
  <si>
    <t>The information and opinions in Morgan Stanley Research were prepared or are disseminated by Morgan</t>
  </si>
  <si>
    <t>Stanley Asia Limited (which accepts the responsibility for its contents) and/or Morgan Stanley Asia</t>
  </si>
  <si>
    <t>(Singapore) Pte. (Registration number 199206298Z) and/or Morgan Stanley Asia (Singapore) Securities Pte</t>
  </si>
  <si>
    <t>Ltd (Registration number 200008434H), regulated by the Monetary Authority of Singapore (which accepts</t>
  </si>
  <si>
    <t>legal responsibility for its contents and should be contacted with respect to any matters arising from,</t>
  </si>
  <si>
    <t>or in connection with, Morgan Stanley Research), and/or Morgan Stanley Taiwan Limited and/or Morgan</t>
  </si>
  <si>
    <t>Stanley &amp; Co International plc, Seoul Branch, and/or Morgan Stanley Australia Limited (A.B.N. 67 003 734</t>
  </si>
  <si>
    <t>576, holder of Australian financial services license No. 233742, which accepts responsibility for its</t>
  </si>
  <si>
    <t>contents), and/or Morgan Stanley Wealth Management Australia Pty Ltd (A.B.N. 19 009 145 555, holder of</t>
  </si>
  <si>
    <t>Australian financial services license No. 240813, which accepts responsibility for its contents), and/or</t>
  </si>
  <si>
    <t>Morgan Stanley India Company Private Limited having Corporate Identification No (CIN)</t>
  </si>
  <si>
    <t>U22990MH1998PTC115305, regulated by the Securities and Exchange Board of India (“SEBI”) and holder of</t>
  </si>
  <si>
    <t>licenses as a Research Analyst (SEBI Registration No. INH000001105); Stock Broker (SEBI Stock Broker</t>
  </si>
  <si>
    <t>Registration No. INZ000244438), Merchant Banker (SEBI Registration No. INM000011203), and depository</t>
  </si>
  <si>
    <t>participant with National Securities Depository Limited (SEBI Registration No. IN-DP-NSDL-567-2021)</t>
  </si>
  <si>
    <t>having registered office at Altimus, Level 39 &amp; 40, Pandurang Budhkar Marg, Worli, Mumbai 400018, India;</t>
  </si>
  <si>
    <t>Telephone no. +91-22-61181000; Compliance Officer Details: Mr. Tejarshi Hardas, Tel. No.:</t>
  </si>
  <si>
    <t>+91-22-61181000 or Email: tejarshi.hardas@morganstanley.com; Grievance officer details: Mr. Tejarshi</t>
  </si>
  <si>
    <t>Hardas, Tel. No.: +91-22-61181000 or Email: msic-compliance@morganstanley.com which accepts the</t>
  </si>
  <si>
    <t>responsibility for its contents and should be contacted with respect to any matters arising from, or in</t>
  </si>
  <si>
    <t>connection with, Morgan Stanley Research, and their affiliates (collectively, "Morgan Stanley"). Morgan</t>
  </si>
  <si>
    <t>Stanley India Company Private Limited (MSICPL) may use AI tools in providing research services. All</t>
  </si>
  <si>
    <t>recommendations contained herein are made by the duly qualified research analysts.</t>
  </si>
  <si>
    <t>For important disclosures, stock price charts and equity rating histories regarding companies that are</t>
  </si>
  <si>
    <t>the subject of this report, please see the Morgan Stanley Research Disclosure Website at</t>
  </si>
  <si>
    <t>www.morganstanley.com/eqr/disclosures/webapp/generalresearch, or contact your investment representative</t>
  </si>
  <si>
    <t>or Morgan Stanley Research at 1585 Broadway, (Attention: Research Management), New York, NY, 10036 USA.</t>
  </si>
  <si>
    <t>For valuation methodology and risks associated with any recommendation, rating or price target</t>
  </si>
  <si>
    <t>referenced in this research report, please contact the Client Support Team as follows: US/Canada +1 800</t>
  </si>
  <si>
    <t>303-2495; Hong Kong +852 2848-5999; Latin America +1 718 754-5444 (U.S.); London +44 (0)20-7425-8169;</t>
  </si>
  <si>
    <t>Singapore +65 6834-6860; Sydney +61 (0)2-9770-1505; Tokyo +81 (0)3-6836-9000. Alternatively you may</t>
  </si>
  <si>
    <t>contact your investment representative or Morgan Stanley Research at 1585 Broadway, (Attention: Research</t>
  </si>
  <si>
    <t>Management), New York, NY 10036 USA.</t>
  </si>
  <si>
    <t>Analyst Certification</t>
  </si>
  <si>
    <t>The following analysts hereby certify that their views about the companies and their securities</t>
  </si>
  <si>
    <t>discussed in this report are accurately expressed and that they have not received and will not receive</t>
  </si>
  <si>
    <t>direct or indirect compensation in exchange for expressing specific recommendations or views in this</t>
  </si>
  <si>
    <t>report: Daniel Yen, CFA.</t>
  </si>
  <si>
    <t>.</t>
  </si>
  <si>
    <t>Global Research Conflict Management Policy</t>
  </si>
  <si>
    <t>Morgan Stanley Research has been published in accordance with our conflict management policy, which is</t>
  </si>
  <si>
    <t>available at www.morganstanley.com/institutional/research/conflictpolicies. A Portuguese version of the</t>
  </si>
  <si>
    <t>policy can be found at www.morganstanley.com.br</t>
  </si>
  <si>
    <t>Important Regulatory Disclosures on Subject Companies</t>
  </si>
  <si>
    <t>As of June 30, 2026, Morgan Stanley beneficially owned 1% or more of a class of common equity securities</t>
  </si>
  <si>
    <t>of the following companies covered in Morgan Stanley Research: Montage Technology Co Ltd.</t>
  </si>
  <si>
    <t>Within the last 12 months, Morgan Stanley managed or co-managed a public offering (or 144A offering) of</t>
  </si>
  <si>
    <t>securities of Montage Technology Co Ltd.</t>
  </si>
  <si>
    <t>Within the last 12 months, Morgan Stanley has received compensation for investment banking services from</t>
  </si>
  <si>
    <t>Montage Technology Co Ltd.</t>
  </si>
  <si>
    <t>In the next 3 months, Morgan Stanley expects to receive or intends to seek compensation for investment</t>
  </si>
  <si>
    <t>banking services from Montage Technology Co Ltd.</t>
  </si>
  <si>
    <t>Within the last 12 months, Morgan Stanley has provided or is providing investment banking services to,</t>
  </si>
  <si>
    <t>or has an investment banking client relationship with, the following company: Montage Technology Co Ltd.</t>
  </si>
  <si>
    <t>Within the last 12 months, Morgan Stanley has either provided or is providing non-investment banking,</t>
  </si>
  <si>
    <t>securities-related services to and/or in the past has entered into an agreement to provide services or</t>
  </si>
  <si>
    <t>has a client relationship with the following company: Montage Technology Co Ltd.</t>
  </si>
  <si>
    <t>The equity research analysts or strategists principally responsible for the preparation of Morgan</t>
  </si>
  <si>
    <t>Stanley Research have received compensation based upon various factors, including quality of research,</t>
  </si>
  <si>
    <t>investor client feedback, stock picking, competitive factors, firm revenues and overall investment</t>
  </si>
  <si>
    <t>banking revenues. Equity Research analysts' or strategists' compensation is not linked to investment</t>
  </si>
  <si>
    <t>banking or capital markets transactions performed by Morgan Stanley or the profitability or revenues of</t>
  </si>
  <si>
    <t>particular trading desks.</t>
  </si>
  <si>
    <t>Morgan Stanley and its affiliates do business that relates to companies/instruments covered in Morgan</t>
  </si>
  <si>
    <t>Stanley Research, including market making, providing liquidity, fund management, commercial banking,</t>
  </si>
  <si>
    <t>extension of credit, investment services and investment banking. Morgan Stanley sells to and buys from</t>
  </si>
  <si>
    <t>customers the securities/instruments of companies covered in Morgan Stanley Research on a principal</t>
  </si>
  <si>
    <t>basis. Morgan Stanley may have a position in the debt of the Company or instruments discussed in this</t>
  </si>
  <si>
    <t>report. Morgan Stanley trades or may trade as principal in the debt securities (or in related</t>
  </si>
  <si>
    <t>derivatives) that are the subject of the debt research report.</t>
  </si>
  <si>
    <t>Certain disclosures listed above are also for compliance with applicable regulations in non-US</t>
  </si>
  <si>
    <t>jurisdictions.</t>
  </si>
  <si>
    <t>STOCK RATINGS</t>
  </si>
  <si>
    <t>Morgan Stanley uses a relative rating system using terms such as Overweight, Equal-weight, Not-Rated or</t>
  </si>
  <si>
    <t>Underweight (see definitions below). Morgan Stanley does not assign ratings of Buy, Hold or Sell to the</t>
  </si>
  <si>
    <t>stocks we cover. Overweight, Equal-weight, Not-Rated and Underweight are not the equivalent of buy, hold</t>
  </si>
  <si>
    <t>and sell. Investors should carefully read the definitions of all ratings used in Morgan Stanley</t>
  </si>
  <si>
    <t>Research. In addition, since Morgan Stanley Research contains more complete information concerning the</t>
  </si>
  <si>
    <t>analyst's views, investors should carefully read Morgan Stanley Research, in its entirety, and not infer</t>
  </si>
  <si>
    <t>the contents from the rating alone. In any case, ratings (or research) should not be used or relied</t>
  </si>
  <si>
    <t>upon as investment advice. An investor's decision to buy or sell a stock should depend on individual</t>
  </si>
  <si>
    <t>circumstances (such as the investor's existing holdings) and other considerations.</t>
  </si>
  <si>
    <t>Global Stock Ratings Distribution</t>
  </si>
  <si>
    <t>(as of June 30, 2026)</t>
  </si>
  <si>
    <t>The Stock Ratings described below apply to Morgan Stanley's Fundamental Equity Research and do not apply</t>
  </si>
  <si>
    <t>to Debt Research produced by the Firm.</t>
  </si>
  <si>
    <t>For disclosure purposes only (in accordance with FINRA requirements), we include the category headings</t>
  </si>
  <si>
    <t>of Buy, Hold, and Sell alongside our ratings of Overweight, Equal-weight, Not-Rated and Underweight.</t>
  </si>
  <si>
    <t>Morgan Stanley does not assign ratings of Buy, Hold or Sell to the stocks we cover. Overweight,</t>
  </si>
  <si>
    <t>Equal-weight, Not-Rated and Underweight are not the equivalent of buy, hold, and sell but represent</t>
  </si>
  <si>
    <t>recommended relative weightings (see definitions below). To satisfy regulatory requirements, we</t>
  </si>
  <si>
    <t>correspond Overweight, our most positive stock rating, with a buy recommendation; we correspond</t>
  </si>
  <si>
    <t>Equal-weight and Not-Rated to hold and Underweight to sell recommendations, respectively.</t>
  </si>
  <si>
    <t>Coverage Universe</t>
  </si>
  <si>
    <t>Investment Banking Clients (IBC)</t>
  </si>
  <si>
    <t>Other Material Investment Services Clients (MISC)</t>
  </si>
  <si>
    <t>Stock Rating Category</t>
  </si>
  <si>
    <t>Count</t>
  </si>
  <si>
    <t>% of Total</t>
  </si>
  <si>
    <t>% of Total IBC</t>
  </si>
  <si>
    <t>% of Rating Category</t>
  </si>
  <si>
    <t>% of Total Other MISC</t>
  </si>
  <si>
    <t>Overweight/Buy</t>
  </si>
  <si>
    <t>Equal-weight/Hold</t>
  </si>
  <si>
    <t>Not-Rated/Hold</t>
  </si>
  <si>
    <t>Underweight/Sell</t>
  </si>
  <si>
    <t>Total</t>
  </si>
  <si>
    <t>Data include common stock and ADRs currently assigned ratings. Investment Banking Clients are companies</t>
  </si>
  <si>
    <t>from whom Morgan Stanley received investment banking compensation in the last 12 months. Due to rounding</t>
  </si>
  <si>
    <t>off of decimals, the percentages provided in the "% of total" column may not add up to exactly 100</t>
  </si>
  <si>
    <t>percent.</t>
  </si>
  <si>
    <t>Analyst Stock Ratings</t>
  </si>
  <si>
    <t>Overweight (O). The stock's total return is expected to exceed the average total return of the analyst's</t>
  </si>
  <si>
    <t>industry (or industry team's) coverage universe, on a risk-adjusted basis, over the next 12-18 months.</t>
  </si>
  <si>
    <t>Equal-weight (E). The stock's total return is expected to be in line with the average total return of</t>
  </si>
  <si>
    <t>the analyst's industry (or industry team's) coverage universe, on a risk-adjusted basis, over the next</t>
  </si>
  <si>
    <t>12-18 months.</t>
  </si>
  <si>
    <t>Not-Rated (NR). Currently the analyst does not have adequate conviction about the stock's total return</t>
  </si>
  <si>
    <t>relative to the average total return of the analyst's industry (or industry team's) coverage universe,</t>
  </si>
  <si>
    <t>on a risk-adjusted basis, over the next 12-18 months.</t>
  </si>
  <si>
    <t>Underweight (U). The stock's total return is expected to be below the average total return of the</t>
  </si>
  <si>
    <t>analyst's industry (or industry team's) coverage universe, on a risk-adjusted basis, over the next 12-18</t>
  </si>
  <si>
    <t>months.</t>
  </si>
  <si>
    <t>Unless otherwise specified, the time frame for price targets included in Morgan Stanley Research is 12</t>
  </si>
  <si>
    <t>to 18 months.</t>
  </si>
  <si>
    <t>Analyst Industry Views</t>
  </si>
  <si>
    <t>Attractive (A): The analyst expects the performance of his or her industry coverage universe over the</t>
  </si>
  <si>
    <t>next 12-18 months to be attractive vs. the relevant broad market benchmark, as indicated below.</t>
  </si>
  <si>
    <t>In-Line (I): The analyst expects the performance of his or her industry coverage universe over the next</t>
  </si>
  <si>
    <t>12-18 months to be in line with the relevant broad market benchmark, as indicated below.</t>
  </si>
  <si>
    <t>Cautious (C): The analyst views the performance of his or her industry coverage universe over the next</t>
  </si>
  <si>
    <t>12-18 months with caution vs. the relevant broad market benchmark, as indicated below.</t>
  </si>
  <si>
    <t>Benchmarks for each region are as follows: North America - S&amp;P 500; Latin America - relevant MSCI</t>
  </si>
  <si>
    <t>country index or MSCI Latin America Index; Europe - MSCI Europe; Japan - TOPIX; Asia - relevant MSCI</t>
  </si>
  <si>
    <t>country index or MSCI sub-regional index or MSCI AC Asia Pacific ex Japan Index.</t>
  </si>
  <si>
    <t>Stock Price, Price Target and Rating History (See Rating Definitions)</t>
  </si>
  <si>
    <t>Important Disclosures for Morgan Stanley Smith Barney LLC Customers</t>
  </si>
  <si>
    <t>Important disclosures regarding any material conflict of interest that can reasonably be expected to</t>
  </si>
  <si>
    <t>have influenced Morgan Stanley Smith Barney LLC's choice of a third-party research provider or the</t>
  </si>
  <si>
    <t>subject company of a third-party research report, are available on the Morgan Stanley Wealth Management</t>
  </si>
  <si>
    <t>disclosure website at www.morganstanley.com/online/researchdisclosures. For Morgan Stanley specific</t>
  </si>
  <si>
    <t>disclosures, you may refer to https://www.morganstanley.com/eqr/disclosures/webapp/generalresearch.</t>
  </si>
  <si>
    <t>Each Morgan Stanley research report is reviewed and approved on behalf of Morgan Stanley Smith Barney</t>
  </si>
  <si>
    <t>LLC. This review and approval is conducted by the same person who reviews the research report on behalf</t>
  </si>
  <si>
    <t>of Morgan Stanley. This could create a conflict of interest.</t>
  </si>
  <si>
    <t>Other Important Disclosures</t>
  </si>
  <si>
    <t>Morgan Stanley Research policy is to update research reports as and when the Research Analyst and</t>
  </si>
  <si>
    <t>Research Management deem appropriate, based on developments with the issuer, the sector, or the market</t>
  </si>
  <si>
    <t>that may have a material impact on the research views or opinions stated therein. In addition, certain</t>
  </si>
  <si>
    <t>Research publications are intended to be updated on a regular periodic basis</t>
  </si>
  <si>
    <t>(weekly/monthly/quarterly/annual) and will ordinarily be updated with that frequency, unless the</t>
  </si>
  <si>
    <t>Research Analyst and Research Management determine that a different publication schedule is appropriate</t>
  </si>
  <si>
    <t>based on current conditions.</t>
  </si>
  <si>
    <t>Morgan Stanley is not acting as a municipal advisor and the opinions or views contained herein are not</t>
  </si>
  <si>
    <t>intended to be, and do not constitute, advice within the meaning of Section 975 of the Dodd-Frank Wall</t>
  </si>
  <si>
    <t>Street Reform and Consumer Protection Act.</t>
  </si>
  <si>
    <t>Morgan Stanley produces an equity research product called a "Tactical Idea." Views contained in a</t>
  </si>
  <si>
    <t>"Tactical Idea" on a particular stock may be contrary to the recommendations or views expressed in</t>
  </si>
  <si>
    <t>research on the same stock. This may be the result of differing time horizons, methodologies, market</t>
  </si>
  <si>
    <t>events, or other factors. For all research available on a particular stock, please contact your sales</t>
  </si>
  <si>
    <t>representative or go to Matrix at http://www.morganstanley.com/matrix.</t>
  </si>
  <si>
    <t>Morgan Stanley Research is provided to our clients through our proprietary research portal on Matrix and</t>
  </si>
  <si>
    <t>also distributed electronically by Morgan Stanley to clients. Certain, but not all, Morgan Stanley</t>
  </si>
  <si>
    <t>Research products are also made available to clients through third-party vendors or redistributed to</t>
  </si>
  <si>
    <t>clients through alternate electronic means as a convenience. For access to all available Morgan Stanley</t>
  </si>
  <si>
    <t>Research, please contact your sales representative or go to Matrix at</t>
  </si>
  <si>
    <t>http://www.morganstanley.com/matrix.</t>
  </si>
  <si>
    <t>Any access and/or use of Morgan Stanley Research is subject to Morgan Stanley's Terms of Use</t>
  </si>
  <si>
    <t>(http://www.morganstanley.com/terms.html). By accessing and/or using Morgan Stanley Research, you are</t>
  </si>
  <si>
    <t>indicating that you have read and agree to be bound by our Terms of Use</t>
  </si>
  <si>
    <t>(http://www.morganstanley.com/terms.html). In addition you consent to Morgan Stanley processing your</t>
  </si>
  <si>
    <t>personal data and using cookies in accordance with our Privacy Policy and our Global Cookies Policy</t>
  </si>
  <si>
    <t>(http://www.morganstanley.com/privacy_pledge.html), including for the purposes of setting your</t>
  </si>
  <si>
    <t>preferences and to collect readership data so that we can deliver better and more personalized service</t>
  </si>
  <si>
    <t>and products to you. To find out more information about how Morgan Stanley processes personal data, how</t>
  </si>
  <si>
    <t>we use cookies and how to reject cookies see our Privacy Policy and our Global Cookies Policy</t>
  </si>
  <si>
    <t>(http://www.morganstanley.com/privacy_pledge.html). Please use the provided link to review the Terms and</t>
  </si>
  <si>
    <t>Conditions and Most Important Terms and Conditions for Morgan Stanley India Company Private Limited</t>
  </si>
  <si>
    <t>(https://www.morganstanley.com/assets/pdfs/about-us-global-offices/india/Terms_and_conditions.pdf) and</t>
  </si>
  <si>
    <t>the following link to review the audit report</t>
  </si>
  <si>
    <t>(https://ny.matrix.ms.com/eqr/research/webapp/researchdocs/MSICPL_Morgan_Stanley_Research_Audit_Report.pdf).</t>
  </si>
  <si>
    <t>If you do not agree to our Terms of Use and/or if you do not wish to provide your consent to Morgan</t>
  </si>
  <si>
    <t>Stanley processing your personal data or using cookies please do not access our research.</t>
  </si>
  <si>
    <t>Morgan Stanley Research does not provide individually tailored investment advice. Morgan Stanley</t>
  </si>
  <si>
    <t>Research has been prepared without regard to the circumstances and objectives of those who receive it.</t>
  </si>
  <si>
    <t>Morgan Stanley recommends that investors independently evaluate particular investments and strategies,</t>
  </si>
  <si>
    <t>and encourages investors to seek the advice of a financial adviser. The appropriateness of an investment</t>
  </si>
  <si>
    <t>or strategy will depend on an investor's circumstances and objectives. The securities, instruments, or</t>
  </si>
  <si>
    <t>strategies discussed in Morgan Stanley Research may not be suitable for all investors, and certain</t>
  </si>
  <si>
    <t>investors may not be eligible to purchase or participate in some or all of them. Morgan Stanley Research</t>
  </si>
  <si>
    <t>is not an offer to buy or sell or the solicitation of an offer to buy or sell any security/instrument or</t>
  </si>
  <si>
    <t>to participate in any particular trading strategy. The value of and income from your investments may</t>
  </si>
  <si>
    <t>vary because of changes in interest rates, foreign exchange rates, default rates, prepayment rates,</t>
  </si>
  <si>
    <t>securities/instruments prices, market indexes, operational or financial conditions of companies or other</t>
  </si>
  <si>
    <t>factors. There may be time limitations on the exercise of options or other rights in</t>
  </si>
  <si>
    <t>securities/instruments transactions. Past performance is not necessarily a guide to future performance.</t>
  </si>
  <si>
    <t>Estimates of future performance are based on assumptions that may not be realized. If provided, and</t>
  </si>
  <si>
    <t>unless otherwise stated, the closing price on the cover page is that of the primary exchange for the</t>
  </si>
  <si>
    <t>subject company's securities/instruments.</t>
  </si>
  <si>
    <t>The fixed income research analysts, strategists or economists principally responsible for the</t>
  </si>
  <si>
    <t>preparation of Morgan Stanley Research have received compensation based upon various factors, including</t>
  </si>
  <si>
    <t>quality, accuracy and value of research, firm profitability or revenues (which include fixed income</t>
  </si>
  <si>
    <t>trading and capital markets profitability or revenues), client feedback and competitive factors. Fixed</t>
  </si>
  <si>
    <t>Income Research analysts', strategists' or economists' compensation is not linked to investment banking</t>
  </si>
  <si>
    <t>or capital markets transactions performed by Morgan Stanley or the profitability or revenues of</t>
  </si>
  <si>
    <t>The "Important Regulatory Disclosures on Subject Companies" section in Morgan Stanley Research lists all</t>
  </si>
  <si>
    <t>companies mentioned where Morgan Stanley owns 1% or more of a class of common equity securities of the</t>
  </si>
  <si>
    <t>companies. For all other companies mentioned in Morgan Stanley Research, Morgan Stanley may have an</t>
  </si>
  <si>
    <t>investment of less than 1% in securities/instruments or derivatives of securities/instruments of</t>
  </si>
  <si>
    <t>companies and may trade them in ways different from those discussed in Morgan Stanley Research.</t>
  </si>
  <si>
    <t>Employees of Morgan Stanley not involved in the preparation of Morgan Stanley Research may have</t>
  </si>
  <si>
    <t>investments in securities/instruments or derivatives of securities/instruments of companies mentioned</t>
  </si>
  <si>
    <t>and may trade them in ways different from those discussed in Morgan Stanley Research. Derivatives may be</t>
  </si>
  <si>
    <t>issued by Morgan Stanley or associated persons.</t>
  </si>
  <si>
    <t>With the exception of information regarding Morgan Stanley, Morgan Stanley Research is based on public</t>
  </si>
  <si>
    <t>information. Morgan Stanley makes every effort to use reliable, comprehensive information, but we make</t>
  </si>
  <si>
    <t>no representation that it is accurate or complete. We have no obligation to tell you when opinions or</t>
  </si>
  <si>
    <t>information in Morgan Stanley Research change apart from when we intend to discontinue equity research</t>
  </si>
  <si>
    <t>coverage of a subject company. Facts and views presented in Morgan Stanley Research have not been</t>
  </si>
  <si>
    <t>reviewed by, and may not reflect information known to, professionals in other Morgan Stanley business</t>
  </si>
  <si>
    <t>areas, including investment banking personnel.</t>
  </si>
  <si>
    <t>Morgan Stanley Research personnel may participate in company events such as site visits and are</t>
  </si>
  <si>
    <t>generally prohibited from accepting payment by the company of associated expenses unless pre-approved by</t>
  </si>
  <si>
    <t>authorized members of Research management.</t>
  </si>
  <si>
    <t>Morgan Stanley may make investment decisions that are inconsistent with the recommendations or views in</t>
  </si>
  <si>
    <t>this report.</t>
  </si>
  <si>
    <t>To our readers based in Taiwan or trading in Taiwan securities/instruments: Information on</t>
  </si>
  <si>
    <t>securities/instruments that trade in Taiwan is distributed by Morgan Stanley Taiwan Limited ("MSTL").</t>
  </si>
  <si>
    <t>Such information is for your reference only. The reader should independently evaluate the investment</t>
  </si>
  <si>
    <t>risks and is solely responsible for their investment decisions. Morgan Stanley Research may not be</t>
  </si>
  <si>
    <t>distributed to the public media or quoted or used by the public media without the express written</t>
  </si>
  <si>
    <t>consent of Morgan Stanley. Any non-customer reader within the scope of Article 7-1 of the Taiwan Stock</t>
  </si>
  <si>
    <t>Exchange Recommendation Regulations accessing and/or receiving Morgan Stanley Research is not permitted</t>
  </si>
  <si>
    <t>to provide Morgan Stanley Research to any third party (including but not limited to related parties,</t>
  </si>
  <si>
    <t>affiliated companies and any other third parties) or engage in any activities regarding Morgan Stanley</t>
  </si>
  <si>
    <t>Research which may create or give the appearance of creating a conflict of interest. Information on</t>
  </si>
  <si>
    <t>securities/instruments that do not trade in Taiwan is for informational purposes only and is not to be</t>
  </si>
  <si>
    <t>construed as a recommendation or a solicitation to trade in such securities/instruments. MSTL may not</t>
  </si>
  <si>
    <t>execute transactions for clients in these securities/instruments.</t>
  </si>
  <si>
    <t>Certain information in Morgan Stanley Research was sourced by employees of the Shanghai Representative</t>
  </si>
  <si>
    <t>Office of Morgan Stanley Asia Limited for the use of Morgan Stanley Asia Limited.</t>
  </si>
  <si>
    <t>Morgan Stanley is not incorporated under PRC law and the research in relation to this report is</t>
  </si>
  <si>
    <t>conducted outside the PRC. Morgan Stanley Research does not constitute an offer to sell or the</t>
  </si>
  <si>
    <t>solicitation of an offer to buy any securities in the PRC. PRC investors shall have the relevant</t>
  </si>
  <si>
    <t>qualifications to invest in such securities and shall be responsible for obtaining all relevant</t>
  </si>
  <si>
    <t>approvals, licenses, verifications and/or registrations from the relevant governmental authorities</t>
  </si>
  <si>
    <t>themselves. Neither this report nor any part of it is intended as, or shall constitute, provision of any</t>
  </si>
  <si>
    <t>consultancy or advisory service of securities investment as defined under PRC law. Such information is</t>
  </si>
  <si>
    <t>provided for your reference only.</t>
  </si>
  <si>
    <t>Morgan Stanley Research is disseminated in Brazil by Morgan Stanley C.T.V.M. S.A. located at Av.</t>
  </si>
  <si>
    <t>Brigadeiro Faria Lima, 3600, 6th floor, São Paulo - SP, Brazil; and is regulated by the Comissão de</t>
  </si>
  <si>
    <t>Valores Mobiliários; in Mexico by Morgan Stanley México, Casa de Bolsa, S.A. de C.V which is regulated</t>
  </si>
  <si>
    <t>by Comision Nacional Bancaria y de Valores. Paseo de los Tamarindos 90, Torre 1, Col. Bosques de las</t>
  </si>
  <si>
    <t>Lomas Floor 29, 05120 Mexico City; in Japan by Morgan Stanley MUFG Securities Co., Ltd. and, for</t>
  </si>
  <si>
    <t>Commodities related research reports only, Morgan Stanley Capital Group Japan Co., Ltd; in Hong Kong by</t>
  </si>
  <si>
    <t>Morgan Stanley Asia Limited (which accepts responsibility for its contents) and by Morgan Stanley Bank</t>
  </si>
  <si>
    <t>Asia Limited; in Singapore by Morgan Stanley Asia (Singapore) Pte. (Registration number 199206298Z)</t>
  </si>
  <si>
    <t>and/or Morgan Stanley Asia (Singapore) Securities Pte Ltd (Registration number 200008434H), regulated by</t>
  </si>
  <si>
    <t>the Monetary Authority of Singapore (which accepts legal responsibility for its contents and should be</t>
  </si>
  <si>
    <t>contacted with respect to any matters arising from, or in connection with, Morgan Stanley Research) and</t>
  </si>
  <si>
    <t>by Morgan Stanley Bank Asia Limited, Singapore Branch (Registration number T14FC0118J); in Australia to</t>
  </si>
  <si>
    <t>"wholesale clients" within the meaning of the Australian Corporations Act by Morgan Stanley Australia</t>
  </si>
  <si>
    <t>Limited A.B.N. 67 003 734 576, holder of Australian financial services license No. 233742, which accepts</t>
  </si>
  <si>
    <t>responsibility for its contents; in Australia to "wholesale clients" and "retail clients" within the</t>
  </si>
  <si>
    <t>meaning of the Australian Corporations Act by Morgan Stanley Wealth Management Australia Pty Ltd (A.B.N.</t>
  </si>
  <si>
    <t>19 009 145 555, holder of Australian financial services license No. 240813, which accepts responsibility</t>
  </si>
  <si>
    <t>for its contents; in Korea by Morgan Stanley &amp; Co International plc, Seoul Branch; in India by Morgan</t>
  </si>
  <si>
    <t>Stanley India Company Private Limited having Corporate Identification No (CIN) U22990MH1998PTC115305,</t>
  </si>
  <si>
    <t>regulated by the Securities and Exchange Board of India (“SEBI”) and holder of licenses as a Research</t>
  </si>
  <si>
    <t>Analyst (SEBI Registration No. INH000001105); Stock Broker (SEBI Stock Broker Registration No.</t>
  </si>
  <si>
    <t>INZ000244438), Merchant Banker (SEBI Registration No. INM000011203), and depository participant with</t>
  </si>
  <si>
    <t>National Securities Depository Limited (SEBI Registration No. IN-DP-NSDL-567-2021) having registered</t>
  </si>
  <si>
    <t>office at Altimus, Level 39 &amp; 40, Pandurang Budhkar Marg, Worli, Mumbai 400018, India; Telephone no.</t>
  </si>
  <si>
    <t>+91-22-61181000; Compliance Officer Details: Mr. Tejarshi Hardas, Tel. No.: +91-22-61181000 or Email:</t>
  </si>
  <si>
    <t>tejarshi.hardas@morganstanley.com; Grievance officer details: Mr. Tejarshi Hardas, Tel. No.:</t>
  </si>
  <si>
    <t>+91-22-61181000 or Email: msic-compliance@morganstanley.com. Morgan Stanley India Company Private</t>
  </si>
  <si>
    <t>Limited (MSICPL) may use AI tools in providing research services. All recommendations contained herein</t>
  </si>
  <si>
    <t>are made by the duly qualified research analysts; in Canada by Morgan Stanley Canada Limited; in Germany</t>
  </si>
  <si>
    <t>and the European Economic Area where required by Morgan Stanley Europe S.E., authorised and regulated by</t>
  </si>
  <si>
    <t>Bundesanstalt fuer Finanzdienstleistungsaufsicht (BaFin) under the reference number 149169; in the US by</t>
  </si>
  <si>
    <t>Morgan Stanley &amp; Co. LLC, which accepts responsibility for its contents. Morgan Stanley &amp; Co.</t>
  </si>
  <si>
    <t>International plc, authorized by the Prudential Regulation Authority and regulated by the Financial</t>
  </si>
  <si>
    <t>Conduct Authority and the Prudential Regulation Authority, disseminates in the UK research that it has</t>
  </si>
  <si>
    <t>prepared, and research which has been prepared by any of its affiliates, only to persons who (i) are</t>
  </si>
  <si>
    <t>investment professionals falling within Article 19(5) of the Financial Services and Markets Act 2000</t>
  </si>
  <si>
    <t>(Financial Promotion) Order 2005 (as amended, the “Order”); (ii) are persons who are high net worth</t>
  </si>
  <si>
    <t>entities falling within Article 49(2)(a) to (d) of the Order; or (iii) are persons to whom an invitation</t>
  </si>
  <si>
    <t>or inducement to engage in investment activity (within the meaning of section 21 of the Financial</t>
  </si>
  <si>
    <t>Services and Markets Act 2000, as amended) may otherwise lawfully be communicated or caused to be</t>
  </si>
  <si>
    <t>communicated. RMB Morgan Stanley Proprietary Limited is a member of the JSE Limited and A2X (Pty) Ltd.</t>
  </si>
  <si>
    <t>RMB Morgan Stanley Proprietary Limited is a joint venture owned equally by Morgan Stanley International</t>
  </si>
  <si>
    <t>Holdings Inc. and RMB Investment Advisory (Proprietary) Limited, which is wholly owned by FirstRand</t>
  </si>
  <si>
    <t>Limited. The information in Morgan Stanley Research is being disseminated by Morgan Stanley Saudi</t>
  </si>
  <si>
    <t>Arabia, regulated by the Capital Market Authority in the Kingdom of Saudi Arabia, and is directed at</t>
  </si>
  <si>
    <t>Sophisticated investors only.</t>
  </si>
  <si>
    <t>Morgan Stanley Hong Kong Securities Limited is the liquidity provider/market maker for securities of</t>
  </si>
  <si>
    <t>Montage Technology Co Ltd listed on the Stock Exchange of Hong Kong Limited. An updated list can be</t>
  </si>
  <si>
    <t>found on HKEx website: http://www.hkex.com.hk.</t>
  </si>
  <si>
    <t>The information in Morgan Stanley Research is being communicated by Morgan Stanley &amp; Co. International</t>
  </si>
  <si>
    <t>plc (DIFC Branch), regulated by the Dubai Financial Services Authority (the DFSA) or by Morgan Stanley &amp;</t>
  </si>
  <si>
    <t>Co. International plc (ADGM Branch), regulated by the Financial Services Regulatory Authority Abu Dhabi</t>
  </si>
  <si>
    <t>(the FSRA), and is directed at Professional Clients only, as defined by the DFSA or the FSRA,</t>
  </si>
  <si>
    <t>respectively. The financial products or financial services to which this research relates will only be</t>
  </si>
  <si>
    <t>made available to a customer who we are satisfied meets the regulatory criteria of a Professional</t>
  </si>
  <si>
    <t>Client. A distribution of the different MS Research ratings or recommendations, in percentage terms for</t>
  </si>
  <si>
    <t>Investments in each sector covered, is available upon request from your sales representative.</t>
  </si>
  <si>
    <t>plc (QFC Branch), regulated by the Qatar Financial Centre Regulatory Authority (the QFCRA), and is</t>
  </si>
  <si>
    <t>directed at business customers and market counterparties only and is not intended for Retail Customers</t>
  </si>
  <si>
    <t>as defined by the QFCRA.</t>
  </si>
  <si>
    <t>As required by the Capital Markets Board of Turkey, investment information, comments and recommendations</t>
  </si>
  <si>
    <t>stated here, are not within the scope of investment advisory activity. Investment advisory service is</t>
  </si>
  <si>
    <t>provided exclusively to persons based on their risk and income preferences by the authorized firms.</t>
  </si>
  <si>
    <t>Comments and recommendations stated here are general in nature. These opinions may not fit to your</t>
  </si>
  <si>
    <t>financial status, risk and return preferences. For this reason, to make an investment decision by</t>
  </si>
  <si>
    <t>relying solely to this information stated here may not bring about outcomes that fit your expectations.</t>
  </si>
  <si>
    <t>The trademarks and service marks contained in Morgan Stanley Research are the property of their</t>
  </si>
  <si>
    <t>respective owners. Third-party data providers make no warranties or representations relating to the</t>
  </si>
  <si>
    <t>accuracy, completeness, or timeliness of the data they provide and shall not have liability for any</t>
  </si>
  <si>
    <t>damages relating to such data. The Global Industry Classification Standard (GICS) was developed by and</t>
  </si>
  <si>
    <t>is the exclusive property of MSCI and S&amp;P.</t>
  </si>
  <si>
    <t>Morgan Stanley Research, or any portion thereof may not be reprinted, sold or redistributed without the</t>
  </si>
  <si>
    <t>written consent of Morgan Stanley.</t>
  </si>
  <si>
    <t>Indicators and trackers referenced in Morgan Stanley Research may not be used as, or treated as, a</t>
  </si>
  <si>
    <t>benchmark under Regulation EU 2016/1011, or any other similar framework.</t>
  </si>
  <si>
    <t>The issuers and/or fixed income products recommended or discussed in certain fixed income research</t>
  </si>
  <si>
    <t>reports may not be continuously followed. Accordingly, investors should regard those fixed income</t>
  </si>
  <si>
    <t>research reports as providing stand-alone analysis and should not expect continuing analysis or</t>
  </si>
  <si>
    <t>additional reports relating to such issuers and/or individual fixed income products.</t>
  </si>
  <si>
    <t>Morgan Stanley may hold, from time to time, material financial and commercial interests regarding the</t>
  </si>
  <si>
    <t>company subject to the Research report.</t>
  </si>
  <si>
    <t>Registration granted by SEBI and certification from the National Institute of Securities Markets (NISM)</t>
  </si>
  <si>
    <t>in no way guarantee performance of the intermediary or provide any assurance of returns to investors.</t>
  </si>
  <si>
    <t>Investment in securities market are subject to market risks. Read all the related documents carefully</t>
  </si>
  <si>
    <t>before investing.</t>
  </si>
  <si>
    <t>© Copyright 2026 Morgan Stanley</t>
  </si>
  <si>
    <t>Montage Technology (688008.SS, 6809.HK)</t>
  </si>
  <si>
    <t>Quarterly Earnings Model</t>
  </si>
  <si>
    <t>FY Ends: Dec</t>
  </si>
  <si>
    <t>Rmb$ in million</t>
  </si>
  <si>
    <t>1Q16</t>
  </si>
  <si>
    <t>2Q16</t>
  </si>
  <si>
    <t>3Q16</t>
  </si>
  <si>
    <t>4Q16</t>
  </si>
  <si>
    <t>1Q17</t>
  </si>
  <si>
    <t>2Q17</t>
  </si>
  <si>
    <t>3Q17</t>
  </si>
  <si>
    <t>4Q17</t>
  </si>
  <si>
    <t>1Q18</t>
  </si>
  <si>
    <t>2Q18</t>
  </si>
  <si>
    <t>3Q18</t>
  </si>
  <si>
    <t>4Q18</t>
  </si>
  <si>
    <t>1Q19</t>
  </si>
  <si>
    <t>2Q19</t>
  </si>
  <si>
    <t>3Q19</t>
  </si>
  <si>
    <t>4Q19</t>
  </si>
  <si>
    <t>1Q20</t>
  </si>
  <si>
    <t>2Q20</t>
  </si>
  <si>
    <t>3Q20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</si>
  <si>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</si>
  <si>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</si>
  <si>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</si>
  <si>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</si>
  <si>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</si>
  <si>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</si>
  <si>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</si>
  <si>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</si>
  <si>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</si>
  <si>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</si>
  <si>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</si>
  <si>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</si>
  <si>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</si>
  <si>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</si>
  <si>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</si>
  <si>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</si>
  <si>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</si>
  <si>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</si>
  <si>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</si>
  <si>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</si>
  <si>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</si>
  <si>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1Q26</t>
  </si>
  <si>
    <t>2Q26E</t>
  </si>
  <si>
    <t>3Q26E</t>
  </si>
  <si>
    <t>4Q26E</t>
  </si>
  <si>
    <t>1Q27E</t>
  </si>
  <si>
    <t>2Q27E</t>
  </si>
  <si>
    <t>3Q27E</t>
  </si>
  <si>
    <t>4Q27E</t>
  </si>
  <si>
    <t>1Q28E</t>
  </si>
  <si>
    <t>2Q28E</t>
  </si>
  <si>
    <t>3Q28E</t>
  </si>
  <si>
    <t>4Q28E</t>
  </si>
  <si>
    <t>2026E</t>
  </si>
  <si>
    <t>2027E</t>
  </si>
  <si>
    <t>2028E</t>
  </si>
  <si>
    <t>Total Revenues</t>
  </si>
  <si>
    <t>Sequential Change</t>
  </si>
  <si>
    <t>Change vs Year Ago</t>
  </si>
  <si>
    <t>Cost of Sales</t>
  </si>
  <si>
    <t>Percent of Revenues</t>
  </si>
  <si>
    <t>Gross Profit</t>
  </si>
  <si>
    <t>Percent of  Revenues</t>
  </si>
  <si>
    <t>Incremental Margin</t>
  </si>
  <si>
    <t>Total Opex</t>
  </si>
  <si>
    <t>R&amp;D</t>
  </si>
  <si>
    <t>General &amp; administrative</t>
  </si>
  <si>
    <t>Selling &amp; marketing</t>
  </si>
  <si>
    <t>Operating Income</t>
  </si>
  <si>
    <t xml:space="preserve">Total Non-operating Income(Loss) </t>
  </si>
  <si>
    <t>Interest income</t>
  </si>
  <si>
    <t>Interest expense</t>
  </si>
  <si>
    <t>Investment Income(loss)</t>
  </si>
  <si>
    <t>Investment disposal gain(loss)</t>
  </si>
  <si>
    <t>·</t>
  </si>
  <si>
    <t>Forex gain(loss)</t>
  </si>
  <si>
    <t>Asset impairment gain (loss)</t>
  </si>
  <si>
    <t>Others</t>
  </si>
  <si>
    <t>Profit Before Taxes</t>
  </si>
  <si>
    <t>Taxes</t>
  </si>
  <si>
    <t>Tax Rate</t>
  </si>
  <si>
    <t xml:space="preserve">Net Income </t>
  </si>
  <si>
    <t>Minority Interests</t>
  </si>
  <si>
    <t>Reported Income (attributable to parent)</t>
  </si>
  <si>
    <t>SBC (attributable to parent)</t>
  </si>
  <si>
    <t>Adj. reported Income (attributable to parent)</t>
  </si>
  <si>
    <t>Reported EPS (Rmb)</t>
  </si>
  <si>
    <t>A-share Reported EPS (Rmb)</t>
  </si>
  <si>
    <t>H-share Reported EPS (Rmb)</t>
  </si>
  <si>
    <t>Basic shares (mn units)</t>
  </si>
  <si>
    <t>Diluted</t>
  </si>
  <si>
    <t>Period End share</t>
  </si>
  <si>
    <t xml:space="preserve">Statutory Tax </t>
  </si>
  <si>
    <t>A-share Basic shares (mn units)</t>
  </si>
  <si>
    <t>A-share Diluted</t>
  </si>
  <si>
    <t>A-share Period End share</t>
  </si>
  <si>
    <t>A-share ownership ratio</t>
  </si>
  <si>
    <t>H-share Basic shares (mn units)</t>
  </si>
  <si>
    <t>H-share Diluted</t>
  </si>
  <si>
    <t>H-share Period End share</t>
  </si>
  <si>
    <t>H-share ownership ratio</t>
  </si>
  <si>
    <t>Unrecorded Goodwill</t>
  </si>
  <si>
    <t>Cash bonus to Directors/employees</t>
  </si>
  <si>
    <t>Employee Stock Bonus</t>
  </si>
  <si>
    <t>Exchange rate</t>
  </si>
  <si>
    <t xml:space="preserve">Sales </t>
  </si>
  <si>
    <t>Revenue (Rmb mn)</t>
  </si>
  <si>
    <t xml:space="preserve">Memory Interconnect </t>
  </si>
  <si>
    <t xml:space="preserve">Memory interface </t>
  </si>
  <si>
    <t>RCD</t>
  </si>
  <si>
    <t>DB</t>
  </si>
  <si>
    <t>Supporting chips</t>
  </si>
  <si>
    <t>PMIC</t>
  </si>
  <si>
    <t>SPD</t>
  </si>
  <si>
    <t>TS</t>
  </si>
  <si>
    <t>MRCD/MDB</t>
  </si>
  <si>
    <t>MRCD</t>
  </si>
  <si>
    <t>MDB</t>
  </si>
  <si>
    <t>CKD</t>
  </si>
  <si>
    <t>PCIe/CXL Interconnect</t>
  </si>
  <si>
    <t>PCIe Retimer</t>
  </si>
  <si>
    <t>PCIe switch</t>
  </si>
  <si>
    <t>CXL MXC</t>
  </si>
  <si>
    <t>CPU</t>
  </si>
  <si>
    <t>Other</t>
  </si>
  <si>
    <t>Check</t>
  </si>
  <si>
    <t>Sales Breakdown</t>
  </si>
  <si>
    <t>MRCD/MDB, CKD</t>
  </si>
  <si>
    <t>Sequential change %</t>
  </si>
  <si>
    <t>Shipment (mn units)</t>
  </si>
  <si>
    <t>QoQ change %</t>
  </si>
  <si>
    <t>ASP</t>
  </si>
  <si>
    <t>In RMB</t>
  </si>
  <si>
    <t>In US$</t>
  </si>
  <si>
    <t>Gross Margin (%)</t>
  </si>
  <si>
    <t>Actual</t>
  </si>
  <si>
    <t>Gross Profit (Rmb mn)</t>
  </si>
  <si>
    <t>Bottom-Up Model ($ in million)</t>
  </si>
  <si>
    <t>Assets</t>
  </si>
  <si>
    <t>Cash &amp; Securities</t>
  </si>
  <si>
    <t>Cash &amp; Cash Equivalents</t>
  </si>
  <si>
    <t>Marketable securities</t>
  </si>
  <si>
    <t>Restricted Cash and Cash Equivalents</t>
  </si>
  <si>
    <t>Accounts and Notes Receivable</t>
  </si>
  <si>
    <t>Inventories</t>
  </si>
  <si>
    <t>Total Current Assets</t>
  </si>
  <si>
    <t>Long-term investments</t>
  </si>
  <si>
    <t xml:space="preserve">   Gross PPE</t>
  </si>
  <si>
    <t>nd</t>
  </si>
  <si>
    <t xml:space="preserve">  Accumulated Depreciation</t>
  </si>
  <si>
    <t>Net PP&amp;E</t>
  </si>
  <si>
    <t>Intangible Assets</t>
  </si>
  <si>
    <t>Deffered Tax Assets</t>
  </si>
  <si>
    <t>Other Assets</t>
  </si>
  <si>
    <t>Total Assets</t>
  </si>
  <si>
    <t>Liabilities &amp; Shareholders' Equity</t>
  </si>
  <si>
    <t xml:space="preserve">   Short-Term Debt</t>
  </si>
  <si>
    <t xml:space="preserve">   Accounts Payable</t>
  </si>
  <si>
    <t xml:space="preserve">   Others</t>
  </si>
  <si>
    <t>Current Liabilities</t>
  </si>
  <si>
    <t>Long-Term Debt</t>
  </si>
  <si>
    <t>Other Liabilities</t>
  </si>
  <si>
    <t>Total Liabilities</t>
  </si>
  <si>
    <t>Issued Capital</t>
  </si>
  <si>
    <t>Additional Capital</t>
  </si>
  <si>
    <t>Treasury Stocks</t>
  </si>
  <si>
    <t>Retained earnings</t>
  </si>
  <si>
    <t>Total Shareholders' Equity</t>
  </si>
  <si>
    <t>Total Liabilities &amp; Equity</t>
  </si>
  <si>
    <t>Balance Sheet Ratios</t>
  </si>
  <si>
    <t>Book Value Per Share (Reported)</t>
  </si>
  <si>
    <t>Book Value Per Share (Tangible)</t>
  </si>
  <si>
    <t>Cash Per Share</t>
  </si>
  <si>
    <t>Long-Term Debt/Equity</t>
  </si>
  <si>
    <t>Total Debt/Equity</t>
  </si>
  <si>
    <t>Net Working Capital</t>
  </si>
  <si>
    <t>Current Ratio</t>
  </si>
  <si>
    <t>Return on Ave Equity</t>
  </si>
  <si>
    <t>Return on Ave Assets</t>
  </si>
  <si>
    <t>Return on Sales</t>
  </si>
  <si>
    <t>Return on Ave Invested Capital</t>
  </si>
  <si>
    <t>Ave Inventory Turns</t>
  </si>
  <si>
    <t>Ave Days Receivable</t>
  </si>
  <si>
    <t>Ave Days of Inventory</t>
  </si>
  <si>
    <t>Ave Days Accounts Payable</t>
  </si>
  <si>
    <t>Revenues Per Employee (000)</t>
  </si>
  <si>
    <t>Source: Company reports.</t>
  </si>
  <si>
    <t>Number of Employees</t>
  </si>
  <si>
    <t>Shareholders Equity statement</t>
  </si>
  <si>
    <t>opening Balance</t>
  </si>
  <si>
    <t>Issuance of Capital</t>
  </si>
  <si>
    <t>Net Income</t>
  </si>
  <si>
    <t>Dividend</t>
  </si>
  <si>
    <t>Bonus to Directors/employees</t>
  </si>
  <si>
    <t>changes in Reserves</t>
  </si>
  <si>
    <t>Closing Balance</t>
  </si>
  <si>
    <t>Change in Accumulated Other Comprehensive Income</t>
  </si>
  <si>
    <t>Others high speed interface</t>
  </si>
  <si>
    <t>English</t>
  </si>
  <si>
    <t>Cash Flow Statement</t>
  </si>
  <si>
    <t>($ Millions, Except Per-Share Data; Fiscal Year Ends December)</t>
  </si>
  <si>
    <t>Cash flows from Operating Activities:</t>
  </si>
  <si>
    <t>Depreciation</t>
  </si>
  <si>
    <t>Amortization</t>
  </si>
  <si>
    <t>Gain on disposal of PPE</t>
  </si>
  <si>
    <t>Change in working capital</t>
  </si>
  <si>
    <t>(Increase)/Decrease in Accounts Receivable</t>
  </si>
  <si>
    <t>(Increase)/Decrease in Inventories</t>
  </si>
  <si>
    <t>(Increase)/Decrease in Other Current Assets</t>
  </si>
  <si>
    <t>Increase/(Decrease) in Accounts Payable</t>
  </si>
  <si>
    <t>Increase/(Decrease) in Other Current Liabilities</t>
  </si>
  <si>
    <t>Net Cash Provided by Operating Activities</t>
  </si>
  <si>
    <t>Cash Flows from Investing Activities:</t>
  </si>
  <si>
    <t>Increase in marketable securities</t>
  </si>
  <si>
    <t>Purchase of long-term investment</t>
  </si>
  <si>
    <t>Purchase of Property, plant &amp; Equipment</t>
  </si>
  <si>
    <t>Net Cash Used by Investing Activities</t>
  </si>
  <si>
    <t>Cash Flows from Financing Activities:</t>
  </si>
  <si>
    <t>Increase in S/T debt</t>
  </si>
  <si>
    <t>Increase in L/T debt</t>
  </si>
  <si>
    <t>Equity Financing</t>
  </si>
  <si>
    <t>Dividend Paid</t>
  </si>
  <si>
    <t>Net Cash Used by Financing Activities</t>
  </si>
  <si>
    <t>Effect of Exchange Rate Change</t>
  </si>
  <si>
    <t>Other changes in cash equivalents</t>
  </si>
  <si>
    <t>Cash and Cash Equiv. at Beginning of Period</t>
  </si>
  <si>
    <t>Increase/Decrease in Cash and Cash Equiv.</t>
  </si>
  <si>
    <t>Change in restricted Cash</t>
  </si>
  <si>
    <t>Total Change in Cash and Cash Equiv.</t>
  </si>
  <si>
    <t>Cash and Cash Equiv. at End of Period</t>
  </si>
  <si>
    <t>Cash dividend per share</t>
  </si>
  <si>
    <t>MacroVersion</t>
  </si>
  <si>
    <t>6.10</t>
  </si>
  <si>
    <t>PublishDate</t>
  </si>
  <si>
    <t>07/16/26 09:42</t>
  </si>
  <si>
    <t>Discipline</t>
  </si>
  <si>
    <t>Research</t>
  </si>
  <si>
    <t>ResearchTopic</t>
  </si>
  <si>
    <t>Company</t>
  </si>
  <si>
    <t>DocType</t>
  </si>
  <si>
    <t>Model</t>
  </si>
  <si>
    <t>SubjectCode</t>
  </si>
  <si>
    <t>Description</t>
  </si>
  <si>
    <t>Montage Technology Co Ltd</t>
  </si>
  <si>
    <t>KeepVersions</t>
  </si>
  <si>
    <t>All</t>
  </si>
  <si>
    <t>Rating</t>
  </si>
  <si>
    <t>Overweight / Attractive</t>
  </si>
  <si>
    <t>CurrYearTotalRevenue*</t>
  </si>
  <si>
    <t>CurrYearEPS*</t>
  </si>
  <si>
    <t>NextYearTotalRevenue*</t>
  </si>
  <si>
    <t>NextYearEPS*</t>
  </si>
  <si>
    <t>FollowingYearTotalRevenue*</t>
  </si>
  <si>
    <t>FollowingYearEPS*</t>
  </si>
  <si>
    <t>5YearGrowthRate</t>
  </si>
  <si>
    <t>UpdateReason</t>
  </si>
  <si>
    <t>Regular Update</t>
  </si>
  <si>
    <t>Authors</t>
  </si>
  <si>
    <t>MSA02MCM, MSA12108</t>
  </si>
  <si>
    <t>Tickers</t>
  </si>
  <si>
    <t>688008.SS</t>
  </si>
  <si>
    <t>CUSIP</t>
  </si>
  <si>
    <t>RIC</t>
  </si>
  <si>
    <t>SEDOL</t>
  </si>
  <si>
    <t>BK7F3F3</t>
  </si>
  <si>
    <t>Current Stock Price</t>
  </si>
  <si>
    <t>233.50</t>
  </si>
  <si>
    <t>Currency</t>
  </si>
  <si>
    <t>CNY</t>
  </si>
  <si>
    <t>PathName</t>
  </si>
  <si>
    <t>\\Msad\root\AP\APBO\TP\lib\er\data\Charlie Chan New\3. IC design\Montage Tech\Model\Montage Tech_Model_20260617 (publish).xlsm</t>
  </si>
  <si>
    <t>Distribution</t>
  </si>
  <si>
    <t>0</t>
  </si>
  <si>
    <t>Deleted</t>
  </si>
  <si>
    <t>NO</t>
  </si>
  <si>
    <t>EmailAlert</t>
  </si>
  <si>
    <t>YES</t>
  </si>
  <si>
    <t>CurrQtrEPS</t>
  </si>
  <si>
    <t>CYEnd</t>
  </si>
  <si>
    <t>CQEnd</t>
  </si>
  <si>
    <t>CurrYearTotalRevenueActual*</t>
  </si>
  <si>
    <t>NextYearTotalRevenueActual*</t>
  </si>
  <si>
    <t>FollowingYearTotalRevenueActual*</t>
  </si>
  <si>
    <t>Multiplier</t>
  </si>
  <si>
    <t>1000000</t>
  </si>
  <si>
    <t>TemplateRegion</t>
  </si>
  <si>
    <t>AsiaPacific</t>
  </si>
  <si>
    <t>ObjectType</t>
  </si>
  <si>
    <t>excel</t>
  </si>
  <si>
    <t>LanguageCode</t>
  </si>
  <si>
    <t>en-US</t>
  </si>
  <si>
    <t>SubmitterUserId</t>
  </si>
  <si>
    <t>ethjia</t>
  </si>
  <si>
    <t>IndustryId</t>
  </si>
  <si>
    <t>1900000837</t>
  </si>
  <si>
    <t>TickerRegion</t>
  </si>
  <si>
    <t>5</t>
  </si>
  <si>
    <t>AdditionalInstructions</t>
  </si>
  <si>
    <t>*Estimated</t>
  </si>
  <si>
    <t>OwnerTeam</t>
  </si>
  <si>
    <t>I888888929</t>
  </si>
  <si>
    <t>[BRO MSA]</t>
  </si>
  <si>
    <t>[DOCDAT 2026-07-16]</t>
  </si>
  <si>
    <t>[DOCTIME 09:42]</t>
  </si>
  <si>
    <t>[PSYM 688008.SS(Reuters) (None)]</t>
  </si>
  <si>
    <t>[COU China]</t>
  </si>
  <si>
    <t>[PRODUCT MODEL]</t>
  </si>
  <si>
    <t>[ANA MSA12108]</t>
  </si>
  <si>
    <t>[HL 688008.SS Model]</t>
  </si>
  <si>
    <t>[IND Technology]</t>
  </si>
  <si>
    <t>[EMAIL_ALERT YES]</t>
  </si>
  <si>
    <t>[PANA  MSA02MCM]</t>
  </si>
  <si>
    <t>[DISCIPLINE Company]</t>
  </si>
  <si>
    <t>[SUPPRESSED NO]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</si>
</sst>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&quot;Ç&quot;\ &quot;´&quot;&quot;´&quot;&quot;´&quot;&quot;´&quot;\ &quot;»&quot;&quot;»&quot;&quot;»&quot;&quot;»&quot;"/>
    <numFmt numFmtId="178" formatCode="0_)"/>
    <numFmt numFmtId="179" formatCode="0.0"/>
    <numFmt numFmtId="180" formatCode="_(* #,##0.0_);_(* \(#,##0.0\);_(* &quot;-&quot;?_);_(@_)"/>
    <numFmt numFmtId="181" formatCode="_(* #,##0_);_(* \(#,##0\);_(* &quot;-&quot;?_);_(@_)"/>
    <numFmt numFmtId="182" formatCode="_-* #,##0.00_-;\-* #,##0.00_-;_-* &quot;-&quot;??_-;_-@_-"/>
    <numFmt numFmtId="183" formatCode="_-&quot;$&quot;* #,##0.00_-;\-&quot;$&quot;* #,##0.00_-;_-&quot;$&quot;* &quot;-&quot;??_-;_-@_-"/>
    <numFmt numFmtId="184" formatCode="0.0%"/>
    <numFmt numFmtId="185" formatCode="&quot;$&quot;#,##0.00_);\(&quot;$&quot;#,##0.00\)"/>
    <numFmt numFmtId="186" formatCode="_-* #,##0.000_-;\-* #,##0.000_-;_-* &quot;-&quot;??_-;_-@_-"/>
    <numFmt numFmtId="187" formatCode="_-* #,##0_-;\-* #,##0_-;_-* &quot;-&quot;??_-;_-@_-"/>
    <numFmt numFmtId="188" formatCode="&quot;$&quot;#,##0.0_);\(&quot;$&quot;#,##0.0\)"/>
    <numFmt numFmtId="189" formatCode="0.0_)"/>
    <numFmt numFmtId="190" formatCode="_(* #,##0_);_(* \(#,##0\);_(* &quot;-&quot;??_);_(@_)"/>
    <numFmt numFmtId="191" formatCode="_(* #,##0.0_);_(* \(#,##0.0\);_(* &quot;-&quot;??_);_(@_)"/>
    <numFmt numFmtId="192" formatCode="0.000"/>
    <numFmt numFmtId="193" formatCode="m/d/yy;@"/>
    <numFmt numFmtId="194" formatCode="#,##0.0_);\(#,##0.0\)"/>
    <numFmt numFmtId="195" formatCode="#,##0.0_);[Red]\(#,##0.0\)"/>
    <numFmt numFmtId="196" formatCode="#,##0.000;\-#,##0.000"/>
    <numFmt numFmtId="197" formatCode="#,##0.0000_);\(#,##0.0000\)"/>
    <numFmt numFmtId="198" formatCode="0%;\ \(0%\);\ \-_)"/>
  </numFmts>
  <fonts count="89">
    <font>
      <sz val="10"/>
      <name val="Arial"/>
      <charset val="134"/>
    </font>
    <font>
      <sz val="10"/>
      <color rgb="FF000000"/>
      <name val="Arial"/>
      <charset val="134"/>
    </font>
    <font>
      <b/>
      <sz val="10"/>
      <name val="Arial"/>
      <charset val="134"/>
    </font>
    <font>
      <i/>
      <sz val="10"/>
      <name val="Arial"/>
      <charset val="134"/>
    </font>
    <font>
      <b/>
      <i/>
      <sz val="10"/>
      <name val="Arial"/>
      <charset val="134"/>
    </font>
    <font>
      <b/>
      <sz val="10"/>
      <color indexed="12"/>
      <name val="Arial"/>
      <charset val="134"/>
    </font>
    <font>
      <sz val="10"/>
      <color rgb="FFFF0000"/>
      <name val="Arial"/>
      <charset val="134"/>
    </font>
    <font>
      <sz val="10"/>
      <color rgb="FF0000FF"/>
      <name val="Arial"/>
      <charset val="134"/>
    </font>
    <font>
      <sz val="10"/>
      <color indexed="22"/>
      <name val="Arial"/>
      <charset val="134"/>
    </font>
    <font>
      <b/>
      <sz val="11"/>
      <name val="Arial"/>
      <charset val="134"/>
    </font>
    <font>
      <b/>
      <sz val="8"/>
      <name val="Arial"/>
      <charset val="134"/>
    </font>
    <font>
      <b/>
      <sz val="8"/>
      <color indexed="12"/>
      <name val="Arial"/>
      <charset val="134"/>
    </font>
    <font>
      <sz val="8"/>
      <name val="Arial"/>
      <charset val="134"/>
    </font>
    <font>
      <sz val="8"/>
      <color indexed="12"/>
      <name val="Arial"/>
      <charset val="134"/>
    </font>
    <font>
      <sz val="8"/>
      <color indexed="8"/>
      <name val="Arial"/>
      <charset val="134"/>
    </font>
    <font>
      <sz val="8"/>
      <color indexed="17"/>
      <name val="Arial"/>
      <charset val="134"/>
    </font>
    <font>
      <sz val="8"/>
      <color rgb="FF0000FF"/>
      <name val="Arial"/>
      <charset val="134"/>
    </font>
    <font>
      <b/>
      <sz val="8"/>
      <color indexed="8"/>
      <name val="Arial"/>
      <charset val="134"/>
    </font>
    <font>
      <sz val="8"/>
      <color indexed="10"/>
      <name val="Arial"/>
      <charset val="134"/>
    </font>
    <font>
      <i/>
      <sz val="8"/>
      <name val="Arial"/>
      <charset val="134"/>
    </font>
    <font>
      <b/>
      <sz val="9"/>
      <name val="Arial"/>
      <charset val="134"/>
    </font>
    <font>
      <i/>
      <sz val="8"/>
      <color indexed="8"/>
      <name val="Arial"/>
      <charset val="134"/>
    </font>
    <font>
      <b/>
      <u/>
      <sz val="10"/>
      <name val="Arial"/>
      <charset val="134"/>
    </font>
    <font>
      <sz val="9"/>
      <name val="Arial"/>
      <charset val="134"/>
    </font>
    <font>
      <sz val="8"/>
      <color theme="0" tint="-0.249977111117893"/>
      <name val="Arial"/>
      <charset val="134"/>
    </font>
    <font>
      <b/>
      <i/>
      <sz val="8"/>
      <name val="Arial"/>
      <charset val="134"/>
    </font>
    <font>
      <sz val="8"/>
      <color indexed="60"/>
      <name val="Arial"/>
      <charset val="134"/>
    </font>
    <font>
      <i/>
      <sz val="8"/>
      <color rgb="FF0000FF"/>
      <name val="Arial"/>
      <charset val="134"/>
    </font>
    <font>
      <sz val="8"/>
      <color rgb="FFFF0000"/>
      <name val="Arial"/>
      <charset val="134"/>
    </font>
    <font>
      <b/>
      <sz val="8"/>
      <color indexed="10"/>
      <name val="Arial"/>
      <charset val="134"/>
    </font>
    <font>
      <sz val="8"/>
      <color theme="1"/>
      <name val="Arial"/>
      <charset val="134"/>
    </font>
    <font>
      <i/>
      <sz val="8"/>
      <color indexed="60"/>
      <name val="Arial"/>
      <charset val="134"/>
    </font>
    <font>
      <sz val="8"/>
      <color theme="0" tint="-0.499984740745262"/>
      <name val="Arial"/>
      <charset val="134"/>
    </font>
    <font>
      <b/>
      <sz val="8"/>
      <color theme="9" tint="-0.249977111117893"/>
      <name val="Arial"/>
      <charset val="134"/>
    </font>
    <font>
      <b/>
      <sz val="8"/>
      <color rgb="FFFF0000"/>
      <name val="Arial"/>
      <charset val="134"/>
    </font>
    <font>
      <b/>
      <sz val="8"/>
      <color theme="0" tint="-0.499984740745262"/>
      <name val="Arial"/>
      <charset val="134"/>
    </font>
    <font>
      <sz val="8"/>
      <color theme="1" tint="0.499984740745262"/>
      <name val="Arial"/>
      <charset val="134"/>
    </font>
    <font>
      <b/>
      <sz val="8"/>
      <color theme="1" tint="0.499984740745262"/>
      <name val="Arial"/>
      <charset val="134"/>
    </font>
    <font>
      <sz val="8"/>
      <color theme="9" tint="-0.249977111117893"/>
      <name val="Arial"/>
      <charset val="134"/>
    </font>
    <font>
      <b/>
      <sz val="8"/>
      <color rgb="FF0000FF"/>
      <name val="Arial"/>
      <charset val="134"/>
    </font>
    <font>
      <i/>
      <sz val="8"/>
      <color indexed="16"/>
      <name val="Arial"/>
      <charset val="134"/>
    </font>
    <font>
      <b/>
      <sz val="8"/>
      <color theme="0" tint="-0.249977111117893"/>
      <name val="Arial"/>
      <charset val="134"/>
    </font>
    <font>
      <b/>
      <sz val="8"/>
      <color theme="0" tint="-0.349986266670736"/>
      <name val="Arial"/>
      <charset val="134"/>
    </font>
    <font>
      <sz val="8"/>
      <color indexed="23"/>
      <name val="Arial"/>
      <charset val="134"/>
    </font>
    <font>
      <b/>
      <sz val="8"/>
      <color indexed="23"/>
      <name val="Arial"/>
      <charset val="134"/>
    </font>
    <font>
      <sz val="8"/>
      <color theme="3" tint="0.399975585192419"/>
      <name val="Arial"/>
      <charset val="134"/>
    </font>
    <font>
      <i/>
      <sz val="8"/>
      <color indexed="23"/>
      <name val="Arial"/>
      <charset val="134"/>
    </font>
    <font>
      <b/>
      <i/>
      <sz val="8"/>
      <color indexed="23"/>
      <name val="Arial"/>
      <charset val="134"/>
    </font>
    <font>
      <b/>
      <sz val="8"/>
      <color theme="1"/>
      <name val="Arial"/>
      <charset val="134"/>
    </font>
    <font>
      <b/>
      <i/>
      <sz val="8"/>
      <color indexed="16"/>
      <name val="Arial"/>
      <charset val="134"/>
    </font>
    <font>
      <i/>
      <sz val="10"/>
      <color rgb="FF000000"/>
      <name val="Arial"/>
      <charset val="134"/>
    </font>
    <font>
      <b/>
      <sz val="12"/>
      <color rgb="FF00008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etica"/>
      <charset val="134"/>
    </font>
    <font>
      <sz val="10"/>
      <name val="Helv"/>
      <charset val="204"/>
    </font>
    <font>
      <sz val="10"/>
      <name val="MS Sans Serif"/>
      <charset val="134"/>
    </font>
    <font>
      <sz val="12"/>
      <name val="¹UAAA¼"/>
      <charset val="129"/>
    </font>
    <font>
      <sz val="12"/>
      <name val="ⓒoUAAA¨u"/>
      <charset val="129"/>
    </font>
    <font>
      <sz val="12"/>
      <name val="¹UAAA¼"/>
      <charset val="129"/>
    </font>
    <font>
      <b/>
      <sz val="10"/>
      <color indexed="8"/>
      <name val="Times New Roman"/>
      <charset val="134"/>
    </font>
    <font>
      <sz val="12"/>
      <name val="System"/>
      <charset val="134"/>
    </font>
    <font>
      <sz val="8"/>
      <name val="¹UAAA¼"/>
      <charset val="129"/>
    </font>
    <font>
      <sz val="12"/>
      <name val="¹ÙÅÁÃ¼"/>
      <charset val="129"/>
    </font>
    <font>
      <sz val="12"/>
      <color theme="1"/>
      <name val="宋体"/>
      <charset val="136"/>
      <scheme val="minor"/>
    </font>
    <font>
      <sz val="9"/>
      <name val="Times New Roman"/>
      <charset val="134"/>
    </font>
    <font>
      <sz val="10"/>
      <color indexed="8"/>
      <name val="Times New Roman"/>
      <charset val="134"/>
    </font>
    <font>
      <i/>
      <sz val="8"/>
      <name val="Times New Roman"/>
      <charset val="134"/>
    </font>
    <font>
      <sz val="12"/>
      <name val="뼻뮝"/>
      <charset val="129"/>
    </font>
    <font>
      <sz val="12"/>
      <name val="바탕체"/>
      <charset val="129"/>
    </font>
    <font>
      <sz val="12"/>
      <name val="바탕체"/>
      <charset val="134"/>
    </font>
  </fonts>
  <fills count="40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8"/>
      </bottom>
      <diagonal/>
    </border>
  </borders>
  <cellStyleXfs count="121">
    <xf numFmtId="0" fontId="0" fillId="0" borderId="0" applyNumberFormat="0" applyFill="0" applyBorder="0" applyAlignment="0" applyProtection="0"/>
    <xf numFmtId="176" fontId="0" fillId="0" borderId="0" applyFont="0" applyFill="0" applyBorder="0" applyAlignment="0" applyProtection="0"/>
    <xf numFmtId="44" fontId="5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52" fillId="0" borderId="0" applyFont="0" applyFill="0" applyBorder="0" applyAlignment="0" applyProtection="0">
      <alignment vertical="center"/>
    </xf>
    <xf numFmtId="42" fontId="52" fillId="0" borderId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2" fillId="8" borderId="8" applyNumberFormat="0" applyFon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9" applyNumberFormat="0" applyFill="0" applyAlignment="0" applyProtection="0">
      <alignment vertical="center"/>
    </xf>
    <xf numFmtId="0" fontId="59" fillId="0" borderId="9" applyNumberFormat="0" applyFill="0" applyAlignment="0" applyProtection="0">
      <alignment vertical="center"/>
    </xf>
    <xf numFmtId="0" fontId="60" fillId="0" borderId="10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9" borderId="11" applyNumberFormat="0" applyAlignment="0" applyProtection="0">
      <alignment vertical="center"/>
    </xf>
    <xf numFmtId="0" fontId="62" fillId="10" borderId="12" applyNumberFormat="0" applyAlignment="0" applyProtection="0">
      <alignment vertical="center"/>
    </xf>
    <xf numFmtId="0" fontId="63" fillId="10" borderId="11" applyNumberFormat="0" applyAlignment="0" applyProtection="0">
      <alignment vertical="center"/>
    </xf>
    <xf numFmtId="0" fontId="64" fillId="11" borderId="13" applyNumberFormat="0" applyAlignment="0" applyProtection="0">
      <alignment vertical="center"/>
    </xf>
    <xf numFmtId="0" fontId="65" fillId="0" borderId="14" applyNumberFormat="0" applyFill="0" applyAlignment="0" applyProtection="0">
      <alignment vertical="center"/>
    </xf>
    <xf numFmtId="0" fontId="66" fillId="0" borderId="15" applyNumberFormat="0" applyFill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7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1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29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1" fillId="33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5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0" fillId="0" borderId="0" applyFont="0" applyFill="0" applyBorder="0" applyAlignment="0" applyProtection="0"/>
    <xf numFmtId="0" fontId="0" fillId="0" borderId="0" applyNumberFormat="0" applyFill="0" applyBorder="0" applyAlignment="0" applyProtection="0"/>
    <xf numFmtId="0" fontId="2" fillId="0" borderId="16" applyNumberFormat="0" applyBorder="0" applyAlignment="0">
      <alignment horizontal="left"/>
    </xf>
    <xf numFmtId="0" fontId="0" fillId="0" borderId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177" fontId="72" fillId="0" borderId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7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74" fillId="0" borderId="0"/>
    <xf numFmtId="0" fontId="74" fillId="0" borderId="0"/>
    <xf numFmtId="178" fontId="74" fillId="0" borderId="0"/>
    <xf numFmtId="0" fontId="74" fillId="0" borderId="0"/>
    <xf numFmtId="0" fontId="74" fillId="0" borderId="0"/>
    <xf numFmtId="1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0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0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0" fillId="0" borderId="0" applyFont="0" applyFill="0" applyBorder="0" applyAlignment="0" applyProtection="0"/>
    <xf numFmtId="0" fontId="0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0" fillId="0" borderId="0" applyFont="0" applyFill="0" applyBorder="0" applyAlignment="0" applyProtection="0"/>
    <xf numFmtId="0" fontId="0" fillId="0" borderId="0" applyFont="0" applyFill="0" applyBorder="0" applyAlignment="0" applyProtection="0"/>
    <xf numFmtId="0" fontId="78" fillId="0" borderId="0"/>
    <xf numFmtId="0" fontId="79" fillId="0" borderId="0"/>
    <xf numFmtId="0" fontId="80" fillId="0" borderId="0"/>
    <xf numFmtId="0" fontId="79" fillId="0" borderId="0"/>
    <xf numFmtId="0" fontId="79" fillId="0" borderId="0"/>
    <xf numFmtId="0" fontId="81" fillId="0" borderId="0"/>
    <xf numFmtId="0" fontId="77" fillId="0" borderId="0"/>
    <xf numFmtId="0" fontId="81" fillId="0" borderId="0"/>
    <xf numFmtId="0" fontId="77" fillId="0" borderId="0"/>
    <xf numFmtId="0" fontId="81" fillId="0" borderId="0"/>
    <xf numFmtId="0" fontId="77" fillId="0" borderId="0"/>
    <xf numFmtId="0" fontId="0" fillId="0" borderId="0"/>
    <xf numFmtId="43" fontId="0" fillId="0" borderId="0" applyFont="0" applyFill="0" applyBorder="0" applyAlignment="0" applyProtection="0"/>
    <xf numFmtId="0" fontId="0" fillId="0" borderId="0" applyFont="0" applyFill="0" applyBorder="0" applyAlignment="0" applyProtection="0"/>
    <xf numFmtId="0" fontId="0" fillId="0" borderId="0"/>
    <xf numFmtId="0" fontId="0" fillId="0" borderId="0"/>
    <xf numFmtId="0" fontId="82" fillId="0" borderId="0">
      <alignment vertical="center"/>
    </xf>
    <xf numFmtId="0" fontId="0" fillId="0" borderId="0"/>
    <xf numFmtId="179" fontId="0" fillId="0" borderId="0"/>
    <xf numFmtId="0" fontId="83" fillId="0" borderId="0">
      <alignment vertical="center"/>
    </xf>
    <xf numFmtId="0" fontId="0" fillId="39" borderId="0" applyNumberFormat="0" applyFont="0" applyBorder="0" applyAlignment="0" applyProtection="0"/>
    <xf numFmtId="0" fontId="84" fillId="0" borderId="0"/>
    <xf numFmtId="0" fontId="84" fillId="0" borderId="17">
      <alignment horizontal="centerContinuous"/>
    </xf>
    <xf numFmtId="0" fontId="85" fillId="0" borderId="17"/>
    <xf numFmtId="0" fontId="86" fillId="0" borderId="0"/>
    <xf numFmtId="0" fontId="87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8" fillId="0" borderId="0"/>
    <xf numFmtId="0" fontId="0" fillId="0" borderId="0" applyNumberFormat="0" applyFill="0" applyBorder="0" applyAlignment="0" applyProtection="0">
      <alignment vertical="top"/>
      <protection locked="0"/>
    </xf>
  </cellStyleXfs>
  <cellXfs count="395">
    <xf numFmtId="0" fontId="0" fillId="0" borderId="0" xfId="0"/>
    <xf numFmtId="49" fontId="1" fillId="0" borderId="0" xfId="0" applyNumberFormat="1" applyFont="1"/>
    <xf numFmtId="2" fontId="1" fillId="0" borderId="0" xfId="0" applyNumberFormat="1" applyFont="1"/>
    <xf numFmtId="0" fontId="0" fillId="0" borderId="0" xfId="0" applyFont="1"/>
    <xf numFmtId="14" fontId="0" fillId="0" borderId="0" xfId="50" applyNumberFormat="1" applyAlignment="1">
      <alignment horizontal="left"/>
    </xf>
    <xf numFmtId="0" fontId="0" fillId="0" borderId="0" xfId="50"/>
    <xf numFmtId="0" fontId="2" fillId="2" borderId="1" xfId="50" applyFont="1" applyFill="1" applyBorder="1" applyAlignment="1">
      <alignment horizontal="left"/>
    </xf>
    <xf numFmtId="0" fontId="2" fillId="2" borderId="2" xfId="50" applyFont="1" applyFill="1" applyBorder="1" applyAlignment="1">
      <alignment horizontal="left"/>
    </xf>
    <xf numFmtId="0" fontId="2" fillId="0" borderId="0" xfId="50" applyFont="1"/>
    <xf numFmtId="0" fontId="3" fillId="0" borderId="0" xfId="50" applyFont="1" applyProtection="1">
      <protection locked="0"/>
    </xf>
    <xf numFmtId="14" fontId="4" fillId="2" borderId="3" xfId="50" applyNumberFormat="1" applyFont="1" applyFill="1" applyBorder="1" applyAlignment="1">
      <alignment horizontal="left"/>
    </xf>
    <xf numFmtId="0" fontId="2" fillId="2" borderId="0" xfId="50" applyNumberFormat="1" applyFont="1" applyFill="1" applyAlignment="1">
      <alignment horizontal="right"/>
    </xf>
    <xf numFmtId="0" fontId="5" fillId="2" borderId="0" xfId="50" applyFont="1" applyFill="1" applyAlignment="1">
      <alignment horizontal="right"/>
    </xf>
    <xf numFmtId="0" fontId="6" fillId="0" borderId="0" xfId="50" applyFont="1"/>
    <xf numFmtId="180" fontId="0" fillId="0" borderId="0" xfId="50" applyNumberFormat="1"/>
    <xf numFmtId="180" fontId="0" fillId="0" borderId="0" xfId="50" applyNumberFormat="1" applyFill="1"/>
    <xf numFmtId="180" fontId="7" fillId="3" borderId="0" xfId="50" applyNumberFormat="1" applyFont="1" applyFill="1" applyAlignment="1">
      <alignment horizontal="right"/>
    </xf>
    <xf numFmtId="180" fontId="0" fillId="0" borderId="0" xfId="50" applyNumberFormat="1" applyAlignment="1">
      <alignment horizontal="right"/>
    </xf>
    <xf numFmtId="180" fontId="0" fillId="0" borderId="0" xfId="50" applyNumberFormat="1" applyFont="1" applyFill="1" applyAlignment="1">
      <alignment horizontal="right"/>
    </xf>
    <xf numFmtId="0" fontId="0" fillId="0" borderId="3" xfId="50" applyBorder="1"/>
    <xf numFmtId="180" fontId="6" fillId="0" borderId="3" xfId="50" applyNumberFormat="1" applyFont="1" applyBorder="1"/>
    <xf numFmtId="180" fontId="0" fillId="0" borderId="3" xfId="50" applyNumberFormat="1" applyBorder="1"/>
    <xf numFmtId="180" fontId="0" fillId="0" borderId="0" xfId="50" applyNumberFormat="1" applyFill="1" applyAlignment="1">
      <alignment horizontal="right"/>
    </xf>
    <xf numFmtId="180" fontId="0" fillId="0" borderId="3" xfId="50" applyNumberFormat="1" applyFill="1" applyBorder="1"/>
    <xf numFmtId="180" fontId="6" fillId="0" borderId="0" xfId="50" applyNumberFormat="1" applyFont="1"/>
    <xf numFmtId="180" fontId="0" fillId="0" borderId="3" xfId="50" applyNumberFormat="1" applyBorder="1" applyAlignment="1">
      <alignment horizontal="right"/>
    </xf>
    <xf numFmtId="180" fontId="0" fillId="0" borderId="3" xfId="50" applyNumberFormat="1" applyFill="1" applyBorder="1" applyAlignment="1">
      <alignment horizontal="right"/>
    </xf>
    <xf numFmtId="180" fontId="7" fillId="3" borderId="0" xfId="50" applyNumberFormat="1" applyFont="1" applyFill="1"/>
    <xf numFmtId="0" fontId="0" fillId="0" borderId="0" xfId="50" applyFont="1"/>
    <xf numFmtId="181" fontId="0" fillId="0" borderId="0" xfId="50" applyNumberFormat="1"/>
    <xf numFmtId="181" fontId="0" fillId="0" borderId="0" xfId="50" applyNumberFormat="1" applyAlignment="1">
      <alignment horizontal="right"/>
    </xf>
    <xf numFmtId="0" fontId="0" fillId="4" borderId="0" xfId="50" applyFont="1" applyFill="1"/>
    <xf numFmtId="181" fontId="0" fillId="4" borderId="0" xfId="50" applyNumberFormat="1" applyFill="1"/>
    <xf numFmtId="182" fontId="8" fillId="0" borderId="0" xfId="50" applyNumberFormat="1" applyFont="1"/>
    <xf numFmtId="0" fontId="0" fillId="0" borderId="0" xfId="50" applyAlignment="1">
      <alignment wrapText="1"/>
    </xf>
    <xf numFmtId="176" fontId="0" fillId="0" borderId="0" xfId="0" applyNumberFormat="1"/>
    <xf numFmtId="176" fontId="0" fillId="0" borderId="0" xfId="50" applyNumberFormat="1"/>
    <xf numFmtId="2" fontId="0" fillId="0" borderId="0" xfId="50" applyNumberFormat="1"/>
    <xf numFmtId="2" fontId="6" fillId="0" borderId="0" xfId="50" applyNumberFormat="1" applyFont="1"/>
    <xf numFmtId="2" fontId="0" fillId="0" borderId="0" xfId="50" applyNumberFormat="1" applyFont="1"/>
    <xf numFmtId="39" fontId="0" fillId="0" borderId="0" xfId="0" applyNumberFormat="1" applyFont="1"/>
    <xf numFmtId="0" fontId="2" fillId="0" borderId="0" xfId="0" applyFont="1"/>
    <xf numFmtId="0" fontId="9" fillId="2" borderId="0" xfId="50" applyFont="1" applyFill="1" applyAlignment="1">
      <alignment horizontal="left"/>
    </xf>
    <xf numFmtId="0" fontId="0" fillId="2" borderId="0" xfId="50" applyFill="1"/>
    <xf numFmtId="0" fontId="2" fillId="2" borderId="0" xfId="50" applyFont="1" applyFill="1" applyAlignment="1">
      <alignment horizontal="left"/>
    </xf>
    <xf numFmtId="14" fontId="4" fillId="2" borderId="0" xfId="50" applyNumberFormat="1" applyFont="1" applyFill="1" applyAlignment="1">
      <alignment horizontal="left"/>
    </xf>
    <xf numFmtId="183" fontId="10" fillId="2" borderId="0" xfId="50" applyNumberFormat="1" applyFont="1" applyFill="1" applyAlignment="1">
      <alignment horizontal="right"/>
    </xf>
    <xf numFmtId="0" fontId="10" fillId="2" borderId="0" xfId="50" applyFont="1" applyFill="1" applyAlignment="1">
      <alignment horizontal="right"/>
    </xf>
    <xf numFmtId="0" fontId="11" fillId="2" borderId="0" xfId="50" applyFont="1" applyFill="1" applyAlignment="1">
      <alignment horizontal="right"/>
    </xf>
    <xf numFmtId="0" fontId="12" fillId="0" borderId="0" xfId="50" applyFont="1"/>
    <xf numFmtId="183" fontId="12" fillId="0" borderId="0" xfId="50" applyNumberFormat="1" applyFont="1"/>
    <xf numFmtId="0" fontId="12" fillId="0" borderId="0" xfId="50" applyFont="1" applyAlignment="1">
      <alignment horizontal="right"/>
    </xf>
    <xf numFmtId="0" fontId="10" fillId="0" borderId="0" xfId="50" applyFont="1" applyAlignment="1">
      <alignment horizontal="left"/>
    </xf>
    <xf numFmtId="0" fontId="13" fillId="0" borderId="0" xfId="50" applyFont="1"/>
    <xf numFmtId="0" fontId="14" fillId="0" borderId="0" xfId="50" applyFont="1"/>
    <xf numFmtId="3" fontId="12" fillId="0" borderId="0" xfId="50" applyNumberFormat="1" applyFont="1" applyAlignment="1">
      <alignment horizontal="left"/>
    </xf>
    <xf numFmtId="3" fontId="12" fillId="0" borderId="0" xfId="50" applyNumberFormat="1" applyFont="1"/>
    <xf numFmtId="3" fontId="14" fillId="0" borderId="0" xfId="50" applyNumberFormat="1" applyFont="1"/>
    <xf numFmtId="3" fontId="12" fillId="0" borderId="0" xfId="50" applyNumberFormat="1" applyFont="1" applyAlignment="1">
      <alignment horizontal="left" indent="1"/>
    </xf>
    <xf numFmtId="3" fontId="15" fillId="0" borderId="0" xfId="50" applyNumberFormat="1" applyFont="1"/>
    <xf numFmtId="3" fontId="12" fillId="0" borderId="0" xfId="50" applyNumberFormat="1" applyFont="1" applyFill="1" applyAlignment="1">
      <alignment horizontal="left" indent="1"/>
    </xf>
    <xf numFmtId="3" fontId="13" fillId="0" borderId="0" xfId="50" applyNumberFormat="1" applyFont="1"/>
    <xf numFmtId="3" fontId="12" fillId="0" borderId="0" xfId="50" applyNumberFormat="1" applyFont="1" applyFill="1" applyAlignment="1">
      <alignment horizontal="left"/>
    </xf>
    <xf numFmtId="3" fontId="16" fillId="3" borderId="0" xfId="50" applyNumberFormat="1" applyFont="1" applyFill="1"/>
    <xf numFmtId="3" fontId="10" fillId="0" borderId="0" xfId="50" applyNumberFormat="1" applyFont="1" applyFill="1" applyAlignment="1">
      <alignment horizontal="left"/>
    </xf>
    <xf numFmtId="3" fontId="10" fillId="0" borderId="0" xfId="50" applyNumberFormat="1" applyFont="1"/>
    <xf numFmtId="3" fontId="17" fillId="0" borderId="0" xfId="50" applyNumberFormat="1" applyFont="1"/>
    <xf numFmtId="3" fontId="12" fillId="0" borderId="0" xfId="50" applyNumberFormat="1" applyFont="1" applyFill="1"/>
    <xf numFmtId="3" fontId="14" fillId="0" borderId="0" xfId="50" applyNumberFormat="1" applyFont="1" applyAlignment="1">
      <alignment horizontal="right"/>
    </xf>
    <xf numFmtId="3" fontId="12" fillId="0" borderId="0" xfId="50" applyNumberFormat="1" applyFont="1" applyAlignment="1">
      <alignment horizontal="right"/>
    </xf>
    <xf numFmtId="0" fontId="10" fillId="0" borderId="0" xfId="50" applyFont="1" applyFill="1" applyAlignment="1">
      <alignment horizontal="left"/>
    </xf>
    <xf numFmtId="184" fontId="12" fillId="0" borderId="0" xfId="50" applyNumberFormat="1" applyFont="1"/>
    <xf numFmtId="3" fontId="18" fillId="0" borderId="0" xfId="50" applyNumberFormat="1" applyFont="1"/>
    <xf numFmtId="0" fontId="17" fillId="0" borderId="0" xfId="50" applyFont="1"/>
    <xf numFmtId="3" fontId="0" fillId="0" borderId="0" xfId="50" applyNumberFormat="1" applyFill="1"/>
    <xf numFmtId="3" fontId="10" fillId="0" borderId="0" xfId="50" applyNumberFormat="1" applyFont="1" applyAlignment="1">
      <alignment horizontal="left"/>
    </xf>
    <xf numFmtId="0" fontId="10" fillId="0" borderId="0" xfId="50" applyFont="1"/>
    <xf numFmtId="185" fontId="12" fillId="0" borderId="0" xfId="50" applyNumberFormat="1" applyFont="1"/>
    <xf numFmtId="0" fontId="19" fillId="0" borderId="0" xfId="50" applyFont="1"/>
    <xf numFmtId="186" fontId="12" fillId="0" borderId="0" xfId="50" applyNumberFormat="1" applyFont="1"/>
    <xf numFmtId="187" fontId="12" fillId="0" borderId="0" xfId="50" applyNumberFormat="1" applyFont="1"/>
    <xf numFmtId="182" fontId="12" fillId="0" borderId="0" xfId="50" applyNumberFormat="1" applyFont="1"/>
    <xf numFmtId="188" fontId="20" fillId="0" borderId="0" xfId="50" applyNumberFormat="1" applyFont="1" applyAlignment="1">
      <alignment horizontal="left"/>
    </xf>
    <xf numFmtId="0" fontId="12" fillId="0" borderId="0" xfId="50" applyFont="1" applyAlignment="1">
      <alignment horizontal="left"/>
    </xf>
    <xf numFmtId="188" fontId="12" fillId="0" borderId="0" xfId="50" applyNumberFormat="1" applyFont="1"/>
    <xf numFmtId="0" fontId="18" fillId="0" borderId="0" xfId="50" applyFont="1"/>
    <xf numFmtId="184" fontId="12" fillId="0" borderId="0" xfId="50" applyNumberFormat="1" applyFont="1" applyAlignment="1">
      <alignment horizontal="left"/>
    </xf>
    <xf numFmtId="1" fontId="12" fillId="5" borderId="0" xfId="50" applyNumberFormat="1" applyFont="1" applyFill="1"/>
    <xf numFmtId="1" fontId="12" fillId="5" borderId="0" xfId="50" applyNumberFormat="1" applyFont="1" applyFill="1" applyAlignment="1">
      <alignment horizontal="right"/>
    </xf>
    <xf numFmtId="1" fontId="14" fillId="5" borderId="0" xfId="50" applyNumberFormat="1" applyFont="1" applyFill="1"/>
    <xf numFmtId="1" fontId="12" fillId="0" borderId="0" xfId="50" applyNumberFormat="1" applyFont="1"/>
    <xf numFmtId="178" fontId="13" fillId="3" borderId="0" xfId="50" applyNumberFormat="1" applyFont="1" applyFill="1"/>
    <xf numFmtId="178" fontId="12" fillId="0" borderId="0" xfId="50" applyNumberFormat="1" applyFont="1"/>
    <xf numFmtId="189" fontId="14" fillId="0" borderId="0" xfId="50" applyNumberFormat="1" applyFont="1"/>
    <xf numFmtId="189" fontId="12" fillId="0" borderId="0" xfId="50" applyNumberFormat="1" applyFont="1"/>
    <xf numFmtId="0" fontId="19" fillId="0" borderId="0" xfId="50" applyFont="1" applyAlignment="1">
      <alignment horizontal="left"/>
    </xf>
    <xf numFmtId="188" fontId="14" fillId="0" borderId="0" xfId="50" applyNumberFormat="1" applyFont="1" applyAlignment="1">
      <alignment horizontal="left"/>
    </xf>
    <xf numFmtId="188" fontId="21" fillId="0" borderId="0" xfId="50" applyNumberFormat="1" applyFont="1" applyAlignment="1">
      <alignment horizontal="left"/>
    </xf>
    <xf numFmtId="0" fontId="22" fillId="0" borderId="0" xfId="50" applyFont="1"/>
    <xf numFmtId="188" fontId="23" fillId="0" borderId="0" xfId="50" applyNumberFormat="1" applyFont="1"/>
    <xf numFmtId="188" fontId="0" fillId="0" borderId="0" xfId="50" applyNumberFormat="1"/>
    <xf numFmtId="182" fontId="0" fillId="0" borderId="0" xfId="50" applyNumberFormat="1"/>
    <xf numFmtId="182" fontId="3" fillId="0" borderId="0" xfId="50" applyNumberFormat="1" applyFont="1"/>
    <xf numFmtId="186" fontId="0" fillId="0" borderId="0" xfId="50" applyNumberFormat="1"/>
    <xf numFmtId="0" fontId="12" fillId="0" borderId="0" xfId="0" applyFont="1" applyBorder="1"/>
    <xf numFmtId="0" fontId="10" fillId="0" borderId="0" xfId="0" applyFont="1"/>
    <xf numFmtId="0" fontId="12" fillId="0" borderId="0" xfId="0" applyFont="1" applyFill="1"/>
    <xf numFmtId="0" fontId="10" fillId="0" borderId="0" xfId="0" applyFont="1" applyFill="1"/>
    <xf numFmtId="190" fontId="12" fillId="0" borderId="0" xfId="1" applyNumberFormat="1" applyFont="1" applyFill="1" applyAlignment="1">
      <alignment horizontal="right"/>
    </xf>
    <xf numFmtId="0" fontId="24" fillId="0" borderId="0" xfId="0" applyFont="1" applyFill="1"/>
    <xf numFmtId="0" fontId="12" fillId="0" borderId="0" xfId="0" applyFont="1"/>
    <xf numFmtId="0" fontId="12" fillId="2" borderId="0" xfId="50" applyFont="1" applyFill="1"/>
    <xf numFmtId="9" fontId="12" fillId="2" borderId="0" xfId="3" applyFont="1" applyFill="1"/>
    <xf numFmtId="176" fontId="12" fillId="2" borderId="0" xfId="1" applyFont="1" applyFill="1"/>
    <xf numFmtId="0" fontId="12" fillId="2" borderId="4" xfId="50" applyFont="1" applyFill="1" applyBorder="1"/>
    <xf numFmtId="0" fontId="12" fillId="2" borderId="0" xfId="50" applyFont="1" applyFill="1" applyBorder="1"/>
    <xf numFmtId="0" fontId="0" fillId="2" borderId="0" xfId="50" applyFont="1" applyFill="1"/>
    <xf numFmtId="37" fontId="12" fillId="2" borderId="0" xfId="50" applyNumberFormat="1" applyFont="1" applyFill="1"/>
    <xf numFmtId="0" fontId="10" fillId="2" borderId="0" xfId="50" applyFont="1" applyFill="1" applyAlignment="1">
      <alignment horizontal="center"/>
    </xf>
    <xf numFmtId="191" fontId="12" fillId="2" borderId="0" xfId="50" applyNumberFormat="1" applyFont="1" applyFill="1"/>
    <xf numFmtId="191" fontId="12" fillId="2" borderId="0" xfId="1" applyNumberFormat="1" applyFont="1" applyFill="1"/>
    <xf numFmtId="3" fontId="12" fillId="2" borderId="0" xfId="50" applyNumberFormat="1" applyFont="1" applyFill="1"/>
    <xf numFmtId="192" fontId="12" fillId="2" borderId="0" xfId="50" applyNumberFormat="1" applyFont="1" applyFill="1"/>
    <xf numFmtId="1" fontId="12" fillId="2" borderId="0" xfId="50" applyNumberFormat="1" applyFont="1" applyFill="1"/>
    <xf numFmtId="192" fontId="12" fillId="2" borderId="4" xfId="50" applyNumberFormat="1" applyFont="1" applyFill="1" applyBorder="1"/>
    <xf numFmtId="190" fontId="12" fillId="2" borderId="0" xfId="1" applyNumberFormat="1" applyFont="1" applyFill="1"/>
    <xf numFmtId="14" fontId="25" fillId="2" borderId="0" xfId="50" applyNumberFormat="1" applyFont="1" applyFill="1" applyAlignment="1">
      <alignment horizontal="left"/>
    </xf>
    <xf numFmtId="185" fontId="12" fillId="2" borderId="0" xfId="50" applyNumberFormat="1" applyFont="1" applyFill="1"/>
    <xf numFmtId="185" fontId="12" fillId="2" borderId="4" xfId="50" applyNumberFormat="1" applyFont="1" applyFill="1" applyBorder="1"/>
    <xf numFmtId="188" fontId="12" fillId="2" borderId="0" xfId="50" applyNumberFormat="1" applyFont="1" applyFill="1" applyBorder="1"/>
    <xf numFmtId="1" fontId="14" fillId="2" borderId="0" xfId="50" applyNumberFormat="1" applyFont="1" applyFill="1"/>
    <xf numFmtId="193" fontId="25" fillId="2" borderId="0" xfId="50" applyNumberFormat="1" applyFont="1" applyFill="1" applyAlignment="1">
      <alignment horizontal="left"/>
    </xf>
    <xf numFmtId="176" fontId="12" fillId="2" borderId="0" xfId="50" applyNumberFormat="1" applyFont="1" applyFill="1"/>
    <xf numFmtId="1" fontId="13" fillId="2" borderId="0" xfId="50" applyNumberFormat="1" applyFont="1" applyFill="1"/>
    <xf numFmtId="184" fontId="12" fillId="2" borderId="0" xfId="50" applyNumberFormat="1" applyFont="1" applyFill="1"/>
    <xf numFmtId="9" fontId="12" fillId="2" borderId="4" xfId="50" applyNumberFormat="1" applyFont="1" applyFill="1" applyBorder="1"/>
    <xf numFmtId="14" fontId="25" fillId="2" borderId="3" xfId="50" applyNumberFormat="1" applyFont="1" applyFill="1" applyBorder="1" applyAlignment="1">
      <alignment horizontal="left"/>
    </xf>
    <xf numFmtId="0" fontId="10" fillId="2" borderId="3" xfId="50" applyNumberFormat="1" applyFont="1" applyFill="1" applyBorder="1" applyAlignment="1">
      <alignment horizontal="right"/>
    </xf>
    <xf numFmtId="0" fontId="11" fillId="2" borderId="3" xfId="50" applyNumberFormat="1" applyFont="1" applyFill="1" applyBorder="1" applyAlignment="1">
      <alignment horizontal="right"/>
    </xf>
    <xf numFmtId="0" fontId="10" fillId="2" borderId="5" xfId="50" applyNumberFormat="1" applyFont="1" applyFill="1" applyBorder="1" applyAlignment="1">
      <alignment horizontal="right"/>
    </xf>
    <xf numFmtId="0" fontId="10" fillId="2" borderId="3" xfId="50" applyFont="1" applyFill="1" applyBorder="1" applyAlignment="1">
      <alignment horizontal="right"/>
    </xf>
    <xf numFmtId="0" fontId="11" fillId="2" borderId="3" xfId="50" applyFont="1" applyFill="1" applyBorder="1" applyAlignment="1">
      <alignment horizontal="right"/>
    </xf>
    <xf numFmtId="0" fontId="12" fillId="0" borderId="4" xfId="50" applyFont="1" applyBorder="1"/>
    <xf numFmtId="0" fontId="12" fillId="0" borderId="0" xfId="50" applyFont="1" applyBorder="1"/>
    <xf numFmtId="188" fontId="12" fillId="0" borderId="0" xfId="50" applyNumberFormat="1" applyFont="1" applyAlignment="1">
      <alignment horizontal="left"/>
    </xf>
    <xf numFmtId="37" fontId="15" fillId="0" borderId="0" xfId="50" applyNumberFormat="1" applyFont="1"/>
    <xf numFmtId="37" fontId="13" fillId="0" borderId="0" xfId="50" applyNumberFormat="1" applyFont="1"/>
    <xf numFmtId="37" fontId="12" fillId="0" borderId="4" xfId="50" applyNumberFormat="1" applyFont="1" applyBorder="1"/>
    <xf numFmtId="37" fontId="12" fillId="0" borderId="0" xfId="50" applyNumberFormat="1" applyFont="1" applyBorder="1"/>
    <xf numFmtId="37" fontId="26" fillId="0" borderId="0" xfId="50" applyNumberFormat="1" applyFont="1"/>
    <xf numFmtId="184" fontId="19" fillId="0" borderId="0" xfId="50" applyNumberFormat="1" applyFont="1"/>
    <xf numFmtId="37" fontId="10" fillId="0" borderId="0" xfId="50" applyNumberFormat="1" applyFont="1"/>
    <xf numFmtId="184" fontId="19" fillId="0" borderId="4" xfId="50" applyNumberFormat="1" applyFont="1" applyBorder="1"/>
    <xf numFmtId="184" fontId="19" fillId="0" borderId="0" xfId="50" applyNumberFormat="1" applyFont="1" applyBorder="1"/>
    <xf numFmtId="9" fontId="19" fillId="0" borderId="0" xfId="50" applyNumberFormat="1" applyFont="1"/>
    <xf numFmtId="9" fontId="19" fillId="0" borderId="0" xfId="50" applyNumberFormat="1" applyFont="1" applyFill="1"/>
    <xf numFmtId="184" fontId="19" fillId="0" borderId="0" xfId="50" applyNumberFormat="1" applyFont="1" applyFill="1"/>
    <xf numFmtId="188" fontId="12" fillId="0" borderId="4" xfId="50" applyNumberFormat="1" applyFont="1" applyBorder="1"/>
    <xf numFmtId="188" fontId="12" fillId="0" borderId="0" xfId="50" applyNumberFormat="1" applyFont="1" applyBorder="1"/>
    <xf numFmtId="188" fontId="18" fillId="0" borderId="0" xfId="50" applyNumberFormat="1" applyFont="1"/>
    <xf numFmtId="188" fontId="18" fillId="0" borderId="0" xfId="50" applyNumberFormat="1" applyFont="1" applyFill="1"/>
    <xf numFmtId="194" fontId="12" fillId="0" borderId="0" xfId="50" applyNumberFormat="1" applyFont="1" applyAlignment="1">
      <alignment horizontal="left"/>
    </xf>
    <xf numFmtId="37" fontId="12" fillId="0" borderId="0" xfId="50" applyNumberFormat="1" applyFont="1"/>
    <xf numFmtId="9" fontId="19" fillId="0" borderId="4" xfId="50" applyNumberFormat="1" applyFont="1" applyBorder="1"/>
    <xf numFmtId="9" fontId="19" fillId="0" borderId="0" xfId="50" applyNumberFormat="1" applyFont="1" applyBorder="1"/>
    <xf numFmtId="37" fontId="16" fillId="0" borderId="0" xfId="50" applyNumberFormat="1" applyFont="1"/>
    <xf numFmtId="9" fontId="12" fillId="0" borderId="0" xfId="0" applyNumberFormat="1" applyFont="1"/>
    <xf numFmtId="0" fontId="12" fillId="0" borderId="0" xfId="0" applyFont="1" applyAlignment="1">
      <alignment horizontal="right"/>
    </xf>
    <xf numFmtId="9" fontId="19" fillId="0" borderId="0" xfId="50" applyNumberFormat="1" applyFont="1" applyAlignment="1">
      <alignment horizontal="right"/>
    </xf>
    <xf numFmtId="9" fontId="19" fillId="0" borderId="4" xfId="50" applyNumberFormat="1" applyFont="1" applyBorder="1" applyAlignment="1">
      <alignment horizontal="right"/>
    </xf>
    <xf numFmtId="188" fontId="19" fillId="0" borderId="0" xfId="50" applyNumberFormat="1" applyFont="1" applyBorder="1" applyAlignment="1">
      <alignment horizontal="right"/>
    </xf>
    <xf numFmtId="9" fontId="19" fillId="0" borderId="0" xfId="50" applyNumberFormat="1" applyFont="1" applyFill="1" applyAlignment="1">
      <alignment horizontal="right"/>
    </xf>
    <xf numFmtId="37" fontId="15" fillId="0" borderId="0" xfId="50" applyNumberFormat="1" applyFont="1" applyFill="1"/>
    <xf numFmtId="188" fontId="12" fillId="0" borderId="0" xfId="50" applyNumberFormat="1" applyFont="1" applyFill="1"/>
    <xf numFmtId="37" fontId="16" fillId="6" borderId="0" xfId="50" applyNumberFormat="1" applyFont="1" applyFill="1"/>
    <xf numFmtId="37" fontId="16" fillId="0" borderId="0" xfId="50" applyNumberFormat="1" applyFont="1" applyFill="1"/>
    <xf numFmtId="39" fontId="12" fillId="0" borderId="4" xfId="50" applyNumberFormat="1" applyFont="1" applyBorder="1"/>
    <xf numFmtId="39" fontId="19" fillId="0" borderId="4" xfId="50" applyNumberFormat="1" applyFont="1" applyBorder="1"/>
    <xf numFmtId="184" fontId="16" fillId="3" borderId="0" xfId="3" applyNumberFormat="1" applyFont="1" applyFill="1"/>
    <xf numFmtId="37" fontId="12" fillId="0" borderId="0" xfId="50" applyNumberFormat="1" applyFont="1" applyFill="1"/>
    <xf numFmtId="184" fontId="19" fillId="0" borderId="0" xfId="50" applyNumberFormat="1" applyFont="1" applyAlignment="1">
      <alignment horizontal="right"/>
    </xf>
    <xf numFmtId="37" fontId="18" fillId="0" borderId="0" xfId="50" applyNumberFormat="1" applyFont="1"/>
    <xf numFmtId="9" fontId="12" fillId="0" borderId="0" xfId="3" applyFont="1"/>
    <xf numFmtId="188" fontId="13" fillId="0" borderId="0" xfId="50" applyNumberFormat="1" applyFont="1"/>
    <xf numFmtId="184" fontId="27" fillId="0" borderId="0" xfId="50" applyNumberFormat="1" applyFont="1"/>
    <xf numFmtId="39" fontId="12" fillId="0" borderId="0" xfId="50" applyNumberFormat="1" applyFont="1"/>
    <xf numFmtId="0" fontId="28" fillId="0" borderId="0" xfId="0" applyFont="1" applyAlignment="1">
      <alignment horizontal="right"/>
    </xf>
    <xf numFmtId="10" fontId="28" fillId="0" borderId="0" xfId="0" applyNumberFormat="1" applyFont="1" applyAlignment="1">
      <alignment horizontal="right"/>
    </xf>
    <xf numFmtId="194" fontId="10" fillId="0" borderId="0" xfId="109" applyNumberFormat="1" applyFont="1" applyAlignment="1">
      <alignment horizontal="left"/>
    </xf>
    <xf numFmtId="37" fontId="11" fillId="0" borderId="0" xfId="50" applyNumberFormat="1" applyFont="1"/>
    <xf numFmtId="37" fontId="10" fillId="0" borderId="4" xfId="50" applyNumberFormat="1" applyFont="1" applyBorder="1"/>
    <xf numFmtId="37" fontId="10" fillId="0" borderId="0" xfId="50" applyNumberFormat="1" applyFont="1" applyBorder="1"/>
    <xf numFmtId="195" fontId="12" fillId="0" borderId="0" xfId="0" applyNumberFormat="1" applyFont="1" applyFill="1" applyAlignment="1" applyProtection="1">
      <protection locked="0"/>
    </xf>
    <xf numFmtId="0" fontId="19" fillId="0" borderId="0" xfId="109" applyFont="1" applyAlignment="1">
      <alignment horizontal="left"/>
    </xf>
    <xf numFmtId="184" fontId="12" fillId="0" borderId="0" xfId="0" applyNumberFormat="1" applyFont="1"/>
    <xf numFmtId="190" fontId="13" fillId="0" borderId="0" xfId="1" applyNumberFormat="1" applyFont="1"/>
    <xf numFmtId="2" fontId="10" fillId="0" borderId="0" xfId="0" applyNumberFormat="1" applyFont="1" applyFill="1" applyAlignment="1" applyProtection="1">
      <protection locked="0"/>
    </xf>
    <xf numFmtId="39" fontId="10" fillId="0" borderId="0" xfId="50" applyNumberFormat="1" applyFont="1"/>
    <xf numFmtId="39" fontId="11" fillId="0" borderId="0" xfId="50" applyNumberFormat="1" applyFont="1"/>
    <xf numFmtId="39" fontId="10" fillId="0" borderId="4" xfId="50" applyNumberFormat="1" applyFont="1" applyBorder="1"/>
    <xf numFmtId="39" fontId="10" fillId="0" borderId="0" xfId="50" applyNumberFormat="1" applyFont="1" applyBorder="1"/>
    <xf numFmtId="195" fontId="10" fillId="0" borderId="0" xfId="0" applyNumberFormat="1" applyFont="1" applyFill="1" applyAlignment="1" applyProtection="1">
      <protection locked="0"/>
    </xf>
    <xf numFmtId="188" fontId="19" fillId="0" borderId="0" xfId="50" applyNumberFormat="1" applyFont="1" applyBorder="1"/>
    <xf numFmtId="188" fontId="18" fillId="0" borderId="0" xfId="50" applyNumberFormat="1" applyFont="1" applyBorder="1"/>
    <xf numFmtId="39" fontId="18" fillId="0" borderId="0" xfId="50" applyNumberFormat="1" applyFont="1"/>
    <xf numFmtId="39" fontId="11" fillId="0" borderId="4" xfId="50" applyNumberFormat="1" applyFont="1" applyBorder="1"/>
    <xf numFmtId="39" fontId="11" fillId="0" borderId="0" xfId="50" applyNumberFormat="1" applyFont="1" applyBorder="1"/>
    <xf numFmtId="39" fontId="29" fillId="0" borderId="0" xfId="50" applyNumberFormat="1" applyFont="1"/>
    <xf numFmtId="196" fontId="29" fillId="0" borderId="0" xfId="50" applyNumberFormat="1" applyFont="1"/>
    <xf numFmtId="176" fontId="12" fillId="0" borderId="0" xfId="0" applyNumberFormat="1" applyFont="1"/>
    <xf numFmtId="0" fontId="13" fillId="0" borderId="0" xfId="50" applyFont="1" applyBorder="1"/>
    <xf numFmtId="0" fontId="13" fillId="0" borderId="4" xfId="50" applyFont="1" applyBorder="1"/>
    <xf numFmtId="0" fontId="18" fillId="0" borderId="0" xfId="50" applyFont="1" applyBorder="1"/>
    <xf numFmtId="39" fontId="13" fillId="0" borderId="0" xfId="50" applyNumberFormat="1" applyFont="1" applyBorder="1"/>
    <xf numFmtId="179" fontId="13" fillId="0" borderId="0" xfId="50" applyNumberFormat="1" applyFont="1" applyBorder="1" applyAlignment="1">
      <alignment horizontal="left"/>
    </xf>
    <xf numFmtId="179" fontId="15" fillId="0" borderId="0" xfId="50" applyNumberFormat="1" applyFont="1" applyBorder="1"/>
    <xf numFmtId="190" fontId="15" fillId="0" borderId="0" xfId="1" applyNumberFormat="1" applyFont="1" applyBorder="1"/>
    <xf numFmtId="179" fontId="13" fillId="0" borderId="4" xfId="50" applyNumberFormat="1" applyFont="1" applyBorder="1"/>
    <xf numFmtId="179" fontId="18" fillId="0" borderId="0" xfId="50" applyNumberFormat="1" applyFont="1" applyBorder="1"/>
    <xf numFmtId="190" fontId="30" fillId="0" borderId="0" xfId="1" applyNumberFormat="1" applyFont="1" applyBorder="1"/>
    <xf numFmtId="179" fontId="12" fillId="0" borderId="0" xfId="50" applyNumberFormat="1" applyFont="1" applyBorder="1"/>
    <xf numFmtId="179" fontId="13" fillId="0" borderId="0" xfId="50" applyNumberFormat="1" applyFont="1" applyBorder="1"/>
    <xf numFmtId="190" fontId="13" fillId="0" borderId="0" xfId="1" applyNumberFormat="1" applyFont="1" applyBorder="1"/>
    <xf numFmtId="9" fontId="13" fillId="0" borderId="0" xfId="50" applyNumberFormat="1" applyFont="1"/>
    <xf numFmtId="9" fontId="13" fillId="0" borderId="4" xfId="50" applyNumberFormat="1" applyFont="1" applyBorder="1"/>
    <xf numFmtId="39" fontId="13" fillId="0" borderId="0" xfId="50" applyNumberFormat="1" applyFont="1"/>
    <xf numFmtId="179" fontId="15" fillId="0" borderId="0" xfId="50" applyNumberFormat="1" applyFont="1"/>
    <xf numFmtId="190" fontId="15" fillId="0" borderId="0" xfId="1" applyNumberFormat="1" applyFont="1"/>
    <xf numFmtId="190" fontId="30" fillId="0" borderId="0" xfId="1" applyNumberFormat="1" applyFont="1"/>
    <xf numFmtId="179" fontId="13" fillId="0" borderId="0" xfId="50" applyNumberFormat="1" applyFont="1"/>
    <xf numFmtId="9" fontId="13" fillId="0" borderId="0" xfId="50" applyNumberFormat="1" applyFont="1" applyBorder="1"/>
    <xf numFmtId="9" fontId="13" fillId="0" borderId="0" xfId="3" applyFont="1" applyBorder="1"/>
    <xf numFmtId="190" fontId="12" fillId="0" borderId="0" xfId="1" applyNumberFormat="1" applyFont="1"/>
    <xf numFmtId="197" fontId="12" fillId="0" borderId="0" xfId="0" applyNumberFormat="1" applyFont="1"/>
    <xf numFmtId="39" fontId="12" fillId="0" borderId="0" xfId="0" applyNumberFormat="1" applyFont="1"/>
    <xf numFmtId="39" fontId="12" fillId="0" borderId="0" xfId="50" applyNumberFormat="1" applyFont="1" applyBorder="1"/>
    <xf numFmtId="9" fontId="12" fillId="0" borderId="6" xfId="3" applyFont="1" applyBorder="1"/>
    <xf numFmtId="0" fontId="19" fillId="0" borderId="0" xfId="50" applyFont="1" applyFill="1"/>
    <xf numFmtId="0" fontId="19" fillId="0" borderId="0" xfId="50" applyFont="1" applyFill="1" applyBorder="1" applyAlignment="1"/>
    <xf numFmtId="179" fontId="31" fillId="0" borderId="0" xfId="50" applyNumberFormat="1" applyFont="1" applyFill="1"/>
    <xf numFmtId="179" fontId="19" fillId="0" borderId="0" xfId="50" applyNumberFormat="1" applyFont="1" applyFill="1"/>
    <xf numFmtId="191" fontId="19" fillId="0" borderId="0" xfId="1" applyNumberFormat="1" applyFont="1" applyFill="1" applyBorder="1" applyAlignment="1">
      <alignment horizontal="right"/>
    </xf>
    <xf numFmtId="194" fontId="30" fillId="0" borderId="0" xfId="50" applyNumberFormat="1" applyFont="1"/>
    <xf numFmtId="190" fontId="12" fillId="0" borderId="0" xfId="0" applyNumberFormat="1" applyFont="1"/>
    <xf numFmtId="0" fontId="10" fillId="7" borderId="0" xfId="50" applyFont="1" applyFill="1"/>
    <xf numFmtId="0" fontId="29" fillId="7" borderId="0" xfId="50" applyFont="1" applyFill="1" applyAlignment="1">
      <alignment horizontal="left" vertical="center" wrapText="1"/>
    </xf>
    <xf numFmtId="9" fontId="29" fillId="7" borderId="0" xfId="3" applyFont="1" applyFill="1" applyAlignment="1">
      <alignment horizontal="left" vertical="center" wrapText="1"/>
    </xf>
    <xf numFmtId="190" fontId="29" fillId="7" borderId="0" xfId="50" applyNumberFormat="1" applyFont="1" applyFill="1" applyAlignment="1">
      <alignment horizontal="left" vertical="center" wrapText="1"/>
    </xf>
    <xf numFmtId="0" fontId="29" fillId="0" borderId="0" xfId="50" applyFont="1" applyFill="1" applyAlignment="1">
      <alignment horizontal="left" vertical="center" wrapText="1"/>
    </xf>
    <xf numFmtId="0" fontId="12" fillId="7" borderId="0" xfId="50" applyFont="1" applyFill="1" applyBorder="1"/>
    <xf numFmtId="0" fontId="12" fillId="7" borderId="0" xfId="50" applyFont="1" applyFill="1"/>
    <xf numFmtId="190" fontId="12" fillId="7" borderId="0" xfId="50" applyNumberFormat="1" applyFont="1" applyFill="1"/>
    <xf numFmtId="0" fontId="10" fillId="0" borderId="0" xfId="50" applyFont="1" applyFill="1"/>
    <xf numFmtId="0" fontId="11" fillId="0" borderId="0" xfId="50" applyNumberFormat="1" applyFont="1" applyFill="1" applyBorder="1" applyAlignment="1">
      <alignment horizontal="right"/>
    </xf>
    <xf numFmtId="184" fontId="11" fillId="0" borderId="0" xfId="3" applyNumberFormat="1" applyFont="1" applyFill="1" applyBorder="1" applyAlignment="1">
      <alignment horizontal="right"/>
    </xf>
    <xf numFmtId="176" fontId="11" fillId="0" borderId="0" xfId="50" applyNumberFormat="1" applyFont="1" applyFill="1" applyBorder="1" applyAlignment="1">
      <alignment horizontal="right"/>
    </xf>
    <xf numFmtId="190" fontId="11" fillId="0" borderId="0" xfId="50" applyNumberFormat="1" applyFont="1" applyFill="1" applyBorder="1" applyAlignment="1">
      <alignment horizontal="right"/>
    </xf>
    <xf numFmtId="9" fontId="11" fillId="0" borderId="0" xfId="3" applyFont="1" applyFill="1" applyBorder="1" applyAlignment="1">
      <alignment horizontal="right"/>
    </xf>
    <xf numFmtId="0" fontId="11" fillId="0" borderId="4" xfId="50" applyNumberFormat="1" applyFont="1" applyFill="1" applyBorder="1" applyAlignment="1">
      <alignment horizontal="right"/>
    </xf>
    <xf numFmtId="0" fontId="12" fillId="0" borderId="0" xfId="50" applyFont="1" applyFill="1" applyBorder="1"/>
    <xf numFmtId="9" fontId="29" fillId="0" borderId="0" xfId="50" applyNumberFormat="1" applyFont="1" applyFill="1" applyAlignment="1">
      <alignment horizontal="left" vertical="center" wrapText="1"/>
    </xf>
    <xf numFmtId="190" fontId="10" fillId="0" borderId="0" xfId="1" applyNumberFormat="1" applyFont="1" applyFill="1" applyAlignment="1">
      <alignment horizontal="right" vertical="center" wrapText="1"/>
    </xf>
    <xf numFmtId="190" fontId="32" fillId="0" borderId="0" xfId="1" applyNumberFormat="1" applyFont="1" applyFill="1" applyAlignment="1">
      <alignment horizontal="right" vertical="center" wrapText="1"/>
    </xf>
    <xf numFmtId="190" fontId="29" fillId="0" borderId="4" xfId="1" applyNumberFormat="1" applyFont="1" applyFill="1" applyBorder="1" applyAlignment="1">
      <alignment horizontal="right" vertical="center" wrapText="1"/>
    </xf>
    <xf numFmtId="190" fontId="10" fillId="0" borderId="0" xfId="1" applyNumberFormat="1" applyFont="1" applyFill="1" applyBorder="1"/>
    <xf numFmtId="190" fontId="33" fillId="0" borderId="0" xfId="1" applyNumberFormat="1" applyFont="1" applyFill="1" applyAlignment="1">
      <alignment horizontal="right" vertical="center" wrapText="1"/>
    </xf>
    <xf numFmtId="190" fontId="34" fillId="0" borderId="0" xfId="1" applyNumberFormat="1" applyFont="1" applyFill="1" applyAlignment="1">
      <alignment horizontal="right" vertical="center" wrapText="1"/>
    </xf>
    <xf numFmtId="190" fontId="35" fillId="0" borderId="0" xfId="1" applyNumberFormat="1" applyFont="1" applyFill="1" applyAlignment="1">
      <alignment horizontal="right" vertical="center" wrapText="1"/>
    </xf>
    <xf numFmtId="0" fontId="12" fillId="0" borderId="0" xfId="50" applyFont="1" applyFill="1"/>
    <xf numFmtId="0" fontId="12" fillId="0" borderId="0" xfId="50" applyFont="1" applyFill="1" applyAlignment="1">
      <alignment horizontal="left" indent="1"/>
    </xf>
    <xf numFmtId="190" fontId="12" fillId="0" borderId="0" xfId="1" applyNumberFormat="1" applyFont="1" applyFill="1" applyAlignment="1">
      <alignment horizontal="right" vertical="center" wrapText="1"/>
    </xf>
    <xf numFmtId="190" fontId="18" fillId="0" borderId="4" xfId="1" applyNumberFormat="1" applyFont="1" applyFill="1" applyBorder="1" applyAlignment="1">
      <alignment horizontal="right" vertical="center" wrapText="1"/>
    </xf>
    <xf numFmtId="190" fontId="12" fillId="0" borderId="0" xfId="1" applyNumberFormat="1" applyFont="1" applyFill="1" applyBorder="1"/>
    <xf numFmtId="190" fontId="36" fillId="0" borderId="0" xfId="1" applyNumberFormat="1" applyFont="1" applyFill="1" applyAlignment="1">
      <alignment horizontal="right" vertical="center" wrapText="1"/>
    </xf>
    <xf numFmtId="190" fontId="28" fillId="0" borderId="0" xfId="1" applyNumberFormat="1" applyFont="1" applyFill="1" applyAlignment="1">
      <alignment horizontal="right" vertical="center" wrapText="1"/>
    </xf>
    <xf numFmtId="190" fontId="37" fillId="0" borderId="0" xfId="1" applyNumberFormat="1" applyFont="1" applyFill="1" applyAlignment="1">
      <alignment horizontal="right" vertical="center" wrapText="1"/>
    </xf>
    <xf numFmtId="191" fontId="12" fillId="0" borderId="0" xfId="1" applyNumberFormat="1" applyFont="1" applyFill="1" applyAlignment="1">
      <alignment horizontal="right" vertical="center" wrapText="1"/>
    </xf>
    <xf numFmtId="190" fontId="38" fillId="0" borderId="0" xfId="1" applyNumberFormat="1" applyFont="1" applyFill="1" applyAlignment="1">
      <alignment horizontal="right" vertical="center" wrapText="1"/>
    </xf>
    <xf numFmtId="9" fontId="12" fillId="0" borderId="0" xfId="3" applyFont="1" applyFill="1"/>
    <xf numFmtId="190" fontId="39" fillId="0" borderId="0" xfId="1" applyNumberFormat="1" applyFont="1" applyFill="1" applyAlignment="1">
      <alignment horizontal="right" vertical="center" wrapText="1"/>
    </xf>
    <xf numFmtId="190" fontId="10" fillId="0" borderId="0" xfId="1" applyNumberFormat="1" applyFont="1" applyFill="1" applyBorder="1" applyAlignment="1">
      <alignment horizontal="center" vertical="center" wrapText="1"/>
    </xf>
    <xf numFmtId="0" fontId="10" fillId="0" borderId="0" xfId="50" applyNumberFormat="1" applyFont="1" applyFill="1" applyAlignment="1">
      <alignment horizontal="left"/>
    </xf>
    <xf numFmtId="191" fontId="10" fillId="0" borderId="0" xfId="1" applyNumberFormat="1" applyFont="1" applyFill="1" applyAlignment="1">
      <alignment horizontal="right" vertical="center" wrapText="1"/>
    </xf>
    <xf numFmtId="0" fontId="12" fillId="0" borderId="0" xfId="50" applyNumberFormat="1" applyFont="1" applyFill="1" applyAlignment="1">
      <alignment horizontal="left"/>
    </xf>
    <xf numFmtId="0" fontId="12" fillId="0" borderId="0" xfId="50" applyFont="1" applyFill="1" applyAlignment="1">
      <alignment horizontal="left"/>
    </xf>
    <xf numFmtId="190" fontId="16" fillId="0" borderId="0" xfId="1" applyNumberFormat="1" applyFont="1" applyFill="1" applyAlignment="1">
      <alignment horizontal="right" vertical="center" wrapText="1"/>
    </xf>
    <xf numFmtId="190" fontId="10" fillId="0" borderId="0" xfId="1" applyNumberFormat="1" applyFont="1" applyFill="1" applyAlignment="1">
      <alignment horizontal="left"/>
    </xf>
    <xf numFmtId="190" fontId="10" fillId="0" borderId="0" xfId="1" applyNumberFormat="1" applyFont="1" applyFill="1" applyAlignment="1">
      <alignment horizontal="right"/>
    </xf>
    <xf numFmtId="0" fontId="40" fillId="0" borderId="0" xfId="50" applyFont="1" applyFill="1"/>
    <xf numFmtId="190" fontId="40" fillId="0" borderId="0" xfId="1" applyNumberFormat="1" applyFont="1" applyFill="1" applyAlignment="1">
      <alignment horizontal="right" vertical="center" wrapText="1"/>
    </xf>
    <xf numFmtId="176" fontId="40" fillId="0" borderId="0" xfId="1" applyFont="1" applyFill="1" applyAlignment="1">
      <alignment horizontal="right" vertical="center" wrapText="1"/>
    </xf>
    <xf numFmtId="191" fontId="40" fillId="0" borderId="0" xfId="1" applyNumberFormat="1" applyFont="1" applyFill="1" applyAlignment="1">
      <alignment horizontal="right" vertical="center" wrapText="1"/>
    </xf>
    <xf numFmtId="190" fontId="40" fillId="0" borderId="4" xfId="1" applyNumberFormat="1" applyFont="1" applyFill="1" applyBorder="1" applyAlignment="1">
      <alignment horizontal="right" vertical="center" wrapText="1"/>
    </xf>
    <xf numFmtId="190" fontId="40" fillId="0" borderId="0" xfId="1" applyNumberFormat="1" applyFont="1" applyFill="1" applyBorder="1"/>
    <xf numFmtId="0" fontId="24" fillId="0" borderId="0" xfId="50" applyFont="1" applyFill="1"/>
    <xf numFmtId="0" fontId="41" fillId="0" borderId="0" xfId="50" applyFont="1" applyFill="1" applyBorder="1" applyAlignment="1">
      <alignment horizontal="left" vertical="center" wrapText="1"/>
    </xf>
    <xf numFmtId="190" fontId="41" fillId="0" borderId="0" xfId="50" applyNumberFormat="1" applyFont="1" applyFill="1" applyBorder="1" applyAlignment="1">
      <alignment horizontal="left" vertical="center" wrapText="1"/>
    </xf>
    <xf numFmtId="9" fontId="41" fillId="0" borderId="0" xfId="3" applyFont="1" applyFill="1" applyBorder="1" applyAlignment="1">
      <alignment horizontal="left" vertical="center" wrapText="1"/>
    </xf>
    <xf numFmtId="0" fontId="41" fillId="0" borderId="4" xfId="50" applyFont="1" applyFill="1" applyBorder="1" applyAlignment="1">
      <alignment horizontal="left" vertical="center" wrapText="1"/>
    </xf>
    <xf numFmtId="0" fontId="24" fillId="0" borderId="0" xfId="50" applyFont="1" applyFill="1" applyBorder="1"/>
    <xf numFmtId="37" fontId="24" fillId="0" borderId="0" xfId="50" applyNumberFormat="1" applyFont="1" applyFill="1" applyAlignment="1">
      <alignment horizontal="right" vertical="center" wrapText="1"/>
    </xf>
    <xf numFmtId="190" fontId="41" fillId="0" borderId="0" xfId="1" applyNumberFormat="1" applyFont="1" applyFill="1" applyAlignment="1">
      <alignment horizontal="right" vertical="center" wrapText="1"/>
    </xf>
    <xf numFmtId="0" fontId="29" fillId="0" borderId="0" xfId="50" applyFont="1" applyFill="1" applyBorder="1" applyAlignment="1">
      <alignment horizontal="left" vertical="center" wrapText="1"/>
    </xf>
    <xf numFmtId="190" fontId="42" fillId="0" borderId="0" xfId="50" applyNumberFormat="1" applyFont="1" applyFill="1" applyBorder="1" applyAlignment="1">
      <alignment horizontal="left" vertical="center" wrapText="1"/>
    </xf>
    <xf numFmtId="9" fontId="42" fillId="0" borderId="0" xfId="3" applyFont="1" applyFill="1" applyBorder="1" applyAlignment="1">
      <alignment horizontal="left" vertical="center" wrapText="1"/>
    </xf>
    <xf numFmtId="0" fontId="29" fillId="0" borderId="4" xfId="50" applyFont="1" applyFill="1" applyBorder="1" applyAlignment="1">
      <alignment horizontal="left" vertical="center" wrapText="1"/>
    </xf>
    <xf numFmtId="37" fontId="12" fillId="0" borderId="0" xfId="50" applyNumberFormat="1" applyFont="1" applyFill="1" applyAlignment="1">
      <alignment horizontal="right" vertical="center" wrapText="1"/>
    </xf>
    <xf numFmtId="9" fontId="41" fillId="0" borderId="0" xfId="3" applyFont="1" applyFill="1" applyBorder="1" applyAlignment="1">
      <alignment horizontal="right"/>
    </xf>
    <xf numFmtId="0" fontId="10" fillId="0" borderId="0" xfId="50" applyNumberFormat="1" applyFont="1" applyFill="1" applyBorder="1" applyAlignment="1">
      <alignment horizontal="right"/>
    </xf>
    <xf numFmtId="9" fontId="10" fillId="0" borderId="0" xfId="3" applyFont="1" applyFill="1" applyBorder="1" applyAlignment="1">
      <alignment horizontal="right"/>
    </xf>
    <xf numFmtId="9" fontId="16" fillId="0" borderId="0" xfId="50" applyNumberFormat="1" applyFont="1" applyFill="1" applyAlignment="1">
      <alignment horizontal="right" vertical="center" wrapText="1"/>
    </xf>
    <xf numFmtId="198" fontId="43" fillId="0" borderId="0" xfId="50" applyNumberFormat="1" applyFont="1" applyFill="1" applyAlignment="1">
      <alignment horizontal="right" vertical="center" wrapText="1"/>
    </xf>
    <xf numFmtId="9" fontId="44" fillId="0" borderId="0" xfId="50" applyNumberFormat="1" applyFont="1" applyFill="1" applyAlignment="1">
      <alignment horizontal="right" vertical="center" wrapText="1"/>
    </xf>
    <xf numFmtId="9" fontId="18" fillId="0" borderId="4" xfId="50" applyNumberFormat="1" applyFont="1" applyFill="1" applyBorder="1" applyAlignment="1">
      <alignment horizontal="right" vertical="center" wrapText="1"/>
    </xf>
    <xf numFmtId="9" fontId="43" fillId="0" borderId="0" xfId="50" applyNumberFormat="1" applyFont="1" applyFill="1" applyAlignment="1">
      <alignment horizontal="right" vertical="center" wrapText="1"/>
    </xf>
    <xf numFmtId="9" fontId="45" fillId="0" borderId="0" xfId="50" applyNumberFormat="1" applyFont="1" applyFill="1" applyAlignment="1">
      <alignment horizontal="right" vertical="center" wrapText="1"/>
    </xf>
    <xf numFmtId="9" fontId="12" fillId="0" borderId="0" xfId="50" applyNumberFormat="1" applyFont="1" applyFill="1" applyAlignment="1">
      <alignment horizontal="right" vertical="center" wrapText="1"/>
    </xf>
    <xf numFmtId="198" fontId="44" fillId="0" borderId="0" xfId="50" applyNumberFormat="1" applyFont="1" applyFill="1" applyAlignment="1">
      <alignment horizontal="right" vertical="center" wrapText="1"/>
    </xf>
    <xf numFmtId="9" fontId="12" fillId="0" borderId="4" xfId="50" applyNumberFormat="1" applyFont="1" applyFill="1" applyBorder="1" applyAlignment="1">
      <alignment horizontal="right" vertical="center" wrapText="1"/>
    </xf>
    <xf numFmtId="9" fontId="12" fillId="0" borderId="0" xfId="3" applyFont="1" applyFill="1" applyAlignment="1">
      <alignment horizontal="right" vertical="center" wrapText="1"/>
    </xf>
    <xf numFmtId="9" fontId="18" fillId="0" borderId="0" xfId="50" applyNumberFormat="1" applyFont="1" applyFill="1" applyAlignment="1">
      <alignment horizontal="right" vertical="center" wrapText="1"/>
    </xf>
    <xf numFmtId="176" fontId="29" fillId="7" borderId="0" xfId="50" applyNumberFormat="1" applyFont="1" applyFill="1" applyAlignment="1">
      <alignment horizontal="left" vertical="center" wrapText="1"/>
    </xf>
    <xf numFmtId="9" fontId="12" fillId="7" borderId="0" xfId="3" applyFont="1" applyFill="1"/>
    <xf numFmtId="9" fontId="10" fillId="0" borderId="0" xfId="3" applyFont="1" applyFill="1" applyAlignment="1">
      <alignment horizontal="right" vertical="center" wrapText="1"/>
    </xf>
    <xf numFmtId="0" fontId="12" fillId="0" borderId="0" xfId="1" applyNumberFormat="1" applyFont="1"/>
    <xf numFmtId="176" fontId="12" fillId="0" borderId="0" xfId="1" applyFont="1"/>
    <xf numFmtId="191" fontId="18" fillId="0" borderId="4" xfId="1" applyNumberFormat="1" applyFont="1" applyFill="1" applyBorder="1" applyAlignment="1">
      <alignment horizontal="right" vertical="center" wrapText="1"/>
    </xf>
    <xf numFmtId="191" fontId="12" fillId="0" borderId="0" xfId="1" applyNumberFormat="1" applyFont="1" applyFill="1" applyBorder="1"/>
    <xf numFmtId="191" fontId="10" fillId="0" borderId="0" xfId="3" applyNumberFormat="1" applyFont="1" applyFill="1" applyAlignment="1">
      <alignment horizontal="right" vertical="center" wrapText="1"/>
    </xf>
    <xf numFmtId="176" fontId="12" fillId="0" borderId="0" xfId="1" applyFont="1" applyFill="1" applyAlignment="1">
      <alignment horizontal="right" vertical="center" wrapText="1"/>
    </xf>
    <xf numFmtId="0" fontId="46" fillId="0" borderId="0" xfId="50" applyFont="1" applyFill="1"/>
    <xf numFmtId="190" fontId="46" fillId="0" borderId="0" xfId="1" applyNumberFormat="1" applyFont="1" applyFill="1" applyAlignment="1">
      <alignment horizontal="right" vertical="center" wrapText="1"/>
    </xf>
    <xf numFmtId="190" fontId="46" fillId="0" borderId="4" xfId="1" applyNumberFormat="1" applyFont="1" applyFill="1" applyBorder="1" applyAlignment="1">
      <alignment horizontal="right" vertical="center" wrapText="1"/>
    </xf>
    <xf numFmtId="190" fontId="46" fillId="0" borderId="0" xfId="1" applyNumberFormat="1" applyFont="1" applyFill="1" applyBorder="1"/>
    <xf numFmtId="0" fontId="47" fillId="0" borderId="0" xfId="50" applyFont="1" applyFill="1"/>
    <xf numFmtId="9" fontId="10" fillId="0" borderId="0" xfId="50" applyNumberFormat="1" applyFont="1" applyFill="1" applyAlignment="1">
      <alignment horizontal="right" vertical="center" wrapText="1"/>
    </xf>
    <xf numFmtId="190" fontId="47" fillId="0" borderId="4" xfId="1" applyNumberFormat="1" applyFont="1" applyFill="1" applyBorder="1" applyAlignment="1">
      <alignment horizontal="right" vertical="center" wrapText="1"/>
    </xf>
    <xf numFmtId="190" fontId="47" fillId="0" borderId="0" xfId="1" applyNumberFormat="1" applyFont="1" applyFill="1" applyBorder="1"/>
    <xf numFmtId="184" fontId="16" fillId="6" borderId="0" xfId="50" applyNumberFormat="1" applyFont="1" applyFill="1" applyAlignment="1">
      <alignment horizontal="right" vertical="center" wrapText="1"/>
    </xf>
    <xf numFmtId="9" fontId="16" fillId="6" borderId="0" xfId="50" applyNumberFormat="1" applyFont="1" applyFill="1" applyAlignment="1">
      <alignment horizontal="right" vertical="center" wrapText="1"/>
    </xf>
    <xf numFmtId="0" fontId="12" fillId="0" borderId="4" xfId="50" applyFont="1" applyFill="1" applyBorder="1"/>
    <xf numFmtId="190" fontId="29" fillId="0" borderId="0" xfId="1" applyNumberFormat="1" applyFont="1" applyFill="1" applyAlignment="1">
      <alignment horizontal="right" vertical="center" wrapText="1"/>
    </xf>
    <xf numFmtId="0" fontId="29" fillId="7" borderId="4" xfId="50" applyFont="1" applyFill="1" applyBorder="1" applyAlignment="1">
      <alignment horizontal="left" vertical="center" wrapText="1"/>
    </xf>
    <xf numFmtId="176" fontId="12" fillId="7" borderId="0" xfId="50" applyNumberFormat="1" applyFont="1" applyFill="1"/>
    <xf numFmtId="176" fontId="12" fillId="0" borderId="0" xfId="50" applyNumberFormat="1" applyFont="1" applyFill="1"/>
    <xf numFmtId="190" fontId="12" fillId="0" borderId="0" xfId="1" applyNumberFormat="1" applyFont="1" applyFill="1"/>
    <xf numFmtId="176" fontId="30" fillId="0" borderId="0" xfId="1" applyFont="1" applyFill="1" applyAlignment="1">
      <alignment horizontal="right" vertical="center" wrapText="1"/>
    </xf>
    <xf numFmtId="176" fontId="18" fillId="0" borderId="0" xfId="1" applyFont="1" applyFill="1" applyAlignment="1">
      <alignment horizontal="right" vertical="center" wrapText="1"/>
    </xf>
    <xf numFmtId="176" fontId="48" fillId="0" borderId="0" xfId="1" applyFont="1" applyFill="1" applyAlignment="1">
      <alignment horizontal="right" vertical="center" wrapText="1"/>
    </xf>
    <xf numFmtId="176" fontId="29" fillId="0" borderId="0" xfId="1" applyFont="1" applyFill="1" applyAlignment="1">
      <alignment horizontal="right" vertical="center" wrapText="1"/>
    </xf>
    <xf numFmtId="190" fontId="10" fillId="0" borderId="0" xfId="1" applyNumberFormat="1" applyFont="1"/>
    <xf numFmtId="176" fontId="16" fillId="0" borderId="0" xfId="1" applyFont="1" applyFill="1" applyAlignment="1">
      <alignment horizontal="right" vertical="center" wrapText="1"/>
    </xf>
    <xf numFmtId="176" fontId="28" fillId="0" borderId="0" xfId="1" applyFont="1" applyFill="1" applyAlignment="1">
      <alignment horizontal="right" vertical="center" wrapText="1"/>
    </xf>
    <xf numFmtId="176" fontId="16" fillId="3" borderId="0" xfId="1" applyFont="1" applyFill="1" applyAlignment="1">
      <alignment horizontal="right" vertical="center" wrapText="1"/>
    </xf>
    <xf numFmtId="176" fontId="39" fillId="0" borderId="0" xfId="1" applyFont="1" applyFill="1" applyAlignment="1">
      <alignment horizontal="right" vertical="center" wrapText="1"/>
    </xf>
    <xf numFmtId="176" fontId="10" fillId="0" borderId="0" xfId="1" applyFont="1" applyFill="1" applyAlignment="1">
      <alignment horizontal="right" vertical="center" wrapText="1"/>
    </xf>
    <xf numFmtId="190" fontId="10" fillId="0" borderId="0" xfId="1" applyNumberFormat="1" applyFont="1" applyFill="1"/>
    <xf numFmtId="9" fontId="18" fillId="0" borderId="0" xfId="3" applyFont="1" applyFill="1" applyAlignment="1">
      <alignment horizontal="right" vertical="center" wrapText="1"/>
    </xf>
    <xf numFmtId="184" fontId="16" fillId="0" borderId="0" xfId="3" applyNumberFormat="1" applyFont="1" applyFill="1" applyAlignment="1">
      <alignment horizontal="right" vertical="center" wrapText="1"/>
    </xf>
    <xf numFmtId="191" fontId="18" fillId="0" borderId="0" xfId="1" applyNumberFormat="1" applyFont="1" applyFill="1" applyAlignment="1">
      <alignment horizontal="right" vertical="center" wrapText="1"/>
    </xf>
    <xf numFmtId="190" fontId="18" fillId="0" borderId="0" xfId="1" applyNumberFormat="1" applyFont="1" applyFill="1" applyAlignment="1">
      <alignment horizontal="right" vertical="center" wrapText="1"/>
    </xf>
    <xf numFmtId="10" fontId="29" fillId="7" borderId="0" xfId="50" applyNumberFormat="1" applyFont="1" applyFill="1" applyAlignment="1">
      <alignment horizontal="left" vertical="center" wrapText="1"/>
    </xf>
    <xf numFmtId="184" fontId="16" fillId="0" borderId="0" xfId="50" applyNumberFormat="1" applyFont="1" applyFill="1" applyAlignment="1">
      <alignment horizontal="right" vertical="center" wrapText="1"/>
    </xf>
    <xf numFmtId="9" fontId="18" fillId="0" borderId="4" xfId="3" applyFont="1" applyFill="1" applyBorder="1"/>
    <xf numFmtId="184" fontId="12" fillId="0" borderId="0" xfId="3" applyNumberFormat="1" applyFont="1" applyFill="1"/>
    <xf numFmtId="184" fontId="18" fillId="0" borderId="0" xfId="3" applyNumberFormat="1" applyFont="1" applyFill="1"/>
    <xf numFmtId="184" fontId="48" fillId="0" borderId="0" xfId="3" applyNumberFormat="1" applyFont="1" applyFill="1"/>
    <xf numFmtId="184" fontId="29" fillId="0" borderId="0" xfId="3" applyNumberFormat="1" applyFont="1" applyFill="1"/>
    <xf numFmtId="9" fontId="29" fillId="0" borderId="4" xfId="3" applyFont="1" applyFill="1" applyBorder="1"/>
    <xf numFmtId="9" fontId="10" fillId="0" borderId="0" xfId="3" applyFont="1" applyFill="1"/>
    <xf numFmtId="9" fontId="10" fillId="0" borderId="0" xfId="3" applyFont="1"/>
    <xf numFmtId="9" fontId="32" fillId="0" borderId="0" xfId="50" applyNumberFormat="1" applyFont="1" applyFill="1" applyAlignment="1">
      <alignment horizontal="right" vertical="center" wrapText="1"/>
    </xf>
    <xf numFmtId="184" fontId="32" fillId="0" borderId="0" xfId="3" applyNumberFormat="1" applyFont="1" applyFill="1" applyAlignment="1">
      <alignment horizontal="right" vertical="center" wrapText="1"/>
    </xf>
    <xf numFmtId="184" fontId="35" fillId="0" borderId="0" xfId="3" applyNumberFormat="1" applyFont="1" applyFill="1" applyAlignment="1">
      <alignment horizontal="right" vertical="center" wrapText="1"/>
    </xf>
    <xf numFmtId="184" fontId="39" fillId="0" borderId="0" xfId="3" applyNumberFormat="1" applyFont="1" applyFill="1" applyAlignment="1">
      <alignment horizontal="right" vertical="center" wrapText="1"/>
    </xf>
    <xf numFmtId="9" fontId="35" fillId="0" borderId="0" xfId="50" applyNumberFormat="1" applyFont="1" applyFill="1" applyAlignment="1">
      <alignment horizontal="right" vertical="center" wrapText="1"/>
    </xf>
    <xf numFmtId="9" fontId="39" fillId="0" borderId="0" xfId="50" applyNumberFormat="1" applyFont="1" applyFill="1" applyAlignment="1">
      <alignment horizontal="right" vertical="center" wrapText="1"/>
    </xf>
    <xf numFmtId="184" fontId="32" fillId="0" borderId="0" xfId="50" applyNumberFormat="1" applyFont="1" applyFill="1" applyAlignment="1">
      <alignment horizontal="right" vertical="center" wrapText="1"/>
    </xf>
    <xf numFmtId="184" fontId="10" fillId="0" borderId="0" xfId="50" applyNumberFormat="1" applyFont="1" applyFill="1"/>
    <xf numFmtId="184" fontId="10" fillId="0" borderId="0" xfId="3" applyNumberFormat="1" applyFont="1" applyFill="1"/>
    <xf numFmtId="184" fontId="12" fillId="0" borderId="0" xfId="50" applyNumberFormat="1" applyFont="1" applyFill="1"/>
    <xf numFmtId="0" fontId="49" fillId="0" borderId="0" xfId="50" applyFont="1" applyFill="1"/>
    <xf numFmtId="1" fontId="40" fillId="0" borderId="0" xfId="1" applyNumberFormat="1" applyFont="1" applyFill="1" applyAlignment="1">
      <alignment horizontal="right" vertical="center" wrapText="1"/>
    </xf>
    <xf numFmtId="1" fontId="40" fillId="0" borderId="0" xfId="3" applyNumberFormat="1" applyFont="1" applyFill="1" applyAlignment="1">
      <alignment horizontal="right" vertical="center" wrapText="1"/>
    </xf>
    <xf numFmtId="9" fontId="40" fillId="0" borderId="0" xfId="3" applyFont="1" applyFill="1" applyAlignment="1">
      <alignment horizontal="right" vertical="center" wrapText="1"/>
    </xf>
    <xf numFmtId="0" fontId="10" fillId="0" borderId="4" xfId="50" applyFont="1" applyFill="1" applyBorder="1"/>
    <xf numFmtId="190" fontId="32" fillId="0" borderId="0" xfId="1" applyNumberFormat="1" applyFont="1" applyFill="1"/>
    <xf numFmtId="176" fontId="12" fillId="0" borderId="0" xfId="1" applyFont="1" applyFill="1"/>
    <xf numFmtId="184" fontId="12" fillId="0" borderId="0" xfId="3" applyNumberFormat="1" applyFont="1"/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Font="1" applyAlignment="1"/>
    <xf numFmtId="49" fontId="1" fillId="0" borderId="0" xfId="0" applyNumberFormat="1" applyFont="1" applyAlignment="1"/>
    <xf numFmtId="49" fontId="50" fillId="0" borderId="0" xfId="0" applyNumberFormat="1" applyFont="1" applyAlignment="1"/>
    <xf numFmtId="49" fontId="51" fillId="0" borderId="0" xfId="0" applyNumberFormat="1" applyFont="1" applyAlignment="1"/>
    <xf numFmtId="49" fontId="0" fillId="0" borderId="7" xfId="0" applyNumberFormat="1" applyFont="1" applyBorder="1" applyAlignment="1"/>
    <xf numFmtId="0" fontId="10" fillId="0" borderId="0" xfId="50" applyFont="1" applyFill="1" applyAlignment="1" quotePrefix="1">
      <alignment horizontal="left"/>
    </xf>
    <xf numFmtId="0" fontId="12" fillId="0" borderId="0" xfId="50" applyFont="1" applyFill="1" applyAlignment="1" quotePrefix="1">
      <alignment horizontal="left" indent="1"/>
    </xf>
    <xf numFmtId="0" fontId="12" fillId="0" borderId="0" xfId="50" applyFont="1" applyFill="1" applyAlignment="1" quotePrefix="1">
      <alignment horizontal="left"/>
    </xf>
    <xf numFmtId="188" fontId="23" fillId="0" borderId="0" xfId="50" applyNumberFormat="1" applyFont="1" quotePrefix="1"/>
    <xf numFmtId="0" fontId="0" fillId="0" borderId="0" xfId="0" applyFont="1" quotePrefix="1"/>
  </cellXfs>
  <cellStyles count="12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 1" xfId="49"/>
    <cellStyle name="_x000a_386grabber=M" xfId="50"/>
    <cellStyle name="?@疾_2332JT3_2313COP2 " xfId="51"/>
    <cellStyle name="_By Technology, Market Share_Copy of Model2018_AAC_(WIP) " xfId="52"/>
    <cellStyle name="_Chartered_Copy of Model2018_AAC_(WIP) " xfId="53"/>
    <cellStyle name="_Chartered_Ichia Model2402_Modelware_Copy of Model2018_AAC_(WIP) " xfId="54"/>
    <cellStyle name="_Chartered_Model_2402(New)_Modelware_Copy of Model2018_AAC_(WIP) " xfId="55"/>
    <cellStyle name="_Chartered_Model_3311(New)_Copy of Model2018_AAC_(WIP) " xfId="56"/>
    <cellStyle name="_Copy of Model2018_AAC_(WIP) " xfId="57"/>
    <cellStyle name="_GMT_070822" xfId="58"/>
    <cellStyle name="—_GS_Cash " xfId="59"/>
    <cellStyle name="_Ichia Model2402_Modelware_Copy of Model2018_AAC_(WIP) " xfId="60"/>
    <cellStyle name="_Model_2402(New)_Modelware_Copy of Model2018_AAC_(WIP) " xfId="61"/>
    <cellStyle name="_Model_3311(New)_Copy of Model2018_AAC_(WIP) " xfId="62"/>
    <cellStyle name="_MWA RR_1-pager " xfId="63"/>
    <cellStyle name="_RRS1_1_1-pager " xfId="64"/>
    <cellStyle name="_RRS10_1_1-pager " xfId="65"/>
    <cellStyle name="_SUMMARY " xfId="66"/>
    <cellStyle name="_SUMMARY _1-pager " xfId="67"/>
    <cellStyle name="_US GAAP_Copy of Model2018_AAC_(WIP) " xfId="68"/>
    <cellStyle name="§Q\?1@" xfId="69"/>
    <cellStyle name="0_Capex &amp; Depreciation " xfId="70"/>
    <cellStyle name="0_Copy of Model2018_AAC_(WIP) " xfId="71"/>
    <cellStyle name="0_Handset component data_Copy of Model2018_AAC_(WIP) " xfId="72"/>
    <cellStyle name="0_Valuing BP " xfId="73"/>
    <cellStyle name="0_Vendor revenues_Copy of Model2018_AAC_(WIP) " xfId="74"/>
    <cellStyle name="¹eºÐA²_AIAIC°AuCoE² " xfId="75"/>
    <cellStyle name="A¨­￠￢￠O [0]_¨oCAuCoEⓒ÷ " xfId="76"/>
    <cellStyle name="A¨­￠￢￠O_¨oCAuCoEⓒ÷ " xfId="77"/>
    <cellStyle name="AeE­ [0]_¼oAa½CAu " xfId="78"/>
    <cellStyle name="ÅëÈ­ [0]_cover " xfId="79"/>
    <cellStyle name="AeE­ [0]_INQUIRY ¿μ¾÷AßAø " xfId="80"/>
    <cellStyle name="AeE­_¼oAa½CAu " xfId="81"/>
    <cellStyle name="ÅëÈ­_cover " xfId="82"/>
    <cellStyle name="AeE­_INQUIRY ¿μ¾÷AßAø " xfId="83"/>
    <cellStyle name="AeE¡ⓒ [0]_¨oCAuCoEⓒ÷ " xfId="84"/>
    <cellStyle name="AeE¡ⓒ_¨oCAuCoEⓒ÷ " xfId="85"/>
    <cellStyle name="AÞ¸¶ [0]_¼oAa½CAu " xfId="86"/>
    <cellStyle name="ÄÞ¸¶ [0]_cover " xfId="87"/>
    <cellStyle name="AÞ¸¶ [0]_INQUIRY ¿μ¾÷AßAø " xfId="88"/>
    <cellStyle name="AÞ¸¶_¼oAa½CAu " xfId="89"/>
    <cellStyle name="ÄÞ¸¶_cover " xfId="90"/>
    <cellStyle name="AÞ¸¶_INQUIRY ¿μ¾÷AßAø " xfId="91"/>
    <cellStyle name="c_HardInc " xfId="92"/>
    <cellStyle name="C¡IA¨ª_¡ic¨u¡A¨￢I¨￢¡Æ AN¡Æe " xfId="93"/>
    <cellStyle name="C￥AØ_  FAB AIA¤  " xfId="94"/>
    <cellStyle name="Ç¥ÁØ_»ç¾÷ºÎº° ÃÑ°è " xfId="95"/>
    <cellStyle name="C￥AØ_≫c¾÷ºIº° AN°e " xfId="96"/>
    <cellStyle name="Ç¥ÁØ_0N-HANDLING " xfId="97"/>
    <cellStyle name="C￥AØ_¼±AoAc°i_1_³≫ºI°eE¹´e AßA¤A÷AI " xfId="98"/>
    <cellStyle name="Ç¥ÁØ_5-1±¤°í " xfId="99"/>
    <cellStyle name="C￥AØ_5-1±¤°i _6RCB1 " xfId="100"/>
    <cellStyle name="Ç¥ÁØ_Áý°èÇ¥(2¿ù) " xfId="101"/>
    <cellStyle name="C￥AØ_CoAo¹yAI °A¾×¿ⓒ½A " xfId="102"/>
    <cellStyle name="Ç¥ÁØ_cover " xfId="103"/>
    <cellStyle name="Millares_2AV_M_M " xfId="104"/>
    <cellStyle name="Moneda [0]_2AV_M_M " xfId="105"/>
    <cellStyle name="Normal 10" xfId="106"/>
    <cellStyle name="Normal 2 2" xfId="107"/>
    <cellStyle name="Normal 5" xfId="108"/>
    <cellStyle name="Normal_Sonix_wip" xfId="109"/>
    <cellStyle name="Onedec_FT Valuation " xfId="110"/>
    <cellStyle name="p " xfId="111"/>
    <cellStyle name="RRSInstruction" xfId="112"/>
    <cellStyle name="s_HardInc " xfId="113"/>
    <cellStyle name="s_Valuation " xfId="114"/>
    <cellStyle name="ssp " xfId="115"/>
    <cellStyle name="뷭?_BOOKSHIP_실적현황 " xfId="116"/>
    <cellStyle name="콤마 [0]_   " xfId="117"/>
    <cellStyle name="콤마_   " xfId="118"/>
    <cellStyle name="표준_0N-HANDLING " xfId="119"/>
    <cellStyle name="하이퍼링크_000727 IMT-2000 시설투자물량(4210) 4FA고려 필요 " xfId="120"/>
  </cellStyles>
  <tableStyles count="1" defaultTableStyle="TableStyleMedium2" defaultPivotStyle="PivotStyleLight16">
    <tableStyle name="Invisible" pivot="0" table="0" count="0" xr9:uid="{994EEE49-EB4B-4B57-914F-A8BA7E434977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EAEAEA"/>
      <rgbColor rgb="000000FF"/>
      <rgbColor rgb="00FFFF00"/>
      <rgbColor rgb="00FF00FF"/>
      <rgbColor rgb="0000FFFF"/>
      <rgbColor rgb="00800000"/>
      <rgbColor rgb="00008000"/>
      <rgbColor rgb="00000099"/>
      <rgbColor rgb="00808000"/>
      <rgbColor rgb="00800080"/>
      <rgbColor rgb="00008080"/>
      <rgbColor rgb="00C0C0C0"/>
      <rgbColor rgb="00808080"/>
      <rgbColor rgb="0099CCFF"/>
      <rgbColor rgb="006699FF"/>
      <rgbColor rgb="000000FF"/>
      <rgbColor rgb="00000099"/>
      <rgbColor rgb="00CCECFF"/>
      <rgbColor rgb="00DDDDDD"/>
      <rgbColor rgb="00B2B2B2"/>
      <rgbColor rgb="00CCCCFF"/>
      <rgbColor rgb="00000099"/>
      <rgbColor rgb="0099CCFF"/>
      <rgbColor rgb="000000FF"/>
      <rgbColor rgb="003399FF"/>
      <rgbColor rgb="00777777"/>
      <rgbColor rgb="00FF00FF"/>
      <rgbColor rgb="00CCCCFF"/>
      <rgbColor rgb="006600FF"/>
      <rgbColor rgb="0000CCFF"/>
      <rgbColor rgb="00CCFFFF"/>
      <rgbColor rgb="00DDDDDD"/>
      <rgbColor rgb="00FFFF99"/>
      <rgbColor rgb="0099CCFF"/>
      <rgbColor rgb="00FF99CC"/>
      <rgbColor rgb="00CCECFF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CCCCFF"/>
      <rgbColor rgb="00003300"/>
      <rgbColor rgb="00333300"/>
      <rgbColor rgb="00993300"/>
      <rgbColor rgb="00993366"/>
      <rgbColor rgb="00333399"/>
      <rgbColor rgb="00333333"/>
    </indexed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63500</xdr:colOff>
      <xdr:row>0</xdr:row>
      <xdr:rowOff>0</xdr:rowOff>
    </xdr:from>
    <xdr:to>
      <xdr:col>2</xdr:col>
      <xdr:colOff>406618</xdr:colOff>
      <xdr:row>1</xdr:row>
      <xdr:rowOff>41</xdr:rowOff>
    </xdr:to>
    <xdr:pic>
      <xdr:nvPicPr>
        <xdr:cNvPr id="3" name="Picture 2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0"/>
          <a:ext cx="1543050" cy="295275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196</xdr:row>
      <xdr:rowOff>1</xdr:rowOff>
    </xdr:from>
    <xdr:to>
      <xdr:col>10</xdr:col>
      <xdr:colOff>527050</xdr:colOff>
      <xdr:row>221</xdr:row>
      <xdr:rowOff>38101</xdr:rowOff>
    </xdr:to>
    <xdr:pic>
      <xdr:nvPicPr>
        <xdr:cNvPr id="5" name="Picture 4"/>
        <xdr:cNvPicPr/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32175450"/>
          <a:ext cx="6400800" cy="4086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esearch">
      <a:dk1>
        <a:sysClr val="windowText" lastClr="000000"/>
      </a:dk1>
      <a:lt1>
        <a:sysClr val="window" lastClr="FFFFFF"/>
      </a:lt1>
      <a:dk2>
        <a:srgbClr val="003366"/>
      </a:dk2>
      <a:lt2>
        <a:srgbClr val="C6D9E2"/>
      </a:lt2>
      <a:accent1>
        <a:srgbClr val="137CB1"/>
      </a:accent1>
      <a:accent2>
        <a:srgbClr val="EACC80"/>
      </a:accent2>
      <a:accent3>
        <a:srgbClr val="4AAC6B"/>
      </a:accent3>
      <a:accent4>
        <a:srgbClr val="A8D7E2"/>
      </a:accent4>
      <a:accent5>
        <a:srgbClr val="E58061"/>
      </a:accent5>
      <a:accent6>
        <a:srgbClr val="BCE3A1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4"/>
  <sheetViews>
    <sheetView showGridLines="0" tabSelected="1" workbookViewId="0">
      <selection activeCell="N16" sqref="N16"/>
    </sheetView>
  </sheetViews>
  <sheetFormatPr defaultColWidth="9" defaultRowHeight="12.75" outlineLevelCol="7"/>
  <sheetData>
    <row r="1" ht="23.25" customHeight="1" spans="1:8">
      <c r="A1" s="389"/>
      <c r="B1" s="390"/>
      <c r="C1" s="390"/>
      <c r="D1" s="390"/>
      <c r="E1" s="390"/>
      <c r="F1" s="390"/>
      <c r="G1" s="390"/>
      <c r="H1" s="390"/>
    </row>
    <row r="2" spans="1:8">
      <c r="A2" s="391" t="s">
        <v>0</v>
      </c>
      <c r="B2" s="390"/>
      <c r="C2" s="390"/>
      <c r="D2" s="390"/>
      <c r="E2" s="390"/>
      <c r="F2" s="390"/>
      <c r="G2" s="390"/>
      <c r="H2" s="390"/>
    </row>
    <row r="3" spans="1:8">
      <c r="A3" s="391" t="s">
        <v>1</v>
      </c>
      <c r="B3" s="390"/>
      <c r="C3" s="390"/>
      <c r="D3" s="390"/>
      <c r="E3" s="390"/>
      <c r="F3" s="390"/>
      <c r="G3" s="390"/>
      <c r="H3" s="390"/>
    </row>
    <row r="4" spans="1:8">
      <c r="A4" s="391" t="s">
        <v>2</v>
      </c>
      <c r="B4" s="390"/>
      <c r="C4" s="390"/>
      <c r="D4" s="390"/>
      <c r="E4" s="390"/>
      <c r="F4" s="390"/>
      <c r="G4" s="390"/>
      <c r="H4" s="390"/>
    </row>
    <row r="5" spans="1:8">
      <c r="A5" s="391" t="s">
        <v>3</v>
      </c>
      <c r="B5" s="390"/>
      <c r="C5" s="390"/>
      <c r="D5" s="390"/>
      <c r="E5" s="390"/>
      <c r="F5" s="390"/>
      <c r="G5" s="390"/>
      <c r="H5" s="390"/>
    </row>
    <row r="6" spans="1:8">
      <c r="A6" s="391"/>
      <c r="B6" s="390"/>
      <c r="C6" s="390"/>
      <c r="D6" s="390"/>
      <c r="E6" s="390"/>
      <c r="F6" s="390"/>
      <c r="G6" s="390"/>
      <c r="H6" s="390"/>
    </row>
    <row r="7" spans="1:8">
      <c r="A7" s="391" t="s">
        <v>4</v>
      </c>
      <c r="B7" s="390"/>
      <c r="C7" s="390"/>
      <c r="D7" s="390"/>
      <c r="E7" s="390"/>
      <c r="F7" s="390"/>
      <c r="G7" s="390"/>
      <c r="H7" s="390"/>
    </row>
    <row r="8" spans="1:8">
      <c r="A8" s="391" t="s">
        <v>5</v>
      </c>
      <c r="B8" s="390"/>
      <c r="C8" s="390"/>
      <c r="D8" s="390"/>
      <c r="E8" s="390"/>
      <c r="F8" s="390"/>
      <c r="G8" s="390"/>
      <c r="H8" s="390"/>
    </row>
    <row r="9" spans="1:8">
      <c r="A9" s="391"/>
      <c r="B9" s="390"/>
      <c r="C9" s="390"/>
      <c r="D9" s="390"/>
      <c r="E9" s="390"/>
      <c r="F9" s="390"/>
      <c r="G9" s="390"/>
      <c r="H9" s="390"/>
    </row>
    <row r="10" spans="1:8">
      <c r="A10" s="391" t="s">
        <v>6</v>
      </c>
      <c r="B10" s="390"/>
      <c r="C10" s="390"/>
      <c r="D10" s="390"/>
      <c r="E10" s="390"/>
      <c r="F10" s="390"/>
      <c r="G10" s="390"/>
      <c r="H10" s="390"/>
    </row>
    <row r="11" spans="1:8">
      <c r="A11" s="391" t="s">
        <v>7</v>
      </c>
      <c r="B11" s="390"/>
      <c r="C11" s="390"/>
      <c r="D11" s="390"/>
      <c r="E11" s="390"/>
      <c r="F11" s="390"/>
      <c r="G11" s="390"/>
      <c r="H11" s="390"/>
    </row>
    <row r="12" spans="1:8">
      <c r="A12" s="391" t="s">
        <v>8</v>
      </c>
      <c r="B12" s="390"/>
      <c r="C12" s="390"/>
      <c r="D12" s="390"/>
      <c r="E12" s="390"/>
      <c r="F12" s="390"/>
      <c r="G12" s="390"/>
      <c r="H12" s="390"/>
    </row>
    <row r="13" spans="1:8">
      <c r="A13" s="391" t="s">
        <v>9</v>
      </c>
      <c r="B13" s="390"/>
      <c r="C13" s="390"/>
      <c r="D13" s="390"/>
      <c r="E13" s="390"/>
      <c r="F13" s="390"/>
      <c r="G13" s="390"/>
      <c r="H13" s="390"/>
    </row>
    <row r="14" spans="1:8">
      <c r="A14" s="391" t="s">
        <v>10</v>
      </c>
      <c r="B14" s="390"/>
      <c r="C14" s="390"/>
      <c r="D14" s="390"/>
      <c r="E14" s="390"/>
      <c r="F14" s="390"/>
      <c r="G14" s="390"/>
      <c r="H14" s="390"/>
    </row>
    <row r="15" spans="1:8">
      <c r="A15" s="391" t="s">
        <v>11</v>
      </c>
      <c r="B15" s="390"/>
      <c r="C15" s="390"/>
      <c r="D15" s="390"/>
      <c r="E15" s="390"/>
      <c r="F15" s="390"/>
      <c r="G15" s="390"/>
      <c r="H15" s="390"/>
    </row>
    <row r="16" spans="1:8">
      <c r="A16" s="391"/>
      <c r="B16" s="390"/>
      <c r="C16" s="390"/>
      <c r="D16" s="390"/>
      <c r="E16" s="390"/>
      <c r="F16" s="390"/>
      <c r="G16" s="390"/>
      <c r="H16" s="390"/>
    </row>
    <row r="17" spans="1:8">
      <c r="A17" s="391" t="s">
        <v>12</v>
      </c>
      <c r="B17" s="390"/>
      <c r="C17" s="390"/>
      <c r="D17" s="390"/>
      <c r="E17" s="390"/>
      <c r="F17" s="390"/>
      <c r="G17" s="390"/>
      <c r="H17" s="390"/>
    </row>
    <row r="18" spans="1:8">
      <c r="A18" s="391"/>
      <c r="B18" s="390"/>
      <c r="C18" s="390"/>
      <c r="D18" s="390"/>
      <c r="E18" s="390"/>
      <c r="F18" s="390"/>
      <c r="G18" s="390"/>
      <c r="H18" s="390"/>
    </row>
    <row r="19" spans="1:8">
      <c r="A19" s="391" t="s">
        <v>13</v>
      </c>
      <c r="B19" s="390"/>
      <c r="C19" s="390"/>
      <c r="D19" s="390"/>
      <c r="E19" s="390"/>
      <c r="F19" s="390"/>
      <c r="G19" s="390"/>
      <c r="H19" s="390"/>
    </row>
    <row r="20" spans="1:8">
      <c r="A20" s="391"/>
      <c r="B20" s="390"/>
      <c r="C20" s="390"/>
      <c r="D20" s="390"/>
      <c r="E20" s="390"/>
      <c r="F20" s="390"/>
      <c r="G20" s="390"/>
      <c r="H20" s="390"/>
    </row>
    <row r="21" spans="1:8">
      <c r="A21" s="392" t="s">
        <v>14</v>
      </c>
      <c r="B21" s="390"/>
      <c r="C21" s="390"/>
      <c r="D21" s="390"/>
      <c r="E21" s="390"/>
      <c r="F21" s="390"/>
      <c r="G21" s="390"/>
      <c r="H21" s="390"/>
    </row>
    <row r="22" spans="1:8">
      <c r="A22" s="390"/>
      <c r="B22" s="390"/>
      <c r="C22" s="390"/>
      <c r="D22" s="390"/>
      <c r="E22" s="390"/>
      <c r="F22" s="390"/>
      <c r="G22" s="390"/>
      <c r="H22" s="390"/>
    </row>
    <row r="23" spans="1:8">
      <c r="A23" s="390" t="s">
        <v>15</v>
      </c>
      <c r="B23" s="390"/>
      <c r="C23" s="390"/>
      <c r="D23" s="390"/>
      <c r="E23" s="390"/>
      <c r="F23" s="390"/>
      <c r="G23" s="390"/>
      <c r="H23" s="390"/>
    </row>
    <row r="24" spans="1:8">
      <c r="A24" s="390" t="s">
        <v>16</v>
      </c>
      <c r="B24" s="390"/>
      <c r="C24" s="390"/>
      <c r="D24" s="390"/>
      <c r="E24" s="390"/>
      <c r="F24" s="390"/>
      <c r="G24" s="390"/>
      <c r="H24" s="390"/>
    </row>
    <row r="25" spans="1:8">
      <c r="A25" s="390" t="s">
        <v>17</v>
      </c>
      <c r="B25" s="390"/>
      <c r="C25" s="390"/>
      <c r="D25" s="390"/>
      <c r="E25" s="390"/>
      <c r="F25" s="390"/>
      <c r="G25" s="390"/>
      <c r="H25" s="390"/>
    </row>
    <row r="26" spans="1:8">
      <c r="A26" s="390" t="s">
        <v>18</v>
      </c>
      <c r="B26" s="390"/>
      <c r="C26" s="390"/>
      <c r="D26" s="390"/>
      <c r="E26" s="390"/>
      <c r="F26" s="390"/>
      <c r="G26" s="390"/>
      <c r="H26" s="390"/>
    </row>
    <row r="27" spans="1:8">
      <c r="A27" s="390"/>
      <c r="B27" s="390"/>
      <c r="C27" s="390"/>
      <c r="D27" s="390"/>
      <c r="E27" s="390"/>
      <c r="F27" s="390"/>
      <c r="G27" s="390"/>
      <c r="H27" s="390"/>
    </row>
    <row r="28" spans="1:8">
      <c r="A28" s="390" t="s">
        <v>19</v>
      </c>
      <c r="B28" s="390"/>
      <c r="C28" s="390"/>
      <c r="D28" s="390"/>
      <c r="E28" s="390"/>
      <c r="F28" s="390"/>
      <c r="G28" s="390"/>
      <c r="H28" s="390"/>
    </row>
    <row r="29" spans="1:8">
      <c r="A29" s="390" t="s">
        <v>20</v>
      </c>
      <c r="B29" s="390"/>
      <c r="C29" s="390"/>
      <c r="D29" s="390"/>
      <c r="E29" s="390"/>
      <c r="F29" s="390"/>
      <c r="G29" s="390"/>
      <c r="H29" s="390"/>
    </row>
    <row r="30" spans="1:8">
      <c r="A30" s="390" t="s">
        <v>21</v>
      </c>
      <c r="B30" s="390"/>
      <c r="C30" s="390"/>
      <c r="D30" s="390"/>
      <c r="E30" s="390"/>
      <c r="F30" s="390"/>
      <c r="G30" s="390"/>
      <c r="H30" s="390"/>
    </row>
    <row r="31" spans="1:8">
      <c r="A31" s="390" t="s">
        <v>22</v>
      </c>
      <c r="B31" s="390"/>
      <c r="C31" s="390"/>
      <c r="D31" s="390"/>
      <c r="E31" s="390"/>
      <c r="F31" s="390"/>
      <c r="G31" s="390"/>
      <c r="H31" s="390"/>
    </row>
    <row r="32" spans="1:8">
      <c r="A32" s="390" t="s">
        <v>23</v>
      </c>
      <c r="B32" s="390"/>
      <c r="C32" s="390"/>
      <c r="D32" s="390"/>
      <c r="E32" s="390"/>
      <c r="F32" s="390"/>
      <c r="G32" s="390"/>
      <c r="H32" s="390"/>
    </row>
    <row r="33" spans="1:8">
      <c r="A33" s="390" t="s">
        <v>24</v>
      </c>
      <c r="B33" s="390"/>
      <c r="C33" s="390"/>
      <c r="D33" s="390"/>
      <c r="E33" s="390"/>
      <c r="F33" s="390"/>
      <c r="G33" s="390"/>
      <c r="H33" s="390"/>
    </row>
    <row r="34" spans="1:8">
      <c r="A34" s="390" t="s">
        <v>25</v>
      </c>
      <c r="B34" s="390"/>
      <c r="C34" s="390"/>
      <c r="D34" s="390"/>
      <c r="E34" s="390"/>
      <c r="F34" s="390"/>
      <c r="G34" s="390"/>
      <c r="H34" s="390"/>
    </row>
    <row r="35" spans="1:8">
      <c r="A35" s="390" t="s">
        <v>26</v>
      </c>
      <c r="B35" s="390"/>
      <c r="C35" s="390"/>
      <c r="D35" s="390"/>
      <c r="E35" s="390"/>
      <c r="F35" s="390"/>
      <c r="G35" s="390"/>
      <c r="H35" s="390"/>
    </row>
    <row r="36" spans="1:8">
      <c r="A36" s="390" t="s">
        <v>27</v>
      </c>
      <c r="B36" s="390"/>
      <c r="C36" s="390"/>
      <c r="D36" s="390"/>
      <c r="E36" s="390"/>
      <c r="F36" s="390"/>
      <c r="G36" s="390"/>
      <c r="H36" s="390"/>
    </row>
    <row r="37" spans="1:8">
      <c r="A37" s="390" t="s">
        <v>28</v>
      </c>
      <c r="B37" s="390"/>
      <c r="C37" s="390"/>
      <c r="D37" s="390"/>
      <c r="E37" s="390"/>
      <c r="F37" s="390"/>
      <c r="G37" s="390"/>
      <c r="H37" s="390"/>
    </row>
    <row r="38" spans="1:8">
      <c r="A38" s="390" t="s">
        <v>29</v>
      </c>
      <c r="B38" s="390"/>
      <c r="C38" s="390"/>
      <c r="D38" s="390"/>
      <c r="E38" s="390"/>
      <c r="F38" s="390"/>
      <c r="G38" s="390"/>
      <c r="H38" s="390"/>
    </row>
    <row r="39" spans="1:8">
      <c r="A39" s="390" t="s">
        <v>30</v>
      </c>
      <c r="B39" s="390"/>
      <c r="C39" s="390"/>
      <c r="D39" s="390"/>
      <c r="E39" s="390"/>
      <c r="F39" s="390"/>
      <c r="G39" s="390"/>
      <c r="H39" s="390"/>
    </row>
    <row r="40" spans="1:8">
      <c r="A40" s="390" t="s">
        <v>31</v>
      </c>
      <c r="B40" s="390"/>
      <c r="C40" s="390"/>
      <c r="D40" s="390"/>
      <c r="E40" s="390"/>
      <c r="F40" s="390"/>
      <c r="G40" s="390"/>
      <c r="H40" s="390"/>
    </row>
    <row r="41" spans="1:8">
      <c r="A41" s="390" t="s">
        <v>32</v>
      </c>
      <c r="B41" s="390"/>
      <c r="C41" s="390"/>
      <c r="D41" s="390"/>
      <c r="E41" s="390"/>
      <c r="F41" s="390"/>
      <c r="G41" s="390"/>
      <c r="H41" s="390"/>
    </row>
    <row r="42" spans="1:8">
      <c r="A42" s="390" t="s">
        <v>33</v>
      </c>
      <c r="B42" s="390"/>
      <c r="C42" s="390"/>
      <c r="D42" s="390"/>
      <c r="E42" s="390"/>
      <c r="F42" s="390"/>
      <c r="G42" s="390"/>
      <c r="H42" s="390"/>
    </row>
    <row r="43" spans="1:8">
      <c r="A43" s="390" t="s">
        <v>34</v>
      </c>
      <c r="B43" s="390"/>
      <c r="C43" s="390"/>
      <c r="D43" s="390"/>
      <c r="E43" s="390"/>
      <c r="F43" s="390"/>
      <c r="G43" s="390"/>
      <c r="H43" s="390"/>
    </row>
    <row r="44" spans="1:8">
      <c r="A44" s="390" t="s">
        <v>35</v>
      </c>
      <c r="B44" s="390"/>
      <c r="C44" s="390"/>
      <c r="D44" s="390"/>
      <c r="E44" s="390"/>
      <c r="F44" s="390"/>
      <c r="G44" s="390"/>
      <c r="H44" s="390"/>
    </row>
    <row r="45" spans="1:8">
      <c r="A45" s="390" t="s">
        <v>36</v>
      </c>
      <c r="B45" s="390"/>
      <c r="C45" s="390"/>
      <c r="D45" s="390"/>
      <c r="E45" s="390"/>
      <c r="F45" s="390"/>
      <c r="G45" s="390"/>
      <c r="H45" s="390"/>
    </row>
    <row r="46" spans="1:8">
      <c r="A46" s="390" t="s">
        <v>37</v>
      </c>
      <c r="B46" s="390"/>
      <c r="C46" s="390"/>
      <c r="D46" s="390"/>
      <c r="E46" s="390"/>
      <c r="F46" s="390"/>
      <c r="G46" s="390"/>
      <c r="H46" s="390"/>
    </row>
    <row r="47" spans="1:8">
      <c r="A47" s="390" t="s">
        <v>38</v>
      </c>
      <c r="B47" s="390"/>
      <c r="C47" s="390"/>
      <c r="D47" s="390"/>
      <c r="E47" s="390"/>
      <c r="F47" s="390"/>
      <c r="G47" s="390"/>
      <c r="H47" s="390"/>
    </row>
    <row r="48" spans="1:8">
      <c r="A48" s="390" t="s">
        <v>39</v>
      </c>
      <c r="B48" s="390"/>
      <c r="C48" s="390"/>
      <c r="D48" s="390"/>
      <c r="E48" s="390"/>
      <c r="F48" s="390"/>
      <c r="G48" s="390"/>
      <c r="H48" s="390"/>
    </row>
    <row r="49" spans="1:8">
      <c r="A49" s="390" t="s">
        <v>40</v>
      </c>
      <c r="B49" s="390"/>
      <c r="C49" s="390"/>
      <c r="D49" s="390"/>
      <c r="E49" s="390"/>
      <c r="F49" s="390"/>
      <c r="G49" s="390"/>
      <c r="H49" s="390"/>
    </row>
    <row r="50" spans="1:8">
      <c r="A50" s="390" t="s">
        <v>41</v>
      </c>
      <c r="B50" s="390"/>
      <c r="C50" s="390"/>
      <c r="D50" s="390"/>
      <c r="E50" s="390"/>
      <c r="F50" s="390"/>
      <c r="G50" s="390"/>
      <c r="H50" s="390"/>
    </row>
    <row r="51" spans="1:8">
      <c r="A51" s="390"/>
      <c r="B51" s="390"/>
      <c r="C51" s="390"/>
      <c r="D51" s="390"/>
      <c r="E51" s="390"/>
      <c r="F51" s="390"/>
      <c r="G51" s="390"/>
      <c r="H51" s="390"/>
    </row>
    <row r="52" spans="1:8">
      <c r="A52" s="390" t="s">
        <v>42</v>
      </c>
      <c r="B52" s="390"/>
      <c r="C52" s="390"/>
      <c r="D52" s="390"/>
      <c r="E52" s="390"/>
      <c r="F52" s="390"/>
      <c r="G52" s="390"/>
      <c r="H52" s="390"/>
    </row>
    <row r="53" spans="1:8">
      <c r="A53" s="390" t="s">
        <v>43</v>
      </c>
      <c r="B53" s="390"/>
      <c r="C53" s="390"/>
      <c r="D53" s="390"/>
      <c r="E53" s="390"/>
      <c r="F53" s="390"/>
      <c r="G53" s="390"/>
      <c r="H53" s="390"/>
    </row>
    <row r="54" spans="1:8">
      <c r="A54" s="390" t="s">
        <v>44</v>
      </c>
      <c r="B54" s="390"/>
      <c r="C54" s="390"/>
      <c r="D54" s="390"/>
      <c r="E54" s="390"/>
      <c r="F54" s="390"/>
      <c r="G54" s="390"/>
      <c r="H54" s="390"/>
    </row>
    <row r="55" spans="1:8">
      <c r="A55" s="390" t="s">
        <v>45</v>
      </c>
      <c r="B55" s="390"/>
      <c r="C55" s="390"/>
      <c r="D55" s="390"/>
      <c r="E55" s="390"/>
      <c r="F55" s="390"/>
      <c r="G55" s="390"/>
      <c r="H55" s="390"/>
    </row>
    <row r="56" spans="1:8">
      <c r="A56" s="390"/>
      <c r="B56" s="390"/>
      <c r="C56" s="390"/>
      <c r="D56" s="390"/>
      <c r="E56" s="390"/>
      <c r="F56" s="390"/>
      <c r="G56" s="390"/>
      <c r="H56" s="390"/>
    </row>
    <row r="57" spans="1:8">
      <c r="A57" s="390" t="s">
        <v>46</v>
      </c>
      <c r="B57" s="390"/>
      <c r="C57" s="390"/>
      <c r="D57" s="390"/>
      <c r="E57" s="390"/>
      <c r="F57" s="390"/>
      <c r="G57" s="390"/>
      <c r="H57" s="390"/>
    </row>
    <row r="58" spans="1:8">
      <c r="A58" s="390" t="s">
        <v>47</v>
      </c>
      <c r="B58" s="390"/>
      <c r="C58" s="390"/>
      <c r="D58" s="390"/>
      <c r="E58" s="390"/>
      <c r="F58" s="390"/>
      <c r="G58" s="390"/>
      <c r="H58" s="390"/>
    </row>
    <row r="59" spans="1:8">
      <c r="A59" s="390" t="s">
        <v>48</v>
      </c>
      <c r="B59" s="390"/>
      <c r="C59" s="390"/>
      <c r="D59" s="390"/>
      <c r="E59" s="390"/>
      <c r="F59" s="390"/>
      <c r="G59" s="390"/>
      <c r="H59" s="390"/>
    </row>
    <row r="60" spans="1:8">
      <c r="A60" s="390" t="s">
        <v>49</v>
      </c>
      <c r="B60" s="390"/>
      <c r="C60" s="390"/>
      <c r="D60" s="390"/>
      <c r="E60" s="390"/>
      <c r="F60" s="390"/>
      <c r="G60" s="390"/>
      <c r="H60" s="390"/>
    </row>
    <row r="61" spans="1:8">
      <c r="A61" s="390" t="s">
        <v>50</v>
      </c>
      <c r="B61" s="390"/>
      <c r="C61" s="390"/>
      <c r="D61" s="390"/>
      <c r="E61" s="390"/>
      <c r="F61" s="390"/>
      <c r="G61" s="390"/>
      <c r="H61" s="390"/>
    </row>
    <row r="62" spans="1:8">
      <c r="A62" s="390" t="s">
        <v>51</v>
      </c>
      <c r="B62" s="390"/>
      <c r="C62" s="390"/>
      <c r="D62" s="390"/>
      <c r="E62" s="390"/>
      <c r="F62" s="390"/>
      <c r="G62" s="390"/>
      <c r="H62" s="390"/>
    </row>
    <row r="63" spans="1:8">
      <c r="A63" s="390"/>
      <c r="B63" s="390"/>
      <c r="C63" s="390"/>
      <c r="D63" s="390"/>
      <c r="E63" s="390"/>
      <c r="F63" s="390"/>
      <c r="G63" s="390"/>
      <c r="H63" s="390"/>
    </row>
    <row r="64" ht="15.75" spans="1:8">
      <c r="A64" s="393" t="s">
        <v>52</v>
      </c>
      <c r="B64" s="390"/>
      <c r="C64" s="390"/>
      <c r="D64" s="390"/>
      <c r="E64" s="390"/>
      <c r="F64" s="390"/>
      <c r="G64" s="390"/>
      <c r="H64" s="390"/>
    </row>
    <row r="65" spans="1:8">
      <c r="A65" s="390"/>
      <c r="B65" s="390"/>
      <c r="C65" s="390"/>
      <c r="D65" s="390"/>
      <c r="E65" s="390"/>
      <c r="F65" s="390"/>
      <c r="G65" s="390"/>
      <c r="H65" s="390"/>
    </row>
    <row r="66" spans="1:8">
      <c r="A66" s="390" t="s">
        <v>53</v>
      </c>
      <c r="B66" s="390"/>
      <c r="C66" s="390"/>
      <c r="D66" s="390"/>
      <c r="E66" s="390"/>
      <c r="F66" s="390"/>
      <c r="G66" s="390"/>
      <c r="H66" s="390"/>
    </row>
    <row r="67" spans="1:8">
      <c r="A67" s="390" t="s">
        <v>54</v>
      </c>
      <c r="B67" s="390"/>
      <c r="C67" s="390"/>
      <c r="D67" s="390"/>
      <c r="E67" s="390"/>
      <c r="F67" s="390"/>
      <c r="G67" s="390"/>
      <c r="H67" s="390"/>
    </row>
    <row r="68" spans="1:8">
      <c r="A68" s="390" t="s">
        <v>55</v>
      </c>
      <c r="B68" s="390"/>
      <c r="C68" s="390"/>
      <c r="D68" s="390"/>
      <c r="E68" s="390"/>
      <c r="F68" s="390"/>
      <c r="G68" s="390"/>
      <c r="H68" s="390"/>
    </row>
    <row r="69" spans="1:8">
      <c r="A69" s="390" t="s">
        <v>56</v>
      </c>
      <c r="B69" s="390"/>
      <c r="C69" s="390"/>
      <c r="D69" s="390"/>
      <c r="E69" s="390"/>
      <c r="F69" s="390"/>
      <c r="G69" s="390"/>
      <c r="H69" s="390"/>
    </row>
    <row r="70" spans="1:8">
      <c r="A70" s="390"/>
      <c r="B70" s="390"/>
      <c r="C70" s="390"/>
      <c r="D70" s="390"/>
      <c r="E70" s="390"/>
      <c r="F70" s="390"/>
      <c r="G70" s="390"/>
      <c r="H70" s="390"/>
    </row>
    <row r="71" spans="1:8">
      <c r="A71" s="390" t="s">
        <v>57</v>
      </c>
      <c r="B71" s="390"/>
      <c r="C71" s="390"/>
      <c r="D71" s="390"/>
      <c r="E71" s="390"/>
      <c r="F71" s="390"/>
      <c r="G71" s="390"/>
      <c r="H71" s="390"/>
    </row>
    <row r="72" spans="1:8">
      <c r="A72" s="390"/>
      <c r="B72" s="390"/>
      <c r="C72" s="390"/>
      <c r="D72" s="390"/>
      <c r="E72" s="390"/>
      <c r="F72" s="390"/>
      <c r="G72" s="390"/>
      <c r="H72" s="390"/>
    </row>
    <row r="73" ht="15.75" spans="1:8">
      <c r="A73" s="393" t="s">
        <v>58</v>
      </c>
      <c r="B73" s="390"/>
      <c r="C73" s="390"/>
      <c r="D73" s="390"/>
      <c r="E73" s="390"/>
      <c r="F73" s="390"/>
      <c r="G73" s="390"/>
      <c r="H73" s="390"/>
    </row>
    <row r="74" spans="1:8">
      <c r="A74" s="390"/>
      <c r="B74" s="390"/>
      <c r="C74" s="390"/>
      <c r="D74" s="390"/>
      <c r="E74" s="390"/>
      <c r="F74" s="390"/>
      <c r="G74" s="390"/>
      <c r="H74" s="390"/>
    </row>
    <row r="75" spans="1:8">
      <c r="A75" s="390" t="s">
        <v>59</v>
      </c>
      <c r="B75" s="390"/>
      <c r="C75" s="390"/>
      <c r="D75" s="390"/>
      <c r="E75" s="390"/>
      <c r="F75" s="390"/>
      <c r="G75" s="390"/>
      <c r="H75" s="390"/>
    </row>
    <row r="76" spans="1:8">
      <c r="A76" s="390" t="s">
        <v>60</v>
      </c>
      <c r="B76" s="390"/>
      <c r="C76" s="390"/>
      <c r="D76" s="390"/>
      <c r="E76" s="390"/>
      <c r="F76" s="390"/>
      <c r="G76" s="390"/>
      <c r="H76" s="390"/>
    </row>
    <row r="77" spans="1:8">
      <c r="A77" s="390" t="s">
        <v>61</v>
      </c>
      <c r="B77" s="390"/>
      <c r="C77" s="390"/>
      <c r="D77" s="390"/>
      <c r="E77" s="390"/>
      <c r="F77" s="390"/>
      <c r="G77" s="390"/>
      <c r="H77" s="390"/>
    </row>
    <row r="78" spans="1:8">
      <c r="A78" s="390"/>
      <c r="B78" s="390"/>
      <c r="C78" s="390"/>
      <c r="D78" s="390"/>
      <c r="E78" s="390"/>
      <c r="F78" s="390"/>
      <c r="G78" s="390"/>
      <c r="H78" s="390"/>
    </row>
    <row r="79" ht="15.75" spans="1:8">
      <c r="A79" s="393" t="s">
        <v>62</v>
      </c>
      <c r="B79" s="390"/>
      <c r="C79" s="390"/>
      <c r="D79" s="390"/>
      <c r="E79" s="390"/>
      <c r="F79" s="390"/>
      <c r="G79" s="390"/>
      <c r="H79" s="390"/>
    </row>
    <row r="80" spans="1:8">
      <c r="A80" s="390"/>
      <c r="B80" s="390"/>
      <c r="C80" s="390"/>
      <c r="D80" s="390"/>
      <c r="E80" s="390"/>
      <c r="F80" s="390"/>
      <c r="G80" s="390"/>
      <c r="H80" s="390"/>
    </row>
    <row r="81" spans="1:8">
      <c r="A81" s="390" t="s">
        <v>63</v>
      </c>
      <c r="B81" s="390"/>
      <c r="C81" s="390"/>
      <c r="D81" s="390"/>
      <c r="E81" s="390"/>
      <c r="F81" s="390"/>
      <c r="G81" s="390"/>
      <c r="H81" s="390"/>
    </row>
    <row r="82" spans="1:8">
      <c r="A82" s="390" t="s">
        <v>64</v>
      </c>
      <c r="B82" s="390"/>
      <c r="C82" s="390"/>
      <c r="D82" s="390"/>
      <c r="E82" s="390"/>
      <c r="F82" s="390"/>
      <c r="G82" s="390"/>
      <c r="H82" s="390"/>
    </row>
    <row r="83" spans="1:8">
      <c r="A83" s="390"/>
      <c r="B83" s="390"/>
      <c r="C83" s="390"/>
      <c r="D83" s="390"/>
      <c r="E83" s="390"/>
      <c r="F83" s="390"/>
      <c r="G83" s="390"/>
      <c r="H83" s="390"/>
    </row>
    <row r="84" spans="1:8">
      <c r="A84" s="390" t="s">
        <v>65</v>
      </c>
      <c r="B84" s="390"/>
      <c r="C84" s="390"/>
      <c r="D84" s="390"/>
      <c r="E84" s="390"/>
      <c r="F84" s="390"/>
      <c r="G84" s="390"/>
      <c r="H84" s="390"/>
    </row>
    <row r="85" spans="1:8">
      <c r="A85" s="390" t="s">
        <v>66</v>
      </c>
      <c r="B85" s="390"/>
      <c r="C85" s="390"/>
      <c r="D85" s="390"/>
      <c r="E85" s="390"/>
      <c r="F85" s="390"/>
      <c r="G85" s="390"/>
      <c r="H85" s="390"/>
    </row>
    <row r="86" spans="1:8">
      <c r="A86" s="390"/>
      <c r="B86" s="390"/>
      <c r="C86" s="390"/>
      <c r="D86" s="390"/>
      <c r="E86" s="390"/>
      <c r="F86" s="390"/>
      <c r="G86" s="390"/>
      <c r="H86" s="390"/>
    </row>
    <row r="87" spans="1:8">
      <c r="A87" s="390" t="s">
        <v>67</v>
      </c>
      <c r="B87" s="390"/>
      <c r="C87" s="390"/>
      <c r="D87" s="390"/>
      <c r="E87" s="390"/>
      <c r="F87" s="390"/>
      <c r="G87" s="390"/>
      <c r="H87" s="390"/>
    </row>
    <row r="88" spans="1:8">
      <c r="A88" s="390" t="s">
        <v>68</v>
      </c>
      <c r="B88" s="390"/>
      <c r="C88" s="390"/>
      <c r="D88" s="390"/>
      <c r="E88" s="390"/>
      <c r="F88" s="390"/>
      <c r="G88" s="390"/>
      <c r="H88" s="390"/>
    </row>
    <row r="89" spans="1:8">
      <c r="A89" s="390"/>
      <c r="B89" s="390"/>
      <c r="C89" s="390"/>
      <c r="D89" s="390"/>
      <c r="E89" s="390"/>
      <c r="F89" s="390"/>
      <c r="G89" s="390"/>
      <c r="H89" s="390"/>
    </row>
    <row r="90" spans="1:8">
      <c r="A90" s="390" t="s">
        <v>69</v>
      </c>
      <c r="B90" s="390"/>
      <c r="C90" s="390"/>
      <c r="D90" s="390"/>
      <c r="E90" s="390"/>
      <c r="F90" s="390"/>
      <c r="G90" s="390"/>
      <c r="H90" s="390"/>
    </row>
    <row r="91" spans="1:8">
      <c r="A91" s="390" t="s">
        <v>70</v>
      </c>
      <c r="B91" s="390"/>
      <c r="C91" s="390"/>
      <c r="D91" s="390"/>
      <c r="E91" s="390"/>
      <c r="F91" s="390"/>
      <c r="G91" s="390"/>
      <c r="H91" s="390"/>
    </row>
    <row r="92" spans="1:8">
      <c r="A92" s="390"/>
      <c r="B92" s="390"/>
      <c r="C92" s="390"/>
      <c r="D92" s="390"/>
      <c r="E92" s="390"/>
      <c r="F92" s="390"/>
      <c r="G92" s="390"/>
      <c r="H92" s="390"/>
    </row>
    <row r="93" spans="1:8">
      <c r="A93" s="390" t="s">
        <v>71</v>
      </c>
      <c r="B93" s="390"/>
      <c r="C93" s="390"/>
      <c r="D93" s="390"/>
      <c r="E93" s="390"/>
      <c r="F93" s="390"/>
      <c r="G93" s="390"/>
      <c r="H93" s="390"/>
    </row>
    <row r="94" spans="1:8">
      <c r="A94" s="390" t="s">
        <v>72</v>
      </c>
      <c r="B94" s="390"/>
      <c r="C94" s="390"/>
      <c r="D94" s="390"/>
      <c r="E94" s="390"/>
      <c r="F94" s="390"/>
      <c r="G94" s="390"/>
      <c r="H94" s="390"/>
    </row>
    <row r="95" spans="1:8">
      <c r="A95" s="390"/>
      <c r="B95" s="390"/>
      <c r="C95" s="390"/>
      <c r="D95" s="390"/>
      <c r="E95" s="390"/>
      <c r="F95" s="390"/>
      <c r="G95" s="390"/>
      <c r="H95" s="390"/>
    </row>
    <row r="96" spans="1:8">
      <c r="A96" s="390" t="s">
        <v>73</v>
      </c>
      <c r="B96" s="390"/>
      <c r="C96" s="390"/>
      <c r="D96" s="390"/>
      <c r="E96" s="390"/>
      <c r="F96" s="390"/>
      <c r="G96" s="390"/>
      <c r="H96" s="390"/>
    </row>
    <row r="97" spans="1:8">
      <c r="A97" s="390" t="s">
        <v>74</v>
      </c>
      <c r="B97" s="390"/>
      <c r="C97" s="390"/>
      <c r="D97" s="390"/>
      <c r="E97" s="390"/>
      <c r="F97" s="390"/>
      <c r="G97" s="390"/>
      <c r="H97" s="390"/>
    </row>
    <row r="98" spans="1:8">
      <c r="A98" s="390" t="s">
        <v>75</v>
      </c>
      <c r="B98" s="390"/>
      <c r="C98" s="390"/>
      <c r="D98" s="390"/>
      <c r="E98" s="390"/>
      <c r="F98" s="390"/>
      <c r="G98" s="390"/>
      <c r="H98" s="390"/>
    </row>
    <row r="99" spans="1:8">
      <c r="A99" s="390"/>
      <c r="B99" s="390"/>
      <c r="C99" s="390"/>
      <c r="D99" s="390"/>
      <c r="E99" s="390"/>
      <c r="F99" s="390"/>
      <c r="G99" s="390"/>
      <c r="H99" s="390"/>
    </row>
    <row r="100" spans="1:8">
      <c r="A100" s="390" t="s">
        <v>76</v>
      </c>
      <c r="B100" s="390"/>
      <c r="C100" s="390"/>
      <c r="D100" s="390"/>
      <c r="E100" s="390"/>
      <c r="F100" s="390"/>
      <c r="G100" s="390"/>
      <c r="H100" s="390"/>
    </row>
    <row r="101" spans="1:8">
      <c r="A101" s="390" t="s">
        <v>77</v>
      </c>
      <c r="B101" s="390"/>
      <c r="C101" s="390"/>
      <c r="D101" s="390"/>
      <c r="E101" s="390"/>
      <c r="F101" s="390"/>
      <c r="G101" s="390"/>
      <c r="H101" s="390"/>
    </row>
    <row r="102" spans="1:8">
      <c r="A102" s="390" t="s">
        <v>78</v>
      </c>
      <c r="B102" s="390"/>
      <c r="C102" s="390"/>
      <c r="D102" s="390"/>
      <c r="E102" s="390"/>
      <c r="F102" s="390"/>
      <c r="G102" s="390"/>
      <c r="H102" s="390"/>
    </row>
    <row r="103" spans="1:8">
      <c r="A103" s="390" t="s">
        <v>79</v>
      </c>
      <c r="B103" s="390"/>
      <c r="C103" s="390"/>
      <c r="D103" s="390"/>
      <c r="E103" s="390"/>
      <c r="F103" s="390"/>
      <c r="G103" s="390"/>
      <c r="H103" s="390"/>
    </row>
    <row r="104" spans="1:8">
      <c r="A104" s="390" t="s">
        <v>80</v>
      </c>
      <c r="B104" s="390"/>
      <c r="C104" s="390"/>
      <c r="D104" s="390"/>
      <c r="E104" s="390"/>
      <c r="F104" s="390"/>
      <c r="G104" s="390"/>
      <c r="H104" s="390"/>
    </row>
    <row r="105" spans="1:8">
      <c r="A105" s="390" t="s">
        <v>81</v>
      </c>
      <c r="B105" s="390"/>
      <c r="C105" s="390"/>
      <c r="D105" s="390"/>
      <c r="E105" s="390"/>
      <c r="F105" s="390"/>
      <c r="G105" s="390"/>
      <c r="H105" s="390"/>
    </row>
    <row r="106" spans="1:8">
      <c r="A106" s="390"/>
      <c r="B106" s="390"/>
      <c r="C106" s="390"/>
      <c r="D106" s="390"/>
      <c r="E106" s="390"/>
      <c r="F106" s="390"/>
      <c r="G106" s="390"/>
      <c r="H106" s="390"/>
    </row>
    <row r="107" spans="1:8">
      <c r="A107" s="390" t="s">
        <v>82</v>
      </c>
      <c r="B107" s="390"/>
      <c r="C107" s="390"/>
      <c r="D107" s="390"/>
      <c r="E107" s="390"/>
      <c r="F107" s="390"/>
      <c r="G107" s="390"/>
      <c r="H107" s="390"/>
    </row>
    <row r="108" spans="1:8">
      <c r="A108" s="390" t="s">
        <v>83</v>
      </c>
      <c r="B108" s="390"/>
      <c r="C108" s="390"/>
      <c r="D108" s="390"/>
      <c r="E108" s="390"/>
      <c r="F108" s="390"/>
      <c r="G108" s="390"/>
      <c r="H108" s="390"/>
    </row>
    <row r="109" spans="1:8">
      <c r="A109" s="390" t="s">
        <v>84</v>
      </c>
      <c r="B109" s="390"/>
      <c r="C109" s="390"/>
      <c r="D109" s="390"/>
      <c r="E109" s="390"/>
      <c r="F109" s="390"/>
      <c r="G109" s="390"/>
      <c r="H109" s="390"/>
    </row>
    <row r="110" spans="1:8">
      <c r="A110" s="390" t="s">
        <v>85</v>
      </c>
      <c r="B110" s="390"/>
      <c r="C110" s="390"/>
      <c r="D110" s="390"/>
      <c r="E110" s="390"/>
      <c r="F110" s="390"/>
      <c r="G110" s="390"/>
      <c r="H110" s="390"/>
    </row>
    <row r="111" spans="1:8">
      <c r="A111" s="390" t="s">
        <v>86</v>
      </c>
      <c r="B111" s="390"/>
      <c r="C111" s="390"/>
      <c r="D111" s="390"/>
      <c r="E111" s="390"/>
      <c r="F111" s="390"/>
      <c r="G111" s="390"/>
      <c r="H111" s="390"/>
    </row>
    <row r="112" spans="1:8">
      <c r="A112" s="390" t="s">
        <v>87</v>
      </c>
      <c r="B112" s="390"/>
      <c r="C112" s="390"/>
      <c r="D112" s="390"/>
      <c r="E112" s="390"/>
      <c r="F112" s="390"/>
      <c r="G112" s="390"/>
      <c r="H112" s="390"/>
    </row>
    <row r="113" spans="1:8">
      <c r="A113" s="390" t="s">
        <v>88</v>
      </c>
      <c r="B113" s="390"/>
      <c r="C113" s="390"/>
      <c r="D113" s="390"/>
      <c r="E113" s="390"/>
      <c r="F113" s="390"/>
      <c r="G113" s="390"/>
      <c r="H113" s="390"/>
    </row>
    <row r="114" spans="1:8">
      <c r="A114" s="390"/>
      <c r="B114" s="390"/>
      <c r="C114" s="390"/>
      <c r="D114" s="390"/>
      <c r="E114" s="390"/>
      <c r="F114" s="390"/>
      <c r="G114" s="390"/>
      <c r="H114" s="390"/>
    </row>
    <row r="115" spans="1:8">
      <c r="A115" s="390" t="s">
        <v>89</v>
      </c>
      <c r="B115" s="390"/>
      <c r="C115" s="390"/>
      <c r="D115" s="390"/>
      <c r="E115" s="390"/>
      <c r="F115" s="390"/>
      <c r="G115" s="390"/>
      <c r="H115" s="390"/>
    </row>
    <row r="116" spans="1:8">
      <c r="A116" s="390" t="s">
        <v>90</v>
      </c>
      <c r="B116" s="390"/>
      <c r="C116" s="390"/>
      <c r="D116" s="390"/>
      <c r="E116" s="390"/>
      <c r="F116" s="390"/>
      <c r="G116" s="390"/>
      <c r="H116" s="390"/>
    </row>
    <row r="117" spans="1:8">
      <c r="A117" s="390"/>
      <c r="B117" s="390"/>
      <c r="C117" s="390"/>
      <c r="D117" s="390"/>
      <c r="E117" s="390"/>
      <c r="F117" s="390"/>
      <c r="G117" s="390"/>
      <c r="H117" s="390"/>
    </row>
    <row r="118" ht="15.75" spans="1:8">
      <c r="A118" s="393" t="s">
        <v>91</v>
      </c>
      <c r="B118" s="390"/>
      <c r="C118" s="390"/>
      <c r="D118" s="390"/>
      <c r="E118" s="390"/>
      <c r="F118" s="390"/>
      <c r="G118" s="390"/>
      <c r="H118" s="390"/>
    </row>
    <row r="119" spans="1:8">
      <c r="A119" s="390"/>
      <c r="B119" s="390"/>
      <c r="C119" s="390"/>
      <c r="D119" s="390"/>
      <c r="E119" s="390"/>
      <c r="F119" s="390"/>
      <c r="G119" s="390"/>
      <c r="H119" s="390"/>
    </row>
    <row r="120" spans="1:8">
      <c r="A120" s="390" t="s">
        <v>92</v>
      </c>
      <c r="B120" s="390"/>
      <c r="C120" s="390"/>
      <c r="D120" s="390"/>
      <c r="E120" s="390"/>
      <c r="F120" s="390"/>
      <c r="G120" s="390"/>
      <c r="H120" s="390"/>
    </row>
    <row r="121" spans="1:8">
      <c r="A121" s="390" t="s">
        <v>93</v>
      </c>
      <c r="B121" s="390"/>
      <c r="C121" s="390"/>
      <c r="D121" s="390"/>
      <c r="E121" s="390"/>
      <c r="F121" s="390"/>
      <c r="G121" s="390"/>
      <c r="H121" s="390"/>
    </row>
    <row r="122" spans="1:8">
      <c r="A122" s="390" t="s">
        <v>94</v>
      </c>
      <c r="B122" s="390"/>
      <c r="C122" s="390"/>
      <c r="D122" s="390"/>
      <c r="E122" s="390"/>
      <c r="F122" s="390"/>
      <c r="G122" s="390"/>
      <c r="H122" s="390"/>
    </row>
    <row r="123" spans="1:8">
      <c r="A123" s="390" t="s">
        <v>95</v>
      </c>
      <c r="B123" s="390"/>
      <c r="C123" s="390"/>
      <c r="D123" s="390"/>
      <c r="E123" s="390"/>
      <c r="F123" s="390"/>
      <c r="G123" s="390"/>
      <c r="H123" s="390"/>
    </row>
    <row r="124" spans="1:8">
      <c r="A124" s="390" t="s">
        <v>96</v>
      </c>
      <c r="B124" s="390"/>
      <c r="C124" s="390"/>
      <c r="D124" s="390"/>
      <c r="E124" s="390"/>
      <c r="F124" s="390"/>
      <c r="G124" s="390"/>
      <c r="H124" s="390"/>
    </row>
    <row r="125" spans="1:8">
      <c r="A125" s="390" t="s">
        <v>97</v>
      </c>
      <c r="B125" s="390"/>
      <c r="C125" s="390"/>
      <c r="D125" s="390"/>
      <c r="E125" s="390"/>
      <c r="F125" s="390"/>
      <c r="G125" s="390"/>
      <c r="H125" s="390"/>
    </row>
    <row r="126" spans="1:8">
      <c r="A126" s="390" t="s">
        <v>98</v>
      </c>
      <c r="B126" s="390"/>
      <c r="C126" s="390"/>
      <c r="D126" s="390"/>
      <c r="E126" s="390"/>
      <c r="F126" s="390"/>
      <c r="G126" s="390"/>
      <c r="H126" s="390"/>
    </row>
    <row r="127" spans="1:8">
      <c r="A127" s="390" t="s">
        <v>99</v>
      </c>
      <c r="B127" s="390"/>
      <c r="C127" s="390"/>
      <c r="D127" s="390"/>
      <c r="E127" s="390"/>
      <c r="F127" s="390"/>
      <c r="G127" s="390"/>
      <c r="H127" s="390"/>
    </row>
    <row r="128" spans="1:8">
      <c r="A128" s="390" t="s">
        <v>100</v>
      </c>
      <c r="B128" s="390"/>
      <c r="C128" s="390"/>
      <c r="D128" s="390"/>
      <c r="E128" s="390"/>
      <c r="F128" s="390"/>
      <c r="G128" s="390"/>
      <c r="H128" s="390"/>
    </row>
    <row r="129" spans="1:8">
      <c r="A129" s="390"/>
      <c r="B129" s="390"/>
      <c r="C129" s="390"/>
      <c r="D129" s="390"/>
      <c r="E129" s="390"/>
      <c r="F129" s="390"/>
      <c r="G129" s="390"/>
      <c r="H129" s="390"/>
    </row>
    <row r="130" ht="15.75" spans="1:8">
      <c r="A130" s="393" t="s">
        <v>101</v>
      </c>
      <c r="B130" s="390"/>
      <c r="C130" s="390"/>
      <c r="D130" s="390"/>
      <c r="E130" s="390"/>
      <c r="F130" s="390"/>
      <c r="G130" s="390"/>
      <c r="H130" s="390"/>
    </row>
    <row r="131" spans="1:8">
      <c r="A131" s="390"/>
      <c r="B131" s="390"/>
      <c r="C131" s="390"/>
      <c r="D131" s="390"/>
      <c r="E131" s="390"/>
      <c r="F131" s="390"/>
      <c r="G131" s="390"/>
      <c r="H131" s="390"/>
    </row>
    <row r="132" spans="1:8">
      <c r="A132" s="390" t="s">
        <v>102</v>
      </c>
      <c r="B132" s="390"/>
      <c r="C132" s="390"/>
      <c r="D132" s="390"/>
      <c r="E132" s="390"/>
      <c r="F132" s="390"/>
      <c r="G132" s="390"/>
      <c r="H132" s="390"/>
    </row>
    <row r="133" spans="1:8">
      <c r="A133" s="390"/>
      <c r="B133" s="390"/>
      <c r="C133" s="390"/>
      <c r="D133" s="390"/>
      <c r="E133" s="390"/>
      <c r="F133" s="390"/>
      <c r="G133" s="390"/>
      <c r="H133" s="390"/>
    </row>
    <row r="134" spans="1:8">
      <c r="A134" s="390" t="s">
        <v>103</v>
      </c>
      <c r="B134" s="390"/>
      <c r="C134" s="390"/>
      <c r="D134" s="390"/>
      <c r="E134" s="390"/>
      <c r="F134" s="390"/>
      <c r="G134" s="390"/>
      <c r="H134" s="390"/>
    </row>
    <row r="135" spans="1:8">
      <c r="A135" s="390" t="s">
        <v>104</v>
      </c>
      <c r="B135" s="390"/>
      <c r="C135" s="390"/>
      <c r="D135" s="390"/>
      <c r="E135" s="390"/>
      <c r="F135" s="390"/>
      <c r="G135" s="390"/>
      <c r="H135" s="390"/>
    </row>
    <row r="136" spans="1:8">
      <c r="A136" s="390"/>
      <c r="B136" s="390"/>
      <c r="C136" s="390"/>
      <c r="D136" s="390"/>
      <c r="E136" s="390"/>
      <c r="F136" s="390"/>
      <c r="G136" s="390"/>
      <c r="H136" s="390"/>
    </row>
    <row r="137" spans="1:8">
      <c r="A137" s="390" t="s">
        <v>105</v>
      </c>
      <c r="B137" s="390"/>
      <c r="C137" s="390"/>
      <c r="D137" s="390"/>
      <c r="E137" s="390"/>
      <c r="F137" s="390"/>
      <c r="G137" s="390"/>
      <c r="H137" s="390"/>
    </row>
    <row r="138" spans="1:8">
      <c r="A138" s="390" t="s">
        <v>106</v>
      </c>
      <c r="B138" s="390"/>
      <c r="C138" s="390"/>
      <c r="D138" s="390"/>
      <c r="E138" s="390"/>
      <c r="F138" s="390"/>
      <c r="G138" s="390"/>
      <c r="H138" s="390"/>
    </row>
    <row r="139" spans="1:8">
      <c r="A139" s="390" t="s">
        <v>107</v>
      </c>
      <c r="B139" s="390"/>
      <c r="C139" s="390"/>
      <c r="D139" s="390"/>
      <c r="E139" s="390"/>
      <c r="F139" s="390"/>
      <c r="G139" s="390"/>
      <c r="H139" s="390"/>
    </row>
    <row r="140" spans="1:8">
      <c r="A140" s="390" t="s">
        <v>108</v>
      </c>
      <c r="B140" s="390"/>
      <c r="C140" s="390"/>
      <c r="D140" s="390"/>
      <c r="E140" s="390"/>
      <c r="F140" s="390"/>
      <c r="G140" s="390"/>
      <c r="H140" s="390"/>
    </row>
    <row r="141" spans="1:8">
      <c r="A141" s="390" t="s">
        <v>109</v>
      </c>
      <c r="B141" s="390"/>
      <c r="C141" s="390"/>
      <c r="D141" s="390"/>
      <c r="E141" s="390"/>
      <c r="F141" s="390"/>
      <c r="G141" s="390"/>
      <c r="H141" s="390"/>
    </row>
    <row r="142" spans="1:8">
      <c r="A142" s="390" t="s">
        <v>110</v>
      </c>
      <c r="B142" s="390"/>
      <c r="C142" s="390"/>
      <c r="D142" s="390"/>
      <c r="E142" s="390"/>
      <c r="F142" s="390"/>
      <c r="G142" s="390"/>
      <c r="H142" s="390"/>
    </row>
    <row r="143" spans="1:8">
      <c r="A143" s="390" t="s">
        <v>111</v>
      </c>
      <c r="B143" s="390"/>
      <c r="C143" s="390"/>
      <c r="D143" s="390"/>
      <c r="E143" s="390"/>
      <c r="F143" s="390"/>
      <c r="G143" s="390"/>
      <c r="H143" s="390"/>
    </row>
    <row r="144" spans="1:8">
      <c r="A144" s="390"/>
      <c r="B144" s="390"/>
      <c r="C144" s="390"/>
      <c r="D144" s="390"/>
      <c r="E144" s="390"/>
      <c r="F144" s="390"/>
      <c r="G144" s="390"/>
      <c r="H144" s="390"/>
    </row>
    <row r="145" spans="1:8">
      <c r="A145" s="394"/>
      <c r="B145" s="394" t="s">
        <v>112</v>
      </c>
      <c r="C145" s="394"/>
      <c r="D145" s="394" t="s">
        <v>113</v>
      </c>
      <c r="E145" s="394"/>
      <c r="F145" s="394"/>
      <c r="G145" s="394" t="s">
        <v>114</v>
      </c>
      <c r="H145" s="394"/>
    </row>
    <row r="146" spans="1:8">
      <c r="A146" s="394" t="s">
        <v>115</v>
      </c>
      <c r="B146" s="394" t="s">
        <v>116</v>
      </c>
      <c r="C146" s="394" t="s">
        <v>117</v>
      </c>
      <c r="D146" s="394" t="s">
        <v>116</v>
      </c>
      <c r="E146" s="394" t="s">
        <v>118</v>
      </c>
      <c r="F146" s="394" t="s">
        <v>119</v>
      </c>
      <c r="G146" s="394" t="s">
        <v>116</v>
      </c>
      <c r="H146" s="394" t="s">
        <v>120</v>
      </c>
    </row>
    <row r="147" spans="1:8">
      <c r="A147" s="394" t="s">
        <v>121</v>
      </c>
      <c r="B147" s="394">
        <v>1544</v>
      </c>
      <c r="C147" s="394">
        <v>0.42</v>
      </c>
      <c r="D147" s="394">
        <v>453</v>
      </c>
      <c r="E147" s="394">
        <v>0.49</v>
      </c>
      <c r="F147" s="394">
        <v>0.29</v>
      </c>
      <c r="G147" s="394">
        <v>757</v>
      </c>
      <c r="H147" s="394">
        <v>0.44</v>
      </c>
    </row>
    <row r="148" spans="1:8">
      <c r="A148" s="394" t="s">
        <v>122</v>
      </c>
      <c r="B148" s="394">
        <v>1577</v>
      </c>
      <c r="C148" s="394">
        <v>0.43</v>
      </c>
      <c r="D148" s="394">
        <v>390</v>
      </c>
      <c r="E148" s="394">
        <v>0.42</v>
      </c>
      <c r="F148" s="394">
        <v>0.25</v>
      </c>
      <c r="G148" s="394">
        <v>769</v>
      </c>
      <c r="H148" s="394">
        <v>0.44</v>
      </c>
    </row>
    <row r="149" spans="1:8">
      <c r="A149" s="394" t="s">
        <v>123</v>
      </c>
      <c r="B149" s="394">
        <v>3</v>
      </c>
      <c r="C149" s="394">
        <v>0</v>
      </c>
      <c r="D149" s="394">
        <v>1</v>
      </c>
      <c r="E149" s="394">
        <v>0</v>
      </c>
      <c r="F149" s="394">
        <v>0.33</v>
      </c>
      <c r="G149" s="394">
        <v>1</v>
      </c>
      <c r="H149" s="394">
        <v>0</v>
      </c>
    </row>
    <row r="150" spans="1:8">
      <c r="A150" s="394" t="s">
        <v>124</v>
      </c>
      <c r="B150" s="394">
        <v>544</v>
      </c>
      <c r="C150" s="394">
        <v>0.15</v>
      </c>
      <c r="D150" s="394">
        <v>89</v>
      </c>
      <c r="E150" s="394">
        <v>0.1</v>
      </c>
      <c r="F150" s="394">
        <v>0.16</v>
      </c>
      <c r="G150" s="394">
        <v>204</v>
      </c>
      <c r="H150" s="394">
        <v>0.12</v>
      </c>
    </row>
    <row r="151" spans="1:8">
      <c r="A151" s="394" t="s">
        <v>125</v>
      </c>
      <c r="B151" s="394">
        <v>3668</v>
      </c>
      <c r="C151" s="394"/>
      <c r="D151" s="394">
        <v>933</v>
      </c>
      <c r="E151" s="394"/>
      <c r="F151" s="394"/>
      <c r="G151" s="394">
        <v>1731</v>
      </c>
      <c r="H151" s="394"/>
    </row>
    <row r="152" spans="1:8">
      <c r="A152" s="390"/>
      <c r="B152" s="390"/>
      <c r="C152" s="390"/>
      <c r="D152" s="390"/>
      <c r="E152" s="390"/>
      <c r="F152" s="390"/>
      <c r="G152" s="390"/>
      <c r="H152" s="390"/>
    </row>
    <row r="153" spans="1:8">
      <c r="A153" s="390" t="s">
        <v>126</v>
      </c>
      <c r="B153" s="390"/>
      <c r="C153" s="390"/>
      <c r="D153" s="390"/>
      <c r="E153" s="390"/>
      <c r="F153" s="390"/>
      <c r="G153" s="390"/>
      <c r="H153" s="390"/>
    </row>
    <row r="154" spans="1:8">
      <c r="A154" s="390" t="s">
        <v>127</v>
      </c>
      <c r="B154" s="390"/>
      <c r="C154" s="390"/>
      <c r="D154" s="390"/>
      <c r="E154" s="390"/>
      <c r="F154" s="390"/>
      <c r="G154" s="390"/>
      <c r="H154" s="390"/>
    </row>
    <row r="155" spans="1:8">
      <c r="A155" s="390" t="s">
        <v>128</v>
      </c>
      <c r="B155" s="390"/>
      <c r="C155" s="390"/>
      <c r="D155" s="390"/>
      <c r="E155" s="390"/>
      <c r="F155" s="390"/>
      <c r="G155" s="390"/>
      <c r="H155" s="390"/>
    </row>
    <row r="156" spans="1:8">
      <c r="A156" s="390" t="s">
        <v>129</v>
      </c>
      <c r="B156" s="390"/>
      <c r="C156" s="390"/>
      <c r="D156" s="390"/>
      <c r="E156" s="390"/>
      <c r="F156" s="390"/>
      <c r="G156" s="390"/>
      <c r="H156" s="390"/>
    </row>
    <row r="157" spans="1:8">
      <c r="A157" s="390"/>
      <c r="B157" s="390"/>
      <c r="C157" s="390"/>
      <c r="D157" s="390"/>
      <c r="E157" s="390"/>
      <c r="F157" s="390"/>
      <c r="G157" s="390"/>
      <c r="H157" s="390"/>
    </row>
    <row r="158" ht="15.75" spans="1:8">
      <c r="A158" s="393" t="s">
        <v>130</v>
      </c>
      <c r="B158" s="390"/>
      <c r="C158" s="390"/>
      <c r="D158" s="390"/>
      <c r="E158" s="390"/>
      <c r="F158" s="390"/>
      <c r="G158" s="390"/>
      <c r="H158" s="390"/>
    </row>
    <row r="159" spans="1:8">
      <c r="A159" s="390"/>
      <c r="B159" s="390"/>
      <c r="C159" s="390"/>
      <c r="D159" s="390"/>
      <c r="E159" s="390"/>
      <c r="F159" s="390"/>
      <c r="G159" s="390"/>
      <c r="H159" s="390"/>
    </row>
    <row r="160" spans="1:8">
      <c r="A160" s="390" t="s">
        <v>131</v>
      </c>
      <c r="B160" s="390"/>
      <c r="C160" s="390"/>
      <c r="D160" s="390"/>
      <c r="E160" s="390"/>
      <c r="F160" s="390"/>
      <c r="G160" s="390"/>
      <c r="H160" s="390"/>
    </row>
    <row r="161" spans="1:8">
      <c r="A161" s="390" t="s">
        <v>132</v>
      </c>
      <c r="B161" s="390"/>
      <c r="C161" s="390"/>
      <c r="D161" s="390"/>
      <c r="E161" s="390"/>
      <c r="F161" s="390"/>
      <c r="G161" s="390"/>
      <c r="H161" s="390"/>
    </row>
    <row r="162" spans="1:8">
      <c r="A162" s="390"/>
      <c r="B162" s="390"/>
      <c r="C162" s="390"/>
      <c r="D162" s="390"/>
      <c r="E162" s="390"/>
      <c r="F162" s="390"/>
      <c r="G162" s="390"/>
      <c r="H162" s="390"/>
    </row>
    <row r="163" spans="1:8">
      <c r="A163" s="390" t="s">
        <v>133</v>
      </c>
      <c r="B163" s="390"/>
      <c r="C163" s="390"/>
      <c r="D163" s="390"/>
      <c r="E163" s="390"/>
      <c r="F163" s="390"/>
      <c r="G163" s="390"/>
      <c r="H163" s="390"/>
    </row>
    <row r="164" spans="1:8">
      <c r="A164" s="390" t="s">
        <v>134</v>
      </c>
      <c r="B164" s="390"/>
      <c r="C164" s="390"/>
      <c r="D164" s="390"/>
      <c r="E164" s="390"/>
      <c r="F164" s="390"/>
      <c r="G164" s="390"/>
      <c r="H164" s="390"/>
    </row>
    <row r="165" spans="1:8">
      <c r="A165" s="390" t="s">
        <v>135</v>
      </c>
      <c r="B165" s="390"/>
      <c r="C165" s="390"/>
      <c r="D165" s="390"/>
      <c r="E165" s="390"/>
      <c r="F165" s="390"/>
      <c r="G165" s="390"/>
      <c r="H165" s="390"/>
    </row>
    <row r="166" spans="1:8">
      <c r="A166" s="390"/>
      <c r="B166" s="390"/>
      <c r="C166" s="390"/>
      <c r="D166" s="390"/>
      <c r="E166" s="390"/>
      <c r="F166" s="390"/>
      <c r="G166" s="390"/>
      <c r="H166" s="390"/>
    </row>
    <row r="167" spans="1:8">
      <c r="A167" s="390" t="s">
        <v>136</v>
      </c>
      <c r="B167" s="390"/>
      <c r="C167" s="390"/>
      <c r="D167" s="390"/>
      <c r="E167" s="390"/>
      <c r="F167" s="390"/>
      <c r="G167" s="390"/>
      <c r="H167" s="390"/>
    </row>
    <row r="168" spans="1:8">
      <c r="A168" s="390" t="s">
        <v>137</v>
      </c>
      <c r="B168" s="390"/>
      <c r="C168" s="390"/>
      <c r="D168" s="390"/>
      <c r="E168" s="390"/>
      <c r="F168" s="390"/>
      <c r="G168" s="390"/>
      <c r="H168" s="390"/>
    </row>
    <row r="169" spans="1:8">
      <c r="A169" s="390" t="s">
        <v>138</v>
      </c>
      <c r="B169" s="390"/>
      <c r="C169" s="390"/>
      <c r="D169" s="390"/>
      <c r="E169" s="390"/>
      <c r="F169" s="390"/>
      <c r="G169" s="390"/>
      <c r="H169" s="390"/>
    </row>
    <row r="170" spans="1:8">
      <c r="A170" s="390"/>
      <c r="B170" s="390"/>
      <c r="C170" s="390"/>
      <c r="D170" s="390"/>
      <c r="E170" s="390"/>
      <c r="F170" s="390"/>
      <c r="G170" s="390"/>
      <c r="H170" s="390"/>
    </row>
    <row r="171" spans="1:8">
      <c r="A171" s="390" t="s">
        <v>139</v>
      </c>
      <c r="B171" s="390"/>
      <c r="C171" s="390"/>
      <c r="D171" s="390"/>
      <c r="E171" s="390"/>
      <c r="F171" s="390"/>
      <c r="G171" s="390"/>
      <c r="H171" s="390"/>
    </row>
    <row r="172" spans="1:8">
      <c r="A172" s="390" t="s">
        <v>140</v>
      </c>
      <c r="B172" s="390"/>
      <c r="C172" s="390"/>
      <c r="D172" s="390"/>
      <c r="E172" s="390"/>
      <c r="F172" s="390"/>
      <c r="G172" s="390"/>
      <c r="H172" s="390"/>
    </row>
    <row r="173" spans="1:8">
      <c r="A173" s="390" t="s">
        <v>141</v>
      </c>
      <c r="B173" s="390"/>
      <c r="C173" s="390"/>
      <c r="D173" s="390"/>
      <c r="E173" s="390"/>
      <c r="F173" s="390"/>
      <c r="G173" s="390"/>
      <c r="H173" s="390"/>
    </row>
    <row r="174" spans="1:8">
      <c r="A174" s="390"/>
      <c r="B174" s="390"/>
      <c r="C174" s="390"/>
      <c r="D174" s="390"/>
      <c r="E174" s="390"/>
      <c r="F174" s="390"/>
      <c r="G174" s="390"/>
      <c r="H174" s="390"/>
    </row>
    <row r="175" spans="1:8">
      <c r="A175" s="390" t="s">
        <v>142</v>
      </c>
      <c r="B175" s="390"/>
      <c r="C175" s="390"/>
      <c r="D175" s="390"/>
      <c r="E175" s="390"/>
      <c r="F175" s="390"/>
      <c r="G175" s="390"/>
      <c r="H175" s="390"/>
    </row>
    <row r="176" spans="1:8">
      <c r="A176" s="390" t="s">
        <v>143</v>
      </c>
      <c r="B176" s="390"/>
      <c r="C176" s="390"/>
      <c r="D176" s="390"/>
      <c r="E176" s="390"/>
      <c r="F176" s="390"/>
      <c r="G176" s="390"/>
      <c r="H176" s="390"/>
    </row>
    <row r="177" spans="1:8">
      <c r="A177" s="390"/>
      <c r="B177" s="390"/>
      <c r="C177" s="390"/>
      <c r="D177" s="390"/>
      <c r="E177" s="390"/>
      <c r="F177" s="390"/>
      <c r="G177" s="390"/>
      <c r="H177" s="390"/>
    </row>
    <row r="178" ht="15.75" spans="1:8">
      <c r="A178" s="393" t="s">
        <v>144</v>
      </c>
      <c r="B178" s="390"/>
      <c r="C178" s="390"/>
      <c r="D178" s="390"/>
      <c r="E178" s="390"/>
      <c r="F178" s="390"/>
      <c r="G178" s="390"/>
      <c r="H178" s="390"/>
    </row>
    <row r="179" spans="1:8">
      <c r="A179" s="390"/>
      <c r="B179" s="390"/>
      <c r="C179" s="390"/>
      <c r="D179" s="390"/>
      <c r="E179" s="390"/>
      <c r="F179" s="390"/>
      <c r="G179" s="390"/>
      <c r="H179" s="390"/>
    </row>
    <row r="180" spans="1:8">
      <c r="A180" s="390" t="s">
        <v>145</v>
      </c>
      <c r="B180" s="390"/>
      <c r="C180" s="390"/>
      <c r="D180" s="390"/>
      <c r="E180" s="390"/>
      <c r="F180" s="390"/>
      <c r="G180" s="390"/>
      <c r="H180" s="390"/>
    </row>
    <row r="181" spans="1:8">
      <c r="A181" s="390" t="s">
        <v>146</v>
      </c>
      <c r="B181" s="390"/>
      <c r="C181" s="390"/>
      <c r="D181" s="390"/>
      <c r="E181" s="390"/>
      <c r="F181" s="390"/>
      <c r="G181" s="390"/>
      <c r="H181" s="390"/>
    </row>
    <row r="182" spans="1:8">
      <c r="A182" s="390"/>
      <c r="B182" s="390"/>
      <c r="C182" s="390"/>
      <c r="D182" s="390"/>
      <c r="E182" s="390"/>
      <c r="F182" s="390"/>
      <c r="G182" s="390"/>
      <c r="H182" s="390"/>
    </row>
    <row r="183" spans="1:8">
      <c r="A183" s="390" t="s">
        <v>147</v>
      </c>
      <c r="B183" s="390"/>
      <c r="C183" s="390"/>
      <c r="D183" s="390"/>
      <c r="E183" s="390"/>
      <c r="F183" s="390"/>
      <c r="G183" s="390"/>
      <c r="H183" s="390"/>
    </row>
    <row r="184" spans="1:8">
      <c r="A184" s="390" t="s">
        <v>148</v>
      </c>
      <c r="B184" s="390"/>
      <c r="C184" s="390"/>
      <c r="D184" s="390"/>
      <c r="E184" s="390"/>
      <c r="F184" s="390"/>
      <c r="G184" s="390"/>
      <c r="H184" s="390"/>
    </row>
    <row r="185" spans="1:8">
      <c r="A185" s="390"/>
      <c r="B185" s="390"/>
      <c r="C185" s="390"/>
      <c r="D185" s="390"/>
      <c r="E185" s="390"/>
      <c r="F185" s="390"/>
      <c r="G185" s="390"/>
      <c r="H185" s="390"/>
    </row>
    <row r="186" spans="1:8">
      <c r="A186" s="390" t="s">
        <v>149</v>
      </c>
      <c r="B186" s="390"/>
      <c r="C186" s="390"/>
      <c r="D186" s="390"/>
      <c r="E186" s="390"/>
      <c r="F186" s="390"/>
      <c r="G186" s="390"/>
      <c r="H186" s="390"/>
    </row>
    <row r="187" spans="1:8">
      <c r="A187" s="390" t="s">
        <v>150</v>
      </c>
      <c r="B187" s="390"/>
      <c r="C187" s="390"/>
      <c r="D187" s="390"/>
      <c r="E187" s="390"/>
      <c r="F187" s="390"/>
      <c r="G187" s="390"/>
      <c r="H187" s="390"/>
    </row>
    <row r="188" spans="1:8">
      <c r="A188" s="390"/>
      <c r="B188" s="390"/>
      <c r="C188" s="390"/>
      <c r="D188" s="390"/>
      <c r="E188" s="390"/>
      <c r="F188" s="390"/>
      <c r="G188" s="390"/>
      <c r="H188" s="390"/>
    </row>
    <row r="189" spans="1:8">
      <c r="A189" s="390" t="s">
        <v>151</v>
      </c>
      <c r="B189" s="390"/>
      <c r="C189" s="390"/>
      <c r="D189" s="390"/>
      <c r="E189" s="390"/>
      <c r="F189" s="390"/>
      <c r="G189" s="390"/>
      <c r="H189" s="390"/>
    </row>
    <row r="190" spans="1:8">
      <c r="A190" s="390" t="s">
        <v>152</v>
      </c>
      <c r="B190" s="390"/>
      <c r="C190" s="390"/>
      <c r="D190" s="390"/>
      <c r="E190" s="390"/>
      <c r="F190" s="390"/>
      <c r="G190" s="390"/>
      <c r="H190" s="390"/>
    </row>
    <row r="191" spans="1:8">
      <c r="A191" s="390" t="s">
        <v>153</v>
      </c>
      <c r="B191" s="390"/>
      <c r="C191" s="390"/>
      <c r="D191" s="390"/>
      <c r="E191" s="390"/>
      <c r="F191" s="390"/>
      <c r="G191" s="390"/>
      <c r="H191" s="390"/>
    </row>
    <row r="192" spans="1:8">
      <c r="A192" s="390"/>
      <c r="B192" s="390"/>
      <c r="C192" s="390"/>
      <c r="D192" s="390"/>
      <c r="E192" s="390"/>
      <c r="F192" s="390"/>
      <c r="G192" s="390"/>
      <c r="H192" s="390"/>
    </row>
    <row r="193" spans="1:8">
      <c r="A193" s="390" t="s">
        <v>57</v>
      </c>
      <c r="B193" s="390"/>
      <c r="C193" s="390"/>
      <c r="D193" s="390"/>
      <c r="E193" s="390"/>
      <c r="F193" s="390"/>
      <c r="G193" s="390"/>
      <c r="H193" s="390"/>
    </row>
    <row r="194" spans="1:8">
      <c r="A194" s="390"/>
      <c r="B194" s="390"/>
      <c r="C194" s="390"/>
      <c r="D194" s="390"/>
      <c r="E194" s="390"/>
      <c r="F194" s="390"/>
      <c r="G194" s="390"/>
      <c r="H194" s="390"/>
    </row>
    <row r="195" ht="15.75" spans="1:8">
      <c r="A195" s="393" t="s">
        <v>154</v>
      </c>
      <c r="B195" s="390"/>
      <c r="C195" s="390"/>
      <c r="D195" s="390"/>
      <c r="E195" s="390"/>
      <c r="F195" s="390"/>
      <c r="G195" s="390"/>
      <c r="H195" s="390"/>
    </row>
    <row r="196" spans="1:8">
      <c r="A196" s="390"/>
      <c r="B196" s="390"/>
      <c r="C196" s="390"/>
      <c r="D196" s="390"/>
      <c r="E196" s="390"/>
      <c r="F196" s="390"/>
      <c r="G196" s="390"/>
      <c r="H196" s="390"/>
    </row>
    <row r="197" spans="1:8">
      <c r="A197" s="390"/>
      <c r="B197" s="390"/>
      <c r="C197" s="390"/>
      <c r="D197" s="390"/>
      <c r="E197" s="390"/>
      <c r="F197" s="390"/>
      <c r="G197" s="390"/>
      <c r="H197" s="390"/>
    </row>
    <row r="198" spans="1:8">
      <c r="A198" s="390"/>
      <c r="B198" s="390"/>
      <c r="C198" s="390"/>
      <c r="D198" s="390"/>
      <c r="E198" s="390"/>
      <c r="F198" s="390"/>
      <c r="G198" s="390"/>
      <c r="H198" s="390"/>
    </row>
    <row r="199" spans="1:8">
      <c r="A199" s="390"/>
      <c r="B199" s="390"/>
      <c r="C199" s="390"/>
      <c r="D199" s="390"/>
      <c r="E199" s="390"/>
      <c r="F199" s="390"/>
      <c r="G199" s="390"/>
      <c r="H199" s="390"/>
    </row>
    <row r="200" spans="1:8">
      <c r="A200" s="390"/>
      <c r="B200" s="390"/>
      <c r="C200" s="390"/>
      <c r="D200" s="390"/>
      <c r="E200" s="390"/>
      <c r="F200" s="390"/>
      <c r="G200" s="390"/>
      <c r="H200" s="390"/>
    </row>
    <row r="201" spans="1:8">
      <c r="A201" s="390"/>
      <c r="B201" s="390"/>
      <c r="C201" s="390"/>
      <c r="D201" s="390"/>
      <c r="E201" s="390"/>
      <c r="F201" s="390"/>
      <c r="G201" s="390"/>
      <c r="H201" s="390"/>
    </row>
    <row r="202" spans="1:8">
      <c r="A202" s="390"/>
      <c r="B202" s="390"/>
      <c r="C202" s="390"/>
      <c r="D202" s="390"/>
      <c r="E202" s="390"/>
      <c r="F202" s="390"/>
      <c r="G202" s="390"/>
      <c r="H202" s="390"/>
    </row>
    <row r="203" spans="1:8">
      <c r="A203" s="390"/>
      <c r="B203" s="390"/>
      <c r="C203" s="390"/>
      <c r="D203" s="390"/>
      <c r="E203" s="390"/>
      <c r="F203" s="390"/>
      <c r="G203" s="390"/>
      <c r="H203" s="390"/>
    </row>
    <row r="204" spans="1:8">
      <c r="A204" s="390"/>
      <c r="B204" s="390"/>
      <c r="C204" s="390"/>
      <c r="D204" s="390"/>
      <c r="E204" s="390"/>
      <c r="F204" s="390"/>
      <c r="G204" s="390"/>
      <c r="H204" s="390"/>
    </row>
    <row r="205" spans="1:8">
      <c r="A205" s="390"/>
      <c r="B205" s="390"/>
      <c r="C205" s="390"/>
      <c r="D205" s="390"/>
      <c r="E205" s="390"/>
      <c r="F205" s="390"/>
      <c r="G205" s="390"/>
      <c r="H205" s="390"/>
    </row>
    <row r="206" spans="1:8">
      <c r="A206" s="390"/>
      <c r="B206" s="390"/>
      <c r="C206" s="390"/>
      <c r="D206" s="390"/>
      <c r="E206" s="390"/>
      <c r="F206" s="390"/>
      <c r="G206" s="390"/>
      <c r="H206" s="390"/>
    </row>
    <row r="207" spans="1:8">
      <c r="A207" s="390"/>
      <c r="B207" s="390"/>
      <c r="C207" s="390"/>
      <c r="D207" s="390"/>
      <c r="E207" s="390"/>
      <c r="F207" s="390"/>
      <c r="G207" s="390"/>
      <c r="H207" s="390"/>
    </row>
    <row r="208" spans="1:8">
      <c r="A208" s="390"/>
      <c r="B208" s="390"/>
      <c r="C208" s="390"/>
      <c r="D208" s="390"/>
      <c r="E208" s="390"/>
      <c r="F208" s="390"/>
      <c r="G208" s="390"/>
      <c r="H208" s="390"/>
    </row>
    <row r="209" spans="1:8">
      <c r="A209" s="390"/>
      <c r="B209" s="390"/>
      <c r="C209" s="390"/>
      <c r="D209" s="390"/>
      <c r="E209" s="390"/>
      <c r="F209" s="390"/>
      <c r="G209" s="390"/>
      <c r="H209" s="390"/>
    </row>
    <row r="210" spans="1:8">
      <c r="A210" s="390"/>
      <c r="B210" s="390"/>
      <c r="C210" s="390"/>
      <c r="D210" s="390"/>
      <c r="E210" s="390"/>
      <c r="F210" s="390"/>
      <c r="G210" s="390"/>
      <c r="H210" s="390"/>
    </row>
    <row r="211" spans="1:8">
      <c r="A211" s="390"/>
      <c r="B211" s="390"/>
      <c r="C211" s="390"/>
      <c r="D211" s="390"/>
      <c r="E211" s="390"/>
      <c r="F211" s="390"/>
      <c r="G211" s="390"/>
      <c r="H211" s="390"/>
    </row>
    <row r="212" spans="1:8">
      <c r="A212" s="390"/>
      <c r="B212" s="390"/>
      <c r="C212" s="390"/>
      <c r="D212" s="390"/>
      <c r="E212" s="390"/>
      <c r="F212" s="390"/>
      <c r="G212" s="390"/>
      <c r="H212" s="390"/>
    </row>
    <row r="213" spans="1:8">
      <c r="A213" s="390"/>
      <c r="B213" s="390"/>
      <c r="C213" s="390"/>
      <c r="D213" s="390"/>
      <c r="E213" s="390"/>
      <c r="F213" s="390"/>
      <c r="G213" s="390"/>
      <c r="H213" s="390"/>
    </row>
    <row r="214" spans="1:8">
      <c r="A214" s="390"/>
      <c r="B214" s="390"/>
      <c r="C214" s="390"/>
      <c r="D214" s="390"/>
      <c r="E214" s="390"/>
      <c r="F214" s="390"/>
      <c r="G214" s="390"/>
      <c r="H214" s="390"/>
    </row>
    <row r="215" spans="1:8">
      <c r="A215" s="390"/>
      <c r="B215" s="390"/>
      <c r="C215" s="390"/>
      <c r="D215" s="390"/>
      <c r="E215" s="390"/>
      <c r="F215" s="390"/>
      <c r="G215" s="390"/>
      <c r="H215" s="390"/>
    </row>
    <row r="216" spans="1:8">
      <c r="A216" s="390"/>
      <c r="B216" s="390"/>
      <c r="C216" s="390"/>
      <c r="D216" s="390"/>
      <c r="E216" s="390"/>
      <c r="F216" s="390"/>
      <c r="G216" s="390"/>
      <c r="H216" s="390"/>
    </row>
    <row r="217" spans="1:8">
      <c r="A217" s="390"/>
      <c r="B217" s="390"/>
      <c r="C217" s="390"/>
      <c r="D217" s="390"/>
      <c r="E217" s="390"/>
      <c r="F217" s="390"/>
      <c r="G217" s="390"/>
      <c r="H217" s="390"/>
    </row>
    <row r="218" spans="1:8">
      <c r="A218" s="390"/>
      <c r="B218" s="390"/>
      <c r="C218" s="390"/>
      <c r="D218" s="390"/>
      <c r="E218" s="390"/>
      <c r="F218" s="390"/>
      <c r="G218" s="390"/>
      <c r="H218" s="390"/>
    </row>
    <row r="219" spans="1:8">
      <c r="A219" s="390"/>
      <c r="B219" s="390"/>
      <c r="C219" s="390"/>
      <c r="D219" s="390"/>
      <c r="E219" s="390"/>
      <c r="F219" s="390"/>
      <c r="G219" s="390"/>
      <c r="H219" s="390"/>
    </row>
    <row r="220" spans="1:8">
      <c r="A220" s="390"/>
      <c r="B220" s="390"/>
      <c r="C220" s="390"/>
      <c r="D220" s="390"/>
      <c r="E220" s="390"/>
      <c r="F220" s="390"/>
      <c r="G220" s="390"/>
      <c r="H220" s="390"/>
    </row>
    <row r="221" spans="1:8">
      <c r="A221" s="390"/>
      <c r="B221" s="390"/>
      <c r="C221" s="390"/>
      <c r="D221" s="390"/>
      <c r="E221" s="390"/>
      <c r="F221" s="390"/>
      <c r="G221" s="390"/>
      <c r="H221" s="390"/>
    </row>
    <row r="222" spans="1:8">
      <c r="A222" s="390"/>
      <c r="B222" s="390"/>
      <c r="C222" s="390"/>
      <c r="D222" s="390"/>
      <c r="E222" s="390"/>
      <c r="F222" s="390"/>
      <c r="G222" s="390"/>
      <c r="H222" s="390"/>
    </row>
    <row r="223" spans="1:8">
      <c r="A223" s="390"/>
      <c r="B223" s="390"/>
      <c r="C223" s="390"/>
      <c r="D223" s="390"/>
      <c r="E223" s="390"/>
      <c r="F223" s="390"/>
      <c r="G223" s="390"/>
      <c r="H223" s="390"/>
    </row>
    <row r="224" ht="15.75" spans="1:8">
      <c r="A224" s="393" t="s">
        <v>155</v>
      </c>
      <c r="B224" s="390"/>
      <c r="C224" s="390"/>
      <c r="D224" s="390"/>
      <c r="E224" s="390"/>
      <c r="F224" s="390"/>
      <c r="G224" s="390"/>
      <c r="H224" s="390"/>
    </row>
    <row r="225" spans="1:8">
      <c r="A225" s="390"/>
      <c r="B225" s="390"/>
      <c r="C225" s="390"/>
      <c r="D225" s="390"/>
      <c r="E225" s="390"/>
      <c r="F225" s="390"/>
      <c r="G225" s="390"/>
      <c r="H225" s="390"/>
    </row>
    <row r="226" spans="1:8">
      <c r="A226" s="390" t="s">
        <v>156</v>
      </c>
      <c r="B226" s="390"/>
      <c r="C226" s="390"/>
      <c r="D226" s="390"/>
      <c r="E226" s="390"/>
      <c r="F226" s="390"/>
      <c r="G226" s="390"/>
      <c r="H226" s="390"/>
    </row>
    <row r="227" spans="1:8">
      <c r="A227" s="390" t="s">
        <v>157</v>
      </c>
      <c r="B227" s="390"/>
      <c r="C227" s="390"/>
      <c r="D227" s="390"/>
      <c r="E227" s="390"/>
      <c r="F227" s="390"/>
      <c r="G227" s="390"/>
      <c r="H227" s="390"/>
    </row>
    <row r="228" spans="1:8">
      <c r="A228" s="390" t="s">
        <v>158</v>
      </c>
      <c r="B228" s="390"/>
      <c r="C228" s="390"/>
      <c r="D228" s="390"/>
      <c r="E228" s="390"/>
      <c r="F228" s="390"/>
      <c r="G228" s="390"/>
      <c r="H228" s="390"/>
    </row>
    <row r="229" spans="1:8">
      <c r="A229" s="390" t="s">
        <v>159</v>
      </c>
      <c r="B229" s="390"/>
      <c r="C229" s="390"/>
      <c r="D229" s="390"/>
      <c r="E229" s="390"/>
      <c r="F229" s="390"/>
      <c r="G229" s="390"/>
      <c r="H229" s="390"/>
    </row>
    <row r="230" spans="1:8">
      <c r="A230" s="390" t="s">
        <v>160</v>
      </c>
      <c r="B230" s="390"/>
      <c r="C230" s="390"/>
      <c r="D230" s="390"/>
      <c r="E230" s="390"/>
      <c r="F230" s="390"/>
      <c r="G230" s="390"/>
      <c r="H230" s="390"/>
    </row>
    <row r="231" spans="1:8">
      <c r="A231" s="390"/>
      <c r="B231" s="390"/>
      <c r="C231" s="390"/>
      <c r="D231" s="390"/>
      <c r="E231" s="390"/>
      <c r="F231" s="390"/>
      <c r="G231" s="390"/>
      <c r="H231" s="390"/>
    </row>
    <row r="232" spans="1:8">
      <c r="A232" s="390" t="s">
        <v>161</v>
      </c>
      <c r="B232" s="390"/>
      <c r="C232" s="390"/>
      <c r="D232" s="390"/>
      <c r="E232" s="390"/>
      <c r="F232" s="390"/>
      <c r="G232" s="390"/>
      <c r="H232" s="390"/>
    </row>
    <row r="233" spans="1:8">
      <c r="A233" s="390" t="s">
        <v>162</v>
      </c>
      <c r="B233" s="390"/>
      <c r="C233" s="390"/>
      <c r="D233" s="390"/>
      <c r="E233" s="390"/>
      <c r="F233" s="390"/>
      <c r="G233" s="390"/>
      <c r="H233" s="390"/>
    </row>
    <row r="234" spans="1:8">
      <c r="A234" s="390" t="s">
        <v>163</v>
      </c>
      <c r="B234" s="390"/>
      <c r="C234" s="390"/>
      <c r="D234" s="390"/>
      <c r="E234" s="390"/>
      <c r="F234" s="390"/>
      <c r="G234" s="390"/>
      <c r="H234" s="390"/>
    </row>
    <row r="235" spans="1:8">
      <c r="A235" s="390"/>
      <c r="B235" s="390"/>
      <c r="C235" s="390"/>
      <c r="D235" s="390"/>
      <c r="E235" s="390"/>
      <c r="F235" s="390"/>
      <c r="G235" s="390"/>
      <c r="H235" s="390"/>
    </row>
    <row r="236" ht="15.75" spans="1:8">
      <c r="A236" s="393" t="s">
        <v>164</v>
      </c>
      <c r="B236" s="390"/>
      <c r="C236" s="390"/>
      <c r="D236" s="390"/>
      <c r="E236" s="390"/>
      <c r="F236" s="390"/>
      <c r="G236" s="390"/>
      <c r="H236" s="390"/>
    </row>
    <row r="237" spans="1:8">
      <c r="A237" s="390"/>
      <c r="B237" s="390"/>
      <c r="C237" s="390"/>
      <c r="D237" s="390"/>
      <c r="E237" s="390"/>
      <c r="F237" s="390"/>
      <c r="G237" s="390"/>
      <c r="H237" s="390"/>
    </row>
    <row r="238" spans="1:8">
      <c r="A238" s="390" t="s">
        <v>165</v>
      </c>
      <c r="B238" s="390"/>
      <c r="C238" s="390"/>
      <c r="D238" s="390"/>
      <c r="E238" s="390"/>
      <c r="F238" s="390"/>
      <c r="G238" s="390"/>
      <c r="H238" s="390"/>
    </row>
    <row r="239" spans="1:8">
      <c r="A239" s="390" t="s">
        <v>166</v>
      </c>
      <c r="B239" s="390"/>
      <c r="C239" s="390"/>
      <c r="D239" s="390"/>
      <c r="E239" s="390"/>
      <c r="F239" s="390"/>
      <c r="G239" s="390"/>
      <c r="H239" s="390"/>
    </row>
    <row r="240" spans="1:8">
      <c r="A240" s="390" t="s">
        <v>167</v>
      </c>
      <c r="B240" s="390"/>
      <c r="C240" s="390"/>
      <c r="D240" s="390"/>
      <c r="E240" s="390"/>
      <c r="F240" s="390"/>
      <c r="G240" s="390"/>
      <c r="H240" s="390"/>
    </row>
    <row r="241" spans="1:8">
      <c r="A241" s="390" t="s">
        <v>168</v>
      </c>
      <c r="B241" s="390"/>
      <c r="C241" s="390"/>
      <c r="D241" s="390"/>
      <c r="E241" s="390"/>
      <c r="F241" s="390"/>
      <c r="G241" s="390"/>
      <c r="H241" s="390"/>
    </row>
    <row r="242" spans="1:8">
      <c r="A242" s="390" t="s">
        <v>169</v>
      </c>
      <c r="B242" s="390"/>
      <c r="C242" s="390"/>
      <c r="D242" s="390"/>
      <c r="E242" s="390"/>
      <c r="F242" s="390"/>
      <c r="G242" s="390"/>
      <c r="H242" s="390"/>
    </row>
    <row r="243" spans="1:8">
      <c r="A243" s="390" t="s">
        <v>170</v>
      </c>
      <c r="B243" s="390"/>
      <c r="C243" s="390"/>
      <c r="D243" s="390"/>
      <c r="E243" s="390"/>
      <c r="F243" s="390"/>
      <c r="G243" s="390"/>
      <c r="H243" s="390"/>
    </row>
    <row r="244" spans="1:8">
      <c r="A244" s="390" t="s">
        <v>171</v>
      </c>
      <c r="B244" s="390"/>
      <c r="C244" s="390"/>
      <c r="D244" s="390"/>
      <c r="E244" s="390"/>
      <c r="F244" s="390"/>
      <c r="G244" s="390"/>
      <c r="H244" s="390"/>
    </row>
    <row r="245" spans="1:8">
      <c r="A245" s="390"/>
      <c r="B245" s="390"/>
      <c r="C245" s="390"/>
      <c r="D245" s="390"/>
      <c r="E245" s="390"/>
      <c r="F245" s="390"/>
      <c r="G245" s="390"/>
      <c r="H245" s="390"/>
    </row>
    <row r="246" spans="1:8">
      <c r="A246" s="390" t="s">
        <v>172</v>
      </c>
      <c r="B246" s="390"/>
      <c r="C246" s="390"/>
      <c r="D246" s="390"/>
      <c r="E246" s="390"/>
      <c r="F246" s="390"/>
      <c r="G246" s="390"/>
      <c r="H246" s="390"/>
    </row>
    <row r="247" spans="1:8">
      <c r="A247" s="390" t="s">
        <v>173</v>
      </c>
      <c r="B247" s="390"/>
      <c r="C247" s="390"/>
      <c r="D247" s="390"/>
      <c r="E247" s="390"/>
      <c r="F247" s="390"/>
      <c r="G247" s="390"/>
      <c r="H247" s="390"/>
    </row>
    <row r="248" spans="1:8">
      <c r="A248" s="390" t="s">
        <v>174</v>
      </c>
      <c r="B248" s="390"/>
      <c r="C248" s="390"/>
      <c r="D248" s="390"/>
      <c r="E248" s="390"/>
      <c r="F248" s="390"/>
      <c r="G248" s="390"/>
      <c r="H248" s="390"/>
    </row>
    <row r="249" spans="1:8">
      <c r="A249" s="390"/>
      <c r="B249" s="390"/>
      <c r="C249" s="390"/>
      <c r="D249" s="390"/>
      <c r="E249" s="390"/>
      <c r="F249" s="390"/>
      <c r="G249" s="390"/>
      <c r="H249" s="390"/>
    </row>
    <row r="250" spans="1:8">
      <c r="A250" s="390" t="s">
        <v>175</v>
      </c>
      <c r="B250" s="390"/>
      <c r="C250" s="390"/>
      <c r="D250" s="390"/>
      <c r="E250" s="390"/>
      <c r="F250" s="390"/>
      <c r="G250" s="390"/>
      <c r="H250" s="390"/>
    </row>
    <row r="251" spans="1:8">
      <c r="A251" s="390" t="s">
        <v>176</v>
      </c>
      <c r="B251" s="390"/>
      <c r="C251" s="390"/>
      <c r="D251" s="390"/>
      <c r="E251" s="390"/>
      <c r="F251" s="390"/>
      <c r="G251" s="390"/>
      <c r="H251" s="390"/>
    </row>
    <row r="252" spans="1:8">
      <c r="A252" s="390" t="s">
        <v>177</v>
      </c>
      <c r="B252" s="390"/>
      <c r="C252" s="390"/>
      <c r="D252" s="390"/>
      <c r="E252" s="390"/>
      <c r="F252" s="390"/>
      <c r="G252" s="390"/>
      <c r="H252" s="390"/>
    </row>
    <row r="253" spans="1:8">
      <c r="A253" s="390" t="s">
        <v>178</v>
      </c>
      <c r="B253" s="390"/>
      <c r="C253" s="390"/>
      <c r="D253" s="390"/>
      <c r="E253" s="390"/>
      <c r="F253" s="390"/>
      <c r="G253" s="390"/>
      <c r="H253" s="390"/>
    </row>
    <row r="254" spans="1:8">
      <c r="A254" s="390" t="s">
        <v>179</v>
      </c>
      <c r="B254" s="390"/>
      <c r="C254" s="390"/>
      <c r="D254" s="390"/>
      <c r="E254" s="390"/>
      <c r="F254" s="390"/>
      <c r="G254" s="390"/>
      <c r="H254" s="390"/>
    </row>
    <row r="255" spans="1:8">
      <c r="A255" s="390"/>
      <c r="B255" s="390"/>
      <c r="C255" s="390"/>
      <c r="D255" s="390"/>
      <c r="E255" s="390"/>
      <c r="F255" s="390"/>
      <c r="G255" s="390"/>
      <c r="H255" s="390"/>
    </row>
    <row r="256" spans="1:8">
      <c r="A256" s="390" t="s">
        <v>180</v>
      </c>
      <c r="B256" s="390"/>
      <c r="C256" s="390"/>
      <c r="D256" s="390"/>
      <c r="E256" s="390"/>
      <c r="F256" s="390"/>
      <c r="G256" s="390"/>
      <c r="H256" s="390"/>
    </row>
    <row r="257" spans="1:8">
      <c r="A257" s="390" t="s">
        <v>181</v>
      </c>
      <c r="B257" s="390"/>
      <c r="C257" s="390"/>
      <c r="D257" s="390"/>
      <c r="E257" s="390"/>
      <c r="F257" s="390"/>
      <c r="G257" s="390"/>
      <c r="H257" s="390"/>
    </row>
    <row r="258" spans="1:8">
      <c r="A258" s="390" t="s">
        <v>182</v>
      </c>
      <c r="B258" s="390"/>
      <c r="C258" s="390"/>
      <c r="D258" s="390"/>
      <c r="E258" s="390"/>
      <c r="F258" s="390"/>
      <c r="G258" s="390"/>
      <c r="H258" s="390"/>
    </row>
    <row r="259" spans="1:8">
      <c r="A259" s="390" t="s">
        <v>183</v>
      </c>
      <c r="B259" s="390"/>
      <c r="C259" s="390"/>
      <c r="D259" s="390"/>
      <c r="E259" s="390"/>
      <c r="F259" s="390"/>
      <c r="G259" s="390"/>
      <c r="H259" s="390"/>
    </row>
    <row r="260" spans="1:8">
      <c r="A260" s="390" t="s">
        <v>184</v>
      </c>
      <c r="B260" s="390"/>
      <c r="C260" s="390"/>
      <c r="D260" s="390"/>
      <c r="E260" s="390"/>
      <c r="F260" s="390"/>
      <c r="G260" s="390"/>
      <c r="H260" s="390"/>
    </row>
    <row r="261" spans="1:8">
      <c r="A261" s="390" t="s">
        <v>185</v>
      </c>
      <c r="B261" s="390"/>
      <c r="C261" s="390"/>
      <c r="D261" s="390"/>
      <c r="E261" s="390"/>
      <c r="F261" s="390"/>
      <c r="G261" s="390"/>
      <c r="H261" s="390"/>
    </row>
    <row r="262" spans="1:8">
      <c r="A262" s="390"/>
      <c r="B262" s="390"/>
      <c r="C262" s="390"/>
      <c r="D262" s="390"/>
      <c r="E262" s="390"/>
      <c r="F262" s="390"/>
      <c r="G262" s="390"/>
      <c r="H262" s="390"/>
    </row>
    <row r="263" spans="1:8">
      <c r="A263" s="390" t="s">
        <v>186</v>
      </c>
      <c r="B263" s="390"/>
      <c r="C263" s="390"/>
      <c r="D263" s="390"/>
      <c r="E263" s="390"/>
      <c r="F263" s="390"/>
      <c r="G263" s="390"/>
      <c r="H263" s="390"/>
    </row>
    <row r="264" spans="1:8">
      <c r="A264" s="390" t="s">
        <v>187</v>
      </c>
      <c r="B264" s="390"/>
      <c r="C264" s="390"/>
      <c r="D264" s="390"/>
      <c r="E264" s="390"/>
      <c r="F264" s="390"/>
      <c r="G264" s="390"/>
      <c r="H264" s="390"/>
    </row>
    <row r="265" spans="1:8">
      <c r="A265" s="390" t="s">
        <v>188</v>
      </c>
      <c r="B265" s="390"/>
      <c r="C265" s="390"/>
      <c r="D265" s="390"/>
      <c r="E265" s="390"/>
      <c r="F265" s="390"/>
      <c r="G265" s="390"/>
      <c r="H265" s="390"/>
    </row>
    <row r="266" spans="1:8">
      <c r="A266" s="390" t="s">
        <v>189</v>
      </c>
      <c r="B266" s="390"/>
      <c r="C266" s="390"/>
      <c r="D266" s="390"/>
      <c r="E266" s="390"/>
      <c r="F266" s="390"/>
      <c r="G266" s="390"/>
      <c r="H266" s="390"/>
    </row>
    <row r="267" spans="1:8">
      <c r="A267" s="390" t="s">
        <v>190</v>
      </c>
      <c r="B267" s="390"/>
      <c r="C267" s="390"/>
      <c r="D267" s="390"/>
      <c r="E267" s="390"/>
      <c r="F267" s="390"/>
      <c r="G267" s="390"/>
      <c r="H267" s="390"/>
    </row>
    <row r="268" spans="1:8">
      <c r="A268" s="390" t="s">
        <v>191</v>
      </c>
      <c r="B268" s="390"/>
      <c r="C268" s="390"/>
      <c r="D268" s="390"/>
      <c r="E268" s="390"/>
      <c r="F268" s="390"/>
      <c r="G268" s="390"/>
      <c r="H268" s="390"/>
    </row>
    <row r="269" spans="1:8">
      <c r="A269" s="390" t="s">
        <v>192</v>
      </c>
      <c r="B269" s="390"/>
      <c r="C269" s="390"/>
      <c r="D269" s="390"/>
      <c r="E269" s="390"/>
      <c r="F269" s="390"/>
      <c r="G269" s="390"/>
      <c r="H269" s="390"/>
    </row>
    <row r="270" spans="1:8">
      <c r="A270" s="390" t="s">
        <v>193</v>
      </c>
      <c r="B270" s="390"/>
      <c r="C270" s="390"/>
      <c r="D270" s="390"/>
      <c r="E270" s="390"/>
      <c r="F270" s="390"/>
      <c r="G270" s="390"/>
      <c r="H270" s="390"/>
    </row>
    <row r="271" spans="1:8">
      <c r="A271" s="390" t="s">
        <v>194</v>
      </c>
      <c r="B271" s="390"/>
      <c r="C271" s="390"/>
      <c r="D271" s="390"/>
      <c r="E271" s="390"/>
      <c r="F271" s="390"/>
      <c r="G271" s="390"/>
      <c r="H271" s="390"/>
    </row>
    <row r="272" spans="1:8">
      <c r="A272" s="390" t="s">
        <v>195</v>
      </c>
      <c r="B272" s="390"/>
      <c r="C272" s="390"/>
      <c r="D272" s="390"/>
      <c r="E272" s="390"/>
      <c r="F272" s="390"/>
      <c r="G272" s="390"/>
      <c r="H272" s="390"/>
    </row>
    <row r="273" spans="1:8">
      <c r="A273" s="390" t="s">
        <v>196</v>
      </c>
      <c r="B273" s="390"/>
      <c r="C273" s="390"/>
      <c r="D273" s="390"/>
      <c r="E273" s="390"/>
      <c r="F273" s="390"/>
      <c r="G273" s="390"/>
      <c r="H273" s="390"/>
    </row>
    <row r="274" spans="1:8">
      <c r="A274" s="390" t="s">
        <v>197</v>
      </c>
      <c r="B274" s="390"/>
      <c r="C274" s="390"/>
      <c r="D274" s="390"/>
      <c r="E274" s="390"/>
      <c r="F274" s="390"/>
      <c r="G274" s="390"/>
      <c r="H274" s="390"/>
    </row>
    <row r="275" spans="1:8">
      <c r="A275" s="390" t="s">
        <v>198</v>
      </c>
      <c r="B275" s="390"/>
      <c r="C275" s="390"/>
      <c r="D275" s="390"/>
      <c r="E275" s="390"/>
      <c r="F275" s="390"/>
      <c r="G275" s="390"/>
      <c r="H275" s="390"/>
    </row>
    <row r="276" spans="1:8">
      <c r="A276" s="390" t="s">
        <v>199</v>
      </c>
      <c r="B276" s="390"/>
      <c r="C276" s="390"/>
      <c r="D276" s="390"/>
      <c r="E276" s="390"/>
      <c r="F276" s="390"/>
      <c r="G276" s="390"/>
      <c r="H276" s="390"/>
    </row>
    <row r="277" spans="1:8">
      <c r="A277" s="390"/>
      <c r="B277" s="390"/>
      <c r="C277" s="390"/>
      <c r="D277" s="390"/>
      <c r="E277" s="390"/>
      <c r="F277" s="390"/>
      <c r="G277" s="390"/>
      <c r="H277" s="390"/>
    </row>
    <row r="278" spans="1:8">
      <c r="A278" s="390" t="s">
        <v>200</v>
      </c>
      <c r="B278" s="390"/>
      <c r="C278" s="390"/>
      <c r="D278" s="390"/>
      <c r="E278" s="390"/>
      <c r="F278" s="390"/>
      <c r="G278" s="390"/>
      <c r="H278" s="390"/>
    </row>
    <row r="279" spans="1:8">
      <c r="A279" s="390" t="s">
        <v>201</v>
      </c>
      <c r="B279" s="390"/>
      <c r="C279" s="390"/>
      <c r="D279" s="390"/>
      <c r="E279" s="390"/>
      <c r="F279" s="390"/>
      <c r="G279" s="390"/>
      <c r="H279" s="390"/>
    </row>
    <row r="280" spans="1:8">
      <c r="A280" s="390"/>
      <c r="B280" s="390"/>
      <c r="C280" s="390"/>
      <c r="D280" s="390"/>
      <c r="E280" s="390"/>
      <c r="F280" s="390"/>
      <c r="G280" s="390"/>
      <c r="H280" s="390"/>
    </row>
    <row r="281" spans="1:8">
      <c r="A281" s="390" t="s">
        <v>202</v>
      </c>
      <c r="B281" s="390"/>
      <c r="C281" s="390"/>
      <c r="D281" s="390"/>
      <c r="E281" s="390"/>
      <c r="F281" s="390"/>
      <c r="G281" s="390"/>
      <c r="H281" s="390"/>
    </row>
    <row r="282" spans="1:8">
      <c r="A282" s="390" t="s">
        <v>203</v>
      </c>
      <c r="B282" s="390"/>
      <c r="C282" s="390"/>
      <c r="D282" s="390"/>
      <c r="E282" s="390"/>
      <c r="F282" s="390"/>
      <c r="G282" s="390"/>
      <c r="H282" s="390"/>
    </row>
    <row r="283" spans="1:8">
      <c r="A283" s="390" t="s">
        <v>204</v>
      </c>
      <c r="B283" s="390"/>
      <c r="C283" s="390"/>
      <c r="D283" s="390"/>
      <c r="E283" s="390"/>
      <c r="F283" s="390"/>
      <c r="G283" s="390"/>
      <c r="H283" s="390"/>
    </row>
    <row r="284" spans="1:8">
      <c r="A284" s="390" t="s">
        <v>205</v>
      </c>
      <c r="B284" s="390"/>
      <c r="C284" s="390"/>
      <c r="D284" s="390"/>
      <c r="E284" s="390"/>
      <c r="F284" s="390"/>
      <c r="G284" s="390"/>
      <c r="H284" s="390"/>
    </row>
    <row r="285" spans="1:8">
      <c r="A285" s="390" t="s">
        <v>206</v>
      </c>
      <c r="B285" s="390"/>
      <c r="C285" s="390"/>
      <c r="D285" s="390"/>
      <c r="E285" s="390"/>
      <c r="F285" s="390"/>
      <c r="G285" s="390"/>
      <c r="H285" s="390"/>
    </row>
    <row r="286" spans="1:8">
      <c r="A286" s="390" t="s">
        <v>207</v>
      </c>
      <c r="B286" s="390"/>
      <c r="C286" s="390"/>
      <c r="D286" s="390"/>
      <c r="E286" s="390"/>
      <c r="F286" s="390"/>
      <c r="G286" s="390"/>
      <c r="H286" s="390"/>
    </row>
    <row r="287" spans="1:8">
      <c r="A287" s="390" t="s">
        <v>208</v>
      </c>
      <c r="B287" s="390"/>
      <c r="C287" s="390"/>
      <c r="D287" s="390"/>
      <c r="E287" s="390"/>
      <c r="F287" s="390"/>
      <c r="G287" s="390"/>
      <c r="H287" s="390"/>
    </row>
    <row r="288" spans="1:8">
      <c r="A288" s="390" t="s">
        <v>209</v>
      </c>
      <c r="B288" s="390"/>
      <c r="C288" s="390"/>
      <c r="D288" s="390"/>
      <c r="E288" s="390"/>
      <c r="F288" s="390"/>
      <c r="G288" s="390"/>
      <c r="H288" s="390"/>
    </row>
    <row r="289" spans="1:8">
      <c r="A289" s="390" t="s">
        <v>210</v>
      </c>
      <c r="B289" s="390"/>
      <c r="C289" s="390"/>
      <c r="D289" s="390"/>
      <c r="E289" s="390"/>
      <c r="F289" s="390"/>
      <c r="G289" s="390"/>
      <c r="H289" s="390"/>
    </row>
    <row r="290" spans="1:8">
      <c r="A290" s="390" t="s">
        <v>211</v>
      </c>
      <c r="B290" s="390"/>
      <c r="C290" s="390"/>
      <c r="D290" s="390"/>
      <c r="E290" s="390"/>
      <c r="F290" s="390"/>
      <c r="G290" s="390"/>
      <c r="H290" s="390"/>
    </row>
    <row r="291" spans="1:8">
      <c r="A291" s="390" t="s">
        <v>212</v>
      </c>
      <c r="B291" s="390"/>
      <c r="C291" s="390"/>
      <c r="D291" s="390"/>
      <c r="E291" s="390"/>
      <c r="F291" s="390"/>
      <c r="G291" s="390"/>
      <c r="H291" s="390"/>
    </row>
    <row r="292" spans="1:8">
      <c r="A292" s="390" t="s">
        <v>213</v>
      </c>
      <c r="B292" s="390"/>
      <c r="C292" s="390"/>
      <c r="D292" s="390"/>
      <c r="E292" s="390"/>
      <c r="F292" s="390"/>
      <c r="G292" s="390"/>
      <c r="H292" s="390"/>
    </row>
    <row r="293" spans="1:8">
      <c r="A293" s="390" t="s">
        <v>214</v>
      </c>
      <c r="B293" s="390"/>
      <c r="C293" s="390"/>
      <c r="D293" s="390"/>
      <c r="E293" s="390"/>
      <c r="F293" s="390"/>
      <c r="G293" s="390"/>
      <c r="H293" s="390"/>
    </row>
    <row r="294" spans="1:8">
      <c r="A294" s="390" t="s">
        <v>215</v>
      </c>
      <c r="B294" s="390"/>
      <c r="C294" s="390"/>
      <c r="D294" s="390"/>
      <c r="E294" s="390"/>
      <c r="F294" s="390"/>
      <c r="G294" s="390"/>
      <c r="H294" s="390"/>
    </row>
    <row r="295" spans="1:8">
      <c r="A295" s="390" t="s">
        <v>216</v>
      </c>
      <c r="B295" s="390"/>
      <c r="C295" s="390"/>
      <c r="D295" s="390"/>
      <c r="E295" s="390"/>
      <c r="F295" s="390"/>
      <c r="G295" s="390"/>
      <c r="H295" s="390"/>
    </row>
    <row r="296" spans="1:8">
      <c r="A296" s="390" t="s">
        <v>217</v>
      </c>
      <c r="B296" s="390"/>
      <c r="C296" s="390"/>
      <c r="D296" s="390"/>
      <c r="E296" s="390"/>
      <c r="F296" s="390"/>
      <c r="G296" s="390"/>
      <c r="H296" s="390"/>
    </row>
    <row r="297" spans="1:8">
      <c r="A297" s="390"/>
      <c r="B297" s="390"/>
      <c r="C297" s="390"/>
      <c r="D297" s="390"/>
      <c r="E297" s="390"/>
      <c r="F297" s="390"/>
      <c r="G297" s="390"/>
      <c r="H297" s="390"/>
    </row>
    <row r="298" spans="1:8">
      <c r="A298" s="390" t="s">
        <v>218</v>
      </c>
      <c r="B298" s="390"/>
      <c r="C298" s="390"/>
      <c r="D298" s="390"/>
      <c r="E298" s="390"/>
      <c r="F298" s="390"/>
      <c r="G298" s="390"/>
      <c r="H298" s="390"/>
    </row>
    <row r="299" spans="1:8">
      <c r="A299" s="390" t="s">
        <v>219</v>
      </c>
      <c r="B299" s="390"/>
      <c r="C299" s="390"/>
      <c r="D299" s="390"/>
      <c r="E299" s="390"/>
      <c r="F299" s="390"/>
      <c r="G299" s="390"/>
      <c r="H299" s="390"/>
    </row>
    <row r="300" spans="1:8">
      <c r="A300" s="390" t="s">
        <v>220</v>
      </c>
      <c r="B300" s="390"/>
      <c r="C300" s="390"/>
      <c r="D300" s="390"/>
      <c r="E300" s="390"/>
      <c r="F300" s="390"/>
      <c r="G300" s="390"/>
      <c r="H300" s="390"/>
    </row>
    <row r="301" spans="1:8">
      <c r="A301" s="390" t="s">
        <v>221</v>
      </c>
      <c r="B301" s="390"/>
      <c r="C301" s="390"/>
      <c r="D301" s="390"/>
      <c r="E301" s="390"/>
      <c r="F301" s="390"/>
      <c r="G301" s="390"/>
      <c r="H301" s="390"/>
    </row>
    <row r="302" spans="1:8">
      <c r="A302" s="390" t="s">
        <v>222</v>
      </c>
      <c r="B302" s="390"/>
      <c r="C302" s="390"/>
      <c r="D302" s="390"/>
      <c r="E302" s="390"/>
      <c r="F302" s="390"/>
      <c r="G302" s="390"/>
      <c r="H302" s="390"/>
    </row>
    <row r="303" spans="1:8">
      <c r="A303" s="390" t="s">
        <v>223</v>
      </c>
      <c r="B303" s="390"/>
      <c r="C303" s="390"/>
      <c r="D303" s="390"/>
      <c r="E303" s="390"/>
      <c r="F303" s="390"/>
      <c r="G303" s="390"/>
      <c r="H303" s="390"/>
    </row>
    <row r="304" spans="1:8">
      <c r="A304" s="390" t="s">
        <v>81</v>
      </c>
      <c r="B304" s="390"/>
      <c r="C304" s="390"/>
      <c r="D304" s="390"/>
      <c r="E304" s="390"/>
      <c r="F304" s="390"/>
      <c r="G304" s="390"/>
      <c r="H304" s="390"/>
    </row>
    <row r="305" spans="1:8">
      <c r="A305" s="390"/>
      <c r="B305" s="390"/>
      <c r="C305" s="390"/>
      <c r="D305" s="390"/>
      <c r="E305" s="390"/>
      <c r="F305" s="390"/>
      <c r="G305" s="390"/>
      <c r="H305" s="390"/>
    </row>
    <row r="306" spans="1:8">
      <c r="A306" s="390" t="s">
        <v>224</v>
      </c>
      <c r="B306" s="390"/>
      <c r="C306" s="390"/>
      <c r="D306" s="390"/>
      <c r="E306" s="390"/>
      <c r="F306" s="390"/>
      <c r="G306" s="390"/>
      <c r="H306" s="390"/>
    </row>
    <row r="307" spans="1:8">
      <c r="A307" s="390" t="s">
        <v>225</v>
      </c>
      <c r="B307" s="390"/>
      <c r="C307" s="390"/>
      <c r="D307" s="390"/>
      <c r="E307" s="390"/>
      <c r="F307" s="390"/>
      <c r="G307" s="390"/>
      <c r="H307" s="390"/>
    </row>
    <row r="308" spans="1:8">
      <c r="A308" s="390" t="s">
        <v>226</v>
      </c>
      <c r="B308" s="390"/>
      <c r="C308" s="390"/>
      <c r="D308" s="390"/>
      <c r="E308" s="390"/>
      <c r="F308" s="390"/>
      <c r="G308" s="390"/>
      <c r="H308" s="390"/>
    </row>
    <row r="309" spans="1:8">
      <c r="A309" s="390" t="s">
        <v>227</v>
      </c>
      <c r="B309" s="390"/>
      <c r="C309" s="390"/>
      <c r="D309" s="390"/>
      <c r="E309" s="390"/>
      <c r="F309" s="390"/>
      <c r="G309" s="390"/>
      <c r="H309" s="390"/>
    </row>
    <row r="310" spans="1:8">
      <c r="A310" s="390" t="s">
        <v>228</v>
      </c>
      <c r="B310" s="390"/>
      <c r="C310" s="390"/>
      <c r="D310" s="390"/>
      <c r="E310" s="390"/>
      <c r="F310" s="390"/>
      <c r="G310" s="390"/>
      <c r="H310" s="390"/>
    </row>
    <row r="311" spans="1:8">
      <c r="A311" s="390" t="s">
        <v>229</v>
      </c>
      <c r="B311" s="390"/>
      <c r="C311" s="390"/>
      <c r="D311" s="390"/>
      <c r="E311" s="390"/>
      <c r="F311" s="390"/>
      <c r="G311" s="390"/>
      <c r="H311" s="390"/>
    </row>
    <row r="312" spans="1:8">
      <c r="A312" s="390" t="s">
        <v>230</v>
      </c>
      <c r="B312" s="390"/>
      <c r="C312" s="390"/>
      <c r="D312" s="390"/>
      <c r="E312" s="390"/>
      <c r="F312" s="390"/>
      <c r="G312" s="390"/>
      <c r="H312" s="390"/>
    </row>
    <row r="313" spans="1:8">
      <c r="A313" s="390" t="s">
        <v>231</v>
      </c>
      <c r="B313" s="390"/>
      <c r="C313" s="390"/>
      <c r="D313" s="390"/>
      <c r="E313" s="390"/>
      <c r="F313" s="390"/>
      <c r="G313" s="390"/>
      <c r="H313" s="390"/>
    </row>
    <row r="314" spans="1:8">
      <c r="A314" s="390" t="s">
        <v>232</v>
      </c>
      <c r="B314" s="390"/>
      <c r="C314" s="390"/>
      <c r="D314" s="390"/>
      <c r="E314" s="390"/>
      <c r="F314" s="390"/>
      <c r="G314" s="390"/>
      <c r="H314" s="390"/>
    </row>
    <row r="315" spans="1:8">
      <c r="A315" s="390"/>
      <c r="B315" s="390"/>
      <c r="C315" s="390"/>
      <c r="D315" s="390"/>
      <c r="E315" s="390"/>
      <c r="F315" s="390"/>
      <c r="G315" s="390"/>
      <c r="H315" s="390"/>
    </row>
    <row r="316" spans="1:8">
      <c r="A316" s="390" t="s">
        <v>233</v>
      </c>
      <c r="B316" s="390"/>
      <c r="C316" s="390"/>
      <c r="D316" s="390"/>
      <c r="E316" s="390"/>
      <c r="F316" s="390"/>
      <c r="G316" s="390"/>
      <c r="H316" s="390"/>
    </row>
    <row r="317" spans="1:8">
      <c r="A317" s="390" t="s">
        <v>234</v>
      </c>
      <c r="B317" s="390"/>
      <c r="C317" s="390"/>
      <c r="D317" s="390"/>
      <c r="E317" s="390"/>
      <c r="F317" s="390"/>
      <c r="G317" s="390"/>
      <c r="H317" s="390"/>
    </row>
    <row r="318" spans="1:8">
      <c r="A318" s="390" t="s">
        <v>235</v>
      </c>
      <c r="B318" s="390"/>
      <c r="C318" s="390"/>
      <c r="D318" s="390"/>
      <c r="E318" s="390"/>
      <c r="F318" s="390"/>
      <c r="G318" s="390"/>
      <c r="H318" s="390"/>
    </row>
    <row r="319" spans="1:8">
      <c r="A319" s="390" t="s">
        <v>236</v>
      </c>
      <c r="B319" s="390"/>
      <c r="C319" s="390"/>
      <c r="D319" s="390"/>
      <c r="E319" s="390"/>
      <c r="F319" s="390"/>
      <c r="G319" s="390"/>
      <c r="H319" s="390"/>
    </row>
    <row r="320" spans="1:8">
      <c r="A320" s="390" t="s">
        <v>237</v>
      </c>
      <c r="B320" s="390"/>
      <c r="C320" s="390"/>
      <c r="D320" s="390"/>
      <c r="E320" s="390"/>
      <c r="F320" s="390"/>
      <c r="G320" s="390"/>
      <c r="H320" s="390"/>
    </row>
    <row r="321" spans="1:8">
      <c r="A321" s="390" t="s">
        <v>238</v>
      </c>
      <c r="B321" s="390"/>
      <c r="C321" s="390"/>
      <c r="D321" s="390"/>
      <c r="E321" s="390"/>
      <c r="F321" s="390"/>
      <c r="G321" s="390"/>
      <c r="H321" s="390"/>
    </row>
    <row r="322" spans="1:8">
      <c r="A322" s="390" t="s">
        <v>239</v>
      </c>
      <c r="B322" s="390"/>
      <c r="C322" s="390"/>
      <c r="D322" s="390"/>
      <c r="E322" s="390"/>
      <c r="F322" s="390"/>
      <c r="G322" s="390"/>
      <c r="H322" s="390"/>
    </row>
    <row r="323" spans="1:8">
      <c r="A323" s="390"/>
      <c r="B323" s="390"/>
      <c r="C323" s="390"/>
      <c r="D323" s="390"/>
      <c r="E323" s="390"/>
      <c r="F323" s="390"/>
      <c r="G323" s="390"/>
      <c r="H323" s="390"/>
    </row>
    <row r="324" spans="1:8">
      <c r="A324" s="390" t="s">
        <v>240</v>
      </c>
      <c r="B324" s="390"/>
      <c r="C324" s="390"/>
      <c r="D324" s="390"/>
      <c r="E324" s="390"/>
      <c r="F324" s="390"/>
      <c r="G324" s="390"/>
      <c r="H324" s="390"/>
    </row>
    <row r="325" spans="1:8">
      <c r="A325" s="390" t="s">
        <v>241</v>
      </c>
      <c r="B325" s="390"/>
      <c r="C325" s="390"/>
      <c r="D325" s="390"/>
      <c r="E325" s="390"/>
      <c r="F325" s="390"/>
      <c r="G325" s="390"/>
      <c r="H325" s="390"/>
    </row>
    <row r="326" spans="1:8">
      <c r="A326" s="390" t="s">
        <v>242</v>
      </c>
      <c r="B326" s="390"/>
      <c r="C326" s="390"/>
      <c r="D326" s="390"/>
      <c r="E326" s="390"/>
      <c r="F326" s="390"/>
      <c r="G326" s="390"/>
      <c r="H326" s="390"/>
    </row>
    <row r="327" spans="1:8">
      <c r="A327" s="390"/>
      <c r="B327" s="390"/>
      <c r="C327" s="390"/>
      <c r="D327" s="390"/>
      <c r="E327" s="390"/>
      <c r="F327" s="390"/>
      <c r="G327" s="390"/>
      <c r="H327" s="390"/>
    </row>
    <row r="328" spans="1:8">
      <c r="A328" s="390" t="s">
        <v>243</v>
      </c>
      <c r="B328" s="390"/>
      <c r="C328" s="390"/>
      <c r="D328" s="390"/>
      <c r="E328" s="390"/>
      <c r="F328" s="390"/>
      <c r="G328" s="390"/>
      <c r="H328" s="390"/>
    </row>
    <row r="329" spans="1:8">
      <c r="A329" s="390" t="s">
        <v>244</v>
      </c>
      <c r="B329" s="390"/>
      <c r="C329" s="390"/>
      <c r="D329" s="390"/>
      <c r="E329" s="390"/>
      <c r="F329" s="390"/>
      <c r="G329" s="390"/>
      <c r="H329" s="390"/>
    </row>
    <row r="330" spans="1:8">
      <c r="A330" s="390"/>
      <c r="B330" s="390"/>
      <c r="C330" s="390"/>
      <c r="D330" s="390"/>
      <c r="E330" s="390"/>
      <c r="F330" s="390"/>
      <c r="G330" s="390"/>
      <c r="H330" s="390"/>
    </row>
    <row r="331" spans="1:8">
      <c r="A331" s="390" t="s">
        <v>245</v>
      </c>
      <c r="B331" s="390"/>
      <c r="C331" s="390"/>
      <c r="D331" s="390"/>
      <c r="E331" s="390"/>
      <c r="F331" s="390"/>
      <c r="G331" s="390"/>
      <c r="H331" s="390"/>
    </row>
    <row r="332" spans="1:8">
      <c r="A332" s="390" t="s">
        <v>246</v>
      </c>
      <c r="B332" s="390"/>
      <c r="C332" s="390"/>
      <c r="D332" s="390"/>
      <c r="E332" s="390"/>
      <c r="F332" s="390"/>
      <c r="G332" s="390"/>
      <c r="H332" s="390"/>
    </row>
    <row r="333" spans="1:8">
      <c r="A333" s="390" t="s">
        <v>247</v>
      </c>
      <c r="B333" s="390"/>
      <c r="C333" s="390"/>
      <c r="D333" s="390"/>
      <c r="E333" s="390"/>
      <c r="F333" s="390"/>
      <c r="G333" s="390"/>
      <c r="H333" s="390"/>
    </row>
    <row r="334" spans="1:8">
      <c r="A334" s="390" t="s">
        <v>248</v>
      </c>
      <c r="B334" s="390"/>
      <c r="C334" s="390"/>
      <c r="D334" s="390"/>
      <c r="E334" s="390"/>
      <c r="F334" s="390"/>
      <c r="G334" s="390"/>
      <c r="H334" s="390"/>
    </row>
    <row r="335" spans="1:8">
      <c r="A335" s="390" t="s">
        <v>249</v>
      </c>
      <c r="B335" s="390"/>
      <c r="C335" s="390"/>
      <c r="D335" s="390"/>
      <c r="E335" s="390"/>
      <c r="F335" s="390"/>
      <c r="G335" s="390"/>
      <c r="H335" s="390"/>
    </row>
    <row r="336" spans="1:8">
      <c r="A336" s="390" t="s">
        <v>250</v>
      </c>
      <c r="B336" s="390"/>
      <c r="C336" s="390"/>
      <c r="D336" s="390"/>
      <c r="E336" s="390"/>
      <c r="F336" s="390"/>
      <c r="G336" s="390"/>
      <c r="H336" s="390"/>
    </row>
    <row r="337" spans="1:8">
      <c r="A337" s="390" t="s">
        <v>251</v>
      </c>
      <c r="B337" s="390"/>
      <c r="C337" s="390"/>
      <c r="D337" s="390"/>
      <c r="E337" s="390"/>
      <c r="F337" s="390"/>
      <c r="G337" s="390"/>
      <c r="H337" s="390"/>
    </row>
    <row r="338" spans="1:8">
      <c r="A338" s="390" t="s">
        <v>252</v>
      </c>
      <c r="B338" s="390"/>
      <c r="C338" s="390"/>
      <c r="D338" s="390"/>
      <c r="E338" s="390"/>
      <c r="F338" s="390"/>
      <c r="G338" s="390"/>
      <c r="H338" s="390"/>
    </row>
    <row r="339" spans="1:8">
      <c r="A339" s="390" t="s">
        <v>253</v>
      </c>
      <c r="B339" s="390"/>
      <c r="C339" s="390"/>
      <c r="D339" s="390"/>
      <c r="E339" s="390"/>
      <c r="F339" s="390"/>
      <c r="G339" s="390"/>
      <c r="H339" s="390"/>
    </row>
    <row r="340" spans="1:8">
      <c r="A340" s="390" t="s">
        <v>254</v>
      </c>
      <c r="B340" s="390"/>
      <c r="C340" s="390"/>
      <c r="D340" s="390"/>
      <c r="E340" s="390"/>
      <c r="F340" s="390"/>
      <c r="G340" s="390"/>
      <c r="H340" s="390"/>
    </row>
    <row r="341" spans="1:8">
      <c r="A341" s="390" t="s">
        <v>255</v>
      </c>
      <c r="B341" s="390"/>
      <c r="C341" s="390"/>
      <c r="D341" s="390"/>
      <c r="E341" s="390"/>
      <c r="F341" s="390"/>
      <c r="G341" s="390"/>
      <c r="H341" s="390"/>
    </row>
    <row r="342" spans="1:8">
      <c r="A342" s="390" t="s">
        <v>256</v>
      </c>
      <c r="B342" s="390"/>
      <c r="C342" s="390"/>
      <c r="D342" s="390"/>
      <c r="E342" s="390"/>
      <c r="F342" s="390"/>
      <c r="G342" s="390"/>
      <c r="H342" s="390"/>
    </row>
    <row r="343" spans="1:8">
      <c r="A343" s="390" t="s">
        <v>257</v>
      </c>
      <c r="B343" s="390"/>
      <c r="C343" s="390"/>
      <c r="D343" s="390"/>
      <c r="E343" s="390"/>
      <c r="F343" s="390"/>
      <c r="G343" s="390"/>
      <c r="H343" s="390"/>
    </row>
    <row r="344" spans="1:8">
      <c r="A344" s="390"/>
      <c r="B344" s="390"/>
      <c r="C344" s="390"/>
      <c r="D344" s="390"/>
      <c r="E344" s="390"/>
      <c r="F344" s="390"/>
      <c r="G344" s="390"/>
      <c r="H344" s="390"/>
    </row>
    <row r="345" spans="1:8">
      <c r="A345" s="390" t="s">
        <v>258</v>
      </c>
      <c r="B345" s="390"/>
      <c r="C345" s="390"/>
      <c r="D345" s="390"/>
      <c r="E345" s="390"/>
      <c r="F345" s="390"/>
      <c r="G345" s="390"/>
      <c r="H345" s="390"/>
    </row>
    <row r="346" spans="1:8">
      <c r="A346" s="390" t="s">
        <v>259</v>
      </c>
      <c r="B346" s="390"/>
      <c r="C346" s="390"/>
      <c r="D346" s="390"/>
      <c r="E346" s="390"/>
      <c r="F346" s="390"/>
      <c r="G346" s="390"/>
      <c r="H346" s="390"/>
    </row>
    <row r="347" spans="1:8">
      <c r="A347" s="390"/>
      <c r="B347" s="390"/>
      <c r="C347" s="390"/>
      <c r="D347" s="390"/>
      <c r="E347" s="390"/>
      <c r="F347" s="390"/>
      <c r="G347" s="390"/>
      <c r="H347" s="390"/>
    </row>
    <row r="348" spans="1:8">
      <c r="A348" s="390" t="s">
        <v>260</v>
      </c>
      <c r="B348" s="390"/>
      <c r="C348" s="390"/>
      <c r="D348" s="390"/>
      <c r="E348" s="390"/>
      <c r="F348" s="390"/>
      <c r="G348" s="390"/>
      <c r="H348" s="390"/>
    </row>
    <row r="349" spans="1:8">
      <c r="A349" s="390" t="s">
        <v>261</v>
      </c>
      <c r="B349" s="390"/>
      <c r="C349" s="390"/>
      <c r="D349" s="390"/>
      <c r="E349" s="390"/>
      <c r="F349" s="390"/>
      <c r="G349" s="390"/>
      <c r="H349" s="390"/>
    </row>
    <row r="350" spans="1:8">
      <c r="A350" s="390" t="s">
        <v>262</v>
      </c>
      <c r="B350" s="390"/>
      <c r="C350" s="390"/>
      <c r="D350" s="390"/>
      <c r="E350" s="390"/>
      <c r="F350" s="390"/>
      <c r="G350" s="390"/>
      <c r="H350" s="390"/>
    </row>
    <row r="351" spans="1:8">
      <c r="A351" s="390" t="s">
        <v>263</v>
      </c>
      <c r="B351" s="390"/>
      <c r="C351" s="390"/>
      <c r="D351" s="390"/>
      <c r="E351" s="390"/>
      <c r="F351" s="390"/>
      <c r="G351" s="390"/>
      <c r="H351" s="390"/>
    </row>
    <row r="352" spans="1:8">
      <c r="A352" s="390" t="s">
        <v>264</v>
      </c>
      <c r="B352" s="390"/>
      <c r="C352" s="390"/>
      <c r="D352" s="390"/>
      <c r="E352" s="390"/>
      <c r="F352" s="390"/>
      <c r="G352" s="390"/>
      <c r="H352" s="390"/>
    </row>
    <row r="353" spans="1:8">
      <c r="A353" s="390" t="s">
        <v>265</v>
      </c>
      <c r="B353" s="390"/>
      <c r="C353" s="390"/>
      <c r="D353" s="390"/>
      <c r="E353" s="390"/>
      <c r="F353" s="390"/>
      <c r="G353" s="390"/>
      <c r="H353" s="390"/>
    </row>
    <row r="354" spans="1:8">
      <c r="A354" s="390" t="s">
        <v>266</v>
      </c>
      <c r="B354" s="390"/>
      <c r="C354" s="390"/>
      <c r="D354" s="390"/>
      <c r="E354" s="390"/>
      <c r="F354" s="390"/>
      <c r="G354" s="390"/>
      <c r="H354" s="390"/>
    </row>
    <row r="355" spans="1:8">
      <c r="A355" s="390" t="s">
        <v>267</v>
      </c>
      <c r="B355" s="390"/>
      <c r="C355" s="390"/>
      <c r="D355" s="390"/>
      <c r="E355" s="390"/>
      <c r="F355" s="390"/>
      <c r="G355" s="390"/>
      <c r="H355" s="390"/>
    </row>
    <row r="356" spans="1:8">
      <c r="A356" s="390"/>
      <c r="B356" s="390"/>
      <c r="C356" s="390"/>
      <c r="D356" s="390"/>
      <c r="E356" s="390"/>
      <c r="F356" s="390"/>
      <c r="G356" s="390"/>
      <c r="H356" s="390"/>
    </row>
    <row r="357" spans="1:8">
      <c r="A357" s="390" t="s">
        <v>268</v>
      </c>
      <c r="B357" s="390"/>
      <c r="C357" s="390"/>
      <c r="D357" s="390"/>
      <c r="E357" s="390"/>
      <c r="F357" s="390"/>
      <c r="G357" s="390"/>
      <c r="H357" s="390"/>
    </row>
    <row r="358" spans="1:8">
      <c r="A358" s="390" t="s">
        <v>269</v>
      </c>
      <c r="B358" s="390"/>
      <c r="C358" s="390"/>
      <c r="D358" s="390"/>
      <c r="E358" s="390"/>
      <c r="F358" s="390"/>
      <c r="G358" s="390"/>
      <c r="H358" s="390"/>
    </row>
    <row r="359" spans="1:8">
      <c r="A359" s="390" t="s">
        <v>270</v>
      </c>
      <c r="B359" s="390"/>
      <c r="C359" s="390"/>
      <c r="D359" s="390"/>
      <c r="E359" s="390"/>
      <c r="F359" s="390"/>
      <c r="G359" s="390"/>
      <c r="H359" s="390"/>
    </row>
    <row r="360" spans="1:8">
      <c r="A360" s="390" t="s">
        <v>271</v>
      </c>
      <c r="B360" s="390"/>
      <c r="C360" s="390"/>
      <c r="D360" s="390"/>
      <c r="E360" s="390"/>
      <c r="F360" s="390"/>
      <c r="G360" s="390"/>
      <c r="H360" s="390"/>
    </row>
    <row r="361" spans="1:8">
      <c r="A361" s="390" t="s">
        <v>272</v>
      </c>
      <c r="B361" s="390"/>
      <c r="C361" s="390"/>
      <c r="D361" s="390"/>
      <c r="E361" s="390"/>
      <c r="F361" s="390"/>
      <c r="G361" s="390"/>
      <c r="H361" s="390"/>
    </row>
    <row r="362" spans="1:8">
      <c r="A362" s="390" t="s">
        <v>273</v>
      </c>
      <c r="B362" s="390"/>
      <c r="C362" s="390"/>
      <c r="D362" s="390"/>
      <c r="E362" s="390"/>
      <c r="F362" s="390"/>
      <c r="G362" s="390"/>
      <c r="H362" s="390"/>
    </row>
    <row r="363" spans="1:8">
      <c r="A363" s="390" t="s">
        <v>274</v>
      </c>
      <c r="B363" s="390"/>
      <c r="C363" s="390"/>
      <c r="D363" s="390"/>
      <c r="E363" s="390"/>
      <c r="F363" s="390"/>
      <c r="G363" s="390"/>
      <c r="H363" s="390"/>
    </row>
    <row r="364" spans="1:8">
      <c r="A364" s="390" t="s">
        <v>275</v>
      </c>
      <c r="B364" s="390"/>
      <c r="C364" s="390"/>
      <c r="D364" s="390"/>
      <c r="E364" s="390"/>
      <c r="F364" s="390"/>
      <c r="G364" s="390"/>
      <c r="H364" s="390"/>
    </row>
    <row r="365" spans="1:8">
      <c r="A365" s="390" t="s">
        <v>276</v>
      </c>
      <c r="B365" s="390"/>
      <c r="C365" s="390"/>
      <c r="D365" s="390"/>
      <c r="E365" s="390"/>
      <c r="F365" s="390"/>
      <c r="G365" s="390"/>
      <c r="H365" s="390"/>
    </row>
    <row r="366" spans="1:8">
      <c r="A366" s="390" t="s">
        <v>277</v>
      </c>
      <c r="B366" s="390"/>
      <c r="C366" s="390"/>
      <c r="D366" s="390"/>
      <c r="E366" s="390"/>
      <c r="F366" s="390"/>
      <c r="G366" s="390"/>
      <c r="H366" s="390"/>
    </row>
    <row r="367" spans="1:8">
      <c r="A367" s="390" t="s">
        <v>278</v>
      </c>
      <c r="B367" s="390"/>
      <c r="C367" s="390"/>
      <c r="D367" s="390"/>
      <c r="E367" s="390"/>
      <c r="F367" s="390"/>
      <c r="G367" s="390"/>
      <c r="H367" s="390"/>
    </row>
    <row r="368" spans="1:8">
      <c r="A368" s="390" t="s">
        <v>279</v>
      </c>
      <c r="B368" s="390"/>
      <c r="C368" s="390"/>
      <c r="D368" s="390"/>
      <c r="E368" s="390"/>
      <c r="F368" s="390"/>
      <c r="G368" s="390"/>
      <c r="H368" s="390"/>
    </row>
    <row r="369" spans="1:8">
      <c r="A369" s="390" t="s">
        <v>280</v>
      </c>
      <c r="B369" s="390"/>
      <c r="C369" s="390"/>
      <c r="D369" s="390"/>
      <c r="E369" s="390"/>
      <c r="F369" s="390"/>
      <c r="G369" s="390"/>
      <c r="H369" s="390"/>
    </row>
    <row r="370" spans="1:8">
      <c r="A370" s="390" t="s">
        <v>281</v>
      </c>
      <c r="B370" s="390"/>
      <c r="C370" s="390"/>
      <c r="D370" s="390"/>
      <c r="E370" s="390"/>
      <c r="F370" s="390"/>
      <c r="G370" s="390"/>
      <c r="H370" s="390"/>
    </row>
    <row r="371" spans="1:8">
      <c r="A371" s="390" t="s">
        <v>282</v>
      </c>
      <c r="B371" s="390"/>
      <c r="C371" s="390"/>
      <c r="D371" s="390"/>
      <c r="E371" s="390"/>
      <c r="F371" s="390"/>
      <c r="G371" s="390"/>
      <c r="H371" s="390"/>
    </row>
    <row r="372" spans="1:8">
      <c r="A372" s="390" t="s">
        <v>283</v>
      </c>
      <c r="B372" s="390"/>
      <c r="C372" s="390"/>
      <c r="D372" s="390"/>
      <c r="E372" s="390"/>
      <c r="F372" s="390"/>
      <c r="G372" s="390"/>
      <c r="H372" s="390"/>
    </row>
    <row r="373" spans="1:8">
      <c r="A373" s="390" t="s">
        <v>284</v>
      </c>
      <c r="B373" s="390"/>
      <c r="C373" s="390"/>
      <c r="D373" s="390"/>
      <c r="E373" s="390"/>
      <c r="F373" s="390"/>
      <c r="G373" s="390"/>
      <c r="H373" s="390"/>
    </row>
    <row r="374" spans="1:8">
      <c r="A374" s="390" t="s">
        <v>285</v>
      </c>
      <c r="B374" s="390"/>
      <c r="C374" s="390"/>
      <c r="D374" s="390"/>
      <c r="E374" s="390"/>
      <c r="F374" s="390"/>
      <c r="G374" s="390"/>
      <c r="H374" s="390"/>
    </row>
    <row r="375" spans="1:8">
      <c r="A375" s="390" t="s">
        <v>286</v>
      </c>
      <c r="B375" s="390"/>
      <c r="C375" s="390"/>
      <c r="D375" s="390"/>
      <c r="E375" s="390"/>
      <c r="F375" s="390"/>
      <c r="G375" s="390"/>
      <c r="H375" s="390"/>
    </row>
    <row r="376" spans="1:8">
      <c r="A376" s="390" t="s">
        <v>287</v>
      </c>
      <c r="B376" s="390"/>
      <c r="C376" s="390"/>
      <c r="D376" s="390"/>
      <c r="E376" s="390"/>
      <c r="F376" s="390"/>
      <c r="G376" s="390"/>
      <c r="H376" s="390"/>
    </row>
    <row r="377" spans="1:8">
      <c r="A377" s="390" t="s">
        <v>288</v>
      </c>
      <c r="B377" s="390"/>
      <c r="C377" s="390"/>
      <c r="D377" s="390"/>
      <c r="E377" s="390"/>
      <c r="F377" s="390"/>
      <c r="G377" s="390"/>
      <c r="H377" s="390"/>
    </row>
    <row r="378" spans="1:8">
      <c r="A378" s="390" t="s">
        <v>289</v>
      </c>
      <c r="B378" s="390"/>
      <c r="C378" s="390"/>
      <c r="D378" s="390"/>
      <c r="E378" s="390"/>
      <c r="F378" s="390"/>
      <c r="G378" s="390"/>
      <c r="H378" s="390"/>
    </row>
    <row r="379" spans="1:8">
      <c r="A379" s="390" t="s">
        <v>290</v>
      </c>
      <c r="B379" s="390"/>
      <c r="C379" s="390"/>
      <c r="D379" s="390"/>
      <c r="E379" s="390"/>
      <c r="F379" s="390"/>
      <c r="G379" s="390"/>
      <c r="H379" s="390"/>
    </row>
    <row r="380" spans="1:8">
      <c r="A380" s="390" t="s">
        <v>291</v>
      </c>
      <c r="B380" s="390"/>
      <c r="C380" s="390"/>
      <c r="D380" s="390"/>
      <c r="E380" s="390"/>
      <c r="F380" s="390"/>
      <c r="G380" s="390"/>
      <c r="H380" s="390"/>
    </row>
    <row r="381" spans="1:8">
      <c r="A381" s="390" t="s">
        <v>292</v>
      </c>
      <c r="B381" s="390"/>
      <c r="C381" s="390"/>
      <c r="D381" s="390"/>
      <c r="E381" s="390"/>
      <c r="F381" s="390"/>
      <c r="G381" s="390"/>
      <c r="H381" s="390"/>
    </row>
    <row r="382" spans="1:8">
      <c r="A382" s="390" t="s">
        <v>293</v>
      </c>
      <c r="B382" s="390"/>
      <c r="C382" s="390"/>
      <c r="D382" s="390"/>
      <c r="E382" s="390"/>
      <c r="F382" s="390"/>
      <c r="G382" s="390"/>
      <c r="H382" s="390"/>
    </row>
    <row r="383" spans="1:8">
      <c r="A383" s="390" t="s">
        <v>294</v>
      </c>
      <c r="B383" s="390"/>
      <c r="C383" s="390"/>
      <c r="D383" s="390"/>
      <c r="E383" s="390"/>
      <c r="F383" s="390"/>
      <c r="G383" s="390"/>
      <c r="H383" s="390"/>
    </row>
    <row r="384" spans="1:8">
      <c r="A384" s="390" t="s">
        <v>295</v>
      </c>
      <c r="B384" s="390"/>
      <c r="C384" s="390"/>
      <c r="D384" s="390"/>
      <c r="E384" s="390"/>
      <c r="F384" s="390"/>
      <c r="G384" s="390"/>
      <c r="H384" s="390"/>
    </row>
    <row r="385" spans="1:8">
      <c r="A385" s="390" t="s">
        <v>296</v>
      </c>
      <c r="B385" s="390"/>
      <c r="C385" s="390"/>
      <c r="D385" s="390"/>
      <c r="E385" s="390"/>
      <c r="F385" s="390"/>
      <c r="G385" s="390"/>
      <c r="H385" s="390"/>
    </row>
    <row r="386" spans="1:8">
      <c r="A386" s="390" t="s">
        <v>297</v>
      </c>
      <c r="B386" s="390"/>
      <c r="C386" s="390"/>
      <c r="D386" s="390"/>
      <c r="E386" s="390"/>
      <c r="F386" s="390"/>
      <c r="G386" s="390"/>
      <c r="H386" s="390"/>
    </row>
    <row r="387" spans="1:8">
      <c r="A387" s="390" t="s">
        <v>298</v>
      </c>
      <c r="B387" s="390"/>
      <c r="C387" s="390"/>
      <c r="D387" s="390"/>
      <c r="E387" s="390"/>
      <c r="F387" s="390"/>
      <c r="G387" s="390"/>
      <c r="H387" s="390"/>
    </row>
    <row r="388" spans="1:8">
      <c r="A388" s="390" t="s">
        <v>299</v>
      </c>
      <c r="B388" s="390"/>
      <c r="C388" s="390"/>
      <c r="D388" s="390"/>
      <c r="E388" s="390"/>
      <c r="F388" s="390"/>
      <c r="G388" s="390"/>
      <c r="H388" s="390"/>
    </row>
    <row r="389" spans="1:8">
      <c r="A389" s="390" t="s">
        <v>300</v>
      </c>
      <c r="B389" s="390"/>
      <c r="C389" s="390"/>
      <c r="D389" s="390"/>
      <c r="E389" s="390"/>
      <c r="F389" s="390"/>
      <c r="G389" s="390"/>
      <c r="H389" s="390"/>
    </row>
    <row r="390" spans="1:8">
      <c r="A390" s="390" t="s">
        <v>301</v>
      </c>
      <c r="B390" s="390"/>
      <c r="C390" s="390"/>
      <c r="D390" s="390"/>
      <c r="E390" s="390"/>
      <c r="F390" s="390"/>
      <c r="G390" s="390"/>
      <c r="H390" s="390"/>
    </row>
    <row r="391" spans="1:8">
      <c r="A391" s="390" t="s">
        <v>302</v>
      </c>
      <c r="B391" s="390"/>
      <c r="C391" s="390"/>
      <c r="D391" s="390"/>
      <c r="E391" s="390"/>
      <c r="F391" s="390"/>
      <c r="G391" s="390"/>
      <c r="H391" s="390"/>
    </row>
    <row r="392" spans="1:8">
      <c r="A392" s="390" t="s">
        <v>303</v>
      </c>
      <c r="B392" s="390"/>
      <c r="C392" s="390"/>
      <c r="D392" s="390"/>
      <c r="E392" s="390"/>
      <c r="F392" s="390"/>
      <c r="G392" s="390"/>
      <c r="H392" s="390"/>
    </row>
    <row r="393" spans="1:8">
      <c r="A393" s="390" t="s">
        <v>304</v>
      </c>
      <c r="B393" s="390"/>
      <c r="C393" s="390"/>
      <c r="D393" s="390"/>
      <c r="E393" s="390"/>
      <c r="F393" s="390"/>
      <c r="G393" s="390"/>
      <c r="H393" s="390"/>
    </row>
    <row r="394" spans="1:8">
      <c r="A394" s="390" t="s">
        <v>305</v>
      </c>
      <c r="B394" s="390"/>
      <c r="C394" s="390"/>
      <c r="D394" s="390"/>
      <c r="E394" s="390"/>
      <c r="F394" s="390"/>
      <c r="G394" s="390"/>
      <c r="H394" s="390"/>
    </row>
    <row r="395" spans="1:8">
      <c r="A395" s="390" t="s">
        <v>306</v>
      </c>
      <c r="B395" s="390"/>
      <c r="C395" s="390"/>
      <c r="D395" s="390"/>
      <c r="E395" s="390"/>
      <c r="F395" s="390"/>
      <c r="G395" s="390"/>
      <c r="H395" s="390"/>
    </row>
    <row r="396" spans="1:8">
      <c r="A396" s="390" t="s">
        <v>307</v>
      </c>
      <c r="B396" s="390"/>
      <c r="C396" s="390"/>
      <c r="D396" s="390"/>
      <c r="E396" s="390"/>
      <c r="F396" s="390"/>
      <c r="G396" s="390"/>
      <c r="H396" s="390"/>
    </row>
    <row r="397" spans="1:8">
      <c r="A397" s="390" t="s">
        <v>308</v>
      </c>
      <c r="B397" s="390"/>
      <c r="C397" s="390"/>
      <c r="D397" s="390"/>
      <c r="E397" s="390"/>
      <c r="F397" s="390"/>
      <c r="G397" s="390"/>
      <c r="H397" s="390"/>
    </row>
    <row r="398" spans="1:8">
      <c r="A398" s="390" t="s">
        <v>309</v>
      </c>
      <c r="B398" s="390"/>
      <c r="C398" s="390"/>
      <c r="D398" s="390"/>
      <c r="E398" s="390"/>
      <c r="F398" s="390"/>
      <c r="G398" s="390"/>
      <c r="H398" s="390"/>
    </row>
    <row r="399" spans="1:8">
      <c r="A399" s="390" t="s">
        <v>310</v>
      </c>
      <c r="B399" s="390"/>
      <c r="C399" s="390"/>
      <c r="D399" s="390"/>
      <c r="E399" s="390"/>
      <c r="F399" s="390"/>
      <c r="G399" s="390"/>
      <c r="H399" s="390"/>
    </row>
    <row r="400" spans="1:8">
      <c r="A400" s="390" t="s">
        <v>311</v>
      </c>
      <c r="B400" s="390"/>
      <c r="C400" s="390"/>
      <c r="D400" s="390"/>
      <c r="E400" s="390"/>
      <c r="F400" s="390"/>
      <c r="G400" s="390"/>
      <c r="H400" s="390"/>
    </row>
    <row r="401" spans="1:8">
      <c r="A401" s="390" t="s">
        <v>312</v>
      </c>
      <c r="B401" s="390"/>
      <c r="C401" s="390"/>
      <c r="D401" s="390"/>
      <c r="E401" s="390"/>
      <c r="F401" s="390"/>
      <c r="G401" s="390"/>
      <c r="H401" s="390"/>
    </row>
    <row r="402" spans="1:8">
      <c r="A402" s="390" t="s">
        <v>313</v>
      </c>
      <c r="B402" s="390"/>
      <c r="C402" s="390"/>
      <c r="D402" s="390"/>
      <c r="E402" s="390"/>
      <c r="F402" s="390"/>
      <c r="G402" s="390"/>
      <c r="H402" s="390"/>
    </row>
    <row r="403" spans="1:8">
      <c r="A403" s="390"/>
      <c r="B403" s="390"/>
      <c r="C403" s="390"/>
      <c r="D403" s="390"/>
      <c r="E403" s="390"/>
      <c r="F403" s="390"/>
      <c r="G403" s="390"/>
      <c r="H403" s="390"/>
    </row>
    <row r="404" spans="1:8">
      <c r="A404" s="390" t="s">
        <v>314</v>
      </c>
      <c r="B404" s="390"/>
      <c r="C404" s="390"/>
      <c r="D404" s="390"/>
      <c r="E404" s="390"/>
      <c r="F404" s="390"/>
      <c r="G404" s="390"/>
      <c r="H404" s="390"/>
    </row>
    <row r="405" spans="1:8">
      <c r="A405" s="390" t="s">
        <v>315</v>
      </c>
      <c r="B405" s="390"/>
      <c r="C405" s="390"/>
      <c r="D405" s="390"/>
      <c r="E405" s="390"/>
      <c r="F405" s="390"/>
      <c r="G405" s="390"/>
      <c r="H405" s="390"/>
    </row>
    <row r="406" spans="1:8">
      <c r="A406" s="390" t="s">
        <v>316</v>
      </c>
      <c r="B406" s="390"/>
      <c r="C406" s="390"/>
      <c r="D406" s="390"/>
      <c r="E406" s="390"/>
      <c r="F406" s="390"/>
      <c r="G406" s="390"/>
      <c r="H406" s="390"/>
    </row>
    <row r="407" spans="1:8">
      <c r="A407" s="390"/>
      <c r="B407" s="390"/>
      <c r="C407" s="390"/>
      <c r="D407" s="390"/>
      <c r="E407" s="390"/>
      <c r="F407" s="390"/>
      <c r="G407" s="390"/>
      <c r="H407" s="390"/>
    </row>
    <row r="408" spans="1:8">
      <c r="A408" s="390" t="s">
        <v>317</v>
      </c>
      <c r="B408" s="390"/>
      <c r="C408" s="390"/>
      <c r="D408" s="390"/>
      <c r="E408" s="390"/>
      <c r="F408" s="390"/>
      <c r="G408" s="390"/>
      <c r="H408" s="390"/>
    </row>
    <row r="409" spans="1:8">
      <c r="A409" s="390" t="s">
        <v>318</v>
      </c>
      <c r="B409" s="390"/>
      <c r="C409" s="390"/>
      <c r="D409" s="390"/>
      <c r="E409" s="390"/>
      <c r="F409" s="390"/>
      <c r="G409" s="390"/>
      <c r="H409" s="390"/>
    </row>
    <row r="410" spans="1:8">
      <c r="A410" s="390" t="s">
        <v>319</v>
      </c>
      <c r="B410" s="390"/>
      <c r="C410" s="390"/>
      <c r="D410" s="390"/>
      <c r="E410" s="390"/>
      <c r="F410" s="390"/>
      <c r="G410" s="390"/>
      <c r="H410" s="390"/>
    </row>
    <row r="411" spans="1:8">
      <c r="A411" s="390" t="s">
        <v>320</v>
      </c>
      <c r="B411" s="390"/>
      <c r="C411" s="390"/>
      <c r="D411" s="390"/>
      <c r="E411" s="390"/>
      <c r="F411" s="390"/>
      <c r="G411" s="390"/>
      <c r="H411" s="390"/>
    </row>
    <row r="412" spans="1:8">
      <c r="A412" s="390" t="s">
        <v>321</v>
      </c>
      <c r="B412" s="390"/>
      <c r="C412" s="390"/>
      <c r="D412" s="390"/>
      <c r="E412" s="390"/>
      <c r="F412" s="390"/>
      <c r="G412" s="390"/>
      <c r="H412" s="390"/>
    </row>
    <row r="413" spans="1:8">
      <c r="A413" s="390" t="s">
        <v>322</v>
      </c>
      <c r="B413" s="390"/>
      <c r="C413" s="390"/>
      <c r="D413" s="390"/>
      <c r="E413" s="390"/>
      <c r="F413" s="390"/>
      <c r="G413" s="390"/>
      <c r="H413" s="390"/>
    </row>
    <row r="414" spans="1:8">
      <c r="A414" s="390" t="s">
        <v>323</v>
      </c>
      <c r="B414" s="390"/>
      <c r="C414" s="390"/>
      <c r="D414" s="390"/>
      <c r="E414" s="390"/>
      <c r="F414" s="390"/>
      <c r="G414" s="390"/>
      <c r="H414" s="390"/>
    </row>
    <row r="415" spans="1:8">
      <c r="A415" s="390" t="s">
        <v>324</v>
      </c>
      <c r="B415" s="390"/>
      <c r="C415" s="390"/>
      <c r="D415" s="390"/>
      <c r="E415" s="390"/>
      <c r="F415" s="390"/>
      <c r="G415" s="390"/>
      <c r="H415" s="390"/>
    </row>
    <row r="416" spans="1:8">
      <c r="A416" s="390"/>
      <c r="B416" s="390"/>
      <c r="C416" s="390"/>
      <c r="D416" s="390"/>
      <c r="E416" s="390"/>
      <c r="F416" s="390"/>
      <c r="G416" s="390"/>
      <c r="H416" s="390"/>
    </row>
    <row r="417" spans="1:8">
      <c r="A417" s="390" t="s">
        <v>317</v>
      </c>
      <c r="B417" s="390"/>
      <c r="C417" s="390"/>
      <c r="D417" s="390"/>
      <c r="E417" s="390"/>
      <c r="F417" s="390"/>
      <c r="G417" s="390"/>
      <c r="H417" s="390"/>
    </row>
    <row r="418" spans="1:8">
      <c r="A418" s="390" t="s">
        <v>325</v>
      </c>
      <c r="B418" s="390"/>
      <c r="C418" s="390"/>
      <c r="D418" s="390"/>
      <c r="E418" s="390"/>
      <c r="F418" s="390"/>
      <c r="G418" s="390"/>
      <c r="H418" s="390"/>
    </row>
    <row r="419" spans="1:8">
      <c r="A419" s="390" t="s">
        <v>326</v>
      </c>
      <c r="B419" s="390"/>
      <c r="C419" s="390"/>
      <c r="D419" s="390"/>
      <c r="E419" s="390"/>
      <c r="F419" s="390"/>
      <c r="G419" s="390"/>
      <c r="H419" s="390"/>
    </row>
    <row r="420" spans="1:8">
      <c r="A420" s="390" t="s">
        <v>327</v>
      </c>
      <c r="B420" s="390"/>
      <c r="C420" s="390"/>
      <c r="D420" s="390"/>
      <c r="E420" s="390"/>
      <c r="F420" s="390"/>
      <c r="G420" s="390"/>
      <c r="H420" s="390"/>
    </row>
    <row r="421" spans="1:8">
      <c r="A421" s="390"/>
      <c r="B421" s="390"/>
      <c r="C421" s="390"/>
      <c r="D421" s="390"/>
      <c r="E421" s="390"/>
      <c r="F421" s="390"/>
      <c r="G421" s="390"/>
      <c r="H421" s="390"/>
    </row>
    <row r="422" spans="1:8">
      <c r="A422" s="390" t="s">
        <v>328</v>
      </c>
      <c r="B422" s="390"/>
      <c r="C422" s="390"/>
      <c r="D422" s="390"/>
      <c r="E422" s="390"/>
      <c r="F422" s="390"/>
      <c r="G422" s="390"/>
      <c r="H422" s="390"/>
    </row>
    <row r="423" spans="1:8">
      <c r="A423" s="390" t="s">
        <v>329</v>
      </c>
      <c r="B423" s="390"/>
      <c r="C423" s="390"/>
      <c r="D423" s="390"/>
      <c r="E423" s="390"/>
      <c r="F423" s="390"/>
      <c r="G423" s="390"/>
      <c r="H423" s="390"/>
    </row>
    <row r="424" spans="1:8">
      <c r="A424" s="390" t="s">
        <v>330</v>
      </c>
      <c r="B424" s="390"/>
      <c r="C424" s="390"/>
      <c r="D424" s="390"/>
      <c r="E424" s="390"/>
      <c r="F424" s="390"/>
      <c r="G424" s="390"/>
      <c r="H424" s="390"/>
    </row>
    <row r="425" spans="1:8">
      <c r="A425" s="390" t="s">
        <v>331</v>
      </c>
      <c r="B425" s="390"/>
      <c r="C425" s="390"/>
      <c r="D425" s="390"/>
      <c r="E425" s="390"/>
      <c r="F425" s="390"/>
      <c r="G425" s="390"/>
      <c r="H425" s="390"/>
    </row>
    <row r="426" spans="1:8">
      <c r="A426" s="390" t="s">
        <v>332</v>
      </c>
      <c r="B426" s="390"/>
      <c r="C426" s="390"/>
      <c r="D426" s="390"/>
      <c r="E426" s="390"/>
      <c r="F426" s="390"/>
      <c r="G426" s="390"/>
      <c r="H426" s="390"/>
    </row>
    <row r="427" spans="1:8">
      <c r="A427" s="390" t="s">
        <v>333</v>
      </c>
      <c r="B427" s="390"/>
      <c r="C427" s="390"/>
      <c r="D427" s="390"/>
      <c r="E427" s="390"/>
      <c r="F427" s="390"/>
      <c r="G427" s="390"/>
      <c r="H427" s="390"/>
    </row>
    <row r="428" spans="1:8">
      <c r="A428" s="390"/>
      <c r="B428" s="390"/>
      <c r="C428" s="390"/>
      <c r="D428" s="390"/>
      <c r="E428" s="390"/>
      <c r="F428" s="390"/>
      <c r="G428" s="390"/>
      <c r="H428" s="390"/>
    </row>
    <row r="429" spans="1:8">
      <c r="A429" s="390" t="s">
        <v>334</v>
      </c>
      <c r="B429" s="390"/>
      <c r="C429" s="390"/>
      <c r="D429" s="390"/>
      <c r="E429" s="390"/>
      <c r="F429" s="390"/>
      <c r="G429" s="390"/>
      <c r="H429" s="390"/>
    </row>
    <row r="430" spans="1:8">
      <c r="A430" s="390" t="s">
        <v>335</v>
      </c>
      <c r="B430" s="390"/>
      <c r="C430" s="390"/>
      <c r="D430" s="390"/>
      <c r="E430" s="390"/>
      <c r="F430" s="390"/>
      <c r="G430" s="390"/>
      <c r="H430" s="390"/>
    </row>
    <row r="431" spans="1:8">
      <c r="A431" s="390" t="s">
        <v>336</v>
      </c>
      <c r="B431" s="390"/>
      <c r="C431" s="390"/>
      <c r="D431" s="390"/>
      <c r="E431" s="390"/>
      <c r="F431" s="390"/>
      <c r="G431" s="390"/>
      <c r="H431" s="390"/>
    </row>
    <row r="432" spans="1:8">
      <c r="A432" s="390" t="s">
        <v>337</v>
      </c>
      <c r="B432" s="390"/>
      <c r="C432" s="390"/>
      <c r="D432" s="390"/>
      <c r="E432" s="390"/>
      <c r="F432" s="390"/>
      <c r="G432" s="390"/>
      <c r="H432" s="390"/>
    </row>
    <row r="433" spans="1:8">
      <c r="A433" s="390" t="s">
        <v>338</v>
      </c>
      <c r="B433" s="390"/>
      <c r="C433" s="390"/>
      <c r="D433" s="390"/>
      <c r="E433" s="390"/>
      <c r="F433" s="390"/>
      <c r="G433" s="390"/>
      <c r="H433" s="390"/>
    </row>
    <row r="434" spans="1:8">
      <c r="A434" s="390"/>
      <c r="B434" s="390"/>
      <c r="C434" s="390"/>
      <c r="D434" s="390"/>
      <c r="E434" s="390"/>
      <c r="F434" s="390"/>
      <c r="G434" s="390"/>
      <c r="H434" s="390"/>
    </row>
    <row r="435" spans="1:8">
      <c r="A435" s="390" t="s">
        <v>339</v>
      </c>
      <c r="B435" s="390"/>
      <c r="C435" s="390"/>
      <c r="D435" s="390"/>
      <c r="E435" s="390"/>
      <c r="F435" s="390"/>
      <c r="G435" s="390"/>
      <c r="H435" s="390"/>
    </row>
    <row r="436" spans="1:8">
      <c r="A436" s="390" t="s">
        <v>340</v>
      </c>
      <c r="B436" s="390"/>
      <c r="C436" s="390"/>
      <c r="D436" s="390"/>
      <c r="E436" s="390"/>
      <c r="F436" s="390"/>
      <c r="G436" s="390"/>
      <c r="H436" s="390"/>
    </row>
    <row r="437" spans="1:8">
      <c r="A437" s="390"/>
      <c r="B437" s="390"/>
      <c r="C437" s="390"/>
      <c r="D437" s="390"/>
      <c r="E437" s="390"/>
      <c r="F437" s="390"/>
      <c r="G437" s="390"/>
      <c r="H437" s="390"/>
    </row>
    <row r="438" spans="1:8">
      <c r="A438" s="390" t="s">
        <v>341</v>
      </c>
      <c r="B438" s="390"/>
      <c r="C438" s="390"/>
      <c r="D438" s="390"/>
      <c r="E438" s="390"/>
      <c r="F438" s="390"/>
      <c r="G438" s="390"/>
      <c r="H438" s="390"/>
    </row>
    <row r="439" spans="1:8">
      <c r="A439" s="390" t="s">
        <v>342</v>
      </c>
      <c r="B439" s="390"/>
      <c r="C439" s="390"/>
      <c r="D439" s="390"/>
      <c r="E439" s="390"/>
      <c r="F439" s="390"/>
      <c r="G439" s="390"/>
      <c r="H439" s="390"/>
    </row>
    <row r="440" spans="1:8">
      <c r="A440" s="390"/>
      <c r="B440" s="390"/>
      <c r="C440" s="390"/>
      <c r="D440" s="390"/>
      <c r="E440" s="390"/>
      <c r="F440" s="390"/>
      <c r="G440" s="390"/>
      <c r="H440" s="390"/>
    </row>
    <row r="441" spans="1:8">
      <c r="A441" s="390" t="s">
        <v>343</v>
      </c>
      <c r="B441" s="390"/>
      <c r="C441" s="390"/>
      <c r="D441" s="390"/>
      <c r="E441" s="390"/>
      <c r="F441" s="390"/>
      <c r="G441" s="390"/>
      <c r="H441" s="390"/>
    </row>
    <row r="442" spans="1:8">
      <c r="A442" s="390" t="s">
        <v>344</v>
      </c>
      <c r="B442" s="390"/>
      <c r="C442" s="390"/>
      <c r="D442" s="390"/>
      <c r="E442" s="390"/>
      <c r="F442" s="390"/>
      <c r="G442" s="390"/>
      <c r="H442" s="390"/>
    </row>
    <row r="443" spans="1:8">
      <c r="A443" s="390" t="s">
        <v>345</v>
      </c>
      <c r="B443" s="390"/>
      <c r="C443" s="390"/>
      <c r="D443" s="390"/>
      <c r="E443" s="390"/>
      <c r="F443" s="390"/>
      <c r="G443" s="390"/>
      <c r="H443" s="390"/>
    </row>
    <row r="444" spans="1:8">
      <c r="A444" s="390" t="s">
        <v>346</v>
      </c>
      <c r="B444" s="390"/>
      <c r="C444" s="390"/>
      <c r="D444" s="390"/>
      <c r="E444" s="390"/>
      <c r="F444" s="390"/>
      <c r="G444" s="390"/>
      <c r="H444" s="390"/>
    </row>
    <row r="445" spans="1:8">
      <c r="A445" s="390"/>
      <c r="B445" s="390"/>
      <c r="C445" s="390"/>
      <c r="D445" s="390"/>
      <c r="E445" s="390"/>
      <c r="F445" s="390"/>
      <c r="G445" s="390"/>
      <c r="H445" s="390"/>
    </row>
    <row r="446" spans="1:8">
      <c r="A446" s="390" t="s">
        <v>347</v>
      </c>
      <c r="B446" s="390"/>
      <c r="C446" s="390"/>
      <c r="D446" s="390"/>
      <c r="E446" s="390"/>
      <c r="F446" s="390"/>
      <c r="G446" s="390"/>
      <c r="H446" s="390"/>
    </row>
    <row r="447" spans="1:8">
      <c r="A447" s="390" t="s">
        <v>348</v>
      </c>
      <c r="B447" s="390"/>
      <c r="C447" s="390"/>
      <c r="D447" s="390"/>
      <c r="E447" s="390"/>
      <c r="F447" s="390"/>
      <c r="G447" s="390"/>
      <c r="H447" s="390"/>
    </row>
    <row r="448" spans="1:8">
      <c r="A448" s="390"/>
      <c r="B448" s="390"/>
      <c r="C448" s="390"/>
      <c r="D448" s="390"/>
      <c r="E448" s="390"/>
      <c r="F448" s="390"/>
      <c r="G448" s="390"/>
      <c r="H448" s="390"/>
    </row>
    <row r="449" spans="1:8">
      <c r="A449" s="390" t="s">
        <v>349</v>
      </c>
      <c r="B449" s="390"/>
      <c r="C449" s="390"/>
      <c r="D449" s="390"/>
      <c r="E449" s="390"/>
      <c r="F449" s="390"/>
      <c r="G449" s="390"/>
      <c r="H449" s="390"/>
    </row>
    <row r="450" spans="1:8">
      <c r="A450" s="390" t="s">
        <v>350</v>
      </c>
      <c r="B450" s="390"/>
      <c r="C450" s="390"/>
      <c r="D450" s="390"/>
      <c r="E450" s="390"/>
      <c r="F450" s="390"/>
      <c r="G450" s="390"/>
      <c r="H450" s="390"/>
    </row>
    <row r="451" spans="1:8">
      <c r="A451" s="390" t="s">
        <v>351</v>
      </c>
      <c r="B451" s="390"/>
      <c r="C451" s="390"/>
      <c r="D451" s="390"/>
      <c r="E451" s="390"/>
      <c r="F451" s="390"/>
      <c r="G451" s="390"/>
      <c r="H451" s="390"/>
    </row>
    <row r="452" spans="1:8">
      <c r="A452" s="390" t="s">
        <v>352</v>
      </c>
      <c r="B452" s="390"/>
      <c r="C452" s="390"/>
      <c r="D452" s="390"/>
      <c r="E452" s="390"/>
      <c r="F452" s="390"/>
      <c r="G452" s="390"/>
      <c r="H452" s="390"/>
    </row>
    <row r="454" spans="1:8">
      <c r="A454" s="3" t="s">
        <v>353</v>
      </c>
    </row>
  </sheetData>
  <mergeCells count="3">
    <mergeCell ref="B145:C145"/>
    <mergeCell ref="D145:F145"/>
    <mergeCell ref="G145:H145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indexed="32"/>
    <pageSetUpPr fitToPage="1"/>
  </sheetPr>
  <dimension ref="A1:CH320"/>
  <sheetViews>
    <sheetView showGridLines="0" workbookViewId="0">
      <pane xSplit="3" ySplit="9" topLeftCell="AX67" activePane="bottomRight" state="frozen"/>
      <selection/>
      <selection pane="topRight"/>
      <selection pane="bottomLeft"/>
      <selection pane="bottomRight" activeCell="BT10" sqref="BT10"/>
    </sheetView>
  </sheetViews>
  <sheetFormatPr defaultColWidth="9.14285714285714" defaultRowHeight="10.35" customHeight="1"/>
  <cols>
    <col min="1" max="2" width="2" style="110" customWidth="1"/>
    <col min="3" max="3" width="43.5714285714286" style="110" customWidth="1"/>
    <col min="4" max="8" width="7.85714285714286" style="110" hidden="1" customWidth="1" outlineLevel="1"/>
    <col min="9" max="9" width="7.57142857142857" style="110" hidden="1" customWidth="1" outlineLevel="1"/>
    <col min="10" max="10" width="8.42857142857143" style="110" hidden="1" customWidth="1" outlineLevel="1"/>
    <col min="11" max="11" width="7.57142857142857" style="110" hidden="1" customWidth="1" outlineLevel="1"/>
    <col min="12" max="12" width="8.42857142857143" style="110" hidden="1" customWidth="1" outlineLevel="1"/>
    <col min="13" max="14" width="7.57142857142857" style="110" hidden="1" customWidth="1" outlineLevel="1"/>
    <col min="15" max="15" width="8.42857142857143" style="110" hidden="1" customWidth="1" outlineLevel="1"/>
    <col min="16" max="16" width="7.57142857142857" style="110" hidden="1" customWidth="1" outlineLevel="1" collapsed="1"/>
    <col min="17" max="17" width="7.57142857142857" style="110" hidden="1" customWidth="1" outlineLevel="1"/>
    <col min="18" max="31" width="6.71428571428571" style="110" hidden="1" customWidth="1" outlineLevel="1"/>
    <col min="32" max="32" width="6.71428571428571" style="110" hidden="1" customWidth="1" outlineLevel="1" collapsed="1"/>
    <col min="33" max="39" width="6.71428571428571" style="110" hidden="1" customWidth="1" outlineLevel="1"/>
    <col min="40" max="40" width="6.71428571428571" style="110" customWidth="1" collapsed="1"/>
    <col min="41" max="55" width="6.71428571428571" style="110" customWidth="1"/>
    <col min="56" max="58" width="1.71428571428571" style="110" customWidth="1"/>
    <col min="59" max="59" width="6.71428571428571" style="110" hidden="1" customWidth="1" outlineLevel="1" collapsed="1"/>
    <col min="60" max="64" width="6.71428571428571" style="110" hidden="1" customWidth="1" outlineLevel="1"/>
    <col min="65" max="65" width="6.71428571428571" style="110" hidden="1" customWidth="1" outlineLevel="1" collapsed="1"/>
    <col min="66" max="67" width="6.71428571428571" style="110" hidden="1" customWidth="1" outlineLevel="1"/>
    <col min="68" max="68" width="6.71428571428571" style="110" customWidth="1" collapsed="1"/>
    <col min="69" max="71" width="6.71428571428571" style="110" customWidth="1"/>
    <col min="72" max="72" width="6.57142857142857" style="110" customWidth="1"/>
    <col min="73" max="73" width="40.7142857142857" customWidth="1"/>
    <col min="74" max="74" width="10.7142857142857" customWidth="1"/>
    <col min="75" max="75" width="40.7142857142857" customWidth="1"/>
    <col min="76" max="77" width="10.7142857142857" customWidth="1"/>
    <col min="78" max="78" width="1.71428571428571" customWidth="1"/>
    <col min="79" max="16384" width="9.14285714285714" style="110"/>
  </cols>
  <sheetData>
    <row r="1" ht="15" customHeight="1" spans="1:84">
      <c r="A1" s="44" t="s">
        <v>354</v>
      </c>
      <c r="B1" s="44"/>
      <c r="C1" s="44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2"/>
      <c r="AF1" s="111"/>
      <c r="AG1" s="111"/>
      <c r="AH1" s="111"/>
      <c r="AI1" s="111"/>
      <c r="AJ1" s="113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4"/>
      <c r="BF1" s="115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</row>
    <row r="2" ht="15" customHeight="1" spans="1:84">
      <c r="A2" s="116"/>
      <c r="B2" s="116"/>
      <c r="C2" s="44" t="s">
        <v>355</v>
      </c>
      <c r="D2" s="111"/>
      <c r="E2" s="111"/>
      <c r="F2" s="111"/>
      <c r="G2" s="111"/>
      <c r="H2" s="111"/>
      <c r="I2" s="111"/>
      <c r="J2" s="111"/>
      <c r="K2" s="111"/>
      <c r="L2" s="117"/>
      <c r="M2" s="111"/>
      <c r="N2" s="111"/>
      <c r="O2" s="111"/>
      <c r="P2" s="111"/>
      <c r="Q2" s="111"/>
      <c r="R2" s="117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7"/>
      <c r="AP2" s="117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4"/>
      <c r="BF2" s="115"/>
      <c r="BG2" s="118"/>
      <c r="BH2" s="47"/>
      <c r="BI2" s="47"/>
      <c r="BJ2" s="47"/>
      <c r="BK2" s="47"/>
      <c r="BL2" s="47"/>
      <c r="BM2" s="47"/>
      <c r="BN2" s="47"/>
      <c r="BO2" s="47"/>
      <c r="BP2" s="111"/>
      <c r="BQ2" s="111"/>
      <c r="BR2" s="111"/>
      <c r="BS2" s="111"/>
      <c r="BT2" s="111"/>
    </row>
    <row r="3" ht="15" customHeight="1" spans="1:84">
      <c r="A3" s="116"/>
      <c r="B3" s="116"/>
      <c r="C3" s="44" t="s">
        <v>356</v>
      </c>
      <c r="D3" s="119"/>
      <c r="E3" s="119"/>
      <c r="F3" s="120"/>
      <c r="G3" s="119"/>
      <c r="H3" s="121"/>
      <c r="I3" s="121"/>
      <c r="J3" s="121"/>
      <c r="K3" s="121"/>
      <c r="L3" s="117"/>
      <c r="M3" s="122"/>
      <c r="N3" s="122"/>
      <c r="O3" s="122"/>
      <c r="P3" s="122"/>
      <c r="Q3" s="122"/>
      <c r="R3" s="121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12"/>
      <c r="AK3" s="122"/>
      <c r="AL3" s="122"/>
      <c r="AM3" s="122"/>
      <c r="AN3" s="122"/>
      <c r="AO3" s="123"/>
      <c r="AP3" s="123"/>
      <c r="AQ3" s="122"/>
      <c r="AR3" s="122"/>
      <c r="AS3" s="122"/>
      <c r="AT3" s="122"/>
      <c r="AU3" s="122"/>
      <c r="AV3" s="122"/>
      <c r="AW3" s="122"/>
      <c r="AX3" s="122"/>
      <c r="AY3" s="122"/>
      <c r="AZ3" s="122"/>
      <c r="BA3" s="122"/>
      <c r="BB3" s="122"/>
      <c r="BC3" s="122"/>
      <c r="BD3" s="122"/>
      <c r="BE3" s="124"/>
      <c r="BF3" s="115"/>
      <c r="BG3" s="122"/>
      <c r="BH3" s="122"/>
      <c r="BI3" s="122"/>
      <c r="BJ3" s="122"/>
      <c r="BK3" s="122"/>
      <c r="BL3" s="122"/>
      <c r="BM3" s="125"/>
      <c r="BN3" s="125"/>
      <c r="BO3" s="122"/>
      <c r="BP3" s="111"/>
      <c r="BQ3" s="111"/>
      <c r="BR3" s="111"/>
      <c r="BS3" s="111"/>
      <c r="BT3" s="111"/>
    </row>
    <row r="4" ht="15" hidden="1" customHeight="1" spans="1:84">
      <c r="A4" s="126"/>
      <c r="B4" s="126"/>
      <c r="C4" s="126"/>
      <c r="D4" s="127"/>
      <c r="E4" s="120"/>
      <c r="F4" s="112"/>
      <c r="G4" s="127"/>
      <c r="H4" s="112"/>
      <c r="I4" s="112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8"/>
      <c r="BF4" s="129"/>
      <c r="BG4" s="123"/>
      <c r="BH4" s="130"/>
      <c r="BI4" s="130"/>
      <c r="BJ4" s="130"/>
      <c r="BK4" s="130"/>
      <c r="BL4" s="130"/>
      <c r="BM4" s="130"/>
      <c r="BN4" s="130"/>
      <c r="BO4" s="130"/>
      <c r="BP4" s="111"/>
      <c r="BQ4" s="111"/>
      <c r="BR4" s="111"/>
      <c r="BS4" s="111"/>
      <c r="BT4" s="111"/>
    </row>
    <row r="5" ht="15" hidden="1" customHeight="1" spans="1:84">
      <c r="A5" s="131"/>
      <c r="B5" s="131"/>
      <c r="C5" s="126"/>
      <c r="D5" s="111"/>
      <c r="E5" s="111"/>
      <c r="F5" s="111"/>
      <c r="G5" s="111"/>
      <c r="H5" s="132"/>
      <c r="I5" s="132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4"/>
      <c r="BF5" s="115"/>
      <c r="BG5" s="123"/>
      <c r="BH5" s="133"/>
      <c r="BI5" s="133"/>
      <c r="BJ5" s="133"/>
      <c r="BK5" s="133"/>
      <c r="BL5" s="133"/>
      <c r="BM5" s="133"/>
      <c r="BN5" s="133"/>
      <c r="BO5" s="133"/>
      <c r="BP5" s="111"/>
      <c r="BQ5" s="111"/>
      <c r="BR5" s="111"/>
      <c r="BS5" s="111"/>
      <c r="BT5" s="111"/>
    </row>
    <row r="6" ht="11.25" hidden="1" spans="1:84">
      <c r="A6" s="126"/>
      <c r="B6" s="126"/>
      <c r="C6" s="126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4"/>
      <c r="BB6" s="134"/>
      <c r="BC6" s="134"/>
      <c r="BD6" s="134"/>
      <c r="BE6" s="135"/>
      <c r="BF6" s="115"/>
      <c r="BG6" s="111"/>
      <c r="BH6" s="111"/>
      <c r="BI6" s="111"/>
      <c r="BJ6" s="111"/>
      <c r="BK6" s="111"/>
      <c r="BL6" s="111"/>
      <c r="BM6" s="111"/>
      <c r="BN6" s="111"/>
      <c r="BO6" s="111"/>
      <c r="BP6" s="111"/>
      <c r="BQ6" s="111"/>
      <c r="BR6" s="111"/>
      <c r="BS6" s="111"/>
      <c r="BT6" s="111"/>
    </row>
    <row r="7" customFormat="1" ht="12.75"/>
    <row r="8" ht="11.25" spans="1:84">
      <c r="A8" s="136" t="s">
        <v>357</v>
      </c>
      <c r="B8" s="136"/>
      <c r="C8" s="136"/>
      <c r="D8" s="137" t="s">
        <v>358</v>
      </c>
      <c r="E8" s="137" t="s">
        <v>359</v>
      </c>
      <c r="F8" s="137" t="s">
        <v>360</v>
      </c>
      <c r="G8" s="137" t="s">
        <v>361</v>
      </c>
      <c r="H8" s="137" t="s">
        <v>362</v>
      </c>
      <c r="I8" s="137" t="s">
        <v>363</v>
      </c>
      <c r="J8" s="137" t="s">
        <v>364</v>
      </c>
      <c r="K8" s="137" t="s">
        <v>365</v>
      </c>
      <c r="L8" s="137" t="s">
        <v>366</v>
      </c>
      <c r="M8" s="137" t="s">
        <v>367</v>
      </c>
      <c r="N8" s="137" t="s">
        <v>368</v>
      </c>
      <c r="O8" s="137" t="s">
        <v>369</v>
      </c>
      <c r="P8" s="137" t="s">
        <v>370</v>
      </c>
      <c r="Q8" s="137" t="s">
        <v>371</v>
      </c>
      <c r="R8" s="137" t="s">
        <v>372</v>
      </c>
      <c r="S8" s="137" t="s">
        <v>373</v>
      </c>
      <c r="T8" s="137" t="s">
        <v>374</v>
      </c>
      <c r="U8" s="137" t="s">
        <v>375</v>
      </c>
      <c r="V8" s="137" t="s">
        <v>376</v>
      </c>
      <c r="W8" s="137" t="s">
        <v>377</v>
      </c>
      <c r="X8" s="137" t="s">
        <v>378</v>
      </c>
      <c r="Y8" s="137" t="s">
        <v>379</v>
      </c>
      <c r="Z8" s="137" t="s">
        <v>380</v>
      </c>
      <c r="AA8" s="137" t="s">
        <v>381</v>
      </c>
      <c r="AB8" s="137" t="s">
        <v>382</v>
      </c>
      <c r="AC8" s="137" t="s">
        <v>383</v>
      </c>
      <c r="AD8" s="137" t="s">
        <v>384</v>
      </c>
      <c r="AE8" s="137" t="s">
        <v>385</v>
      </c>
      <c r="AF8" s="137" t="s">
        <v>386</v>
      </c>
      <c r="AG8" s="137" t="s">
        <v>387</v>
      </c>
      <c r="AH8" s="137" t="s">
        <v>388</v>
      </c>
      <c r="AI8" s="137" t="s">
        <v>389</v>
      </c>
      <c r="AJ8" s="137" t="s">
        <v>390</v>
      </c>
      <c r="AK8" s="137" t="s">
        <v>391</v>
      </c>
      <c r="AL8" s="137" t="s">
        <v>392</v>
      </c>
      <c r="AM8" s="137" t="s">
        <v>393</v>
      </c>
      <c r="AN8" s="137" t="s">
        <v>394</v>
      </c>
      <c r="AO8" s="137" t="s">
        <v>395</v>
      </c>
      <c r="AP8" s="137" t="s">
        <v>396</v>
      </c>
      <c r="AQ8" s="137" t="s">
        <v>397</v>
      </c>
      <c r="AR8" s="138" t="s">
        <v>398</v>
      </c>
      <c r="AS8" s="138" t="s">
        <v>399</v>
      </c>
      <c r="AT8" s="138" t="s">
        <v>400</v>
      </c>
      <c r="AU8" s="138" t="s">
        <v>401</v>
      </c>
      <c r="AV8" s="138" t="s">
        <v>402</v>
      </c>
      <c r="AW8" s="138" t="s">
        <v>403</v>
      </c>
      <c r="AX8" s="138" t="s">
        <v>404</v>
      </c>
      <c r="AY8" s="138" t="s">
        <v>405</v>
      </c>
      <c r="AZ8" s="138" t="s">
        <v>406</v>
      </c>
      <c r="BA8" s="138" t="s">
        <v>407</v>
      </c>
      <c r="BB8" s="138" t="s">
        <v>408</v>
      </c>
      <c r="BC8" s="138" t="s">
        <v>409</v>
      </c>
      <c r="BD8" s="138"/>
      <c r="BE8" s="139"/>
      <c r="BF8" s="140"/>
      <c r="BG8" s="137">
        <v>2016</v>
      </c>
      <c r="BH8" s="137">
        <v>2017</v>
      </c>
      <c r="BI8" s="137">
        <v>2018</v>
      </c>
      <c r="BJ8" s="137">
        <v>2019</v>
      </c>
      <c r="BK8" s="137">
        <v>2020</v>
      </c>
      <c r="BL8" s="137">
        <v>2021</v>
      </c>
      <c r="BM8" s="137">
        <v>2022</v>
      </c>
      <c r="BN8" s="137">
        <v>2023</v>
      </c>
      <c r="BO8" s="137">
        <v>2024</v>
      </c>
      <c r="BP8" s="137">
        <v>2025</v>
      </c>
      <c r="BQ8" s="141" t="s">
        <v>410</v>
      </c>
      <c r="BR8" s="141" t="s">
        <v>411</v>
      </c>
      <c r="BS8" s="141" t="s">
        <v>412</v>
      </c>
      <c r="BT8" s="47"/>
    </row>
    <row r="9" ht="3" customHeight="1" spans="1:84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142"/>
      <c r="BF9" s="143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</row>
    <row r="10" ht="9.75" customHeight="1" spans="1:84">
      <c r="A10" s="144" t="s">
        <v>413</v>
      </c>
      <c r="B10" s="144"/>
      <c r="C10" s="144"/>
      <c r="D10" s="145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>
        <v>404.71709714</v>
      </c>
      <c r="Q10" s="145">
        <v>474.46152363</v>
      </c>
      <c r="R10" s="145">
        <v>505.167</v>
      </c>
      <c r="S10" s="145">
        <f>+BJ10-SUM(P10:R10)</f>
        <v>353.38937923</v>
      </c>
      <c r="T10" s="145">
        <v>495.75247611</v>
      </c>
      <c r="U10" s="145">
        <f>1089.57666842-T10</f>
        <v>593.82419231</v>
      </c>
      <c r="V10" s="145">
        <v>378.87464613</v>
      </c>
      <c r="W10" s="145">
        <f>BK10-SUM(T10:V10)</f>
        <v>355.2142409</v>
      </c>
      <c r="X10" s="145">
        <v>299.53</v>
      </c>
      <c r="Y10" s="145">
        <v>424.933</v>
      </c>
      <c r="Z10" s="145">
        <v>868.233</v>
      </c>
      <c r="AA10" s="145">
        <v>969.321</v>
      </c>
      <c r="AB10" s="145">
        <v>900.423</v>
      </c>
      <c r="AC10" s="145">
        <v>1026.911</v>
      </c>
      <c r="AD10" s="145">
        <v>953.493</v>
      </c>
      <c r="AE10" s="145">
        <v>791.431</v>
      </c>
      <c r="AF10" s="145">
        <v>419.528</v>
      </c>
      <c r="AG10" s="145">
        <v>508.088</v>
      </c>
      <c r="AH10" s="145">
        <v>597.55</v>
      </c>
      <c r="AI10" s="145">
        <v>760.572</v>
      </c>
      <c r="AJ10" s="145">
        <v>737.263</v>
      </c>
      <c r="AK10" s="145">
        <v>927.715</v>
      </c>
      <c r="AL10" s="145">
        <v>905.892</v>
      </c>
      <c r="AM10" s="145">
        <v>1068.041</v>
      </c>
      <c r="AN10" s="145">
        <v>1222.209</v>
      </c>
      <c r="AO10" s="145">
        <v>1411.247</v>
      </c>
      <c r="AP10" s="145">
        <f>4057.68849-SUM(AN10:AO10)</f>
        <v>1424.23249</v>
      </c>
      <c r="AQ10" s="145">
        <f>4057.68849-SUM(AO10:AP10)</f>
        <v>1222.209</v>
      </c>
      <c r="AR10" s="146">
        <v>1460.718</v>
      </c>
      <c r="AS10" s="146">
        <f t="shared" ref="AS10:AY10" si="0">AS128</f>
        <v>1773.97518683042</v>
      </c>
      <c r="AT10" s="146">
        <f t="shared" si="0"/>
        <v>1981.75569066222</v>
      </c>
      <c r="AU10" s="146">
        <f t="shared" si="0"/>
        <v>2300.22998120097</v>
      </c>
      <c r="AV10" s="146">
        <f t="shared" si="0"/>
        <v>2575.9875801154</v>
      </c>
      <c r="AW10" s="146">
        <f t="shared" si="0"/>
        <v>3387.11863901808</v>
      </c>
      <c r="AX10" s="146">
        <f t="shared" si="0"/>
        <v>3766.23633358128</v>
      </c>
      <c r="AY10" s="146">
        <f t="shared" si="0"/>
        <v>4185.74166768798</v>
      </c>
      <c r="AZ10" s="146">
        <f t="shared" ref="AZ10:BC10" si="1">AZ128</f>
        <v>4425.06256589731</v>
      </c>
      <c r="BA10" s="146">
        <f t="shared" si="1"/>
        <v>4716.75036678951</v>
      </c>
      <c r="BB10" s="146">
        <f t="shared" si="1"/>
        <v>5022.00725641042</v>
      </c>
      <c r="BC10" s="146">
        <f t="shared" si="1"/>
        <v>5342.06190444792</v>
      </c>
      <c r="BD10" s="146"/>
      <c r="BE10" s="147"/>
      <c r="BF10" s="148"/>
      <c r="BG10" s="145">
        <v>844.945</v>
      </c>
      <c r="BH10" s="145">
        <v>1227.515</v>
      </c>
      <c r="BI10" s="145">
        <v>1757.665</v>
      </c>
      <c r="BJ10" s="145">
        <v>1737.735</v>
      </c>
      <c r="BK10" s="145">
        <v>1823.66555545</v>
      </c>
      <c r="BL10" s="145">
        <v>2562.017</v>
      </c>
      <c r="BM10" s="145">
        <v>3672.258</v>
      </c>
      <c r="BN10" s="145">
        <v>2285.738</v>
      </c>
      <c r="BO10" s="145">
        <v>3638.911</v>
      </c>
      <c r="BP10" s="149">
        <f>SUM(AN10:AQ10)</f>
        <v>5279.89749</v>
      </c>
      <c r="BQ10" s="149">
        <f>SUM(AR10:AU10)</f>
        <v>7516.6788586936</v>
      </c>
      <c r="BR10" s="149">
        <f>SUM(AV10:AY10)</f>
        <v>13915.0842204027</v>
      </c>
      <c r="BS10" s="149">
        <f>SUM(AZ10:BC10)</f>
        <v>19505.8820935452</v>
      </c>
      <c r="BT10" s="150">
        <f>+(BS10/BP10)^(1/3)-1</f>
        <v>0.545895150049946</v>
      </c>
      <c r="CB10" s="149">
        <f>SUM(AY10:BF10)</f>
        <v>23691.6237612331</v>
      </c>
      <c r="CD10" s="151"/>
      <c r="CE10" s="151"/>
      <c r="CF10" s="151"/>
    </row>
    <row r="11" ht="9.75" customHeight="1" spans="1:84">
      <c r="A11" s="78"/>
      <c r="B11" s="78"/>
      <c r="C11" s="95" t="s">
        <v>414</v>
      </c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>
        <f t="shared" ref="Q11:AB11" si="2">Q10/P10-1</f>
        <v>0.172328836569694</v>
      </c>
      <c r="R11" s="150">
        <f t="shared" si="2"/>
        <v>0.0647164729714631</v>
      </c>
      <c r="S11" s="150">
        <f t="shared" si="2"/>
        <v>-0.30045038723828</v>
      </c>
      <c r="T11" s="150">
        <f t="shared" si="2"/>
        <v>0.402850524795609</v>
      </c>
      <c r="U11" s="150">
        <f t="shared" si="2"/>
        <v>0.197823956361318</v>
      </c>
      <c r="V11" s="150">
        <f t="shared" si="2"/>
        <v>-0.361975057539905</v>
      </c>
      <c r="W11" s="150">
        <f t="shared" si="2"/>
        <v>-0.0624491648403455</v>
      </c>
      <c r="X11" s="150">
        <f t="shared" si="2"/>
        <v>-0.156762411211087</v>
      </c>
      <c r="Y11" s="150">
        <f t="shared" si="2"/>
        <v>0.41866590992555</v>
      </c>
      <c r="Z11" s="150">
        <f t="shared" si="2"/>
        <v>1.04322328461193</v>
      </c>
      <c r="AA11" s="150">
        <f t="shared" si="2"/>
        <v>0.116429575931806</v>
      </c>
      <c r="AB11" s="150">
        <f t="shared" si="2"/>
        <v>-0.0710786210140913</v>
      </c>
      <c r="AC11" s="150">
        <f t="shared" ref="AC11:AI11" si="3">AC10/AB10-1</f>
        <v>0.14047619840897</v>
      </c>
      <c r="AD11" s="150">
        <f t="shared" si="3"/>
        <v>-0.0714940243117466</v>
      </c>
      <c r="AE11" s="150">
        <f t="shared" si="3"/>
        <v>-0.169966638454608</v>
      </c>
      <c r="AF11" s="150">
        <f t="shared" si="3"/>
        <v>-0.469912095937612</v>
      </c>
      <c r="AG11" s="150">
        <f t="shared" si="3"/>
        <v>0.211094372723632</v>
      </c>
      <c r="AH11" s="150">
        <f t="shared" si="3"/>
        <v>0.176075797893278</v>
      </c>
      <c r="AI11" s="150">
        <f t="shared" si="3"/>
        <v>0.2728173374613</v>
      </c>
      <c r="AJ11" s="150">
        <f t="shared" ref="AJ11:AQ11" si="4">AJ10/AI10-1</f>
        <v>-0.0306466711895783</v>
      </c>
      <c r="AK11" s="150">
        <f t="shared" si="4"/>
        <v>0.258323013632856</v>
      </c>
      <c r="AL11" s="150">
        <f t="shared" si="4"/>
        <v>-0.0235233881094948</v>
      </c>
      <c r="AM11" s="150">
        <f t="shared" si="4"/>
        <v>0.178993743183514</v>
      </c>
      <c r="AN11" s="150">
        <f t="shared" si="4"/>
        <v>0.144346518532528</v>
      </c>
      <c r="AO11" s="150">
        <f t="shared" si="4"/>
        <v>0.1546691277842</v>
      </c>
      <c r="AP11" s="150">
        <f t="shared" si="4"/>
        <v>0.00920142965760062</v>
      </c>
      <c r="AQ11" s="150">
        <f t="shared" si="4"/>
        <v>-0.141847269612561</v>
      </c>
      <c r="AR11" s="150">
        <f t="shared" ref="AR11:AY11" si="5">AR10/AQ10-1</f>
        <v>0.195145838395888</v>
      </c>
      <c r="AS11" s="150">
        <f t="shared" si="5"/>
        <v>0.214454252518568</v>
      </c>
      <c r="AT11" s="150">
        <f t="shared" si="5"/>
        <v>0.117127063204894</v>
      </c>
      <c r="AU11" s="150">
        <f t="shared" si="5"/>
        <v>0.160703103838359</v>
      </c>
      <c r="AV11" s="150">
        <f t="shared" si="5"/>
        <v>0.119882620941431</v>
      </c>
      <c r="AW11" s="150">
        <f t="shared" si="5"/>
        <v>0.314881587614777</v>
      </c>
      <c r="AX11" s="150">
        <f t="shared" si="5"/>
        <v>0.111929263473661</v>
      </c>
      <c r="AY11" s="150">
        <f t="shared" si="5"/>
        <v>0.111385823126981</v>
      </c>
      <c r="AZ11" s="150">
        <f t="shared" ref="AZ11" si="6">AZ10/AY10-1</f>
        <v>0.0571752671830619</v>
      </c>
      <c r="BA11" s="150">
        <f t="shared" ref="BA11" si="7">BA10/AZ10-1</f>
        <v>0.0659172150785279</v>
      </c>
      <c r="BB11" s="150">
        <f t="shared" ref="BB11" si="8">BB10/BA10-1</f>
        <v>0.0647176267309411</v>
      </c>
      <c r="BC11" s="150">
        <f t="shared" ref="BC11" si="9">BC10/BB10-1</f>
        <v>0.063730423254359</v>
      </c>
      <c r="BD11" s="150"/>
      <c r="BE11" s="152"/>
      <c r="BF11" s="153"/>
      <c r="BG11" s="150"/>
      <c r="BH11" s="150"/>
      <c r="BI11" s="150"/>
      <c r="BJ11" s="150"/>
      <c r="BK11" s="154"/>
      <c r="BL11" s="155"/>
      <c r="BM11" s="154"/>
      <c r="BN11" s="154"/>
      <c r="BO11" s="154"/>
      <c r="BP11" s="78"/>
      <c r="BQ11" s="78"/>
      <c r="BR11" s="78"/>
      <c r="BS11" s="78"/>
      <c r="BT11" s="78"/>
    </row>
    <row r="12" ht="9.75" customHeight="1" spans="1:84">
      <c r="A12" s="78"/>
      <c r="B12" s="78"/>
      <c r="C12" s="95" t="s">
        <v>415</v>
      </c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>
        <f t="shared" ref="T12:AB12" si="10">(T10/P10)-1</f>
        <v>0.224935836942191</v>
      </c>
      <c r="U12" s="150">
        <f t="shared" si="10"/>
        <v>0.251575022916048</v>
      </c>
      <c r="V12" s="150">
        <f t="shared" si="10"/>
        <v>-0.250001195386872</v>
      </c>
      <c r="W12" s="150">
        <f t="shared" si="10"/>
        <v>0.0051638837419965</v>
      </c>
      <c r="X12" s="150">
        <f t="shared" si="10"/>
        <v>-0.39580735460908</v>
      </c>
      <c r="Y12" s="150">
        <f t="shared" si="10"/>
        <v>-0.284412784957458</v>
      </c>
      <c r="Z12" s="150">
        <f t="shared" si="10"/>
        <v>1.29161019051692</v>
      </c>
      <c r="AA12" s="150">
        <f t="shared" si="10"/>
        <v>1.72883485060748</v>
      </c>
      <c r="AB12" s="150">
        <f t="shared" si="10"/>
        <v>2.00611958735352</v>
      </c>
      <c r="AC12" s="150">
        <f t="shared" ref="AC12:AI12" si="11">(AC10/Y10)-1</f>
        <v>1.41664215299824</v>
      </c>
      <c r="AD12" s="150">
        <f t="shared" si="11"/>
        <v>0.0981994464619522</v>
      </c>
      <c r="AE12" s="150">
        <f t="shared" si="11"/>
        <v>-0.18352021672903</v>
      </c>
      <c r="AF12" s="150">
        <f t="shared" si="11"/>
        <v>-0.534076761699779</v>
      </c>
      <c r="AG12" s="150">
        <f t="shared" si="11"/>
        <v>-0.505226840495428</v>
      </c>
      <c r="AH12" s="150">
        <f t="shared" si="11"/>
        <v>-0.373304261279317</v>
      </c>
      <c r="AI12" s="150">
        <f t="shared" si="11"/>
        <v>-0.0389913965967975</v>
      </c>
      <c r="AJ12" s="150">
        <f t="shared" ref="AJ12:AQ12" si="12">(AJ10/AF10)-1</f>
        <v>0.757363036555367</v>
      </c>
      <c r="AK12" s="150">
        <f t="shared" si="12"/>
        <v>0.825894333265104</v>
      </c>
      <c r="AL12" s="150">
        <f t="shared" si="12"/>
        <v>0.516010375700778</v>
      </c>
      <c r="AM12" s="150">
        <f t="shared" si="12"/>
        <v>0.40426021468053</v>
      </c>
      <c r="AN12" s="150">
        <f t="shared" si="12"/>
        <v>0.657765275078229</v>
      </c>
      <c r="AO12" s="150">
        <f t="shared" si="12"/>
        <v>0.521207482901538</v>
      </c>
      <c r="AP12" s="150">
        <f t="shared" si="12"/>
        <v>0.572187953972438</v>
      </c>
      <c r="AQ12" s="150">
        <f t="shared" si="12"/>
        <v>0.144346518532529</v>
      </c>
      <c r="AR12" s="150">
        <f t="shared" ref="AR12:AY12" si="13">(AR10/AN10)-1</f>
        <v>0.195145838395888</v>
      </c>
      <c r="AS12" s="150">
        <f t="shared" si="13"/>
        <v>0.25702671951148</v>
      </c>
      <c r="AT12" s="150">
        <f t="shared" si="13"/>
        <v>0.391455190481027</v>
      </c>
      <c r="AU12" s="150">
        <f t="shared" si="13"/>
        <v>0.882026708362454</v>
      </c>
      <c r="AV12" s="150">
        <f t="shared" si="13"/>
        <v>0.763507795560401</v>
      </c>
      <c r="AW12" s="150">
        <f t="shared" si="13"/>
        <v>0.909338227593751</v>
      </c>
      <c r="AX12" s="150">
        <f t="shared" si="13"/>
        <v>0.900454405821724</v>
      </c>
      <c r="AY12" s="150">
        <f t="shared" si="13"/>
        <v>0.81970572590423</v>
      </c>
      <c r="AZ12" s="150">
        <f t="shared" ref="AZ12" si="14">(AZ10/AV10)-1</f>
        <v>0.717812073340463</v>
      </c>
      <c r="BA12" s="150">
        <f t="shared" ref="BA12" si="15">(BA10/AW10)-1</f>
        <v>0.392555404601028</v>
      </c>
      <c r="BB12" s="150">
        <f t="shared" ref="BB12" si="16">(BB10/AX10)-1</f>
        <v>0.33342860394399</v>
      </c>
      <c r="BC12" s="150">
        <f t="shared" ref="BC12" si="17">(BC10/AY10)-1</f>
        <v>0.276252174300724</v>
      </c>
      <c r="BD12" s="150"/>
      <c r="BE12" s="152"/>
      <c r="BF12" s="153"/>
      <c r="BG12" s="150"/>
      <c r="BH12" s="150">
        <f t="shared" ref="BH12:BS12" si="18">(BH10/BG10)-1</f>
        <v>0.452775032694436</v>
      </c>
      <c r="BI12" s="150">
        <f t="shared" si="18"/>
        <v>0.431888816022615</v>
      </c>
      <c r="BJ12" s="150">
        <f t="shared" si="18"/>
        <v>-0.0113389070158421</v>
      </c>
      <c r="BK12" s="150">
        <f t="shared" si="18"/>
        <v>0.0494497466241977</v>
      </c>
      <c r="BL12" s="156">
        <f t="shared" si="18"/>
        <v>0.404872177545629</v>
      </c>
      <c r="BM12" s="150">
        <f t="shared" si="18"/>
        <v>0.433346461010993</v>
      </c>
      <c r="BN12" s="150">
        <f t="shared" si="18"/>
        <v>-0.377566064258012</v>
      </c>
      <c r="BO12" s="150">
        <f t="shared" si="18"/>
        <v>0.592007045426904</v>
      </c>
      <c r="BP12" s="150">
        <f t="shared" si="18"/>
        <v>0.450955379232963</v>
      </c>
      <c r="BQ12" s="150">
        <f t="shared" si="18"/>
        <v>0.423641059874744</v>
      </c>
      <c r="BR12" s="150">
        <f t="shared" si="18"/>
        <v>0.851227713993515</v>
      </c>
      <c r="BS12" s="150">
        <f t="shared" si="18"/>
        <v>0.401779664757258</v>
      </c>
      <c r="BT12" s="78"/>
    </row>
    <row r="13" ht="4.5" customHeight="1" spans="1:84">
      <c r="A13" s="49"/>
      <c r="B13" s="49"/>
      <c r="C13" s="49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157"/>
      <c r="BF13" s="158"/>
      <c r="BG13" s="84"/>
      <c r="BH13" s="84"/>
      <c r="BI13" s="84"/>
      <c r="BJ13" s="84"/>
      <c r="BK13" s="159"/>
      <c r="BL13" s="160"/>
      <c r="BM13" s="159"/>
      <c r="BN13" s="159"/>
      <c r="BO13" s="159"/>
      <c r="BP13" s="159"/>
      <c r="BQ13" s="159"/>
      <c r="BR13" s="159"/>
      <c r="BS13" s="159"/>
    </row>
    <row r="14" ht="9.75" customHeight="1" spans="1:84">
      <c r="A14" s="161" t="s">
        <v>416</v>
      </c>
      <c r="B14" s="161"/>
      <c r="C14" s="161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>
        <f>96.2987357+0.0649224</f>
        <v>96.3636581</v>
      </c>
      <c r="Q14" s="145">
        <f>232.11660141+0.081407-P14</f>
        <v>135.83435031</v>
      </c>
      <c r="R14" s="145">
        <v>124.581</v>
      </c>
      <c r="S14" s="145">
        <f>+BJ14-SUM(P14:R14)</f>
        <v>95.72099159</v>
      </c>
      <c r="T14" s="145">
        <f>136.18547499+0.0481512</f>
        <v>136.23362619</v>
      </c>
      <c r="U14" s="145">
        <f>286.60896514+0.71466679-T14</f>
        <v>151.09000574</v>
      </c>
      <c r="V14" s="145">
        <f>111.43112144+0.34000907</f>
        <v>111.77113051</v>
      </c>
      <c r="W14" s="145">
        <f>W10-W17</f>
        <v>108.59023801</v>
      </c>
      <c r="X14" s="145">
        <v>106.571</v>
      </c>
      <c r="Y14" s="145">
        <v>165.872</v>
      </c>
      <c r="Z14" s="145">
        <v>544.91</v>
      </c>
      <c r="AA14" s="145">
        <v>522.55</v>
      </c>
      <c r="AB14" s="145">
        <v>511.572</v>
      </c>
      <c r="AC14" s="145">
        <v>592.189</v>
      </c>
      <c r="AD14" s="145">
        <v>518.224</v>
      </c>
      <c r="AE14" s="145">
        <v>344.762</v>
      </c>
      <c r="AF14" s="145">
        <v>195.955</v>
      </c>
      <c r="AG14" s="145">
        <v>209.184</v>
      </c>
      <c r="AH14" s="145">
        <v>210.361</v>
      </c>
      <c r="AI14" s="145">
        <v>323.717</v>
      </c>
      <c r="AJ14" s="145">
        <v>311.832</v>
      </c>
      <c r="AK14" s="145">
        <v>391.193</v>
      </c>
      <c r="AL14" s="145">
        <v>373.779</v>
      </c>
      <c r="AM14" s="145">
        <v>446.81</v>
      </c>
      <c r="AN14" s="145">
        <v>483.387</v>
      </c>
      <c r="AO14" s="145">
        <v>558.436</v>
      </c>
      <c r="AP14" s="145">
        <f>1563.885615-SUM(AN14:AO14)</f>
        <v>522.062615</v>
      </c>
      <c r="AQ14" s="145">
        <f>1563.885615-SUM(AO14:AP14)</f>
        <v>483.387</v>
      </c>
      <c r="AR14" s="162">
        <v>441.309</v>
      </c>
      <c r="AS14" s="162">
        <f t="shared" ref="AS14:AY14" si="19">AS10-AS17</f>
        <v>572.728618253262</v>
      </c>
      <c r="AT14" s="162">
        <f t="shared" si="19"/>
        <v>626.530695542929</v>
      </c>
      <c r="AU14" s="162">
        <f t="shared" si="19"/>
        <v>708.353973594354</v>
      </c>
      <c r="AV14" s="162">
        <f t="shared" si="19"/>
        <v>779.459224018625</v>
      </c>
      <c r="AW14" s="162">
        <f t="shared" si="19"/>
        <v>985.086613787946</v>
      </c>
      <c r="AX14" s="162">
        <f t="shared" si="19"/>
        <v>1083.64082285469</v>
      </c>
      <c r="AY14" s="162">
        <f t="shared" si="19"/>
        <v>1193.55175503475</v>
      </c>
      <c r="AZ14" s="162">
        <f t="shared" ref="AZ14:BC14" si="20">AZ10-AZ17</f>
        <v>1254.72844039661</v>
      </c>
      <c r="BA14" s="162">
        <f t="shared" si="20"/>
        <v>1329.05659391685</v>
      </c>
      <c r="BB14" s="162">
        <f t="shared" si="20"/>
        <v>1406.85594554299</v>
      </c>
      <c r="BC14" s="162">
        <f t="shared" si="20"/>
        <v>1488.456272585</v>
      </c>
      <c r="BD14" s="162"/>
      <c r="BE14" s="147"/>
      <c r="BF14" s="148"/>
      <c r="BG14" s="162">
        <v>412.309</v>
      </c>
      <c r="BH14" s="162">
        <v>570.952</v>
      </c>
      <c r="BI14" s="162">
        <v>517.734</v>
      </c>
      <c r="BJ14" s="162">
        <v>452.5</v>
      </c>
      <c r="BK14" s="162">
        <f>SUM(T14:W14)</f>
        <v>507.68500045</v>
      </c>
      <c r="BL14" s="162">
        <v>1330.197</v>
      </c>
      <c r="BM14" s="162">
        <v>1966.747</v>
      </c>
      <c r="BN14" s="162">
        <v>939.216</v>
      </c>
      <c r="BO14" s="162">
        <v>1523.615</v>
      </c>
      <c r="BP14" s="162">
        <f t="shared" ref="BP14:BS14" si="21">BP10-BP17</f>
        <v>2047.272615</v>
      </c>
      <c r="BQ14" s="162">
        <f t="shared" si="21"/>
        <v>2348.92228739054</v>
      </c>
      <c r="BR14" s="162">
        <f t="shared" si="21"/>
        <v>4041.73841569601</v>
      </c>
      <c r="BS14" s="162">
        <f t="shared" si="21"/>
        <v>5479.09725244145</v>
      </c>
      <c r="BT14" s="53"/>
    </row>
    <row r="15" ht="9.75" customHeight="1" spans="1:84">
      <c r="A15" s="78"/>
      <c r="B15" s="78"/>
      <c r="C15" s="95" t="s">
        <v>417</v>
      </c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>
        <f>P14/P10</f>
        <v>0.238101278105051</v>
      </c>
      <c r="Q15" s="154">
        <f>Q14/Q10</f>
        <v>0.286291603312238</v>
      </c>
      <c r="R15" s="154">
        <f t="shared" ref="R15:AB15" si="22">R14/R10</f>
        <v>0.246613496130982</v>
      </c>
      <c r="S15" s="154">
        <f t="shared" si="22"/>
        <v>0.27086550195302</v>
      </c>
      <c r="T15" s="154">
        <f t="shared" si="22"/>
        <v>0.274801706002517</v>
      </c>
      <c r="U15" s="154">
        <f t="shared" si="22"/>
        <v>0.25443558497045</v>
      </c>
      <c r="V15" s="154">
        <f t="shared" si="22"/>
        <v>0.295008208260124</v>
      </c>
      <c r="W15" s="154">
        <f t="shared" si="22"/>
        <v>0.305703503707697</v>
      </c>
      <c r="X15" s="154">
        <f t="shared" si="22"/>
        <v>0.355794077387908</v>
      </c>
      <c r="Y15" s="154">
        <f t="shared" si="22"/>
        <v>0.390348596131625</v>
      </c>
      <c r="Z15" s="154">
        <f t="shared" si="22"/>
        <v>0.627608026877578</v>
      </c>
      <c r="AA15" s="154">
        <f t="shared" si="22"/>
        <v>0.539088702297794</v>
      </c>
      <c r="AB15" s="154">
        <f t="shared" si="22"/>
        <v>0.568146304570185</v>
      </c>
      <c r="AC15" s="154">
        <f t="shared" ref="AC15:AI15" si="23">AC14/AC10</f>
        <v>0.576670227507544</v>
      </c>
      <c r="AD15" s="154">
        <f t="shared" si="23"/>
        <v>0.543500581545958</v>
      </c>
      <c r="AE15" s="154">
        <f t="shared" si="23"/>
        <v>0.435618518860141</v>
      </c>
      <c r="AF15" s="154">
        <f t="shared" si="23"/>
        <v>0.467084437749089</v>
      </c>
      <c r="AG15" s="154">
        <f t="shared" si="23"/>
        <v>0.411708208026956</v>
      </c>
      <c r="AH15" s="154">
        <f t="shared" si="23"/>
        <v>0.352039159902937</v>
      </c>
      <c r="AI15" s="154">
        <f t="shared" si="23"/>
        <v>0.425623083679126</v>
      </c>
      <c r="AJ15" s="154">
        <f t="shared" ref="AJ15:AP15" si="24">AJ14/AJ10</f>
        <v>0.422958971221938</v>
      </c>
      <c r="AK15" s="154">
        <f t="shared" si="24"/>
        <v>0.421673682111424</v>
      </c>
      <c r="AL15" s="154">
        <f t="shared" si="24"/>
        <v>0.412608787802519</v>
      </c>
      <c r="AM15" s="154">
        <f t="shared" si="24"/>
        <v>0.418345363146171</v>
      </c>
      <c r="AN15" s="154">
        <f t="shared" ref="AN15:AO15" si="25">AN14/AN10</f>
        <v>0.395502733165931</v>
      </c>
      <c r="AO15" s="154">
        <f t="shared" si="25"/>
        <v>0.395703941266128</v>
      </c>
      <c r="AP15" s="154">
        <f t="shared" si="24"/>
        <v>0.366557158796455</v>
      </c>
      <c r="AQ15" s="154">
        <f t="shared" ref="AQ15" si="26">AQ14/AQ10</f>
        <v>0.395502733165931</v>
      </c>
      <c r="AR15" s="154">
        <f t="shared" ref="AR15:AY15" si="27">AR14/AR10</f>
        <v>0.302117862585386</v>
      </c>
      <c r="AS15" s="154">
        <f t="shared" si="27"/>
        <v>0.322850411045807</v>
      </c>
      <c r="AT15" s="154">
        <f t="shared" si="27"/>
        <v>0.316149310681969</v>
      </c>
      <c r="AU15" s="154">
        <f t="shared" si="27"/>
        <v>0.307949196116693</v>
      </c>
      <c r="AV15" s="154">
        <f t="shared" si="27"/>
        <v>0.30258656137764</v>
      </c>
      <c r="AW15" s="154">
        <f t="shared" si="27"/>
        <v>0.290833218075148</v>
      </c>
      <c r="AX15" s="154">
        <f t="shared" si="27"/>
        <v>0.287725125795349</v>
      </c>
      <c r="AY15" s="154">
        <f t="shared" si="27"/>
        <v>0.285147018089631</v>
      </c>
      <c r="AZ15" s="154">
        <f t="shared" ref="AZ15:BC15" si="28">AZ14/AZ10</f>
        <v>0.28355044063477</v>
      </c>
      <c r="BA15" s="154">
        <f t="shared" si="28"/>
        <v>0.281773782915182</v>
      </c>
      <c r="BB15" s="154">
        <f t="shared" si="28"/>
        <v>0.280138174580928</v>
      </c>
      <c r="BC15" s="154">
        <f t="shared" si="28"/>
        <v>0.278629544024129</v>
      </c>
      <c r="BD15" s="154"/>
      <c r="BE15" s="163"/>
      <c r="BF15" s="164"/>
      <c r="BG15" s="154">
        <f t="shared" ref="BG15:BL15" si="29">BG14/BG10</f>
        <v>0.487971406422903</v>
      </c>
      <c r="BH15" s="154">
        <f t="shared" si="29"/>
        <v>0.465128328370733</v>
      </c>
      <c r="BI15" s="154">
        <f t="shared" si="29"/>
        <v>0.294557836675362</v>
      </c>
      <c r="BJ15" s="154">
        <f t="shared" si="29"/>
        <v>0.260396435590007</v>
      </c>
      <c r="BK15" s="154">
        <f t="shared" si="29"/>
        <v>0.278387119246065</v>
      </c>
      <c r="BL15" s="155">
        <f t="shared" si="29"/>
        <v>0.519199130997179</v>
      </c>
      <c r="BM15" s="154">
        <f t="shared" ref="BM15:BR15" si="30">BM14/BM10</f>
        <v>0.535568851643866</v>
      </c>
      <c r="BN15" s="154">
        <f t="shared" si="30"/>
        <v>0.410902736884105</v>
      </c>
      <c r="BO15" s="154">
        <f t="shared" ref="BO15" si="31">BO14/BO10</f>
        <v>0.418700814611844</v>
      </c>
      <c r="BP15" s="154">
        <f t="shared" si="30"/>
        <v>0.387748553618226</v>
      </c>
      <c r="BQ15" s="154">
        <f t="shared" si="30"/>
        <v>0.312494697664759</v>
      </c>
      <c r="BR15" s="154">
        <f t="shared" si="30"/>
        <v>0.29045734482655</v>
      </c>
      <c r="BS15" s="154">
        <f t="shared" ref="BS15" si="32">BS14/BS10</f>
        <v>0.2808946155916</v>
      </c>
      <c r="BT15" s="78"/>
    </row>
    <row r="16" ht="3.75" customHeight="1" spans="1:84">
      <c r="A16" s="78"/>
      <c r="B16" s="78"/>
      <c r="C16" s="95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4"/>
      <c r="AG16" s="154"/>
      <c r="AH16" s="154"/>
      <c r="AI16" s="154"/>
      <c r="AJ16" s="154"/>
      <c r="AK16" s="154"/>
      <c r="AL16" s="154"/>
      <c r="AM16" s="154"/>
      <c r="AN16" s="154"/>
      <c r="AO16" s="154"/>
      <c r="AP16" s="154"/>
      <c r="AQ16" s="154"/>
      <c r="AR16" s="154"/>
      <c r="AS16" s="154"/>
      <c r="AT16" s="154"/>
      <c r="AU16" s="154"/>
      <c r="AV16" s="154"/>
      <c r="AW16" s="154"/>
      <c r="AX16" s="154"/>
      <c r="AY16" s="154"/>
      <c r="AZ16" s="154"/>
      <c r="BA16" s="154"/>
      <c r="BB16" s="154"/>
      <c r="BC16" s="154"/>
      <c r="BD16" s="154"/>
      <c r="BE16" s="163"/>
      <c r="BF16" s="164"/>
      <c r="BG16" s="154"/>
      <c r="BH16" s="154"/>
      <c r="BI16" s="154"/>
      <c r="BJ16" s="154"/>
      <c r="BK16" s="154"/>
      <c r="BL16" s="155"/>
      <c r="BM16" s="154"/>
      <c r="BN16" s="154"/>
      <c r="BO16" s="154"/>
      <c r="BP16" s="78"/>
      <c r="BQ16" s="78"/>
      <c r="BR16" s="78"/>
      <c r="BS16" s="78"/>
      <c r="BT16" s="78"/>
    </row>
    <row r="17" ht="9.75" customHeight="1" spans="1:84">
      <c r="A17" s="161" t="s">
        <v>418</v>
      </c>
      <c r="B17" s="161"/>
      <c r="C17" s="161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>
        <f>P10-P14</f>
        <v>308.35343904</v>
      </c>
      <c r="Q17" s="162">
        <f>Q10-Q14</f>
        <v>338.62717332</v>
      </c>
      <c r="R17" s="162">
        <f>R10-R14</f>
        <v>380.586</v>
      </c>
      <c r="S17" s="162">
        <f>S10-S14</f>
        <v>257.66838764</v>
      </c>
      <c r="T17" s="162">
        <f>+T10-T14</f>
        <v>359.51884992</v>
      </c>
      <c r="U17" s="162">
        <f>+U10-U14</f>
        <v>442.73418657</v>
      </c>
      <c r="V17" s="162">
        <f>+V10-V14</f>
        <v>267.10351562</v>
      </c>
      <c r="W17" s="162">
        <f>1823.665555-505.751-1.934-SUM(T17:V17)</f>
        <v>246.62400289</v>
      </c>
      <c r="X17" s="162">
        <f t="shared" ref="X17:AM17" si="33">+X10-X14</f>
        <v>192.959</v>
      </c>
      <c r="Y17" s="162">
        <f t="shared" si="33"/>
        <v>259.061</v>
      </c>
      <c r="Z17" s="162">
        <f t="shared" si="33"/>
        <v>323.323</v>
      </c>
      <c r="AA17" s="162">
        <f t="shared" si="33"/>
        <v>446.771</v>
      </c>
      <c r="AB17" s="162">
        <f t="shared" si="33"/>
        <v>388.851</v>
      </c>
      <c r="AC17" s="162">
        <f t="shared" si="33"/>
        <v>434.722</v>
      </c>
      <c r="AD17" s="162">
        <f t="shared" si="33"/>
        <v>435.269</v>
      </c>
      <c r="AE17" s="162">
        <f t="shared" si="33"/>
        <v>446.669</v>
      </c>
      <c r="AF17" s="162">
        <f t="shared" si="33"/>
        <v>223.573</v>
      </c>
      <c r="AG17" s="162">
        <f t="shared" si="33"/>
        <v>298.904</v>
      </c>
      <c r="AH17" s="162">
        <f t="shared" si="33"/>
        <v>387.189</v>
      </c>
      <c r="AI17" s="162">
        <f t="shared" si="33"/>
        <v>436.855</v>
      </c>
      <c r="AJ17" s="162">
        <f t="shared" si="33"/>
        <v>425.431</v>
      </c>
      <c r="AK17" s="162">
        <f t="shared" si="33"/>
        <v>536.522</v>
      </c>
      <c r="AL17" s="162">
        <f t="shared" si="33"/>
        <v>532.113</v>
      </c>
      <c r="AM17" s="162">
        <f t="shared" si="33"/>
        <v>621.231</v>
      </c>
      <c r="AN17" s="162">
        <f t="shared" ref="AN17" si="34">+AN10-AN14</f>
        <v>738.822</v>
      </c>
      <c r="AO17" s="162">
        <f t="shared" ref="AO17:AR17" si="35">+AO10-AO14</f>
        <v>852.811</v>
      </c>
      <c r="AP17" s="162">
        <f t="shared" si="35"/>
        <v>902.169875</v>
      </c>
      <c r="AQ17" s="162">
        <f t="shared" ref="AQ17" si="36">+AQ10-AQ14</f>
        <v>738.822</v>
      </c>
      <c r="AR17" s="162">
        <f t="shared" si="35"/>
        <v>1019.409</v>
      </c>
      <c r="AS17" s="165">
        <f t="shared" ref="AS17:AY17" si="37">+AS313</f>
        <v>1201.24656857716</v>
      </c>
      <c r="AT17" s="165">
        <f t="shared" si="37"/>
        <v>1355.22499511929</v>
      </c>
      <c r="AU17" s="165">
        <f t="shared" si="37"/>
        <v>1591.87600760661</v>
      </c>
      <c r="AV17" s="165">
        <f t="shared" si="37"/>
        <v>1796.52835609677</v>
      </c>
      <c r="AW17" s="165">
        <f t="shared" si="37"/>
        <v>2402.03202523014</v>
      </c>
      <c r="AX17" s="165">
        <f t="shared" si="37"/>
        <v>2682.5955107266</v>
      </c>
      <c r="AY17" s="165">
        <f t="shared" si="37"/>
        <v>2992.18991265323</v>
      </c>
      <c r="AZ17" s="165">
        <f t="shared" ref="AZ17:BC17" si="38">+AZ313</f>
        <v>3170.3341255007</v>
      </c>
      <c r="BA17" s="165">
        <f t="shared" si="38"/>
        <v>3387.69377287266</v>
      </c>
      <c r="BB17" s="165">
        <f t="shared" si="38"/>
        <v>3615.15131086743</v>
      </c>
      <c r="BC17" s="165">
        <f t="shared" si="38"/>
        <v>3853.60563186293</v>
      </c>
      <c r="BD17" s="165"/>
      <c r="BE17" s="147"/>
      <c r="BF17" s="148"/>
      <c r="BG17" s="145">
        <f>+BG10-BG14</f>
        <v>432.636</v>
      </c>
      <c r="BH17" s="145">
        <f>+BH10-BH14</f>
        <v>656.563</v>
      </c>
      <c r="BI17" s="145">
        <f>+BI10-BI14</f>
        <v>1239.931</v>
      </c>
      <c r="BJ17" s="145">
        <f>+BJ10-BJ14</f>
        <v>1285.235</v>
      </c>
      <c r="BK17" s="145">
        <f>SUM(T17:W17)</f>
        <v>1315.980555</v>
      </c>
      <c r="BL17" s="145">
        <f>+BL10-BL14</f>
        <v>1231.82</v>
      </c>
      <c r="BM17" s="145">
        <f>+BM10-BM14</f>
        <v>1705.511</v>
      </c>
      <c r="BN17" s="145">
        <f>+BN10-BN14</f>
        <v>1346.522</v>
      </c>
      <c r="BO17" s="145">
        <f>+BO10-BO14</f>
        <v>2115.296</v>
      </c>
      <c r="BP17" s="149">
        <f>SUM(AN17:AQ17)</f>
        <v>3232.624875</v>
      </c>
      <c r="BQ17" s="149">
        <f>SUM(AR17:AU17)</f>
        <v>5167.75657130306</v>
      </c>
      <c r="BR17" s="149">
        <f>SUM(AV17:AY17)</f>
        <v>9873.34580470674</v>
      </c>
      <c r="BS17" s="149">
        <f>SUM(AZ17:BC17)</f>
        <v>14026.7848411037</v>
      </c>
      <c r="BT17" s="150"/>
      <c r="CD17" s="151"/>
      <c r="CE17" s="151"/>
      <c r="CF17" s="151"/>
    </row>
    <row r="18" ht="9.75" customHeight="1" spans="1:84">
      <c r="A18" s="78"/>
      <c r="B18" s="78"/>
      <c r="C18" s="95" t="s">
        <v>419</v>
      </c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>
        <f>P17/P10</f>
        <v>0.761898721894949</v>
      </c>
      <c r="Q18" s="150">
        <f>Q17/Q10</f>
        <v>0.713708396687762</v>
      </c>
      <c r="R18" s="150">
        <f t="shared" ref="R18:AB18" si="39">R17/R10</f>
        <v>0.753386503869018</v>
      </c>
      <c r="S18" s="150">
        <f t="shared" si="39"/>
        <v>0.72913449804698</v>
      </c>
      <c r="T18" s="150">
        <f t="shared" si="39"/>
        <v>0.725198293997483</v>
      </c>
      <c r="U18" s="150">
        <f t="shared" si="39"/>
        <v>0.74556441502955</v>
      </c>
      <c r="V18" s="150">
        <f t="shared" si="39"/>
        <v>0.704991791739876</v>
      </c>
      <c r="W18" s="150">
        <f t="shared" si="39"/>
        <v>0.694296496292303</v>
      </c>
      <c r="X18" s="150">
        <f t="shared" si="39"/>
        <v>0.644205922612092</v>
      </c>
      <c r="Y18" s="150">
        <f t="shared" si="39"/>
        <v>0.609651403868374</v>
      </c>
      <c r="Z18" s="150">
        <f t="shared" si="39"/>
        <v>0.372391973122422</v>
      </c>
      <c r="AA18" s="150">
        <f t="shared" si="39"/>
        <v>0.460911297702206</v>
      </c>
      <c r="AB18" s="150">
        <f t="shared" si="39"/>
        <v>0.431853695429815</v>
      </c>
      <c r="AC18" s="150">
        <f t="shared" ref="AC18:AI18" si="40">AC17/AC10</f>
        <v>0.423329772492456</v>
      </c>
      <c r="AD18" s="150">
        <f t="shared" si="40"/>
        <v>0.456499418454042</v>
      </c>
      <c r="AE18" s="150">
        <f t="shared" si="40"/>
        <v>0.564381481139859</v>
      </c>
      <c r="AF18" s="150">
        <f t="shared" si="40"/>
        <v>0.532915562250911</v>
      </c>
      <c r="AG18" s="150">
        <f t="shared" si="40"/>
        <v>0.588291791973044</v>
      </c>
      <c r="AH18" s="150">
        <f t="shared" si="40"/>
        <v>0.647960840097063</v>
      </c>
      <c r="AI18" s="150">
        <f t="shared" si="40"/>
        <v>0.574376916320874</v>
      </c>
      <c r="AJ18" s="150">
        <f t="shared" ref="AJ18:AP18" si="41">AJ17/AJ10</f>
        <v>0.577041028778062</v>
      </c>
      <c r="AK18" s="150">
        <f t="shared" si="41"/>
        <v>0.578326317888576</v>
      </c>
      <c r="AL18" s="150">
        <f t="shared" si="41"/>
        <v>0.58739121219748</v>
      </c>
      <c r="AM18" s="150">
        <f t="shared" si="41"/>
        <v>0.581654636853829</v>
      </c>
      <c r="AN18" s="150">
        <f t="shared" ref="AN18:AO18" si="42">AN17/AN10</f>
        <v>0.604497266834069</v>
      </c>
      <c r="AO18" s="150">
        <f t="shared" si="42"/>
        <v>0.604296058733871</v>
      </c>
      <c r="AP18" s="150">
        <f t="shared" si="41"/>
        <v>0.633442841203545</v>
      </c>
      <c r="AQ18" s="150">
        <f t="shared" ref="AQ18" si="43">AQ17/AQ10</f>
        <v>0.604497266834069</v>
      </c>
      <c r="AR18" s="150">
        <f t="shared" ref="AR18:AY18" si="44">AR17/AR10</f>
        <v>0.697882137414614</v>
      </c>
      <c r="AS18" s="150">
        <f t="shared" si="44"/>
        <v>0.677149588954193</v>
      </c>
      <c r="AT18" s="150">
        <f t="shared" si="44"/>
        <v>0.683850689318031</v>
      </c>
      <c r="AU18" s="150">
        <f t="shared" si="44"/>
        <v>0.692050803883307</v>
      </c>
      <c r="AV18" s="150">
        <f t="shared" si="44"/>
        <v>0.69741343862236</v>
      </c>
      <c r="AW18" s="150">
        <f t="shared" si="44"/>
        <v>0.709166781924852</v>
      </c>
      <c r="AX18" s="150">
        <f t="shared" si="44"/>
        <v>0.712274874204651</v>
      </c>
      <c r="AY18" s="150">
        <f t="shared" si="44"/>
        <v>0.714852981910369</v>
      </c>
      <c r="AZ18" s="150">
        <f t="shared" ref="AZ18:BC18" si="45">AZ17/AZ10</f>
        <v>0.71644955936523</v>
      </c>
      <c r="BA18" s="150">
        <f t="shared" si="45"/>
        <v>0.718226217084818</v>
      </c>
      <c r="BB18" s="150">
        <f t="shared" si="45"/>
        <v>0.719861825419072</v>
      </c>
      <c r="BC18" s="150">
        <f t="shared" si="45"/>
        <v>0.721370455975871</v>
      </c>
      <c r="BD18" s="150"/>
      <c r="BE18" s="152"/>
      <c r="BF18" s="153"/>
      <c r="BG18" s="150">
        <f t="shared" ref="BG18:BL18" si="46">BG17/BG10</f>
        <v>0.512028593577097</v>
      </c>
      <c r="BH18" s="150">
        <f t="shared" si="46"/>
        <v>0.534871671629267</v>
      </c>
      <c r="BI18" s="150">
        <f t="shared" si="46"/>
        <v>0.705442163324638</v>
      </c>
      <c r="BJ18" s="150">
        <f t="shared" si="46"/>
        <v>0.739603564409993</v>
      </c>
      <c r="BK18" s="150">
        <f t="shared" si="46"/>
        <v>0.721612880753935</v>
      </c>
      <c r="BL18" s="156">
        <f t="shared" si="46"/>
        <v>0.480800869002821</v>
      </c>
      <c r="BM18" s="150">
        <f t="shared" ref="BM18:BR18" si="47">BM17/BM10</f>
        <v>0.464431148356134</v>
      </c>
      <c r="BN18" s="150">
        <f t="shared" si="47"/>
        <v>0.589097263115895</v>
      </c>
      <c r="BO18" s="150">
        <f t="shared" ref="BO18" si="48">BO17/BO10</f>
        <v>0.581299185388156</v>
      </c>
      <c r="BP18" s="150">
        <f t="shared" si="47"/>
        <v>0.612251446381774</v>
      </c>
      <c r="BQ18" s="150">
        <f t="shared" si="47"/>
        <v>0.687505302335241</v>
      </c>
      <c r="BR18" s="150">
        <f t="shared" si="47"/>
        <v>0.70954265517345</v>
      </c>
      <c r="BS18" s="150">
        <f t="shared" ref="BS18" si="49">BS17/BS10</f>
        <v>0.7191053844084</v>
      </c>
      <c r="BT18" s="78"/>
      <c r="CB18" s="166"/>
      <c r="CC18" s="167"/>
    </row>
    <row r="19" ht="9.75" customHeight="1" spans="1:84">
      <c r="A19" s="78"/>
      <c r="B19" s="78"/>
      <c r="C19" s="95" t="s">
        <v>420</v>
      </c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>
        <f>IF(P10-O10&lt;=0,"  NM",(P17-O17)/(P10-O10))</f>
        <v>0.761898721894949</v>
      </c>
      <c r="Q19" s="168">
        <f>IF(Q10-P10&lt;=0,"  NM",(Q17-P17)/(Q10-P10))</f>
        <v>0.434066717637152</v>
      </c>
      <c r="R19" s="168">
        <f t="shared" ref="R19:AB19" si="50">IF(R10-Q10&lt;=0,"  NM",(R17-Q17)/(R10-Q10))</f>
        <v>1.36649326570926</v>
      </c>
      <c r="S19" s="168" t="str">
        <f t="shared" si="50"/>
        <v>  NM</v>
      </c>
      <c r="T19" s="168">
        <f t="shared" si="50"/>
        <v>0.715427414211502</v>
      </c>
      <c r="U19" s="168">
        <f t="shared" si="50"/>
        <v>0.848515146612678</v>
      </c>
      <c r="V19" s="168" t="str">
        <f t="shared" si="50"/>
        <v>  NM</v>
      </c>
      <c r="W19" s="168" t="str">
        <f t="shared" si="50"/>
        <v>  NM</v>
      </c>
      <c r="X19" s="168" t="str">
        <f t="shared" si="50"/>
        <v>  NM</v>
      </c>
      <c r="Y19" s="168">
        <f t="shared" si="50"/>
        <v>0.527116576158465</v>
      </c>
      <c r="Z19" s="168">
        <f t="shared" si="50"/>
        <v>0.144962779156328</v>
      </c>
      <c r="AA19" s="168">
        <f t="shared" si="50"/>
        <v>1.22119341563786</v>
      </c>
      <c r="AB19" s="168" t="str">
        <f t="shared" si="50"/>
        <v>  NM</v>
      </c>
      <c r="AC19" s="168">
        <f t="shared" ref="AC19:AI19" si="51">IF(AC10-AB10&lt;=0,"  NM",(AC17-AB17)/(AC10-AB10))</f>
        <v>0.362651002466638</v>
      </c>
      <c r="AD19" s="168" t="str">
        <f t="shared" si="51"/>
        <v>  NM</v>
      </c>
      <c r="AE19" s="168" t="str">
        <f t="shared" si="51"/>
        <v>  NM</v>
      </c>
      <c r="AF19" s="168" t="str">
        <f t="shared" si="51"/>
        <v>  NM</v>
      </c>
      <c r="AG19" s="168">
        <f t="shared" si="51"/>
        <v>0.850621047877145</v>
      </c>
      <c r="AH19" s="168">
        <f t="shared" si="51"/>
        <v>0.98684357604346</v>
      </c>
      <c r="AI19" s="168">
        <f t="shared" si="51"/>
        <v>0.304658266982371</v>
      </c>
      <c r="AJ19" s="168" t="str">
        <f t="shared" ref="AJ19:AQ19" si="52">IF(AJ10-AI10&lt;=0,"  NM",(AJ17-AI17)/(AJ10-AI10))</f>
        <v>  NM</v>
      </c>
      <c r="AK19" s="168">
        <f t="shared" si="52"/>
        <v>0.583301829332325</v>
      </c>
      <c r="AL19" s="168" t="str">
        <f t="shared" si="52"/>
        <v>  NM</v>
      </c>
      <c r="AM19" s="168">
        <f t="shared" si="52"/>
        <v>0.549605609655317</v>
      </c>
      <c r="AN19" s="168">
        <f t="shared" si="52"/>
        <v>0.762745835711691</v>
      </c>
      <c r="AO19" s="168">
        <f t="shared" si="52"/>
        <v>0.602995164993281</v>
      </c>
      <c r="AP19" s="168">
        <f t="shared" si="52"/>
        <v>3.80107912754935</v>
      </c>
      <c r="AQ19" s="168" t="str">
        <f t="shared" si="52"/>
        <v>  NM</v>
      </c>
      <c r="AR19" s="168">
        <f t="shared" ref="AR19:AY19" si="53">IF(AR10-AQ10&lt;=0,"  NM",(AR17-AQ17)/(AR10-AQ10))</f>
        <v>1.17642101555916</v>
      </c>
      <c r="AS19" s="168">
        <f t="shared" si="53"/>
        <v>0.580473732835996</v>
      </c>
      <c r="AT19" s="168">
        <f t="shared" si="53"/>
        <v>0.741062918332222</v>
      </c>
      <c r="AU19" s="168">
        <f t="shared" si="53"/>
        <v>0.743077289180836</v>
      </c>
      <c r="AV19" s="168">
        <f t="shared" si="53"/>
        <v>0.742145816818141</v>
      </c>
      <c r="AW19" s="168">
        <f t="shared" si="53"/>
        <v>0.746493014276266</v>
      </c>
      <c r="AX19" s="168">
        <f t="shared" si="53"/>
        <v>0.740043235965837</v>
      </c>
      <c r="AY19" s="168">
        <f t="shared" si="53"/>
        <v>0.737998725536816</v>
      </c>
      <c r="AZ19" s="168">
        <f t="shared" ref="AZ19" si="54">IF(AZ10-AY10&lt;=0,"  NM",(AZ17-AY17)/(AZ10-AY10))</f>
        <v>0.744373826859228</v>
      </c>
      <c r="BA19" s="168">
        <f t="shared" ref="BA19" si="55">IF(BA10-AZ10&lt;=0,"  NM",(BA17-AZ17)/(BA10-AZ10))</f>
        <v>0.745179080877246</v>
      </c>
      <c r="BB19" s="168">
        <f t="shared" ref="BB19" si="56">IF(BB10-BA10&lt;=0,"  NM",(BB17-BA17)/(BB10-BA10))</f>
        <v>0.745134821616148</v>
      </c>
      <c r="BC19" s="168">
        <f t="shared" ref="BC19" si="57">IF(BC10-BB10&lt;=0,"  NM",(BC17-BB17)/(BC10-BB10))</f>
        <v>0.745042518387523</v>
      </c>
      <c r="BD19" s="168"/>
      <c r="BE19" s="169"/>
      <c r="BF19" s="170"/>
      <c r="BG19" s="168"/>
      <c r="BH19" s="168"/>
      <c r="BI19" s="168"/>
      <c r="BJ19" s="168" t="str">
        <f t="shared" ref="BJ19:BS19" si="58">IF(BJ10-BI10&lt;=0,"  NM",(BJ17-BI17)/(BJ10-BI10))</f>
        <v>  NM</v>
      </c>
      <c r="BK19" s="168">
        <f t="shared" si="58"/>
        <v>0.357795371378577</v>
      </c>
      <c r="BL19" s="171">
        <f t="shared" si="58"/>
        <v>-0.113984411652764</v>
      </c>
      <c r="BM19" s="168">
        <f t="shared" si="58"/>
        <v>0.426656014324818</v>
      </c>
      <c r="BN19" s="168" t="str">
        <f t="shared" si="58"/>
        <v>  NM</v>
      </c>
      <c r="BO19" s="168">
        <f t="shared" si="58"/>
        <v>0.568126913557986</v>
      </c>
      <c r="BP19" s="168">
        <f t="shared" si="58"/>
        <v>0.680888527607561</v>
      </c>
      <c r="BQ19" s="168">
        <f t="shared" si="58"/>
        <v>0.865141190546162</v>
      </c>
      <c r="BR19" s="168">
        <f t="shared" si="58"/>
        <v>0.735431559488867</v>
      </c>
      <c r="BS19" s="168">
        <f t="shared" si="58"/>
        <v>0.742906313309884</v>
      </c>
      <c r="BT19" s="78"/>
    </row>
    <row r="20" ht="4.5" customHeight="1" spans="1:84">
      <c r="A20" s="49"/>
      <c r="B20" s="49"/>
      <c r="C20" s="49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157"/>
      <c r="BF20" s="158"/>
      <c r="BG20" s="84"/>
      <c r="BH20" s="84"/>
      <c r="BI20" s="84"/>
      <c r="BJ20" s="84"/>
      <c r="BK20" s="159"/>
      <c r="BL20" s="160"/>
      <c r="BM20" s="159"/>
      <c r="BN20" s="159"/>
      <c r="BO20" s="159"/>
      <c r="BP20" s="159"/>
      <c r="BQ20" s="159"/>
      <c r="BR20" s="159"/>
      <c r="BS20" s="159"/>
    </row>
    <row r="21" ht="9.75" customHeight="1" spans="1:84">
      <c r="A21" s="161" t="s">
        <v>421</v>
      </c>
      <c r="B21" s="161"/>
      <c r="C21" s="161"/>
      <c r="D21" s="162"/>
      <c r="E21" s="162"/>
      <c r="F21" s="162"/>
      <c r="G21" s="162"/>
      <c r="H21" s="162"/>
      <c r="I21" s="162"/>
      <c r="J21" s="162"/>
      <c r="K21" s="162"/>
      <c r="L21" s="162"/>
      <c r="M21" s="162"/>
      <c r="N21" s="162"/>
      <c r="O21" s="162"/>
      <c r="P21" s="162">
        <f>SUM(P24,P27,P30)</f>
        <v>64.3465194</v>
      </c>
      <c r="Q21" s="162">
        <f>SUM(Q24,Q27,Q30)</f>
        <v>188.14603988</v>
      </c>
      <c r="R21" s="162">
        <f>SUM(R24,R27,R30)</f>
        <v>80.331</v>
      </c>
      <c r="S21" s="162">
        <f t="shared" ref="S21:AB21" si="59">S24+S27+S30</f>
        <v>103.67444072</v>
      </c>
      <c r="T21" s="162">
        <f t="shared" si="59"/>
        <v>162.88560236</v>
      </c>
      <c r="U21" s="162">
        <f t="shared" si="59"/>
        <v>133.51274393</v>
      </c>
      <c r="V21" s="162">
        <f t="shared" si="59"/>
        <v>120.98195125</v>
      </c>
      <c r="W21" s="162">
        <f t="shared" si="59"/>
        <v>152.04138238</v>
      </c>
      <c r="X21" s="162">
        <f t="shared" si="59"/>
        <v>124.545</v>
      </c>
      <c r="Y21" s="146">
        <f t="shared" si="59"/>
        <v>139.587</v>
      </c>
      <c r="Z21" s="146">
        <f t="shared" si="59"/>
        <v>184.658</v>
      </c>
      <c r="AA21" s="146">
        <f t="shared" si="59"/>
        <v>196.397</v>
      </c>
      <c r="AB21" s="146">
        <f t="shared" si="59"/>
        <v>140.318</v>
      </c>
      <c r="AC21" s="146">
        <f t="shared" ref="AC21:AI21" si="60">AC24+AC27+AC30</f>
        <v>178.723</v>
      </c>
      <c r="AD21" s="146">
        <f t="shared" si="60"/>
        <v>182.755</v>
      </c>
      <c r="AE21" s="146">
        <f t="shared" si="60"/>
        <v>350.246</v>
      </c>
      <c r="AF21" s="162">
        <f t="shared" si="60"/>
        <v>193.063</v>
      </c>
      <c r="AG21" s="162">
        <f t="shared" si="60"/>
        <v>241.891</v>
      </c>
      <c r="AH21" s="162">
        <f t="shared" si="60"/>
        <v>244.414</v>
      </c>
      <c r="AI21" s="162">
        <f t="shared" si="60"/>
        <v>265.539</v>
      </c>
      <c r="AJ21" s="162">
        <f t="shared" ref="AJ21:AP21" si="61">AJ24+AJ27+AJ30</f>
        <v>237.412</v>
      </c>
      <c r="AK21" s="162">
        <f t="shared" si="61"/>
        <v>252.292</v>
      </c>
      <c r="AL21" s="162">
        <f t="shared" si="61"/>
        <v>253.713</v>
      </c>
      <c r="AM21" s="162">
        <f t="shared" si="61"/>
        <v>312.323</v>
      </c>
      <c r="AN21" s="162">
        <f t="shared" ref="AN21:AO21" si="62">AN24+AN27+AN30</f>
        <v>278.99</v>
      </c>
      <c r="AO21" s="162">
        <f t="shared" si="62"/>
        <v>350.993</v>
      </c>
      <c r="AP21" s="162">
        <f t="shared" si="61"/>
        <v>576.484289</v>
      </c>
      <c r="AQ21" s="162">
        <f t="shared" ref="AQ21" si="63">AQ24+AQ27+AQ30</f>
        <v>278.99</v>
      </c>
      <c r="AR21" s="162">
        <f t="shared" ref="AR21:AY21" si="64">AR24+AR27+AR30</f>
        <v>344.545</v>
      </c>
      <c r="AS21" s="162">
        <f t="shared" si="64"/>
        <v>367.159587296235</v>
      </c>
      <c r="AT21" s="162">
        <f t="shared" si="64"/>
        <v>389.485460135091</v>
      </c>
      <c r="AU21" s="162">
        <f t="shared" si="64"/>
        <v>418.892171102415</v>
      </c>
      <c r="AV21" s="162">
        <f t="shared" si="64"/>
        <v>450.391903623102</v>
      </c>
      <c r="AW21" s="162">
        <f t="shared" si="64"/>
        <v>516.296192600575</v>
      </c>
      <c r="AX21" s="162">
        <f t="shared" si="64"/>
        <v>560.830972822253</v>
      </c>
      <c r="AY21" s="162">
        <f t="shared" si="64"/>
        <v>608.085988776012</v>
      </c>
      <c r="AZ21" s="162">
        <f t="shared" ref="AZ21:BC21" si="65">AZ24+AZ27+AZ30</f>
        <v>629.929823286636</v>
      </c>
      <c r="BA21" s="162">
        <f t="shared" si="65"/>
        <v>653.550608124081</v>
      </c>
      <c r="BB21" s="162">
        <f t="shared" si="65"/>
        <v>691.279087327216</v>
      </c>
      <c r="BC21" s="162">
        <f t="shared" si="65"/>
        <v>729.915455984056</v>
      </c>
      <c r="BD21" s="146"/>
      <c r="BE21" s="147"/>
      <c r="BF21" s="148"/>
      <c r="BG21" s="145">
        <f>+BG24+BG27+BG30</f>
        <v>298.218</v>
      </c>
      <c r="BH21" s="145">
        <f>+BH24+BH27+BH30</f>
        <v>308.986</v>
      </c>
      <c r="BI21" s="145">
        <f>+BI24+BI27+BI30</f>
        <v>516.695</v>
      </c>
      <c r="BJ21" s="145">
        <f t="shared" ref="BJ21:BN21" si="66">BJ24+BJ27+BJ30</f>
        <v>436.498</v>
      </c>
      <c r="BK21" s="145">
        <f t="shared" si="66"/>
        <v>569.58594</v>
      </c>
      <c r="BL21" s="172">
        <f t="shared" si="66"/>
        <v>645.187</v>
      </c>
      <c r="BM21" s="172">
        <f t="shared" si="66"/>
        <v>852.042</v>
      </c>
      <c r="BN21" s="172">
        <f t="shared" si="66"/>
        <v>944.906</v>
      </c>
      <c r="BO21" s="172">
        <f t="shared" ref="BO21:BS21" si="67">BO24+BO27+BO30</f>
        <v>1055.739</v>
      </c>
      <c r="BP21" s="162">
        <f t="shared" si="67"/>
        <v>1485.457289</v>
      </c>
      <c r="BQ21" s="162">
        <f t="shared" si="67"/>
        <v>1520.08221853374</v>
      </c>
      <c r="BR21" s="162">
        <f t="shared" si="67"/>
        <v>2135.60505782194</v>
      </c>
      <c r="BS21" s="162">
        <f t="shared" si="67"/>
        <v>2704.67497472199</v>
      </c>
      <c r="BT21" s="53"/>
    </row>
    <row r="22" ht="9.75" customHeight="1" spans="1:84">
      <c r="A22" s="78"/>
      <c r="B22" s="78"/>
      <c r="C22" s="95" t="s">
        <v>417</v>
      </c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>
        <f t="shared" ref="P22:AY22" si="68">P21/P10</f>
        <v>0.158991354342861</v>
      </c>
      <c r="Q22" s="150">
        <f t="shared" si="68"/>
        <v>0.396546464801901</v>
      </c>
      <c r="R22" s="150">
        <f t="shared" si="68"/>
        <v>0.159018700746486</v>
      </c>
      <c r="S22" s="150">
        <f t="shared" si="68"/>
        <v>0.29337169369916</v>
      </c>
      <c r="T22" s="150">
        <f t="shared" si="68"/>
        <v>0.32856235764692</v>
      </c>
      <c r="U22" s="150">
        <f t="shared" si="68"/>
        <v>0.224835474301965</v>
      </c>
      <c r="V22" s="150">
        <f t="shared" si="68"/>
        <v>0.319319206195942</v>
      </c>
      <c r="W22" s="150">
        <f t="shared" si="68"/>
        <v>0.428027271639716</v>
      </c>
      <c r="X22" s="150">
        <f t="shared" si="68"/>
        <v>0.415801422228157</v>
      </c>
      <c r="Y22" s="150">
        <f t="shared" si="68"/>
        <v>0.328491785763873</v>
      </c>
      <c r="Z22" s="150">
        <f t="shared" si="68"/>
        <v>0.212682540285845</v>
      </c>
      <c r="AA22" s="150">
        <f t="shared" si="68"/>
        <v>0.202612963094785</v>
      </c>
      <c r="AB22" s="150">
        <f t="shared" si="68"/>
        <v>0.155835646135205</v>
      </c>
      <c r="AC22" s="150">
        <f t="shared" si="68"/>
        <v>0.174039425032939</v>
      </c>
      <c r="AD22" s="150">
        <f t="shared" si="68"/>
        <v>0.191668947753156</v>
      </c>
      <c r="AE22" s="150">
        <f t="shared" si="68"/>
        <v>0.442547739474446</v>
      </c>
      <c r="AF22" s="150">
        <f t="shared" si="68"/>
        <v>0.460190976526001</v>
      </c>
      <c r="AG22" s="150">
        <f t="shared" si="68"/>
        <v>0.476080915117066</v>
      </c>
      <c r="AH22" s="150">
        <f t="shared" si="68"/>
        <v>0.409026859677014</v>
      </c>
      <c r="AI22" s="150">
        <f t="shared" si="68"/>
        <v>0.349130654297029</v>
      </c>
      <c r="AJ22" s="150">
        <f t="shared" si="68"/>
        <v>0.322018058684621</v>
      </c>
      <c r="AK22" s="150">
        <f t="shared" si="68"/>
        <v>0.271949898406299</v>
      </c>
      <c r="AL22" s="150">
        <f t="shared" si="68"/>
        <v>0.280069809646183</v>
      </c>
      <c r="AM22" s="150">
        <f t="shared" si="68"/>
        <v>0.292426039824314</v>
      </c>
      <c r="AN22" s="150">
        <f t="shared" ref="AN22:AO22" si="69">AN21/AN10</f>
        <v>0.228267014888616</v>
      </c>
      <c r="AO22" s="150">
        <f t="shared" si="69"/>
        <v>0.248711246153225</v>
      </c>
      <c r="AP22" s="150">
        <f t="shared" si="68"/>
        <v>0.404768387919588</v>
      </c>
      <c r="AQ22" s="150">
        <f t="shared" ref="AQ22" si="70">AQ21/AQ10</f>
        <v>0.228267014888616</v>
      </c>
      <c r="AR22" s="150">
        <f t="shared" si="68"/>
        <v>0.235873727851646</v>
      </c>
      <c r="AS22" s="150">
        <f t="shared" si="68"/>
        <v>0.206969967799969</v>
      </c>
      <c r="AT22" s="150">
        <f t="shared" si="68"/>
        <v>0.196535557823952</v>
      </c>
      <c r="AU22" s="150">
        <f t="shared" si="68"/>
        <v>0.182108821520407</v>
      </c>
      <c r="AV22" s="150">
        <f t="shared" si="68"/>
        <v>0.174842420475849</v>
      </c>
      <c r="AW22" s="150">
        <f t="shared" si="68"/>
        <v>0.152429320500639</v>
      </c>
      <c r="AX22" s="150">
        <f t="shared" si="68"/>
        <v>0.14891019127548</v>
      </c>
      <c r="AY22" s="150">
        <f t="shared" si="68"/>
        <v>0.145275565730718</v>
      </c>
      <c r="AZ22" s="150">
        <f t="shared" ref="AZ22:BC22" si="71">AZ21/AZ10</f>
        <v>0.142355009427736</v>
      </c>
      <c r="BA22" s="150">
        <f t="shared" si="71"/>
        <v>0.138559507563875</v>
      </c>
      <c r="BB22" s="150">
        <f t="shared" si="71"/>
        <v>0.137649957881845</v>
      </c>
      <c r="BC22" s="150">
        <f t="shared" si="71"/>
        <v>0.136635529321798</v>
      </c>
      <c r="BD22" s="156"/>
      <c r="BE22" s="152"/>
      <c r="BF22" s="164"/>
      <c r="BG22" s="150">
        <f t="shared" ref="BG22:BR22" si="72">BG21/BG10</f>
        <v>0.352943682724911</v>
      </c>
      <c r="BH22" s="150">
        <f t="shared" si="72"/>
        <v>0.251716679633243</v>
      </c>
      <c r="BI22" s="150">
        <f t="shared" si="72"/>
        <v>0.293966711517838</v>
      </c>
      <c r="BJ22" s="150">
        <f t="shared" si="72"/>
        <v>0.251187896888766</v>
      </c>
      <c r="BK22" s="150">
        <f t="shared" si="72"/>
        <v>0.312330261597473</v>
      </c>
      <c r="BL22" s="156">
        <f t="shared" si="72"/>
        <v>0.251827759144455</v>
      </c>
      <c r="BM22" s="150">
        <f t="shared" si="72"/>
        <v>0.23202127955062</v>
      </c>
      <c r="BN22" s="150">
        <f t="shared" si="72"/>
        <v>0.413392086057107</v>
      </c>
      <c r="BO22" s="150">
        <f t="shared" si="72"/>
        <v>0.290124985194746</v>
      </c>
      <c r="BP22" s="150">
        <f t="shared" si="72"/>
        <v>0.281342069957498</v>
      </c>
      <c r="BQ22" s="150">
        <f t="shared" si="72"/>
        <v>0.202227905050866</v>
      </c>
      <c r="BR22" s="150">
        <f t="shared" si="72"/>
        <v>0.153474102204186</v>
      </c>
      <c r="BS22" s="150">
        <f t="shared" ref="BS22" si="73">BS21/BS10</f>
        <v>0.138659454709665</v>
      </c>
      <c r="BT22" s="78"/>
    </row>
    <row r="23" ht="4.5" customHeight="1" spans="1:84">
      <c r="A23" s="49"/>
      <c r="B23" s="49"/>
      <c r="C23" s="49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173"/>
      <c r="BE23" s="157"/>
      <c r="BF23" s="158"/>
      <c r="BG23" s="84"/>
      <c r="BH23" s="84"/>
      <c r="BI23" s="84"/>
      <c r="BJ23" s="84"/>
      <c r="BK23" s="84"/>
      <c r="BL23" s="173"/>
      <c r="BM23" s="159"/>
      <c r="BN23" s="159"/>
      <c r="BO23" s="159"/>
    </row>
    <row r="24" ht="9.75" customHeight="1" spans="1:84">
      <c r="A24" s="49"/>
      <c r="B24" s="49"/>
      <c r="C24" s="161" t="s">
        <v>422</v>
      </c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>
        <v>36.90136327</v>
      </c>
      <c r="Q24" s="145">
        <f>150.11152879-P24</f>
        <v>113.21016552</v>
      </c>
      <c r="R24" s="145">
        <v>46.824</v>
      </c>
      <c r="S24" s="145">
        <f>+BJ24-SUM(P24:R24)</f>
        <v>69.91947121</v>
      </c>
      <c r="T24" s="145">
        <v>97.08921131</v>
      </c>
      <c r="U24" s="145">
        <f>164.33915917-T24</f>
        <v>67.24994786</v>
      </c>
      <c r="V24" s="145">
        <v>54.53107612</v>
      </c>
      <c r="W24" s="145">
        <f>299.881-SUM(T24:V24)</f>
        <v>81.01076471</v>
      </c>
      <c r="X24" s="145">
        <v>66.116</v>
      </c>
      <c r="Y24" s="145">
        <v>77.624</v>
      </c>
      <c r="Z24" s="145">
        <v>98.91</v>
      </c>
      <c r="AA24" s="145">
        <v>127.2</v>
      </c>
      <c r="AB24" s="145">
        <v>88.518</v>
      </c>
      <c r="AC24" s="145">
        <v>117.344</v>
      </c>
      <c r="AD24" s="145">
        <v>117.905</v>
      </c>
      <c r="AE24" s="145">
        <v>239.721</v>
      </c>
      <c r="AF24" s="145">
        <v>134.045</v>
      </c>
      <c r="AG24" s="145">
        <v>168.634</v>
      </c>
      <c r="AH24" s="145">
        <v>184.25</v>
      </c>
      <c r="AI24" s="145">
        <v>194.884</v>
      </c>
      <c r="AJ24" s="145">
        <v>176.044</v>
      </c>
      <c r="AK24" s="145">
        <v>190.672</v>
      </c>
      <c r="AL24" s="145">
        <v>185.566</v>
      </c>
      <c r="AM24" s="145">
        <v>211.188</v>
      </c>
      <c r="AN24" s="145">
        <v>153.058</v>
      </c>
      <c r="AO24" s="145">
        <v>204.014</v>
      </c>
      <c r="AP24" s="145">
        <f>533.160918-SUM(AN24:AO24)</f>
        <v>176.088918</v>
      </c>
      <c r="AQ24" s="145">
        <f>533.160918-SUM(AO24:AP24)</f>
        <v>153.058</v>
      </c>
      <c r="AR24" s="174">
        <v>188.139</v>
      </c>
      <c r="AS24" s="174">
        <f t="shared" ref="AS24:AU24" si="74">+AR24+10</f>
        <v>198.139</v>
      </c>
      <c r="AT24" s="174">
        <f t="shared" si="74"/>
        <v>208.139</v>
      </c>
      <c r="AU24" s="174">
        <f t="shared" si="74"/>
        <v>218.139</v>
      </c>
      <c r="AV24" s="174">
        <f>+AU24+18</f>
        <v>236.139</v>
      </c>
      <c r="AW24" s="174">
        <f t="shared" ref="AW24:AZ24" si="75">+AV24+18</f>
        <v>254.139</v>
      </c>
      <c r="AX24" s="174">
        <f t="shared" si="75"/>
        <v>272.139</v>
      </c>
      <c r="AY24" s="174">
        <f t="shared" si="75"/>
        <v>290.139</v>
      </c>
      <c r="AZ24" s="174">
        <f t="shared" si="75"/>
        <v>308.139</v>
      </c>
      <c r="BA24" s="174">
        <f t="shared" ref="BA24" si="76">+AZ24+18</f>
        <v>326.139</v>
      </c>
      <c r="BB24" s="174">
        <f t="shared" ref="BB24" si="77">+BA24+18</f>
        <v>344.139</v>
      </c>
      <c r="BC24" s="174">
        <f t="shared" ref="BC24" si="78">+BB24+18</f>
        <v>362.139</v>
      </c>
      <c r="BD24" s="175"/>
      <c r="BE24" s="176"/>
      <c r="BF24" s="148"/>
      <c r="BG24" s="145">
        <v>198.227</v>
      </c>
      <c r="BH24" s="145">
        <v>188.269</v>
      </c>
      <c r="BI24" s="145">
        <v>276.695</v>
      </c>
      <c r="BJ24" s="145">
        <v>266.855</v>
      </c>
      <c r="BK24" s="145">
        <f>SUM(T24:W24)</f>
        <v>299.881</v>
      </c>
      <c r="BL24" s="145">
        <v>369.85</v>
      </c>
      <c r="BM24" s="145">
        <v>563.487</v>
      </c>
      <c r="BN24" s="145">
        <v>681.812</v>
      </c>
      <c r="BO24" s="145">
        <v>763.47</v>
      </c>
      <c r="BP24" s="149">
        <f>SUM(AN24:AQ24)</f>
        <v>686.218918</v>
      </c>
      <c r="BQ24" s="149">
        <f>SUM(AR24:AU24)</f>
        <v>812.556</v>
      </c>
      <c r="BR24" s="149">
        <f>SUM(AV24:AY24)</f>
        <v>1052.556</v>
      </c>
      <c r="BS24" s="149">
        <f>SUM(AZ24:BC24)</f>
        <v>1340.556</v>
      </c>
      <c r="BT24" s="53"/>
    </row>
    <row r="25" ht="9.75" customHeight="1" spans="1:84">
      <c r="A25" s="78"/>
      <c r="B25" s="78"/>
      <c r="C25" s="95" t="s">
        <v>417</v>
      </c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>
        <f t="shared" ref="P25:AY25" si="79">P24/P10</f>
        <v>0.0911781674922299</v>
      </c>
      <c r="Q25" s="150">
        <f t="shared" si="79"/>
        <v>0.238607684462702</v>
      </c>
      <c r="R25" s="150">
        <f t="shared" si="79"/>
        <v>0.0926901400922863</v>
      </c>
      <c r="S25" s="150">
        <f t="shared" si="79"/>
        <v>0.197853912198345</v>
      </c>
      <c r="T25" s="150">
        <f t="shared" si="79"/>
        <v>0.195842110707799</v>
      </c>
      <c r="U25" s="150">
        <f t="shared" si="79"/>
        <v>0.113248919008158</v>
      </c>
      <c r="V25" s="150">
        <f t="shared" si="79"/>
        <v>0.143929071731259</v>
      </c>
      <c r="W25" s="150">
        <f t="shared" si="79"/>
        <v>0.22806170300139</v>
      </c>
      <c r="X25" s="150">
        <f t="shared" si="79"/>
        <v>0.220732480886723</v>
      </c>
      <c r="Y25" s="150">
        <f t="shared" si="79"/>
        <v>0.182673503822956</v>
      </c>
      <c r="Z25" s="150">
        <f t="shared" si="79"/>
        <v>0.113921032718176</v>
      </c>
      <c r="AA25" s="150">
        <f t="shared" si="79"/>
        <v>0.13122587873367</v>
      </c>
      <c r="AB25" s="150">
        <f t="shared" si="79"/>
        <v>0.0983071289827115</v>
      </c>
      <c r="AC25" s="150">
        <f t="shared" si="79"/>
        <v>0.114268909379683</v>
      </c>
      <c r="AD25" s="150">
        <f t="shared" si="79"/>
        <v>0.123655863231298</v>
      </c>
      <c r="AE25" s="150">
        <f t="shared" si="79"/>
        <v>0.302895640933954</v>
      </c>
      <c r="AF25" s="150">
        <f t="shared" si="79"/>
        <v>0.319513834595069</v>
      </c>
      <c r="AG25" s="150">
        <f t="shared" si="79"/>
        <v>0.331899198564028</v>
      </c>
      <c r="AH25" s="150">
        <f t="shared" si="79"/>
        <v>0.30834239812568</v>
      </c>
      <c r="AI25" s="150">
        <f t="shared" si="79"/>
        <v>0.256233466391085</v>
      </c>
      <c r="AJ25" s="150">
        <f t="shared" si="79"/>
        <v>0.238780462331624</v>
      </c>
      <c r="AK25" s="150">
        <f t="shared" si="79"/>
        <v>0.205528637566494</v>
      </c>
      <c r="AL25" s="150">
        <f t="shared" si="79"/>
        <v>0.204843402966358</v>
      </c>
      <c r="AM25" s="150">
        <f t="shared" si="79"/>
        <v>0.197733982122409</v>
      </c>
      <c r="AN25" s="150">
        <f t="shared" ref="AN25:AO25" si="80">AN24/AN10</f>
        <v>0.12523062749497</v>
      </c>
      <c r="AO25" s="150">
        <f t="shared" si="80"/>
        <v>0.144562929097458</v>
      </c>
      <c r="AP25" s="150">
        <f t="shared" si="79"/>
        <v>0.123637762258885</v>
      </c>
      <c r="AQ25" s="150">
        <f t="shared" ref="AQ25" si="81">AQ24/AQ10</f>
        <v>0.12523062749497</v>
      </c>
      <c r="AR25" s="150">
        <f t="shared" si="79"/>
        <v>0.128798987894994</v>
      </c>
      <c r="AS25" s="150">
        <f t="shared" si="79"/>
        <v>0.11169209212786</v>
      </c>
      <c r="AT25" s="150">
        <f t="shared" si="79"/>
        <v>0.105027577809275</v>
      </c>
      <c r="AU25" s="150">
        <f t="shared" si="79"/>
        <v>0.0948335608972926</v>
      </c>
      <c r="AV25" s="150">
        <f t="shared" si="79"/>
        <v>0.0916693084325436</v>
      </c>
      <c r="AW25" s="150">
        <f t="shared" si="79"/>
        <v>0.0750310299357197</v>
      </c>
      <c r="AX25" s="150">
        <f t="shared" si="79"/>
        <v>0.0722575472955584</v>
      </c>
      <c r="AY25" s="150">
        <f t="shared" si="79"/>
        <v>0.0693160311922117</v>
      </c>
      <c r="AZ25" s="150">
        <f t="shared" ref="AZ25:BC25" si="82">AZ24/AZ10</f>
        <v>0.0696349476219249</v>
      </c>
      <c r="BA25" s="150">
        <f t="shared" si="82"/>
        <v>0.0691448507210249</v>
      </c>
      <c r="BB25" s="150">
        <f t="shared" si="82"/>
        <v>0.0685261853337066</v>
      </c>
      <c r="BC25" s="150">
        <f t="shared" si="82"/>
        <v>0.0677901167147604</v>
      </c>
      <c r="BD25" s="156"/>
      <c r="BE25" s="177"/>
      <c r="BF25" s="164"/>
      <c r="BG25" s="150">
        <f t="shared" ref="BG25:BR25" si="83">BG24/BG10</f>
        <v>0.234603435726586</v>
      </c>
      <c r="BH25" s="150">
        <f t="shared" si="83"/>
        <v>0.153374093188271</v>
      </c>
      <c r="BI25" s="150">
        <f t="shared" si="83"/>
        <v>0.157421920559378</v>
      </c>
      <c r="BJ25" s="150">
        <f t="shared" si="83"/>
        <v>0.153564841589771</v>
      </c>
      <c r="BK25" s="150">
        <f t="shared" si="83"/>
        <v>0.164438594074341</v>
      </c>
      <c r="BL25" s="156">
        <f t="shared" si="83"/>
        <v>0.144358917212493</v>
      </c>
      <c r="BM25" s="150">
        <f t="shared" si="83"/>
        <v>0.153444284143434</v>
      </c>
      <c r="BN25" s="150">
        <f t="shared" si="83"/>
        <v>0.298289655244827</v>
      </c>
      <c r="BO25" s="150">
        <f t="shared" si="83"/>
        <v>0.20980727475885</v>
      </c>
      <c r="BP25" s="150">
        <f t="shared" si="83"/>
        <v>0.129968227470265</v>
      </c>
      <c r="BQ25" s="150">
        <f t="shared" si="83"/>
        <v>0.108100401157915</v>
      </c>
      <c r="BR25" s="150">
        <f t="shared" si="83"/>
        <v>0.075641367549663</v>
      </c>
      <c r="BS25" s="150">
        <f t="shared" ref="BS25" si="84">BS24/BS10</f>
        <v>0.0687257307088723</v>
      </c>
      <c r="BT25" s="78"/>
    </row>
    <row r="26" ht="4.5" customHeight="1" spans="1:84">
      <c r="A26" s="49"/>
      <c r="B26" s="49"/>
      <c r="C26" s="49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173"/>
      <c r="BE26" s="176"/>
      <c r="BF26" s="158"/>
      <c r="BG26" s="84"/>
      <c r="BH26" s="84"/>
      <c r="BI26" s="84"/>
      <c r="BJ26" s="84"/>
      <c r="BK26" s="84"/>
      <c r="BL26" s="173"/>
      <c r="BM26" s="159"/>
      <c r="BN26" s="159"/>
      <c r="BO26" s="159"/>
    </row>
    <row r="27" ht="9.75" customHeight="1" spans="1:84">
      <c r="A27" s="49"/>
      <c r="B27" s="49"/>
      <c r="C27" s="161" t="s">
        <v>423</v>
      </c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>
        <v>14.7298944</v>
      </c>
      <c r="Q27" s="145">
        <f>55.93711588-P27</f>
        <v>41.20722148</v>
      </c>
      <c r="R27" s="145">
        <v>17.898</v>
      </c>
      <c r="S27" s="145">
        <f>+BJ27-SUM(P27:R27)</f>
        <v>21.29588412</v>
      </c>
      <c r="T27" s="145">
        <v>44.03923726</v>
      </c>
      <c r="U27" s="145">
        <f>91.12973771-T27</f>
        <v>47.09050045</v>
      </c>
      <c r="V27" s="145">
        <v>39.67492919</v>
      </c>
      <c r="W27" s="145">
        <f>187.70494-SUM(T27:V27)</f>
        <v>56.9002731</v>
      </c>
      <c r="X27" s="145">
        <v>43.461</v>
      </c>
      <c r="Y27" s="145">
        <v>45.752</v>
      </c>
      <c r="Z27" s="145">
        <v>65.966</v>
      </c>
      <c r="AA27" s="145">
        <v>43.576</v>
      </c>
      <c r="AB27" s="145">
        <v>36.742</v>
      </c>
      <c r="AC27" s="145">
        <v>40.107</v>
      </c>
      <c r="AD27" s="145">
        <v>41.864</v>
      </c>
      <c r="AE27" s="145">
        <v>83.693</v>
      </c>
      <c r="AF27" s="145">
        <v>38.373</v>
      </c>
      <c r="AG27" s="145">
        <v>48.398</v>
      </c>
      <c r="AH27" s="145">
        <v>39.667</v>
      </c>
      <c r="AI27" s="145">
        <v>46.695</v>
      </c>
      <c r="AJ27" s="145">
        <v>39.768</v>
      </c>
      <c r="AK27" s="145">
        <v>39.787</v>
      </c>
      <c r="AL27" s="145">
        <v>42.315</v>
      </c>
      <c r="AM27" s="145">
        <v>74.393</v>
      </c>
      <c r="AN27" s="145">
        <v>101.875</v>
      </c>
      <c r="AO27" s="145">
        <v>119.744</v>
      </c>
      <c r="AP27" s="145">
        <f>591.436679-SUM(AN27:AO27)</f>
        <v>369.817679</v>
      </c>
      <c r="AQ27" s="145">
        <f>591.436679-SUM(AO27:AP27)</f>
        <v>101.875</v>
      </c>
      <c r="AR27" s="174">
        <v>127.382</v>
      </c>
      <c r="AS27" s="174">
        <f t="shared" ref="AS27:AY27" si="85">+AS28*AS10</f>
        <v>138.996587296235</v>
      </c>
      <c r="AT27" s="174">
        <f t="shared" si="85"/>
        <v>150.322460135091</v>
      </c>
      <c r="AU27" s="174">
        <f t="shared" si="85"/>
        <v>168.729171102415</v>
      </c>
      <c r="AV27" s="174">
        <f t="shared" si="85"/>
        <v>181.228903623102</v>
      </c>
      <c r="AW27" s="174">
        <f t="shared" si="85"/>
        <v>228.133192600575</v>
      </c>
      <c r="AX27" s="174">
        <f t="shared" si="85"/>
        <v>253.667972822253</v>
      </c>
      <c r="AY27" s="174">
        <f t="shared" si="85"/>
        <v>281.922988776012</v>
      </c>
      <c r="AZ27" s="174">
        <f t="shared" ref="AZ27:BC27" si="86">+AZ28*AZ10</f>
        <v>284.766823286636</v>
      </c>
      <c r="BA27" s="174">
        <f t="shared" si="86"/>
        <v>289.387608124081</v>
      </c>
      <c r="BB27" s="174">
        <f t="shared" si="86"/>
        <v>308.116087327216</v>
      </c>
      <c r="BC27" s="174">
        <f t="shared" si="86"/>
        <v>327.752455984056</v>
      </c>
      <c r="BD27" s="175"/>
      <c r="BE27" s="176"/>
      <c r="BF27" s="148"/>
      <c r="BG27" s="145">
        <v>47.754</v>
      </c>
      <c r="BH27" s="145">
        <v>51.79</v>
      </c>
      <c r="BI27" s="145">
        <v>112.784</v>
      </c>
      <c r="BJ27" s="145">
        <v>95.131</v>
      </c>
      <c r="BK27" s="145">
        <f>SUM(T27:W27)</f>
        <v>187.70494</v>
      </c>
      <c r="BL27" s="145">
        <v>198.755</v>
      </c>
      <c r="BM27" s="145">
        <v>202.408</v>
      </c>
      <c r="BN27" s="145">
        <v>173.133</v>
      </c>
      <c r="BO27" s="145">
        <v>196.262</v>
      </c>
      <c r="BP27" s="149">
        <f>SUM(AN27:AQ27)</f>
        <v>693.311679</v>
      </c>
      <c r="BQ27" s="149">
        <f>SUM(AR27:AU27)</f>
        <v>585.430218533741</v>
      </c>
      <c r="BR27" s="149">
        <f>SUM(AV27:AY27)</f>
        <v>944.953057821941</v>
      </c>
      <c r="BS27" s="149">
        <f>SUM(AZ27:BC27)</f>
        <v>1210.02297472199</v>
      </c>
      <c r="BT27" s="146"/>
    </row>
    <row r="28" ht="9.75" customHeight="1" spans="1:84">
      <c r="A28" s="78"/>
      <c r="B28" s="78"/>
      <c r="C28" s="95" t="s">
        <v>417</v>
      </c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>
        <f t="shared" ref="P28:AP28" si="87">P27/P10</f>
        <v>0.0363955328403253</v>
      </c>
      <c r="Q28" s="150">
        <f t="shared" si="87"/>
        <v>0.086850501943198</v>
      </c>
      <c r="R28" s="150">
        <f t="shared" si="87"/>
        <v>0.0354298677467055</v>
      </c>
      <c r="S28" s="150">
        <f t="shared" si="87"/>
        <v>0.0602618113945631</v>
      </c>
      <c r="T28" s="150">
        <f t="shared" si="87"/>
        <v>0.0888331160855934</v>
      </c>
      <c r="U28" s="150">
        <f t="shared" si="87"/>
        <v>0.0793004075277163</v>
      </c>
      <c r="V28" s="150">
        <f t="shared" si="87"/>
        <v>0.10471782579082</v>
      </c>
      <c r="W28" s="150">
        <f t="shared" si="87"/>
        <v>0.160185788035504</v>
      </c>
      <c r="X28" s="150">
        <f t="shared" si="87"/>
        <v>0.145097319133309</v>
      </c>
      <c r="Y28" s="150">
        <f t="shared" si="87"/>
        <v>0.107668738365813</v>
      </c>
      <c r="Z28" s="150">
        <f t="shared" si="87"/>
        <v>0.0759773010240339</v>
      </c>
      <c r="AA28" s="150">
        <f t="shared" si="87"/>
        <v>0.0449551799661825</v>
      </c>
      <c r="AB28" s="150">
        <f t="shared" si="87"/>
        <v>0.0408052659694388</v>
      </c>
      <c r="AC28" s="150">
        <f t="shared" si="87"/>
        <v>0.0390559649278272</v>
      </c>
      <c r="AD28" s="150">
        <f t="shared" si="87"/>
        <v>0.0439059332370557</v>
      </c>
      <c r="AE28" s="150">
        <f t="shared" si="87"/>
        <v>0.105748953477941</v>
      </c>
      <c r="AF28" s="150">
        <f t="shared" si="87"/>
        <v>0.0914670772868557</v>
      </c>
      <c r="AG28" s="150">
        <f t="shared" si="87"/>
        <v>0.0952551526507219</v>
      </c>
      <c r="AH28" s="150">
        <f t="shared" si="87"/>
        <v>0.0663827294787047</v>
      </c>
      <c r="AI28" s="150">
        <f t="shared" si="87"/>
        <v>0.0613945819725154</v>
      </c>
      <c r="AJ28" s="150">
        <f t="shared" si="87"/>
        <v>0.0539400458181137</v>
      </c>
      <c r="AK28" s="150">
        <f t="shared" si="87"/>
        <v>0.0428870935578276</v>
      </c>
      <c r="AL28" s="150">
        <f t="shared" si="87"/>
        <v>0.0467108661959704</v>
      </c>
      <c r="AM28" s="150">
        <f t="shared" si="87"/>
        <v>0.0696536930698353</v>
      </c>
      <c r="AN28" s="150">
        <f t="shared" ref="AN28:AO28" si="88">AN27/AN10</f>
        <v>0.0833531744570691</v>
      </c>
      <c r="AO28" s="150">
        <f t="shared" si="88"/>
        <v>0.0848497817887301</v>
      </c>
      <c r="AP28" s="150">
        <f t="shared" si="87"/>
        <v>0.259661032588858</v>
      </c>
      <c r="AQ28" s="150">
        <f t="shared" ref="AQ28" si="89">AQ27/AQ10</f>
        <v>0.0833531744570691</v>
      </c>
      <c r="AR28" s="150">
        <f>+AQ28-0.25%</f>
        <v>0.0808531744570691</v>
      </c>
      <c r="AS28" s="150">
        <f t="shared" ref="AS28:AU28" si="90">+AR28-0.25%</f>
        <v>0.0783531744570691</v>
      </c>
      <c r="AT28" s="150">
        <f t="shared" si="90"/>
        <v>0.0758531744570691</v>
      </c>
      <c r="AU28" s="150">
        <f t="shared" si="90"/>
        <v>0.0733531744570691</v>
      </c>
      <c r="AV28" s="150">
        <f>+AU28-0.3%</f>
        <v>0.0703531744570691</v>
      </c>
      <c r="AW28" s="150">
        <f>+AV28-0.3%</f>
        <v>0.0673531744570691</v>
      </c>
      <c r="AX28" s="150">
        <f t="shared" ref="AX28:AY28" si="91">+AW28</f>
        <v>0.0673531744570691</v>
      </c>
      <c r="AY28" s="150">
        <f t="shared" si="91"/>
        <v>0.0673531744570691</v>
      </c>
      <c r="AZ28" s="150">
        <f>+AY28-0.3%</f>
        <v>0.0643531744570691</v>
      </c>
      <c r="BA28" s="150">
        <f>+AZ28-0.3%</f>
        <v>0.0613531744570691</v>
      </c>
      <c r="BB28" s="150">
        <f t="shared" ref="BB28" si="92">+BA28</f>
        <v>0.0613531744570691</v>
      </c>
      <c r="BC28" s="150">
        <f t="shared" ref="BC28" si="93">+BB28</f>
        <v>0.0613531744570691</v>
      </c>
      <c r="BD28" s="156"/>
      <c r="BE28" s="177"/>
      <c r="BF28" s="164"/>
      <c r="BG28" s="150">
        <f t="shared" ref="BG28:BR28" si="94">BG27/BG10</f>
        <v>0.05651728810751</v>
      </c>
      <c r="BH28" s="150">
        <f t="shared" si="94"/>
        <v>0.0421909304570616</v>
      </c>
      <c r="BI28" s="150">
        <f t="shared" si="94"/>
        <v>0.0641669487644119</v>
      </c>
      <c r="BJ28" s="150">
        <f t="shared" si="94"/>
        <v>0.0547442504179291</v>
      </c>
      <c r="BK28" s="150">
        <f t="shared" si="94"/>
        <v>0.102927282603461</v>
      </c>
      <c r="BL28" s="156">
        <f t="shared" si="94"/>
        <v>0.0775775492512345</v>
      </c>
      <c r="BM28" s="150">
        <f t="shared" si="94"/>
        <v>0.0551181316781119</v>
      </c>
      <c r="BN28" s="150">
        <f t="shared" si="94"/>
        <v>0.0757449016466454</v>
      </c>
      <c r="BO28" s="150">
        <f t="shared" si="94"/>
        <v>0.0539342676971215</v>
      </c>
      <c r="BP28" s="150">
        <f t="shared" si="94"/>
        <v>0.131311579498109</v>
      </c>
      <c r="BQ28" s="150">
        <f t="shared" si="94"/>
        <v>0.0778841599513923</v>
      </c>
      <c r="BR28" s="150">
        <f t="shared" si="94"/>
        <v>0.067908540318888</v>
      </c>
      <c r="BS28" s="150">
        <f t="shared" ref="BS28" si="95">BS27/BS10</f>
        <v>0.0620337480211882</v>
      </c>
      <c r="BT28" s="78"/>
    </row>
    <row r="29" ht="4.5" customHeight="1" spans="1:84">
      <c r="A29" s="49"/>
      <c r="B29" s="49"/>
      <c r="C29" s="49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173"/>
      <c r="BE29" s="176"/>
      <c r="BF29" s="158"/>
      <c r="BG29" s="84"/>
      <c r="BH29" s="84"/>
      <c r="BI29" s="84"/>
      <c r="BJ29" s="84"/>
      <c r="BK29" s="84"/>
      <c r="BL29" s="173"/>
      <c r="BM29" s="159"/>
      <c r="BN29" s="159"/>
      <c r="BO29" s="159"/>
    </row>
    <row r="30" ht="9.75" customHeight="1" spans="1:84">
      <c r="A30" s="49"/>
      <c r="B30" s="49"/>
      <c r="C30" s="49" t="s">
        <v>424</v>
      </c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>
        <v>12.71526173</v>
      </c>
      <c r="Q30" s="145">
        <f>46.44391461-P30</f>
        <v>33.72865288</v>
      </c>
      <c r="R30" s="145">
        <v>15.609</v>
      </c>
      <c r="S30" s="145">
        <f>+BJ30-SUM(P30:R30)</f>
        <v>12.45908539</v>
      </c>
      <c r="T30" s="145">
        <v>21.75715379</v>
      </c>
      <c r="U30" s="145">
        <f>40.92944941-T30</f>
        <v>19.17229562</v>
      </c>
      <c r="V30" s="145">
        <v>26.77594594</v>
      </c>
      <c r="W30" s="145">
        <f>81.83573992-SUM(T30:V30)</f>
        <v>14.13034457</v>
      </c>
      <c r="X30" s="145">
        <v>14.968</v>
      </c>
      <c r="Y30" s="145">
        <v>16.211</v>
      </c>
      <c r="Z30" s="145">
        <v>19.782</v>
      </c>
      <c r="AA30" s="145">
        <v>25.621</v>
      </c>
      <c r="AB30" s="145">
        <v>15.058</v>
      </c>
      <c r="AC30" s="145">
        <v>21.272</v>
      </c>
      <c r="AD30" s="145">
        <v>22.986</v>
      </c>
      <c r="AE30" s="145">
        <v>26.832</v>
      </c>
      <c r="AF30" s="145">
        <v>20.645</v>
      </c>
      <c r="AG30" s="145">
        <v>24.859</v>
      </c>
      <c r="AH30" s="145">
        <v>20.497</v>
      </c>
      <c r="AI30" s="145">
        <v>23.96</v>
      </c>
      <c r="AJ30" s="145">
        <v>21.6</v>
      </c>
      <c r="AK30" s="145">
        <v>21.833</v>
      </c>
      <c r="AL30" s="145">
        <v>25.832</v>
      </c>
      <c r="AM30" s="145">
        <v>26.742</v>
      </c>
      <c r="AN30" s="145">
        <v>24.057</v>
      </c>
      <c r="AO30" s="145">
        <v>27.235</v>
      </c>
      <c r="AP30" s="145">
        <f>81.869692-SUM(AN30:AO30)</f>
        <v>30.577692</v>
      </c>
      <c r="AQ30" s="145">
        <f>81.869692-SUM(AO30:AP30)</f>
        <v>24.057</v>
      </c>
      <c r="AR30" s="174">
        <v>29.024</v>
      </c>
      <c r="AS30" s="174">
        <f t="shared" ref="AS30:AV30" si="96">+AR30+1</f>
        <v>30.024</v>
      </c>
      <c r="AT30" s="174">
        <f t="shared" si="96"/>
        <v>31.024</v>
      </c>
      <c r="AU30" s="174">
        <f t="shared" si="96"/>
        <v>32.024</v>
      </c>
      <c r="AV30" s="174">
        <f t="shared" si="96"/>
        <v>33.024</v>
      </c>
      <c r="AW30" s="174">
        <f t="shared" ref="AW30:AZ30" si="97">+AV30+1</f>
        <v>34.024</v>
      </c>
      <c r="AX30" s="174">
        <f t="shared" si="97"/>
        <v>35.024</v>
      </c>
      <c r="AY30" s="174">
        <f t="shared" si="97"/>
        <v>36.024</v>
      </c>
      <c r="AZ30" s="174">
        <f t="shared" si="97"/>
        <v>37.024</v>
      </c>
      <c r="BA30" s="174">
        <f t="shared" ref="BA30" si="98">+AZ30+1</f>
        <v>38.024</v>
      </c>
      <c r="BB30" s="174">
        <f t="shared" ref="BB30" si="99">+BA30+1</f>
        <v>39.024</v>
      </c>
      <c r="BC30" s="174">
        <f t="shared" ref="BC30" si="100">+BB30+1</f>
        <v>40.024</v>
      </c>
      <c r="BD30" s="175"/>
      <c r="BE30" s="176"/>
      <c r="BF30" s="148"/>
      <c r="BG30" s="145">
        <v>52.237</v>
      </c>
      <c r="BH30" s="145">
        <v>68.927</v>
      </c>
      <c r="BI30" s="145">
        <v>127.216</v>
      </c>
      <c r="BJ30" s="145">
        <v>74.512</v>
      </c>
      <c r="BK30" s="145">
        <v>82</v>
      </c>
      <c r="BL30" s="145">
        <v>76.582</v>
      </c>
      <c r="BM30" s="145">
        <v>86.147</v>
      </c>
      <c r="BN30" s="145">
        <v>89.961</v>
      </c>
      <c r="BO30" s="145">
        <v>96.007</v>
      </c>
      <c r="BP30" s="149">
        <f>SUM(AN30:AQ30)</f>
        <v>105.926692</v>
      </c>
      <c r="BQ30" s="149">
        <f>SUM(AR30:AU30)</f>
        <v>122.096</v>
      </c>
      <c r="BR30" s="149">
        <f>SUM(AV30:AY30)</f>
        <v>138.096</v>
      </c>
      <c r="BS30" s="149">
        <f>SUM(AZ30:BC30)</f>
        <v>154.096</v>
      </c>
      <c r="BT30" s="53"/>
    </row>
    <row r="31" ht="9.75" customHeight="1" spans="1:84">
      <c r="A31" s="49"/>
      <c r="B31" s="49"/>
      <c r="C31" s="95" t="s">
        <v>417</v>
      </c>
      <c r="D31" s="178"/>
      <c r="E31" s="178"/>
      <c r="F31" s="178"/>
      <c r="G31" s="178"/>
      <c r="H31" s="150"/>
      <c r="I31" s="150"/>
      <c r="J31" s="150"/>
      <c r="K31" s="150"/>
      <c r="L31" s="150"/>
      <c r="M31" s="150"/>
      <c r="N31" s="150"/>
      <c r="O31" s="150"/>
      <c r="P31" s="150">
        <f t="shared" ref="P31:AY31" si="101">P30/P10</f>
        <v>0.0314176540103062</v>
      </c>
      <c r="Q31" s="150">
        <f t="shared" si="101"/>
        <v>0.0710882783960005</v>
      </c>
      <c r="R31" s="150">
        <f t="shared" si="101"/>
        <v>0.030898692907494</v>
      </c>
      <c r="S31" s="150">
        <f t="shared" si="101"/>
        <v>0.0352559701062525</v>
      </c>
      <c r="T31" s="150">
        <f t="shared" si="101"/>
        <v>0.0438871308535278</v>
      </c>
      <c r="U31" s="150">
        <f t="shared" si="101"/>
        <v>0.0322861477660905</v>
      </c>
      <c r="V31" s="150">
        <f t="shared" si="101"/>
        <v>0.0706723086738631</v>
      </c>
      <c r="W31" s="150">
        <f t="shared" si="101"/>
        <v>0.0397797806028221</v>
      </c>
      <c r="X31" s="150">
        <f t="shared" si="101"/>
        <v>0.0499716222081261</v>
      </c>
      <c r="Y31" s="150">
        <f t="shared" si="101"/>
        <v>0.0381495435751048</v>
      </c>
      <c r="Z31" s="150">
        <f t="shared" si="101"/>
        <v>0.0227842065436352</v>
      </c>
      <c r="AA31" s="150">
        <f t="shared" si="101"/>
        <v>0.0264319043949321</v>
      </c>
      <c r="AB31" s="150">
        <f t="shared" si="101"/>
        <v>0.0167232511830551</v>
      </c>
      <c r="AC31" s="150">
        <f t="shared" si="101"/>
        <v>0.020714550725428</v>
      </c>
      <c r="AD31" s="150">
        <f t="shared" si="101"/>
        <v>0.0241071512848023</v>
      </c>
      <c r="AE31" s="150">
        <f t="shared" si="101"/>
        <v>0.0339031450625513</v>
      </c>
      <c r="AF31" s="150">
        <f t="shared" si="101"/>
        <v>0.0492100646440762</v>
      </c>
      <c r="AG31" s="150">
        <f t="shared" si="101"/>
        <v>0.0489265639023161</v>
      </c>
      <c r="AH31" s="150">
        <f t="shared" si="101"/>
        <v>0.0343017320726299</v>
      </c>
      <c r="AI31" s="150">
        <f t="shared" si="101"/>
        <v>0.0315026059334291</v>
      </c>
      <c r="AJ31" s="150">
        <f t="shared" si="101"/>
        <v>0.0292975505348838</v>
      </c>
      <c r="AK31" s="150">
        <f t="shared" si="101"/>
        <v>0.0235341672819778</v>
      </c>
      <c r="AL31" s="150">
        <f t="shared" si="101"/>
        <v>0.0285155404838546</v>
      </c>
      <c r="AM31" s="150">
        <f t="shared" si="101"/>
        <v>0.0250383646320694</v>
      </c>
      <c r="AN31" s="150">
        <f t="shared" si="101"/>
        <v>0.0196832129365763</v>
      </c>
      <c r="AO31" s="150">
        <f t="shared" si="101"/>
        <v>0.0192985352670369</v>
      </c>
      <c r="AP31" s="150">
        <f t="shared" si="101"/>
        <v>0.0214695930718446</v>
      </c>
      <c r="AQ31" s="150">
        <f t="shared" ref="AQ31" si="102">AQ30/AQ10</f>
        <v>0.0196832129365763</v>
      </c>
      <c r="AR31" s="150">
        <f t="shared" si="101"/>
        <v>0.0198696805269737</v>
      </c>
      <c r="AS31" s="150">
        <f t="shared" si="101"/>
        <v>0.0169247012150402</v>
      </c>
      <c r="AT31" s="150">
        <f t="shared" si="101"/>
        <v>0.0156548055576079</v>
      </c>
      <c r="AU31" s="150">
        <f t="shared" si="101"/>
        <v>0.013922086166045</v>
      </c>
      <c r="AV31" s="150">
        <f t="shared" si="101"/>
        <v>0.0128199375862366</v>
      </c>
      <c r="AW31" s="150">
        <f t="shared" si="101"/>
        <v>0.0100451161078501</v>
      </c>
      <c r="AX31" s="150">
        <f t="shared" si="101"/>
        <v>0.00929946952285279</v>
      </c>
      <c r="AY31" s="150">
        <f t="shared" si="101"/>
        <v>0.00860636008143763</v>
      </c>
      <c r="AZ31" s="150">
        <f t="shared" ref="AZ31:BC31" si="103">AZ30/AZ10</f>
        <v>0.00836688734874244</v>
      </c>
      <c r="BA31" s="150">
        <f t="shared" si="103"/>
        <v>0.00806148238578106</v>
      </c>
      <c r="BB31" s="150">
        <f t="shared" si="103"/>
        <v>0.0077705980910695</v>
      </c>
      <c r="BC31" s="150">
        <f t="shared" si="103"/>
        <v>0.00749223814996886</v>
      </c>
      <c r="BD31" s="156"/>
      <c r="BE31" s="177"/>
      <c r="BF31" s="164"/>
      <c r="BG31" s="150">
        <f t="shared" ref="BG31:BR31" si="104">BG30/BG10</f>
        <v>0.0618229588908154</v>
      </c>
      <c r="BH31" s="150">
        <f t="shared" si="104"/>
        <v>0.0561516559879105</v>
      </c>
      <c r="BI31" s="150">
        <f t="shared" si="104"/>
        <v>0.0723778421940472</v>
      </c>
      <c r="BJ31" s="150">
        <f t="shared" si="104"/>
        <v>0.0428788048810664</v>
      </c>
      <c r="BK31" s="150">
        <f t="shared" si="104"/>
        <v>0.0449643849196713</v>
      </c>
      <c r="BL31" s="156">
        <f t="shared" si="104"/>
        <v>0.0298912926807277</v>
      </c>
      <c r="BM31" s="150">
        <f t="shared" si="104"/>
        <v>0.0234588637290735</v>
      </c>
      <c r="BN31" s="150">
        <f t="shared" si="104"/>
        <v>0.0393575291656349</v>
      </c>
      <c r="BO31" s="150">
        <f t="shared" si="104"/>
        <v>0.0263834427387754</v>
      </c>
      <c r="BP31" s="150">
        <f t="shared" si="104"/>
        <v>0.0200622629891248</v>
      </c>
      <c r="BQ31" s="150">
        <f t="shared" si="104"/>
        <v>0.0162433439415583</v>
      </c>
      <c r="BR31" s="150">
        <f t="shared" si="104"/>
        <v>0.00992419433563465</v>
      </c>
      <c r="BS31" s="150">
        <f t="shared" ref="BS31" si="105">BS30/BS10</f>
        <v>0.00789997597960428</v>
      </c>
      <c r="BT31" s="53"/>
    </row>
    <row r="32" ht="4.5" customHeight="1" spans="1:84">
      <c r="A32" s="49"/>
      <c r="B32" s="49"/>
      <c r="C32" s="49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173"/>
      <c r="BE32" s="157"/>
      <c r="BF32" s="158"/>
      <c r="BG32" s="84"/>
      <c r="BH32" s="84"/>
      <c r="BI32" s="84"/>
      <c r="BJ32" s="84"/>
      <c r="BK32" s="84"/>
      <c r="BL32" s="173"/>
      <c r="BM32" s="159"/>
      <c r="BN32" s="159"/>
      <c r="BO32" s="159"/>
    </row>
    <row r="33" ht="9.75" customHeight="1" spans="1:72">
      <c r="A33" s="161" t="s">
        <v>425</v>
      </c>
      <c r="B33" s="161"/>
      <c r="C33" s="161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>
        <f t="shared" ref="P33:AY33" si="106">P17-P21</f>
        <v>244.00691964</v>
      </c>
      <c r="Q33" s="162">
        <f t="shared" si="106"/>
        <v>150.48113344</v>
      </c>
      <c r="R33" s="162">
        <f t="shared" si="106"/>
        <v>300.255</v>
      </c>
      <c r="S33" s="162">
        <f t="shared" si="106"/>
        <v>153.99394692</v>
      </c>
      <c r="T33" s="162">
        <f t="shared" si="106"/>
        <v>196.63324756</v>
      </c>
      <c r="U33" s="162">
        <f t="shared" si="106"/>
        <v>309.22144264</v>
      </c>
      <c r="V33" s="162">
        <f t="shared" si="106"/>
        <v>146.12156437</v>
      </c>
      <c r="W33" s="162">
        <f t="shared" si="106"/>
        <v>94.5826205100002</v>
      </c>
      <c r="X33" s="162">
        <f t="shared" si="106"/>
        <v>68.414</v>
      </c>
      <c r="Y33" s="162">
        <f t="shared" si="106"/>
        <v>119.474</v>
      </c>
      <c r="Z33" s="162">
        <f t="shared" si="106"/>
        <v>138.665</v>
      </c>
      <c r="AA33" s="162">
        <f t="shared" si="106"/>
        <v>250.374</v>
      </c>
      <c r="AB33" s="162">
        <f t="shared" si="106"/>
        <v>248.533</v>
      </c>
      <c r="AC33" s="162">
        <f t="shared" si="106"/>
        <v>255.999</v>
      </c>
      <c r="AD33" s="162">
        <f t="shared" si="106"/>
        <v>252.514</v>
      </c>
      <c r="AE33" s="162">
        <f t="shared" si="106"/>
        <v>96.4230000000001</v>
      </c>
      <c r="AF33" s="162">
        <f t="shared" si="106"/>
        <v>30.51</v>
      </c>
      <c r="AG33" s="162">
        <f t="shared" si="106"/>
        <v>57.013</v>
      </c>
      <c r="AH33" s="162">
        <f t="shared" si="106"/>
        <v>142.775</v>
      </c>
      <c r="AI33" s="162">
        <f t="shared" si="106"/>
        <v>171.316</v>
      </c>
      <c r="AJ33" s="162">
        <f t="shared" si="106"/>
        <v>188.019</v>
      </c>
      <c r="AK33" s="162">
        <f t="shared" si="106"/>
        <v>284.23</v>
      </c>
      <c r="AL33" s="162">
        <f t="shared" si="106"/>
        <v>278.4</v>
      </c>
      <c r="AM33" s="162">
        <f t="shared" si="106"/>
        <v>308.908</v>
      </c>
      <c r="AN33" s="162">
        <f t="shared" ref="AN33:AO33" si="107">AN17-AN21</f>
        <v>459.832</v>
      </c>
      <c r="AO33" s="162">
        <f t="shared" si="107"/>
        <v>501.818</v>
      </c>
      <c r="AP33" s="162">
        <f t="shared" si="106"/>
        <v>325.685586</v>
      </c>
      <c r="AQ33" s="162">
        <f t="shared" ref="AQ33" si="108">AQ17-AQ21</f>
        <v>459.832</v>
      </c>
      <c r="AR33" s="162">
        <f t="shared" si="106"/>
        <v>674.864</v>
      </c>
      <c r="AS33" s="162">
        <f t="shared" si="106"/>
        <v>834.08698128092</v>
      </c>
      <c r="AT33" s="162">
        <f t="shared" si="106"/>
        <v>965.739534984198</v>
      </c>
      <c r="AU33" s="162">
        <f t="shared" si="106"/>
        <v>1172.9838365042</v>
      </c>
      <c r="AV33" s="162">
        <f t="shared" si="106"/>
        <v>1346.13645247367</v>
      </c>
      <c r="AW33" s="162">
        <f t="shared" si="106"/>
        <v>1885.73583262956</v>
      </c>
      <c r="AX33" s="162">
        <f t="shared" si="106"/>
        <v>2121.76453790434</v>
      </c>
      <c r="AY33" s="162">
        <f t="shared" si="106"/>
        <v>2384.10392387722</v>
      </c>
      <c r="AZ33" s="162">
        <f t="shared" ref="AZ33:BC33" si="109">AZ17-AZ21</f>
        <v>2540.40430221407</v>
      </c>
      <c r="BA33" s="162">
        <f t="shared" si="109"/>
        <v>2734.14316474857</v>
      </c>
      <c r="BB33" s="162">
        <f t="shared" si="109"/>
        <v>2923.87222354022</v>
      </c>
      <c r="BC33" s="162">
        <f t="shared" si="109"/>
        <v>3123.69017587887</v>
      </c>
      <c r="BD33" s="162"/>
      <c r="BE33" s="147"/>
      <c r="BF33" s="148"/>
      <c r="BG33" s="162">
        <f t="shared" ref="BG33:BR33" si="110">BG17-BG21</f>
        <v>134.418</v>
      </c>
      <c r="BH33" s="162">
        <f t="shared" si="110"/>
        <v>347.577</v>
      </c>
      <c r="BI33" s="162">
        <f t="shared" si="110"/>
        <v>723.236</v>
      </c>
      <c r="BJ33" s="162">
        <f t="shared" si="110"/>
        <v>848.737</v>
      </c>
      <c r="BK33" s="162">
        <f t="shared" si="110"/>
        <v>746.394615</v>
      </c>
      <c r="BL33" s="179">
        <f t="shared" si="110"/>
        <v>586.633</v>
      </c>
      <c r="BM33" s="162">
        <f t="shared" si="110"/>
        <v>853.469</v>
      </c>
      <c r="BN33" s="162">
        <f t="shared" si="110"/>
        <v>401.616</v>
      </c>
      <c r="BO33" s="162">
        <f t="shared" si="110"/>
        <v>1059.557</v>
      </c>
      <c r="BP33" s="162">
        <f t="shared" si="110"/>
        <v>1747.167586</v>
      </c>
      <c r="BQ33" s="162">
        <f t="shared" si="110"/>
        <v>3647.67435276932</v>
      </c>
      <c r="BR33" s="162">
        <f t="shared" si="110"/>
        <v>7737.7407468848</v>
      </c>
      <c r="BS33" s="162">
        <f t="shared" ref="BS33" si="111">BS17-BS21</f>
        <v>11322.1098663817</v>
      </c>
      <c r="BT33" s="150"/>
    </row>
    <row r="34" ht="9.75" customHeight="1" spans="1:72">
      <c r="A34" s="78"/>
      <c r="B34" s="78"/>
      <c r="C34" s="95" t="s">
        <v>417</v>
      </c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>
        <f t="shared" ref="P34:AY34" si="112">P33/P10</f>
        <v>0.602907367552088</v>
      </c>
      <c r="Q34" s="150">
        <f t="shared" si="112"/>
        <v>0.317161931885861</v>
      </c>
      <c r="R34" s="150">
        <f t="shared" si="112"/>
        <v>0.594367803122532</v>
      </c>
      <c r="S34" s="150">
        <f t="shared" si="112"/>
        <v>0.43576280434782</v>
      </c>
      <c r="T34" s="150">
        <f t="shared" si="112"/>
        <v>0.396635936350563</v>
      </c>
      <c r="U34" s="150">
        <f t="shared" si="112"/>
        <v>0.520728940727585</v>
      </c>
      <c r="V34" s="150">
        <f t="shared" si="112"/>
        <v>0.385672585543934</v>
      </c>
      <c r="W34" s="150">
        <f t="shared" si="112"/>
        <v>0.266269224652587</v>
      </c>
      <c r="X34" s="150">
        <f t="shared" si="112"/>
        <v>0.228404500383935</v>
      </c>
      <c r="Y34" s="150">
        <f t="shared" si="112"/>
        <v>0.281159618104501</v>
      </c>
      <c r="Z34" s="150">
        <f t="shared" si="112"/>
        <v>0.159709432836577</v>
      </c>
      <c r="AA34" s="150">
        <f t="shared" si="112"/>
        <v>0.258298334607421</v>
      </c>
      <c r="AB34" s="150">
        <f t="shared" si="112"/>
        <v>0.276018049294609</v>
      </c>
      <c r="AC34" s="150">
        <f t="shared" si="112"/>
        <v>0.249290347459517</v>
      </c>
      <c r="AD34" s="150">
        <f t="shared" si="112"/>
        <v>0.264830470700886</v>
      </c>
      <c r="AE34" s="150">
        <f t="shared" si="112"/>
        <v>0.121833741665414</v>
      </c>
      <c r="AF34" s="150">
        <f t="shared" si="112"/>
        <v>0.0727245857249099</v>
      </c>
      <c r="AG34" s="150">
        <f t="shared" si="112"/>
        <v>0.112210876855978</v>
      </c>
      <c r="AH34" s="150">
        <f t="shared" si="112"/>
        <v>0.238933980420049</v>
      </c>
      <c r="AI34" s="150">
        <f t="shared" si="112"/>
        <v>0.225246262023845</v>
      </c>
      <c r="AJ34" s="150">
        <f t="shared" si="112"/>
        <v>0.25502297009344</v>
      </c>
      <c r="AK34" s="150">
        <f t="shared" si="112"/>
        <v>0.306376419482276</v>
      </c>
      <c r="AL34" s="150">
        <f t="shared" si="112"/>
        <v>0.307321402551298</v>
      </c>
      <c r="AM34" s="150">
        <f t="shared" si="112"/>
        <v>0.289228597029515</v>
      </c>
      <c r="AN34" s="150">
        <f t="shared" ref="AN34:AO34" si="113">AN33/AN10</f>
        <v>0.376230251945453</v>
      </c>
      <c r="AO34" s="150">
        <f t="shared" si="113"/>
        <v>0.355584812580647</v>
      </c>
      <c r="AP34" s="150">
        <f t="shared" si="112"/>
        <v>0.228674453283958</v>
      </c>
      <c r="AQ34" s="150">
        <f t="shared" ref="AQ34" si="114">AQ33/AQ10</f>
        <v>0.376230251945453</v>
      </c>
      <c r="AR34" s="150">
        <f t="shared" si="112"/>
        <v>0.462008409562968</v>
      </c>
      <c r="AS34" s="150">
        <f t="shared" si="112"/>
        <v>0.470179621154224</v>
      </c>
      <c r="AT34" s="150">
        <f t="shared" si="112"/>
        <v>0.487315131494079</v>
      </c>
      <c r="AU34" s="150">
        <f t="shared" si="112"/>
        <v>0.5099419823629</v>
      </c>
      <c r="AV34" s="150">
        <f t="shared" si="112"/>
        <v>0.522571018146511</v>
      </c>
      <c r="AW34" s="150">
        <f t="shared" si="112"/>
        <v>0.556737461424213</v>
      </c>
      <c r="AX34" s="150">
        <f t="shared" si="112"/>
        <v>0.563364682929171</v>
      </c>
      <c r="AY34" s="150">
        <f t="shared" si="112"/>
        <v>0.569577416179651</v>
      </c>
      <c r="AZ34" s="150">
        <f t="shared" ref="AZ34:BC34" si="115">AZ33/AZ10</f>
        <v>0.574094549937493</v>
      </c>
      <c r="BA34" s="150">
        <f t="shared" si="115"/>
        <v>0.579666709520943</v>
      </c>
      <c r="BB34" s="150">
        <f t="shared" si="115"/>
        <v>0.582211867537227</v>
      </c>
      <c r="BC34" s="150">
        <f t="shared" si="115"/>
        <v>0.584734926654072</v>
      </c>
      <c r="BD34" s="150"/>
      <c r="BE34" s="152"/>
      <c r="BF34" s="164"/>
      <c r="BG34" s="150">
        <f t="shared" ref="BG34:BR34" si="116">BG33/BG10</f>
        <v>0.159084910852186</v>
      </c>
      <c r="BH34" s="150">
        <f t="shared" si="116"/>
        <v>0.283154991996025</v>
      </c>
      <c r="BI34" s="150">
        <f t="shared" si="116"/>
        <v>0.411475451806801</v>
      </c>
      <c r="BJ34" s="150">
        <f t="shared" si="116"/>
        <v>0.488415667521227</v>
      </c>
      <c r="BK34" s="150">
        <f t="shared" si="116"/>
        <v>0.409282619156462</v>
      </c>
      <c r="BL34" s="156">
        <f t="shared" si="116"/>
        <v>0.228973109858365</v>
      </c>
      <c r="BM34" s="150">
        <f t="shared" si="116"/>
        <v>0.232409868805514</v>
      </c>
      <c r="BN34" s="150">
        <f t="shared" si="116"/>
        <v>0.175705177058788</v>
      </c>
      <c r="BO34" s="150">
        <f t="shared" si="116"/>
        <v>0.29117420019341</v>
      </c>
      <c r="BP34" s="150">
        <f t="shared" si="116"/>
        <v>0.330909376424276</v>
      </c>
      <c r="BQ34" s="150">
        <f t="shared" si="116"/>
        <v>0.485277397284375</v>
      </c>
      <c r="BR34" s="150">
        <f t="shared" si="116"/>
        <v>0.556068552969264</v>
      </c>
      <c r="BS34" s="150">
        <f t="shared" ref="BS34" si="117">BS33/BS10</f>
        <v>0.580445929698735</v>
      </c>
      <c r="BT34" s="78"/>
    </row>
    <row r="35" ht="9.75" customHeight="1" spans="1:72">
      <c r="A35" s="78"/>
      <c r="B35" s="78"/>
      <c r="C35" s="95" t="s">
        <v>415</v>
      </c>
      <c r="D35" s="150"/>
      <c r="E35" s="150"/>
      <c r="F35" s="150"/>
      <c r="G35" s="15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 t="str">
        <f>IF((T33/P33)-1&gt;0,(T33/P33)-1,"nm")</f>
        <v>nm</v>
      </c>
      <c r="U35" s="180">
        <f>IF((U33/Q33)-1&gt;0,(U33/Q33)-1,"nm")</f>
        <v>1.05488512460795</v>
      </c>
      <c r="V35" s="180" t="str">
        <f>IF((V33/R33)-1&gt;0,(V33/R33)-1,"nm")</f>
        <v>nm</v>
      </c>
      <c r="W35" s="180" t="str">
        <f>IF((W33/S33)-1&gt;0,(W33/S33)-1,"nm")</f>
        <v>nm</v>
      </c>
      <c r="X35" s="150">
        <f t="shared" ref="X35:AE35" si="118">(X33/T33)-1</f>
        <v>-0.652073080982277</v>
      </c>
      <c r="Y35" s="150">
        <f t="shared" si="118"/>
        <v>-0.613629640363934</v>
      </c>
      <c r="Z35" s="150">
        <f t="shared" si="118"/>
        <v>-0.051029869562024</v>
      </c>
      <c r="AA35" s="150">
        <f t="shared" si="118"/>
        <v>1.64714594129403</v>
      </c>
      <c r="AB35" s="150">
        <f t="shared" si="118"/>
        <v>2.63277984038355</v>
      </c>
      <c r="AC35" s="150">
        <f t="shared" si="118"/>
        <v>1.14271724391918</v>
      </c>
      <c r="AD35" s="150">
        <f t="shared" si="118"/>
        <v>0.821036310532579</v>
      </c>
      <c r="AE35" s="150">
        <f t="shared" si="118"/>
        <v>-0.614884133336528</v>
      </c>
      <c r="AF35" s="150">
        <f t="shared" ref="AF35:AQ35" si="119">(AF33/AB33)-1</f>
        <v>-0.87723964222055</v>
      </c>
      <c r="AG35" s="150">
        <f t="shared" si="119"/>
        <v>-0.777292098797261</v>
      </c>
      <c r="AH35" s="150">
        <f t="shared" si="119"/>
        <v>-0.434585805143477</v>
      </c>
      <c r="AI35" s="150">
        <f t="shared" si="119"/>
        <v>0.776713024900697</v>
      </c>
      <c r="AJ35" s="150">
        <f t="shared" si="119"/>
        <v>5.16253687315634</v>
      </c>
      <c r="AK35" s="150">
        <f t="shared" si="119"/>
        <v>3.98535421745918</v>
      </c>
      <c r="AL35" s="150">
        <f t="shared" si="119"/>
        <v>0.949921204692699</v>
      </c>
      <c r="AM35" s="150">
        <f t="shared" si="119"/>
        <v>0.803147400126082</v>
      </c>
      <c r="AN35" s="150">
        <f t="shared" si="119"/>
        <v>1.44566772507034</v>
      </c>
      <c r="AO35" s="150">
        <f t="shared" si="119"/>
        <v>0.765534954086479</v>
      </c>
      <c r="AP35" s="150">
        <f t="shared" si="119"/>
        <v>0.169847650862069</v>
      </c>
      <c r="AQ35" s="150">
        <f t="shared" si="119"/>
        <v>0.488572649461977</v>
      </c>
      <c r="AR35" s="150">
        <f t="shared" ref="AR35:AY35" si="120">(AR33/AN33)-1</f>
        <v>0.467631656778997</v>
      </c>
      <c r="AS35" s="150">
        <f t="shared" si="120"/>
        <v>0.662130456223013</v>
      </c>
      <c r="AT35" s="150">
        <f t="shared" si="120"/>
        <v>1.96525107802652</v>
      </c>
      <c r="AU35" s="150">
        <f t="shared" si="120"/>
        <v>1.55089649372857</v>
      </c>
      <c r="AV35" s="150">
        <f t="shared" si="120"/>
        <v>0.994678116588928</v>
      </c>
      <c r="AW35" s="150">
        <f t="shared" si="120"/>
        <v>1.26083834773875</v>
      </c>
      <c r="AX35" s="150">
        <f t="shared" si="120"/>
        <v>1.19703601337918</v>
      </c>
      <c r="AY35" s="150">
        <f t="shared" si="120"/>
        <v>1.03251217082623</v>
      </c>
      <c r="AZ35" s="150">
        <f t="shared" ref="AZ35" si="121">(AZ33/AV33)-1</f>
        <v>0.887181865958538</v>
      </c>
      <c r="BA35" s="150">
        <f t="shared" ref="BA35" si="122">(BA33/AW33)-1</f>
        <v>0.449907838329589</v>
      </c>
      <c r="BB35" s="150">
        <f t="shared" ref="BB35" si="123">(BB33/AX33)-1</f>
        <v>0.37803802981273</v>
      </c>
      <c r="BC35" s="150">
        <f t="shared" ref="BC35" si="124">(BC33/AY33)-1</f>
        <v>0.310215609560708</v>
      </c>
      <c r="BD35" s="150"/>
      <c r="BE35" s="152"/>
      <c r="BF35" s="164"/>
      <c r="BG35" s="150"/>
      <c r="BH35" s="150"/>
      <c r="BI35" s="150"/>
      <c r="BJ35" s="150">
        <f t="shared" ref="BJ35:BS35" si="125">BJ33/BI33-1</f>
        <v>0.173527036817857</v>
      </c>
      <c r="BK35" s="154">
        <f t="shared" si="125"/>
        <v>-0.120581976513337</v>
      </c>
      <c r="BL35" s="155">
        <f t="shared" si="125"/>
        <v>-0.214044436802375</v>
      </c>
      <c r="BM35" s="154">
        <f t="shared" si="125"/>
        <v>0.454860193681569</v>
      </c>
      <c r="BN35" s="154">
        <f t="shared" si="125"/>
        <v>-0.529431063108326</v>
      </c>
      <c r="BO35" s="154">
        <f t="shared" si="125"/>
        <v>1.63823403450062</v>
      </c>
      <c r="BP35" s="154">
        <f t="shared" si="125"/>
        <v>0.648960448564825</v>
      </c>
      <c r="BQ35" s="154">
        <f t="shared" si="125"/>
        <v>1.08776443770936</v>
      </c>
      <c r="BR35" s="154">
        <f t="shared" si="125"/>
        <v>1.12128057456947</v>
      </c>
      <c r="BS35" s="154">
        <f t="shared" si="125"/>
        <v>0.463231999720331</v>
      </c>
      <c r="BT35" s="78"/>
    </row>
    <row r="36" ht="4.5" customHeight="1" spans="1:72">
      <c r="A36" s="49"/>
      <c r="B36" s="49"/>
      <c r="C36" s="49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157"/>
      <c r="BF36" s="158"/>
      <c r="BG36" s="84"/>
      <c r="BH36" s="84"/>
      <c r="BI36" s="84"/>
      <c r="BJ36" s="84"/>
      <c r="BK36" s="159"/>
      <c r="BL36" s="160"/>
      <c r="BM36" s="159"/>
      <c r="BN36" s="159"/>
      <c r="BO36" s="159"/>
    </row>
    <row r="37" ht="9.75" customHeight="1" spans="1:72">
      <c r="A37" s="49" t="s">
        <v>426</v>
      </c>
      <c r="B37" s="49"/>
      <c r="C37" s="49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>
        <f>P46-P33</f>
        <v>-9.46260484000004</v>
      </c>
      <c r="Q37" s="162">
        <f>Q46-Q33</f>
        <v>73.2215311000001</v>
      </c>
      <c r="R37" s="162">
        <f>R46-R33</f>
        <v>6.45800000000003</v>
      </c>
      <c r="S37" s="162">
        <f>S46-S33</f>
        <v>59.7930737399999</v>
      </c>
      <c r="T37" s="162">
        <f t="shared" ref="T37:Y37" si="126">+T46-T33</f>
        <v>79.97201937</v>
      </c>
      <c r="U37" s="162">
        <f t="shared" si="126"/>
        <v>39.7491248599999</v>
      </c>
      <c r="V37" s="162">
        <f t="shared" si="126"/>
        <v>165.77895675</v>
      </c>
      <c r="W37" s="162">
        <f t="shared" si="126"/>
        <v>172.58451494</v>
      </c>
      <c r="X37" s="162">
        <f t="shared" si="126"/>
        <v>84.54</v>
      </c>
      <c r="Y37" s="162">
        <f t="shared" si="126"/>
        <v>79.972</v>
      </c>
      <c r="Z37" s="162">
        <f t="shared" ref="Z37:AF37" si="127">+Z46-Z33</f>
        <v>58.954</v>
      </c>
      <c r="AA37" s="162">
        <f t="shared" si="127"/>
        <v>114.614</v>
      </c>
      <c r="AB37" s="162">
        <f t="shared" si="127"/>
        <v>107.418</v>
      </c>
      <c r="AC37" s="162">
        <f t="shared" si="127"/>
        <v>170.485</v>
      </c>
      <c r="AD37" s="162">
        <f t="shared" si="127"/>
        <v>54.456</v>
      </c>
      <c r="AE37" s="162">
        <f t="shared" si="127"/>
        <v>228.037</v>
      </c>
      <c r="AF37" s="162">
        <f t="shared" si="127"/>
        <v>-6.47600000000002</v>
      </c>
      <c r="AG37" s="162">
        <f t="shared" ref="AG37:AK37" si="128">+AG46-AG33</f>
        <v>14.601</v>
      </c>
      <c r="AH37" s="162">
        <f t="shared" si="128"/>
        <v>18.307</v>
      </c>
      <c r="AI37" s="162">
        <f t="shared" si="128"/>
        <v>44.173</v>
      </c>
      <c r="AJ37" s="162">
        <f t="shared" si="128"/>
        <v>52.488</v>
      </c>
      <c r="AK37" s="162">
        <f t="shared" si="128"/>
        <v>114.949</v>
      </c>
      <c r="AL37" s="162">
        <f t="shared" ref="AL37:AM37" si="129">+AL46-AL33</f>
        <v>123.617</v>
      </c>
      <c r="AM37" s="162">
        <f t="shared" si="129"/>
        <v>62.008</v>
      </c>
      <c r="AN37" s="162">
        <f t="shared" ref="AN37" si="130">+AN46-AN33</f>
        <v>70.9479999999999</v>
      </c>
      <c r="AO37" s="162">
        <f t="shared" ref="AO37:AP37" si="131">+AO46-AO33</f>
        <v>153.588</v>
      </c>
      <c r="AP37" s="162">
        <f t="shared" si="131"/>
        <v>181.112886</v>
      </c>
      <c r="AQ37" s="162">
        <f t="shared" ref="AQ37:AR37" si="132">+AQ46-AQ33</f>
        <v>70.9479999999996</v>
      </c>
      <c r="AR37" s="146">
        <f t="shared" si="132"/>
        <v>202.259</v>
      </c>
      <c r="AS37" s="146">
        <f t="shared" ref="AS37:AY37" si="133">SUM(AS38:AS44)</f>
        <v>-24.966</v>
      </c>
      <c r="AT37" s="146">
        <f t="shared" si="133"/>
        <v>-24.966</v>
      </c>
      <c r="AU37" s="146">
        <f t="shared" si="133"/>
        <v>-24.966</v>
      </c>
      <c r="AV37" s="146">
        <f t="shared" si="133"/>
        <v>45</v>
      </c>
      <c r="AW37" s="146">
        <f t="shared" si="133"/>
        <v>45</v>
      </c>
      <c r="AX37" s="146">
        <f t="shared" si="133"/>
        <v>45</v>
      </c>
      <c r="AY37" s="146">
        <f t="shared" si="133"/>
        <v>45</v>
      </c>
      <c r="AZ37" s="146">
        <f t="shared" ref="AZ37:BC37" si="134">SUM(AZ38:AZ44)</f>
        <v>45</v>
      </c>
      <c r="BA37" s="146">
        <f t="shared" si="134"/>
        <v>45</v>
      </c>
      <c r="BB37" s="146">
        <f t="shared" si="134"/>
        <v>45</v>
      </c>
      <c r="BC37" s="146">
        <f t="shared" si="134"/>
        <v>45</v>
      </c>
      <c r="BD37" s="146"/>
      <c r="BE37" s="147"/>
      <c r="BF37" s="148"/>
      <c r="BG37" s="145">
        <f t="shared" ref="BG37:BM37" si="135">+BG46-BG33</f>
        <v>-35.325</v>
      </c>
      <c r="BH37" s="145">
        <f t="shared" si="135"/>
        <v>14.7929999999999</v>
      </c>
      <c r="BI37" s="145">
        <f t="shared" si="135"/>
        <v>62.9959999999999</v>
      </c>
      <c r="BJ37" s="145">
        <f t="shared" si="135"/>
        <v>130.01</v>
      </c>
      <c r="BK37" s="145">
        <f t="shared" si="135"/>
        <v>458.24887618</v>
      </c>
      <c r="BL37" s="172">
        <f t="shared" si="135"/>
        <v>328.374</v>
      </c>
      <c r="BM37" s="172">
        <f t="shared" si="135"/>
        <v>560.397</v>
      </c>
      <c r="BN37" s="172">
        <f t="shared" ref="BN37" si="136">+BN46-BN33</f>
        <v>70.6030000000001</v>
      </c>
      <c r="BO37" s="172">
        <f t="shared" ref="BO37" si="137">+BO46-BO33</f>
        <v>353.061</v>
      </c>
      <c r="BP37" s="181">
        <f>SUM(BP38:BP44)</f>
        <v>476.596886</v>
      </c>
      <c r="BQ37" s="181">
        <f>SUM(BQ38:BQ44)</f>
        <v>127.361</v>
      </c>
      <c r="BR37" s="181">
        <f>SUM(BR38:BR44)</f>
        <v>180</v>
      </c>
      <c r="BS37" s="181">
        <f>SUM(BS38:BS44)</f>
        <v>180</v>
      </c>
    </row>
    <row r="38" ht="9.75" customHeight="1" outlineLevel="1" spans="1:72">
      <c r="C38" s="49" t="s">
        <v>427</v>
      </c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>
        <v>9.76317378</v>
      </c>
      <c r="Q38" s="162">
        <f>31.95472418-P38</f>
        <v>22.1915504</v>
      </c>
      <c r="R38" s="162">
        <f>+Q38</f>
        <v>22.1915504</v>
      </c>
      <c r="S38" s="162">
        <f>+BJ38-SUM(P38:R38)</f>
        <v>25.49586615</v>
      </c>
      <c r="T38" s="162">
        <v>13.75609404</v>
      </c>
      <c r="U38" s="162">
        <f>20.14199021-T38</f>
        <v>6.38589617</v>
      </c>
      <c r="V38" s="162">
        <v>24.50498157</v>
      </c>
      <c r="W38" s="162">
        <f>BK38-SUM(T38:V38)</f>
        <v>34.93864122</v>
      </c>
      <c r="X38" s="162">
        <v>12.951</v>
      </c>
      <c r="Y38" s="162">
        <f>22.62-X38</f>
        <v>9.669</v>
      </c>
      <c r="Z38" s="162">
        <f>49.731-X38-Y38</f>
        <v>27.111</v>
      </c>
      <c r="AA38" s="162">
        <f>+BL38-X38-Y38-Z38</f>
        <v>23.442</v>
      </c>
      <c r="AB38" s="162">
        <v>17.609</v>
      </c>
      <c r="AC38" s="162">
        <v>23.839</v>
      </c>
      <c r="AD38" s="162">
        <v>23.924</v>
      </c>
      <c r="AE38" s="162">
        <v>15.908</v>
      </c>
      <c r="AF38" s="162">
        <v>27.544</v>
      </c>
      <c r="AG38" s="162">
        <v>45.815</v>
      </c>
      <c r="AH38" s="162">
        <v>58.107</v>
      </c>
      <c r="AI38" s="162">
        <v>48.792</v>
      </c>
      <c r="AJ38" s="162">
        <v>53.984</v>
      </c>
      <c r="AK38" s="162">
        <v>67.596</v>
      </c>
      <c r="AL38" s="162">
        <v>73.493</v>
      </c>
      <c r="AM38" s="162">
        <v>45.431</v>
      </c>
      <c r="AN38" s="162">
        <v>40.541</v>
      </c>
      <c r="AO38" s="162">
        <v>85.145</v>
      </c>
      <c r="AP38" s="162">
        <v>74.565</v>
      </c>
      <c r="AQ38" s="162">
        <v>28.066</v>
      </c>
      <c r="AR38" s="165">
        <v>-24.966</v>
      </c>
      <c r="AS38" s="165">
        <f t="shared" ref="AS38:AY38" si="138">+AR38</f>
        <v>-24.966</v>
      </c>
      <c r="AT38" s="165">
        <f t="shared" si="138"/>
        <v>-24.966</v>
      </c>
      <c r="AU38" s="165">
        <f t="shared" si="138"/>
        <v>-24.966</v>
      </c>
      <c r="AV38" s="165">
        <v>45</v>
      </c>
      <c r="AW38" s="165">
        <f t="shared" si="138"/>
        <v>45</v>
      </c>
      <c r="AX38" s="165">
        <f t="shared" si="138"/>
        <v>45</v>
      </c>
      <c r="AY38" s="165">
        <f t="shared" si="138"/>
        <v>45</v>
      </c>
      <c r="AZ38" s="165">
        <v>45</v>
      </c>
      <c r="BA38" s="165">
        <f t="shared" ref="BA38" si="139">+AZ38</f>
        <v>45</v>
      </c>
      <c r="BB38" s="165">
        <f t="shared" ref="BB38" si="140">+BA38</f>
        <v>45</v>
      </c>
      <c r="BC38" s="165">
        <f t="shared" ref="BC38" si="141">+BB38</f>
        <v>45</v>
      </c>
      <c r="BD38" s="165"/>
      <c r="BE38" s="147"/>
      <c r="BF38" s="158"/>
      <c r="BG38" s="145">
        <v>0</v>
      </c>
      <c r="BH38" s="145">
        <v>0</v>
      </c>
      <c r="BI38" s="145">
        <v>21.09700442</v>
      </c>
      <c r="BJ38" s="145">
        <v>79.64214073</v>
      </c>
      <c r="BK38" s="145">
        <v>79.585613</v>
      </c>
      <c r="BL38" s="172">
        <v>73.173</v>
      </c>
      <c r="BM38" s="172">
        <f t="shared" ref="BM38:BO39" si="142">SUM(AB38:AE38)</f>
        <v>81.28</v>
      </c>
      <c r="BN38" s="172">
        <f t="shared" si="142"/>
        <v>91.215</v>
      </c>
      <c r="BO38" s="172">
        <f t="shared" si="142"/>
        <v>113.191</v>
      </c>
      <c r="BP38" s="149">
        <f t="shared" ref="BP38:BP44" si="143">SUM(AN38:AQ38)</f>
        <v>228.317</v>
      </c>
      <c r="BQ38" s="149">
        <f t="shared" ref="BQ38:BQ44" si="144">SUM(AR38:AU38)</f>
        <v>-99.864</v>
      </c>
      <c r="BR38" s="149">
        <f t="shared" ref="BR38:BR44" si="145">SUM(AV38:AY38)</f>
        <v>180</v>
      </c>
      <c r="BS38" s="149">
        <f>SUM(AZ38:BC38)</f>
        <v>180</v>
      </c>
    </row>
    <row r="39" ht="9.75" customHeight="1" outlineLevel="1" spans="1:72">
      <c r="C39" s="49" t="s">
        <v>428</v>
      </c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>
        <v>0</v>
      </c>
      <c r="Q39" s="145">
        <v>0</v>
      </c>
      <c r="R39" s="172">
        <v>0</v>
      </c>
      <c r="S39" s="172">
        <f>AVERAGE(O39:R39)</f>
        <v>0</v>
      </c>
      <c r="T39" s="172">
        <v>0</v>
      </c>
      <c r="U39" s="172">
        <f>AVERAGE(Q39:T39)</f>
        <v>0</v>
      </c>
      <c r="V39" s="172">
        <f>AVERAGE(R39:U39)</f>
        <v>0</v>
      </c>
      <c r="W39" s="172">
        <f>BK39-SUM(T39:V39)</f>
        <v>0</v>
      </c>
      <c r="X39" s="172">
        <v>0</v>
      </c>
      <c r="Y39" s="172">
        <v>0</v>
      </c>
      <c r="Z39" s="172">
        <v>0</v>
      </c>
      <c r="AA39" s="172">
        <v>0</v>
      </c>
      <c r="AB39" s="172">
        <v>0</v>
      </c>
      <c r="AC39" s="172">
        <v>0</v>
      </c>
      <c r="AD39" s="172">
        <v>0</v>
      </c>
      <c r="AE39" s="172">
        <v>0</v>
      </c>
      <c r="AF39" s="172">
        <v>0</v>
      </c>
      <c r="AG39" s="172">
        <v>0</v>
      </c>
      <c r="AH39" s="172">
        <v>0</v>
      </c>
      <c r="AI39" s="172">
        <v>0</v>
      </c>
      <c r="AJ39" s="172">
        <v>0</v>
      </c>
      <c r="AK39" s="172">
        <v>0</v>
      </c>
      <c r="AL39" s="172">
        <v>1</v>
      </c>
      <c r="AM39" s="172">
        <v>1</v>
      </c>
      <c r="AN39" s="172">
        <v>1</v>
      </c>
      <c r="AO39" s="172">
        <v>1</v>
      </c>
      <c r="AP39" s="172">
        <v>0</v>
      </c>
      <c r="AQ39" s="172">
        <v>0</v>
      </c>
      <c r="AR39" s="165">
        <v>0</v>
      </c>
      <c r="AS39" s="165">
        <v>0</v>
      </c>
      <c r="AT39" s="165">
        <v>0</v>
      </c>
      <c r="AU39" s="165">
        <v>0</v>
      </c>
      <c r="AV39" s="165">
        <v>0</v>
      </c>
      <c r="AW39" s="165">
        <v>0</v>
      </c>
      <c r="AX39" s="165">
        <v>0</v>
      </c>
      <c r="AY39" s="165">
        <v>0</v>
      </c>
      <c r="AZ39" s="165">
        <v>0</v>
      </c>
      <c r="BA39" s="165">
        <v>0</v>
      </c>
      <c r="BB39" s="165">
        <v>0</v>
      </c>
      <c r="BC39" s="165">
        <v>0</v>
      </c>
      <c r="BD39" s="165"/>
      <c r="BE39" s="147"/>
      <c r="BF39" s="158"/>
      <c r="BG39" s="145">
        <v>0</v>
      </c>
      <c r="BH39" s="145">
        <v>0</v>
      </c>
      <c r="BI39" s="145">
        <v>0</v>
      </c>
      <c r="BJ39" s="145">
        <v>0</v>
      </c>
      <c r="BK39" s="145">
        <v>0</v>
      </c>
      <c r="BL39" s="172">
        <f>SUM(X39:AA39)</f>
        <v>0</v>
      </c>
      <c r="BM39" s="172">
        <f t="shared" si="142"/>
        <v>0</v>
      </c>
      <c r="BN39" s="172">
        <f t="shared" si="142"/>
        <v>0</v>
      </c>
      <c r="BO39" s="172">
        <f t="shared" si="142"/>
        <v>0</v>
      </c>
      <c r="BP39" s="149">
        <f t="shared" si="143"/>
        <v>2</v>
      </c>
      <c r="BQ39" s="149">
        <f t="shared" si="144"/>
        <v>0</v>
      </c>
      <c r="BR39" s="149">
        <f t="shared" si="145"/>
        <v>0</v>
      </c>
      <c r="BS39" s="149">
        <f t="shared" ref="BS39:BS44" si="146">SUM(AZ39:BC39)</f>
        <v>0</v>
      </c>
    </row>
    <row r="40" ht="9.75" customHeight="1" outlineLevel="1" spans="1:72">
      <c r="C40" s="49" t="s">
        <v>429</v>
      </c>
      <c r="D40" s="145"/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>
        <v>0</v>
      </c>
      <c r="Q40" s="145">
        <v>0</v>
      </c>
      <c r="R40" s="145">
        <v>7.106</v>
      </c>
      <c r="S40" s="145">
        <f>AVERAGE(O40:R40)</f>
        <v>2.36866666666667</v>
      </c>
      <c r="T40" s="145">
        <v>32.91107767</v>
      </c>
      <c r="U40" s="145">
        <f>60.10369041-T40</f>
        <v>27.19261274</v>
      </c>
      <c r="V40" s="145">
        <v>40.19375296</v>
      </c>
      <c r="W40" s="172">
        <f>BK40-SUM(T40:V40)</f>
        <v>2.19255663</v>
      </c>
      <c r="X40" s="172">
        <v>15.108</v>
      </c>
      <c r="Y40" s="172">
        <v>17.695</v>
      </c>
      <c r="Z40" s="172">
        <v>228.278</v>
      </c>
      <c r="AA40" s="172">
        <v>17.033</v>
      </c>
      <c r="AB40" s="172">
        <v>11.708</v>
      </c>
      <c r="AC40" s="172">
        <v>13.229</v>
      </c>
      <c r="AD40" s="172">
        <v>16.707</v>
      </c>
      <c r="AE40" s="172">
        <v>332.974</v>
      </c>
      <c r="AF40" s="172">
        <v>12.937</v>
      </c>
      <c r="AG40" s="172">
        <v>13.748</v>
      </c>
      <c r="AH40" s="172">
        <v>49.898</v>
      </c>
      <c r="AI40" s="172">
        <v>14.395</v>
      </c>
      <c r="AJ40" s="172">
        <v>12.126</v>
      </c>
      <c r="AK40" s="172">
        <v>4.219</v>
      </c>
      <c r="AL40" s="172">
        <v>19.54</v>
      </c>
      <c r="AM40" s="172">
        <v>12.714</v>
      </c>
      <c r="AN40" s="172">
        <v>9.547</v>
      </c>
      <c r="AO40" s="172">
        <v>10.435</v>
      </c>
      <c r="AP40" s="172">
        <v>5</v>
      </c>
      <c r="AQ40" s="172">
        <v>5</v>
      </c>
      <c r="AR40" s="165">
        <v>0</v>
      </c>
      <c r="AS40" s="165">
        <v>0</v>
      </c>
      <c r="AT40" s="165">
        <v>0</v>
      </c>
      <c r="AU40" s="165">
        <v>0</v>
      </c>
      <c r="AV40" s="165">
        <v>0</v>
      </c>
      <c r="AW40" s="165">
        <v>0</v>
      </c>
      <c r="AX40" s="165">
        <v>0</v>
      </c>
      <c r="AY40" s="165">
        <v>0</v>
      </c>
      <c r="AZ40" s="165">
        <v>0</v>
      </c>
      <c r="BA40" s="165">
        <v>0</v>
      </c>
      <c r="BB40" s="165">
        <v>0</v>
      </c>
      <c r="BC40" s="165">
        <v>0</v>
      </c>
      <c r="BD40" s="165"/>
      <c r="BE40" s="147"/>
      <c r="BF40" s="158"/>
      <c r="BG40" s="145">
        <v>0.473</v>
      </c>
      <c r="BH40" s="145">
        <v>6.196</v>
      </c>
      <c r="BI40" s="145">
        <v>17.305</v>
      </c>
      <c r="BJ40" s="145">
        <v>71.905</v>
      </c>
      <c r="BK40" s="145">
        <v>102.49</v>
      </c>
      <c r="BL40" s="145">
        <v>278.114</v>
      </c>
      <c r="BM40" s="145">
        <v>374.618</v>
      </c>
      <c r="BN40" s="145">
        <v>90.978</v>
      </c>
      <c r="BO40" s="145">
        <v>48.599</v>
      </c>
      <c r="BP40" s="149">
        <f t="shared" si="143"/>
        <v>29.982</v>
      </c>
      <c r="BQ40" s="149">
        <f t="shared" si="144"/>
        <v>0</v>
      </c>
      <c r="BR40" s="149">
        <f t="shared" si="145"/>
        <v>0</v>
      </c>
      <c r="BS40" s="149">
        <f t="shared" si="146"/>
        <v>0</v>
      </c>
    </row>
    <row r="41" ht="9.75" customHeight="1" outlineLevel="1" spans="1:72">
      <c r="C41" s="49" t="s">
        <v>430</v>
      </c>
      <c r="D41" s="162"/>
      <c r="E41" s="162"/>
      <c r="F41" s="162"/>
      <c r="G41" s="162"/>
      <c r="H41" s="145"/>
      <c r="I41" s="145"/>
      <c r="J41" s="145"/>
      <c r="K41" s="145"/>
      <c r="L41" s="145"/>
      <c r="M41" s="145"/>
      <c r="N41" s="145"/>
      <c r="O41" s="145"/>
      <c r="P41" s="145">
        <v>0</v>
      </c>
      <c r="Q41" s="145">
        <v>0</v>
      </c>
      <c r="R41" s="145">
        <v>0</v>
      </c>
      <c r="S41" s="145">
        <v>0</v>
      </c>
      <c r="T41" s="145">
        <v>0</v>
      </c>
      <c r="U41" s="145">
        <v>0</v>
      </c>
      <c r="V41" s="145">
        <v>0</v>
      </c>
      <c r="W41" s="172">
        <f>BK41-SUM(T41:V41)</f>
        <v>0</v>
      </c>
      <c r="X41" s="172">
        <v>0</v>
      </c>
      <c r="Y41" s="172">
        <v>0</v>
      </c>
      <c r="Z41" s="172">
        <v>0</v>
      </c>
      <c r="AA41" s="172">
        <v>0</v>
      </c>
      <c r="AB41" s="172">
        <v>0</v>
      </c>
      <c r="AC41" s="172">
        <v>0</v>
      </c>
      <c r="AD41" s="172">
        <v>0</v>
      </c>
      <c r="AE41" s="172">
        <v>0</v>
      </c>
      <c r="AF41" s="172">
        <v>0</v>
      </c>
      <c r="AG41" s="172">
        <v>0</v>
      </c>
      <c r="AH41" s="172">
        <v>0</v>
      </c>
      <c r="AI41" s="172">
        <v>0</v>
      </c>
      <c r="AJ41" s="172">
        <v>0</v>
      </c>
      <c r="AK41" s="172">
        <v>0</v>
      </c>
      <c r="AL41" s="172">
        <v>0</v>
      </c>
      <c r="AM41" s="172">
        <v>0</v>
      </c>
      <c r="AN41" s="172">
        <v>0</v>
      </c>
      <c r="AO41" s="172">
        <v>0</v>
      </c>
      <c r="AP41" s="172">
        <v>0</v>
      </c>
      <c r="AQ41" s="172">
        <v>0</v>
      </c>
      <c r="AR41" s="165">
        <v>0</v>
      </c>
      <c r="AS41" s="165">
        <v>0</v>
      </c>
      <c r="AT41" s="165">
        <v>0</v>
      </c>
      <c r="AU41" s="165">
        <v>0</v>
      </c>
      <c r="AV41" s="165">
        <v>0</v>
      </c>
      <c r="AW41" s="165">
        <v>0</v>
      </c>
      <c r="AX41" s="165">
        <v>0</v>
      </c>
      <c r="AY41" s="165" t="s">
        <v>431</v>
      </c>
      <c r="AZ41" s="165">
        <v>0</v>
      </c>
      <c r="BA41" s="165">
        <v>0</v>
      </c>
      <c r="BB41" s="165">
        <v>0</v>
      </c>
      <c r="BC41" s="165" t="s">
        <v>431</v>
      </c>
      <c r="BD41" s="165"/>
      <c r="BE41" s="147"/>
      <c r="BF41" s="158"/>
      <c r="BG41" s="145">
        <v>0</v>
      </c>
      <c r="BH41" s="145">
        <v>-193</v>
      </c>
      <c r="BI41" s="145">
        <v>0</v>
      </c>
      <c r="BJ41" s="145">
        <v>-124</v>
      </c>
      <c r="BK41" s="145">
        <v>0</v>
      </c>
      <c r="BL41" s="145">
        <v>-3</v>
      </c>
      <c r="BM41" s="145">
        <v>0</v>
      </c>
      <c r="BN41" s="145">
        <v>-41</v>
      </c>
      <c r="BO41" s="145">
        <v>0</v>
      </c>
      <c r="BP41" s="149">
        <f t="shared" si="143"/>
        <v>0</v>
      </c>
      <c r="BQ41" s="149">
        <f t="shared" si="144"/>
        <v>0</v>
      </c>
      <c r="BR41" s="149">
        <f t="shared" si="145"/>
        <v>0</v>
      </c>
      <c r="BS41" s="149">
        <f t="shared" si="146"/>
        <v>0</v>
      </c>
    </row>
    <row r="42" ht="9.75" customHeight="1" outlineLevel="1" spans="1:72">
      <c r="C42" s="49" t="s">
        <v>432</v>
      </c>
      <c r="D42" s="162"/>
      <c r="E42" s="162"/>
      <c r="F42" s="162"/>
      <c r="G42" s="162"/>
      <c r="H42" s="145"/>
      <c r="I42" s="145"/>
      <c r="J42" s="145"/>
      <c r="K42" s="145"/>
      <c r="L42" s="145"/>
      <c r="M42" s="145"/>
      <c r="N42" s="145"/>
      <c r="O42" s="145"/>
      <c r="P42" s="145">
        <v>0</v>
      </c>
      <c r="Q42" s="145">
        <v>0</v>
      </c>
      <c r="R42" s="145">
        <v>0</v>
      </c>
      <c r="S42" s="145">
        <v>0</v>
      </c>
      <c r="T42" s="145">
        <f>39.80282436-13.75609404</f>
        <v>26.04673032</v>
      </c>
      <c r="U42" s="145">
        <f>27.86259441-T42</f>
        <v>1.81586409</v>
      </c>
      <c r="V42" s="145">
        <v>0</v>
      </c>
      <c r="W42" s="172">
        <f>BK42-SUM(T42:V42)</f>
        <v>-51.31470092</v>
      </c>
      <c r="X42" s="172">
        <v>0</v>
      </c>
      <c r="Y42" s="172">
        <v>0</v>
      </c>
      <c r="Z42" s="172">
        <v>0</v>
      </c>
      <c r="AA42" s="172">
        <v>0</v>
      </c>
      <c r="AB42" s="172">
        <v>0</v>
      </c>
      <c r="AC42" s="172">
        <v>0</v>
      </c>
      <c r="AD42" s="172">
        <v>0</v>
      </c>
      <c r="AE42" s="172">
        <v>0</v>
      </c>
      <c r="AF42" s="172">
        <v>0</v>
      </c>
      <c r="AG42" s="172">
        <v>0</v>
      </c>
      <c r="AH42" s="172">
        <v>0</v>
      </c>
      <c r="AI42" s="172">
        <v>0</v>
      </c>
      <c r="AJ42" s="172">
        <v>0</v>
      </c>
      <c r="AK42" s="172">
        <v>0</v>
      </c>
      <c r="AL42" s="172">
        <v>0</v>
      </c>
      <c r="AM42" s="172">
        <v>0</v>
      </c>
      <c r="AN42" s="172">
        <v>0</v>
      </c>
      <c r="AO42" s="172">
        <v>0</v>
      </c>
      <c r="AP42" s="172">
        <v>0</v>
      </c>
      <c r="AQ42" s="172">
        <v>0</v>
      </c>
      <c r="AR42" s="165">
        <v>0</v>
      </c>
      <c r="AS42" s="165">
        <v>0</v>
      </c>
      <c r="AT42" s="165">
        <v>0</v>
      </c>
      <c r="AU42" s="165">
        <v>0</v>
      </c>
      <c r="AV42" s="165">
        <v>0</v>
      </c>
      <c r="AW42" s="165">
        <v>0</v>
      </c>
      <c r="AX42" s="165">
        <v>0</v>
      </c>
      <c r="AY42" s="165">
        <v>0</v>
      </c>
      <c r="AZ42" s="165">
        <v>0</v>
      </c>
      <c r="BA42" s="165">
        <v>0</v>
      </c>
      <c r="BB42" s="165">
        <v>0</v>
      </c>
      <c r="BC42" s="165">
        <v>0</v>
      </c>
      <c r="BD42" s="165"/>
      <c r="BE42" s="147"/>
      <c r="BF42" s="158"/>
      <c r="BG42" s="145">
        <v>0</v>
      </c>
      <c r="BH42" s="145">
        <v>0</v>
      </c>
      <c r="BI42" s="145">
        <v>0</v>
      </c>
      <c r="BJ42" s="145">
        <v>21.94861783</v>
      </c>
      <c r="BK42" s="145">
        <v>-23.45210651</v>
      </c>
      <c r="BL42" s="172">
        <f>SUM(X42:AA42)</f>
        <v>0</v>
      </c>
      <c r="BM42" s="172">
        <f>SUM(AB42:AE42)</f>
        <v>0</v>
      </c>
      <c r="BN42" s="172">
        <f>SUM(AC42:AF42)</f>
        <v>0</v>
      </c>
      <c r="BO42" s="172">
        <f>SUM(AD42:AG42)</f>
        <v>0</v>
      </c>
      <c r="BP42" s="149">
        <f t="shared" si="143"/>
        <v>0</v>
      </c>
      <c r="BQ42" s="149">
        <f t="shared" si="144"/>
        <v>0</v>
      </c>
      <c r="BR42" s="149">
        <f t="shared" si="145"/>
        <v>0</v>
      </c>
      <c r="BS42" s="149">
        <f t="shared" si="146"/>
        <v>0</v>
      </c>
    </row>
    <row r="43" ht="9.75" customHeight="1" outlineLevel="1" spans="1:72">
      <c r="C43" s="49" t="s">
        <v>433</v>
      </c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>
        <v>0</v>
      </c>
      <c r="Q43" s="145">
        <v>0</v>
      </c>
      <c r="R43" s="145">
        <v>-70.282</v>
      </c>
      <c r="S43" s="145">
        <v>0</v>
      </c>
      <c r="T43" s="145">
        <v>-9.81155085</v>
      </c>
      <c r="U43" s="145">
        <f>-17.99192042-T43</f>
        <v>-8.18036957</v>
      </c>
      <c r="V43" s="145">
        <v>18.357</v>
      </c>
      <c r="W43" s="145">
        <v>-12.94</v>
      </c>
      <c r="X43" s="145">
        <v>2.888</v>
      </c>
      <c r="Y43" s="145">
        <v>-13.173</v>
      </c>
      <c r="Z43" s="145">
        <v>8.792</v>
      </c>
      <c r="AA43" s="145">
        <v>0.967</v>
      </c>
      <c r="AB43" s="145">
        <v>-0.228</v>
      </c>
      <c r="AC43" s="145">
        <v>0.109</v>
      </c>
      <c r="AD43" s="145">
        <v>-0.447</v>
      </c>
      <c r="AE43" s="145">
        <v>-26.176</v>
      </c>
      <c r="AF43" s="145">
        <v>-52.765</v>
      </c>
      <c r="AG43" s="145">
        <v>-91.239</v>
      </c>
      <c r="AH43" s="145">
        <v>-36.234</v>
      </c>
      <c r="AI43" s="145">
        <v>-12.146</v>
      </c>
      <c r="AJ43" s="145">
        <v>-1.508</v>
      </c>
      <c r="AK43" s="145">
        <v>-0.28</v>
      </c>
      <c r="AL43" s="145">
        <v>-0.555</v>
      </c>
      <c r="AM43" s="145">
        <v>-42.564</v>
      </c>
      <c r="AN43" s="145">
        <v>8.976</v>
      </c>
      <c r="AO43" s="145">
        <v>21.845</v>
      </c>
      <c r="AP43" s="145">
        <v>0</v>
      </c>
      <c r="AQ43" s="145">
        <v>0</v>
      </c>
      <c r="AR43" s="165">
        <v>0</v>
      </c>
      <c r="AS43" s="165">
        <v>0</v>
      </c>
      <c r="AT43" s="165">
        <v>0</v>
      </c>
      <c r="AU43" s="165">
        <v>0</v>
      </c>
      <c r="AV43" s="165">
        <v>0</v>
      </c>
      <c r="AW43" s="165">
        <v>0</v>
      </c>
      <c r="AX43" s="165">
        <v>0</v>
      </c>
      <c r="AY43" s="165">
        <v>0</v>
      </c>
      <c r="AZ43" s="165">
        <v>0</v>
      </c>
      <c r="BA43" s="165">
        <v>0</v>
      </c>
      <c r="BB43" s="165">
        <v>0</v>
      </c>
      <c r="BC43" s="165">
        <v>0</v>
      </c>
      <c r="BD43" s="165"/>
      <c r="BE43" s="147"/>
      <c r="BF43" s="158"/>
      <c r="BG43" s="145">
        <v>-55.4</v>
      </c>
      <c r="BH43" s="145">
        <v>-53.743</v>
      </c>
      <c r="BI43" s="145">
        <v>-13.314</v>
      </c>
      <c r="BJ43" s="145">
        <v>-87.97867645</v>
      </c>
      <c r="BK43" s="145">
        <v>-12.728942</v>
      </c>
      <c r="BL43" s="145">
        <v>-0.526</v>
      </c>
      <c r="BM43" s="145">
        <v>-26.742</v>
      </c>
      <c r="BN43" s="145">
        <v>-192.385</v>
      </c>
      <c r="BO43" s="145">
        <v>-44.908</v>
      </c>
      <c r="BP43" s="149">
        <f t="shared" si="143"/>
        <v>30.821</v>
      </c>
      <c r="BQ43" s="149">
        <f t="shared" si="144"/>
        <v>0</v>
      </c>
      <c r="BR43" s="149">
        <f t="shared" si="145"/>
        <v>0</v>
      </c>
      <c r="BS43" s="149">
        <f t="shared" si="146"/>
        <v>0</v>
      </c>
    </row>
    <row r="44" ht="9.75" customHeight="1" outlineLevel="1" spans="1:72">
      <c r="C44" s="49" t="s">
        <v>434</v>
      </c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>
        <f t="shared" ref="P44:AA44" si="147">P37-SUM(P39:P43)</f>
        <v>-9.46260484000004</v>
      </c>
      <c r="Q44" s="162">
        <f t="shared" si="147"/>
        <v>73.2215311000001</v>
      </c>
      <c r="R44" s="162">
        <f t="shared" si="147"/>
        <v>69.634</v>
      </c>
      <c r="S44" s="162">
        <f t="shared" si="147"/>
        <v>57.4244070733333</v>
      </c>
      <c r="T44" s="162">
        <f t="shared" si="147"/>
        <v>30.82576223</v>
      </c>
      <c r="U44" s="162">
        <f t="shared" si="147"/>
        <v>18.9210175999999</v>
      </c>
      <c r="V44" s="162">
        <f t="shared" si="147"/>
        <v>107.22820379</v>
      </c>
      <c r="W44" s="162">
        <f t="shared" si="147"/>
        <v>234.64665923</v>
      </c>
      <c r="X44" s="162">
        <f t="shared" si="147"/>
        <v>66.544</v>
      </c>
      <c r="Y44" s="162">
        <f t="shared" si="147"/>
        <v>75.45</v>
      </c>
      <c r="Z44" s="162">
        <f t="shared" si="147"/>
        <v>-178.116</v>
      </c>
      <c r="AA44" s="162">
        <f t="shared" si="147"/>
        <v>96.6139999999999</v>
      </c>
      <c r="AB44" s="162">
        <f t="shared" ref="AB44:AG44" si="148">AB37-SUM(AB38:AB43)</f>
        <v>78.329</v>
      </c>
      <c r="AC44" s="162">
        <f t="shared" si="148"/>
        <v>133.308</v>
      </c>
      <c r="AD44" s="162">
        <f t="shared" si="148"/>
        <v>14.272</v>
      </c>
      <c r="AE44" s="162">
        <f t="shared" si="148"/>
        <v>-94.6690000000001</v>
      </c>
      <c r="AF44" s="162">
        <f t="shared" si="148"/>
        <v>5.80799999999998</v>
      </c>
      <c r="AG44" s="162">
        <f t="shared" si="148"/>
        <v>46.277</v>
      </c>
      <c r="AH44" s="162">
        <f t="shared" ref="AH44:AM44" si="149">AH37-SUM(AH38:AH43)</f>
        <v>-53.464</v>
      </c>
      <c r="AI44" s="162">
        <f t="shared" si="149"/>
        <v>-6.86800000000002</v>
      </c>
      <c r="AJ44" s="162">
        <f t="shared" si="149"/>
        <v>-12.114</v>
      </c>
      <c r="AK44" s="162">
        <f t="shared" si="149"/>
        <v>43.414</v>
      </c>
      <c r="AL44" s="162">
        <f t="shared" si="149"/>
        <v>30.1389999999999</v>
      </c>
      <c r="AM44" s="162">
        <f t="shared" si="149"/>
        <v>45.427</v>
      </c>
      <c r="AN44" s="162">
        <f t="shared" ref="AN44" si="150">AN37-SUM(AN38:AN43)</f>
        <v>10.8839999999999</v>
      </c>
      <c r="AO44" s="162">
        <f t="shared" ref="AO44" si="151">AO37-SUM(AO38:AO43)</f>
        <v>35.163</v>
      </c>
      <c r="AP44" s="165">
        <f>+AP37-SUM(AP38:AP43)</f>
        <v>101.547886</v>
      </c>
      <c r="AQ44" s="165">
        <f>+AQ37-SUM(AQ38:AQ43)</f>
        <v>37.8819999999996</v>
      </c>
      <c r="AR44" s="165">
        <f>+AR37-SUM(AR38:AR43)</f>
        <v>227.225</v>
      </c>
      <c r="AS44" s="165">
        <v>0</v>
      </c>
      <c r="AT44" s="165">
        <v>0</v>
      </c>
      <c r="AU44" s="165">
        <v>0</v>
      </c>
      <c r="AV44" s="165">
        <v>0</v>
      </c>
      <c r="AW44" s="165">
        <v>0</v>
      </c>
      <c r="AX44" s="165">
        <v>0</v>
      </c>
      <c r="AY44" s="165">
        <v>0</v>
      </c>
      <c r="AZ44" s="165">
        <v>0</v>
      </c>
      <c r="BA44" s="165">
        <v>0</v>
      </c>
      <c r="BB44" s="165">
        <v>0</v>
      </c>
      <c r="BC44" s="165">
        <v>0</v>
      </c>
      <c r="BD44" s="165"/>
      <c r="BE44" s="147"/>
      <c r="BF44" s="158"/>
      <c r="BG44" s="145">
        <f>+BG37-SUM(BG38:BG43)</f>
        <v>19.602</v>
      </c>
      <c r="BH44" s="145">
        <f>+BH37-SUM(BH38:BH43)</f>
        <v>255.34</v>
      </c>
      <c r="BI44" s="145">
        <f>+BI37-SUM(BI38:BI43)</f>
        <v>37.9079955799999</v>
      </c>
      <c r="BJ44" s="145">
        <f>+BJ37-SUM(BJ38:BJ43)</f>
        <v>168.49291789</v>
      </c>
      <c r="BK44" s="172">
        <f>BK37-SUM(BK38:BK43)</f>
        <v>312.35431169</v>
      </c>
      <c r="BL44" s="172">
        <f>BL37-SUM(BL38:BL43)</f>
        <v>-19.3869999999999</v>
      </c>
      <c r="BM44" s="172">
        <f>BM37-SUM(BM38:BM43)</f>
        <v>131.241</v>
      </c>
      <c r="BN44" s="172">
        <f>BN37-SUM(BN38:BN43)</f>
        <v>121.795</v>
      </c>
      <c r="BO44" s="172">
        <f>BO37-SUM(BO38:BO43)</f>
        <v>236.179</v>
      </c>
      <c r="BP44" s="149">
        <f t="shared" si="143"/>
        <v>185.476886</v>
      </c>
      <c r="BQ44" s="149">
        <f t="shared" si="144"/>
        <v>227.225</v>
      </c>
      <c r="BR44" s="149">
        <f t="shared" si="145"/>
        <v>0</v>
      </c>
      <c r="BS44" s="149">
        <f t="shared" si="146"/>
        <v>0</v>
      </c>
    </row>
    <row r="45" ht="7.5" customHeight="1" spans="1:72">
      <c r="A45" s="49"/>
      <c r="B45" s="49"/>
      <c r="C45" s="49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182"/>
      <c r="Z45" s="182"/>
      <c r="AA45" s="182"/>
      <c r="AB45" s="182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157"/>
      <c r="BF45" s="158"/>
      <c r="BG45" s="84"/>
      <c r="BH45" s="84"/>
      <c r="BI45" s="84"/>
      <c r="BJ45" s="84"/>
      <c r="BK45" s="84"/>
      <c r="BL45" s="160"/>
      <c r="BM45" s="159"/>
      <c r="BN45" s="159"/>
      <c r="BO45" s="159"/>
    </row>
    <row r="46" ht="9.75" customHeight="1" spans="1:72">
      <c r="A46" s="161" t="s">
        <v>435</v>
      </c>
      <c r="B46" s="161"/>
      <c r="C46" s="161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>
        <v>234.5443148</v>
      </c>
      <c r="Q46" s="145">
        <f>458.24697934-P46</f>
        <v>223.70266454</v>
      </c>
      <c r="R46" s="145">
        <v>306.713</v>
      </c>
      <c r="S46" s="145">
        <f>+BJ46-SUM(P46:R46)</f>
        <v>213.78702066</v>
      </c>
      <c r="T46" s="145">
        <v>276.60526693</v>
      </c>
      <c r="U46" s="145">
        <f>625.57583443-T46</f>
        <v>348.9705675</v>
      </c>
      <c r="V46" s="145">
        <v>311.90052112</v>
      </c>
      <c r="W46" s="145">
        <f>1204.643491-SUM(T46:V46)</f>
        <v>267.16713545</v>
      </c>
      <c r="X46" s="145">
        <v>152.954</v>
      </c>
      <c r="Y46" s="145">
        <v>199.446</v>
      </c>
      <c r="Z46" s="145">
        <v>197.619</v>
      </c>
      <c r="AA46" s="145">
        <v>364.988</v>
      </c>
      <c r="AB46" s="145">
        <v>355.951</v>
      </c>
      <c r="AC46" s="145">
        <v>426.484</v>
      </c>
      <c r="AD46" s="145">
        <v>306.97</v>
      </c>
      <c r="AE46" s="145">
        <v>324.46</v>
      </c>
      <c r="AF46" s="145">
        <v>24.034</v>
      </c>
      <c r="AG46" s="145">
        <v>71.614</v>
      </c>
      <c r="AH46" s="145">
        <v>161.082</v>
      </c>
      <c r="AI46" s="145">
        <v>215.489</v>
      </c>
      <c r="AJ46" s="145">
        <v>240.507</v>
      </c>
      <c r="AK46" s="145">
        <v>399.179</v>
      </c>
      <c r="AL46" s="145">
        <v>402.017</v>
      </c>
      <c r="AM46" s="145">
        <v>370.916</v>
      </c>
      <c r="AN46" s="145">
        <v>530.78</v>
      </c>
      <c r="AO46" s="145">
        <v>655.406</v>
      </c>
      <c r="AP46" s="145">
        <f>1692.984472-SUM(AN46:AO46)</f>
        <v>506.798472</v>
      </c>
      <c r="AQ46" s="145">
        <f>1692.984472-SUM(AO46:AP46)</f>
        <v>530.78</v>
      </c>
      <c r="AR46" s="146">
        <v>877.123</v>
      </c>
      <c r="AS46" s="146">
        <f t="shared" ref="AS46:AY46" si="152">AS33+AS37</f>
        <v>809.12098128092</v>
      </c>
      <c r="AT46" s="146">
        <f t="shared" si="152"/>
        <v>940.773534984198</v>
      </c>
      <c r="AU46" s="146">
        <f t="shared" si="152"/>
        <v>1148.0178365042</v>
      </c>
      <c r="AV46" s="146">
        <f t="shared" si="152"/>
        <v>1391.13645247367</v>
      </c>
      <c r="AW46" s="146">
        <f t="shared" si="152"/>
        <v>1930.73583262956</v>
      </c>
      <c r="AX46" s="146">
        <f t="shared" si="152"/>
        <v>2166.76453790434</v>
      </c>
      <c r="AY46" s="146">
        <f t="shared" si="152"/>
        <v>2429.10392387722</v>
      </c>
      <c r="AZ46" s="146">
        <f t="shared" ref="AZ46:BC46" si="153">AZ33+AZ37</f>
        <v>2585.40430221407</v>
      </c>
      <c r="BA46" s="146">
        <f t="shared" si="153"/>
        <v>2779.14316474857</v>
      </c>
      <c r="BB46" s="146">
        <f t="shared" si="153"/>
        <v>2968.87222354022</v>
      </c>
      <c r="BC46" s="146">
        <f t="shared" si="153"/>
        <v>3168.69017587887</v>
      </c>
      <c r="BD46" s="146"/>
      <c r="BE46" s="147"/>
      <c r="BF46" s="148"/>
      <c r="BG46" s="162">
        <v>99.093</v>
      </c>
      <c r="BH46" s="162">
        <v>362.37</v>
      </c>
      <c r="BI46" s="162">
        <v>786.232</v>
      </c>
      <c r="BJ46" s="162">
        <v>978.747</v>
      </c>
      <c r="BK46" s="162">
        <v>1204.64349118</v>
      </c>
      <c r="BL46" s="162">
        <v>915.007</v>
      </c>
      <c r="BM46" s="162">
        <v>1413.866</v>
      </c>
      <c r="BN46" s="162">
        <v>472.219</v>
      </c>
      <c r="BO46" s="162">
        <v>1412.618</v>
      </c>
      <c r="BP46" s="162">
        <f>BP33+BP37</f>
        <v>2223.764472</v>
      </c>
      <c r="BQ46" s="162">
        <f>BQ33+BQ37</f>
        <v>3775.03535276932</v>
      </c>
      <c r="BR46" s="162">
        <f>BR33+BR37</f>
        <v>7917.7407468848</v>
      </c>
      <c r="BS46" s="162">
        <f>BS33+BS37</f>
        <v>11502.1098663817</v>
      </c>
      <c r="BT46" s="183"/>
    </row>
    <row r="47" ht="9.75" customHeight="1" spans="1:72">
      <c r="A47" s="78"/>
      <c r="B47" s="78"/>
      <c r="C47" s="95" t="s">
        <v>417</v>
      </c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>
        <f t="shared" ref="P47:AY47" si="154">P46/P10</f>
        <v>0.579526579078191</v>
      </c>
      <c r="Q47" s="154">
        <f t="shared" si="154"/>
        <v>0.471487472426637</v>
      </c>
      <c r="R47" s="154">
        <f t="shared" si="154"/>
        <v>0.607151694390172</v>
      </c>
      <c r="S47" s="154">
        <f t="shared" si="154"/>
        <v>0.604961646345514</v>
      </c>
      <c r="T47" s="154">
        <f t="shared" si="154"/>
        <v>0.557950348731341</v>
      </c>
      <c r="U47" s="154">
        <f t="shared" si="154"/>
        <v>0.587666471018115</v>
      </c>
      <c r="V47" s="154">
        <f t="shared" si="154"/>
        <v>0.82322880220647</v>
      </c>
      <c r="W47" s="154">
        <f t="shared" si="154"/>
        <v>0.752129573333218</v>
      </c>
      <c r="X47" s="154">
        <f t="shared" si="154"/>
        <v>0.510646679798351</v>
      </c>
      <c r="Y47" s="154">
        <f t="shared" si="154"/>
        <v>0.469358698900768</v>
      </c>
      <c r="Z47" s="154">
        <f t="shared" si="154"/>
        <v>0.227610560759612</v>
      </c>
      <c r="AA47" s="154">
        <f t="shared" si="154"/>
        <v>0.37653986656639</v>
      </c>
      <c r="AB47" s="154">
        <f t="shared" si="154"/>
        <v>0.395315312914042</v>
      </c>
      <c r="AC47" s="154">
        <f t="shared" si="154"/>
        <v>0.415307655678048</v>
      </c>
      <c r="AD47" s="154">
        <f t="shared" si="154"/>
        <v>0.321942583742094</v>
      </c>
      <c r="AE47" s="154">
        <f t="shared" si="154"/>
        <v>0.409966251006089</v>
      </c>
      <c r="AF47" s="154">
        <f t="shared" si="154"/>
        <v>0.0572881905379379</v>
      </c>
      <c r="AG47" s="154">
        <f t="shared" si="154"/>
        <v>0.140948024751618</v>
      </c>
      <c r="AH47" s="154">
        <f t="shared" si="154"/>
        <v>0.269570747217806</v>
      </c>
      <c r="AI47" s="154">
        <f t="shared" si="154"/>
        <v>0.283324918613885</v>
      </c>
      <c r="AJ47" s="154">
        <f t="shared" si="154"/>
        <v>0.326216017893208</v>
      </c>
      <c r="AK47" s="154">
        <f t="shared" si="154"/>
        <v>0.430281929256291</v>
      </c>
      <c r="AL47" s="154">
        <f t="shared" si="154"/>
        <v>0.443780274028251</v>
      </c>
      <c r="AM47" s="154">
        <f t="shared" si="154"/>
        <v>0.347286293316455</v>
      </c>
      <c r="AN47" s="154">
        <f t="shared" ref="AN47:AO47" si="155">AN46/AN10</f>
        <v>0.434279243566362</v>
      </c>
      <c r="AO47" s="154">
        <f t="shared" si="155"/>
        <v>0.464416221965397</v>
      </c>
      <c r="AP47" s="154">
        <f t="shared" si="154"/>
        <v>0.355839707041089</v>
      </c>
      <c r="AQ47" s="154">
        <f t="shared" ref="AQ47" si="156">AQ46/AQ10</f>
        <v>0.434279243566362</v>
      </c>
      <c r="AR47" s="154">
        <f t="shared" si="154"/>
        <v>0.600473876545644</v>
      </c>
      <c r="AS47" s="154">
        <f t="shared" si="154"/>
        <v>0.456106143585123</v>
      </c>
      <c r="AT47" s="154">
        <f t="shared" si="154"/>
        <v>0.474717211317724</v>
      </c>
      <c r="AU47" s="154">
        <f t="shared" si="154"/>
        <v>0.499088285035225</v>
      </c>
      <c r="AV47" s="154">
        <f t="shared" si="154"/>
        <v>0.54004004647078</v>
      </c>
      <c r="AW47" s="154">
        <f t="shared" si="154"/>
        <v>0.570023089946822</v>
      </c>
      <c r="AX47" s="154">
        <f t="shared" si="154"/>
        <v>0.575312950646404</v>
      </c>
      <c r="AY47" s="154">
        <f t="shared" si="154"/>
        <v>0.580328199092839</v>
      </c>
      <c r="AZ47" s="154">
        <f t="shared" ref="AZ47:BC47" si="157">AZ46/AZ10</f>
        <v>0.58426389767662</v>
      </c>
      <c r="BA47" s="154">
        <f t="shared" si="157"/>
        <v>0.589207176261952</v>
      </c>
      <c r="BB47" s="154">
        <f t="shared" si="157"/>
        <v>0.591172428066597</v>
      </c>
      <c r="BC47" s="154">
        <f t="shared" si="157"/>
        <v>0.593158640344573</v>
      </c>
      <c r="BD47" s="154"/>
      <c r="BE47" s="163"/>
      <c r="BF47" s="164"/>
      <c r="BG47" s="154">
        <f t="shared" ref="BG47:BR47" si="158">BG46/BG10</f>
        <v>0.117277455929084</v>
      </c>
      <c r="BH47" s="154">
        <f t="shared" si="158"/>
        <v>0.295206168560058</v>
      </c>
      <c r="BI47" s="154">
        <f t="shared" si="158"/>
        <v>0.44731618368688</v>
      </c>
      <c r="BJ47" s="154">
        <f t="shared" si="158"/>
        <v>0.563231447832955</v>
      </c>
      <c r="BK47" s="154">
        <f t="shared" si="158"/>
        <v>0.660561629614563</v>
      </c>
      <c r="BL47" s="155">
        <f t="shared" si="158"/>
        <v>0.35714321958051</v>
      </c>
      <c r="BM47" s="154">
        <f t="shared" si="158"/>
        <v>0.38501270880205</v>
      </c>
      <c r="BN47" s="154">
        <f t="shared" si="158"/>
        <v>0.206593669090683</v>
      </c>
      <c r="BO47" s="154">
        <f t="shared" si="158"/>
        <v>0.388198007590732</v>
      </c>
      <c r="BP47" s="154">
        <f t="shared" si="158"/>
        <v>0.421175690666676</v>
      </c>
      <c r="BQ47" s="154">
        <f t="shared" si="158"/>
        <v>0.502221183548796</v>
      </c>
      <c r="BR47" s="154">
        <f t="shared" si="158"/>
        <v>0.569004155596525</v>
      </c>
      <c r="BS47" s="154">
        <f t="shared" ref="BS47" si="159">BS46/BS10</f>
        <v>0.58967391534618</v>
      </c>
      <c r="BT47" s="78"/>
    </row>
    <row r="48" ht="8.25" customHeight="1" spans="1:72">
      <c r="A48" s="49"/>
      <c r="B48" s="49"/>
      <c r="C48" s="49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157"/>
      <c r="BF48" s="158"/>
      <c r="BG48" s="84"/>
      <c r="BH48" s="84"/>
      <c r="BI48" s="84"/>
      <c r="BJ48" s="84"/>
      <c r="BK48" s="159"/>
      <c r="BL48" s="160"/>
      <c r="BM48" s="159"/>
      <c r="BN48" s="159"/>
      <c r="BO48" s="159"/>
    </row>
    <row r="49" ht="9.75" customHeight="1" spans="1:86">
      <c r="A49" s="161" t="s">
        <v>436</v>
      </c>
      <c r="B49" s="161"/>
      <c r="C49" s="161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>
        <v>8.80388634</v>
      </c>
      <c r="Q49" s="145">
        <f>7.41977878-P49</f>
        <v>-1.38410756</v>
      </c>
      <c r="R49" s="145">
        <v>14.03</v>
      </c>
      <c r="S49" s="145">
        <f>+BJ49-SUM(P49:R49)</f>
        <v>24.43922122</v>
      </c>
      <c r="T49" s="145">
        <v>13.61694923</v>
      </c>
      <c r="U49" s="145">
        <f>24.05116747-T49</f>
        <v>10.43421824</v>
      </c>
      <c r="V49" s="145">
        <v>35.65677612</v>
      </c>
      <c r="W49" s="145">
        <f>100.92-SUM(T49:V49)</f>
        <v>41.21205641</v>
      </c>
      <c r="X49" s="145">
        <v>18.837</v>
      </c>
      <c r="Y49" s="145">
        <v>25.716</v>
      </c>
      <c r="Z49" s="145">
        <v>-6.984</v>
      </c>
      <c r="AA49" s="145">
        <v>48.301</v>
      </c>
      <c r="AB49" s="145">
        <v>49.852</v>
      </c>
      <c r="AC49" s="145">
        <v>51.626</v>
      </c>
      <c r="AD49" s="145">
        <v>-11.039</v>
      </c>
      <c r="AE49" s="145">
        <v>24.055</v>
      </c>
      <c r="AF49" s="145">
        <v>4.313</v>
      </c>
      <c r="AG49" s="145">
        <v>9.386</v>
      </c>
      <c r="AH49" s="145">
        <v>9.036</v>
      </c>
      <c r="AI49" s="145">
        <v>-1.664</v>
      </c>
      <c r="AJ49" s="145">
        <v>17.098</v>
      </c>
      <c r="AK49" s="145">
        <v>29.433</v>
      </c>
      <c r="AL49" s="145">
        <v>18.792</v>
      </c>
      <c r="AM49" s="145">
        <v>6.558</v>
      </c>
      <c r="AN49" s="145">
        <v>27.061</v>
      </c>
      <c r="AO49" s="145">
        <v>46.749</v>
      </c>
      <c r="AP49" s="145">
        <f>116.62-SUM(AN49:AO49)</f>
        <v>42.81</v>
      </c>
      <c r="AQ49" s="145">
        <f>116.62-SUM(AO49:AP49)</f>
        <v>27.061</v>
      </c>
      <c r="AR49" s="162">
        <v>47.398</v>
      </c>
      <c r="AS49" s="162">
        <f t="shared" ref="AS49:AY49" si="160">AS50*AS46</f>
        <v>57.7132292867348</v>
      </c>
      <c r="AT49" s="162">
        <f t="shared" si="160"/>
        <v>67.1037829787586</v>
      </c>
      <c r="AU49" s="162">
        <f t="shared" si="160"/>
        <v>81.8861680221645</v>
      </c>
      <c r="AV49" s="162">
        <f t="shared" si="160"/>
        <v>99.2274071593663</v>
      </c>
      <c r="AW49" s="162">
        <f t="shared" si="160"/>
        <v>137.716117093221</v>
      </c>
      <c r="AX49" s="162">
        <f t="shared" si="160"/>
        <v>154.551644907874</v>
      </c>
      <c r="AY49" s="162">
        <f t="shared" si="160"/>
        <v>173.26386901758</v>
      </c>
      <c r="AZ49" s="162">
        <f t="shared" ref="AZ49:BC49" si="161">AZ50*AZ46</f>
        <v>184.412510297747</v>
      </c>
      <c r="BA49" s="162">
        <f t="shared" si="161"/>
        <v>198.231575250808</v>
      </c>
      <c r="BB49" s="162">
        <f t="shared" si="161"/>
        <v>211.764627693799</v>
      </c>
      <c r="BC49" s="162">
        <f t="shared" si="161"/>
        <v>226.017303827187</v>
      </c>
      <c r="BD49" s="162"/>
      <c r="BE49" s="176"/>
      <c r="BF49" s="148"/>
      <c r="BG49" s="162">
        <v>6.288</v>
      </c>
      <c r="BH49" s="162">
        <v>15.454</v>
      </c>
      <c r="BI49" s="162">
        <v>49.354</v>
      </c>
      <c r="BJ49" s="162">
        <v>45.889</v>
      </c>
      <c r="BK49" s="162">
        <f>SUM(T49:W49)</f>
        <v>100.92</v>
      </c>
      <c r="BL49" s="162">
        <v>85.87</v>
      </c>
      <c r="BM49" s="162">
        <v>114.494</v>
      </c>
      <c r="BN49" s="162">
        <v>21.071</v>
      </c>
      <c r="BO49" s="162">
        <v>71.882</v>
      </c>
      <c r="BP49" s="149">
        <f>SUM(AN49:AQ49)</f>
        <v>143.681</v>
      </c>
      <c r="BQ49" s="149">
        <f>SUM(AR49:AU49)</f>
        <v>254.101180287658</v>
      </c>
      <c r="BR49" s="149">
        <f>SUM(AV49:AY49)</f>
        <v>564.759038178041</v>
      </c>
      <c r="BS49" s="149">
        <f>SUM(AZ49:BC49)</f>
        <v>820.426017069541</v>
      </c>
      <c r="BT49" s="53"/>
    </row>
    <row r="50" ht="9.75" customHeight="1" spans="1:86">
      <c r="A50" s="78"/>
      <c r="B50" s="78"/>
      <c r="C50" s="95" t="s">
        <v>437</v>
      </c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>
        <f t="shared" ref="P50:Y50" si="162">P49/P46</f>
        <v>0.0375361319139508</v>
      </c>
      <c r="Q50" s="150">
        <f t="shared" si="162"/>
        <v>-0.00618726452296016</v>
      </c>
      <c r="R50" s="150">
        <f t="shared" si="162"/>
        <v>0.0457430888159289</v>
      </c>
      <c r="S50" s="150">
        <f t="shared" si="162"/>
        <v>0.11431573883462</v>
      </c>
      <c r="T50" s="150">
        <f t="shared" si="162"/>
        <v>0.049228813974269</v>
      </c>
      <c r="U50" s="150">
        <f t="shared" si="162"/>
        <v>0.0298999950475766</v>
      </c>
      <c r="V50" s="150">
        <f t="shared" si="162"/>
        <v>0.114320989243495</v>
      </c>
      <c r="W50" s="150">
        <f t="shared" si="162"/>
        <v>0.154255710907649</v>
      </c>
      <c r="X50" s="150">
        <f t="shared" si="162"/>
        <v>0.123154673954261</v>
      </c>
      <c r="Y50" s="150">
        <f t="shared" si="162"/>
        <v>0.128937155921904</v>
      </c>
      <c r="Z50" s="150">
        <f t="shared" ref="Z50:AL50" si="163">Z49/Z46</f>
        <v>-0.0353407314074052</v>
      </c>
      <c r="AA50" s="150">
        <f t="shared" si="163"/>
        <v>0.132335857617237</v>
      </c>
      <c r="AB50" s="150">
        <f t="shared" si="163"/>
        <v>0.140052984820944</v>
      </c>
      <c r="AC50" s="150">
        <f t="shared" si="163"/>
        <v>0.12105026214348</v>
      </c>
      <c r="AD50" s="150">
        <f t="shared" si="163"/>
        <v>-0.035961168843861</v>
      </c>
      <c r="AE50" s="150">
        <f t="shared" si="163"/>
        <v>0.074138568698761</v>
      </c>
      <c r="AF50" s="150">
        <f t="shared" si="163"/>
        <v>0.1794541066822</v>
      </c>
      <c r="AG50" s="150">
        <f t="shared" si="163"/>
        <v>0.131063758482978</v>
      </c>
      <c r="AH50" s="150">
        <f t="shared" si="163"/>
        <v>0.0560956531456029</v>
      </c>
      <c r="AI50" s="150">
        <f t="shared" si="163"/>
        <v>-0.0077219718871961</v>
      </c>
      <c r="AJ50" s="150">
        <f t="shared" si="163"/>
        <v>0.0710914859026972</v>
      </c>
      <c r="AK50" s="150">
        <f t="shared" si="163"/>
        <v>0.0737338387039398</v>
      </c>
      <c r="AL50" s="150">
        <f t="shared" si="163"/>
        <v>0.0467442919080536</v>
      </c>
      <c r="AM50" s="150">
        <f t="shared" ref="AM50:AN50" si="164">AM49/AM46</f>
        <v>0.0176805530093067</v>
      </c>
      <c r="AN50" s="150">
        <f t="shared" si="164"/>
        <v>0.0509834583066431</v>
      </c>
      <c r="AO50" s="150">
        <f t="shared" ref="AO50" si="165">AO49/AO46</f>
        <v>0.0713283064238045</v>
      </c>
      <c r="AP50" s="150">
        <f t="shared" ref="AP50:AQ50" si="166">AO50</f>
        <v>0.0713283064238045</v>
      </c>
      <c r="AQ50" s="150">
        <f t="shared" si="166"/>
        <v>0.0713283064238045</v>
      </c>
      <c r="AR50" s="184">
        <f t="shared" ref="AR50:AY50" si="167">AQ50</f>
        <v>0.0713283064238045</v>
      </c>
      <c r="AS50" s="184">
        <f t="shared" si="167"/>
        <v>0.0713283064238045</v>
      </c>
      <c r="AT50" s="184">
        <f t="shared" si="167"/>
        <v>0.0713283064238045</v>
      </c>
      <c r="AU50" s="184">
        <f t="shared" si="167"/>
        <v>0.0713283064238045</v>
      </c>
      <c r="AV50" s="184">
        <f t="shared" si="167"/>
        <v>0.0713283064238045</v>
      </c>
      <c r="AW50" s="184">
        <f t="shared" si="167"/>
        <v>0.0713283064238045</v>
      </c>
      <c r="AX50" s="184">
        <f t="shared" si="167"/>
        <v>0.0713283064238045</v>
      </c>
      <c r="AY50" s="184">
        <f t="shared" si="167"/>
        <v>0.0713283064238045</v>
      </c>
      <c r="AZ50" s="184">
        <f t="shared" ref="AZ50" si="168">AY50</f>
        <v>0.0713283064238045</v>
      </c>
      <c r="BA50" s="184">
        <f t="shared" ref="BA50" si="169">AZ50</f>
        <v>0.0713283064238045</v>
      </c>
      <c r="BB50" s="184">
        <f t="shared" ref="BB50" si="170">BA50</f>
        <v>0.0713283064238045</v>
      </c>
      <c r="BC50" s="184">
        <f t="shared" ref="BC50" si="171">BB50</f>
        <v>0.0713283064238045</v>
      </c>
      <c r="BD50" s="184"/>
      <c r="BE50" s="152"/>
      <c r="BF50" s="164"/>
      <c r="BG50" s="154">
        <f t="shared" ref="BG50:BS50" si="172">BG49/BG46</f>
        <v>0.0634555417637976</v>
      </c>
      <c r="BH50" s="154">
        <f t="shared" si="172"/>
        <v>0.0426470182410244</v>
      </c>
      <c r="BI50" s="154">
        <f t="shared" si="172"/>
        <v>0.0627728202362661</v>
      </c>
      <c r="BJ50" s="154">
        <f t="shared" si="172"/>
        <v>0.0468854566093178</v>
      </c>
      <c r="BK50" s="150">
        <f t="shared" si="172"/>
        <v>0.0837758230869986</v>
      </c>
      <c r="BL50" s="150">
        <f t="shared" si="172"/>
        <v>0.0938462765858622</v>
      </c>
      <c r="BM50" s="150">
        <f t="shared" si="172"/>
        <v>0.080979385599484</v>
      </c>
      <c r="BN50" s="150">
        <f t="shared" si="172"/>
        <v>0.0446212456508527</v>
      </c>
      <c r="BO50" s="150">
        <f t="shared" ref="BO50" si="173">BO49/BO46</f>
        <v>0.0508856605253508</v>
      </c>
      <c r="BP50" s="150">
        <f t="shared" si="172"/>
        <v>0.0646116087423489</v>
      </c>
      <c r="BQ50" s="150">
        <f t="shared" si="172"/>
        <v>0.0673109405720539</v>
      </c>
      <c r="BR50" s="150">
        <f t="shared" si="172"/>
        <v>0.0713283064238045</v>
      </c>
      <c r="BS50" s="150">
        <f t="shared" si="172"/>
        <v>0.0713283064238045</v>
      </c>
      <c r="BT50" s="78"/>
    </row>
    <row r="51" ht="4.5" customHeight="1" spans="1:86">
      <c r="A51" s="49"/>
      <c r="B51" s="49"/>
      <c r="C51" s="49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157"/>
      <c r="BF51" s="158"/>
      <c r="BG51" s="84"/>
      <c r="BH51" s="84"/>
      <c r="BI51" s="84"/>
      <c r="BJ51" s="84"/>
      <c r="BK51" s="159"/>
      <c r="BL51" s="159"/>
      <c r="BM51" s="159"/>
      <c r="BN51" s="159"/>
      <c r="BO51" s="159"/>
    </row>
    <row r="52" ht="9.75" customHeight="1" spans="1:86">
      <c r="A52" s="161" t="s">
        <v>438</v>
      </c>
      <c r="B52" s="161"/>
      <c r="C52" s="161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>
        <f>P46-P49</f>
        <v>225.74042846</v>
      </c>
      <c r="Q52" s="145">
        <f>Q46-Q49</f>
        <v>225.0867721</v>
      </c>
      <c r="R52" s="145">
        <f t="shared" ref="R52:Y52" si="174">R46-R49</f>
        <v>292.683</v>
      </c>
      <c r="S52" s="145">
        <f t="shared" si="174"/>
        <v>189.34779944</v>
      </c>
      <c r="T52" s="145">
        <f t="shared" si="174"/>
        <v>262.9883177</v>
      </c>
      <c r="U52" s="145">
        <f t="shared" si="174"/>
        <v>338.53634926</v>
      </c>
      <c r="V52" s="145">
        <f t="shared" si="174"/>
        <v>276.243745</v>
      </c>
      <c r="W52" s="145">
        <f t="shared" si="174"/>
        <v>225.95507904</v>
      </c>
      <c r="X52" s="145">
        <f t="shared" si="174"/>
        <v>134.117</v>
      </c>
      <c r="Y52" s="145">
        <f t="shared" si="174"/>
        <v>173.73</v>
      </c>
      <c r="Z52" s="145">
        <f t="shared" ref="Z52:AP52" si="175">Z46-Z49</f>
        <v>204.603</v>
      </c>
      <c r="AA52" s="145">
        <f t="shared" si="175"/>
        <v>316.687</v>
      </c>
      <c r="AB52" s="145">
        <f t="shared" si="175"/>
        <v>306.099</v>
      </c>
      <c r="AC52" s="145">
        <f t="shared" si="175"/>
        <v>374.858</v>
      </c>
      <c r="AD52" s="145">
        <f t="shared" si="175"/>
        <v>318.009</v>
      </c>
      <c r="AE52" s="145">
        <f t="shared" si="175"/>
        <v>300.405</v>
      </c>
      <c r="AF52" s="145">
        <f t="shared" si="175"/>
        <v>19.721</v>
      </c>
      <c r="AG52" s="145">
        <f t="shared" si="175"/>
        <v>62.228</v>
      </c>
      <c r="AH52" s="145">
        <f t="shared" si="175"/>
        <v>152.046</v>
      </c>
      <c r="AI52" s="145">
        <f t="shared" si="175"/>
        <v>217.153</v>
      </c>
      <c r="AJ52" s="145">
        <f t="shared" si="175"/>
        <v>223.409</v>
      </c>
      <c r="AK52" s="145">
        <f t="shared" si="175"/>
        <v>369.746</v>
      </c>
      <c r="AL52" s="145">
        <f t="shared" si="175"/>
        <v>383.225</v>
      </c>
      <c r="AM52" s="145">
        <f t="shared" ref="AM52:AN52" si="176">AM46-AM49</f>
        <v>364.358</v>
      </c>
      <c r="AN52" s="145">
        <f t="shared" si="176"/>
        <v>503.719</v>
      </c>
      <c r="AO52" s="145">
        <f t="shared" ref="AO52" si="177">AO46-AO49</f>
        <v>608.657</v>
      </c>
      <c r="AP52" s="145">
        <f t="shared" si="175"/>
        <v>463.988472</v>
      </c>
      <c r="AQ52" s="145">
        <f t="shared" ref="AQ52" si="178">AQ46-AQ49</f>
        <v>503.719</v>
      </c>
      <c r="AR52" s="146">
        <f t="shared" ref="AR52:AY52" si="179">AR46-AR49</f>
        <v>829.725</v>
      </c>
      <c r="AS52" s="146">
        <f t="shared" si="179"/>
        <v>751.407751994185</v>
      </c>
      <c r="AT52" s="146">
        <f t="shared" si="179"/>
        <v>873.669752005439</v>
      </c>
      <c r="AU52" s="146">
        <f t="shared" si="179"/>
        <v>1066.13166848203</v>
      </c>
      <c r="AV52" s="146">
        <f t="shared" si="179"/>
        <v>1291.9090453143</v>
      </c>
      <c r="AW52" s="146">
        <f t="shared" si="179"/>
        <v>1793.01971553634</v>
      </c>
      <c r="AX52" s="146">
        <f t="shared" si="179"/>
        <v>2012.21289299647</v>
      </c>
      <c r="AY52" s="146">
        <f t="shared" si="179"/>
        <v>2255.84005485964</v>
      </c>
      <c r="AZ52" s="146">
        <f t="shared" ref="AZ52:BC52" si="180">AZ46-AZ49</f>
        <v>2400.99179191632</v>
      </c>
      <c r="BA52" s="146">
        <f t="shared" si="180"/>
        <v>2580.91158949777</v>
      </c>
      <c r="BB52" s="146">
        <f t="shared" si="180"/>
        <v>2757.10759584642</v>
      </c>
      <c r="BC52" s="146">
        <f t="shared" si="180"/>
        <v>2942.67287205168</v>
      </c>
      <c r="BD52" s="146"/>
      <c r="BE52" s="147"/>
      <c r="BF52" s="148"/>
      <c r="BG52" s="145">
        <f>+BG46-BG49</f>
        <v>92.805</v>
      </c>
      <c r="BH52" s="145">
        <f>+BH46-BH49</f>
        <v>346.916</v>
      </c>
      <c r="BI52" s="145">
        <f>+BI46-BI49</f>
        <v>736.878</v>
      </c>
      <c r="BJ52" s="145">
        <f t="shared" ref="BJ52:BN52" si="181">BJ46-BJ49</f>
        <v>932.858</v>
      </c>
      <c r="BK52" s="145">
        <f t="shared" si="181"/>
        <v>1103.72349118</v>
      </c>
      <c r="BL52" s="145">
        <f t="shared" si="181"/>
        <v>829.137</v>
      </c>
      <c r="BM52" s="145">
        <f t="shared" si="181"/>
        <v>1299.372</v>
      </c>
      <c r="BN52" s="145">
        <f t="shared" si="181"/>
        <v>451.148</v>
      </c>
      <c r="BO52" s="145">
        <f t="shared" ref="BO52:BS52" si="182">BO46-BO49</f>
        <v>1340.736</v>
      </c>
      <c r="BP52" s="162">
        <f t="shared" si="182"/>
        <v>2080.083472</v>
      </c>
      <c r="BQ52" s="162">
        <f t="shared" si="182"/>
        <v>3520.93417248166</v>
      </c>
      <c r="BR52" s="162">
        <f t="shared" si="182"/>
        <v>7352.98170870675</v>
      </c>
      <c r="BS52" s="162">
        <f t="shared" si="182"/>
        <v>10681.6838493122</v>
      </c>
      <c r="BT52" s="53"/>
    </row>
    <row r="53" ht="9.75" customHeight="1" spans="1:86">
      <c r="A53" s="78"/>
      <c r="B53" s="78"/>
      <c r="C53" s="95" t="s">
        <v>417</v>
      </c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>
        <f t="shared" ref="P53:AY53" si="183">P52/P10</f>
        <v>0.557773392958271</v>
      </c>
      <c r="Q53" s="154">
        <f t="shared" si="183"/>
        <v>0.474404690137803</v>
      </c>
      <c r="R53" s="154">
        <f t="shared" si="183"/>
        <v>0.579378700508941</v>
      </c>
      <c r="S53" s="154">
        <f t="shared" si="183"/>
        <v>0.535805008776919</v>
      </c>
      <c r="T53" s="154">
        <f t="shared" si="183"/>
        <v>0.530483114806767</v>
      </c>
      <c r="U53" s="154">
        <f t="shared" si="183"/>
        <v>0.570095246445046</v>
      </c>
      <c r="V53" s="154">
        <f t="shared" si="183"/>
        <v>0.729116471164489</v>
      </c>
      <c r="W53" s="154">
        <f t="shared" si="183"/>
        <v>0.636109291304036</v>
      </c>
      <c r="X53" s="154">
        <f t="shared" si="183"/>
        <v>0.447758154441959</v>
      </c>
      <c r="Y53" s="154">
        <f t="shared" si="183"/>
        <v>0.408840923157298</v>
      </c>
      <c r="Z53" s="154">
        <f t="shared" si="183"/>
        <v>0.235654484452906</v>
      </c>
      <c r="AA53" s="154">
        <f t="shared" si="183"/>
        <v>0.326710140397247</v>
      </c>
      <c r="AB53" s="154">
        <f t="shared" si="183"/>
        <v>0.339950223395004</v>
      </c>
      <c r="AC53" s="154">
        <f t="shared" si="183"/>
        <v>0.365034555088026</v>
      </c>
      <c r="AD53" s="154">
        <f t="shared" si="183"/>
        <v>0.333520015354072</v>
      </c>
      <c r="AE53" s="154">
        <f t="shared" si="183"/>
        <v>0.3795719399417</v>
      </c>
      <c r="AF53" s="154">
        <f t="shared" si="183"/>
        <v>0.0470075894815126</v>
      </c>
      <c r="AG53" s="154">
        <f t="shared" si="183"/>
        <v>0.122474846876919</v>
      </c>
      <c r="AH53" s="154">
        <f t="shared" si="183"/>
        <v>0.254449000083675</v>
      </c>
      <c r="AI53" s="154">
        <f t="shared" si="183"/>
        <v>0.285512745670364</v>
      </c>
      <c r="AJ53" s="154">
        <f t="shared" si="183"/>
        <v>0.303024836455919</v>
      </c>
      <c r="AK53" s="154">
        <f t="shared" si="183"/>
        <v>0.398555590887288</v>
      </c>
      <c r="AL53" s="154">
        <f t="shared" si="183"/>
        <v>0.423036079356038</v>
      </c>
      <c r="AM53" s="154">
        <f t="shared" si="183"/>
        <v>0.341146079598068</v>
      </c>
      <c r="AN53" s="154">
        <f t="shared" ref="AN53:AO53" si="184">AN52/AN10</f>
        <v>0.412138185858556</v>
      </c>
      <c r="AO53" s="154">
        <f t="shared" si="184"/>
        <v>0.431290199376863</v>
      </c>
      <c r="AP53" s="154">
        <f t="shared" si="183"/>
        <v>0.325781412274902</v>
      </c>
      <c r="AQ53" s="154">
        <f t="shared" ref="AQ53" si="185">AQ52/AQ10</f>
        <v>0.412138185858556</v>
      </c>
      <c r="AR53" s="154">
        <f t="shared" si="183"/>
        <v>0.568025450497632</v>
      </c>
      <c r="AS53" s="154">
        <f t="shared" si="183"/>
        <v>0.423572864813704</v>
      </c>
      <c r="AT53" s="154">
        <f t="shared" si="183"/>
        <v>0.440856436604199</v>
      </c>
      <c r="AU53" s="154">
        <f t="shared" si="183"/>
        <v>0.463489162907701</v>
      </c>
      <c r="AV53" s="154">
        <f t="shared" si="183"/>
        <v>0.501519904554986</v>
      </c>
      <c r="AW53" s="154">
        <f t="shared" si="183"/>
        <v>0.529364308318451</v>
      </c>
      <c r="AX53" s="154">
        <f t="shared" si="183"/>
        <v>0.534276852213114</v>
      </c>
      <c r="AY53" s="154">
        <f t="shared" si="183"/>
        <v>0.53893437148157</v>
      </c>
      <c r="AZ53" s="154">
        <f t="shared" ref="AZ53:BC53" si="186">AZ52/AZ10</f>
        <v>0.542589343350775</v>
      </c>
      <c r="BA53" s="154">
        <f t="shared" si="186"/>
        <v>0.547180026246435</v>
      </c>
      <c r="BB53" s="154">
        <f t="shared" si="186"/>
        <v>0.549005099968158</v>
      </c>
      <c r="BC53" s="154">
        <f t="shared" si="186"/>
        <v>0.550849639088148</v>
      </c>
      <c r="BD53" s="154"/>
      <c r="BE53" s="163"/>
      <c r="BF53" s="164"/>
      <c r="BG53" s="154"/>
      <c r="BH53" s="154"/>
      <c r="BI53" s="154"/>
      <c r="BJ53" s="154">
        <f t="shared" ref="BJ53:BL53" si="187">BJ52/BJ10</f>
        <v>0.53682408422458</v>
      </c>
      <c r="BK53" s="154">
        <f t="shared" si="187"/>
        <v>0.605222535393914</v>
      </c>
      <c r="BL53" s="154">
        <f t="shared" si="187"/>
        <v>0.323626658214992</v>
      </c>
      <c r="BM53" s="154">
        <f t="shared" ref="BM53:BO53" si="188">BM52/BM$10</f>
        <v>0.353834616195267</v>
      </c>
      <c r="BN53" s="154">
        <f t="shared" si="188"/>
        <v>0.197375202232277</v>
      </c>
      <c r="BO53" s="154">
        <f t="shared" si="188"/>
        <v>0.368444295559853</v>
      </c>
      <c r="BP53" s="154">
        <f t="shared" ref="BP53:BR53" si="189">BP52/BP$10</f>
        <v>0.393962851729532</v>
      </c>
      <c r="BQ53" s="154">
        <f t="shared" si="189"/>
        <v>0.468416203308917</v>
      </c>
      <c r="BR53" s="154">
        <f t="shared" si="189"/>
        <v>0.528418052829718</v>
      </c>
      <c r="BS53" s="154">
        <f t="shared" ref="BS53" si="190">BS52/BS$10</f>
        <v>0.547613473622243</v>
      </c>
      <c r="BT53" s="78"/>
    </row>
    <row r="54" ht="4.5" customHeight="1" spans="1:86">
      <c r="A54" s="49"/>
      <c r="B54" s="49"/>
      <c r="C54" s="49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157"/>
      <c r="BF54" s="158"/>
      <c r="BG54" s="84"/>
      <c r="BH54" s="84"/>
      <c r="BI54" s="84"/>
      <c r="BJ54" s="84"/>
      <c r="BK54" s="159"/>
      <c r="BL54" s="159"/>
      <c r="BM54" s="159"/>
      <c r="BN54" s="159"/>
      <c r="BO54" s="159"/>
    </row>
    <row r="55" ht="9.75" customHeight="1" outlineLevel="1" spans="1:86">
      <c r="A55" s="83" t="s">
        <v>439</v>
      </c>
      <c r="B55" s="83"/>
      <c r="C55" s="83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>
        <v>0</v>
      </c>
      <c r="Q55" s="145">
        <v>0</v>
      </c>
      <c r="R55" s="145">
        <v>0</v>
      </c>
      <c r="S55" s="145">
        <f>R55</f>
        <v>0</v>
      </c>
      <c r="T55" s="145">
        <f>S55</f>
        <v>0</v>
      </c>
      <c r="U55" s="145">
        <f>T55</f>
        <v>0</v>
      </c>
      <c r="V55" s="145">
        <v>0</v>
      </c>
      <c r="W55" s="145">
        <v>0</v>
      </c>
      <c r="X55" s="145">
        <v>0</v>
      </c>
      <c r="Y55" s="145">
        <v>0</v>
      </c>
      <c r="Z55" s="145">
        <v>0</v>
      </c>
      <c r="AA55" s="145">
        <v>0</v>
      </c>
      <c r="AB55" s="145">
        <v>0</v>
      </c>
      <c r="AC55" s="145">
        <v>0.001</v>
      </c>
      <c r="AD55" s="145">
        <v>0.01</v>
      </c>
      <c r="AE55" s="145">
        <v>-0.017</v>
      </c>
      <c r="AF55" s="145">
        <v>0</v>
      </c>
      <c r="AG55" s="145">
        <v>0.093</v>
      </c>
      <c r="AH55" s="145">
        <v>0.144</v>
      </c>
      <c r="AI55" s="145">
        <v>0</v>
      </c>
      <c r="AJ55" s="145">
        <v>0</v>
      </c>
      <c r="AK55" s="145">
        <v>0</v>
      </c>
      <c r="AL55" s="145">
        <v>-1.699</v>
      </c>
      <c r="AM55" s="145">
        <v>-69.344</v>
      </c>
      <c r="AN55" s="145">
        <v>-21.607</v>
      </c>
      <c r="AO55" s="145">
        <v>-25.087</v>
      </c>
      <c r="AP55" s="145">
        <f>-55.919487-SUM(AN55:AO55)</f>
        <v>-9.22548699999999</v>
      </c>
      <c r="AQ55" s="145">
        <f>-55.919487-SUM(AO55:AP55)</f>
        <v>-21.607</v>
      </c>
      <c r="AR55" s="146">
        <v>-17.65</v>
      </c>
      <c r="AS55" s="146">
        <f t="shared" ref="AS55:AY55" si="191">AR55</f>
        <v>-17.65</v>
      </c>
      <c r="AT55" s="146">
        <f t="shared" si="191"/>
        <v>-17.65</v>
      </c>
      <c r="AU55" s="146">
        <f t="shared" si="191"/>
        <v>-17.65</v>
      </c>
      <c r="AV55" s="146">
        <f t="shared" si="191"/>
        <v>-17.65</v>
      </c>
      <c r="AW55" s="146">
        <f t="shared" si="191"/>
        <v>-17.65</v>
      </c>
      <c r="AX55" s="146">
        <f t="shared" si="191"/>
        <v>-17.65</v>
      </c>
      <c r="AY55" s="146">
        <f t="shared" si="191"/>
        <v>-17.65</v>
      </c>
      <c r="AZ55" s="146">
        <f t="shared" ref="AZ55" si="192">AY55</f>
        <v>-17.65</v>
      </c>
      <c r="BA55" s="146">
        <f t="shared" ref="BA55" si="193">AZ55</f>
        <v>-17.65</v>
      </c>
      <c r="BB55" s="146">
        <f t="shared" ref="BB55" si="194">BA55</f>
        <v>-17.65</v>
      </c>
      <c r="BC55" s="146">
        <f t="shared" ref="BC55" si="195">BB55</f>
        <v>-17.65</v>
      </c>
      <c r="BD55" s="146"/>
      <c r="BE55" s="147"/>
      <c r="BF55" s="148"/>
      <c r="BG55" s="162">
        <f>+BG57-BG52</f>
        <v>-0.00100000000000477</v>
      </c>
      <c r="BH55" s="162">
        <f>+BH57-BH52</f>
        <v>0</v>
      </c>
      <c r="BI55" s="162">
        <f>+BI57-BI52</f>
        <v>0</v>
      </c>
      <c r="BJ55" s="162">
        <f>SUM(P55:S55)</f>
        <v>0</v>
      </c>
      <c r="BK55" s="162">
        <f>SUM(T55:W55)</f>
        <v>0</v>
      </c>
      <c r="BL55" s="162">
        <f>SUM(X55:AA55)</f>
        <v>0</v>
      </c>
      <c r="BM55" s="162">
        <f>SUM(AB55:AE55)</f>
        <v>-0.006</v>
      </c>
      <c r="BN55" s="162">
        <f>SUM(AF55:AI55)</f>
        <v>0.237</v>
      </c>
      <c r="BO55" s="185">
        <f>SUM(AJ55:AM55)</f>
        <v>-71.043</v>
      </c>
      <c r="BP55" s="149">
        <f>SUM(AN55:AQ55)</f>
        <v>-77.526487</v>
      </c>
      <c r="BQ55" s="149">
        <f>SUM(AR55:AU55)</f>
        <v>-70.6</v>
      </c>
      <c r="BR55" s="149">
        <f>SUM(AV55:AY55)</f>
        <v>-70.6</v>
      </c>
      <c r="BS55" s="149">
        <f>SUM(AZ55:BC55)</f>
        <v>-70.6</v>
      </c>
      <c r="BT55" s="53"/>
      <c r="CB55" s="186"/>
      <c r="CC55" s="187"/>
    </row>
    <row r="56" ht="4.5" customHeight="1" outlineLevel="1" spans="1:86">
      <c r="A56" s="49"/>
      <c r="B56" s="49"/>
      <c r="C56" s="49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157"/>
      <c r="BF56" s="158"/>
      <c r="BG56" s="84"/>
      <c r="BH56" s="84"/>
      <c r="BI56" s="84"/>
      <c r="BJ56" s="84"/>
      <c r="BK56" s="159"/>
      <c r="BL56" s="159"/>
      <c r="BM56" s="159"/>
      <c r="BN56" s="159"/>
      <c r="BO56" s="159"/>
    </row>
    <row r="57" ht="9.75" customHeight="1" spans="1:86">
      <c r="A57" s="188" t="s">
        <v>440</v>
      </c>
      <c r="B57" s="188"/>
      <c r="C57" s="188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>
        <f>+P52+P55</f>
        <v>225.74042846</v>
      </c>
      <c r="Q57" s="145">
        <f>Q52+Q55</f>
        <v>225.0867721</v>
      </c>
      <c r="R57" s="145">
        <v>292.683</v>
      </c>
      <c r="S57" s="145">
        <f t="shared" ref="S57:AH57" si="196">S52+S55</f>
        <v>189.34779944</v>
      </c>
      <c r="T57" s="145">
        <f t="shared" si="196"/>
        <v>262.9883177</v>
      </c>
      <c r="U57" s="145">
        <f t="shared" si="196"/>
        <v>338.53634926</v>
      </c>
      <c r="V57" s="145">
        <f t="shared" si="196"/>
        <v>276.243745</v>
      </c>
      <c r="W57" s="145">
        <f t="shared" si="196"/>
        <v>225.95507904</v>
      </c>
      <c r="X57" s="145">
        <f t="shared" si="196"/>
        <v>134.117</v>
      </c>
      <c r="Y57" s="145">
        <f t="shared" si="196"/>
        <v>173.73</v>
      </c>
      <c r="Z57" s="145">
        <f t="shared" si="196"/>
        <v>204.603</v>
      </c>
      <c r="AA57" s="145">
        <f t="shared" si="196"/>
        <v>316.687</v>
      </c>
      <c r="AB57" s="145">
        <f t="shared" si="196"/>
        <v>306.099</v>
      </c>
      <c r="AC57" s="145">
        <f t="shared" si="196"/>
        <v>374.859</v>
      </c>
      <c r="AD57" s="145">
        <f t="shared" si="196"/>
        <v>318.019</v>
      </c>
      <c r="AE57" s="145">
        <f t="shared" si="196"/>
        <v>300.388</v>
      </c>
      <c r="AF57" s="145">
        <f t="shared" si="196"/>
        <v>19.721</v>
      </c>
      <c r="AG57" s="145">
        <f t="shared" si="196"/>
        <v>62.321</v>
      </c>
      <c r="AH57" s="145">
        <f t="shared" si="196"/>
        <v>152.19</v>
      </c>
      <c r="AI57" s="145">
        <f t="shared" ref="AI57:AO57" si="197">AI52-AI55</f>
        <v>217.153</v>
      </c>
      <c r="AJ57" s="145">
        <f t="shared" si="197"/>
        <v>223.409</v>
      </c>
      <c r="AK57" s="145">
        <f t="shared" si="197"/>
        <v>369.746</v>
      </c>
      <c r="AL57" s="145">
        <f t="shared" si="197"/>
        <v>384.924</v>
      </c>
      <c r="AM57" s="145">
        <f t="shared" si="197"/>
        <v>433.702</v>
      </c>
      <c r="AN57" s="145">
        <f t="shared" si="197"/>
        <v>525.326</v>
      </c>
      <c r="AO57" s="145">
        <f t="shared" si="197"/>
        <v>633.744</v>
      </c>
      <c r="AP57" s="145">
        <f t="shared" ref="AP57:AY57" si="198">AP52-AP55</f>
        <v>473.213959</v>
      </c>
      <c r="AQ57" s="145">
        <f t="shared" ref="AQ57" si="199">AQ52-AQ55</f>
        <v>525.326</v>
      </c>
      <c r="AR57" s="189">
        <f t="shared" si="198"/>
        <v>847.375</v>
      </c>
      <c r="AS57" s="189">
        <f t="shared" si="198"/>
        <v>769.057751994185</v>
      </c>
      <c r="AT57" s="189">
        <f t="shared" si="198"/>
        <v>891.319752005439</v>
      </c>
      <c r="AU57" s="189">
        <f t="shared" si="198"/>
        <v>1083.78166848203</v>
      </c>
      <c r="AV57" s="189">
        <f t="shared" si="198"/>
        <v>1309.5590453143</v>
      </c>
      <c r="AW57" s="189">
        <f t="shared" si="198"/>
        <v>1810.66971553634</v>
      </c>
      <c r="AX57" s="189">
        <f t="shared" si="198"/>
        <v>2029.86289299647</v>
      </c>
      <c r="AY57" s="189">
        <f t="shared" si="198"/>
        <v>2273.49005485964</v>
      </c>
      <c r="AZ57" s="189">
        <f t="shared" ref="AZ57:BC57" si="200">AZ52-AZ55</f>
        <v>2418.64179191632</v>
      </c>
      <c r="BA57" s="189">
        <f t="shared" si="200"/>
        <v>2598.56158949777</v>
      </c>
      <c r="BB57" s="189">
        <f t="shared" si="200"/>
        <v>2774.75759584642</v>
      </c>
      <c r="BC57" s="189">
        <f t="shared" si="200"/>
        <v>2960.32287205168</v>
      </c>
      <c r="BD57" s="189"/>
      <c r="BE57" s="190"/>
      <c r="BF57" s="191"/>
      <c r="BG57" s="145">
        <v>92.804</v>
      </c>
      <c r="BH57" s="145">
        <v>346.916</v>
      </c>
      <c r="BI57" s="145">
        <v>736.878</v>
      </c>
      <c r="BJ57" s="145">
        <v>932.858</v>
      </c>
      <c r="BK57" s="145">
        <f>BK52-BK55</f>
        <v>1103.72349118</v>
      </c>
      <c r="BL57" s="145">
        <v>829.138</v>
      </c>
      <c r="BM57" s="145">
        <v>1299.378</v>
      </c>
      <c r="BN57" s="145">
        <v>450.91</v>
      </c>
      <c r="BO57" s="145">
        <v>1411.779</v>
      </c>
      <c r="BP57" s="151">
        <f>BP52-BP55</f>
        <v>2157.609959</v>
      </c>
      <c r="BQ57" s="151">
        <f t="shared" ref="BQ57:BR57" si="201">BQ52-BQ55</f>
        <v>3591.53417248166</v>
      </c>
      <c r="BR57" s="151">
        <f t="shared" si="201"/>
        <v>7423.58170870676</v>
      </c>
      <c r="BS57" s="151">
        <f t="shared" ref="BS57" si="202">BS52-BS55</f>
        <v>10752.2838493122</v>
      </c>
      <c r="BT57" s="150">
        <f>+(BS57/BQ57)^(1/2)-1</f>
        <v>0.730255980030524</v>
      </c>
      <c r="CB57" s="167"/>
      <c r="CD57" s="151"/>
      <c r="CE57" s="151"/>
      <c r="CF57" s="151"/>
    </row>
    <row r="58" ht="9.75" customHeight="1" spans="1:86">
      <c r="A58" s="192"/>
      <c r="B58" s="192"/>
      <c r="C58" s="193" t="s">
        <v>417</v>
      </c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>
        <f t="shared" ref="P58:AY58" si="203">P57/P10</f>
        <v>0.557773392958271</v>
      </c>
      <c r="Q58" s="154">
        <f t="shared" si="203"/>
        <v>0.474404690137803</v>
      </c>
      <c r="R58" s="154">
        <f t="shared" si="203"/>
        <v>0.579378700508941</v>
      </c>
      <c r="S58" s="154">
        <f t="shared" si="203"/>
        <v>0.535805008776919</v>
      </c>
      <c r="T58" s="154">
        <f t="shared" si="203"/>
        <v>0.530483114806767</v>
      </c>
      <c r="U58" s="154">
        <f t="shared" si="203"/>
        <v>0.570095246445046</v>
      </c>
      <c r="V58" s="154">
        <f t="shared" si="203"/>
        <v>0.729116471164489</v>
      </c>
      <c r="W58" s="154">
        <f t="shared" si="203"/>
        <v>0.636109291304036</v>
      </c>
      <c r="X58" s="154">
        <f t="shared" si="203"/>
        <v>0.447758154441959</v>
      </c>
      <c r="Y58" s="154">
        <f t="shared" si="203"/>
        <v>0.408840923157298</v>
      </c>
      <c r="Z58" s="154">
        <f t="shared" si="203"/>
        <v>0.235654484452906</v>
      </c>
      <c r="AA58" s="154">
        <f t="shared" si="203"/>
        <v>0.326710140397247</v>
      </c>
      <c r="AB58" s="154">
        <f t="shared" si="203"/>
        <v>0.339950223395004</v>
      </c>
      <c r="AC58" s="154">
        <f t="shared" si="203"/>
        <v>0.36503552888225</v>
      </c>
      <c r="AD58" s="154">
        <f t="shared" si="203"/>
        <v>0.333530503108046</v>
      </c>
      <c r="AE58" s="154">
        <f t="shared" si="203"/>
        <v>0.37955045986321</v>
      </c>
      <c r="AF58" s="154">
        <f t="shared" si="203"/>
        <v>0.0470075894815126</v>
      </c>
      <c r="AG58" s="154">
        <f t="shared" si="203"/>
        <v>0.12265788603549</v>
      </c>
      <c r="AH58" s="154">
        <f t="shared" si="203"/>
        <v>0.254689984101749</v>
      </c>
      <c r="AI58" s="154">
        <f t="shared" si="203"/>
        <v>0.285512745670364</v>
      </c>
      <c r="AJ58" s="154">
        <f t="shared" si="203"/>
        <v>0.303024836455919</v>
      </c>
      <c r="AK58" s="154">
        <f t="shared" si="203"/>
        <v>0.398555590887288</v>
      </c>
      <c r="AL58" s="154">
        <f t="shared" si="203"/>
        <v>0.424911578863706</v>
      </c>
      <c r="AM58" s="154">
        <f t="shared" si="203"/>
        <v>0.40607242605855</v>
      </c>
      <c r="AN58" s="154">
        <f t="shared" ref="AN58:AO58" si="204">AN57/AN10</f>
        <v>0.429816831654815</v>
      </c>
      <c r="AO58" s="154">
        <f t="shared" si="204"/>
        <v>0.449066676492492</v>
      </c>
      <c r="AP58" s="154">
        <f t="shared" si="203"/>
        <v>0.332258927052001</v>
      </c>
      <c r="AQ58" s="154">
        <f t="shared" ref="AQ58" si="205">AQ57/AQ10</f>
        <v>0.429816831654815</v>
      </c>
      <c r="AR58" s="154">
        <f t="shared" si="203"/>
        <v>0.580108549357234</v>
      </c>
      <c r="AS58" s="154">
        <f t="shared" si="203"/>
        <v>0.433522271170134</v>
      </c>
      <c r="AT58" s="154">
        <f t="shared" si="203"/>
        <v>0.449762680740732</v>
      </c>
      <c r="AU58" s="154">
        <f t="shared" si="203"/>
        <v>0.471162308699317</v>
      </c>
      <c r="AV58" s="154">
        <f t="shared" si="203"/>
        <v>0.508371645664394</v>
      </c>
      <c r="AW58" s="154">
        <f t="shared" si="203"/>
        <v>0.534575227061208</v>
      </c>
      <c r="AX58" s="154">
        <f t="shared" si="203"/>
        <v>0.538963228328874</v>
      </c>
      <c r="AY58" s="154">
        <f t="shared" si="203"/>
        <v>0.54315106744641</v>
      </c>
      <c r="AZ58" s="154">
        <f t="shared" ref="AZ58:BC58" si="206">AZ57/AZ10</f>
        <v>0.546577987519566</v>
      </c>
      <c r="BA58" s="154">
        <f t="shared" si="206"/>
        <v>0.550922009312631</v>
      </c>
      <c r="BB58" s="154">
        <f t="shared" si="206"/>
        <v>0.552519630931344</v>
      </c>
      <c r="BC58" s="154">
        <f t="shared" si="206"/>
        <v>0.5541536067912</v>
      </c>
      <c r="BD58" s="154"/>
      <c r="BE58" s="163"/>
      <c r="BF58" s="164"/>
      <c r="BG58" s="154">
        <f t="shared" ref="BG58:BR58" si="207">BG57/BG10</f>
        <v>0.109834367917438</v>
      </c>
      <c r="BH58" s="154">
        <f t="shared" si="207"/>
        <v>0.282616505704615</v>
      </c>
      <c r="BI58" s="154">
        <f t="shared" si="207"/>
        <v>0.419236885299531</v>
      </c>
      <c r="BJ58" s="154">
        <f t="shared" si="207"/>
        <v>0.53682408422458</v>
      </c>
      <c r="BK58" s="154">
        <f t="shared" si="207"/>
        <v>0.605222535393914</v>
      </c>
      <c r="BL58" s="154">
        <f t="shared" si="207"/>
        <v>0.323627048532465</v>
      </c>
      <c r="BM58" s="150">
        <f t="shared" si="207"/>
        <v>0.353836250067397</v>
      </c>
      <c r="BN58" s="150">
        <f t="shared" si="207"/>
        <v>0.197271078312563</v>
      </c>
      <c r="BO58" s="150">
        <f t="shared" si="207"/>
        <v>0.387967444106217</v>
      </c>
      <c r="BP58" s="150">
        <f t="shared" si="207"/>
        <v>0.408646183583386</v>
      </c>
      <c r="BQ58" s="150">
        <f t="shared" si="207"/>
        <v>0.477808649271717</v>
      </c>
      <c r="BR58" s="150">
        <f t="shared" si="207"/>
        <v>0.533491683637966</v>
      </c>
      <c r="BS58" s="150">
        <f t="shared" ref="BS58" si="208">BS57/BS10</f>
        <v>0.551232894659519</v>
      </c>
      <c r="BT58" s="53"/>
      <c r="CB58" s="166"/>
      <c r="CH58" s="194"/>
    </row>
    <row r="59" ht="9.75" customHeight="1" spans="1:86">
      <c r="A59" s="192"/>
      <c r="B59" s="192"/>
      <c r="C59" s="193" t="s">
        <v>415</v>
      </c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  <c r="AA59" s="154"/>
      <c r="AB59" s="154"/>
      <c r="AC59" s="154"/>
      <c r="AD59" s="154"/>
      <c r="AE59" s="154"/>
      <c r="AF59" s="154"/>
      <c r="AG59" s="154"/>
      <c r="AH59" s="154"/>
      <c r="AI59" s="154"/>
      <c r="AJ59" s="154"/>
      <c r="AK59" s="154"/>
      <c r="AL59" s="154"/>
      <c r="AM59" s="154"/>
      <c r="AN59" s="154"/>
      <c r="AO59" s="154"/>
      <c r="AP59" s="154"/>
      <c r="AQ59" s="154"/>
      <c r="AR59" s="154"/>
      <c r="AS59" s="154"/>
      <c r="AT59" s="154"/>
      <c r="AU59" s="154"/>
      <c r="AV59" s="154"/>
      <c r="AW59" s="154"/>
      <c r="AX59" s="154"/>
      <c r="AY59" s="154"/>
      <c r="AZ59" s="154"/>
      <c r="BA59" s="154"/>
      <c r="BB59" s="154"/>
      <c r="BC59" s="154"/>
      <c r="BD59" s="154"/>
      <c r="BE59" s="163"/>
      <c r="BF59" s="164"/>
      <c r="BG59" s="154"/>
      <c r="BH59" s="154">
        <f t="shared" ref="BH59:BS59" si="209">IF(OR((BG57&lt;=0),(BH57&lt;=0)),"     NM",((BH57/BG57)-1))</f>
        <v>2.73815783802422</v>
      </c>
      <c r="BI59" s="154">
        <f t="shared" si="209"/>
        <v>1.12408191031835</v>
      </c>
      <c r="BJ59" s="154">
        <f t="shared" si="209"/>
        <v>0.265959901096246</v>
      </c>
      <c r="BK59" s="154">
        <f t="shared" si="209"/>
        <v>0.183163451650733</v>
      </c>
      <c r="BL59" s="154">
        <f t="shared" si="209"/>
        <v>-0.248781051933975</v>
      </c>
      <c r="BM59" s="150">
        <f t="shared" si="209"/>
        <v>0.567143225856251</v>
      </c>
      <c r="BN59" s="150">
        <f t="shared" si="209"/>
        <v>-0.652980118179621</v>
      </c>
      <c r="BO59" s="150">
        <f t="shared" si="209"/>
        <v>2.13095517952585</v>
      </c>
      <c r="BP59" s="150">
        <f t="shared" si="209"/>
        <v>0.528291580339416</v>
      </c>
      <c r="BQ59" s="150">
        <f t="shared" si="209"/>
        <v>0.664589170762934</v>
      </c>
      <c r="BR59" s="150">
        <f t="shared" si="209"/>
        <v>1.066966747967</v>
      </c>
      <c r="BS59" s="150">
        <f t="shared" si="209"/>
        <v>0.448395703209054</v>
      </c>
      <c r="BT59" s="78"/>
    </row>
    <row r="60" ht="4.5" customHeight="1" spans="1:86">
      <c r="A60" s="49"/>
      <c r="B60" s="49"/>
      <c r="C60" s="49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157"/>
      <c r="BF60" s="158"/>
      <c r="BG60" s="84"/>
      <c r="BH60" s="84"/>
      <c r="BI60" s="84"/>
      <c r="BJ60" s="84"/>
      <c r="BK60" s="159"/>
      <c r="BL60" s="159"/>
      <c r="BM60" s="159"/>
      <c r="BN60" s="159"/>
      <c r="BO60" s="159"/>
      <c r="BP60" s="159"/>
      <c r="BQ60" s="159"/>
      <c r="BR60" s="159"/>
      <c r="BS60" s="159"/>
      <c r="BT60" s="49"/>
    </row>
    <row r="61" ht="9.75" customHeight="1" spans="1:86">
      <c r="A61" s="188" t="s">
        <v>441</v>
      </c>
      <c r="B61" s="188"/>
      <c r="C61" s="188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>
        <f>+P56+P59</f>
        <v>0</v>
      </c>
      <c r="Q61" s="145">
        <f>Q56+Q59</f>
        <v>0</v>
      </c>
      <c r="R61" s="145"/>
      <c r="S61" s="145"/>
      <c r="T61" s="145"/>
      <c r="U61" s="145"/>
      <c r="V61" s="145"/>
      <c r="W61" s="145"/>
      <c r="X61" s="145"/>
      <c r="Y61" s="145"/>
      <c r="Z61" s="145"/>
      <c r="AA61" s="145"/>
      <c r="AB61" s="145"/>
      <c r="AC61" s="145"/>
      <c r="AD61" s="145"/>
      <c r="AE61" s="145"/>
      <c r="AF61" s="145"/>
      <c r="AG61" s="145"/>
      <c r="AH61" s="145"/>
      <c r="AI61" s="145"/>
      <c r="AJ61" s="145">
        <v>12.122</v>
      </c>
      <c r="AK61" s="145">
        <f>24.59-AJ61</f>
        <v>12.468</v>
      </c>
      <c r="AL61" s="145">
        <v>11</v>
      </c>
      <c r="AM61" s="145"/>
      <c r="AN61" s="145">
        <v>76.255</v>
      </c>
      <c r="AO61" s="145">
        <v>100</v>
      </c>
      <c r="AP61" s="145">
        <v>338</v>
      </c>
      <c r="AQ61" s="145">
        <v>338</v>
      </c>
      <c r="AR61" s="145">
        <f>+AR62-AR57</f>
        <v>94.625</v>
      </c>
      <c r="AS61" s="145">
        <v>75</v>
      </c>
      <c r="AT61" s="145">
        <v>75</v>
      </c>
      <c r="AU61" s="145">
        <v>75</v>
      </c>
      <c r="AV61" s="145">
        <f>+AU61</f>
        <v>75</v>
      </c>
      <c r="AW61" s="145">
        <f t="shared" ref="AW61" si="210">+AV61</f>
        <v>75</v>
      </c>
      <c r="AX61" s="145">
        <v>0</v>
      </c>
      <c r="AY61" s="145">
        <v>0</v>
      </c>
      <c r="AZ61" s="145">
        <f>+AY61</f>
        <v>0</v>
      </c>
      <c r="BA61" s="145">
        <f t="shared" ref="BA61" si="211">+AZ61</f>
        <v>0</v>
      </c>
      <c r="BB61" s="145">
        <v>0</v>
      </c>
      <c r="BC61" s="145">
        <v>0</v>
      </c>
      <c r="BD61" s="189"/>
      <c r="BE61" s="190"/>
      <c r="BF61" s="191"/>
      <c r="BG61" s="145">
        <v>0.00012</v>
      </c>
      <c r="BH61" s="145">
        <v>0.00046</v>
      </c>
      <c r="BI61" s="145">
        <v>0.00087</v>
      </c>
      <c r="BJ61" s="145">
        <v>0.00088</v>
      </c>
      <c r="BK61" s="145">
        <f>BK56-BK59</f>
        <v>-0.183163451650733</v>
      </c>
      <c r="BL61" s="145">
        <v>1e-6</v>
      </c>
      <c r="BM61" s="195">
        <v>131.491</v>
      </c>
      <c r="BN61" s="195">
        <v>105.994</v>
      </c>
      <c r="BO61" s="195">
        <v>50.924</v>
      </c>
      <c r="BP61" s="195">
        <f>SUM(AN61:AQ61)</f>
        <v>852.255</v>
      </c>
      <c r="BQ61" s="195">
        <f>SUM(AR61:AU61)</f>
        <v>319.625</v>
      </c>
      <c r="BR61" s="195">
        <f>SUM(AV61:AY61)</f>
        <v>150</v>
      </c>
      <c r="BS61" s="195">
        <f>SUM(AZ61:BC61)</f>
        <v>0</v>
      </c>
      <c r="BT61" s="150"/>
      <c r="CD61" s="151"/>
      <c r="CE61" s="151"/>
      <c r="CF61" s="151"/>
    </row>
    <row r="62" ht="9.75" customHeight="1" spans="1:86">
      <c r="A62" s="188" t="s">
        <v>442</v>
      </c>
      <c r="B62" s="188"/>
      <c r="C62" s="188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>
        <f>+P57+P60</f>
        <v>225.74042846</v>
      </c>
      <c r="Q62" s="145">
        <f>Q57+Q60</f>
        <v>225.0867721</v>
      </c>
      <c r="R62" s="145"/>
      <c r="S62" s="145"/>
      <c r="T62" s="145"/>
      <c r="U62" s="145"/>
      <c r="V62" s="145"/>
      <c r="W62" s="145"/>
      <c r="X62" s="145"/>
      <c r="Y62" s="145"/>
      <c r="Z62" s="145"/>
      <c r="AA62" s="145"/>
      <c r="AB62" s="145"/>
      <c r="AC62" s="145"/>
      <c r="AD62" s="145"/>
      <c r="AE62" s="145"/>
      <c r="AF62" s="145"/>
      <c r="AG62" s="145"/>
      <c r="AH62" s="145"/>
      <c r="AI62" s="145"/>
      <c r="AJ62" s="145"/>
      <c r="AK62" s="145"/>
      <c r="AL62" s="145"/>
      <c r="AM62" s="145"/>
      <c r="AN62" s="145"/>
      <c r="AO62" s="145"/>
      <c r="AP62" s="145">
        <f>+AP57+AP61</f>
        <v>811.213959</v>
      </c>
      <c r="AQ62" s="145">
        <f>+AQ57+AQ61</f>
        <v>863.326</v>
      </c>
      <c r="AR62" s="189">
        <v>942</v>
      </c>
      <c r="AS62" s="189"/>
      <c r="AT62" s="189"/>
      <c r="AU62" s="189"/>
      <c r="AV62" s="189"/>
      <c r="AW62" s="189"/>
      <c r="AX62" s="189"/>
      <c r="AY62" s="189"/>
      <c r="AZ62" s="189"/>
      <c r="BA62" s="189"/>
      <c r="BB62" s="189"/>
      <c r="BC62" s="189"/>
      <c r="BD62" s="189"/>
      <c r="BE62" s="190"/>
      <c r="BF62" s="191"/>
      <c r="BG62" s="145">
        <v>757.032</v>
      </c>
      <c r="BH62" s="145">
        <v>757.032</v>
      </c>
      <c r="BI62" s="145">
        <v>847.87584</v>
      </c>
      <c r="BJ62" s="145">
        <v>1060.066</v>
      </c>
      <c r="BK62" s="145">
        <f>BK57-BK60</f>
        <v>1103.72349118</v>
      </c>
      <c r="BL62" s="145">
        <v>1131.307</v>
      </c>
      <c r="BM62" s="195">
        <f>+BM61+BM57</f>
        <v>1430.869</v>
      </c>
      <c r="BN62" s="195">
        <f t="shared" ref="BN62:BR62" si="212">+BN61+BN57</f>
        <v>556.904</v>
      </c>
      <c r="BO62" s="195">
        <f t="shared" si="212"/>
        <v>1462.703</v>
      </c>
      <c r="BP62" s="195">
        <f t="shared" si="212"/>
        <v>3009.864959</v>
      </c>
      <c r="BQ62" s="195">
        <f t="shared" si="212"/>
        <v>3911.15917248166</v>
      </c>
      <c r="BR62" s="195">
        <f t="shared" si="212"/>
        <v>7573.58170870676</v>
      </c>
      <c r="BS62" s="195">
        <f t="shared" ref="BS62" si="213">+BS61+BS57</f>
        <v>10752.2838493122</v>
      </c>
      <c r="BT62" s="150"/>
      <c r="CD62" s="151"/>
      <c r="CE62" s="151"/>
      <c r="CF62" s="151"/>
    </row>
    <row r="63" ht="9.75" customHeight="1" spans="1:86">
      <c r="A63" s="192"/>
      <c r="B63" s="192"/>
      <c r="C63" s="193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54"/>
      <c r="AE63" s="154"/>
      <c r="AF63" s="154"/>
      <c r="AG63" s="154"/>
      <c r="AH63" s="154"/>
      <c r="AI63" s="154"/>
      <c r="AJ63" s="154"/>
      <c r="AK63" s="154"/>
      <c r="AL63" s="154"/>
      <c r="AM63" s="154"/>
      <c r="AN63" s="154"/>
      <c r="AO63" s="154"/>
      <c r="AP63" s="154"/>
      <c r="AQ63" s="154"/>
      <c r="AR63" s="154"/>
      <c r="AS63" s="154"/>
      <c r="AT63" s="154"/>
      <c r="AU63" s="154"/>
      <c r="AV63" s="154"/>
      <c r="AW63" s="154"/>
      <c r="AX63" s="154"/>
      <c r="AY63" s="154"/>
      <c r="AZ63" s="154"/>
      <c r="BA63" s="154"/>
      <c r="BB63" s="154"/>
      <c r="BC63" s="154"/>
      <c r="BD63" s="154"/>
      <c r="BE63" s="163"/>
      <c r="BF63" s="164"/>
      <c r="BG63" s="154"/>
      <c r="BH63" s="154"/>
      <c r="BI63" s="154"/>
      <c r="BJ63" s="154"/>
      <c r="BK63" s="154"/>
      <c r="BL63" s="154"/>
      <c r="BM63" s="150">
        <f t="shared" ref="BM63" si="214">BM62/BM$10</f>
        <v>0.389642830106164</v>
      </c>
      <c r="BN63" s="150">
        <f t="shared" ref="BN63:BO63" si="215">BN62/BN$10</f>
        <v>0.243642972204163</v>
      </c>
      <c r="BO63" s="150">
        <f t="shared" si="215"/>
        <v>0.40196174075156</v>
      </c>
      <c r="BP63" s="150">
        <f t="shared" ref="BP63:BQ63" si="216">BP62/BP$10</f>
        <v>0.570061249238382</v>
      </c>
      <c r="BQ63" s="150">
        <f t="shared" si="216"/>
        <v>0.520330753249902</v>
      </c>
      <c r="BR63" s="150">
        <f t="shared" ref="BR63:BS63" si="217">BR62/BR$10</f>
        <v>0.544271352494017</v>
      </c>
      <c r="BS63" s="150">
        <f t="shared" si="217"/>
        <v>0.551232894659519</v>
      </c>
      <c r="BT63" s="78"/>
    </row>
    <row r="64" ht="4.5" customHeight="1" spans="1:86">
      <c r="A64" s="49"/>
      <c r="B64" s="49"/>
      <c r="C64" s="49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157"/>
      <c r="BF64" s="158"/>
      <c r="BG64" s="84"/>
      <c r="BH64" s="84"/>
      <c r="BI64" s="84"/>
      <c r="BJ64" s="84"/>
      <c r="BK64" s="159"/>
      <c r="BL64" s="159"/>
      <c r="BM64" s="159"/>
      <c r="BN64" s="159"/>
      <c r="BO64" s="159"/>
      <c r="BP64" s="159"/>
      <c r="BQ64" s="159"/>
      <c r="BR64" s="159"/>
      <c r="BS64" s="159"/>
      <c r="BT64" s="49"/>
    </row>
    <row r="65" ht="9.75" customHeight="1" spans="1:81">
      <c r="A65" s="188" t="s">
        <v>443</v>
      </c>
      <c r="B65" s="188"/>
      <c r="C65" s="196"/>
      <c r="D65" s="197"/>
      <c r="E65" s="197"/>
      <c r="F65" s="197"/>
      <c r="G65" s="197"/>
      <c r="H65" s="197"/>
      <c r="I65" s="197"/>
      <c r="J65" s="197"/>
      <c r="K65" s="197"/>
      <c r="L65" s="197"/>
      <c r="M65" s="197"/>
      <c r="N65" s="197"/>
      <c r="O65" s="197"/>
      <c r="P65" s="197">
        <f>P57/P77</f>
        <v>0.215566343734751</v>
      </c>
      <c r="Q65" s="197">
        <f t="shared" ref="Q65:AY65" si="218">Q57/Q77</f>
        <v>0.214942147561538</v>
      </c>
      <c r="R65" s="197">
        <f t="shared" si="218"/>
        <v>0.259054145195581</v>
      </c>
      <c r="S65" s="197">
        <f t="shared" si="218"/>
        <v>0.167592010224692</v>
      </c>
      <c r="T65" s="197">
        <f t="shared" si="218"/>
        <v>0.232771339087673</v>
      </c>
      <c r="U65" s="197">
        <f t="shared" si="218"/>
        <v>0.299639010722119</v>
      </c>
      <c r="V65" s="197">
        <f t="shared" si="218"/>
        <v>0.244503736898286</v>
      </c>
      <c r="W65" s="197">
        <f t="shared" si="218"/>
        <v>0.199993166167174</v>
      </c>
      <c r="X65" s="197">
        <f t="shared" si="218"/>
        <v>0.118579524857873</v>
      </c>
      <c r="Y65" s="197">
        <f t="shared" si="218"/>
        <v>0.153603352696215</v>
      </c>
      <c r="Z65" s="197">
        <f t="shared" si="218"/>
        <v>0.180899710883</v>
      </c>
      <c r="AA65" s="197">
        <f t="shared" si="218"/>
        <v>0.279930204621734</v>
      </c>
      <c r="AB65" s="197">
        <f t="shared" si="218"/>
        <v>0.270208787949408</v>
      </c>
      <c r="AC65" s="197">
        <f t="shared" si="218"/>
        <v>0.330906654520031</v>
      </c>
      <c r="AD65" s="197">
        <f t="shared" si="218"/>
        <v>0.280524885393025</v>
      </c>
      <c r="AE65" s="197">
        <f t="shared" si="218"/>
        <v>0.264876532976859</v>
      </c>
      <c r="AF65" s="197">
        <f t="shared" si="218"/>
        <v>0.0173588433188566</v>
      </c>
      <c r="AG65" s="197">
        <f t="shared" si="218"/>
        <v>0.0547945807692747</v>
      </c>
      <c r="AH65" s="197">
        <f t="shared" si="218"/>
        <v>0.13373368201278</v>
      </c>
      <c r="AI65" s="197">
        <f t="shared" si="218"/>
        <v>0.190695856824209</v>
      </c>
      <c r="AJ65" s="197">
        <f t="shared" si="218"/>
        <v>0.195721973856312</v>
      </c>
      <c r="AK65" s="197">
        <f t="shared" si="218"/>
        <v>0.323923463000488</v>
      </c>
      <c r="AL65" s="197">
        <f t="shared" si="218"/>
        <v>0.342389926589559</v>
      </c>
      <c r="AM65" s="197">
        <f t="shared" si="218"/>
        <v>0.38400315913524</v>
      </c>
      <c r="AN65" s="197">
        <f t="shared" si="218"/>
        <v>0.458884563006807</v>
      </c>
      <c r="AO65" s="197">
        <f t="shared" si="218"/>
        <v>0.557704357131291</v>
      </c>
      <c r="AP65" s="197">
        <f t="shared" si="218"/>
        <v>0.416435479925093</v>
      </c>
      <c r="AQ65" s="197">
        <f t="shared" ref="AQ65" si="219">AQ57/AQ77</f>
        <v>0.462294868455327</v>
      </c>
      <c r="AR65" s="198">
        <v>0.73</v>
      </c>
      <c r="AS65" s="198">
        <f t="shared" si="218"/>
        <v>0.662530944334864</v>
      </c>
      <c r="AT65" s="198">
        <f t="shared" si="218"/>
        <v>0.767857700503284</v>
      </c>
      <c r="AU65" s="198">
        <f t="shared" si="218"/>
        <v>0.933660561135134</v>
      </c>
      <c r="AV65" s="198">
        <f t="shared" si="218"/>
        <v>1.12816415763911</v>
      </c>
      <c r="AW65" s="198">
        <f t="shared" si="218"/>
        <v>1.55986297960351</v>
      </c>
      <c r="AX65" s="198">
        <f t="shared" si="218"/>
        <v>1.74869439373055</v>
      </c>
      <c r="AY65" s="198">
        <f t="shared" si="218"/>
        <v>1.95857529434729</v>
      </c>
      <c r="AZ65" s="198">
        <f t="shared" ref="AZ65:BC65" si="220">AZ57/AZ77</f>
        <v>2.083621192623</v>
      </c>
      <c r="BA65" s="198">
        <f t="shared" si="220"/>
        <v>2.23861921856719</v>
      </c>
      <c r="BB65" s="198">
        <f t="shared" si="220"/>
        <v>2.39040925796476</v>
      </c>
      <c r="BC65" s="198">
        <f t="shared" si="220"/>
        <v>2.55027077338572</v>
      </c>
      <c r="BD65" s="198"/>
      <c r="BE65" s="199"/>
      <c r="BF65" s="200"/>
      <c r="BG65" s="197">
        <f t="shared" ref="BG65:BL65" si="221">BG57/BG82</f>
        <v>0.122589269674201</v>
      </c>
      <c r="BH65" s="197">
        <f t="shared" si="221"/>
        <v>0.458258039290281</v>
      </c>
      <c r="BI65" s="197">
        <f t="shared" si="221"/>
        <v>0.869087153137893</v>
      </c>
      <c r="BJ65" s="197">
        <f t="shared" si="221"/>
        <v>0.879999924533001</v>
      </c>
      <c r="BK65" s="197">
        <f t="shared" si="221"/>
        <v>0.972602991485829</v>
      </c>
      <c r="BL65" s="197">
        <f t="shared" si="221"/>
        <v>0.733037352822929</v>
      </c>
      <c r="BM65" s="197">
        <f t="shared" ref="BM65:BR65" si="222">BM57/BM77</f>
        <v>1.14649996812528</v>
      </c>
      <c r="BN65" s="197">
        <f t="shared" si="222"/>
        <v>0.396388452947936</v>
      </c>
      <c r="BO65" s="197">
        <f t="shared" si="222"/>
        <v>1.24479805456631</v>
      </c>
      <c r="BP65" s="197">
        <f t="shared" si="222"/>
        <v>1.89520840542481</v>
      </c>
      <c r="BQ65" s="197">
        <f t="shared" si="222"/>
        <v>3.09404920597328</v>
      </c>
      <c r="BR65" s="197">
        <f t="shared" si="222"/>
        <v>6.39529682532047</v>
      </c>
      <c r="BS65" s="197">
        <f t="shared" ref="BS65" si="223">BS57/BS77</f>
        <v>9.26292044254067</v>
      </c>
      <c r="BT65" s="154"/>
      <c r="CB65" s="154"/>
    </row>
    <row r="66" ht="9.75" customHeight="1" spans="1:81">
      <c r="A66" s="201"/>
      <c r="B66" s="201"/>
      <c r="C66" s="193" t="s">
        <v>415</v>
      </c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>
        <f t="shared" ref="T66:AB66" si="224">T65/P65-1</f>
        <v>0.0798129942496599</v>
      </c>
      <c r="U66" s="154">
        <f t="shared" si="224"/>
        <v>0.394044928467703</v>
      </c>
      <c r="V66" s="154">
        <f t="shared" si="224"/>
        <v>-0.0561674405414732</v>
      </c>
      <c r="W66" s="154">
        <f t="shared" si="224"/>
        <v>0.193333536002356</v>
      </c>
      <c r="X66" s="154">
        <f t="shared" si="224"/>
        <v>-0.490575062537187</v>
      </c>
      <c r="Y66" s="154">
        <f t="shared" si="224"/>
        <v>-0.487371980283753</v>
      </c>
      <c r="Z66" s="154">
        <f t="shared" si="224"/>
        <v>-0.260135189842701</v>
      </c>
      <c r="AA66" s="154">
        <f t="shared" si="224"/>
        <v>0.399698849648393</v>
      </c>
      <c r="AB66" s="154">
        <f t="shared" si="224"/>
        <v>1.27871370098063</v>
      </c>
      <c r="AC66" s="154">
        <f t="shared" ref="AC66:AI66" si="225">AC65/Y65-1</f>
        <v>1.15429317597301</v>
      </c>
      <c r="AD66" s="154">
        <f t="shared" si="225"/>
        <v>0.550720473923024</v>
      </c>
      <c r="AE66" s="154">
        <f t="shared" si="225"/>
        <v>-0.0537765178474301</v>
      </c>
      <c r="AF66" s="154">
        <f t="shared" si="225"/>
        <v>-0.935757665579305</v>
      </c>
      <c r="AG66" s="154">
        <f t="shared" si="225"/>
        <v>-0.83441076200552</v>
      </c>
      <c r="AH66" s="154">
        <f t="shared" si="225"/>
        <v>-0.523273374390957</v>
      </c>
      <c r="AI66" s="154">
        <f t="shared" si="225"/>
        <v>-0.280057562362953</v>
      </c>
      <c r="AJ66" s="154">
        <f t="shared" ref="AJ66:AQ66" si="226">AJ65/AF65-1</f>
        <v>10.2750584967665</v>
      </c>
      <c r="AK66" s="154">
        <f t="shared" si="226"/>
        <v>4.91159670268202</v>
      </c>
      <c r="AL66" s="154">
        <f t="shared" si="226"/>
        <v>1.56023704302734</v>
      </c>
      <c r="AM66" s="154">
        <f t="shared" si="226"/>
        <v>1.013694295882</v>
      </c>
      <c r="AN66" s="154">
        <f t="shared" si="226"/>
        <v>1.34457354974201</v>
      </c>
      <c r="AO66" s="154">
        <f t="shared" si="226"/>
        <v>0.72171645723129</v>
      </c>
      <c r="AP66" s="154">
        <f t="shared" si="226"/>
        <v>0.21626089900798</v>
      </c>
      <c r="AQ66" s="154">
        <f t="shared" si="226"/>
        <v>0.203882982359824</v>
      </c>
      <c r="AR66" s="154">
        <f t="shared" ref="AR66:AY66" si="227">AR65/AN65-1</f>
        <v>0.590814027860795</v>
      </c>
      <c r="AS66" s="154">
        <f t="shared" si="227"/>
        <v>0.187960853924071</v>
      </c>
      <c r="AT66" s="154">
        <f t="shared" si="227"/>
        <v>0.843881555532693</v>
      </c>
      <c r="AU66" s="154">
        <f t="shared" si="227"/>
        <v>1.01962129550516</v>
      </c>
      <c r="AV66" s="154">
        <f t="shared" si="227"/>
        <v>0.54543035293029</v>
      </c>
      <c r="AW66" s="154">
        <f t="shared" si="227"/>
        <v>1.35440018755579</v>
      </c>
      <c r="AX66" s="154">
        <f t="shared" si="227"/>
        <v>1.27736778908955</v>
      </c>
      <c r="AY66" s="154">
        <f t="shared" si="227"/>
        <v>1.09773806014263</v>
      </c>
      <c r="AZ66" s="154">
        <f t="shared" ref="AZ66" si="228">AZ65/AV65-1</f>
        <v>0.846913127415212</v>
      </c>
      <c r="BA66" s="154">
        <f t="shared" ref="BA66" si="229">BA65/AW65-1</f>
        <v>0.435138372946191</v>
      </c>
      <c r="BB66" s="154">
        <f t="shared" ref="BB66" si="230">BB65/AX65-1</f>
        <v>0.366967988537562</v>
      </c>
      <c r="BC66" s="154">
        <f t="shared" ref="BC66" si="231">BC65/AY65-1</f>
        <v>0.302105045818837</v>
      </c>
      <c r="BD66" s="154"/>
      <c r="BE66" s="163"/>
      <c r="BF66" s="202"/>
      <c r="BG66" s="154"/>
      <c r="BH66" s="154">
        <f t="shared" ref="BH66:BS66" si="232">IF(OR((BG65&lt;=0),(BH65&lt;=0)),"     NM",((BH65/BG65)-1))</f>
        <v>2.73815783802422</v>
      </c>
      <c r="BI66" s="154">
        <f t="shared" si="232"/>
        <v>0.896501705641382</v>
      </c>
      <c r="BJ66" s="154">
        <f t="shared" si="232"/>
        <v>0.012556590389935</v>
      </c>
      <c r="BK66" s="154">
        <f t="shared" si="232"/>
        <v>0.105230766925317</v>
      </c>
      <c r="BL66" s="154">
        <f t="shared" si="232"/>
        <v>-0.246313902753805</v>
      </c>
      <c r="BM66" s="154">
        <f t="shared" si="232"/>
        <v>0.564040309419574</v>
      </c>
      <c r="BN66" s="154">
        <f t="shared" si="232"/>
        <v>-0.654262133477336</v>
      </c>
      <c r="BO66" s="154">
        <f t="shared" si="232"/>
        <v>2.14034893122835</v>
      </c>
      <c r="BP66" s="154">
        <f t="shared" si="232"/>
        <v>0.522502705135653</v>
      </c>
      <c r="BQ66" s="154">
        <f t="shared" si="232"/>
        <v>0.632564100664041</v>
      </c>
      <c r="BR66" s="154">
        <f t="shared" si="232"/>
        <v>1.066966747967</v>
      </c>
      <c r="BS66" s="154">
        <f t="shared" si="232"/>
        <v>0.448395703209054</v>
      </c>
      <c r="BT66" s="78"/>
    </row>
    <row r="67" ht="12.75" customHeight="1" spans="1:81">
      <c r="A67" s="53"/>
      <c r="B67" s="53"/>
      <c r="C67" s="49"/>
      <c r="D67" s="84"/>
      <c r="E67" s="84"/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5"/>
      <c r="AB67" s="185"/>
      <c r="AC67" s="185"/>
      <c r="AD67" s="185"/>
      <c r="AE67" s="185"/>
      <c r="AF67" s="185"/>
      <c r="AG67" s="185"/>
      <c r="AH67" s="185"/>
      <c r="AI67" s="185"/>
      <c r="AJ67" s="185"/>
      <c r="AK67" s="185"/>
      <c r="AL67" s="185"/>
      <c r="AM67" s="185"/>
      <c r="AN67" s="185"/>
      <c r="AO67" s="185"/>
      <c r="AP67" s="185"/>
      <c r="AQ67" s="185"/>
      <c r="AR67" s="185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/>
      <c r="BD67" s="185"/>
      <c r="BE67" s="157"/>
      <c r="BF67" s="203"/>
      <c r="BG67" s="84"/>
      <c r="BH67" s="84"/>
      <c r="BI67" s="204"/>
      <c r="BJ67" s="145"/>
      <c r="BK67" s="145"/>
      <c r="BL67" s="145"/>
      <c r="BM67" s="204"/>
      <c r="BN67" s="204"/>
      <c r="BO67" s="204"/>
      <c r="BQ67" s="197"/>
      <c r="BR67" s="197"/>
      <c r="BS67" s="197"/>
    </row>
    <row r="68" ht="9.75" customHeight="1" spans="1:81">
      <c r="A68" s="188" t="s">
        <v>444</v>
      </c>
      <c r="B68" s="188"/>
      <c r="C68" s="196"/>
      <c r="D68" s="197"/>
      <c r="E68" s="197"/>
      <c r="F68" s="197"/>
      <c r="G68" s="197"/>
      <c r="H68" s="197"/>
      <c r="I68" s="197"/>
      <c r="J68" s="197"/>
      <c r="K68" s="197"/>
      <c r="L68" s="197"/>
      <c r="M68" s="197"/>
      <c r="N68" s="197"/>
      <c r="O68" s="197"/>
      <c r="P68" s="197">
        <f>+P65</f>
        <v>0.215566343734751</v>
      </c>
      <c r="Q68" s="197"/>
      <c r="R68" s="197"/>
      <c r="S68" s="197"/>
      <c r="T68" s="197">
        <f>+T65</f>
        <v>0.232771339087673</v>
      </c>
      <c r="U68" s="197">
        <f t="shared" ref="U68:AY68" si="233">+U65</f>
        <v>0.299639010722119</v>
      </c>
      <c r="V68" s="197">
        <f t="shared" si="233"/>
        <v>0.244503736898286</v>
      </c>
      <c r="W68" s="197">
        <f t="shared" si="233"/>
        <v>0.199993166167174</v>
      </c>
      <c r="X68" s="197">
        <f t="shared" si="233"/>
        <v>0.118579524857873</v>
      </c>
      <c r="Y68" s="197">
        <f t="shared" si="233"/>
        <v>0.153603352696215</v>
      </c>
      <c r="Z68" s="197">
        <f t="shared" si="233"/>
        <v>0.180899710883</v>
      </c>
      <c r="AA68" s="197">
        <f t="shared" si="233"/>
        <v>0.279930204621734</v>
      </c>
      <c r="AB68" s="197">
        <f t="shared" si="233"/>
        <v>0.270208787949408</v>
      </c>
      <c r="AC68" s="197">
        <f t="shared" si="233"/>
        <v>0.330906654520031</v>
      </c>
      <c r="AD68" s="197">
        <f t="shared" si="233"/>
        <v>0.280524885393025</v>
      </c>
      <c r="AE68" s="197">
        <f t="shared" si="233"/>
        <v>0.264876532976859</v>
      </c>
      <c r="AF68" s="197">
        <f t="shared" si="233"/>
        <v>0.0173588433188566</v>
      </c>
      <c r="AG68" s="197">
        <f t="shared" si="233"/>
        <v>0.0547945807692747</v>
      </c>
      <c r="AH68" s="197">
        <f t="shared" si="233"/>
        <v>0.13373368201278</v>
      </c>
      <c r="AI68" s="197">
        <f t="shared" si="233"/>
        <v>0.190695856824209</v>
      </c>
      <c r="AJ68" s="197">
        <f t="shared" si="233"/>
        <v>0.195721973856312</v>
      </c>
      <c r="AK68" s="197">
        <f t="shared" si="233"/>
        <v>0.323923463000488</v>
      </c>
      <c r="AL68" s="197">
        <f t="shared" si="233"/>
        <v>0.342389926589559</v>
      </c>
      <c r="AM68" s="197">
        <f t="shared" si="233"/>
        <v>0.38400315913524</v>
      </c>
      <c r="AN68" s="197">
        <f t="shared" si="233"/>
        <v>0.458884563006807</v>
      </c>
      <c r="AO68" s="197">
        <f t="shared" si="233"/>
        <v>0.557704357131291</v>
      </c>
      <c r="AP68" s="197">
        <f t="shared" si="233"/>
        <v>0.416435479925093</v>
      </c>
      <c r="AQ68" s="197">
        <f t="shared" ref="AQ68" si="234">+AQ65</f>
        <v>0.462294868455327</v>
      </c>
      <c r="AR68" s="198">
        <v>0.73</v>
      </c>
      <c r="AS68" s="198">
        <f t="shared" si="233"/>
        <v>0.662530944334864</v>
      </c>
      <c r="AT68" s="198">
        <f t="shared" si="233"/>
        <v>0.767857700503284</v>
      </c>
      <c r="AU68" s="198">
        <f t="shared" si="233"/>
        <v>0.933660561135134</v>
      </c>
      <c r="AV68" s="198">
        <f t="shared" si="233"/>
        <v>1.12816415763911</v>
      </c>
      <c r="AW68" s="198">
        <f t="shared" si="233"/>
        <v>1.55986297960351</v>
      </c>
      <c r="AX68" s="198">
        <f t="shared" si="233"/>
        <v>1.74869439373055</v>
      </c>
      <c r="AY68" s="198">
        <f t="shared" si="233"/>
        <v>1.95857529434729</v>
      </c>
      <c r="AZ68" s="198">
        <f t="shared" ref="AZ68:BC68" si="235">+AZ65</f>
        <v>2.083621192623</v>
      </c>
      <c r="BA68" s="198">
        <f t="shared" si="235"/>
        <v>2.23861921856719</v>
      </c>
      <c r="BB68" s="198">
        <f t="shared" si="235"/>
        <v>2.39040925796476</v>
      </c>
      <c r="BC68" s="198">
        <f t="shared" si="235"/>
        <v>2.55027077338572</v>
      </c>
      <c r="BD68" s="198"/>
      <c r="BE68" s="199"/>
      <c r="BF68" s="200"/>
      <c r="BG68" s="197" t="e">
        <f t="shared" ref="BG68:BL68" si="236">BG60/BG85</f>
        <v>#DIV/0!</v>
      </c>
      <c r="BH68" s="197" t="e">
        <f t="shared" si="236"/>
        <v>#DIV/0!</v>
      </c>
      <c r="BI68" s="197" t="e">
        <f t="shared" si="236"/>
        <v>#DIV/0!</v>
      </c>
      <c r="BJ68" s="197" t="e">
        <f t="shared" si="236"/>
        <v>#DIV/0!</v>
      </c>
      <c r="BK68" s="197" t="e">
        <f t="shared" si="236"/>
        <v>#DIV/0!</v>
      </c>
      <c r="BL68" s="197" t="e">
        <f t="shared" si="236"/>
        <v>#DIV/0!</v>
      </c>
      <c r="BM68" s="197">
        <f t="shared" ref="BM68:BR68" si="237">+BM65</f>
        <v>1.14649996812528</v>
      </c>
      <c r="BN68" s="197">
        <f t="shared" si="237"/>
        <v>0.396388452947936</v>
      </c>
      <c r="BO68" s="197">
        <f t="shared" si="237"/>
        <v>1.24479805456631</v>
      </c>
      <c r="BP68" s="197">
        <f t="shared" si="237"/>
        <v>1.89520840542481</v>
      </c>
      <c r="BQ68" s="197">
        <f t="shared" si="237"/>
        <v>3.09404920597328</v>
      </c>
      <c r="BR68" s="197">
        <f t="shared" si="237"/>
        <v>6.39529682532047</v>
      </c>
      <c r="BS68" s="197">
        <f t="shared" ref="BS68" si="238">+BS65</f>
        <v>9.26292044254067</v>
      </c>
      <c r="BT68" s="154"/>
      <c r="CB68" s="154"/>
    </row>
    <row r="69" ht="9.75" customHeight="1" spans="1:81">
      <c r="A69" s="201"/>
      <c r="B69" s="201"/>
      <c r="C69" s="193" t="s">
        <v>415</v>
      </c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>
        <f t="shared" ref="T69" si="239">T68/P68-1</f>
        <v>0.0798129942496599</v>
      </c>
      <c r="U69" s="154" t="e">
        <f t="shared" ref="U69" si="240">U68/Q68-1</f>
        <v>#DIV/0!</v>
      </c>
      <c r="V69" s="154" t="e">
        <f t="shared" ref="V69" si="241">V68/R68-1</f>
        <v>#DIV/0!</v>
      </c>
      <c r="W69" s="154" t="e">
        <f t="shared" ref="W69" si="242">W68/S68-1</f>
        <v>#DIV/0!</v>
      </c>
      <c r="X69" s="154">
        <f t="shared" ref="X69" si="243">X68/T68-1</f>
        <v>-0.490575062537187</v>
      </c>
      <c r="Y69" s="154">
        <f t="shared" ref="Y69" si="244">Y68/U68-1</f>
        <v>-0.487371980283753</v>
      </c>
      <c r="Z69" s="154">
        <f t="shared" ref="Z69" si="245">Z68/V68-1</f>
        <v>-0.260135189842701</v>
      </c>
      <c r="AA69" s="154">
        <f t="shared" ref="AA69" si="246">AA68/W68-1</f>
        <v>0.399698849648393</v>
      </c>
      <c r="AB69" s="154">
        <f t="shared" ref="AB69" si="247">AB68/X68-1</f>
        <v>1.27871370098063</v>
      </c>
      <c r="AC69" s="154">
        <f t="shared" ref="AC69" si="248">AC68/Y68-1</f>
        <v>1.15429317597301</v>
      </c>
      <c r="AD69" s="154">
        <f t="shared" ref="AD69" si="249">AD68/Z68-1</f>
        <v>0.550720473923024</v>
      </c>
      <c r="AE69" s="154">
        <f t="shared" ref="AE69" si="250">AE68/AA68-1</f>
        <v>-0.0537765178474301</v>
      </c>
      <c r="AF69" s="154">
        <f t="shared" ref="AF69" si="251">AF68/AB68-1</f>
        <v>-0.935757665579305</v>
      </c>
      <c r="AG69" s="154">
        <f t="shared" ref="AG69" si="252">AG68/AC68-1</f>
        <v>-0.83441076200552</v>
      </c>
      <c r="AH69" s="154">
        <f t="shared" ref="AH69" si="253">AH68/AD68-1</f>
        <v>-0.523273374390957</v>
      </c>
      <c r="AI69" s="154">
        <f t="shared" ref="AI69" si="254">AI68/AE68-1</f>
        <v>-0.280057562362953</v>
      </c>
      <c r="AJ69" s="154">
        <f t="shared" ref="AJ69" si="255">AJ68/AF68-1</f>
        <v>10.2750584967665</v>
      </c>
      <c r="AK69" s="154">
        <f t="shared" ref="AK69" si="256">AK68/AG68-1</f>
        <v>4.91159670268202</v>
      </c>
      <c r="AL69" s="154">
        <f t="shared" ref="AL69" si="257">AL68/AH68-1</f>
        <v>1.56023704302734</v>
      </c>
      <c r="AM69" s="154">
        <f t="shared" ref="AM69" si="258">AM68/AI68-1</f>
        <v>1.013694295882</v>
      </c>
      <c r="AN69" s="154">
        <f t="shared" ref="AN69" si="259">AN68/AJ68-1</f>
        <v>1.34457354974201</v>
      </c>
      <c r="AO69" s="154">
        <f t="shared" ref="AO69" si="260">AO68/AK68-1</f>
        <v>0.72171645723129</v>
      </c>
      <c r="AP69" s="154">
        <f t="shared" ref="AP69:AQ69" si="261">AP68/AL68-1</f>
        <v>0.21626089900798</v>
      </c>
      <c r="AQ69" s="154">
        <f t="shared" si="261"/>
        <v>0.203882982359824</v>
      </c>
      <c r="AR69" s="154">
        <f t="shared" ref="AR69" si="262">AR68/AN68-1</f>
        <v>0.590814027860795</v>
      </c>
      <c r="AS69" s="154">
        <f t="shared" ref="AS69" si="263">AS68/AO68-1</f>
        <v>0.187960853924071</v>
      </c>
      <c r="AT69" s="154">
        <f t="shared" ref="AT69" si="264">AT68/AP68-1</f>
        <v>0.843881555532693</v>
      </c>
      <c r="AU69" s="154">
        <f t="shared" ref="AU69" si="265">AU68/AQ68-1</f>
        <v>1.01962129550516</v>
      </c>
      <c r="AV69" s="154">
        <f t="shared" ref="AV69" si="266">AV68/AR68-1</f>
        <v>0.54543035293029</v>
      </c>
      <c r="AW69" s="154">
        <f t="shared" ref="AW69" si="267">AW68/AS68-1</f>
        <v>1.35440018755579</v>
      </c>
      <c r="AX69" s="154">
        <f t="shared" ref="AX69" si="268">AX68/AT68-1</f>
        <v>1.27736778908955</v>
      </c>
      <c r="AY69" s="154">
        <f t="shared" ref="AY69" si="269">AY68/AU68-1</f>
        <v>1.09773806014263</v>
      </c>
      <c r="AZ69" s="154">
        <f t="shared" ref="AZ69" si="270">AZ68/AV68-1</f>
        <v>0.846913127415212</v>
      </c>
      <c r="BA69" s="154">
        <f t="shared" ref="BA69" si="271">BA68/AW68-1</f>
        <v>0.435138372946191</v>
      </c>
      <c r="BB69" s="154">
        <f t="shared" ref="BB69" si="272">BB68/AX68-1</f>
        <v>0.366967988537562</v>
      </c>
      <c r="BC69" s="154">
        <f t="shared" ref="BC69" si="273">BC68/AY68-1</f>
        <v>0.302105045818837</v>
      </c>
      <c r="BD69" s="154"/>
      <c r="BE69" s="163"/>
      <c r="BF69" s="202"/>
      <c r="BG69" s="154"/>
      <c r="BH69" s="154" t="e">
        <f t="shared" ref="BH69" si="274">IF(OR((BG68&lt;=0),(BH68&lt;=0)),"     NM",((BH68/BG68)-1))</f>
        <v>#DIV/0!</v>
      </c>
      <c r="BI69" s="154" t="e">
        <f t="shared" ref="BI69" si="275">IF(OR((BH68&lt;=0),(BI68&lt;=0)),"     NM",((BI68/BH68)-1))</f>
        <v>#DIV/0!</v>
      </c>
      <c r="BJ69" s="154" t="e">
        <f t="shared" ref="BJ69" si="276">IF(OR((BI68&lt;=0),(BJ68&lt;=0)),"     NM",((BJ68/BI68)-1))</f>
        <v>#DIV/0!</v>
      </c>
      <c r="BK69" s="154" t="e">
        <f t="shared" ref="BK69" si="277">IF(OR((BJ68&lt;=0),(BK68&lt;=0)),"     NM",((BK68/BJ68)-1))</f>
        <v>#DIV/0!</v>
      </c>
      <c r="BL69" s="154" t="e">
        <f t="shared" ref="BL69" si="278">IF(OR((BK68&lt;=0),(BL68&lt;=0)),"     NM",((BL68/BK68)-1))</f>
        <v>#DIV/0!</v>
      </c>
      <c r="BM69" s="154" t="e">
        <f t="shared" ref="BM69" si="279">IF(OR((BL68&lt;=0),(BM68&lt;=0)),"     NM",((BM68/BL68)-1))</f>
        <v>#DIV/0!</v>
      </c>
      <c r="BN69" s="154">
        <f t="shared" ref="BN69" si="280">IF(OR((BM68&lt;=0),(BN68&lt;=0)),"     NM",((BN68/BM68)-1))</f>
        <v>-0.654262133477336</v>
      </c>
      <c r="BO69" s="154">
        <f t="shared" ref="BO69" si="281">IF(OR((BN68&lt;=0),(BO68&lt;=0)),"     NM",((BO68/BN68)-1))</f>
        <v>2.14034893122835</v>
      </c>
      <c r="BP69" s="154">
        <f t="shared" ref="BP69" si="282">IF(OR((BO68&lt;=0),(BP68&lt;=0)),"     NM",((BP68/BO68)-1))</f>
        <v>0.522502705135653</v>
      </c>
      <c r="BQ69" s="154">
        <f t="shared" ref="BQ69" si="283">IF(OR((BP68&lt;=0),(BQ68&lt;=0)),"     NM",((BQ68/BP68)-1))</f>
        <v>0.632564100664041</v>
      </c>
      <c r="BR69" s="154">
        <f t="shared" ref="BR69:BS69" si="284">IF(OR((BQ68&lt;=0),(BR68&lt;=0)),"     NM",((BR68/BQ68)-1))</f>
        <v>1.066966747967</v>
      </c>
      <c r="BS69" s="154">
        <f t="shared" si="284"/>
        <v>0.448395703209054</v>
      </c>
      <c r="BT69" s="78"/>
    </row>
    <row r="70" ht="12.75" customHeight="1" spans="1:81">
      <c r="A70" s="53"/>
      <c r="B70" s="53"/>
      <c r="C70" s="49"/>
      <c r="D70" s="84"/>
      <c r="E70" s="84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5"/>
      <c r="AB70" s="185"/>
      <c r="AC70" s="185"/>
      <c r="AD70" s="185"/>
      <c r="AE70" s="185"/>
      <c r="AF70" s="185"/>
      <c r="AG70" s="185"/>
      <c r="AH70" s="185"/>
      <c r="AI70" s="185"/>
      <c r="AJ70" s="185"/>
      <c r="AK70" s="185"/>
      <c r="AL70" s="185"/>
      <c r="AM70" s="185"/>
      <c r="AN70" s="185"/>
      <c r="AO70" s="185"/>
      <c r="AP70" s="185"/>
      <c r="AQ70" s="185"/>
      <c r="AR70" s="185"/>
      <c r="AS70" s="185"/>
      <c r="AT70" s="185"/>
      <c r="AU70" s="185"/>
      <c r="AV70" s="185"/>
      <c r="AW70" s="185"/>
      <c r="AX70" s="185"/>
      <c r="AY70" s="185"/>
      <c r="AZ70" s="185"/>
      <c r="BA70" s="185"/>
      <c r="BB70" s="185"/>
      <c r="BC70" s="185"/>
      <c r="BD70" s="185"/>
      <c r="BE70" s="157"/>
      <c r="BF70" s="203"/>
      <c r="BG70" s="84"/>
      <c r="BH70" s="84"/>
      <c r="BI70" s="204"/>
      <c r="BJ70" s="145"/>
      <c r="BK70" s="145"/>
      <c r="BL70" s="145"/>
      <c r="BM70" s="204"/>
      <c r="BN70" s="204"/>
      <c r="BO70" s="204"/>
      <c r="BQ70" s="197"/>
      <c r="BR70" s="197"/>
      <c r="BS70" s="197"/>
    </row>
    <row r="71" ht="9.75" customHeight="1" spans="1:81">
      <c r="A71" s="188" t="s">
        <v>445</v>
      </c>
      <c r="B71" s="188"/>
      <c r="C71" s="196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>
        <f>+P65</f>
        <v>0.215566343734751</v>
      </c>
      <c r="Q71" s="197">
        <f t="shared" ref="Q71:AY71" si="285">+Q65</f>
        <v>0.214942147561538</v>
      </c>
      <c r="R71" s="197">
        <f t="shared" si="285"/>
        <v>0.259054145195581</v>
      </c>
      <c r="S71" s="197">
        <f t="shared" si="285"/>
        <v>0.167592010224692</v>
      </c>
      <c r="T71" s="197">
        <f t="shared" si="285"/>
        <v>0.232771339087673</v>
      </c>
      <c r="U71" s="197">
        <f t="shared" si="285"/>
        <v>0.299639010722119</v>
      </c>
      <c r="V71" s="197">
        <f t="shared" si="285"/>
        <v>0.244503736898286</v>
      </c>
      <c r="W71" s="197">
        <f t="shared" si="285"/>
        <v>0.199993166167174</v>
      </c>
      <c r="X71" s="197">
        <f t="shared" si="285"/>
        <v>0.118579524857873</v>
      </c>
      <c r="Y71" s="197">
        <f t="shared" si="285"/>
        <v>0.153603352696215</v>
      </c>
      <c r="Z71" s="197">
        <f t="shared" si="285"/>
        <v>0.180899710883</v>
      </c>
      <c r="AA71" s="197">
        <f t="shared" si="285"/>
        <v>0.279930204621734</v>
      </c>
      <c r="AB71" s="197">
        <f t="shared" si="285"/>
        <v>0.270208787949408</v>
      </c>
      <c r="AC71" s="197">
        <f t="shared" si="285"/>
        <v>0.330906654520031</v>
      </c>
      <c r="AD71" s="197">
        <f t="shared" si="285"/>
        <v>0.280524885393025</v>
      </c>
      <c r="AE71" s="197">
        <f t="shared" si="285"/>
        <v>0.264876532976859</v>
      </c>
      <c r="AF71" s="197">
        <f t="shared" si="285"/>
        <v>0.0173588433188566</v>
      </c>
      <c r="AG71" s="197">
        <f t="shared" si="285"/>
        <v>0.0547945807692747</v>
      </c>
      <c r="AH71" s="197">
        <f t="shared" si="285"/>
        <v>0.13373368201278</v>
      </c>
      <c r="AI71" s="197">
        <f t="shared" si="285"/>
        <v>0.190695856824209</v>
      </c>
      <c r="AJ71" s="197">
        <f t="shared" si="285"/>
        <v>0.195721973856312</v>
      </c>
      <c r="AK71" s="197">
        <f t="shared" si="285"/>
        <v>0.323923463000488</v>
      </c>
      <c r="AL71" s="197">
        <f t="shared" si="285"/>
        <v>0.342389926589559</v>
      </c>
      <c r="AM71" s="197">
        <f t="shared" si="285"/>
        <v>0.38400315913524</v>
      </c>
      <c r="AN71" s="197">
        <f t="shared" si="285"/>
        <v>0.458884563006807</v>
      </c>
      <c r="AO71" s="197">
        <f t="shared" si="285"/>
        <v>0.557704357131291</v>
      </c>
      <c r="AP71" s="197">
        <f t="shared" si="285"/>
        <v>0.416435479925093</v>
      </c>
      <c r="AQ71" s="197">
        <f t="shared" ref="AQ71" si="286">+AQ65</f>
        <v>0.462294868455327</v>
      </c>
      <c r="AR71" s="198">
        <v>0.73</v>
      </c>
      <c r="AS71" s="198">
        <f t="shared" si="285"/>
        <v>0.662530944334864</v>
      </c>
      <c r="AT71" s="198">
        <f t="shared" si="285"/>
        <v>0.767857700503284</v>
      </c>
      <c r="AU71" s="198">
        <f t="shared" si="285"/>
        <v>0.933660561135134</v>
      </c>
      <c r="AV71" s="198">
        <f t="shared" si="285"/>
        <v>1.12816415763911</v>
      </c>
      <c r="AW71" s="198">
        <f t="shared" si="285"/>
        <v>1.55986297960351</v>
      </c>
      <c r="AX71" s="198">
        <f t="shared" si="285"/>
        <v>1.74869439373055</v>
      </c>
      <c r="AY71" s="198">
        <f t="shared" si="285"/>
        <v>1.95857529434729</v>
      </c>
      <c r="AZ71" s="198">
        <f t="shared" ref="AZ71:BC71" si="287">+AZ65</f>
        <v>2.083621192623</v>
      </c>
      <c r="BA71" s="198">
        <f t="shared" si="287"/>
        <v>2.23861921856719</v>
      </c>
      <c r="BB71" s="198">
        <f t="shared" si="287"/>
        <v>2.39040925796476</v>
      </c>
      <c r="BC71" s="198">
        <f t="shared" si="287"/>
        <v>2.55027077338572</v>
      </c>
      <c r="BD71" s="198"/>
      <c r="BE71" s="199"/>
      <c r="BF71" s="200"/>
      <c r="BG71" s="197" t="e">
        <f t="shared" ref="BG71:BL71" si="288">BG63/BG88</f>
        <v>#DIV/0!</v>
      </c>
      <c r="BH71" s="197" t="e">
        <f t="shared" si="288"/>
        <v>#DIV/0!</v>
      </c>
      <c r="BI71" s="197" t="e">
        <f t="shared" si="288"/>
        <v>#DIV/0!</v>
      </c>
      <c r="BJ71" s="197" t="e">
        <f t="shared" si="288"/>
        <v>#DIV/0!</v>
      </c>
      <c r="BK71" s="197" t="e">
        <f t="shared" si="288"/>
        <v>#DIV/0!</v>
      </c>
      <c r="BL71" s="197" t="e">
        <f t="shared" si="288"/>
        <v>#DIV/0!</v>
      </c>
      <c r="BM71" s="197">
        <f t="shared" ref="BM71:BR71" si="289">+BM65</f>
        <v>1.14649996812528</v>
      </c>
      <c r="BN71" s="197">
        <f t="shared" si="289"/>
        <v>0.396388452947936</v>
      </c>
      <c r="BO71" s="197">
        <f t="shared" si="289"/>
        <v>1.24479805456631</v>
      </c>
      <c r="BP71" s="197">
        <f t="shared" si="289"/>
        <v>1.89520840542481</v>
      </c>
      <c r="BQ71" s="197">
        <f t="shared" si="289"/>
        <v>3.09404920597328</v>
      </c>
      <c r="BR71" s="197">
        <f t="shared" si="289"/>
        <v>6.39529682532047</v>
      </c>
      <c r="BS71" s="197">
        <f t="shared" ref="BS71" si="290">+BS65</f>
        <v>9.26292044254067</v>
      </c>
      <c r="BT71" s="154"/>
      <c r="CB71" s="154"/>
    </row>
    <row r="72" ht="9.75" customHeight="1" spans="1:81">
      <c r="A72" s="201"/>
      <c r="B72" s="201"/>
      <c r="C72" s="193" t="s">
        <v>415</v>
      </c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>
        <f t="shared" ref="T72" si="291">T71/P71-1</f>
        <v>0.0798129942496599</v>
      </c>
      <c r="U72" s="154">
        <f t="shared" ref="U72" si="292">U71/Q71-1</f>
        <v>0.394044928467703</v>
      </c>
      <c r="V72" s="154">
        <f t="shared" ref="V72" si="293">V71/R71-1</f>
        <v>-0.0561674405414732</v>
      </c>
      <c r="W72" s="154">
        <f t="shared" ref="W72" si="294">W71/S71-1</f>
        <v>0.193333536002356</v>
      </c>
      <c r="X72" s="154">
        <f t="shared" ref="X72" si="295">X71/T71-1</f>
        <v>-0.490575062537187</v>
      </c>
      <c r="Y72" s="154">
        <f t="shared" ref="Y72" si="296">Y71/U71-1</f>
        <v>-0.487371980283753</v>
      </c>
      <c r="Z72" s="154">
        <f t="shared" ref="Z72" si="297">Z71/V71-1</f>
        <v>-0.260135189842701</v>
      </c>
      <c r="AA72" s="154">
        <f t="shared" ref="AA72" si="298">AA71/W71-1</f>
        <v>0.399698849648393</v>
      </c>
      <c r="AB72" s="154">
        <f t="shared" ref="AB72" si="299">AB71/X71-1</f>
        <v>1.27871370098063</v>
      </c>
      <c r="AC72" s="154">
        <f t="shared" ref="AC72" si="300">AC71/Y71-1</f>
        <v>1.15429317597301</v>
      </c>
      <c r="AD72" s="154">
        <f t="shared" ref="AD72" si="301">AD71/Z71-1</f>
        <v>0.550720473923024</v>
      </c>
      <c r="AE72" s="154">
        <f t="shared" ref="AE72" si="302">AE71/AA71-1</f>
        <v>-0.0537765178474301</v>
      </c>
      <c r="AF72" s="154">
        <f t="shared" ref="AF72" si="303">AF71/AB71-1</f>
        <v>-0.935757665579305</v>
      </c>
      <c r="AG72" s="154">
        <f t="shared" ref="AG72" si="304">AG71/AC71-1</f>
        <v>-0.83441076200552</v>
      </c>
      <c r="AH72" s="154">
        <f t="shared" ref="AH72" si="305">AH71/AD71-1</f>
        <v>-0.523273374390957</v>
      </c>
      <c r="AI72" s="154">
        <f t="shared" ref="AI72" si="306">AI71/AE71-1</f>
        <v>-0.280057562362953</v>
      </c>
      <c r="AJ72" s="154">
        <f t="shared" ref="AJ72" si="307">AJ71/AF71-1</f>
        <v>10.2750584967665</v>
      </c>
      <c r="AK72" s="154">
        <f t="shared" ref="AK72" si="308">AK71/AG71-1</f>
        <v>4.91159670268202</v>
      </c>
      <c r="AL72" s="154">
        <f t="shared" ref="AL72" si="309">AL71/AH71-1</f>
        <v>1.56023704302734</v>
      </c>
      <c r="AM72" s="154">
        <f t="shared" ref="AM72" si="310">AM71/AI71-1</f>
        <v>1.013694295882</v>
      </c>
      <c r="AN72" s="154">
        <f t="shared" ref="AN72" si="311">AN71/AJ71-1</f>
        <v>1.34457354974201</v>
      </c>
      <c r="AO72" s="154">
        <f t="shared" ref="AO72" si="312">AO71/AK71-1</f>
        <v>0.72171645723129</v>
      </c>
      <c r="AP72" s="154">
        <f t="shared" ref="AP72:AQ72" si="313">AP71/AL71-1</f>
        <v>0.21626089900798</v>
      </c>
      <c r="AQ72" s="154">
        <f t="shared" si="313"/>
        <v>0.203882982359824</v>
      </c>
      <c r="AR72" s="154">
        <f t="shared" ref="AR72" si="314">AR71/AN71-1</f>
        <v>0.590814027860795</v>
      </c>
      <c r="AS72" s="154">
        <f t="shared" ref="AS72" si="315">AS71/AO71-1</f>
        <v>0.187960853924071</v>
      </c>
      <c r="AT72" s="154">
        <f t="shared" ref="AT72" si="316">AT71/AP71-1</f>
        <v>0.843881555532693</v>
      </c>
      <c r="AU72" s="154">
        <f t="shared" ref="AU72" si="317">AU71/AQ71-1</f>
        <v>1.01962129550516</v>
      </c>
      <c r="AV72" s="154">
        <f t="shared" ref="AV72" si="318">AV71/AR71-1</f>
        <v>0.54543035293029</v>
      </c>
      <c r="AW72" s="154">
        <f t="shared" ref="AW72" si="319">AW71/AS71-1</f>
        <v>1.35440018755579</v>
      </c>
      <c r="AX72" s="154">
        <f t="shared" ref="AX72" si="320">AX71/AT71-1</f>
        <v>1.27736778908955</v>
      </c>
      <c r="AY72" s="154">
        <f t="shared" ref="AY72" si="321">AY71/AU71-1</f>
        <v>1.09773806014263</v>
      </c>
      <c r="AZ72" s="154">
        <f t="shared" ref="AZ72" si="322">AZ71/AV71-1</f>
        <v>0.846913127415212</v>
      </c>
      <c r="BA72" s="154">
        <f t="shared" ref="BA72" si="323">BA71/AW71-1</f>
        <v>0.435138372946191</v>
      </c>
      <c r="BB72" s="154">
        <f t="shared" ref="BB72" si="324">BB71/AX71-1</f>
        <v>0.366967988537562</v>
      </c>
      <c r="BC72" s="154">
        <f t="shared" ref="BC72" si="325">BC71/AY71-1</f>
        <v>0.302105045818837</v>
      </c>
      <c r="BD72" s="154"/>
      <c r="BE72" s="163"/>
      <c r="BF72" s="202"/>
      <c r="BG72" s="154"/>
      <c r="BH72" s="154" t="e">
        <f t="shared" ref="BH72" si="326">IF(OR((BG71&lt;=0),(BH71&lt;=0)),"     NM",((BH71/BG71)-1))</f>
        <v>#DIV/0!</v>
      </c>
      <c r="BI72" s="154" t="e">
        <f t="shared" ref="BI72" si="327">IF(OR((BH71&lt;=0),(BI71&lt;=0)),"     NM",((BI71/BH71)-1))</f>
        <v>#DIV/0!</v>
      </c>
      <c r="BJ72" s="154" t="e">
        <f t="shared" ref="BJ72" si="328">IF(OR((BI71&lt;=0),(BJ71&lt;=0)),"     NM",((BJ71/BI71)-1))</f>
        <v>#DIV/0!</v>
      </c>
      <c r="BK72" s="154" t="e">
        <f t="shared" ref="BK72" si="329">IF(OR((BJ71&lt;=0),(BK71&lt;=0)),"     NM",((BK71/BJ71)-1))</f>
        <v>#DIV/0!</v>
      </c>
      <c r="BL72" s="154" t="e">
        <f t="shared" ref="BL72" si="330">IF(OR((BK71&lt;=0),(BL71&lt;=0)),"     NM",((BL71/BK71)-1))</f>
        <v>#DIV/0!</v>
      </c>
      <c r="BM72" s="154" t="e">
        <f t="shared" ref="BM72" si="331">IF(OR((BL71&lt;=0),(BM71&lt;=0)),"     NM",((BM71/BL71)-1))</f>
        <v>#DIV/0!</v>
      </c>
      <c r="BN72" s="154">
        <f t="shared" ref="BN72" si="332">IF(OR((BM71&lt;=0),(BN71&lt;=0)),"     NM",((BN71/BM71)-1))</f>
        <v>-0.654262133477336</v>
      </c>
      <c r="BO72" s="154">
        <f t="shared" ref="BO72" si="333">IF(OR((BN71&lt;=0),(BO71&lt;=0)),"     NM",((BO71/BN71)-1))</f>
        <v>2.14034893122835</v>
      </c>
      <c r="BP72" s="154">
        <f t="shared" ref="BP72" si="334">IF(OR((BO71&lt;=0),(BP71&lt;=0)),"     NM",((BP71/BO71)-1))</f>
        <v>0.522502705135653</v>
      </c>
      <c r="BQ72" s="154">
        <f t="shared" ref="BQ72" si="335">IF(OR((BP71&lt;=0),(BQ71&lt;=0)),"     NM",((BQ71/BP71)-1))</f>
        <v>0.632564100664041</v>
      </c>
      <c r="BR72" s="154">
        <f t="shared" ref="BR72:BS72" si="336">IF(OR((BQ71&lt;=0),(BR71&lt;=0)),"     NM",((BR71/BQ71)-1))</f>
        <v>1.066966747967</v>
      </c>
      <c r="BS72" s="154">
        <f t="shared" si="336"/>
        <v>0.448395703209054</v>
      </c>
      <c r="BT72" s="78"/>
    </row>
    <row r="73" ht="12.75" customHeight="1" spans="1:81">
      <c r="A73" s="53"/>
      <c r="B73" s="53"/>
      <c r="C73" s="49"/>
      <c r="D73" s="84"/>
      <c r="E73" s="84"/>
      <c r="F73" s="185"/>
      <c r="G73" s="185"/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  <c r="AB73" s="185"/>
      <c r="AC73" s="185"/>
      <c r="AD73" s="185"/>
      <c r="AE73" s="185"/>
      <c r="AF73" s="185"/>
      <c r="AG73" s="185"/>
      <c r="AH73" s="185"/>
      <c r="AI73" s="185"/>
      <c r="AJ73" s="185"/>
      <c r="AK73" s="185"/>
      <c r="AL73" s="185"/>
      <c r="AM73" s="185"/>
      <c r="AN73" s="185"/>
      <c r="AO73" s="185"/>
      <c r="AP73" s="185"/>
      <c r="AQ73" s="185"/>
      <c r="AR73" s="185"/>
      <c r="AS73" s="185"/>
      <c r="AT73" s="185"/>
      <c r="AU73" s="185"/>
      <c r="AV73" s="185"/>
      <c r="AW73" s="185"/>
      <c r="AX73" s="185"/>
      <c r="AY73" s="185"/>
      <c r="AZ73" s="185"/>
      <c r="BA73" s="185"/>
      <c r="BB73" s="185"/>
      <c r="BC73" s="185"/>
      <c r="BD73" s="185"/>
      <c r="BE73" s="157"/>
      <c r="BF73" s="203"/>
      <c r="BG73" s="84"/>
      <c r="BH73" s="84"/>
      <c r="BI73" s="204"/>
      <c r="BJ73" s="145"/>
      <c r="BK73" s="145"/>
      <c r="BL73" s="145"/>
      <c r="BM73" s="204"/>
      <c r="BN73" s="204"/>
      <c r="BO73" s="204"/>
      <c r="BQ73" s="197"/>
      <c r="BR73" s="197"/>
      <c r="BS73" s="197"/>
    </row>
    <row r="74" ht="9.75" customHeight="1" spans="1:81">
      <c r="A74" s="53"/>
      <c r="B74" s="53"/>
      <c r="C74" s="49"/>
      <c r="D74" s="84"/>
      <c r="E74" s="84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  <c r="AK74" s="182"/>
      <c r="AL74" s="182"/>
      <c r="AM74" s="182"/>
      <c r="AN74" s="182"/>
      <c r="AO74" s="182"/>
      <c r="AP74" s="182"/>
      <c r="AQ74" s="182"/>
      <c r="AR74" s="182"/>
      <c r="AS74" s="182"/>
      <c r="AT74" s="182"/>
      <c r="AU74" s="182"/>
      <c r="AV74" s="182"/>
      <c r="AW74" s="182"/>
      <c r="AX74" s="182"/>
      <c r="AY74" s="182"/>
      <c r="AZ74" s="182"/>
      <c r="BA74" s="182"/>
      <c r="BB74" s="182"/>
      <c r="BC74" s="182"/>
      <c r="BD74" s="182"/>
      <c r="BE74" s="205"/>
      <c r="BF74" s="206"/>
      <c r="BG74" s="84"/>
      <c r="BH74" s="84"/>
      <c r="BI74" s="207"/>
      <c r="BJ74" s="207"/>
      <c r="BK74" s="207"/>
      <c r="BL74" s="207"/>
      <c r="BM74" s="207"/>
      <c r="BN74" s="207"/>
      <c r="BO74" s="208"/>
      <c r="BQ74" s="209"/>
    </row>
    <row r="75" s="104" customFormat="1" ht="9.75" customHeight="1" spans="1:81">
      <c r="A75" s="210"/>
      <c r="B75" s="210"/>
      <c r="C75" s="210"/>
      <c r="D75" s="210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  <c r="AA75" s="210"/>
      <c r="AB75" s="210"/>
      <c r="AC75" s="210"/>
      <c r="AD75" s="210"/>
      <c r="AE75" s="210"/>
      <c r="AF75" s="210"/>
      <c r="AG75" s="210"/>
      <c r="AH75" s="210"/>
      <c r="AI75" s="210"/>
      <c r="AJ75" s="210"/>
      <c r="AK75" s="210"/>
      <c r="AL75" s="210"/>
      <c r="AM75" s="210"/>
      <c r="AN75" s="210"/>
      <c r="AO75" s="210"/>
      <c r="AP75" s="210"/>
      <c r="AQ75" s="210"/>
      <c r="AR75" s="210"/>
      <c r="AS75" s="210"/>
      <c r="AT75" s="210"/>
      <c r="AU75" s="210"/>
      <c r="AV75" s="210"/>
      <c r="AW75" s="210"/>
      <c r="AX75" s="210"/>
      <c r="AY75" s="210"/>
      <c r="AZ75" s="210"/>
      <c r="BA75" s="210"/>
      <c r="BB75" s="210"/>
      <c r="BC75" s="210"/>
      <c r="BD75" s="210"/>
      <c r="BE75" s="211"/>
      <c r="BF75" s="212"/>
      <c r="BG75" s="213"/>
      <c r="BH75" s="213"/>
      <c r="BI75" s="213"/>
      <c r="BJ75" s="213"/>
      <c r="BK75" s="213"/>
      <c r="BL75" s="213"/>
      <c r="BM75" s="213"/>
      <c r="BN75" s="213"/>
      <c r="BO75" s="213"/>
      <c r="BP75" s="213"/>
      <c r="BQ75" s="213"/>
      <c r="BR75" s="213"/>
      <c r="BS75" s="213"/>
      <c r="BT75" s="210"/>
      <c r="BU75"/>
      <c r="BV75"/>
      <c r="BW75"/>
      <c r="BX75"/>
      <c r="BY75"/>
      <c r="BZ75"/>
    </row>
    <row r="76" s="104" customFormat="1" ht="9.75" customHeight="1" spans="1:81">
      <c r="A76" s="214" t="s">
        <v>446</v>
      </c>
      <c r="B76" s="214"/>
      <c r="C76" s="214"/>
      <c r="D76" s="215"/>
      <c r="E76" s="215"/>
      <c r="F76" s="215"/>
      <c r="G76" s="215"/>
      <c r="H76" s="215"/>
      <c r="I76" s="215"/>
      <c r="J76" s="215"/>
      <c r="K76" s="215"/>
      <c r="L76" s="215"/>
      <c r="M76" s="215"/>
      <c r="N76" s="215"/>
      <c r="O76" s="215"/>
      <c r="P76" s="215">
        <f>+P81</f>
        <v>1047.197</v>
      </c>
      <c r="Q76" s="215">
        <f t="shared" ref="Q76:AQ76" si="337">+Q81</f>
        <v>1047.197</v>
      </c>
      <c r="R76" s="216">
        <f t="shared" si="337"/>
        <v>1047.197</v>
      </c>
      <c r="S76" s="216">
        <f t="shared" si="337"/>
        <v>1060.066</v>
      </c>
      <c r="T76" s="216">
        <f t="shared" si="337"/>
        <v>1129.814</v>
      </c>
      <c r="U76" s="216">
        <f t="shared" si="337"/>
        <v>1129.814</v>
      </c>
      <c r="V76" s="216">
        <f t="shared" si="337"/>
        <v>1129.814</v>
      </c>
      <c r="W76" s="216">
        <f t="shared" si="337"/>
        <v>1129.814</v>
      </c>
      <c r="X76" s="216">
        <f t="shared" si="337"/>
        <v>1131.03</v>
      </c>
      <c r="Y76" s="216">
        <f t="shared" si="337"/>
        <v>1131.03</v>
      </c>
      <c r="Z76" s="216">
        <f t="shared" si="337"/>
        <v>1131.03</v>
      </c>
      <c r="AA76" s="216">
        <f t="shared" si="337"/>
        <v>1131.307</v>
      </c>
      <c r="AB76" s="216">
        <f t="shared" si="337"/>
        <v>1132.824</v>
      </c>
      <c r="AC76" s="216">
        <f t="shared" si="337"/>
        <v>1132.824</v>
      </c>
      <c r="AD76" s="216">
        <f t="shared" si="337"/>
        <v>1133.657</v>
      </c>
      <c r="AE76" s="216">
        <f t="shared" si="337"/>
        <v>1134.068</v>
      </c>
      <c r="AF76" s="216">
        <f t="shared" si="337"/>
        <v>1136.078</v>
      </c>
      <c r="AG76" s="216">
        <f t="shared" si="337"/>
        <v>1137.357</v>
      </c>
      <c r="AH76" s="216">
        <f t="shared" si="337"/>
        <v>1138.008</v>
      </c>
      <c r="AI76" s="216">
        <f t="shared" si="337"/>
        <v>1138.74</v>
      </c>
      <c r="AJ76" s="216">
        <f t="shared" si="337"/>
        <v>1141.461</v>
      </c>
      <c r="AK76" s="216">
        <f t="shared" si="337"/>
        <v>1141.461</v>
      </c>
      <c r="AL76" s="216">
        <f t="shared" si="337"/>
        <v>1124.227</v>
      </c>
      <c r="AM76" s="216">
        <f t="shared" si="337"/>
        <v>1129.423</v>
      </c>
      <c r="AN76" s="216">
        <f t="shared" si="337"/>
        <v>1144.789</v>
      </c>
      <c r="AO76" s="216">
        <f t="shared" si="337"/>
        <v>1136.344</v>
      </c>
      <c r="AP76" s="216">
        <f t="shared" si="337"/>
        <v>1136.344</v>
      </c>
      <c r="AQ76" s="216">
        <f t="shared" si="337"/>
        <v>1136.344</v>
      </c>
      <c r="AR76" s="216">
        <f>+AR77</f>
        <v>1160.78767123288</v>
      </c>
      <c r="AS76" s="216">
        <f>+AR76</f>
        <v>1160.78767123288</v>
      </c>
      <c r="AT76" s="216">
        <f t="shared" ref="AT76:BC76" si="338">+AS76</f>
        <v>1160.78767123288</v>
      </c>
      <c r="AU76" s="216">
        <f t="shared" si="338"/>
        <v>1160.78767123288</v>
      </c>
      <c r="AV76" s="216">
        <f t="shared" si="338"/>
        <v>1160.78767123288</v>
      </c>
      <c r="AW76" s="216">
        <f t="shared" si="338"/>
        <v>1160.78767123288</v>
      </c>
      <c r="AX76" s="216">
        <f t="shared" si="338"/>
        <v>1160.78767123288</v>
      </c>
      <c r="AY76" s="216">
        <f t="shared" si="338"/>
        <v>1160.78767123288</v>
      </c>
      <c r="AZ76" s="216">
        <f t="shared" si="338"/>
        <v>1160.78767123288</v>
      </c>
      <c r="BA76" s="216">
        <f t="shared" si="338"/>
        <v>1160.78767123288</v>
      </c>
      <c r="BB76" s="216">
        <f t="shared" si="338"/>
        <v>1160.78767123288</v>
      </c>
      <c r="BC76" s="216">
        <f t="shared" si="338"/>
        <v>1160.78767123288</v>
      </c>
      <c r="BD76" s="215"/>
      <c r="BE76" s="217"/>
      <c r="BF76" s="218"/>
      <c r="BG76" s="216">
        <v>0</v>
      </c>
      <c r="BH76" s="216">
        <v>0</v>
      </c>
      <c r="BI76" s="216">
        <v>0</v>
      </c>
      <c r="BJ76" s="216">
        <v>0</v>
      </c>
      <c r="BK76" s="216">
        <v>1129.814</v>
      </c>
      <c r="BL76" s="219">
        <f>AVERAGE(X76:AA76)</f>
        <v>1131.09925</v>
      </c>
      <c r="BM76" s="219">
        <f t="shared" ref="BM76:BP76" si="339">+BM81+BM89</f>
        <v>1133.34325</v>
      </c>
      <c r="BN76" s="219">
        <f t="shared" si="339"/>
        <v>1137.54575</v>
      </c>
      <c r="BO76" s="219">
        <f t="shared" si="339"/>
        <v>1134.143</v>
      </c>
      <c r="BP76" s="219">
        <f t="shared" si="339"/>
        <v>1138.45525</v>
      </c>
      <c r="BQ76" s="219">
        <f t="shared" ref="BQ76:BR78" si="340">+BQ81+BQ89</f>
        <v>1160.78767123288</v>
      </c>
      <c r="BR76" s="219">
        <f t="shared" si="340"/>
        <v>1160.78767123288</v>
      </c>
      <c r="BS76" s="219">
        <f t="shared" ref="BS76" si="341">+BS81+BS89</f>
        <v>1160.78767123288</v>
      </c>
      <c r="BT76" s="220"/>
      <c r="BU76"/>
      <c r="BV76"/>
      <c r="BW76"/>
      <c r="BX76"/>
      <c r="BY76"/>
      <c r="BZ76"/>
      <c r="CC76" s="220"/>
    </row>
    <row r="77" s="104" customFormat="1" ht="9.75" customHeight="1" spans="1:81">
      <c r="A77" s="221" t="s">
        <v>447</v>
      </c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1">
        <f t="shared" ref="P77:AQ77" si="342">+P82</f>
        <v>1047.197</v>
      </c>
      <c r="Q77" s="221">
        <f t="shared" si="342"/>
        <v>1047.197</v>
      </c>
      <c r="R77" s="222">
        <f t="shared" si="342"/>
        <v>1129.814</v>
      </c>
      <c r="S77" s="222">
        <f t="shared" si="342"/>
        <v>1129.814</v>
      </c>
      <c r="T77" s="222">
        <f t="shared" si="342"/>
        <v>1129.814</v>
      </c>
      <c r="U77" s="222">
        <f t="shared" si="342"/>
        <v>1129.814</v>
      </c>
      <c r="V77" s="222">
        <f t="shared" si="342"/>
        <v>1129.814</v>
      </c>
      <c r="W77" s="222">
        <f t="shared" si="342"/>
        <v>1129.814</v>
      </c>
      <c r="X77" s="222">
        <f t="shared" si="342"/>
        <v>1131.03</v>
      </c>
      <c r="Y77" s="222">
        <f t="shared" si="342"/>
        <v>1131.03</v>
      </c>
      <c r="Z77" s="222">
        <f t="shared" si="342"/>
        <v>1131.03</v>
      </c>
      <c r="AA77" s="222">
        <f t="shared" si="342"/>
        <v>1131.307</v>
      </c>
      <c r="AB77" s="222">
        <f t="shared" si="342"/>
        <v>1132.824</v>
      </c>
      <c r="AC77" s="222">
        <f t="shared" si="342"/>
        <v>1132.824</v>
      </c>
      <c r="AD77" s="222">
        <f t="shared" si="342"/>
        <v>1133.657</v>
      </c>
      <c r="AE77" s="222">
        <f t="shared" si="342"/>
        <v>1134.068</v>
      </c>
      <c r="AF77" s="222">
        <f t="shared" si="342"/>
        <v>1136.078</v>
      </c>
      <c r="AG77" s="222">
        <f t="shared" si="342"/>
        <v>1137.357</v>
      </c>
      <c r="AH77" s="222">
        <f t="shared" si="342"/>
        <v>1138.008</v>
      </c>
      <c r="AI77" s="222">
        <f t="shared" si="342"/>
        <v>1138.74</v>
      </c>
      <c r="AJ77" s="222">
        <f t="shared" si="342"/>
        <v>1141.461</v>
      </c>
      <c r="AK77" s="222">
        <f t="shared" si="342"/>
        <v>1141.461</v>
      </c>
      <c r="AL77" s="222">
        <f t="shared" si="342"/>
        <v>1124.227</v>
      </c>
      <c r="AM77" s="222">
        <f t="shared" si="342"/>
        <v>1129.423</v>
      </c>
      <c r="AN77" s="222">
        <f t="shared" si="342"/>
        <v>1144.789</v>
      </c>
      <c r="AO77" s="222">
        <f t="shared" si="342"/>
        <v>1136.344</v>
      </c>
      <c r="AP77" s="222">
        <f t="shared" si="342"/>
        <v>1136.344</v>
      </c>
      <c r="AQ77" s="222">
        <f t="shared" si="342"/>
        <v>1136.344</v>
      </c>
      <c r="AR77" s="216">
        <f>+AR57/AR65</f>
        <v>1160.78767123288</v>
      </c>
      <c r="AS77" s="216">
        <f t="shared" ref="AS77:BC77" si="343">+AR77</f>
        <v>1160.78767123288</v>
      </c>
      <c r="AT77" s="216">
        <f t="shared" si="343"/>
        <v>1160.78767123288</v>
      </c>
      <c r="AU77" s="216">
        <f t="shared" si="343"/>
        <v>1160.78767123288</v>
      </c>
      <c r="AV77" s="216">
        <f t="shared" si="343"/>
        <v>1160.78767123288</v>
      </c>
      <c r="AW77" s="216">
        <f t="shared" si="343"/>
        <v>1160.78767123288</v>
      </c>
      <c r="AX77" s="216">
        <f t="shared" si="343"/>
        <v>1160.78767123288</v>
      </c>
      <c r="AY77" s="216">
        <f t="shared" si="343"/>
        <v>1160.78767123288</v>
      </c>
      <c r="AZ77" s="216">
        <f t="shared" si="343"/>
        <v>1160.78767123288</v>
      </c>
      <c r="BA77" s="216">
        <f t="shared" si="343"/>
        <v>1160.78767123288</v>
      </c>
      <c r="BB77" s="216">
        <f t="shared" si="343"/>
        <v>1160.78767123288</v>
      </c>
      <c r="BC77" s="216">
        <f t="shared" si="343"/>
        <v>1160.78767123288</v>
      </c>
      <c r="BD77" s="221"/>
      <c r="BE77" s="217"/>
      <c r="BF77" s="218"/>
      <c r="BG77" s="216">
        <f>+BG76</f>
        <v>0</v>
      </c>
      <c r="BH77" s="216">
        <f>+BH76</f>
        <v>0</v>
      </c>
      <c r="BI77" s="216">
        <f>+BI76</f>
        <v>0</v>
      </c>
      <c r="BJ77" s="216">
        <f>+BJ76</f>
        <v>0</v>
      </c>
      <c r="BK77" s="216">
        <f>1129.814+5</f>
        <v>1134.814</v>
      </c>
      <c r="BL77" s="219">
        <f>AVERAGE(X77:AA77)</f>
        <v>1131.09925</v>
      </c>
      <c r="BM77" s="219">
        <f t="shared" ref="BM77:BP77" si="344">+BM82+BM90</f>
        <v>1133.34325</v>
      </c>
      <c r="BN77" s="219">
        <f t="shared" si="344"/>
        <v>1137.54575</v>
      </c>
      <c r="BO77" s="219">
        <f t="shared" si="344"/>
        <v>1134.143</v>
      </c>
      <c r="BP77" s="219">
        <f t="shared" si="344"/>
        <v>1138.45525</v>
      </c>
      <c r="BQ77" s="219">
        <f t="shared" si="340"/>
        <v>1160.78767123288</v>
      </c>
      <c r="BR77" s="219">
        <f t="shared" si="340"/>
        <v>1160.78767123288</v>
      </c>
      <c r="BS77" s="219">
        <f t="shared" ref="BS77" si="345">+BS82+BS90</f>
        <v>1160.78767123288</v>
      </c>
      <c r="BT77" s="221"/>
      <c r="BU77"/>
      <c r="BV77"/>
      <c r="BW77"/>
      <c r="BX77"/>
      <c r="BY77"/>
      <c r="BZ77"/>
      <c r="CC77" s="220"/>
    </row>
    <row r="78" s="104" customFormat="1" ht="9.75" customHeight="1" spans="1:81">
      <c r="A78" s="221" t="s">
        <v>448</v>
      </c>
      <c r="B78" s="221"/>
      <c r="C78" s="221"/>
      <c r="D78" s="221"/>
      <c r="E78" s="221"/>
      <c r="F78" s="221"/>
      <c r="G78" s="221"/>
      <c r="H78" s="221"/>
      <c r="I78" s="221"/>
      <c r="J78" s="221"/>
      <c r="K78" s="221"/>
      <c r="L78" s="221"/>
      <c r="M78" s="221"/>
      <c r="N78" s="221"/>
      <c r="O78" s="221"/>
      <c r="P78" s="221">
        <f t="shared" ref="P78:AQ78" si="346">+P83</f>
        <v>1047.197</v>
      </c>
      <c r="Q78" s="221">
        <f t="shared" si="346"/>
        <v>1047.197</v>
      </c>
      <c r="R78" s="222">
        <f t="shared" si="346"/>
        <v>1047.197</v>
      </c>
      <c r="S78" s="222">
        <f t="shared" si="346"/>
        <v>1060.066</v>
      </c>
      <c r="T78" s="222">
        <f t="shared" si="346"/>
        <v>1129.814</v>
      </c>
      <c r="U78" s="222">
        <f t="shared" si="346"/>
        <v>1129.814</v>
      </c>
      <c r="V78" s="222">
        <f t="shared" si="346"/>
        <v>1129.814</v>
      </c>
      <c r="W78" s="222">
        <f t="shared" si="346"/>
        <v>1129.814</v>
      </c>
      <c r="X78" s="222">
        <f t="shared" si="346"/>
        <v>1131.03</v>
      </c>
      <c r="Y78" s="222">
        <f t="shared" si="346"/>
        <v>1131.03</v>
      </c>
      <c r="Z78" s="222">
        <f t="shared" si="346"/>
        <v>1131.03</v>
      </c>
      <c r="AA78" s="222">
        <f t="shared" si="346"/>
        <v>1131.307</v>
      </c>
      <c r="AB78" s="222">
        <f t="shared" si="346"/>
        <v>1132.824</v>
      </c>
      <c r="AC78" s="222">
        <f t="shared" si="346"/>
        <v>1132.824</v>
      </c>
      <c r="AD78" s="222">
        <f t="shared" si="346"/>
        <v>1133.657</v>
      </c>
      <c r="AE78" s="222">
        <f t="shared" si="346"/>
        <v>1134.068</v>
      </c>
      <c r="AF78" s="222">
        <f t="shared" si="346"/>
        <v>1136.078</v>
      </c>
      <c r="AG78" s="222">
        <f t="shared" si="346"/>
        <v>1137.357</v>
      </c>
      <c r="AH78" s="222">
        <f t="shared" si="346"/>
        <v>1138.008</v>
      </c>
      <c r="AI78" s="222">
        <f t="shared" si="346"/>
        <v>1138.74</v>
      </c>
      <c r="AJ78" s="222">
        <f t="shared" si="346"/>
        <v>1141.461</v>
      </c>
      <c r="AK78" s="222">
        <f t="shared" si="346"/>
        <v>1141.461</v>
      </c>
      <c r="AL78" s="222">
        <f t="shared" si="346"/>
        <v>1124.227</v>
      </c>
      <c r="AM78" s="222">
        <f t="shared" si="346"/>
        <v>1129.423</v>
      </c>
      <c r="AN78" s="222">
        <f t="shared" si="346"/>
        <v>1144.789</v>
      </c>
      <c r="AO78" s="222">
        <f t="shared" si="346"/>
        <v>1136.344</v>
      </c>
      <c r="AP78" s="222">
        <f t="shared" si="346"/>
        <v>1136.344</v>
      </c>
      <c r="AQ78" s="222">
        <f t="shared" si="346"/>
        <v>1136.344</v>
      </c>
      <c r="AR78" s="216">
        <f>+AR77</f>
        <v>1160.78767123288</v>
      </c>
      <c r="AS78" s="216">
        <f t="shared" ref="AS78:BC78" si="347">+AR78</f>
        <v>1160.78767123288</v>
      </c>
      <c r="AT78" s="216">
        <f t="shared" si="347"/>
        <v>1160.78767123288</v>
      </c>
      <c r="AU78" s="216">
        <f t="shared" si="347"/>
        <v>1160.78767123288</v>
      </c>
      <c r="AV78" s="216">
        <f t="shared" si="347"/>
        <v>1160.78767123288</v>
      </c>
      <c r="AW78" s="216">
        <f t="shared" si="347"/>
        <v>1160.78767123288</v>
      </c>
      <c r="AX78" s="216">
        <f t="shared" si="347"/>
        <v>1160.78767123288</v>
      </c>
      <c r="AY78" s="216">
        <f t="shared" si="347"/>
        <v>1160.78767123288</v>
      </c>
      <c r="AZ78" s="216">
        <f t="shared" si="347"/>
        <v>1160.78767123288</v>
      </c>
      <c r="BA78" s="216">
        <f t="shared" si="347"/>
        <v>1160.78767123288</v>
      </c>
      <c r="BB78" s="216">
        <f t="shared" si="347"/>
        <v>1160.78767123288</v>
      </c>
      <c r="BC78" s="216">
        <f t="shared" si="347"/>
        <v>1160.78767123288</v>
      </c>
      <c r="BD78" s="221"/>
      <c r="BE78" s="217"/>
      <c r="BF78" s="218"/>
      <c r="BG78" s="222">
        <f>+'Balance Sheet'!AO56</f>
        <v>0</v>
      </c>
      <c r="BH78" s="222">
        <f>+'Balance Sheet'!AP56</f>
        <v>0</v>
      </c>
      <c r="BI78" s="222">
        <f>+'Balance Sheet'!AQ56</f>
        <v>0</v>
      </c>
      <c r="BJ78" s="222">
        <f>+'Balance Sheet'!AR56</f>
        <v>0</v>
      </c>
      <c r="BK78" s="222">
        <f>+'Balance Sheet'!AS56</f>
        <v>0</v>
      </c>
      <c r="BL78" s="222">
        <f>+'Balance Sheet'!AT56</f>
        <v>0</v>
      </c>
      <c r="BM78" s="219">
        <f t="shared" ref="BM78:BP78" si="348">+BM83+BM91</f>
        <v>1134.068</v>
      </c>
      <c r="BN78" s="219">
        <f t="shared" si="348"/>
        <v>1138.74</v>
      </c>
      <c r="BO78" s="219">
        <f t="shared" si="348"/>
        <v>1144.789</v>
      </c>
      <c r="BP78" s="219">
        <f t="shared" si="348"/>
        <v>1136.344</v>
      </c>
      <c r="BQ78" s="219">
        <f t="shared" si="340"/>
        <v>1160.78767123288</v>
      </c>
      <c r="BR78" s="219">
        <f t="shared" si="340"/>
        <v>1160.78767123288</v>
      </c>
      <c r="BS78" s="219">
        <f t="shared" ref="BS78" si="349">+BS83+BS91</f>
        <v>1160.78767123288</v>
      </c>
      <c r="BT78" s="221"/>
      <c r="BU78"/>
      <c r="BV78"/>
      <c r="BW78"/>
      <c r="BX78"/>
      <c r="BY78"/>
      <c r="BZ78"/>
      <c r="CC78" s="220"/>
    </row>
    <row r="79" ht="9.75" customHeight="1" spans="1:81">
      <c r="A79" s="53" t="s">
        <v>449</v>
      </c>
      <c r="B79" s="53"/>
      <c r="C79" s="53"/>
      <c r="D79" s="223"/>
      <c r="E79" s="223"/>
      <c r="F79" s="223"/>
      <c r="G79" s="223"/>
      <c r="H79" s="223"/>
      <c r="I79" s="223"/>
      <c r="J79" s="223"/>
      <c r="K79" s="223"/>
      <c r="L79" s="223"/>
      <c r="M79" s="223"/>
      <c r="N79" s="223"/>
      <c r="O79" s="223"/>
      <c r="P79" s="223">
        <v>0.25</v>
      </c>
      <c r="Q79" s="223">
        <v>0.25</v>
      </c>
      <c r="R79" s="223">
        <v>0.25</v>
      </c>
      <c r="S79" s="223">
        <v>0.25</v>
      </c>
      <c r="T79" s="223">
        <v>0.25</v>
      </c>
      <c r="U79" s="223">
        <v>0.25</v>
      </c>
      <c r="V79" s="223">
        <v>0.25</v>
      </c>
      <c r="W79" s="223">
        <v>0.25</v>
      </c>
      <c r="X79" s="223">
        <v>0.25</v>
      </c>
      <c r="Y79" s="223">
        <v>0.25</v>
      </c>
      <c r="Z79" s="223">
        <v>0.25</v>
      </c>
      <c r="AA79" s="223">
        <v>0.25</v>
      </c>
      <c r="AB79" s="223">
        <v>0.25</v>
      </c>
      <c r="AC79" s="223">
        <v>0.25</v>
      </c>
      <c r="AD79" s="223">
        <v>0.25</v>
      </c>
      <c r="AE79" s="223">
        <v>0.25</v>
      </c>
      <c r="AF79" s="223">
        <v>0.25</v>
      </c>
      <c r="AG79" s="223">
        <v>0.25</v>
      </c>
      <c r="AH79" s="223">
        <v>0.25</v>
      </c>
      <c r="AI79" s="223">
        <v>0.25</v>
      </c>
      <c r="AJ79" s="223">
        <v>0.25</v>
      </c>
      <c r="AK79" s="223">
        <v>0.25</v>
      </c>
      <c r="AL79" s="223">
        <v>0.25</v>
      </c>
      <c r="AM79" s="223">
        <v>0.25</v>
      </c>
      <c r="AN79" s="223">
        <v>0.25</v>
      </c>
      <c r="AO79" s="223">
        <v>0.25</v>
      </c>
      <c r="AP79" s="223">
        <v>0.25</v>
      </c>
      <c r="AQ79" s="223">
        <v>0.25</v>
      </c>
      <c r="AR79" s="223">
        <v>0.25</v>
      </c>
      <c r="AS79" s="223">
        <v>0.25</v>
      </c>
      <c r="AT79" s="223">
        <v>0.25</v>
      </c>
      <c r="AU79" s="223">
        <v>0.25</v>
      </c>
      <c r="AV79" s="223">
        <v>0.25</v>
      </c>
      <c r="AW79" s="223">
        <v>0.25</v>
      </c>
      <c r="AX79" s="223">
        <v>0.25</v>
      </c>
      <c r="AY79" s="223">
        <v>0.25</v>
      </c>
      <c r="AZ79" s="223">
        <v>0.25</v>
      </c>
      <c r="BA79" s="223">
        <v>0.25</v>
      </c>
      <c r="BB79" s="223">
        <v>0.25</v>
      </c>
      <c r="BC79" s="223">
        <v>0.25</v>
      </c>
      <c r="BD79" s="223"/>
      <c r="BE79" s="224"/>
      <c r="BF79" s="212"/>
      <c r="BG79" s="223">
        <v>0.25</v>
      </c>
      <c r="BH79" s="223">
        <v>0.25</v>
      </c>
      <c r="BI79" s="223">
        <v>0.25</v>
      </c>
      <c r="BJ79" s="223">
        <v>0.25</v>
      </c>
      <c r="BK79" s="223">
        <v>0.25</v>
      </c>
      <c r="BL79" s="223">
        <v>0.25</v>
      </c>
      <c r="BM79" s="223">
        <v>0.25</v>
      </c>
      <c r="BN79" s="223">
        <v>0.25</v>
      </c>
      <c r="BO79" s="223">
        <v>0.25</v>
      </c>
      <c r="BP79" s="223">
        <v>0.25</v>
      </c>
      <c r="BQ79" s="223">
        <v>0.25</v>
      </c>
      <c r="BR79" s="223">
        <v>0.25</v>
      </c>
      <c r="BS79" s="223">
        <v>0.25</v>
      </c>
      <c r="BT79" s="53"/>
    </row>
    <row r="80" ht="9.75" customHeight="1" spans="1:8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  <c r="BE80" s="211"/>
      <c r="BF80" s="212"/>
      <c r="BG80" s="225"/>
      <c r="BH80" s="225"/>
      <c r="BI80" s="225"/>
      <c r="BJ80" s="225"/>
      <c r="BK80" s="225"/>
      <c r="BL80" s="225"/>
      <c r="BM80" s="225"/>
      <c r="BN80" s="225"/>
      <c r="BO80" s="225"/>
      <c r="BP80" s="225"/>
      <c r="BQ80" s="225"/>
      <c r="BR80" s="225"/>
      <c r="BS80" s="225"/>
      <c r="BT80" s="53"/>
    </row>
    <row r="81" s="104" customFormat="1" ht="9.75" customHeight="1" spans="1:81">
      <c r="A81" s="214" t="s">
        <v>450</v>
      </c>
      <c r="B81" s="214"/>
      <c r="C81" s="214"/>
      <c r="D81" s="215"/>
      <c r="E81" s="215"/>
      <c r="F81" s="215"/>
      <c r="G81" s="215"/>
      <c r="H81" s="215"/>
      <c r="I81" s="215"/>
      <c r="J81" s="215"/>
      <c r="K81" s="215"/>
      <c r="L81" s="215"/>
      <c r="M81" s="215"/>
      <c r="N81" s="215"/>
      <c r="O81" s="215"/>
      <c r="P81" s="226">
        <f>+Q81</f>
        <v>1047.197</v>
      </c>
      <c r="Q81" s="226">
        <f>+R81</f>
        <v>1047.197</v>
      </c>
      <c r="R81" s="227">
        <v>1047.197</v>
      </c>
      <c r="S81" s="227">
        <v>1060.066</v>
      </c>
      <c r="T81" s="227">
        <v>1129.814</v>
      </c>
      <c r="U81" s="227">
        <v>1129.814</v>
      </c>
      <c r="V81" s="227">
        <v>1129.814</v>
      </c>
      <c r="W81" s="227">
        <v>1129.814</v>
      </c>
      <c r="X81" s="227">
        <v>1131.03</v>
      </c>
      <c r="Y81" s="227">
        <v>1131.03</v>
      </c>
      <c r="Z81" s="227">
        <v>1131.03</v>
      </c>
      <c r="AA81" s="227">
        <v>1131.307</v>
      </c>
      <c r="AB81" s="227">
        <v>1132.824</v>
      </c>
      <c r="AC81" s="227">
        <v>1132.824</v>
      </c>
      <c r="AD81" s="227">
        <v>1133.657</v>
      </c>
      <c r="AE81" s="227">
        <v>1134.068</v>
      </c>
      <c r="AF81" s="227">
        <v>1136.078</v>
      </c>
      <c r="AG81" s="227">
        <v>1137.357</v>
      </c>
      <c r="AH81" s="227">
        <v>1138.008</v>
      </c>
      <c r="AI81" s="227">
        <v>1138.74</v>
      </c>
      <c r="AJ81" s="227">
        <v>1141.461</v>
      </c>
      <c r="AK81" s="227">
        <v>1141.461</v>
      </c>
      <c r="AL81" s="227">
        <v>1124.227</v>
      </c>
      <c r="AM81" s="227">
        <v>1129.423</v>
      </c>
      <c r="AN81" s="227">
        <v>1144.789</v>
      </c>
      <c r="AO81" s="227">
        <v>1136.344</v>
      </c>
      <c r="AP81" s="227">
        <f t="shared" ref="AP81:AQ81" si="350">AO81</f>
        <v>1136.344</v>
      </c>
      <c r="AQ81" s="227">
        <f t="shared" si="350"/>
        <v>1136.344</v>
      </c>
      <c r="AR81" s="227">
        <f>+AQ81</f>
        <v>1136.344</v>
      </c>
      <c r="AS81" s="227">
        <f t="shared" ref="AS81:BC81" si="351">+AR81</f>
        <v>1136.344</v>
      </c>
      <c r="AT81" s="227">
        <f t="shared" si="351"/>
        <v>1136.344</v>
      </c>
      <c r="AU81" s="227">
        <f t="shared" si="351"/>
        <v>1136.344</v>
      </c>
      <c r="AV81" s="227">
        <f t="shared" si="351"/>
        <v>1136.344</v>
      </c>
      <c r="AW81" s="227">
        <f t="shared" si="351"/>
        <v>1136.344</v>
      </c>
      <c r="AX81" s="227">
        <f t="shared" si="351"/>
        <v>1136.344</v>
      </c>
      <c r="AY81" s="227">
        <f t="shared" si="351"/>
        <v>1136.344</v>
      </c>
      <c r="AZ81" s="227">
        <f t="shared" si="351"/>
        <v>1136.344</v>
      </c>
      <c r="BA81" s="227">
        <f t="shared" si="351"/>
        <v>1136.344</v>
      </c>
      <c r="BB81" s="227">
        <f t="shared" si="351"/>
        <v>1136.344</v>
      </c>
      <c r="BC81" s="227">
        <f t="shared" si="351"/>
        <v>1136.344</v>
      </c>
      <c r="BD81" s="226"/>
      <c r="BE81" s="217"/>
      <c r="BF81" s="218"/>
      <c r="BG81" s="227">
        <v>757.032</v>
      </c>
      <c r="BH81" s="227">
        <v>757.032</v>
      </c>
      <c r="BI81" s="227">
        <v>847.87584</v>
      </c>
      <c r="BJ81" s="227">
        <v>1060.066</v>
      </c>
      <c r="BK81" s="227">
        <v>1129.814</v>
      </c>
      <c r="BL81" s="228">
        <f>AVERAGE(X81:AA81)</f>
        <v>1131.09925</v>
      </c>
      <c r="BM81" s="228">
        <f>AVERAGE(AB81:AE81)</f>
        <v>1133.34325</v>
      </c>
      <c r="BN81" s="228">
        <f>AVERAGE(AF81:AI81)</f>
        <v>1137.54575</v>
      </c>
      <c r="BO81" s="228">
        <f>AVERAGE(AJ81:AM81)</f>
        <v>1134.143</v>
      </c>
      <c r="BP81" s="228">
        <f>AVERAGE(AN81:AQ81)</f>
        <v>1138.45525</v>
      </c>
      <c r="BQ81" s="228">
        <f>AVERAGE(AR81:AU81)</f>
        <v>1136.344</v>
      </c>
      <c r="BR81" s="228">
        <f>AVERAGE(AV81:AY81)</f>
        <v>1136.344</v>
      </c>
      <c r="BS81" s="228">
        <f>AVERAGE(AZ81:BC81)</f>
        <v>1136.344</v>
      </c>
      <c r="BT81" s="220"/>
      <c r="BU81"/>
      <c r="BV81"/>
      <c r="BW81"/>
      <c r="BX81"/>
      <c r="BY81"/>
      <c r="BZ81"/>
      <c r="CC81" s="220"/>
    </row>
    <row r="82" s="104" customFormat="1" ht="9.75" customHeight="1" spans="1:81">
      <c r="A82" s="221" t="s">
        <v>451</v>
      </c>
      <c r="B82" s="221"/>
      <c r="C82" s="221"/>
      <c r="D82" s="221"/>
      <c r="E82" s="221"/>
      <c r="F82" s="221"/>
      <c r="G82" s="221"/>
      <c r="H82" s="221"/>
      <c r="I82" s="221"/>
      <c r="J82" s="221"/>
      <c r="K82" s="221"/>
      <c r="L82" s="221"/>
      <c r="M82" s="221"/>
      <c r="N82" s="221"/>
      <c r="O82" s="221"/>
      <c r="P82" s="229">
        <f>P81</f>
        <v>1047.197</v>
      </c>
      <c r="Q82" s="229">
        <f>Q81</f>
        <v>1047.197</v>
      </c>
      <c r="R82" s="195">
        <v>1129.814</v>
      </c>
      <c r="S82" s="195">
        <v>1129.814</v>
      </c>
      <c r="T82" s="195">
        <v>1129.814</v>
      </c>
      <c r="U82" s="195">
        <v>1129.814</v>
      </c>
      <c r="V82" s="195">
        <v>1129.814</v>
      </c>
      <c r="W82" s="195">
        <v>1129.814</v>
      </c>
      <c r="X82" s="195">
        <v>1131.03</v>
      </c>
      <c r="Y82" s="195">
        <v>1131.03</v>
      </c>
      <c r="Z82" s="195">
        <v>1131.03</v>
      </c>
      <c r="AA82" s="195">
        <f>AA81</f>
        <v>1131.307</v>
      </c>
      <c r="AB82" s="195">
        <f t="shared" ref="AB82:AH82" si="352">AB81</f>
        <v>1132.824</v>
      </c>
      <c r="AC82" s="195">
        <f t="shared" si="352"/>
        <v>1132.824</v>
      </c>
      <c r="AD82" s="195">
        <f t="shared" si="352"/>
        <v>1133.657</v>
      </c>
      <c r="AE82" s="195">
        <f t="shared" si="352"/>
        <v>1134.068</v>
      </c>
      <c r="AF82" s="195">
        <f t="shared" si="352"/>
        <v>1136.078</v>
      </c>
      <c r="AG82" s="195">
        <f t="shared" si="352"/>
        <v>1137.357</v>
      </c>
      <c r="AH82" s="195">
        <f t="shared" si="352"/>
        <v>1138.008</v>
      </c>
      <c r="AI82" s="195">
        <f t="shared" ref="AI82" si="353">AI81</f>
        <v>1138.74</v>
      </c>
      <c r="AJ82" s="195">
        <f t="shared" ref="AJ82:AQ82" si="354">AJ81</f>
        <v>1141.461</v>
      </c>
      <c r="AK82" s="195">
        <f t="shared" ref="AK82" si="355">AK81</f>
        <v>1141.461</v>
      </c>
      <c r="AL82" s="195">
        <f t="shared" si="354"/>
        <v>1124.227</v>
      </c>
      <c r="AM82" s="195">
        <f t="shared" ref="AM82:AN82" si="356">AM81</f>
        <v>1129.423</v>
      </c>
      <c r="AN82" s="195">
        <f t="shared" si="356"/>
        <v>1144.789</v>
      </c>
      <c r="AO82" s="195">
        <f t="shared" ref="AO82" si="357">AO81</f>
        <v>1136.344</v>
      </c>
      <c r="AP82" s="195">
        <f t="shared" si="354"/>
        <v>1136.344</v>
      </c>
      <c r="AQ82" s="195">
        <f t="shared" si="354"/>
        <v>1136.344</v>
      </c>
      <c r="AR82" s="227">
        <f t="shared" ref="AR82:BC82" si="358">+AQ82</f>
        <v>1136.344</v>
      </c>
      <c r="AS82" s="227">
        <f t="shared" si="358"/>
        <v>1136.344</v>
      </c>
      <c r="AT82" s="227">
        <f t="shared" si="358"/>
        <v>1136.344</v>
      </c>
      <c r="AU82" s="227">
        <f t="shared" si="358"/>
        <v>1136.344</v>
      </c>
      <c r="AV82" s="227">
        <f t="shared" si="358"/>
        <v>1136.344</v>
      </c>
      <c r="AW82" s="227">
        <f t="shared" si="358"/>
        <v>1136.344</v>
      </c>
      <c r="AX82" s="227">
        <f t="shared" si="358"/>
        <v>1136.344</v>
      </c>
      <c r="AY82" s="227">
        <f t="shared" si="358"/>
        <v>1136.344</v>
      </c>
      <c r="AZ82" s="227">
        <f t="shared" si="358"/>
        <v>1136.344</v>
      </c>
      <c r="BA82" s="227">
        <f t="shared" si="358"/>
        <v>1136.344</v>
      </c>
      <c r="BB82" s="227">
        <f t="shared" si="358"/>
        <v>1136.344</v>
      </c>
      <c r="BC82" s="227">
        <f t="shared" si="358"/>
        <v>1136.344</v>
      </c>
      <c r="BD82" s="229"/>
      <c r="BE82" s="217"/>
      <c r="BF82" s="218"/>
      <c r="BG82" s="227">
        <f>+BG81</f>
        <v>757.032</v>
      </c>
      <c r="BH82" s="227">
        <f>+BH81</f>
        <v>757.032</v>
      </c>
      <c r="BI82" s="227">
        <f>+BI81</f>
        <v>847.87584</v>
      </c>
      <c r="BJ82" s="227">
        <f>+BJ81</f>
        <v>1060.066</v>
      </c>
      <c r="BK82" s="227">
        <f>1129.814+5</f>
        <v>1134.814</v>
      </c>
      <c r="BL82" s="228">
        <f>AVERAGE(X82:AA82)</f>
        <v>1131.09925</v>
      </c>
      <c r="BM82" s="228">
        <f>AVERAGE(AB82:AE82)</f>
        <v>1133.34325</v>
      </c>
      <c r="BN82" s="228">
        <f>AVERAGE(AF82:AI82)</f>
        <v>1137.54575</v>
      </c>
      <c r="BO82" s="228">
        <f>AVERAGE(AJ82:AM82)</f>
        <v>1134.143</v>
      </c>
      <c r="BP82" s="228">
        <f>AVERAGE(AN82:AQ82)</f>
        <v>1138.45525</v>
      </c>
      <c r="BQ82" s="228">
        <f>AVERAGE(AR82:AU82)</f>
        <v>1136.344</v>
      </c>
      <c r="BR82" s="228">
        <f>AVERAGE(AV82:AY82)</f>
        <v>1136.344</v>
      </c>
      <c r="BS82" s="228">
        <f>AVERAGE(AZ82:BC82)</f>
        <v>1136.344</v>
      </c>
      <c r="BT82" s="221"/>
      <c r="BU82"/>
      <c r="BV82"/>
      <c r="BW82"/>
      <c r="BX82"/>
      <c r="BY82"/>
      <c r="BZ82"/>
      <c r="CC82" s="220"/>
    </row>
    <row r="83" s="104" customFormat="1" ht="9.75" customHeight="1" spans="1:81">
      <c r="A83" s="221" t="s">
        <v>452</v>
      </c>
      <c r="B83" s="221"/>
      <c r="C83" s="221"/>
      <c r="D83" s="221"/>
      <c r="E83" s="221"/>
      <c r="F83" s="221"/>
      <c r="G83" s="221"/>
      <c r="H83" s="221"/>
      <c r="I83" s="221"/>
      <c r="J83" s="221"/>
      <c r="K83" s="221"/>
      <c r="L83" s="221"/>
      <c r="M83" s="221"/>
      <c r="N83" s="221"/>
      <c r="O83" s="221"/>
      <c r="P83" s="229">
        <f>P81</f>
        <v>1047.197</v>
      </c>
      <c r="Q83" s="229">
        <f t="shared" ref="Q83:AH83" si="359">Q81</f>
        <v>1047.197</v>
      </c>
      <c r="R83" s="195">
        <f t="shared" si="359"/>
        <v>1047.197</v>
      </c>
      <c r="S83" s="195">
        <f t="shared" si="359"/>
        <v>1060.066</v>
      </c>
      <c r="T83" s="195">
        <f t="shared" si="359"/>
        <v>1129.814</v>
      </c>
      <c r="U83" s="195">
        <f t="shared" si="359"/>
        <v>1129.814</v>
      </c>
      <c r="V83" s="195">
        <f t="shared" si="359"/>
        <v>1129.814</v>
      </c>
      <c r="W83" s="195">
        <f t="shared" si="359"/>
        <v>1129.814</v>
      </c>
      <c r="X83" s="195">
        <f t="shared" si="359"/>
        <v>1131.03</v>
      </c>
      <c r="Y83" s="195">
        <f t="shared" si="359"/>
        <v>1131.03</v>
      </c>
      <c r="Z83" s="195">
        <f t="shared" si="359"/>
        <v>1131.03</v>
      </c>
      <c r="AA83" s="195">
        <f t="shared" si="359"/>
        <v>1131.307</v>
      </c>
      <c r="AB83" s="195">
        <f t="shared" si="359"/>
        <v>1132.824</v>
      </c>
      <c r="AC83" s="195">
        <f t="shared" si="359"/>
        <v>1132.824</v>
      </c>
      <c r="AD83" s="195">
        <f t="shared" si="359"/>
        <v>1133.657</v>
      </c>
      <c r="AE83" s="195">
        <f t="shared" si="359"/>
        <v>1134.068</v>
      </c>
      <c r="AF83" s="195">
        <f t="shared" si="359"/>
        <v>1136.078</v>
      </c>
      <c r="AG83" s="195">
        <f t="shared" si="359"/>
        <v>1137.357</v>
      </c>
      <c r="AH83" s="195">
        <f t="shared" si="359"/>
        <v>1138.008</v>
      </c>
      <c r="AI83" s="195">
        <f t="shared" ref="AI83:AQ83" si="360">AI81</f>
        <v>1138.74</v>
      </c>
      <c r="AJ83" s="195">
        <f t="shared" si="360"/>
        <v>1141.461</v>
      </c>
      <c r="AK83" s="195">
        <f t="shared" si="360"/>
        <v>1141.461</v>
      </c>
      <c r="AL83" s="195">
        <f t="shared" si="360"/>
        <v>1124.227</v>
      </c>
      <c r="AM83" s="195">
        <f t="shared" si="360"/>
        <v>1129.423</v>
      </c>
      <c r="AN83" s="195">
        <f t="shared" si="360"/>
        <v>1144.789</v>
      </c>
      <c r="AO83" s="195">
        <f t="shared" si="360"/>
        <v>1136.344</v>
      </c>
      <c r="AP83" s="195">
        <f t="shared" si="360"/>
        <v>1136.344</v>
      </c>
      <c r="AQ83" s="195">
        <f t="shared" si="360"/>
        <v>1136.344</v>
      </c>
      <c r="AR83" s="227">
        <f t="shared" ref="AR83:BC83" si="361">+AQ83</f>
        <v>1136.344</v>
      </c>
      <c r="AS83" s="227">
        <f t="shared" si="361"/>
        <v>1136.344</v>
      </c>
      <c r="AT83" s="227">
        <f t="shared" si="361"/>
        <v>1136.344</v>
      </c>
      <c r="AU83" s="227">
        <f t="shared" si="361"/>
        <v>1136.344</v>
      </c>
      <c r="AV83" s="227">
        <f t="shared" si="361"/>
        <v>1136.344</v>
      </c>
      <c r="AW83" s="227">
        <f t="shared" si="361"/>
        <v>1136.344</v>
      </c>
      <c r="AX83" s="227">
        <f t="shared" si="361"/>
        <v>1136.344</v>
      </c>
      <c r="AY83" s="227">
        <f t="shared" si="361"/>
        <v>1136.344</v>
      </c>
      <c r="AZ83" s="227">
        <f t="shared" si="361"/>
        <v>1136.344</v>
      </c>
      <c r="BA83" s="227">
        <f t="shared" si="361"/>
        <v>1136.344</v>
      </c>
      <c r="BB83" s="227">
        <f t="shared" si="361"/>
        <v>1136.344</v>
      </c>
      <c r="BC83" s="227">
        <f t="shared" si="361"/>
        <v>1136.344</v>
      </c>
      <c r="BD83" s="229"/>
      <c r="BE83" s="217"/>
      <c r="BF83" s="218"/>
      <c r="BG83" s="195">
        <f>+'Balance Sheet'!AO35</f>
        <v>757.032</v>
      </c>
      <c r="BH83" s="195">
        <f>+'Balance Sheet'!AP35</f>
        <v>757.032</v>
      </c>
      <c r="BI83" s="195">
        <f>+'Balance Sheet'!AQ35</f>
        <v>1016.833</v>
      </c>
      <c r="BJ83" s="195">
        <f>+'Balance Sheet'!AR35</f>
        <v>1129.814</v>
      </c>
      <c r="BK83" s="195">
        <f>+'Balance Sheet'!AS35</f>
        <v>1129.814</v>
      </c>
      <c r="BL83" s="195">
        <f>+'Balance Sheet'!AT35</f>
        <v>1131.307</v>
      </c>
      <c r="BM83" s="195">
        <f>+'Balance Sheet'!AU35</f>
        <v>1134.068</v>
      </c>
      <c r="BN83" s="195">
        <f>+'Balance Sheet'!AV35</f>
        <v>1138.74</v>
      </c>
      <c r="BO83" s="195">
        <f>+'Balance Sheet'!AW35</f>
        <v>1144.789</v>
      </c>
      <c r="BP83" s="228">
        <f>+AQ83</f>
        <v>1136.344</v>
      </c>
      <c r="BQ83" s="228">
        <f>+AU83</f>
        <v>1136.344</v>
      </c>
      <c r="BR83" s="228">
        <f>+AY83</f>
        <v>1136.344</v>
      </c>
      <c r="BS83" s="228">
        <f>+BC83</f>
        <v>1136.344</v>
      </c>
      <c r="BT83" s="221"/>
      <c r="BU83"/>
      <c r="BV83"/>
      <c r="BW83"/>
      <c r="BX83"/>
      <c r="BY83"/>
      <c r="BZ83"/>
      <c r="CC83" s="220"/>
    </row>
    <row r="84" s="104" customFormat="1" ht="9.75" customHeight="1" spans="1:81">
      <c r="A84" s="210"/>
      <c r="B84" s="210"/>
      <c r="C84" s="210"/>
      <c r="D84" s="230"/>
      <c r="E84" s="230"/>
      <c r="F84" s="230"/>
      <c r="G84" s="230"/>
      <c r="H84" s="230"/>
      <c r="I84" s="230"/>
      <c r="J84" s="230"/>
      <c r="K84" s="230"/>
      <c r="L84" s="230"/>
      <c r="M84" s="230"/>
      <c r="N84" s="230"/>
      <c r="O84" s="230"/>
      <c r="P84" s="230"/>
      <c r="Q84" s="230"/>
      <c r="R84" s="230"/>
      <c r="S84" s="230"/>
      <c r="T84" s="230"/>
      <c r="U84" s="230"/>
      <c r="V84" s="230"/>
      <c r="W84" s="230"/>
      <c r="X84" s="230"/>
      <c r="Y84" s="230"/>
      <c r="Z84" s="230"/>
      <c r="AA84" s="230"/>
      <c r="AB84" s="230"/>
      <c r="AC84" s="230"/>
      <c r="AD84" s="230"/>
      <c r="AE84" s="230"/>
      <c r="AF84" s="230"/>
      <c r="AG84" s="230"/>
      <c r="AH84" s="230"/>
      <c r="AI84" s="230"/>
      <c r="AJ84" s="230"/>
      <c r="AK84" s="230"/>
      <c r="AL84" s="230"/>
      <c r="AM84" s="230"/>
      <c r="AN84" s="230"/>
      <c r="AO84" s="230"/>
      <c r="AP84" s="230"/>
      <c r="AQ84" s="230"/>
      <c r="AR84" s="230"/>
      <c r="AS84" s="230"/>
      <c r="AT84" s="230"/>
      <c r="AU84" s="230"/>
      <c r="AV84" s="230"/>
      <c r="AW84" s="230"/>
      <c r="AX84" s="230"/>
      <c r="AY84" s="230"/>
      <c r="AZ84" s="230"/>
      <c r="BA84" s="230"/>
      <c r="BB84" s="230"/>
      <c r="BC84" s="230"/>
      <c r="BD84" s="230"/>
      <c r="BE84" s="224"/>
      <c r="BF84" s="212"/>
      <c r="BG84" s="230"/>
      <c r="BH84" s="230"/>
      <c r="BI84" s="230"/>
      <c r="BJ84" s="230"/>
      <c r="BK84" s="230"/>
      <c r="BL84" s="230"/>
      <c r="BM84" s="230"/>
      <c r="BN84" s="230"/>
      <c r="BO84" s="230"/>
      <c r="BP84" s="230"/>
      <c r="BQ84" s="230"/>
      <c r="BR84" s="230"/>
      <c r="BS84" s="230"/>
      <c r="BT84" s="210"/>
      <c r="BU84"/>
      <c r="BV84"/>
      <c r="BW84"/>
      <c r="BX84"/>
      <c r="BY84"/>
      <c r="BZ84"/>
    </row>
    <row r="85" s="104" customFormat="1" ht="9.75" customHeight="1" spans="1:81">
      <c r="A85" s="210"/>
      <c r="B85" s="210"/>
      <c r="C85" s="210"/>
      <c r="D85" s="230"/>
      <c r="E85" s="230"/>
      <c r="F85" s="230"/>
      <c r="G85" s="230"/>
      <c r="H85" s="230"/>
      <c r="I85" s="230"/>
      <c r="J85" s="230"/>
      <c r="K85" s="230"/>
      <c r="L85" s="230"/>
      <c r="M85" s="230"/>
      <c r="N85" s="230"/>
      <c r="O85" s="230"/>
      <c r="P85" s="230"/>
      <c r="Q85" s="230"/>
      <c r="R85" s="230"/>
      <c r="S85" s="230"/>
      <c r="T85" s="230"/>
      <c r="U85" s="230"/>
      <c r="V85" s="230"/>
      <c r="W85" s="230"/>
      <c r="X85" s="230"/>
      <c r="Y85" s="230"/>
      <c r="Z85" s="230"/>
      <c r="AA85" s="230"/>
      <c r="AB85" s="230"/>
      <c r="AC85" s="230"/>
      <c r="AD85" s="230"/>
      <c r="AE85" s="230"/>
      <c r="AF85" s="230"/>
      <c r="AG85" s="230"/>
      <c r="AH85" s="230"/>
      <c r="AI85" s="230"/>
      <c r="AJ85" s="230"/>
      <c r="AK85" s="230"/>
      <c r="AL85" s="230"/>
      <c r="AM85" s="230"/>
      <c r="AN85" s="230"/>
      <c r="AO85" s="230"/>
      <c r="AP85" s="230"/>
      <c r="AQ85" s="230"/>
      <c r="AR85" s="230"/>
      <c r="AS85" s="230"/>
      <c r="AT85" s="230"/>
      <c r="AU85" s="230"/>
      <c r="AV85" s="230"/>
      <c r="AW85" s="230"/>
      <c r="AX85" s="230"/>
      <c r="AY85" s="230"/>
      <c r="AZ85" s="230"/>
      <c r="BA85" s="230"/>
      <c r="BB85" s="230"/>
      <c r="BC85" s="230"/>
      <c r="BD85" s="230"/>
      <c r="BE85" s="224"/>
      <c r="BF85" s="212"/>
      <c r="BG85" s="230"/>
      <c r="BH85" s="230"/>
      <c r="BI85" s="230"/>
      <c r="BJ85" s="230"/>
      <c r="BK85" s="230"/>
      <c r="BL85" s="230"/>
      <c r="BM85" s="230"/>
      <c r="BN85" s="230"/>
      <c r="BO85" s="230"/>
      <c r="BP85" s="230"/>
      <c r="BQ85" s="230"/>
      <c r="BR85" s="230"/>
      <c r="BS85" s="230"/>
      <c r="BT85" s="210"/>
      <c r="BU85"/>
      <c r="BV85"/>
      <c r="BW85"/>
      <c r="BX85"/>
      <c r="BY85"/>
      <c r="BZ85"/>
    </row>
    <row r="86" s="104" customFormat="1" ht="9.75" customHeight="1" spans="1:81">
      <c r="A86" s="210" t="s">
        <v>453</v>
      </c>
      <c r="B86" s="210"/>
      <c r="C86" s="210"/>
      <c r="D86" s="230"/>
      <c r="E86" s="230"/>
      <c r="F86" s="230"/>
      <c r="G86" s="230"/>
      <c r="H86" s="230"/>
      <c r="I86" s="230"/>
      <c r="J86" s="230"/>
      <c r="K86" s="230"/>
      <c r="L86" s="230"/>
      <c r="M86" s="230"/>
      <c r="N86" s="230"/>
      <c r="O86" s="230"/>
      <c r="P86" s="230"/>
      <c r="Q86" s="230"/>
      <c r="R86" s="230"/>
      <c r="S86" s="230"/>
      <c r="T86" s="230"/>
      <c r="U86" s="230"/>
      <c r="V86" s="230"/>
      <c r="W86" s="230"/>
      <c r="X86" s="230"/>
      <c r="Y86" s="230"/>
      <c r="Z86" s="230"/>
      <c r="AA86" s="230"/>
      <c r="AB86" s="230"/>
      <c r="AC86" s="230"/>
      <c r="AD86" s="230"/>
      <c r="AE86" s="230"/>
      <c r="AF86" s="230"/>
      <c r="AG86" s="230"/>
      <c r="AH86" s="230"/>
      <c r="AI86" s="230"/>
      <c r="AJ86" s="230"/>
      <c r="AK86" s="230"/>
      <c r="AL86" s="230"/>
      <c r="AM86" s="230"/>
      <c r="AN86" s="230"/>
      <c r="AO86" s="230"/>
      <c r="AP86" s="230"/>
      <c r="AQ86" s="230"/>
      <c r="AR86" s="230">
        <v>1</v>
      </c>
      <c r="AS86" s="231">
        <v>1</v>
      </c>
      <c r="AT86" s="231">
        <v>1</v>
      </c>
      <c r="AU86" s="231">
        <v>1</v>
      </c>
      <c r="AV86" s="231">
        <v>1</v>
      </c>
      <c r="AW86" s="231">
        <v>1</v>
      </c>
      <c r="AX86" s="231">
        <v>1</v>
      </c>
      <c r="AY86" s="231">
        <v>1</v>
      </c>
      <c r="AZ86" s="231">
        <v>1</v>
      </c>
      <c r="BA86" s="231">
        <v>1</v>
      </c>
      <c r="BB86" s="231">
        <v>1</v>
      </c>
      <c r="BC86" s="231">
        <v>1</v>
      </c>
      <c r="BD86" s="230"/>
      <c r="BE86" s="224"/>
      <c r="BF86" s="212"/>
      <c r="BG86" s="230"/>
      <c r="BH86" s="230"/>
      <c r="BI86" s="230"/>
      <c r="BJ86" s="230"/>
      <c r="BK86" s="230"/>
      <c r="BL86" s="230"/>
      <c r="BM86" s="231">
        <v>1</v>
      </c>
      <c r="BN86" s="231">
        <v>1</v>
      </c>
      <c r="BO86" s="231">
        <v>1</v>
      </c>
      <c r="BP86" s="231">
        <v>1</v>
      </c>
      <c r="BQ86" s="231">
        <v>1</v>
      </c>
      <c r="BR86" s="231">
        <v>1</v>
      </c>
      <c r="BS86" s="231">
        <v>1</v>
      </c>
      <c r="BT86" s="210"/>
      <c r="BU86"/>
      <c r="BV86"/>
      <c r="BW86"/>
      <c r="BX86"/>
      <c r="BY86"/>
      <c r="BZ86"/>
    </row>
    <row r="87" s="104" customFormat="1" ht="9.75" customHeight="1" spans="1:81">
      <c r="A87" s="210"/>
      <c r="B87" s="210"/>
      <c r="C87" s="210"/>
      <c r="D87" s="210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  <c r="AA87" s="210"/>
      <c r="AB87" s="210"/>
      <c r="AC87" s="210"/>
      <c r="AD87" s="210"/>
      <c r="AE87" s="210"/>
      <c r="AF87" s="210"/>
      <c r="AG87" s="210"/>
      <c r="AH87" s="210"/>
      <c r="AI87" s="210"/>
      <c r="AJ87" s="210"/>
      <c r="AK87" s="210"/>
      <c r="AL87" s="210"/>
      <c r="AM87" s="210"/>
      <c r="AN87" s="210"/>
      <c r="AO87" s="210"/>
      <c r="AP87" s="210"/>
      <c r="AQ87" s="210"/>
      <c r="AR87" s="210"/>
      <c r="AS87" s="210"/>
      <c r="AT87" s="210"/>
      <c r="AU87" s="210"/>
      <c r="AV87" s="210"/>
      <c r="AW87" s="210"/>
      <c r="AX87" s="210"/>
      <c r="AY87" s="210"/>
      <c r="AZ87" s="210"/>
      <c r="BA87" s="210"/>
      <c r="BB87" s="210"/>
      <c r="BC87" s="210"/>
      <c r="BD87" s="210"/>
      <c r="BE87" s="211"/>
      <c r="BF87" s="212"/>
      <c r="BG87" s="213"/>
      <c r="BH87" s="213"/>
      <c r="BI87" s="213"/>
      <c r="BJ87" s="213"/>
      <c r="BK87" s="213"/>
      <c r="BL87" s="213"/>
      <c r="BM87" s="213"/>
      <c r="BN87" s="213"/>
      <c r="BO87" s="213"/>
      <c r="BP87" s="213"/>
      <c r="BQ87" s="213"/>
      <c r="BR87" s="213"/>
      <c r="BS87" s="213"/>
      <c r="BT87" s="210"/>
      <c r="BU87"/>
      <c r="BV87"/>
      <c r="BW87"/>
      <c r="BX87"/>
      <c r="BY87"/>
      <c r="BZ87"/>
    </row>
    <row r="88" s="104" customFormat="1" ht="9.75" customHeight="1" spans="1:81">
      <c r="A88" s="210"/>
      <c r="B88" s="210"/>
      <c r="C88" s="210"/>
      <c r="D88" s="210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  <c r="AA88" s="210"/>
      <c r="AB88" s="210"/>
      <c r="AC88" s="210"/>
      <c r="AD88" s="210"/>
      <c r="AE88" s="210"/>
      <c r="AF88" s="210"/>
      <c r="AG88" s="210"/>
      <c r="AH88" s="210"/>
      <c r="AI88" s="210"/>
      <c r="AJ88" s="210"/>
      <c r="AK88" s="210"/>
      <c r="AL88" s="210"/>
      <c r="AM88" s="210"/>
      <c r="AN88" s="210"/>
      <c r="AO88" s="210"/>
      <c r="AP88" s="210"/>
      <c r="AQ88" s="210"/>
      <c r="AR88" s="210"/>
      <c r="AS88" s="210"/>
      <c r="AT88" s="210"/>
      <c r="AU88" s="210"/>
      <c r="AV88" s="210"/>
      <c r="AW88" s="210"/>
      <c r="AX88" s="210"/>
      <c r="AY88" s="210"/>
      <c r="AZ88" s="210"/>
      <c r="BA88" s="210"/>
      <c r="BB88" s="210"/>
      <c r="BC88" s="210"/>
      <c r="BD88" s="210"/>
      <c r="BE88" s="211"/>
      <c r="BF88" s="212"/>
      <c r="BG88" s="213"/>
      <c r="BH88" s="213"/>
      <c r="BI88" s="213"/>
      <c r="BJ88" s="213"/>
      <c r="BK88" s="213"/>
      <c r="BL88" s="213"/>
      <c r="BM88" s="213"/>
      <c r="BN88" s="213"/>
      <c r="BO88" s="213"/>
      <c r="BP88" s="213"/>
      <c r="BQ88" s="213"/>
      <c r="BR88" s="213"/>
      <c r="BS88" s="213"/>
      <c r="BT88" s="210"/>
      <c r="BU88"/>
      <c r="BV88"/>
      <c r="BW88"/>
      <c r="BX88"/>
      <c r="BY88"/>
      <c r="BZ88"/>
    </row>
    <row r="89" s="104" customFormat="1" ht="9.75" customHeight="1" spans="1:81">
      <c r="A89" s="214" t="s">
        <v>454</v>
      </c>
      <c r="B89" s="214"/>
      <c r="C89" s="214"/>
      <c r="D89" s="215"/>
      <c r="E89" s="215"/>
      <c r="F89" s="215"/>
      <c r="G89" s="215"/>
      <c r="H89" s="215"/>
      <c r="I89" s="215"/>
      <c r="J89" s="215"/>
      <c r="K89" s="215"/>
      <c r="L89" s="215"/>
      <c r="M89" s="215"/>
      <c r="N89" s="215"/>
      <c r="O89" s="215"/>
      <c r="P89" s="215"/>
      <c r="Q89" s="215"/>
      <c r="R89" s="216"/>
      <c r="S89" s="216"/>
      <c r="T89" s="216"/>
      <c r="U89" s="216"/>
      <c r="V89" s="216"/>
      <c r="W89" s="216"/>
      <c r="X89" s="216"/>
      <c r="Y89" s="216"/>
      <c r="Z89" s="216"/>
      <c r="AA89" s="216"/>
      <c r="AB89" s="216"/>
      <c r="AC89" s="216"/>
      <c r="AD89" s="216"/>
      <c r="AE89" s="216"/>
      <c r="AF89" s="216"/>
      <c r="AG89" s="216"/>
      <c r="AH89" s="216"/>
      <c r="AI89" s="216"/>
      <c r="AJ89" s="216"/>
      <c r="AK89" s="216"/>
      <c r="AL89" s="216"/>
      <c r="AM89" s="216"/>
      <c r="AN89" s="216"/>
      <c r="AO89" s="216"/>
      <c r="AP89" s="216"/>
      <c r="AQ89" s="216"/>
      <c r="AR89" s="216">
        <f>+AR76-AR81</f>
        <v>24.4436712328768</v>
      </c>
      <c r="AS89" s="216">
        <f t="shared" ref="AS89:BC89" si="362">+AS76-AS81</f>
        <v>24.4436712328768</v>
      </c>
      <c r="AT89" s="216">
        <f t="shared" si="362"/>
        <v>24.4436712328768</v>
      </c>
      <c r="AU89" s="216">
        <f t="shared" si="362"/>
        <v>24.4436712328768</v>
      </c>
      <c r="AV89" s="216">
        <f t="shared" si="362"/>
        <v>24.4436712328768</v>
      </c>
      <c r="AW89" s="216">
        <f t="shared" si="362"/>
        <v>24.4436712328768</v>
      </c>
      <c r="AX89" s="216">
        <f t="shared" si="362"/>
        <v>24.4436712328768</v>
      </c>
      <c r="AY89" s="216">
        <f t="shared" si="362"/>
        <v>24.4436712328768</v>
      </c>
      <c r="AZ89" s="216">
        <f t="shared" si="362"/>
        <v>24.4436712328768</v>
      </c>
      <c r="BA89" s="216">
        <f t="shared" si="362"/>
        <v>24.4436712328768</v>
      </c>
      <c r="BB89" s="216">
        <f t="shared" si="362"/>
        <v>24.4436712328768</v>
      </c>
      <c r="BC89" s="216">
        <f t="shared" si="362"/>
        <v>24.4436712328768</v>
      </c>
      <c r="BD89" s="215"/>
      <c r="BE89" s="217"/>
      <c r="BF89" s="218"/>
      <c r="BG89" s="216">
        <v>0</v>
      </c>
      <c r="BH89" s="216">
        <v>0</v>
      </c>
      <c r="BI89" s="216">
        <v>0</v>
      </c>
      <c r="BJ89" s="216">
        <v>0</v>
      </c>
      <c r="BK89" s="216">
        <v>1129.814</v>
      </c>
      <c r="BL89" s="219" t="e">
        <f>AVERAGE(X89:AA89)</f>
        <v>#DIV/0!</v>
      </c>
      <c r="BM89" s="219"/>
      <c r="BN89" s="219"/>
      <c r="BO89" s="219"/>
      <c r="BP89" s="219"/>
      <c r="BQ89" s="219">
        <f>AVERAGE(AR89:AU89)</f>
        <v>24.4436712328768</v>
      </c>
      <c r="BR89" s="219">
        <f>AVERAGE(AV89:AY89)</f>
        <v>24.4436712328768</v>
      </c>
      <c r="BS89" s="219">
        <f>AVERAGE(AZ89:BC89)</f>
        <v>24.4436712328768</v>
      </c>
      <c r="BT89" s="220"/>
      <c r="BU89"/>
      <c r="BV89"/>
      <c r="BW89"/>
      <c r="BX89"/>
      <c r="BY89"/>
      <c r="BZ89"/>
      <c r="CC89" s="220"/>
    </row>
    <row r="90" s="104" customFormat="1" ht="9.75" customHeight="1" spans="1:81">
      <c r="A90" s="221" t="s">
        <v>455</v>
      </c>
      <c r="B90" s="221"/>
      <c r="C90" s="221"/>
      <c r="D90" s="221"/>
      <c r="E90" s="221"/>
      <c r="F90" s="221"/>
      <c r="G90" s="221"/>
      <c r="H90" s="221"/>
      <c r="I90" s="221"/>
      <c r="J90" s="221"/>
      <c r="K90" s="221"/>
      <c r="L90" s="221"/>
      <c r="M90" s="221"/>
      <c r="N90" s="221"/>
      <c r="O90" s="221"/>
      <c r="P90" s="221"/>
      <c r="Q90" s="221"/>
      <c r="R90" s="222"/>
      <c r="S90" s="222"/>
      <c r="T90" s="222"/>
      <c r="U90" s="222"/>
      <c r="V90" s="222"/>
      <c r="W90" s="222"/>
      <c r="X90" s="222"/>
      <c r="Y90" s="222"/>
      <c r="Z90" s="222"/>
      <c r="AA90" s="222"/>
      <c r="AB90" s="222"/>
      <c r="AC90" s="222"/>
      <c r="AD90" s="222"/>
      <c r="AE90" s="222"/>
      <c r="AF90" s="222"/>
      <c r="AG90" s="222"/>
      <c r="AH90" s="222"/>
      <c r="AI90" s="222"/>
      <c r="AJ90" s="222"/>
      <c r="AK90" s="222"/>
      <c r="AL90" s="222"/>
      <c r="AM90" s="222"/>
      <c r="AN90" s="222"/>
      <c r="AO90" s="222"/>
      <c r="AP90" s="222"/>
      <c r="AQ90" s="222"/>
      <c r="AR90" s="216">
        <f t="shared" ref="AR90:BC90" si="363">+AR77-AR82</f>
        <v>24.4436712328768</v>
      </c>
      <c r="AS90" s="216">
        <f t="shared" si="363"/>
        <v>24.4436712328768</v>
      </c>
      <c r="AT90" s="216">
        <f t="shared" si="363"/>
        <v>24.4436712328768</v>
      </c>
      <c r="AU90" s="216">
        <f t="shared" si="363"/>
        <v>24.4436712328768</v>
      </c>
      <c r="AV90" s="216">
        <f t="shared" si="363"/>
        <v>24.4436712328768</v>
      </c>
      <c r="AW90" s="216">
        <f t="shared" si="363"/>
        <v>24.4436712328768</v>
      </c>
      <c r="AX90" s="216">
        <f t="shared" si="363"/>
        <v>24.4436712328768</v>
      </c>
      <c r="AY90" s="216">
        <f t="shared" si="363"/>
        <v>24.4436712328768</v>
      </c>
      <c r="AZ90" s="216">
        <f t="shared" si="363"/>
        <v>24.4436712328768</v>
      </c>
      <c r="BA90" s="216">
        <f t="shared" si="363"/>
        <v>24.4436712328768</v>
      </c>
      <c r="BB90" s="216">
        <f t="shared" si="363"/>
        <v>24.4436712328768</v>
      </c>
      <c r="BC90" s="216">
        <f t="shared" si="363"/>
        <v>24.4436712328768</v>
      </c>
      <c r="BD90" s="221"/>
      <c r="BE90" s="217"/>
      <c r="BF90" s="218"/>
      <c r="BG90" s="216">
        <f>+BG89</f>
        <v>0</v>
      </c>
      <c r="BH90" s="216">
        <f>+BH89</f>
        <v>0</v>
      </c>
      <c r="BI90" s="216">
        <f>+BI89</f>
        <v>0</v>
      </c>
      <c r="BJ90" s="216">
        <f>+BJ89</f>
        <v>0</v>
      </c>
      <c r="BK90" s="216">
        <f>1129.814+5</f>
        <v>1134.814</v>
      </c>
      <c r="BL90" s="219" t="e">
        <f>AVERAGE(X90:AA90)</f>
        <v>#DIV/0!</v>
      </c>
      <c r="BM90" s="219"/>
      <c r="BN90" s="219"/>
      <c r="BO90" s="219"/>
      <c r="BP90" s="219"/>
      <c r="BQ90" s="219">
        <f>AVERAGE(AR90:AU90)</f>
        <v>24.4436712328768</v>
      </c>
      <c r="BR90" s="219">
        <f>AVERAGE(AV90:AY90)</f>
        <v>24.4436712328768</v>
      </c>
      <c r="BS90" s="219">
        <f t="shared" ref="BS90" si="364">AVERAGE(AZ90:BC90)</f>
        <v>24.4436712328768</v>
      </c>
      <c r="BT90" s="221"/>
      <c r="BU90"/>
      <c r="BV90"/>
      <c r="BW90"/>
      <c r="BX90"/>
      <c r="BY90"/>
      <c r="BZ90"/>
      <c r="CC90" s="220"/>
    </row>
    <row r="91" s="104" customFormat="1" ht="9.75" customHeight="1" spans="1:81">
      <c r="A91" s="221" t="s">
        <v>456</v>
      </c>
      <c r="B91" s="221"/>
      <c r="C91" s="221"/>
      <c r="D91" s="221"/>
      <c r="E91" s="221"/>
      <c r="F91" s="221"/>
      <c r="G91" s="221"/>
      <c r="H91" s="221"/>
      <c r="I91" s="221"/>
      <c r="J91" s="221"/>
      <c r="K91" s="221"/>
      <c r="L91" s="221"/>
      <c r="M91" s="221"/>
      <c r="N91" s="221"/>
      <c r="O91" s="221"/>
      <c r="P91" s="221"/>
      <c r="Q91" s="221"/>
      <c r="R91" s="222"/>
      <c r="S91" s="222"/>
      <c r="T91" s="222"/>
      <c r="U91" s="222"/>
      <c r="V91" s="222"/>
      <c r="W91" s="222"/>
      <c r="X91" s="222"/>
      <c r="Y91" s="222"/>
      <c r="Z91" s="222"/>
      <c r="AA91" s="222"/>
      <c r="AB91" s="222"/>
      <c r="AC91" s="222"/>
      <c r="AD91" s="222"/>
      <c r="AE91" s="222"/>
      <c r="AF91" s="222"/>
      <c r="AG91" s="222"/>
      <c r="AH91" s="222"/>
      <c r="AI91" s="222"/>
      <c r="AJ91" s="222"/>
      <c r="AK91" s="222"/>
      <c r="AL91" s="222"/>
      <c r="AM91" s="222"/>
      <c r="AN91" s="222"/>
      <c r="AO91" s="222"/>
      <c r="AP91" s="222"/>
      <c r="AQ91" s="222"/>
      <c r="AR91" s="216">
        <f t="shared" ref="AR91:BC91" si="365">+AR78-AR83</f>
        <v>24.4436712328768</v>
      </c>
      <c r="AS91" s="216">
        <f t="shared" si="365"/>
        <v>24.4436712328768</v>
      </c>
      <c r="AT91" s="216">
        <f t="shared" si="365"/>
        <v>24.4436712328768</v>
      </c>
      <c r="AU91" s="216">
        <f t="shared" si="365"/>
        <v>24.4436712328768</v>
      </c>
      <c r="AV91" s="216">
        <f t="shared" si="365"/>
        <v>24.4436712328768</v>
      </c>
      <c r="AW91" s="216">
        <f t="shared" si="365"/>
        <v>24.4436712328768</v>
      </c>
      <c r="AX91" s="216">
        <f t="shared" si="365"/>
        <v>24.4436712328768</v>
      </c>
      <c r="AY91" s="216">
        <f t="shared" si="365"/>
        <v>24.4436712328768</v>
      </c>
      <c r="AZ91" s="216">
        <f t="shared" si="365"/>
        <v>24.4436712328768</v>
      </c>
      <c r="BA91" s="216">
        <f t="shared" si="365"/>
        <v>24.4436712328768</v>
      </c>
      <c r="BB91" s="216">
        <f t="shared" si="365"/>
        <v>24.4436712328768</v>
      </c>
      <c r="BC91" s="216">
        <f t="shared" si="365"/>
        <v>24.4436712328768</v>
      </c>
      <c r="BD91" s="221"/>
      <c r="BE91" s="217"/>
      <c r="BF91" s="218"/>
      <c r="BG91" s="222">
        <f>+'Balance Sheet'!AO49</f>
        <v>1.14272051907977</v>
      </c>
      <c r="BH91" s="222">
        <f>+'Balance Sheet'!AP49</f>
        <v>1.54051479990278</v>
      </c>
      <c r="BI91" s="222">
        <f>+'Balance Sheet'!AQ49</f>
        <v>4.23384867293777</v>
      </c>
      <c r="BJ91" s="222">
        <f>+'Balance Sheet'!AR49</f>
        <v>6.89910062203674</v>
      </c>
      <c r="BK91" s="222">
        <f>+'Balance Sheet'!AS49</f>
        <v>7.10248904225714</v>
      </c>
      <c r="BL91" s="222">
        <f>+'Balance Sheet'!AT49</f>
        <v>7.30801828398348</v>
      </c>
      <c r="BM91" s="222"/>
      <c r="BN91" s="222"/>
      <c r="BO91" s="222"/>
      <c r="BP91" s="219"/>
      <c r="BQ91" s="219">
        <f>+AU91</f>
        <v>24.4436712328768</v>
      </c>
      <c r="BR91" s="219">
        <f>+AY91</f>
        <v>24.4436712328768</v>
      </c>
      <c r="BS91" s="219">
        <f>+BC91</f>
        <v>24.4436712328768</v>
      </c>
      <c r="BT91" s="221"/>
      <c r="BU91"/>
      <c r="BV91"/>
      <c r="BW91"/>
      <c r="BX91"/>
      <c r="BY91"/>
      <c r="BZ91"/>
      <c r="CC91" s="220"/>
    </row>
    <row r="92" s="104" customFormat="1" ht="9.75" customHeight="1" spans="1:81">
      <c r="A92" s="210"/>
      <c r="B92" s="210"/>
      <c r="C92" s="210"/>
      <c r="D92" s="230"/>
      <c r="E92" s="230"/>
      <c r="F92" s="230"/>
      <c r="G92" s="230"/>
      <c r="H92" s="230"/>
      <c r="I92" s="230"/>
      <c r="J92" s="230"/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230"/>
      <c r="V92" s="230"/>
      <c r="W92" s="230"/>
      <c r="X92" s="230"/>
      <c r="Y92" s="230"/>
      <c r="Z92" s="230"/>
      <c r="AA92" s="230"/>
      <c r="AB92" s="230"/>
      <c r="AC92" s="230"/>
      <c r="AD92" s="230"/>
      <c r="AE92" s="230"/>
      <c r="AF92" s="230"/>
      <c r="AG92" s="230"/>
      <c r="AH92" s="230"/>
      <c r="AI92" s="230"/>
      <c r="AJ92" s="230"/>
      <c r="AK92" s="230"/>
      <c r="AL92" s="230"/>
      <c r="AM92" s="230"/>
      <c r="AN92" s="230"/>
      <c r="AO92" s="230"/>
      <c r="AP92" s="230"/>
      <c r="AQ92" s="230"/>
      <c r="AR92" s="230"/>
      <c r="AS92" s="230"/>
      <c r="AT92" s="230"/>
      <c r="AU92" s="230"/>
      <c r="AV92" s="230"/>
      <c r="AW92" s="230"/>
      <c r="AX92" s="230"/>
      <c r="AY92" s="230"/>
      <c r="AZ92" s="230"/>
      <c r="BA92" s="230"/>
      <c r="BB92" s="230"/>
      <c r="BC92" s="230"/>
      <c r="BD92" s="230"/>
      <c r="BE92" s="224"/>
      <c r="BF92" s="212"/>
      <c r="BG92" s="230"/>
      <c r="BH92" s="230"/>
      <c r="BI92" s="230"/>
      <c r="BJ92" s="230"/>
      <c r="BK92" s="230"/>
      <c r="BL92" s="230"/>
      <c r="BM92" s="230"/>
      <c r="BN92" s="230"/>
      <c r="BO92" s="230"/>
      <c r="BP92" s="230"/>
      <c r="BQ92" s="230"/>
      <c r="BR92" s="230"/>
      <c r="BS92" s="230"/>
      <c r="BT92" s="210"/>
      <c r="BU92"/>
      <c r="BV92"/>
      <c r="BW92"/>
      <c r="BX92"/>
      <c r="BY92"/>
      <c r="BZ92"/>
    </row>
    <row r="93" s="104" customFormat="1" ht="9.75" customHeight="1" spans="1:81">
      <c r="A93" s="210"/>
      <c r="B93" s="210"/>
      <c r="C93" s="210"/>
      <c r="D93" s="230"/>
      <c r="E93" s="230"/>
      <c r="F93" s="230"/>
      <c r="G93" s="230"/>
      <c r="H93" s="230"/>
      <c r="I93" s="230"/>
      <c r="J93" s="230"/>
      <c r="K93" s="230"/>
      <c r="L93" s="230"/>
      <c r="M93" s="230"/>
      <c r="N93" s="230"/>
      <c r="O93" s="230"/>
      <c r="P93" s="230"/>
      <c r="Q93" s="230"/>
      <c r="R93" s="230"/>
      <c r="S93" s="230"/>
      <c r="T93" s="230"/>
      <c r="U93" s="230"/>
      <c r="V93" s="230"/>
      <c r="W93" s="230"/>
      <c r="X93" s="230"/>
      <c r="Y93" s="230"/>
      <c r="Z93" s="230"/>
      <c r="AA93" s="230"/>
      <c r="AB93" s="230"/>
      <c r="AC93" s="230"/>
      <c r="AD93" s="230"/>
      <c r="AE93" s="230"/>
      <c r="AF93" s="230"/>
      <c r="AG93" s="230"/>
      <c r="AH93" s="230"/>
      <c r="AI93" s="230"/>
      <c r="AJ93" s="230"/>
      <c r="AK93" s="230"/>
      <c r="AL93" s="230"/>
      <c r="AM93" s="230"/>
      <c r="AN93" s="230"/>
      <c r="AO93" s="230"/>
      <c r="AP93" s="230"/>
      <c r="AQ93" s="230"/>
      <c r="AR93" s="230"/>
      <c r="AS93" s="230"/>
      <c r="AT93" s="230"/>
      <c r="AU93" s="230"/>
      <c r="AV93" s="230"/>
      <c r="AW93" s="230"/>
      <c r="AX93" s="230"/>
      <c r="AY93" s="230"/>
      <c r="AZ93" s="230"/>
      <c r="BA93" s="230"/>
      <c r="BB93" s="230"/>
      <c r="BC93" s="230"/>
      <c r="BD93" s="230"/>
      <c r="BE93" s="224"/>
      <c r="BF93" s="212"/>
      <c r="BG93" s="230"/>
      <c r="BH93" s="230"/>
      <c r="BI93" s="230"/>
      <c r="BJ93" s="230"/>
      <c r="BK93" s="230"/>
      <c r="BL93" s="230"/>
      <c r="BM93" s="230"/>
      <c r="BN93" s="230"/>
      <c r="BO93" s="230"/>
      <c r="BP93" s="230"/>
      <c r="BQ93" s="230"/>
      <c r="BR93" s="230"/>
      <c r="BS93" s="230"/>
      <c r="BT93" s="210"/>
      <c r="BU93"/>
      <c r="BV93"/>
      <c r="BW93"/>
      <c r="BX93"/>
      <c r="BY93"/>
      <c r="BZ93"/>
    </row>
    <row r="94" s="104" customFormat="1" ht="9.75" customHeight="1" spans="1:81">
      <c r="A94" s="210" t="s">
        <v>457</v>
      </c>
      <c r="B94" s="210"/>
      <c r="C94" s="210"/>
      <c r="D94" s="230"/>
      <c r="E94" s="230"/>
      <c r="F94" s="230"/>
      <c r="G94" s="230"/>
      <c r="H94" s="230"/>
      <c r="I94" s="230"/>
      <c r="J94" s="230"/>
      <c r="K94" s="230"/>
      <c r="L94" s="230"/>
      <c r="M94" s="230"/>
      <c r="N94" s="230"/>
      <c r="O94" s="230"/>
      <c r="P94" s="230"/>
      <c r="Q94" s="230"/>
      <c r="R94" s="230"/>
      <c r="S94" s="230"/>
      <c r="T94" s="230"/>
      <c r="U94" s="230"/>
      <c r="V94" s="230"/>
      <c r="W94" s="230"/>
      <c r="X94" s="230"/>
      <c r="Y94" s="230"/>
      <c r="Z94" s="230"/>
      <c r="AA94" s="230"/>
      <c r="AB94" s="230"/>
      <c r="AC94" s="230"/>
      <c r="AD94" s="230"/>
      <c r="AE94" s="230"/>
      <c r="AF94" s="230"/>
      <c r="AG94" s="230"/>
      <c r="AH94" s="230"/>
      <c r="AI94" s="230"/>
      <c r="AJ94" s="230"/>
      <c r="AK94" s="230"/>
      <c r="AL94" s="230"/>
      <c r="AM94" s="230"/>
      <c r="AN94" s="230"/>
      <c r="AO94" s="230"/>
      <c r="AP94" s="230"/>
      <c r="AQ94" s="230"/>
      <c r="AR94" s="230">
        <v>1</v>
      </c>
      <c r="AS94" s="231">
        <v>1</v>
      </c>
      <c r="AT94" s="231">
        <v>1</v>
      </c>
      <c r="AU94" s="231">
        <v>1</v>
      </c>
      <c r="AV94" s="231">
        <v>1</v>
      </c>
      <c r="AW94" s="231">
        <v>1</v>
      </c>
      <c r="AX94" s="231">
        <v>1</v>
      </c>
      <c r="AY94" s="231">
        <v>1</v>
      </c>
      <c r="AZ94" s="231">
        <v>1</v>
      </c>
      <c r="BA94" s="231">
        <v>1</v>
      </c>
      <c r="BB94" s="231">
        <v>1</v>
      </c>
      <c r="BC94" s="231">
        <v>1</v>
      </c>
      <c r="BD94" s="230"/>
      <c r="BE94" s="224"/>
      <c r="BF94" s="212"/>
      <c r="BG94" s="230"/>
      <c r="BH94" s="230"/>
      <c r="BI94" s="230"/>
      <c r="BJ94" s="230"/>
      <c r="BK94" s="230"/>
      <c r="BL94" s="230"/>
      <c r="BM94" s="231">
        <v>1</v>
      </c>
      <c r="BN94" s="231">
        <v>1</v>
      </c>
      <c r="BO94" s="231">
        <v>1</v>
      </c>
      <c r="BP94" s="231">
        <v>1</v>
      </c>
      <c r="BQ94" s="231">
        <v>1</v>
      </c>
      <c r="BR94" s="231">
        <v>1</v>
      </c>
      <c r="BS94" s="231">
        <v>1</v>
      </c>
      <c r="BT94" s="210"/>
      <c r="BU94"/>
      <c r="BV94"/>
      <c r="BW94"/>
      <c r="BX94"/>
      <c r="BY94"/>
      <c r="BZ94"/>
    </row>
    <row r="95" s="104" customFormat="1" ht="9.75" customHeight="1" spans="1:81">
      <c r="A95" s="210"/>
      <c r="B95" s="210"/>
      <c r="C95" s="210"/>
      <c r="D95" s="230"/>
      <c r="E95" s="230"/>
      <c r="F95" s="230"/>
      <c r="G95" s="230"/>
      <c r="H95" s="230"/>
      <c r="I95" s="230"/>
      <c r="J95" s="230"/>
      <c r="K95" s="230"/>
      <c r="L95" s="230"/>
      <c r="M95" s="230"/>
      <c r="N95" s="230"/>
      <c r="O95" s="230"/>
      <c r="P95" s="230"/>
      <c r="Q95" s="230"/>
      <c r="R95" s="230"/>
      <c r="S95" s="230"/>
      <c r="T95" s="230"/>
      <c r="U95" s="230"/>
      <c r="V95" s="230"/>
      <c r="W95" s="230"/>
      <c r="X95" s="230"/>
      <c r="Y95" s="230"/>
      <c r="Z95" s="230"/>
      <c r="AA95" s="230"/>
      <c r="AB95" s="230"/>
      <c r="AC95" s="230"/>
      <c r="AD95" s="230"/>
      <c r="AE95" s="230"/>
      <c r="AF95" s="230"/>
      <c r="AG95" s="230"/>
      <c r="AH95" s="230"/>
      <c r="AI95" s="230"/>
      <c r="AJ95" s="230"/>
      <c r="AK95" s="230"/>
      <c r="AL95" s="230"/>
      <c r="AM95" s="230"/>
      <c r="AN95" s="230"/>
      <c r="AO95" s="230"/>
      <c r="AP95" s="230"/>
      <c r="AQ95" s="230"/>
      <c r="AR95" s="230"/>
      <c r="AS95" s="230"/>
      <c r="AT95" s="230"/>
      <c r="AU95" s="230"/>
      <c r="AV95" s="230"/>
      <c r="AW95" s="230"/>
      <c r="AX95" s="230"/>
      <c r="AY95" s="230"/>
      <c r="AZ95" s="230"/>
      <c r="BA95" s="230"/>
      <c r="BB95" s="230"/>
      <c r="BC95" s="230"/>
      <c r="BD95" s="230"/>
      <c r="BE95" s="224"/>
      <c r="BF95" s="212"/>
      <c r="BG95" s="230"/>
      <c r="BH95" s="230"/>
      <c r="BI95" s="230"/>
      <c r="BJ95" s="230"/>
      <c r="BK95" s="230"/>
      <c r="BL95" s="230"/>
      <c r="BM95" s="230"/>
      <c r="BN95" s="230"/>
      <c r="BO95" s="230"/>
      <c r="BP95" s="230"/>
      <c r="BQ95" s="230"/>
      <c r="BR95" s="230"/>
      <c r="BS95" s="230"/>
      <c r="BT95" s="210"/>
      <c r="BU95"/>
      <c r="BV95"/>
      <c r="BW95"/>
      <c r="BX95"/>
      <c r="BY95"/>
      <c r="BZ95"/>
    </row>
    <row r="96" s="104" customFormat="1" ht="9.75" customHeight="1" spans="1:81">
      <c r="A96" s="210"/>
      <c r="B96" s="210"/>
      <c r="C96" s="210"/>
      <c r="D96" s="230"/>
      <c r="E96" s="230"/>
      <c r="F96" s="230"/>
      <c r="G96" s="230"/>
      <c r="H96" s="230"/>
      <c r="I96" s="230"/>
      <c r="J96" s="230"/>
      <c r="K96" s="230"/>
      <c r="L96" s="230"/>
      <c r="M96" s="230"/>
      <c r="N96" s="230"/>
      <c r="O96" s="230"/>
      <c r="P96" s="230"/>
      <c r="Q96" s="230"/>
      <c r="R96" s="230"/>
      <c r="S96" s="230"/>
      <c r="T96" s="230"/>
      <c r="U96" s="230"/>
      <c r="V96" s="230"/>
      <c r="W96" s="230"/>
      <c r="X96" s="230"/>
      <c r="Y96" s="230"/>
      <c r="Z96" s="230"/>
      <c r="AA96" s="230"/>
      <c r="AB96" s="230"/>
      <c r="AC96" s="230"/>
      <c r="AD96" s="230"/>
      <c r="AE96" s="230"/>
      <c r="AF96" s="230"/>
      <c r="AG96" s="230"/>
      <c r="AH96" s="230"/>
      <c r="AI96" s="230"/>
      <c r="AJ96" s="230"/>
      <c r="AK96" s="230"/>
      <c r="AL96" s="230"/>
      <c r="AM96" s="230"/>
      <c r="AN96" s="230"/>
      <c r="AO96" s="230"/>
      <c r="AP96" s="230"/>
      <c r="AQ96" s="230"/>
      <c r="AR96" s="230"/>
      <c r="AS96" s="230"/>
      <c r="AT96" s="230"/>
      <c r="AU96" s="230"/>
      <c r="AV96" s="230"/>
      <c r="AW96" s="230"/>
      <c r="AX96" s="230"/>
      <c r="AY96" s="230"/>
      <c r="AZ96" s="230"/>
      <c r="BA96" s="230"/>
      <c r="BB96" s="230"/>
      <c r="BC96" s="230"/>
      <c r="BD96" s="230"/>
      <c r="BE96" s="224"/>
      <c r="BF96" s="212"/>
      <c r="BG96" s="230"/>
      <c r="BH96" s="230"/>
      <c r="BI96" s="230"/>
      <c r="BJ96" s="230"/>
      <c r="BK96" s="230"/>
      <c r="BL96" s="230"/>
      <c r="BM96" s="230"/>
      <c r="BN96" s="230"/>
      <c r="BO96" s="230"/>
      <c r="BP96" s="230"/>
      <c r="BQ96" s="230"/>
      <c r="BR96" s="230"/>
      <c r="BS96" s="230"/>
      <c r="BT96" s="210"/>
      <c r="BU96"/>
      <c r="BV96"/>
      <c r="BW96"/>
      <c r="BX96"/>
      <c r="BY96"/>
      <c r="BZ96"/>
    </row>
    <row r="97" s="104" customFormat="1" ht="9.75" customHeight="1" spans="1:78">
      <c r="A97" s="210"/>
      <c r="B97" s="210"/>
      <c r="C97" s="210"/>
      <c r="D97" s="230"/>
      <c r="E97" s="230"/>
      <c r="F97" s="230"/>
      <c r="G97" s="230"/>
      <c r="H97" s="230"/>
      <c r="I97" s="230"/>
      <c r="J97" s="230"/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230"/>
      <c r="V97" s="230"/>
      <c r="W97" s="230"/>
      <c r="X97" s="230"/>
      <c r="Y97" s="230"/>
      <c r="Z97" s="230"/>
      <c r="AA97" s="230"/>
      <c r="AB97" s="230"/>
      <c r="AC97" s="230"/>
      <c r="AD97" s="230"/>
      <c r="AE97" s="230"/>
      <c r="AF97" s="230"/>
      <c r="AG97" s="230"/>
      <c r="AH97" s="230"/>
      <c r="AI97" s="230"/>
      <c r="AJ97" s="230"/>
      <c r="AK97" s="230"/>
      <c r="AL97" s="230"/>
      <c r="AM97" s="230"/>
      <c r="AN97" s="230"/>
      <c r="AO97" s="230"/>
      <c r="AP97" s="230"/>
      <c r="AQ97" s="230"/>
      <c r="AR97" s="230"/>
      <c r="AS97" s="230"/>
      <c r="AT97" s="230"/>
      <c r="AU97" s="230"/>
      <c r="AV97" s="230"/>
      <c r="AW97" s="230"/>
      <c r="AX97" s="230"/>
      <c r="AY97" s="230"/>
      <c r="AZ97" s="230"/>
      <c r="BA97" s="230"/>
      <c r="BB97" s="230"/>
      <c r="BC97" s="230"/>
      <c r="BD97" s="230"/>
      <c r="BE97" s="224"/>
      <c r="BF97" s="212"/>
      <c r="BG97" s="230"/>
      <c r="BH97" s="230"/>
      <c r="BI97" s="230"/>
      <c r="BJ97" s="230"/>
      <c r="BK97" s="230"/>
      <c r="BL97" s="230"/>
      <c r="BM97" s="230"/>
      <c r="BN97" s="230"/>
      <c r="BO97" s="230"/>
      <c r="BP97" s="230"/>
      <c r="BQ97" s="230"/>
      <c r="BR97" s="230"/>
      <c r="BS97" s="230"/>
      <c r="BT97" s="210"/>
      <c r="BU97"/>
      <c r="BV97"/>
      <c r="BW97"/>
      <c r="BX97"/>
      <c r="BY97"/>
      <c r="BZ97"/>
    </row>
    <row r="98" s="104" customFormat="1" ht="9.75" customHeight="1" spans="1:78">
      <c r="A98" s="210"/>
      <c r="B98" s="210"/>
      <c r="C98" s="210"/>
      <c r="D98" s="230"/>
      <c r="E98" s="230"/>
      <c r="F98" s="230"/>
      <c r="G98" s="230"/>
      <c r="H98" s="230"/>
      <c r="I98" s="230"/>
      <c r="J98" s="230"/>
      <c r="K98" s="230"/>
      <c r="L98" s="230"/>
      <c r="M98" s="230"/>
      <c r="N98" s="230"/>
      <c r="O98" s="230"/>
      <c r="P98" s="230"/>
      <c r="Q98" s="230"/>
      <c r="R98" s="230"/>
      <c r="S98" s="230"/>
      <c r="T98" s="230"/>
      <c r="U98" s="230"/>
      <c r="V98" s="230"/>
      <c r="W98" s="230"/>
      <c r="X98" s="230"/>
      <c r="Y98" s="230"/>
      <c r="Z98" s="230"/>
      <c r="AA98" s="230"/>
      <c r="AB98" s="230"/>
      <c r="AC98" s="230"/>
      <c r="AD98" s="230"/>
      <c r="AE98" s="230"/>
      <c r="AF98" s="230"/>
      <c r="AG98" s="230"/>
      <c r="AH98" s="230"/>
      <c r="AI98" s="230"/>
      <c r="AJ98" s="230"/>
      <c r="AK98" s="230"/>
      <c r="AL98" s="230"/>
      <c r="AM98" s="230"/>
      <c r="AN98" s="230"/>
      <c r="AO98" s="230"/>
      <c r="AP98" s="230"/>
      <c r="AQ98" s="230"/>
      <c r="AR98" s="230"/>
      <c r="AS98" s="230"/>
      <c r="AT98" s="230"/>
      <c r="AU98" s="230"/>
      <c r="AV98" s="230"/>
      <c r="AW98" s="230"/>
      <c r="AX98" s="230"/>
      <c r="AY98" s="230"/>
      <c r="AZ98" s="230"/>
      <c r="BA98" s="230"/>
      <c r="BB98" s="230"/>
      <c r="BC98" s="230"/>
      <c r="BD98" s="230"/>
      <c r="BE98" s="224"/>
      <c r="BF98" s="212"/>
      <c r="BG98" s="230"/>
      <c r="BH98" s="230"/>
      <c r="BI98" s="230"/>
      <c r="BJ98" s="230"/>
      <c r="BK98" s="230"/>
      <c r="BL98" s="230"/>
      <c r="BM98" s="230"/>
      <c r="BN98" s="230"/>
      <c r="BO98" s="230"/>
      <c r="BP98" s="230"/>
      <c r="BQ98" s="230"/>
      <c r="BR98" s="230"/>
      <c r="BS98" s="230"/>
      <c r="BT98" s="210"/>
      <c r="BU98"/>
      <c r="BV98"/>
      <c r="BW98"/>
      <c r="BX98"/>
      <c r="BY98"/>
      <c r="BZ98"/>
    </row>
    <row r="99" ht="9.75" customHeight="1" spans="1:78">
      <c r="A99" s="53" t="s">
        <v>458</v>
      </c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>
        <v>0</v>
      </c>
      <c r="Q99" s="53">
        <v>0</v>
      </c>
      <c r="R99" s="53">
        <v>0</v>
      </c>
      <c r="S99" s="53">
        <v>0</v>
      </c>
      <c r="T99" s="53">
        <v>0</v>
      </c>
      <c r="U99" s="53">
        <v>0</v>
      </c>
      <c r="V99" s="53">
        <v>0</v>
      </c>
      <c r="W99" s="53">
        <v>0</v>
      </c>
      <c r="X99" s="53">
        <v>0</v>
      </c>
      <c r="Y99" s="53">
        <v>0</v>
      </c>
      <c r="Z99" s="53">
        <v>0</v>
      </c>
      <c r="AA99" s="53">
        <v>0</v>
      </c>
      <c r="AB99" s="53">
        <v>0</v>
      </c>
      <c r="AC99" s="53">
        <v>0</v>
      </c>
      <c r="AD99" s="53">
        <v>0</v>
      </c>
      <c r="AE99" s="53">
        <v>0</v>
      </c>
      <c r="AF99" s="53">
        <v>0</v>
      </c>
      <c r="AG99" s="53">
        <v>0</v>
      </c>
      <c r="AH99" s="53">
        <v>0</v>
      </c>
      <c r="AI99" s="53">
        <v>0</v>
      </c>
      <c r="AJ99" s="53">
        <v>0</v>
      </c>
      <c r="AK99" s="53">
        <v>0</v>
      </c>
      <c r="AL99" s="53">
        <v>0</v>
      </c>
      <c r="AM99" s="53">
        <v>0</v>
      </c>
      <c r="AN99" s="53">
        <v>0</v>
      </c>
      <c r="AO99" s="53">
        <v>0</v>
      </c>
      <c r="AP99" s="53">
        <v>0</v>
      </c>
      <c r="AQ99" s="53">
        <v>0</v>
      </c>
      <c r="AR99" s="53">
        <v>0</v>
      </c>
      <c r="AS99" s="53">
        <v>0</v>
      </c>
      <c r="AT99" s="53">
        <v>0</v>
      </c>
      <c r="AU99" s="53">
        <v>0</v>
      </c>
      <c r="AV99" s="53">
        <v>0</v>
      </c>
      <c r="AW99" s="53">
        <v>0</v>
      </c>
      <c r="AX99" s="53">
        <v>0</v>
      </c>
      <c r="AY99" s="53">
        <v>0</v>
      </c>
      <c r="AZ99" s="53">
        <v>0</v>
      </c>
      <c r="BA99" s="53">
        <v>0</v>
      </c>
      <c r="BB99" s="53">
        <v>0</v>
      </c>
      <c r="BC99" s="53">
        <v>0</v>
      </c>
      <c r="BD99" s="53"/>
      <c r="BE99" s="211"/>
      <c r="BF99" s="212"/>
      <c r="BG99" s="53">
        <v>0</v>
      </c>
      <c r="BH99" s="53">
        <v>0</v>
      </c>
      <c r="BI99" s="53">
        <v>0</v>
      </c>
      <c r="BJ99" s="53">
        <v>0</v>
      </c>
      <c r="BK99" s="53">
        <v>0</v>
      </c>
      <c r="BL99" s="53">
        <v>0</v>
      </c>
      <c r="BM99" s="53">
        <v>0</v>
      </c>
      <c r="BN99" s="53">
        <v>0</v>
      </c>
      <c r="BO99" s="53">
        <v>0</v>
      </c>
      <c r="BP99" s="53">
        <v>0</v>
      </c>
      <c r="BQ99" s="53">
        <v>0</v>
      </c>
      <c r="BR99" s="53">
        <v>0</v>
      </c>
      <c r="BS99" s="53">
        <v>0</v>
      </c>
      <c r="BT99" s="53"/>
    </row>
    <row r="100" customHeight="1" spans="1:78">
      <c r="A100" s="53" t="s">
        <v>459</v>
      </c>
      <c r="B100" s="53"/>
      <c r="C100" s="53"/>
      <c r="BE100" s="142"/>
      <c r="BF100" s="143"/>
      <c r="BG100" s="225"/>
      <c r="BH100" s="225"/>
      <c r="BI100" s="225"/>
      <c r="BJ100" s="225"/>
      <c r="BK100" s="225"/>
      <c r="BL100" s="225"/>
      <c r="BM100" s="225"/>
      <c r="BN100" s="225"/>
      <c r="BO100" s="225"/>
    </row>
    <row r="101" customHeight="1" spans="1:78">
      <c r="A101" s="53" t="s">
        <v>460</v>
      </c>
      <c r="B101" s="53"/>
      <c r="C101" s="53"/>
      <c r="X101" s="232"/>
      <c r="Y101" s="232"/>
      <c r="Z101" s="232"/>
      <c r="AA101" s="232"/>
      <c r="AB101" s="232"/>
      <c r="AC101" s="232"/>
      <c r="AD101" s="232"/>
      <c r="AE101" s="232"/>
      <c r="AN101" s="233"/>
      <c r="BE101" s="142"/>
      <c r="BF101" s="143"/>
      <c r="BG101" s="225"/>
      <c r="BH101" s="146"/>
      <c r="BI101" s="225"/>
      <c r="BJ101" s="225"/>
      <c r="BK101" s="225"/>
      <c r="BL101" s="225"/>
      <c r="BM101" s="225"/>
      <c r="BN101" s="225"/>
      <c r="BO101" s="225"/>
    </row>
    <row r="102" customHeight="1" spans="1:78">
      <c r="A102" s="53"/>
      <c r="B102" s="53"/>
      <c r="C102" s="53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4"/>
      <c r="X102" s="232"/>
      <c r="Y102" s="232"/>
      <c r="Z102" s="232"/>
      <c r="AA102" s="232"/>
      <c r="AB102" s="232"/>
      <c r="AC102" s="232"/>
      <c r="AD102" s="232"/>
      <c r="AE102" s="232"/>
      <c r="AF102" s="234"/>
      <c r="AG102" s="234"/>
      <c r="AH102" s="234"/>
      <c r="AI102" s="234"/>
      <c r="AJ102" s="234"/>
      <c r="AK102" s="234"/>
      <c r="AL102" s="234"/>
      <c r="AM102" s="234"/>
      <c r="AN102" s="234"/>
      <c r="AO102" s="234"/>
      <c r="AP102" s="234"/>
      <c r="AQ102" s="234"/>
      <c r="AR102" s="234"/>
      <c r="AS102" s="234"/>
      <c r="AT102" s="234"/>
      <c r="AU102" s="234"/>
      <c r="AV102" s="234"/>
      <c r="AW102" s="234"/>
      <c r="AX102" s="234"/>
      <c r="AY102" s="234"/>
      <c r="AZ102" s="234"/>
      <c r="BA102" s="234"/>
      <c r="BB102" s="234"/>
      <c r="BC102" s="234"/>
      <c r="BD102" s="234"/>
      <c r="BE102" s="176"/>
      <c r="BF102" s="235"/>
      <c r="BG102" s="225"/>
      <c r="BH102" s="225"/>
      <c r="BI102" s="225"/>
      <c r="BJ102" s="225"/>
      <c r="BK102" s="225"/>
      <c r="BL102" s="225"/>
      <c r="BM102" s="225"/>
      <c r="BN102" s="225"/>
      <c r="BO102" s="225"/>
    </row>
    <row r="103" customHeight="1" spans="1:78">
      <c r="A103" s="53"/>
      <c r="B103" s="53"/>
      <c r="C103" s="53"/>
      <c r="K103" s="182"/>
      <c r="M103" s="182"/>
      <c r="N103" s="182"/>
      <c r="O103" s="182"/>
      <c r="P103" s="182"/>
      <c r="Q103" s="182"/>
      <c r="R103" s="182"/>
      <c r="S103" s="182"/>
      <c r="T103" s="182"/>
      <c r="U103" s="182"/>
      <c r="V103" s="182"/>
      <c r="W103" s="182"/>
      <c r="X103" s="232"/>
      <c r="Y103" s="232"/>
      <c r="Z103" s="232"/>
      <c r="AA103" s="232"/>
      <c r="AB103" s="232"/>
      <c r="AC103" s="232"/>
      <c r="AD103" s="232"/>
      <c r="AE103" s="232"/>
      <c r="AF103" s="182"/>
      <c r="AG103" s="182"/>
      <c r="AH103" s="182"/>
      <c r="AI103" s="182"/>
      <c r="AJ103" s="182"/>
      <c r="AK103" s="182"/>
      <c r="AL103" s="182"/>
      <c r="AM103" s="182"/>
      <c r="AN103" s="182"/>
      <c r="AO103" s="182"/>
      <c r="AP103" s="182"/>
      <c r="AQ103" s="182"/>
      <c r="AR103" s="182"/>
      <c r="AS103" s="182"/>
      <c r="AT103" s="182"/>
      <c r="AU103" s="182"/>
      <c r="AV103" s="182"/>
      <c r="AW103" s="182"/>
      <c r="AX103" s="182"/>
      <c r="AY103" s="182"/>
      <c r="AZ103" s="182"/>
      <c r="BA103" s="182"/>
      <c r="BB103" s="182"/>
      <c r="BC103" s="182"/>
      <c r="BD103" s="182"/>
      <c r="BE103" s="182"/>
      <c r="BF103" s="236"/>
      <c r="BG103" s="182"/>
      <c r="BH103" s="182"/>
      <c r="BI103" s="182"/>
      <c r="BJ103" s="182"/>
      <c r="BK103" s="182"/>
      <c r="BL103" s="182"/>
      <c r="BM103" s="182"/>
      <c r="BN103" s="182"/>
      <c r="BO103" s="182"/>
    </row>
    <row r="104" customHeight="1" spans="1:78">
      <c r="A104" s="53"/>
      <c r="B104" s="53"/>
      <c r="C104" s="53"/>
      <c r="BE104" s="142"/>
      <c r="BF104" s="143"/>
      <c r="BG104" s="225"/>
      <c r="BH104" s="225"/>
      <c r="BI104" s="225"/>
      <c r="BJ104" s="225"/>
      <c r="BK104" s="225"/>
      <c r="BL104" s="225"/>
      <c r="BM104" s="225"/>
      <c r="BN104" s="225"/>
      <c r="BO104" s="225"/>
    </row>
    <row r="105" ht="11.25" spans="1:78">
      <c r="BD105" s="106"/>
      <c r="BE105" s="142"/>
      <c r="BF105" s="143"/>
      <c r="BG105" s="185"/>
      <c r="BH105" s="185"/>
      <c r="BI105" s="185"/>
      <c r="BJ105" s="185"/>
      <c r="BK105" s="185"/>
      <c r="BL105" s="185"/>
      <c r="BM105" s="185"/>
      <c r="BN105" s="185"/>
      <c r="BO105" s="185"/>
    </row>
    <row r="106" ht="9.75" customHeight="1" spans="1:78">
      <c r="A106" s="237"/>
      <c r="B106" s="237"/>
      <c r="C106" s="238" t="s">
        <v>461</v>
      </c>
      <c r="D106" s="239"/>
      <c r="E106" s="239"/>
      <c r="F106" s="239"/>
      <c r="G106" s="239"/>
      <c r="H106" s="239"/>
      <c r="I106" s="239"/>
      <c r="J106" s="239"/>
      <c r="K106" s="239"/>
      <c r="L106" s="239"/>
      <c r="M106" s="239"/>
      <c r="N106" s="239"/>
      <c r="O106" s="239"/>
      <c r="P106" s="239">
        <v>7</v>
      </c>
      <c r="Q106" s="239">
        <v>7</v>
      </c>
      <c r="R106" s="239">
        <v>7</v>
      </c>
      <c r="S106" s="240">
        <f t="shared" ref="S106:AA106" si="366">+R106</f>
        <v>7</v>
      </c>
      <c r="T106" s="240">
        <f t="shared" si="366"/>
        <v>7</v>
      </c>
      <c r="U106" s="240">
        <f t="shared" si="366"/>
        <v>7</v>
      </c>
      <c r="V106" s="240">
        <v>6.8</v>
      </c>
      <c r="W106" s="240">
        <v>6.6</v>
      </c>
      <c r="X106" s="240">
        <v>6.5</v>
      </c>
      <c r="Y106" s="240">
        <f t="shared" si="366"/>
        <v>6.5</v>
      </c>
      <c r="Z106" s="240">
        <f t="shared" si="366"/>
        <v>6.5</v>
      </c>
      <c r="AA106" s="240">
        <f t="shared" si="366"/>
        <v>6.5</v>
      </c>
      <c r="AB106" s="240">
        <f>+AA106+0.1</f>
        <v>6.6</v>
      </c>
      <c r="AC106" s="240">
        <f t="shared" ref="AC106:AI106" si="367">+AB106</f>
        <v>6.6</v>
      </c>
      <c r="AD106" s="240">
        <f t="shared" si="367"/>
        <v>6.6</v>
      </c>
      <c r="AE106" s="240">
        <f t="shared" si="367"/>
        <v>6.6</v>
      </c>
      <c r="AF106" s="240">
        <f t="shared" si="367"/>
        <v>6.6</v>
      </c>
      <c r="AG106" s="240">
        <f t="shared" si="367"/>
        <v>6.6</v>
      </c>
      <c r="AH106" s="240">
        <f t="shared" si="367"/>
        <v>6.6</v>
      </c>
      <c r="AI106" s="240">
        <f t="shared" si="367"/>
        <v>6.6</v>
      </c>
      <c r="AJ106" s="240">
        <f t="shared" ref="AJ106:AM106" si="368">+AI106</f>
        <v>6.6</v>
      </c>
      <c r="AK106" s="240">
        <v>7</v>
      </c>
      <c r="AL106" s="240">
        <f t="shared" si="368"/>
        <v>7</v>
      </c>
      <c r="AM106" s="240">
        <f t="shared" si="368"/>
        <v>7</v>
      </c>
      <c r="AN106" s="240">
        <v>7</v>
      </c>
      <c r="AO106" s="240">
        <v>7</v>
      </c>
      <c r="AP106" s="240">
        <v>7</v>
      </c>
      <c r="AQ106" s="240">
        <v>7</v>
      </c>
      <c r="AR106" s="240">
        <v>6.9</v>
      </c>
      <c r="AS106" s="240">
        <v>6.9</v>
      </c>
      <c r="AT106" s="240">
        <v>6.9</v>
      </c>
      <c r="AU106" s="240">
        <v>6.9</v>
      </c>
      <c r="AV106" s="240">
        <v>6.9</v>
      </c>
      <c r="AW106" s="240">
        <v>6.9</v>
      </c>
      <c r="AX106" s="240">
        <v>6.9</v>
      </c>
      <c r="AY106" s="240">
        <v>6.9</v>
      </c>
      <c r="AZ106" s="240">
        <v>6.9</v>
      </c>
      <c r="BA106" s="240">
        <v>6.9</v>
      </c>
      <c r="BB106" s="240">
        <v>6.9</v>
      </c>
      <c r="BC106" s="240">
        <v>6.9</v>
      </c>
      <c r="BD106" s="240"/>
      <c r="BE106" s="142"/>
      <c r="BF106" s="241"/>
      <c r="BG106" s="240">
        <v>6.805</v>
      </c>
      <c r="BH106" s="240">
        <v>6.91</v>
      </c>
      <c r="BI106" s="240">
        <v>6.79</v>
      </c>
      <c r="BJ106" s="240">
        <f>AVERAGE(P106:S106)</f>
        <v>7</v>
      </c>
      <c r="BK106" s="240">
        <f>AVERAGE(T106:W106)</f>
        <v>6.85</v>
      </c>
      <c r="BL106" s="240">
        <f>AVERAGE(X106:AA106)</f>
        <v>6.5</v>
      </c>
      <c r="BM106" s="240">
        <f>AVERAGE(AB106:AE106)</f>
        <v>6.6</v>
      </c>
      <c r="BN106" s="240">
        <f>AVERAGE(AF106:AI106)</f>
        <v>6.6</v>
      </c>
      <c r="BO106" s="240">
        <f>AVERAGE(AJ106:AM106)</f>
        <v>6.9</v>
      </c>
      <c r="BP106" s="242">
        <f>AVERAGE(AN106:AQ106)</f>
        <v>7</v>
      </c>
      <c r="BQ106" s="242">
        <f>AVERAGE(AR106:AU106)</f>
        <v>6.9</v>
      </c>
      <c r="BR106" s="242">
        <f>AVERAGE(AV106:AY106)</f>
        <v>6.9</v>
      </c>
      <c r="BS106" s="242">
        <f>AVERAGE(AZ106:BC106)</f>
        <v>6.9</v>
      </c>
      <c r="BT106" s="237"/>
    </row>
    <row r="107" customHeight="1" spans="1:78">
      <c r="AC107" s="243"/>
      <c r="AD107" s="182"/>
      <c r="BD107" s="106"/>
      <c r="BE107" s="142"/>
      <c r="BF107" s="143"/>
    </row>
    <row r="108" ht="11.25" spans="1:78">
      <c r="A108" s="244" t="s">
        <v>462</v>
      </c>
      <c r="B108" s="244"/>
      <c r="C108" s="244"/>
      <c r="D108" s="245"/>
      <c r="E108" s="245"/>
      <c r="F108" s="245"/>
      <c r="G108" s="245"/>
      <c r="H108" s="246"/>
      <c r="I108" s="246"/>
      <c r="J108" s="245"/>
      <c r="K108" s="245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7"/>
      <c r="Z108" s="247"/>
      <c r="AA108" s="247"/>
      <c r="AB108" s="247"/>
      <c r="AC108" s="247"/>
      <c r="AD108" s="247"/>
      <c r="AE108" s="245"/>
      <c r="AF108" s="245"/>
      <c r="AG108" s="245"/>
      <c r="AH108" s="245"/>
      <c r="AI108" s="245"/>
      <c r="AJ108" s="245"/>
      <c r="AK108" s="245"/>
      <c r="AL108" s="245"/>
      <c r="AM108" s="245"/>
      <c r="AN108" s="245"/>
      <c r="AO108" s="245"/>
      <c r="AP108" s="245"/>
      <c r="AQ108" s="245"/>
      <c r="AR108" s="245"/>
      <c r="AS108" s="245"/>
      <c r="AT108" s="245"/>
      <c r="AU108" s="245"/>
      <c r="AV108" s="245"/>
      <c r="AW108" s="245"/>
      <c r="AX108" s="245"/>
      <c r="AY108" s="245"/>
      <c r="AZ108" s="245"/>
      <c r="BA108" s="245"/>
      <c r="BB108" s="245"/>
      <c r="BC108" s="245"/>
      <c r="BD108" s="248"/>
      <c r="BE108" s="142"/>
      <c r="BF108" s="249"/>
      <c r="BG108" s="250"/>
      <c r="BH108" s="251"/>
      <c r="BI108" s="251"/>
      <c r="BJ108" s="251"/>
      <c r="BK108" s="251"/>
      <c r="BL108" s="250"/>
      <c r="BM108" s="250"/>
      <c r="BN108" s="250"/>
      <c r="BO108" s="250"/>
      <c r="BP108" s="250"/>
      <c r="BQ108" s="250"/>
      <c r="BR108" s="250"/>
      <c r="BS108" s="250"/>
      <c r="BT108" s="250"/>
    </row>
    <row r="109" customHeight="1" spans="1:78">
      <c r="A109" s="252" t="s">
        <v>463</v>
      </c>
      <c r="B109" s="252"/>
      <c r="C109" s="252"/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253"/>
      <c r="P109" s="253"/>
      <c r="Q109" s="253"/>
      <c r="R109" s="253"/>
      <c r="S109" s="253"/>
      <c r="T109" s="253"/>
      <c r="U109" s="253"/>
      <c r="V109" s="253"/>
      <c r="W109" s="253"/>
      <c r="X109" s="253"/>
      <c r="Y109" s="253"/>
      <c r="Z109" s="254"/>
      <c r="AA109" s="253"/>
      <c r="AB109" s="253"/>
      <c r="AC109" s="255"/>
      <c r="AD109" s="256"/>
      <c r="AE109" s="257"/>
      <c r="AF109" s="253"/>
      <c r="AG109" s="253"/>
      <c r="AH109" s="253"/>
      <c r="AI109" s="256"/>
      <c r="AJ109" s="257"/>
      <c r="AK109" s="255"/>
      <c r="AL109" s="255"/>
      <c r="AM109" s="256"/>
      <c r="AN109" s="255"/>
      <c r="AO109" s="255"/>
      <c r="AP109" s="255"/>
      <c r="AQ109" s="255"/>
      <c r="AR109" s="255"/>
      <c r="AS109" s="255"/>
      <c r="AT109" s="255"/>
      <c r="AU109" s="255"/>
      <c r="AV109" s="255"/>
      <c r="AW109" s="255"/>
      <c r="AX109" s="255"/>
      <c r="AY109" s="255"/>
      <c r="AZ109" s="255"/>
      <c r="BA109" s="255"/>
      <c r="BB109" s="255"/>
      <c r="BC109" s="255"/>
      <c r="BD109" s="253"/>
      <c r="BE109" s="258"/>
      <c r="BF109" s="259"/>
      <c r="BG109" s="260"/>
      <c r="BH109" s="260"/>
      <c r="BI109" s="260"/>
      <c r="BJ109" s="260"/>
      <c r="BK109" s="260"/>
      <c r="BL109" s="260"/>
      <c r="BM109" s="260"/>
      <c r="BN109" s="260"/>
      <c r="BO109" s="260"/>
      <c r="BP109" s="49">
        <f>+BP110/(347.8*7)</f>
        <v>1.72093283406943</v>
      </c>
      <c r="BQ109" s="49"/>
      <c r="BR109" s="49"/>
      <c r="BS109" s="49"/>
      <c r="BT109" s="49"/>
    </row>
    <row r="110" s="105" customFormat="1" customHeight="1" spans="1:78">
      <c r="A110" s="252"/>
      <c r="B110" s="395" t="s">
        <v>464</v>
      </c>
      <c r="C110" s="70"/>
      <c r="D110" s="261"/>
      <c r="E110" s="261"/>
      <c r="F110" s="261"/>
      <c r="G110" s="261"/>
      <c r="H110" s="261"/>
      <c r="I110" s="261"/>
      <c r="J110" s="261"/>
      <c r="K110" s="261"/>
      <c r="L110" s="261"/>
      <c r="M110" s="261"/>
      <c r="N110" s="261"/>
      <c r="O110" s="261"/>
      <c r="P110" s="262"/>
      <c r="Q110" s="262"/>
      <c r="R110" s="261">
        <f>+R111+R114+R118</f>
        <v>501.8427792</v>
      </c>
      <c r="S110" s="261">
        <f t="shared" ref="S110:AH110" si="369">+S111+S114+S118</f>
        <v>347.424</v>
      </c>
      <c r="T110" s="261">
        <f t="shared" si="369"/>
        <v>490.39055241984</v>
      </c>
      <c r="U110" s="261">
        <f t="shared" si="369"/>
        <v>587.81360841984</v>
      </c>
      <c r="V110" s="261">
        <f t="shared" si="369"/>
        <v>370.985594029724</v>
      </c>
      <c r="W110" s="261">
        <f t="shared" si="369"/>
        <v>346.31831950026</v>
      </c>
      <c r="X110" s="261">
        <f t="shared" si="369"/>
        <v>250.8172349184</v>
      </c>
      <c r="Y110" s="261">
        <f t="shared" si="369"/>
        <v>309.415191301728</v>
      </c>
      <c r="Z110" s="261">
        <f t="shared" si="369"/>
        <v>548.266033031966</v>
      </c>
      <c r="AA110" s="261">
        <f t="shared" si="369"/>
        <v>618.853912698972</v>
      </c>
      <c r="AB110" s="261">
        <f t="shared" si="369"/>
        <v>573.165427728771</v>
      </c>
      <c r="AC110" s="261">
        <f t="shared" si="369"/>
        <v>655.776219302084</v>
      </c>
      <c r="AD110" s="261">
        <f t="shared" si="369"/>
        <v>700.203199232239</v>
      </c>
      <c r="AE110" s="261">
        <f t="shared" si="369"/>
        <v>755.311769267041</v>
      </c>
      <c r="AF110" s="261">
        <f t="shared" si="369"/>
        <v>374.988807757026</v>
      </c>
      <c r="AG110" s="261">
        <f t="shared" si="369"/>
        <v>446.839721506803</v>
      </c>
      <c r="AH110" s="261">
        <f t="shared" si="369"/>
        <v>535.35799713081</v>
      </c>
      <c r="AI110" s="261">
        <f>+AI111+AI114+AI118+AI121</f>
        <v>628.06091936233</v>
      </c>
      <c r="AJ110" s="261">
        <f t="shared" ref="AJ110:AY110" si="370">+AJ111+AJ114+AJ118+AJ121</f>
        <v>879.857382387369</v>
      </c>
      <c r="AK110" s="261">
        <f t="shared" si="370"/>
        <v>1002.21550580299</v>
      </c>
      <c r="AL110" s="261">
        <f t="shared" si="370"/>
        <v>954.639764355603</v>
      </c>
      <c r="AM110" s="261">
        <f t="shared" si="370"/>
        <v>865.298973322054</v>
      </c>
      <c r="AN110" s="261">
        <f t="shared" si="370"/>
        <v>1007.18512053624</v>
      </c>
      <c r="AO110" s="261">
        <f t="shared" si="370"/>
        <v>1025.91083068363</v>
      </c>
      <c r="AP110" s="261">
        <f t="shared" si="370"/>
        <v>1063.71971319067</v>
      </c>
      <c r="AQ110" s="261">
        <f t="shared" si="370"/>
        <v>1092.9674134149</v>
      </c>
      <c r="AR110" s="261">
        <f t="shared" si="370"/>
        <v>1159.53114822761</v>
      </c>
      <c r="AS110" s="261">
        <f t="shared" si="370"/>
        <v>1310.82972016627</v>
      </c>
      <c r="AT110" s="261">
        <f t="shared" si="370"/>
        <v>1430.57922965677</v>
      </c>
      <c r="AU110" s="261">
        <f t="shared" si="370"/>
        <v>1567.48875623661</v>
      </c>
      <c r="AV110" s="261">
        <f t="shared" si="370"/>
        <v>1693.30780250888</v>
      </c>
      <c r="AW110" s="261">
        <f t="shared" si="370"/>
        <v>1840.71125184545</v>
      </c>
      <c r="AX110" s="261">
        <f t="shared" si="370"/>
        <v>2015.27993773779</v>
      </c>
      <c r="AY110" s="261">
        <f t="shared" si="370"/>
        <v>2224.19482175053</v>
      </c>
      <c r="AZ110" s="261">
        <f t="shared" ref="AZ110:BC110" si="371">+AZ111+AZ114+AZ118+AZ121</f>
        <v>2369.12167377706</v>
      </c>
      <c r="BA110" s="261">
        <f t="shared" si="371"/>
        <v>2525.68199599312</v>
      </c>
      <c r="BB110" s="261">
        <f t="shared" si="371"/>
        <v>2694.96480428552</v>
      </c>
      <c r="BC110" s="261">
        <f t="shared" si="371"/>
        <v>2878.17157987924</v>
      </c>
      <c r="BD110" s="261"/>
      <c r="BE110" s="263"/>
      <c r="BF110" s="264"/>
      <c r="BG110" s="261">
        <f t="shared" ref="BG110:BL110" si="372">+BG111+BG114+BG118</f>
        <v>558.3267</v>
      </c>
      <c r="BH110" s="261">
        <f t="shared" si="372"/>
        <v>934.668</v>
      </c>
      <c r="BI110" s="261">
        <f t="shared" si="372"/>
        <v>1748.6526</v>
      </c>
      <c r="BJ110" s="261">
        <f t="shared" si="372"/>
        <v>1721.4585</v>
      </c>
      <c r="BK110" s="261">
        <f t="shared" si="372"/>
        <v>1795.50807436966</v>
      </c>
      <c r="BL110" s="261">
        <f t="shared" si="372"/>
        <v>1727.35237195107</v>
      </c>
      <c r="BM110" s="261">
        <f>+BM111+BM114+BM118+BM121</f>
        <v>2684.45661553013</v>
      </c>
      <c r="BN110" s="261">
        <f t="shared" ref="BN110:BR110" si="373">+BN111+BN114+BN118+BN121</f>
        <v>1985.24744575697</v>
      </c>
      <c r="BO110" s="261">
        <f t="shared" si="373"/>
        <v>3702.01162586802</v>
      </c>
      <c r="BP110" s="261">
        <f t="shared" si="373"/>
        <v>4189.78307782544</v>
      </c>
      <c r="BQ110" s="261">
        <f t="shared" si="373"/>
        <v>5468.42885428726</v>
      </c>
      <c r="BR110" s="261">
        <f t="shared" si="373"/>
        <v>7773.49381384265</v>
      </c>
      <c r="BS110" s="261">
        <f t="shared" ref="BS110" si="374">+BS111+BS114+BS118+BS121</f>
        <v>10467.9400539349</v>
      </c>
      <c r="BT110" s="150">
        <f>+(BS110/BP110)^(1/3)-1</f>
        <v>0.356927246078714</v>
      </c>
      <c r="BU110"/>
      <c r="BV110"/>
      <c r="BW110"/>
      <c r="BX110"/>
      <c r="BY110"/>
      <c r="BZ110"/>
    </row>
    <row r="111" customHeight="1" spans="1:78">
      <c r="A111" s="252"/>
      <c r="B111" s="252"/>
      <c r="C111" s="395" t="s">
        <v>465</v>
      </c>
      <c r="D111" s="265"/>
      <c r="E111" s="265"/>
      <c r="F111" s="265"/>
      <c r="G111" s="265"/>
      <c r="H111" s="265"/>
      <c r="I111" s="265"/>
      <c r="J111" s="266"/>
      <c r="K111" s="266"/>
      <c r="L111" s="266"/>
      <c r="M111" s="266"/>
      <c r="N111" s="266"/>
      <c r="O111" s="266"/>
      <c r="P111" s="267"/>
      <c r="Q111" s="267"/>
      <c r="R111" s="261">
        <f>+SUM(R112:R113)</f>
        <v>501.8427792</v>
      </c>
      <c r="S111" s="261">
        <f t="shared" ref="S111:AY111" si="375">+SUM(S112:S113)</f>
        <v>347.424</v>
      </c>
      <c r="T111" s="261">
        <f t="shared" si="375"/>
        <v>490.39055241984</v>
      </c>
      <c r="U111" s="261">
        <f t="shared" si="375"/>
        <v>587.81360841984</v>
      </c>
      <c r="V111" s="261">
        <f t="shared" si="375"/>
        <v>370.985594029724</v>
      </c>
      <c r="W111" s="261">
        <f t="shared" si="375"/>
        <v>346.31831950026</v>
      </c>
      <c r="X111" s="261">
        <f t="shared" si="375"/>
        <v>250.8172349184</v>
      </c>
      <c r="Y111" s="261">
        <f t="shared" si="375"/>
        <v>309.415191301728</v>
      </c>
      <c r="Z111" s="261">
        <f t="shared" si="375"/>
        <v>548.266033031966</v>
      </c>
      <c r="AA111" s="261">
        <f t="shared" si="375"/>
        <v>617.653912698972</v>
      </c>
      <c r="AB111" s="261">
        <f t="shared" si="375"/>
        <v>561.415427728771</v>
      </c>
      <c r="AC111" s="261">
        <f t="shared" si="375"/>
        <v>640.026219302084</v>
      </c>
      <c r="AD111" s="261">
        <f t="shared" si="375"/>
        <v>678.353199232239</v>
      </c>
      <c r="AE111" s="261">
        <f t="shared" si="375"/>
        <v>723.211769267041</v>
      </c>
      <c r="AF111" s="261">
        <f t="shared" si="375"/>
        <v>356.117402106324</v>
      </c>
      <c r="AG111" s="261">
        <f t="shared" si="375"/>
        <v>427.706254530655</v>
      </c>
      <c r="AH111" s="261">
        <f t="shared" si="375"/>
        <v>470.336526664494</v>
      </c>
      <c r="AI111" s="261">
        <f t="shared" si="375"/>
        <v>529.06091936233</v>
      </c>
      <c r="AJ111" s="261">
        <f t="shared" si="375"/>
        <v>790.757382387369</v>
      </c>
      <c r="AK111" s="261">
        <f t="shared" si="375"/>
        <v>868.215505802988</v>
      </c>
      <c r="AL111" s="261">
        <f t="shared" si="375"/>
        <v>794.639764355603</v>
      </c>
      <c r="AM111" s="261">
        <f t="shared" si="375"/>
        <v>810.592157625042</v>
      </c>
      <c r="AN111" s="261">
        <f t="shared" si="375"/>
        <v>826.864795189364</v>
      </c>
      <c r="AO111" s="261">
        <f t="shared" si="375"/>
        <v>843.464105952791</v>
      </c>
      <c r="AP111" s="261">
        <f t="shared" si="375"/>
        <v>860.396647879793</v>
      </c>
      <c r="AQ111" s="261">
        <f t="shared" si="375"/>
        <v>877.66911058598</v>
      </c>
      <c r="AR111" s="261">
        <f t="shared" si="375"/>
        <v>935.595271884654</v>
      </c>
      <c r="AS111" s="261">
        <f t="shared" si="375"/>
        <v>1054.88366904995</v>
      </c>
      <c r="AT111" s="261">
        <f t="shared" si="375"/>
        <v>1124.50599120724</v>
      </c>
      <c r="AU111" s="261">
        <f t="shared" si="375"/>
        <v>1198.72338662692</v>
      </c>
      <c r="AV111" s="261">
        <f t="shared" si="375"/>
        <v>1259.37878999024</v>
      </c>
      <c r="AW111" s="261">
        <f t="shared" si="375"/>
        <v>1323.10335676375</v>
      </c>
      <c r="AX111" s="261">
        <f t="shared" si="375"/>
        <v>1390.052386616</v>
      </c>
      <c r="AY111" s="261">
        <f t="shared" si="375"/>
        <v>1460.38903737877</v>
      </c>
      <c r="AZ111" s="261">
        <f t="shared" ref="AZ111:BC111" si="376">+SUM(AZ112:AZ113)</f>
        <v>1534.28472267013</v>
      </c>
      <c r="BA111" s="261">
        <f t="shared" si="376"/>
        <v>1611.91952963724</v>
      </c>
      <c r="BB111" s="261">
        <f t="shared" si="376"/>
        <v>1693.48265783688</v>
      </c>
      <c r="BC111" s="261">
        <f t="shared" si="376"/>
        <v>1779.17288032343</v>
      </c>
      <c r="BD111" s="261"/>
      <c r="BE111" s="263"/>
      <c r="BF111" s="264"/>
      <c r="BG111" s="261">
        <v>558.3267</v>
      </c>
      <c r="BH111" s="261">
        <v>934.668</v>
      </c>
      <c r="BI111" s="261">
        <v>1748.6526</v>
      </c>
      <c r="BJ111" s="261">
        <v>1721.4585</v>
      </c>
      <c r="BK111" s="261">
        <v>1795.50807436966</v>
      </c>
      <c r="BL111" s="261">
        <f t="shared" ref="BL111:BQ111" si="377">+SUM(BL112:BL113)</f>
        <v>1726.15237195107</v>
      </c>
      <c r="BM111" s="261">
        <f t="shared" si="377"/>
        <v>2603.00661553014</v>
      </c>
      <c r="BN111" s="261">
        <f t="shared" si="377"/>
        <v>1783.2211026638</v>
      </c>
      <c r="BO111" s="261">
        <f t="shared" si="377"/>
        <v>3264.204810171</v>
      </c>
      <c r="BP111" s="261">
        <f t="shared" si="377"/>
        <v>3408.39465960793</v>
      </c>
      <c r="BQ111" s="261">
        <f t="shared" si="377"/>
        <v>4313.70831876877</v>
      </c>
      <c r="BR111" s="261">
        <f t="shared" ref="BR111:BS111" si="378">+SUM(BR112:BR113)</f>
        <v>5432.92357074876</v>
      </c>
      <c r="BS111" s="261">
        <f t="shared" si="378"/>
        <v>6618.85979046769</v>
      </c>
      <c r="BT111" s="150">
        <f>+(BS111/BP111)^(1/3)-1</f>
        <v>0.247606901173596</v>
      </c>
    </row>
    <row r="112" customHeight="1" spans="1:78">
      <c r="A112" s="268"/>
      <c r="B112" s="268"/>
      <c r="C112" s="396" t="s">
        <v>466</v>
      </c>
      <c r="D112" s="270"/>
      <c r="E112" s="270"/>
      <c r="F112" s="270"/>
      <c r="G112" s="270"/>
      <c r="H112" s="270"/>
      <c r="I112" s="270"/>
      <c r="J112" s="270"/>
      <c r="K112" s="270"/>
      <c r="L112" s="270"/>
      <c r="M112" s="270"/>
      <c r="N112" s="270"/>
      <c r="O112" s="270"/>
      <c r="P112" s="262"/>
      <c r="Q112" s="262"/>
      <c r="R112" s="270">
        <f t="shared" ref="R112:AE112" si="379">R175*R221</f>
        <v>378.875448</v>
      </c>
      <c r="S112" s="270">
        <f t="shared" si="379"/>
        <v>259.424</v>
      </c>
      <c r="T112" s="270">
        <f t="shared" si="379"/>
        <v>375.854904</v>
      </c>
      <c r="U112" s="270">
        <f t="shared" si="379"/>
        <v>446.64372</v>
      </c>
      <c r="V112" s="270">
        <f t="shared" si="379"/>
        <v>282.895583655744</v>
      </c>
      <c r="W112" s="270">
        <f t="shared" si="379"/>
        <v>262.52710163253</v>
      </c>
      <c r="X112" s="270">
        <f t="shared" si="379"/>
        <v>193.5829165824</v>
      </c>
      <c r="Y112" s="270">
        <f t="shared" si="379"/>
        <v>252.86768478576</v>
      </c>
      <c r="Z112" s="270">
        <f t="shared" si="379"/>
        <v>464.540924922785</v>
      </c>
      <c r="AA112" s="270">
        <f t="shared" si="379"/>
        <v>499.144258427722</v>
      </c>
      <c r="AB112" s="270">
        <f t="shared" si="379"/>
        <v>462.65738250273</v>
      </c>
      <c r="AC112" s="270">
        <f t="shared" si="379"/>
        <v>527.047015563493</v>
      </c>
      <c r="AD112" s="270">
        <f t="shared" si="379"/>
        <v>555.25953227895</v>
      </c>
      <c r="AE112" s="270">
        <f t="shared" si="379"/>
        <v>591.54770575213</v>
      </c>
      <c r="AF112" s="270">
        <v>285.68891920944</v>
      </c>
      <c r="AG112" s="270">
        <v>344.283716539296</v>
      </c>
      <c r="AH112" s="270">
        <v>391.502228262661</v>
      </c>
      <c r="AI112" s="270">
        <v>439.265500110705</v>
      </c>
      <c r="AJ112" s="270">
        <f t="shared" ref="AJ112:AZ112" si="380">AJ175*AJ221</f>
        <v>687.807579376901</v>
      </c>
      <c r="AK112" s="270">
        <f t="shared" si="380"/>
        <v>751.182169740689</v>
      </c>
      <c r="AL112" s="270">
        <f t="shared" si="380"/>
        <v>687.729811862693</v>
      </c>
      <c r="AM112" s="270">
        <f t="shared" si="380"/>
        <v>701.535987835836</v>
      </c>
      <c r="AN112" s="270">
        <f t="shared" si="380"/>
        <v>715.61932279164</v>
      </c>
      <c r="AO112" s="270">
        <f t="shared" si="380"/>
        <v>729.985380696682</v>
      </c>
      <c r="AP112" s="270">
        <f t="shared" si="380"/>
        <v>744.639837214168</v>
      </c>
      <c r="AQ112" s="270">
        <f t="shared" si="380"/>
        <v>759.588481946242</v>
      </c>
      <c r="AR112" s="270">
        <f t="shared" si="380"/>
        <v>809.721321754694</v>
      </c>
      <c r="AS112" s="270">
        <f t="shared" si="380"/>
        <v>912.960790278418</v>
      </c>
      <c r="AT112" s="270">
        <f t="shared" si="380"/>
        <v>973.216202436793</v>
      </c>
      <c r="AU112" s="270">
        <f t="shared" si="380"/>
        <v>1037.44847179762</v>
      </c>
      <c r="AV112" s="270">
        <f t="shared" si="380"/>
        <v>1089.94336447058</v>
      </c>
      <c r="AW112" s="270">
        <f t="shared" si="380"/>
        <v>1145.09449871279</v>
      </c>
      <c r="AX112" s="270">
        <f t="shared" si="380"/>
        <v>1203.03628034766</v>
      </c>
      <c r="AY112" s="270">
        <f t="shared" si="380"/>
        <v>1263.90991613325</v>
      </c>
      <c r="AZ112" s="270">
        <f t="shared" si="380"/>
        <v>1327.86375788959</v>
      </c>
      <c r="BA112" s="270">
        <f t="shared" ref="BA112:BC112" si="381">BA175*BA221</f>
        <v>1395.05366403881</v>
      </c>
      <c r="BB112" s="270">
        <f t="shared" si="381"/>
        <v>1465.64337943917</v>
      </c>
      <c r="BC112" s="270">
        <f t="shared" si="381"/>
        <v>1539.80493443879</v>
      </c>
      <c r="BD112" s="270"/>
      <c r="BE112" s="271"/>
      <c r="BF112" s="272"/>
      <c r="BG112" s="270">
        <v>457.189047</v>
      </c>
      <c r="BH112" s="270">
        <v>748.999306575</v>
      </c>
      <c r="BI112" s="270">
        <v>1330.57944</v>
      </c>
      <c r="BJ112" s="270">
        <v>1308.7045425</v>
      </c>
      <c r="BK112" s="270">
        <v>1367.92130928827</v>
      </c>
      <c r="BL112" s="270">
        <f>SUM(X112:AA112)</f>
        <v>1410.13578471867</v>
      </c>
      <c r="BM112" s="270">
        <f>SUM(AB112:AE112)</f>
        <v>2136.5116360973</v>
      </c>
      <c r="BN112" s="270">
        <f>SUM(AF112:AI112)</f>
        <v>1460.7403641221</v>
      </c>
      <c r="BO112" s="270">
        <f>SUM(AJ112:AM112)</f>
        <v>2828.25554881612</v>
      </c>
      <c r="BP112" s="270">
        <f>SUM(AN112:AQ112)</f>
        <v>2949.83302264873</v>
      </c>
      <c r="BQ112" s="270">
        <f>SUM(AR112:AU112)</f>
        <v>3733.34678626753</v>
      </c>
      <c r="BR112" s="270">
        <f>SUM(AV112:AY112)</f>
        <v>4701.98405966429</v>
      </c>
      <c r="BS112" s="270">
        <f>SUM(AZ112:BC112)</f>
        <v>5728.36573580637</v>
      </c>
      <c r="BT112" s="182"/>
    </row>
    <row r="113" customHeight="1" spans="1:80">
      <c r="A113" s="268"/>
      <c r="B113" s="268"/>
      <c r="C113" s="396" t="s">
        <v>467</v>
      </c>
      <c r="D113" s="273"/>
      <c r="E113" s="273"/>
      <c r="F113" s="273"/>
      <c r="G113" s="273"/>
      <c r="H113" s="273"/>
      <c r="I113" s="273"/>
      <c r="J113" s="274"/>
      <c r="K113" s="274"/>
      <c r="L113" s="274"/>
      <c r="M113" s="274"/>
      <c r="N113" s="274"/>
      <c r="O113" s="274"/>
      <c r="P113" s="262"/>
      <c r="Q113" s="262"/>
      <c r="R113" s="270">
        <f t="shared" ref="R113:AE113" si="382">R176*R222</f>
        <v>122.9673312</v>
      </c>
      <c r="S113" s="270">
        <f t="shared" si="382"/>
        <v>88</v>
      </c>
      <c r="T113" s="270">
        <f t="shared" si="382"/>
        <v>114.53564841984</v>
      </c>
      <c r="U113" s="270">
        <f t="shared" si="382"/>
        <v>141.16988841984</v>
      </c>
      <c r="V113" s="270">
        <f t="shared" si="382"/>
        <v>88.0900103739802</v>
      </c>
      <c r="W113" s="270">
        <f t="shared" si="382"/>
        <v>83.7912178677299</v>
      </c>
      <c r="X113" s="270">
        <f t="shared" si="382"/>
        <v>57.234318336</v>
      </c>
      <c r="Y113" s="270">
        <f t="shared" si="382"/>
        <v>56.547506515968</v>
      </c>
      <c r="Z113" s="270">
        <f t="shared" si="382"/>
        <v>83.7251081091809</v>
      </c>
      <c r="AA113" s="270">
        <f t="shared" si="382"/>
        <v>118.50965427125</v>
      </c>
      <c r="AB113" s="270">
        <f t="shared" si="382"/>
        <v>98.7580452260413</v>
      </c>
      <c r="AC113" s="270">
        <f t="shared" si="382"/>
        <v>112.979203738591</v>
      </c>
      <c r="AD113" s="270">
        <f t="shared" si="382"/>
        <v>123.093666953289</v>
      </c>
      <c r="AE113" s="270">
        <f t="shared" si="382"/>
        <v>131.664063514911</v>
      </c>
      <c r="AF113" s="270">
        <v>70.4284828968834</v>
      </c>
      <c r="AG113" s="270">
        <v>83.4225379913584</v>
      </c>
      <c r="AH113" s="270">
        <v>78.8342984018337</v>
      </c>
      <c r="AI113" s="270">
        <v>89.7954192516247</v>
      </c>
      <c r="AJ113" s="270">
        <f t="shared" ref="AJ113:AY113" si="383">AJ176*AJ222</f>
        <v>102.949803010468</v>
      </c>
      <c r="AK113" s="270">
        <f t="shared" si="383"/>
        <v>117.0333360623</v>
      </c>
      <c r="AL113" s="270">
        <f t="shared" si="383"/>
        <v>106.909952492911</v>
      </c>
      <c r="AM113" s="270">
        <f t="shared" si="383"/>
        <v>109.056169789206</v>
      </c>
      <c r="AN113" s="270">
        <f t="shared" si="383"/>
        <v>111.245472397724</v>
      </c>
      <c r="AO113" s="270">
        <f t="shared" si="383"/>
        <v>113.478725256108</v>
      </c>
      <c r="AP113" s="270">
        <f t="shared" si="383"/>
        <v>115.756810665625</v>
      </c>
      <c r="AQ113" s="270">
        <f t="shared" si="383"/>
        <v>118.080628639737</v>
      </c>
      <c r="AR113" s="270">
        <f t="shared" si="383"/>
        <v>125.87395012996</v>
      </c>
      <c r="AS113" s="270">
        <f t="shared" si="383"/>
        <v>141.92287877153</v>
      </c>
      <c r="AT113" s="270">
        <f t="shared" si="383"/>
        <v>151.289788770451</v>
      </c>
      <c r="AU113" s="270">
        <f t="shared" si="383"/>
        <v>161.2749148293</v>
      </c>
      <c r="AV113" s="270">
        <f t="shared" si="383"/>
        <v>169.435425519663</v>
      </c>
      <c r="AW113" s="270">
        <f t="shared" si="383"/>
        <v>178.008858050958</v>
      </c>
      <c r="AX113" s="270">
        <f t="shared" si="383"/>
        <v>187.016106268336</v>
      </c>
      <c r="AY113" s="270">
        <f t="shared" si="383"/>
        <v>196.479121245514</v>
      </c>
      <c r="AZ113" s="270">
        <f t="shared" ref="AZ113:BC113" si="384">AZ176*AZ222</f>
        <v>206.420964780537</v>
      </c>
      <c r="BA113" s="270">
        <f t="shared" si="384"/>
        <v>216.865865598432</v>
      </c>
      <c r="BB113" s="270">
        <f t="shared" si="384"/>
        <v>227.839278397713</v>
      </c>
      <c r="BC113" s="270">
        <f t="shared" si="384"/>
        <v>239.367945884637</v>
      </c>
      <c r="BD113" s="270"/>
      <c r="BE113" s="271"/>
      <c r="BF113" s="272"/>
      <c r="BG113" s="270">
        <v>101.137653</v>
      </c>
      <c r="BH113" s="270">
        <v>185.668693425</v>
      </c>
      <c r="BI113" s="270">
        <v>418.07316</v>
      </c>
      <c r="BJ113" s="270">
        <v>412.7539575</v>
      </c>
      <c r="BK113" s="270">
        <v>427.58676508139</v>
      </c>
      <c r="BL113" s="270">
        <f>SUM(X113:AA113)</f>
        <v>316.016587232398</v>
      </c>
      <c r="BM113" s="270">
        <f>SUM(AB113:AE113)</f>
        <v>466.494979432833</v>
      </c>
      <c r="BN113" s="270">
        <f>SUM(AF113:AI113)</f>
        <v>322.4807385417</v>
      </c>
      <c r="BO113" s="270">
        <f>SUM(AJ113:AM113)</f>
        <v>435.949261354884</v>
      </c>
      <c r="BP113" s="270">
        <f>SUM(AN113:AQ113)</f>
        <v>458.561636959194</v>
      </c>
      <c r="BQ113" s="270">
        <f>SUM(AR113:AU113)</f>
        <v>580.36153250124</v>
      </c>
      <c r="BR113" s="270">
        <f>SUM(AV113:AY113)</f>
        <v>730.939511084471</v>
      </c>
      <c r="BS113" s="270">
        <f>SUM(AZ113:BC113)</f>
        <v>890.49405466132</v>
      </c>
      <c r="BT113" s="182"/>
    </row>
    <row r="114" customHeight="1" spans="1:80">
      <c r="A114" s="268"/>
      <c r="B114" s="268"/>
      <c r="C114" s="395" t="s">
        <v>468</v>
      </c>
      <c r="D114" s="275"/>
      <c r="E114" s="275"/>
      <c r="F114" s="275"/>
      <c r="G114" s="275"/>
      <c r="H114" s="275"/>
      <c r="I114" s="275"/>
      <c r="J114" s="266"/>
      <c r="K114" s="266"/>
      <c r="L114" s="266"/>
      <c r="M114" s="266"/>
      <c r="N114" s="266"/>
      <c r="O114" s="266"/>
      <c r="P114" s="267"/>
      <c r="Q114" s="267"/>
      <c r="R114" s="261"/>
      <c r="S114" s="261"/>
      <c r="T114" s="261"/>
      <c r="U114" s="261"/>
      <c r="V114" s="261"/>
      <c r="W114" s="261"/>
      <c r="X114" s="261"/>
      <c r="Y114" s="261"/>
      <c r="Z114" s="261"/>
      <c r="AA114" s="261">
        <f t="shared" ref="AA114:AY114" si="385">+SUM(AA115:AA117)</f>
        <v>1.2</v>
      </c>
      <c r="AB114" s="261">
        <f t="shared" si="385"/>
        <v>11.75</v>
      </c>
      <c r="AC114" s="261">
        <f t="shared" si="385"/>
        <v>15.75</v>
      </c>
      <c r="AD114" s="261">
        <f t="shared" si="385"/>
        <v>21.85</v>
      </c>
      <c r="AE114" s="261">
        <f t="shared" si="385"/>
        <v>32.1</v>
      </c>
      <c r="AF114" s="261">
        <f t="shared" si="385"/>
        <v>18.871405650702</v>
      </c>
      <c r="AG114" s="261">
        <f t="shared" si="385"/>
        <v>19.1334669761486</v>
      </c>
      <c r="AH114" s="261">
        <f t="shared" si="385"/>
        <v>65.0214704663156</v>
      </c>
      <c r="AI114" s="261">
        <f t="shared" si="385"/>
        <v>59</v>
      </c>
      <c r="AJ114" s="261">
        <f t="shared" si="385"/>
        <v>79.1</v>
      </c>
      <c r="AK114" s="261">
        <f t="shared" si="385"/>
        <v>119</v>
      </c>
      <c r="AL114" s="261">
        <f t="shared" si="385"/>
        <v>140</v>
      </c>
      <c r="AM114" s="261">
        <f t="shared" si="385"/>
        <v>47.7068156970124</v>
      </c>
      <c r="AN114" s="261">
        <f t="shared" si="385"/>
        <v>48.320325346876</v>
      </c>
      <c r="AO114" s="261">
        <f t="shared" si="385"/>
        <v>48.9417247308369</v>
      </c>
      <c r="AP114" s="261">
        <f t="shared" si="385"/>
        <v>49.5711153108754</v>
      </c>
      <c r="AQ114" s="261">
        <f t="shared" si="385"/>
        <v>52.1775645539212</v>
      </c>
      <c r="AR114" s="261">
        <f t="shared" si="385"/>
        <v>52.8485680340847</v>
      </c>
      <c r="AS114" s="261">
        <f t="shared" si="385"/>
        <v>53.528200619003</v>
      </c>
      <c r="AT114" s="261">
        <f t="shared" si="385"/>
        <v>54.2165732789634</v>
      </c>
      <c r="AU114" s="261">
        <f t="shared" si="385"/>
        <v>54.9137984113309</v>
      </c>
      <c r="AV114" s="261">
        <f t="shared" si="385"/>
        <v>55.6199898589006</v>
      </c>
      <c r="AW114" s="261">
        <f t="shared" si="385"/>
        <v>56.335262928486</v>
      </c>
      <c r="AX114" s="261">
        <f t="shared" si="385"/>
        <v>57.0597344097464</v>
      </c>
      <c r="AY114" s="261">
        <f t="shared" si="385"/>
        <v>57.7935225942557</v>
      </c>
      <c r="AZ114" s="261">
        <f t="shared" ref="AZ114:BC114" si="386">+SUM(AZ115:AZ117)</f>
        <v>58.5367472948178</v>
      </c>
      <c r="BA114" s="261">
        <f t="shared" si="386"/>
        <v>59.2895298650292</v>
      </c>
      <c r="BB114" s="261">
        <f t="shared" si="386"/>
        <v>60.0519932190935</v>
      </c>
      <c r="BC114" s="261">
        <f t="shared" si="386"/>
        <v>60.824261851891</v>
      </c>
      <c r="BD114" s="261"/>
      <c r="BE114" s="263"/>
      <c r="BF114" s="264"/>
      <c r="BG114" s="261">
        <f t="shared" ref="BG114:BQ114" si="387">+SUM(BG115:BG117)</f>
        <v>0</v>
      </c>
      <c r="BH114" s="261">
        <f t="shared" si="387"/>
        <v>0</v>
      </c>
      <c r="BI114" s="261">
        <f t="shared" si="387"/>
        <v>0</v>
      </c>
      <c r="BJ114" s="261">
        <f t="shared" si="387"/>
        <v>0</v>
      </c>
      <c r="BK114" s="261">
        <f t="shared" si="387"/>
        <v>0</v>
      </c>
      <c r="BL114" s="261">
        <f t="shared" si="387"/>
        <v>1.2</v>
      </c>
      <c r="BM114" s="261">
        <f t="shared" si="387"/>
        <v>81.45</v>
      </c>
      <c r="BN114" s="261">
        <f t="shared" si="387"/>
        <v>162.026343093166</v>
      </c>
      <c r="BO114" s="261">
        <f t="shared" si="387"/>
        <v>385.806815697012</v>
      </c>
      <c r="BP114" s="261">
        <f t="shared" si="387"/>
        <v>199.01072994251</v>
      </c>
      <c r="BQ114" s="261">
        <f t="shared" si="387"/>
        <v>215.507140343382</v>
      </c>
      <c r="BR114" s="261">
        <f t="shared" ref="BR114:BS114" si="388">+SUM(BR115:BR117)</f>
        <v>226.808509791389</v>
      </c>
      <c r="BS114" s="261">
        <f t="shared" si="388"/>
        <v>238.702532230831</v>
      </c>
      <c r="BT114" s="150">
        <f>+(BS114/BP114)^(1/3)-1</f>
        <v>0.0624948765251934</v>
      </c>
    </row>
    <row r="115" customHeight="1" spans="1:80">
      <c r="A115" s="268"/>
      <c r="B115" s="268"/>
      <c r="C115" s="396" t="s">
        <v>469</v>
      </c>
      <c r="D115" s="273"/>
      <c r="E115" s="273"/>
      <c r="F115" s="273"/>
      <c r="G115" s="273"/>
      <c r="H115" s="273"/>
      <c r="I115" s="273"/>
      <c r="J115" s="274"/>
      <c r="K115" s="274"/>
      <c r="L115" s="274"/>
      <c r="M115" s="274"/>
      <c r="N115" s="274"/>
      <c r="O115" s="274"/>
      <c r="P115" s="262"/>
      <c r="Q115" s="262"/>
      <c r="R115" s="270"/>
      <c r="S115" s="270"/>
      <c r="T115" s="270"/>
      <c r="U115" s="270"/>
      <c r="V115" s="270"/>
      <c r="W115" s="270"/>
      <c r="X115" s="270"/>
      <c r="Y115" s="270"/>
      <c r="Z115" s="270"/>
      <c r="AA115" s="276">
        <v>0.4</v>
      </c>
      <c r="AB115" s="270">
        <f t="shared" ref="AB115:AE116" si="389">AB178*AB224</f>
        <v>6.5</v>
      </c>
      <c r="AC115" s="270">
        <f t="shared" si="389"/>
        <v>9.1</v>
      </c>
      <c r="AD115" s="270">
        <f t="shared" si="389"/>
        <v>7.8</v>
      </c>
      <c r="AE115" s="270">
        <f t="shared" si="389"/>
        <v>10.4</v>
      </c>
      <c r="AF115" s="270">
        <v>6.239376</v>
      </c>
      <c r="AG115" s="270">
        <v>6.30176976</v>
      </c>
      <c r="AH115" s="270">
        <v>32.8847351976</v>
      </c>
      <c r="AI115" s="270">
        <v>30</v>
      </c>
      <c r="AJ115" s="270">
        <v>40</v>
      </c>
      <c r="AK115" s="270">
        <v>50</v>
      </c>
      <c r="AL115" s="270">
        <v>80</v>
      </c>
      <c r="AM115" s="270">
        <f t="shared" ref="AM115:AY115" si="390">AM178*AM224</f>
        <v>15.9172528428563</v>
      </c>
      <c r="AN115" s="270">
        <f t="shared" si="390"/>
        <v>16.1219487144154</v>
      </c>
      <c r="AO115" s="270">
        <f t="shared" si="390"/>
        <v>16.3292769748828</v>
      </c>
      <c r="AP115" s="270">
        <f t="shared" si="390"/>
        <v>16.5392714767798</v>
      </c>
      <c r="AQ115" s="270">
        <f t="shared" si="390"/>
        <v>17.4089063710288</v>
      </c>
      <c r="AR115" s="270">
        <f t="shared" si="390"/>
        <v>17.6327849069603</v>
      </c>
      <c r="AS115" s="270">
        <f t="shared" si="390"/>
        <v>17.8595425208638</v>
      </c>
      <c r="AT115" s="270">
        <f t="shared" si="390"/>
        <v>18.0892162376821</v>
      </c>
      <c r="AU115" s="270">
        <f t="shared" si="390"/>
        <v>18.3218435584987</v>
      </c>
      <c r="AV115" s="270">
        <f t="shared" si="390"/>
        <v>18.557462466661</v>
      </c>
      <c r="AW115" s="270">
        <f t="shared" si="390"/>
        <v>18.7961114339822</v>
      </c>
      <c r="AX115" s="270">
        <f t="shared" si="390"/>
        <v>19.0378294270232</v>
      </c>
      <c r="AY115" s="270">
        <f t="shared" si="390"/>
        <v>19.2826559134548</v>
      </c>
      <c r="AZ115" s="270">
        <f t="shared" ref="AZ115:BC115" si="391">AZ178*AZ224</f>
        <v>19.5306308685018</v>
      </c>
      <c r="BA115" s="270">
        <f t="shared" si="391"/>
        <v>19.7817947814707</v>
      </c>
      <c r="BB115" s="270">
        <f t="shared" si="391"/>
        <v>20.0361886623604</v>
      </c>
      <c r="BC115" s="270">
        <f t="shared" si="391"/>
        <v>20.2938540485584</v>
      </c>
      <c r="BD115" s="270"/>
      <c r="BE115" s="271"/>
      <c r="BF115" s="272"/>
      <c r="BG115" s="270">
        <f t="shared" ref="BG115:BG127" si="392">SUM(D115:G115)</f>
        <v>0</v>
      </c>
      <c r="BH115" s="270">
        <f t="shared" ref="BH115:BH127" si="393">SUM(H115:K115)</f>
        <v>0</v>
      </c>
      <c r="BI115" s="270">
        <f t="shared" ref="BI115:BI127" si="394">SUM(L115:O115)</f>
        <v>0</v>
      </c>
      <c r="BJ115" s="270">
        <f t="shared" ref="BJ115:BJ127" si="395">SUM(P115:S115)</f>
        <v>0</v>
      </c>
      <c r="BK115" s="270">
        <f t="shared" ref="BK115:BK127" si="396">SUM(T115:W115)</f>
        <v>0</v>
      </c>
      <c r="BL115" s="270">
        <f t="shared" ref="BL115:BL127" si="397">SUM(X115:AA115)</f>
        <v>0.4</v>
      </c>
      <c r="BM115" s="270">
        <f t="shared" ref="BM115:BM127" si="398">SUM(AB115:AE115)</f>
        <v>33.8</v>
      </c>
      <c r="BN115" s="270">
        <f t="shared" ref="BN115:BN127" si="399">SUM(AF115:AI115)</f>
        <v>75.4258809576</v>
      </c>
      <c r="BO115" s="270">
        <f t="shared" ref="BO115:BO127" si="400">SUM(AJ115:AM115)</f>
        <v>185.917252842856</v>
      </c>
      <c r="BP115" s="270">
        <f t="shared" ref="BP115:BP127" si="401">SUM(AN115:AQ115)</f>
        <v>66.3994035371067</v>
      </c>
      <c r="BQ115" s="270">
        <f t="shared" ref="BQ115:BQ127" si="402">SUM(AR115:AU115)</f>
        <v>71.9033872240048</v>
      </c>
      <c r="BR115" s="270">
        <f t="shared" ref="BR115:BR127" si="403">SUM(AV115:AY115)</f>
        <v>75.6740592411212</v>
      </c>
      <c r="BS115" s="270">
        <f t="shared" ref="BS115:BS121" si="404">SUM(AZ115:BC115)</f>
        <v>79.6424683608913</v>
      </c>
      <c r="BT115" s="182"/>
    </row>
    <row r="116" s="106" customFormat="1" customHeight="1" spans="1:80">
      <c r="A116" s="268"/>
      <c r="B116" s="268"/>
      <c r="C116" s="396" t="s">
        <v>470</v>
      </c>
      <c r="D116" s="277"/>
      <c r="E116" s="277"/>
      <c r="F116" s="277"/>
      <c r="G116" s="277"/>
      <c r="H116" s="277"/>
      <c r="I116" s="277"/>
      <c r="J116" s="274"/>
      <c r="K116" s="274"/>
      <c r="L116" s="274"/>
      <c r="M116" s="274"/>
      <c r="N116" s="274"/>
      <c r="O116" s="274"/>
      <c r="P116" s="262"/>
      <c r="Q116" s="262"/>
      <c r="R116" s="270"/>
      <c r="S116" s="270"/>
      <c r="T116" s="270"/>
      <c r="U116" s="270"/>
      <c r="V116" s="270"/>
      <c r="W116" s="270"/>
      <c r="X116" s="270"/>
      <c r="Y116" s="270"/>
      <c r="Z116" s="270"/>
      <c r="AA116" s="276">
        <v>0.4</v>
      </c>
      <c r="AB116" s="270">
        <f t="shared" si="389"/>
        <v>3.25</v>
      </c>
      <c r="AC116" s="270">
        <f t="shared" si="389"/>
        <v>3.9</v>
      </c>
      <c r="AD116" s="270">
        <f t="shared" si="389"/>
        <v>11.05</v>
      </c>
      <c r="AE116" s="270">
        <f t="shared" si="389"/>
        <v>18.2</v>
      </c>
      <c r="AF116" s="270">
        <v>10.594605513492</v>
      </c>
      <c r="AG116" s="270">
        <v>10.7535245961944</v>
      </c>
      <c r="AH116" s="270">
        <v>23.7908929875805</v>
      </c>
      <c r="AI116" s="270">
        <v>20</v>
      </c>
      <c r="AJ116" s="270">
        <v>25.5</v>
      </c>
      <c r="AK116" s="270">
        <v>39</v>
      </c>
      <c r="AL116" s="270">
        <v>40</v>
      </c>
      <c r="AM116" s="270">
        <f t="shared" ref="AM116:AY116" si="405">AM179*AM225</f>
        <v>20.2042996085322</v>
      </c>
      <c r="AN116" s="270">
        <f t="shared" si="405"/>
        <v>20.4641269014979</v>
      </c>
      <c r="AO116" s="270">
        <f t="shared" si="405"/>
        <v>20.7272955734512</v>
      </c>
      <c r="AP116" s="270">
        <f t="shared" si="405"/>
        <v>20.9938485945258</v>
      </c>
      <c r="AQ116" s="270">
        <f t="shared" si="405"/>
        <v>22.0977051536259</v>
      </c>
      <c r="AR116" s="270">
        <f t="shared" si="405"/>
        <v>22.3818816419016</v>
      </c>
      <c r="AS116" s="270">
        <f t="shared" si="405"/>
        <v>22.6697126398164</v>
      </c>
      <c r="AT116" s="270">
        <f t="shared" si="405"/>
        <v>22.9612451443645</v>
      </c>
      <c r="AU116" s="270">
        <f t="shared" si="405"/>
        <v>23.256526756921</v>
      </c>
      <c r="AV116" s="270">
        <f t="shared" si="405"/>
        <v>23.555605691015</v>
      </c>
      <c r="AW116" s="270">
        <f t="shared" si="405"/>
        <v>23.8585307802014</v>
      </c>
      <c r="AX116" s="270">
        <f t="shared" si="405"/>
        <v>24.1653514860348</v>
      </c>
      <c r="AY116" s="270">
        <f t="shared" si="405"/>
        <v>24.4761179061452</v>
      </c>
      <c r="AZ116" s="270">
        <f t="shared" ref="AZ116:BC116" si="406">AZ179*AZ225</f>
        <v>24.7908807824183</v>
      </c>
      <c r="BA116" s="270">
        <f t="shared" si="406"/>
        <v>25.1096915092802</v>
      </c>
      <c r="BB116" s="270">
        <f t="shared" si="406"/>
        <v>25.4326021420895</v>
      </c>
      <c r="BC116" s="270">
        <f t="shared" si="406"/>
        <v>25.7596654056368</v>
      </c>
      <c r="BD116" s="270"/>
      <c r="BE116" s="271"/>
      <c r="BF116" s="272"/>
      <c r="BG116" s="270">
        <f t="shared" si="392"/>
        <v>0</v>
      </c>
      <c r="BH116" s="270">
        <f t="shared" si="393"/>
        <v>0</v>
      </c>
      <c r="BI116" s="270">
        <f t="shared" si="394"/>
        <v>0</v>
      </c>
      <c r="BJ116" s="270">
        <f t="shared" si="395"/>
        <v>0</v>
      </c>
      <c r="BK116" s="270">
        <f t="shared" si="396"/>
        <v>0</v>
      </c>
      <c r="BL116" s="270">
        <f t="shared" si="397"/>
        <v>0.4</v>
      </c>
      <c r="BM116" s="270">
        <f t="shared" si="398"/>
        <v>36.4</v>
      </c>
      <c r="BN116" s="270">
        <f t="shared" si="399"/>
        <v>65.1390230972669</v>
      </c>
      <c r="BO116" s="270">
        <f t="shared" si="400"/>
        <v>124.704299608532</v>
      </c>
      <c r="BP116" s="270">
        <f t="shared" si="401"/>
        <v>84.2829762231008</v>
      </c>
      <c r="BQ116" s="270">
        <f t="shared" si="402"/>
        <v>91.2693661830034</v>
      </c>
      <c r="BR116" s="270">
        <f t="shared" si="403"/>
        <v>96.0556058633965</v>
      </c>
      <c r="BS116" s="270">
        <f t="shared" si="404"/>
        <v>101.092839839425</v>
      </c>
      <c r="BT116" s="278"/>
      <c r="BU116"/>
      <c r="BV116"/>
      <c r="BW116"/>
      <c r="BX116"/>
      <c r="BY116"/>
      <c r="BZ116"/>
    </row>
    <row r="117" s="106" customFormat="1" customHeight="1" spans="1:80">
      <c r="A117" s="268"/>
      <c r="B117" s="268"/>
      <c r="C117" s="396" t="s">
        <v>471</v>
      </c>
      <c r="D117" s="270"/>
      <c r="E117" s="270"/>
      <c r="F117" s="270"/>
      <c r="G117" s="270"/>
      <c r="H117" s="270"/>
      <c r="I117" s="270"/>
      <c r="J117" s="270"/>
      <c r="K117" s="270"/>
      <c r="L117" s="270"/>
      <c r="M117" s="270"/>
      <c r="N117" s="270"/>
      <c r="O117" s="270"/>
      <c r="P117" s="262"/>
      <c r="Q117" s="262"/>
      <c r="R117" s="270"/>
      <c r="S117" s="270"/>
      <c r="T117" s="270"/>
      <c r="U117" s="270"/>
      <c r="V117" s="270"/>
      <c r="W117" s="270"/>
      <c r="X117" s="270"/>
      <c r="Y117" s="270"/>
      <c r="Z117" s="270"/>
      <c r="AA117" s="276">
        <v>0.4</v>
      </c>
      <c r="AB117" s="270">
        <v>2</v>
      </c>
      <c r="AC117" s="270">
        <f>AC180*AC226</f>
        <v>2.75</v>
      </c>
      <c r="AD117" s="270">
        <f>AD180*AD226</f>
        <v>3</v>
      </c>
      <c r="AE117" s="270">
        <f>AE180*AE226</f>
        <v>3.5</v>
      </c>
      <c r="AF117" s="270">
        <v>2.03742413721</v>
      </c>
      <c r="AG117" s="270">
        <v>2.0781726199542</v>
      </c>
      <c r="AH117" s="270">
        <v>8.34584228113512</v>
      </c>
      <c r="AI117" s="270">
        <v>9</v>
      </c>
      <c r="AJ117" s="270">
        <f>AJ180*AJ226</f>
        <v>13.6</v>
      </c>
      <c r="AK117" s="270">
        <v>30</v>
      </c>
      <c r="AL117" s="270">
        <v>20</v>
      </c>
      <c r="AM117" s="270">
        <f t="shared" ref="AM117:AY117" si="407">AM180*AM226</f>
        <v>11.585263245624</v>
      </c>
      <c r="AN117" s="270">
        <f t="shared" si="407"/>
        <v>11.7342497309627</v>
      </c>
      <c r="AO117" s="270">
        <f t="shared" si="407"/>
        <v>11.8851521825029</v>
      </c>
      <c r="AP117" s="270">
        <f t="shared" si="407"/>
        <v>12.0379952395699</v>
      </c>
      <c r="AQ117" s="270">
        <f t="shared" si="407"/>
        <v>12.6709530292665</v>
      </c>
      <c r="AR117" s="270">
        <f t="shared" si="407"/>
        <v>12.8339014852228</v>
      </c>
      <c r="AS117" s="270">
        <f t="shared" si="407"/>
        <v>12.9989454583228</v>
      </c>
      <c r="AT117" s="270">
        <f t="shared" si="407"/>
        <v>13.1661118969168</v>
      </c>
      <c r="AU117" s="270">
        <f t="shared" si="407"/>
        <v>13.3354280959112</v>
      </c>
      <c r="AV117" s="270">
        <f t="shared" si="407"/>
        <v>13.5069217012246</v>
      </c>
      <c r="AW117" s="270">
        <f t="shared" si="407"/>
        <v>13.6806207143024</v>
      </c>
      <c r="AX117" s="270">
        <f t="shared" si="407"/>
        <v>13.8565534966883</v>
      </c>
      <c r="AY117" s="270">
        <f t="shared" si="407"/>
        <v>14.0347487746557</v>
      </c>
      <c r="AZ117" s="270">
        <f t="shared" ref="AZ117:BC117" si="408">AZ180*AZ226</f>
        <v>14.2152356438978</v>
      </c>
      <c r="BA117" s="270">
        <f t="shared" si="408"/>
        <v>14.3980435742783</v>
      </c>
      <c r="BB117" s="270">
        <f t="shared" si="408"/>
        <v>14.5832024146435</v>
      </c>
      <c r="BC117" s="270">
        <f t="shared" si="408"/>
        <v>14.7707423976958</v>
      </c>
      <c r="BD117" s="270"/>
      <c r="BE117" s="271"/>
      <c r="BF117" s="272"/>
      <c r="BG117" s="270">
        <f t="shared" si="392"/>
        <v>0</v>
      </c>
      <c r="BH117" s="270">
        <f t="shared" si="393"/>
        <v>0</v>
      </c>
      <c r="BI117" s="270">
        <f t="shared" si="394"/>
        <v>0</v>
      </c>
      <c r="BJ117" s="270">
        <f t="shared" si="395"/>
        <v>0</v>
      </c>
      <c r="BK117" s="270">
        <f t="shared" si="396"/>
        <v>0</v>
      </c>
      <c r="BL117" s="270">
        <f t="shared" si="397"/>
        <v>0.4</v>
      </c>
      <c r="BM117" s="270">
        <f t="shared" si="398"/>
        <v>11.25</v>
      </c>
      <c r="BN117" s="270">
        <f t="shared" si="399"/>
        <v>21.4614390382993</v>
      </c>
      <c r="BO117" s="270">
        <f t="shared" si="400"/>
        <v>75.185263245624</v>
      </c>
      <c r="BP117" s="270">
        <f t="shared" si="401"/>
        <v>48.328350182302</v>
      </c>
      <c r="BQ117" s="270">
        <f t="shared" si="402"/>
        <v>52.3343869363737</v>
      </c>
      <c r="BR117" s="270">
        <f t="shared" si="403"/>
        <v>55.0788446868709</v>
      </c>
      <c r="BS117" s="270">
        <f t="shared" si="404"/>
        <v>57.9672240305154</v>
      </c>
      <c r="BT117" s="278"/>
      <c r="BU117"/>
      <c r="BV117"/>
      <c r="BW117"/>
      <c r="BX117"/>
      <c r="BY117"/>
      <c r="BZ117"/>
    </row>
    <row r="118" s="106" customFormat="1" customHeight="1" spans="1:80">
      <c r="A118" s="252"/>
      <c r="B118" s="252"/>
      <c r="C118" s="395" t="s">
        <v>472</v>
      </c>
      <c r="D118" s="275"/>
      <c r="E118" s="275"/>
      <c r="F118" s="275"/>
      <c r="G118" s="275"/>
      <c r="H118" s="275"/>
      <c r="I118" s="275"/>
      <c r="J118" s="266"/>
      <c r="K118" s="266"/>
      <c r="L118" s="266"/>
      <c r="M118" s="266"/>
      <c r="N118" s="266"/>
      <c r="O118" s="266"/>
      <c r="P118" s="267"/>
      <c r="Q118" s="267"/>
      <c r="R118" s="261"/>
      <c r="S118" s="261"/>
      <c r="T118" s="261"/>
      <c r="U118" s="261"/>
      <c r="V118" s="261"/>
      <c r="W118" s="261"/>
      <c r="X118" s="261"/>
      <c r="Y118" s="261"/>
      <c r="Z118" s="261"/>
      <c r="AA118" s="261"/>
      <c r="AB118" s="261"/>
      <c r="AC118" s="261"/>
      <c r="AD118" s="261"/>
      <c r="AE118" s="261"/>
      <c r="AF118" s="261"/>
      <c r="AG118" s="261"/>
      <c r="AH118" s="261"/>
      <c r="AI118" s="261">
        <f>+SUM(AI119:AI120)</f>
        <v>0</v>
      </c>
      <c r="AJ118" s="261">
        <f t="shared" ref="AJ118:AY118" si="409">+SUM(AJ119:AJ120)</f>
        <v>0</v>
      </c>
      <c r="AK118" s="261">
        <f t="shared" si="409"/>
        <v>0</v>
      </c>
      <c r="AL118" s="261">
        <f t="shared" si="409"/>
        <v>0</v>
      </c>
      <c r="AM118" s="261">
        <f t="shared" si="409"/>
        <v>0</v>
      </c>
      <c r="AN118" s="261">
        <f t="shared" si="409"/>
        <v>0</v>
      </c>
      <c r="AO118" s="261">
        <f t="shared" si="409"/>
        <v>0</v>
      </c>
      <c r="AP118" s="261">
        <f t="shared" si="409"/>
        <v>61.08795</v>
      </c>
      <c r="AQ118" s="261">
        <f t="shared" si="409"/>
        <v>69.548631075</v>
      </c>
      <c r="AR118" s="261">
        <f t="shared" si="409"/>
        <v>76.1209767115875</v>
      </c>
      <c r="AS118" s="261">
        <f t="shared" si="409"/>
        <v>106.036520559241</v>
      </c>
      <c r="AT118" s="261">
        <f t="shared" si="409"/>
        <v>154.03925341641</v>
      </c>
      <c r="AU118" s="261">
        <f t="shared" si="409"/>
        <v>214.576680009059</v>
      </c>
      <c r="AV118" s="261">
        <f t="shared" si="409"/>
        <v>277.554935591718</v>
      </c>
      <c r="AW118" s="261">
        <f t="shared" si="409"/>
        <v>359.017309187887</v>
      </c>
      <c r="AX118" s="261">
        <f t="shared" si="409"/>
        <v>464.388889434532</v>
      </c>
      <c r="AY118" s="261">
        <f t="shared" si="409"/>
        <v>600.687028483567</v>
      </c>
      <c r="AZ118" s="261">
        <f t="shared" ref="AZ118:BC118" si="410">+SUM(AZ119:AZ120)</f>
        <v>669.405624542087</v>
      </c>
      <c r="BA118" s="261">
        <f t="shared" si="410"/>
        <v>745.985627989702</v>
      </c>
      <c r="BB118" s="261">
        <f t="shared" si="410"/>
        <v>831.326383831724</v>
      </c>
      <c r="BC118" s="261">
        <f t="shared" si="410"/>
        <v>926.430122142073</v>
      </c>
      <c r="BD118" s="261"/>
      <c r="BE118" s="263"/>
      <c r="BF118" s="264"/>
      <c r="BG118" s="261">
        <f t="shared" si="392"/>
        <v>0</v>
      </c>
      <c r="BH118" s="261">
        <f t="shared" si="393"/>
        <v>0</v>
      </c>
      <c r="BI118" s="261">
        <f t="shared" si="394"/>
        <v>0</v>
      </c>
      <c r="BJ118" s="261">
        <f t="shared" si="395"/>
        <v>0</v>
      </c>
      <c r="BK118" s="261">
        <f t="shared" si="396"/>
        <v>0</v>
      </c>
      <c r="BL118" s="261">
        <f t="shared" si="397"/>
        <v>0</v>
      </c>
      <c r="BM118" s="261">
        <f t="shared" si="398"/>
        <v>0</v>
      </c>
      <c r="BN118" s="261">
        <f t="shared" si="399"/>
        <v>0</v>
      </c>
      <c r="BO118" s="261">
        <f t="shared" si="400"/>
        <v>0</v>
      </c>
      <c r="BP118" s="261">
        <f t="shared" si="401"/>
        <v>130.636581075</v>
      </c>
      <c r="BQ118" s="261">
        <f t="shared" si="402"/>
        <v>550.773430696298</v>
      </c>
      <c r="BR118" s="261">
        <f t="shared" si="403"/>
        <v>1701.6481626977</v>
      </c>
      <c r="BS118" s="261">
        <f t="shared" si="404"/>
        <v>3173.14775850559</v>
      </c>
      <c r="BT118" s="150">
        <f>+(BS118/BP118)^(1/3)-1</f>
        <v>1.89606627729952</v>
      </c>
      <c r="BU118"/>
      <c r="BV118"/>
      <c r="BW118"/>
      <c r="BX118"/>
      <c r="BY118"/>
      <c r="BZ118"/>
    </row>
    <row r="119" s="106" customFormat="1" customHeight="1" spans="1:80">
      <c r="A119" s="268"/>
      <c r="B119" s="268"/>
      <c r="C119" s="396" t="s">
        <v>473</v>
      </c>
      <c r="D119" s="273"/>
      <c r="E119" s="273"/>
      <c r="F119" s="273"/>
      <c r="G119" s="273"/>
      <c r="H119" s="273"/>
      <c r="I119" s="273"/>
      <c r="J119" s="274"/>
      <c r="K119" s="274"/>
      <c r="L119" s="274"/>
      <c r="M119" s="274"/>
      <c r="N119" s="274"/>
      <c r="O119" s="274"/>
      <c r="P119" s="262"/>
      <c r="Q119" s="262"/>
      <c r="R119" s="270"/>
      <c r="S119" s="270"/>
      <c r="T119" s="270"/>
      <c r="U119" s="270"/>
      <c r="V119" s="270"/>
      <c r="W119" s="270"/>
      <c r="X119" s="270"/>
      <c r="Y119" s="270"/>
      <c r="Z119" s="270"/>
      <c r="AA119" s="270"/>
      <c r="AB119" s="270"/>
      <c r="AC119" s="270"/>
      <c r="AD119" s="270"/>
      <c r="AE119" s="270"/>
      <c r="AF119" s="270"/>
      <c r="AG119" s="270"/>
      <c r="AH119" s="270"/>
      <c r="AI119" s="270">
        <f t="shared" ref="AI119:AY119" si="411">AI182*AI228</f>
        <v>0</v>
      </c>
      <c r="AJ119" s="270">
        <f t="shared" si="411"/>
        <v>0</v>
      </c>
      <c r="AK119" s="270">
        <f t="shared" si="411"/>
        <v>0</v>
      </c>
      <c r="AL119" s="270">
        <f t="shared" si="411"/>
        <v>0</v>
      </c>
      <c r="AM119" s="270">
        <f t="shared" si="411"/>
        <v>0</v>
      </c>
      <c r="AN119" s="270">
        <f t="shared" si="411"/>
        <v>0</v>
      </c>
      <c r="AO119" s="270">
        <f t="shared" si="411"/>
        <v>0</v>
      </c>
      <c r="AP119" s="270">
        <f t="shared" si="411"/>
        <v>25.5717</v>
      </c>
      <c r="AQ119" s="270">
        <f t="shared" si="411"/>
        <v>29.11338045</v>
      </c>
      <c r="AR119" s="270">
        <f t="shared" si="411"/>
        <v>31.864594902525</v>
      </c>
      <c r="AS119" s="270">
        <f t="shared" si="411"/>
        <v>44.3873806992173</v>
      </c>
      <c r="AT119" s="270">
        <f t="shared" si="411"/>
        <v>64.481547941753</v>
      </c>
      <c r="AU119" s="270">
        <f t="shared" si="411"/>
        <v>89.8227962828619</v>
      </c>
      <c r="AV119" s="270">
        <f t="shared" si="411"/>
        <v>116.185786991882</v>
      </c>
      <c r="AW119" s="270">
        <f t="shared" si="411"/>
        <v>150.286315473999</v>
      </c>
      <c r="AX119" s="270">
        <f t="shared" si="411"/>
        <v>194.395349065618</v>
      </c>
      <c r="AY119" s="270">
        <f t="shared" si="411"/>
        <v>251.450384016377</v>
      </c>
      <c r="AZ119" s="270">
        <f t="shared" ref="AZ119:BC119" si="412">AZ182*AZ228</f>
        <v>280.21630794785</v>
      </c>
      <c r="BA119" s="270">
        <f t="shared" si="412"/>
        <v>312.273053577084</v>
      </c>
      <c r="BB119" s="270">
        <f t="shared" si="412"/>
        <v>347.997090906303</v>
      </c>
      <c r="BC119" s="270">
        <f t="shared" si="412"/>
        <v>387.807958105984</v>
      </c>
      <c r="BD119" s="270"/>
      <c r="BE119" s="271"/>
      <c r="BF119" s="272"/>
      <c r="BG119" s="270">
        <f t="shared" si="392"/>
        <v>0</v>
      </c>
      <c r="BH119" s="270">
        <f t="shared" si="393"/>
        <v>0</v>
      </c>
      <c r="BI119" s="270">
        <f t="shared" si="394"/>
        <v>0</v>
      </c>
      <c r="BJ119" s="270">
        <f t="shared" si="395"/>
        <v>0</v>
      </c>
      <c r="BK119" s="270">
        <f t="shared" si="396"/>
        <v>0</v>
      </c>
      <c r="BL119" s="270">
        <f t="shared" si="397"/>
        <v>0</v>
      </c>
      <c r="BM119" s="270">
        <f t="shared" si="398"/>
        <v>0</v>
      </c>
      <c r="BN119" s="270">
        <f t="shared" si="399"/>
        <v>0</v>
      </c>
      <c r="BO119" s="270">
        <f t="shared" si="400"/>
        <v>0</v>
      </c>
      <c r="BP119" s="270">
        <f t="shared" si="401"/>
        <v>54.68508045</v>
      </c>
      <c r="BQ119" s="270">
        <f t="shared" si="402"/>
        <v>230.556319826357</v>
      </c>
      <c r="BR119" s="270">
        <f t="shared" si="403"/>
        <v>712.317835547876</v>
      </c>
      <c r="BS119" s="270">
        <f t="shared" si="404"/>
        <v>1328.29441053722</v>
      </c>
      <c r="BT119" s="268"/>
      <c r="BU119"/>
      <c r="BV119"/>
      <c r="BW119"/>
      <c r="BX119"/>
      <c r="BY119"/>
      <c r="BZ119"/>
    </row>
    <row r="120" s="106" customFormat="1" customHeight="1" spans="1:80">
      <c r="A120" s="268"/>
      <c r="B120" s="268"/>
      <c r="C120" s="396" t="s">
        <v>474</v>
      </c>
      <c r="D120" s="273"/>
      <c r="E120" s="273"/>
      <c r="F120" s="273"/>
      <c r="G120" s="273"/>
      <c r="H120" s="273"/>
      <c r="I120" s="273"/>
      <c r="J120" s="274"/>
      <c r="K120" s="274"/>
      <c r="L120" s="274"/>
      <c r="M120" s="274"/>
      <c r="N120" s="274"/>
      <c r="O120" s="274"/>
      <c r="P120" s="262"/>
      <c r="Q120" s="262"/>
      <c r="R120" s="270"/>
      <c r="S120" s="270"/>
      <c r="T120" s="270"/>
      <c r="U120" s="270"/>
      <c r="V120" s="270"/>
      <c r="W120" s="270"/>
      <c r="X120" s="270"/>
      <c r="Y120" s="270"/>
      <c r="Z120" s="270"/>
      <c r="AA120" s="270"/>
      <c r="AB120" s="270"/>
      <c r="AC120" s="270"/>
      <c r="AD120" s="270"/>
      <c r="AE120" s="270"/>
      <c r="AF120" s="270"/>
      <c r="AG120" s="270"/>
      <c r="AH120" s="270"/>
      <c r="AI120" s="270">
        <f t="shared" ref="AI120:AY120" si="413">AI183*AI229</f>
        <v>0</v>
      </c>
      <c r="AJ120" s="270">
        <f t="shared" si="413"/>
        <v>0</v>
      </c>
      <c r="AK120" s="270">
        <f t="shared" si="413"/>
        <v>0</v>
      </c>
      <c r="AL120" s="270">
        <f t="shared" si="413"/>
        <v>0</v>
      </c>
      <c r="AM120" s="270">
        <f t="shared" si="413"/>
        <v>0</v>
      </c>
      <c r="AN120" s="270">
        <f t="shared" si="413"/>
        <v>0</v>
      </c>
      <c r="AO120" s="270">
        <f t="shared" si="413"/>
        <v>0</v>
      </c>
      <c r="AP120" s="270">
        <f t="shared" si="413"/>
        <v>35.51625</v>
      </c>
      <c r="AQ120" s="270">
        <f t="shared" si="413"/>
        <v>40.435250625</v>
      </c>
      <c r="AR120" s="270">
        <f t="shared" si="413"/>
        <v>44.2563818090625</v>
      </c>
      <c r="AS120" s="270">
        <f t="shared" si="413"/>
        <v>61.649139860024</v>
      </c>
      <c r="AT120" s="270">
        <f t="shared" si="413"/>
        <v>89.5577054746569</v>
      </c>
      <c r="AU120" s="270">
        <f t="shared" si="413"/>
        <v>124.753883726197</v>
      </c>
      <c r="AV120" s="270">
        <f t="shared" si="413"/>
        <v>161.369148599836</v>
      </c>
      <c r="AW120" s="270">
        <f t="shared" si="413"/>
        <v>208.730993713888</v>
      </c>
      <c r="AX120" s="270">
        <f t="shared" si="413"/>
        <v>269.993540368914</v>
      </c>
      <c r="AY120" s="270">
        <f t="shared" si="413"/>
        <v>349.23664446719</v>
      </c>
      <c r="AZ120" s="270">
        <f t="shared" ref="AZ120:BC120" si="414">AZ183*AZ229</f>
        <v>389.189316594237</v>
      </c>
      <c r="BA120" s="270">
        <f t="shared" si="414"/>
        <v>433.712574412617</v>
      </c>
      <c r="BB120" s="270">
        <f t="shared" si="414"/>
        <v>483.329292925421</v>
      </c>
      <c r="BC120" s="270">
        <f t="shared" si="414"/>
        <v>538.622164036089</v>
      </c>
      <c r="BD120" s="270"/>
      <c r="BE120" s="271"/>
      <c r="BF120" s="272"/>
      <c r="BG120" s="270">
        <f t="shared" si="392"/>
        <v>0</v>
      </c>
      <c r="BH120" s="270">
        <f t="shared" si="393"/>
        <v>0</v>
      </c>
      <c r="BI120" s="270">
        <f t="shared" si="394"/>
        <v>0</v>
      </c>
      <c r="BJ120" s="270">
        <f t="shared" si="395"/>
        <v>0</v>
      </c>
      <c r="BK120" s="270">
        <f t="shared" si="396"/>
        <v>0</v>
      </c>
      <c r="BL120" s="270">
        <f t="shared" si="397"/>
        <v>0</v>
      </c>
      <c r="BM120" s="270">
        <f t="shared" si="398"/>
        <v>0</v>
      </c>
      <c r="BN120" s="270">
        <f t="shared" si="399"/>
        <v>0</v>
      </c>
      <c r="BO120" s="270">
        <f t="shared" si="400"/>
        <v>0</v>
      </c>
      <c r="BP120" s="270">
        <f t="shared" si="401"/>
        <v>75.951500625</v>
      </c>
      <c r="BQ120" s="270">
        <f t="shared" si="402"/>
        <v>320.217110869941</v>
      </c>
      <c r="BR120" s="270">
        <f t="shared" si="403"/>
        <v>989.330327149828</v>
      </c>
      <c r="BS120" s="270">
        <f t="shared" si="404"/>
        <v>1844.85334796836</v>
      </c>
      <c r="BT120" s="268"/>
      <c r="BU120"/>
      <c r="BV120"/>
      <c r="BW120"/>
      <c r="BX120"/>
      <c r="BY120"/>
      <c r="BZ120"/>
    </row>
    <row r="121" s="106" customFormat="1" customHeight="1" spans="1:80">
      <c r="A121" s="268"/>
      <c r="B121" s="268"/>
      <c r="C121" s="395" t="s">
        <v>475</v>
      </c>
      <c r="D121" s="273"/>
      <c r="E121" s="273"/>
      <c r="F121" s="273"/>
      <c r="G121" s="273"/>
      <c r="H121" s="273"/>
      <c r="I121" s="273"/>
      <c r="J121" s="274"/>
      <c r="K121" s="274"/>
      <c r="L121" s="274"/>
      <c r="M121" s="274"/>
      <c r="N121" s="274"/>
      <c r="O121" s="274"/>
      <c r="P121" s="262"/>
      <c r="Q121" s="262"/>
      <c r="R121" s="270"/>
      <c r="S121" s="270"/>
      <c r="T121" s="270"/>
      <c r="U121" s="270"/>
      <c r="V121" s="270"/>
      <c r="W121" s="270"/>
      <c r="X121" s="270"/>
      <c r="Y121" s="270"/>
      <c r="Z121" s="270"/>
      <c r="AA121" s="270"/>
      <c r="AB121" s="270"/>
      <c r="AC121" s="270"/>
      <c r="AD121" s="270"/>
      <c r="AE121" s="270"/>
      <c r="AF121" s="270"/>
      <c r="AG121" s="270"/>
      <c r="AH121" s="270"/>
      <c r="AI121" s="261">
        <v>40</v>
      </c>
      <c r="AJ121" s="261">
        <v>10</v>
      </c>
      <c r="AK121" s="261">
        <v>15</v>
      </c>
      <c r="AL121" s="261">
        <v>20</v>
      </c>
      <c r="AM121" s="261">
        <v>7</v>
      </c>
      <c r="AN121" s="279">
        <v>132</v>
      </c>
      <c r="AO121" s="261">
        <v>133.505</v>
      </c>
      <c r="AP121" s="261">
        <f>+AP184*AP230</f>
        <v>92.664</v>
      </c>
      <c r="AQ121" s="280">
        <f t="shared" ref="AQ121:AY121" si="415">+AQ184*AQ230</f>
        <v>93.5721072</v>
      </c>
      <c r="AR121" s="280">
        <f t="shared" si="415"/>
        <v>94.96633159728</v>
      </c>
      <c r="AS121" s="280">
        <f t="shared" si="415"/>
        <v>96.3813299380795</v>
      </c>
      <c r="AT121" s="280">
        <f t="shared" si="415"/>
        <v>97.8174117541569</v>
      </c>
      <c r="AU121" s="280">
        <f t="shared" si="415"/>
        <v>99.2748911892938</v>
      </c>
      <c r="AV121" s="280">
        <f t="shared" si="415"/>
        <v>100.754087068014</v>
      </c>
      <c r="AW121" s="280">
        <f t="shared" si="415"/>
        <v>102.255322965328</v>
      </c>
      <c r="AX121" s="280">
        <f t="shared" si="415"/>
        <v>103.778927277511</v>
      </c>
      <c r="AY121" s="280">
        <f t="shared" si="415"/>
        <v>105.325233293946</v>
      </c>
      <c r="AZ121" s="280">
        <f t="shared" ref="AZ121:BC121" si="416">+AZ184*AZ230</f>
        <v>106.894579270026</v>
      </c>
      <c r="BA121" s="280">
        <f t="shared" si="416"/>
        <v>108.487308501149</v>
      </c>
      <c r="BB121" s="280">
        <f t="shared" si="416"/>
        <v>110.103769397816</v>
      </c>
      <c r="BC121" s="280">
        <f t="shared" si="416"/>
        <v>111.744315561844</v>
      </c>
      <c r="BD121" s="261"/>
      <c r="BE121" s="263"/>
      <c r="BF121" s="264"/>
      <c r="BG121" s="261">
        <f t="shared" si="392"/>
        <v>0</v>
      </c>
      <c r="BH121" s="261">
        <f t="shared" si="393"/>
        <v>0</v>
      </c>
      <c r="BI121" s="261">
        <f t="shared" si="394"/>
        <v>0</v>
      </c>
      <c r="BJ121" s="261">
        <f t="shared" si="395"/>
        <v>0</v>
      </c>
      <c r="BK121" s="261">
        <f t="shared" si="396"/>
        <v>0</v>
      </c>
      <c r="BL121" s="261">
        <f t="shared" si="397"/>
        <v>0</v>
      </c>
      <c r="BM121" s="261">
        <f t="shared" si="398"/>
        <v>0</v>
      </c>
      <c r="BN121" s="261">
        <f t="shared" si="399"/>
        <v>40</v>
      </c>
      <c r="BO121" s="261">
        <f t="shared" si="400"/>
        <v>52</v>
      </c>
      <c r="BP121" s="261">
        <f t="shared" si="401"/>
        <v>451.7411072</v>
      </c>
      <c r="BQ121" s="261">
        <f t="shared" si="402"/>
        <v>388.43996447881</v>
      </c>
      <c r="BR121" s="261">
        <f t="shared" si="403"/>
        <v>412.113570604799</v>
      </c>
      <c r="BS121" s="261">
        <f t="shared" si="404"/>
        <v>437.229972730835</v>
      </c>
      <c r="BT121" s="150"/>
      <c r="BU121"/>
      <c r="BV121"/>
      <c r="BW121"/>
      <c r="BX121"/>
      <c r="BY121"/>
      <c r="BZ121"/>
    </row>
    <row r="122" s="107" customFormat="1" customHeight="1" spans="1:80">
      <c r="A122" s="252"/>
      <c r="B122" s="281" t="s">
        <v>476</v>
      </c>
      <c r="C122" s="70"/>
      <c r="D122" s="261"/>
      <c r="E122" s="261"/>
      <c r="F122" s="261"/>
      <c r="G122" s="261"/>
      <c r="H122" s="261"/>
      <c r="I122" s="261"/>
      <c r="J122" s="261"/>
      <c r="K122" s="261"/>
      <c r="L122" s="261"/>
      <c r="M122" s="261"/>
      <c r="N122" s="261"/>
      <c r="O122" s="261"/>
      <c r="P122" s="267"/>
      <c r="Q122" s="267"/>
      <c r="R122" s="261"/>
      <c r="S122" s="261"/>
      <c r="T122" s="261"/>
      <c r="U122" s="261"/>
      <c r="V122" s="261"/>
      <c r="W122" s="261"/>
      <c r="X122" s="261"/>
      <c r="Y122" s="261"/>
      <c r="Z122" s="261"/>
      <c r="AA122" s="261"/>
      <c r="AB122" s="261"/>
      <c r="AC122" s="261"/>
      <c r="AD122" s="261"/>
      <c r="AE122" s="261"/>
      <c r="AF122" s="261"/>
      <c r="AG122" s="261"/>
      <c r="AH122" s="261"/>
      <c r="AI122" s="261">
        <f>SUM(AI123:AI125)</f>
        <v>13.125</v>
      </c>
      <c r="AJ122" s="261">
        <f t="shared" ref="AJ122:AY122" si="417">SUM(AJ123:AJ125)</f>
        <v>36.015</v>
      </c>
      <c r="AK122" s="261">
        <f t="shared" si="417"/>
        <v>70</v>
      </c>
      <c r="AL122" s="261">
        <f t="shared" si="417"/>
        <v>138.58614</v>
      </c>
      <c r="AM122" s="261">
        <f t="shared" si="417"/>
        <v>153.664312032</v>
      </c>
      <c r="AN122" s="261">
        <f t="shared" si="417"/>
        <v>170.382989181082</v>
      </c>
      <c r="AO122" s="261">
        <f t="shared" si="417"/>
        <v>210.848949111588</v>
      </c>
      <c r="AP122" s="261">
        <f t="shared" si="417"/>
        <v>240.051528563543</v>
      </c>
      <c r="AQ122" s="261">
        <f t="shared" si="417"/>
        <v>249.533563941803</v>
      </c>
      <c r="AR122" s="261">
        <f t="shared" si="417"/>
        <v>259.390139717505</v>
      </c>
      <c r="AS122" s="261">
        <f t="shared" si="417"/>
        <v>410.873981312527</v>
      </c>
      <c r="AT122" s="261">
        <f t="shared" si="417"/>
        <v>498.118289799282</v>
      </c>
      <c r="AU122" s="261">
        <f t="shared" si="417"/>
        <v>678.884528281547</v>
      </c>
      <c r="AV122" s="261">
        <f t="shared" si="417"/>
        <v>828.012537638631</v>
      </c>
      <c r="AW122" s="261">
        <f t="shared" si="417"/>
        <v>1490.91740524322</v>
      </c>
      <c r="AX122" s="261">
        <f t="shared" si="417"/>
        <v>1694.63128968605</v>
      </c>
      <c r="AY122" s="261">
        <f t="shared" si="417"/>
        <v>1904.37404693233</v>
      </c>
      <c r="AZ122" s="261">
        <f t="shared" ref="AZ122:BC122" si="418">SUM(AZ123:AZ125)</f>
        <v>1997.90764249011</v>
      </c>
      <c r="BA122" s="261">
        <f t="shared" si="418"/>
        <v>2132.16172075931</v>
      </c>
      <c r="BB122" s="261">
        <f t="shared" si="418"/>
        <v>2267.24925700477</v>
      </c>
      <c r="BC122" s="261">
        <f t="shared" si="418"/>
        <v>2403.19724186199</v>
      </c>
      <c r="BD122" s="261"/>
      <c r="BE122" s="263"/>
      <c r="BF122" s="264"/>
      <c r="BG122" s="282">
        <f t="shared" si="392"/>
        <v>0</v>
      </c>
      <c r="BH122" s="282">
        <f t="shared" si="393"/>
        <v>0</v>
      </c>
      <c r="BI122" s="282">
        <f t="shared" si="394"/>
        <v>0</v>
      </c>
      <c r="BJ122" s="282">
        <f t="shared" si="395"/>
        <v>0</v>
      </c>
      <c r="BK122" s="282">
        <f t="shared" si="396"/>
        <v>0</v>
      </c>
      <c r="BL122" s="261">
        <f t="shared" si="397"/>
        <v>0</v>
      </c>
      <c r="BM122" s="261">
        <f t="shared" si="398"/>
        <v>0</v>
      </c>
      <c r="BN122" s="261">
        <f t="shared" si="399"/>
        <v>13.125</v>
      </c>
      <c r="BO122" s="261">
        <f t="shared" si="400"/>
        <v>398.265452032</v>
      </c>
      <c r="BP122" s="261">
        <f t="shared" si="401"/>
        <v>870.817030798017</v>
      </c>
      <c r="BQ122" s="261">
        <f t="shared" si="402"/>
        <v>1847.26693911086</v>
      </c>
      <c r="BR122" s="261">
        <f t="shared" si="403"/>
        <v>5917.93527950024</v>
      </c>
      <c r="BS122" s="261">
        <f t="shared" ref="BS122:BS127" si="419">SUM(AZ122:BC122)</f>
        <v>8800.51586211619</v>
      </c>
      <c r="BT122" s="150">
        <f>+(BS122/BP122)^(1/3)-1</f>
        <v>1.16202347582764</v>
      </c>
      <c r="BU122"/>
      <c r="BV122"/>
      <c r="BW122"/>
      <c r="BX122"/>
      <c r="BY122"/>
      <c r="BZ122"/>
    </row>
    <row r="123" s="107" customFormat="1" customHeight="1" spans="1:80">
      <c r="A123" s="252"/>
      <c r="C123" s="283" t="s">
        <v>477</v>
      </c>
      <c r="D123" s="261"/>
      <c r="E123" s="261"/>
      <c r="F123" s="261"/>
      <c r="G123" s="261"/>
      <c r="H123" s="261"/>
      <c r="I123" s="261"/>
      <c r="J123" s="261"/>
      <c r="K123" s="261"/>
      <c r="L123" s="261"/>
      <c r="M123" s="261"/>
      <c r="N123" s="261"/>
      <c r="O123" s="261"/>
      <c r="P123" s="262"/>
      <c r="Q123" s="262"/>
      <c r="R123" s="270"/>
      <c r="S123" s="270"/>
      <c r="T123" s="270"/>
      <c r="U123" s="270"/>
      <c r="V123" s="270"/>
      <c r="W123" s="270"/>
      <c r="X123" s="270"/>
      <c r="Y123" s="270"/>
      <c r="Z123" s="270"/>
      <c r="AA123" s="270"/>
      <c r="AB123" s="270"/>
      <c r="AC123" s="270"/>
      <c r="AD123" s="270"/>
      <c r="AE123" s="270"/>
      <c r="AF123" s="270"/>
      <c r="AG123" s="270"/>
      <c r="AH123" s="270"/>
      <c r="AI123" s="270">
        <f>+AI186*AI232</f>
        <v>13.125</v>
      </c>
      <c r="AJ123" s="270">
        <f>+AJ186*AJ232</f>
        <v>36.015</v>
      </c>
      <c r="AK123" s="270">
        <v>70</v>
      </c>
      <c r="AL123" s="270">
        <f t="shared" ref="AL123:AY123" si="420">+AL186*AL232</f>
        <v>138.58614</v>
      </c>
      <c r="AM123" s="270">
        <f t="shared" si="420"/>
        <v>153.664312032</v>
      </c>
      <c r="AN123" s="270">
        <f t="shared" si="420"/>
        <v>170.382989181082</v>
      </c>
      <c r="AO123" s="270">
        <f t="shared" si="420"/>
        <v>210.848949111588</v>
      </c>
      <c r="AP123" s="270">
        <f t="shared" si="420"/>
        <v>240.051528563543</v>
      </c>
      <c r="AQ123" s="270">
        <f t="shared" si="420"/>
        <v>249.533563941803</v>
      </c>
      <c r="AR123" s="270">
        <f t="shared" si="420"/>
        <v>259.390139717505</v>
      </c>
      <c r="AS123" s="270">
        <f t="shared" si="420"/>
        <v>410.873981312527</v>
      </c>
      <c r="AT123" s="270">
        <f t="shared" si="420"/>
        <v>488.118289799282</v>
      </c>
      <c r="AU123" s="270">
        <f t="shared" si="420"/>
        <v>579.884528281547</v>
      </c>
      <c r="AV123" s="270">
        <f t="shared" si="420"/>
        <v>620.012537638631</v>
      </c>
      <c r="AW123" s="270">
        <f t="shared" si="420"/>
        <v>662.917405243224</v>
      </c>
      <c r="AX123" s="270">
        <f t="shared" si="420"/>
        <v>708.791289686055</v>
      </c>
      <c r="AY123" s="270">
        <f t="shared" si="420"/>
        <v>757.83964693233</v>
      </c>
      <c r="AZ123" s="270">
        <f t="shared" ref="AZ123:BC123" si="421">+AZ186*AZ232</f>
        <v>796.657978490111</v>
      </c>
      <c r="BA123" s="270">
        <f t="shared" si="421"/>
        <v>804.465226679314</v>
      </c>
      <c r="BB123" s="270">
        <f t="shared" si="421"/>
        <v>812.348985900772</v>
      </c>
      <c r="BC123" s="270">
        <f t="shared" si="421"/>
        <v>820.310005962599</v>
      </c>
      <c r="BD123" s="270"/>
      <c r="BE123" s="263"/>
      <c r="BF123" s="264"/>
      <c r="BG123" s="261">
        <f t="shared" si="392"/>
        <v>0</v>
      </c>
      <c r="BH123" s="261">
        <f t="shared" si="393"/>
        <v>0</v>
      </c>
      <c r="BI123" s="282">
        <f t="shared" si="394"/>
        <v>0</v>
      </c>
      <c r="BJ123" s="282">
        <f t="shared" si="395"/>
        <v>0</v>
      </c>
      <c r="BK123" s="282">
        <f t="shared" si="396"/>
        <v>0</v>
      </c>
      <c r="BL123" s="270">
        <f t="shared" si="397"/>
        <v>0</v>
      </c>
      <c r="BM123" s="270">
        <f t="shared" si="398"/>
        <v>0</v>
      </c>
      <c r="BN123" s="270">
        <f t="shared" si="399"/>
        <v>13.125</v>
      </c>
      <c r="BO123" s="270">
        <f t="shared" si="400"/>
        <v>398.265452032</v>
      </c>
      <c r="BP123" s="270">
        <f t="shared" si="401"/>
        <v>870.817030798017</v>
      </c>
      <c r="BQ123" s="270">
        <f t="shared" si="402"/>
        <v>1738.26693911086</v>
      </c>
      <c r="BR123" s="270">
        <f t="shared" si="403"/>
        <v>2749.56087950024</v>
      </c>
      <c r="BS123" s="270">
        <f t="shared" si="419"/>
        <v>3233.7821970328</v>
      </c>
      <c r="BT123" s="252"/>
      <c r="BU123"/>
      <c r="BV123"/>
      <c r="BW123"/>
      <c r="BX123"/>
      <c r="BY123"/>
      <c r="BZ123"/>
      <c r="CA123" s="150"/>
    </row>
    <row r="124" s="107" customFormat="1" customHeight="1" spans="1:80">
      <c r="A124" s="252"/>
      <c r="C124" s="283" t="s">
        <v>478</v>
      </c>
      <c r="D124" s="261"/>
      <c r="E124" s="261"/>
      <c r="F124" s="261"/>
      <c r="G124" s="261"/>
      <c r="H124" s="261"/>
      <c r="I124" s="261"/>
      <c r="J124" s="261"/>
      <c r="K124" s="261"/>
      <c r="L124" s="261"/>
      <c r="M124" s="261"/>
      <c r="N124" s="261"/>
      <c r="O124" s="261"/>
      <c r="P124" s="262"/>
      <c r="Q124" s="262"/>
      <c r="R124" s="270"/>
      <c r="S124" s="270"/>
      <c r="T124" s="270"/>
      <c r="U124" s="270"/>
      <c r="V124" s="270"/>
      <c r="W124" s="270"/>
      <c r="X124" s="270"/>
      <c r="Y124" s="270"/>
      <c r="Z124" s="270"/>
      <c r="AA124" s="270"/>
      <c r="AB124" s="270"/>
      <c r="AC124" s="270"/>
      <c r="AD124" s="270"/>
      <c r="AE124" s="270"/>
      <c r="AF124" s="270"/>
      <c r="AG124" s="270"/>
      <c r="AH124" s="270"/>
      <c r="AI124" s="270">
        <f t="shared" ref="AI124:AZ124" si="422">+AI187*AI233</f>
        <v>0</v>
      </c>
      <c r="AJ124" s="270">
        <f t="shared" si="422"/>
        <v>0</v>
      </c>
      <c r="AK124" s="270">
        <f t="shared" si="422"/>
        <v>0</v>
      </c>
      <c r="AL124" s="270">
        <f t="shared" si="422"/>
        <v>0</v>
      </c>
      <c r="AM124" s="270">
        <f t="shared" si="422"/>
        <v>0</v>
      </c>
      <c r="AN124" s="270">
        <f t="shared" si="422"/>
        <v>0</v>
      </c>
      <c r="AO124" s="270">
        <f t="shared" si="422"/>
        <v>0</v>
      </c>
      <c r="AP124" s="270">
        <f t="shared" si="422"/>
        <v>0</v>
      </c>
      <c r="AQ124" s="270">
        <f t="shared" si="422"/>
        <v>0</v>
      </c>
      <c r="AR124" s="270">
        <f t="shared" si="422"/>
        <v>0</v>
      </c>
      <c r="AS124" s="270">
        <f t="shared" si="422"/>
        <v>0</v>
      </c>
      <c r="AT124" s="270">
        <f t="shared" si="422"/>
        <v>0</v>
      </c>
      <c r="AU124" s="270">
        <f t="shared" si="422"/>
        <v>0</v>
      </c>
      <c r="AV124" s="270">
        <f t="shared" si="422"/>
        <v>0</v>
      </c>
      <c r="AW124" s="270">
        <f t="shared" si="422"/>
        <v>500</v>
      </c>
      <c r="AX124" s="270">
        <f t="shared" si="422"/>
        <v>537.84</v>
      </c>
      <c r="AY124" s="270">
        <f t="shared" si="422"/>
        <v>578.5344</v>
      </c>
      <c r="AZ124" s="270">
        <f t="shared" si="422"/>
        <v>599.249664</v>
      </c>
      <c r="BA124" s="270">
        <f t="shared" ref="BA124:BC124" si="423">+BA187*BA233</f>
        <v>620.69649408</v>
      </c>
      <c r="BB124" s="270">
        <f t="shared" si="423"/>
        <v>642.900271104</v>
      </c>
      <c r="BC124" s="270">
        <f t="shared" si="423"/>
        <v>665.887235899392</v>
      </c>
      <c r="BD124" s="270"/>
      <c r="BE124" s="263"/>
      <c r="BF124" s="264"/>
      <c r="BG124" s="261">
        <f t="shared" si="392"/>
        <v>0</v>
      </c>
      <c r="BH124" s="261">
        <f t="shared" si="393"/>
        <v>0</v>
      </c>
      <c r="BI124" s="282">
        <f t="shared" si="394"/>
        <v>0</v>
      </c>
      <c r="BJ124" s="282">
        <f t="shared" si="395"/>
        <v>0</v>
      </c>
      <c r="BK124" s="282">
        <f t="shared" si="396"/>
        <v>0</v>
      </c>
      <c r="BL124" s="270">
        <f t="shared" si="397"/>
        <v>0</v>
      </c>
      <c r="BM124" s="270">
        <f t="shared" si="398"/>
        <v>0</v>
      </c>
      <c r="BN124" s="270">
        <f t="shared" si="399"/>
        <v>0</v>
      </c>
      <c r="BO124" s="270">
        <f t="shared" si="400"/>
        <v>0</v>
      </c>
      <c r="BP124" s="270">
        <f t="shared" si="401"/>
        <v>0</v>
      </c>
      <c r="BQ124" s="270">
        <f t="shared" si="402"/>
        <v>0</v>
      </c>
      <c r="BR124" s="270">
        <f t="shared" si="403"/>
        <v>1616.3744</v>
      </c>
      <c r="BS124" s="270">
        <f t="shared" si="419"/>
        <v>2528.73366508339</v>
      </c>
      <c r="BT124" s="252"/>
      <c r="BU124"/>
      <c r="BV124"/>
      <c r="BW124"/>
      <c r="BX124"/>
      <c r="BY124"/>
      <c r="BZ124"/>
    </row>
    <row r="125" s="107" customFormat="1" customHeight="1" spans="1:80">
      <c r="A125" s="252"/>
      <c r="C125" s="283" t="s">
        <v>479</v>
      </c>
      <c r="D125" s="261"/>
      <c r="E125" s="261"/>
      <c r="F125" s="261"/>
      <c r="G125" s="261"/>
      <c r="H125" s="261"/>
      <c r="I125" s="261"/>
      <c r="J125" s="261"/>
      <c r="K125" s="261"/>
      <c r="L125" s="261"/>
      <c r="M125" s="261"/>
      <c r="N125" s="261"/>
      <c r="O125" s="261"/>
      <c r="P125" s="262"/>
      <c r="Q125" s="262"/>
      <c r="R125" s="270"/>
      <c r="S125" s="270"/>
      <c r="T125" s="270"/>
      <c r="U125" s="270"/>
      <c r="V125" s="270"/>
      <c r="W125" s="270"/>
      <c r="X125" s="270"/>
      <c r="Y125" s="270"/>
      <c r="Z125" s="270"/>
      <c r="AA125" s="270"/>
      <c r="AB125" s="270"/>
      <c r="AC125" s="270"/>
      <c r="AD125" s="270"/>
      <c r="AE125" s="270"/>
      <c r="AF125" s="270"/>
      <c r="AG125" s="270"/>
      <c r="AH125" s="270"/>
      <c r="AI125" s="270">
        <f t="shared" ref="AI125:AZ125" si="424">+AI188*AI234</f>
        <v>0</v>
      </c>
      <c r="AJ125" s="270">
        <f t="shared" si="424"/>
        <v>0</v>
      </c>
      <c r="AK125" s="270">
        <f t="shared" si="424"/>
        <v>0</v>
      </c>
      <c r="AL125" s="270">
        <f t="shared" si="424"/>
        <v>0</v>
      </c>
      <c r="AM125" s="270">
        <f t="shared" si="424"/>
        <v>0</v>
      </c>
      <c r="AN125" s="270">
        <f t="shared" si="424"/>
        <v>0</v>
      </c>
      <c r="AO125" s="270">
        <f t="shared" si="424"/>
        <v>0</v>
      </c>
      <c r="AP125" s="270">
        <f t="shared" si="424"/>
        <v>0</v>
      </c>
      <c r="AQ125" s="270">
        <f t="shared" si="424"/>
        <v>0</v>
      </c>
      <c r="AR125" s="270">
        <f t="shared" si="424"/>
        <v>0</v>
      </c>
      <c r="AS125" s="270">
        <f t="shared" si="424"/>
        <v>0</v>
      </c>
      <c r="AT125" s="270">
        <f t="shared" si="424"/>
        <v>10</v>
      </c>
      <c r="AU125" s="270">
        <f t="shared" si="424"/>
        <v>99</v>
      </c>
      <c r="AV125" s="270">
        <f t="shared" si="424"/>
        <v>208</v>
      </c>
      <c r="AW125" s="270">
        <f t="shared" si="424"/>
        <v>328</v>
      </c>
      <c r="AX125" s="270">
        <f t="shared" si="424"/>
        <v>448</v>
      </c>
      <c r="AY125" s="270">
        <f t="shared" si="424"/>
        <v>568</v>
      </c>
      <c r="AZ125" s="270">
        <f t="shared" si="424"/>
        <v>602</v>
      </c>
      <c r="BA125" s="270">
        <f t="shared" ref="BA125:BC125" si="425">+BA188*BA234</f>
        <v>707</v>
      </c>
      <c r="BB125" s="270">
        <f t="shared" si="425"/>
        <v>812</v>
      </c>
      <c r="BC125" s="270">
        <f t="shared" si="425"/>
        <v>917</v>
      </c>
      <c r="BD125" s="270"/>
      <c r="BE125" s="263"/>
      <c r="BF125" s="264"/>
      <c r="BG125" s="261">
        <f t="shared" si="392"/>
        <v>0</v>
      </c>
      <c r="BH125" s="261">
        <f t="shared" si="393"/>
        <v>0</v>
      </c>
      <c r="BI125" s="282">
        <f t="shared" si="394"/>
        <v>0</v>
      </c>
      <c r="BJ125" s="282">
        <f t="shared" si="395"/>
        <v>0</v>
      </c>
      <c r="BK125" s="282">
        <f t="shared" si="396"/>
        <v>0</v>
      </c>
      <c r="BL125" s="270">
        <f t="shared" si="397"/>
        <v>0</v>
      </c>
      <c r="BM125" s="270">
        <f t="shared" si="398"/>
        <v>0</v>
      </c>
      <c r="BN125" s="270">
        <f t="shared" si="399"/>
        <v>0</v>
      </c>
      <c r="BO125" s="270">
        <f t="shared" si="400"/>
        <v>0</v>
      </c>
      <c r="BP125" s="270">
        <f t="shared" si="401"/>
        <v>0</v>
      </c>
      <c r="BQ125" s="270">
        <f t="shared" si="402"/>
        <v>109</v>
      </c>
      <c r="BR125" s="270">
        <f t="shared" si="403"/>
        <v>1552</v>
      </c>
      <c r="BS125" s="270">
        <f t="shared" si="419"/>
        <v>3038</v>
      </c>
      <c r="BT125" s="252"/>
      <c r="BU125"/>
      <c r="BV125"/>
      <c r="BW125"/>
      <c r="BX125"/>
      <c r="BY125"/>
      <c r="BZ125"/>
      <c r="CB125" s="150"/>
    </row>
    <row r="126" s="107" customFormat="1" customHeight="1" spans="1:80">
      <c r="A126" s="252"/>
      <c r="B126" s="281" t="s">
        <v>480</v>
      </c>
      <c r="C126" s="70"/>
      <c r="D126" s="261"/>
      <c r="E126" s="261"/>
      <c r="F126" s="261"/>
      <c r="G126" s="261"/>
      <c r="H126" s="261"/>
      <c r="I126" s="261"/>
      <c r="J126" s="261"/>
      <c r="K126" s="261"/>
      <c r="L126" s="261"/>
      <c r="M126" s="261"/>
      <c r="N126" s="261"/>
      <c r="O126" s="261"/>
      <c r="P126" s="267"/>
      <c r="Q126" s="267"/>
      <c r="R126" s="261">
        <f t="shared" ref="R126:AB126" si="426">R189*R235</f>
        <v>3.185</v>
      </c>
      <c r="S126" s="261">
        <f t="shared" si="426"/>
        <v>6.0515</v>
      </c>
      <c r="T126" s="261">
        <f t="shared" si="426"/>
        <v>5.44635</v>
      </c>
      <c r="U126" s="261">
        <f t="shared" si="426"/>
        <v>6.1108047</v>
      </c>
      <c r="V126" s="261">
        <f t="shared" si="426"/>
        <v>7.23030412104</v>
      </c>
      <c r="W126" s="261">
        <f t="shared" si="426"/>
        <v>8.84989224415296</v>
      </c>
      <c r="X126" s="261">
        <f t="shared" si="426"/>
        <v>48.54956560272</v>
      </c>
      <c r="Y126" s="261">
        <f t="shared" si="426"/>
        <v>115.709798019816</v>
      </c>
      <c r="Z126" s="261">
        <f t="shared" si="426"/>
        <v>319.899021592118</v>
      </c>
      <c r="AA126" s="261">
        <f t="shared" si="426"/>
        <v>349.971735821926</v>
      </c>
      <c r="AB126" s="261">
        <f t="shared" si="426"/>
        <v>324.528710542607</v>
      </c>
      <c r="AC126" s="261">
        <f>690-AB126</f>
        <v>365.471289457393</v>
      </c>
      <c r="AD126" s="261">
        <f>928-AB126-AC126</f>
        <v>238</v>
      </c>
      <c r="AE126" s="261">
        <f>936.5612-AB126-AC126-AD126</f>
        <v>8.56119999999999</v>
      </c>
      <c r="AF126" s="261">
        <v>5</v>
      </c>
      <c r="AG126" s="261">
        <v>9</v>
      </c>
      <c r="AH126" s="261">
        <v>14.4</v>
      </c>
      <c r="AI126" s="261">
        <v>65.1473</v>
      </c>
      <c r="AJ126" s="261">
        <v>39</v>
      </c>
      <c r="AK126" s="261">
        <f>130-AJ126</f>
        <v>91</v>
      </c>
      <c r="AL126" s="261">
        <f>185-AJ126-AK126</f>
        <v>55</v>
      </c>
      <c r="AM126" s="261">
        <f>290-SUM(AJ126:AL126)</f>
        <v>105</v>
      </c>
      <c r="AN126" s="261">
        <f t="shared" ref="AN126:AY126" si="427">AN189*AN235</f>
        <v>48.150309306645</v>
      </c>
      <c r="AO126" s="261">
        <f t="shared" si="427"/>
        <v>49.8427926787736</v>
      </c>
      <c r="AP126" s="261">
        <f t="shared" si="427"/>
        <v>51.5947668414325</v>
      </c>
      <c r="AQ126" s="261">
        <f t="shared" si="427"/>
        <v>53.4083228959088</v>
      </c>
      <c r="AR126" s="261">
        <f t="shared" si="427"/>
        <v>50.9915962848689</v>
      </c>
      <c r="AS126" s="261">
        <f t="shared" si="427"/>
        <v>52.2714853516191</v>
      </c>
      <c r="AT126" s="261">
        <f t="shared" si="427"/>
        <v>53.058171206161</v>
      </c>
      <c r="AU126" s="261">
        <f t="shared" si="427"/>
        <v>53.8566966828137</v>
      </c>
      <c r="AV126" s="261">
        <f t="shared" si="427"/>
        <v>54.6672399678901</v>
      </c>
      <c r="AW126" s="261">
        <f t="shared" si="427"/>
        <v>55.4899819294068</v>
      </c>
      <c r="AX126" s="261">
        <f t="shared" si="427"/>
        <v>56.3251061574444</v>
      </c>
      <c r="AY126" s="261">
        <f t="shared" si="427"/>
        <v>57.1727990051139</v>
      </c>
      <c r="AZ126" s="261">
        <f t="shared" ref="AZ126:BC126" si="428">AZ189*AZ235</f>
        <v>58.0332496301409</v>
      </c>
      <c r="BA126" s="261">
        <f t="shared" si="428"/>
        <v>58.9066500370745</v>
      </c>
      <c r="BB126" s="261">
        <f t="shared" si="428"/>
        <v>59.7931951201324</v>
      </c>
      <c r="BC126" s="261">
        <f t="shared" si="428"/>
        <v>60.6930827066904</v>
      </c>
      <c r="BD126" s="261"/>
      <c r="BE126" s="263"/>
      <c r="BF126" s="264"/>
      <c r="BG126" s="282">
        <f t="shared" si="392"/>
        <v>0</v>
      </c>
      <c r="BH126" s="282">
        <f t="shared" si="393"/>
        <v>0</v>
      </c>
      <c r="BI126" s="282">
        <f t="shared" si="394"/>
        <v>0</v>
      </c>
      <c r="BJ126" s="282">
        <f t="shared" si="395"/>
        <v>9.2365</v>
      </c>
      <c r="BK126" s="282">
        <f t="shared" si="396"/>
        <v>27.637351065193</v>
      </c>
      <c r="BL126" s="261">
        <f t="shared" si="397"/>
        <v>834.13012103658</v>
      </c>
      <c r="BM126" s="261">
        <f t="shared" si="398"/>
        <v>936.5612</v>
      </c>
      <c r="BN126" s="261">
        <f t="shared" si="399"/>
        <v>93.5473</v>
      </c>
      <c r="BO126" s="261">
        <f t="shared" si="400"/>
        <v>290</v>
      </c>
      <c r="BP126" s="261">
        <f t="shared" si="401"/>
        <v>202.99619172276</v>
      </c>
      <c r="BQ126" s="261">
        <f t="shared" si="402"/>
        <v>210.177949525463</v>
      </c>
      <c r="BR126" s="261">
        <f t="shared" si="403"/>
        <v>223.655127059855</v>
      </c>
      <c r="BS126" s="261">
        <f t="shared" si="419"/>
        <v>237.426177494038</v>
      </c>
      <c r="BT126" s="252"/>
      <c r="BU126"/>
      <c r="BV126"/>
      <c r="BW126"/>
      <c r="BX126"/>
      <c r="BY126"/>
      <c r="BZ126"/>
    </row>
    <row r="127" s="106" customFormat="1" customHeight="1" spans="1:80">
      <c r="A127" s="268"/>
      <c r="B127" s="268" t="s">
        <v>481</v>
      </c>
      <c r="C127" s="284"/>
      <c r="D127" s="270"/>
      <c r="E127" s="270"/>
      <c r="F127" s="270"/>
      <c r="G127" s="270"/>
      <c r="H127" s="270"/>
      <c r="I127" s="270"/>
      <c r="J127" s="270"/>
      <c r="K127" s="270"/>
      <c r="L127" s="270"/>
      <c r="M127" s="270"/>
      <c r="N127" s="270"/>
      <c r="O127" s="270"/>
      <c r="P127" s="270"/>
      <c r="Q127" s="270"/>
      <c r="R127" s="285">
        <f t="shared" ref="R127:AP127" si="429">+R10-SUM(R110,R122,R126)</f>
        <v>0.139220800000032</v>
      </c>
      <c r="S127" s="285">
        <f t="shared" si="429"/>
        <v>-0.0861207699999795</v>
      </c>
      <c r="T127" s="285">
        <f t="shared" si="429"/>
        <v>-0.084426309840012</v>
      </c>
      <c r="U127" s="285">
        <f t="shared" si="429"/>
        <v>-0.100220809839925</v>
      </c>
      <c r="V127" s="285">
        <f t="shared" si="429"/>
        <v>0.658747979235898</v>
      </c>
      <c r="W127" s="285">
        <f t="shared" si="429"/>
        <v>0.0460291555867798</v>
      </c>
      <c r="X127" s="285">
        <f t="shared" si="429"/>
        <v>0.163199478880017</v>
      </c>
      <c r="Y127" s="285">
        <f t="shared" si="429"/>
        <v>-0.191989321543929</v>
      </c>
      <c r="Z127" s="285">
        <f t="shared" si="429"/>
        <v>0.0679453759157695</v>
      </c>
      <c r="AA127" s="285">
        <f t="shared" si="429"/>
        <v>0.495351479102055</v>
      </c>
      <c r="AB127" s="285">
        <f t="shared" si="429"/>
        <v>2.72886172862218</v>
      </c>
      <c r="AC127" s="285">
        <f t="shared" si="429"/>
        <v>5.66349124052272</v>
      </c>
      <c r="AD127" s="285">
        <f t="shared" si="429"/>
        <v>15.2898007677613</v>
      </c>
      <c r="AE127" s="285">
        <f t="shared" si="429"/>
        <v>27.5580307329586</v>
      </c>
      <c r="AF127" s="285">
        <f t="shared" si="429"/>
        <v>39.5391922429745</v>
      </c>
      <c r="AG127" s="285">
        <f t="shared" si="429"/>
        <v>52.2482784931968</v>
      </c>
      <c r="AH127" s="285">
        <f t="shared" si="429"/>
        <v>47.7920028691899</v>
      </c>
      <c r="AI127" s="285">
        <f t="shared" si="429"/>
        <v>54.2387806376699</v>
      </c>
      <c r="AJ127" s="285">
        <f t="shared" si="429"/>
        <v>-217.609382387369</v>
      </c>
      <c r="AK127" s="285">
        <f t="shared" si="429"/>
        <v>-235.500505802988</v>
      </c>
      <c r="AL127" s="285">
        <f t="shared" si="429"/>
        <v>-242.333904355603</v>
      </c>
      <c r="AM127" s="285">
        <f t="shared" si="429"/>
        <v>-55.9222853540543</v>
      </c>
      <c r="AN127" s="285">
        <f t="shared" si="429"/>
        <v>-3.50941902396721</v>
      </c>
      <c r="AO127" s="285">
        <f t="shared" si="429"/>
        <v>124.644427526011</v>
      </c>
      <c r="AP127" s="285">
        <f t="shared" si="429"/>
        <v>68.8664814043561</v>
      </c>
      <c r="AQ127" s="285">
        <v>0</v>
      </c>
      <c r="AR127" s="285">
        <v>0</v>
      </c>
      <c r="AS127" s="285">
        <v>0</v>
      </c>
      <c r="AT127" s="285">
        <v>0</v>
      </c>
      <c r="AU127" s="285">
        <v>0</v>
      </c>
      <c r="AV127" s="285">
        <v>0</v>
      </c>
      <c r="AW127" s="285">
        <v>0</v>
      </c>
      <c r="AX127" s="285">
        <v>0</v>
      </c>
      <c r="AY127" s="285">
        <v>0</v>
      </c>
      <c r="AZ127" s="285">
        <v>0</v>
      </c>
      <c r="BA127" s="285">
        <v>0</v>
      </c>
      <c r="BB127" s="285">
        <v>0</v>
      </c>
      <c r="BC127" s="285">
        <v>0</v>
      </c>
      <c r="BD127" s="285"/>
      <c r="BE127" s="271"/>
      <c r="BF127" s="272"/>
      <c r="BG127" s="276">
        <f t="shared" si="392"/>
        <v>0</v>
      </c>
      <c r="BH127" s="276">
        <f t="shared" si="393"/>
        <v>0</v>
      </c>
      <c r="BI127" s="276">
        <f t="shared" si="394"/>
        <v>0</v>
      </c>
      <c r="BJ127" s="276">
        <f t="shared" si="395"/>
        <v>0.0531000300000528</v>
      </c>
      <c r="BK127" s="276">
        <f t="shared" si="396"/>
        <v>0.52013001514274</v>
      </c>
      <c r="BL127" s="270">
        <f t="shared" si="397"/>
        <v>0.534507012353913</v>
      </c>
      <c r="BM127" s="270">
        <f t="shared" si="398"/>
        <v>51.2401844698649</v>
      </c>
      <c r="BN127" s="270">
        <f t="shared" si="399"/>
        <v>193.818254243031</v>
      </c>
      <c r="BO127" s="270">
        <f t="shared" si="400"/>
        <v>-751.366077900014</v>
      </c>
      <c r="BP127" s="270">
        <f t="shared" si="401"/>
        <v>190.001489906399</v>
      </c>
      <c r="BQ127" s="270">
        <f t="shared" si="402"/>
        <v>0</v>
      </c>
      <c r="BR127" s="270">
        <f t="shared" si="403"/>
        <v>0</v>
      </c>
      <c r="BS127" s="270">
        <f t="shared" si="419"/>
        <v>0</v>
      </c>
      <c r="BT127" s="268"/>
      <c r="BU127"/>
      <c r="BV127"/>
      <c r="BW127"/>
      <c r="BX127"/>
      <c r="BY127"/>
      <c r="BZ127"/>
    </row>
    <row r="128" s="108" customFormat="1" ht="9.75" customHeight="1" spans="1:80">
      <c r="A128" s="286" t="s">
        <v>125</v>
      </c>
      <c r="B128" s="286"/>
      <c r="C128" s="287"/>
      <c r="D128" s="270"/>
      <c r="E128" s="270"/>
      <c r="F128" s="270"/>
      <c r="G128" s="270"/>
      <c r="H128" s="270"/>
      <c r="I128" s="270"/>
      <c r="J128" s="270"/>
      <c r="K128" s="270"/>
      <c r="L128" s="270"/>
      <c r="M128" s="270"/>
      <c r="N128" s="270"/>
      <c r="O128" s="270"/>
      <c r="P128" s="270"/>
      <c r="Q128" s="270"/>
      <c r="R128" s="270">
        <f t="shared" ref="R128:AY128" si="430">+R110+R122+R126+R127</f>
        <v>505.167</v>
      </c>
      <c r="S128" s="270">
        <f t="shared" si="430"/>
        <v>353.38937923</v>
      </c>
      <c r="T128" s="270">
        <f t="shared" si="430"/>
        <v>495.75247611</v>
      </c>
      <c r="U128" s="270">
        <f t="shared" si="430"/>
        <v>593.82419231</v>
      </c>
      <c r="V128" s="270">
        <f t="shared" si="430"/>
        <v>378.87464613</v>
      </c>
      <c r="W128" s="270">
        <f t="shared" si="430"/>
        <v>355.2142409</v>
      </c>
      <c r="X128" s="270">
        <f t="shared" si="430"/>
        <v>299.53</v>
      </c>
      <c r="Y128" s="270">
        <f t="shared" si="430"/>
        <v>424.933</v>
      </c>
      <c r="Z128" s="270">
        <f t="shared" si="430"/>
        <v>868.233</v>
      </c>
      <c r="AA128" s="270">
        <f t="shared" si="430"/>
        <v>969.321</v>
      </c>
      <c r="AB128" s="270">
        <f t="shared" si="430"/>
        <v>900.423</v>
      </c>
      <c r="AC128" s="270">
        <f t="shared" si="430"/>
        <v>1026.911</v>
      </c>
      <c r="AD128" s="270">
        <f t="shared" si="430"/>
        <v>953.493</v>
      </c>
      <c r="AE128" s="270">
        <f t="shared" si="430"/>
        <v>791.431</v>
      </c>
      <c r="AF128" s="270">
        <f t="shared" si="430"/>
        <v>419.528</v>
      </c>
      <c r="AG128" s="270">
        <f t="shared" si="430"/>
        <v>508.088</v>
      </c>
      <c r="AH128" s="270">
        <f t="shared" si="430"/>
        <v>597.55</v>
      </c>
      <c r="AI128" s="270">
        <f t="shared" si="430"/>
        <v>760.572</v>
      </c>
      <c r="AJ128" s="270">
        <f t="shared" si="430"/>
        <v>737.263</v>
      </c>
      <c r="AK128" s="270">
        <f t="shared" si="430"/>
        <v>927.715</v>
      </c>
      <c r="AL128" s="270">
        <f t="shared" si="430"/>
        <v>905.892</v>
      </c>
      <c r="AM128" s="270">
        <f t="shared" si="430"/>
        <v>1068.041</v>
      </c>
      <c r="AN128" s="270">
        <f t="shared" si="430"/>
        <v>1222.209</v>
      </c>
      <c r="AO128" s="270">
        <f t="shared" si="430"/>
        <v>1411.247</v>
      </c>
      <c r="AP128" s="270">
        <f t="shared" si="430"/>
        <v>1424.23249</v>
      </c>
      <c r="AQ128" s="270">
        <f t="shared" si="430"/>
        <v>1395.90930025261</v>
      </c>
      <c r="AR128" s="270">
        <f t="shared" si="430"/>
        <v>1469.91288422998</v>
      </c>
      <c r="AS128" s="270">
        <f t="shared" si="430"/>
        <v>1773.97518683042</v>
      </c>
      <c r="AT128" s="270">
        <f t="shared" si="430"/>
        <v>1981.75569066222</v>
      </c>
      <c r="AU128" s="270">
        <f t="shared" si="430"/>
        <v>2300.22998120097</v>
      </c>
      <c r="AV128" s="270">
        <f t="shared" si="430"/>
        <v>2575.9875801154</v>
      </c>
      <c r="AW128" s="270">
        <f t="shared" si="430"/>
        <v>3387.11863901808</v>
      </c>
      <c r="AX128" s="270">
        <f t="shared" si="430"/>
        <v>3766.23633358128</v>
      </c>
      <c r="AY128" s="270">
        <f t="shared" si="430"/>
        <v>4185.74166768798</v>
      </c>
      <c r="AZ128" s="270">
        <f t="shared" ref="AZ128:BC128" si="431">+AZ110+AZ122+AZ126+AZ127</f>
        <v>4425.06256589731</v>
      </c>
      <c r="BA128" s="270">
        <f t="shared" si="431"/>
        <v>4716.75036678951</v>
      </c>
      <c r="BB128" s="270">
        <f t="shared" si="431"/>
        <v>5022.00725641042</v>
      </c>
      <c r="BC128" s="270">
        <f t="shared" si="431"/>
        <v>5342.06190444792</v>
      </c>
      <c r="BD128" s="270"/>
      <c r="BE128" s="271"/>
      <c r="BF128" s="272"/>
      <c r="BG128" s="270">
        <f t="shared" ref="BG128:BO128" si="432">+BG10</f>
        <v>844.945</v>
      </c>
      <c r="BH128" s="270">
        <f t="shared" si="432"/>
        <v>1227.515</v>
      </c>
      <c r="BI128" s="270">
        <f t="shared" si="432"/>
        <v>1757.665</v>
      </c>
      <c r="BJ128" s="270">
        <f t="shared" si="432"/>
        <v>1737.735</v>
      </c>
      <c r="BK128" s="270">
        <f t="shared" si="432"/>
        <v>1823.66555545</v>
      </c>
      <c r="BL128" s="270">
        <f t="shared" si="432"/>
        <v>2562.017</v>
      </c>
      <c r="BM128" s="270">
        <f t="shared" si="432"/>
        <v>3672.258</v>
      </c>
      <c r="BN128" s="270">
        <f t="shared" si="432"/>
        <v>2285.738</v>
      </c>
      <c r="BO128" s="270">
        <f t="shared" si="432"/>
        <v>3638.911</v>
      </c>
      <c r="BP128" s="270">
        <f t="shared" ref="BP128:BR128" si="433">+BP110+BP122+BP126+BP127</f>
        <v>5453.59779025261</v>
      </c>
      <c r="BQ128" s="270">
        <f t="shared" si="433"/>
        <v>7525.87374292358</v>
      </c>
      <c r="BR128" s="270">
        <f t="shared" si="433"/>
        <v>13915.0842204027</v>
      </c>
      <c r="BS128" s="270">
        <f t="shared" ref="BS128" si="434">+BS110+BS122+BS126+BS127</f>
        <v>19505.8820935452</v>
      </c>
      <c r="BU128"/>
      <c r="BV128"/>
      <c r="BW128"/>
      <c r="BX128"/>
      <c r="BY128"/>
      <c r="BZ128"/>
    </row>
    <row r="129" s="106" customFormat="1" customHeight="1" spans="1:78">
      <c r="A129" s="288" t="s">
        <v>482</v>
      </c>
      <c r="B129" s="288"/>
      <c r="C129" s="288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89"/>
      <c r="P129" s="289"/>
      <c r="Q129" s="289"/>
      <c r="R129" s="289">
        <f t="shared" ref="R129:AY129" si="435">R128-R10</f>
        <v>0</v>
      </c>
      <c r="S129" s="289">
        <f t="shared" si="435"/>
        <v>0</v>
      </c>
      <c r="T129" s="289">
        <f t="shared" si="435"/>
        <v>0</v>
      </c>
      <c r="U129" s="289">
        <f t="shared" si="435"/>
        <v>0</v>
      </c>
      <c r="V129" s="289">
        <f t="shared" si="435"/>
        <v>0</v>
      </c>
      <c r="W129" s="289">
        <f t="shared" si="435"/>
        <v>0</v>
      </c>
      <c r="X129" s="289">
        <f t="shared" si="435"/>
        <v>0</v>
      </c>
      <c r="Y129" s="289">
        <f t="shared" si="435"/>
        <v>0</v>
      </c>
      <c r="Z129" s="289">
        <f t="shared" si="435"/>
        <v>0</v>
      </c>
      <c r="AA129" s="289">
        <f t="shared" si="435"/>
        <v>0</v>
      </c>
      <c r="AB129" s="289">
        <f t="shared" si="435"/>
        <v>0</v>
      </c>
      <c r="AC129" s="289">
        <f t="shared" si="435"/>
        <v>0</v>
      </c>
      <c r="AD129" s="289">
        <f t="shared" si="435"/>
        <v>0</v>
      </c>
      <c r="AE129" s="289">
        <f t="shared" si="435"/>
        <v>0</v>
      </c>
      <c r="AF129" s="289">
        <f t="shared" si="435"/>
        <v>0</v>
      </c>
      <c r="AG129" s="289">
        <f t="shared" si="435"/>
        <v>0</v>
      </c>
      <c r="AH129" s="290">
        <f t="shared" si="435"/>
        <v>0</v>
      </c>
      <c r="AI129" s="289">
        <f t="shared" si="435"/>
        <v>0</v>
      </c>
      <c r="AJ129" s="291">
        <f t="shared" si="435"/>
        <v>0</v>
      </c>
      <c r="AK129" s="289">
        <f t="shared" si="435"/>
        <v>0</v>
      </c>
      <c r="AL129" s="289">
        <f t="shared" si="435"/>
        <v>0</v>
      </c>
      <c r="AM129" s="289">
        <f t="shared" si="435"/>
        <v>0</v>
      </c>
      <c r="AN129" s="289">
        <f t="shared" si="435"/>
        <v>0</v>
      </c>
      <c r="AO129" s="289">
        <f t="shared" si="435"/>
        <v>0</v>
      </c>
      <c r="AP129" s="289">
        <f t="shared" si="435"/>
        <v>0</v>
      </c>
      <c r="AQ129" s="289">
        <f t="shared" si="435"/>
        <v>173.700300252613</v>
      </c>
      <c r="AR129" s="289">
        <f t="shared" si="435"/>
        <v>9.19488422997961</v>
      </c>
      <c r="AS129" s="289">
        <f t="shared" si="435"/>
        <v>0</v>
      </c>
      <c r="AT129" s="289">
        <f t="shared" si="435"/>
        <v>0</v>
      </c>
      <c r="AU129" s="289">
        <f t="shared" si="435"/>
        <v>0</v>
      </c>
      <c r="AV129" s="289">
        <f t="shared" si="435"/>
        <v>0</v>
      </c>
      <c r="AW129" s="289">
        <f t="shared" si="435"/>
        <v>0</v>
      </c>
      <c r="AX129" s="289">
        <f t="shared" si="435"/>
        <v>0</v>
      </c>
      <c r="AY129" s="289">
        <f t="shared" si="435"/>
        <v>0</v>
      </c>
      <c r="AZ129" s="289">
        <f t="shared" ref="AZ129:BC129" si="436">AZ128-AZ10</f>
        <v>0</v>
      </c>
      <c r="BA129" s="289">
        <f t="shared" si="436"/>
        <v>0</v>
      </c>
      <c r="BB129" s="289">
        <f t="shared" si="436"/>
        <v>0</v>
      </c>
      <c r="BC129" s="289">
        <f t="shared" si="436"/>
        <v>0</v>
      </c>
      <c r="BD129" s="289"/>
      <c r="BE129" s="292"/>
      <c r="BF129" s="293"/>
      <c r="BG129" s="289">
        <f t="shared" ref="BG129:BS129" si="437">BG128-BG10</f>
        <v>0</v>
      </c>
      <c r="BH129" s="289">
        <f t="shared" si="437"/>
        <v>0</v>
      </c>
      <c r="BI129" s="289">
        <f t="shared" si="437"/>
        <v>0</v>
      </c>
      <c r="BJ129" s="289">
        <f t="shared" si="437"/>
        <v>0</v>
      </c>
      <c r="BK129" s="289">
        <f t="shared" si="437"/>
        <v>0</v>
      </c>
      <c r="BL129" s="289">
        <f t="shared" si="437"/>
        <v>0</v>
      </c>
      <c r="BM129" s="289">
        <f t="shared" si="437"/>
        <v>0</v>
      </c>
      <c r="BN129" s="289">
        <f t="shared" si="437"/>
        <v>0</v>
      </c>
      <c r="BO129" s="289">
        <f t="shared" si="437"/>
        <v>0</v>
      </c>
      <c r="BP129" s="289">
        <f t="shared" si="437"/>
        <v>173.700300252613</v>
      </c>
      <c r="BQ129" s="289">
        <f t="shared" si="437"/>
        <v>9.19488422997892</v>
      </c>
      <c r="BR129" s="289">
        <f t="shared" si="437"/>
        <v>0</v>
      </c>
      <c r="BS129" s="289">
        <f t="shared" si="437"/>
        <v>0</v>
      </c>
      <c r="BT129" s="288"/>
      <c r="BU129"/>
      <c r="BV129"/>
      <c r="BW129"/>
      <c r="BX129"/>
      <c r="BY129"/>
      <c r="BZ129"/>
    </row>
    <row r="130" s="109" customFormat="1" customHeight="1" spans="1:78">
      <c r="A130" s="294"/>
      <c r="B130" s="294"/>
      <c r="C130" s="294"/>
      <c r="D130" s="295"/>
      <c r="E130" s="295"/>
      <c r="F130" s="295"/>
      <c r="G130" s="295"/>
      <c r="H130" s="295"/>
      <c r="I130" s="295"/>
      <c r="J130" s="295"/>
      <c r="K130" s="295"/>
      <c r="L130" s="295"/>
      <c r="M130" s="295"/>
      <c r="N130" s="295"/>
      <c r="O130" s="295"/>
      <c r="P130" s="296"/>
      <c r="Q130" s="296"/>
      <c r="R130" s="296"/>
      <c r="S130" s="296"/>
      <c r="T130" s="296"/>
      <c r="U130" s="296"/>
      <c r="V130" s="296"/>
      <c r="W130" s="296"/>
      <c r="X130" s="296"/>
      <c r="Y130" s="296"/>
      <c r="Z130" s="296"/>
      <c r="AA130" s="296"/>
      <c r="AB130" s="296"/>
      <c r="AC130" s="296"/>
      <c r="AD130" s="297"/>
      <c r="AE130" s="297"/>
      <c r="AF130" s="296"/>
      <c r="AG130" s="296"/>
      <c r="AH130" s="296"/>
      <c r="AI130" s="296"/>
      <c r="AJ130" s="296"/>
      <c r="AK130" s="296"/>
      <c r="AL130" s="296"/>
      <c r="AM130" s="296"/>
      <c r="AN130" s="296"/>
      <c r="AO130" s="296"/>
      <c r="AP130" s="296"/>
      <c r="AQ130" s="296"/>
      <c r="AR130" s="296"/>
      <c r="AS130" s="296"/>
      <c r="AT130" s="296"/>
      <c r="AU130" s="296"/>
      <c r="AV130" s="296"/>
      <c r="AW130" s="296"/>
      <c r="AX130" s="296"/>
      <c r="AY130" s="296"/>
      <c r="AZ130" s="296"/>
      <c r="BA130" s="296"/>
      <c r="BB130" s="296"/>
      <c r="BC130" s="296"/>
      <c r="BD130" s="296"/>
      <c r="BE130" s="298"/>
      <c r="BF130" s="299"/>
      <c r="BG130" s="300"/>
      <c r="BH130" s="300"/>
      <c r="BI130" s="300"/>
      <c r="BJ130" s="300"/>
      <c r="BK130" s="300"/>
      <c r="BL130" s="301"/>
      <c r="BM130" s="301"/>
      <c r="BN130" s="301"/>
      <c r="BO130" s="301"/>
      <c r="BP130" s="294"/>
      <c r="BQ130" s="294"/>
      <c r="BR130" s="294"/>
      <c r="BS130" s="294"/>
      <c r="BT130" s="294"/>
      <c r="BU130"/>
      <c r="BV130"/>
      <c r="BW130"/>
      <c r="BX130"/>
      <c r="BY130"/>
      <c r="BZ130"/>
    </row>
    <row r="131" s="106" customFormat="1" customHeight="1" spans="1:78">
      <c r="A131" s="268"/>
      <c r="B131" s="268"/>
      <c r="C131" s="268"/>
      <c r="D131" s="302"/>
      <c r="E131" s="302"/>
      <c r="F131" s="302"/>
      <c r="G131" s="302"/>
      <c r="H131" s="302"/>
      <c r="I131" s="302"/>
      <c r="J131" s="302"/>
      <c r="K131" s="302"/>
      <c r="L131" s="302"/>
      <c r="M131" s="302"/>
      <c r="N131" s="302"/>
      <c r="O131" s="302"/>
      <c r="P131" s="303"/>
      <c r="Q131" s="303"/>
      <c r="R131" s="303"/>
      <c r="S131" s="303"/>
      <c r="T131" s="303"/>
      <c r="U131" s="303"/>
      <c r="V131" s="303"/>
      <c r="W131" s="303"/>
      <c r="X131" s="303"/>
      <c r="Y131" s="303"/>
      <c r="Z131" s="303"/>
      <c r="AA131" s="303"/>
      <c r="AB131" s="303"/>
      <c r="AC131" s="303"/>
      <c r="AD131" s="304"/>
      <c r="AE131" s="303"/>
      <c r="AF131" s="303"/>
      <c r="AG131" s="303"/>
      <c r="AH131" s="303"/>
      <c r="AI131" s="303"/>
      <c r="AJ131" s="303"/>
      <c r="AK131" s="304"/>
      <c r="AL131" s="303"/>
      <c r="AM131" s="303"/>
      <c r="AN131" s="303"/>
      <c r="AO131" s="303"/>
      <c r="AP131" s="303"/>
      <c r="AQ131" s="303"/>
      <c r="AR131" s="303"/>
      <c r="AS131" s="303"/>
      <c r="AT131" s="303"/>
      <c r="AU131" s="303"/>
      <c r="AV131" s="303"/>
      <c r="AW131" s="303"/>
      <c r="AX131" s="303"/>
      <c r="AY131" s="303"/>
      <c r="AZ131" s="303"/>
      <c r="BA131" s="303"/>
      <c r="BB131" s="303"/>
      <c r="BC131" s="303"/>
      <c r="BD131" s="303"/>
      <c r="BE131" s="305"/>
      <c r="BF131" s="259"/>
      <c r="BG131" s="306"/>
      <c r="BH131" s="307"/>
      <c r="BI131" s="307"/>
      <c r="BJ131" s="307"/>
      <c r="BK131" s="307"/>
      <c r="BL131" s="307"/>
      <c r="BM131" s="307"/>
      <c r="BN131" s="307"/>
      <c r="BO131" s="307"/>
      <c r="BP131" s="268"/>
      <c r="BQ131" s="268"/>
      <c r="BR131" s="268"/>
      <c r="BS131" s="268"/>
      <c r="BT131" s="268"/>
      <c r="BU131"/>
      <c r="BV131"/>
      <c r="BW131"/>
      <c r="BX131"/>
      <c r="BY131"/>
      <c r="BZ131"/>
    </row>
    <row r="132" s="106" customFormat="1" customHeight="1" spans="1:78">
      <c r="A132" s="252" t="s">
        <v>483</v>
      </c>
      <c r="B132" s="252"/>
      <c r="C132" s="252"/>
      <c r="D132" s="253"/>
      <c r="E132" s="253"/>
      <c r="F132" s="253"/>
      <c r="G132" s="253"/>
      <c r="H132" s="253"/>
      <c r="I132" s="253"/>
      <c r="J132" s="253"/>
      <c r="K132" s="253"/>
      <c r="L132" s="253"/>
      <c r="M132" s="253"/>
      <c r="N132" s="253"/>
      <c r="O132" s="253"/>
      <c r="P132" s="253"/>
      <c r="Q132" s="253"/>
      <c r="R132" s="253"/>
      <c r="S132" s="253"/>
      <c r="T132" s="253"/>
      <c r="U132" s="253"/>
      <c r="V132" s="253"/>
      <c r="W132" s="253"/>
      <c r="X132" s="253"/>
      <c r="Y132" s="253"/>
      <c r="Z132" s="253"/>
      <c r="AA132" s="253"/>
      <c r="AB132" s="253"/>
      <c r="AC132" s="253"/>
      <c r="AD132" s="253"/>
      <c r="AE132" s="253"/>
      <c r="AF132" s="253"/>
      <c r="AG132" s="253"/>
      <c r="AH132" s="253"/>
      <c r="AI132" s="253"/>
      <c r="AJ132" s="253"/>
      <c r="AK132" s="253"/>
      <c r="AL132" s="253"/>
      <c r="AM132" s="253"/>
      <c r="AN132" s="253"/>
      <c r="AO132" s="253"/>
      <c r="AP132" s="253"/>
      <c r="AQ132" s="253"/>
      <c r="AR132" s="253"/>
      <c r="AS132" s="253"/>
      <c r="AT132" s="253"/>
      <c r="AU132" s="253"/>
      <c r="AV132" s="253"/>
      <c r="AW132" s="253"/>
      <c r="AX132" s="253"/>
      <c r="AY132" s="253"/>
      <c r="AZ132" s="253"/>
      <c r="BA132" s="253"/>
      <c r="BB132" s="253"/>
      <c r="BC132" s="253"/>
      <c r="BD132" s="253"/>
      <c r="BE132" s="258"/>
      <c r="BF132" s="259"/>
      <c r="BG132" s="308"/>
      <c r="BH132" s="309"/>
      <c r="BI132" s="309"/>
      <c r="BJ132" s="309"/>
      <c r="BK132" s="309"/>
      <c r="BP132" s="268"/>
      <c r="BQ132" s="268"/>
      <c r="BR132" s="268"/>
      <c r="BS132" s="268"/>
      <c r="BT132" s="268"/>
      <c r="BU132"/>
      <c r="BV132"/>
      <c r="BW132"/>
      <c r="BX132"/>
      <c r="BY132"/>
      <c r="BZ132"/>
    </row>
    <row r="133" customHeight="1" spans="1:78">
      <c r="A133" s="252"/>
      <c r="B133" s="395" t="s">
        <v>464</v>
      </c>
      <c r="C133" s="70"/>
      <c r="D133" s="310"/>
      <c r="E133" s="310"/>
      <c r="F133" s="310"/>
      <c r="G133" s="310"/>
      <c r="H133" s="310"/>
      <c r="I133" s="310"/>
      <c r="J133" s="310"/>
      <c r="K133" s="310"/>
      <c r="L133" s="310"/>
      <c r="M133" s="310"/>
      <c r="N133" s="310"/>
      <c r="O133" s="310"/>
      <c r="P133" s="310"/>
      <c r="Q133" s="310"/>
      <c r="R133" s="311">
        <f>R110/R$128</f>
        <v>0.993419560660138</v>
      </c>
      <c r="S133" s="311">
        <f t="shared" ref="S133:AY133" si="438">S110/S$128</f>
        <v>0.98311952882399</v>
      </c>
      <c r="T133" s="311">
        <f t="shared" si="438"/>
        <v>0.989184272497773</v>
      </c>
      <c r="U133" s="311">
        <f t="shared" si="438"/>
        <v>0.989878176120143</v>
      </c>
      <c r="V133" s="311">
        <f t="shared" si="438"/>
        <v>0.979177672138111</v>
      </c>
      <c r="W133" s="311">
        <f t="shared" si="438"/>
        <v>0.974956180311915</v>
      </c>
      <c r="X133" s="311">
        <f t="shared" si="438"/>
        <v>0.837369328342403</v>
      </c>
      <c r="Y133" s="311">
        <f t="shared" si="438"/>
        <v>0.728150535029588</v>
      </c>
      <c r="Z133" s="311">
        <f t="shared" si="438"/>
        <v>0.631473386788991</v>
      </c>
      <c r="AA133" s="311">
        <f t="shared" si="438"/>
        <v>0.638440632874942</v>
      </c>
      <c r="AB133" s="311">
        <f t="shared" si="438"/>
        <v>0.636551296145002</v>
      </c>
      <c r="AC133" s="311">
        <f t="shared" si="438"/>
        <v>0.638591094361716</v>
      </c>
      <c r="AD133" s="311">
        <f t="shared" si="438"/>
        <v>0.734355888540596</v>
      </c>
      <c r="AE133" s="311">
        <f t="shared" si="438"/>
        <v>0.954362122872419</v>
      </c>
      <c r="AF133" s="311">
        <f t="shared" si="438"/>
        <v>0.893834994939612</v>
      </c>
      <c r="AG133" s="311">
        <f t="shared" si="438"/>
        <v>0.879453404738555</v>
      </c>
      <c r="AH133" s="311">
        <f t="shared" si="438"/>
        <v>0.895921675392536</v>
      </c>
      <c r="AI133" s="311">
        <f t="shared" si="438"/>
        <v>0.825774442606788</v>
      </c>
      <c r="AJ133" s="311">
        <f t="shared" si="438"/>
        <v>1.19341046870298</v>
      </c>
      <c r="AK133" s="311">
        <f t="shared" si="438"/>
        <v>1.08030538021158</v>
      </c>
      <c r="AL133" s="311">
        <f t="shared" si="438"/>
        <v>1.05381189408407</v>
      </c>
      <c r="AM133" s="311">
        <f t="shared" si="438"/>
        <v>0.810173929017757</v>
      </c>
      <c r="AN133" s="311">
        <f t="shared" si="438"/>
        <v>0.824069468099352</v>
      </c>
      <c r="AO133" s="311">
        <f t="shared" si="438"/>
        <v>0.72695341827733</v>
      </c>
      <c r="AP133" s="311">
        <f t="shared" si="438"/>
        <v>0.746872242179132</v>
      </c>
      <c r="AQ133" s="311">
        <f t="shared" si="438"/>
        <v>0.782978817618817</v>
      </c>
      <c r="AR133" s="311">
        <f t="shared" si="438"/>
        <v>0.788843448253079</v>
      </c>
      <c r="AS133" s="311">
        <f t="shared" si="438"/>
        <v>0.738922240794329</v>
      </c>
      <c r="AT133" s="311">
        <f t="shared" si="438"/>
        <v>0.721874667194086</v>
      </c>
      <c r="AU133" s="311">
        <f t="shared" si="438"/>
        <v>0.681448711236347</v>
      </c>
      <c r="AV133" s="311">
        <f t="shared" si="438"/>
        <v>0.657343154749613</v>
      </c>
      <c r="AW133" s="311">
        <f t="shared" si="438"/>
        <v>0.543444575764571</v>
      </c>
      <c r="AX133" s="311">
        <f t="shared" si="438"/>
        <v>0.535091204916892</v>
      </c>
      <c r="AY133" s="311">
        <f t="shared" si="438"/>
        <v>0.531374126339498</v>
      </c>
      <c r="AZ133" s="311">
        <f t="shared" ref="AZ133:BC133" si="439">AZ110/AZ$128</f>
        <v>0.535387158598661</v>
      </c>
      <c r="BA133" s="311">
        <f t="shared" si="439"/>
        <v>0.535470779580867</v>
      </c>
      <c r="BB133" s="311">
        <f t="shared" si="439"/>
        <v>0.53663100562937</v>
      </c>
      <c r="BC133" s="311">
        <f t="shared" si="439"/>
        <v>0.538775407578637</v>
      </c>
      <c r="BD133" s="312"/>
      <c r="BE133" s="313"/>
      <c r="BF133" s="259"/>
      <c r="BG133" s="311">
        <f t="shared" ref="BG133:BR133" si="440">BG110/BG$128</f>
        <v>0.66078466645758</v>
      </c>
      <c r="BH133" s="311">
        <f t="shared" si="440"/>
        <v>0.761431021209517</v>
      </c>
      <c r="BI133" s="311">
        <f t="shared" si="440"/>
        <v>0.994872515524858</v>
      </c>
      <c r="BJ133" s="311">
        <f t="shared" si="440"/>
        <v>0.990633497052197</v>
      </c>
      <c r="BK133" s="311">
        <f t="shared" si="440"/>
        <v>0.984559953443115</v>
      </c>
      <c r="BL133" s="311">
        <f t="shared" si="440"/>
        <v>0.674215811975903</v>
      </c>
      <c r="BM133" s="311">
        <f t="shared" si="440"/>
        <v>0.731009808006446</v>
      </c>
      <c r="BN133" s="311">
        <f t="shared" si="440"/>
        <v>0.86853674644993</v>
      </c>
      <c r="BO133" s="311">
        <f t="shared" si="440"/>
        <v>1.01734052464268</v>
      </c>
      <c r="BP133" s="311">
        <f t="shared" si="440"/>
        <v>0.768260373970733</v>
      </c>
      <c r="BQ133" s="311">
        <f t="shared" si="440"/>
        <v>0.726617139894102</v>
      </c>
      <c r="BR133" s="311">
        <f t="shared" si="440"/>
        <v>0.558637927785223</v>
      </c>
      <c r="BS133" s="311">
        <f t="shared" ref="BS133" si="441">BS110/BS$128</f>
        <v>0.536655558755734</v>
      </c>
      <c r="BT133" s="49"/>
    </row>
    <row r="134" customHeight="1" spans="1:78">
      <c r="A134" s="268"/>
      <c r="B134" s="268"/>
      <c r="C134" s="397" t="s">
        <v>465</v>
      </c>
      <c r="D134" s="314"/>
      <c r="E134" s="314"/>
      <c r="F134" s="314"/>
      <c r="G134" s="314"/>
      <c r="H134" s="314"/>
      <c r="I134" s="314"/>
      <c r="J134" s="314"/>
      <c r="K134" s="314"/>
      <c r="L134" s="314"/>
      <c r="M134" s="314"/>
      <c r="N134" s="314"/>
      <c r="O134" s="314"/>
      <c r="P134" s="314"/>
      <c r="Q134" s="314"/>
      <c r="R134" s="311">
        <f t="shared" ref="R134:AY134" si="442">R111/R$128</f>
        <v>0.993419560660138</v>
      </c>
      <c r="S134" s="311">
        <f t="shared" si="442"/>
        <v>0.98311952882399</v>
      </c>
      <c r="T134" s="311">
        <f t="shared" si="442"/>
        <v>0.989184272497773</v>
      </c>
      <c r="U134" s="311">
        <f t="shared" si="442"/>
        <v>0.989878176120143</v>
      </c>
      <c r="V134" s="311">
        <f t="shared" si="442"/>
        <v>0.979177672138111</v>
      </c>
      <c r="W134" s="311">
        <f t="shared" si="442"/>
        <v>0.974956180311915</v>
      </c>
      <c r="X134" s="311">
        <f t="shared" si="442"/>
        <v>0.837369328342403</v>
      </c>
      <c r="Y134" s="311">
        <f t="shared" si="442"/>
        <v>0.728150535029588</v>
      </c>
      <c r="Z134" s="311">
        <f t="shared" si="442"/>
        <v>0.631473386788991</v>
      </c>
      <c r="AA134" s="311">
        <f t="shared" si="442"/>
        <v>0.637202652886889</v>
      </c>
      <c r="AB134" s="311">
        <f t="shared" si="442"/>
        <v>0.62350187381794</v>
      </c>
      <c r="AC134" s="311">
        <f t="shared" si="442"/>
        <v>0.623253835339269</v>
      </c>
      <c r="AD134" s="311">
        <f t="shared" si="442"/>
        <v>0.711440146107248</v>
      </c>
      <c r="AE134" s="311">
        <f t="shared" si="442"/>
        <v>0.913802680545798</v>
      </c>
      <c r="AF134" s="311">
        <f t="shared" si="442"/>
        <v>0.848852524995527</v>
      </c>
      <c r="AG134" s="311">
        <f t="shared" si="442"/>
        <v>0.841795623062648</v>
      </c>
      <c r="AH134" s="311">
        <f t="shared" si="442"/>
        <v>0.787108236406149</v>
      </c>
      <c r="AI134" s="311">
        <f t="shared" si="442"/>
        <v>0.695609251145625</v>
      </c>
      <c r="AJ134" s="311">
        <f t="shared" si="442"/>
        <v>1.07255807274659</v>
      </c>
      <c r="AK134" s="311">
        <f t="shared" si="442"/>
        <v>0.935864468940341</v>
      </c>
      <c r="AL134" s="311">
        <f t="shared" si="442"/>
        <v>0.87719039836493</v>
      </c>
      <c r="AM134" s="311">
        <f t="shared" si="442"/>
        <v>0.758952285188529</v>
      </c>
      <c r="AN134" s="311">
        <f t="shared" si="442"/>
        <v>0.676533060376224</v>
      </c>
      <c r="AO134" s="311">
        <f t="shared" si="442"/>
        <v>0.597672913354495</v>
      </c>
      <c r="AP134" s="311">
        <f t="shared" si="442"/>
        <v>0.6041124984305</v>
      </c>
      <c r="AQ134" s="311">
        <f t="shared" si="442"/>
        <v>0.62874365148735</v>
      </c>
      <c r="AR134" s="311">
        <f t="shared" si="442"/>
        <v>0.636497088992297</v>
      </c>
      <c r="AS134" s="311">
        <f t="shared" si="442"/>
        <v>0.594643981990932</v>
      </c>
      <c r="AT134" s="311">
        <f t="shared" si="442"/>
        <v>0.567429172276772</v>
      </c>
      <c r="AU134" s="311">
        <f t="shared" si="442"/>
        <v>0.521131972204388</v>
      </c>
      <c r="AV134" s="311">
        <f t="shared" si="442"/>
        <v>0.488891638962726</v>
      </c>
      <c r="AW134" s="311">
        <f t="shared" si="442"/>
        <v>0.390627993221789</v>
      </c>
      <c r="AX134" s="311">
        <f t="shared" si="442"/>
        <v>0.369082623472597</v>
      </c>
      <c r="AY134" s="311">
        <f t="shared" si="442"/>
        <v>0.348896122436868</v>
      </c>
      <c r="AZ134" s="311">
        <f t="shared" ref="AZ134:BC134" si="443">AZ111/AZ$128</f>
        <v>0.346726108348032</v>
      </c>
      <c r="BA134" s="311">
        <f t="shared" si="443"/>
        <v>0.34174365914862</v>
      </c>
      <c r="BB134" s="311">
        <f t="shared" si="443"/>
        <v>0.337212308021899</v>
      </c>
      <c r="BC134" s="311">
        <f t="shared" si="443"/>
        <v>0.333049843327733</v>
      </c>
      <c r="BD134" s="312"/>
      <c r="BE134" s="313"/>
      <c r="BF134" s="259"/>
      <c r="BG134" s="311">
        <f t="shared" ref="BG134:BR134" si="444">BG111/BG$128</f>
        <v>0.66078466645758</v>
      </c>
      <c r="BH134" s="311">
        <f t="shared" si="444"/>
        <v>0.761431021209517</v>
      </c>
      <c r="BI134" s="311">
        <f t="shared" si="444"/>
        <v>0.994872515524858</v>
      </c>
      <c r="BJ134" s="311">
        <f t="shared" si="444"/>
        <v>0.990633497052197</v>
      </c>
      <c r="BK134" s="311">
        <f t="shared" si="444"/>
        <v>0.984559953443115</v>
      </c>
      <c r="BL134" s="311">
        <f t="shared" si="444"/>
        <v>0.673747431008875</v>
      </c>
      <c r="BM134" s="311">
        <f t="shared" si="444"/>
        <v>0.708829993843062</v>
      </c>
      <c r="BN134" s="311">
        <f t="shared" si="444"/>
        <v>0.780151138347354</v>
      </c>
      <c r="BO134" s="311">
        <f t="shared" si="444"/>
        <v>0.897027932304748</v>
      </c>
      <c r="BP134" s="311">
        <f t="shared" si="444"/>
        <v>0.624980937483116</v>
      </c>
      <c r="BQ134" s="311">
        <f t="shared" si="444"/>
        <v>0.573183721401765</v>
      </c>
      <c r="BR134" s="311">
        <f t="shared" si="444"/>
        <v>0.390434113419366</v>
      </c>
      <c r="BS134" s="311">
        <f t="shared" ref="BS134" si="445">BS111/BS$128</f>
        <v>0.339326350827168</v>
      </c>
      <c r="BT134" s="49"/>
    </row>
    <row r="135" customHeight="1" spans="1:78">
      <c r="A135" s="268"/>
      <c r="B135" s="268"/>
      <c r="C135" s="396" t="s">
        <v>466</v>
      </c>
      <c r="D135" s="315"/>
      <c r="E135" s="315"/>
      <c r="F135" s="315"/>
      <c r="G135" s="315"/>
      <c r="H135" s="315"/>
      <c r="I135" s="315"/>
      <c r="J135" s="312"/>
      <c r="K135" s="312"/>
      <c r="L135" s="312"/>
      <c r="M135" s="312"/>
      <c r="N135" s="312"/>
      <c r="O135" s="312"/>
      <c r="P135" s="312"/>
      <c r="Q135" s="312"/>
      <c r="R135" s="311">
        <f t="shared" ref="R135:AY135" si="446">R112/R$128</f>
        <v>0.750000391949593</v>
      </c>
      <c r="S135" s="311">
        <f t="shared" si="446"/>
        <v>0.734102424258643</v>
      </c>
      <c r="T135" s="311">
        <f t="shared" si="446"/>
        <v>0.75815033128872</v>
      </c>
      <c r="U135" s="311">
        <f t="shared" si="446"/>
        <v>0.752148069721676</v>
      </c>
      <c r="V135" s="311">
        <f t="shared" si="446"/>
        <v>0.746673303546093</v>
      </c>
      <c r="W135" s="311">
        <f t="shared" si="446"/>
        <v>0.739066938778609</v>
      </c>
      <c r="X135" s="311">
        <f t="shared" si="446"/>
        <v>0.646288907897039</v>
      </c>
      <c r="Y135" s="311">
        <f t="shared" si="446"/>
        <v>0.595076599806934</v>
      </c>
      <c r="Z135" s="311">
        <f t="shared" si="446"/>
        <v>0.53504177441169</v>
      </c>
      <c r="AA135" s="311">
        <f t="shared" si="446"/>
        <v>0.514942169237768</v>
      </c>
      <c r="AB135" s="311">
        <f t="shared" si="446"/>
        <v>0.513822261873286</v>
      </c>
      <c r="AC135" s="311">
        <f t="shared" si="446"/>
        <v>0.513235339346343</v>
      </c>
      <c r="AD135" s="311">
        <f t="shared" si="446"/>
        <v>0.582342536630001</v>
      </c>
      <c r="AE135" s="311">
        <f t="shared" si="446"/>
        <v>0.747440655915841</v>
      </c>
      <c r="AF135" s="311">
        <f t="shared" si="446"/>
        <v>0.680977000842471</v>
      </c>
      <c r="AG135" s="311">
        <f t="shared" si="446"/>
        <v>0.677606470806821</v>
      </c>
      <c r="AH135" s="311">
        <f t="shared" si="446"/>
        <v>0.65517902813599</v>
      </c>
      <c r="AI135" s="311">
        <f t="shared" si="446"/>
        <v>0.577546241658522</v>
      </c>
      <c r="AJ135" s="311">
        <f t="shared" si="446"/>
        <v>0.932920246068094</v>
      </c>
      <c r="AK135" s="311">
        <f t="shared" si="446"/>
        <v>0.809712217373535</v>
      </c>
      <c r="AL135" s="311">
        <f t="shared" si="446"/>
        <v>0.759174175136432</v>
      </c>
      <c r="AM135" s="311">
        <f t="shared" si="446"/>
        <v>0.656843686558696</v>
      </c>
      <c r="AN135" s="311">
        <f t="shared" si="446"/>
        <v>0.585513052834368</v>
      </c>
      <c r="AO135" s="311">
        <f t="shared" si="446"/>
        <v>0.517262662522352</v>
      </c>
      <c r="AP135" s="311">
        <f t="shared" si="446"/>
        <v>0.522835872964932</v>
      </c>
      <c r="AQ135" s="311">
        <f t="shared" si="446"/>
        <v>0.544153178010049</v>
      </c>
      <c r="AR135" s="311">
        <f t="shared" si="446"/>
        <v>0.550863476633086</v>
      </c>
      <c r="AS135" s="311">
        <f t="shared" si="446"/>
        <v>0.514641240224795</v>
      </c>
      <c r="AT135" s="311">
        <f t="shared" si="446"/>
        <v>0.491087880823285</v>
      </c>
      <c r="AU135" s="311">
        <f t="shared" si="446"/>
        <v>0.451019454696422</v>
      </c>
      <c r="AV135" s="311">
        <f t="shared" si="446"/>
        <v>0.42311670012856</v>
      </c>
      <c r="AW135" s="311">
        <f t="shared" si="446"/>
        <v>0.338073336292925</v>
      </c>
      <c r="AX135" s="311">
        <f t="shared" si="446"/>
        <v>0.319426656691961</v>
      </c>
      <c r="AY135" s="311">
        <f t="shared" si="446"/>
        <v>0.30195602511499</v>
      </c>
      <c r="AZ135" s="311">
        <f t="shared" ref="AZ135:BC135" si="447">AZ112/AZ$128</f>
        <v>0.300077962314716</v>
      </c>
      <c r="BA135" s="311">
        <f t="shared" si="447"/>
        <v>0.295765846304128</v>
      </c>
      <c r="BB135" s="311">
        <f t="shared" si="447"/>
        <v>0.291844138131885</v>
      </c>
      <c r="BC135" s="311">
        <f t="shared" si="447"/>
        <v>0.288241686820723</v>
      </c>
      <c r="BD135" s="314"/>
      <c r="BE135" s="313"/>
      <c r="BF135" s="259"/>
      <c r="BG135" s="311">
        <f t="shared" ref="BG135:BR135" si="448">BG112/BG$128</f>
        <v>0.541087345330169</v>
      </c>
      <c r="BH135" s="311">
        <f t="shared" si="448"/>
        <v>0.610175278163607</v>
      </c>
      <c r="BI135" s="311">
        <f t="shared" si="448"/>
        <v>0.757015381201765</v>
      </c>
      <c r="BJ135" s="311">
        <f t="shared" si="448"/>
        <v>0.753109388082763</v>
      </c>
      <c r="BK135" s="311">
        <f t="shared" si="448"/>
        <v>0.750094393788521</v>
      </c>
      <c r="BL135" s="311">
        <f t="shared" si="448"/>
        <v>0.5504006354051</v>
      </c>
      <c r="BM135" s="311">
        <f t="shared" si="448"/>
        <v>0.581797802904181</v>
      </c>
      <c r="BN135" s="311">
        <f t="shared" si="448"/>
        <v>0.6390672789804</v>
      </c>
      <c r="BO135" s="311">
        <f t="shared" si="448"/>
        <v>0.777225809814013</v>
      </c>
      <c r="BP135" s="311">
        <f t="shared" si="448"/>
        <v>0.540896695374393</v>
      </c>
      <c r="BQ135" s="311">
        <f t="shared" si="448"/>
        <v>0.496068219291868</v>
      </c>
      <c r="BR135" s="311">
        <f t="shared" si="448"/>
        <v>0.337905540864071</v>
      </c>
      <c r="BS135" s="311">
        <f t="shared" ref="BS135" si="449">BS112/BS$128</f>
        <v>0.293673759963</v>
      </c>
      <c r="BT135" s="49"/>
    </row>
    <row r="136" customHeight="1" spans="1:78">
      <c r="A136" s="268"/>
      <c r="B136" s="268"/>
      <c r="C136" s="396" t="s">
        <v>467</v>
      </c>
      <c r="D136" s="314"/>
      <c r="E136" s="314"/>
      <c r="F136" s="314"/>
      <c r="G136" s="314"/>
      <c r="H136" s="314"/>
      <c r="I136" s="314"/>
      <c r="J136" s="314"/>
      <c r="K136" s="314"/>
      <c r="L136" s="314"/>
      <c r="M136" s="314"/>
      <c r="N136" s="314"/>
      <c r="O136" s="314"/>
      <c r="P136" s="314"/>
      <c r="Q136" s="314"/>
      <c r="R136" s="311">
        <f t="shared" ref="R136:AY136" si="450">R113/R$128</f>
        <v>0.243419168710545</v>
      </c>
      <c r="S136" s="311">
        <f t="shared" si="450"/>
        <v>0.249017104565347</v>
      </c>
      <c r="T136" s="311">
        <f t="shared" si="450"/>
        <v>0.231033941209053</v>
      </c>
      <c r="U136" s="311">
        <f t="shared" si="450"/>
        <v>0.237730106398467</v>
      </c>
      <c r="V136" s="311">
        <f t="shared" si="450"/>
        <v>0.232504368592019</v>
      </c>
      <c r="W136" s="311">
        <f t="shared" si="450"/>
        <v>0.235889241533306</v>
      </c>
      <c r="X136" s="311">
        <f t="shared" si="450"/>
        <v>0.191080420445364</v>
      </c>
      <c r="Y136" s="311">
        <f t="shared" si="450"/>
        <v>0.133073935222654</v>
      </c>
      <c r="Z136" s="311">
        <f t="shared" si="450"/>
        <v>0.0964316123773007</v>
      </c>
      <c r="AA136" s="311">
        <f t="shared" si="450"/>
        <v>0.122260483649121</v>
      </c>
      <c r="AB136" s="311">
        <f t="shared" si="450"/>
        <v>0.109679611944654</v>
      </c>
      <c r="AC136" s="311">
        <f t="shared" si="450"/>
        <v>0.110018495992926</v>
      </c>
      <c r="AD136" s="311">
        <f t="shared" si="450"/>
        <v>0.129097609477247</v>
      </c>
      <c r="AE136" s="311">
        <f t="shared" si="450"/>
        <v>0.166362024629957</v>
      </c>
      <c r="AF136" s="311">
        <f t="shared" si="450"/>
        <v>0.167875524153056</v>
      </c>
      <c r="AG136" s="311">
        <f t="shared" si="450"/>
        <v>0.164189152255827</v>
      </c>
      <c r="AH136" s="311">
        <f t="shared" si="450"/>
        <v>0.131929208270159</v>
      </c>
      <c r="AI136" s="311">
        <f t="shared" si="450"/>
        <v>0.118063009487103</v>
      </c>
      <c r="AJ136" s="311">
        <f t="shared" si="450"/>
        <v>0.139637826678495</v>
      </c>
      <c r="AK136" s="311">
        <f t="shared" si="450"/>
        <v>0.126152251566806</v>
      </c>
      <c r="AL136" s="311">
        <f t="shared" si="450"/>
        <v>0.118016223228498</v>
      </c>
      <c r="AM136" s="311">
        <f t="shared" si="450"/>
        <v>0.102108598629833</v>
      </c>
      <c r="AN136" s="311">
        <f t="shared" si="450"/>
        <v>0.0910200075418559</v>
      </c>
      <c r="AO136" s="311">
        <f t="shared" si="450"/>
        <v>0.0804102508321424</v>
      </c>
      <c r="AP136" s="311">
        <f t="shared" si="450"/>
        <v>0.081276625465569</v>
      </c>
      <c r="AQ136" s="311">
        <f t="shared" si="450"/>
        <v>0.0845904734773015</v>
      </c>
      <c r="AR136" s="311">
        <f t="shared" si="450"/>
        <v>0.0856336123592109</v>
      </c>
      <c r="AS136" s="311">
        <f t="shared" si="450"/>
        <v>0.0800027417661376</v>
      </c>
      <c r="AT136" s="311">
        <f t="shared" si="450"/>
        <v>0.0763412914534869</v>
      </c>
      <c r="AU136" s="311">
        <f t="shared" si="450"/>
        <v>0.0701125175079657</v>
      </c>
      <c r="AV136" s="311">
        <f t="shared" si="450"/>
        <v>0.0657749388341665</v>
      </c>
      <c r="AW136" s="311">
        <f t="shared" si="450"/>
        <v>0.0525546569288645</v>
      </c>
      <c r="AX136" s="311">
        <f t="shared" si="450"/>
        <v>0.0496559667806359</v>
      </c>
      <c r="AY136" s="311">
        <f t="shared" si="450"/>
        <v>0.0469400973218781</v>
      </c>
      <c r="AZ136" s="311">
        <f t="shared" ref="AZ136:BC136" si="451">AZ113/AZ$128</f>
        <v>0.0466481460333158</v>
      </c>
      <c r="BA136" s="311">
        <f t="shared" si="451"/>
        <v>0.045977812844491</v>
      </c>
      <c r="BB136" s="311">
        <f t="shared" si="451"/>
        <v>0.0453681698900144</v>
      </c>
      <c r="BC136" s="311">
        <f t="shared" si="451"/>
        <v>0.0448081565070098</v>
      </c>
      <c r="BD136" s="314"/>
      <c r="BE136" s="313"/>
      <c r="BF136" s="259"/>
      <c r="BG136" s="311">
        <f t="shared" ref="BG136:BR136" si="452">BG113/BG$128</f>
        <v>0.119697321127411</v>
      </c>
      <c r="BH136" s="311">
        <f t="shared" si="452"/>
        <v>0.15125574304591</v>
      </c>
      <c r="BI136" s="311">
        <f t="shared" si="452"/>
        <v>0.237857134323093</v>
      </c>
      <c r="BJ136" s="311">
        <f t="shared" si="452"/>
        <v>0.237524108969434</v>
      </c>
      <c r="BK136" s="311">
        <f t="shared" si="452"/>
        <v>0.234465559654594</v>
      </c>
      <c r="BL136" s="311">
        <f t="shared" si="452"/>
        <v>0.123346795603776</v>
      </c>
      <c r="BM136" s="311">
        <f t="shared" si="452"/>
        <v>0.127032190938881</v>
      </c>
      <c r="BN136" s="311">
        <f t="shared" si="452"/>
        <v>0.141083859366953</v>
      </c>
      <c r="BO136" s="311">
        <f t="shared" si="452"/>
        <v>0.119802122490735</v>
      </c>
      <c r="BP136" s="311">
        <f t="shared" si="452"/>
        <v>0.0840842421087224</v>
      </c>
      <c r="BQ136" s="311">
        <f t="shared" si="452"/>
        <v>0.0771155021098968</v>
      </c>
      <c r="BR136" s="311">
        <f t="shared" si="452"/>
        <v>0.0525285725552954</v>
      </c>
      <c r="BS136" s="311">
        <f t="shared" ref="BS136" si="453">BS113/BS$128</f>
        <v>0.0456525908641681</v>
      </c>
      <c r="BT136" s="49"/>
    </row>
    <row r="137" customHeight="1" spans="1:78">
      <c r="A137" s="268"/>
      <c r="B137" s="268"/>
      <c r="C137" s="397" t="s">
        <v>468</v>
      </c>
      <c r="D137" s="314"/>
      <c r="E137" s="314"/>
      <c r="F137" s="314"/>
      <c r="G137" s="314"/>
      <c r="H137" s="314"/>
      <c r="I137" s="314"/>
      <c r="J137" s="314"/>
      <c r="K137" s="314"/>
      <c r="L137" s="314"/>
      <c r="M137" s="314"/>
      <c r="N137" s="314"/>
      <c r="O137" s="314"/>
      <c r="P137" s="314"/>
      <c r="Q137" s="314"/>
      <c r="R137" s="311">
        <f t="shared" ref="R137:AY137" si="454">R114/R$128</f>
        <v>0</v>
      </c>
      <c r="S137" s="311">
        <f t="shared" si="454"/>
        <v>0</v>
      </c>
      <c r="T137" s="311">
        <f t="shared" si="454"/>
        <v>0</v>
      </c>
      <c r="U137" s="311">
        <f t="shared" si="454"/>
        <v>0</v>
      </c>
      <c r="V137" s="311">
        <f t="shared" si="454"/>
        <v>0</v>
      </c>
      <c r="W137" s="311">
        <f t="shared" si="454"/>
        <v>0</v>
      </c>
      <c r="X137" s="311">
        <f t="shared" si="454"/>
        <v>0</v>
      </c>
      <c r="Y137" s="311">
        <f t="shared" si="454"/>
        <v>0</v>
      </c>
      <c r="Z137" s="311">
        <f t="shared" si="454"/>
        <v>0</v>
      </c>
      <c r="AA137" s="311">
        <f t="shared" si="454"/>
        <v>0.00123797998805349</v>
      </c>
      <c r="AB137" s="311">
        <f t="shared" si="454"/>
        <v>0.0130494223270618</v>
      </c>
      <c r="AC137" s="311">
        <f t="shared" si="454"/>
        <v>0.0153372590224469</v>
      </c>
      <c r="AD137" s="311">
        <f t="shared" si="454"/>
        <v>0.0229157424333477</v>
      </c>
      <c r="AE137" s="311">
        <f t="shared" si="454"/>
        <v>0.040559442326621</v>
      </c>
      <c r="AF137" s="311">
        <f t="shared" si="454"/>
        <v>0.0449824699440848</v>
      </c>
      <c r="AG137" s="311">
        <f t="shared" si="454"/>
        <v>0.0376577816759077</v>
      </c>
      <c r="AH137" s="311">
        <f t="shared" si="454"/>
        <v>0.108813438986387</v>
      </c>
      <c r="AI137" s="311">
        <f t="shared" si="454"/>
        <v>0.0775731949111984</v>
      </c>
      <c r="AJ137" s="311">
        <f t="shared" si="454"/>
        <v>0.107288715153209</v>
      </c>
      <c r="AK137" s="311">
        <f t="shared" si="454"/>
        <v>0.128272152546849</v>
      </c>
      <c r="AL137" s="311">
        <f t="shared" si="454"/>
        <v>0.154543808754244</v>
      </c>
      <c r="AM137" s="311">
        <f t="shared" si="454"/>
        <v>0.044667588320123</v>
      </c>
      <c r="AN137" s="311">
        <f t="shared" si="454"/>
        <v>0.0395352393468515</v>
      </c>
      <c r="AO137" s="311">
        <f t="shared" si="454"/>
        <v>0.0346797723792057</v>
      </c>
      <c r="AP137" s="311">
        <f t="shared" si="454"/>
        <v>0.034805493947744</v>
      </c>
      <c r="AQ137" s="311">
        <f t="shared" si="454"/>
        <v>0.0373789074580124</v>
      </c>
      <c r="AR137" s="311">
        <f t="shared" si="454"/>
        <v>0.0359535375198576</v>
      </c>
      <c r="AS137" s="311">
        <f t="shared" si="454"/>
        <v>0.0301741540785824</v>
      </c>
      <c r="AT137" s="311">
        <f t="shared" si="454"/>
        <v>0.027357849171028</v>
      </c>
      <c r="AU137" s="311">
        <f t="shared" si="454"/>
        <v>0.0238731774040524</v>
      </c>
      <c r="AV137" s="311">
        <f t="shared" si="454"/>
        <v>0.0215917150720148</v>
      </c>
      <c r="AW137" s="311">
        <f t="shared" si="454"/>
        <v>0.0166322083553641</v>
      </c>
      <c r="AX137" s="311">
        <f t="shared" si="454"/>
        <v>0.0151503329467083</v>
      </c>
      <c r="AY137" s="311">
        <f t="shared" si="454"/>
        <v>0.0138072358933174</v>
      </c>
      <c r="AZ137" s="311">
        <f t="shared" ref="AZ137:BC137" si="455">AZ114/AZ$128</f>
        <v>0.0132284564168524</v>
      </c>
      <c r="BA137" s="311">
        <f t="shared" si="455"/>
        <v>0.0125699952837201</v>
      </c>
      <c r="BB137" s="311">
        <f t="shared" si="455"/>
        <v>0.0119577671144221</v>
      </c>
      <c r="BC137" s="311">
        <f t="shared" si="455"/>
        <v>0.0113859148283638</v>
      </c>
      <c r="BD137" s="314"/>
      <c r="BE137" s="313"/>
      <c r="BF137" s="259"/>
      <c r="BG137" s="311">
        <f t="shared" ref="BG137:BR137" si="456">BG114/BG$128</f>
        <v>0</v>
      </c>
      <c r="BH137" s="311">
        <f t="shared" si="456"/>
        <v>0</v>
      </c>
      <c r="BI137" s="311">
        <f t="shared" si="456"/>
        <v>0</v>
      </c>
      <c r="BJ137" s="311">
        <f t="shared" si="456"/>
        <v>0</v>
      </c>
      <c r="BK137" s="311">
        <f t="shared" si="456"/>
        <v>0</v>
      </c>
      <c r="BL137" s="311">
        <f t="shared" si="456"/>
        <v>0.000468380967027151</v>
      </c>
      <c r="BM137" s="311">
        <f t="shared" si="456"/>
        <v>0.0221798141633839</v>
      </c>
      <c r="BN137" s="311">
        <f t="shared" si="456"/>
        <v>0.0708857896631925</v>
      </c>
      <c r="BO137" s="311">
        <f t="shared" si="456"/>
        <v>0.106022602832829</v>
      </c>
      <c r="BP137" s="311">
        <f t="shared" si="456"/>
        <v>0.0364916404906514</v>
      </c>
      <c r="BQ137" s="311">
        <f t="shared" si="456"/>
        <v>0.0286354977116137</v>
      </c>
      <c r="BR137" s="311">
        <f t="shared" si="456"/>
        <v>0.0162994708619036</v>
      </c>
      <c r="BS137" s="311">
        <f t="shared" ref="BS137" si="457">BS114/BS$128</f>
        <v>0.0122374641190835</v>
      </c>
      <c r="BT137" s="49"/>
    </row>
    <row r="138" customHeight="1" spans="1:78">
      <c r="A138" s="268"/>
      <c r="B138" s="268"/>
      <c r="C138" s="396" t="s">
        <v>469</v>
      </c>
      <c r="D138" s="314"/>
      <c r="E138" s="314"/>
      <c r="F138" s="314"/>
      <c r="G138" s="314"/>
      <c r="H138" s="314"/>
      <c r="I138" s="314"/>
      <c r="J138" s="314"/>
      <c r="K138" s="314"/>
      <c r="L138" s="314"/>
      <c r="M138" s="314"/>
      <c r="N138" s="314"/>
      <c r="O138" s="314"/>
      <c r="P138" s="314"/>
      <c r="Q138" s="314"/>
      <c r="R138" s="311">
        <f t="shared" ref="R138:AY138" si="458">R115/R$128</f>
        <v>0</v>
      </c>
      <c r="S138" s="311">
        <f t="shared" si="458"/>
        <v>0</v>
      </c>
      <c r="T138" s="311">
        <f t="shared" si="458"/>
        <v>0</v>
      </c>
      <c r="U138" s="311">
        <f t="shared" si="458"/>
        <v>0</v>
      </c>
      <c r="V138" s="311">
        <f t="shared" si="458"/>
        <v>0</v>
      </c>
      <c r="W138" s="311">
        <f t="shared" si="458"/>
        <v>0</v>
      </c>
      <c r="X138" s="311">
        <f t="shared" si="458"/>
        <v>0</v>
      </c>
      <c r="Y138" s="311">
        <f t="shared" si="458"/>
        <v>0</v>
      </c>
      <c r="Z138" s="311">
        <f t="shared" si="458"/>
        <v>0</v>
      </c>
      <c r="AA138" s="311">
        <f t="shared" si="458"/>
        <v>0.000412659996017831</v>
      </c>
      <c r="AB138" s="311">
        <f t="shared" si="458"/>
        <v>0.00721882937241719</v>
      </c>
      <c r="AC138" s="311">
        <f t="shared" si="458"/>
        <v>0.00886152743519156</v>
      </c>
      <c r="AD138" s="311">
        <f t="shared" si="458"/>
        <v>0.00818044809977629</v>
      </c>
      <c r="AE138" s="311">
        <f t="shared" si="458"/>
        <v>0.0131407539002137</v>
      </c>
      <c r="AF138" s="311">
        <f t="shared" si="458"/>
        <v>0.0148723708548655</v>
      </c>
      <c r="AG138" s="311">
        <f t="shared" si="458"/>
        <v>0.0124029100470785</v>
      </c>
      <c r="AH138" s="311">
        <f t="shared" si="458"/>
        <v>0.0550326084806292</v>
      </c>
      <c r="AI138" s="311">
        <f t="shared" si="458"/>
        <v>0.0394439974124738</v>
      </c>
      <c r="AJ138" s="311">
        <f t="shared" si="458"/>
        <v>0.0542547232127477</v>
      </c>
      <c r="AK138" s="311">
        <f t="shared" si="458"/>
        <v>0.0538958624146424</v>
      </c>
      <c r="AL138" s="311">
        <f t="shared" si="458"/>
        <v>0.0883107478595682</v>
      </c>
      <c r="AM138" s="311">
        <f t="shared" si="458"/>
        <v>0.0149032226692199</v>
      </c>
      <c r="AN138" s="311">
        <f t="shared" si="458"/>
        <v>0.0131908280125702</v>
      </c>
      <c r="AO138" s="311">
        <f t="shared" si="458"/>
        <v>0.0115708143045709</v>
      </c>
      <c r="AP138" s="311">
        <f t="shared" si="458"/>
        <v>0.0116127609733013</v>
      </c>
      <c r="AQ138" s="311">
        <f t="shared" si="458"/>
        <v>0.0124713735827094</v>
      </c>
      <c r="AR138" s="311">
        <f t="shared" si="458"/>
        <v>0.0119958026738416</v>
      </c>
      <c r="AS138" s="311">
        <f t="shared" si="458"/>
        <v>0.0100675266787545</v>
      </c>
      <c r="AT138" s="311">
        <f t="shared" si="458"/>
        <v>0.00912787399724204</v>
      </c>
      <c r="AU138" s="311">
        <f t="shared" si="458"/>
        <v>0.00796522248133324</v>
      </c>
      <c r="AV138" s="311">
        <f t="shared" si="458"/>
        <v>0.00720401861014782</v>
      </c>
      <c r="AW138" s="311">
        <f t="shared" si="458"/>
        <v>0.00554929231514347</v>
      </c>
      <c r="AX138" s="311">
        <f t="shared" si="458"/>
        <v>0.00505486850553542</v>
      </c>
      <c r="AY138" s="311">
        <f t="shared" si="458"/>
        <v>0.00460674772700573</v>
      </c>
      <c r="AZ138" s="311">
        <f t="shared" ref="AZ138:BC138" si="459">AZ115/AZ$128</f>
        <v>0.00441363948591795</v>
      </c>
      <c r="BA138" s="311">
        <f t="shared" si="459"/>
        <v>0.00419394567089107</v>
      </c>
      <c r="BB138" s="311">
        <f t="shared" si="459"/>
        <v>0.00398967736193231</v>
      </c>
      <c r="BC138" s="311">
        <f t="shared" si="459"/>
        <v>0.00379888035959697</v>
      </c>
      <c r="BD138" s="314"/>
      <c r="BE138" s="313"/>
      <c r="BF138" s="259"/>
      <c r="BG138" s="311">
        <f t="shared" ref="BG138:BR138" si="460">BG115/BG$128</f>
        <v>0</v>
      </c>
      <c r="BH138" s="311">
        <f t="shared" si="460"/>
        <v>0</v>
      </c>
      <c r="BI138" s="311">
        <f t="shared" si="460"/>
        <v>0</v>
      </c>
      <c r="BJ138" s="311">
        <f t="shared" si="460"/>
        <v>0</v>
      </c>
      <c r="BK138" s="311">
        <f t="shared" si="460"/>
        <v>0</v>
      </c>
      <c r="BL138" s="311">
        <f t="shared" si="460"/>
        <v>0.00015612698900905</v>
      </c>
      <c r="BM138" s="311">
        <f t="shared" si="460"/>
        <v>0.00920414633176645</v>
      </c>
      <c r="BN138" s="311">
        <f t="shared" si="460"/>
        <v>0.0329984805597142</v>
      </c>
      <c r="BO138" s="311">
        <f t="shared" si="460"/>
        <v>0.0510914536911884</v>
      </c>
      <c r="BP138" s="311">
        <f t="shared" si="460"/>
        <v>0.0121753393064271</v>
      </c>
      <c r="BQ138" s="311">
        <f t="shared" si="460"/>
        <v>0.00955415805262665</v>
      </c>
      <c r="BR138" s="311">
        <f t="shared" si="460"/>
        <v>0.00543827533074974</v>
      </c>
      <c r="BS138" s="311">
        <f t="shared" ref="BS138" si="461">BS115/BS$128</f>
        <v>0.00408299752756357</v>
      </c>
      <c r="BT138" s="49"/>
    </row>
    <row r="139" customHeight="1" spans="1:78">
      <c r="A139" s="268"/>
      <c r="B139" s="268"/>
      <c r="C139" s="396" t="s">
        <v>470</v>
      </c>
      <c r="D139" s="314"/>
      <c r="E139" s="314"/>
      <c r="F139" s="314"/>
      <c r="G139" s="314"/>
      <c r="H139" s="314"/>
      <c r="I139" s="314"/>
      <c r="J139" s="314"/>
      <c r="K139" s="314"/>
      <c r="L139" s="314"/>
      <c r="M139" s="314"/>
      <c r="N139" s="314"/>
      <c r="O139" s="314"/>
      <c r="P139" s="314"/>
      <c r="Q139" s="314"/>
      <c r="R139" s="311">
        <f t="shared" ref="R139:AY139" si="462">R116/R$128</f>
        <v>0</v>
      </c>
      <c r="S139" s="311">
        <f t="shared" si="462"/>
        <v>0</v>
      </c>
      <c r="T139" s="311">
        <f t="shared" si="462"/>
        <v>0</v>
      </c>
      <c r="U139" s="311">
        <f t="shared" si="462"/>
        <v>0</v>
      </c>
      <c r="V139" s="311">
        <f t="shared" si="462"/>
        <v>0</v>
      </c>
      <c r="W139" s="311">
        <f t="shared" si="462"/>
        <v>0</v>
      </c>
      <c r="X139" s="311">
        <f t="shared" si="462"/>
        <v>0</v>
      </c>
      <c r="Y139" s="311">
        <f t="shared" si="462"/>
        <v>0</v>
      </c>
      <c r="Z139" s="311">
        <f t="shared" si="462"/>
        <v>0</v>
      </c>
      <c r="AA139" s="311">
        <f t="shared" si="462"/>
        <v>0.000412659996017831</v>
      </c>
      <c r="AB139" s="311">
        <f t="shared" si="462"/>
        <v>0.00360941468620859</v>
      </c>
      <c r="AC139" s="311">
        <f t="shared" si="462"/>
        <v>0.00379779747222495</v>
      </c>
      <c r="AD139" s="311">
        <f t="shared" si="462"/>
        <v>0.0115889681413498</v>
      </c>
      <c r="AE139" s="311">
        <f t="shared" si="462"/>
        <v>0.0229963193253739</v>
      </c>
      <c r="AF139" s="311">
        <f t="shared" si="462"/>
        <v>0.0252536314941839</v>
      </c>
      <c r="AG139" s="311">
        <f t="shared" si="462"/>
        <v>0.0211646891802097</v>
      </c>
      <c r="AH139" s="311">
        <f t="shared" si="462"/>
        <v>0.0398140624007707</v>
      </c>
      <c r="AI139" s="311">
        <f t="shared" si="462"/>
        <v>0.0262959982749825</v>
      </c>
      <c r="AJ139" s="311">
        <f t="shared" si="462"/>
        <v>0.0345873860481267</v>
      </c>
      <c r="AK139" s="311">
        <f t="shared" si="462"/>
        <v>0.0420387726834211</v>
      </c>
      <c r="AL139" s="311">
        <f t="shared" si="462"/>
        <v>0.0441553739297841</v>
      </c>
      <c r="AM139" s="311">
        <f t="shared" si="462"/>
        <v>0.0189171573081297</v>
      </c>
      <c r="AN139" s="311">
        <f t="shared" si="462"/>
        <v>0.0167435576906224</v>
      </c>
      <c r="AO139" s="311">
        <f t="shared" si="462"/>
        <v>0.014687220290602</v>
      </c>
      <c r="AP139" s="311">
        <f t="shared" si="462"/>
        <v>0.0147404645954438</v>
      </c>
      <c r="AQ139" s="311">
        <f t="shared" si="462"/>
        <v>0.0158303302009858</v>
      </c>
      <c r="AR139" s="311">
        <f t="shared" si="462"/>
        <v>0.0152266721939963</v>
      </c>
      <c r="AS139" s="311">
        <f t="shared" si="462"/>
        <v>0.0127790471975657</v>
      </c>
      <c r="AT139" s="311">
        <f t="shared" si="462"/>
        <v>0.0115863147271659</v>
      </c>
      <c r="AU139" s="311">
        <f t="shared" si="462"/>
        <v>0.0101105224029723</v>
      </c>
      <c r="AV139" s="311">
        <f t="shared" si="462"/>
        <v>0.0091443009558143</v>
      </c>
      <c r="AW139" s="311">
        <f t="shared" si="462"/>
        <v>0.0070439017120221</v>
      </c>
      <c r="AX139" s="311">
        <f t="shared" si="462"/>
        <v>0.00641631308969296</v>
      </c>
      <c r="AY139" s="311">
        <f t="shared" si="462"/>
        <v>0.00584749844814594</v>
      </c>
      <c r="AZ139" s="311">
        <f t="shared" ref="AZ139:BC139" si="463">AZ116/AZ$128</f>
        <v>0.00560237972079185</v>
      </c>
      <c r="BA139" s="311">
        <f t="shared" si="463"/>
        <v>0.00532351503825106</v>
      </c>
      <c r="BB139" s="311">
        <f t="shared" si="463"/>
        <v>0.00506423046474607</v>
      </c>
      <c r="BC139" s="311">
        <f t="shared" si="463"/>
        <v>0.00482204546978175</v>
      </c>
      <c r="BD139" s="314"/>
      <c r="BE139" s="313"/>
      <c r="BF139" s="259"/>
      <c r="BG139" s="311">
        <f t="shared" ref="BG139:BR139" si="464">BG116/BG$128</f>
        <v>0</v>
      </c>
      <c r="BH139" s="311">
        <f t="shared" si="464"/>
        <v>0</v>
      </c>
      <c r="BI139" s="311">
        <f t="shared" si="464"/>
        <v>0</v>
      </c>
      <c r="BJ139" s="311">
        <f t="shared" si="464"/>
        <v>0</v>
      </c>
      <c r="BK139" s="311">
        <f t="shared" si="464"/>
        <v>0</v>
      </c>
      <c r="BL139" s="311">
        <f t="shared" si="464"/>
        <v>0.00015612698900905</v>
      </c>
      <c r="BM139" s="311">
        <f t="shared" si="464"/>
        <v>0.00991215758805618</v>
      </c>
      <c r="BN139" s="311">
        <f t="shared" si="464"/>
        <v>0.0284980269380248</v>
      </c>
      <c r="BO139" s="311">
        <f t="shared" si="464"/>
        <v>0.0342696756278272</v>
      </c>
      <c r="BP139" s="311">
        <f t="shared" si="464"/>
        <v>0.0154545640262915</v>
      </c>
      <c r="BQ139" s="311">
        <f t="shared" si="464"/>
        <v>0.0121274112881341</v>
      </c>
      <c r="BR139" s="311">
        <f t="shared" si="464"/>
        <v>0.006902984153165</v>
      </c>
      <c r="BS139" s="311">
        <f t="shared" ref="BS139" si="465">BS116/BS$128</f>
        <v>0.00518268486165402</v>
      </c>
      <c r="BT139" s="49"/>
    </row>
    <row r="140" customHeight="1" spans="1:78">
      <c r="A140" s="268"/>
      <c r="B140" s="268"/>
      <c r="C140" s="396" t="s">
        <v>471</v>
      </c>
      <c r="D140" s="314"/>
      <c r="E140" s="314"/>
      <c r="F140" s="314"/>
      <c r="G140" s="314"/>
      <c r="H140" s="314"/>
      <c r="I140" s="314"/>
      <c r="J140" s="314"/>
      <c r="K140" s="314"/>
      <c r="L140" s="314"/>
      <c r="M140" s="314"/>
      <c r="N140" s="314"/>
      <c r="O140" s="314"/>
      <c r="P140" s="314"/>
      <c r="Q140" s="314"/>
      <c r="R140" s="311">
        <f t="shared" ref="R140:AY140" si="466">R117/R$128</f>
        <v>0</v>
      </c>
      <c r="S140" s="311">
        <f t="shared" si="466"/>
        <v>0</v>
      </c>
      <c r="T140" s="311">
        <f t="shared" si="466"/>
        <v>0</v>
      </c>
      <c r="U140" s="311">
        <f t="shared" si="466"/>
        <v>0</v>
      </c>
      <c r="V140" s="311">
        <f t="shared" si="466"/>
        <v>0</v>
      </c>
      <c r="W140" s="311">
        <f t="shared" si="466"/>
        <v>0</v>
      </c>
      <c r="X140" s="311">
        <f t="shared" si="466"/>
        <v>0</v>
      </c>
      <c r="Y140" s="311">
        <f t="shared" si="466"/>
        <v>0</v>
      </c>
      <c r="Z140" s="311">
        <f t="shared" si="466"/>
        <v>0</v>
      </c>
      <c r="AA140" s="311">
        <f t="shared" si="466"/>
        <v>0.000412659996017831</v>
      </c>
      <c r="AB140" s="311">
        <f t="shared" si="466"/>
        <v>0.00222117826843606</v>
      </c>
      <c r="AC140" s="311">
        <f t="shared" si="466"/>
        <v>0.00267793411503042</v>
      </c>
      <c r="AD140" s="311">
        <f t="shared" si="466"/>
        <v>0.00314632619222165</v>
      </c>
      <c r="AE140" s="311">
        <f t="shared" si="466"/>
        <v>0.00442236910103344</v>
      </c>
      <c r="AF140" s="311">
        <f t="shared" si="466"/>
        <v>0.00485646759503537</v>
      </c>
      <c r="AG140" s="311">
        <f t="shared" si="466"/>
        <v>0.00409018244861953</v>
      </c>
      <c r="AH140" s="311">
        <f t="shared" si="466"/>
        <v>0.0139667681049872</v>
      </c>
      <c r="AI140" s="311">
        <f t="shared" si="466"/>
        <v>0.0118331992237421</v>
      </c>
      <c r="AJ140" s="311">
        <f t="shared" si="466"/>
        <v>0.0184466058923342</v>
      </c>
      <c r="AK140" s="311">
        <f t="shared" si="466"/>
        <v>0.0323375174487855</v>
      </c>
      <c r="AL140" s="311">
        <f t="shared" si="466"/>
        <v>0.0220776869648921</v>
      </c>
      <c r="AM140" s="311">
        <f t="shared" si="466"/>
        <v>0.0108472083427734</v>
      </c>
      <c r="AN140" s="311">
        <f t="shared" si="466"/>
        <v>0.00960085364365892</v>
      </c>
      <c r="AO140" s="311">
        <f t="shared" si="466"/>
        <v>0.00842173778403278</v>
      </c>
      <c r="AP140" s="311">
        <f t="shared" si="466"/>
        <v>0.00845226837899892</v>
      </c>
      <c r="AQ140" s="311">
        <f t="shared" si="466"/>
        <v>0.00907720367431713</v>
      </c>
      <c r="AR140" s="311">
        <f t="shared" si="466"/>
        <v>0.00873106265201964</v>
      </c>
      <c r="AS140" s="311">
        <f t="shared" si="466"/>
        <v>0.00732758020226212</v>
      </c>
      <c r="AT140" s="311">
        <f t="shared" si="466"/>
        <v>0.00664366044662008</v>
      </c>
      <c r="AU140" s="311">
        <f t="shared" si="466"/>
        <v>0.00579743251974686</v>
      </c>
      <c r="AV140" s="311">
        <f t="shared" si="466"/>
        <v>0.00524339550605269</v>
      </c>
      <c r="AW140" s="311">
        <f t="shared" si="466"/>
        <v>0.00403901432819854</v>
      </c>
      <c r="AX140" s="311">
        <f t="shared" si="466"/>
        <v>0.0036791513514799</v>
      </c>
      <c r="AY140" s="311">
        <f t="shared" si="466"/>
        <v>0.00335298971816574</v>
      </c>
      <c r="AZ140" s="311">
        <f t="shared" ref="AZ140:BC140" si="467">AZ117/AZ$128</f>
        <v>0.00321243721014263</v>
      </c>
      <c r="BA140" s="311">
        <f t="shared" si="467"/>
        <v>0.00305253457457797</v>
      </c>
      <c r="BB140" s="311">
        <f t="shared" si="467"/>
        <v>0.00290385928774367</v>
      </c>
      <c r="BC140" s="311">
        <f t="shared" si="467"/>
        <v>0.00276498899898509</v>
      </c>
      <c r="BD140" s="314"/>
      <c r="BE140" s="313"/>
      <c r="BF140" s="259"/>
      <c r="BG140" s="311">
        <f t="shared" ref="BG140:BR140" si="468">BG117/BG$128</f>
        <v>0</v>
      </c>
      <c r="BH140" s="311">
        <f t="shared" si="468"/>
        <v>0</v>
      </c>
      <c r="BI140" s="311">
        <f t="shared" si="468"/>
        <v>0</v>
      </c>
      <c r="BJ140" s="311">
        <f t="shared" si="468"/>
        <v>0</v>
      </c>
      <c r="BK140" s="311">
        <f t="shared" si="468"/>
        <v>0</v>
      </c>
      <c r="BL140" s="311">
        <f t="shared" si="468"/>
        <v>0.00015612698900905</v>
      </c>
      <c r="BM140" s="311">
        <f t="shared" si="468"/>
        <v>0.00306351024356132</v>
      </c>
      <c r="BN140" s="311">
        <f t="shared" si="468"/>
        <v>0.00938928216545349</v>
      </c>
      <c r="BO140" s="311">
        <f t="shared" si="468"/>
        <v>0.0206614735138133</v>
      </c>
      <c r="BP140" s="311">
        <f t="shared" si="468"/>
        <v>0.00886173715793283</v>
      </c>
      <c r="BQ140" s="311">
        <f t="shared" si="468"/>
        <v>0.00695392837085297</v>
      </c>
      <c r="BR140" s="311">
        <f t="shared" si="468"/>
        <v>0.00395821137798883</v>
      </c>
      <c r="BS140" s="311">
        <f t="shared" ref="BS140" si="469">BS117/BS$128</f>
        <v>0.00297178172986587</v>
      </c>
      <c r="BT140" s="49"/>
    </row>
    <row r="141" customHeight="1" spans="1:78">
      <c r="A141" s="268"/>
      <c r="B141" s="268"/>
      <c r="C141" s="397" t="s">
        <v>484</v>
      </c>
      <c r="D141" s="315"/>
      <c r="E141" s="315"/>
      <c r="F141" s="315"/>
      <c r="G141" s="315"/>
      <c r="H141" s="315"/>
      <c r="I141" s="315"/>
      <c r="J141" s="312"/>
      <c r="K141" s="312"/>
      <c r="L141" s="312"/>
      <c r="M141" s="312"/>
      <c r="N141" s="312"/>
      <c r="O141" s="312"/>
      <c r="P141" s="312"/>
      <c r="Q141" s="312"/>
      <c r="R141" s="311">
        <f t="shared" ref="R141:AY141" si="470">R118/R$128</f>
        <v>0</v>
      </c>
      <c r="S141" s="311">
        <f t="shared" si="470"/>
        <v>0</v>
      </c>
      <c r="T141" s="311">
        <f t="shared" si="470"/>
        <v>0</v>
      </c>
      <c r="U141" s="311">
        <f t="shared" si="470"/>
        <v>0</v>
      </c>
      <c r="V141" s="311">
        <f t="shared" si="470"/>
        <v>0</v>
      </c>
      <c r="W141" s="311">
        <f t="shared" si="470"/>
        <v>0</v>
      </c>
      <c r="X141" s="311">
        <f t="shared" si="470"/>
        <v>0</v>
      </c>
      <c r="Y141" s="311">
        <f t="shared" si="470"/>
        <v>0</v>
      </c>
      <c r="Z141" s="311">
        <f t="shared" si="470"/>
        <v>0</v>
      </c>
      <c r="AA141" s="311">
        <f t="shared" si="470"/>
        <v>0</v>
      </c>
      <c r="AB141" s="311">
        <f t="shared" si="470"/>
        <v>0</v>
      </c>
      <c r="AC141" s="311">
        <f t="shared" si="470"/>
        <v>0</v>
      </c>
      <c r="AD141" s="311">
        <f t="shared" si="470"/>
        <v>0</v>
      </c>
      <c r="AE141" s="311">
        <f t="shared" si="470"/>
        <v>0</v>
      </c>
      <c r="AF141" s="311">
        <f t="shared" si="470"/>
        <v>0</v>
      </c>
      <c r="AG141" s="311">
        <f t="shared" si="470"/>
        <v>0</v>
      </c>
      <c r="AH141" s="311">
        <f t="shared" si="470"/>
        <v>0</v>
      </c>
      <c r="AI141" s="311">
        <f t="shared" si="470"/>
        <v>0</v>
      </c>
      <c r="AJ141" s="311">
        <f t="shared" si="470"/>
        <v>0</v>
      </c>
      <c r="AK141" s="311">
        <f t="shared" si="470"/>
        <v>0</v>
      </c>
      <c r="AL141" s="311">
        <f t="shared" si="470"/>
        <v>0</v>
      </c>
      <c r="AM141" s="311">
        <f t="shared" si="470"/>
        <v>0</v>
      </c>
      <c r="AN141" s="311">
        <f t="shared" si="470"/>
        <v>0</v>
      </c>
      <c r="AO141" s="311">
        <f t="shared" si="470"/>
        <v>0</v>
      </c>
      <c r="AP141" s="311">
        <f t="shared" si="470"/>
        <v>0.0428918385368389</v>
      </c>
      <c r="AQ141" s="311">
        <f t="shared" si="470"/>
        <v>0.0498231733697985</v>
      </c>
      <c r="AR141" s="311">
        <f t="shared" si="470"/>
        <v>0.0517860463216933</v>
      </c>
      <c r="AS141" s="311">
        <f t="shared" si="470"/>
        <v>0.0597733955618049</v>
      </c>
      <c r="AT141" s="311">
        <f t="shared" si="470"/>
        <v>0.0777286797470664</v>
      </c>
      <c r="AU141" s="311">
        <f t="shared" si="470"/>
        <v>0.0932848809739567</v>
      </c>
      <c r="AV141" s="311">
        <f t="shared" si="470"/>
        <v>0.107747000697606</v>
      </c>
      <c r="AW141" s="311">
        <f t="shared" si="470"/>
        <v>0.105994902290156</v>
      </c>
      <c r="AX141" s="311">
        <f t="shared" si="470"/>
        <v>0.123303172797164</v>
      </c>
      <c r="AY141" s="311">
        <f t="shared" si="470"/>
        <v>0.143507907599888</v>
      </c>
      <c r="AZ141" s="311">
        <f t="shared" ref="AZ141:BC141" si="471">AZ118/AZ$128</f>
        <v>0.151275968322121</v>
      </c>
      <c r="BA141" s="311">
        <f t="shared" si="471"/>
        <v>0.158156690513486</v>
      </c>
      <c r="BB141" s="311">
        <f t="shared" si="471"/>
        <v>0.165536675155251</v>
      </c>
      <c r="BC141" s="311">
        <f t="shared" si="471"/>
        <v>0.17342182451512</v>
      </c>
      <c r="BD141" s="314"/>
      <c r="BE141" s="313"/>
      <c r="BF141" s="259"/>
      <c r="BG141" s="311">
        <f t="shared" ref="BG141:BR141" si="472">BG118/BG$128</f>
        <v>0</v>
      </c>
      <c r="BH141" s="311">
        <f t="shared" si="472"/>
        <v>0</v>
      </c>
      <c r="BI141" s="311">
        <f t="shared" si="472"/>
        <v>0</v>
      </c>
      <c r="BJ141" s="311">
        <f t="shared" si="472"/>
        <v>0</v>
      </c>
      <c r="BK141" s="311">
        <f t="shared" si="472"/>
        <v>0</v>
      </c>
      <c r="BL141" s="311">
        <f t="shared" si="472"/>
        <v>0</v>
      </c>
      <c r="BM141" s="311">
        <f t="shared" si="472"/>
        <v>0</v>
      </c>
      <c r="BN141" s="311">
        <f t="shared" si="472"/>
        <v>0</v>
      </c>
      <c r="BO141" s="311">
        <f t="shared" si="472"/>
        <v>0</v>
      </c>
      <c r="BP141" s="311">
        <f t="shared" si="472"/>
        <v>0.0239542016297005</v>
      </c>
      <c r="BQ141" s="311">
        <f t="shared" si="472"/>
        <v>0.0731839849444961</v>
      </c>
      <c r="BR141" s="311">
        <f t="shared" si="472"/>
        <v>0.122288024689257</v>
      </c>
      <c r="BS141" s="311">
        <f t="shared" ref="BS141" si="473">BS118/BS$128</f>
        <v>0.162676455403964</v>
      </c>
      <c r="BT141" s="49"/>
    </row>
    <row r="142" customHeight="1" spans="1:78">
      <c r="A142" s="268"/>
      <c r="B142" s="268"/>
      <c r="C142" s="396" t="s">
        <v>473</v>
      </c>
      <c r="D142" s="314"/>
      <c r="E142" s="314"/>
      <c r="F142" s="314"/>
      <c r="G142" s="314"/>
      <c r="H142" s="314"/>
      <c r="I142" s="314"/>
      <c r="J142" s="314"/>
      <c r="K142" s="314"/>
      <c r="L142" s="314"/>
      <c r="M142" s="314"/>
      <c r="N142" s="314"/>
      <c r="O142" s="314"/>
      <c r="P142" s="314"/>
      <c r="Q142" s="314"/>
      <c r="R142" s="311">
        <f t="shared" ref="R142:AY142" si="474">R119/R$128</f>
        <v>0</v>
      </c>
      <c r="S142" s="311">
        <f t="shared" si="474"/>
        <v>0</v>
      </c>
      <c r="T142" s="311">
        <f t="shared" si="474"/>
        <v>0</v>
      </c>
      <c r="U142" s="311">
        <f t="shared" si="474"/>
        <v>0</v>
      </c>
      <c r="V142" s="311">
        <f t="shared" si="474"/>
        <v>0</v>
      </c>
      <c r="W142" s="311">
        <f t="shared" si="474"/>
        <v>0</v>
      </c>
      <c r="X142" s="311">
        <f t="shared" si="474"/>
        <v>0</v>
      </c>
      <c r="Y142" s="311">
        <f t="shared" si="474"/>
        <v>0</v>
      </c>
      <c r="Z142" s="311">
        <f t="shared" si="474"/>
        <v>0</v>
      </c>
      <c r="AA142" s="311">
        <f t="shared" si="474"/>
        <v>0</v>
      </c>
      <c r="AB142" s="311">
        <f t="shared" si="474"/>
        <v>0</v>
      </c>
      <c r="AC142" s="311">
        <f t="shared" si="474"/>
        <v>0</v>
      </c>
      <c r="AD142" s="311">
        <f t="shared" si="474"/>
        <v>0</v>
      </c>
      <c r="AE142" s="311">
        <f t="shared" si="474"/>
        <v>0</v>
      </c>
      <c r="AF142" s="311">
        <f t="shared" si="474"/>
        <v>0</v>
      </c>
      <c r="AG142" s="311">
        <f t="shared" si="474"/>
        <v>0</v>
      </c>
      <c r="AH142" s="311">
        <f t="shared" si="474"/>
        <v>0</v>
      </c>
      <c r="AI142" s="311">
        <f t="shared" si="474"/>
        <v>0</v>
      </c>
      <c r="AJ142" s="311">
        <f t="shared" si="474"/>
        <v>0</v>
      </c>
      <c r="AK142" s="311">
        <f t="shared" si="474"/>
        <v>0</v>
      </c>
      <c r="AL142" s="311">
        <f t="shared" si="474"/>
        <v>0</v>
      </c>
      <c r="AM142" s="311">
        <f t="shared" si="474"/>
        <v>0</v>
      </c>
      <c r="AN142" s="311">
        <f t="shared" si="474"/>
        <v>0</v>
      </c>
      <c r="AO142" s="311">
        <f t="shared" si="474"/>
        <v>0</v>
      </c>
      <c r="AP142" s="311">
        <f t="shared" si="474"/>
        <v>0.0179547231084442</v>
      </c>
      <c r="AQ142" s="311">
        <f t="shared" si="474"/>
        <v>0.0208562121082877</v>
      </c>
      <c r="AR142" s="311">
        <f t="shared" si="474"/>
        <v>0.0216778798555925</v>
      </c>
      <c r="AS142" s="311">
        <f t="shared" si="474"/>
        <v>0.0250214213979649</v>
      </c>
      <c r="AT142" s="311">
        <f t="shared" si="474"/>
        <v>0.032537586870865</v>
      </c>
      <c r="AU142" s="311">
        <f t="shared" si="474"/>
        <v>0.0390494850588656</v>
      </c>
      <c r="AV142" s="311">
        <f t="shared" si="474"/>
        <v>0.0451033956408583</v>
      </c>
      <c r="AW142" s="311">
        <f t="shared" si="474"/>
        <v>0.0443699590982047</v>
      </c>
      <c r="AX142" s="311">
        <f t="shared" si="474"/>
        <v>0.0516152816360223</v>
      </c>
      <c r="AY142" s="311">
        <f t="shared" si="474"/>
        <v>0.0600730775999531</v>
      </c>
      <c r="AZ142" s="311">
        <f t="shared" ref="AZ142:BC142" si="475">AZ119/AZ$128</f>
        <v>0.063324823948795</v>
      </c>
      <c r="BA142" s="311">
        <f t="shared" si="475"/>
        <v>0.0662051262614594</v>
      </c>
      <c r="BB142" s="311">
        <f t="shared" si="475"/>
        <v>0.0692944221580119</v>
      </c>
      <c r="BC142" s="311">
        <f t="shared" si="475"/>
        <v>0.0725951823551663</v>
      </c>
      <c r="BD142" s="314"/>
      <c r="BE142" s="313"/>
      <c r="BF142" s="259"/>
      <c r="BG142" s="311">
        <f t="shared" ref="BG142:BR142" si="476">BG119/BG$128</f>
        <v>0</v>
      </c>
      <c r="BH142" s="311">
        <f t="shared" si="476"/>
        <v>0</v>
      </c>
      <c r="BI142" s="311">
        <f t="shared" si="476"/>
        <v>0</v>
      </c>
      <c r="BJ142" s="311">
        <f t="shared" si="476"/>
        <v>0</v>
      </c>
      <c r="BK142" s="311">
        <f t="shared" si="476"/>
        <v>0</v>
      </c>
      <c r="BL142" s="311">
        <f t="shared" si="476"/>
        <v>0</v>
      </c>
      <c r="BM142" s="311">
        <f t="shared" si="476"/>
        <v>0</v>
      </c>
      <c r="BN142" s="311">
        <f t="shared" si="476"/>
        <v>0</v>
      </c>
      <c r="BO142" s="311">
        <f t="shared" si="476"/>
        <v>0</v>
      </c>
      <c r="BP142" s="311">
        <f t="shared" si="476"/>
        <v>0.0100273402170839</v>
      </c>
      <c r="BQ142" s="311">
        <f t="shared" si="476"/>
        <v>0.0306351564883937</v>
      </c>
      <c r="BR142" s="311">
        <f t="shared" si="476"/>
        <v>0.0511903359164332</v>
      </c>
      <c r="BS142" s="311">
        <f t="shared" ref="BS142" si="477">BS119/BS$128</f>
        <v>0.0680971208667757</v>
      </c>
      <c r="BT142" s="49"/>
    </row>
    <row r="143" customHeight="1" spans="1:78">
      <c r="A143" s="268"/>
      <c r="B143" s="268"/>
      <c r="C143" s="396" t="s">
        <v>474</v>
      </c>
      <c r="D143" s="314"/>
      <c r="E143" s="314"/>
      <c r="F143" s="314"/>
      <c r="G143" s="314"/>
      <c r="H143" s="314"/>
      <c r="I143" s="314"/>
      <c r="J143" s="314"/>
      <c r="K143" s="314"/>
      <c r="L143" s="314"/>
      <c r="M143" s="314"/>
      <c r="N143" s="314"/>
      <c r="O143" s="314"/>
      <c r="P143" s="314"/>
      <c r="Q143" s="314"/>
      <c r="R143" s="311">
        <f t="shared" ref="R143:AY143" si="478">R120/R$128</f>
        <v>0</v>
      </c>
      <c r="S143" s="311">
        <f t="shared" si="478"/>
        <v>0</v>
      </c>
      <c r="T143" s="311">
        <f t="shared" si="478"/>
        <v>0</v>
      </c>
      <c r="U143" s="311">
        <f t="shared" si="478"/>
        <v>0</v>
      </c>
      <c r="V143" s="311">
        <f t="shared" si="478"/>
        <v>0</v>
      </c>
      <c r="W143" s="311">
        <f t="shared" si="478"/>
        <v>0</v>
      </c>
      <c r="X143" s="311">
        <f t="shared" si="478"/>
        <v>0</v>
      </c>
      <c r="Y143" s="311">
        <f t="shared" si="478"/>
        <v>0</v>
      </c>
      <c r="Z143" s="311">
        <f t="shared" si="478"/>
        <v>0</v>
      </c>
      <c r="AA143" s="311">
        <f t="shared" si="478"/>
        <v>0</v>
      </c>
      <c r="AB143" s="311">
        <f t="shared" si="478"/>
        <v>0</v>
      </c>
      <c r="AC143" s="311">
        <f t="shared" si="478"/>
        <v>0</v>
      </c>
      <c r="AD143" s="311">
        <f t="shared" si="478"/>
        <v>0</v>
      </c>
      <c r="AE143" s="311">
        <f t="shared" si="478"/>
        <v>0</v>
      </c>
      <c r="AF143" s="311">
        <f t="shared" si="478"/>
        <v>0</v>
      </c>
      <c r="AG143" s="311">
        <f t="shared" si="478"/>
        <v>0</v>
      </c>
      <c r="AH143" s="311">
        <f t="shared" si="478"/>
        <v>0</v>
      </c>
      <c r="AI143" s="311">
        <f t="shared" si="478"/>
        <v>0</v>
      </c>
      <c r="AJ143" s="311">
        <f t="shared" si="478"/>
        <v>0</v>
      </c>
      <c r="AK143" s="311">
        <f t="shared" si="478"/>
        <v>0</v>
      </c>
      <c r="AL143" s="311">
        <f t="shared" si="478"/>
        <v>0</v>
      </c>
      <c r="AM143" s="311">
        <f t="shared" si="478"/>
        <v>0</v>
      </c>
      <c r="AN143" s="311">
        <f t="shared" si="478"/>
        <v>0</v>
      </c>
      <c r="AO143" s="311">
        <f t="shared" si="478"/>
        <v>0</v>
      </c>
      <c r="AP143" s="311">
        <f t="shared" si="478"/>
        <v>0.0249371154283947</v>
      </c>
      <c r="AQ143" s="311">
        <f t="shared" si="478"/>
        <v>0.0289669612615107</v>
      </c>
      <c r="AR143" s="311">
        <f t="shared" si="478"/>
        <v>0.0301081664661007</v>
      </c>
      <c r="AS143" s="311">
        <f t="shared" si="478"/>
        <v>0.0347519741638401</v>
      </c>
      <c r="AT143" s="311">
        <f t="shared" si="478"/>
        <v>0.0451910928762014</v>
      </c>
      <c r="AU143" s="311">
        <f t="shared" si="478"/>
        <v>0.0542353959150911</v>
      </c>
      <c r="AV143" s="311">
        <f t="shared" si="478"/>
        <v>0.0626436050567476</v>
      </c>
      <c r="AW143" s="311">
        <f t="shared" si="478"/>
        <v>0.061624943191951</v>
      </c>
      <c r="AX143" s="311">
        <f t="shared" si="478"/>
        <v>0.0716878911611421</v>
      </c>
      <c r="AY143" s="311">
        <f t="shared" si="478"/>
        <v>0.0834348299999348</v>
      </c>
      <c r="AZ143" s="311">
        <f t="shared" ref="AZ143:BC143" si="479">AZ120/AZ$128</f>
        <v>0.0879511443733264</v>
      </c>
      <c r="BA143" s="311">
        <f t="shared" si="479"/>
        <v>0.091951564252027</v>
      </c>
      <c r="BB143" s="311">
        <f t="shared" si="479"/>
        <v>0.0962422529972388</v>
      </c>
      <c r="BC143" s="311">
        <f t="shared" si="479"/>
        <v>0.100826642159953</v>
      </c>
      <c r="BD143" s="314"/>
      <c r="BE143" s="313"/>
      <c r="BF143" s="259"/>
      <c r="BG143" s="311">
        <f t="shared" ref="BG143:BR143" si="480">BG120/BG$128</f>
        <v>0</v>
      </c>
      <c r="BH143" s="311">
        <f t="shared" si="480"/>
        <v>0</v>
      </c>
      <c r="BI143" s="311">
        <f t="shared" si="480"/>
        <v>0</v>
      </c>
      <c r="BJ143" s="311">
        <f t="shared" si="480"/>
        <v>0</v>
      </c>
      <c r="BK143" s="311">
        <f t="shared" si="480"/>
        <v>0</v>
      </c>
      <c r="BL143" s="311">
        <f t="shared" si="480"/>
        <v>0</v>
      </c>
      <c r="BM143" s="311">
        <f t="shared" si="480"/>
        <v>0</v>
      </c>
      <c r="BN143" s="311">
        <f t="shared" si="480"/>
        <v>0</v>
      </c>
      <c r="BO143" s="311">
        <f t="shared" si="480"/>
        <v>0</v>
      </c>
      <c r="BP143" s="311">
        <f t="shared" si="480"/>
        <v>0.0139268614126165</v>
      </c>
      <c r="BQ143" s="311">
        <f t="shared" si="480"/>
        <v>0.0425488284561024</v>
      </c>
      <c r="BR143" s="311">
        <f t="shared" si="480"/>
        <v>0.0710976887728239</v>
      </c>
      <c r="BS143" s="311">
        <f t="shared" ref="BS143" si="481">BS120/BS$128</f>
        <v>0.0945793345371885</v>
      </c>
      <c r="BT143" s="49"/>
    </row>
    <row r="144" customHeight="1" spans="1:78">
      <c r="A144" s="268"/>
      <c r="B144" s="268"/>
      <c r="C144" s="397" t="s">
        <v>475</v>
      </c>
      <c r="D144" s="314"/>
      <c r="E144" s="314"/>
      <c r="F144" s="314"/>
      <c r="G144" s="314"/>
      <c r="H144" s="314"/>
      <c r="I144" s="314"/>
      <c r="J144" s="314"/>
      <c r="K144" s="314"/>
      <c r="L144" s="314"/>
      <c r="M144" s="314"/>
      <c r="N144" s="314"/>
      <c r="O144" s="314"/>
      <c r="P144" s="314"/>
      <c r="Q144" s="314"/>
      <c r="R144" s="311">
        <f t="shared" ref="R144:AY144" si="482">R121/R$128</f>
        <v>0</v>
      </c>
      <c r="S144" s="311">
        <f t="shared" si="482"/>
        <v>0</v>
      </c>
      <c r="T144" s="311">
        <f t="shared" si="482"/>
        <v>0</v>
      </c>
      <c r="U144" s="311">
        <f t="shared" si="482"/>
        <v>0</v>
      </c>
      <c r="V144" s="311">
        <f t="shared" si="482"/>
        <v>0</v>
      </c>
      <c r="W144" s="311">
        <f t="shared" si="482"/>
        <v>0</v>
      </c>
      <c r="X144" s="311">
        <f t="shared" si="482"/>
        <v>0</v>
      </c>
      <c r="Y144" s="311">
        <f t="shared" si="482"/>
        <v>0</v>
      </c>
      <c r="Z144" s="311">
        <f t="shared" si="482"/>
        <v>0</v>
      </c>
      <c r="AA144" s="311">
        <f t="shared" si="482"/>
        <v>0</v>
      </c>
      <c r="AB144" s="311">
        <f t="shared" si="482"/>
        <v>0</v>
      </c>
      <c r="AC144" s="311">
        <f t="shared" si="482"/>
        <v>0</v>
      </c>
      <c r="AD144" s="311">
        <f t="shared" si="482"/>
        <v>0</v>
      </c>
      <c r="AE144" s="311">
        <f t="shared" si="482"/>
        <v>0</v>
      </c>
      <c r="AF144" s="311">
        <f t="shared" si="482"/>
        <v>0</v>
      </c>
      <c r="AG144" s="311">
        <f t="shared" si="482"/>
        <v>0</v>
      </c>
      <c r="AH144" s="311">
        <f t="shared" si="482"/>
        <v>0</v>
      </c>
      <c r="AI144" s="311">
        <f t="shared" si="482"/>
        <v>0.052591996549965</v>
      </c>
      <c r="AJ144" s="311">
        <f t="shared" si="482"/>
        <v>0.0135636808031869</v>
      </c>
      <c r="AK144" s="311">
        <f t="shared" si="482"/>
        <v>0.0161687587243927</v>
      </c>
      <c r="AL144" s="311">
        <f t="shared" si="482"/>
        <v>0.0220776869648921</v>
      </c>
      <c r="AM144" s="311">
        <f t="shared" si="482"/>
        <v>0.00655405550910499</v>
      </c>
      <c r="AN144" s="311">
        <f t="shared" si="482"/>
        <v>0.108001168376276</v>
      </c>
      <c r="AO144" s="311">
        <f t="shared" si="482"/>
        <v>0.0946007325436298</v>
      </c>
      <c r="AP144" s="311">
        <f t="shared" si="482"/>
        <v>0.0650624112640486</v>
      </c>
      <c r="AQ144" s="311">
        <f t="shared" si="482"/>
        <v>0.0670330853036559</v>
      </c>
      <c r="AR144" s="311">
        <f t="shared" si="482"/>
        <v>0.0646067754192307</v>
      </c>
      <c r="AS144" s="311">
        <f t="shared" si="482"/>
        <v>0.0543307091630099</v>
      </c>
      <c r="AT144" s="311">
        <f t="shared" si="482"/>
        <v>0.0493589659992199</v>
      </c>
      <c r="AU144" s="311">
        <f t="shared" si="482"/>
        <v>0.0431586806539499</v>
      </c>
      <c r="AV144" s="311">
        <f t="shared" si="482"/>
        <v>0.0391128000172659</v>
      </c>
      <c r="AW144" s="311">
        <f t="shared" si="482"/>
        <v>0.0301894718972617</v>
      </c>
      <c r="AX144" s="311">
        <f t="shared" si="482"/>
        <v>0.0275550757004217</v>
      </c>
      <c r="AY144" s="311">
        <f t="shared" si="482"/>
        <v>0.0251628604094249</v>
      </c>
      <c r="AZ144" s="311">
        <f t="shared" ref="AZ144:BC144" si="483">AZ121/AZ$128</f>
        <v>0.0241566255116553</v>
      </c>
      <c r="BA144" s="311">
        <f t="shared" si="483"/>
        <v>0.0230004346350413</v>
      </c>
      <c r="BB144" s="311">
        <f t="shared" si="483"/>
        <v>0.021924255337798</v>
      </c>
      <c r="BC144" s="311">
        <f t="shared" si="483"/>
        <v>0.0209178249074207</v>
      </c>
      <c r="BD144" s="314"/>
      <c r="BE144" s="313"/>
      <c r="BF144" s="259"/>
      <c r="BG144" s="311">
        <f t="shared" ref="BG144:BR144" si="484">BG121/BG$128</f>
        <v>0</v>
      </c>
      <c r="BH144" s="311">
        <f t="shared" si="484"/>
        <v>0</v>
      </c>
      <c r="BI144" s="311">
        <f t="shared" si="484"/>
        <v>0</v>
      </c>
      <c r="BJ144" s="311">
        <f t="shared" si="484"/>
        <v>0</v>
      </c>
      <c r="BK144" s="311">
        <f t="shared" si="484"/>
        <v>0</v>
      </c>
      <c r="BL144" s="311">
        <f t="shared" si="484"/>
        <v>0</v>
      </c>
      <c r="BM144" s="311">
        <f t="shared" si="484"/>
        <v>0</v>
      </c>
      <c r="BN144" s="311">
        <f t="shared" si="484"/>
        <v>0.0174998184393837</v>
      </c>
      <c r="BO144" s="311">
        <f t="shared" si="484"/>
        <v>0.0142899895051019</v>
      </c>
      <c r="BP144" s="311">
        <f t="shared" si="484"/>
        <v>0.0828335943672654</v>
      </c>
      <c r="BQ144" s="311">
        <f t="shared" si="484"/>
        <v>0.0516139358362279</v>
      </c>
      <c r="BR144" s="311">
        <f t="shared" si="484"/>
        <v>0.0296163188146964</v>
      </c>
      <c r="BS144" s="311">
        <f t="shared" ref="BS144" si="485">BS121/BS$128</f>
        <v>0.0224152884055175</v>
      </c>
      <c r="BT144" s="49"/>
    </row>
    <row r="145" customHeight="1" spans="1:78">
      <c r="A145" s="252"/>
      <c r="B145" s="281" t="s">
        <v>476</v>
      </c>
      <c r="C145" s="70"/>
      <c r="D145" s="314"/>
      <c r="E145" s="314"/>
      <c r="F145" s="314"/>
      <c r="G145" s="314"/>
      <c r="H145" s="314"/>
      <c r="I145" s="314"/>
      <c r="J145" s="314"/>
      <c r="K145" s="314"/>
      <c r="L145" s="314"/>
      <c r="M145" s="314"/>
      <c r="N145" s="314"/>
      <c r="O145" s="314"/>
      <c r="P145" s="314"/>
      <c r="Q145" s="314"/>
      <c r="R145" s="311">
        <f t="shared" ref="R145:AY145" si="486">R122/R$128</f>
        <v>0</v>
      </c>
      <c r="S145" s="311">
        <f t="shared" si="486"/>
        <v>0</v>
      </c>
      <c r="T145" s="311">
        <f t="shared" si="486"/>
        <v>0</v>
      </c>
      <c r="U145" s="311">
        <f t="shared" si="486"/>
        <v>0</v>
      </c>
      <c r="V145" s="311">
        <f t="shared" si="486"/>
        <v>0</v>
      </c>
      <c r="W145" s="311">
        <f t="shared" si="486"/>
        <v>0</v>
      </c>
      <c r="X145" s="311">
        <f t="shared" si="486"/>
        <v>0</v>
      </c>
      <c r="Y145" s="311">
        <f t="shared" si="486"/>
        <v>0</v>
      </c>
      <c r="Z145" s="311">
        <f t="shared" si="486"/>
        <v>0</v>
      </c>
      <c r="AA145" s="311">
        <f t="shared" si="486"/>
        <v>0</v>
      </c>
      <c r="AB145" s="311">
        <f t="shared" si="486"/>
        <v>0</v>
      </c>
      <c r="AC145" s="311">
        <f t="shared" si="486"/>
        <v>0</v>
      </c>
      <c r="AD145" s="311">
        <f t="shared" si="486"/>
        <v>0</v>
      </c>
      <c r="AE145" s="311">
        <f t="shared" si="486"/>
        <v>0</v>
      </c>
      <c r="AF145" s="311">
        <f t="shared" si="486"/>
        <v>0</v>
      </c>
      <c r="AG145" s="311">
        <f t="shared" si="486"/>
        <v>0</v>
      </c>
      <c r="AH145" s="311">
        <f t="shared" si="486"/>
        <v>0</v>
      </c>
      <c r="AI145" s="311">
        <f t="shared" si="486"/>
        <v>0.0172567488679573</v>
      </c>
      <c r="AJ145" s="311">
        <f t="shared" si="486"/>
        <v>0.0488495964126777</v>
      </c>
      <c r="AK145" s="311">
        <f t="shared" si="486"/>
        <v>0.0754542073804994</v>
      </c>
      <c r="AL145" s="311">
        <f t="shared" si="486"/>
        <v>0.152983070829635</v>
      </c>
      <c r="AM145" s="311">
        <f t="shared" si="486"/>
        <v>0.143874918689451</v>
      </c>
      <c r="AN145" s="311">
        <f t="shared" si="486"/>
        <v>0.139405771992418</v>
      </c>
      <c r="AO145" s="311">
        <f t="shared" si="486"/>
        <v>0.14940612742602</v>
      </c>
      <c r="AP145" s="311">
        <f t="shared" si="486"/>
        <v>0.16854799356778</v>
      </c>
      <c r="AQ145" s="311">
        <f t="shared" si="486"/>
        <v>0.178760585588653</v>
      </c>
      <c r="AR145" s="311">
        <f t="shared" si="486"/>
        <v>0.176466335182433</v>
      </c>
      <c r="AS145" s="311">
        <f t="shared" si="486"/>
        <v>0.231612022740093</v>
      </c>
      <c r="AT145" s="311">
        <f t="shared" si="486"/>
        <v>0.251352016873903</v>
      </c>
      <c r="AU145" s="311">
        <f t="shared" si="486"/>
        <v>0.295137674854189</v>
      </c>
      <c r="AV145" s="311">
        <f t="shared" si="486"/>
        <v>0.32143498828575</v>
      </c>
      <c r="AW145" s="311">
        <f t="shared" si="486"/>
        <v>0.440172773421198</v>
      </c>
      <c r="AX145" s="311">
        <f t="shared" si="486"/>
        <v>0.449953518470426</v>
      </c>
      <c r="AY145" s="311">
        <f t="shared" si="486"/>
        <v>0.454966932535094</v>
      </c>
      <c r="AZ145" s="311">
        <f t="shared" ref="AZ145:BC145" si="487">AZ122/AZ$128</f>
        <v>0.451498168158663</v>
      </c>
      <c r="BA145" s="311">
        <f t="shared" si="487"/>
        <v>0.452040399630177</v>
      </c>
      <c r="BB145" s="311">
        <f t="shared" si="487"/>
        <v>0.451462760056888</v>
      </c>
      <c r="BC145" s="311">
        <f t="shared" si="487"/>
        <v>0.449863233494362</v>
      </c>
      <c r="BD145" s="314"/>
      <c r="BE145" s="313"/>
      <c r="BF145" s="259"/>
      <c r="BG145" s="311">
        <f t="shared" ref="BG145:BR145" si="488">BG122/BG$128</f>
        <v>0</v>
      </c>
      <c r="BH145" s="311">
        <f t="shared" si="488"/>
        <v>0</v>
      </c>
      <c r="BI145" s="311">
        <f t="shared" si="488"/>
        <v>0</v>
      </c>
      <c r="BJ145" s="311">
        <f t="shared" si="488"/>
        <v>0</v>
      </c>
      <c r="BK145" s="311">
        <f t="shared" si="488"/>
        <v>0</v>
      </c>
      <c r="BL145" s="311">
        <f t="shared" si="488"/>
        <v>0</v>
      </c>
      <c r="BM145" s="311">
        <f t="shared" si="488"/>
        <v>0</v>
      </c>
      <c r="BN145" s="311">
        <f t="shared" si="488"/>
        <v>0.00574212792542277</v>
      </c>
      <c r="BO145" s="311">
        <f t="shared" si="488"/>
        <v>0.109446329418884</v>
      </c>
      <c r="BP145" s="311">
        <f t="shared" si="488"/>
        <v>0.15967753110698</v>
      </c>
      <c r="BQ145" s="311">
        <f t="shared" si="488"/>
        <v>0.245455478288857</v>
      </c>
      <c r="BR145" s="311">
        <f t="shared" si="488"/>
        <v>0.425289217497022</v>
      </c>
      <c r="BS145" s="311">
        <f t="shared" ref="BS145" si="489">BS122/BS$128</f>
        <v>0.451172411476251</v>
      </c>
      <c r="BT145" s="49"/>
    </row>
    <row r="146" customHeight="1" spans="1:78">
      <c r="A146" s="252"/>
      <c r="B146" s="107"/>
      <c r="C146" s="283" t="s">
        <v>477</v>
      </c>
      <c r="D146" s="314"/>
      <c r="E146" s="314"/>
      <c r="F146" s="314"/>
      <c r="G146" s="314"/>
      <c r="H146" s="314"/>
      <c r="I146" s="314"/>
      <c r="J146" s="314"/>
      <c r="K146" s="314"/>
      <c r="L146" s="314"/>
      <c r="M146" s="314"/>
      <c r="N146" s="314"/>
      <c r="O146" s="314"/>
      <c r="P146" s="314"/>
      <c r="Q146" s="314"/>
      <c r="R146" s="311">
        <f t="shared" ref="R146:AY146" si="490">R123/R$128</f>
        <v>0</v>
      </c>
      <c r="S146" s="311">
        <f t="shared" si="490"/>
        <v>0</v>
      </c>
      <c r="T146" s="311">
        <f t="shared" si="490"/>
        <v>0</v>
      </c>
      <c r="U146" s="311">
        <f t="shared" si="490"/>
        <v>0</v>
      </c>
      <c r="V146" s="311">
        <f t="shared" si="490"/>
        <v>0</v>
      </c>
      <c r="W146" s="311">
        <f t="shared" si="490"/>
        <v>0</v>
      </c>
      <c r="X146" s="311">
        <f t="shared" si="490"/>
        <v>0</v>
      </c>
      <c r="Y146" s="311">
        <f t="shared" si="490"/>
        <v>0</v>
      </c>
      <c r="Z146" s="311">
        <f t="shared" si="490"/>
        <v>0</v>
      </c>
      <c r="AA146" s="311">
        <f t="shared" si="490"/>
        <v>0</v>
      </c>
      <c r="AB146" s="311">
        <f t="shared" si="490"/>
        <v>0</v>
      </c>
      <c r="AC146" s="311">
        <f t="shared" si="490"/>
        <v>0</v>
      </c>
      <c r="AD146" s="311">
        <f t="shared" si="490"/>
        <v>0</v>
      </c>
      <c r="AE146" s="311">
        <f t="shared" si="490"/>
        <v>0</v>
      </c>
      <c r="AF146" s="311">
        <f t="shared" si="490"/>
        <v>0</v>
      </c>
      <c r="AG146" s="311">
        <f t="shared" si="490"/>
        <v>0</v>
      </c>
      <c r="AH146" s="311">
        <f t="shared" si="490"/>
        <v>0</v>
      </c>
      <c r="AI146" s="311">
        <f t="shared" si="490"/>
        <v>0.0172567488679573</v>
      </c>
      <c r="AJ146" s="311">
        <f t="shared" si="490"/>
        <v>0.0488495964126777</v>
      </c>
      <c r="AK146" s="311">
        <f t="shared" si="490"/>
        <v>0.0754542073804994</v>
      </c>
      <c r="AL146" s="311">
        <f t="shared" si="490"/>
        <v>0.152983070829635</v>
      </c>
      <c r="AM146" s="311">
        <f t="shared" si="490"/>
        <v>0.143874918689451</v>
      </c>
      <c r="AN146" s="311">
        <f t="shared" si="490"/>
        <v>0.139405771992418</v>
      </c>
      <c r="AO146" s="311">
        <f t="shared" si="490"/>
        <v>0.14940612742602</v>
      </c>
      <c r="AP146" s="311">
        <f t="shared" si="490"/>
        <v>0.16854799356778</v>
      </c>
      <c r="AQ146" s="311">
        <f t="shared" si="490"/>
        <v>0.178760585588653</v>
      </c>
      <c r="AR146" s="311">
        <f t="shared" si="490"/>
        <v>0.176466335182433</v>
      </c>
      <c r="AS146" s="311">
        <f t="shared" si="490"/>
        <v>0.231612022740093</v>
      </c>
      <c r="AT146" s="311">
        <f t="shared" si="490"/>
        <v>0.246305986201646</v>
      </c>
      <c r="AU146" s="311">
        <f t="shared" si="490"/>
        <v>0.252098500159008</v>
      </c>
      <c r="AV146" s="311">
        <f t="shared" si="490"/>
        <v>0.240689257364686</v>
      </c>
      <c r="AW146" s="311">
        <f t="shared" si="490"/>
        <v>0.195717208605188</v>
      </c>
      <c r="AX146" s="311">
        <f t="shared" si="490"/>
        <v>0.188196179662488</v>
      </c>
      <c r="AY146" s="311">
        <f t="shared" si="490"/>
        <v>0.181052656159482</v>
      </c>
      <c r="AZ146" s="311">
        <f t="shared" ref="AZ146:BC146" si="491">AZ123/AZ$128</f>
        <v>0.180033155831451</v>
      </c>
      <c r="BA146" s="311">
        <f t="shared" si="491"/>
        <v>0.170554971987394</v>
      </c>
      <c r="BB146" s="311">
        <f t="shared" si="491"/>
        <v>0.161757827980801</v>
      </c>
      <c r="BC146" s="311">
        <f t="shared" si="491"/>
        <v>0.153556813948485</v>
      </c>
      <c r="BD146" s="314"/>
      <c r="BE146" s="313"/>
      <c r="BF146" s="259"/>
      <c r="BG146" s="311">
        <f t="shared" ref="BG146:BR146" si="492">BG123/BG$128</f>
        <v>0</v>
      </c>
      <c r="BH146" s="311">
        <f t="shared" si="492"/>
        <v>0</v>
      </c>
      <c r="BI146" s="311">
        <f t="shared" si="492"/>
        <v>0</v>
      </c>
      <c r="BJ146" s="311">
        <f t="shared" si="492"/>
        <v>0</v>
      </c>
      <c r="BK146" s="311">
        <f t="shared" si="492"/>
        <v>0</v>
      </c>
      <c r="BL146" s="311">
        <f t="shared" si="492"/>
        <v>0</v>
      </c>
      <c r="BM146" s="311">
        <f t="shared" si="492"/>
        <v>0</v>
      </c>
      <c r="BN146" s="311">
        <f t="shared" si="492"/>
        <v>0.00574212792542277</v>
      </c>
      <c r="BO146" s="311">
        <f t="shared" si="492"/>
        <v>0.109446329418884</v>
      </c>
      <c r="BP146" s="311">
        <f t="shared" si="492"/>
        <v>0.15967753110698</v>
      </c>
      <c r="BQ146" s="311">
        <f t="shared" si="492"/>
        <v>0.23097211014805</v>
      </c>
      <c r="BR146" s="311">
        <f t="shared" si="492"/>
        <v>0.197595705203763</v>
      </c>
      <c r="BS146" s="311">
        <f t="shared" ref="BS146" si="493">BS123/BS$128</f>
        <v>0.165784976117687</v>
      </c>
      <c r="BT146" s="49"/>
    </row>
    <row r="147" s="107" customFormat="1" customHeight="1" spans="1:78">
      <c r="A147" s="252"/>
      <c r="C147" s="283" t="s">
        <v>478</v>
      </c>
      <c r="D147" s="261"/>
      <c r="E147" s="261"/>
      <c r="F147" s="261"/>
      <c r="G147" s="261"/>
      <c r="H147" s="261"/>
      <c r="I147" s="261"/>
      <c r="J147" s="261"/>
      <c r="K147" s="261"/>
      <c r="L147" s="261"/>
      <c r="M147" s="261"/>
      <c r="N147" s="261"/>
      <c r="O147" s="261"/>
      <c r="P147" s="262"/>
      <c r="Q147" s="262"/>
      <c r="R147" s="311">
        <f t="shared" ref="R147:AY147" si="494">R124/R$128</f>
        <v>0</v>
      </c>
      <c r="S147" s="311">
        <f t="shared" si="494"/>
        <v>0</v>
      </c>
      <c r="T147" s="311">
        <f t="shared" si="494"/>
        <v>0</v>
      </c>
      <c r="U147" s="311">
        <f t="shared" si="494"/>
        <v>0</v>
      </c>
      <c r="V147" s="311">
        <f t="shared" si="494"/>
        <v>0</v>
      </c>
      <c r="W147" s="311">
        <f t="shared" si="494"/>
        <v>0</v>
      </c>
      <c r="X147" s="311">
        <f t="shared" si="494"/>
        <v>0</v>
      </c>
      <c r="Y147" s="311">
        <f t="shared" si="494"/>
        <v>0</v>
      </c>
      <c r="Z147" s="311">
        <f t="shared" si="494"/>
        <v>0</v>
      </c>
      <c r="AA147" s="311">
        <f t="shared" si="494"/>
        <v>0</v>
      </c>
      <c r="AB147" s="311">
        <f t="shared" si="494"/>
        <v>0</v>
      </c>
      <c r="AC147" s="311">
        <f t="shared" si="494"/>
        <v>0</v>
      </c>
      <c r="AD147" s="311">
        <f t="shared" si="494"/>
        <v>0</v>
      </c>
      <c r="AE147" s="311">
        <f t="shared" si="494"/>
        <v>0</v>
      </c>
      <c r="AF147" s="311">
        <f t="shared" si="494"/>
        <v>0</v>
      </c>
      <c r="AG147" s="311">
        <f t="shared" si="494"/>
        <v>0</v>
      </c>
      <c r="AH147" s="311">
        <f t="shared" si="494"/>
        <v>0</v>
      </c>
      <c r="AI147" s="311">
        <f t="shared" si="494"/>
        <v>0</v>
      </c>
      <c r="AJ147" s="311">
        <f t="shared" si="494"/>
        <v>0</v>
      </c>
      <c r="AK147" s="311">
        <f t="shared" si="494"/>
        <v>0</v>
      </c>
      <c r="AL147" s="311">
        <f t="shared" si="494"/>
        <v>0</v>
      </c>
      <c r="AM147" s="311">
        <f t="shared" si="494"/>
        <v>0</v>
      </c>
      <c r="AN147" s="311">
        <f t="shared" si="494"/>
        <v>0</v>
      </c>
      <c r="AO147" s="311">
        <f t="shared" si="494"/>
        <v>0</v>
      </c>
      <c r="AP147" s="311">
        <f t="shared" si="494"/>
        <v>0</v>
      </c>
      <c r="AQ147" s="311">
        <f t="shared" si="494"/>
        <v>0</v>
      </c>
      <c r="AR147" s="311">
        <f t="shared" si="494"/>
        <v>0</v>
      </c>
      <c r="AS147" s="311">
        <f t="shared" si="494"/>
        <v>0</v>
      </c>
      <c r="AT147" s="311">
        <f t="shared" si="494"/>
        <v>0</v>
      </c>
      <c r="AU147" s="311">
        <f t="shared" si="494"/>
        <v>0</v>
      </c>
      <c r="AV147" s="311">
        <f t="shared" si="494"/>
        <v>0</v>
      </c>
      <c r="AW147" s="311">
        <f t="shared" si="494"/>
        <v>0.147618094695658</v>
      </c>
      <c r="AX147" s="311">
        <f t="shared" si="494"/>
        <v>0.142805695756371</v>
      </c>
      <c r="AY147" s="311">
        <f t="shared" si="494"/>
        <v>0.13821550538248</v>
      </c>
      <c r="AZ147" s="311">
        <f t="shared" ref="AZ147:BC147" si="495">AZ124/AZ$128</f>
        <v>0.135421738128235</v>
      </c>
      <c r="BA147" s="311">
        <f t="shared" si="495"/>
        <v>0.131594094622922</v>
      </c>
      <c r="BB147" s="311">
        <f t="shared" si="495"/>
        <v>0.128016595412792</v>
      </c>
      <c r="BC147" s="311">
        <f t="shared" si="495"/>
        <v>0.12464985389723</v>
      </c>
      <c r="BD147" s="314"/>
      <c r="BE147" s="313"/>
      <c r="BF147" s="259"/>
      <c r="BG147" s="311">
        <f t="shared" ref="BG147:BR147" si="496">BG124/BG$128</f>
        <v>0</v>
      </c>
      <c r="BH147" s="311">
        <f t="shared" si="496"/>
        <v>0</v>
      </c>
      <c r="BI147" s="311">
        <f t="shared" si="496"/>
        <v>0</v>
      </c>
      <c r="BJ147" s="311">
        <f t="shared" si="496"/>
        <v>0</v>
      </c>
      <c r="BK147" s="311">
        <f t="shared" si="496"/>
        <v>0</v>
      </c>
      <c r="BL147" s="311">
        <f t="shared" si="496"/>
        <v>0</v>
      </c>
      <c r="BM147" s="311">
        <f t="shared" si="496"/>
        <v>0</v>
      </c>
      <c r="BN147" s="311">
        <f t="shared" si="496"/>
        <v>0</v>
      </c>
      <c r="BO147" s="311">
        <f t="shared" si="496"/>
        <v>0</v>
      </c>
      <c r="BP147" s="311">
        <f t="shared" si="496"/>
        <v>0</v>
      </c>
      <c r="BQ147" s="311">
        <f t="shared" si="496"/>
        <v>0</v>
      </c>
      <c r="BR147" s="311">
        <f t="shared" si="496"/>
        <v>0.116159871862652</v>
      </c>
      <c r="BS147" s="311">
        <f t="shared" ref="BS147" si="497">BS124/BS$128</f>
        <v>0.129639544264455</v>
      </c>
      <c r="BT147" s="252"/>
      <c r="BU147"/>
      <c r="BV147"/>
      <c r="BW147"/>
      <c r="BX147"/>
      <c r="BY147"/>
      <c r="BZ147"/>
    </row>
    <row r="148" s="107" customFormat="1" customHeight="1" spans="1:78">
      <c r="A148" s="252"/>
      <c r="C148" s="283" t="s">
        <v>479</v>
      </c>
      <c r="D148" s="261"/>
      <c r="E148" s="261"/>
      <c r="F148" s="261"/>
      <c r="G148" s="261"/>
      <c r="H148" s="261"/>
      <c r="I148" s="261"/>
      <c r="J148" s="261"/>
      <c r="K148" s="261"/>
      <c r="L148" s="261"/>
      <c r="M148" s="261"/>
      <c r="N148" s="261"/>
      <c r="O148" s="261"/>
      <c r="P148" s="262"/>
      <c r="Q148" s="262"/>
      <c r="R148" s="311">
        <f t="shared" ref="R148:AY148" si="498">R125/R$128</f>
        <v>0</v>
      </c>
      <c r="S148" s="311">
        <f t="shared" si="498"/>
        <v>0</v>
      </c>
      <c r="T148" s="311">
        <f t="shared" si="498"/>
        <v>0</v>
      </c>
      <c r="U148" s="311">
        <f t="shared" si="498"/>
        <v>0</v>
      </c>
      <c r="V148" s="311">
        <f t="shared" si="498"/>
        <v>0</v>
      </c>
      <c r="W148" s="311">
        <f t="shared" si="498"/>
        <v>0</v>
      </c>
      <c r="X148" s="311">
        <f t="shared" si="498"/>
        <v>0</v>
      </c>
      <c r="Y148" s="311">
        <f t="shared" si="498"/>
        <v>0</v>
      </c>
      <c r="Z148" s="311">
        <f t="shared" si="498"/>
        <v>0</v>
      </c>
      <c r="AA148" s="311">
        <f t="shared" si="498"/>
        <v>0</v>
      </c>
      <c r="AB148" s="311">
        <f t="shared" si="498"/>
        <v>0</v>
      </c>
      <c r="AC148" s="311">
        <f t="shared" si="498"/>
        <v>0</v>
      </c>
      <c r="AD148" s="311">
        <f t="shared" si="498"/>
        <v>0</v>
      </c>
      <c r="AE148" s="311">
        <f t="shared" si="498"/>
        <v>0</v>
      </c>
      <c r="AF148" s="311">
        <f t="shared" si="498"/>
        <v>0</v>
      </c>
      <c r="AG148" s="311">
        <f t="shared" si="498"/>
        <v>0</v>
      </c>
      <c r="AH148" s="311">
        <f t="shared" si="498"/>
        <v>0</v>
      </c>
      <c r="AI148" s="311">
        <f t="shared" si="498"/>
        <v>0</v>
      </c>
      <c r="AJ148" s="311">
        <f t="shared" si="498"/>
        <v>0</v>
      </c>
      <c r="AK148" s="311">
        <f t="shared" si="498"/>
        <v>0</v>
      </c>
      <c r="AL148" s="311">
        <f t="shared" si="498"/>
        <v>0</v>
      </c>
      <c r="AM148" s="311">
        <f t="shared" si="498"/>
        <v>0</v>
      </c>
      <c r="AN148" s="311">
        <f t="shared" si="498"/>
        <v>0</v>
      </c>
      <c r="AO148" s="311">
        <f t="shared" si="498"/>
        <v>0</v>
      </c>
      <c r="AP148" s="311">
        <f t="shared" si="498"/>
        <v>0</v>
      </c>
      <c r="AQ148" s="311">
        <f t="shared" si="498"/>
        <v>0</v>
      </c>
      <c r="AR148" s="311">
        <f t="shared" si="498"/>
        <v>0</v>
      </c>
      <c r="AS148" s="311">
        <f t="shared" si="498"/>
        <v>0</v>
      </c>
      <c r="AT148" s="311">
        <f t="shared" si="498"/>
        <v>0.00504603067225629</v>
      </c>
      <c r="AU148" s="311">
        <f t="shared" si="498"/>
        <v>0.0430391746951804</v>
      </c>
      <c r="AV148" s="311">
        <f t="shared" si="498"/>
        <v>0.0807457309210637</v>
      </c>
      <c r="AW148" s="311">
        <f t="shared" si="498"/>
        <v>0.0968374701203518</v>
      </c>
      <c r="AX148" s="311">
        <f t="shared" si="498"/>
        <v>0.118951643051566</v>
      </c>
      <c r="AY148" s="311">
        <f t="shared" si="498"/>
        <v>0.135698770993132</v>
      </c>
      <c r="AZ148" s="311">
        <f t="shared" ref="AZ148:BC148" si="499">AZ125/AZ$128</f>
        <v>0.136043274198978</v>
      </c>
      <c r="BA148" s="311">
        <f t="shared" si="499"/>
        <v>0.149891333019861</v>
      </c>
      <c r="BB148" s="311">
        <f t="shared" si="499"/>
        <v>0.161688336663295</v>
      </c>
      <c r="BC148" s="311">
        <f t="shared" si="499"/>
        <v>0.171656565648647</v>
      </c>
      <c r="BD148" s="314"/>
      <c r="BE148" s="313"/>
      <c r="BF148" s="259"/>
      <c r="BG148" s="311">
        <f t="shared" ref="BG148:BR148" si="500">BG125/BG$128</f>
        <v>0</v>
      </c>
      <c r="BH148" s="311">
        <f t="shared" si="500"/>
        <v>0</v>
      </c>
      <c r="BI148" s="311">
        <f t="shared" si="500"/>
        <v>0</v>
      </c>
      <c r="BJ148" s="311">
        <f t="shared" si="500"/>
        <v>0</v>
      </c>
      <c r="BK148" s="311">
        <f t="shared" si="500"/>
        <v>0</v>
      </c>
      <c r="BL148" s="311">
        <f t="shared" si="500"/>
        <v>0</v>
      </c>
      <c r="BM148" s="311">
        <f t="shared" si="500"/>
        <v>0</v>
      </c>
      <c r="BN148" s="311">
        <f t="shared" si="500"/>
        <v>0</v>
      </c>
      <c r="BO148" s="311">
        <f t="shared" si="500"/>
        <v>0</v>
      </c>
      <c r="BP148" s="311">
        <f t="shared" si="500"/>
        <v>0</v>
      </c>
      <c r="BQ148" s="311">
        <f t="shared" si="500"/>
        <v>0.0144833681408076</v>
      </c>
      <c r="BR148" s="311">
        <f t="shared" si="500"/>
        <v>0.111533640430606</v>
      </c>
      <c r="BS148" s="311">
        <f t="shared" ref="BS148" si="501">BS125/BS$128</f>
        <v>0.155747891094109</v>
      </c>
      <c r="BT148" s="252"/>
      <c r="BU148"/>
      <c r="BV148"/>
      <c r="BW148"/>
      <c r="BX148"/>
      <c r="BY148"/>
      <c r="BZ148"/>
    </row>
    <row r="149" customHeight="1" spans="1:78">
      <c r="A149" s="252"/>
      <c r="B149" s="281" t="s">
        <v>480</v>
      </c>
      <c r="C149" s="70"/>
      <c r="D149" s="314"/>
      <c r="E149" s="314"/>
      <c r="F149" s="314"/>
      <c r="G149" s="314"/>
      <c r="H149" s="314"/>
      <c r="I149" s="314"/>
      <c r="J149" s="314"/>
      <c r="K149" s="314"/>
      <c r="L149" s="314"/>
      <c r="M149" s="314"/>
      <c r="N149" s="314"/>
      <c r="O149" s="314"/>
      <c r="P149" s="314"/>
      <c r="Q149" s="314"/>
      <c r="R149" s="311">
        <f t="shared" ref="R149:AY149" si="502">R126/R$128</f>
        <v>0.00630484572428524</v>
      </c>
      <c r="S149" s="311">
        <f t="shared" si="502"/>
        <v>0.0171241705486045</v>
      </c>
      <c r="T149" s="311">
        <f t="shared" si="502"/>
        <v>0.0109860268227718</v>
      </c>
      <c r="U149" s="311">
        <f t="shared" si="502"/>
        <v>0.0102905957337789</v>
      </c>
      <c r="V149" s="311">
        <f t="shared" si="502"/>
        <v>0.019083631472556</v>
      </c>
      <c r="W149" s="311">
        <f t="shared" si="502"/>
        <v>0.0249142382966689</v>
      </c>
      <c r="X149" s="311">
        <f t="shared" si="502"/>
        <v>0.16208581979341</v>
      </c>
      <c r="Y149" s="311">
        <f t="shared" si="502"/>
        <v>0.27230127577716</v>
      </c>
      <c r="Z149" s="311">
        <f t="shared" si="502"/>
        <v>0.368448356134952</v>
      </c>
      <c r="AA149" s="311">
        <f t="shared" si="502"/>
        <v>0.361048337776574</v>
      </c>
      <c r="AB149" s="311">
        <f t="shared" si="502"/>
        <v>0.360418059670407</v>
      </c>
      <c r="AC149" s="311">
        <f t="shared" si="502"/>
        <v>0.355893830582586</v>
      </c>
      <c r="AD149" s="311">
        <f t="shared" si="502"/>
        <v>0.249608544582918</v>
      </c>
      <c r="AE149" s="311">
        <f t="shared" si="502"/>
        <v>0.0108173675279336</v>
      </c>
      <c r="AF149" s="311">
        <f t="shared" si="502"/>
        <v>0.0119181556415782</v>
      </c>
      <c r="AG149" s="311">
        <f t="shared" si="502"/>
        <v>0.0177134669584796</v>
      </c>
      <c r="AH149" s="311">
        <f t="shared" si="502"/>
        <v>0.0240984018073801</v>
      </c>
      <c r="AI149" s="311">
        <f t="shared" si="502"/>
        <v>0.0856556644209884</v>
      </c>
      <c r="AJ149" s="311">
        <f t="shared" si="502"/>
        <v>0.052898355132429</v>
      </c>
      <c r="AK149" s="311">
        <f t="shared" si="502"/>
        <v>0.0980904695946492</v>
      </c>
      <c r="AL149" s="311">
        <f t="shared" si="502"/>
        <v>0.0607136391534532</v>
      </c>
      <c r="AM149" s="311">
        <f t="shared" si="502"/>
        <v>0.0983108326365748</v>
      </c>
      <c r="AN149" s="311">
        <f t="shared" si="502"/>
        <v>0.0393961338090662</v>
      </c>
      <c r="AO149" s="311">
        <f t="shared" si="502"/>
        <v>0.0353182629821524</v>
      </c>
      <c r="AP149" s="311">
        <f t="shared" si="502"/>
        <v>0.0362263655714191</v>
      </c>
      <c r="AQ149" s="311">
        <f t="shared" si="502"/>
        <v>0.0382605967925306</v>
      </c>
      <c r="AR149" s="311">
        <f t="shared" si="502"/>
        <v>0.0346902165644878</v>
      </c>
      <c r="AS149" s="311">
        <f t="shared" si="502"/>
        <v>0.0294657364655777</v>
      </c>
      <c r="AT149" s="311">
        <f t="shared" si="502"/>
        <v>0.0267733159320114</v>
      </c>
      <c r="AU149" s="311">
        <f t="shared" si="502"/>
        <v>0.0234136139094643</v>
      </c>
      <c r="AV149" s="311">
        <f t="shared" si="502"/>
        <v>0.0212218569646369</v>
      </c>
      <c r="AW149" s="311">
        <f t="shared" si="502"/>
        <v>0.0163826508142311</v>
      </c>
      <c r="AX149" s="311">
        <f t="shared" si="502"/>
        <v>0.0149552766126828</v>
      </c>
      <c r="AY149" s="311">
        <f t="shared" si="502"/>
        <v>0.0136589411254072</v>
      </c>
      <c r="AZ149" s="311">
        <f t="shared" ref="AZ149:BC149" si="503">AZ126/AZ$128</f>
        <v>0.013114673242676</v>
      </c>
      <c r="BA149" s="311">
        <f t="shared" si="503"/>
        <v>0.0124888207889555</v>
      </c>
      <c r="BB149" s="311">
        <f t="shared" si="503"/>
        <v>0.0119062343137415</v>
      </c>
      <c r="BC149" s="311">
        <f t="shared" si="503"/>
        <v>0.0113613589270008</v>
      </c>
      <c r="BD149" s="314"/>
      <c r="BE149" s="313"/>
      <c r="BF149" s="259"/>
      <c r="BG149" s="311">
        <f t="shared" ref="BG149:BR149" si="504">BG126/BG$128</f>
        <v>0</v>
      </c>
      <c r="BH149" s="311">
        <f t="shared" si="504"/>
        <v>0</v>
      </c>
      <c r="BI149" s="311">
        <f t="shared" si="504"/>
        <v>0</v>
      </c>
      <c r="BJ149" s="311">
        <f t="shared" si="504"/>
        <v>0.00531525232558474</v>
      </c>
      <c r="BK149" s="311">
        <f t="shared" si="504"/>
        <v>0.0151548352616515</v>
      </c>
      <c r="BL149" s="311">
        <f t="shared" si="504"/>
        <v>0.32557556059799</v>
      </c>
      <c r="BM149" s="311">
        <f t="shared" si="504"/>
        <v>0.255036873770852</v>
      </c>
      <c r="BN149" s="311">
        <f t="shared" si="504"/>
        <v>0.040926519137364</v>
      </c>
      <c r="BO149" s="311">
        <f t="shared" si="504"/>
        <v>0.0796941722399916</v>
      </c>
      <c r="BP149" s="311">
        <f t="shared" si="504"/>
        <v>0.0372224354508837</v>
      </c>
      <c r="BQ149" s="311">
        <f t="shared" si="504"/>
        <v>0.02792738181704</v>
      </c>
      <c r="BR149" s="311">
        <f t="shared" si="504"/>
        <v>0.0160728547177548</v>
      </c>
      <c r="BS149" s="311">
        <f t="shared" ref="BS149" si="505">BS126/BS$128</f>
        <v>0.0121720297680158</v>
      </c>
      <c r="BT149" s="49"/>
    </row>
    <row r="150" customHeight="1" spans="1:78">
      <c r="A150" s="268"/>
      <c r="B150" s="268" t="s">
        <v>481</v>
      </c>
      <c r="C150" s="284"/>
      <c r="D150" s="310"/>
      <c r="E150" s="310"/>
      <c r="F150" s="310"/>
      <c r="G150" s="310"/>
      <c r="H150" s="310"/>
      <c r="I150" s="310"/>
      <c r="J150" s="310"/>
      <c r="K150" s="310"/>
      <c r="L150" s="310"/>
      <c r="M150" s="310"/>
      <c r="N150" s="310"/>
      <c r="O150" s="310"/>
      <c r="P150" s="310"/>
      <c r="Q150" s="310"/>
      <c r="R150" s="311">
        <f t="shared" ref="R150:AY150" si="506">R127/R$128</f>
        <v>0.000275593615576695</v>
      </c>
      <c r="S150" s="311">
        <f t="shared" si="506"/>
        <v>-0.000243699372594694</v>
      </c>
      <c r="T150" s="311">
        <f t="shared" si="506"/>
        <v>-0.000170299320544955</v>
      </c>
      <c r="U150" s="311">
        <f t="shared" si="506"/>
        <v>-0.000168771853922054</v>
      </c>
      <c r="V150" s="311">
        <f t="shared" si="506"/>
        <v>0.0017386963893326</v>
      </c>
      <c r="W150" s="311">
        <f t="shared" si="506"/>
        <v>0.000129581391416505</v>
      </c>
      <c r="X150" s="311">
        <f t="shared" si="506"/>
        <v>0.000544851864187284</v>
      </c>
      <c r="Y150" s="311">
        <f t="shared" si="506"/>
        <v>-0.00045181080674819</v>
      </c>
      <c r="Z150" s="311">
        <f t="shared" si="506"/>
        <v>7.82570760565074e-5</v>
      </c>
      <c r="AA150" s="311">
        <f t="shared" si="506"/>
        <v>0.000511029348484202</v>
      </c>
      <c r="AB150" s="311">
        <f t="shared" si="506"/>
        <v>0.00303064418459122</v>
      </c>
      <c r="AC150" s="311">
        <f t="shared" si="506"/>
        <v>0.00551507505569881</v>
      </c>
      <c r="AD150" s="311">
        <f t="shared" si="506"/>
        <v>0.0160355668764861</v>
      </c>
      <c r="AE150" s="311">
        <f t="shared" si="506"/>
        <v>0.0348205095996475</v>
      </c>
      <c r="AF150" s="311">
        <f t="shared" si="506"/>
        <v>0.0942468494188099</v>
      </c>
      <c r="AG150" s="311">
        <f t="shared" si="506"/>
        <v>0.102833128302965</v>
      </c>
      <c r="AH150" s="311">
        <f t="shared" si="506"/>
        <v>0.0799799228000835</v>
      </c>
      <c r="AI150" s="311">
        <f t="shared" si="506"/>
        <v>0.0713131441042662</v>
      </c>
      <c r="AJ150" s="311">
        <f t="shared" si="506"/>
        <v>-0.295158420248091</v>
      </c>
      <c r="AK150" s="311">
        <f t="shared" si="506"/>
        <v>-0.253850057186731</v>
      </c>
      <c r="AL150" s="311">
        <f t="shared" si="506"/>
        <v>-0.267508604067155</v>
      </c>
      <c r="AM150" s="311">
        <f t="shared" si="506"/>
        <v>-0.052359680343783</v>
      </c>
      <c r="AN150" s="311">
        <f t="shared" si="506"/>
        <v>-0.00287137390083628</v>
      </c>
      <c r="AO150" s="311">
        <f t="shared" si="506"/>
        <v>0.0883221913144974</v>
      </c>
      <c r="AP150" s="311">
        <f t="shared" si="506"/>
        <v>0.048353398681669</v>
      </c>
      <c r="AQ150" s="311">
        <f t="shared" si="506"/>
        <v>0</v>
      </c>
      <c r="AR150" s="311">
        <f t="shared" si="506"/>
        <v>0</v>
      </c>
      <c r="AS150" s="311">
        <f t="shared" si="506"/>
        <v>0</v>
      </c>
      <c r="AT150" s="311">
        <f t="shared" si="506"/>
        <v>0</v>
      </c>
      <c r="AU150" s="311">
        <f t="shared" si="506"/>
        <v>0</v>
      </c>
      <c r="AV150" s="311">
        <f t="shared" si="506"/>
        <v>0</v>
      </c>
      <c r="AW150" s="311">
        <f t="shared" si="506"/>
        <v>0</v>
      </c>
      <c r="AX150" s="311">
        <f t="shared" si="506"/>
        <v>0</v>
      </c>
      <c r="AY150" s="311">
        <f t="shared" si="506"/>
        <v>0</v>
      </c>
      <c r="AZ150" s="311">
        <f t="shared" ref="AZ150:BC150" si="507">AZ127/AZ$128</f>
        <v>0</v>
      </c>
      <c r="BA150" s="311">
        <f t="shared" si="507"/>
        <v>0</v>
      </c>
      <c r="BB150" s="311">
        <f t="shared" si="507"/>
        <v>0</v>
      </c>
      <c r="BC150" s="311">
        <f t="shared" si="507"/>
        <v>0</v>
      </c>
      <c r="BD150" s="314"/>
      <c r="BE150" s="313"/>
      <c r="BF150" s="259"/>
      <c r="BG150" s="311">
        <f t="shared" ref="BG150:BR150" si="508">BG127/BG$128</f>
        <v>0</v>
      </c>
      <c r="BH150" s="311">
        <f t="shared" si="508"/>
        <v>0</v>
      </c>
      <c r="BI150" s="311">
        <f t="shared" si="508"/>
        <v>0</v>
      </c>
      <c r="BJ150" s="311">
        <f t="shared" si="508"/>
        <v>3.05570354513506e-5</v>
      </c>
      <c r="BK150" s="311">
        <f t="shared" si="508"/>
        <v>0.000285211295233569</v>
      </c>
      <c r="BL150" s="311">
        <f t="shared" si="508"/>
        <v>0.000208627426107599</v>
      </c>
      <c r="BM150" s="311">
        <f t="shared" si="508"/>
        <v>0.0139533182227025</v>
      </c>
      <c r="BN150" s="311">
        <f t="shared" si="508"/>
        <v>0.0847946064872838</v>
      </c>
      <c r="BO150" s="311">
        <f t="shared" si="508"/>
        <v>-0.206481026301554</v>
      </c>
      <c r="BP150" s="311">
        <f t="shared" si="508"/>
        <v>0.0348396594714035</v>
      </c>
      <c r="BQ150" s="311">
        <f t="shared" si="508"/>
        <v>0</v>
      </c>
      <c r="BR150" s="311">
        <f t="shared" si="508"/>
        <v>0</v>
      </c>
      <c r="BS150" s="311">
        <f t="shared" ref="BS150" si="509">BS127/BS$128</f>
        <v>0</v>
      </c>
      <c r="BT150" s="49"/>
    </row>
    <row r="151" customHeight="1" spans="1:78">
      <c r="A151" s="286" t="s">
        <v>125</v>
      </c>
      <c r="B151" s="286"/>
      <c r="C151" s="287"/>
      <c r="D151" s="316"/>
      <c r="E151" s="316"/>
      <c r="F151" s="316"/>
      <c r="G151" s="316"/>
      <c r="H151" s="316"/>
      <c r="I151" s="316"/>
      <c r="J151" s="316"/>
      <c r="K151" s="316"/>
      <c r="L151" s="316"/>
      <c r="M151" s="316"/>
      <c r="N151" s="316"/>
      <c r="O151" s="316"/>
      <c r="P151" s="316"/>
      <c r="Q151" s="316"/>
      <c r="R151" s="317">
        <f t="shared" ref="R151:AY151" si="510">R128/R$128</f>
        <v>1</v>
      </c>
      <c r="S151" s="317">
        <f t="shared" si="510"/>
        <v>1</v>
      </c>
      <c r="T151" s="317">
        <f t="shared" si="510"/>
        <v>1</v>
      </c>
      <c r="U151" s="317">
        <f t="shared" si="510"/>
        <v>1</v>
      </c>
      <c r="V151" s="317">
        <f t="shared" si="510"/>
        <v>1</v>
      </c>
      <c r="W151" s="317">
        <f t="shared" si="510"/>
        <v>1</v>
      </c>
      <c r="X151" s="317">
        <f t="shared" si="510"/>
        <v>1</v>
      </c>
      <c r="Y151" s="317">
        <f t="shared" si="510"/>
        <v>1</v>
      </c>
      <c r="Z151" s="317">
        <f t="shared" si="510"/>
        <v>1</v>
      </c>
      <c r="AA151" s="317">
        <f t="shared" si="510"/>
        <v>1</v>
      </c>
      <c r="AB151" s="317">
        <f t="shared" si="510"/>
        <v>1</v>
      </c>
      <c r="AC151" s="317">
        <f t="shared" si="510"/>
        <v>1</v>
      </c>
      <c r="AD151" s="317">
        <f t="shared" si="510"/>
        <v>1</v>
      </c>
      <c r="AE151" s="317">
        <f t="shared" si="510"/>
        <v>1</v>
      </c>
      <c r="AF151" s="317">
        <f t="shared" si="510"/>
        <v>1</v>
      </c>
      <c r="AG151" s="317">
        <f t="shared" si="510"/>
        <v>1</v>
      </c>
      <c r="AH151" s="317">
        <f t="shared" si="510"/>
        <v>1</v>
      </c>
      <c r="AI151" s="317">
        <f t="shared" si="510"/>
        <v>1</v>
      </c>
      <c r="AJ151" s="317">
        <f t="shared" si="510"/>
        <v>1</v>
      </c>
      <c r="AK151" s="317">
        <f t="shared" si="510"/>
        <v>1</v>
      </c>
      <c r="AL151" s="317">
        <f t="shared" si="510"/>
        <v>1</v>
      </c>
      <c r="AM151" s="317">
        <f t="shared" si="510"/>
        <v>1</v>
      </c>
      <c r="AN151" s="317">
        <f t="shared" si="510"/>
        <v>1</v>
      </c>
      <c r="AO151" s="317">
        <f t="shared" si="510"/>
        <v>1</v>
      </c>
      <c r="AP151" s="317">
        <f t="shared" si="510"/>
        <v>1</v>
      </c>
      <c r="AQ151" s="317">
        <f t="shared" si="510"/>
        <v>1</v>
      </c>
      <c r="AR151" s="317">
        <f t="shared" si="510"/>
        <v>1</v>
      </c>
      <c r="AS151" s="317">
        <f t="shared" si="510"/>
        <v>1</v>
      </c>
      <c r="AT151" s="317">
        <f t="shared" si="510"/>
        <v>1</v>
      </c>
      <c r="AU151" s="317">
        <f t="shared" si="510"/>
        <v>1</v>
      </c>
      <c r="AV151" s="317">
        <f t="shared" si="510"/>
        <v>1</v>
      </c>
      <c r="AW151" s="317">
        <f t="shared" si="510"/>
        <v>1</v>
      </c>
      <c r="AX151" s="317">
        <f t="shared" si="510"/>
        <v>1</v>
      </c>
      <c r="AY151" s="317">
        <f t="shared" si="510"/>
        <v>1</v>
      </c>
      <c r="AZ151" s="317">
        <f t="shared" ref="AZ151:BC151" si="511">AZ128/AZ$128</f>
        <v>1</v>
      </c>
      <c r="BA151" s="317">
        <f t="shared" si="511"/>
        <v>1</v>
      </c>
      <c r="BB151" s="317">
        <f t="shared" si="511"/>
        <v>1</v>
      </c>
      <c r="BC151" s="317">
        <f t="shared" si="511"/>
        <v>1</v>
      </c>
      <c r="BD151" s="314"/>
      <c r="BE151" s="318"/>
      <c r="BF151" s="259"/>
      <c r="BG151" s="317">
        <f t="shared" ref="BG151:BR151" si="512">BG128/BG$128</f>
        <v>1</v>
      </c>
      <c r="BH151" s="317">
        <f t="shared" si="512"/>
        <v>1</v>
      </c>
      <c r="BI151" s="317">
        <f t="shared" si="512"/>
        <v>1</v>
      </c>
      <c r="BJ151" s="317">
        <f t="shared" si="512"/>
        <v>1</v>
      </c>
      <c r="BK151" s="317">
        <f t="shared" si="512"/>
        <v>1</v>
      </c>
      <c r="BL151" s="317">
        <f t="shared" si="512"/>
        <v>1</v>
      </c>
      <c r="BM151" s="317">
        <f t="shared" si="512"/>
        <v>1</v>
      </c>
      <c r="BN151" s="317">
        <f t="shared" si="512"/>
        <v>1</v>
      </c>
      <c r="BO151" s="317">
        <f t="shared" si="512"/>
        <v>1</v>
      </c>
      <c r="BP151" s="317">
        <f t="shared" si="512"/>
        <v>1</v>
      </c>
      <c r="BQ151" s="317">
        <f t="shared" si="512"/>
        <v>1</v>
      </c>
      <c r="BR151" s="317">
        <f t="shared" si="512"/>
        <v>1</v>
      </c>
      <c r="BS151" s="317">
        <f t="shared" ref="BS151" si="513">BS128/BS$128</f>
        <v>1</v>
      </c>
      <c r="BT151" s="49"/>
    </row>
    <row r="152" customHeight="1" spans="1:78">
      <c r="A152" s="268"/>
      <c r="B152" s="252"/>
      <c r="C152" s="268"/>
      <c r="D152" s="316"/>
      <c r="E152" s="316"/>
      <c r="F152" s="316"/>
      <c r="G152" s="316"/>
      <c r="H152" s="316"/>
      <c r="I152" s="316"/>
      <c r="J152" s="316"/>
      <c r="K152" s="316"/>
      <c r="L152" s="316"/>
      <c r="M152" s="316"/>
      <c r="N152" s="316"/>
      <c r="O152" s="316"/>
      <c r="P152" s="316"/>
      <c r="Q152" s="316"/>
      <c r="R152" s="316"/>
      <c r="S152" s="316"/>
      <c r="T152" s="316"/>
      <c r="U152" s="316"/>
      <c r="V152" s="316"/>
      <c r="W152" s="316"/>
      <c r="X152" s="316"/>
      <c r="Y152" s="316"/>
      <c r="Z152" s="316"/>
      <c r="AA152" s="316"/>
      <c r="AB152" s="316"/>
      <c r="AC152" s="316"/>
      <c r="AD152" s="316"/>
      <c r="AE152" s="316"/>
      <c r="AF152" s="316"/>
      <c r="AG152" s="316"/>
      <c r="AH152" s="316"/>
      <c r="AI152" s="316"/>
      <c r="AJ152" s="316"/>
      <c r="AK152" s="316"/>
      <c r="AL152" s="316"/>
      <c r="AM152" s="316"/>
      <c r="AN152" s="316"/>
      <c r="AO152" s="316"/>
      <c r="AP152" s="316"/>
      <c r="AQ152" s="316"/>
      <c r="AR152" s="316"/>
      <c r="AS152" s="316"/>
      <c r="AT152" s="316"/>
      <c r="AU152" s="316"/>
      <c r="AV152" s="316"/>
      <c r="AW152" s="316"/>
      <c r="AX152" s="316"/>
      <c r="AY152" s="316"/>
      <c r="AZ152" s="316"/>
      <c r="BA152" s="316"/>
      <c r="BB152" s="316"/>
      <c r="BC152" s="316"/>
      <c r="BD152" s="316"/>
      <c r="BE152" s="318"/>
      <c r="BF152" s="259"/>
      <c r="BG152" s="316"/>
      <c r="BH152" s="316"/>
      <c r="BI152" s="316"/>
      <c r="BJ152" s="316"/>
      <c r="BK152" s="316"/>
      <c r="BL152" s="316"/>
      <c r="BM152" s="316"/>
      <c r="BN152" s="316"/>
      <c r="BO152" s="316"/>
      <c r="BP152" s="316"/>
      <c r="BQ152" s="316"/>
      <c r="BR152" s="316"/>
      <c r="BS152" s="316"/>
      <c r="BT152" s="49"/>
    </row>
    <row r="153" customHeight="1" spans="1:78">
      <c r="A153" s="252" t="s">
        <v>485</v>
      </c>
      <c r="B153" s="252"/>
      <c r="C153" s="252"/>
      <c r="D153" s="248"/>
      <c r="E153" s="248"/>
      <c r="F153" s="248"/>
      <c r="G153" s="248"/>
      <c r="H153" s="248"/>
      <c r="I153" s="248"/>
      <c r="J153" s="248"/>
      <c r="K153" s="248"/>
      <c r="L153" s="248"/>
      <c r="M153" s="248"/>
      <c r="N153" s="248"/>
      <c r="O153" s="248"/>
      <c r="P153" s="248"/>
      <c r="Q153" s="248"/>
      <c r="R153" s="248"/>
      <c r="S153" s="248"/>
      <c r="T153" s="248"/>
      <c r="U153" s="248"/>
      <c r="V153" s="248"/>
      <c r="W153" s="248"/>
      <c r="X153" s="248"/>
      <c r="Y153" s="248"/>
      <c r="Z153" s="248"/>
      <c r="AA153" s="248"/>
      <c r="AB153" s="248"/>
      <c r="AC153" s="248"/>
      <c r="AD153" s="248"/>
      <c r="AE153" s="248"/>
      <c r="AF153" s="248"/>
      <c r="AG153" s="248"/>
      <c r="AH153" s="248"/>
      <c r="AI153" s="248"/>
      <c r="AJ153" s="248"/>
      <c r="AK153" s="248"/>
      <c r="AL153" s="248"/>
      <c r="AM153" s="248"/>
      <c r="AN153" s="248"/>
      <c r="AO153" s="248"/>
      <c r="AP153" s="248"/>
      <c r="AQ153" s="248"/>
      <c r="AR153" s="248"/>
      <c r="AS153" s="248"/>
      <c r="AT153" s="248"/>
      <c r="AU153" s="248"/>
      <c r="AV153" s="248"/>
      <c r="AW153" s="248"/>
      <c r="AX153" s="248"/>
      <c r="AY153" s="248"/>
      <c r="AZ153" s="248"/>
      <c r="BA153" s="248"/>
      <c r="BB153" s="248"/>
      <c r="BC153" s="248"/>
      <c r="BD153" s="248"/>
      <c r="BE153" s="305"/>
      <c r="BF153" s="259"/>
      <c r="BG153" s="260"/>
      <c r="BH153" s="260"/>
      <c r="BI153" s="260"/>
      <c r="BJ153" s="260"/>
      <c r="BK153" s="260"/>
      <c r="BL153" s="260"/>
      <c r="BM153" s="260"/>
      <c r="BN153" s="260"/>
      <c r="BO153" s="260"/>
      <c r="BP153" s="260"/>
      <c r="BQ153" s="260"/>
      <c r="BR153" s="260"/>
      <c r="BS153" s="260"/>
      <c r="BT153" s="49"/>
    </row>
    <row r="154" customHeight="1" spans="1:78">
      <c r="A154" s="252"/>
      <c r="B154" s="395" t="s">
        <v>464</v>
      </c>
      <c r="C154" s="70"/>
      <c r="D154" s="316"/>
      <c r="E154" s="316"/>
      <c r="F154" s="316"/>
      <c r="G154" s="316"/>
      <c r="H154" s="316"/>
      <c r="I154" s="316"/>
      <c r="J154" s="316"/>
      <c r="K154" s="316"/>
      <c r="L154" s="316"/>
      <c r="M154" s="316"/>
      <c r="N154" s="316"/>
      <c r="O154" s="316"/>
      <c r="P154" s="316"/>
      <c r="Q154" s="316"/>
      <c r="R154" s="311" t="str">
        <f t="shared" ref="R154:AY154" si="514">IFERROR(R110/Q110-1,"-")</f>
        <v>-</v>
      </c>
      <c r="S154" s="311">
        <f t="shared" si="514"/>
        <v>-0.307703499183873</v>
      </c>
      <c r="T154" s="311">
        <f t="shared" si="514"/>
        <v>0.411504537452335</v>
      </c>
      <c r="U154" s="311">
        <f t="shared" si="514"/>
        <v>0.198664218793091</v>
      </c>
      <c r="V154" s="311">
        <f t="shared" si="514"/>
        <v>-0.368872056182899</v>
      </c>
      <c r="W154" s="311">
        <f t="shared" si="514"/>
        <v>-0.0664911924517678</v>
      </c>
      <c r="X154" s="311">
        <f t="shared" si="514"/>
        <v>-0.27576099560563</v>
      </c>
      <c r="Y154" s="311">
        <f t="shared" si="514"/>
        <v>0.233628109337829</v>
      </c>
      <c r="Z154" s="311">
        <f t="shared" si="514"/>
        <v>0.771942840703388</v>
      </c>
      <c r="AA154" s="311">
        <f t="shared" si="514"/>
        <v>0.128747497408599</v>
      </c>
      <c r="AB154" s="311">
        <f t="shared" si="514"/>
        <v>-0.0738275771271156</v>
      </c>
      <c r="AC154" s="311">
        <f t="shared" si="514"/>
        <v>0.144130799899545</v>
      </c>
      <c r="AD154" s="311">
        <f t="shared" si="514"/>
        <v>0.0677471653019635</v>
      </c>
      <c r="AE154" s="311">
        <f t="shared" si="514"/>
        <v>0.0787036821528784</v>
      </c>
      <c r="AF154" s="311">
        <f t="shared" si="514"/>
        <v>-0.503531094026356</v>
      </c>
      <c r="AG154" s="311">
        <f t="shared" si="514"/>
        <v>0.19160815539949</v>
      </c>
      <c r="AH154" s="311">
        <f t="shared" si="514"/>
        <v>0.198098493404999</v>
      </c>
      <c r="AI154" s="311">
        <f t="shared" si="514"/>
        <v>0.173160619115341</v>
      </c>
      <c r="AJ154" s="311">
        <f t="shared" si="514"/>
        <v>0.400910891384051</v>
      </c>
      <c r="AK154" s="311">
        <f t="shared" si="514"/>
        <v>0.139065859836986</v>
      </c>
      <c r="AL154" s="311">
        <f t="shared" si="514"/>
        <v>-0.0474705701238044</v>
      </c>
      <c r="AM154" s="311">
        <f t="shared" si="514"/>
        <v>-0.0935858680618186</v>
      </c>
      <c r="AN154" s="311">
        <f t="shared" si="514"/>
        <v>0.163973553174872</v>
      </c>
      <c r="AO154" s="311">
        <f t="shared" si="514"/>
        <v>0.0185921234990218</v>
      </c>
      <c r="AP154" s="311">
        <f t="shared" si="514"/>
        <v>0.0368539656432383</v>
      </c>
      <c r="AQ154" s="311">
        <f t="shared" si="514"/>
        <v>0.0274956831781401</v>
      </c>
      <c r="AR154" s="311">
        <f t="shared" si="514"/>
        <v>0.0609018475717695</v>
      </c>
      <c r="AS154" s="311">
        <f t="shared" si="514"/>
        <v>0.130482542163642</v>
      </c>
      <c r="AT154" s="311">
        <f t="shared" si="514"/>
        <v>0.0913539780554513</v>
      </c>
      <c r="AU154" s="311">
        <f t="shared" si="514"/>
        <v>0.0957021629712036</v>
      </c>
      <c r="AV154" s="311">
        <f t="shared" si="514"/>
        <v>0.0802679099111059</v>
      </c>
      <c r="AW154" s="311">
        <f t="shared" si="514"/>
        <v>0.0870505935885815</v>
      </c>
      <c r="AX154" s="311">
        <f t="shared" si="514"/>
        <v>0.0948376263345576</v>
      </c>
      <c r="AY154" s="311">
        <f t="shared" si="514"/>
        <v>0.10366544126235</v>
      </c>
      <c r="AZ154" s="311">
        <f t="shared" ref="AZ154:AZ162" si="515">IFERROR(AZ110/AY110-1,"-")</f>
        <v>0.0651592435200725</v>
      </c>
      <c r="BA154" s="311">
        <f t="shared" ref="BA154:BA162" si="516">IFERROR(BA110/AZ110-1,"-")</f>
        <v>0.066083698422486</v>
      </c>
      <c r="BB154" s="311">
        <f t="shared" ref="BB154:BB162" si="517">IFERROR(BB110/BA110-1,"-")</f>
        <v>0.0670245931835274</v>
      </c>
      <c r="BC154" s="311">
        <f t="shared" ref="BC154:BC162" si="518">IFERROR(BC110/BB110-1,"-")</f>
        <v>0.0679811384929354</v>
      </c>
      <c r="BD154" s="316"/>
      <c r="BE154" s="313"/>
      <c r="BF154" s="259"/>
      <c r="BG154" s="311"/>
      <c r="BH154" s="311">
        <f t="shared" ref="BH154:BS154" si="519">IFERROR(BH110/BG110-1,"-")</f>
        <v>0.67405212754468</v>
      </c>
      <c r="BI154" s="311">
        <f t="shared" si="519"/>
        <v>0.870880997316694</v>
      </c>
      <c r="BJ154" s="311">
        <f t="shared" si="519"/>
        <v>-0.0155514594494069</v>
      </c>
      <c r="BK154" s="311">
        <f t="shared" si="519"/>
        <v>0.0430156023916139</v>
      </c>
      <c r="BL154" s="311">
        <f t="shared" si="519"/>
        <v>-0.0379590063623219</v>
      </c>
      <c r="BM154" s="311">
        <f t="shared" si="519"/>
        <v>0.55408743411051</v>
      </c>
      <c r="BN154" s="311">
        <f t="shared" si="519"/>
        <v>-0.260465811117266</v>
      </c>
      <c r="BO154" s="311">
        <f t="shared" si="519"/>
        <v>0.864760805399978</v>
      </c>
      <c r="BP154" s="311">
        <f t="shared" si="519"/>
        <v>0.131758487344851</v>
      </c>
      <c r="BQ154" s="311">
        <f t="shared" si="519"/>
        <v>0.305181856127372</v>
      </c>
      <c r="BR154" s="311">
        <f t="shared" si="519"/>
        <v>0.421522345993076</v>
      </c>
      <c r="BS154" s="311">
        <f t="shared" si="519"/>
        <v>0.346619718831467</v>
      </c>
      <c r="BT154" s="49"/>
    </row>
    <row r="155" customHeight="1" spans="1:78">
      <c r="A155" s="268"/>
      <c r="B155" s="268"/>
      <c r="C155" s="397" t="s">
        <v>465</v>
      </c>
      <c r="D155" s="316"/>
      <c r="E155" s="316"/>
      <c r="F155" s="316"/>
      <c r="G155" s="316"/>
      <c r="H155" s="316"/>
      <c r="I155" s="316"/>
      <c r="J155" s="316"/>
      <c r="K155" s="316"/>
      <c r="L155" s="316"/>
      <c r="M155" s="316"/>
      <c r="N155" s="316"/>
      <c r="O155" s="316"/>
      <c r="P155" s="316"/>
      <c r="Q155" s="316"/>
      <c r="R155" s="311" t="str">
        <f t="shared" ref="R155:AY155" si="520">IFERROR(R111/Q111-1,"-")</f>
        <v>-</v>
      </c>
      <c r="S155" s="311">
        <f t="shared" si="520"/>
        <v>-0.307703499183873</v>
      </c>
      <c r="T155" s="311">
        <f t="shared" si="520"/>
        <v>0.411504537452335</v>
      </c>
      <c r="U155" s="311">
        <f t="shared" si="520"/>
        <v>0.198664218793091</v>
      </c>
      <c r="V155" s="311">
        <f t="shared" si="520"/>
        <v>-0.368872056182899</v>
      </c>
      <c r="W155" s="311">
        <f t="shared" si="520"/>
        <v>-0.0664911924517678</v>
      </c>
      <c r="X155" s="311">
        <f t="shared" si="520"/>
        <v>-0.27576099560563</v>
      </c>
      <c r="Y155" s="311">
        <f t="shared" si="520"/>
        <v>0.233628109337829</v>
      </c>
      <c r="Z155" s="311">
        <f t="shared" si="520"/>
        <v>0.771942840703388</v>
      </c>
      <c r="AA155" s="311">
        <f t="shared" si="520"/>
        <v>0.126558778925778</v>
      </c>
      <c r="AB155" s="311">
        <f t="shared" si="520"/>
        <v>-0.0910517748110012</v>
      </c>
      <c r="AC155" s="311">
        <f t="shared" si="520"/>
        <v>0.140022499722417</v>
      </c>
      <c r="AD155" s="311">
        <f t="shared" si="520"/>
        <v>0.0598834528559602</v>
      </c>
      <c r="AE155" s="311">
        <f t="shared" si="520"/>
        <v>0.066128633410403</v>
      </c>
      <c r="AF155" s="311">
        <f t="shared" si="520"/>
        <v>-0.507589039283417</v>
      </c>
      <c r="AG155" s="311">
        <f t="shared" si="520"/>
        <v>0.201025987499924</v>
      </c>
      <c r="AH155" s="311">
        <f t="shared" si="520"/>
        <v>0.0996718464653277</v>
      </c>
      <c r="AI155" s="311">
        <f t="shared" si="520"/>
        <v>0.124856117627721</v>
      </c>
      <c r="AJ155" s="311">
        <f t="shared" si="520"/>
        <v>0.494643345307867</v>
      </c>
      <c r="AK155" s="311">
        <f t="shared" si="520"/>
        <v>0.0979543474912197</v>
      </c>
      <c r="AL155" s="311">
        <f t="shared" si="520"/>
        <v>-0.0847436390569145</v>
      </c>
      <c r="AM155" s="311">
        <f t="shared" si="520"/>
        <v>0.0200749999999996</v>
      </c>
      <c r="AN155" s="311">
        <f t="shared" si="520"/>
        <v>0.0200749999999998</v>
      </c>
      <c r="AO155" s="311">
        <f t="shared" si="520"/>
        <v>0.0200749999999998</v>
      </c>
      <c r="AP155" s="311">
        <f t="shared" si="520"/>
        <v>0.0200749999999996</v>
      </c>
      <c r="AQ155" s="311">
        <f t="shared" si="520"/>
        <v>0.0200750000000001</v>
      </c>
      <c r="AR155" s="311">
        <f t="shared" si="520"/>
        <v>0.0659999999999996</v>
      </c>
      <c r="AS155" s="311">
        <f t="shared" si="520"/>
        <v>0.1275</v>
      </c>
      <c r="AT155" s="311">
        <f t="shared" si="520"/>
        <v>0.0660000000000001</v>
      </c>
      <c r="AU155" s="311">
        <f t="shared" si="520"/>
        <v>0.0660000000000001</v>
      </c>
      <c r="AV155" s="311">
        <f t="shared" si="520"/>
        <v>0.0506000000000002</v>
      </c>
      <c r="AW155" s="311">
        <f t="shared" si="520"/>
        <v>0.0506</v>
      </c>
      <c r="AX155" s="311">
        <f t="shared" si="520"/>
        <v>0.0506000000000002</v>
      </c>
      <c r="AY155" s="311">
        <f t="shared" si="520"/>
        <v>0.0506</v>
      </c>
      <c r="AZ155" s="311">
        <f t="shared" si="515"/>
        <v>0.0506000000000002</v>
      </c>
      <c r="BA155" s="311">
        <f t="shared" si="516"/>
        <v>0.0506000000000002</v>
      </c>
      <c r="BB155" s="311">
        <f t="shared" si="517"/>
        <v>0.0506</v>
      </c>
      <c r="BC155" s="311">
        <f t="shared" si="518"/>
        <v>0.0506</v>
      </c>
      <c r="BD155" s="319"/>
      <c r="BE155" s="313"/>
      <c r="BF155" s="259"/>
      <c r="BG155" s="316"/>
      <c r="BH155" s="311">
        <f t="shared" ref="BH155:BS155" si="521">IFERROR(BH111/BG111-1,"-")</f>
        <v>0.67405212754468</v>
      </c>
      <c r="BI155" s="311">
        <f t="shared" si="521"/>
        <v>0.870880997316694</v>
      </c>
      <c r="BJ155" s="311">
        <f t="shared" si="521"/>
        <v>-0.0155514594494069</v>
      </c>
      <c r="BK155" s="311">
        <f t="shared" si="521"/>
        <v>0.0430156023916139</v>
      </c>
      <c r="BL155" s="311">
        <f t="shared" si="521"/>
        <v>-0.038627340867262</v>
      </c>
      <c r="BM155" s="311">
        <f t="shared" si="521"/>
        <v>0.507981947496305</v>
      </c>
      <c r="BN155" s="311">
        <f t="shared" si="521"/>
        <v>-0.314937929076055</v>
      </c>
      <c r="BO155" s="311">
        <f t="shared" si="521"/>
        <v>0.830510420325827</v>
      </c>
      <c r="BP155" s="311">
        <f t="shared" si="521"/>
        <v>0.0441730399353746</v>
      </c>
      <c r="BQ155" s="311">
        <f t="shared" si="521"/>
        <v>0.265612920325658</v>
      </c>
      <c r="BR155" s="311">
        <f t="shared" si="521"/>
        <v>0.259455477578382</v>
      </c>
      <c r="BS155" s="311">
        <f t="shared" si="521"/>
        <v>0.21828693230733</v>
      </c>
      <c r="BT155" s="49"/>
    </row>
    <row r="156" customHeight="1" spans="1:78">
      <c r="A156" s="268"/>
      <c r="B156" s="268"/>
      <c r="C156" s="396" t="s">
        <v>466</v>
      </c>
      <c r="D156" s="316"/>
      <c r="E156" s="316"/>
      <c r="F156" s="316"/>
      <c r="G156" s="316"/>
      <c r="H156" s="316"/>
      <c r="I156" s="316"/>
      <c r="J156" s="316"/>
      <c r="K156" s="316"/>
      <c r="L156" s="316"/>
      <c r="M156" s="316"/>
      <c r="N156" s="316"/>
      <c r="O156" s="316"/>
      <c r="P156" s="316"/>
      <c r="Q156" s="316"/>
      <c r="R156" s="311" t="str">
        <f t="shared" ref="R156:AY156" si="522">IFERROR(R112/Q112-1,"-")</f>
        <v>-</v>
      </c>
      <c r="S156" s="311">
        <f t="shared" si="522"/>
        <v>-0.315278935678091</v>
      </c>
      <c r="T156" s="311">
        <f t="shared" si="522"/>
        <v>0.448805445910941</v>
      </c>
      <c r="U156" s="311">
        <f t="shared" si="522"/>
        <v>0.188340807174888</v>
      </c>
      <c r="V156" s="311">
        <f t="shared" si="522"/>
        <v>-0.366619139622642</v>
      </c>
      <c r="W156" s="311">
        <f t="shared" si="522"/>
        <v>-0.0720000000000001</v>
      </c>
      <c r="X156" s="311">
        <f t="shared" si="522"/>
        <v>-0.2626174007232</v>
      </c>
      <c r="Y156" s="311">
        <f t="shared" si="522"/>
        <v>0.30625</v>
      </c>
      <c r="Z156" s="311">
        <f t="shared" si="522"/>
        <v>0.837090909090909</v>
      </c>
      <c r="AA156" s="311">
        <f t="shared" si="522"/>
        <v>0.0744893111638953</v>
      </c>
      <c r="AB156" s="311">
        <f t="shared" si="522"/>
        <v>-0.0730988593155893</v>
      </c>
      <c r="AC156" s="311">
        <f t="shared" si="522"/>
        <v>0.139173469387755</v>
      </c>
      <c r="AD156" s="311">
        <f t="shared" si="522"/>
        <v>0.0535294117647058</v>
      </c>
      <c r="AE156" s="311">
        <f t="shared" si="522"/>
        <v>0.0653535353535355</v>
      </c>
      <c r="AF156" s="311">
        <f t="shared" si="522"/>
        <v>-0.517048386070236</v>
      </c>
      <c r="AG156" s="311">
        <f t="shared" si="522"/>
        <v>0.2051</v>
      </c>
      <c r="AH156" s="311">
        <f t="shared" si="522"/>
        <v>0.13715</v>
      </c>
      <c r="AI156" s="311">
        <f t="shared" si="522"/>
        <v>0.122</v>
      </c>
      <c r="AJ156" s="311">
        <f t="shared" si="522"/>
        <v>0.5658128835603</v>
      </c>
      <c r="AK156" s="311">
        <f t="shared" si="522"/>
        <v>0.0921400000000001</v>
      </c>
      <c r="AL156" s="311">
        <f t="shared" si="522"/>
        <v>-0.0844699999999999</v>
      </c>
      <c r="AM156" s="311">
        <f t="shared" si="522"/>
        <v>0.0200749999999996</v>
      </c>
      <c r="AN156" s="311">
        <f t="shared" si="522"/>
        <v>0.0200749999999998</v>
      </c>
      <c r="AO156" s="311">
        <f t="shared" si="522"/>
        <v>0.0200749999999998</v>
      </c>
      <c r="AP156" s="311">
        <f t="shared" si="522"/>
        <v>0.0200749999999996</v>
      </c>
      <c r="AQ156" s="311">
        <f t="shared" si="522"/>
        <v>0.0200750000000001</v>
      </c>
      <c r="AR156" s="311">
        <f t="shared" si="522"/>
        <v>0.0659999999999996</v>
      </c>
      <c r="AS156" s="311">
        <f t="shared" si="522"/>
        <v>0.1275</v>
      </c>
      <c r="AT156" s="311">
        <f t="shared" si="522"/>
        <v>0.0660000000000001</v>
      </c>
      <c r="AU156" s="311">
        <f t="shared" si="522"/>
        <v>0.0660000000000001</v>
      </c>
      <c r="AV156" s="311">
        <f t="shared" si="522"/>
        <v>0.0506000000000002</v>
      </c>
      <c r="AW156" s="311">
        <f t="shared" si="522"/>
        <v>0.0506</v>
      </c>
      <c r="AX156" s="311">
        <f t="shared" si="522"/>
        <v>0.0506</v>
      </c>
      <c r="AY156" s="311">
        <f t="shared" si="522"/>
        <v>0.0506</v>
      </c>
      <c r="AZ156" s="311">
        <f t="shared" si="515"/>
        <v>0.0506</v>
      </c>
      <c r="BA156" s="311">
        <f t="shared" si="516"/>
        <v>0.0506</v>
      </c>
      <c r="BB156" s="311">
        <f t="shared" si="517"/>
        <v>0.0506</v>
      </c>
      <c r="BC156" s="311">
        <f t="shared" si="518"/>
        <v>0.0506</v>
      </c>
      <c r="BD156" s="319"/>
      <c r="BE156" s="313"/>
      <c r="BF156" s="259"/>
      <c r="BG156" s="316"/>
      <c r="BH156" s="311">
        <f t="shared" ref="BH156:BS156" si="523">IFERROR(BH112/BG112-1,"-")</f>
        <v>0.638270451774406</v>
      </c>
      <c r="BI156" s="311">
        <f t="shared" si="523"/>
        <v>0.776476197400544</v>
      </c>
      <c r="BJ156" s="311">
        <f t="shared" si="523"/>
        <v>-0.0164401288960243</v>
      </c>
      <c r="BK156" s="311">
        <f t="shared" si="523"/>
        <v>0.0452483848456375</v>
      </c>
      <c r="BL156" s="311">
        <f t="shared" si="523"/>
        <v>0.0308603098319722</v>
      </c>
      <c r="BM156" s="311">
        <f t="shared" si="523"/>
        <v>0.515110572506713</v>
      </c>
      <c r="BN156" s="311">
        <f t="shared" si="523"/>
        <v>-0.316296555823871</v>
      </c>
      <c r="BO156" s="311">
        <f t="shared" si="523"/>
        <v>0.936179500671145</v>
      </c>
      <c r="BP156" s="311">
        <f t="shared" si="523"/>
        <v>0.0429867357224865</v>
      </c>
      <c r="BQ156" s="311">
        <f t="shared" si="523"/>
        <v>0.265612920325658</v>
      </c>
      <c r="BR156" s="311">
        <f t="shared" si="523"/>
        <v>0.259455477578382</v>
      </c>
      <c r="BS156" s="311">
        <f t="shared" si="523"/>
        <v>0.21828693230733</v>
      </c>
      <c r="BT156" s="49"/>
    </row>
    <row r="157" customHeight="1" spans="1:78">
      <c r="A157" s="268"/>
      <c r="B157" s="268"/>
      <c r="C157" s="396" t="s">
        <v>467</v>
      </c>
      <c r="D157" s="316"/>
      <c r="E157" s="316"/>
      <c r="F157" s="316"/>
      <c r="G157" s="316"/>
      <c r="H157" s="316"/>
      <c r="I157" s="316"/>
      <c r="J157" s="316"/>
      <c r="K157" s="316"/>
      <c r="L157" s="316"/>
      <c r="M157" s="316"/>
      <c r="N157" s="316"/>
      <c r="O157" s="316"/>
      <c r="P157" s="316"/>
      <c r="Q157" s="316"/>
      <c r="R157" s="311" t="str">
        <f t="shared" ref="R157:AY157" si="524">IFERROR(R113/Q113-1,"-")</f>
        <v>-</v>
      </c>
      <c r="S157" s="311">
        <f t="shared" si="524"/>
        <v>-0.284362772280773</v>
      </c>
      <c r="T157" s="311">
        <f t="shared" si="524"/>
        <v>0.301541459316364</v>
      </c>
      <c r="U157" s="311">
        <f t="shared" si="524"/>
        <v>0.23254105047164</v>
      </c>
      <c r="V157" s="311">
        <f t="shared" si="524"/>
        <v>-0.376</v>
      </c>
      <c r="W157" s="311">
        <f t="shared" si="524"/>
        <v>-0.0488000000000002</v>
      </c>
      <c r="X157" s="311">
        <f t="shared" si="524"/>
        <v>-0.316941324013834</v>
      </c>
      <c r="Y157" s="311">
        <f t="shared" si="524"/>
        <v>-0.0120000000000001</v>
      </c>
      <c r="Z157" s="311">
        <f t="shared" si="524"/>
        <v>0.480615384615385</v>
      </c>
      <c r="AA157" s="311">
        <f t="shared" si="524"/>
        <v>0.415461346633416</v>
      </c>
      <c r="AB157" s="311">
        <f t="shared" si="524"/>
        <v>-0.166666666666667</v>
      </c>
      <c r="AC157" s="311">
        <f t="shared" si="524"/>
        <v>0.144</v>
      </c>
      <c r="AD157" s="311">
        <f t="shared" si="524"/>
        <v>0.0895250000000001</v>
      </c>
      <c r="AE157" s="311">
        <f t="shared" si="524"/>
        <v>0.0696249999999998</v>
      </c>
      <c r="AF157" s="311">
        <f t="shared" si="524"/>
        <v>-0.465089554304184</v>
      </c>
      <c r="AG157" s="311">
        <f t="shared" si="524"/>
        <v>0.1845</v>
      </c>
      <c r="AH157" s="311">
        <f t="shared" si="524"/>
        <v>-0.0549999999999999</v>
      </c>
      <c r="AI157" s="311">
        <f t="shared" si="524"/>
        <v>0.13904</v>
      </c>
      <c r="AJ157" s="311">
        <f t="shared" si="524"/>
        <v>0.146492815206773</v>
      </c>
      <c r="AK157" s="311">
        <f t="shared" si="524"/>
        <v>0.1368</v>
      </c>
      <c r="AL157" s="311">
        <f t="shared" si="524"/>
        <v>-0.0865000000000001</v>
      </c>
      <c r="AM157" s="311">
        <f t="shared" si="524"/>
        <v>0.0200749999999998</v>
      </c>
      <c r="AN157" s="311">
        <f t="shared" si="524"/>
        <v>0.0200749999999998</v>
      </c>
      <c r="AO157" s="311">
        <f t="shared" si="524"/>
        <v>0.0200749999999998</v>
      </c>
      <c r="AP157" s="311">
        <f t="shared" si="524"/>
        <v>0.0200749999999998</v>
      </c>
      <c r="AQ157" s="311">
        <f t="shared" si="524"/>
        <v>0.0200749999999996</v>
      </c>
      <c r="AR157" s="311">
        <f t="shared" si="524"/>
        <v>0.0659999999999998</v>
      </c>
      <c r="AS157" s="311">
        <f t="shared" si="524"/>
        <v>0.1275</v>
      </c>
      <c r="AT157" s="311">
        <f t="shared" si="524"/>
        <v>0.0659999999999998</v>
      </c>
      <c r="AU157" s="311">
        <f t="shared" si="524"/>
        <v>0.0659999999999998</v>
      </c>
      <c r="AV157" s="311">
        <f t="shared" si="524"/>
        <v>0.0506000000000002</v>
      </c>
      <c r="AW157" s="311">
        <f t="shared" si="524"/>
        <v>0.0506</v>
      </c>
      <c r="AX157" s="311">
        <f t="shared" si="524"/>
        <v>0.0506000000000002</v>
      </c>
      <c r="AY157" s="311">
        <f t="shared" si="524"/>
        <v>0.0506</v>
      </c>
      <c r="AZ157" s="311">
        <f t="shared" si="515"/>
        <v>0.0506</v>
      </c>
      <c r="BA157" s="311">
        <f t="shared" si="516"/>
        <v>0.0506</v>
      </c>
      <c r="BB157" s="311">
        <f t="shared" si="517"/>
        <v>0.0506000000000002</v>
      </c>
      <c r="BC157" s="311">
        <f t="shared" si="518"/>
        <v>0.0506</v>
      </c>
      <c r="BD157" s="319"/>
      <c r="BE157" s="313"/>
      <c r="BF157" s="259"/>
      <c r="BG157" s="316"/>
      <c r="BH157" s="311">
        <f t="shared" ref="BH157:BS157" si="525">IFERROR(BH113/BG113-1,"-")</f>
        <v>0.835801879098381</v>
      </c>
      <c r="BI157" s="311">
        <f t="shared" si="525"/>
        <v>1.25171595861355</v>
      </c>
      <c r="BJ157" s="311">
        <f t="shared" si="525"/>
        <v>-0.0127231379790085</v>
      </c>
      <c r="BK157" s="311">
        <f t="shared" si="525"/>
        <v>0.0359361971263237</v>
      </c>
      <c r="BL157" s="311">
        <f t="shared" si="525"/>
        <v>-0.260929914020502</v>
      </c>
      <c r="BM157" s="311">
        <f t="shared" si="525"/>
        <v>0.476172448789128</v>
      </c>
      <c r="BN157" s="311">
        <f t="shared" si="525"/>
        <v>-0.308715521582303</v>
      </c>
      <c r="BO157" s="311">
        <f t="shared" si="525"/>
        <v>0.351861395897016</v>
      </c>
      <c r="BP157" s="311">
        <f t="shared" si="525"/>
        <v>0.0518692829849829</v>
      </c>
      <c r="BQ157" s="311">
        <f t="shared" si="525"/>
        <v>0.265612920325658</v>
      </c>
      <c r="BR157" s="311">
        <f t="shared" si="525"/>
        <v>0.259455477578382</v>
      </c>
      <c r="BS157" s="311">
        <f t="shared" si="525"/>
        <v>0.21828693230733</v>
      </c>
      <c r="BT157" s="49"/>
    </row>
    <row r="158" customHeight="1" spans="1:78">
      <c r="A158" s="268"/>
      <c r="B158" s="268"/>
      <c r="C158" s="397" t="s">
        <v>468</v>
      </c>
      <c r="D158" s="316"/>
      <c r="E158" s="316"/>
      <c r="F158" s="316"/>
      <c r="G158" s="316"/>
      <c r="H158" s="316"/>
      <c r="I158" s="316"/>
      <c r="J158" s="316"/>
      <c r="K158" s="316"/>
      <c r="L158" s="316"/>
      <c r="M158" s="316"/>
      <c r="N158" s="316"/>
      <c r="O158" s="316"/>
      <c r="P158" s="316"/>
      <c r="Q158" s="316"/>
      <c r="R158" s="311" t="str">
        <f t="shared" ref="R158:AY158" si="526">IFERROR(R114/Q114-1,"-")</f>
        <v>-</v>
      </c>
      <c r="S158" s="311" t="str">
        <f t="shared" si="526"/>
        <v>-</v>
      </c>
      <c r="T158" s="311" t="str">
        <f t="shared" si="526"/>
        <v>-</v>
      </c>
      <c r="U158" s="311" t="str">
        <f t="shared" si="526"/>
        <v>-</v>
      </c>
      <c r="V158" s="311" t="str">
        <f t="shared" si="526"/>
        <v>-</v>
      </c>
      <c r="W158" s="311" t="str">
        <f t="shared" si="526"/>
        <v>-</v>
      </c>
      <c r="X158" s="311" t="str">
        <f t="shared" si="526"/>
        <v>-</v>
      </c>
      <c r="Y158" s="311" t="str">
        <f t="shared" si="526"/>
        <v>-</v>
      </c>
      <c r="Z158" s="311" t="str">
        <f t="shared" si="526"/>
        <v>-</v>
      </c>
      <c r="AA158" s="311" t="str">
        <f t="shared" si="526"/>
        <v>-</v>
      </c>
      <c r="AB158" s="311">
        <f t="shared" si="526"/>
        <v>8.79166666666667</v>
      </c>
      <c r="AC158" s="311">
        <f t="shared" si="526"/>
        <v>0.340425531914894</v>
      </c>
      <c r="AD158" s="311">
        <f t="shared" si="526"/>
        <v>0.387301587301587</v>
      </c>
      <c r="AE158" s="311">
        <f t="shared" si="526"/>
        <v>0.469107551487414</v>
      </c>
      <c r="AF158" s="311">
        <f t="shared" si="526"/>
        <v>-0.412105742968785</v>
      </c>
      <c r="AG158" s="311">
        <f t="shared" si="526"/>
        <v>0.0138866881618238</v>
      </c>
      <c r="AH158" s="311">
        <f t="shared" si="526"/>
        <v>2.39831095678427</v>
      </c>
      <c r="AI158" s="311">
        <f t="shared" si="526"/>
        <v>-0.0926074175673258</v>
      </c>
      <c r="AJ158" s="311">
        <f t="shared" si="526"/>
        <v>0.340677966101695</v>
      </c>
      <c r="AK158" s="311">
        <f t="shared" si="526"/>
        <v>0.504424778761062</v>
      </c>
      <c r="AL158" s="311">
        <f t="shared" si="526"/>
        <v>0.176470588235294</v>
      </c>
      <c r="AM158" s="311">
        <f t="shared" si="526"/>
        <v>-0.659237030735625</v>
      </c>
      <c r="AN158" s="311">
        <f t="shared" si="526"/>
        <v>0.0128600000000001</v>
      </c>
      <c r="AO158" s="311">
        <f t="shared" si="526"/>
        <v>0.0128600000000001</v>
      </c>
      <c r="AP158" s="311">
        <f t="shared" si="526"/>
        <v>0.0128599999999999</v>
      </c>
      <c r="AQ158" s="311">
        <f t="shared" si="526"/>
        <v>0.0525800000000001</v>
      </c>
      <c r="AR158" s="311">
        <f t="shared" si="526"/>
        <v>0.0128599999999999</v>
      </c>
      <c r="AS158" s="311">
        <f t="shared" si="526"/>
        <v>0.0128600000000001</v>
      </c>
      <c r="AT158" s="311">
        <f t="shared" si="526"/>
        <v>0.0128600000000001</v>
      </c>
      <c r="AU158" s="311">
        <f t="shared" si="526"/>
        <v>0.0128600000000001</v>
      </c>
      <c r="AV158" s="311">
        <f t="shared" si="526"/>
        <v>0.0128600000000001</v>
      </c>
      <c r="AW158" s="311">
        <f t="shared" si="526"/>
        <v>0.0128600000000001</v>
      </c>
      <c r="AX158" s="311">
        <f t="shared" si="526"/>
        <v>0.0128600000000001</v>
      </c>
      <c r="AY158" s="311">
        <f t="shared" si="526"/>
        <v>0.0128599999999999</v>
      </c>
      <c r="AZ158" s="311">
        <f t="shared" si="515"/>
        <v>0.0128600000000001</v>
      </c>
      <c r="BA158" s="311">
        <f t="shared" si="516"/>
        <v>0.0128600000000001</v>
      </c>
      <c r="BB158" s="311">
        <f t="shared" si="517"/>
        <v>0.0128600000000001</v>
      </c>
      <c r="BC158" s="311">
        <f t="shared" si="518"/>
        <v>0.0128599999999999</v>
      </c>
      <c r="BD158" s="319"/>
      <c r="BE158" s="313"/>
      <c r="BF158" s="259"/>
      <c r="BG158" s="316"/>
      <c r="BH158" s="311" t="str">
        <f t="shared" ref="BH158:BS158" si="527">IFERROR(BH114/BG114-1,"-")</f>
        <v>-</v>
      </c>
      <c r="BI158" s="311" t="str">
        <f t="shared" si="527"/>
        <v>-</v>
      </c>
      <c r="BJ158" s="311" t="str">
        <f t="shared" si="527"/>
        <v>-</v>
      </c>
      <c r="BK158" s="311" t="str">
        <f t="shared" si="527"/>
        <v>-</v>
      </c>
      <c r="BL158" s="311" t="str">
        <f t="shared" si="527"/>
        <v>-</v>
      </c>
      <c r="BM158" s="311">
        <f t="shared" si="527"/>
        <v>66.875</v>
      </c>
      <c r="BN158" s="311">
        <f t="shared" si="527"/>
        <v>0.989273702801304</v>
      </c>
      <c r="BO158" s="311">
        <f t="shared" si="527"/>
        <v>1.38113635308779</v>
      </c>
      <c r="BP158" s="311">
        <f t="shared" si="527"/>
        <v>-0.484169999477667</v>
      </c>
      <c r="BQ158" s="311">
        <f t="shared" si="527"/>
        <v>0.0828920651948661</v>
      </c>
      <c r="BR158" s="311">
        <f t="shared" si="527"/>
        <v>0.0524408120770363</v>
      </c>
      <c r="BS158" s="311">
        <f t="shared" si="527"/>
        <v>0.0524408120770361</v>
      </c>
      <c r="BT158" s="49"/>
    </row>
    <row r="159" customHeight="1" spans="1:78">
      <c r="A159" s="268"/>
      <c r="B159" s="268"/>
      <c r="C159" s="396" t="s">
        <v>469</v>
      </c>
      <c r="D159" s="316"/>
      <c r="E159" s="316"/>
      <c r="F159" s="316"/>
      <c r="G159" s="316"/>
      <c r="H159" s="316"/>
      <c r="I159" s="316"/>
      <c r="J159" s="316"/>
      <c r="K159" s="316"/>
      <c r="L159" s="316"/>
      <c r="M159" s="316"/>
      <c r="N159" s="316"/>
      <c r="O159" s="316"/>
      <c r="P159" s="316"/>
      <c r="Q159" s="316"/>
      <c r="R159" s="311" t="str">
        <f t="shared" ref="R159:AY159" si="528">IFERROR(R115/Q115-1,"-")</f>
        <v>-</v>
      </c>
      <c r="S159" s="311" t="str">
        <f t="shared" si="528"/>
        <v>-</v>
      </c>
      <c r="T159" s="311" t="str">
        <f t="shared" si="528"/>
        <v>-</v>
      </c>
      <c r="U159" s="311" t="str">
        <f t="shared" si="528"/>
        <v>-</v>
      </c>
      <c r="V159" s="311" t="str">
        <f t="shared" si="528"/>
        <v>-</v>
      </c>
      <c r="W159" s="311" t="str">
        <f t="shared" si="528"/>
        <v>-</v>
      </c>
      <c r="X159" s="311" t="str">
        <f t="shared" si="528"/>
        <v>-</v>
      </c>
      <c r="Y159" s="311" t="str">
        <f t="shared" si="528"/>
        <v>-</v>
      </c>
      <c r="Z159" s="311" t="str">
        <f t="shared" si="528"/>
        <v>-</v>
      </c>
      <c r="AA159" s="311" t="str">
        <f t="shared" si="528"/>
        <v>-</v>
      </c>
      <c r="AB159" s="311">
        <f t="shared" si="528"/>
        <v>15.25</v>
      </c>
      <c r="AC159" s="311">
        <f t="shared" si="528"/>
        <v>0.4</v>
      </c>
      <c r="AD159" s="311">
        <f t="shared" si="528"/>
        <v>-0.142857142857143</v>
      </c>
      <c r="AE159" s="311">
        <f t="shared" si="528"/>
        <v>0.333333333333333</v>
      </c>
      <c r="AF159" s="311">
        <f t="shared" si="528"/>
        <v>-0.40006</v>
      </c>
      <c r="AG159" s="311">
        <f t="shared" si="528"/>
        <v>0.01</v>
      </c>
      <c r="AH159" s="311">
        <f t="shared" si="528"/>
        <v>4.21833333333333</v>
      </c>
      <c r="AI159" s="311">
        <f t="shared" si="528"/>
        <v>-0.0877226220696627</v>
      </c>
      <c r="AJ159" s="311">
        <f t="shared" si="528"/>
        <v>0.333333333333333</v>
      </c>
      <c r="AK159" s="311">
        <f t="shared" si="528"/>
        <v>0.25</v>
      </c>
      <c r="AL159" s="311">
        <f t="shared" si="528"/>
        <v>0.6</v>
      </c>
      <c r="AM159" s="311">
        <f t="shared" si="528"/>
        <v>-0.801034339464297</v>
      </c>
      <c r="AN159" s="311">
        <f t="shared" si="528"/>
        <v>0.0128600000000001</v>
      </c>
      <c r="AO159" s="311">
        <f t="shared" si="528"/>
        <v>0.0128599999999999</v>
      </c>
      <c r="AP159" s="311">
        <f t="shared" si="528"/>
        <v>0.0128599999999999</v>
      </c>
      <c r="AQ159" s="311">
        <f t="shared" si="528"/>
        <v>0.0525800000000001</v>
      </c>
      <c r="AR159" s="311">
        <f t="shared" si="528"/>
        <v>0.0128599999999999</v>
      </c>
      <c r="AS159" s="311">
        <f t="shared" si="528"/>
        <v>0.0128599999999999</v>
      </c>
      <c r="AT159" s="311">
        <f t="shared" si="528"/>
        <v>0.0128599999999999</v>
      </c>
      <c r="AU159" s="311">
        <f t="shared" si="528"/>
        <v>0.0128600000000001</v>
      </c>
      <c r="AV159" s="311">
        <f t="shared" si="528"/>
        <v>0.0128600000000001</v>
      </c>
      <c r="AW159" s="311">
        <f t="shared" si="528"/>
        <v>0.0128600000000001</v>
      </c>
      <c r="AX159" s="311">
        <f t="shared" si="528"/>
        <v>0.0128599999999999</v>
      </c>
      <c r="AY159" s="311">
        <f t="shared" si="528"/>
        <v>0.0128599999999999</v>
      </c>
      <c r="AZ159" s="311">
        <f t="shared" si="515"/>
        <v>0.0128599999999999</v>
      </c>
      <c r="BA159" s="311">
        <f t="shared" si="516"/>
        <v>0.0128600000000001</v>
      </c>
      <c r="BB159" s="311">
        <f t="shared" si="517"/>
        <v>0.0128600000000001</v>
      </c>
      <c r="BC159" s="311">
        <f t="shared" si="518"/>
        <v>0.0128599999999999</v>
      </c>
      <c r="BD159" s="319"/>
      <c r="BE159" s="313"/>
      <c r="BF159" s="259"/>
      <c r="BG159" s="316"/>
      <c r="BH159" s="311" t="str">
        <f t="shared" ref="BH159:BS159" si="529">IFERROR(BH115/BG115-1,"-")</f>
        <v>-</v>
      </c>
      <c r="BI159" s="311" t="str">
        <f t="shared" si="529"/>
        <v>-</v>
      </c>
      <c r="BJ159" s="311" t="str">
        <f t="shared" si="529"/>
        <v>-</v>
      </c>
      <c r="BK159" s="311" t="str">
        <f t="shared" si="529"/>
        <v>-</v>
      </c>
      <c r="BL159" s="311" t="str">
        <f t="shared" si="529"/>
        <v>-</v>
      </c>
      <c r="BM159" s="311">
        <f t="shared" si="529"/>
        <v>83.5</v>
      </c>
      <c r="BN159" s="311">
        <f t="shared" si="529"/>
        <v>1.23153493957396</v>
      </c>
      <c r="BO159" s="311">
        <f t="shared" si="529"/>
        <v>1.46489998502461</v>
      </c>
      <c r="BP159" s="311">
        <f t="shared" si="529"/>
        <v>-0.642855073847128</v>
      </c>
      <c r="BQ159" s="311">
        <f t="shared" si="529"/>
        <v>0.0828920651948657</v>
      </c>
      <c r="BR159" s="311">
        <f t="shared" si="529"/>
        <v>0.0524408120770363</v>
      </c>
      <c r="BS159" s="311">
        <f t="shared" si="529"/>
        <v>0.0524408120770361</v>
      </c>
      <c r="BT159" s="49"/>
    </row>
    <row r="160" customHeight="1" spans="1:78">
      <c r="A160" s="268"/>
      <c r="B160" s="268"/>
      <c r="C160" s="396" t="s">
        <v>470</v>
      </c>
      <c r="D160" s="316"/>
      <c r="E160" s="316"/>
      <c r="F160" s="316"/>
      <c r="G160" s="316"/>
      <c r="H160" s="316"/>
      <c r="I160" s="316"/>
      <c r="J160" s="316"/>
      <c r="K160" s="316"/>
      <c r="L160" s="316"/>
      <c r="M160" s="316"/>
      <c r="N160" s="316"/>
      <c r="O160" s="316"/>
      <c r="P160" s="316"/>
      <c r="Q160" s="316"/>
      <c r="R160" s="311" t="str">
        <f t="shared" ref="R160:AY160" si="530">IFERROR(R116/Q116-1,"-")</f>
        <v>-</v>
      </c>
      <c r="S160" s="311" t="str">
        <f t="shared" si="530"/>
        <v>-</v>
      </c>
      <c r="T160" s="311" t="str">
        <f t="shared" si="530"/>
        <v>-</v>
      </c>
      <c r="U160" s="311" t="str">
        <f t="shared" si="530"/>
        <v>-</v>
      </c>
      <c r="V160" s="311" t="str">
        <f t="shared" si="530"/>
        <v>-</v>
      </c>
      <c r="W160" s="311" t="str">
        <f t="shared" si="530"/>
        <v>-</v>
      </c>
      <c r="X160" s="311" t="str">
        <f t="shared" si="530"/>
        <v>-</v>
      </c>
      <c r="Y160" s="311" t="str">
        <f t="shared" si="530"/>
        <v>-</v>
      </c>
      <c r="Z160" s="311" t="str">
        <f t="shared" si="530"/>
        <v>-</v>
      </c>
      <c r="AA160" s="311" t="str">
        <f t="shared" si="530"/>
        <v>-</v>
      </c>
      <c r="AB160" s="311">
        <f t="shared" si="530"/>
        <v>7.125</v>
      </c>
      <c r="AC160" s="311">
        <f t="shared" si="530"/>
        <v>0.2</v>
      </c>
      <c r="AD160" s="311">
        <f t="shared" si="530"/>
        <v>1.83333333333333</v>
      </c>
      <c r="AE160" s="311">
        <f t="shared" si="530"/>
        <v>0.647058823529412</v>
      </c>
      <c r="AF160" s="311">
        <f t="shared" si="530"/>
        <v>-0.41787881794</v>
      </c>
      <c r="AG160" s="311">
        <f t="shared" si="530"/>
        <v>0.0149999999999997</v>
      </c>
      <c r="AH160" s="311">
        <f t="shared" si="530"/>
        <v>1.21238095238095</v>
      </c>
      <c r="AI160" s="311">
        <f t="shared" si="530"/>
        <v>-0.159342189869017</v>
      </c>
      <c r="AJ160" s="311">
        <f t="shared" si="530"/>
        <v>0.275</v>
      </c>
      <c r="AK160" s="311">
        <f t="shared" si="530"/>
        <v>0.529411764705882</v>
      </c>
      <c r="AL160" s="311">
        <f t="shared" si="530"/>
        <v>0.0256410256410255</v>
      </c>
      <c r="AM160" s="311">
        <f t="shared" si="530"/>
        <v>-0.494892509786695</v>
      </c>
      <c r="AN160" s="311">
        <f t="shared" si="530"/>
        <v>0.0128600000000001</v>
      </c>
      <c r="AO160" s="311">
        <f t="shared" si="530"/>
        <v>0.0128599999999999</v>
      </c>
      <c r="AP160" s="311">
        <f t="shared" si="530"/>
        <v>0.0128600000000001</v>
      </c>
      <c r="AQ160" s="311">
        <f t="shared" si="530"/>
        <v>0.0525800000000001</v>
      </c>
      <c r="AR160" s="311">
        <f t="shared" si="530"/>
        <v>0.0128600000000001</v>
      </c>
      <c r="AS160" s="311">
        <f t="shared" si="530"/>
        <v>0.0128599999999999</v>
      </c>
      <c r="AT160" s="311">
        <f t="shared" si="530"/>
        <v>0.0128600000000003</v>
      </c>
      <c r="AU160" s="311">
        <f t="shared" si="530"/>
        <v>0.0128600000000001</v>
      </c>
      <c r="AV160" s="311">
        <f t="shared" si="530"/>
        <v>0.0128599999999999</v>
      </c>
      <c r="AW160" s="311">
        <f t="shared" si="530"/>
        <v>0.0128599999999999</v>
      </c>
      <c r="AX160" s="311">
        <f t="shared" si="530"/>
        <v>0.0128600000000001</v>
      </c>
      <c r="AY160" s="311">
        <f t="shared" si="530"/>
        <v>0.0128600000000001</v>
      </c>
      <c r="AZ160" s="311">
        <f t="shared" si="515"/>
        <v>0.0128600000000001</v>
      </c>
      <c r="BA160" s="311">
        <f t="shared" si="516"/>
        <v>0.0128599999999999</v>
      </c>
      <c r="BB160" s="311">
        <f t="shared" si="517"/>
        <v>0.0128600000000001</v>
      </c>
      <c r="BC160" s="311">
        <f t="shared" si="518"/>
        <v>0.0128599999999999</v>
      </c>
      <c r="BD160" s="319"/>
      <c r="BE160" s="313"/>
      <c r="BF160" s="259"/>
      <c r="BG160" s="316"/>
      <c r="BH160" s="311" t="str">
        <f t="shared" ref="BH160:BS160" si="531">IFERROR(BH116/BG116-1,"-")</f>
        <v>-</v>
      </c>
      <c r="BI160" s="311" t="str">
        <f t="shared" si="531"/>
        <v>-</v>
      </c>
      <c r="BJ160" s="311" t="str">
        <f t="shared" si="531"/>
        <v>-</v>
      </c>
      <c r="BK160" s="311" t="str">
        <f t="shared" si="531"/>
        <v>-</v>
      </c>
      <c r="BL160" s="311" t="str">
        <f t="shared" si="531"/>
        <v>-</v>
      </c>
      <c r="BM160" s="311">
        <f t="shared" si="531"/>
        <v>90</v>
      </c>
      <c r="BN160" s="311">
        <f t="shared" si="531"/>
        <v>0.789533601573266</v>
      </c>
      <c r="BO160" s="311">
        <f t="shared" si="531"/>
        <v>0.914433064529096</v>
      </c>
      <c r="BP160" s="311">
        <f t="shared" si="531"/>
        <v>-0.324137367455018</v>
      </c>
      <c r="BQ160" s="311">
        <f t="shared" si="531"/>
        <v>0.0828920651948661</v>
      </c>
      <c r="BR160" s="311">
        <f t="shared" si="531"/>
        <v>0.0524408120770359</v>
      </c>
      <c r="BS160" s="311">
        <f t="shared" si="531"/>
        <v>0.0524408120770361</v>
      </c>
      <c r="BT160" s="49"/>
    </row>
    <row r="161" customHeight="1" spans="1:78">
      <c r="A161" s="268"/>
      <c r="B161" s="268"/>
      <c r="C161" s="396" t="s">
        <v>471</v>
      </c>
      <c r="D161" s="316"/>
      <c r="E161" s="316"/>
      <c r="F161" s="316"/>
      <c r="G161" s="316"/>
      <c r="H161" s="316"/>
      <c r="I161" s="316"/>
      <c r="J161" s="316"/>
      <c r="K161" s="316"/>
      <c r="L161" s="316"/>
      <c r="M161" s="316"/>
      <c r="N161" s="316"/>
      <c r="O161" s="316"/>
      <c r="P161" s="316"/>
      <c r="Q161" s="316"/>
      <c r="R161" s="311" t="str">
        <f t="shared" ref="R161:AY161" si="532">IFERROR(R117/Q117-1,"-")</f>
        <v>-</v>
      </c>
      <c r="S161" s="311" t="str">
        <f t="shared" si="532"/>
        <v>-</v>
      </c>
      <c r="T161" s="311" t="str">
        <f t="shared" si="532"/>
        <v>-</v>
      </c>
      <c r="U161" s="311" t="str">
        <f t="shared" si="532"/>
        <v>-</v>
      </c>
      <c r="V161" s="311" t="str">
        <f t="shared" si="532"/>
        <v>-</v>
      </c>
      <c r="W161" s="311" t="str">
        <f t="shared" si="532"/>
        <v>-</v>
      </c>
      <c r="X161" s="311" t="str">
        <f t="shared" si="532"/>
        <v>-</v>
      </c>
      <c r="Y161" s="311" t="str">
        <f t="shared" si="532"/>
        <v>-</v>
      </c>
      <c r="Z161" s="311" t="str">
        <f t="shared" si="532"/>
        <v>-</v>
      </c>
      <c r="AA161" s="311" t="str">
        <f t="shared" si="532"/>
        <v>-</v>
      </c>
      <c r="AB161" s="311">
        <f t="shared" si="532"/>
        <v>4</v>
      </c>
      <c r="AC161" s="311">
        <f t="shared" si="532"/>
        <v>0.375</v>
      </c>
      <c r="AD161" s="311">
        <f t="shared" si="532"/>
        <v>0.0909090909090911</v>
      </c>
      <c r="AE161" s="311">
        <f t="shared" si="532"/>
        <v>0.166666666666667</v>
      </c>
      <c r="AF161" s="311">
        <f t="shared" si="532"/>
        <v>-0.41787881794</v>
      </c>
      <c r="AG161" s="311">
        <f t="shared" si="532"/>
        <v>0.02</v>
      </c>
      <c r="AH161" s="311">
        <f t="shared" si="532"/>
        <v>3.01595238095238</v>
      </c>
      <c r="AI161" s="311">
        <f t="shared" si="532"/>
        <v>0.0783812701976812</v>
      </c>
      <c r="AJ161" s="311">
        <f t="shared" si="532"/>
        <v>0.511111111111111</v>
      </c>
      <c r="AK161" s="311">
        <f t="shared" si="532"/>
        <v>1.20588235294118</v>
      </c>
      <c r="AL161" s="311">
        <f t="shared" si="532"/>
        <v>-0.333333333333333</v>
      </c>
      <c r="AM161" s="311">
        <f t="shared" si="532"/>
        <v>-0.4207368377188</v>
      </c>
      <c r="AN161" s="311">
        <f t="shared" si="532"/>
        <v>0.0128599999999999</v>
      </c>
      <c r="AO161" s="311">
        <f t="shared" si="532"/>
        <v>0.0128600000000001</v>
      </c>
      <c r="AP161" s="311">
        <f t="shared" si="532"/>
        <v>0.0128599999999999</v>
      </c>
      <c r="AQ161" s="311">
        <f t="shared" si="532"/>
        <v>0.0525800000000001</v>
      </c>
      <c r="AR161" s="311">
        <f t="shared" si="532"/>
        <v>0.0128600000000001</v>
      </c>
      <c r="AS161" s="311">
        <f t="shared" si="532"/>
        <v>0.0128600000000001</v>
      </c>
      <c r="AT161" s="311">
        <f t="shared" si="532"/>
        <v>0.0128600000000001</v>
      </c>
      <c r="AU161" s="311">
        <f t="shared" si="532"/>
        <v>0.0128599999999999</v>
      </c>
      <c r="AV161" s="311">
        <f t="shared" si="532"/>
        <v>0.0128599999999999</v>
      </c>
      <c r="AW161" s="311">
        <f t="shared" si="532"/>
        <v>0.0128600000000001</v>
      </c>
      <c r="AX161" s="311">
        <f t="shared" si="532"/>
        <v>0.0128599999999999</v>
      </c>
      <c r="AY161" s="311">
        <f t="shared" si="532"/>
        <v>0.0128599999999999</v>
      </c>
      <c r="AZ161" s="311">
        <f t="shared" si="515"/>
        <v>0.0128600000000001</v>
      </c>
      <c r="BA161" s="311">
        <f t="shared" si="516"/>
        <v>0.0128600000000003</v>
      </c>
      <c r="BB161" s="311">
        <f t="shared" si="517"/>
        <v>0.0128600000000001</v>
      </c>
      <c r="BC161" s="311">
        <f t="shared" si="518"/>
        <v>0.0128599999999999</v>
      </c>
      <c r="BD161" s="319"/>
      <c r="BE161" s="313"/>
      <c r="BF161" s="259"/>
      <c r="BG161" s="316"/>
      <c r="BH161" s="311" t="str">
        <f t="shared" ref="BH161:BS161" si="533">IFERROR(BH117/BG117-1,"-")</f>
        <v>-</v>
      </c>
      <c r="BI161" s="311" t="str">
        <f t="shared" si="533"/>
        <v>-</v>
      </c>
      <c r="BJ161" s="311" t="str">
        <f t="shared" si="533"/>
        <v>-</v>
      </c>
      <c r="BK161" s="311" t="str">
        <f t="shared" si="533"/>
        <v>-</v>
      </c>
      <c r="BL161" s="311" t="str">
        <f t="shared" si="533"/>
        <v>-</v>
      </c>
      <c r="BM161" s="311">
        <f t="shared" si="533"/>
        <v>27.125</v>
      </c>
      <c r="BN161" s="311">
        <f t="shared" si="533"/>
        <v>0.907683470071051</v>
      </c>
      <c r="BO161" s="311">
        <f t="shared" si="533"/>
        <v>2.50327222286684</v>
      </c>
      <c r="BP161" s="311">
        <f t="shared" si="533"/>
        <v>-0.357209802878294</v>
      </c>
      <c r="BQ161" s="311">
        <f t="shared" si="533"/>
        <v>0.0828920651948661</v>
      </c>
      <c r="BR161" s="311">
        <f t="shared" si="533"/>
        <v>0.0524408120770361</v>
      </c>
      <c r="BS161" s="311">
        <f t="shared" si="533"/>
        <v>0.0524408120770361</v>
      </c>
      <c r="BT161" s="49"/>
    </row>
    <row r="162" customHeight="1" spans="1:78">
      <c r="A162" s="268"/>
      <c r="B162" s="268"/>
      <c r="C162" s="397" t="s">
        <v>484</v>
      </c>
      <c r="D162" s="316"/>
      <c r="E162" s="316"/>
      <c r="F162" s="316"/>
      <c r="G162" s="316"/>
      <c r="H162" s="316"/>
      <c r="I162" s="316"/>
      <c r="J162" s="316"/>
      <c r="K162" s="316"/>
      <c r="L162" s="316"/>
      <c r="M162" s="316"/>
      <c r="N162" s="316"/>
      <c r="O162" s="316"/>
      <c r="P162" s="316"/>
      <c r="Q162" s="316"/>
      <c r="R162" s="311" t="str">
        <f t="shared" ref="R162:AY162" si="534">IFERROR(R118/Q118-1,"-")</f>
        <v>-</v>
      </c>
      <c r="S162" s="311" t="str">
        <f t="shared" si="534"/>
        <v>-</v>
      </c>
      <c r="T162" s="311" t="str">
        <f t="shared" si="534"/>
        <v>-</v>
      </c>
      <c r="U162" s="311" t="str">
        <f t="shared" si="534"/>
        <v>-</v>
      </c>
      <c r="V162" s="311" t="str">
        <f t="shared" si="534"/>
        <v>-</v>
      </c>
      <c r="W162" s="311" t="str">
        <f t="shared" si="534"/>
        <v>-</v>
      </c>
      <c r="X162" s="311" t="str">
        <f t="shared" si="534"/>
        <v>-</v>
      </c>
      <c r="Y162" s="311" t="str">
        <f t="shared" si="534"/>
        <v>-</v>
      </c>
      <c r="Z162" s="311" t="str">
        <f t="shared" si="534"/>
        <v>-</v>
      </c>
      <c r="AA162" s="311" t="str">
        <f t="shared" si="534"/>
        <v>-</v>
      </c>
      <c r="AB162" s="311" t="str">
        <f t="shared" si="534"/>
        <v>-</v>
      </c>
      <c r="AC162" s="311" t="str">
        <f t="shared" si="534"/>
        <v>-</v>
      </c>
      <c r="AD162" s="311" t="str">
        <f t="shared" si="534"/>
        <v>-</v>
      </c>
      <c r="AE162" s="311" t="str">
        <f t="shared" si="534"/>
        <v>-</v>
      </c>
      <c r="AF162" s="311" t="str">
        <f t="shared" si="534"/>
        <v>-</v>
      </c>
      <c r="AG162" s="311" t="str">
        <f t="shared" si="534"/>
        <v>-</v>
      </c>
      <c r="AH162" s="311" t="str">
        <f t="shared" si="534"/>
        <v>-</v>
      </c>
      <c r="AI162" s="311" t="str">
        <f t="shared" si="534"/>
        <v>-</v>
      </c>
      <c r="AJ162" s="311" t="str">
        <f t="shared" si="534"/>
        <v>-</v>
      </c>
      <c r="AK162" s="311" t="str">
        <f t="shared" si="534"/>
        <v>-</v>
      </c>
      <c r="AL162" s="311" t="str">
        <f t="shared" si="534"/>
        <v>-</v>
      </c>
      <c r="AM162" s="311" t="str">
        <f t="shared" si="534"/>
        <v>-</v>
      </c>
      <c r="AN162" s="311" t="str">
        <f t="shared" si="534"/>
        <v>-</v>
      </c>
      <c r="AO162" s="311" t="str">
        <f t="shared" si="534"/>
        <v>-</v>
      </c>
      <c r="AP162" s="311" t="str">
        <f t="shared" si="534"/>
        <v>-</v>
      </c>
      <c r="AQ162" s="311">
        <f t="shared" si="534"/>
        <v>0.1385</v>
      </c>
      <c r="AR162" s="311">
        <f t="shared" si="534"/>
        <v>0.0945</v>
      </c>
      <c r="AS162" s="311">
        <f t="shared" si="534"/>
        <v>0.393</v>
      </c>
      <c r="AT162" s="311">
        <f t="shared" si="534"/>
        <v>0.4527</v>
      </c>
      <c r="AU162" s="311">
        <f t="shared" si="534"/>
        <v>0.393</v>
      </c>
      <c r="AV162" s="311">
        <f t="shared" si="534"/>
        <v>0.2935</v>
      </c>
      <c r="AW162" s="311">
        <f t="shared" si="534"/>
        <v>0.2935</v>
      </c>
      <c r="AX162" s="311">
        <f t="shared" si="534"/>
        <v>0.2935</v>
      </c>
      <c r="AY162" s="311">
        <f t="shared" si="534"/>
        <v>0.2935</v>
      </c>
      <c r="AZ162" s="311">
        <f t="shared" si="515"/>
        <v>0.1144</v>
      </c>
      <c r="BA162" s="311">
        <f t="shared" si="516"/>
        <v>0.1144</v>
      </c>
      <c r="BB162" s="311">
        <f t="shared" si="517"/>
        <v>0.1144</v>
      </c>
      <c r="BC162" s="311">
        <f t="shared" si="518"/>
        <v>0.1144</v>
      </c>
      <c r="BD162" s="319"/>
      <c r="BE162" s="313"/>
      <c r="BF162" s="259"/>
      <c r="BG162" s="316"/>
      <c r="BH162" s="311" t="str">
        <f t="shared" ref="BH162:BS162" si="535">IFERROR(BH118/BG118-1,"-")</f>
        <v>-</v>
      </c>
      <c r="BI162" s="311" t="str">
        <f t="shared" si="535"/>
        <v>-</v>
      </c>
      <c r="BJ162" s="311" t="str">
        <f t="shared" si="535"/>
        <v>-</v>
      </c>
      <c r="BK162" s="311" t="str">
        <f t="shared" si="535"/>
        <v>-</v>
      </c>
      <c r="BL162" s="311" t="str">
        <f t="shared" si="535"/>
        <v>-</v>
      </c>
      <c r="BM162" s="311" t="str">
        <f t="shared" si="535"/>
        <v>-</v>
      </c>
      <c r="BN162" s="311" t="str">
        <f t="shared" si="535"/>
        <v>-</v>
      </c>
      <c r="BO162" s="311" t="str">
        <f t="shared" si="535"/>
        <v>-</v>
      </c>
      <c r="BP162" s="311" t="str">
        <f t="shared" si="535"/>
        <v>-</v>
      </c>
      <c r="BQ162" s="311">
        <f t="shared" si="535"/>
        <v>3.21607352369466</v>
      </c>
      <c r="BR162" s="311">
        <f t="shared" si="535"/>
        <v>2.08956109329103</v>
      </c>
      <c r="BS162" s="311">
        <f t="shared" si="535"/>
        <v>0.864749616322004</v>
      </c>
      <c r="BT162" s="49"/>
    </row>
    <row r="163" customHeight="1" spans="1:78">
      <c r="A163" s="252"/>
      <c r="B163" s="281" t="s">
        <v>476</v>
      </c>
      <c r="C163" s="70"/>
      <c r="D163" s="316"/>
      <c r="E163" s="316"/>
      <c r="F163" s="316"/>
      <c r="G163" s="316"/>
      <c r="H163" s="316"/>
      <c r="I163" s="316"/>
      <c r="J163" s="316"/>
      <c r="K163" s="316"/>
      <c r="L163" s="316"/>
      <c r="M163" s="316"/>
      <c r="N163" s="316"/>
      <c r="O163" s="316"/>
      <c r="P163" s="316"/>
      <c r="Q163" s="316"/>
      <c r="R163" s="311" t="str">
        <f t="shared" ref="R163:AY163" si="536">IFERROR(R122/Q122-1,"-")</f>
        <v>-</v>
      </c>
      <c r="S163" s="311" t="str">
        <f t="shared" si="536"/>
        <v>-</v>
      </c>
      <c r="T163" s="311" t="str">
        <f t="shared" si="536"/>
        <v>-</v>
      </c>
      <c r="U163" s="311" t="str">
        <f t="shared" si="536"/>
        <v>-</v>
      </c>
      <c r="V163" s="311" t="str">
        <f t="shared" si="536"/>
        <v>-</v>
      </c>
      <c r="W163" s="311" t="str">
        <f t="shared" si="536"/>
        <v>-</v>
      </c>
      <c r="X163" s="311" t="str">
        <f t="shared" si="536"/>
        <v>-</v>
      </c>
      <c r="Y163" s="311" t="str">
        <f t="shared" si="536"/>
        <v>-</v>
      </c>
      <c r="Z163" s="311" t="str">
        <f t="shared" si="536"/>
        <v>-</v>
      </c>
      <c r="AA163" s="311" t="str">
        <f t="shared" si="536"/>
        <v>-</v>
      </c>
      <c r="AB163" s="311" t="str">
        <f t="shared" si="536"/>
        <v>-</v>
      </c>
      <c r="AC163" s="311" t="str">
        <f t="shared" si="536"/>
        <v>-</v>
      </c>
      <c r="AD163" s="311" t="str">
        <f t="shared" si="536"/>
        <v>-</v>
      </c>
      <c r="AE163" s="311" t="str">
        <f t="shared" si="536"/>
        <v>-</v>
      </c>
      <c r="AF163" s="311" t="str">
        <f t="shared" si="536"/>
        <v>-</v>
      </c>
      <c r="AG163" s="311" t="str">
        <f t="shared" si="536"/>
        <v>-</v>
      </c>
      <c r="AH163" s="311" t="str">
        <f t="shared" si="536"/>
        <v>-</v>
      </c>
      <c r="AI163" s="311" t="str">
        <f t="shared" si="536"/>
        <v>-</v>
      </c>
      <c r="AJ163" s="311">
        <f t="shared" si="536"/>
        <v>1.744</v>
      </c>
      <c r="AK163" s="311">
        <f t="shared" si="536"/>
        <v>0.943634596695822</v>
      </c>
      <c r="AL163" s="311">
        <f t="shared" si="536"/>
        <v>0.979802</v>
      </c>
      <c r="AM163" s="311">
        <f t="shared" si="536"/>
        <v>0.1088</v>
      </c>
      <c r="AN163" s="311">
        <f t="shared" si="536"/>
        <v>0.1088</v>
      </c>
      <c r="AO163" s="311">
        <f t="shared" si="536"/>
        <v>0.2375</v>
      </c>
      <c r="AP163" s="311">
        <f t="shared" si="536"/>
        <v>0.1385</v>
      </c>
      <c r="AQ163" s="311">
        <f t="shared" si="536"/>
        <v>0.0395000000000001</v>
      </c>
      <c r="AR163" s="311">
        <f t="shared" si="536"/>
        <v>0.0394999999999999</v>
      </c>
      <c r="AS163" s="311">
        <f t="shared" si="536"/>
        <v>0.584</v>
      </c>
      <c r="AT163" s="311">
        <f t="shared" si="536"/>
        <v>0.212338362745811</v>
      </c>
      <c r="AU163" s="311">
        <f t="shared" si="536"/>
        <v>0.362898215512434</v>
      </c>
      <c r="AV163" s="311">
        <f t="shared" si="536"/>
        <v>0.219666236516789</v>
      </c>
      <c r="AW163" s="311">
        <f t="shared" si="536"/>
        <v>0.800597620774077</v>
      </c>
      <c r="AX163" s="311">
        <f t="shared" si="536"/>
        <v>0.136636599536913</v>
      </c>
      <c r="AY163" s="311">
        <f t="shared" si="536"/>
        <v>0.123768962914129</v>
      </c>
      <c r="AZ163" s="311">
        <f t="shared" ref="AZ163:AZ167" si="537">IFERROR(AZ122/AY122-1,"-")</f>
        <v>0.0491151387556716</v>
      </c>
      <c r="BA163" s="311">
        <f t="shared" ref="BA163:BA167" si="538">IFERROR(BA122/AZ122-1,"-")</f>
        <v>0.0671973395636418</v>
      </c>
      <c r="BB163" s="311">
        <f t="shared" ref="BB163:BB167" si="539">IFERROR(BB122/BA122-1,"-")</f>
        <v>0.0633570779037105</v>
      </c>
      <c r="BC163" s="311">
        <f t="shared" ref="BC163:BC167" si="540">IFERROR(BC122/BB122-1,"-")</f>
        <v>0.0599616404932992</v>
      </c>
      <c r="BD163" s="319"/>
      <c r="BE163" s="313"/>
      <c r="BF163" s="259"/>
      <c r="BG163" s="316"/>
      <c r="BH163" s="311" t="str">
        <f t="shared" ref="BH163:BS163" si="541">IFERROR(BH122/BG122-1,"-")</f>
        <v>-</v>
      </c>
      <c r="BI163" s="311" t="str">
        <f t="shared" si="541"/>
        <v>-</v>
      </c>
      <c r="BJ163" s="311" t="str">
        <f t="shared" si="541"/>
        <v>-</v>
      </c>
      <c r="BK163" s="311" t="str">
        <f t="shared" si="541"/>
        <v>-</v>
      </c>
      <c r="BL163" s="311" t="str">
        <f t="shared" si="541"/>
        <v>-</v>
      </c>
      <c r="BM163" s="311" t="str">
        <f t="shared" si="541"/>
        <v>-</v>
      </c>
      <c r="BN163" s="311" t="str">
        <f t="shared" si="541"/>
        <v>-</v>
      </c>
      <c r="BO163" s="311">
        <f t="shared" si="541"/>
        <v>29.3440344405333</v>
      </c>
      <c r="BP163" s="311">
        <f t="shared" si="541"/>
        <v>1.18652415456827</v>
      </c>
      <c r="BQ163" s="311">
        <f t="shared" si="541"/>
        <v>1.1213031828489</v>
      </c>
      <c r="BR163" s="311">
        <f t="shared" si="541"/>
        <v>2.20361673464946</v>
      </c>
      <c r="BS163" s="311">
        <f t="shared" si="541"/>
        <v>0.487092279059088</v>
      </c>
      <c r="BT163" s="49"/>
    </row>
    <row r="164" customHeight="1" spans="1:78">
      <c r="A164" s="252"/>
      <c r="B164" s="107"/>
      <c r="C164" s="283" t="s">
        <v>477</v>
      </c>
      <c r="D164" s="316"/>
      <c r="E164" s="316"/>
      <c r="F164" s="316"/>
      <c r="G164" s="316"/>
      <c r="H164" s="316"/>
      <c r="I164" s="316"/>
      <c r="J164" s="316"/>
      <c r="K164" s="316"/>
      <c r="L164" s="316"/>
      <c r="M164" s="316"/>
      <c r="N164" s="316"/>
      <c r="O164" s="316"/>
      <c r="P164" s="316"/>
      <c r="Q164" s="316"/>
      <c r="R164" s="311" t="str">
        <f t="shared" ref="R164:AY164" si="542">IFERROR(R123/Q123-1,"-")</f>
        <v>-</v>
      </c>
      <c r="S164" s="311" t="str">
        <f t="shared" si="542"/>
        <v>-</v>
      </c>
      <c r="T164" s="311" t="str">
        <f t="shared" si="542"/>
        <v>-</v>
      </c>
      <c r="U164" s="311" t="str">
        <f t="shared" si="542"/>
        <v>-</v>
      </c>
      <c r="V164" s="311" t="str">
        <f t="shared" si="542"/>
        <v>-</v>
      </c>
      <c r="W164" s="311" t="str">
        <f t="shared" si="542"/>
        <v>-</v>
      </c>
      <c r="X164" s="311" t="str">
        <f t="shared" si="542"/>
        <v>-</v>
      </c>
      <c r="Y164" s="311" t="str">
        <f t="shared" si="542"/>
        <v>-</v>
      </c>
      <c r="Z164" s="311" t="str">
        <f t="shared" si="542"/>
        <v>-</v>
      </c>
      <c r="AA164" s="311" t="str">
        <f t="shared" si="542"/>
        <v>-</v>
      </c>
      <c r="AB164" s="311" t="str">
        <f t="shared" si="542"/>
        <v>-</v>
      </c>
      <c r="AC164" s="311" t="str">
        <f t="shared" si="542"/>
        <v>-</v>
      </c>
      <c r="AD164" s="311" t="str">
        <f t="shared" si="542"/>
        <v>-</v>
      </c>
      <c r="AE164" s="311" t="str">
        <f t="shared" si="542"/>
        <v>-</v>
      </c>
      <c r="AF164" s="311" t="str">
        <f t="shared" si="542"/>
        <v>-</v>
      </c>
      <c r="AG164" s="311" t="str">
        <f t="shared" si="542"/>
        <v>-</v>
      </c>
      <c r="AH164" s="311" t="str">
        <f t="shared" si="542"/>
        <v>-</v>
      </c>
      <c r="AI164" s="311" t="str">
        <f t="shared" si="542"/>
        <v>-</v>
      </c>
      <c r="AJ164" s="311">
        <f t="shared" si="542"/>
        <v>1.744</v>
      </c>
      <c r="AK164" s="311">
        <f t="shared" si="542"/>
        <v>0.943634596695822</v>
      </c>
      <c r="AL164" s="311">
        <f t="shared" si="542"/>
        <v>0.979802</v>
      </c>
      <c r="AM164" s="311">
        <f t="shared" si="542"/>
        <v>0.1088</v>
      </c>
      <c r="AN164" s="311">
        <f t="shared" si="542"/>
        <v>0.1088</v>
      </c>
      <c r="AO164" s="311">
        <f t="shared" si="542"/>
        <v>0.2375</v>
      </c>
      <c r="AP164" s="311">
        <f t="shared" si="542"/>
        <v>0.1385</v>
      </c>
      <c r="AQ164" s="311">
        <f t="shared" si="542"/>
        <v>0.0395000000000001</v>
      </c>
      <c r="AR164" s="311">
        <f t="shared" si="542"/>
        <v>0.0394999999999999</v>
      </c>
      <c r="AS164" s="311">
        <f t="shared" si="542"/>
        <v>0.584</v>
      </c>
      <c r="AT164" s="311">
        <f t="shared" si="542"/>
        <v>0.188</v>
      </c>
      <c r="AU164" s="311">
        <f t="shared" si="542"/>
        <v>0.188</v>
      </c>
      <c r="AV164" s="311">
        <f t="shared" si="542"/>
        <v>0.0691999999999999</v>
      </c>
      <c r="AW164" s="311">
        <f t="shared" si="542"/>
        <v>0.0692000000000002</v>
      </c>
      <c r="AX164" s="311">
        <f t="shared" si="542"/>
        <v>0.0692000000000002</v>
      </c>
      <c r="AY164" s="311">
        <f t="shared" si="542"/>
        <v>0.0691999999999999</v>
      </c>
      <c r="AZ164" s="311">
        <f t="shared" si="537"/>
        <v>0.0512223551709319</v>
      </c>
      <c r="BA164" s="311">
        <f t="shared" si="538"/>
        <v>0.00980000000000003</v>
      </c>
      <c r="BB164" s="311">
        <f t="shared" si="539"/>
        <v>0.00980000000000003</v>
      </c>
      <c r="BC164" s="311">
        <f t="shared" si="540"/>
        <v>0.00980000000000003</v>
      </c>
      <c r="BD164" s="319"/>
      <c r="BE164" s="313"/>
      <c r="BF164" s="259"/>
      <c r="BG164" s="316"/>
      <c r="BH164" s="311" t="str">
        <f t="shared" ref="BH164:BS164" si="543">IFERROR(BH123/BG123-1,"-")</f>
        <v>-</v>
      </c>
      <c r="BI164" s="311" t="str">
        <f t="shared" si="543"/>
        <v>-</v>
      </c>
      <c r="BJ164" s="311" t="str">
        <f t="shared" si="543"/>
        <v>-</v>
      </c>
      <c r="BK164" s="311" t="str">
        <f t="shared" si="543"/>
        <v>-</v>
      </c>
      <c r="BL164" s="311" t="str">
        <f t="shared" si="543"/>
        <v>-</v>
      </c>
      <c r="BM164" s="311" t="str">
        <f t="shared" si="543"/>
        <v>-</v>
      </c>
      <c r="BN164" s="311" t="str">
        <f t="shared" si="543"/>
        <v>-</v>
      </c>
      <c r="BO164" s="311">
        <f t="shared" si="543"/>
        <v>29.3440344405333</v>
      </c>
      <c r="BP164" s="311">
        <f t="shared" si="543"/>
        <v>1.18652415456827</v>
      </c>
      <c r="BQ164" s="311">
        <f t="shared" si="543"/>
        <v>0.996133375478329</v>
      </c>
      <c r="BR164" s="311">
        <f t="shared" si="543"/>
        <v>0.581782876746573</v>
      </c>
      <c r="BS164" s="311">
        <f t="shared" si="543"/>
        <v>0.176108600156026</v>
      </c>
      <c r="BT164" s="49"/>
    </row>
    <row r="165" s="107" customFormat="1" customHeight="1" spans="1:78">
      <c r="A165" s="252"/>
      <c r="C165" s="283" t="s">
        <v>478</v>
      </c>
      <c r="D165" s="261"/>
      <c r="E165" s="261"/>
      <c r="F165" s="261"/>
      <c r="G165" s="261"/>
      <c r="H165" s="261"/>
      <c r="I165" s="261"/>
      <c r="J165" s="261"/>
      <c r="K165" s="261"/>
      <c r="L165" s="261"/>
      <c r="M165" s="261"/>
      <c r="N165" s="261"/>
      <c r="O165" s="261"/>
      <c r="P165" s="262"/>
      <c r="Q165" s="262"/>
      <c r="R165" s="311" t="str">
        <f t="shared" ref="R165:R166" si="544">IFERROR(R124/Q124-1,"-")</f>
        <v>-</v>
      </c>
      <c r="S165" s="311" t="str">
        <f t="shared" ref="S165:S166" si="545">IFERROR(S124/R124-1,"-")</f>
        <v>-</v>
      </c>
      <c r="T165" s="311" t="str">
        <f t="shared" ref="T165:T166" si="546">IFERROR(T124/S124-1,"-")</f>
        <v>-</v>
      </c>
      <c r="U165" s="311" t="str">
        <f t="shared" ref="U165:U166" si="547">IFERROR(U124/T124-1,"-")</f>
        <v>-</v>
      </c>
      <c r="V165" s="311" t="str">
        <f t="shared" ref="V165:V166" si="548">IFERROR(V124/U124-1,"-")</f>
        <v>-</v>
      </c>
      <c r="W165" s="311" t="str">
        <f t="shared" ref="W165:W166" si="549">IFERROR(W124/V124-1,"-")</f>
        <v>-</v>
      </c>
      <c r="X165" s="311" t="str">
        <f t="shared" ref="X165:X166" si="550">IFERROR(X124/W124-1,"-")</f>
        <v>-</v>
      </c>
      <c r="Y165" s="311" t="str">
        <f t="shared" ref="Y165:Y166" si="551">IFERROR(Y124/X124-1,"-")</f>
        <v>-</v>
      </c>
      <c r="Z165" s="311" t="str">
        <f t="shared" ref="Z165:Z166" si="552">IFERROR(Z124/Y124-1,"-")</f>
        <v>-</v>
      </c>
      <c r="AA165" s="311" t="str">
        <f t="shared" ref="AA165:AA166" si="553">IFERROR(AA124/Z124-1,"-")</f>
        <v>-</v>
      </c>
      <c r="AB165" s="311" t="str">
        <f t="shared" ref="AB165:AB166" si="554">IFERROR(AB124/AA124-1,"-")</f>
        <v>-</v>
      </c>
      <c r="AC165" s="311" t="str">
        <f t="shared" ref="AC165:AC166" si="555">IFERROR(AC124/AB124-1,"-")</f>
        <v>-</v>
      </c>
      <c r="AD165" s="311" t="str">
        <f t="shared" ref="AD165:AD166" si="556">IFERROR(AD124/AC124-1,"-")</f>
        <v>-</v>
      </c>
      <c r="AE165" s="311" t="str">
        <f t="shared" ref="AE165:AE166" si="557">IFERROR(AE124/AD124-1,"-")</f>
        <v>-</v>
      </c>
      <c r="AF165" s="311" t="str">
        <f t="shared" ref="AF165:AF166" si="558">IFERROR(AF124/AE124-1,"-")</f>
        <v>-</v>
      </c>
      <c r="AG165" s="311" t="str">
        <f t="shared" ref="AG165:AG166" si="559">IFERROR(AG124/AF124-1,"-")</f>
        <v>-</v>
      </c>
      <c r="AH165" s="311" t="str">
        <f t="shared" ref="AH165:AH166" si="560">IFERROR(AH124/AG124-1,"-")</f>
        <v>-</v>
      </c>
      <c r="AI165" s="311" t="str">
        <f t="shared" ref="AI165:AI166" si="561">IFERROR(AI124/AH124-1,"-")</f>
        <v>-</v>
      </c>
      <c r="AJ165" s="311" t="str">
        <f t="shared" ref="AJ165:AJ166" si="562">IFERROR(AJ124/AI124-1,"-")</f>
        <v>-</v>
      </c>
      <c r="AK165" s="311" t="str">
        <f t="shared" ref="AK165:AK166" si="563">IFERROR(AK124/AJ124-1,"-")</f>
        <v>-</v>
      </c>
      <c r="AL165" s="311" t="str">
        <f t="shared" ref="AL165:AL166" si="564">IFERROR(AL124/AK124-1,"-")</f>
        <v>-</v>
      </c>
      <c r="AM165" s="311" t="str">
        <f t="shared" ref="AM165:AM166" si="565">IFERROR(AM124/AL124-1,"-")</f>
        <v>-</v>
      </c>
      <c r="AN165" s="311" t="str">
        <f t="shared" ref="AN165:AN166" si="566">IFERROR(AN124/AM124-1,"-")</f>
        <v>-</v>
      </c>
      <c r="AO165" s="311" t="str">
        <f t="shared" ref="AO165:AO166" si="567">IFERROR(AO124/AN124-1,"-")</f>
        <v>-</v>
      </c>
      <c r="AP165" s="311" t="str">
        <f t="shared" ref="AP165:AP166" si="568">IFERROR(AP124/AO124-1,"-")</f>
        <v>-</v>
      </c>
      <c r="AQ165" s="311" t="str">
        <f t="shared" ref="AQ165:AQ166" si="569">IFERROR(AQ124/AP124-1,"-")</f>
        <v>-</v>
      </c>
      <c r="AR165" s="311" t="str">
        <f t="shared" ref="AR165:AR166" si="570">IFERROR(AR124/AQ124-1,"-")</f>
        <v>-</v>
      </c>
      <c r="AS165" s="311" t="str">
        <f t="shared" ref="AS165:AS166" si="571">IFERROR(AS124/AR124-1,"-")</f>
        <v>-</v>
      </c>
      <c r="AT165" s="311" t="str">
        <f t="shared" ref="AT165:AT166" si="572">IFERROR(AT124/AS124-1,"-")</f>
        <v>-</v>
      </c>
      <c r="AU165" s="311" t="str">
        <f t="shared" ref="AU165:AU166" si="573">IFERROR(AU124/AT124-1,"-")</f>
        <v>-</v>
      </c>
      <c r="AV165" s="311" t="str">
        <f t="shared" ref="AV165:AV166" si="574">IFERROR(AV124/AU124-1,"-")</f>
        <v>-</v>
      </c>
      <c r="AW165" s="311" t="str">
        <f t="shared" ref="AW165:AW166" si="575">IFERROR(AW124/AV124-1,"-")</f>
        <v>-</v>
      </c>
      <c r="AX165" s="311">
        <f t="shared" ref="AX165:AX166" si="576">IFERROR(AX124/AW124-1,"-")</f>
        <v>0.07568</v>
      </c>
      <c r="AY165" s="311">
        <f t="shared" ref="AY165:AY166" si="577">IFERROR(AY124/AX124-1,"-")</f>
        <v>0.0756626506024098</v>
      </c>
      <c r="AZ165" s="311">
        <f t="shared" si="537"/>
        <v>0.0358064516129033</v>
      </c>
      <c r="BA165" s="311">
        <f t="shared" si="538"/>
        <v>0.0357894736842104</v>
      </c>
      <c r="BB165" s="311">
        <f t="shared" si="539"/>
        <v>0.0357723577235773</v>
      </c>
      <c r="BC165" s="311">
        <f t="shared" si="540"/>
        <v>0.0357551020408164</v>
      </c>
      <c r="BD165" s="319"/>
      <c r="BE165" s="313"/>
      <c r="BF165" s="259"/>
      <c r="BG165" s="316"/>
      <c r="BH165" s="311" t="str">
        <f t="shared" ref="BH165:BH166" si="578">IFERROR(BH124/BG124-1,"-")</f>
        <v>-</v>
      </c>
      <c r="BI165" s="311" t="str">
        <f t="shared" ref="BI165:BI166" si="579">IFERROR(BI124/BH124-1,"-")</f>
        <v>-</v>
      </c>
      <c r="BJ165" s="311" t="str">
        <f t="shared" ref="BJ165:BJ166" si="580">IFERROR(BJ124/BI124-1,"-")</f>
        <v>-</v>
      </c>
      <c r="BK165" s="311" t="str">
        <f t="shared" ref="BK165:BK166" si="581">IFERROR(BK124/BJ124-1,"-")</f>
        <v>-</v>
      </c>
      <c r="BL165" s="311" t="str">
        <f t="shared" ref="BL165:BL166" si="582">IFERROR(BL124/BK124-1,"-")</f>
        <v>-</v>
      </c>
      <c r="BM165" s="311" t="str">
        <f t="shared" ref="BM165:BM166" si="583">IFERROR(BM124/BL124-1,"-")</f>
        <v>-</v>
      </c>
      <c r="BN165" s="311" t="str">
        <f t="shared" ref="BN165:BN166" si="584">IFERROR(BN124/BM124-1,"-")</f>
        <v>-</v>
      </c>
      <c r="BO165" s="311" t="str">
        <f t="shared" ref="BO165:BO166" si="585">IFERROR(BO124/BN124-1,"-")</f>
        <v>-</v>
      </c>
      <c r="BP165" s="311" t="str">
        <f t="shared" ref="BP165:BP166" si="586">IFERROR(BP124/BO124-1,"-")</f>
        <v>-</v>
      </c>
      <c r="BQ165" s="311" t="str">
        <f t="shared" ref="BQ165:BQ166" si="587">IFERROR(BQ124/BP124-1,"-")</f>
        <v>-</v>
      </c>
      <c r="BR165" s="311" t="str">
        <f t="shared" ref="BR165:BS166" si="588">IFERROR(BR124/BQ124-1,"-")</f>
        <v>-</v>
      </c>
      <c r="BS165" s="311">
        <f t="shared" si="588"/>
        <v>0.564447980049296</v>
      </c>
      <c r="BT165" s="252"/>
      <c r="BU165"/>
      <c r="BV165"/>
      <c r="BW165"/>
      <c r="BX165"/>
      <c r="BY165"/>
      <c r="BZ165"/>
    </row>
    <row r="166" s="107" customFormat="1" customHeight="1" spans="1:78">
      <c r="A166" s="252"/>
      <c r="C166" s="283" t="s">
        <v>479</v>
      </c>
      <c r="D166" s="261"/>
      <c r="E166" s="261"/>
      <c r="F166" s="261"/>
      <c r="G166" s="261"/>
      <c r="H166" s="261"/>
      <c r="I166" s="261"/>
      <c r="J166" s="261"/>
      <c r="K166" s="261"/>
      <c r="L166" s="261"/>
      <c r="M166" s="261"/>
      <c r="N166" s="261"/>
      <c r="O166" s="261"/>
      <c r="P166" s="262"/>
      <c r="Q166" s="262"/>
      <c r="R166" s="311" t="str">
        <f t="shared" si="544"/>
        <v>-</v>
      </c>
      <c r="S166" s="311" t="str">
        <f t="shared" si="545"/>
        <v>-</v>
      </c>
      <c r="T166" s="311" t="str">
        <f t="shared" si="546"/>
        <v>-</v>
      </c>
      <c r="U166" s="311" t="str">
        <f t="shared" si="547"/>
        <v>-</v>
      </c>
      <c r="V166" s="311" t="str">
        <f t="shared" si="548"/>
        <v>-</v>
      </c>
      <c r="W166" s="311" t="str">
        <f t="shared" si="549"/>
        <v>-</v>
      </c>
      <c r="X166" s="311" t="str">
        <f t="shared" si="550"/>
        <v>-</v>
      </c>
      <c r="Y166" s="311" t="str">
        <f t="shared" si="551"/>
        <v>-</v>
      </c>
      <c r="Z166" s="311" t="str">
        <f t="shared" si="552"/>
        <v>-</v>
      </c>
      <c r="AA166" s="311" t="str">
        <f t="shared" si="553"/>
        <v>-</v>
      </c>
      <c r="AB166" s="311" t="str">
        <f t="shared" si="554"/>
        <v>-</v>
      </c>
      <c r="AC166" s="311" t="str">
        <f t="shared" si="555"/>
        <v>-</v>
      </c>
      <c r="AD166" s="311" t="str">
        <f t="shared" si="556"/>
        <v>-</v>
      </c>
      <c r="AE166" s="311" t="str">
        <f t="shared" si="557"/>
        <v>-</v>
      </c>
      <c r="AF166" s="311" t="str">
        <f t="shared" si="558"/>
        <v>-</v>
      </c>
      <c r="AG166" s="311" t="str">
        <f t="shared" si="559"/>
        <v>-</v>
      </c>
      <c r="AH166" s="311" t="str">
        <f t="shared" si="560"/>
        <v>-</v>
      </c>
      <c r="AI166" s="311" t="str">
        <f t="shared" si="561"/>
        <v>-</v>
      </c>
      <c r="AJ166" s="311" t="str">
        <f t="shared" si="562"/>
        <v>-</v>
      </c>
      <c r="AK166" s="311" t="str">
        <f t="shared" si="563"/>
        <v>-</v>
      </c>
      <c r="AL166" s="311" t="str">
        <f t="shared" si="564"/>
        <v>-</v>
      </c>
      <c r="AM166" s="311" t="str">
        <f t="shared" si="565"/>
        <v>-</v>
      </c>
      <c r="AN166" s="311" t="str">
        <f t="shared" si="566"/>
        <v>-</v>
      </c>
      <c r="AO166" s="311" t="str">
        <f t="shared" si="567"/>
        <v>-</v>
      </c>
      <c r="AP166" s="311" t="str">
        <f t="shared" si="568"/>
        <v>-</v>
      </c>
      <c r="AQ166" s="311" t="str">
        <f t="shared" si="569"/>
        <v>-</v>
      </c>
      <c r="AR166" s="311" t="str">
        <f t="shared" si="570"/>
        <v>-</v>
      </c>
      <c r="AS166" s="311" t="str">
        <f t="shared" si="571"/>
        <v>-</v>
      </c>
      <c r="AT166" s="311" t="str">
        <f t="shared" si="572"/>
        <v>-</v>
      </c>
      <c r="AU166" s="311">
        <f t="shared" si="573"/>
        <v>8.9</v>
      </c>
      <c r="AV166" s="311">
        <f t="shared" si="574"/>
        <v>1.1010101010101</v>
      </c>
      <c r="AW166" s="311">
        <f t="shared" si="575"/>
        <v>0.576923076923077</v>
      </c>
      <c r="AX166" s="311">
        <f t="shared" si="576"/>
        <v>0.365853658536585</v>
      </c>
      <c r="AY166" s="311">
        <f t="shared" si="577"/>
        <v>0.267857142857143</v>
      </c>
      <c r="AZ166" s="311">
        <f t="shared" si="537"/>
        <v>0.0598591549295775</v>
      </c>
      <c r="BA166" s="311">
        <f t="shared" si="538"/>
        <v>0.174418604651163</v>
      </c>
      <c r="BB166" s="311">
        <f t="shared" si="539"/>
        <v>0.148514851485148</v>
      </c>
      <c r="BC166" s="311">
        <f t="shared" si="540"/>
        <v>0.129310344827586</v>
      </c>
      <c r="BD166" s="319"/>
      <c r="BE166" s="313"/>
      <c r="BF166" s="259"/>
      <c r="BG166" s="316"/>
      <c r="BH166" s="311" t="str">
        <f t="shared" si="578"/>
        <v>-</v>
      </c>
      <c r="BI166" s="311" t="str">
        <f t="shared" si="579"/>
        <v>-</v>
      </c>
      <c r="BJ166" s="311" t="str">
        <f t="shared" si="580"/>
        <v>-</v>
      </c>
      <c r="BK166" s="311" t="str">
        <f t="shared" si="581"/>
        <v>-</v>
      </c>
      <c r="BL166" s="311" t="str">
        <f t="shared" si="582"/>
        <v>-</v>
      </c>
      <c r="BM166" s="311" t="str">
        <f t="shared" si="583"/>
        <v>-</v>
      </c>
      <c r="BN166" s="311" t="str">
        <f t="shared" si="584"/>
        <v>-</v>
      </c>
      <c r="BO166" s="311" t="str">
        <f t="shared" si="585"/>
        <v>-</v>
      </c>
      <c r="BP166" s="311" t="str">
        <f t="shared" si="586"/>
        <v>-</v>
      </c>
      <c r="BQ166" s="311" t="str">
        <f t="shared" si="587"/>
        <v>-</v>
      </c>
      <c r="BR166" s="311">
        <f t="shared" si="588"/>
        <v>13.2385321100917</v>
      </c>
      <c r="BS166" s="311">
        <f t="shared" si="588"/>
        <v>0.957474226804124</v>
      </c>
      <c r="BT166" s="252"/>
      <c r="BU166"/>
      <c r="BV166"/>
      <c r="BW166"/>
      <c r="BX166"/>
      <c r="BY166"/>
      <c r="BZ166"/>
    </row>
    <row r="167" customHeight="1" spans="1:78">
      <c r="A167" s="252"/>
      <c r="B167" s="281" t="s">
        <v>480</v>
      </c>
      <c r="C167" s="70"/>
      <c r="D167" s="316"/>
      <c r="E167" s="316"/>
      <c r="F167" s="316"/>
      <c r="G167" s="316"/>
      <c r="H167" s="316"/>
      <c r="I167" s="316"/>
      <c r="J167" s="316"/>
      <c r="K167" s="316"/>
      <c r="L167" s="316"/>
      <c r="M167" s="316"/>
      <c r="N167" s="316"/>
      <c r="O167" s="316"/>
      <c r="P167" s="316"/>
      <c r="Q167" s="316"/>
      <c r="R167" s="311" t="str">
        <f t="shared" ref="R167:AY167" si="589">IFERROR(R126/Q126-1,"-")</f>
        <v>-</v>
      </c>
      <c r="S167" s="311">
        <f t="shared" si="589"/>
        <v>0.9</v>
      </c>
      <c r="T167" s="311">
        <f t="shared" si="589"/>
        <v>-0.0999999999999999</v>
      </c>
      <c r="U167" s="311">
        <f t="shared" si="589"/>
        <v>0.122</v>
      </c>
      <c r="V167" s="311">
        <f t="shared" si="589"/>
        <v>0.1832</v>
      </c>
      <c r="W167" s="311">
        <f t="shared" si="589"/>
        <v>0.224</v>
      </c>
      <c r="X167" s="311">
        <f t="shared" si="589"/>
        <v>4.4858934169279</v>
      </c>
      <c r="Y167" s="311">
        <f t="shared" si="589"/>
        <v>1.38333333333333</v>
      </c>
      <c r="Z167" s="311">
        <f t="shared" si="589"/>
        <v>1.76466666666667</v>
      </c>
      <c r="AA167" s="311">
        <f t="shared" si="589"/>
        <v>0.0940068965517242</v>
      </c>
      <c r="AB167" s="311">
        <f t="shared" si="589"/>
        <v>-0.0727002288329521</v>
      </c>
      <c r="AC167" s="311">
        <f t="shared" si="589"/>
        <v>0.12616011337281</v>
      </c>
      <c r="AD167" s="311">
        <f t="shared" si="589"/>
        <v>-0.348786055524764</v>
      </c>
      <c r="AE167" s="311">
        <f t="shared" si="589"/>
        <v>-0.964028571428571</v>
      </c>
      <c r="AF167" s="311">
        <f t="shared" si="589"/>
        <v>-0.415969723870484</v>
      </c>
      <c r="AG167" s="311">
        <f t="shared" si="589"/>
        <v>0.8</v>
      </c>
      <c r="AH167" s="311">
        <f t="shared" si="589"/>
        <v>0.6</v>
      </c>
      <c r="AI167" s="311">
        <f t="shared" si="589"/>
        <v>3.52411805555556</v>
      </c>
      <c r="AJ167" s="311">
        <f t="shared" si="589"/>
        <v>-0.401356618002588</v>
      </c>
      <c r="AK167" s="311">
        <f t="shared" si="589"/>
        <v>1.33333333333333</v>
      </c>
      <c r="AL167" s="311">
        <f t="shared" si="589"/>
        <v>-0.395604395604396</v>
      </c>
      <c r="AM167" s="311">
        <f t="shared" si="589"/>
        <v>0.909090909090909</v>
      </c>
      <c r="AN167" s="311">
        <f t="shared" si="589"/>
        <v>-0.541425625651</v>
      </c>
      <c r="AO167" s="311">
        <f t="shared" si="589"/>
        <v>0.03515</v>
      </c>
      <c r="AP167" s="311">
        <f t="shared" si="589"/>
        <v>0.03515</v>
      </c>
      <c r="AQ167" s="311">
        <f t="shared" si="589"/>
        <v>0.03515</v>
      </c>
      <c r="AR167" s="311">
        <f t="shared" si="589"/>
        <v>-0.04525</v>
      </c>
      <c r="AS167" s="311">
        <f t="shared" si="589"/>
        <v>0.0250999999999999</v>
      </c>
      <c r="AT167" s="311">
        <f t="shared" si="589"/>
        <v>0.0150499999999998</v>
      </c>
      <c r="AU167" s="311">
        <f t="shared" si="589"/>
        <v>0.01505</v>
      </c>
      <c r="AV167" s="311">
        <f t="shared" si="589"/>
        <v>0.01505</v>
      </c>
      <c r="AW167" s="311">
        <f t="shared" si="589"/>
        <v>0.01505</v>
      </c>
      <c r="AX167" s="311">
        <f t="shared" si="589"/>
        <v>0.0150499999999998</v>
      </c>
      <c r="AY167" s="311">
        <f t="shared" si="589"/>
        <v>0.0150499999999998</v>
      </c>
      <c r="AZ167" s="311">
        <f t="shared" si="537"/>
        <v>0.01505</v>
      </c>
      <c r="BA167" s="311">
        <f t="shared" si="538"/>
        <v>0.0150499999999998</v>
      </c>
      <c r="BB167" s="311">
        <f t="shared" si="539"/>
        <v>0.01505</v>
      </c>
      <c r="BC167" s="311">
        <f t="shared" si="540"/>
        <v>0.0150499999999998</v>
      </c>
      <c r="BD167" s="319"/>
      <c r="BE167" s="313"/>
      <c r="BF167" s="259"/>
      <c r="BG167" s="316"/>
      <c r="BH167" s="311" t="str">
        <f t="shared" ref="BH167:BS167" si="590">IFERROR(BH126/BG126-1,"-")</f>
        <v>-</v>
      </c>
      <c r="BI167" s="311" t="str">
        <f t="shared" si="590"/>
        <v>-</v>
      </c>
      <c r="BJ167" s="311" t="str">
        <f t="shared" si="590"/>
        <v>-</v>
      </c>
      <c r="BK167" s="311">
        <f t="shared" si="590"/>
        <v>1.99218871490207</v>
      </c>
      <c r="BL167" s="311">
        <f t="shared" si="590"/>
        <v>29.1812615495955</v>
      </c>
      <c r="BM167" s="311">
        <f t="shared" si="590"/>
        <v>0.122799880234667</v>
      </c>
      <c r="BN167" s="311">
        <f t="shared" si="590"/>
        <v>-0.900116191018804</v>
      </c>
      <c r="BO167" s="311">
        <f t="shared" si="590"/>
        <v>2.10003602455656</v>
      </c>
      <c r="BP167" s="311">
        <f t="shared" si="590"/>
        <v>-0.300013131990483</v>
      </c>
      <c r="BQ167" s="311">
        <f t="shared" si="590"/>
        <v>0.0353787809601442</v>
      </c>
      <c r="BR167" s="311">
        <f t="shared" si="590"/>
        <v>0.0641226996686421</v>
      </c>
      <c r="BS167" s="311">
        <f t="shared" si="590"/>
        <v>0.0615727017538821</v>
      </c>
      <c r="BT167" s="49"/>
    </row>
    <row r="168" customHeight="1" spans="1:78">
      <c r="A168" s="268"/>
      <c r="B168" s="268" t="s">
        <v>481</v>
      </c>
      <c r="C168" s="284"/>
      <c r="D168" s="316"/>
      <c r="E168" s="316"/>
      <c r="F168" s="316"/>
      <c r="G168" s="316"/>
      <c r="H168" s="316"/>
      <c r="I168" s="316"/>
      <c r="J168" s="316"/>
      <c r="K168" s="316"/>
      <c r="L168" s="316"/>
      <c r="M168" s="316"/>
      <c r="N168" s="316"/>
      <c r="O168" s="316"/>
      <c r="P168" s="316"/>
      <c r="Q168" s="316"/>
      <c r="R168" s="311"/>
      <c r="S168" s="311"/>
      <c r="T168" s="311"/>
      <c r="U168" s="311"/>
      <c r="V168" s="311"/>
      <c r="W168" s="311"/>
      <c r="X168" s="311"/>
      <c r="Y168" s="311"/>
      <c r="Z168" s="311"/>
      <c r="AA168" s="311"/>
      <c r="AB168" s="311"/>
      <c r="AC168" s="311"/>
      <c r="AD168" s="311"/>
      <c r="AE168" s="311"/>
      <c r="AF168" s="311"/>
      <c r="AG168" s="311"/>
      <c r="AH168" s="311"/>
      <c r="AI168" s="311"/>
      <c r="AJ168" s="311"/>
      <c r="AK168" s="311"/>
      <c r="AL168" s="311"/>
      <c r="AM168" s="311"/>
      <c r="AN168" s="311"/>
      <c r="AO168" s="311"/>
      <c r="AP168" s="311"/>
      <c r="AQ168" s="311"/>
      <c r="AR168" s="311"/>
      <c r="AS168" s="311"/>
      <c r="AT168" s="311"/>
      <c r="AU168" s="311"/>
      <c r="AV168" s="311"/>
      <c r="AW168" s="311"/>
      <c r="AX168" s="311"/>
      <c r="AY168" s="311"/>
      <c r="AZ168" s="311"/>
      <c r="BA168" s="311"/>
      <c r="BB168" s="311"/>
      <c r="BC168" s="311"/>
      <c r="BD168" s="319"/>
      <c r="BE168" s="313"/>
      <c r="BF168" s="259"/>
      <c r="BG168" s="316"/>
      <c r="BH168" s="311"/>
      <c r="BI168" s="311"/>
      <c r="BJ168" s="311"/>
      <c r="BK168" s="311"/>
      <c r="BL168" s="311"/>
      <c r="BM168" s="311"/>
      <c r="BN168" s="311"/>
      <c r="BO168" s="311"/>
      <c r="BP168" s="311"/>
      <c r="BQ168" s="311"/>
      <c r="BR168" s="311"/>
      <c r="BS168" s="311"/>
      <c r="BT168" s="49"/>
    </row>
    <row r="169" customHeight="1" spans="1:78">
      <c r="A169" s="286" t="s">
        <v>125</v>
      </c>
      <c r="B169" s="286"/>
      <c r="C169" s="287"/>
      <c r="D169" s="316"/>
      <c r="E169" s="316"/>
      <c r="F169" s="316"/>
      <c r="G169" s="316"/>
      <c r="H169" s="316"/>
      <c r="I169" s="316"/>
      <c r="J169" s="316"/>
      <c r="K169" s="316"/>
      <c r="L169" s="316"/>
      <c r="M169" s="316"/>
      <c r="N169" s="316"/>
      <c r="O169" s="316"/>
      <c r="P169" s="316"/>
      <c r="Q169" s="316"/>
      <c r="R169" s="317" t="str">
        <f t="shared" ref="R169:AY169" si="591">IFERROR(R128/Q128-1,"-")</f>
        <v>-</v>
      </c>
      <c r="S169" s="317">
        <f t="shared" si="591"/>
        <v>-0.30045038723828</v>
      </c>
      <c r="T169" s="317">
        <f t="shared" si="591"/>
        <v>0.402850524795609</v>
      </c>
      <c r="U169" s="317">
        <f t="shared" si="591"/>
        <v>0.197823956361318</v>
      </c>
      <c r="V169" s="317">
        <f t="shared" si="591"/>
        <v>-0.361975057539905</v>
      </c>
      <c r="W169" s="317">
        <f t="shared" si="591"/>
        <v>-0.0624491648403455</v>
      </c>
      <c r="X169" s="317">
        <f t="shared" si="591"/>
        <v>-0.156762411211087</v>
      </c>
      <c r="Y169" s="317">
        <f t="shared" si="591"/>
        <v>0.41866590992555</v>
      </c>
      <c r="Z169" s="317">
        <f t="shared" si="591"/>
        <v>1.04322328461193</v>
      </c>
      <c r="AA169" s="317">
        <f t="shared" si="591"/>
        <v>0.116429575931806</v>
      </c>
      <c r="AB169" s="317">
        <f t="shared" si="591"/>
        <v>-0.0710786210140913</v>
      </c>
      <c r="AC169" s="317">
        <f t="shared" si="591"/>
        <v>0.14047619840897</v>
      </c>
      <c r="AD169" s="317">
        <f t="shared" si="591"/>
        <v>-0.0714940243117466</v>
      </c>
      <c r="AE169" s="317">
        <f t="shared" si="591"/>
        <v>-0.169966638454608</v>
      </c>
      <c r="AF169" s="317">
        <f t="shared" si="591"/>
        <v>-0.469912095937612</v>
      </c>
      <c r="AG169" s="317">
        <f t="shared" si="591"/>
        <v>0.211094372723632</v>
      </c>
      <c r="AH169" s="317">
        <f t="shared" si="591"/>
        <v>0.176075797893278</v>
      </c>
      <c r="AI169" s="317">
        <f t="shared" si="591"/>
        <v>0.2728173374613</v>
      </c>
      <c r="AJ169" s="317">
        <f t="shared" si="591"/>
        <v>-0.0306466711895783</v>
      </c>
      <c r="AK169" s="317">
        <f t="shared" si="591"/>
        <v>0.258323013632856</v>
      </c>
      <c r="AL169" s="317">
        <f t="shared" si="591"/>
        <v>-0.0235233881094948</v>
      </c>
      <c r="AM169" s="317">
        <f t="shared" si="591"/>
        <v>0.178993743183514</v>
      </c>
      <c r="AN169" s="317">
        <f t="shared" si="591"/>
        <v>0.144346518532528</v>
      </c>
      <c r="AO169" s="317">
        <f t="shared" si="591"/>
        <v>0.1546691277842</v>
      </c>
      <c r="AP169" s="317">
        <f t="shared" si="591"/>
        <v>0.00920142965760062</v>
      </c>
      <c r="AQ169" s="317">
        <f t="shared" si="591"/>
        <v>-0.0198866336404017</v>
      </c>
      <c r="AR169" s="317">
        <f t="shared" si="591"/>
        <v>0.0530146077284352</v>
      </c>
      <c r="AS169" s="317">
        <f t="shared" si="591"/>
        <v>0.206857362679505</v>
      </c>
      <c r="AT169" s="317">
        <f t="shared" si="591"/>
        <v>0.117127063204894</v>
      </c>
      <c r="AU169" s="317">
        <f t="shared" si="591"/>
        <v>0.160703103838359</v>
      </c>
      <c r="AV169" s="317">
        <f t="shared" si="591"/>
        <v>0.119882620941431</v>
      </c>
      <c r="AW169" s="317">
        <f t="shared" si="591"/>
        <v>0.314881587614777</v>
      </c>
      <c r="AX169" s="317">
        <f t="shared" si="591"/>
        <v>0.111929263473661</v>
      </c>
      <c r="AY169" s="317">
        <f t="shared" si="591"/>
        <v>0.111385823126981</v>
      </c>
      <c r="AZ169" s="317">
        <f t="shared" ref="AZ169" si="592">IFERROR(AZ128/AY128-1,"-")</f>
        <v>0.0571752671830619</v>
      </c>
      <c r="BA169" s="317">
        <f t="shared" ref="BA169" si="593">IFERROR(BA128/AZ128-1,"-")</f>
        <v>0.0659172150785279</v>
      </c>
      <c r="BB169" s="317">
        <f t="shared" ref="BB169" si="594">IFERROR(BB128/BA128-1,"-")</f>
        <v>0.0647176267309411</v>
      </c>
      <c r="BC169" s="317">
        <f t="shared" ref="BC169" si="595">IFERROR(BC128/BB128-1,"-")</f>
        <v>0.063730423254359</v>
      </c>
      <c r="BD169" s="316"/>
      <c r="BE169" s="313"/>
      <c r="BF169" s="259"/>
      <c r="BG169" s="316"/>
      <c r="BH169" s="317">
        <f t="shared" ref="BH169:BS169" si="596">IFERROR(BH128/BG128-1,"-")</f>
        <v>0.452775032694436</v>
      </c>
      <c r="BI169" s="317">
        <f t="shared" si="596"/>
        <v>0.431888816022615</v>
      </c>
      <c r="BJ169" s="317">
        <f t="shared" si="596"/>
        <v>-0.0113389070158421</v>
      </c>
      <c r="BK169" s="317">
        <f t="shared" si="596"/>
        <v>0.0494497466241977</v>
      </c>
      <c r="BL169" s="317">
        <f t="shared" si="596"/>
        <v>0.404872177545629</v>
      </c>
      <c r="BM169" s="317">
        <f t="shared" si="596"/>
        <v>0.433346461010993</v>
      </c>
      <c r="BN169" s="317">
        <f t="shared" si="596"/>
        <v>-0.377566064258012</v>
      </c>
      <c r="BO169" s="317">
        <f t="shared" si="596"/>
        <v>0.592007045426904</v>
      </c>
      <c r="BP169" s="317">
        <f t="shared" si="596"/>
        <v>0.49868952284148</v>
      </c>
      <c r="BQ169" s="317">
        <f t="shared" si="596"/>
        <v>0.379983275696424</v>
      </c>
      <c r="BR169" s="317">
        <f t="shared" si="596"/>
        <v>0.84896594013244</v>
      </c>
      <c r="BS169" s="317">
        <f t="shared" si="596"/>
        <v>0.401779664757258</v>
      </c>
      <c r="BT169" s="49"/>
    </row>
    <row r="170" customHeight="1" spans="1:78">
      <c r="A170" s="268"/>
      <c r="B170" s="252"/>
      <c r="C170" s="268"/>
      <c r="D170" s="320"/>
      <c r="E170" s="320"/>
      <c r="F170" s="320"/>
      <c r="G170" s="320"/>
      <c r="H170" s="320"/>
      <c r="I170" s="320"/>
      <c r="J170" s="320"/>
      <c r="K170" s="320"/>
      <c r="L170" s="320"/>
      <c r="M170" s="320"/>
      <c r="N170" s="320"/>
      <c r="O170" s="320"/>
      <c r="P170" s="320"/>
      <c r="Q170" s="320"/>
      <c r="R170" s="320"/>
      <c r="S170" s="320"/>
      <c r="T170" s="320"/>
      <c r="U170" s="320"/>
      <c r="V170" s="320"/>
      <c r="W170" s="320"/>
      <c r="X170" s="320"/>
      <c r="Y170" s="320"/>
      <c r="Z170" s="320"/>
      <c r="AA170" s="320"/>
      <c r="AB170" s="320"/>
      <c r="AC170" s="320"/>
      <c r="AD170" s="320"/>
      <c r="AE170" s="320"/>
      <c r="AF170" s="320"/>
      <c r="AG170" s="320"/>
      <c r="AH170" s="320"/>
      <c r="AI170" s="320"/>
      <c r="AJ170" s="320"/>
      <c r="AK170" s="320"/>
      <c r="AL170" s="320"/>
      <c r="AM170" s="320"/>
      <c r="AN170" s="320"/>
      <c r="AO170" s="320"/>
      <c r="AP170" s="320"/>
      <c r="AQ170" s="320"/>
      <c r="AR170" s="320"/>
      <c r="AS170" s="320"/>
      <c r="AT170" s="320"/>
      <c r="AU170" s="320"/>
      <c r="AV170" s="320"/>
      <c r="AW170" s="320"/>
      <c r="AX170" s="320"/>
      <c r="AY170" s="320"/>
      <c r="AZ170" s="320"/>
      <c r="BA170" s="320"/>
      <c r="BB170" s="320"/>
      <c r="BC170" s="320"/>
      <c r="BD170" s="320"/>
      <c r="BE170" s="313"/>
      <c r="BF170" s="259"/>
      <c r="BG170" s="316"/>
      <c r="BH170" s="316"/>
      <c r="BI170" s="316"/>
      <c r="BJ170" s="316"/>
      <c r="BK170" s="316"/>
      <c r="BL170" s="316"/>
      <c r="BM170" s="316"/>
      <c r="BN170" s="316"/>
      <c r="BO170" s="316"/>
      <c r="BP170" s="49"/>
      <c r="BQ170" s="49"/>
      <c r="BR170" s="49"/>
      <c r="BS170" s="49"/>
      <c r="BT170" s="49"/>
    </row>
    <row r="171" ht="11.25" spans="1:78">
      <c r="A171" s="244" t="s">
        <v>486</v>
      </c>
      <c r="B171" s="244"/>
      <c r="C171" s="244"/>
      <c r="D171" s="245"/>
      <c r="E171" s="245"/>
      <c r="F171" s="245"/>
      <c r="G171" s="245"/>
      <c r="H171" s="321"/>
      <c r="I171" s="321"/>
      <c r="J171" s="245"/>
      <c r="K171" s="245"/>
      <c r="L171" s="245"/>
      <c r="M171" s="245"/>
      <c r="N171" s="245"/>
      <c r="O171" s="245"/>
      <c r="P171" s="245"/>
      <c r="Q171" s="245"/>
      <c r="R171" s="245"/>
      <c r="S171" s="245"/>
      <c r="T171" s="245"/>
      <c r="U171" s="245"/>
      <c r="V171" s="245"/>
      <c r="W171" s="245"/>
      <c r="X171" s="245"/>
      <c r="Y171" s="245"/>
      <c r="Z171" s="245"/>
      <c r="AA171" s="245"/>
      <c r="AB171" s="245"/>
      <c r="AC171" s="245"/>
      <c r="AD171" s="245"/>
      <c r="AE171" s="245"/>
      <c r="AF171" s="245"/>
      <c r="AG171" s="245"/>
      <c r="AH171" s="245"/>
      <c r="AI171" s="245"/>
      <c r="AJ171" s="245"/>
      <c r="AK171" s="245"/>
      <c r="AL171" s="245"/>
      <c r="AM171" s="245"/>
      <c r="AN171" s="245"/>
      <c r="AO171" s="245"/>
      <c r="AP171" s="245"/>
      <c r="AQ171" s="245"/>
      <c r="AR171" s="245"/>
      <c r="AS171" s="245"/>
      <c r="AT171" s="245"/>
      <c r="AU171" s="245"/>
      <c r="AV171" s="245"/>
      <c r="AW171" s="245"/>
      <c r="AX171" s="245"/>
      <c r="AY171" s="245"/>
      <c r="AZ171" s="245"/>
      <c r="BA171" s="245"/>
      <c r="BB171" s="245"/>
      <c r="BC171" s="245"/>
      <c r="BD171" s="248"/>
      <c r="BE171" s="305"/>
      <c r="BF171" s="249"/>
      <c r="BG171" s="250"/>
      <c r="BH171" s="322"/>
      <c r="BI171" s="322"/>
      <c r="BJ171" s="322"/>
      <c r="BK171" s="322"/>
      <c r="BL171" s="322"/>
      <c r="BM171" s="322"/>
      <c r="BN171" s="322"/>
      <c r="BO171" s="322"/>
      <c r="BP171" s="250"/>
      <c r="BQ171" s="250"/>
      <c r="BR171" s="250"/>
      <c r="BS171" s="250"/>
      <c r="BT171" s="250"/>
    </row>
    <row r="172" customHeight="1" spans="1:78">
      <c r="A172" s="252"/>
      <c r="B172" s="252"/>
      <c r="C172" s="252"/>
      <c r="D172" s="261"/>
      <c r="E172" s="261"/>
      <c r="F172" s="323"/>
      <c r="G172" s="261"/>
      <c r="H172" s="261"/>
      <c r="I172" s="261"/>
      <c r="J172" s="261"/>
      <c r="K172" s="261"/>
      <c r="L172" s="261"/>
      <c r="M172" s="261"/>
      <c r="N172" s="261"/>
      <c r="O172" s="261"/>
      <c r="P172" s="261"/>
      <c r="Q172" s="261"/>
      <c r="R172" s="261"/>
      <c r="S172" s="261"/>
      <c r="T172" s="261"/>
      <c r="U172" s="261"/>
      <c r="V172" s="261"/>
      <c r="W172" s="323"/>
      <c r="X172" s="282"/>
      <c r="Y172" s="261"/>
      <c r="Z172" s="261"/>
      <c r="AA172" s="261"/>
      <c r="AB172" s="261"/>
      <c r="AC172" s="261"/>
      <c r="AD172" s="261"/>
      <c r="AE172" s="261"/>
      <c r="AF172" s="261"/>
      <c r="AG172" s="261"/>
      <c r="AH172" s="261"/>
      <c r="AI172" s="261"/>
      <c r="AJ172" s="261"/>
      <c r="AK172" s="261"/>
      <c r="AL172" s="261"/>
      <c r="AM172" s="261"/>
      <c r="AN172" s="261"/>
      <c r="AO172" s="261"/>
      <c r="AP172" s="261"/>
      <c r="AQ172" s="261"/>
      <c r="AR172" s="261"/>
      <c r="AS172" s="261"/>
      <c r="AT172" s="261"/>
      <c r="AU172" s="261"/>
      <c r="AV172" s="261"/>
      <c r="AW172" s="261"/>
      <c r="AX172" s="261"/>
      <c r="AY172" s="261"/>
      <c r="AZ172" s="261"/>
      <c r="BA172" s="261"/>
      <c r="BB172" s="261"/>
      <c r="BC172" s="261"/>
      <c r="BD172" s="261"/>
      <c r="BE172" s="271"/>
      <c r="BF172" s="272"/>
      <c r="BG172" s="323"/>
      <c r="BH172" s="323"/>
      <c r="BI172" s="323"/>
      <c r="BJ172" s="323"/>
      <c r="BK172" s="323"/>
      <c r="BL172" s="323"/>
      <c r="BM172" s="323"/>
      <c r="BN172" s="323"/>
      <c r="BO172" s="323"/>
      <c r="BP172" s="324"/>
      <c r="BQ172" s="324"/>
      <c r="BR172" s="324"/>
      <c r="BS172" s="324"/>
      <c r="BT172" s="324"/>
    </row>
    <row r="173" customHeight="1" spans="1:78">
      <c r="A173" s="252"/>
      <c r="B173" s="395" t="s">
        <v>464</v>
      </c>
      <c r="C173" s="70"/>
      <c r="D173" s="261"/>
      <c r="E173" s="261"/>
      <c r="F173" s="323"/>
      <c r="G173" s="261"/>
      <c r="H173" s="261"/>
      <c r="I173" s="261"/>
      <c r="J173" s="261"/>
      <c r="K173" s="261"/>
      <c r="L173" s="261"/>
      <c r="M173" s="261"/>
      <c r="N173" s="261"/>
      <c r="O173" s="261"/>
      <c r="P173" s="261"/>
      <c r="Q173" s="261"/>
      <c r="R173" s="261"/>
      <c r="S173" s="261"/>
      <c r="T173" s="261"/>
      <c r="U173" s="261"/>
      <c r="V173" s="261"/>
      <c r="W173" s="323"/>
      <c r="X173" s="282"/>
      <c r="Y173" s="261"/>
      <c r="Z173" s="261"/>
      <c r="AA173" s="261"/>
      <c r="AB173" s="261"/>
      <c r="AC173" s="261"/>
      <c r="AD173" s="261"/>
      <c r="AE173" s="261"/>
      <c r="AF173" s="261"/>
      <c r="AG173" s="261"/>
      <c r="AH173" s="261"/>
      <c r="AI173" s="261"/>
      <c r="AJ173" s="261"/>
      <c r="AK173" s="261"/>
      <c r="AL173" s="261"/>
      <c r="AM173" s="261"/>
      <c r="AN173" s="261"/>
      <c r="AO173" s="261"/>
      <c r="AP173" s="261"/>
      <c r="AQ173" s="261"/>
      <c r="AR173" s="261"/>
      <c r="AS173" s="261"/>
      <c r="AT173" s="261"/>
      <c r="AU173" s="261"/>
      <c r="AV173" s="261"/>
      <c r="AW173" s="261"/>
      <c r="AX173" s="261"/>
      <c r="AY173" s="261"/>
      <c r="AZ173" s="261"/>
      <c r="BA173" s="261"/>
      <c r="BB173" s="261"/>
      <c r="BC173" s="261"/>
      <c r="BD173" s="261"/>
      <c r="BE173" s="271"/>
      <c r="BF173" s="272"/>
      <c r="BG173" s="323"/>
      <c r="BH173" s="323"/>
      <c r="BI173" s="323"/>
      <c r="BJ173" s="323"/>
      <c r="BK173" s="323"/>
      <c r="BL173" s="323"/>
      <c r="BM173" s="323"/>
      <c r="BN173" s="323"/>
      <c r="BO173" s="323"/>
      <c r="BP173" s="324"/>
      <c r="BQ173" s="324"/>
      <c r="BR173" s="324"/>
      <c r="BS173" s="324"/>
      <c r="BT173" s="324"/>
    </row>
    <row r="174" customHeight="1" spans="1:78">
      <c r="A174" s="268"/>
      <c r="B174" s="268"/>
      <c r="C174" s="397" t="s">
        <v>465</v>
      </c>
      <c r="D174" s="261"/>
      <c r="E174" s="261"/>
      <c r="F174" s="323"/>
      <c r="G174" s="261"/>
      <c r="H174" s="261"/>
      <c r="I174" s="261"/>
      <c r="J174" s="261"/>
      <c r="K174" s="261"/>
      <c r="L174" s="261"/>
      <c r="M174" s="261"/>
      <c r="N174" s="261"/>
      <c r="O174" s="261"/>
      <c r="P174" s="261"/>
      <c r="Q174" s="261"/>
      <c r="R174" s="261"/>
      <c r="S174" s="261"/>
      <c r="T174" s="261"/>
      <c r="U174" s="261"/>
      <c r="V174" s="261"/>
      <c r="W174" s="323"/>
      <c r="X174" s="282"/>
      <c r="Y174" s="261"/>
      <c r="Z174" s="261"/>
      <c r="AA174" s="261"/>
      <c r="AB174" s="261"/>
      <c r="AC174" s="261"/>
      <c r="AD174" s="261"/>
      <c r="AE174" s="261"/>
      <c r="AF174" s="261"/>
      <c r="AG174" s="261"/>
      <c r="AH174" s="261"/>
      <c r="AI174" s="261"/>
      <c r="AJ174" s="261"/>
      <c r="AK174" s="261"/>
      <c r="AL174" s="261"/>
      <c r="AM174" s="261"/>
      <c r="AN174" s="261"/>
      <c r="AO174" s="261"/>
      <c r="AP174" s="261"/>
      <c r="AQ174" s="261"/>
      <c r="AR174" s="261"/>
      <c r="AS174" s="261"/>
      <c r="AT174" s="261"/>
      <c r="AU174" s="261"/>
      <c r="AV174" s="261"/>
      <c r="AW174" s="261"/>
      <c r="AX174" s="261"/>
      <c r="AY174" s="261"/>
      <c r="AZ174" s="261"/>
      <c r="BA174" s="261"/>
      <c r="BB174" s="261"/>
      <c r="BC174" s="261"/>
      <c r="BD174" s="261"/>
      <c r="BE174" s="271"/>
      <c r="BF174" s="272"/>
      <c r="BG174" s="323"/>
      <c r="BH174" s="323"/>
      <c r="BI174" s="323"/>
      <c r="BJ174" s="323"/>
      <c r="BK174" s="323"/>
      <c r="BL174" s="323"/>
      <c r="BM174" s="323"/>
      <c r="BN174" s="323"/>
      <c r="BO174" s="323"/>
      <c r="BP174" s="325"/>
      <c r="BQ174" s="324"/>
      <c r="BR174" s="325"/>
      <c r="BS174" s="325"/>
      <c r="BT174" s="150"/>
    </row>
    <row r="175" customHeight="1" spans="1:78">
      <c r="A175" s="268"/>
      <c r="B175" s="268"/>
      <c r="C175" s="396" t="s">
        <v>466</v>
      </c>
      <c r="D175" s="261"/>
      <c r="E175" s="261"/>
      <c r="F175" s="323"/>
      <c r="G175" s="261"/>
      <c r="H175" s="261"/>
      <c r="I175" s="261"/>
      <c r="J175" s="261"/>
      <c r="K175" s="261"/>
      <c r="L175" s="261"/>
      <c r="M175" s="261"/>
      <c r="N175" s="261"/>
      <c r="O175" s="261"/>
      <c r="P175" s="261"/>
      <c r="Q175" s="261"/>
      <c r="R175" s="276">
        <f>35.797*0.42</f>
        <v>15.03474</v>
      </c>
      <c r="S175" s="276">
        <v>10.72</v>
      </c>
      <c r="T175" s="276">
        <v>13.38</v>
      </c>
      <c r="U175" s="276">
        <v>15.9</v>
      </c>
      <c r="V175" s="276">
        <v>12.747792</v>
      </c>
      <c r="W175" s="276">
        <v>10.1982336</v>
      </c>
      <c r="X175" s="276">
        <v>8</v>
      </c>
      <c r="Y175" s="276">
        <v>11</v>
      </c>
      <c r="Z175" s="276">
        <v>21.05</v>
      </c>
      <c r="AA175" s="276">
        <v>26.3</v>
      </c>
      <c r="AB175" s="276">
        <v>24.5</v>
      </c>
      <c r="AC175" s="276">
        <v>28.05</v>
      </c>
      <c r="AD175" s="276">
        <v>29.7</v>
      </c>
      <c r="AE175" s="276">
        <v>31.8</v>
      </c>
      <c r="AF175" s="276">
        <f>+AE175*0.518</f>
        <v>16.4724</v>
      </c>
      <c r="AG175" s="276">
        <f>+AF175*1.2</f>
        <v>19.76688</v>
      </c>
      <c r="AH175" s="276">
        <f>+AG175*1.35</f>
        <v>26.685288</v>
      </c>
      <c r="AI175" s="276">
        <f>+AH175*1.25</f>
        <v>33.35661</v>
      </c>
      <c r="AJ175" s="276">
        <v>37.35</v>
      </c>
      <c r="AK175" s="276">
        <f>+AJ175*1.076</f>
        <v>40.1886</v>
      </c>
      <c r="AL175" s="276">
        <f>+AK175*0.902</f>
        <v>36.2501172</v>
      </c>
      <c r="AM175" s="276">
        <f t="shared" ref="AM175:AU175" si="597">+AL175*(1+AM197)</f>
        <v>36.431367786</v>
      </c>
      <c r="AN175" s="276">
        <f t="shared" si="597"/>
        <v>36.61352462493</v>
      </c>
      <c r="AO175" s="276">
        <f t="shared" si="597"/>
        <v>36.7965922480546</v>
      </c>
      <c r="AP175" s="276">
        <f t="shared" si="597"/>
        <v>36.9805752092949</v>
      </c>
      <c r="AQ175" s="276">
        <f t="shared" si="597"/>
        <v>37.1654780853414</v>
      </c>
      <c r="AR175" s="276">
        <f t="shared" si="597"/>
        <v>38.652097208755</v>
      </c>
      <c r="AS175" s="276">
        <f t="shared" si="597"/>
        <v>42.5173069296305</v>
      </c>
      <c r="AT175" s="276">
        <f t="shared" si="597"/>
        <v>44.2179992068158</v>
      </c>
      <c r="AU175" s="276">
        <f t="shared" si="597"/>
        <v>45.9867191750884</v>
      </c>
      <c r="AV175" s="276">
        <f t="shared" ref="AV175:AV176" si="598">+AU175*(1+AV197)</f>
        <v>46.9064535585902</v>
      </c>
      <c r="AW175" s="276">
        <f t="shared" ref="AW175:AW176" si="599">+AV175*(1+AW197)</f>
        <v>47.844582629762</v>
      </c>
      <c r="AX175" s="276">
        <f t="shared" ref="AX175:AX176" si="600">+AW175*(1+AX197)</f>
        <v>48.8014742823572</v>
      </c>
      <c r="AY175" s="276">
        <f t="shared" ref="AY175:AY176" si="601">+AX175*(1+AY197)</f>
        <v>49.7775037680044</v>
      </c>
      <c r="AZ175" s="276">
        <f t="shared" ref="AZ175:AZ176" si="602">+AY175*(1+AZ197)</f>
        <v>50.7730538433644</v>
      </c>
      <c r="BA175" s="276">
        <f t="shared" ref="BA175:BA176" si="603">+AZ175*(1+BA197)</f>
        <v>51.7885149202317</v>
      </c>
      <c r="BB175" s="276">
        <f t="shared" ref="BB175:BB176" si="604">+BA175*(1+BB197)</f>
        <v>52.8242852186364</v>
      </c>
      <c r="BC175" s="276">
        <f t="shared" ref="BC175:BC176" si="605">+BB175*(1+BC197)</f>
        <v>53.8807709230091</v>
      </c>
      <c r="BD175" s="282"/>
      <c r="BE175" s="326"/>
      <c r="BF175" s="327"/>
      <c r="BG175" s="276">
        <f>SUM(D175:G175)</f>
        <v>0</v>
      </c>
      <c r="BH175" s="276">
        <f>SUM(H175:K175)</f>
        <v>0</v>
      </c>
      <c r="BI175" s="276">
        <f>SUM(L175:O175)</f>
        <v>0</v>
      </c>
      <c r="BJ175" s="276">
        <f>SUM(P175:S175)</f>
        <v>25.75474</v>
      </c>
      <c r="BK175" s="276">
        <f>SUM(T175:W175)</f>
        <v>52.2260256</v>
      </c>
      <c r="BL175" s="276">
        <f>SUM(X175:AA175)</f>
        <v>66.35</v>
      </c>
      <c r="BM175" s="276">
        <f>SUM(AB175:AE175)</f>
        <v>114.05</v>
      </c>
      <c r="BN175" s="276">
        <f>SUM(AF175:AI175)</f>
        <v>96.281178</v>
      </c>
      <c r="BO175" s="276">
        <f>SUM(AJ175:AM175)</f>
        <v>150.220084986</v>
      </c>
      <c r="BP175" s="276">
        <f>SUM(AN175:AQ175)</f>
        <v>147.556170167621</v>
      </c>
      <c r="BQ175" s="276">
        <f>SUM(AR175:AU175)</f>
        <v>171.37412252029</v>
      </c>
      <c r="BR175" s="276">
        <f>SUM(AV175:AY175)</f>
        <v>193.330014238714</v>
      </c>
      <c r="BS175" s="276">
        <f>SUM(AZ175:BC175)</f>
        <v>209.266624905242</v>
      </c>
      <c r="BT175" s="150">
        <f>+(BR175/BP175)^(1/2)-1</f>
        <v>0.144645365417037</v>
      </c>
    </row>
    <row r="176" customHeight="1" spans="1:78">
      <c r="A176" s="268"/>
      <c r="B176" s="268"/>
      <c r="C176" s="396" t="s">
        <v>467</v>
      </c>
      <c r="D176" s="261"/>
      <c r="E176" s="261"/>
      <c r="F176" s="323"/>
      <c r="G176" s="261"/>
      <c r="H176" s="261"/>
      <c r="I176" s="261"/>
      <c r="J176" s="261"/>
      <c r="K176" s="261"/>
      <c r="L176" s="261"/>
      <c r="M176" s="261"/>
      <c r="N176" s="261"/>
      <c r="O176" s="261"/>
      <c r="P176" s="261"/>
      <c r="Q176" s="261"/>
      <c r="R176" s="276">
        <f>25.2396*0.42</f>
        <v>10.600632</v>
      </c>
      <c r="S176" s="276">
        <v>8</v>
      </c>
      <c r="T176" s="276">
        <v>8.600632</v>
      </c>
      <c r="U176" s="276">
        <v>10.600632</v>
      </c>
      <c r="V176" s="276">
        <v>8.4805056</v>
      </c>
      <c r="W176" s="276">
        <v>6.954014592</v>
      </c>
      <c r="X176" s="276">
        <v>5</v>
      </c>
      <c r="Y176" s="276">
        <v>5.2</v>
      </c>
      <c r="Z176" s="276">
        <v>8.02</v>
      </c>
      <c r="AA176" s="276">
        <v>13.2</v>
      </c>
      <c r="AB176" s="276">
        <v>11</v>
      </c>
      <c r="AC176" s="276">
        <f>+AB176*1.144</f>
        <v>12.584</v>
      </c>
      <c r="AD176" s="276">
        <f>+AC176*1.095</f>
        <v>13.77948</v>
      </c>
      <c r="AE176" s="276">
        <f>+AD176*1.075</f>
        <v>14.812941</v>
      </c>
      <c r="AF176" s="276">
        <f>+AE176*0.514</f>
        <v>7.613851674</v>
      </c>
      <c r="AG176" s="276">
        <f>+AF176*1.2</f>
        <v>9.1366220088</v>
      </c>
      <c r="AH176" s="276">
        <f>+AG176*1.35</f>
        <v>12.33443971188</v>
      </c>
      <c r="AI176" s="276">
        <f>+AH176*1.25</f>
        <v>15.41804963985</v>
      </c>
      <c r="AJ176" s="276">
        <v>11.7</v>
      </c>
      <c r="AK176" s="276">
        <f>+AJ176*1.12</f>
        <v>13.104</v>
      </c>
      <c r="AL176" s="276">
        <f>+AK176*0.9</f>
        <v>11.7936</v>
      </c>
      <c r="AM176" s="276">
        <f t="shared" ref="AM176:AT176" si="606">+AL176*(1+AM198)</f>
        <v>11.852568</v>
      </c>
      <c r="AN176" s="276">
        <f t="shared" si="606"/>
        <v>11.91183084</v>
      </c>
      <c r="AO176" s="276">
        <f t="shared" si="606"/>
        <v>11.9713899942</v>
      </c>
      <c r="AP176" s="276">
        <f t="shared" si="606"/>
        <v>12.031246944171</v>
      </c>
      <c r="AQ176" s="276">
        <f t="shared" si="606"/>
        <v>12.0914031788919</v>
      </c>
      <c r="AR176" s="276">
        <f t="shared" si="606"/>
        <v>12.5750593060475</v>
      </c>
      <c r="AS176" s="276">
        <f t="shared" si="606"/>
        <v>13.8325652366523</v>
      </c>
      <c r="AT176" s="276">
        <f t="shared" si="606"/>
        <v>14.3858678461184</v>
      </c>
      <c r="AU176" s="276">
        <f t="shared" ref="AU176" si="607">+AT176*(1+AU198)</f>
        <v>14.9613025599631</v>
      </c>
      <c r="AV176" s="276">
        <f t="shared" si="598"/>
        <v>15.2605286111624</v>
      </c>
      <c r="AW176" s="276">
        <f t="shared" si="599"/>
        <v>15.5657391833856</v>
      </c>
      <c r="AX176" s="276">
        <f t="shared" si="600"/>
        <v>15.8770539670533</v>
      </c>
      <c r="AY176" s="276">
        <f t="shared" si="601"/>
        <v>16.1945950463944</v>
      </c>
      <c r="AZ176" s="276">
        <f t="shared" si="602"/>
        <v>16.5184869473223</v>
      </c>
      <c r="BA176" s="276">
        <f t="shared" si="603"/>
        <v>16.8488566862687</v>
      </c>
      <c r="BB176" s="276">
        <f t="shared" si="604"/>
        <v>17.1858338199941</v>
      </c>
      <c r="BC176" s="276">
        <f t="shared" si="605"/>
        <v>17.529550496394</v>
      </c>
      <c r="BD176" s="282"/>
      <c r="BE176" s="326"/>
      <c r="BF176" s="327"/>
      <c r="BG176" s="276">
        <f>SUM(D176:G176)</f>
        <v>0</v>
      </c>
      <c r="BH176" s="276">
        <f>SUM(H176:K176)</f>
        <v>0</v>
      </c>
      <c r="BI176" s="276">
        <f>SUM(L176:O176)</f>
        <v>0</v>
      </c>
      <c r="BJ176" s="276">
        <f>SUM(P176:S176)</f>
        <v>18.600632</v>
      </c>
      <c r="BK176" s="276">
        <f>SUM(T176:W176)</f>
        <v>34.635784192</v>
      </c>
      <c r="BL176" s="276">
        <f>SUM(X176:AA176)</f>
        <v>31.42</v>
      </c>
      <c r="BM176" s="276">
        <f>SUM(AB176:AE176)</f>
        <v>52.176421</v>
      </c>
      <c r="BN176" s="276">
        <f>SUM(AF176:AI176)</f>
        <v>44.50296303453</v>
      </c>
      <c r="BO176" s="276">
        <f>SUM(AJ176:AM176)</f>
        <v>48.450168</v>
      </c>
      <c r="BP176" s="276">
        <f>SUM(AN176:AQ176)</f>
        <v>48.0058709572628</v>
      </c>
      <c r="BQ176" s="276">
        <f>SUM(AR176:AU176)</f>
        <v>55.7547949487813</v>
      </c>
      <c r="BR176" s="276">
        <f>SUM(AV176:AY176)</f>
        <v>62.8979168079957</v>
      </c>
      <c r="BS176" s="276">
        <f>SUM(AZ176:BC176)</f>
        <v>68.0827279499791</v>
      </c>
      <c r="BT176" s="150">
        <f>+(BR176/BP176)^(1/2)-1</f>
        <v>0.144645365417037</v>
      </c>
    </row>
    <row r="177" customHeight="1" spans="1:78">
      <c r="A177" s="268"/>
      <c r="B177" s="268"/>
      <c r="C177" s="397" t="s">
        <v>468</v>
      </c>
      <c r="D177" s="261"/>
      <c r="E177" s="261"/>
      <c r="F177" s="323"/>
      <c r="G177" s="261"/>
      <c r="H177" s="261"/>
      <c r="I177" s="261"/>
      <c r="J177" s="261"/>
      <c r="K177" s="261"/>
      <c r="L177" s="261"/>
      <c r="M177" s="261"/>
      <c r="N177" s="261"/>
      <c r="O177" s="261"/>
      <c r="P177" s="261"/>
      <c r="Q177" s="261"/>
      <c r="R177" s="282"/>
      <c r="S177" s="282"/>
      <c r="T177" s="282"/>
      <c r="U177" s="282"/>
      <c r="V177" s="282"/>
      <c r="W177" s="328"/>
      <c r="X177" s="282"/>
      <c r="Y177" s="282"/>
      <c r="Z177" s="282"/>
      <c r="AA177" s="282"/>
      <c r="AB177" s="282"/>
      <c r="AC177" s="282"/>
      <c r="AD177" s="282"/>
      <c r="AE177" s="282"/>
      <c r="AF177" s="282"/>
      <c r="AG177" s="282"/>
      <c r="AH177" s="282"/>
      <c r="AI177" s="282"/>
      <c r="AJ177" s="282"/>
      <c r="AK177" s="282"/>
      <c r="AL177" s="282"/>
      <c r="AM177" s="282"/>
      <c r="AN177" s="282"/>
      <c r="AO177" s="282"/>
      <c r="AP177" s="282"/>
      <c r="AQ177" s="282"/>
      <c r="AR177" s="282"/>
      <c r="AS177" s="282"/>
      <c r="AT177" s="282"/>
      <c r="AU177" s="282"/>
      <c r="AV177" s="282"/>
      <c r="AW177" s="282"/>
      <c r="AX177" s="282"/>
      <c r="AY177" s="282"/>
      <c r="AZ177" s="282"/>
      <c r="BA177" s="282"/>
      <c r="BB177" s="282"/>
      <c r="BC177" s="282"/>
      <c r="BD177" s="282"/>
      <c r="BE177" s="326"/>
      <c r="BF177" s="327"/>
      <c r="BG177" s="276"/>
      <c r="BH177" s="276"/>
      <c r="BI177" s="276"/>
      <c r="BJ177" s="276"/>
      <c r="BK177" s="276"/>
      <c r="BL177" s="276"/>
      <c r="BM177" s="276">
        <f>SUM(BM178:BM180)</f>
        <v>12.9</v>
      </c>
      <c r="BN177" s="276">
        <f t="shared" ref="BN177:BR177" si="608">SUM(BN178:BN180)</f>
        <v>32.5</v>
      </c>
      <c r="BO177" s="276">
        <f t="shared" si="608"/>
        <v>54.256</v>
      </c>
      <c r="BP177" s="276">
        <f t="shared" si="608"/>
        <v>55.44215359488</v>
      </c>
      <c r="BQ177" s="276">
        <f t="shared" si="608"/>
        <v>61.7423816624957</v>
      </c>
      <c r="BR177" s="276">
        <f t="shared" si="608"/>
        <v>66.8319395464796</v>
      </c>
      <c r="BS177" s="276">
        <f t="shared" ref="BS177" si="609">SUM(BS178:BS180)</f>
        <v>72.3410406802854</v>
      </c>
      <c r="BT177" s="150">
        <f>+(BR177/BP177)^(1/2)-1</f>
        <v>0.0979232620269117</v>
      </c>
    </row>
    <row r="178" customHeight="1" spans="1:78">
      <c r="A178" s="268"/>
      <c r="B178" s="268"/>
      <c r="C178" s="396" t="s">
        <v>469</v>
      </c>
      <c r="D178" s="261"/>
      <c r="E178" s="261"/>
      <c r="F178" s="323"/>
      <c r="G178" s="261"/>
      <c r="H178" s="261"/>
      <c r="I178" s="261"/>
      <c r="J178" s="261"/>
      <c r="K178" s="261"/>
      <c r="L178" s="261"/>
      <c r="M178" s="261"/>
      <c r="N178" s="261"/>
      <c r="O178" s="261"/>
      <c r="P178" s="261"/>
      <c r="Q178" s="261"/>
      <c r="R178" s="282"/>
      <c r="S178" s="282"/>
      <c r="T178" s="282"/>
      <c r="U178" s="282"/>
      <c r="V178" s="282"/>
      <c r="W178" s="328"/>
      <c r="X178" s="282"/>
      <c r="Y178" s="282"/>
      <c r="Z178" s="282"/>
      <c r="AA178" s="276">
        <v>0.45</v>
      </c>
      <c r="AB178" s="276">
        <v>0.5</v>
      </c>
      <c r="AC178" s="276">
        <f>+AB178+0.2</f>
        <v>0.7</v>
      </c>
      <c r="AD178" s="276">
        <f>+AC178-0.1</f>
        <v>0.6</v>
      </c>
      <c r="AE178" s="276">
        <f>+AD178+0.2</f>
        <v>0.8</v>
      </c>
      <c r="AF178" s="276">
        <f>+AE178*0.6</f>
        <v>0.48</v>
      </c>
      <c r="AG178" s="276">
        <f>+AF178</f>
        <v>0.48</v>
      </c>
      <c r="AH178" s="276">
        <f>+AG178+2</f>
        <v>2.48</v>
      </c>
      <c r="AI178" s="276">
        <f>+AH178+2</f>
        <v>4.48</v>
      </c>
      <c r="AJ178" s="276">
        <f>+AI178-1.2</f>
        <v>3.28</v>
      </c>
      <c r="AK178" s="276">
        <f>+AJ178-0.8</f>
        <v>2.48</v>
      </c>
      <c r="AL178" s="276">
        <f>+AK178-0.1</f>
        <v>2.38</v>
      </c>
      <c r="AM178" s="276">
        <f t="shared" ref="AM178:AY178" si="610">+AL178*(1+AM200)</f>
        <v>2.4276</v>
      </c>
      <c r="AN178" s="276">
        <f t="shared" si="610"/>
        <v>2.476152</v>
      </c>
      <c r="AO178" s="276">
        <f t="shared" si="610"/>
        <v>2.52567504</v>
      </c>
      <c r="AP178" s="276">
        <f t="shared" si="610"/>
        <v>2.5761885408</v>
      </c>
      <c r="AQ178" s="276">
        <f t="shared" si="610"/>
        <v>2.730759853248</v>
      </c>
      <c r="AR178" s="276">
        <f t="shared" si="610"/>
        <v>2.78537505031296</v>
      </c>
      <c r="AS178" s="276">
        <f t="shared" si="610"/>
        <v>2.84108255131922</v>
      </c>
      <c r="AT178" s="276">
        <f t="shared" si="610"/>
        <v>2.8979042023456</v>
      </c>
      <c r="AU178" s="276">
        <f t="shared" si="610"/>
        <v>2.95586228639252</v>
      </c>
      <c r="AV178" s="276">
        <f t="shared" si="610"/>
        <v>3.01497953212037</v>
      </c>
      <c r="AW178" s="276">
        <f t="shared" si="610"/>
        <v>3.07527912276277</v>
      </c>
      <c r="AX178" s="276">
        <f t="shared" si="610"/>
        <v>3.13678470521803</v>
      </c>
      <c r="AY178" s="276">
        <f t="shared" si="610"/>
        <v>3.19952039932239</v>
      </c>
      <c r="AZ178" s="276">
        <f t="shared" ref="AZ178:AZ180" si="611">+AY178*(1+AZ200)</f>
        <v>3.26351080730884</v>
      </c>
      <c r="BA178" s="276">
        <f t="shared" ref="BA178:BA180" si="612">+AZ178*(1+BA200)</f>
        <v>3.32878102345502</v>
      </c>
      <c r="BB178" s="276">
        <f t="shared" ref="BB178:BB180" si="613">+BA178*(1+BB200)</f>
        <v>3.39535664392412</v>
      </c>
      <c r="BC178" s="276">
        <f t="shared" ref="BC178:BC180" si="614">+BB178*(1+BC200)</f>
        <v>3.4632637768026</v>
      </c>
      <c r="BD178" s="282"/>
      <c r="BE178" s="326"/>
      <c r="BF178" s="327"/>
      <c r="BG178" s="276">
        <f>SUM(D178:G178)</f>
        <v>0</v>
      </c>
      <c r="BH178" s="276">
        <f>SUM(H178:K178)</f>
        <v>0</v>
      </c>
      <c r="BI178" s="276">
        <f>SUM(L178:O178)</f>
        <v>0</v>
      </c>
      <c r="BJ178" s="276">
        <f>SUM(P178:S178)</f>
        <v>0</v>
      </c>
      <c r="BK178" s="276">
        <f>SUM(T178:W178)</f>
        <v>0</v>
      </c>
      <c r="BL178" s="276">
        <f>SUM(X178:AA178)</f>
        <v>0.45</v>
      </c>
      <c r="BM178" s="276">
        <f>SUM(AB178:AE178)</f>
        <v>2.6</v>
      </c>
      <c r="BN178" s="276">
        <f>SUM(AF178:AI178)</f>
        <v>7.92</v>
      </c>
      <c r="BO178" s="276">
        <f>SUM(AJ178:AM178)</f>
        <v>10.5676</v>
      </c>
      <c r="BP178" s="276">
        <f>SUM(AN178:AQ178)</f>
        <v>10.308775434048</v>
      </c>
      <c r="BQ178" s="276">
        <f>SUM(AR178:AU178)</f>
        <v>11.4802240903703</v>
      </c>
      <c r="BR178" s="276">
        <f t="shared" ref="BR178:BR180" si="615">SUM(AV178:AY178)</f>
        <v>12.4265637594236</v>
      </c>
      <c r="BS178" s="276">
        <f t="shared" ref="BS178:BS188" si="616">SUM(AZ178:BC178)</f>
        <v>13.4509122514906</v>
      </c>
      <c r="BT178" s="324"/>
    </row>
    <row r="179" customHeight="1" spans="1:78">
      <c r="A179" s="268"/>
      <c r="B179" s="268"/>
      <c r="C179" s="396" t="s">
        <v>470</v>
      </c>
      <c r="D179" s="261"/>
      <c r="E179" s="261"/>
      <c r="F179" s="323"/>
      <c r="G179" s="261"/>
      <c r="H179" s="261"/>
      <c r="I179" s="261"/>
      <c r="J179" s="261"/>
      <c r="K179" s="261"/>
      <c r="L179" s="261"/>
      <c r="M179" s="261"/>
      <c r="N179" s="261"/>
      <c r="O179" s="261"/>
      <c r="P179" s="261"/>
      <c r="Q179" s="261"/>
      <c r="R179" s="282"/>
      <c r="S179" s="282"/>
      <c r="T179" s="282"/>
      <c r="U179" s="282"/>
      <c r="V179" s="282"/>
      <c r="W179" s="328"/>
      <c r="X179" s="282"/>
      <c r="Y179" s="282"/>
      <c r="Z179" s="282"/>
      <c r="AA179" s="276">
        <v>0.5</v>
      </c>
      <c r="AB179" s="276">
        <v>0.5</v>
      </c>
      <c r="AC179" s="276">
        <f>+AB179+0.1</f>
        <v>0.6</v>
      </c>
      <c r="AD179" s="276">
        <f>+AC179+1.1</f>
        <v>1.7</v>
      </c>
      <c r="AE179" s="276">
        <f>+AD179+1.1</f>
        <v>2.8</v>
      </c>
      <c r="AF179" s="276">
        <f>+AE179*0.6</f>
        <v>1.68</v>
      </c>
      <c r="AG179" s="276">
        <f>+AF179</f>
        <v>1.68</v>
      </c>
      <c r="AH179" s="276">
        <f>+AG179+2</f>
        <v>3.68</v>
      </c>
      <c r="AI179" s="276">
        <f>+AH179+3</f>
        <v>6.68</v>
      </c>
      <c r="AJ179" s="276">
        <f>+AI179-0.5</f>
        <v>6.18</v>
      </c>
      <c r="AK179" s="276">
        <f>+AJ179-0.2</f>
        <v>5.98</v>
      </c>
      <c r="AL179" s="276">
        <f>+AK179-0.2</f>
        <v>5.78</v>
      </c>
      <c r="AM179" s="276">
        <f t="shared" ref="AM179:AY179" si="617">+AL179*(1+AM201)</f>
        <v>5.8956</v>
      </c>
      <c r="AN179" s="276">
        <f t="shared" si="617"/>
        <v>6.013512</v>
      </c>
      <c r="AO179" s="276">
        <f t="shared" si="617"/>
        <v>6.13378224</v>
      </c>
      <c r="AP179" s="276">
        <f t="shared" si="617"/>
        <v>6.2564578848</v>
      </c>
      <c r="AQ179" s="276">
        <f t="shared" si="617"/>
        <v>6.631845357888</v>
      </c>
      <c r="AR179" s="276">
        <f t="shared" si="617"/>
        <v>6.76448226504576</v>
      </c>
      <c r="AS179" s="276">
        <f t="shared" si="617"/>
        <v>6.89977191034668</v>
      </c>
      <c r="AT179" s="276">
        <f t="shared" si="617"/>
        <v>7.03776734855361</v>
      </c>
      <c r="AU179" s="276">
        <f t="shared" si="617"/>
        <v>7.17852269552468</v>
      </c>
      <c r="AV179" s="276">
        <f t="shared" si="617"/>
        <v>7.32209314943518</v>
      </c>
      <c r="AW179" s="276">
        <f t="shared" si="617"/>
        <v>7.46853501242388</v>
      </c>
      <c r="AX179" s="276">
        <f t="shared" si="617"/>
        <v>7.61790571267236</v>
      </c>
      <c r="AY179" s="276">
        <f t="shared" si="617"/>
        <v>7.77026382692581</v>
      </c>
      <c r="AZ179" s="276">
        <f t="shared" si="611"/>
        <v>7.92566910346432</v>
      </c>
      <c r="BA179" s="276">
        <f t="shared" si="612"/>
        <v>8.08418248553361</v>
      </c>
      <c r="BB179" s="276">
        <f t="shared" si="613"/>
        <v>8.24586613524428</v>
      </c>
      <c r="BC179" s="276">
        <f t="shared" si="614"/>
        <v>8.41078345794917</v>
      </c>
      <c r="BD179" s="282"/>
      <c r="BE179" s="326"/>
      <c r="BF179" s="327"/>
      <c r="BG179" s="276">
        <f>SUM(D179:G179)</f>
        <v>0</v>
      </c>
      <c r="BH179" s="276">
        <f>SUM(H179:K179)</f>
        <v>0</v>
      </c>
      <c r="BI179" s="276">
        <f>SUM(L179:O179)</f>
        <v>0</v>
      </c>
      <c r="BJ179" s="276">
        <f>SUM(P179:S179)</f>
        <v>0</v>
      </c>
      <c r="BK179" s="276">
        <f>SUM(T179:W179)</f>
        <v>0</v>
      </c>
      <c r="BL179" s="276">
        <f>SUM(X179:AA179)</f>
        <v>0.5</v>
      </c>
      <c r="BM179" s="276">
        <f>SUM(AB179:AE179)</f>
        <v>5.6</v>
      </c>
      <c r="BN179" s="276">
        <f>SUM(AF179:AI179)</f>
        <v>13.72</v>
      </c>
      <c r="BO179" s="276">
        <f>SUM(AJ179:AM179)</f>
        <v>23.8356</v>
      </c>
      <c r="BP179" s="276">
        <f>SUM(AN179:AQ179)</f>
        <v>25.035597482688</v>
      </c>
      <c r="BQ179" s="276">
        <f>SUM(AR179:AU179)</f>
        <v>27.8805442194707</v>
      </c>
      <c r="BR179" s="276">
        <f t="shared" si="615"/>
        <v>30.1787977014572</v>
      </c>
      <c r="BS179" s="276">
        <f t="shared" si="616"/>
        <v>32.6665011821914</v>
      </c>
      <c r="BT179" s="324"/>
    </row>
    <row r="180" customHeight="1" spans="1:78">
      <c r="A180" s="268"/>
      <c r="B180" s="268"/>
      <c r="C180" s="396" t="s">
        <v>471</v>
      </c>
      <c r="D180" s="261"/>
      <c r="E180" s="261"/>
      <c r="F180" s="323"/>
      <c r="G180" s="261"/>
      <c r="H180" s="261"/>
      <c r="I180" s="261"/>
      <c r="J180" s="261"/>
      <c r="K180" s="261"/>
      <c r="L180" s="261"/>
      <c r="M180" s="261"/>
      <c r="N180" s="261"/>
      <c r="O180" s="261"/>
      <c r="P180" s="261"/>
      <c r="Q180" s="261"/>
      <c r="R180" s="282"/>
      <c r="S180" s="282"/>
      <c r="T180" s="282"/>
      <c r="U180" s="282"/>
      <c r="V180" s="282"/>
      <c r="W180" s="328"/>
      <c r="X180" s="282"/>
      <c r="Y180" s="282"/>
      <c r="Z180" s="282"/>
      <c r="AA180" s="276">
        <v>1</v>
      </c>
      <c r="AB180" s="276">
        <v>1</v>
      </c>
      <c r="AC180" s="276">
        <f>+AB180+0.1</f>
        <v>1.1</v>
      </c>
      <c r="AD180" s="276">
        <f>+AC180+0.1</f>
        <v>1.2</v>
      </c>
      <c r="AE180" s="276">
        <f>+AD180+0.2</f>
        <v>1.4</v>
      </c>
      <c r="AF180" s="276">
        <f>+AE180*0.6</f>
        <v>0.84</v>
      </c>
      <c r="AG180" s="276">
        <f>+AF180</f>
        <v>0.84</v>
      </c>
      <c r="AH180" s="276">
        <f>+AG180+2.5</f>
        <v>3.34</v>
      </c>
      <c r="AI180" s="276">
        <f>+AH180+2.5</f>
        <v>5.84</v>
      </c>
      <c r="AJ180" s="276">
        <f>+AI180+-0.4</f>
        <v>5.44</v>
      </c>
      <c r="AK180" s="276">
        <f>+AJ180+-0.4</f>
        <v>5.04</v>
      </c>
      <c r="AL180" s="276">
        <f>+AK180+-0.4</f>
        <v>4.64</v>
      </c>
      <c r="AM180" s="276">
        <f t="shared" ref="AM180:AY180" si="618">+AL180*(1+AM202)</f>
        <v>4.7328</v>
      </c>
      <c r="AN180" s="276">
        <f t="shared" si="618"/>
        <v>4.827456</v>
      </c>
      <c r="AO180" s="276">
        <f t="shared" si="618"/>
        <v>4.92400512</v>
      </c>
      <c r="AP180" s="276">
        <f t="shared" si="618"/>
        <v>5.0224852224</v>
      </c>
      <c r="AQ180" s="276">
        <f t="shared" si="618"/>
        <v>5.323834335744</v>
      </c>
      <c r="AR180" s="276">
        <f t="shared" si="618"/>
        <v>5.43031102245888</v>
      </c>
      <c r="AS180" s="276">
        <f t="shared" si="618"/>
        <v>5.53891724290806</v>
      </c>
      <c r="AT180" s="276">
        <f t="shared" si="618"/>
        <v>5.64969558776622</v>
      </c>
      <c r="AU180" s="276">
        <f t="shared" si="618"/>
        <v>5.76268949952154</v>
      </c>
      <c r="AV180" s="276">
        <f t="shared" si="618"/>
        <v>5.87794328951197</v>
      </c>
      <c r="AW180" s="276">
        <f t="shared" si="618"/>
        <v>5.99550215530221</v>
      </c>
      <c r="AX180" s="276">
        <f t="shared" si="618"/>
        <v>6.11541219840826</v>
      </c>
      <c r="AY180" s="276">
        <f t="shared" si="618"/>
        <v>6.23772044237642</v>
      </c>
      <c r="AZ180" s="276">
        <f t="shared" si="611"/>
        <v>6.36247485122395</v>
      </c>
      <c r="BA180" s="276">
        <f t="shared" si="612"/>
        <v>6.48972434824843</v>
      </c>
      <c r="BB180" s="276">
        <f t="shared" si="613"/>
        <v>6.6195188352134</v>
      </c>
      <c r="BC180" s="276">
        <f t="shared" si="614"/>
        <v>6.75190921191767</v>
      </c>
      <c r="BD180" s="282"/>
      <c r="BE180" s="326"/>
      <c r="BF180" s="327"/>
      <c r="BG180" s="276">
        <f>SUM(D180:G180)</f>
        <v>0</v>
      </c>
      <c r="BH180" s="276">
        <f>SUM(H180:K180)</f>
        <v>0</v>
      </c>
      <c r="BI180" s="276">
        <f>SUM(L180:O180)</f>
        <v>0</v>
      </c>
      <c r="BJ180" s="276">
        <f>SUM(P180:S180)</f>
        <v>0</v>
      </c>
      <c r="BK180" s="276">
        <f>SUM(T180:W180)</f>
        <v>0</v>
      </c>
      <c r="BL180" s="276">
        <f>SUM(X180:AA180)</f>
        <v>1</v>
      </c>
      <c r="BM180" s="276">
        <f>SUM(AB180:AE180)</f>
        <v>4.7</v>
      </c>
      <c r="BN180" s="276">
        <f>SUM(AF180:AI180)</f>
        <v>10.86</v>
      </c>
      <c r="BO180" s="276">
        <f>SUM(AJ180:AM180)</f>
        <v>19.8528</v>
      </c>
      <c r="BP180" s="276">
        <f>SUM(AN180:AQ180)</f>
        <v>20.097780678144</v>
      </c>
      <c r="BQ180" s="276">
        <f>SUM(AR180:AU180)</f>
        <v>22.3816133526547</v>
      </c>
      <c r="BR180" s="276">
        <f t="shared" si="615"/>
        <v>24.2265780855989</v>
      </c>
      <c r="BS180" s="276">
        <f t="shared" si="616"/>
        <v>26.2236272466034</v>
      </c>
      <c r="BT180" s="324"/>
    </row>
    <row r="181" customHeight="1" spans="1:78">
      <c r="A181" s="268"/>
      <c r="B181" s="268"/>
      <c r="C181" s="397" t="s">
        <v>472</v>
      </c>
      <c r="D181" s="261"/>
      <c r="E181" s="261"/>
      <c r="F181" s="323"/>
      <c r="G181" s="261"/>
      <c r="H181" s="261"/>
      <c r="I181" s="261"/>
      <c r="J181" s="261"/>
      <c r="K181" s="261"/>
      <c r="L181" s="261"/>
      <c r="M181" s="261"/>
      <c r="N181" s="261"/>
      <c r="O181" s="261"/>
      <c r="P181" s="261"/>
      <c r="Q181" s="261"/>
      <c r="R181" s="282"/>
      <c r="S181" s="282"/>
      <c r="T181" s="282"/>
      <c r="U181" s="282"/>
      <c r="V181" s="282"/>
      <c r="W181" s="328"/>
      <c r="X181" s="282"/>
      <c r="Y181" s="282"/>
      <c r="Z181" s="282"/>
      <c r="AA181" s="282"/>
      <c r="AB181" s="282"/>
      <c r="AC181" s="282"/>
      <c r="AD181" s="282"/>
      <c r="AE181" s="282"/>
      <c r="AF181" s="282"/>
      <c r="AG181" s="282"/>
      <c r="AH181" s="282"/>
      <c r="AI181" s="282"/>
      <c r="AJ181" s="282"/>
      <c r="AK181" s="282"/>
      <c r="AL181" s="282"/>
      <c r="AM181" s="282"/>
      <c r="AN181" s="282"/>
      <c r="AO181" s="282"/>
      <c r="AP181" s="282"/>
      <c r="AQ181" s="282"/>
      <c r="AR181" s="282"/>
      <c r="AS181" s="282"/>
      <c r="AT181" s="282"/>
      <c r="AU181" s="282"/>
      <c r="AV181" s="282"/>
      <c r="AW181" s="282"/>
      <c r="AX181" s="282"/>
      <c r="AY181" s="282"/>
      <c r="AZ181" s="282"/>
      <c r="BA181" s="282"/>
      <c r="BB181" s="282"/>
      <c r="BC181" s="282"/>
      <c r="BD181" s="282"/>
      <c r="BE181" s="326"/>
      <c r="BF181" s="327"/>
      <c r="BG181" s="276"/>
      <c r="BH181" s="276"/>
      <c r="BI181" s="276"/>
      <c r="BJ181" s="276"/>
      <c r="BK181" s="276"/>
      <c r="BL181" s="276"/>
      <c r="BM181" s="276"/>
      <c r="BN181" s="276"/>
      <c r="BO181" s="276"/>
      <c r="BP181" s="276">
        <f t="shared" ref="BP181:BR181" si="619">+SUM(BP182:BP183)</f>
        <v>3.393775</v>
      </c>
      <c r="BQ181" s="276">
        <f t="shared" si="619"/>
        <v>14.587840344</v>
      </c>
      <c r="BR181" s="276">
        <f t="shared" si="619"/>
        <v>45.9586758284654</v>
      </c>
      <c r="BS181" s="276">
        <f t="shared" ref="BS181" si="620">+SUM(BS182:BS183)</f>
        <v>87.3579245419041</v>
      </c>
      <c r="BT181" s="150">
        <f>+(BR181/BP181)^(1/2)-1</f>
        <v>2.67995264911397</v>
      </c>
    </row>
    <row r="182" customHeight="1" spans="1:78">
      <c r="A182" s="268"/>
      <c r="B182" s="268"/>
      <c r="C182" s="396" t="s">
        <v>473</v>
      </c>
      <c r="D182" s="261"/>
      <c r="E182" s="261"/>
      <c r="F182" s="323"/>
      <c r="G182" s="261"/>
      <c r="H182" s="261"/>
      <c r="I182" s="261"/>
      <c r="J182" s="261"/>
      <c r="K182" s="261"/>
      <c r="L182" s="261"/>
      <c r="M182" s="261"/>
      <c r="N182" s="261"/>
      <c r="O182" s="261"/>
      <c r="P182" s="261"/>
      <c r="Q182" s="261"/>
      <c r="R182" s="282"/>
      <c r="S182" s="282"/>
      <c r="T182" s="282"/>
      <c r="U182" s="282"/>
      <c r="V182" s="282"/>
      <c r="W182" s="328"/>
      <c r="X182" s="282"/>
      <c r="Y182" s="282"/>
      <c r="Z182" s="282"/>
      <c r="AA182" s="276"/>
      <c r="AB182" s="276"/>
      <c r="AC182" s="276"/>
      <c r="AD182" s="276"/>
      <c r="AE182" s="276"/>
      <c r="AF182" s="276"/>
      <c r="AG182" s="276"/>
      <c r="AH182" s="276"/>
      <c r="AI182" s="276"/>
      <c r="AJ182" s="276"/>
      <c r="AK182" s="276"/>
      <c r="AL182" s="276"/>
      <c r="AM182" s="276"/>
      <c r="AN182" s="276"/>
      <c r="AO182" s="276"/>
      <c r="AP182" s="276">
        <v>0.1435</v>
      </c>
      <c r="AQ182" s="276">
        <f>+AP182*(1+AQ204)</f>
        <v>0.165025</v>
      </c>
      <c r="AR182" s="276">
        <f t="shared" ref="AR182:AY182" si="621">+AQ182*(1+AR204)</f>
        <v>0.1815275</v>
      </c>
      <c r="AS182" s="276">
        <f t="shared" si="621"/>
        <v>0.2541385</v>
      </c>
      <c r="AT182" s="276">
        <f t="shared" si="621"/>
        <v>0.37104221</v>
      </c>
      <c r="AU182" s="276">
        <f t="shared" si="621"/>
        <v>0.519459094</v>
      </c>
      <c r="AV182" s="276">
        <f t="shared" si="621"/>
        <v>0.6752968222</v>
      </c>
      <c r="AW182" s="276">
        <f t="shared" si="621"/>
        <v>0.87788586886</v>
      </c>
      <c r="AX182" s="276">
        <f t="shared" si="621"/>
        <v>1.141251629518</v>
      </c>
      <c r="AY182" s="276">
        <f t="shared" si="621"/>
        <v>1.4836271183734</v>
      </c>
      <c r="AZ182" s="276">
        <f t="shared" ref="AZ182" si="622">+AY182*(1+AZ204)</f>
        <v>1.66166237257821</v>
      </c>
      <c r="BA182" s="276">
        <f t="shared" ref="BA182:BB182" si="623">+AZ182*(1+BA204)</f>
        <v>1.86106185728759</v>
      </c>
      <c r="BB182" s="276">
        <f t="shared" si="623"/>
        <v>2.0843892801621</v>
      </c>
      <c r="BC182" s="276">
        <f t="shared" ref="BC182" si="624">+BB182*(1+BC204)</f>
        <v>2.33451599378156</v>
      </c>
      <c r="BD182" s="282"/>
      <c r="BE182" s="326"/>
      <c r="BF182" s="327"/>
      <c r="BG182" s="276"/>
      <c r="BH182" s="276"/>
      <c r="BI182" s="276"/>
      <c r="BJ182" s="276"/>
      <c r="BK182" s="276"/>
      <c r="BL182" s="276"/>
      <c r="BM182" s="276"/>
      <c r="BN182" s="276"/>
      <c r="BO182" s="276"/>
      <c r="BP182" s="276">
        <f>SUM(AN182:AQ182)</f>
        <v>0.308525</v>
      </c>
      <c r="BQ182" s="276">
        <f>SUM(AR182:AU182)</f>
        <v>1.326167304</v>
      </c>
      <c r="BR182" s="276">
        <f t="shared" ref="BR182:BR184" si="625">SUM(AV182:AY182)</f>
        <v>4.1780614389514</v>
      </c>
      <c r="BS182" s="276">
        <f t="shared" si="616"/>
        <v>7.94162950380946</v>
      </c>
      <c r="BT182" s="150">
        <f>+(BR182/BP182)^(1/2)-1</f>
        <v>2.67995264911397</v>
      </c>
    </row>
    <row r="183" customHeight="1" spans="1:78">
      <c r="A183" s="268"/>
      <c r="B183" s="268"/>
      <c r="C183" s="396" t="s">
        <v>474</v>
      </c>
      <c r="D183" s="261"/>
      <c r="E183" s="261"/>
      <c r="F183" s="323"/>
      <c r="G183" s="261"/>
      <c r="H183" s="261"/>
      <c r="I183" s="261"/>
      <c r="J183" s="261"/>
      <c r="K183" s="261"/>
      <c r="L183" s="261"/>
      <c r="M183" s="261"/>
      <c r="N183" s="261"/>
      <c r="O183" s="261"/>
      <c r="P183" s="261"/>
      <c r="Q183" s="261"/>
      <c r="R183" s="282"/>
      <c r="S183" s="282"/>
      <c r="T183" s="282"/>
      <c r="U183" s="282"/>
      <c r="V183" s="282"/>
      <c r="W183" s="328"/>
      <c r="X183" s="282"/>
      <c r="Y183" s="282"/>
      <c r="Z183" s="282"/>
      <c r="AA183" s="276"/>
      <c r="AB183" s="276"/>
      <c r="AC183" s="276"/>
      <c r="AD183" s="276"/>
      <c r="AE183" s="276"/>
      <c r="AF183" s="276"/>
      <c r="AG183" s="276"/>
      <c r="AH183" s="276"/>
      <c r="AI183" s="276"/>
      <c r="AJ183" s="276"/>
      <c r="AK183" s="276"/>
      <c r="AL183" s="276"/>
      <c r="AM183" s="276"/>
      <c r="AN183" s="276"/>
      <c r="AO183" s="276"/>
      <c r="AP183" s="276">
        <f>+AP182*10</f>
        <v>1.435</v>
      </c>
      <c r="AQ183" s="276">
        <f t="shared" ref="AQ183:AY183" si="626">+AQ182*10</f>
        <v>1.65025</v>
      </c>
      <c r="AR183" s="276">
        <f t="shared" si="626"/>
        <v>1.815275</v>
      </c>
      <c r="AS183" s="276">
        <f t="shared" si="626"/>
        <v>2.541385</v>
      </c>
      <c r="AT183" s="276">
        <f t="shared" si="626"/>
        <v>3.7104221</v>
      </c>
      <c r="AU183" s="276">
        <f t="shared" si="626"/>
        <v>5.19459094</v>
      </c>
      <c r="AV183" s="276">
        <f t="shared" si="626"/>
        <v>6.752968222</v>
      </c>
      <c r="AW183" s="276">
        <f t="shared" si="626"/>
        <v>8.7788586886</v>
      </c>
      <c r="AX183" s="276">
        <f t="shared" si="626"/>
        <v>11.41251629518</v>
      </c>
      <c r="AY183" s="276">
        <f t="shared" si="626"/>
        <v>14.836271183734</v>
      </c>
      <c r="AZ183" s="276">
        <f t="shared" ref="AZ183:BC183" si="627">+AZ182*10</f>
        <v>16.6166237257821</v>
      </c>
      <c r="BA183" s="276">
        <f t="shared" si="627"/>
        <v>18.6106185728759</v>
      </c>
      <c r="BB183" s="276">
        <f t="shared" si="627"/>
        <v>20.843892801621</v>
      </c>
      <c r="BC183" s="276">
        <f t="shared" si="627"/>
        <v>23.3451599378156</v>
      </c>
      <c r="BD183" s="282"/>
      <c r="BE183" s="326"/>
      <c r="BF183" s="327"/>
      <c r="BG183" s="276"/>
      <c r="BH183" s="276"/>
      <c r="BI183" s="276"/>
      <c r="BJ183" s="276"/>
      <c r="BK183" s="276"/>
      <c r="BL183" s="276"/>
      <c r="BM183" s="276"/>
      <c r="BN183" s="276"/>
      <c r="BO183" s="276"/>
      <c r="BP183" s="276">
        <f>SUM(AN183:AQ183)</f>
        <v>3.08525</v>
      </c>
      <c r="BQ183" s="276">
        <f>SUM(AR183:AU183)</f>
        <v>13.26167304</v>
      </c>
      <c r="BR183" s="276">
        <f t="shared" si="625"/>
        <v>41.780614389514</v>
      </c>
      <c r="BS183" s="276">
        <f t="shared" si="616"/>
        <v>79.4162950380946</v>
      </c>
      <c r="BT183" s="150">
        <f>+(BR183/BP183)^(1/2)-1</f>
        <v>2.67995264911397</v>
      </c>
    </row>
    <row r="184" customHeight="1" spans="1:78">
      <c r="A184" s="268"/>
      <c r="B184" s="268"/>
      <c r="C184" s="397" t="s">
        <v>475</v>
      </c>
      <c r="D184" s="261"/>
      <c r="E184" s="261"/>
      <c r="F184" s="323"/>
      <c r="G184" s="261"/>
      <c r="H184" s="261"/>
      <c r="I184" s="261"/>
      <c r="J184" s="261"/>
      <c r="K184" s="261"/>
      <c r="L184" s="261"/>
      <c r="M184" s="261"/>
      <c r="N184" s="261"/>
      <c r="O184" s="261"/>
      <c r="P184" s="261"/>
      <c r="Q184" s="261"/>
      <c r="R184" s="282"/>
      <c r="S184" s="282"/>
      <c r="T184" s="282"/>
      <c r="U184" s="282"/>
      <c r="V184" s="282"/>
      <c r="W184" s="328"/>
      <c r="X184" s="282"/>
      <c r="Y184" s="282"/>
      <c r="Z184" s="282"/>
      <c r="AA184" s="276"/>
      <c r="AB184" s="276"/>
      <c r="AC184" s="276"/>
      <c r="AD184" s="276"/>
      <c r="AE184" s="276"/>
      <c r="AF184" s="276"/>
      <c r="AG184" s="276"/>
      <c r="AH184" s="276"/>
      <c r="AI184" s="276"/>
      <c r="AJ184" s="276"/>
      <c r="AK184" s="276"/>
      <c r="AL184" s="276"/>
      <c r="AM184" s="276"/>
      <c r="AN184" s="276"/>
      <c r="AO184" s="276"/>
      <c r="AP184" s="276">
        <v>11.7</v>
      </c>
      <c r="AQ184" s="276">
        <f t="shared" ref="AQ184:AY184" si="628">+AP184*(1+AQ206)</f>
        <v>11.934</v>
      </c>
      <c r="AR184" s="276">
        <f t="shared" si="628"/>
        <v>12.17268</v>
      </c>
      <c r="AS184" s="276">
        <f t="shared" si="628"/>
        <v>12.4161336</v>
      </c>
      <c r="AT184" s="276">
        <f t="shared" si="628"/>
        <v>12.664456272</v>
      </c>
      <c r="AU184" s="276">
        <f t="shared" si="628"/>
        <v>12.91774539744</v>
      </c>
      <c r="AV184" s="276">
        <f t="shared" si="628"/>
        <v>13.1761003053888</v>
      </c>
      <c r="AW184" s="276">
        <f t="shared" si="628"/>
        <v>13.4396223114966</v>
      </c>
      <c r="AX184" s="276">
        <f t="shared" si="628"/>
        <v>13.7084147577265</v>
      </c>
      <c r="AY184" s="276">
        <f t="shared" si="628"/>
        <v>13.982583052881</v>
      </c>
      <c r="AZ184" s="276">
        <f t="shared" ref="AZ184" si="629">+AY184*(1+AZ206)</f>
        <v>14.2622347139387</v>
      </c>
      <c r="BA184" s="276">
        <f t="shared" ref="BA184" si="630">+AZ184*(1+BA206)</f>
        <v>14.5474794082174</v>
      </c>
      <c r="BB184" s="276">
        <f t="shared" ref="BB184" si="631">+BA184*(1+BB206)</f>
        <v>14.8384289963818</v>
      </c>
      <c r="BC184" s="276">
        <f t="shared" ref="BC184" si="632">+BB184*(1+BC206)</f>
        <v>15.1351975763094</v>
      </c>
      <c r="BD184" s="282"/>
      <c r="BE184" s="326"/>
      <c r="BF184" s="327"/>
      <c r="BG184" s="276"/>
      <c r="BH184" s="276"/>
      <c r="BI184" s="276"/>
      <c r="BJ184" s="276"/>
      <c r="BK184" s="276"/>
      <c r="BL184" s="276"/>
      <c r="BM184" s="276"/>
      <c r="BN184" s="276"/>
      <c r="BO184" s="276"/>
      <c r="BP184" s="276">
        <f>SUM(AN184:AQ184)</f>
        <v>23.634</v>
      </c>
      <c r="BQ184" s="276">
        <f>SUM(AR184:AU184)</f>
        <v>50.17101526944</v>
      </c>
      <c r="BR184" s="276">
        <f t="shared" si="625"/>
        <v>54.3067204274929</v>
      </c>
      <c r="BS184" s="276">
        <f t="shared" si="616"/>
        <v>58.7833406948473</v>
      </c>
      <c r="BT184" s="150">
        <f>+(BR184/BP184)^(1/2)-1</f>
        <v>0.515856787518618</v>
      </c>
    </row>
    <row r="185" customHeight="1" spans="1:78">
      <c r="A185" s="252"/>
      <c r="B185" s="281" t="s">
        <v>476</v>
      </c>
      <c r="C185" s="70"/>
      <c r="D185" s="261"/>
      <c r="E185" s="261"/>
      <c r="F185" s="323"/>
      <c r="G185" s="261"/>
      <c r="H185" s="261"/>
      <c r="I185" s="261"/>
      <c r="J185" s="261"/>
      <c r="K185" s="261"/>
      <c r="L185" s="261"/>
      <c r="M185" s="261"/>
      <c r="N185" s="261"/>
      <c r="O185" s="261"/>
      <c r="P185" s="261"/>
      <c r="Q185" s="261"/>
      <c r="R185" s="282"/>
      <c r="S185" s="282"/>
      <c r="T185" s="282"/>
      <c r="U185" s="282"/>
      <c r="V185" s="282"/>
      <c r="W185" s="328"/>
      <c r="X185" s="282"/>
      <c r="Y185" s="282"/>
      <c r="Z185" s="282"/>
      <c r="AA185" s="282"/>
      <c r="AB185" s="282"/>
      <c r="AC185" s="282"/>
      <c r="AD185" s="282"/>
      <c r="AE185" s="282"/>
      <c r="AF185" s="282"/>
      <c r="AG185" s="282"/>
      <c r="AH185" s="282"/>
      <c r="AI185" s="282"/>
      <c r="AJ185" s="282"/>
      <c r="AK185" s="282"/>
      <c r="AL185" s="282"/>
      <c r="AM185" s="282"/>
      <c r="AN185" s="282"/>
      <c r="AO185" s="282"/>
      <c r="AP185" s="282"/>
      <c r="AQ185" s="282"/>
      <c r="AR185" s="282"/>
      <c r="AS185" s="282"/>
      <c r="AT185" s="282"/>
      <c r="AU185" s="282"/>
      <c r="AV185" s="282"/>
      <c r="AW185" s="282"/>
      <c r="AX185" s="282"/>
      <c r="AY185" s="282"/>
      <c r="AZ185" s="282"/>
      <c r="BA185" s="282"/>
      <c r="BB185" s="282"/>
      <c r="BC185" s="282"/>
      <c r="BD185" s="282"/>
      <c r="BE185" s="326"/>
      <c r="BF185" s="327"/>
      <c r="BG185" s="276"/>
      <c r="BH185" s="276"/>
      <c r="BI185" s="276"/>
      <c r="BJ185" s="276"/>
      <c r="BK185" s="276"/>
      <c r="BL185" s="276"/>
      <c r="BM185" s="276"/>
      <c r="BN185" s="276"/>
      <c r="BO185" s="276"/>
      <c r="BP185" s="276"/>
      <c r="BQ185" s="276"/>
      <c r="BR185" s="276"/>
      <c r="BS185" s="276"/>
      <c r="BT185" s="324"/>
    </row>
    <row r="186" customHeight="1" spans="1:78">
      <c r="A186" s="252"/>
      <c r="B186" s="107"/>
      <c r="C186" s="283" t="s">
        <v>477</v>
      </c>
      <c r="D186" s="261"/>
      <c r="E186" s="261"/>
      <c r="F186" s="323"/>
      <c r="G186" s="261"/>
      <c r="H186" s="261"/>
      <c r="I186" s="261"/>
      <c r="J186" s="261"/>
      <c r="K186" s="261"/>
      <c r="L186" s="261"/>
      <c r="M186" s="261"/>
      <c r="N186" s="261"/>
      <c r="O186" s="261"/>
      <c r="P186" s="261"/>
      <c r="Q186" s="261"/>
      <c r="R186" s="282"/>
      <c r="S186" s="282"/>
      <c r="T186" s="282"/>
      <c r="U186" s="282"/>
      <c r="V186" s="282"/>
      <c r="W186" s="328"/>
      <c r="X186" s="282"/>
      <c r="Y186" s="282"/>
      <c r="Z186" s="282"/>
      <c r="AA186" s="282"/>
      <c r="AB186" s="282"/>
      <c r="AC186" s="282"/>
      <c r="AD186" s="282"/>
      <c r="AE186" s="282"/>
      <c r="AF186" s="282"/>
      <c r="AG186" s="282"/>
      <c r="AH186" s="282"/>
      <c r="AI186" s="276">
        <f>+AJ186/2.8</f>
        <v>0.0535714285714286</v>
      </c>
      <c r="AJ186" s="276">
        <v>0.15</v>
      </c>
      <c r="AK186" s="276">
        <v>0.3</v>
      </c>
      <c r="AL186" s="276">
        <f>+AK186*2</f>
        <v>0.6</v>
      </c>
      <c r="AM186" s="276">
        <f t="shared" ref="AM186:AQ186" si="633">+AL186*(1+AM208)</f>
        <v>0.672</v>
      </c>
      <c r="AN186" s="276">
        <f t="shared" si="633"/>
        <v>0.75264</v>
      </c>
      <c r="AO186" s="276">
        <f t="shared" si="633"/>
        <v>0.9408</v>
      </c>
      <c r="AP186" s="276">
        <f t="shared" si="633"/>
        <v>1.08192</v>
      </c>
      <c r="AQ186" s="276">
        <f t="shared" si="633"/>
        <v>1.136016</v>
      </c>
      <c r="AR186" s="276">
        <f t="shared" ref="AR186" si="634">+AQ186*(1+AR208)</f>
        <v>1.1928168</v>
      </c>
      <c r="AS186" s="276">
        <f t="shared" ref="AS186" si="635">+AR186*(1+AS208)</f>
        <v>1.90850688</v>
      </c>
      <c r="AT186" s="276">
        <f t="shared" ref="AT186" si="636">+AS186*(1+AT208)</f>
        <v>2.290208256</v>
      </c>
      <c r="AU186" s="276">
        <f t="shared" ref="AU186" si="637">+AT186*(1+AU208)</f>
        <v>2.7482499072</v>
      </c>
      <c r="AV186" s="329">
        <f t="shared" ref="AV186" si="638">+AU186*(1+AV208)</f>
        <v>2.968109899776</v>
      </c>
      <c r="AW186" s="276">
        <f t="shared" ref="AW186" si="639">+AV186*(1+AW208)</f>
        <v>3.20555869175808</v>
      </c>
      <c r="AX186" s="276">
        <f t="shared" ref="AX186" si="640">+AW186*(1+AX208)</f>
        <v>3.46200338709873</v>
      </c>
      <c r="AY186" s="276">
        <f t="shared" ref="AY186" si="641">+AX186*(1+AY208)</f>
        <v>3.73896365806662</v>
      </c>
      <c r="AZ186" s="329">
        <f t="shared" ref="AZ186:AZ187" si="642">+AY186*(1+AZ208)</f>
        <v>3.81374293122796</v>
      </c>
      <c r="BA186" s="276">
        <f t="shared" ref="BA186:BA187" si="643">+AZ186*(1+BA208)</f>
        <v>3.89001778985252</v>
      </c>
      <c r="BB186" s="276">
        <f t="shared" ref="BB186:BB187" si="644">+BA186*(1+BB208)</f>
        <v>3.96781814564957</v>
      </c>
      <c r="BC186" s="276">
        <f t="shared" ref="BC186:BC187" si="645">+BB186*(1+BC208)</f>
        <v>4.04717450856256</v>
      </c>
      <c r="BD186" s="282"/>
      <c r="BE186" s="326"/>
      <c r="BF186" s="327"/>
      <c r="BG186" s="276"/>
      <c r="BH186" s="276"/>
      <c r="BI186" s="276"/>
      <c r="BJ186" s="276"/>
      <c r="BK186" s="276"/>
      <c r="BL186" s="276"/>
      <c r="BM186" s="276"/>
      <c r="BN186" s="276">
        <f>SUM(AF186:AI186)</f>
        <v>0.0535714285714286</v>
      </c>
      <c r="BO186" s="276">
        <f>SUM(AJ186:AM186)</f>
        <v>1.722</v>
      </c>
      <c r="BP186" s="276">
        <f>SUM(AN186:AQ186)</f>
        <v>3.911376</v>
      </c>
      <c r="BQ186" s="276">
        <f>SUM(AR186:AU186)</f>
        <v>8.1397818432</v>
      </c>
      <c r="BR186" s="276">
        <f t="shared" ref="BR186:BR188" si="646">SUM(AV186:AY186)</f>
        <v>13.3746356366994</v>
      </c>
      <c r="BS186" s="276">
        <f t="shared" si="616"/>
        <v>15.7187533752926</v>
      </c>
      <c r="BT186" s="324"/>
    </row>
    <row r="187" s="107" customFormat="1" customHeight="1" spans="1:78">
      <c r="A187" s="252"/>
      <c r="C187" s="283" t="s">
        <v>478</v>
      </c>
      <c r="D187" s="261"/>
      <c r="E187" s="261"/>
      <c r="F187" s="261"/>
      <c r="G187" s="261"/>
      <c r="H187" s="261"/>
      <c r="I187" s="261"/>
      <c r="J187" s="261"/>
      <c r="K187" s="261"/>
      <c r="L187" s="261"/>
      <c r="M187" s="261"/>
      <c r="N187" s="261"/>
      <c r="O187" s="261"/>
      <c r="P187" s="262"/>
      <c r="Q187" s="262"/>
      <c r="R187" s="270"/>
      <c r="S187" s="270"/>
      <c r="T187" s="270"/>
      <c r="U187" s="270"/>
      <c r="V187" s="270"/>
      <c r="W187" s="270"/>
      <c r="X187" s="270"/>
      <c r="Y187" s="270"/>
      <c r="Z187" s="270"/>
      <c r="AA187" s="270"/>
      <c r="AB187" s="270"/>
      <c r="AC187" s="270"/>
      <c r="AD187" s="270"/>
      <c r="AE187" s="270"/>
      <c r="AF187" s="270"/>
      <c r="AG187" s="270"/>
      <c r="AH187" s="270"/>
      <c r="AI187" s="270"/>
      <c r="AJ187" s="270"/>
      <c r="AK187" s="270"/>
      <c r="AL187" s="270"/>
      <c r="AM187" s="270"/>
      <c r="AN187" s="270"/>
      <c r="AO187" s="270"/>
      <c r="AP187" s="270"/>
      <c r="AQ187" s="270"/>
      <c r="AR187" s="270"/>
      <c r="AS187" s="270"/>
      <c r="AT187" s="276"/>
      <c r="AU187" s="276"/>
      <c r="AV187" s="276"/>
      <c r="AW187" s="276">
        <v>0.1</v>
      </c>
      <c r="AX187" s="276">
        <f t="shared" ref="AX187" si="647">+AW187*(1+AX209)</f>
        <v>0.108</v>
      </c>
      <c r="AY187" s="276">
        <f t="shared" ref="AY187" si="648">+AX187*(1+AY209)</f>
        <v>0.11664</v>
      </c>
      <c r="AZ187" s="276">
        <f t="shared" si="642"/>
        <v>0.1213056</v>
      </c>
      <c r="BA187" s="276">
        <f t="shared" si="643"/>
        <v>0.126157824</v>
      </c>
      <c r="BB187" s="276">
        <f t="shared" si="644"/>
        <v>0.13120413696</v>
      </c>
      <c r="BC187" s="276">
        <f t="shared" si="645"/>
        <v>0.1364523024384</v>
      </c>
      <c r="BD187" s="270"/>
      <c r="BE187" s="263"/>
      <c r="BF187" s="264"/>
      <c r="BG187" s="276"/>
      <c r="BH187" s="276"/>
      <c r="BI187" s="276"/>
      <c r="BJ187" s="276"/>
      <c r="BK187" s="276"/>
      <c r="BL187" s="276"/>
      <c r="BM187" s="276"/>
      <c r="BN187" s="276">
        <f>SUM(AF187:AI187)</f>
        <v>0</v>
      </c>
      <c r="BO187" s="276">
        <f>SUM(AJ187:AM187)</f>
        <v>0</v>
      </c>
      <c r="BP187" s="276">
        <f>SUM(AN187:AQ187)</f>
        <v>0</v>
      </c>
      <c r="BQ187" s="276">
        <f>SUM(AR187:AU187)</f>
        <v>0</v>
      </c>
      <c r="BR187" s="276">
        <f t="shared" si="646"/>
        <v>0.32464</v>
      </c>
      <c r="BS187" s="276">
        <f t="shared" si="616"/>
        <v>0.5151198633984</v>
      </c>
      <c r="BT187" s="252"/>
      <c r="BU187"/>
      <c r="BV187"/>
      <c r="BW187"/>
      <c r="BX187"/>
      <c r="BY187"/>
      <c r="BZ187"/>
    </row>
    <row r="188" s="107" customFormat="1" customHeight="1" spans="1:78">
      <c r="A188" s="252"/>
      <c r="C188" s="283" t="s">
        <v>479</v>
      </c>
      <c r="D188" s="261"/>
      <c r="E188" s="261"/>
      <c r="F188" s="261"/>
      <c r="G188" s="261"/>
      <c r="H188" s="261"/>
      <c r="I188" s="261"/>
      <c r="J188" s="261"/>
      <c r="K188" s="261"/>
      <c r="L188" s="261"/>
      <c r="M188" s="261"/>
      <c r="N188" s="261"/>
      <c r="O188" s="261"/>
      <c r="P188" s="262"/>
      <c r="Q188" s="262"/>
      <c r="R188" s="270"/>
      <c r="S188" s="270"/>
      <c r="T188" s="270"/>
      <c r="U188" s="270"/>
      <c r="V188" s="270"/>
      <c r="W188" s="270"/>
      <c r="X188" s="270"/>
      <c r="Y188" s="270"/>
      <c r="Z188" s="270"/>
      <c r="AA188" s="270"/>
      <c r="AB188" s="270"/>
      <c r="AC188" s="270"/>
      <c r="AD188" s="270"/>
      <c r="AE188" s="270"/>
      <c r="AF188" s="270"/>
      <c r="AG188" s="270"/>
      <c r="AH188" s="270"/>
      <c r="AI188" s="270"/>
      <c r="AJ188" s="270"/>
      <c r="AK188" s="270"/>
      <c r="AL188" s="270"/>
      <c r="AM188" s="270"/>
      <c r="AN188" s="270"/>
      <c r="AO188" s="270"/>
      <c r="AP188" s="270"/>
      <c r="AQ188" s="270"/>
      <c r="AR188" s="270"/>
      <c r="AS188" s="270"/>
      <c r="AT188" s="276">
        <v>0.05</v>
      </c>
      <c r="AU188" s="276">
        <f>+AT188+0.5</f>
        <v>0.55</v>
      </c>
      <c r="AV188" s="276">
        <f>+AU188+0.75</f>
        <v>1.3</v>
      </c>
      <c r="AW188" s="276">
        <f t="shared" ref="AW188:BC188" si="649">+AV188+0.75</f>
        <v>2.05</v>
      </c>
      <c r="AX188" s="276">
        <f t="shared" si="649"/>
        <v>2.8</v>
      </c>
      <c r="AY188" s="276">
        <f t="shared" si="649"/>
        <v>3.55</v>
      </c>
      <c r="AZ188" s="276">
        <f t="shared" si="649"/>
        <v>4.3</v>
      </c>
      <c r="BA188" s="276">
        <f t="shared" si="649"/>
        <v>5.05</v>
      </c>
      <c r="BB188" s="276">
        <f t="shared" si="649"/>
        <v>5.8</v>
      </c>
      <c r="BC188" s="276">
        <f t="shared" si="649"/>
        <v>6.55</v>
      </c>
      <c r="BD188" s="270"/>
      <c r="BE188" s="263"/>
      <c r="BF188" s="264"/>
      <c r="BG188" s="276"/>
      <c r="BH188" s="276"/>
      <c r="BI188" s="276"/>
      <c r="BJ188" s="276"/>
      <c r="BK188" s="276"/>
      <c r="BL188" s="276"/>
      <c r="BM188" s="276"/>
      <c r="BN188" s="276">
        <f>SUM(AF188:AI188)</f>
        <v>0</v>
      </c>
      <c r="BO188" s="276">
        <f>SUM(AJ188:AM188)</f>
        <v>0</v>
      </c>
      <c r="BP188" s="276">
        <f>SUM(AN188:AQ188)</f>
        <v>0</v>
      </c>
      <c r="BQ188" s="276">
        <f>SUM(AR188:AU188)</f>
        <v>0.6</v>
      </c>
      <c r="BR188" s="276">
        <f t="shared" si="646"/>
        <v>9.7</v>
      </c>
      <c r="BS188" s="276">
        <f t="shared" si="616"/>
        <v>21.7</v>
      </c>
      <c r="BT188" s="252"/>
      <c r="BU188"/>
      <c r="BV188"/>
      <c r="BW188"/>
      <c r="BX188"/>
      <c r="BY188"/>
      <c r="BZ188"/>
    </row>
    <row r="189" customHeight="1" spans="1:78">
      <c r="A189" s="252"/>
      <c r="B189" s="281" t="s">
        <v>480</v>
      </c>
      <c r="C189" s="70"/>
      <c r="D189" s="261"/>
      <c r="E189" s="261"/>
      <c r="F189" s="323"/>
      <c r="G189" s="261"/>
      <c r="H189" s="261"/>
      <c r="I189" s="261"/>
      <c r="J189" s="261"/>
      <c r="K189" s="261"/>
      <c r="L189" s="261"/>
      <c r="M189" s="261"/>
      <c r="N189" s="261"/>
      <c r="O189" s="261"/>
      <c r="P189" s="261"/>
      <c r="Q189" s="261"/>
      <c r="R189" s="329">
        <v>0.0005</v>
      </c>
      <c r="S189" s="329">
        <f>+R189*2</f>
        <v>0.001</v>
      </c>
      <c r="T189" s="329">
        <f>+S189*3</f>
        <v>0.003</v>
      </c>
      <c r="U189" s="329">
        <f>+T189*1.1</f>
        <v>0.0033</v>
      </c>
      <c r="V189" s="329">
        <f>+U189*1.16</f>
        <v>0.003828</v>
      </c>
      <c r="W189" s="329">
        <f>+V189*1.2</f>
        <v>0.0045936</v>
      </c>
      <c r="X189" s="329">
        <v>0.018</v>
      </c>
      <c r="Y189" s="329">
        <v>0.03</v>
      </c>
      <c r="Z189" s="329">
        <v>0.058</v>
      </c>
      <c r="AA189" s="329">
        <v>0.0437</v>
      </c>
      <c r="AB189" s="329">
        <v>0.04135</v>
      </c>
      <c r="AC189" s="329">
        <f>+AC126/AC235</f>
        <v>0.0470370916040057</v>
      </c>
      <c r="AD189" s="329">
        <f>+AD126/AD235</f>
        <v>0.0309406161213006</v>
      </c>
      <c r="AE189" s="329">
        <f>+AE126/AE235</f>
        <v>0.00112422036642763</v>
      </c>
      <c r="AF189" s="329">
        <v>0.000758974337046606</v>
      </c>
      <c r="AG189" s="329">
        <v>0.00136615380668389</v>
      </c>
      <c r="AH189" s="329">
        <v>0.00218584609069423</v>
      </c>
      <c r="AI189" s="329">
        <v>0.00988902576557528</v>
      </c>
      <c r="AJ189" s="329">
        <f>+AJ126/AJ235</f>
        <v>0.00580392140094464</v>
      </c>
      <c r="AK189" s="329">
        <f>+AJ189*1.05</f>
        <v>0.00609411747099187</v>
      </c>
      <c r="AL189" s="329">
        <f>+AK189*1.05</f>
        <v>0.00639882334454146</v>
      </c>
      <c r="AM189" s="329">
        <f>+AL189*1.05</f>
        <v>0.00671876451176854</v>
      </c>
      <c r="AN189" s="329">
        <f>+AM189</f>
        <v>0.00671876451176854</v>
      </c>
      <c r="AO189" s="329">
        <f>+AN189*1.03</f>
        <v>0.00692032744712159</v>
      </c>
      <c r="AP189" s="329">
        <f>+AO189*1.03</f>
        <v>0.00712793727053524</v>
      </c>
      <c r="AQ189" s="329">
        <f>+AP189*1.03</f>
        <v>0.0073417753886513</v>
      </c>
      <c r="AR189" s="329">
        <f>+AQ189*0.95</f>
        <v>0.00697468661921873</v>
      </c>
      <c r="AS189" s="329">
        <f>+AR189*1.02</f>
        <v>0.00711418035160311</v>
      </c>
      <c r="AT189" s="329">
        <f t="shared" ref="AT189" si="650">+AS189*(1+AT211)</f>
        <v>0.00718532215511914</v>
      </c>
      <c r="AU189" s="329">
        <f t="shared" ref="AU189" si="651">+AT189*(1+AU211)</f>
        <v>0.00725717537667033</v>
      </c>
      <c r="AV189" s="329">
        <f t="shared" ref="AV189" si="652">+AU189*(1+AV211)</f>
        <v>0.00732974713043703</v>
      </c>
      <c r="AW189" s="329">
        <f t="shared" ref="AW189" si="653">+AV189*(1+AW211)</f>
        <v>0.0074030446017414</v>
      </c>
      <c r="AX189" s="329">
        <f t="shared" ref="AX189" si="654">+AW189*(1+AX211)</f>
        <v>0.00747707504775882</v>
      </c>
      <c r="AY189" s="329">
        <f t="shared" ref="AY189" si="655">+AX189*(1+AY211)</f>
        <v>0.00755184579823641</v>
      </c>
      <c r="AZ189" s="329">
        <f t="shared" ref="AZ189" si="656">+AY189*(1+AZ211)</f>
        <v>0.00762736425621877</v>
      </c>
      <c r="BA189" s="329">
        <f t="shared" ref="BA189" si="657">+AZ189*(1+BA211)</f>
        <v>0.00770363789878096</v>
      </c>
      <c r="BB189" s="329">
        <f t="shared" ref="BB189" si="658">+BA189*(1+BB211)</f>
        <v>0.00778067427776877</v>
      </c>
      <c r="BC189" s="329">
        <f t="shared" ref="BC189" si="659">+BB189*(1+BC211)</f>
        <v>0.00785848102054645</v>
      </c>
      <c r="BD189" s="261"/>
      <c r="BE189" s="271"/>
      <c r="BF189" s="272"/>
      <c r="BG189" s="323"/>
      <c r="BH189" s="323"/>
      <c r="BI189" s="323"/>
      <c r="BJ189" s="323"/>
      <c r="BK189" s="323"/>
      <c r="BL189" s="323"/>
      <c r="BM189" s="323"/>
      <c r="BN189" s="323"/>
      <c r="BO189" s="323"/>
      <c r="BP189" s="324"/>
      <c r="BQ189" s="324"/>
      <c r="BR189" s="324"/>
      <c r="BS189" s="324"/>
      <c r="BT189" s="324"/>
    </row>
    <row r="190" customHeight="1" spans="1:78">
      <c r="A190" s="268"/>
      <c r="B190" s="268" t="s">
        <v>481</v>
      </c>
      <c r="C190" s="284"/>
      <c r="D190" s="261"/>
      <c r="E190" s="261"/>
      <c r="F190" s="323"/>
      <c r="G190" s="261"/>
      <c r="H190" s="261"/>
      <c r="I190" s="261"/>
      <c r="J190" s="261"/>
      <c r="K190" s="261"/>
      <c r="L190" s="261"/>
      <c r="M190" s="261"/>
      <c r="N190" s="261"/>
      <c r="O190" s="261"/>
      <c r="P190" s="261"/>
      <c r="Q190" s="261"/>
      <c r="R190" s="261"/>
      <c r="S190" s="261"/>
      <c r="T190" s="261"/>
      <c r="U190" s="261"/>
      <c r="V190" s="261"/>
      <c r="W190" s="323"/>
      <c r="X190" s="282"/>
      <c r="Y190" s="261"/>
      <c r="Z190" s="261"/>
      <c r="AA190" s="261"/>
      <c r="AB190" s="261"/>
      <c r="AC190" s="261"/>
      <c r="AD190" s="261"/>
      <c r="AE190" s="261"/>
      <c r="AF190" s="261"/>
      <c r="AG190" s="261"/>
      <c r="AH190" s="261"/>
      <c r="AI190" s="261"/>
      <c r="AJ190" s="261"/>
      <c r="AK190" s="261"/>
      <c r="AL190" s="261"/>
      <c r="AM190" s="261"/>
      <c r="AN190" s="261"/>
      <c r="AO190" s="261"/>
      <c r="AP190" s="261"/>
      <c r="AQ190" s="261"/>
      <c r="AR190" s="261"/>
      <c r="AS190" s="261"/>
      <c r="AT190" s="261"/>
      <c r="AU190" s="261"/>
      <c r="AV190" s="261"/>
      <c r="AW190" s="261"/>
      <c r="AX190" s="261"/>
      <c r="AY190" s="261"/>
      <c r="AZ190" s="261"/>
      <c r="BA190" s="261"/>
      <c r="BB190" s="261"/>
      <c r="BC190" s="261"/>
      <c r="BD190" s="261"/>
      <c r="BE190" s="271"/>
      <c r="BF190" s="272"/>
      <c r="BG190" s="323"/>
      <c r="BH190" s="323"/>
      <c r="BI190" s="323"/>
      <c r="BJ190" s="323"/>
      <c r="BK190" s="323"/>
      <c r="BL190" s="323"/>
      <c r="BM190" s="323"/>
      <c r="BN190" s="323"/>
      <c r="BO190" s="323"/>
      <c r="BP190" s="324"/>
      <c r="BQ190" s="324"/>
      <c r="BR190" s="324"/>
      <c r="BS190" s="324"/>
      <c r="BT190" s="324"/>
    </row>
    <row r="191" customHeight="1" spans="1:78">
      <c r="A191" s="286" t="s">
        <v>125</v>
      </c>
      <c r="B191" s="286"/>
      <c r="C191" s="287"/>
      <c r="D191" s="261"/>
      <c r="E191" s="261"/>
      <c r="F191" s="323"/>
      <c r="G191" s="261"/>
      <c r="H191" s="261"/>
      <c r="I191" s="261"/>
      <c r="J191" s="261"/>
      <c r="K191" s="261"/>
      <c r="L191" s="261"/>
      <c r="M191" s="261"/>
      <c r="N191" s="261"/>
      <c r="O191" s="261"/>
      <c r="P191" s="261"/>
      <c r="Q191" s="261"/>
      <c r="R191" s="261"/>
      <c r="S191" s="261"/>
      <c r="T191" s="261"/>
      <c r="U191" s="261"/>
      <c r="V191" s="261"/>
      <c r="W191" s="323"/>
      <c r="X191" s="282"/>
      <c r="Y191" s="261"/>
      <c r="Z191" s="261"/>
      <c r="AA191" s="261"/>
      <c r="AB191" s="261"/>
      <c r="AC191" s="261"/>
      <c r="AD191" s="261"/>
      <c r="AE191" s="261"/>
      <c r="AF191" s="261"/>
      <c r="AG191" s="261"/>
      <c r="AH191" s="261"/>
      <c r="AI191" s="261"/>
      <c r="AJ191" s="261"/>
      <c r="AK191" s="261"/>
      <c r="AL191" s="261"/>
      <c r="AM191" s="261"/>
      <c r="AN191" s="261"/>
      <c r="AO191" s="261"/>
      <c r="AP191" s="261"/>
      <c r="AQ191" s="261"/>
      <c r="AR191" s="261"/>
      <c r="AS191" s="261"/>
      <c r="AT191" s="261"/>
      <c r="AU191" s="261"/>
      <c r="AV191" s="261"/>
      <c r="AW191" s="261"/>
      <c r="AX191" s="261"/>
      <c r="AY191" s="261"/>
      <c r="AZ191" s="261"/>
      <c r="BA191" s="261"/>
      <c r="BB191" s="261"/>
      <c r="BC191" s="261"/>
      <c r="BD191" s="261"/>
      <c r="BE191" s="271"/>
      <c r="BF191" s="272"/>
      <c r="BG191" s="323"/>
      <c r="BH191" s="323"/>
      <c r="BI191" s="323"/>
      <c r="BJ191" s="323"/>
      <c r="BK191" s="323"/>
      <c r="BL191" s="323"/>
      <c r="BM191" s="323"/>
      <c r="BN191" s="323"/>
      <c r="BO191" s="323"/>
      <c r="BP191" s="324"/>
      <c r="BQ191" s="324"/>
      <c r="BR191" s="324"/>
      <c r="BS191" s="324"/>
      <c r="BT191" s="324"/>
    </row>
    <row r="192" customHeight="1" spans="1:78">
      <c r="A192" s="252"/>
      <c r="B192" s="252"/>
      <c r="C192" s="252"/>
      <c r="D192" s="261"/>
      <c r="E192" s="261"/>
      <c r="F192" s="323"/>
      <c r="G192" s="261"/>
      <c r="H192" s="261"/>
      <c r="I192" s="261"/>
      <c r="J192" s="261"/>
      <c r="K192" s="261"/>
      <c r="L192" s="261"/>
      <c r="M192" s="261"/>
      <c r="N192" s="261"/>
      <c r="O192" s="261"/>
      <c r="P192" s="261"/>
      <c r="Q192" s="261"/>
      <c r="R192" s="261"/>
      <c r="S192" s="261"/>
      <c r="T192" s="261"/>
      <c r="U192" s="261"/>
      <c r="V192" s="261"/>
      <c r="W192" s="323"/>
      <c r="X192" s="282"/>
      <c r="Y192" s="261"/>
      <c r="Z192" s="261"/>
      <c r="AA192" s="261"/>
      <c r="AB192" s="261"/>
      <c r="AC192" s="261"/>
      <c r="AD192" s="261"/>
      <c r="AE192" s="261"/>
      <c r="AF192" s="261"/>
      <c r="AG192" s="261"/>
      <c r="AH192" s="261"/>
      <c r="AI192" s="261"/>
      <c r="AJ192" s="261"/>
      <c r="AK192" s="261"/>
      <c r="AL192" s="261"/>
      <c r="AM192" s="261"/>
      <c r="AN192" s="261"/>
      <c r="AO192" s="261"/>
      <c r="AP192" s="261"/>
      <c r="AQ192" s="261"/>
      <c r="AR192" s="261"/>
      <c r="AS192" s="261"/>
      <c r="AT192" s="261"/>
      <c r="AU192" s="261"/>
      <c r="AV192" s="261"/>
      <c r="AW192" s="261"/>
      <c r="AX192" s="261"/>
      <c r="AY192" s="261"/>
      <c r="AZ192" s="261"/>
      <c r="BA192" s="261"/>
      <c r="BB192" s="261"/>
      <c r="BC192" s="261"/>
      <c r="BD192" s="261"/>
      <c r="BE192" s="271"/>
      <c r="BF192" s="272"/>
      <c r="BG192" s="323"/>
      <c r="BH192" s="323"/>
      <c r="BI192" s="323"/>
      <c r="BJ192" s="323"/>
      <c r="BK192" s="323"/>
      <c r="BL192" s="323"/>
      <c r="BM192" s="323"/>
      <c r="BN192" s="323"/>
      <c r="BO192" s="323"/>
      <c r="BP192" s="324"/>
      <c r="BQ192" s="324"/>
      <c r="BR192" s="324"/>
      <c r="BS192" s="324"/>
      <c r="BT192" s="324"/>
    </row>
    <row r="193" customHeight="1" spans="1:78">
      <c r="A193" s="252" t="s">
        <v>487</v>
      </c>
      <c r="B193" s="252"/>
      <c r="C193" s="330"/>
      <c r="D193" s="331"/>
      <c r="E193" s="331"/>
      <c r="F193" s="331"/>
      <c r="G193" s="331"/>
      <c r="H193" s="331"/>
      <c r="I193" s="331"/>
      <c r="J193" s="331"/>
      <c r="K193" s="331"/>
      <c r="L193" s="331"/>
      <c r="M193" s="331"/>
      <c r="N193" s="331"/>
      <c r="O193" s="331"/>
      <c r="P193" s="331"/>
      <c r="Q193" s="331"/>
      <c r="R193" s="331"/>
      <c r="S193" s="331"/>
      <c r="T193" s="331"/>
      <c r="U193" s="331"/>
      <c r="V193" s="331"/>
      <c r="W193" s="331"/>
      <c r="X193" s="331"/>
      <c r="Y193" s="331"/>
      <c r="Z193" s="331"/>
      <c r="AA193" s="331"/>
      <c r="AB193" s="331"/>
      <c r="AC193" s="331"/>
      <c r="AD193" s="331"/>
      <c r="AE193" s="331"/>
      <c r="AF193" s="331"/>
      <c r="AG193" s="331"/>
      <c r="AH193" s="331"/>
      <c r="AI193" s="331"/>
      <c r="AJ193" s="331"/>
      <c r="AK193" s="331"/>
      <c r="AL193" s="331"/>
      <c r="AM193" s="331"/>
      <c r="AN193" s="331"/>
      <c r="AO193" s="331"/>
      <c r="AP193" s="331"/>
      <c r="AQ193" s="331"/>
      <c r="AR193" s="331"/>
      <c r="AS193" s="331"/>
      <c r="AT193" s="331"/>
      <c r="AU193" s="331"/>
      <c r="AV193" s="331"/>
      <c r="AW193" s="331"/>
      <c r="AX193" s="331"/>
      <c r="AY193" s="331"/>
      <c r="AZ193" s="331"/>
      <c r="BA193" s="331"/>
      <c r="BB193" s="331"/>
      <c r="BC193" s="331"/>
      <c r="BD193" s="331"/>
      <c r="BE193" s="332"/>
      <c r="BF193" s="333"/>
      <c r="BG193" s="270"/>
      <c r="BH193" s="319"/>
      <c r="BI193" s="319"/>
      <c r="BJ193" s="319"/>
      <c r="BK193" s="319"/>
      <c r="BL193" s="319"/>
      <c r="BM193" s="319"/>
      <c r="BN193" s="319"/>
      <c r="BO193" s="319"/>
      <c r="BP193" s="330"/>
      <c r="BQ193" s="330"/>
      <c r="BR193" s="330"/>
      <c r="BS193" s="330"/>
      <c r="BT193" s="330"/>
    </row>
    <row r="194" s="105" customFormat="1" customHeight="1" spans="1:78">
      <c r="A194" s="334"/>
      <c r="B194" s="70"/>
      <c r="C194" s="70"/>
      <c r="D194" s="335"/>
      <c r="E194" s="335"/>
      <c r="F194" s="335"/>
      <c r="G194" s="335"/>
      <c r="H194" s="335"/>
      <c r="I194" s="335"/>
      <c r="J194" s="335"/>
      <c r="K194" s="335"/>
      <c r="L194" s="335"/>
      <c r="M194" s="335"/>
      <c r="N194" s="335"/>
      <c r="O194" s="335"/>
      <c r="P194" s="335"/>
      <c r="Q194" s="335"/>
      <c r="R194" s="335"/>
      <c r="S194" s="335"/>
      <c r="T194" s="335"/>
      <c r="U194" s="335"/>
      <c r="V194" s="335"/>
      <c r="W194" s="335"/>
      <c r="X194" s="335"/>
      <c r="Y194" s="335"/>
      <c r="Z194" s="335"/>
      <c r="AA194" s="335"/>
      <c r="AB194" s="335"/>
      <c r="AC194" s="335"/>
      <c r="AD194" s="335"/>
      <c r="AE194" s="335"/>
      <c r="AF194" s="335"/>
      <c r="AG194" s="335"/>
      <c r="AH194" s="335"/>
      <c r="AI194" s="335"/>
      <c r="AJ194" s="335"/>
      <c r="AK194" s="335"/>
      <c r="AL194" s="335"/>
      <c r="AM194" s="335"/>
      <c r="AN194" s="335"/>
      <c r="AO194" s="335"/>
      <c r="AP194" s="335"/>
      <c r="AQ194" s="335"/>
      <c r="AR194" s="335"/>
      <c r="AS194" s="335"/>
      <c r="AT194" s="335"/>
      <c r="AU194" s="335"/>
      <c r="AV194" s="335"/>
      <c r="AW194" s="335"/>
      <c r="AX194" s="335"/>
      <c r="AY194" s="335"/>
      <c r="AZ194" s="335"/>
      <c r="BA194" s="335"/>
      <c r="BB194" s="335"/>
      <c r="BC194" s="335"/>
      <c r="BD194" s="335"/>
      <c r="BE194" s="336"/>
      <c r="BF194" s="337"/>
      <c r="BG194" s="335"/>
      <c r="BH194" s="335"/>
      <c r="BI194" s="335"/>
      <c r="BJ194" s="335"/>
      <c r="BK194" s="335"/>
      <c r="BL194" s="335"/>
      <c r="BM194" s="335"/>
      <c r="BN194" s="335"/>
      <c r="BO194" s="335"/>
      <c r="BP194" s="334"/>
      <c r="BQ194" s="334"/>
      <c r="BR194" s="334"/>
      <c r="BS194" s="334"/>
      <c r="BT194" s="334"/>
      <c r="BU194"/>
      <c r="BV194"/>
      <c r="BW194"/>
      <c r="BX194"/>
      <c r="BY194"/>
      <c r="BZ194"/>
    </row>
    <row r="195" s="105" customFormat="1" customHeight="1" spans="1:78">
      <c r="A195" s="252"/>
      <c r="B195" s="395" t="s">
        <v>464</v>
      </c>
      <c r="C195" s="70"/>
      <c r="D195" s="335"/>
      <c r="E195" s="335"/>
      <c r="F195" s="335"/>
      <c r="G195" s="335"/>
      <c r="H195" s="335"/>
      <c r="I195" s="335"/>
      <c r="J195" s="335"/>
      <c r="K195" s="335"/>
      <c r="L195" s="335"/>
      <c r="M195" s="335"/>
      <c r="N195" s="335"/>
      <c r="O195" s="335"/>
      <c r="P195" s="335"/>
      <c r="Q195" s="335"/>
      <c r="R195" s="335"/>
      <c r="S195" s="335"/>
      <c r="T195" s="335"/>
      <c r="U195" s="335"/>
      <c r="V195" s="335"/>
      <c r="W195" s="335"/>
      <c r="X195" s="335"/>
      <c r="Y195" s="335"/>
      <c r="Z195" s="335"/>
      <c r="AA195" s="335"/>
      <c r="AB195" s="335"/>
      <c r="AC195" s="335"/>
      <c r="AD195" s="335"/>
      <c r="AE195" s="335"/>
      <c r="AF195" s="335"/>
      <c r="AG195" s="335"/>
      <c r="AH195" s="335"/>
      <c r="AI195" s="335"/>
      <c r="AJ195" s="335"/>
      <c r="AK195" s="335"/>
      <c r="AL195" s="335"/>
      <c r="AM195" s="335"/>
      <c r="AN195" s="335"/>
      <c r="AO195" s="335"/>
      <c r="AP195" s="335"/>
      <c r="AQ195" s="335"/>
      <c r="AR195" s="335"/>
      <c r="AS195" s="335"/>
      <c r="AT195" s="335"/>
      <c r="AU195" s="335"/>
      <c r="AV195" s="335"/>
      <c r="AW195" s="335"/>
      <c r="AX195" s="335"/>
      <c r="AY195" s="335"/>
      <c r="AZ195" s="335"/>
      <c r="BA195" s="335"/>
      <c r="BB195" s="335"/>
      <c r="BC195" s="335"/>
      <c r="BD195" s="335"/>
      <c r="BE195" s="336"/>
      <c r="BF195" s="337"/>
      <c r="BG195" s="335"/>
      <c r="BH195" s="335"/>
      <c r="BI195" s="335"/>
      <c r="BJ195" s="335"/>
      <c r="BK195" s="335"/>
      <c r="BL195" s="335"/>
      <c r="BM195" s="335"/>
      <c r="BN195" s="335"/>
      <c r="BO195" s="335"/>
      <c r="BP195" s="335"/>
      <c r="BQ195" s="335"/>
      <c r="BR195" s="335"/>
      <c r="BS195" s="335"/>
      <c r="BT195" s="334"/>
      <c r="BU195"/>
      <c r="BV195"/>
      <c r="BW195"/>
      <c r="BX195"/>
      <c r="BY195"/>
      <c r="BZ195"/>
    </row>
    <row r="196" customHeight="1" spans="1:78">
      <c r="A196" s="268"/>
      <c r="B196" s="268"/>
      <c r="C196" s="397" t="s">
        <v>465</v>
      </c>
      <c r="D196" s="316"/>
      <c r="E196" s="316"/>
      <c r="F196" s="316"/>
      <c r="G196" s="316"/>
      <c r="H196" s="316"/>
      <c r="I196" s="316"/>
      <c r="J196" s="316"/>
      <c r="K196" s="316"/>
      <c r="L196" s="316"/>
      <c r="M196" s="316"/>
      <c r="N196" s="316"/>
      <c r="O196" s="316"/>
      <c r="P196" s="316"/>
      <c r="Q196" s="316"/>
      <c r="R196" s="316"/>
      <c r="S196" s="316"/>
      <c r="T196" s="316"/>
      <c r="U196" s="316"/>
      <c r="V196" s="316"/>
      <c r="W196" s="316"/>
      <c r="X196" s="316"/>
      <c r="Y196" s="316"/>
      <c r="Z196" s="316"/>
      <c r="AA196" s="316"/>
      <c r="AB196" s="316"/>
      <c r="AC196" s="316"/>
      <c r="AD196" s="316"/>
      <c r="AE196" s="316"/>
      <c r="AF196" s="316"/>
      <c r="AG196" s="316"/>
      <c r="AH196" s="316"/>
      <c r="AI196" s="316"/>
      <c r="AJ196" s="316"/>
      <c r="AK196" s="316"/>
      <c r="AL196" s="316"/>
      <c r="AM196" s="316"/>
      <c r="AN196" s="316"/>
      <c r="AO196" s="316"/>
      <c r="AP196" s="316"/>
      <c r="AQ196" s="316"/>
      <c r="AR196" s="316"/>
      <c r="AS196" s="316"/>
      <c r="AT196" s="316"/>
      <c r="AU196" s="316"/>
      <c r="AV196" s="316"/>
      <c r="AW196" s="316"/>
      <c r="AX196" s="316"/>
      <c r="AY196" s="316"/>
      <c r="AZ196" s="316"/>
      <c r="BA196" s="316"/>
      <c r="BB196" s="316"/>
      <c r="BC196" s="316"/>
      <c r="BD196" s="316"/>
      <c r="BE196" s="332"/>
      <c r="BF196" s="333"/>
      <c r="BG196" s="316"/>
      <c r="BH196" s="316"/>
      <c r="BI196" s="316"/>
      <c r="BJ196" s="316"/>
      <c r="BK196" s="316"/>
      <c r="BL196" s="316"/>
      <c r="BM196" s="316"/>
      <c r="BN196" s="316"/>
      <c r="BO196" s="316"/>
      <c r="BP196" s="316"/>
      <c r="BQ196" s="316"/>
      <c r="BR196" s="316"/>
      <c r="BS196" s="316"/>
      <c r="BT196" s="330"/>
    </row>
    <row r="197" ht="9.75" customHeight="1" spans="1:78">
      <c r="A197" s="268"/>
      <c r="B197" s="268"/>
      <c r="C197" s="396" t="s">
        <v>466</v>
      </c>
      <c r="D197" s="316"/>
      <c r="E197" s="316"/>
      <c r="F197" s="316"/>
      <c r="G197" s="316"/>
      <c r="H197" s="316"/>
      <c r="I197" s="316"/>
      <c r="J197" s="316"/>
      <c r="K197" s="316"/>
      <c r="L197" s="316"/>
      <c r="M197" s="316"/>
      <c r="N197" s="316"/>
      <c r="O197" s="316"/>
      <c r="P197" s="316"/>
      <c r="Q197" s="316"/>
      <c r="R197" s="316" t="str">
        <f>IFERROR(R175/#REF!-1,"-")</f>
        <v>-</v>
      </c>
      <c r="S197" s="316">
        <f t="shared" ref="S197:AL197" si="660">IFERROR(S175/R175-1,"-")</f>
        <v>-0.286984676821814</v>
      </c>
      <c r="T197" s="316">
        <f t="shared" si="660"/>
        <v>0.248134328358209</v>
      </c>
      <c r="U197" s="316">
        <f t="shared" si="660"/>
        <v>0.188340807174888</v>
      </c>
      <c r="V197" s="316">
        <f t="shared" si="660"/>
        <v>-0.198252075471698</v>
      </c>
      <c r="W197" s="316">
        <f t="shared" si="660"/>
        <v>-0.2</v>
      </c>
      <c r="X197" s="316">
        <f t="shared" si="660"/>
        <v>-0.215550426301276</v>
      </c>
      <c r="Y197" s="316">
        <f t="shared" si="660"/>
        <v>0.375</v>
      </c>
      <c r="Z197" s="316">
        <f t="shared" si="660"/>
        <v>0.913636363636364</v>
      </c>
      <c r="AA197" s="316">
        <f t="shared" si="660"/>
        <v>0.249406175771971</v>
      </c>
      <c r="AB197" s="316">
        <f t="shared" si="660"/>
        <v>-0.0684410646387833</v>
      </c>
      <c r="AC197" s="316">
        <f t="shared" si="660"/>
        <v>0.144897959183673</v>
      </c>
      <c r="AD197" s="316">
        <f t="shared" si="660"/>
        <v>0.0588235294117647</v>
      </c>
      <c r="AE197" s="316">
        <f t="shared" si="660"/>
        <v>0.0707070707070707</v>
      </c>
      <c r="AF197" s="316">
        <f t="shared" si="660"/>
        <v>-0.482</v>
      </c>
      <c r="AG197" s="316">
        <f t="shared" si="660"/>
        <v>0.2</v>
      </c>
      <c r="AH197" s="316">
        <f t="shared" si="660"/>
        <v>0.35</v>
      </c>
      <c r="AI197" s="316">
        <f t="shared" si="660"/>
        <v>0.25</v>
      </c>
      <c r="AJ197" s="316">
        <f t="shared" si="660"/>
        <v>0.119718100850176</v>
      </c>
      <c r="AK197" s="316">
        <f t="shared" si="660"/>
        <v>0.0760000000000001</v>
      </c>
      <c r="AL197" s="316">
        <f t="shared" si="660"/>
        <v>-0.0979999999999999</v>
      </c>
      <c r="AM197" s="338">
        <v>0.005</v>
      </c>
      <c r="AN197" s="338">
        <v>0.005</v>
      </c>
      <c r="AO197" s="338">
        <v>0.005</v>
      </c>
      <c r="AP197" s="338">
        <v>0.005</v>
      </c>
      <c r="AQ197" s="338">
        <v>0.005</v>
      </c>
      <c r="AR197" s="338">
        <v>0.04</v>
      </c>
      <c r="AS197" s="338">
        <v>0.1</v>
      </c>
      <c r="AT197" s="338">
        <v>0.04</v>
      </c>
      <c r="AU197" s="338">
        <v>0.04</v>
      </c>
      <c r="AV197" s="338">
        <v>0.02</v>
      </c>
      <c r="AW197" s="338">
        <v>0.02</v>
      </c>
      <c r="AX197" s="338">
        <v>0.02</v>
      </c>
      <c r="AY197" s="338">
        <v>0.02</v>
      </c>
      <c r="AZ197" s="338">
        <v>0.02</v>
      </c>
      <c r="BA197" s="338">
        <v>0.02</v>
      </c>
      <c r="BB197" s="338">
        <v>0.02</v>
      </c>
      <c r="BC197" s="338">
        <v>0.02</v>
      </c>
      <c r="BD197" s="316"/>
      <c r="BE197" s="332"/>
      <c r="BF197" s="333"/>
      <c r="BG197" s="316"/>
      <c r="BH197" s="316"/>
      <c r="BI197" s="316"/>
      <c r="BJ197" s="316"/>
      <c r="BK197" s="316"/>
      <c r="BL197" s="316"/>
      <c r="BM197" s="316"/>
      <c r="BN197" s="316"/>
      <c r="BO197" s="316"/>
      <c r="BP197" s="316"/>
      <c r="BQ197" s="316"/>
      <c r="BR197" s="316"/>
      <c r="BS197" s="316"/>
      <c r="BT197" s="330"/>
    </row>
    <row r="198" ht="9.75" customHeight="1" spans="1:78">
      <c r="A198" s="268"/>
      <c r="B198" s="268"/>
      <c r="C198" s="396" t="s">
        <v>467</v>
      </c>
      <c r="D198" s="316"/>
      <c r="E198" s="316"/>
      <c r="F198" s="316"/>
      <c r="G198" s="316"/>
      <c r="H198" s="316"/>
      <c r="I198" s="316"/>
      <c r="J198" s="316"/>
      <c r="K198" s="316"/>
      <c r="L198" s="316"/>
      <c r="M198" s="316"/>
      <c r="N198" s="316"/>
      <c r="O198" s="316"/>
      <c r="P198" s="316"/>
      <c r="Q198" s="316"/>
      <c r="R198" s="316" t="str">
        <f>IFERROR(R176/#REF!-1,"-")</f>
        <v>-</v>
      </c>
      <c r="S198" s="316">
        <f t="shared" ref="S198:AL198" si="661">IFERROR(S176/R176-1,"-")</f>
        <v>-0.245328014405179</v>
      </c>
      <c r="T198" s="316">
        <f t="shared" si="661"/>
        <v>0.0750789999999999</v>
      </c>
      <c r="U198" s="316">
        <f t="shared" si="661"/>
        <v>0.23254105047164</v>
      </c>
      <c r="V198" s="316">
        <f t="shared" si="661"/>
        <v>-0.2</v>
      </c>
      <c r="W198" s="316">
        <f t="shared" si="661"/>
        <v>-0.18</v>
      </c>
      <c r="X198" s="316">
        <f t="shared" si="661"/>
        <v>-0.280990867382983</v>
      </c>
      <c r="Y198" s="316">
        <f t="shared" si="661"/>
        <v>0.04</v>
      </c>
      <c r="Z198" s="316">
        <f t="shared" si="661"/>
        <v>0.542307692307692</v>
      </c>
      <c r="AA198" s="316">
        <f t="shared" si="661"/>
        <v>0.645885286783042</v>
      </c>
      <c r="AB198" s="316">
        <f t="shared" si="661"/>
        <v>-0.166666666666667</v>
      </c>
      <c r="AC198" s="316">
        <f t="shared" si="661"/>
        <v>0.144</v>
      </c>
      <c r="AD198" s="316">
        <f t="shared" si="661"/>
        <v>0.095</v>
      </c>
      <c r="AE198" s="316">
        <f t="shared" si="661"/>
        <v>0.075</v>
      </c>
      <c r="AF198" s="316">
        <f t="shared" si="661"/>
        <v>-0.486</v>
      </c>
      <c r="AG198" s="316">
        <f t="shared" si="661"/>
        <v>0.2</v>
      </c>
      <c r="AH198" s="316">
        <f t="shared" si="661"/>
        <v>0.35</v>
      </c>
      <c r="AI198" s="316">
        <f t="shared" si="661"/>
        <v>0.25</v>
      </c>
      <c r="AJ198" s="316">
        <f t="shared" si="661"/>
        <v>-0.241149154834747</v>
      </c>
      <c r="AK198" s="316">
        <f t="shared" si="661"/>
        <v>0.12</v>
      </c>
      <c r="AL198" s="316">
        <f t="shared" si="661"/>
        <v>-0.1</v>
      </c>
      <c r="AM198" s="338">
        <v>0.005</v>
      </c>
      <c r="AN198" s="338">
        <v>0.005</v>
      </c>
      <c r="AO198" s="338">
        <v>0.005</v>
      </c>
      <c r="AP198" s="338">
        <v>0.005</v>
      </c>
      <c r="AQ198" s="338">
        <v>0.005</v>
      </c>
      <c r="AR198" s="338">
        <v>0.04</v>
      </c>
      <c r="AS198" s="338">
        <v>0.1</v>
      </c>
      <c r="AT198" s="338">
        <v>0.04</v>
      </c>
      <c r="AU198" s="338">
        <v>0.04</v>
      </c>
      <c r="AV198" s="338">
        <v>0.02</v>
      </c>
      <c r="AW198" s="338">
        <v>0.02</v>
      </c>
      <c r="AX198" s="338">
        <v>0.02</v>
      </c>
      <c r="AY198" s="338">
        <v>0.02</v>
      </c>
      <c r="AZ198" s="338">
        <v>0.02</v>
      </c>
      <c r="BA198" s="338">
        <v>0.02</v>
      </c>
      <c r="BB198" s="338">
        <v>0.02</v>
      </c>
      <c r="BC198" s="338">
        <v>0.02</v>
      </c>
      <c r="BD198" s="316"/>
      <c r="BE198" s="332"/>
      <c r="BF198" s="333"/>
      <c r="BG198" s="316"/>
      <c r="BH198" s="316"/>
      <c r="BI198" s="316"/>
      <c r="BJ198" s="316"/>
      <c r="BK198" s="316"/>
      <c r="BL198" s="316"/>
      <c r="BM198" s="316"/>
      <c r="BN198" s="316"/>
      <c r="BO198" s="316"/>
      <c r="BP198" s="316"/>
      <c r="BQ198" s="316"/>
      <c r="BR198" s="316"/>
      <c r="BS198" s="316"/>
      <c r="BT198" s="330"/>
    </row>
    <row r="199" ht="9.75" customHeight="1" spans="1:78">
      <c r="A199" s="268"/>
      <c r="B199" s="268"/>
      <c r="C199" s="397" t="s">
        <v>468</v>
      </c>
      <c r="D199" s="316"/>
      <c r="E199" s="316"/>
      <c r="F199" s="316"/>
      <c r="G199" s="316"/>
      <c r="H199" s="316"/>
      <c r="I199" s="316"/>
      <c r="J199" s="316"/>
      <c r="K199" s="316"/>
      <c r="L199" s="316"/>
      <c r="M199" s="316"/>
      <c r="N199" s="316"/>
      <c r="O199" s="316"/>
      <c r="P199" s="316"/>
      <c r="Q199" s="316"/>
      <c r="R199" s="316"/>
      <c r="S199" s="316"/>
      <c r="T199" s="316"/>
      <c r="U199" s="316"/>
      <c r="V199" s="316"/>
      <c r="W199" s="316"/>
      <c r="X199" s="316"/>
      <c r="Y199" s="316"/>
      <c r="Z199" s="316"/>
      <c r="AA199" s="316"/>
      <c r="AB199" s="316"/>
      <c r="AC199" s="316"/>
      <c r="AD199" s="316"/>
      <c r="AE199" s="316"/>
      <c r="AF199" s="316"/>
      <c r="AG199" s="316"/>
      <c r="AH199" s="316"/>
      <c r="AI199" s="316"/>
      <c r="AJ199" s="316"/>
      <c r="AK199" s="316"/>
      <c r="AL199" s="316"/>
      <c r="AM199" s="310"/>
      <c r="AN199" s="316"/>
      <c r="AO199" s="316"/>
      <c r="AP199" s="316"/>
      <c r="AQ199" s="316"/>
      <c r="AR199" s="316"/>
      <c r="AS199" s="316"/>
      <c r="AT199" s="316"/>
      <c r="AU199" s="316"/>
      <c r="AV199" s="316"/>
      <c r="AW199" s="316"/>
      <c r="AX199" s="316"/>
      <c r="AY199" s="316"/>
      <c r="AZ199" s="316"/>
      <c r="BA199" s="316"/>
      <c r="BB199" s="316"/>
      <c r="BC199" s="316"/>
      <c r="BD199" s="316"/>
      <c r="BE199" s="332"/>
      <c r="BF199" s="333"/>
      <c r="BG199" s="316"/>
      <c r="BH199" s="316"/>
      <c r="BI199" s="316"/>
      <c r="BJ199" s="316"/>
      <c r="BK199" s="316"/>
      <c r="BL199" s="316"/>
      <c r="BM199" s="316"/>
      <c r="BN199" s="316"/>
      <c r="BO199" s="316"/>
      <c r="BP199" s="316"/>
      <c r="BQ199" s="316"/>
      <c r="BR199" s="316"/>
      <c r="BS199" s="316"/>
      <c r="BT199" s="330"/>
    </row>
    <row r="200" ht="9.75" customHeight="1" spans="1:78">
      <c r="A200" s="268"/>
      <c r="B200" s="268"/>
      <c r="C200" s="396" t="s">
        <v>469</v>
      </c>
      <c r="D200" s="316"/>
      <c r="E200" s="316"/>
      <c r="F200" s="316"/>
      <c r="G200" s="316"/>
      <c r="H200" s="316"/>
      <c r="I200" s="316"/>
      <c r="J200" s="316"/>
      <c r="K200" s="316"/>
      <c r="L200" s="316"/>
      <c r="M200" s="316"/>
      <c r="N200" s="316"/>
      <c r="O200" s="316"/>
      <c r="P200" s="316"/>
      <c r="Q200" s="316"/>
      <c r="R200" s="316"/>
      <c r="S200" s="316"/>
      <c r="T200" s="316"/>
      <c r="U200" s="316"/>
      <c r="V200" s="316"/>
      <c r="W200" s="316"/>
      <c r="X200" s="316"/>
      <c r="Y200" s="316"/>
      <c r="Z200" s="316"/>
      <c r="AA200" s="316" t="str">
        <f>IFERROR(AA178/#REF!-1,"-")</f>
        <v>-</v>
      </c>
      <c r="AB200" s="316">
        <f t="shared" ref="AB200:AL200" si="662">IFERROR(AB178/AA178-1,"-")</f>
        <v>0.111111111111111</v>
      </c>
      <c r="AC200" s="316">
        <f t="shared" si="662"/>
        <v>0.4</v>
      </c>
      <c r="AD200" s="316">
        <f t="shared" si="662"/>
        <v>-0.142857142857143</v>
      </c>
      <c r="AE200" s="316">
        <f t="shared" si="662"/>
        <v>0.333333333333333</v>
      </c>
      <c r="AF200" s="316">
        <f t="shared" si="662"/>
        <v>-0.4</v>
      </c>
      <c r="AG200" s="316">
        <f t="shared" si="662"/>
        <v>0</v>
      </c>
      <c r="AH200" s="316">
        <f t="shared" si="662"/>
        <v>4.16666666666667</v>
      </c>
      <c r="AI200" s="316">
        <f t="shared" si="662"/>
        <v>0.806451612903226</v>
      </c>
      <c r="AJ200" s="316">
        <f t="shared" si="662"/>
        <v>-0.267857142857143</v>
      </c>
      <c r="AK200" s="316">
        <f t="shared" si="662"/>
        <v>-0.24390243902439</v>
      </c>
      <c r="AL200" s="316">
        <f t="shared" si="662"/>
        <v>-0.0403225806451614</v>
      </c>
      <c r="AM200" s="339">
        <v>0.02</v>
      </c>
      <c r="AN200" s="339">
        <v>0.02</v>
      </c>
      <c r="AO200" s="339">
        <v>0.02</v>
      </c>
      <c r="AP200" s="339">
        <v>0.02</v>
      </c>
      <c r="AQ200" s="339">
        <v>0.06</v>
      </c>
      <c r="AR200" s="339">
        <v>0.02</v>
      </c>
      <c r="AS200" s="339">
        <v>0.02</v>
      </c>
      <c r="AT200" s="339">
        <v>0.02</v>
      </c>
      <c r="AU200" s="339">
        <v>0.02</v>
      </c>
      <c r="AV200" s="339">
        <v>0.02</v>
      </c>
      <c r="AW200" s="339">
        <v>0.02</v>
      </c>
      <c r="AX200" s="339">
        <v>0.02</v>
      </c>
      <c r="AY200" s="339">
        <v>0.02</v>
      </c>
      <c r="AZ200" s="339">
        <v>0.02</v>
      </c>
      <c r="BA200" s="339">
        <v>0.02</v>
      </c>
      <c r="BB200" s="339">
        <v>0.02</v>
      </c>
      <c r="BC200" s="339">
        <v>0.02</v>
      </c>
      <c r="BD200" s="316"/>
      <c r="BE200" s="332"/>
      <c r="BF200" s="333"/>
      <c r="BG200" s="316"/>
      <c r="BH200" s="316"/>
      <c r="BI200" s="316"/>
      <c r="BJ200" s="316"/>
      <c r="BK200" s="316"/>
      <c r="BL200" s="316"/>
      <c r="BM200" s="316"/>
      <c r="BN200" s="316"/>
      <c r="BO200" s="316"/>
      <c r="BP200" s="316"/>
      <c r="BQ200" s="316"/>
      <c r="BR200" s="316"/>
      <c r="BS200" s="316"/>
      <c r="BT200" s="330"/>
    </row>
    <row r="201" ht="9.75" customHeight="1" spans="1:78">
      <c r="A201" s="268"/>
      <c r="B201" s="268"/>
      <c r="C201" s="396" t="s">
        <v>470</v>
      </c>
      <c r="D201" s="316"/>
      <c r="E201" s="316"/>
      <c r="F201" s="316"/>
      <c r="G201" s="316"/>
      <c r="H201" s="316"/>
      <c r="I201" s="316"/>
      <c r="J201" s="316"/>
      <c r="K201" s="316"/>
      <c r="L201" s="316"/>
      <c r="M201" s="316"/>
      <c r="N201" s="316"/>
      <c r="O201" s="316"/>
      <c r="P201" s="316"/>
      <c r="Q201" s="316"/>
      <c r="R201" s="316"/>
      <c r="S201" s="316"/>
      <c r="T201" s="316"/>
      <c r="U201" s="316"/>
      <c r="V201" s="316"/>
      <c r="W201" s="316"/>
      <c r="X201" s="316"/>
      <c r="Y201" s="316"/>
      <c r="Z201" s="316"/>
      <c r="AA201" s="316" t="str">
        <f>IFERROR(AA179/#REF!-1,"-")</f>
        <v>-</v>
      </c>
      <c r="AB201" s="316">
        <f t="shared" ref="AB201:AL201" si="663">IFERROR(AB179/AA179-1,"-")</f>
        <v>0</v>
      </c>
      <c r="AC201" s="316">
        <f t="shared" si="663"/>
        <v>0.2</v>
      </c>
      <c r="AD201" s="316">
        <f t="shared" si="663"/>
        <v>1.83333333333333</v>
      </c>
      <c r="AE201" s="316">
        <f t="shared" si="663"/>
        <v>0.647058823529412</v>
      </c>
      <c r="AF201" s="316">
        <f t="shared" si="663"/>
        <v>-0.4</v>
      </c>
      <c r="AG201" s="316">
        <f t="shared" si="663"/>
        <v>0</v>
      </c>
      <c r="AH201" s="316">
        <f t="shared" si="663"/>
        <v>1.19047619047619</v>
      </c>
      <c r="AI201" s="316">
        <f t="shared" si="663"/>
        <v>0.815217391304348</v>
      </c>
      <c r="AJ201" s="316">
        <f t="shared" si="663"/>
        <v>-0.0748502994011976</v>
      </c>
      <c r="AK201" s="316">
        <f t="shared" si="663"/>
        <v>-0.0323624595469256</v>
      </c>
      <c r="AL201" s="316">
        <f t="shared" si="663"/>
        <v>-0.0334448160535117</v>
      </c>
      <c r="AM201" s="339">
        <v>0.02</v>
      </c>
      <c r="AN201" s="339">
        <v>0.02</v>
      </c>
      <c r="AO201" s="339">
        <v>0.02</v>
      </c>
      <c r="AP201" s="339">
        <v>0.02</v>
      </c>
      <c r="AQ201" s="339">
        <v>0.06</v>
      </c>
      <c r="AR201" s="339">
        <v>0.02</v>
      </c>
      <c r="AS201" s="339">
        <v>0.02</v>
      </c>
      <c r="AT201" s="339">
        <v>0.02</v>
      </c>
      <c r="AU201" s="339">
        <v>0.02</v>
      </c>
      <c r="AV201" s="339">
        <v>0.02</v>
      </c>
      <c r="AW201" s="339">
        <v>0.02</v>
      </c>
      <c r="AX201" s="339">
        <v>0.02</v>
      </c>
      <c r="AY201" s="339">
        <v>0.02</v>
      </c>
      <c r="AZ201" s="339">
        <v>0.02</v>
      </c>
      <c r="BA201" s="339">
        <v>0.02</v>
      </c>
      <c r="BB201" s="339">
        <v>0.02</v>
      </c>
      <c r="BC201" s="339">
        <v>0.02</v>
      </c>
      <c r="BD201" s="316"/>
      <c r="BE201" s="332"/>
      <c r="BF201" s="333"/>
      <c r="BG201" s="316"/>
      <c r="BH201" s="316"/>
      <c r="BI201" s="316"/>
      <c r="BJ201" s="316"/>
      <c r="BK201" s="316"/>
      <c r="BL201" s="316"/>
      <c r="BM201" s="316"/>
      <c r="BN201" s="316"/>
      <c r="BO201" s="316"/>
      <c r="BP201" s="316"/>
      <c r="BQ201" s="316"/>
      <c r="BR201" s="316"/>
      <c r="BS201" s="316"/>
      <c r="BT201" s="330"/>
    </row>
    <row r="202" ht="9.75" customHeight="1" spans="1:78">
      <c r="A202" s="268"/>
      <c r="B202" s="268"/>
      <c r="C202" s="396" t="s">
        <v>471</v>
      </c>
      <c r="D202" s="316"/>
      <c r="E202" s="316"/>
      <c r="F202" s="316"/>
      <c r="G202" s="316"/>
      <c r="H202" s="316"/>
      <c r="I202" s="316"/>
      <c r="J202" s="316"/>
      <c r="K202" s="316"/>
      <c r="L202" s="316"/>
      <c r="M202" s="316"/>
      <c r="N202" s="316"/>
      <c r="O202" s="316"/>
      <c r="P202" s="316"/>
      <c r="Q202" s="316"/>
      <c r="R202" s="316"/>
      <c r="S202" s="316"/>
      <c r="T202" s="316"/>
      <c r="U202" s="316"/>
      <c r="V202" s="316"/>
      <c r="W202" s="316"/>
      <c r="X202" s="316"/>
      <c r="Y202" s="316"/>
      <c r="Z202" s="316"/>
      <c r="AA202" s="316" t="str">
        <f>IFERROR(AA180/#REF!-1,"-")</f>
        <v>-</v>
      </c>
      <c r="AB202" s="316">
        <f t="shared" ref="AB202:AL202" si="664">IFERROR(AB180/AA180-1,"-")</f>
        <v>0</v>
      </c>
      <c r="AC202" s="316">
        <f t="shared" si="664"/>
        <v>0.1</v>
      </c>
      <c r="AD202" s="316">
        <f t="shared" si="664"/>
        <v>0.0909090909090911</v>
      </c>
      <c r="AE202" s="316">
        <f t="shared" si="664"/>
        <v>0.166666666666667</v>
      </c>
      <c r="AF202" s="316">
        <f t="shared" si="664"/>
        <v>-0.4</v>
      </c>
      <c r="AG202" s="316">
        <f t="shared" si="664"/>
        <v>0</v>
      </c>
      <c r="AH202" s="316">
        <f t="shared" si="664"/>
        <v>2.97619047619048</v>
      </c>
      <c r="AI202" s="316">
        <f t="shared" si="664"/>
        <v>0.748502994011976</v>
      </c>
      <c r="AJ202" s="316">
        <f t="shared" si="664"/>
        <v>-0.0684931506849316</v>
      </c>
      <c r="AK202" s="316">
        <f t="shared" si="664"/>
        <v>-0.073529411764706</v>
      </c>
      <c r="AL202" s="316">
        <f t="shared" si="664"/>
        <v>-0.0793650793650794</v>
      </c>
      <c r="AM202" s="339">
        <v>0.02</v>
      </c>
      <c r="AN202" s="339">
        <v>0.02</v>
      </c>
      <c r="AO202" s="339">
        <v>0.02</v>
      </c>
      <c r="AP202" s="339">
        <v>0.02</v>
      </c>
      <c r="AQ202" s="339">
        <v>0.06</v>
      </c>
      <c r="AR202" s="339">
        <v>0.02</v>
      </c>
      <c r="AS202" s="339">
        <v>0.02</v>
      </c>
      <c r="AT202" s="339">
        <v>0.02</v>
      </c>
      <c r="AU202" s="339">
        <v>0.02</v>
      </c>
      <c r="AV202" s="339">
        <v>0.02</v>
      </c>
      <c r="AW202" s="339">
        <v>0.02</v>
      </c>
      <c r="AX202" s="339">
        <v>0.02</v>
      </c>
      <c r="AY202" s="339">
        <v>0.02</v>
      </c>
      <c r="AZ202" s="339">
        <v>0.02</v>
      </c>
      <c r="BA202" s="339">
        <v>0.02</v>
      </c>
      <c r="BB202" s="339">
        <v>0.02</v>
      </c>
      <c r="BC202" s="339">
        <v>0.02</v>
      </c>
      <c r="BD202" s="316"/>
      <c r="BE202" s="332"/>
      <c r="BF202" s="333"/>
      <c r="BG202" s="316"/>
      <c r="BH202" s="316"/>
      <c r="BI202" s="316"/>
      <c r="BJ202" s="316"/>
      <c r="BK202" s="316"/>
      <c r="BL202" s="316"/>
      <c r="BM202" s="316"/>
      <c r="BN202" s="316"/>
      <c r="BO202" s="316"/>
      <c r="BP202" s="316"/>
      <c r="BQ202" s="316"/>
      <c r="BR202" s="316"/>
      <c r="BS202" s="316"/>
      <c r="BT202" s="330"/>
    </row>
    <row r="203" customHeight="1" spans="1:78">
      <c r="A203" s="268"/>
      <c r="B203" s="268"/>
      <c r="C203" s="397" t="s">
        <v>472</v>
      </c>
      <c r="D203" s="316"/>
      <c r="E203" s="316"/>
      <c r="F203" s="316"/>
      <c r="G203" s="316"/>
      <c r="H203" s="316"/>
      <c r="I203" s="316"/>
      <c r="J203" s="316"/>
      <c r="K203" s="316"/>
      <c r="L203" s="316"/>
      <c r="M203" s="316"/>
      <c r="N203" s="316"/>
      <c r="O203" s="316"/>
      <c r="P203" s="316"/>
      <c r="Q203" s="316"/>
      <c r="R203" s="316"/>
      <c r="S203" s="316"/>
      <c r="T203" s="316"/>
      <c r="U203" s="316"/>
      <c r="V203" s="316"/>
      <c r="W203" s="316"/>
      <c r="X203" s="316"/>
      <c r="Y203" s="316"/>
      <c r="Z203" s="316"/>
      <c r="BD203" s="316"/>
      <c r="BE203" s="332"/>
      <c r="BF203" s="333"/>
      <c r="BG203" s="316"/>
      <c r="BH203" s="316"/>
      <c r="BI203" s="316"/>
      <c r="BJ203" s="316"/>
      <c r="BK203" s="316"/>
      <c r="BL203" s="316"/>
      <c r="BM203" s="316"/>
      <c r="BN203" s="316"/>
      <c r="BO203" s="316"/>
      <c r="BP203" s="316"/>
      <c r="BQ203" s="316"/>
      <c r="BR203" s="316"/>
      <c r="BS203" s="316"/>
      <c r="BT203" s="330"/>
    </row>
    <row r="204" ht="9.75" customHeight="1" spans="1:78">
      <c r="A204" s="268"/>
      <c r="B204" s="268"/>
      <c r="C204" s="396" t="s">
        <v>473</v>
      </c>
      <c r="D204" s="316"/>
      <c r="E204" s="316"/>
      <c r="F204" s="316"/>
      <c r="G204" s="316"/>
      <c r="H204" s="316"/>
      <c r="I204" s="316"/>
      <c r="J204" s="316"/>
      <c r="K204" s="316"/>
      <c r="L204" s="316"/>
      <c r="M204" s="316"/>
      <c r="N204" s="316"/>
      <c r="O204" s="316"/>
      <c r="P204" s="316"/>
      <c r="Q204" s="316"/>
      <c r="R204" s="316"/>
      <c r="S204" s="316"/>
      <c r="T204" s="316"/>
      <c r="U204" s="316"/>
      <c r="V204" s="316"/>
      <c r="W204" s="316"/>
      <c r="X204" s="316"/>
      <c r="Y204" s="316"/>
      <c r="Z204" s="316"/>
      <c r="AA204" s="316" t="str">
        <f>IFERROR(AA182/#REF!-1,"-")</f>
        <v>-</v>
      </c>
      <c r="AB204" s="316" t="str">
        <f t="shared" ref="AB204:AH206" si="665">IFERROR(AB182/AA182-1,"-")</f>
        <v>-</v>
      </c>
      <c r="AC204" s="316" t="str">
        <f t="shared" si="665"/>
        <v>-</v>
      </c>
      <c r="AD204" s="316" t="str">
        <f t="shared" si="665"/>
        <v>-</v>
      </c>
      <c r="AE204" s="316" t="str">
        <f t="shared" si="665"/>
        <v>-</v>
      </c>
      <c r="AF204" s="316" t="str">
        <f t="shared" si="665"/>
        <v>-</v>
      </c>
      <c r="AG204" s="316" t="str">
        <f t="shared" si="665"/>
        <v>-</v>
      </c>
      <c r="AH204" s="316" t="str">
        <f t="shared" si="665"/>
        <v>-</v>
      </c>
      <c r="AI204" s="316"/>
      <c r="AJ204" s="316"/>
      <c r="AK204" s="316"/>
      <c r="AL204" s="316"/>
      <c r="AM204" s="339"/>
      <c r="AN204" s="339"/>
      <c r="AO204" s="339"/>
      <c r="AP204" s="339"/>
      <c r="AQ204" s="339">
        <v>0.15</v>
      </c>
      <c r="AR204" s="339">
        <v>0.1</v>
      </c>
      <c r="AS204" s="339">
        <v>0.4</v>
      </c>
      <c r="AT204" s="339">
        <v>0.46</v>
      </c>
      <c r="AU204" s="339">
        <v>0.4</v>
      </c>
      <c r="AV204" s="339">
        <v>0.3</v>
      </c>
      <c r="AW204" s="339">
        <v>0.3</v>
      </c>
      <c r="AX204" s="339">
        <v>0.3</v>
      </c>
      <c r="AY204" s="339">
        <v>0.3</v>
      </c>
      <c r="AZ204" s="339">
        <v>0.12</v>
      </c>
      <c r="BA204" s="339">
        <v>0.12</v>
      </c>
      <c r="BB204" s="339">
        <v>0.12</v>
      </c>
      <c r="BC204" s="339">
        <v>0.12</v>
      </c>
      <c r="BD204" s="316"/>
      <c r="BE204" s="332"/>
      <c r="BF204" s="333"/>
      <c r="BG204" s="316"/>
      <c r="BH204" s="316"/>
      <c r="BI204" s="316"/>
      <c r="BJ204" s="316"/>
      <c r="BK204" s="316"/>
      <c r="BL204" s="316"/>
      <c r="BM204" s="316"/>
      <c r="BN204" s="316"/>
      <c r="BO204" s="316"/>
      <c r="BP204" s="316"/>
      <c r="BQ204" s="316"/>
      <c r="BR204" s="316"/>
      <c r="BS204" s="316"/>
      <c r="BT204" s="330"/>
    </row>
    <row r="205" ht="9.75" customHeight="1" spans="1:78">
      <c r="A205" s="268"/>
      <c r="B205" s="268"/>
      <c r="C205" s="396" t="s">
        <v>474</v>
      </c>
      <c r="D205" s="316"/>
      <c r="E205" s="316"/>
      <c r="F205" s="316"/>
      <c r="G205" s="316"/>
      <c r="H205" s="316"/>
      <c r="I205" s="316"/>
      <c r="J205" s="316"/>
      <c r="K205" s="316"/>
      <c r="L205" s="316"/>
      <c r="M205" s="316"/>
      <c r="N205" s="316"/>
      <c r="O205" s="316"/>
      <c r="P205" s="316"/>
      <c r="Q205" s="316"/>
      <c r="R205" s="316"/>
      <c r="S205" s="316"/>
      <c r="T205" s="316"/>
      <c r="U205" s="316"/>
      <c r="V205" s="316"/>
      <c r="W205" s="316"/>
      <c r="X205" s="316"/>
      <c r="Y205" s="316"/>
      <c r="Z205" s="316"/>
      <c r="AA205" s="316" t="str">
        <f>IFERROR(AA183/#REF!-1,"-")</f>
        <v>-</v>
      </c>
      <c r="AB205" s="316" t="str">
        <f t="shared" si="665"/>
        <v>-</v>
      </c>
      <c r="AC205" s="316" t="str">
        <f t="shared" si="665"/>
        <v>-</v>
      </c>
      <c r="AD205" s="316" t="str">
        <f t="shared" si="665"/>
        <v>-</v>
      </c>
      <c r="AE205" s="316" t="str">
        <f t="shared" si="665"/>
        <v>-</v>
      </c>
      <c r="AF205" s="316" t="str">
        <f t="shared" si="665"/>
        <v>-</v>
      </c>
      <c r="AG205" s="316" t="str">
        <f t="shared" si="665"/>
        <v>-</v>
      </c>
      <c r="AH205" s="316" t="str">
        <f t="shared" si="665"/>
        <v>-</v>
      </c>
      <c r="AI205" s="316"/>
      <c r="AJ205" s="316"/>
      <c r="AK205" s="316"/>
      <c r="AL205" s="316"/>
      <c r="AM205" s="339"/>
      <c r="AN205" s="339"/>
      <c r="AO205" s="339"/>
      <c r="AP205" s="339"/>
      <c r="AQ205" s="339"/>
      <c r="AR205" s="339"/>
      <c r="AS205" s="339"/>
      <c r="AT205" s="339"/>
      <c r="AU205" s="339"/>
      <c r="AV205" s="339"/>
      <c r="AW205" s="339"/>
      <c r="AX205" s="339"/>
      <c r="AY205" s="339"/>
      <c r="AZ205" s="339"/>
      <c r="BA205" s="339"/>
      <c r="BB205" s="339"/>
      <c r="BC205" s="339"/>
      <c r="BD205" s="316"/>
      <c r="BE205" s="332"/>
      <c r="BF205" s="333"/>
      <c r="BG205" s="316"/>
      <c r="BH205" s="316"/>
      <c r="BI205" s="316"/>
      <c r="BJ205" s="316"/>
      <c r="BK205" s="316"/>
      <c r="BL205" s="316"/>
      <c r="BM205" s="316"/>
      <c r="BN205" s="316"/>
      <c r="BO205" s="316"/>
      <c r="BP205" s="316"/>
      <c r="BQ205" s="316"/>
      <c r="BR205" s="316"/>
      <c r="BS205" s="316"/>
      <c r="BT205" s="330"/>
    </row>
    <row r="206" ht="9.75" customHeight="1" spans="1:78">
      <c r="A206" s="268"/>
      <c r="B206" s="268"/>
      <c r="C206" s="397" t="s">
        <v>475</v>
      </c>
      <c r="D206" s="316"/>
      <c r="E206" s="316"/>
      <c r="F206" s="316"/>
      <c r="G206" s="316"/>
      <c r="H206" s="316"/>
      <c r="I206" s="316"/>
      <c r="J206" s="316"/>
      <c r="K206" s="316"/>
      <c r="L206" s="316"/>
      <c r="M206" s="316"/>
      <c r="N206" s="316"/>
      <c r="O206" s="316"/>
      <c r="P206" s="316"/>
      <c r="Q206" s="316"/>
      <c r="R206" s="316"/>
      <c r="S206" s="316"/>
      <c r="T206" s="316"/>
      <c r="U206" s="316"/>
      <c r="V206" s="316"/>
      <c r="W206" s="316"/>
      <c r="X206" s="316"/>
      <c r="Y206" s="316"/>
      <c r="Z206" s="316"/>
      <c r="AA206" s="316" t="str">
        <f>IFERROR(AA184/#REF!-1,"-")</f>
        <v>-</v>
      </c>
      <c r="AB206" s="316" t="str">
        <f t="shared" si="665"/>
        <v>-</v>
      </c>
      <c r="AC206" s="316" t="str">
        <f t="shared" si="665"/>
        <v>-</v>
      </c>
      <c r="AD206" s="316" t="str">
        <f t="shared" si="665"/>
        <v>-</v>
      </c>
      <c r="AE206" s="316" t="str">
        <f t="shared" si="665"/>
        <v>-</v>
      </c>
      <c r="AF206" s="316" t="str">
        <f t="shared" si="665"/>
        <v>-</v>
      </c>
      <c r="AG206" s="316" t="str">
        <f t="shared" si="665"/>
        <v>-</v>
      </c>
      <c r="AH206" s="316" t="str">
        <f t="shared" si="665"/>
        <v>-</v>
      </c>
      <c r="AI206" s="316"/>
      <c r="AJ206" s="316"/>
      <c r="AK206" s="316"/>
      <c r="AL206" s="316"/>
      <c r="AM206" s="339"/>
      <c r="AN206" s="339"/>
      <c r="AO206" s="339"/>
      <c r="AP206" s="339"/>
      <c r="AQ206" s="339">
        <v>0.02</v>
      </c>
      <c r="AR206" s="339">
        <v>0.02</v>
      </c>
      <c r="AS206" s="339">
        <v>0.02</v>
      </c>
      <c r="AT206" s="339">
        <v>0.02</v>
      </c>
      <c r="AU206" s="339">
        <v>0.02</v>
      </c>
      <c r="AV206" s="339">
        <v>0.02</v>
      </c>
      <c r="AW206" s="339">
        <v>0.02</v>
      </c>
      <c r="AX206" s="339">
        <v>0.02</v>
      </c>
      <c r="AY206" s="339">
        <v>0.02</v>
      </c>
      <c r="AZ206" s="339">
        <v>0.02</v>
      </c>
      <c r="BA206" s="339">
        <v>0.02</v>
      </c>
      <c r="BB206" s="339">
        <v>0.02</v>
      </c>
      <c r="BC206" s="339">
        <v>0.02</v>
      </c>
      <c r="BD206" s="316"/>
      <c r="BE206" s="332"/>
      <c r="BF206" s="333"/>
      <c r="BG206" s="316"/>
      <c r="BH206" s="316"/>
      <c r="BI206" s="316"/>
      <c r="BJ206" s="316"/>
      <c r="BK206" s="316"/>
      <c r="BL206" s="316"/>
      <c r="BM206" s="316"/>
      <c r="BN206" s="316"/>
      <c r="BO206" s="316"/>
      <c r="BP206" s="316"/>
      <c r="BQ206" s="316"/>
      <c r="BR206" s="316"/>
      <c r="BS206" s="316"/>
      <c r="BT206" s="330"/>
    </row>
    <row r="207" customHeight="1" spans="1:78">
      <c r="A207" s="252"/>
      <c r="B207" s="281" t="s">
        <v>476</v>
      </c>
      <c r="C207" s="70"/>
      <c r="D207" s="316"/>
      <c r="E207" s="316"/>
      <c r="F207" s="316"/>
      <c r="G207" s="316"/>
      <c r="H207" s="316"/>
      <c r="I207" s="316"/>
      <c r="J207" s="316"/>
      <c r="K207" s="316"/>
      <c r="L207" s="316"/>
      <c r="M207" s="316"/>
      <c r="N207" s="316"/>
      <c r="O207" s="316"/>
      <c r="P207" s="316"/>
      <c r="Q207" s="316"/>
      <c r="R207" s="316"/>
      <c r="S207" s="316"/>
      <c r="T207" s="316"/>
      <c r="U207" s="316"/>
      <c r="V207" s="316"/>
      <c r="W207" s="316"/>
      <c r="X207" s="316"/>
      <c r="Y207" s="316"/>
      <c r="Z207" s="316"/>
      <c r="AA207" s="316"/>
      <c r="AB207" s="316"/>
      <c r="AC207" s="316"/>
      <c r="AD207" s="316"/>
      <c r="AE207" s="316"/>
      <c r="AF207" s="316"/>
      <c r="AG207" s="316"/>
      <c r="AH207" s="316"/>
      <c r="AI207" s="316"/>
      <c r="AJ207" s="316"/>
      <c r="AK207" s="316"/>
      <c r="AL207" s="316"/>
      <c r="AM207" s="310"/>
      <c r="AN207" s="316"/>
      <c r="AO207" s="316"/>
      <c r="AP207" s="316"/>
      <c r="AQ207" s="316"/>
      <c r="AR207" s="316"/>
      <c r="AS207" s="316"/>
      <c r="AT207" s="316"/>
      <c r="AU207" s="316"/>
      <c r="AV207" s="316"/>
      <c r="AW207" s="316"/>
      <c r="AX207" s="316"/>
      <c r="AY207" s="316"/>
      <c r="AZ207" s="316"/>
      <c r="BA207" s="316"/>
      <c r="BB207" s="316"/>
      <c r="BC207" s="316"/>
      <c r="BD207" s="316"/>
      <c r="BE207" s="332"/>
      <c r="BF207" s="333"/>
      <c r="BG207" s="316"/>
      <c r="BH207" s="316"/>
      <c r="BI207" s="316"/>
      <c r="BJ207" s="316"/>
      <c r="BK207" s="316"/>
      <c r="BL207" s="316"/>
      <c r="BM207" s="316"/>
      <c r="BN207" s="316"/>
      <c r="BO207" s="316"/>
      <c r="BP207" s="316"/>
      <c r="BQ207" s="316"/>
      <c r="BR207" s="316"/>
      <c r="BS207" s="316"/>
      <c r="BT207" s="330"/>
    </row>
    <row r="208" customHeight="1" spans="1:78">
      <c r="A208" s="252"/>
      <c r="B208" s="107"/>
      <c r="C208" s="283" t="s">
        <v>477</v>
      </c>
      <c r="D208" s="316"/>
      <c r="E208" s="316"/>
      <c r="F208" s="316"/>
      <c r="G208" s="316"/>
      <c r="H208" s="316"/>
      <c r="I208" s="316"/>
      <c r="J208" s="316"/>
      <c r="K208" s="316"/>
      <c r="L208" s="316"/>
      <c r="M208" s="316"/>
      <c r="N208" s="316"/>
      <c r="O208" s="316"/>
      <c r="P208" s="316"/>
      <c r="Q208" s="316"/>
      <c r="R208" s="316"/>
      <c r="S208" s="316"/>
      <c r="T208" s="316"/>
      <c r="U208" s="316"/>
      <c r="V208" s="316"/>
      <c r="W208" s="316"/>
      <c r="X208" s="316"/>
      <c r="Y208" s="316"/>
      <c r="Z208" s="316"/>
      <c r="AA208" s="316"/>
      <c r="AB208" s="316"/>
      <c r="AC208" s="316"/>
      <c r="AD208" s="316"/>
      <c r="AE208" s="316"/>
      <c r="AF208" s="316"/>
      <c r="AG208" s="316"/>
      <c r="AH208" s="316"/>
      <c r="AI208" s="316"/>
      <c r="AJ208" s="316">
        <f>IFERROR(AJ186/AI186-1,"-")</f>
        <v>1.8</v>
      </c>
      <c r="AK208" s="316">
        <f>IFERROR(AK186/AJ186-1,"-")</f>
        <v>1</v>
      </c>
      <c r="AL208" s="316">
        <f>IFERROR(AL186/AK186-1,"-")</f>
        <v>1</v>
      </c>
      <c r="AM208" s="339">
        <v>0.12</v>
      </c>
      <c r="AN208" s="339">
        <v>0.12</v>
      </c>
      <c r="AO208" s="339">
        <v>0.25</v>
      </c>
      <c r="AP208" s="339">
        <v>0.15</v>
      </c>
      <c r="AQ208" s="339">
        <v>0.05</v>
      </c>
      <c r="AR208" s="339">
        <v>0.05</v>
      </c>
      <c r="AS208" s="339">
        <v>0.6</v>
      </c>
      <c r="AT208" s="339">
        <v>0.2</v>
      </c>
      <c r="AU208" s="339">
        <v>0.2</v>
      </c>
      <c r="AV208" s="339">
        <v>0.08</v>
      </c>
      <c r="AW208" s="339">
        <v>0.08</v>
      </c>
      <c r="AX208" s="339">
        <v>0.08</v>
      </c>
      <c r="AY208" s="339">
        <v>0.08</v>
      </c>
      <c r="AZ208" s="339">
        <v>0.02</v>
      </c>
      <c r="BA208" s="339">
        <v>0.02</v>
      </c>
      <c r="BB208" s="339">
        <v>0.02</v>
      </c>
      <c r="BC208" s="339">
        <v>0.02</v>
      </c>
      <c r="BD208" s="316"/>
      <c r="BE208" s="332"/>
      <c r="BF208" s="333"/>
      <c r="BG208" s="316"/>
      <c r="BH208" s="316"/>
      <c r="BI208" s="316"/>
      <c r="BJ208" s="316"/>
      <c r="BK208" s="316"/>
      <c r="BL208" s="316"/>
      <c r="BM208" s="316"/>
      <c r="BN208" s="316"/>
      <c r="BO208" s="316"/>
      <c r="BP208" s="316"/>
      <c r="BQ208" s="316"/>
      <c r="BR208" s="316"/>
      <c r="BS208" s="316"/>
      <c r="BT208" s="330"/>
    </row>
    <row r="209" customHeight="1" spans="1:78">
      <c r="A209" s="252"/>
      <c r="B209" s="107"/>
      <c r="C209" s="283" t="s">
        <v>478</v>
      </c>
      <c r="D209" s="316"/>
      <c r="E209" s="316"/>
      <c r="F209" s="316"/>
      <c r="G209" s="316"/>
      <c r="H209" s="316"/>
      <c r="I209" s="316"/>
      <c r="J209" s="316"/>
      <c r="K209" s="316"/>
      <c r="L209" s="316"/>
      <c r="M209" s="316"/>
      <c r="N209" s="316"/>
      <c r="O209" s="316"/>
      <c r="P209" s="316"/>
      <c r="Q209" s="316"/>
      <c r="R209" s="316"/>
      <c r="S209" s="316"/>
      <c r="T209" s="316"/>
      <c r="U209" s="316"/>
      <c r="V209" s="316"/>
      <c r="W209" s="316"/>
      <c r="X209" s="316"/>
      <c r="Y209" s="316"/>
      <c r="Z209" s="316"/>
      <c r="AA209" s="316"/>
      <c r="AB209" s="316"/>
      <c r="AC209" s="316"/>
      <c r="AD209" s="316"/>
      <c r="AE209" s="316"/>
      <c r="AF209" s="316"/>
      <c r="AG209" s="316"/>
      <c r="AH209" s="316"/>
      <c r="AI209" s="316"/>
      <c r="AJ209" s="316"/>
      <c r="AK209" s="316"/>
      <c r="AL209" s="316"/>
      <c r="AM209" s="339"/>
      <c r="AN209" s="339"/>
      <c r="AO209" s="339"/>
      <c r="AP209" s="339"/>
      <c r="AQ209" s="339"/>
      <c r="AR209" s="339"/>
      <c r="AS209" s="339"/>
      <c r="AT209" s="339"/>
      <c r="AU209" s="339"/>
      <c r="AV209" s="339"/>
      <c r="AW209" s="339"/>
      <c r="AX209" s="339">
        <v>0.08</v>
      </c>
      <c r="AY209" s="339">
        <v>0.08</v>
      </c>
      <c r="AZ209" s="339">
        <v>0.04</v>
      </c>
      <c r="BA209" s="339">
        <v>0.04</v>
      </c>
      <c r="BB209" s="339">
        <v>0.04</v>
      </c>
      <c r="BC209" s="339">
        <v>0.04</v>
      </c>
      <c r="BD209" s="316"/>
      <c r="BE209" s="332"/>
      <c r="BF209" s="333"/>
      <c r="BG209" s="316"/>
      <c r="BH209" s="316"/>
      <c r="BI209" s="316"/>
      <c r="BJ209" s="316"/>
      <c r="BK209" s="316"/>
      <c r="BL209" s="316"/>
      <c r="BM209" s="316"/>
      <c r="BN209" s="316"/>
      <c r="BO209" s="316"/>
      <c r="BP209" s="316"/>
      <c r="BQ209" s="316"/>
      <c r="BR209" s="316"/>
      <c r="BS209" s="316"/>
      <c r="BT209" s="330"/>
    </row>
    <row r="210" customHeight="1" spans="1:78">
      <c r="A210" s="252"/>
      <c r="B210" s="107"/>
      <c r="C210" s="283" t="s">
        <v>479</v>
      </c>
      <c r="D210" s="316"/>
      <c r="E210" s="316"/>
      <c r="F210" s="316"/>
      <c r="G210" s="316"/>
      <c r="H210" s="316"/>
      <c r="I210" s="316"/>
      <c r="J210" s="316"/>
      <c r="K210" s="316"/>
      <c r="L210" s="316"/>
      <c r="M210" s="316"/>
      <c r="N210" s="316"/>
      <c r="O210" s="316"/>
      <c r="P210" s="316"/>
      <c r="Q210" s="316"/>
      <c r="R210" s="316"/>
      <c r="S210" s="316"/>
      <c r="T210" s="316"/>
      <c r="U210" s="316"/>
      <c r="V210" s="316"/>
      <c r="W210" s="316"/>
      <c r="X210" s="316"/>
      <c r="Y210" s="316"/>
      <c r="Z210" s="316"/>
      <c r="AA210" s="316"/>
      <c r="AB210" s="316"/>
      <c r="AC210" s="316"/>
      <c r="AD210" s="316"/>
      <c r="AE210" s="316"/>
      <c r="AF210" s="316"/>
      <c r="AG210" s="316"/>
      <c r="AH210" s="316"/>
      <c r="AI210" s="316"/>
      <c r="AJ210" s="316"/>
      <c r="AK210" s="316"/>
      <c r="AL210" s="316"/>
      <c r="AM210" s="339"/>
      <c r="AN210" s="339"/>
      <c r="AO210" s="339"/>
      <c r="AP210" s="339"/>
      <c r="AQ210" s="339"/>
      <c r="AR210" s="339"/>
      <c r="AS210" s="339"/>
      <c r="AT210" s="339"/>
      <c r="AU210" s="339"/>
      <c r="AV210" s="339"/>
      <c r="AW210" s="339"/>
      <c r="AX210" s="339"/>
      <c r="AY210" s="339"/>
      <c r="AZ210" s="339"/>
      <c r="BA210" s="339"/>
      <c r="BB210" s="339"/>
      <c r="BC210" s="339"/>
      <c r="BD210" s="316"/>
      <c r="BE210" s="332"/>
      <c r="BF210" s="333"/>
      <c r="BG210" s="316"/>
      <c r="BH210" s="316"/>
      <c r="BI210" s="316"/>
      <c r="BJ210" s="316"/>
      <c r="BK210" s="316"/>
      <c r="BL210" s="316"/>
      <c r="BM210" s="316"/>
      <c r="BN210" s="316"/>
      <c r="BO210" s="316"/>
      <c r="BP210" s="316"/>
      <c r="BQ210" s="316"/>
      <c r="BR210" s="316"/>
      <c r="BS210" s="316"/>
      <c r="BT210" s="330"/>
    </row>
    <row r="211" customHeight="1" spans="1:78">
      <c r="A211" s="252"/>
      <c r="B211" s="281" t="s">
        <v>480</v>
      </c>
      <c r="C211" s="70"/>
      <c r="D211" s="316"/>
      <c r="E211" s="316"/>
      <c r="F211" s="316"/>
      <c r="G211" s="316"/>
      <c r="H211" s="316"/>
      <c r="I211" s="316"/>
      <c r="J211" s="316"/>
      <c r="K211" s="316"/>
      <c r="L211" s="316"/>
      <c r="M211" s="316"/>
      <c r="N211" s="316"/>
      <c r="O211" s="316"/>
      <c r="P211" s="316"/>
      <c r="Q211" s="316"/>
      <c r="R211" s="316"/>
      <c r="S211" s="316"/>
      <c r="T211" s="316"/>
      <c r="U211" s="316"/>
      <c r="V211" s="316"/>
      <c r="W211" s="316"/>
      <c r="X211" s="316"/>
      <c r="Y211" s="316"/>
      <c r="Z211" s="316"/>
      <c r="AA211" s="316"/>
      <c r="AB211" s="316"/>
      <c r="AC211" s="316"/>
      <c r="AD211" s="316"/>
      <c r="AE211" s="316"/>
      <c r="AF211" s="316"/>
      <c r="AG211" s="316"/>
      <c r="AH211" s="316"/>
      <c r="AI211" s="316"/>
      <c r="AJ211" s="316"/>
      <c r="AK211" s="316"/>
      <c r="AL211" s="316"/>
      <c r="AM211" s="310"/>
      <c r="AN211" s="316"/>
      <c r="AO211" s="316"/>
      <c r="AP211" s="316"/>
      <c r="AQ211" s="316"/>
      <c r="AR211" s="316"/>
      <c r="AS211" s="316"/>
      <c r="AT211" s="339">
        <v>0.01</v>
      </c>
      <c r="AU211" s="339">
        <v>0.01</v>
      </c>
      <c r="AV211" s="339">
        <v>0.01</v>
      </c>
      <c r="AW211" s="339">
        <v>0.01</v>
      </c>
      <c r="AX211" s="339">
        <v>0.01</v>
      </c>
      <c r="AY211" s="339">
        <v>0.01</v>
      </c>
      <c r="AZ211" s="339">
        <v>0.01</v>
      </c>
      <c r="BA211" s="339">
        <v>0.01</v>
      </c>
      <c r="BB211" s="339">
        <v>0.01</v>
      </c>
      <c r="BC211" s="339">
        <v>0.01</v>
      </c>
      <c r="BD211" s="316"/>
      <c r="BE211" s="332"/>
      <c r="BF211" s="333"/>
      <c r="BG211" s="316"/>
      <c r="BH211" s="316"/>
      <c r="BI211" s="316"/>
      <c r="BJ211" s="316"/>
      <c r="BK211" s="316"/>
      <c r="BL211" s="316"/>
      <c r="BM211" s="316"/>
      <c r="BN211" s="316"/>
      <c r="BO211" s="316"/>
      <c r="BP211" s="316"/>
      <c r="BQ211" s="316"/>
      <c r="BR211" s="316"/>
      <c r="BS211" s="316"/>
      <c r="BT211" s="330"/>
    </row>
    <row r="212" customHeight="1" spans="1:78">
      <c r="A212" s="268"/>
      <c r="B212" s="268" t="s">
        <v>481</v>
      </c>
      <c r="C212" s="284"/>
      <c r="D212" s="316"/>
      <c r="E212" s="316"/>
      <c r="F212" s="316"/>
      <c r="G212" s="316"/>
      <c r="H212" s="316"/>
      <c r="I212" s="316"/>
      <c r="J212" s="316"/>
      <c r="K212" s="316"/>
      <c r="L212" s="316"/>
      <c r="M212" s="316"/>
      <c r="N212" s="316"/>
      <c r="O212" s="316"/>
      <c r="P212" s="316"/>
      <c r="Q212" s="316"/>
      <c r="R212" s="316"/>
      <c r="S212" s="316"/>
      <c r="T212" s="316"/>
      <c r="U212" s="316"/>
      <c r="V212" s="316"/>
      <c r="W212" s="316"/>
      <c r="X212" s="316"/>
      <c r="Y212" s="316"/>
      <c r="Z212" s="316"/>
      <c r="AA212" s="316"/>
      <c r="AB212" s="316"/>
      <c r="AC212" s="316"/>
      <c r="AD212" s="316"/>
      <c r="AE212" s="316"/>
      <c r="AF212" s="316"/>
      <c r="AG212" s="316"/>
      <c r="AH212" s="316"/>
      <c r="AI212" s="316"/>
      <c r="BD212" s="335"/>
      <c r="BE212" s="332"/>
      <c r="BF212" s="333"/>
      <c r="BG212" s="316"/>
      <c r="BH212" s="316"/>
      <c r="BI212" s="316"/>
      <c r="BJ212" s="316"/>
      <c r="BK212" s="316"/>
      <c r="BL212" s="316"/>
      <c r="BM212" s="316"/>
      <c r="BN212" s="316"/>
      <c r="BO212" s="316"/>
      <c r="BP212" s="316"/>
      <c r="BQ212" s="316"/>
      <c r="BR212" s="316"/>
      <c r="BS212" s="316"/>
      <c r="BT212" s="330"/>
    </row>
    <row r="213" s="105" customFormat="1" customHeight="1" spans="1:78">
      <c r="A213" s="286" t="s">
        <v>125</v>
      </c>
      <c r="B213" s="286"/>
      <c r="C213" s="287"/>
      <c r="D213" s="335"/>
      <c r="E213" s="335"/>
      <c r="F213" s="335"/>
      <c r="G213" s="335"/>
      <c r="H213" s="335"/>
      <c r="I213" s="335"/>
      <c r="J213" s="335"/>
      <c r="K213" s="335"/>
      <c r="L213" s="335"/>
      <c r="M213" s="335"/>
      <c r="N213" s="335"/>
      <c r="O213" s="335"/>
      <c r="P213" s="335"/>
      <c r="Q213" s="335"/>
      <c r="R213" s="335"/>
      <c r="S213" s="335"/>
      <c r="T213" s="335"/>
      <c r="U213" s="335"/>
      <c r="V213" s="335"/>
      <c r="W213" s="335"/>
      <c r="X213" s="335"/>
      <c r="Y213" s="335"/>
      <c r="Z213" s="335"/>
      <c r="AA213" s="335"/>
      <c r="AB213" s="335"/>
      <c r="AC213" s="335"/>
      <c r="AD213" s="335"/>
      <c r="AE213" s="335"/>
      <c r="AF213" s="335"/>
      <c r="AG213" s="335"/>
      <c r="AH213" s="316"/>
      <c r="AI213" s="316"/>
      <c r="AJ213" s="316"/>
      <c r="AK213" s="316"/>
      <c r="AL213" s="316"/>
      <c r="AM213" s="316"/>
      <c r="AN213" s="316"/>
      <c r="AO213" s="316"/>
      <c r="AP213" s="316"/>
      <c r="AQ213" s="316"/>
      <c r="AR213" s="316"/>
      <c r="AS213" s="316"/>
      <c r="AT213" s="316"/>
      <c r="AU213" s="316"/>
      <c r="AV213" s="316"/>
      <c r="AW213" s="316"/>
      <c r="AX213" s="316"/>
      <c r="AY213" s="316"/>
      <c r="AZ213" s="316"/>
      <c r="BA213" s="316"/>
      <c r="BB213" s="316"/>
      <c r="BC213" s="316"/>
      <c r="BD213" s="335"/>
      <c r="BE213" s="336"/>
      <c r="BF213" s="337"/>
      <c r="BG213" s="316"/>
      <c r="BH213" s="316"/>
      <c r="BI213" s="316"/>
      <c r="BJ213" s="316"/>
      <c r="BK213" s="316"/>
      <c r="BL213" s="316"/>
      <c r="BM213" s="316"/>
      <c r="BN213" s="316"/>
      <c r="BO213" s="316"/>
      <c r="BP213" s="316"/>
      <c r="BQ213" s="316"/>
      <c r="BR213" s="316"/>
      <c r="BS213" s="316"/>
      <c r="BT213" s="334"/>
      <c r="BU213"/>
      <c r="BV213"/>
      <c r="BW213"/>
      <c r="BX213"/>
      <c r="BY213"/>
      <c r="BZ213"/>
    </row>
    <row r="214" customHeight="1" spans="1:78">
      <c r="A214" s="330"/>
      <c r="B214" s="334"/>
      <c r="C214" s="70"/>
      <c r="D214" s="316"/>
      <c r="E214" s="316"/>
      <c r="F214" s="316"/>
      <c r="G214" s="316"/>
      <c r="H214" s="316"/>
      <c r="I214" s="316"/>
      <c r="J214" s="316"/>
      <c r="K214" s="316"/>
      <c r="L214" s="316"/>
      <c r="M214" s="316"/>
      <c r="N214" s="316"/>
      <c r="O214" s="316"/>
      <c r="P214" s="316"/>
      <c r="Q214" s="316"/>
      <c r="R214" s="316"/>
      <c r="S214" s="316"/>
      <c r="T214" s="316"/>
      <c r="U214" s="316"/>
      <c r="V214" s="316"/>
      <c r="W214" s="316"/>
      <c r="X214" s="316"/>
      <c r="Y214" s="316"/>
      <c r="Z214" s="316"/>
      <c r="AA214" s="316"/>
      <c r="AB214" s="316"/>
      <c r="AC214" s="316"/>
      <c r="AD214" s="316"/>
      <c r="AE214" s="316"/>
      <c r="AF214" s="316"/>
      <c r="AG214" s="316"/>
      <c r="AH214" s="316"/>
      <c r="AI214" s="316"/>
      <c r="AJ214" s="316"/>
      <c r="AK214" s="316"/>
      <c r="AL214" s="316"/>
      <c r="AM214" s="316"/>
      <c r="AN214" s="316"/>
      <c r="AO214" s="316"/>
      <c r="AP214" s="316"/>
      <c r="AQ214" s="316"/>
      <c r="AR214" s="316"/>
      <c r="AS214" s="316"/>
      <c r="AT214" s="316"/>
      <c r="AU214" s="316"/>
      <c r="AV214" s="316"/>
      <c r="AW214" s="316"/>
      <c r="AX214" s="316"/>
      <c r="AY214" s="316"/>
      <c r="AZ214" s="316"/>
      <c r="BA214" s="316"/>
      <c r="BB214" s="316"/>
      <c r="BC214" s="316"/>
      <c r="BD214" s="316"/>
      <c r="BE214" s="332"/>
      <c r="BF214" s="333"/>
      <c r="BG214" s="316"/>
      <c r="BH214" s="316"/>
      <c r="BI214" s="316"/>
      <c r="BJ214" s="316"/>
      <c r="BK214" s="316"/>
      <c r="BL214" s="316"/>
      <c r="BM214" s="316"/>
      <c r="BN214" s="316"/>
      <c r="BO214" s="316"/>
      <c r="BP214" s="316"/>
      <c r="BQ214" s="316"/>
      <c r="BR214" s="316"/>
      <c r="BS214" s="316"/>
      <c r="BT214" s="330"/>
    </row>
    <row r="215" customHeight="1" spans="1:78">
      <c r="A215" s="268"/>
      <c r="B215" s="252"/>
      <c r="C215" s="269"/>
      <c r="D215" s="268"/>
      <c r="E215" s="268"/>
      <c r="F215" s="268"/>
      <c r="G215" s="268"/>
      <c r="H215" s="268"/>
      <c r="I215" s="268"/>
      <c r="J215" s="268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  <c r="Z215" s="268"/>
      <c r="AA215" s="268"/>
      <c r="AB215" s="268"/>
      <c r="AC215" s="268"/>
      <c r="AD215" s="268"/>
      <c r="AE215" s="268"/>
      <c r="AF215" s="268"/>
      <c r="AG215" s="268"/>
      <c r="AH215" s="268"/>
      <c r="AI215" s="268"/>
      <c r="AJ215" s="268"/>
      <c r="AK215" s="268"/>
      <c r="AL215" s="268"/>
      <c r="AM215" s="268"/>
      <c r="AN215" s="268"/>
      <c r="AO215" s="268"/>
      <c r="AP215" s="268"/>
      <c r="AQ215" s="268"/>
      <c r="AR215" s="268"/>
      <c r="AS215" s="268"/>
      <c r="AT215" s="268"/>
      <c r="AU215" s="268"/>
      <c r="AV215" s="268"/>
      <c r="AW215" s="268"/>
      <c r="AX215" s="268"/>
      <c r="AY215" s="268"/>
      <c r="AZ215" s="268"/>
      <c r="BA215" s="268"/>
      <c r="BB215" s="268"/>
      <c r="BC215" s="268"/>
      <c r="BD215" s="268"/>
      <c r="BE215" s="340"/>
      <c r="BF215" s="268"/>
      <c r="BG215" s="341"/>
      <c r="BH215" s="341"/>
      <c r="BI215" s="341"/>
      <c r="BJ215" s="341"/>
      <c r="BK215" s="341"/>
      <c r="BL215" s="341"/>
      <c r="BM215" s="341"/>
      <c r="BN215" s="341"/>
      <c r="BO215" s="341"/>
      <c r="BP215" s="49"/>
      <c r="BQ215" s="49"/>
      <c r="BR215" s="49"/>
      <c r="BS215" s="49"/>
      <c r="BT215" s="49"/>
    </row>
    <row r="216" ht="11.25" spans="1:78">
      <c r="A216" s="244" t="s">
        <v>488</v>
      </c>
      <c r="B216" s="244"/>
      <c r="C216" s="244"/>
      <c r="D216" s="245"/>
      <c r="E216" s="245"/>
      <c r="F216" s="245"/>
      <c r="G216" s="245"/>
      <c r="H216" s="245"/>
      <c r="I216" s="245"/>
      <c r="J216" s="245"/>
      <c r="K216" s="245"/>
      <c r="L216" s="245"/>
      <c r="M216" s="245"/>
      <c r="N216" s="245"/>
      <c r="O216" s="245"/>
      <c r="P216" s="245"/>
      <c r="Q216" s="245"/>
      <c r="R216" s="245"/>
      <c r="S216" s="245"/>
      <c r="T216" s="245"/>
      <c r="U216" s="245"/>
      <c r="V216" s="245"/>
      <c r="W216" s="245"/>
      <c r="X216" s="245"/>
      <c r="Y216" s="245"/>
      <c r="Z216" s="245"/>
      <c r="AA216" s="245"/>
      <c r="AB216" s="245"/>
      <c r="AC216" s="245"/>
      <c r="AD216" s="245"/>
      <c r="AE216" s="245"/>
      <c r="AF216" s="245"/>
      <c r="AG216" s="245"/>
      <c r="AH216" s="245"/>
      <c r="AI216" s="245"/>
      <c r="AJ216" s="245"/>
      <c r="AK216" s="245"/>
      <c r="AL216" s="245"/>
      <c r="AM216" s="245"/>
      <c r="AN216" s="245"/>
      <c r="AO216" s="245"/>
      <c r="AP216" s="245"/>
      <c r="AQ216" s="245"/>
      <c r="AR216" s="245"/>
      <c r="AS216" s="245"/>
      <c r="AT216" s="245"/>
      <c r="AU216" s="245"/>
      <c r="AV216" s="245"/>
      <c r="AW216" s="245"/>
      <c r="AX216" s="245"/>
      <c r="AY216" s="245"/>
      <c r="AZ216" s="245"/>
      <c r="BA216" s="245"/>
      <c r="BB216" s="245"/>
      <c r="BC216" s="245"/>
      <c r="BD216" s="245"/>
      <c r="BE216" s="342"/>
      <c r="BF216" s="249"/>
      <c r="BG216" s="250"/>
      <c r="BH216" s="343"/>
      <c r="BI216" s="322"/>
      <c r="BJ216" s="322"/>
      <c r="BK216" s="322"/>
      <c r="BL216" s="322"/>
      <c r="BM216" s="322"/>
      <c r="BN216" s="322"/>
      <c r="BO216" s="322"/>
      <c r="BP216" s="250"/>
      <c r="BQ216" s="250"/>
      <c r="BR216" s="250"/>
      <c r="BS216" s="250"/>
      <c r="BT216" s="250"/>
    </row>
    <row r="217" customHeight="1" spans="1:78">
      <c r="A217" s="252" t="s">
        <v>489</v>
      </c>
      <c r="B217" s="252"/>
      <c r="C217" s="252"/>
      <c r="D217" s="344"/>
      <c r="E217" s="344"/>
      <c r="F217" s="344"/>
      <c r="G217" s="344"/>
      <c r="H217" s="344"/>
      <c r="I217" s="344"/>
      <c r="J217" s="344"/>
      <c r="K217" s="344"/>
      <c r="L217" s="344"/>
      <c r="M217" s="344"/>
      <c r="N217" s="344"/>
      <c r="O217" s="344"/>
      <c r="P217" s="344"/>
      <c r="Q217" s="344"/>
      <c r="R217" s="344"/>
      <c r="S217" s="344"/>
      <c r="T217" s="344"/>
      <c r="U217" s="344"/>
      <c r="V217" s="344"/>
      <c r="W217" s="344"/>
      <c r="X217" s="344"/>
      <c r="Y217" s="344"/>
      <c r="Z217" s="344"/>
      <c r="AA217" s="344"/>
      <c r="AB217" s="344"/>
      <c r="AC217" s="344"/>
      <c r="AD217" s="344"/>
      <c r="AE217" s="344"/>
      <c r="AF217" s="344"/>
      <c r="AG217" s="344"/>
      <c r="AH217" s="344"/>
      <c r="AI217" s="344"/>
      <c r="AJ217" s="344"/>
      <c r="AK217" s="344"/>
      <c r="AL217" s="344"/>
      <c r="AM217" s="344"/>
      <c r="AN217" s="344"/>
      <c r="AO217" s="344"/>
      <c r="AP217" s="344"/>
      <c r="AQ217" s="344"/>
      <c r="AR217" s="344"/>
      <c r="AS217" s="344"/>
      <c r="AT217" s="344"/>
      <c r="AU217" s="344"/>
      <c r="AV217" s="344"/>
      <c r="AW217" s="344"/>
      <c r="AX217" s="344"/>
      <c r="AY217" s="344"/>
      <c r="AZ217" s="344"/>
      <c r="BA217" s="344"/>
      <c r="BB217" s="344"/>
      <c r="BC217" s="344"/>
      <c r="BD217" s="344"/>
      <c r="BE217" s="340"/>
      <c r="BF217" s="268"/>
      <c r="BG217" s="270"/>
      <c r="BH217" s="319"/>
      <c r="BI217" s="319"/>
      <c r="BJ217" s="319"/>
      <c r="BK217" s="319"/>
      <c r="BL217" s="319"/>
      <c r="BM217" s="319"/>
      <c r="BN217" s="319"/>
      <c r="BO217" s="319"/>
      <c r="BP217" s="49"/>
      <c r="BQ217" s="49"/>
      <c r="BR217" s="49"/>
      <c r="BS217" s="49"/>
      <c r="BT217" s="49"/>
    </row>
    <row r="218" customHeight="1" spans="1:78">
      <c r="A218" s="345"/>
      <c r="B218" s="70"/>
      <c r="C218" s="284"/>
      <c r="D218" s="346"/>
      <c r="E218" s="346"/>
      <c r="F218" s="346"/>
      <c r="G218" s="346"/>
      <c r="H218" s="347"/>
      <c r="I218" s="347"/>
      <c r="J218" s="347"/>
      <c r="K218" s="347"/>
      <c r="L218" s="347"/>
      <c r="M218" s="347"/>
      <c r="N218" s="347"/>
      <c r="O218" s="347"/>
      <c r="P218" s="347"/>
      <c r="Q218" s="347"/>
      <c r="R218" s="347"/>
      <c r="S218" s="347"/>
      <c r="T218" s="347"/>
      <c r="U218" s="347"/>
      <c r="V218" s="347"/>
      <c r="W218" s="347"/>
      <c r="X218" s="347"/>
      <c r="Y218" s="347"/>
      <c r="Z218" s="347"/>
      <c r="AA218" s="347"/>
      <c r="AB218" s="347"/>
      <c r="AC218" s="347"/>
      <c r="AD218" s="347"/>
      <c r="AE218" s="347"/>
      <c r="AF218" s="347"/>
      <c r="AG218" s="347"/>
      <c r="AH218" s="347"/>
      <c r="AI218" s="347"/>
      <c r="AJ218" s="347"/>
      <c r="AK218" s="347"/>
      <c r="AL218" s="347"/>
      <c r="AM218" s="347"/>
      <c r="AN218" s="347"/>
      <c r="AO218" s="329"/>
      <c r="AP218" s="329"/>
      <c r="AQ218" s="329"/>
      <c r="AR218" s="329"/>
      <c r="AS218" s="329"/>
      <c r="AT218" s="329"/>
      <c r="AU218" s="329"/>
      <c r="AV218" s="329"/>
      <c r="AW218" s="329"/>
      <c r="AX218" s="329"/>
      <c r="AY218" s="329"/>
      <c r="AZ218" s="329"/>
      <c r="BA218" s="329"/>
      <c r="BB218" s="329"/>
      <c r="BC218" s="329"/>
      <c r="BD218" s="347"/>
      <c r="BE218" s="271"/>
      <c r="BF218" s="272"/>
      <c r="BG218" s="285"/>
      <c r="BH218" s="285"/>
      <c r="BI218" s="285"/>
      <c r="BJ218" s="285"/>
      <c r="BK218" s="285"/>
      <c r="BL218" s="285"/>
      <c r="BM218" s="285"/>
      <c r="BN218" s="285"/>
      <c r="BO218" s="285"/>
      <c r="BP218" s="285"/>
      <c r="BQ218" s="285"/>
      <c r="BR218" s="285"/>
      <c r="BS218" s="285"/>
      <c r="BT218" s="232"/>
    </row>
    <row r="219" s="105" customFormat="1" customHeight="1" spans="1:78">
      <c r="A219" s="252"/>
      <c r="B219" s="395" t="s">
        <v>464</v>
      </c>
      <c r="C219" s="70"/>
      <c r="D219" s="348"/>
      <c r="E219" s="349"/>
      <c r="F219" s="349"/>
      <c r="G219" s="349"/>
      <c r="H219" s="349"/>
      <c r="I219" s="349"/>
      <c r="J219" s="349"/>
      <c r="K219" s="349"/>
      <c r="L219" s="349"/>
      <c r="M219" s="349"/>
      <c r="N219" s="349"/>
      <c r="O219" s="349"/>
      <c r="P219" s="349"/>
      <c r="Q219" s="349"/>
      <c r="R219" s="349"/>
      <c r="S219" s="349"/>
      <c r="T219" s="349"/>
      <c r="U219" s="349"/>
      <c r="V219" s="349"/>
      <c r="W219" s="349"/>
      <c r="X219" s="349"/>
      <c r="Y219" s="349"/>
      <c r="Z219" s="349"/>
      <c r="AA219" s="349"/>
      <c r="AB219" s="349"/>
      <c r="AC219" s="349"/>
      <c r="AD219" s="349"/>
      <c r="AE219" s="349"/>
      <c r="AF219" s="349"/>
      <c r="AG219" s="349"/>
      <c r="AH219" s="349"/>
      <c r="AI219" s="349"/>
      <c r="AJ219" s="349"/>
      <c r="AK219" s="349"/>
      <c r="AL219" s="349"/>
      <c r="AM219" s="349"/>
      <c r="AN219" s="349"/>
      <c r="AO219" s="349"/>
      <c r="AP219" s="349"/>
      <c r="AQ219" s="349"/>
      <c r="AR219" s="349"/>
      <c r="AS219" s="349"/>
      <c r="AT219" s="349"/>
      <c r="AU219" s="349"/>
      <c r="AV219" s="349"/>
      <c r="AW219" s="349"/>
      <c r="AX219" s="349"/>
      <c r="AY219" s="349"/>
      <c r="AZ219" s="349"/>
      <c r="BA219" s="349"/>
      <c r="BB219" s="349"/>
      <c r="BC219" s="349"/>
      <c r="BD219" s="349"/>
      <c r="BE219" s="263"/>
      <c r="BF219" s="264"/>
      <c r="BG219" s="285"/>
      <c r="BH219" s="285"/>
      <c r="BI219" s="285"/>
      <c r="BJ219" s="285"/>
      <c r="BK219" s="285"/>
      <c r="BL219" s="285"/>
      <c r="BM219" s="285"/>
      <c r="BN219" s="285"/>
      <c r="BO219" s="285"/>
      <c r="BP219" s="285"/>
      <c r="BQ219" s="285"/>
      <c r="BR219" s="285"/>
      <c r="BS219" s="285"/>
      <c r="BT219" s="350"/>
      <c r="BU219"/>
      <c r="BV219"/>
      <c r="BW219"/>
      <c r="BX219"/>
      <c r="BY219"/>
      <c r="BZ219"/>
    </row>
    <row r="220" ht="9.75" customHeight="1" spans="1:78">
      <c r="A220" s="268"/>
      <c r="B220" s="268"/>
      <c r="C220" s="397" t="s">
        <v>465</v>
      </c>
      <c r="D220" s="347"/>
      <c r="E220" s="347"/>
      <c r="F220" s="347"/>
      <c r="G220" s="347"/>
      <c r="H220" s="347"/>
      <c r="I220" s="347"/>
      <c r="J220" s="347"/>
      <c r="K220" s="347"/>
      <c r="L220" s="347"/>
      <c r="M220" s="347"/>
      <c r="N220" s="347"/>
      <c r="O220" s="347"/>
      <c r="P220" s="348"/>
      <c r="Q220" s="348"/>
      <c r="R220" s="348"/>
      <c r="S220" s="348"/>
      <c r="T220" s="348"/>
      <c r="U220" s="348"/>
      <c r="V220" s="348"/>
      <c r="W220" s="348"/>
      <c r="X220" s="348"/>
      <c r="Y220" s="348"/>
      <c r="Z220" s="348"/>
      <c r="AA220" s="348"/>
      <c r="AB220" s="348"/>
      <c r="AC220" s="348"/>
      <c r="AD220" s="348"/>
      <c r="AE220" s="348"/>
      <c r="AF220" s="348"/>
      <c r="AG220" s="348"/>
      <c r="AH220" s="348"/>
      <c r="AI220" s="348"/>
      <c r="AJ220" s="348"/>
      <c r="AK220" s="348"/>
      <c r="AL220" s="348"/>
      <c r="AM220" s="348"/>
      <c r="AN220" s="348"/>
      <c r="AO220" s="348"/>
      <c r="AP220" s="348"/>
      <c r="AQ220" s="348"/>
      <c r="AR220" s="348"/>
      <c r="AS220" s="348"/>
      <c r="AT220" s="348"/>
      <c r="AU220" s="348"/>
      <c r="AV220" s="348"/>
      <c r="AW220" s="348"/>
      <c r="AX220" s="348"/>
      <c r="AY220" s="348"/>
      <c r="AZ220" s="348"/>
      <c r="BA220" s="348"/>
      <c r="BB220" s="348"/>
      <c r="BC220" s="348"/>
      <c r="BD220" s="348"/>
      <c r="BE220" s="271"/>
      <c r="BF220" s="272"/>
      <c r="BG220" s="285"/>
      <c r="BH220" s="285"/>
      <c r="BI220" s="285"/>
      <c r="BJ220" s="285"/>
      <c r="BK220" s="285"/>
      <c r="BL220" s="285"/>
      <c r="BM220" s="285"/>
      <c r="BN220" s="285"/>
      <c r="BO220" s="285"/>
      <c r="BP220" s="285"/>
      <c r="BQ220" s="285"/>
      <c r="BR220" s="285"/>
      <c r="BS220" s="285"/>
      <c r="BT220" s="232"/>
    </row>
    <row r="221" ht="9.75" customHeight="1" spans="1:78">
      <c r="A221" s="268"/>
      <c r="B221" s="268"/>
      <c r="C221" s="396" t="s">
        <v>466</v>
      </c>
      <c r="D221" s="329"/>
      <c r="E221" s="329"/>
      <c r="F221" s="329"/>
      <c r="G221" s="329"/>
      <c r="H221" s="329"/>
      <c r="I221" s="329"/>
      <c r="J221" s="329"/>
      <c r="K221" s="329"/>
      <c r="L221" s="329"/>
      <c r="M221" s="329"/>
      <c r="N221" s="329"/>
      <c r="O221" s="329"/>
      <c r="P221" s="329"/>
      <c r="Q221" s="329"/>
      <c r="R221" s="351">
        <v>25.2</v>
      </c>
      <c r="S221" s="329">
        <v>24.2</v>
      </c>
      <c r="T221" s="329">
        <v>28.0908</v>
      </c>
      <c r="U221" s="329">
        <v>28.0908</v>
      </c>
      <c r="V221" s="329">
        <v>22.191732</v>
      </c>
      <c r="W221" s="329">
        <v>25.74240912</v>
      </c>
      <c r="X221" s="329">
        <v>24.1978645728</v>
      </c>
      <c r="Y221" s="329">
        <v>22.98797134416</v>
      </c>
      <c r="Z221" s="329">
        <v>22.0684524903936</v>
      </c>
      <c r="AA221" s="329">
        <f>Z221*(1+AA241)</f>
        <v>18.9788691417385</v>
      </c>
      <c r="AB221" s="329">
        <f>AA221*(1+AB241)</f>
        <v>18.8839747960298</v>
      </c>
      <c r="AC221" s="329">
        <f t="shared" ref="AC221:AC222" si="666">AB221*(1+AC241)</f>
        <v>18.7895549220496</v>
      </c>
      <c r="AD221" s="329">
        <f t="shared" ref="AD221:AD222" si="667">AC221*(1+AD241)</f>
        <v>18.6956071474394</v>
      </c>
      <c r="AE221" s="329">
        <f t="shared" ref="AE221:AY221" si="668">AD221*(1+AE241)</f>
        <v>18.6021291117022</v>
      </c>
      <c r="AF221" s="329">
        <f t="shared" si="668"/>
        <v>18.5091184661437</v>
      </c>
      <c r="AG221" s="329">
        <f t="shared" si="668"/>
        <v>18.416572873813</v>
      </c>
      <c r="AH221" s="329">
        <f t="shared" si="668"/>
        <v>18.3244900094439</v>
      </c>
      <c r="AI221" s="329">
        <f t="shared" si="668"/>
        <v>18.2328675593967</v>
      </c>
      <c r="AJ221" s="329">
        <f t="shared" si="668"/>
        <v>18.4151962349907</v>
      </c>
      <c r="AK221" s="329">
        <f t="shared" si="668"/>
        <v>18.6914241785155</v>
      </c>
      <c r="AL221" s="329">
        <f t="shared" si="668"/>
        <v>18.9717955411932</v>
      </c>
      <c r="AM221" s="329">
        <f t="shared" si="668"/>
        <v>19.2563724743111</v>
      </c>
      <c r="AN221" s="329">
        <f t="shared" si="668"/>
        <v>19.5452180614258</v>
      </c>
      <c r="AO221" s="329">
        <f t="shared" si="668"/>
        <v>19.8383963323472</v>
      </c>
      <c r="AP221" s="329">
        <f t="shared" si="668"/>
        <v>20.1359722773324</v>
      </c>
      <c r="AQ221" s="329">
        <f t="shared" si="668"/>
        <v>20.4380118614924</v>
      </c>
      <c r="AR221" s="329">
        <f t="shared" si="668"/>
        <v>20.9489621580297</v>
      </c>
      <c r="AS221" s="329">
        <f t="shared" si="668"/>
        <v>21.4726862119804</v>
      </c>
      <c r="AT221" s="329">
        <f t="shared" si="668"/>
        <v>22.0095033672799</v>
      </c>
      <c r="AU221" s="329">
        <f t="shared" si="668"/>
        <v>22.5597409514619</v>
      </c>
      <c r="AV221" s="329">
        <f t="shared" si="668"/>
        <v>23.2365331800058</v>
      </c>
      <c r="AW221" s="329">
        <f t="shared" si="668"/>
        <v>23.933629175406</v>
      </c>
      <c r="AX221" s="329">
        <f t="shared" si="668"/>
        <v>24.6516380506681</v>
      </c>
      <c r="AY221" s="329">
        <f t="shared" si="668"/>
        <v>25.3911871921882</v>
      </c>
      <c r="AZ221" s="329">
        <f t="shared" ref="AZ221:AZ222" si="669">AY221*(1+AZ241)</f>
        <v>26.1529228079538</v>
      </c>
      <c r="BA221" s="329">
        <f t="shared" ref="BA221:BA222" si="670">AZ221*(1+BA241)</f>
        <v>26.9375104921925</v>
      </c>
      <c r="BB221" s="329">
        <f t="shared" ref="BB221:BB222" si="671">BA221*(1+BB241)</f>
        <v>27.7456358069582</v>
      </c>
      <c r="BC221" s="329">
        <f t="shared" ref="BC221:BC222" si="672">BB221*(1+BC241)</f>
        <v>28.578004881167</v>
      </c>
      <c r="BD221" s="329"/>
      <c r="BE221" s="271"/>
      <c r="BF221" s="272"/>
      <c r="BG221" s="285"/>
      <c r="BH221" s="285"/>
      <c r="BI221" s="285"/>
      <c r="BJ221" s="285"/>
      <c r="BK221" s="285"/>
      <c r="BL221" s="285"/>
      <c r="BM221" s="270">
        <f t="shared" ref="BM221:BP221" si="673">+BM112/BM175</f>
        <v>18.7331138631942</v>
      </c>
      <c r="BN221" s="270">
        <f t="shared" si="673"/>
        <v>15.1716087657559</v>
      </c>
      <c r="BO221" s="270">
        <f t="shared" si="673"/>
        <v>18.8274127862443</v>
      </c>
      <c r="BP221" s="270">
        <f t="shared" si="673"/>
        <v>19.9912549864759</v>
      </c>
      <c r="BQ221" s="270">
        <f t="shared" ref="BQ221:BR221" si="674">+BQ112/BQ175</f>
        <v>21.7847755038134</v>
      </c>
      <c r="BR221" s="270">
        <f t="shared" si="674"/>
        <v>24.3210247419654</v>
      </c>
      <c r="BS221" s="270">
        <f t="shared" ref="BS221" si="675">+BS112/BS175</f>
        <v>27.3735276153101</v>
      </c>
      <c r="BT221" s="150">
        <f>+(BR221/BP221)^(1/2)-1</f>
        <v>0.10298829953916</v>
      </c>
    </row>
    <row r="222" ht="9.75" customHeight="1" spans="1:78">
      <c r="A222" s="268"/>
      <c r="B222" s="268"/>
      <c r="C222" s="396" t="s">
        <v>467</v>
      </c>
      <c r="D222" s="347"/>
      <c r="E222" s="347"/>
      <c r="F222" s="347"/>
      <c r="G222" s="347"/>
      <c r="H222" s="347"/>
      <c r="I222" s="347"/>
      <c r="J222" s="347"/>
      <c r="K222" s="347"/>
      <c r="L222" s="347"/>
      <c r="M222" s="347"/>
      <c r="N222" s="347"/>
      <c r="O222" s="347"/>
      <c r="P222" s="329"/>
      <c r="Q222" s="329"/>
      <c r="R222" s="351">
        <v>11.6</v>
      </c>
      <c r="S222" s="329">
        <v>11</v>
      </c>
      <c r="T222" s="329">
        <v>13.31712</v>
      </c>
      <c r="U222" s="329">
        <v>13.31712</v>
      </c>
      <c r="V222" s="329">
        <v>10.3873536</v>
      </c>
      <c r="W222" s="329">
        <v>12.049330176</v>
      </c>
      <c r="X222" s="329">
        <v>11.4468636672</v>
      </c>
      <c r="Y222" s="329">
        <v>10.87452048384</v>
      </c>
      <c r="Z222" s="329">
        <v>10.4395396644864</v>
      </c>
      <c r="AA222" s="329">
        <f>Z222*(1+AA242)</f>
        <v>8.9780041114583</v>
      </c>
      <c r="AB222" s="329">
        <f>AA222*(1+AB242)</f>
        <v>8.9780041114583</v>
      </c>
      <c r="AC222" s="329">
        <f t="shared" si="666"/>
        <v>8.9780041114583</v>
      </c>
      <c r="AD222" s="329">
        <f t="shared" si="667"/>
        <v>8.93311409090101</v>
      </c>
      <c r="AE222" s="329">
        <f t="shared" ref="AE222:AY222" si="676">AD222*(1+AE242)</f>
        <v>8.88844852044651</v>
      </c>
      <c r="AF222" s="329">
        <f t="shared" si="676"/>
        <v>8.84400627784427</v>
      </c>
      <c r="AG222" s="329">
        <f t="shared" si="676"/>
        <v>8.79978624645505</v>
      </c>
      <c r="AH222" s="329">
        <f t="shared" si="676"/>
        <v>8.75578731522278</v>
      </c>
      <c r="AI222" s="329">
        <f t="shared" si="676"/>
        <v>8.71200837864666</v>
      </c>
      <c r="AJ222" s="329">
        <f t="shared" si="676"/>
        <v>8.79912846243313</v>
      </c>
      <c r="AK222" s="329">
        <f t="shared" si="676"/>
        <v>8.93111538936963</v>
      </c>
      <c r="AL222" s="329">
        <f t="shared" si="676"/>
        <v>9.06508212021017</v>
      </c>
      <c r="AM222" s="329">
        <f t="shared" si="676"/>
        <v>9.20105835201332</v>
      </c>
      <c r="AN222" s="329">
        <f t="shared" si="676"/>
        <v>9.33907422729352</v>
      </c>
      <c r="AO222" s="329">
        <f t="shared" si="676"/>
        <v>9.47916034070292</v>
      </c>
      <c r="AP222" s="329">
        <f t="shared" si="676"/>
        <v>9.62134774581346</v>
      </c>
      <c r="AQ222" s="329">
        <f t="shared" si="676"/>
        <v>9.76566796200066</v>
      </c>
      <c r="AR222" s="329">
        <f t="shared" si="676"/>
        <v>10.0098096610507</v>
      </c>
      <c r="AS222" s="329">
        <f t="shared" si="676"/>
        <v>10.2600549025769</v>
      </c>
      <c r="AT222" s="329">
        <f t="shared" si="676"/>
        <v>10.5165562751414</v>
      </c>
      <c r="AU222" s="329">
        <f t="shared" si="676"/>
        <v>10.7794701820199</v>
      </c>
      <c r="AV222" s="329">
        <f t="shared" si="676"/>
        <v>11.1028542874805</v>
      </c>
      <c r="AW222" s="329">
        <f t="shared" si="676"/>
        <v>11.4359399161049</v>
      </c>
      <c r="AX222" s="329">
        <f t="shared" si="676"/>
        <v>11.7790181135881</v>
      </c>
      <c r="AY222" s="329">
        <f t="shared" si="676"/>
        <v>12.1323886569957</v>
      </c>
      <c r="AZ222" s="329">
        <f t="shared" si="669"/>
        <v>12.4963603167056</v>
      </c>
      <c r="BA222" s="329">
        <f t="shared" si="670"/>
        <v>12.8712511262067</v>
      </c>
      <c r="BB222" s="329">
        <f t="shared" si="671"/>
        <v>13.2573886599929</v>
      </c>
      <c r="BC222" s="329">
        <f t="shared" si="672"/>
        <v>13.6551103197927</v>
      </c>
      <c r="BD222" s="329"/>
      <c r="BE222" s="271"/>
      <c r="BF222" s="272"/>
      <c r="BG222" s="285"/>
      <c r="BH222" s="285"/>
      <c r="BI222" s="285"/>
      <c r="BJ222" s="285"/>
      <c r="BK222" s="285"/>
      <c r="BL222" s="285"/>
      <c r="BM222" s="270">
        <f t="shared" ref="BM222:BR222" si="677">+BM113/BM176</f>
        <v>8.94072399931058</v>
      </c>
      <c r="BN222" s="270">
        <f t="shared" si="677"/>
        <v>7.24627567587997</v>
      </c>
      <c r="BO222" s="270">
        <f t="shared" si="677"/>
        <v>8.99788957088619</v>
      </c>
      <c r="BP222" s="270">
        <f t="shared" si="677"/>
        <v>9.55219909180334</v>
      </c>
      <c r="BQ222" s="270">
        <f t="shared" si="677"/>
        <v>10.409177058841</v>
      </c>
      <c r="BR222" s="270">
        <f t="shared" si="677"/>
        <v>11.6210448323076</v>
      </c>
      <c r="BS222" s="270">
        <f t="shared" ref="BS222" si="678">+BS113/BS176</f>
        <v>13.0795883401672</v>
      </c>
      <c r="BT222" s="150">
        <f>+(BR222/BP222)^(1/2)-1</f>
        <v>0.10298829953916</v>
      </c>
    </row>
    <row r="223" ht="9.75" customHeight="1" spans="1:78">
      <c r="A223" s="268"/>
      <c r="B223" s="268"/>
      <c r="C223" s="397" t="s">
        <v>468</v>
      </c>
      <c r="D223" s="347"/>
      <c r="E223" s="347"/>
      <c r="F223" s="347"/>
      <c r="G223" s="347"/>
      <c r="H223" s="347"/>
      <c r="I223" s="347"/>
      <c r="J223" s="347"/>
      <c r="K223" s="347"/>
      <c r="L223" s="347"/>
      <c r="M223" s="347"/>
      <c r="N223" s="347"/>
      <c r="O223" s="347"/>
      <c r="P223" s="329"/>
      <c r="Q223" s="329"/>
      <c r="R223" s="351"/>
      <c r="S223" s="329"/>
      <c r="T223" s="329"/>
      <c r="U223" s="329"/>
      <c r="V223" s="329"/>
      <c r="W223" s="329"/>
      <c r="X223" s="329"/>
      <c r="Y223" s="329"/>
      <c r="Z223" s="329"/>
      <c r="AA223" s="329"/>
      <c r="AB223" s="329"/>
      <c r="AC223" s="329"/>
      <c r="AD223" s="329"/>
      <c r="AE223" s="329"/>
      <c r="AF223" s="329"/>
      <c r="AG223" s="329"/>
      <c r="AH223" s="329"/>
      <c r="AI223" s="329"/>
      <c r="AJ223" s="329"/>
      <c r="AK223" s="329"/>
      <c r="AL223" s="329"/>
      <c r="AM223" s="329"/>
      <c r="AN223" s="329"/>
      <c r="AO223" s="329"/>
      <c r="AP223" s="329"/>
      <c r="AQ223" s="329"/>
      <c r="AR223" s="329"/>
      <c r="AS223" s="329"/>
      <c r="AT223" s="329"/>
      <c r="AU223" s="329"/>
      <c r="AV223" s="329"/>
      <c r="AW223" s="329"/>
      <c r="AX223" s="329"/>
      <c r="AY223" s="329"/>
      <c r="AZ223" s="329"/>
      <c r="BA223" s="329"/>
      <c r="BB223" s="329"/>
      <c r="BC223" s="329"/>
      <c r="BD223" s="329"/>
      <c r="BE223" s="271"/>
      <c r="BF223" s="272"/>
      <c r="BG223" s="285"/>
      <c r="BH223" s="285"/>
      <c r="BI223" s="285"/>
      <c r="BJ223" s="285"/>
      <c r="BK223" s="285"/>
      <c r="BL223" s="285"/>
      <c r="BM223" s="270">
        <f t="shared" ref="BM223:BR224" si="679">+BM114/BM177</f>
        <v>6.31395348837209</v>
      </c>
      <c r="BN223" s="270">
        <f t="shared" si="679"/>
        <v>4.98542594132819</v>
      </c>
      <c r="BO223" s="270">
        <f t="shared" si="679"/>
        <v>7.11085991774205</v>
      </c>
      <c r="BP223" s="270">
        <f t="shared" si="679"/>
        <v>3.58952019426763</v>
      </c>
      <c r="BQ223" s="270">
        <f t="shared" si="679"/>
        <v>3.49042480287552</v>
      </c>
      <c r="BR223" s="270">
        <f t="shared" si="679"/>
        <v>3.39371431280473</v>
      </c>
      <c r="BS223" s="270">
        <f t="shared" ref="BS223" si="680">+BS114/BS177</f>
        <v>3.29968341602644</v>
      </c>
      <c r="BT223" s="150">
        <f>+(BR223/BP223)^(1/2)-1</f>
        <v>-0.0276571174801686</v>
      </c>
    </row>
    <row r="224" ht="9.75" customHeight="1" spans="1:78">
      <c r="A224" s="268"/>
      <c r="B224" s="268"/>
      <c r="C224" s="396" t="s">
        <v>469</v>
      </c>
      <c r="D224" s="347"/>
      <c r="E224" s="347"/>
      <c r="F224" s="347"/>
      <c r="G224" s="347"/>
      <c r="H224" s="347"/>
      <c r="I224" s="347"/>
      <c r="J224" s="347"/>
      <c r="K224" s="347"/>
      <c r="L224" s="347"/>
      <c r="M224" s="347"/>
      <c r="N224" s="347"/>
      <c r="O224" s="347"/>
      <c r="P224" s="329"/>
      <c r="Q224" s="329"/>
      <c r="R224" s="351"/>
      <c r="S224" s="329"/>
      <c r="T224" s="329"/>
      <c r="U224" s="329"/>
      <c r="V224" s="329"/>
      <c r="W224" s="329"/>
      <c r="X224" s="329"/>
      <c r="Y224" s="329"/>
      <c r="Z224" s="329"/>
      <c r="AA224" s="329">
        <v>13</v>
      </c>
      <c r="AB224" s="329">
        <f t="shared" ref="AB224:AE225" si="681">AA224*(1+AB244)</f>
        <v>13</v>
      </c>
      <c r="AC224" s="329">
        <f t="shared" si="681"/>
        <v>13</v>
      </c>
      <c r="AD224" s="329">
        <f t="shared" si="681"/>
        <v>13</v>
      </c>
      <c r="AE224" s="329">
        <f t="shared" si="681"/>
        <v>13</v>
      </c>
      <c r="AF224" s="329">
        <f>+AF115/AF178</f>
        <v>12.9987</v>
      </c>
      <c r="AG224" s="329">
        <f>+AG115/AG178</f>
        <v>13.128687</v>
      </c>
      <c r="AH224" s="329">
        <f>+AH115/AH178</f>
        <v>13.25997387</v>
      </c>
      <c r="AI224" s="329">
        <f>+AI115/AI178</f>
        <v>6.69642857142857</v>
      </c>
      <c r="AJ224" s="329">
        <f t="shared" ref="AJ224:AY224" si="682">AI224*(1+AJ244)</f>
        <v>6.69642857142857</v>
      </c>
      <c r="AK224" s="329">
        <f t="shared" si="682"/>
        <v>6.64955357142857</v>
      </c>
      <c r="AL224" s="329">
        <f t="shared" si="682"/>
        <v>6.60300669642857</v>
      </c>
      <c r="AM224" s="329">
        <f t="shared" si="682"/>
        <v>6.55678564955357</v>
      </c>
      <c r="AN224" s="329">
        <f t="shared" si="682"/>
        <v>6.5108881500067</v>
      </c>
      <c r="AO224" s="329">
        <f t="shared" si="682"/>
        <v>6.46531193295665</v>
      </c>
      <c r="AP224" s="329">
        <f t="shared" si="682"/>
        <v>6.42005474942595</v>
      </c>
      <c r="AQ224" s="329">
        <f t="shared" si="682"/>
        <v>6.37511436617997</v>
      </c>
      <c r="AR224" s="329">
        <f t="shared" si="682"/>
        <v>6.33048856561671</v>
      </c>
      <c r="AS224" s="329">
        <f t="shared" si="682"/>
        <v>6.28617514565739</v>
      </c>
      <c r="AT224" s="329">
        <f t="shared" si="682"/>
        <v>6.24217191963779</v>
      </c>
      <c r="AU224" s="329">
        <f t="shared" si="682"/>
        <v>6.19847671620033</v>
      </c>
      <c r="AV224" s="329">
        <f t="shared" si="682"/>
        <v>6.15508737918692</v>
      </c>
      <c r="AW224" s="329">
        <f t="shared" si="682"/>
        <v>6.11200176753262</v>
      </c>
      <c r="AX224" s="329">
        <f t="shared" si="682"/>
        <v>6.06921775515989</v>
      </c>
      <c r="AY224" s="329">
        <f t="shared" si="682"/>
        <v>6.02673323087377</v>
      </c>
      <c r="AZ224" s="329">
        <f t="shared" ref="AZ224:AZ226" si="683">AY224*(1+AZ244)</f>
        <v>5.98454609825765</v>
      </c>
      <c r="BA224" s="329">
        <f t="shared" ref="BA224:BA226" si="684">AZ224*(1+BA244)</f>
        <v>5.94265427556985</v>
      </c>
      <c r="BB224" s="329">
        <f t="shared" ref="BB224:BB226" si="685">BA224*(1+BB244)</f>
        <v>5.90105569564086</v>
      </c>
      <c r="BC224" s="329">
        <f t="shared" ref="BC224:BC226" si="686">BB224*(1+BC244)</f>
        <v>5.85974830577137</v>
      </c>
      <c r="BD224" s="329"/>
      <c r="BE224" s="271"/>
      <c r="BF224" s="272"/>
      <c r="BG224" s="285"/>
      <c r="BH224" s="285"/>
      <c r="BI224" s="285"/>
      <c r="BJ224" s="285"/>
      <c r="BK224" s="285"/>
      <c r="BL224" s="285"/>
      <c r="BM224" s="270">
        <f t="shared" si="679"/>
        <v>13</v>
      </c>
      <c r="BN224" s="270">
        <f t="shared" si="679"/>
        <v>9.52346981787879</v>
      </c>
      <c r="BO224" s="270">
        <f t="shared" si="679"/>
        <v>17.5931387299724</v>
      </c>
      <c r="BP224" s="270">
        <f t="shared" si="679"/>
        <v>6.44105635649038</v>
      </c>
      <c r="BQ224" s="270">
        <f t="shared" si="679"/>
        <v>6.26323899760092</v>
      </c>
      <c r="BR224" s="270">
        <f t="shared" si="679"/>
        <v>6.08970111980752</v>
      </c>
      <c r="BS224" s="270">
        <f t="shared" ref="BS224" si="687">+BS115/BS178</f>
        <v>5.92097152013357</v>
      </c>
      <c r="BT224" s="150"/>
    </row>
    <row r="225" ht="9.75" customHeight="1" spans="1:78">
      <c r="A225" s="268"/>
      <c r="B225" s="268"/>
      <c r="C225" s="396" t="s">
        <v>470</v>
      </c>
      <c r="D225" s="352"/>
      <c r="E225" s="352"/>
      <c r="F225" s="352"/>
      <c r="G225" s="347"/>
      <c r="H225" s="347"/>
      <c r="I225" s="347"/>
      <c r="J225" s="347"/>
      <c r="K225" s="347"/>
      <c r="L225" s="347"/>
      <c r="M225" s="347"/>
      <c r="N225" s="347"/>
      <c r="O225" s="347"/>
      <c r="P225" s="329"/>
      <c r="Q225" s="329"/>
      <c r="R225" s="351"/>
      <c r="S225" s="329"/>
      <c r="T225" s="329"/>
      <c r="U225" s="329"/>
      <c r="V225" s="329"/>
      <c r="W225" s="329"/>
      <c r="X225" s="329"/>
      <c r="Y225" s="329"/>
      <c r="Z225" s="329"/>
      <c r="AA225" s="329">
        <v>6.5</v>
      </c>
      <c r="AB225" s="329">
        <f t="shared" si="681"/>
        <v>6.5</v>
      </c>
      <c r="AC225" s="329">
        <f t="shared" si="681"/>
        <v>6.5</v>
      </c>
      <c r="AD225" s="329">
        <f t="shared" si="681"/>
        <v>6.5</v>
      </c>
      <c r="AE225" s="329">
        <f t="shared" si="681"/>
        <v>6.5</v>
      </c>
      <c r="AF225" s="329">
        <f t="shared" ref="AF225:AY225" si="688">AE225*(1+AF245)</f>
        <v>6.5</v>
      </c>
      <c r="AG225" s="329">
        <f t="shared" si="688"/>
        <v>6.5</v>
      </c>
      <c r="AH225" s="329">
        <f t="shared" si="688"/>
        <v>6.5</v>
      </c>
      <c r="AI225" s="329">
        <f t="shared" si="688"/>
        <v>6.5</v>
      </c>
      <c r="AJ225" s="329">
        <v>3.5</v>
      </c>
      <c r="AK225" s="329">
        <f t="shared" si="688"/>
        <v>3.4755</v>
      </c>
      <c r="AL225" s="329">
        <f t="shared" si="688"/>
        <v>3.4511715</v>
      </c>
      <c r="AM225" s="329">
        <f t="shared" si="688"/>
        <v>3.4270132995</v>
      </c>
      <c r="AN225" s="329">
        <f t="shared" si="688"/>
        <v>3.4030242064035</v>
      </c>
      <c r="AO225" s="329">
        <f t="shared" si="688"/>
        <v>3.37920303695867</v>
      </c>
      <c r="AP225" s="329">
        <f t="shared" si="688"/>
        <v>3.35554861569996</v>
      </c>
      <c r="AQ225" s="329">
        <f t="shared" si="688"/>
        <v>3.33205977539006</v>
      </c>
      <c r="AR225" s="329">
        <f t="shared" si="688"/>
        <v>3.30873535696233</v>
      </c>
      <c r="AS225" s="329">
        <f t="shared" si="688"/>
        <v>3.2855742094636</v>
      </c>
      <c r="AT225" s="329">
        <f t="shared" si="688"/>
        <v>3.26257518999735</v>
      </c>
      <c r="AU225" s="329">
        <f t="shared" si="688"/>
        <v>3.23973716366737</v>
      </c>
      <c r="AV225" s="329">
        <f t="shared" si="688"/>
        <v>3.2170590035217</v>
      </c>
      <c r="AW225" s="329">
        <f t="shared" si="688"/>
        <v>3.19453959049705</v>
      </c>
      <c r="AX225" s="329">
        <f t="shared" si="688"/>
        <v>3.17217781336357</v>
      </c>
      <c r="AY225" s="329">
        <f t="shared" si="688"/>
        <v>3.14997256867002</v>
      </c>
      <c r="AZ225" s="329">
        <f t="shared" si="683"/>
        <v>3.12792276068933</v>
      </c>
      <c r="BA225" s="329">
        <f t="shared" si="684"/>
        <v>3.10602730136451</v>
      </c>
      <c r="BB225" s="329">
        <f t="shared" si="685"/>
        <v>3.08428511025496</v>
      </c>
      <c r="BC225" s="329">
        <f t="shared" si="686"/>
        <v>3.06269511448317</v>
      </c>
      <c r="BD225" s="329"/>
      <c r="BE225" s="271"/>
      <c r="BF225" s="272"/>
      <c r="BG225" s="285"/>
      <c r="BH225" s="285"/>
      <c r="BI225" s="285"/>
      <c r="BJ225" s="285"/>
      <c r="BK225" s="285"/>
      <c r="BL225" s="285"/>
      <c r="BM225" s="270">
        <f t="shared" ref="BM225:BR225" si="689">+BM116/BM179</f>
        <v>6.5</v>
      </c>
      <c r="BN225" s="270">
        <f t="shared" si="689"/>
        <v>4.7477422082556</v>
      </c>
      <c r="BO225" s="270">
        <f t="shared" si="689"/>
        <v>5.23185066071474</v>
      </c>
      <c r="BP225" s="270">
        <f t="shared" si="689"/>
        <v>3.36652545565897</v>
      </c>
      <c r="BQ225" s="270">
        <f t="shared" si="689"/>
        <v>3.27358624941275</v>
      </c>
      <c r="BR225" s="270">
        <f t="shared" si="689"/>
        <v>3.18288378528606</v>
      </c>
      <c r="BS225" s="270">
        <f t="shared" ref="BS225" si="690">+BS116/BS179</f>
        <v>3.09469444785648</v>
      </c>
      <c r="BT225" s="232"/>
    </row>
    <row r="226" ht="9.75" customHeight="1" spans="1:78">
      <c r="A226" s="268"/>
      <c r="B226" s="268"/>
      <c r="C226" s="396" t="s">
        <v>471</v>
      </c>
      <c r="D226" s="347"/>
      <c r="E226" s="347"/>
      <c r="F226" s="347"/>
      <c r="G226" s="347"/>
      <c r="H226" s="347"/>
      <c r="I226" s="347"/>
      <c r="J226" s="347"/>
      <c r="K226" s="347"/>
      <c r="L226" s="347"/>
      <c r="M226" s="347"/>
      <c r="N226" s="347"/>
      <c r="O226" s="347"/>
      <c r="P226" s="329"/>
      <c r="Q226" s="329"/>
      <c r="R226" s="353"/>
      <c r="S226" s="329"/>
      <c r="T226" s="329"/>
      <c r="U226" s="329"/>
      <c r="V226" s="329"/>
      <c r="W226" s="329"/>
      <c r="X226" s="329"/>
      <c r="Y226" s="329"/>
      <c r="Z226" s="329"/>
      <c r="AA226" s="329">
        <v>2.5</v>
      </c>
      <c r="AB226" s="329">
        <f>AA226*(1+AB246)</f>
        <v>2.5</v>
      </c>
      <c r="AC226" s="329">
        <f>AB226*(1+AC246)</f>
        <v>2.5</v>
      </c>
      <c r="AD226" s="329">
        <f>AC226*(1+AD246)</f>
        <v>2.5</v>
      </c>
      <c r="AE226" s="329">
        <f t="shared" ref="AE226:AY226" si="691">AD226*(1+AE246)</f>
        <v>2.5</v>
      </c>
      <c r="AF226" s="329">
        <f t="shared" si="691"/>
        <v>2.5</v>
      </c>
      <c r="AG226" s="329">
        <f t="shared" si="691"/>
        <v>2.5</v>
      </c>
      <c r="AH226" s="329">
        <f t="shared" si="691"/>
        <v>2.5</v>
      </c>
      <c r="AI226" s="329">
        <f t="shared" si="691"/>
        <v>2.5</v>
      </c>
      <c r="AJ226" s="329">
        <f t="shared" si="691"/>
        <v>2.5</v>
      </c>
      <c r="AK226" s="329">
        <f t="shared" si="691"/>
        <v>2.4825</v>
      </c>
      <c r="AL226" s="329">
        <f t="shared" si="691"/>
        <v>2.4651225</v>
      </c>
      <c r="AM226" s="329">
        <f t="shared" si="691"/>
        <v>2.4478666425</v>
      </c>
      <c r="AN226" s="329">
        <f t="shared" si="691"/>
        <v>2.4307315760025</v>
      </c>
      <c r="AO226" s="329">
        <f t="shared" si="691"/>
        <v>2.41371645497048</v>
      </c>
      <c r="AP226" s="329">
        <f t="shared" si="691"/>
        <v>2.39682043978569</v>
      </c>
      <c r="AQ226" s="329">
        <f t="shared" si="691"/>
        <v>2.38004269670719</v>
      </c>
      <c r="AR226" s="329">
        <f t="shared" si="691"/>
        <v>2.36338239783024</v>
      </c>
      <c r="AS226" s="329">
        <f t="shared" si="691"/>
        <v>2.34683872104543</v>
      </c>
      <c r="AT226" s="329">
        <f t="shared" si="691"/>
        <v>2.33041084999811</v>
      </c>
      <c r="AU226" s="329">
        <f t="shared" si="691"/>
        <v>2.31409797404812</v>
      </c>
      <c r="AV226" s="329">
        <f t="shared" si="691"/>
        <v>2.29789928822979</v>
      </c>
      <c r="AW226" s="329">
        <f t="shared" si="691"/>
        <v>2.28181399321218</v>
      </c>
      <c r="AX226" s="329">
        <f t="shared" si="691"/>
        <v>2.26584129525969</v>
      </c>
      <c r="AY226" s="329">
        <f t="shared" si="691"/>
        <v>2.24998040619287</v>
      </c>
      <c r="AZ226" s="329">
        <f t="shared" si="683"/>
        <v>2.23423054334952</v>
      </c>
      <c r="BA226" s="329">
        <f t="shared" si="684"/>
        <v>2.21859092954608</v>
      </c>
      <c r="BB226" s="329">
        <f t="shared" si="685"/>
        <v>2.20306079303925</v>
      </c>
      <c r="BC226" s="329">
        <f t="shared" si="686"/>
        <v>2.18763936748798</v>
      </c>
      <c r="BD226" s="329"/>
      <c r="BE226" s="271"/>
      <c r="BF226" s="272"/>
      <c r="BG226" s="285"/>
      <c r="BH226" s="285"/>
      <c r="BI226" s="285"/>
      <c r="BJ226" s="285"/>
      <c r="BK226" s="285"/>
      <c r="BL226" s="285"/>
      <c r="BM226" s="270">
        <f t="shared" ref="BM226:BR226" si="692">+BM117/BM180</f>
        <v>2.3936170212766</v>
      </c>
      <c r="BN226" s="270">
        <f t="shared" si="692"/>
        <v>1.97619143999073</v>
      </c>
      <c r="BO226" s="270">
        <f t="shared" si="692"/>
        <v>3.78713648682423</v>
      </c>
      <c r="BP226" s="270">
        <f t="shared" si="692"/>
        <v>2.40466103975641</v>
      </c>
      <c r="BQ226" s="270">
        <f t="shared" si="692"/>
        <v>2.33827589243768</v>
      </c>
      <c r="BR226" s="270">
        <f t="shared" si="692"/>
        <v>2.27348841806147</v>
      </c>
      <c r="BS226" s="270">
        <f t="shared" ref="BS226" si="693">+BS117/BS180</f>
        <v>2.2104960341832</v>
      </c>
      <c r="BT226" s="232"/>
    </row>
    <row r="227" ht="9.75" customHeight="1" spans="1:78">
      <c r="A227" s="268"/>
      <c r="B227" s="268"/>
      <c r="C227" s="397" t="s">
        <v>472</v>
      </c>
      <c r="D227" s="329"/>
      <c r="E227" s="329"/>
      <c r="F227" s="329"/>
      <c r="G227" s="329"/>
      <c r="H227" s="329"/>
      <c r="I227" s="329"/>
      <c r="J227" s="329"/>
      <c r="K227" s="329"/>
      <c r="L227" s="329"/>
      <c r="M227" s="329"/>
      <c r="N227" s="329"/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  <c r="AO227" s="209">
        <f>+AO228/AO229</f>
        <v>7.2</v>
      </c>
      <c r="AP227" s="209"/>
      <c r="BD227" s="329"/>
      <c r="BE227" s="271"/>
      <c r="BF227" s="272"/>
      <c r="BG227" s="351"/>
      <c r="BH227" s="351"/>
      <c r="BI227" s="351"/>
      <c r="BJ227" s="351"/>
      <c r="BK227" s="351"/>
      <c r="BL227" s="351"/>
      <c r="BM227" s="285"/>
      <c r="BN227" s="285"/>
      <c r="BO227" s="285"/>
      <c r="BP227" s="270">
        <f t="shared" ref="BP227:BR228" si="694">+BP118/BP181</f>
        <v>38.493</v>
      </c>
      <c r="BQ227" s="270">
        <f t="shared" si="694"/>
        <v>37.7556524960757</v>
      </c>
      <c r="BR227" s="270">
        <f t="shared" si="694"/>
        <v>37.0256133803523</v>
      </c>
      <c r="BS227" s="270">
        <f t="shared" ref="BS227" si="695">+BS118/BS181</f>
        <v>36.3235250281557</v>
      </c>
      <c r="BT227" s="150">
        <f>+(BR227/BP227)^(1/2)-1</f>
        <v>-0.0192456317914261</v>
      </c>
    </row>
    <row r="228" ht="9.75" customHeight="1" spans="1:78">
      <c r="A228" s="268"/>
      <c r="B228" s="268"/>
      <c r="C228" s="396" t="s">
        <v>473</v>
      </c>
      <c r="D228" s="347"/>
      <c r="E228" s="347"/>
      <c r="F228" s="347"/>
      <c r="G228" s="347"/>
      <c r="H228" s="347"/>
      <c r="I228" s="347"/>
      <c r="J228" s="347"/>
      <c r="K228" s="347"/>
      <c r="L228" s="347"/>
      <c r="M228" s="347"/>
      <c r="N228" s="347"/>
      <c r="O228" s="347"/>
      <c r="P228" s="329"/>
      <c r="Q228" s="329"/>
      <c r="R228" s="351"/>
      <c r="S228" s="329"/>
      <c r="T228" s="329"/>
      <c r="U228" s="329"/>
      <c r="V228" s="329"/>
      <c r="W228" s="329"/>
      <c r="X228" s="329"/>
      <c r="Y228" s="329"/>
      <c r="Z228" s="329"/>
      <c r="AA228" s="329"/>
      <c r="AB228" s="329"/>
      <c r="AC228" s="329"/>
      <c r="AD228" s="329"/>
      <c r="AE228" s="329"/>
      <c r="AF228" s="329"/>
      <c r="AG228" s="329"/>
      <c r="AH228" s="329"/>
      <c r="AI228" s="329"/>
      <c r="AJ228" s="329"/>
      <c r="AK228" s="329"/>
      <c r="AL228" s="329"/>
      <c r="AM228" s="329"/>
      <c r="AN228" s="329"/>
      <c r="AO228" s="276">
        <v>180</v>
      </c>
      <c r="AP228" s="276">
        <f t="shared" ref="AP228:AY228" si="696">AO228*(1+AP248)</f>
        <v>178.2</v>
      </c>
      <c r="AQ228" s="329">
        <f t="shared" si="696"/>
        <v>176.418</v>
      </c>
      <c r="AR228" s="329">
        <f t="shared" si="696"/>
        <v>175.53591</v>
      </c>
      <c r="AS228" s="329">
        <f t="shared" si="696"/>
        <v>174.65823045</v>
      </c>
      <c r="AT228" s="329">
        <f t="shared" si="696"/>
        <v>173.78493929775</v>
      </c>
      <c r="AU228" s="329">
        <f t="shared" si="696"/>
        <v>172.916014601261</v>
      </c>
      <c r="AV228" s="329">
        <f t="shared" si="696"/>
        <v>172.051434528255</v>
      </c>
      <c r="AW228" s="329">
        <f t="shared" si="696"/>
        <v>171.191177355614</v>
      </c>
      <c r="AX228" s="329">
        <f t="shared" si="696"/>
        <v>170.335221468836</v>
      </c>
      <c r="AY228" s="329">
        <f t="shared" si="696"/>
        <v>169.483545361491</v>
      </c>
      <c r="AZ228" s="329">
        <f t="shared" ref="AZ228:AZ230" si="697">AY228*(1+AZ248)</f>
        <v>168.636127634684</v>
      </c>
      <c r="BA228" s="329">
        <f t="shared" ref="BA228:BA230" si="698">AZ228*(1+BA248)</f>
        <v>167.79294699651</v>
      </c>
      <c r="BB228" s="329">
        <f t="shared" ref="BB228:BB230" si="699">BA228*(1+BB248)</f>
        <v>166.953982261528</v>
      </c>
      <c r="BC228" s="329">
        <f t="shared" ref="BC228:BC230" si="700">BB228*(1+BC248)</f>
        <v>166.11921235022</v>
      </c>
      <c r="BD228" s="329"/>
      <c r="BE228" s="271"/>
      <c r="BF228" s="272"/>
      <c r="BG228" s="351"/>
      <c r="BH228" s="351"/>
      <c r="BI228" s="351"/>
      <c r="BJ228" s="351"/>
      <c r="BK228" s="351"/>
      <c r="BL228" s="351"/>
      <c r="BM228" s="270"/>
      <c r="BN228" s="270"/>
      <c r="BO228" s="270"/>
      <c r="BP228" s="270">
        <f t="shared" si="694"/>
        <v>177.246837209302</v>
      </c>
      <c r="BQ228" s="270">
        <f t="shared" si="694"/>
        <v>173.851609167977</v>
      </c>
      <c r="BR228" s="270">
        <f t="shared" si="694"/>
        <v>170.490033704878</v>
      </c>
      <c r="BS228" s="270">
        <f t="shared" ref="BS228" si="701">+BS119/BS182</f>
        <v>167.257161757554</v>
      </c>
      <c r="BT228" s="232"/>
    </row>
    <row r="229" ht="9.75" customHeight="1" spans="1:78">
      <c r="A229" s="268"/>
      <c r="B229" s="268"/>
      <c r="C229" s="396" t="s">
        <v>474</v>
      </c>
      <c r="D229" s="352"/>
      <c r="E229" s="352"/>
      <c r="F229" s="352"/>
      <c r="G229" s="347"/>
      <c r="H229" s="347"/>
      <c r="I229" s="347"/>
      <c r="J229" s="347"/>
      <c r="K229" s="347"/>
      <c r="L229" s="347"/>
      <c r="M229" s="347"/>
      <c r="N229" s="347"/>
      <c r="O229" s="347"/>
      <c r="P229" s="329"/>
      <c r="Q229" s="329"/>
      <c r="R229" s="351"/>
      <c r="S229" s="329"/>
      <c r="T229" s="329"/>
      <c r="U229" s="329"/>
      <c r="V229" s="329"/>
      <c r="W229" s="329"/>
      <c r="X229" s="329"/>
      <c r="Y229" s="329"/>
      <c r="Z229" s="329"/>
      <c r="AA229" s="329"/>
      <c r="AB229" s="329"/>
      <c r="AC229" s="329"/>
      <c r="AD229" s="329"/>
      <c r="AE229" s="329"/>
      <c r="AF229" s="329"/>
      <c r="AG229" s="329"/>
      <c r="AH229" s="329"/>
      <c r="AI229" s="329"/>
      <c r="AJ229" s="329"/>
      <c r="AK229" s="329"/>
      <c r="AL229" s="329"/>
      <c r="AM229" s="329"/>
      <c r="AN229" s="329"/>
      <c r="AO229" s="276">
        <v>25</v>
      </c>
      <c r="AP229" s="276">
        <f t="shared" ref="AP229:AY229" si="702">AO229*(1+AP249)</f>
        <v>24.75</v>
      </c>
      <c r="AQ229" s="329">
        <f t="shared" si="702"/>
        <v>24.5025</v>
      </c>
      <c r="AR229" s="329">
        <f t="shared" si="702"/>
        <v>24.3799875</v>
      </c>
      <c r="AS229" s="329">
        <f t="shared" si="702"/>
        <v>24.2580875625</v>
      </c>
      <c r="AT229" s="329">
        <f t="shared" si="702"/>
        <v>24.1367971246875</v>
      </c>
      <c r="AU229" s="329">
        <f t="shared" si="702"/>
        <v>24.0161131390641</v>
      </c>
      <c r="AV229" s="329">
        <f t="shared" si="702"/>
        <v>23.8960325733687</v>
      </c>
      <c r="AW229" s="329">
        <f t="shared" si="702"/>
        <v>23.7765524105019</v>
      </c>
      <c r="AX229" s="329">
        <f t="shared" si="702"/>
        <v>23.6576696484494</v>
      </c>
      <c r="AY229" s="329">
        <f t="shared" si="702"/>
        <v>23.5393813002071</v>
      </c>
      <c r="AZ229" s="329">
        <f t="shared" si="697"/>
        <v>23.4216843937061</v>
      </c>
      <c r="BA229" s="329">
        <f t="shared" si="698"/>
        <v>23.3045759717376</v>
      </c>
      <c r="BB229" s="329">
        <f t="shared" si="699"/>
        <v>23.1880530918789</v>
      </c>
      <c r="BC229" s="329">
        <f t="shared" si="700"/>
        <v>23.0721128264195</v>
      </c>
      <c r="BD229" s="329"/>
      <c r="BE229" s="271"/>
      <c r="BF229" s="272"/>
      <c r="BG229" s="351"/>
      <c r="BH229" s="351"/>
      <c r="BI229" s="351"/>
      <c r="BJ229" s="351"/>
      <c r="BK229" s="351"/>
      <c r="BL229" s="351"/>
      <c r="BM229" s="270"/>
      <c r="BN229" s="270"/>
      <c r="BO229" s="270"/>
      <c r="BP229" s="270">
        <f t="shared" ref="BP229:BR229" si="703">+BP120/BP183</f>
        <v>24.6176162790698</v>
      </c>
      <c r="BQ229" s="270">
        <f t="shared" si="703"/>
        <v>24.1460568288856</v>
      </c>
      <c r="BR229" s="270">
        <f t="shared" si="703"/>
        <v>23.6791713478998</v>
      </c>
      <c r="BS229" s="270">
        <f t="shared" ref="BS229" si="704">+BS120/BS183</f>
        <v>23.2301613552158</v>
      </c>
      <c r="BT229" s="232"/>
    </row>
    <row r="230" ht="9.75" customHeight="1" spans="1:78">
      <c r="A230" s="268"/>
      <c r="B230" s="268"/>
      <c r="C230" s="397" t="s">
        <v>475</v>
      </c>
      <c r="D230" s="347"/>
      <c r="E230" s="347"/>
      <c r="F230" s="347"/>
      <c r="G230" s="347"/>
      <c r="H230" s="347"/>
      <c r="I230" s="347"/>
      <c r="J230" s="347"/>
      <c r="K230" s="347"/>
      <c r="L230" s="347"/>
      <c r="M230" s="347"/>
      <c r="N230" s="347"/>
      <c r="O230" s="347"/>
      <c r="P230" s="329"/>
      <c r="Q230" s="329"/>
      <c r="R230" s="353"/>
      <c r="S230" s="329"/>
      <c r="T230" s="329"/>
      <c r="U230" s="329"/>
      <c r="V230" s="329"/>
      <c r="W230" s="329"/>
      <c r="X230" s="329"/>
      <c r="Y230" s="329"/>
      <c r="Z230" s="329"/>
      <c r="AA230" s="329"/>
      <c r="AB230" s="329"/>
      <c r="AC230" s="329"/>
      <c r="AD230" s="329"/>
      <c r="AE230" s="329"/>
      <c r="AF230" s="329"/>
      <c r="AG230" s="329"/>
      <c r="AH230" s="329"/>
      <c r="AI230" s="329"/>
      <c r="AJ230" s="329"/>
      <c r="AK230" s="329"/>
      <c r="AL230" s="329"/>
      <c r="AM230" s="329"/>
      <c r="AN230" s="329"/>
      <c r="AO230" s="276">
        <v>8</v>
      </c>
      <c r="AP230" s="276">
        <f t="shared" ref="AP230" si="705">AO230*(1+AP250)</f>
        <v>7.92</v>
      </c>
      <c r="AQ230" s="329">
        <f t="shared" ref="AQ230" si="706">AP230*(1+AQ250)</f>
        <v>7.8408</v>
      </c>
      <c r="AR230" s="329">
        <f t="shared" ref="AR230" si="707">AQ230*(1+AR250)</f>
        <v>7.801596</v>
      </c>
      <c r="AS230" s="329">
        <f t="shared" ref="AS230" si="708">AR230*(1+AS250)</f>
        <v>7.76258802</v>
      </c>
      <c r="AT230" s="329">
        <f t="shared" ref="AT230" si="709">AS230*(1+AT250)</f>
        <v>7.7237750799</v>
      </c>
      <c r="AU230" s="329">
        <f t="shared" ref="AU230" si="710">AT230*(1+AU250)</f>
        <v>7.6851562045005</v>
      </c>
      <c r="AV230" s="329">
        <f t="shared" ref="AV230" si="711">AU230*(1+AV250)</f>
        <v>7.646730423478</v>
      </c>
      <c r="AW230" s="329">
        <f t="shared" ref="AW230" si="712">AV230*(1+AW250)</f>
        <v>7.60849677136061</v>
      </c>
      <c r="AX230" s="329">
        <f t="shared" ref="AX230" si="713">AW230*(1+AX250)</f>
        <v>7.5704542875038</v>
      </c>
      <c r="AY230" s="329">
        <f t="shared" ref="AY230" si="714">AX230*(1+AY250)</f>
        <v>7.53260201606628</v>
      </c>
      <c r="AZ230" s="329">
        <f t="shared" si="697"/>
        <v>7.49493900598595</v>
      </c>
      <c r="BA230" s="329">
        <f t="shared" si="698"/>
        <v>7.45746431095602</v>
      </c>
      <c r="BB230" s="329">
        <f t="shared" si="699"/>
        <v>7.42017698940124</v>
      </c>
      <c r="BC230" s="329">
        <f t="shared" si="700"/>
        <v>7.38307610445424</v>
      </c>
      <c r="BD230" s="329"/>
      <c r="BE230" s="271"/>
      <c r="BF230" s="272"/>
      <c r="BG230" s="351"/>
      <c r="BH230" s="351"/>
      <c r="BI230" s="351"/>
      <c r="BJ230" s="351"/>
      <c r="BK230" s="351"/>
      <c r="BL230" s="351"/>
      <c r="BM230" s="270"/>
      <c r="BN230" s="270"/>
      <c r="BO230" s="270"/>
      <c r="BP230" s="270">
        <f>+BP121/BP184</f>
        <v>19.1140351696708</v>
      </c>
      <c r="BQ230" s="270">
        <f t="shared" ref="BQ230:BR230" si="715">+BQ121/BQ184</f>
        <v>7.74231819692545</v>
      </c>
      <c r="BR230" s="270">
        <f t="shared" si="715"/>
        <v>7.58862931439633</v>
      </c>
      <c r="BS230" s="270">
        <f t="shared" ref="BS230" si="716">+BS121/BS184</f>
        <v>7.4379912329338</v>
      </c>
      <c r="BT230" s="150">
        <f>+(BR230/BP230)^(1/2)-1</f>
        <v>-0.369905804031979</v>
      </c>
    </row>
    <row r="231" ht="9.75" customHeight="1" spans="1:78">
      <c r="A231" s="252"/>
      <c r="B231" s="281" t="s">
        <v>476</v>
      </c>
      <c r="C231" s="70"/>
      <c r="D231" s="347"/>
      <c r="E231" s="347"/>
      <c r="F231" s="347"/>
      <c r="G231" s="347"/>
      <c r="H231" s="347"/>
      <c r="I231" s="347"/>
      <c r="J231" s="347"/>
      <c r="K231" s="347"/>
      <c r="L231" s="347"/>
      <c r="M231" s="347"/>
      <c r="N231" s="347"/>
      <c r="O231" s="347"/>
      <c r="P231" s="329"/>
      <c r="Q231" s="329"/>
      <c r="R231" s="354"/>
      <c r="S231" s="355"/>
      <c r="T231" s="355"/>
      <c r="U231" s="355"/>
      <c r="V231" s="355"/>
      <c r="W231" s="355"/>
      <c r="X231" s="355"/>
      <c r="Y231" s="355"/>
      <c r="Z231" s="355"/>
      <c r="AA231" s="355"/>
      <c r="AB231" s="355"/>
      <c r="AC231" s="355"/>
      <c r="AD231" s="355"/>
      <c r="AE231" s="355"/>
      <c r="AF231" s="355"/>
      <c r="AG231" s="355"/>
      <c r="AH231" s="355"/>
      <c r="AI231" s="355"/>
      <c r="AJ231" s="355"/>
      <c r="AK231" s="355"/>
      <c r="AL231" s="355"/>
      <c r="AM231" s="355"/>
      <c r="AN231" s="355"/>
      <c r="AO231" s="355"/>
      <c r="AP231" s="355"/>
      <c r="AQ231" s="355"/>
      <c r="AR231" s="355"/>
      <c r="AS231" s="355"/>
      <c r="AT231" s="355"/>
      <c r="AU231" s="355"/>
      <c r="AV231" s="355"/>
      <c r="AW231" s="355"/>
      <c r="AX231" s="355"/>
      <c r="AY231" s="355"/>
      <c r="AZ231" s="355"/>
      <c r="BA231" s="355"/>
      <c r="BB231" s="355"/>
      <c r="BC231" s="355"/>
      <c r="BD231" s="355"/>
      <c r="BE231" s="271"/>
      <c r="BF231" s="272"/>
      <c r="BG231" s="351"/>
      <c r="BH231" s="351"/>
      <c r="BI231" s="351"/>
      <c r="BJ231" s="351"/>
      <c r="BK231" s="329"/>
      <c r="BL231" s="329"/>
      <c r="BM231" s="270"/>
      <c r="BN231" s="270"/>
      <c r="BO231" s="270"/>
      <c r="BP231" s="270"/>
      <c r="BQ231" s="270"/>
      <c r="BR231" s="270"/>
      <c r="BS231" s="270"/>
      <c r="BT231" s="232"/>
    </row>
    <row r="232" ht="9.75" customHeight="1" spans="1:78">
      <c r="A232" s="252"/>
      <c r="B232" s="107"/>
      <c r="C232" s="283" t="s">
        <v>477</v>
      </c>
      <c r="D232" s="347"/>
      <c r="E232" s="347"/>
      <c r="F232" s="347"/>
      <c r="G232" s="347"/>
      <c r="H232" s="347"/>
      <c r="I232" s="347"/>
      <c r="J232" s="347"/>
      <c r="K232" s="347"/>
      <c r="L232" s="347"/>
      <c r="M232" s="347"/>
      <c r="N232" s="347"/>
      <c r="O232" s="347"/>
      <c r="P232" s="329"/>
      <c r="Q232" s="329"/>
      <c r="R232" s="354"/>
      <c r="S232" s="355"/>
      <c r="T232" s="355"/>
      <c r="U232" s="355"/>
      <c r="V232" s="355"/>
      <c r="W232" s="355"/>
      <c r="X232" s="355"/>
      <c r="Y232" s="355"/>
      <c r="Z232" s="355"/>
      <c r="AA232" s="355"/>
      <c r="AB232" s="355"/>
      <c r="AC232" s="355"/>
      <c r="AD232" s="355"/>
      <c r="AE232" s="355"/>
      <c r="AF232" s="355"/>
      <c r="AG232" s="355"/>
      <c r="AH232" s="355"/>
      <c r="AI232" s="270">
        <v>245</v>
      </c>
      <c r="AJ232" s="270">
        <v>240.1</v>
      </c>
      <c r="AK232" s="270">
        <v>233.31</v>
      </c>
      <c r="AL232" s="270">
        <v>230.9769</v>
      </c>
      <c r="AM232" s="270">
        <v>228.667131</v>
      </c>
      <c r="AN232" s="270">
        <v>226.38045969</v>
      </c>
      <c r="AO232" s="270">
        <v>224.1166550931</v>
      </c>
      <c r="AP232" s="270">
        <v>221.875488542169</v>
      </c>
      <c r="AQ232" s="270">
        <v>219.656733656747</v>
      </c>
      <c r="AR232" s="270">
        <v>217.46016632018</v>
      </c>
      <c r="AS232" s="270">
        <v>215.285564656978</v>
      </c>
      <c r="AT232" s="270">
        <v>213.132709010408</v>
      </c>
      <c r="AU232" s="270">
        <v>211.001381920304</v>
      </c>
      <c r="AV232" s="270">
        <v>208.891368101101</v>
      </c>
      <c r="AW232" s="270">
        <v>206.80245442009</v>
      </c>
      <c r="AX232" s="270">
        <v>204.734429875889</v>
      </c>
      <c r="AY232" s="270">
        <v>202.68708557713</v>
      </c>
      <c r="AZ232" s="270">
        <v>208.891368101101</v>
      </c>
      <c r="BA232" s="270">
        <v>206.80245442009</v>
      </c>
      <c r="BB232" s="270">
        <v>204.734429875889</v>
      </c>
      <c r="BC232" s="270">
        <v>202.68708557713</v>
      </c>
      <c r="BD232" s="355"/>
      <c r="BE232" s="271"/>
      <c r="BF232" s="272"/>
      <c r="BG232" s="351"/>
      <c r="BH232" s="351"/>
      <c r="BI232" s="351"/>
      <c r="BJ232" s="351"/>
      <c r="BK232" s="329"/>
      <c r="BL232" s="329"/>
      <c r="BM232" s="270"/>
      <c r="BN232" s="270">
        <f t="shared" ref="BN232:BR232" si="717">+BN123/BN186</f>
        <v>245</v>
      </c>
      <c r="BO232" s="270">
        <f t="shared" si="717"/>
        <v>231.280750308943</v>
      </c>
      <c r="BP232" s="270">
        <f t="shared" si="717"/>
        <v>222.637003141098</v>
      </c>
      <c r="BQ232" s="270">
        <f t="shared" si="717"/>
        <v>213.552030336417</v>
      </c>
      <c r="BR232" s="270">
        <f t="shared" si="717"/>
        <v>205.580245637164</v>
      </c>
      <c r="BS232" s="270">
        <f t="shared" ref="BS232" si="718">+BS123/BS186</f>
        <v>205.727650267469</v>
      </c>
      <c r="BT232" s="232"/>
    </row>
    <row r="233" s="107" customFormat="1" customHeight="1" spans="1:78">
      <c r="A233" s="252"/>
      <c r="C233" s="283" t="s">
        <v>478</v>
      </c>
      <c r="D233" s="261"/>
      <c r="E233" s="261"/>
      <c r="F233" s="261"/>
      <c r="G233" s="261"/>
      <c r="H233" s="261"/>
      <c r="I233" s="261"/>
      <c r="J233" s="261"/>
      <c r="K233" s="261"/>
      <c r="L233" s="261"/>
      <c r="M233" s="261"/>
      <c r="N233" s="261"/>
      <c r="O233" s="261"/>
      <c r="P233" s="262"/>
      <c r="Q233" s="262"/>
      <c r="R233" s="270"/>
      <c r="S233" s="270"/>
      <c r="T233" s="270"/>
      <c r="U233" s="270"/>
      <c r="V233" s="270"/>
      <c r="W233" s="270"/>
      <c r="X233" s="270"/>
      <c r="Y233" s="270"/>
      <c r="Z233" s="270"/>
      <c r="AA233" s="270"/>
      <c r="AB233" s="270"/>
      <c r="AC233" s="270"/>
      <c r="AD233" s="270"/>
      <c r="AE233" s="270"/>
      <c r="AF233" s="270"/>
      <c r="AG233" s="270"/>
      <c r="AH233" s="270"/>
      <c r="AI233" s="270"/>
      <c r="AJ233" s="270"/>
      <c r="AK233" s="270"/>
      <c r="AL233" s="270"/>
      <c r="AM233" s="270"/>
      <c r="AN233" s="270"/>
      <c r="AO233" s="270"/>
      <c r="AP233" s="270"/>
      <c r="AQ233" s="270"/>
      <c r="AR233" s="270"/>
      <c r="AS233" s="270"/>
      <c r="AT233" s="270"/>
      <c r="AU233" s="270"/>
      <c r="AV233" s="270"/>
      <c r="AW233" s="270">
        <v>5000</v>
      </c>
      <c r="AX233" s="270">
        <f t="shared" ref="AX233" si="719">+AW233-20</f>
        <v>4980</v>
      </c>
      <c r="AY233" s="270">
        <f t="shared" ref="AY233" si="720">+AX233-20</f>
        <v>4960</v>
      </c>
      <c r="AZ233" s="270">
        <f t="shared" ref="AZ233" si="721">+AY233-20</f>
        <v>4940</v>
      </c>
      <c r="BA233" s="270">
        <f t="shared" ref="BA233" si="722">+AZ233-20</f>
        <v>4920</v>
      </c>
      <c r="BB233" s="270">
        <f t="shared" ref="BB233" si="723">+BA233-20</f>
        <v>4900</v>
      </c>
      <c r="BC233" s="270">
        <f t="shared" ref="BC233" si="724">+BB233-20</f>
        <v>4880</v>
      </c>
      <c r="BD233" s="270"/>
      <c r="BE233" s="263"/>
      <c r="BF233" s="264"/>
      <c r="BG233" s="261">
        <f>SUM(D233:G233)</f>
        <v>0</v>
      </c>
      <c r="BH233" s="261">
        <f>SUM(H233:K233)</f>
        <v>0</v>
      </c>
      <c r="BI233" s="282">
        <f>SUM(L233:O233)</f>
        <v>0</v>
      </c>
      <c r="BJ233" s="282">
        <f>SUM(P233:S233)</f>
        <v>0</v>
      </c>
      <c r="BK233" s="282">
        <f>SUM(T233:W233)</f>
        <v>0</v>
      </c>
      <c r="BL233" s="270">
        <f>SUM(X233:AA233)</f>
        <v>0</v>
      </c>
      <c r="BM233" s="270"/>
      <c r="BN233" s="270"/>
      <c r="BO233" s="270"/>
      <c r="BP233" s="270"/>
      <c r="BQ233" s="270" t="e">
        <f t="shared" ref="BQ233:BR233" si="725">+BQ124/BQ187</f>
        <v>#DIV/0!</v>
      </c>
      <c r="BR233" s="270">
        <f t="shared" si="725"/>
        <v>4978.97486446525</v>
      </c>
      <c r="BS233" s="270">
        <f t="shared" ref="BS233" si="726">+BS124/BS187</f>
        <v>4909.0199092704</v>
      </c>
      <c r="BT233" s="252"/>
      <c r="BU233"/>
      <c r="BV233"/>
      <c r="BW233"/>
      <c r="BX233"/>
      <c r="BY233"/>
      <c r="BZ233"/>
    </row>
    <row r="234" s="107" customFormat="1" customHeight="1" spans="1:78">
      <c r="A234" s="252"/>
      <c r="C234" s="283" t="s">
        <v>479</v>
      </c>
      <c r="D234" s="261"/>
      <c r="E234" s="261"/>
      <c r="F234" s="261"/>
      <c r="G234" s="261"/>
      <c r="H234" s="261"/>
      <c r="I234" s="261"/>
      <c r="J234" s="261"/>
      <c r="K234" s="261"/>
      <c r="L234" s="261"/>
      <c r="M234" s="261"/>
      <c r="N234" s="261"/>
      <c r="O234" s="261"/>
      <c r="P234" s="262"/>
      <c r="Q234" s="262"/>
      <c r="R234" s="270"/>
      <c r="S234" s="270"/>
      <c r="T234" s="270"/>
      <c r="U234" s="270"/>
      <c r="V234" s="270"/>
      <c r="W234" s="270"/>
      <c r="X234" s="270"/>
      <c r="Y234" s="270"/>
      <c r="Z234" s="270"/>
      <c r="AA234" s="270"/>
      <c r="AB234" s="270"/>
      <c r="AC234" s="270"/>
      <c r="AD234" s="270"/>
      <c r="AE234" s="270"/>
      <c r="AF234" s="270"/>
      <c r="AG234" s="270"/>
      <c r="AH234" s="270"/>
      <c r="AI234" s="270"/>
      <c r="AJ234" s="270"/>
      <c r="AK234" s="270"/>
      <c r="AL234" s="270"/>
      <c r="AM234" s="270"/>
      <c r="AN234" s="270"/>
      <c r="AO234" s="270"/>
      <c r="AP234" s="270">
        <v>280</v>
      </c>
      <c r="AQ234" s="270">
        <f>+AP234-20</f>
        <v>260</v>
      </c>
      <c r="AR234" s="270">
        <f t="shared" ref="AR234:AV234" si="727">+AQ234-20</f>
        <v>240</v>
      </c>
      <c r="AS234" s="270">
        <f t="shared" si="727"/>
        <v>220</v>
      </c>
      <c r="AT234" s="270">
        <f t="shared" si="727"/>
        <v>200</v>
      </c>
      <c r="AU234" s="270">
        <f t="shared" si="727"/>
        <v>180</v>
      </c>
      <c r="AV234" s="270">
        <f t="shared" si="727"/>
        <v>160</v>
      </c>
      <c r="AW234" s="270">
        <f>+AV234</f>
        <v>160</v>
      </c>
      <c r="AX234" s="270">
        <f t="shared" ref="AX234:AY234" si="728">+AW234</f>
        <v>160</v>
      </c>
      <c r="AY234" s="270">
        <f t="shared" si="728"/>
        <v>160</v>
      </c>
      <c r="AZ234" s="270">
        <f t="shared" ref="AZ234" si="729">+AY234-20</f>
        <v>140</v>
      </c>
      <c r="BA234" s="270">
        <f>+AZ234</f>
        <v>140</v>
      </c>
      <c r="BB234" s="270">
        <f t="shared" ref="BB234" si="730">+BA234</f>
        <v>140</v>
      </c>
      <c r="BC234" s="270">
        <f t="shared" ref="BC234" si="731">+BB234</f>
        <v>140</v>
      </c>
      <c r="BD234" s="270"/>
      <c r="BE234" s="263"/>
      <c r="BF234" s="264"/>
      <c r="BG234" s="261">
        <f>SUM(D234:G234)</f>
        <v>0</v>
      </c>
      <c r="BH234" s="261">
        <f>SUM(H234:K234)</f>
        <v>0</v>
      </c>
      <c r="BI234" s="282">
        <f>SUM(L234:O234)</f>
        <v>0</v>
      </c>
      <c r="BJ234" s="282">
        <f>SUM(P234:S234)</f>
        <v>0</v>
      </c>
      <c r="BK234" s="282">
        <f>SUM(T234:W234)</f>
        <v>0</v>
      </c>
      <c r="BL234" s="270">
        <f>SUM(X234:AA234)</f>
        <v>0</v>
      </c>
      <c r="BM234" s="270"/>
      <c r="BN234" s="270"/>
      <c r="BO234" s="270"/>
      <c r="BP234" s="270"/>
      <c r="BQ234" s="270">
        <f t="shared" ref="BQ234:BR234" si="732">+BQ125/BQ188</f>
        <v>181.666666666667</v>
      </c>
      <c r="BR234" s="270">
        <f t="shared" si="732"/>
        <v>160</v>
      </c>
      <c r="BS234" s="270">
        <f t="shared" ref="BS234" si="733">+BS125/BS188</f>
        <v>140</v>
      </c>
      <c r="BT234" s="252"/>
      <c r="BU234"/>
      <c r="BV234"/>
      <c r="BW234"/>
      <c r="BX234"/>
      <c r="BY234"/>
      <c r="BZ234"/>
    </row>
    <row r="235" ht="9.75" customHeight="1" spans="1:78">
      <c r="A235" s="252"/>
      <c r="B235" s="281" t="s">
        <v>480</v>
      </c>
      <c r="C235" s="70"/>
      <c r="D235" s="347"/>
      <c r="E235" s="347"/>
      <c r="F235" s="347"/>
      <c r="G235" s="347"/>
      <c r="H235" s="347"/>
      <c r="I235" s="347"/>
      <c r="J235" s="347"/>
      <c r="K235" s="347"/>
      <c r="L235" s="347"/>
      <c r="M235" s="347"/>
      <c r="N235" s="347"/>
      <c r="O235" s="347"/>
      <c r="P235" s="329"/>
      <c r="Q235" s="329"/>
      <c r="R235" s="285">
        <f>910*7</f>
        <v>6370</v>
      </c>
      <c r="S235" s="270">
        <f t="shared" ref="S235:AE235" si="734">R235*(1+S253)</f>
        <v>6051.5</v>
      </c>
      <c r="T235" s="270">
        <f t="shared" si="734"/>
        <v>1815.45</v>
      </c>
      <c r="U235" s="270">
        <f t="shared" si="734"/>
        <v>1851.759</v>
      </c>
      <c r="V235" s="270">
        <f t="shared" si="734"/>
        <v>1888.79418</v>
      </c>
      <c r="W235" s="270">
        <f t="shared" si="734"/>
        <v>1926.5700636</v>
      </c>
      <c r="X235" s="270">
        <f t="shared" si="734"/>
        <v>2697.19808904</v>
      </c>
      <c r="Y235" s="270">
        <f t="shared" si="734"/>
        <v>3856.9932673272</v>
      </c>
      <c r="Z235" s="270">
        <f t="shared" si="734"/>
        <v>5515.5003722779</v>
      </c>
      <c r="AA235" s="270">
        <f t="shared" si="734"/>
        <v>8008.50654054751</v>
      </c>
      <c r="AB235" s="270">
        <f t="shared" si="734"/>
        <v>7848.33640973655</v>
      </c>
      <c r="AC235" s="270">
        <f t="shared" si="734"/>
        <v>7769.85304563919</v>
      </c>
      <c r="AD235" s="270">
        <f t="shared" si="734"/>
        <v>7692.1545151828</v>
      </c>
      <c r="AE235" s="270">
        <f t="shared" si="734"/>
        <v>7615.23297003097</v>
      </c>
      <c r="AF235" s="270">
        <f>+AF126/AF189</f>
        <v>6587.83802816902</v>
      </c>
      <c r="AG235" s="270">
        <f>+AG126/AG189</f>
        <v>6587.83802816902</v>
      </c>
      <c r="AH235" s="270">
        <f>+AH126/AH189</f>
        <v>6587.83802816901</v>
      </c>
      <c r="AI235" s="270">
        <f>+AI126/AI189</f>
        <v>6587.83802816901</v>
      </c>
      <c r="AJ235" s="270">
        <f t="shared" ref="AJ235:AY235" si="735">AI235*(1+AJ253)</f>
        <v>6719.59478873239</v>
      </c>
      <c r="AK235" s="270">
        <f t="shared" si="735"/>
        <v>6853.98668450704</v>
      </c>
      <c r="AL235" s="270">
        <f t="shared" si="735"/>
        <v>6991.06641819718</v>
      </c>
      <c r="AM235" s="270">
        <f t="shared" si="735"/>
        <v>7130.88774656113</v>
      </c>
      <c r="AN235" s="270">
        <f t="shared" si="735"/>
        <v>7166.54218529393</v>
      </c>
      <c r="AO235" s="270">
        <f t="shared" si="735"/>
        <v>7202.3748962204</v>
      </c>
      <c r="AP235" s="270">
        <f t="shared" si="735"/>
        <v>7238.3867707015</v>
      </c>
      <c r="AQ235" s="270">
        <f t="shared" si="735"/>
        <v>7274.57870455501</v>
      </c>
      <c r="AR235" s="270">
        <f t="shared" si="735"/>
        <v>7310.95159807778</v>
      </c>
      <c r="AS235" s="270">
        <f t="shared" si="735"/>
        <v>7347.50635606817</v>
      </c>
      <c r="AT235" s="270">
        <f t="shared" si="735"/>
        <v>7384.24388784851</v>
      </c>
      <c r="AU235" s="270">
        <f t="shared" si="735"/>
        <v>7421.16510728775</v>
      </c>
      <c r="AV235" s="270">
        <f t="shared" si="735"/>
        <v>7458.27093282419</v>
      </c>
      <c r="AW235" s="270">
        <f t="shared" si="735"/>
        <v>7495.56228748831</v>
      </c>
      <c r="AX235" s="270">
        <f t="shared" si="735"/>
        <v>7533.04009892575</v>
      </c>
      <c r="AY235" s="270">
        <f t="shared" si="735"/>
        <v>7570.70529942038</v>
      </c>
      <c r="AZ235" s="270">
        <f t="shared" ref="AZ235" si="736">AY235*(1+AZ253)</f>
        <v>7608.55882591748</v>
      </c>
      <c r="BA235" s="270">
        <f t="shared" ref="BA235" si="737">AZ235*(1+BA253)</f>
        <v>7646.60162004707</v>
      </c>
      <c r="BB235" s="270">
        <f t="shared" ref="BB235" si="738">BA235*(1+BB253)</f>
        <v>7684.8346281473</v>
      </c>
      <c r="BC235" s="270">
        <f t="shared" ref="BC235" si="739">BB235*(1+BC253)</f>
        <v>7723.25880128804</v>
      </c>
      <c r="BD235" s="329"/>
      <c r="BE235" s="271"/>
      <c r="BF235" s="272"/>
      <c r="BG235" s="285">
        <f>820*7</f>
        <v>5740</v>
      </c>
      <c r="BH235" s="285">
        <f>854*7</f>
        <v>5978</v>
      </c>
      <c r="BI235" s="285">
        <f>900*7</f>
        <v>6300</v>
      </c>
      <c r="BJ235" s="285">
        <f>+BI235*1.05</f>
        <v>6615</v>
      </c>
      <c r="BK235" s="285"/>
      <c r="BL235" s="285"/>
      <c r="BM235" s="285"/>
      <c r="BN235" s="285"/>
      <c r="BO235" s="285"/>
      <c r="BP235" s="285"/>
      <c r="BQ235" s="285"/>
      <c r="BR235" s="285"/>
      <c r="BS235" s="285"/>
      <c r="BT235" s="232"/>
    </row>
    <row r="236" ht="9.75" customHeight="1" spans="1:78">
      <c r="A236" s="345"/>
      <c r="B236" s="356"/>
      <c r="C236" s="284"/>
      <c r="D236" s="329"/>
      <c r="E236" s="329"/>
      <c r="F236" s="329"/>
      <c r="G236" s="347"/>
      <c r="H236" s="347"/>
      <c r="I236" s="347"/>
      <c r="J236" s="347"/>
      <c r="K236" s="347"/>
      <c r="L236" s="347"/>
      <c r="M236" s="347"/>
      <c r="N236" s="347"/>
      <c r="O236" s="347"/>
      <c r="P236" s="347"/>
      <c r="Q236" s="347"/>
      <c r="R236" s="347"/>
      <c r="S236" s="347"/>
      <c r="T236" s="347"/>
      <c r="U236" s="347"/>
      <c r="V236" s="347"/>
      <c r="W236" s="347"/>
      <c r="X236" s="357"/>
      <c r="Y236" s="347"/>
      <c r="Z236" s="347"/>
      <c r="AA236" s="347"/>
      <c r="AB236" s="347"/>
      <c r="AC236" s="347"/>
      <c r="AD236" s="347"/>
      <c r="AE236" s="347"/>
      <c r="AF236" s="347"/>
      <c r="AG236" s="347"/>
      <c r="AH236" s="347"/>
      <c r="AI236" s="347"/>
      <c r="AJ236" s="347"/>
      <c r="AK236" s="347"/>
      <c r="AL236" s="347"/>
      <c r="AM236" s="347"/>
      <c r="AN236" s="347"/>
      <c r="AO236" s="347"/>
      <c r="AP236" s="347"/>
      <c r="AQ236" s="347"/>
      <c r="AR236" s="347"/>
      <c r="AS236" s="347"/>
      <c r="AT236" s="347"/>
      <c r="AU236" s="347"/>
      <c r="AV236" s="347"/>
      <c r="AW236" s="347"/>
      <c r="AX236" s="347"/>
      <c r="AY236" s="347"/>
      <c r="AZ236" s="347"/>
      <c r="BA236" s="347"/>
      <c r="BB236" s="347"/>
      <c r="BC236" s="347"/>
      <c r="BD236" s="347"/>
      <c r="BE236" s="271"/>
      <c r="BF236" s="272"/>
      <c r="BG236" s="329"/>
      <c r="BP236" s="232"/>
      <c r="BQ236" s="232"/>
      <c r="BR236" s="232"/>
      <c r="BS236" s="232"/>
      <c r="BT236" s="232"/>
    </row>
    <row r="237" ht="9.75" customHeight="1" spans="1:78">
      <c r="A237" s="252" t="s">
        <v>487</v>
      </c>
      <c r="B237" s="252"/>
      <c r="C237" s="284"/>
      <c r="D237" s="329"/>
      <c r="E237" s="329"/>
      <c r="F237" s="329"/>
      <c r="G237" s="347"/>
      <c r="H237" s="347"/>
      <c r="I237" s="347"/>
      <c r="J237" s="347"/>
      <c r="K237" s="347"/>
      <c r="L237" s="347"/>
      <c r="M237" s="347"/>
      <c r="N237" s="347"/>
      <c r="O237" s="347"/>
      <c r="P237" s="347"/>
      <c r="Q237" s="347"/>
      <c r="R237" s="347"/>
      <c r="S237" s="347"/>
      <c r="T237" s="347"/>
      <c r="U237" s="347"/>
      <c r="V237" s="347"/>
      <c r="W237" s="347"/>
      <c r="X237" s="357"/>
      <c r="Y237" s="347"/>
      <c r="Z237" s="347"/>
      <c r="AA237" s="347"/>
      <c r="AB237" s="347"/>
      <c r="AC237" s="347"/>
      <c r="AD237" s="347"/>
      <c r="AE237" s="347"/>
      <c r="AF237" s="347"/>
      <c r="AG237" s="347"/>
      <c r="AH237" s="347"/>
      <c r="AI237" s="347"/>
      <c r="AJ237" s="347"/>
      <c r="AK237" s="347"/>
      <c r="AL237" s="347"/>
      <c r="AM237" s="347"/>
      <c r="AN237" s="347"/>
      <c r="AO237" s="347"/>
      <c r="AP237" s="347"/>
      <c r="AQ237" s="347"/>
      <c r="AR237" s="347"/>
      <c r="AS237" s="347"/>
      <c r="AT237" s="347"/>
      <c r="AU237" s="347"/>
      <c r="AV237" s="347"/>
      <c r="AW237" s="347"/>
      <c r="AX237" s="347"/>
      <c r="AY237" s="347"/>
      <c r="AZ237" s="347"/>
      <c r="BA237" s="347"/>
      <c r="BB237" s="347"/>
      <c r="BC237" s="347"/>
      <c r="BD237" s="347"/>
      <c r="BE237" s="271"/>
      <c r="BF237" s="272"/>
      <c r="BG237" s="329"/>
      <c r="BH237" s="329"/>
      <c r="BI237" s="329"/>
      <c r="BJ237" s="329"/>
      <c r="BK237" s="329"/>
      <c r="BL237" s="329"/>
      <c r="BM237" s="329"/>
      <c r="BN237" s="329"/>
      <c r="BO237" s="329"/>
      <c r="BP237" s="232"/>
      <c r="BQ237" s="232"/>
      <c r="BR237" s="232"/>
      <c r="BS237" s="232"/>
      <c r="BT237" s="232"/>
    </row>
    <row r="238" ht="9.75" customHeight="1" spans="1:78">
      <c r="A238" s="345"/>
      <c r="B238" s="70"/>
      <c r="C238" s="284"/>
      <c r="D238" s="329"/>
      <c r="E238" s="329"/>
      <c r="F238" s="329"/>
      <c r="G238" s="347"/>
      <c r="H238" s="347"/>
      <c r="I238" s="347"/>
      <c r="J238" s="347"/>
      <c r="K238" s="347"/>
      <c r="L238" s="347"/>
      <c r="M238" s="347"/>
      <c r="N238" s="347"/>
      <c r="O238" s="347"/>
      <c r="P238" s="347"/>
      <c r="Q238" s="347"/>
      <c r="R238" s="347"/>
      <c r="S238" s="347"/>
      <c r="T238" s="347"/>
      <c r="U238" s="347"/>
      <c r="V238" s="347"/>
      <c r="W238" s="347"/>
      <c r="X238" s="347"/>
      <c r="Y238" s="347"/>
      <c r="Z238" s="347"/>
      <c r="AA238" s="347"/>
      <c r="AB238" s="347"/>
      <c r="AC238" s="347"/>
      <c r="AD238" s="347"/>
      <c r="AE238" s="347"/>
      <c r="AF238" s="347"/>
      <c r="AG238" s="347"/>
      <c r="AH238" s="347"/>
      <c r="AI238" s="347"/>
      <c r="AJ238" s="347"/>
      <c r="AK238" s="347"/>
      <c r="AL238" s="347"/>
      <c r="AM238" s="347"/>
      <c r="AN238" s="347"/>
      <c r="AO238" s="347"/>
      <c r="AP238" s="347"/>
      <c r="AQ238" s="347"/>
      <c r="AR238" s="347"/>
      <c r="AS238" s="347"/>
      <c r="AT238" s="347"/>
      <c r="AU238" s="347"/>
      <c r="AV238" s="347"/>
      <c r="AW238" s="347"/>
      <c r="AX238" s="347"/>
      <c r="AY238" s="347"/>
      <c r="AZ238" s="347"/>
      <c r="BA238" s="347"/>
      <c r="BB238" s="347"/>
      <c r="BC238" s="347"/>
      <c r="BD238" s="347"/>
      <c r="BE238" s="271"/>
      <c r="BF238" s="272"/>
      <c r="BG238" s="316"/>
      <c r="BH238" s="316"/>
      <c r="BI238" s="316"/>
      <c r="BJ238" s="316"/>
      <c r="BK238" s="316"/>
      <c r="BL238" s="316"/>
      <c r="BM238" s="316"/>
      <c r="BN238" s="316"/>
      <c r="BO238" s="316"/>
      <c r="BP238" s="232"/>
      <c r="BQ238" s="232"/>
      <c r="BR238" s="232"/>
      <c r="BS238" s="232"/>
      <c r="BT238" s="232"/>
    </row>
    <row r="239" ht="9.75" customHeight="1" spans="1:78">
      <c r="A239" s="252"/>
      <c r="B239" s="395" t="s">
        <v>464</v>
      </c>
      <c r="C239" s="70"/>
      <c r="D239" s="329"/>
      <c r="E239" s="329"/>
      <c r="F239" s="329"/>
      <c r="G239" s="347"/>
      <c r="H239" s="347"/>
      <c r="I239" s="347"/>
      <c r="J239" s="347"/>
      <c r="K239" s="347"/>
      <c r="L239" s="347"/>
      <c r="M239" s="347"/>
      <c r="N239" s="347"/>
      <c r="O239" s="347"/>
      <c r="P239" s="347"/>
      <c r="Q239" s="347"/>
      <c r="R239" s="347"/>
      <c r="S239" s="347"/>
      <c r="T239" s="347"/>
      <c r="U239" s="347"/>
      <c r="V239" s="347"/>
      <c r="W239" s="347"/>
      <c r="X239" s="347"/>
      <c r="Y239" s="347"/>
      <c r="Z239" s="347"/>
      <c r="AA239" s="347"/>
      <c r="AB239" s="347"/>
      <c r="AC239" s="347"/>
      <c r="AD239" s="347"/>
      <c r="AE239" s="347"/>
      <c r="AF239" s="347"/>
      <c r="AG239" s="347"/>
      <c r="AH239" s="347"/>
      <c r="AI239" s="347"/>
      <c r="AJ239" s="347"/>
      <c r="AK239" s="347"/>
      <c r="AL239" s="347"/>
      <c r="AM239" s="347"/>
      <c r="AN239" s="347"/>
      <c r="AO239" s="347"/>
      <c r="AP239" s="347"/>
      <c r="AQ239" s="347"/>
      <c r="AR239" s="347"/>
      <c r="AS239" s="347"/>
      <c r="AT239" s="347"/>
      <c r="AU239" s="347"/>
      <c r="AV239" s="347"/>
      <c r="AW239" s="347"/>
      <c r="AX239" s="347"/>
      <c r="AY239" s="347"/>
      <c r="AZ239" s="347"/>
      <c r="BA239" s="347"/>
      <c r="BB239" s="347"/>
      <c r="BC239" s="347"/>
      <c r="BD239" s="347"/>
      <c r="BE239" s="271"/>
      <c r="BF239" s="272"/>
      <c r="BG239" s="316"/>
      <c r="BH239" s="316"/>
      <c r="BI239" s="316"/>
      <c r="BJ239" s="316"/>
      <c r="BK239" s="316"/>
      <c r="BL239" s="316"/>
      <c r="BM239" s="316"/>
      <c r="BN239" s="316"/>
      <c r="BO239" s="316"/>
      <c r="BP239" s="316"/>
      <c r="BQ239" s="316"/>
      <c r="BR239" s="316"/>
      <c r="BS239" s="316"/>
      <c r="BT239" s="232"/>
    </row>
    <row r="240" ht="9.75" customHeight="1" spans="1:78">
      <c r="A240" s="268"/>
      <c r="B240" s="268"/>
      <c r="C240" s="397" t="s">
        <v>465</v>
      </c>
      <c r="D240" s="329"/>
      <c r="E240" s="329"/>
      <c r="F240" s="329"/>
      <c r="G240" s="347"/>
      <c r="H240" s="347"/>
      <c r="I240" s="347"/>
      <c r="J240" s="347"/>
      <c r="K240" s="347"/>
      <c r="L240" s="347"/>
      <c r="M240" s="347"/>
      <c r="N240" s="347"/>
      <c r="O240" s="347"/>
      <c r="P240" s="347"/>
      <c r="Q240" s="347"/>
      <c r="R240" s="310"/>
      <c r="S240" s="310"/>
      <c r="T240" s="310"/>
      <c r="U240" s="310"/>
      <c r="V240" s="310"/>
      <c r="W240" s="310"/>
      <c r="X240" s="310"/>
      <c r="Y240" s="310"/>
      <c r="Z240" s="310"/>
      <c r="AA240" s="310"/>
      <c r="AB240" s="310"/>
      <c r="AC240" s="310"/>
      <c r="AD240" s="310"/>
      <c r="AE240" s="310"/>
      <c r="AF240" s="310"/>
      <c r="AG240" s="310"/>
      <c r="AH240" s="310"/>
      <c r="AI240" s="310"/>
      <c r="AJ240" s="310"/>
      <c r="AK240" s="310"/>
      <c r="AL240" s="310"/>
      <c r="AM240" s="310"/>
      <c r="AN240" s="310"/>
      <c r="AO240" s="310"/>
      <c r="AP240" s="310"/>
      <c r="AQ240" s="310"/>
      <c r="AR240" s="310"/>
      <c r="AS240" s="310"/>
      <c r="AT240" s="310"/>
      <c r="AU240" s="310"/>
      <c r="AV240" s="310"/>
      <c r="AW240" s="310"/>
      <c r="AX240" s="310"/>
      <c r="AY240" s="310"/>
      <c r="AZ240" s="310"/>
      <c r="BA240" s="310"/>
      <c r="BB240" s="310"/>
      <c r="BC240" s="310"/>
      <c r="BD240" s="310"/>
      <c r="BE240" s="271"/>
      <c r="BF240" s="272"/>
      <c r="BG240" s="316"/>
      <c r="BH240" s="316"/>
      <c r="BI240" s="316"/>
      <c r="BJ240" s="316"/>
      <c r="BK240" s="316"/>
      <c r="BL240" s="316"/>
      <c r="BM240" s="316"/>
      <c r="BN240" s="316"/>
      <c r="BO240" s="316"/>
      <c r="BP240" s="316"/>
      <c r="BQ240" s="316"/>
      <c r="BR240" s="316"/>
      <c r="BS240" s="316"/>
      <c r="BT240" s="232"/>
    </row>
    <row r="241" ht="9.75" customHeight="1" spans="1:72">
      <c r="A241" s="268"/>
      <c r="B241" s="268"/>
      <c r="C241" s="396" t="s">
        <v>466</v>
      </c>
      <c r="D241" s="329"/>
      <c r="E241" s="316"/>
      <c r="F241" s="316"/>
      <c r="G241" s="316"/>
      <c r="H241" s="316"/>
      <c r="I241" s="316"/>
      <c r="J241" s="316"/>
      <c r="K241" s="316"/>
      <c r="L241" s="316"/>
      <c r="M241" s="316"/>
      <c r="N241" s="316"/>
      <c r="O241" s="316"/>
      <c r="P241" s="316"/>
      <c r="Q241" s="316"/>
      <c r="R241" s="316"/>
      <c r="S241" s="358">
        <v>0.02</v>
      </c>
      <c r="T241" s="358">
        <v>0.02</v>
      </c>
      <c r="U241" s="358">
        <v>0</v>
      </c>
      <c r="V241" s="358">
        <v>-0.21</v>
      </c>
      <c r="W241" s="358">
        <v>0.16</v>
      </c>
      <c r="X241" s="358">
        <v>-0.06</v>
      </c>
      <c r="Y241" s="358">
        <v>-0.05</v>
      </c>
      <c r="Z241" s="358">
        <v>-0.04</v>
      </c>
      <c r="AA241" s="358">
        <v>-0.14</v>
      </c>
      <c r="AB241" s="358">
        <v>-0.005</v>
      </c>
      <c r="AC241" s="358">
        <v>-0.005</v>
      </c>
      <c r="AD241" s="358">
        <v>-0.005</v>
      </c>
      <c r="AE241" s="358">
        <v>-0.005</v>
      </c>
      <c r="AF241" s="358">
        <v>-0.005</v>
      </c>
      <c r="AG241" s="358">
        <v>-0.005</v>
      </c>
      <c r="AH241" s="358">
        <v>-0.005</v>
      </c>
      <c r="AI241" s="358">
        <v>-0.005</v>
      </c>
      <c r="AJ241" s="358">
        <v>0.01</v>
      </c>
      <c r="AK241" s="358">
        <v>0.015</v>
      </c>
      <c r="AL241" s="358">
        <v>0.015</v>
      </c>
      <c r="AM241" s="358">
        <v>0.015</v>
      </c>
      <c r="AN241" s="358">
        <v>0.015</v>
      </c>
      <c r="AO241" s="358">
        <v>0.015</v>
      </c>
      <c r="AP241" s="358">
        <v>0.015</v>
      </c>
      <c r="AQ241" s="358">
        <v>0.015</v>
      </c>
      <c r="AR241" s="358">
        <v>0.025</v>
      </c>
      <c r="AS241" s="358">
        <v>0.025</v>
      </c>
      <c r="AT241" s="358">
        <v>0.025</v>
      </c>
      <c r="AU241" s="358">
        <v>0.025</v>
      </c>
      <c r="AV241" s="358">
        <v>0.03</v>
      </c>
      <c r="AW241" s="358">
        <v>0.03</v>
      </c>
      <c r="AX241" s="358">
        <v>0.03</v>
      </c>
      <c r="AY241" s="358">
        <v>0.03</v>
      </c>
      <c r="AZ241" s="358">
        <v>0.03</v>
      </c>
      <c r="BA241" s="358">
        <v>0.03</v>
      </c>
      <c r="BB241" s="358">
        <v>0.03</v>
      </c>
      <c r="BC241" s="358">
        <v>0.03</v>
      </c>
      <c r="BD241" s="310"/>
      <c r="BE241" s="271"/>
      <c r="BF241" s="272"/>
      <c r="BG241" s="316"/>
      <c r="BH241" s="316"/>
      <c r="BI241" s="316"/>
      <c r="BJ241" s="316"/>
      <c r="BK241" s="316"/>
      <c r="BL241" s="316"/>
      <c r="BM241" s="316"/>
      <c r="BN241" s="316"/>
      <c r="BO241" s="316"/>
      <c r="BP241" s="316"/>
      <c r="BQ241" s="316"/>
      <c r="BR241" s="316"/>
      <c r="BS241" s="316"/>
      <c r="BT241" s="232"/>
    </row>
    <row r="242" ht="9.75" customHeight="1" spans="1:72">
      <c r="A242" s="268"/>
      <c r="B242" s="268"/>
      <c r="C242" s="396" t="s">
        <v>467</v>
      </c>
      <c r="D242" s="329"/>
      <c r="E242" s="316"/>
      <c r="F242" s="316"/>
      <c r="G242" s="316"/>
      <c r="H242" s="316"/>
      <c r="I242" s="316"/>
      <c r="J242" s="316"/>
      <c r="K242" s="316"/>
      <c r="L242" s="316"/>
      <c r="M242" s="316"/>
      <c r="N242" s="316"/>
      <c r="O242" s="316"/>
      <c r="P242" s="316"/>
      <c r="Q242" s="316"/>
      <c r="R242" s="316"/>
      <c r="S242" s="358">
        <v>0.02</v>
      </c>
      <c r="T242" s="358">
        <v>0.02</v>
      </c>
      <c r="U242" s="358">
        <v>0</v>
      </c>
      <c r="V242" s="358">
        <v>-0.22</v>
      </c>
      <c r="W242" s="358">
        <v>0.16</v>
      </c>
      <c r="X242" s="358">
        <v>-0.05</v>
      </c>
      <c r="Y242" s="358">
        <v>-0.05</v>
      </c>
      <c r="Z242" s="358">
        <v>-0.04</v>
      </c>
      <c r="AA242" s="358">
        <v>-0.14</v>
      </c>
      <c r="AB242" s="358">
        <v>0</v>
      </c>
      <c r="AC242" s="358">
        <v>0</v>
      </c>
      <c r="AD242" s="358">
        <v>-0.005</v>
      </c>
      <c r="AE242" s="358">
        <v>-0.005</v>
      </c>
      <c r="AF242" s="358">
        <v>-0.005</v>
      </c>
      <c r="AG242" s="358">
        <v>-0.005</v>
      </c>
      <c r="AH242" s="358">
        <v>-0.005</v>
      </c>
      <c r="AI242" s="358">
        <v>-0.005</v>
      </c>
      <c r="AJ242" s="358">
        <v>0.01</v>
      </c>
      <c r="AK242" s="358">
        <v>0.015</v>
      </c>
      <c r="AL242" s="358">
        <v>0.015</v>
      </c>
      <c r="AM242" s="358">
        <v>0.015</v>
      </c>
      <c r="AN242" s="358">
        <v>0.015</v>
      </c>
      <c r="AO242" s="358">
        <v>0.015</v>
      </c>
      <c r="AP242" s="358">
        <v>0.015</v>
      </c>
      <c r="AQ242" s="358">
        <v>0.015</v>
      </c>
      <c r="AR242" s="358">
        <v>0.025</v>
      </c>
      <c r="AS242" s="358">
        <v>0.025</v>
      </c>
      <c r="AT242" s="358">
        <v>0.025</v>
      </c>
      <c r="AU242" s="358">
        <v>0.025</v>
      </c>
      <c r="AV242" s="358">
        <v>0.03</v>
      </c>
      <c r="AW242" s="358">
        <v>0.03</v>
      </c>
      <c r="AX242" s="358">
        <v>0.03</v>
      </c>
      <c r="AY242" s="358">
        <v>0.03</v>
      </c>
      <c r="AZ242" s="358">
        <v>0.03</v>
      </c>
      <c r="BA242" s="358">
        <v>0.03</v>
      </c>
      <c r="BB242" s="358">
        <v>0.03</v>
      </c>
      <c r="BC242" s="358">
        <v>0.03</v>
      </c>
      <c r="BD242" s="310"/>
      <c r="BE242" s="271"/>
      <c r="BF242" s="272"/>
      <c r="BG242" s="316"/>
      <c r="BH242" s="316"/>
      <c r="BI242" s="316"/>
      <c r="BJ242" s="316"/>
      <c r="BK242" s="316"/>
      <c r="BL242" s="316"/>
      <c r="BM242" s="316"/>
      <c r="BN242" s="316"/>
      <c r="BO242" s="316"/>
      <c r="BP242" s="316"/>
      <c r="BQ242" s="316"/>
      <c r="BR242" s="316"/>
      <c r="BS242" s="316"/>
      <c r="BT242" s="232"/>
    </row>
    <row r="243" ht="9.75" customHeight="1" spans="1:72">
      <c r="A243" s="268"/>
      <c r="B243" s="268"/>
      <c r="C243" s="397" t="s">
        <v>468</v>
      </c>
      <c r="D243" s="329"/>
      <c r="E243" s="316"/>
      <c r="F243" s="316"/>
      <c r="G243" s="316"/>
      <c r="H243" s="316"/>
      <c r="I243" s="316"/>
      <c r="J243" s="316"/>
      <c r="K243" s="316"/>
      <c r="L243" s="316"/>
      <c r="M243" s="316"/>
      <c r="N243" s="316"/>
      <c r="O243" s="316"/>
      <c r="P243" s="316"/>
      <c r="Q243" s="316"/>
      <c r="R243" s="316"/>
      <c r="S243" s="358"/>
      <c r="T243" s="358"/>
      <c r="U243" s="358"/>
      <c r="V243" s="358"/>
      <c r="W243" s="358"/>
      <c r="X243" s="358"/>
      <c r="Y243" s="358"/>
      <c r="Z243" s="358"/>
      <c r="AA243" s="358"/>
      <c r="AB243" s="358"/>
      <c r="AC243" s="358"/>
      <c r="AD243" s="358"/>
      <c r="AE243" s="358"/>
      <c r="AF243" s="358"/>
      <c r="AG243" s="358"/>
      <c r="AH243" s="358"/>
      <c r="AI243" s="358"/>
      <c r="AJ243" s="358"/>
      <c r="AK243" s="358"/>
      <c r="AL243" s="358"/>
      <c r="AM243" s="358"/>
      <c r="AN243" s="358"/>
      <c r="AO243" s="358"/>
      <c r="AP243" s="358"/>
      <c r="AQ243" s="358"/>
      <c r="AR243" s="358"/>
      <c r="AS243" s="358"/>
      <c r="AT243" s="358"/>
      <c r="AU243" s="358"/>
      <c r="AV243" s="358"/>
      <c r="AW243" s="358"/>
      <c r="AX243" s="358"/>
      <c r="AY243" s="358"/>
      <c r="AZ243" s="358"/>
      <c r="BA243" s="358"/>
      <c r="BB243" s="358"/>
      <c r="BC243" s="358"/>
      <c r="BD243" s="310"/>
      <c r="BE243" s="271"/>
      <c r="BF243" s="272"/>
      <c r="BG243" s="316"/>
      <c r="BH243" s="316"/>
      <c r="BI243" s="316"/>
      <c r="BJ243" s="316"/>
      <c r="BK243" s="316"/>
      <c r="BL243" s="316"/>
      <c r="BM243" s="316"/>
      <c r="BN243" s="316"/>
      <c r="BO243" s="316"/>
      <c r="BP243" s="316"/>
      <c r="BQ243" s="316"/>
      <c r="BR243" s="316"/>
      <c r="BS243" s="316"/>
      <c r="BT243" s="232"/>
    </row>
    <row r="244" ht="9.75" customHeight="1" spans="1:72">
      <c r="A244" s="268"/>
      <c r="B244" s="268"/>
      <c r="C244" s="396" t="s">
        <v>469</v>
      </c>
      <c r="D244" s="329"/>
      <c r="E244" s="316"/>
      <c r="F244" s="316"/>
      <c r="G244" s="316"/>
      <c r="H244" s="316"/>
      <c r="I244" s="316"/>
      <c r="J244" s="316"/>
      <c r="K244" s="316"/>
      <c r="L244" s="316"/>
      <c r="M244" s="316"/>
      <c r="N244" s="316"/>
      <c r="O244" s="316"/>
      <c r="P244" s="316"/>
      <c r="Q244" s="316"/>
      <c r="R244" s="316"/>
      <c r="S244" s="358"/>
      <c r="T244" s="358"/>
      <c r="U244" s="358"/>
      <c r="V244" s="358"/>
      <c r="W244" s="358"/>
      <c r="X244" s="358"/>
      <c r="Y244" s="358"/>
      <c r="Z244" s="358"/>
      <c r="AA244" s="358"/>
      <c r="AB244" s="358"/>
      <c r="AC244" s="358"/>
      <c r="AD244" s="358"/>
      <c r="AE244" s="358"/>
      <c r="AF244" s="358"/>
      <c r="AG244" s="358"/>
      <c r="AH244" s="358"/>
      <c r="AI244" s="358"/>
      <c r="AJ244" s="358"/>
      <c r="AK244" s="358">
        <v>-0.007</v>
      </c>
      <c r="AL244" s="358">
        <v>-0.007</v>
      </c>
      <c r="AM244" s="358">
        <v>-0.007</v>
      </c>
      <c r="AN244" s="358">
        <v>-0.007</v>
      </c>
      <c r="AO244" s="358">
        <v>-0.007</v>
      </c>
      <c r="AP244" s="358">
        <v>-0.007</v>
      </c>
      <c r="AQ244" s="358">
        <v>-0.007</v>
      </c>
      <c r="AR244" s="358">
        <v>-0.007</v>
      </c>
      <c r="AS244" s="358">
        <v>-0.007</v>
      </c>
      <c r="AT244" s="358">
        <v>-0.007</v>
      </c>
      <c r="AU244" s="358">
        <v>-0.007</v>
      </c>
      <c r="AV244" s="358">
        <v>-0.007</v>
      </c>
      <c r="AW244" s="358">
        <v>-0.007</v>
      </c>
      <c r="AX244" s="358">
        <v>-0.007</v>
      </c>
      <c r="AY244" s="358">
        <v>-0.007</v>
      </c>
      <c r="AZ244" s="358">
        <v>-0.007</v>
      </c>
      <c r="BA244" s="358">
        <v>-0.007</v>
      </c>
      <c r="BB244" s="358">
        <v>-0.007</v>
      </c>
      <c r="BC244" s="358">
        <v>-0.007</v>
      </c>
      <c r="BD244" s="310"/>
      <c r="BE244" s="271"/>
      <c r="BF244" s="272"/>
      <c r="BG244" s="316"/>
      <c r="BH244" s="316"/>
      <c r="BI244" s="316"/>
      <c r="BJ244" s="316"/>
      <c r="BK244" s="316"/>
      <c r="BL244" s="316"/>
      <c r="BM244" s="316"/>
      <c r="BN244" s="316"/>
      <c r="BO244" s="316"/>
      <c r="BP244" s="316"/>
      <c r="BQ244" s="316"/>
      <c r="BR244" s="316"/>
      <c r="BS244" s="316"/>
      <c r="BT244" s="232"/>
    </row>
    <row r="245" ht="9.75" customHeight="1" spans="1:72">
      <c r="A245" s="268"/>
      <c r="B245" s="268"/>
      <c r="C245" s="396" t="s">
        <v>470</v>
      </c>
      <c r="D245" s="329"/>
      <c r="E245" s="316"/>
      <c r="F245" s="316"/>
      <c r="G245" s="316"/>
      <c r="H245" s="316"/>
      <c r="I245" s="316"/>
      <c r="J245" s="316"/>
      <c r="K245" s="316"/>
      <c r="L245" s="316"/>
      <c r="M245" s="316"/>
      <c r="N245" s="316"/>
      <c r="O245" s="316"/>
      <c r="P245" s="316"/>
      <c r="Q245" s="316"/>
      <c r="R245" s="316"/>
      <c r="S245" s="358"/>
      <c r="T245" s="358"/>
      <c r="U245" s="358"/>
      <c r="V245" s="358"/>
      <c r="W245" s="358"/>
      <c r="X245" s="358"/>
      <c r="Y245" s="358"/>
      <c r="Z245" s="358"/>
      <c r="AA245" s="358"/>
      <c r="AB245" s="358"/>
      <c r="AC245" s="358"/>
      <c r="AD245" s="358"/>
      <c r="AE245" s="358"/>
      <c r="AF245" s="358"/>
      <c r="AG245" s="358"/>
      <c r="AH245" s="358"/>
      <c r="AI245" s="358"/>
      <c r="AJ245" s="358"/>
      <c r="AK245" s="358">
        <v>-0.007</v>
      </c>
      <c r="AL245" s="358">
        <v>-0.007</v>
      </c>
      <c r="AM245" s="358">
        <v>-0.007</v>
      </c>
      <c r="AN245" s="358">
        <v>-0.007</v>
      </c>
      <c r="AO245" s="358">
        <v>-0.007</v>
      </c>
      <c r="AP245" s="358">
        <v>-0.007</v>
      </c>
      <c r="AQ245" s="358">
        <v>-0.007</v>
      </c>
      <c r="AR245" s="358">
        <v>-0.007</v>
      </c>
      <c r="AS245" s="358">
        <v>-0.007</v>
      </c>
      <c r="AT245" s="358">
        <v>-0.007</v>
      </c>
      <c r="AU245" s="358">
        <v>-0.007</v>
      </c>
      <c r="AV245" s="358">
        <v>-0.007</v>
      </c>
      <c r="AW245" s="358">
        <v>-0.007</v>
      </c>
      <c r="AX245" s="358">
        <v>-0.007</v>
      </c>
      <c r="AY245" s="358">
        <v>-0.007</v>
      </c>
      <c r="AZ245" s="358">
        <v>-0.007</v>
      </c>
      <c r="BA245" s="358">
        <v>-0.007</v>
      </c>
      <c r="BB245" s="358">
        <v>-0.007</v>
      </c>
      <c r="BC245" s="358">
        <v>-0.007</v>
      </c>
      <c r="BD245" s="310"/>
      <c r="BE245" s="271"/>
      <c r="BF245" s="272"/>
      <c r="BG245" s="316"/>
      <c r="BH245" s="316"/>
      <c r="BI245" s="316"/>
      <c r="BJ245" s="316"/>
      <c r="BK245" s="316"/>
      <c r="BL245" s="316"/>
      <c r="BM245" s="316"/>
      <c r="BN245" s="316"/>
      <c r="BO245" s="316"/>
      <c r="BP245" s="316"/>
      <c r="BQ245" s="316"/>
      <c r="BR245" s="316"/>
      <c r="BS245" s="316"/>
      <c r="BT245" s="232"/>
    </row>
    <row r="246" ht="9.75" customHeight="1" spans="1:72">
      <c r="A246" s="268"/>
      <c r="B246" s="268"/>
      <c r="C246" s="396" t="s">
        <v>471</v>
      </c>
      <c r="D246" s="329"/>
      <c r="E246" s="316"/>
      <c r="F246" s="316"/>
      <c r="G246" s="316"/>
      <c r="H246" s="316"/>
      <c r="I246" s="316"/>
      <c r="J246" s="316"/>
      <c r="K246" s="316"/>
      <c r="L246" s="316"/>
      <c r="M246" s="316"/>
      <c r="N246" s="316"/>
      <c r="O246" s="316"/>
      <c r="P246" s="316"/>
      <c r="Q246" s="316"/>
      <c r="R246" s="316"/>
      <c r="S246" s="358"/>
      <c r="T246" s="358"/>
      <c r="U246" s="358"/>
      <c r="V246" s="358"/>
      <c r="W246" s="358"/>
      <c r="X246" s="358"/>
      <c r="Y246" s="358"/>
      <c r="Z246" s="358"/>
      <c r="AA246" s="358"/>
      <c r="AB246" s="358"/>
      <c r="AC246" s="358"/>
      <c r="AD246" s="358"/>
      <c r="AE246" s="358"/>
      <c r="AF246" s="358"/>
      <c r="AG246" s="358"/>
      <c r="AH246" s="358"/>
      <c r="AI246" s="358"/>
      <c r="AJ246" s="358"/>
      <c r="AK246" s="358">
        <v>-0.007</v>
      </c>
      <c r="AL246" s="358">
        <v>-0.007</v>
      </c>
      <c r="AM246" s="358">
        <v>-0.007</v>
      </c>
      <c r="AN246" s="358">
        <v>-0.007</v>
      </c>
      <c r="AO246" s="358">
        <v>-0.007</v>
      </c>
      <c r="AP246" s="358">
        <v>-0.007</v>
      </c>
      <c r="AQ246" s="358">
        <v>-0.007</v>
      </c>
      <c r="AR246" s="358">
        <v>-0.007</v>
      </c>
      <c r="AS246" s="358">
        <v>-0.007</v>
      </c>
      <c r="AT246" s="358">
        <v>-0.007</v>
      </c>
      <c r="AU246" s="358">
        <v>-0.007</v>
      </c>
      <c r="AV246" s="358">
        <v>-0.007</v>
      </c>
      <c r="AW246" s="358">
        <v>-0.007</v>
      </c>
      <c r="AX246" s="358">
        <v>-0.007</v>
      </c>
      <c r="AY246" s="358">
        <v>-0.007</v>
      </c>
      <c r="AZ246" s="358">
        <v>-0.007</v>
      </c>
      <c r="BA246" s="358">
        <v>-0.007</v>
      </c>
      <c r="BB246" s="358">
        <v>-0.007</v>
      </c>
      <c r="BC246" s="358">
        <v>-0.007</v>
      </c>
      <c r="BD246" s="310"/>
      <c r="BE246" s="271"/>
      <c r="BF246" s="272"/>
      <c r="BG246" s="316"/>
      <c r="BH246" s="316"/>
      <c r="BI246" s="316"/>
      <c r="BJ246" s="316"/>
      <c r="BK246" s="316"/>
      <c r="BL246" s="316"/>
      <c r="BM246" s="316"/>
      <c r="BN246" s="316"/>
      <c r="BO246" s="316"/>
      <c r="BP246" s="316"/>
      <c r="BQ246" s="316"/>
      <c r="BR246" s="316"/>
      <c r="BS246" s="316"/>
      <c r="BT246" s="232"/>
    </row>
    <row r="247" ht="9.75" customHeight="1" spans="1:72">
      <c r="A247" s="268"/>
      <c r="B247" s="268"/>
      <c r="C247" s="397" t="s">
        <v>484</v>
      </c>
      <c r="D247" s="329"/>
      <c r="E247" s="316"/>
      <c r="F247" s="316"/>
      <c r="G247" s="316"/>
      <c r="H247" s="316"/>
      <c r="I247" s="316"/>
      <c r="J247" s="316"/>
      <c r="K247" s="316"/>
      <c r="L247" s="316"/>
      <c r="M247" s="316"/>
      <c r="N247" s="316"/>
      <c r="O247" s="316"/>
      <c r="P247" s="316"/>
      <c r="Q247" s="316"/>
      <c r="R247" s="316"/>
      <c r="S247" s="358"/>
      <c r="T247" s="358"/>
      <c r="U247" s="358"/>
      <c r="V247" s="358"/>
      <c r="W247" s="358"/>
      <c r="X247" s="358"/>
      <c r="Y247" s="358"/>
      <c r="Z247" s="358"/>
      <c r="AA247" s="358"/>
      <c r="AB247" s="358"/>
      <c r="AC247" s="358"/>
      <c r="AD247" s="358"/>
      <c r="AE247" s="358"/>
      <c r="AF247" s="358"/>
      <c r="AG247" s="358"/>
      <c r="AH247" s="358"/>
      <c r="AI247" s="358"/>
      <c r="AJ247" s="358"/>
      <c r="AK247" s="358"/>
      <c r="AL247" s="358"/>
      <c r="AM247" s="358"/>
      <c r="AN247" s="358"/>
      <c r="AO247" s="358"/>
      <c r="AP247" s="358"/>
      <c r="AQ247" s="358"/>
      <c r="AR247" s="358"/>
      <c r="AS247" s="358"/>
      <c r="AT247" s="358"/>
      <c r="AU247" s="358"/>
      <c r="AV247" s="358"/>
      <c r="AW247" s="358"/>
      <c r="AX247" s="358"/>
      <c r="AY247" s="358"/>
      <c r="AZ247" s="358"/>
      <c r="BA247" s="358"/>
      <c r="BB247" s="358"/>
      <c r="BC247" s="358"/>
      <c r="BD247" s="310"/>
      <c r="BE247" s="271"/>
      <c r="BF247" s="272"/>
      <c r="BG247" s="316"/>
      <c r="BH247" s="316"/>
      <c r="BI247" s="316"/>
      <c r="BJ247" s="316"/>
      <c r="BK247" s="316"/>
      <c r="BL247" s="316"/>
      <c r="BM247" s="316"/>
      <c r="BN247" s="316"/>
      <c r="BO247" s="316"/>
      <c r="BP247" s="316"/>
      <c r="BQ247" s="316"/>
      <c r="BR247" s="316"/>
      <c r="BS247" s="316"/>
      <c r="BT247" s="232"/>
    </row>
    <row r="248" ht="9.75" customHeight="1" spans="1:72">
      <c r="A248" s="268"/>
      <c r="B248" s="268"/>
      <c r="C248" s="396" t="s">
        <v>473</v>
      </c>
      <c r="D248" s="329"/>
      <c r="E248" s="316"/>
      <c r="F248" s="316"/>
      <c r="G248" s="316"/>
      <c r="H248" s="316"/>
      <c r="I248" s="316"/>
      <c r="J248" s="316"/>
      <c r="K248" s="316"/>
      <c r="L248" s="316"/>
      <c r="M248" s="316"/>
      <c r="N248" s="316"/>
      <c r="O248" s="316"/>
      <c r="P248" s="316"/>
      <c r="Q248" s="316"/>
      <c r="R248" s="316"/>
      <c r="S248" s="358"/>
      <c r="T248" s="358"/>
      <c r="U248" s="358"/>
      <c r="V248" s="358"/>
      <c r="W248" s="358"/>
      <c r="X248" s="358"/>
      <c r="Y248" s="358"/>
      <c r="Z248" s="358"/>
      <c r="AA248" s="358"/>
      <c r="AB248" s="358"/>
      <c r="AC248" s="358"/>
      <c r="AD248" s="358"/>
      <c r="AE248" s="358"/>
      <c r="AF248" s="358"/>
      <c r="AG248" s="358"/>
      <c r="AH248" s="358"/>
      <c r="AI248" s="358"/>
      <c r="AJ248" s="358"/>
      <c r="AK248" s="358"/>
      <c r="AL248" s="358"/>
      <c r="AM248" s="358"/>
      <c r="AN248" s="358"/>
      <c r="AO248" s="358"/>
      <c r="AP248" s="358">
        <v>-0.01</v>
      </c>
      <c r="AQ248" s="358">
        <v>-0.01</v>
      </c>
      <c r="AR248" s="358">
        <v>-0.005</v>
      </c>
      <c r="AS248" s="358">
        <v>-0.005</v>
      </c>
      <c r="AT248" s="358">
        <v>-0.005</v>
      </c>
      <c r="AU248" s="358">
        <v>-0.005</v>
      </c>
      <c r="AV248" s="358">
        <v>-0.005</v>
      </c>
      <c r="AW248" s="358">
        <v>-0.005</v>
      </c>
      <c r="AX248" s="358">
        <v>-0.005</v>
      </c>
      <c r="AY248" s="358">
        <v>-0.005</v>
      </c>
      <c r="AZ248" s="358">
        <v>-0.005</v>
      </c>
      <c r="BA248" s="358">
        <v>-0.005</v>
      </c>
      <c r="BB248" s="358">
        <v>-0.005</v>
      </c>
      <c r="BC248" s="358">
        <v>-0.005</v>
      </c>
      <c r="BD248" s="310"/>
      <c r="BE248" s="271"/>
      <c r="BF248" s="272"/>
      <c r="BG248" s="316"/>
      <c r="BH248" s="316"/>
      <c r="BI248" s="316"/>
      <c r="BJ248" s="316"/>
      <c r="BK248" s="316"/>
      <c r="BL248" s="316"/>
      <c r="BM248" s="316"/>
      <c r="BN248" s="316"/>
      <c r="BO248" s="316"/>
      <c r="BP248" s="316"/>
      <c r="BQ248" s="316"/>
      <c r="BR248" s="316"/>
      <c r="BS248" s="316"/>
      <c r="BT248" s="232"/>
    </row>
    <row r="249" ht="9.75" customHeight="1" spans="1:72">
      <c r="A249" s="268"/>
      <c r="B249" s="268"/>
      <c r="C249" s="396" t="s">
        <v>474</v>
      </c>
      <c r="D249" s="329"/>
      <c r="E249" s="316"/>
      <c r="F249" s="316"/>
      <c r="G249" s="316"/>
      <c r="H249" s="316"/>
      <c r="I249" s="316"/>
      <c r="J249" s="316"/>
      <c r="K249" s="316"/>
      <c r="L249" s="316"/>
      <c r="M249" s="316"/>
      <c r="N249" s="316"/>
      <c r="O249" s="316"/>
      <c r="P249" s="316"/>
      <c r="Q249" s="316"/>
      <c r="R249" s="316"/>
      <c r="S249" s="358"/>
      <c r="T249" s="358"/>
      <c r="U249" s="358"/>
      <c r="V249" s="358"/>
      <c r="W249" s="358"/>
      <c r="X249" s="358"/>
      <c r="Y249" s="358"/>
      <c r="Z249" s="358"/>
      <c r="AA249" s="358"/>
      <c r="AB249" s="358"/>
      <c r="AC249" s="358"/>
      <c r="AD249" s="358"/>
      <c r="AE249" s="358"/>
      <c r="AF249" s="358"/>
      <c r="AG249" s="358"/>
      <c r="AH249" s="358"/>
      <c r="AI249" s="358"/>
      <c r="AJ249" s="358"/>
      <c r="AK249" s="358"/>
      <c r="AL249" s="358"/>
      <c r="AM249" s="358"/>
      <c r="AN249" s="358"/>
      <c r="AO249" s="358"/>
      <c r="AP249" s="358">
        <v>-0.01</v>
      </c>
      <c r="AQ249" s="358">
        <v>-0.01</v>
      </c>
      <c r="AR249" s="358">
        <v>-0.005</v>
      </c>
      <c r="AS249" s="358">
        <v>-0.005</v>
      </c>
      <c r="AT249" s="358">
        <v>-0.005</v>
      </c>
      <c r="AU249" s="358">
        <v>-0.005</v>
      </c>
      <c r="AV249" s="358">
        <v>-0.005</v>
      </c>
      <c r="AW249" s="358">
        <v>-0.005</v>
      </c>
      <c r="AX249" s="358">
        <v>-0.005</v>
      </c>
      <c r="AY249" s="358">
        <v>-0.005</v>
      </c>
      <c r="AZ249" s="358">
        <v>-0.005</v>
      </c>
      <c r="BA249" s="358">
        <v>-0.005</v>
      </c>
      <c r="BB249" s="358">
        <v>-0.005</v>
      </c>
      <c r="BC249" s="358">
        <v>-0.005</v>
      </c>
      <c r="BD249" s="310"/>
      <c r="BE249" s="271"/>
      <c r="BF249" s="272"/>
      <c r="BG249" s="316"/>
      <c r="BH249" s="316"/>
      <c r="BI249" s="316"/>
      <c r="BJ249" s="316"/>
      <c r="BK249" s="316"/>
      <c r="BL249" s="316"/>
      <c r="BM249" s="316"/>
      <c r="BN249" s="316"/>
      <c r="BO249" s="316"/>
      <c r="BP249" s="316"/>
      <c r="BQ249" s="316"/>
      <c r="BR249" s="316"/>
      <c r="BS249" s="316"/>
      <c r="BT249" s="232"/>
    </row>
    <row r="250" ht="9.75" customHeight="1" spans="1:72">
      <c r="A250" s="268"/>
      <c r="B250" s="268"/>
      <c r="C250" s="397" t="s">
        <v>475</v>
      </c>
      <c r="D250" s="329"/>
      <c r="E250" s="316"/>
      <c r="F250" s="316"/>
      <c r="G250" s="316"/>
      <c r="H250" s="316"/>
      <c r="I250" s="316"/>
      <c r="J250" s="316"/>
      <c r="K250" s="316"/>
      <c r="L250" s="316"/>
      <c r="M250" s="316"/>
      <c r="N250" s="316"/>
      <c r="O250" s="316"/>
      <c r="P250" s="316"/>
      <c r="Q250" s="316"/>
      <c r="R250" s="316"/>
      <c r="S250" s="358"/>
      <c r="T250" s="358"/>
      <c r="U250" s="358"/>
      <c r="V250" s="358"/>
      <c r="W250" s="358"/>
      <c r="X250" s="358"/>
      <c r="Y250" s="358"/>
      <c r="Z250" s="358"/>
      <c r="AA250" s="358"/>
      <c r="AB250" s="358"/>
      <c r="AC250" s="358"/>
      <c r="AD250" s="358"/>
      <c r="AE250" s="358"/>
      <c r="AF250" s="358"/>
      <c r="AG250" s="358"/>
      <c r="AH250" s="358"/>
      <c r="AI250" s="358"/>
      <c r="AJ250" s="358"/>
      <c r="AK250" s="358"/>
      <c r="AL250" s="358"/>
      <c r="AM250" s="358"/>
      <c r="AN250" s="358"/>
      <c r="AO250" s="358"/>
      <c r="AP250" s="358">
        <v>-0.01</v>
      </c>
      <c r="AQ250" s="358">
        <v>-0.01</v>
      </c>
      <c r="AR250" s="358">
        <v>-0.005</v>
      </c>
      <c r="AS250" s="358">
        <v>-0.005</v>
      </c>
      <c r="AT250" s="358">
        <v>-0.005</v>
      </c>
      <c r="AU250" s="358">
        <v>-0.005</v>
      </c>
      <c r="AV250" s="358">
        <v>-0.005</v>
      </c>
      <c r="AW250" s="358">
        <v>-0.005</v>
      </c>
      <c r="AX250" s="358">
        <v>-0.005</v>
      </c>
      <c r="AY250" s="358">
        <v>-0.005</v>
      </c>
      <c r="AZ250" s="358">
        <v>-0.005</v>
      </c>
      <c r="BA250" s="358">
        <v>-0.005</v>
      </c>
      <c r="BB250" s="358">
        <v>-0.005</v>
      </c>
      <c r="BC250" s="358">
        <v>-0.005</v>
      </c>
      <c r="BD250" s="310"/>
      <c r="BE250" s="271"/>
      <c r="BF250" s="272"/>
      <c r="BG250" s="316"/>
      <c r="BH250" s="316"/>
      <c r="BI250" s="316"/>
      <c r="BJ250" s="316"/>
      <c r="BK250" s="316"/>
      <c r="BL250" s="316"/>
      <c r="BM250" s="316"/>
      <c r="BN250" s="316"/>
      <c r="BO250" s="316"/>
      <c r="BP250" s="316"/>
      <c r="BQ250" s="316"/>
      <c r="BR250" s="316"/>
      <c r="BS250" s="316"/>
      <c r="BT250" s="232"/>
    </row>
    <row r="251" ht="9.75" customHeight="1" spans="1:72">
      <c r="A251" s="252"/>
      <c r="B251" s="281" t="s">
        <v>476</v>
      </c>
      <c r="C251" s="70"/>
      <c r="D251" s="329"/>
      <c r="E251" s="316"/>
      <c r="F251" s="316"/>
      <c r="G251" s="316"/>
      <c r="H251" s="316"/>
      <c r="I251" s="316"/>
      <c r="J251" s="316"/>
      <c r="K251" s="316"/>
      <c r="L251" s="316"/>
      <c r="M251" s="316"/>
      <c r="N251" s="316"/>
      <c r="O251" s="316"/>
      <c r="P251" s="316"/>
      <c r="Q251" s="316"/>
      <c r="R251" s="316"/>
      <c r="S251" s="358"/>
      <c r="T251" s="358"/>
      <c r="U251" s="358"/>
      <c r="V251" s="358"/>
      <c r="W251" s="358"/>
      <c r="X251" s="358"/>
      <c r="Y251" s="358"/>
      <c r="Z251" s="358"/>
      <c r="AA251" s="358"/>
      <c r="AB251" s="358"/>
      <c r="AC251" s="358"/>
      <c r="AD251" s="358"/>
      <c r="AE251" s="358"/>
      <c r="AF251" s="358"/>
      <c r="AG251" s="358"/>
      <c r="AH251" s="358"/>
      <c r="AI251" s="358"/>
      <c r="AJ251" s="358"/>
      <c r="AK251" s="358"/>
      <c r="AL251" s="358"/>
      <c r="AM251" s="358"/>
      <c r="AN251" s="358"/>
      <c r="AO251" s="358"/>
      <c r="AP251" s="358"/>
      <c r="AQ251" s="358"/>
      <c r="AR251" s="358"/>
      <c r="AS251" s="358"/>
      <c r="AT251" s="358"/>
      <c r="AU251" s="358"/>
      <c r="AV251" s="358"/>
      <c r="AW251" s="358"/>
      <c r="AX251" s="358"/>
      <c r="AY251" s="358"/>
      <c r="AZ251" s="358"/>
      <c r="BA251" s="358"/>
      <c r="BB251" s="358"/>
      <c r="BC251" s="358"/>
      <c r="BD251" s="310"/>
      <c r="BE251" s="271"/>
      <c r="BF251" s="272"/>
      <c r="BG251" s="316"/>
      <c r="BH251" s="316"/>
      <c r="BI251" s="316"/>
      <c r="BJ251" s="316"/>
      <c r="BK251" s="316"/>
      <c r="BL251" s="316"/>
      <c r="BM251" s="316"/>
      <c r="BN251" s="316"/>
      <c r="BO251" s="316"/>
      <c r="BP251" s="316"/>
      <c r="BQ251" s="316"/>
      <c r="BR251" s="316"/>
      <c r="BS251" s="316"/>
      <c r="BT251" s="232"/>
    </row>
    <row r="252" ht="9.75" customHeight="1" spans="1:72">
      <c r="A252" s="252"/>
      <c r="B252" s="107"/>
      <c r="C252" s="283" t="s">
        <v>477</v>
      </c>
      <c r="D252" s="329"/>
      <c r="E252" s="316"/>
      <c r="F252" s="316"/>
      <c r="G252" s="316"/>
      <c r="H252" s="316"/>
      <c r="I252" s="316"/>
      <c r="J252" s="316"/>
      <c r="K252" s="316"/>
      <c r="L252" s="316"/>
      <c r="M252" s="316"/>
      <c r="N252" s="316"/>
      <c r="O252" s="316"/>
      <c r="P252" s="316"/>
      <c r="Q252" s="316"/>
      <c r="R252" s="316"/>
      <c r="S252" s="106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106"/>
      <c r="AJ252" s="106"/>
      <c r="AK252" s="358">
        <v>-0.01</v>
      </c>
      <c r="AL252" s="358">
        <v>-0.01</v>
      </c>
      <c r="AM252" s="358">
        <v>-0.01</v>
      </c>
      <c r="AN252" s="358">
        <v>-0.01</v>
      </c>
      <c r="AO252" s="358">
        <v>-0.01</v>
      </c>
      <c r="AP252" s="358">
        <v>-0.01</v>
      </c>
      <c r="AQ252" s="358">
        <v>-0.01</v>
      </c>
      <c r="AR252" s="358">
        <v>-0.005</v>
      </c>
      <c r="AS252" s="358">
        <v>-0.005</v>
      </c>
      <c r="AT252" s="358">
        <v>-0.005</v>
      </c>
      <c r="AU252" s="358">
        <v>-0.005</v>
      </c>
      <c r="AV252" s="358">
        <v>-0.005</v>
      </c>
      <c r="AW252" s="358">
        <v>-0.005</v>
      </c>
      <c r="AX252" s="358">
        <v>-0.005</v>
      </c>
      <c r="AY252" s="358">
        <v>-0.005</v>
      </c>
      <c r="AZ252" s="358">
        <v>-0.005</v>
      </c>
      <c r="BA252" s="358">
        <v>-0.005</v>
      </c>
      <c r="BB252" s="358">
        <v>-0.005</v>
      </c>
      <c r="BC252" s="358">
        <v>-0.005</v>
      </c>
      <c r="BD252" s="310"/>
      <c r="BE252" s="271"/>
      <c r="BF252" s="272"/>
      <c r="BG252" s="316"/>
      <c r="BH252" s="316"/>
      <c r="BI252" s="316"/>
      <c r="BJ252" s="316"/>
      <c r="BK252" s="316"/>
      <c r="BL252" s="316"/>
      <c r="BM252" s="316"/>
      <c r="BN252" s="316"/>
      <c r="BO252" s="316"/>
      <c r="BP252" s="316"/>
      <c r="BQ252" s="316"/>
      <c r="BR252" s="316"/>
      <c r="BS252" s="316"/>
      <c r="BT252" s="232"/>
    </row>
    <row r="253" ht="9.75" customHeight="1" spans="1:72">
      <c r="A253" s="252"/>
      <c r="B253" s="281" t="s">
        <v>480</v>
      </c>
      <c r="C253" s="70"/>
      <c r="D253" s="329"/>
      <c r="E253" s="316"/>
      <c r="F253" s="316"/>
      <c r="G253" s="316"/>
      <c r="H253" s="316"/>
      <c r="I253" s="316"/>
      <c r="J253" s="316"/>
      <c r="K253" s="316"/>
      <c r="L253" s="316"/>
      <c r="M253" s="316"/>
      <c r="N253" s="316"/>
      <c r="O253" s="316"/>
      <c r="P253" s="316"/>
      <c r="Q253" s="316"/>
      <c r="R253" s="316"/>
      <c r="S253" s="358">
        <v>-0.05</v>
      </c>
      <c r="T253" s="358">
        <v>-0.7</v>
      </c>
      <c r="U253" s="358">
        <v>0.02</v>
      </c>
      <c r="V253" s="358">
        <v>0.02</v>
      </c>
      <c r="W253" s="358">
        <v>0.02</v>
      </c>
      <c r="X253" s="358">
        <v>0.4</v>
      </c>
      <c r="Y253" s="358">
        <v>0.43</v>
      </c>
      <c r="Z253" s="358">
        <v>0.43</v>
      </c>
      <c r="AA253" s="358">
        <v>0.452</v>
      </c>
      <c r="AB253" s="358">
        <v>-0.02</v>
      </c>
      <c r="AC253" s="358">
        <v>-0.01</v>
      </c>
      <c r="AD253" s="358">
        <v>-0.01</v>
      </c>
      <c r="AE253" s="358">
        <v>-0.01</v>
      </c>
      <c r="AF253" s="358">
        <v>0.02</v>
      </c>
      <c r="AG253" s="358">
        <v>0.02</v>
      </c>
      <c r="AH253" s="358">
        <v>0.02</v>
      </c>
      <c r="AI253" s="358">
        <v>0.02</v>
      </c>
      <c r="AJ253" s="358">
        <v>0.02</v>
      </c>
      <c r="AK253" s="358">
        <v>0.02</v>
      </c>
      <c r="AL253" s="358">
        <v>0.02</v>
      </c>
      <c r="AM253" s="358">
        <v>0.02</v>
      </c>
      <c r="AN253" s="358">
        <v>0.005</v>
      </c>
      <c r="AO253" s="358">
        <v>0.005</v>
      </c>
      <c r="AP253" s="358">
        <v>0.005</v>
      </c>
      <c r="AQ253" s="358">
        <v>0.005</v>
      </c>
      <c r="AR253" s="358">
        <v>0.005</v>
      </c>
      <c r="AS253" s="358">
        <v>0.005</v>
      </c>
      <c r="AT253" s="358">
        <v>0.005</v>
      </c>
      <c r="AU253" s="358">
        <v>0.005</v>
      </c>
      <c r="AV253" s="358">
        <v>0.005</v>
      </c>
      <c r="AW253" s="358">
        <v>0.005</v>
      </c>
      <c r="AX253" s="358">
        <v>0.005</v>
      </c>
      <c r="AY253" s="358">
        <v>0.005</v>
      </c>
      <c r="AZ253" s="358">
        <v>0.005</v>
      </c>
      <c r="BA253" s="358">
        <v>0.005</v>
      </c>
      <c r="BB253" s="358">
        <v>0.005</v>
      </c>
      <c r="BC253" s="358">
        <v>0.005</v>
      </c>
      <c r="BD253" s="310"/>
      <c r="BE253" s="271"/>
      <c r="BF253" s="272"/>
      <c r="BG253" s="316"/>
      <c r="BH253" s="316"/>
      <c r="BI253" s="316"/>
      <c r="BJ253" s="316"/>
      <c r="BK253" s="316"/>
      <c r="BL253" s="316"/>
      <c r="BM253" s="316"/>
      <c r="BN253" s="316"/>
      <c r="BO253" s="316"/>
      <c r="BP253" s="316"/>
      <c r="BQ253" s="316"/>
      <c r="BR253" s="316"/>
      <c r="BS253" s="316"/>
      <c r="BT253" s="232"/>
    </row>
    <row r="254" ht="9.75" customHeight="1" spans="1:72">
      <c r="A254" s="345"/>
      <c r="B254" s="356"/>
      <c r="C254" s="284"/>
      <c r="D254" s="329"/>
      <c r="E254" s="329"/>
      <c r="F254" s="329"/>
      <c r="G254" s="347"/>
      <c r="H254" s="347"/>
      <c r="I254" s="347"/>
      <c r="J254" s="347"/>
      <c r="K254" s="347"/>
      <c r="L254" s="347"/>
      <c r="M254" s="347"/>
      <c r="N254" s="347"/>
      <c r="O254" s="347"/>
      <c r="P254" s="347"/>
      <c r="Q254" s="347"/>
      <c r="R254" s="347"/>
      <c r="S254" s="347"/>
      <c r="T254" s="347"/>
      <c r="U254" s="347"/>
      <c r="V254" s="347"/>
      <c r="W254" s="347"/>
      <c r="X254" s="347"/>
      <c r="Y254" s="347"/>
      <c r="Z254" s="347"/>
      <c r="AA254" s="347"/>
      <c r="AB254" s="347"/>
      <c r="AC254" s="347"/>
      <c r="AD254" s="347"/>
      <c r="AE254" s="347"/>
      <c r="AF254" s="347"/>
      <c r="AG254" s="347"/>
      <c r="AH254" s="347"/>
      <c r="AI254" s="347"/>
      <c r="AJ254" s="347"/>
      <c r="AK254" s="347"/>
      <c r="AL254" s="347"/>
      <c r="AM254" s="347"/>
      <c r="AN254" s="347"/>
      <c r="AO254" s="347"/>
      <c r="AP254" s="347"/>
      <c r="AQ254" s="347"/>
      <c r="AR254" s="347"/>
      <c r="AS254" s="347"/>
      <c r="AT254" s="347"/>
      <c r="AU254" s="347"/>
      <c r="AV254" s="347"/>
      <c r="AW254" s="347"/>
      <c r="AX254" s="347"/>
      <c r="AY254" s="347"/>
      <c r="AZ254" s="347"/>
      <c r="BA254" s="347"/>
      <c r="BB254" s="347"/>
      <c r="BC254" s="347"/>
      <c r="BD254" s="347"/>
      <c r="BE254" s="271"/>
      <c r="BF254" s="272"/>
      <c r="BG254" s="316"/>
      <c r="BH254" s="316"/>
      <c r="BI254" s="316"/>
      <c r="BJ254" s="316"/>
      <c r="BK254" s="316"/>
      <c r="BL254" s="316"/>
      <c r="BM254" s="316"/>
      <c r="BN254" s="316"/>
      <c r="BO254" s="316"/>
      <c r="BP254" s="232"/>
      <c r="BQ254" s="232"/>
      <c r="BR254" s="232"/>
      <c r="BS254" s="232"/>
      <c r="BT254" s="232"/>
    </row>
    <row r="255" ht="9.75" customHeight="1" spans="1:72">
      <c r="A255" s="252" t="s">
        <v>490</v>
      </c>
      <c r="B255" s="252"/>
      <c r="C255" s="252"/>
      <c r="D255" s="329"/>
      <c r="E255" s="329"/>
      <c r="F255" s="329"/>
      <c r="G255" s="347"/>
      <c r="H255" s="347"/>
      <c r="I255" s="347"/>
      <c r="J255" s="347"/>
      <c r="K255" s="347"/>
      <c r="L255" s="347"/>
      <c r="M255" s="347"/>
      <c r="N255" s="347"/>
      <c r="O255" s="347"/>
      <c r="P255" s="347"/>
      <c r="Q255" s="347"/>
      <c r="R255" s="347"/>
      <c r="S255" s="347"/>
      <c r="T255" s="347"/>
      <c r="U255" s="347"/>
      <c r="V255" s="347"/>
      <c r="W255" s="347"/>
      <c r="X255" s="347"/>
      <c r="Y255" s="347"/>
      <c r="Z255" s="347"/>
      <c r="AA255" s="347"/>
      <c r="AB255" s="347"/>
      <c r="AC255" s="347"/>
      <c r="AD255" s="347"/>
      <c r="AE255" s="347"/>
      <c r="AF255" s="347"/>
      <c r="AG255" s="347"/>
      <c r="AH255" s="347"/>
      <c r="AI255" s="347"/>
      <c r="AJ255" s="347"/>
      <c r="AK255" s="347"/>
      <c r="AL255" s="347"/>
      <c r="AM255" s="347"/>
      <c r="AN255" s="347"/>
      <c r="AO255" s="347"/>
      <c r="AP255" s="347"/>
      <c r="AQ255" s="347"/>
      <c r="AR255" s="347"/>
      <c r="AS255" s="347"/>
      <c r="AT255" s="347"/>
      <c r="AU255" s="347"/>
      <c r="AV255" s="347"/>
      <c r="AW255" s="347"/>
      <c r="AX255" s="347"/>
      <c r="AY255" s="347"/>
      <c r="AZ255" s="347"/>
      <c r="BA255" s="347"/>
      <c r="BB255" s="347"/>
      <c r="BC255" s="347"/>
      <c r="BD255" s="347"/>
      <c r="BE255" s="271"/>
      <c r="BF255" s="272"/>
      <c r="BG255" s="316"/>
      <c r="BH255" s="316"/>
      <c r="BI255" s="316"/>
      <c r="BJ255" s="316"/>
      <c r="BK255" s="316"/>
      <c r="BL255" s="316"/>
      <c r="BM255" s="316"/>
      <c r="BN255" s="316"/>
      <c r="BO255" s="316"/>
      <c r="BP255" s="232"/>
      <c r="BQ255" s="232"/>
      <c r="BR255" s="232"/>
      <c r="BS255" s="232"/>
      <c r="BT255" s="232"/>
    </row>
    <row r="256" ht="9.75" customHeight="1" spans="1:72">
      <c r="A256" s="345"/>
      <c r="B256" s="70"/>
      <c r="C256" s="284"/>
      <c r="D256" s="329"/>
      <c r="E256" s="329"/>
      <c r="F256" s="329"/>
      <c r="G256" s="347"/>
      <c r="H256" s="347"/>
      <c r="I256" s="347"/>
      <c r="J256" s="347"/>
      <c r="K256" s="347"/>
      <c r="L256" s="347"/>
      <c r="M256" s="347"/>
      <c r="N256" s="347"/>
      <c r="O256" s="347"/>
      <c r="P256" s="347"/>
      <c r="Q256" s="347"/>
      <c r="R256" s="347"/>
      <c r="S256" s="347"/>
      <c r="T256" s="347"/>
      <c r="U256" s="347"/>
      <c r="V256" s="347"/>
      <c r="W256" s="347"/>
      <c r="X256" s="347"/>
      <c r="Y256" s="347"/>
      <c r="Z256" s="347"/>
      <c r="AA256" s="347"/>
      <c r="AB256" s="347"/>
      <c r="AC256" s="347"/>
      <c r="AD256" s="347"/>
      <c r="AE256" s="347"/>
      <c r="AF256" s="347"/>
      <c r="AG256" s="347"/>
      <c r="AH256" s="347"/>
      <c r="AI256" s="347"/>
      <c r="AJ256" s="347"/>
      <c r="AK256" s="347"/>
      <c r="AL256" s="347"/>
      <c r="AM256" s="347"/>
      <c r="AN256" s="347"/>
      <c r="AO256" s="347"/>
      <c r="AP256" s="347"/>
      <c r="AQ256" s="347"/>
      <c r="AR256" s="347"/>
      <c r="AS256" s="347"/>
      <c r="AT256" s="347"/>
      <c r="AU256" s="347"/>
      <c r="AV256" s="347"/>
      <c r="AW256" s="347"/>
      <c r="AX256" s="347"/>
      <c r="AY256" s="347"/>
      <c r="AZ256" s="347"/>
      <c r="BA256" s="347"/>
      <c r="BB256" s="347"/>
      <c r="BC256" s="347"/>
      <c r="BD256" s="347"/>
      <c r="BE256" s="271"/>
      <c r="BF256" s="272"/>
      <c r="BG256" s="316"/>
      <c r="BH256" s="316"/>
      <c r="BI256" s="316"/>
      <c r="BJ256" s="316"/>
      <c r="BK256" s="316"/>
      <c r="BL256" s="316"/>
      <c r="BM256" s="316"/>
      <c r="BN256" s="316"/>
      <c r="BO256" s="316"/>
      <c r="BP256" s="232"/>
      <c r="BQ256" s="232"/>
      <c r="BR256" s="232"/>
      <c r="BS256" s="232"/>
      <c r="BT256" s="232"/>
    </row>
    <row r="257" ht="9.75" customHeight="1" spans="1:78">
      <c r="A257" s="252"/>
      <c r="B257" s="395" t="s">
        <v>464</v>
      </c>
      <c r="C257" s="70"/>
      <c r="D257" s="329"/>
      <c r="E257" s="329"/>
      <c r="F257" s="329"/>
      <c r="G257" s="347"/>
      <c r="H257" s="347"/>
      <c r="I257" s="347"/>
      <c r="J257" s="347"/>
      <c r="K257" s="347"/>
      <c r="L257" s="347"/>
      <c r="M257" s="347"/>
      <c r="N257" s="347"/>
      <c r="O257" s="347"/>
      <c r="P257" s="347"/>
      <c r="Q257" s="347"/>
      <c r="R257" s="347"/>
      <c r="S257" s="347"/>
      <c r="T257" s="347"/>
      <c r="U257" s="347"/>
      <c r="V257" s="347"/>
      <c r="W257" s="347"/>
      <c r="X257" s="347"/>
      <c r="Y257" s="347"/>
      <c r="Z257" s="347"/>
      <c r="AA257" s="347"/>
      <c r="AB257" s="347"/>
      <c r="AC257" s="347"/>
      <c r="AD257" s="347"/>
      <c r="AE257" s="347"/>
      <c r="AF257" s="347"/>
      <c r="AG257" s="347"/>
      <c r="AH257" s="347"/>
      <c r="AI257" s="347"/>
      <c r="AJ257" s="347"/>
      <c r="AK257" s="347"/>
      <c r="AL257" s="347"/>
      <c r="AM257" s="347"/>
      <c r="AN257" s="347"/>
      <c r="AO257" s="347"/>
      <c r="AP257" s="347"/>
      <c r="AQ257" s="347"/>
      <c r="AR257" s="347"/>
      <c r="AS257" s="347"/>
      <c r="AT257" s="347"/>
      <c r="AU257" s="347"/>
      <c r="AV257" s="347"/>
      <c r="AW257" s="347"/>
      <c r="AX257" s="347"/>
      <c r="AY257" s="347"/>
      <c r="AZ257" s="347"/>
      <c r="BA257" s="347"/>
      <c r="BB257" s="347"/>
      <c r="BC257" s="347"/>
      <c r="BD257" s="347"/>
      <c r="BE257" s="271"/>
      <c r="BF257" s="272"/>
      <c r="BG257" s="316"/>
      <c r="BH257" s="316"/>
      <c r="BI257" s="316"/>
      <c r="BJ257" s="316"/>
      <c r="BK257" s="316"/>
      <c r="BL257" s="316"/>
      <c r="BM257" s="316"/>
      <c r="BN257" s="316"/>
      <c r="BO257" s="316"/>
      <c r="BP257" s="232"/>
      <c r="BQ257" s="232"/>
      <c r="BR257" s="232"/>
      <c r="BS257" s="232"/>
      <c r="BT257" s="232"/>
    </row>
    <row r="258" ht="9.75" customHeight="1" spans="1:78">
      <c r="A258" s="268"/>
      <c r="B258" s="268"/>
      <c r="C258" s="397" t="s">
        <v>465</v>
      </c>
      <c r="D258" s="329"/>
      <c r="E258" s="329"/>
      <c r="F258" s="329"/>
      <c r="G258" s="347"/>
      <c r="H258" s="347"/>
      <c r="I258" s="347"/>
      <c r="J258" s="347"/>
      <c r="K258" s="347"/>
      <c r="L258" s="347"/>
      <c r="M258" s="347"/>
      <c r="N258" s="347"/>
      <c r="O258" s="347"/>
      <c r="P258" s="347"/>
      <c r="Q258" s="347"/>
      <c r="R258" s="359"/>
      <c r="S258" s="359"/>
      <c r="T258" s="359"/>
      <c r="U258" s="359"/>
      <c r="V258" s="359"/>
      <c r="W258" s="359"/>
      <c r="X258" s="359"/>
      <c r="Y258" s="359"/>
      <c r="Z258" s="359"/>
      <c r="AA258" s="359"/>
      <c r="AB258" s="359"/>
      <c r="AC258" s="359"/>
      <c r="AD258" s="359"/>
      <c r="AE258" s="359"/>
      <c r="AF258" s="359"/>
      <c r="AG258" s="359"/>
      <c r="AH258" s="359"/>
      <c r="AI258" s="359"/>
      <c r="AJ258" s="359"/>
      <c r="AK258" s="359"/>
      <c r="AL258" s="359"/>
      <c r="AM258" s="359"/>
      <c r="AN258" s="359"/>
      <c r="AO258" s="359"/>
      <c r="AP258" s="359"/>
      <c r="AQ258" s="359"/>
      <c r="AR258" s="359"/>
      <c r="AS258" s="359"/>
      <c r="AT258" s="359"/>
      <c r="AU258" s="359"/>
      <c r="AV258" s="359"/>
      <c r="AW258" s="359"/>
      <c r="AX258" s="359"/>
      <c r="AY258" s="359"/>
      <c r="AZ258" s="359"/>
      <c r="BA258" s="359"/>
      <c r="BB258" s="359"/>
      <c r="BC258" s="359"/>
      <c r="BD258" s="359"/>
      <c r="BE258" s="271"/>
      <c r="BF258" s="272"/>
      <c r="BG258" s="359"/>
      <c r="BH258" s="359"/>
      <c r="BI258" s="359"/>
      <c r="BJ258" s="359"/>
      <c r="BK258" s="359"/>
      <c r="BL258" s="359"/>
      <c r="BM258" s="359"/>
      <c r="BN258" s="359"/>
      <c r="BO258" s="359"/>
      <c r="BP258" s="359"/>
      <c r="BQ258" s="359"/>
      <c r="BR258" s="359"/>
      <c r="BS258" s="359"/>
      <c r="BT258" s="232"/>
    </row>
    <row r="259" ht="9.75" customHeight="1" spans="1:78">
      <c r="A259" s="268"/>
      <c r="B259" s="268"/>
      <c r="C259" s="396" t="s">
        <v>466</v>
      </c>
      <c r="D259" s="329"/>
      <c r="E259" s="329"/>
      <c r="F259" s="329"/>
      <c r="G259" s="329"/>
      <c r="H259" s="329"/>
      <c r="I259" s="329"/>
      <c r="J259" s="329"/>
      <c r="K259" s="329"/>
      <c r="L259" s="329"/>
      <c r="M259" s="329"/>
      <c r="N259" s="329"/>
      <c r="O259" s="329"/>
      <c r="P259" s="329"/>
      <c r="Q259" s="329"/>
      <c r="R259" s="276">
        <f t="shared" ref="R259:AY259" si="740">+R221/R$106</f>
        <v>3.6</v>
      </c>
      <c r="S259" s="276">
        <f t="shared" si="740"/>
        <v>3.45714285714286</v>
      </c>
      <c r="T259" s="276">
        <f t="shared" si="740"/>
        <v>4.01297142857143</v>
      </c>
      <c r="U259" s="276">
        <f t="shared" si="740"/>
        <v>4.01297142857143</v>
      </c>
      <c r="V259" s="276">
        <f t="shared" si="740"/>
        <v>3.26349</v>
      </c>
      <c r="W259" s="276">
        <f t="shared" si="740"/>
        <v>3.90036501818182</v>
      </c>
      <c r="X259" s="276">
        <f t="shared" si="740"/>
        <v>3.72274839581538</v>
      </c>
      <c r="Y259" s="276">
        <f t="shared" si="740"/>
        <v>3.53661097602461</v>
      </c>
      <c r="Z259" s="276">
        <f t="shared" si="740"/>
        <v>3.39514653698363</v>
      </c>
      <c r="AA259" s="276">
        <f t="shared" si="740"/>
        <v>2.91982602180592</v>
      </c>
      <c r="AB259" s="276">
        <f t="shared" si="740"/>
        <v>2.86120830242876</v>
      </c>
      <c r="AC259" s="276">
        <f t="shared" si="740"/>
        <v>2.84690226091661</v>
      </c>
      <c r="AD259" s="276">
        <f t="shared" si="740"/>
        <v>2.83266774961203</v>
      </c>
      <c r="AE259" s="276">
        <f t="shared" si="740"/>
        <v>2.81850441086397</v>
      </c>
      <c r="AF259" s="276">
        <f t="shared" si="740"/>
        <v>2.80441188880965</v>
      </c>
      <c r="AG259" s="276">
        <f t="shared" si="740"/>
        <v>2.7903898293656</v>
      </c>
      <c r="AH259" s="276">
        <f t="shared" si="740"/>
        <v>2.77643788021877</v>
      </c>
      <c r="AI259" s="276">
        <f t="shared" si="740"/>
        <v>2.76255569081768</v>
      </c>
      <c r="AJ259" s="276">
        <f t="shared" si="740"/>
        <v>2.79018124772586</v>
      </c>
      <c r="AK259" s="276">
        <f t="shared" si="740"/>
        <v>2.67020345407364</v>
      </c>
      <c r="AL259" s="276">
        <f t="shared" si="740"/>
        <v>2.71025650588475</v>
      </c>
      <c r="AM259" s="276">
        <f t="shared" si="740"/>
        <v>2.75091035347302</v>
      </c>
      <c r="AN259" s="276">
        <f t="shared" si="740"/>
        <v>2.79217400877512</v>
      </c>
      <c r="AO259" s="276">
        <f t="shared" si="740"/>
        <v>2.83405661890674</v>
      </c>
      <c r="AP259" s="276">
        <f t="shared" si="740"/>
        <v>2.87656746819034</v>
      </c>
      <c r="AQ259" s="276">
        <f t="shared" si="740"/>
        <v>2.9197159802132</v>
      </c>
      <c r="AR259" s="276">
        <f t="shared" si="740"/>
        <v>3.03608147217822</v>
      </c>
      <c r="AS259" s="276">
        <f t="shared" si="740"/>
        <v>3.11198350898267</v>
      </c>
      <c r="AT259" s="276">
        <f t="shared" si="740"/>
        <v>3.18978309670724</v>
      </c>
      <c r="AU259" s="276">
        <f t="shared" si="740"/>
        <v>3.26952767412492</v>
      </c>
      <c r="AV259" s="276">
        <f t="shared" si="740"/>
        <v>3.36761350434867</v>
      </c>
      <c r="AW259" s="276">
        <f t="shared" si="740"/>
        <v>3.46864190947913</v>
      </c>
      <c r="AX259" s="276">
        <f t="shared" si="740"/>
        <v>3.5727011667635</v>
      </c>
      <c r="AY259" s="276">
        <f t="shared" si="740"/>
        <v>3.6798822017664</v>
      </c>
      <c r="AZ259" s="276">
        <f t="shared" ref="AZ259:BC259" si="741">+AZ221/AZ$106</f>
        <v>3.7902786678194</v>
      </c>
      <c r="BA259" s="276">
        <f t="shared" si="741"/>
        <v>3.90398702785398</v>
      </c>
      <c r="BB259" s="276">
        <f t="shared" si="741"/>
        <v>4.0211066386896</v>
      </c>
      <c r="BC259" s="276">
        <f t="shared" si="741"/>
        <v>4.14173983785029</v>
      </c>
      <c r="BD259" s="359"/>
      <c r="BE259" s="271"/>
      <c r="BF259" s="272"/>
      <c r="BG259" s="359"/>
      <c r="BH259" s="359"/>
      <c r="BI259" s="359"/>
      <c r="BJ259" s="359"/>
      <c r="BK259" s="359"/>
      <c r="BL259" s="359"/>
      <c r="BM259" s="359"/>
      <c r="BN259" s="359"/>
      <c r="BO259" s="359"/>
      <c r="BP259" s="359"/>
      <c r="BQ259" s="359"/>
      <c r="BR259" s="359"/>
      <c r="BS259" s="359"/>
      <c r="BT259" s="232"/>
    </row>
    <row r="260" ht="9.75" customHeight="1" spans="1:78">
      <c r="A260" s="268"/>
      <c r="B260" s="268"/>
      <c r="C260" s="396" t="s">
        <v>467</v>
      </c>
      <c r="D260" s="329"/>
      <c r="E260" s="329"/>
      <c r="F260" s="329"/>
      <c r="G260" s="329"/>
      <c r="H260" s="329"/>
      <c r="I260" s="329"/>
      <c r="J260" s="329"/>
      <c r="K260" s="329"/>
      <c r="L260" s="329"/>
      <c r="M260" s="329"/>
      <c r="N260" s="329"/>
      <c r="O260" s="329"/>
      <c r="P260" s="329"/>
      <c r="Q260" s="329"/>
      <c r="R260" s="276">
        <f t="shared" ref="R260:AY260" si="742">+R222/R$106</f>
        <v>1.65714285714286</v>
      </c>
      <c r="S260" s="276">
        <f t="shared" si="742"/>
        <v>1.57142857142857</v>
      </c>
      <c r="T260" s="276">
        <f t="shared" si="742"/>
        <v>1.90244571428571</v>
      </c>
      <c r="U260" s="276">
        <f t="shared" si="742"/>
        <v>1.90244571428571</v>
      </c>
      <c r="V260" s="276">
        <f t="shared" si="742"/>
        <v>1.527552</v>
      </c>
      <c r="W260" s="276">
        <f t="shared" si="742"/>
        <v>1.82565608727273</v>
      </c>
      <c r="X260" s="276">
        <f t="shared" si="742"/>
        <v>1.7610559488</v>
      </c>
      <c r="Y260" s="276">
        <f t="shared" si="742"/>
        <v>1.67300315136</v>
      </c>
      <c r="Z260" s="276">
        <f t="shared" si="742"/>
        <v>1.6060830253056</v>
      </c>
      <c r="AA260" s="276">
        <f t="shared" si="742"/>
        <v>1.38123140176282</v>
      </c>
      <c r="AB260" s="276">
        <f t="shared" si="742"/>
        <v>1.36030365325126</v>
      </c>
      <c r="AC260" s="276">
        <f t="shared" si="742"/>
        <v>1.36030365325126</v>
      </c>
      <c r="AD260" s="276">
        <f t="shared" si="742"/>
        <v>1.353502134985</v>
      </c>
      <c r="AE260" s="276">
        <f t="shared" si="742"/>
        <v>1.34673462431008</v>
      </c>
      <c r="AF260" s="276">
        <f t="shared" si="742"/>
        <v>1.34000095118853</v>
      </c>
      <c r="AG260" s="276">
        <f t="shared" si="742"/>
        <v>1.33330094643258</v>
      </c>
      <c r="AH260" s="276">
        <f t="shared" si="742"/>
        <v>1.32663444170042</v>
      </c>
      <c r="AI260" s="276">
        <f t="shared" si="742"/>
        <v>1.32000126949192</v>
      </c>
      <c r="AJ260" s="276">
        <f t="shared" si="742"/>
        <v>1.33320128218684</v>
      </c>
      <c r="AK260" s="276">
        <f t="shared" si="742"/>
        <v>1.2758736270528</v>
      </c>
      <c r="AL260" s="276">
        <f t="shared" si="742"/>
        <v>1.2950117314586</v>
      </c>
      <c r="AM260" s="276">
        <f t="shared" si="742"/>
        <v>1.31443690743047</v>
      </c>
      <c r="AN260" s="276">
        <f t="shared" si="742"/>
        <v>1.33415346104193</v>
      </c>
      <c r="AO260" s="276">
        <f t="shared" si="742"/>
        <v>1.35416576295756</v>
      </c>
      <c r="AP260" s="276">
        <f t="shared" si="742"/>
        <v>1.37447824940192</v>
      </c>
      <c r="AQ260" s="276">
        <f t="shared" si="742"/>
        <v>1.39509542314295</v>
      </c>
      <c r="AR260" s="276">
        <f t="shared" si="742"/>
        <v>1.45069705232619</v>
      </c>
      <c r="AS260" s="276">
        <f t="shared" si="742"/>
        <v>1.48696447863434</v>
      </c>
      <c r="AT260" s="276">
        <f t="shared" si="742"/>
        <v>1.5241385906002</v>
      </c>
      <c r="AU260" s="276">
        <f t="shared" si="742"/>
        <v>1.5622420553652</v>
      </c>
      <c r="AV260" s="276">
        <f t="shared" si="742"/>
        <v>1.60910931702616</v>
      </c>
      <c r="AW260" s="276">
        <f t="shared" si="742"/>
        <v>1.65738259653694</v>
      </c>
      <c r="AX260" s="276">
        <f t="shared" si="742"/>
        <v>1.70710407443305</v>
      </c>
      <c r="AY260" s="276">
        <f t="shared" si="742"/>
        <v>1.75831719666604</v>
      </c>
      <c r="AZ260" s="276">
        <f t="shared" ref="AZ260:BC260" si="743">+AZ222/AZ$106</f>
        <v>1.81106671256603</v>
      </c>
      <c r="BA260" s="276">
        <f t="shared" si="743"/>
        <v>1.86539871394301</v>
      </c>
      <c r="BB260" s="276">
        <f t="shared" si="743"/>
        <v>1.9213606753613</v>
      </c>
      <c r="BC260" s="276">
        <f t="shared" si="743"/>
        <v>1.97900149562214</v>
      </c>
      <c r="BD260" s="359"/>
      <c r="BE260" s="271"/>
      <c r="BF260" s="272"/>
      <c r="BG260" s="359"/>
      <c r="BH260" s="359"/>
      <c r="BI260" s="359"/>
      <c r="BJ260" s="359"/>
      <c r="BK260" s="359"/>
      <c r="BL260" s="359"/>
      <c r="BM260" s="359"/>
      <c r="BN260" s="359"/>
      <c r="BO260" s="359"/>
      <c r="BP260" s="359"/>
      <c r="BQ260" s="359"/>
      <c r="BR260" s="359"/>
      <c r="BS260" s="359"/>
      <c r="BT260" s="232"/>
    </row>
    <row r="261" ht="9.75" customHeight="1" spans="1:78">
      <c r="A261" s="268"/>
      <c r="B261" s="268"/>
      <c r="C261" s="397" t="s">
        <v>468</v>
      </c>
      <c r="D261" s="329"/>
      <c r="E261" s="329"/>
      <c r="F261" s="329"/>
      <c r="G261" s="329"/>
      <c r="H261" s="329"/>
      <c r="I261" s="329"/>
      <c r="J261" s="329"/>
      <c r="K261" s="329"/>
      <c r="L261" s="329"/>
      <c r="M261" s="329"/>
      <c r="N261" s="329"/>
      <c r="O261" s="329"/>
      <c r="P261" s="329"/>
      <c r="Q261" s="329"/>
      <c r="R261" s="276"/>
      <c r="S261" s="276"/>
      <c r="T261" s="276"/>
      <c r="U261" s="276"/>
      <c r="V261" s="276"/>
      <c r="W261" s="276"/>
      <c r="X261" s="276"/>
      <c r="Y261" s="276"/>
      <c r="Z261" s="276"/>
      <c r="AA261" s="276"/>
      <c r="AB261" s="276"/>
      <c r="AC261" s="276"/>
      <c r="AD261" s="276"/>
      <c r="AE261" s="276"/>
      <c r="AF261" s="276"/>
      <c r="AG261" s="276"/>
      <c r="AH261" s="276"/>
      <c r="AI261" s="276"/>
      <c r="AJ261" s="276"/>
      <c r="AK261" s="276"/>
      <c r="AL261" s="276"/>
      <c r="AM261" s="276"/>
      <c r="AN261" s="276"/>
      <c r="AO261" s="276"/>
      <c r="AP261" s="276"/>
      <c r="AQ261" s="276"/>
      <c r="AR261" s="276"/>
      <c r="AS261" s="276"/>
      <c r="AT261" s="276"/>
      <c r="AU261" s="276"/>
      <c r="AV261" s="276"/>
      <c r="AW261" s="276"/>
      <c r="AX261" s="276"/>
      <c r="AY261" s="276"/>
      <c r="AZ261" s="276"/>
      <c r="BA261" s="276"/>
      <c r="BB261" s="276"/>
      <c r="BC261" s="276"/>
      <c r="BD261" s="359"/>
      <c r="BE261" s="271"/>
      <c r="BF261" s="272"/>
      <c r="BG261" s="359"/>
      <c r="BH261" s="359"/>
      <c r="BI261" s="359"/>
      <c r="BJ261" s="359"/>
      <c r="BK261" s="359"/>
      <c r="BL261" s="359"/>
      <c r="BM261" s="359"/>
      <c r="BN261" s="359"/>
      <c r="BO261" s="359"/>
      <c r="BP261" s="359"/>
      <c r="BQ261" s="359"/>
      <c r="BR261" s="359"/>
      <c r="BS261" s="359"/>
      <c r="BT261" s="232"/>
    </row>
    <row r="262" ht="9.75" customHeight="1" spans="1:78">
      <c r="A262" s="268"/>
      <c r="B262" s="268"/>
      <c r="C262" s="396" t="s">
        <v>469</v>
      </c>
      <c r="D262" s="329"/>
      <c r="E262" s="329"/>
      <c r="F262" s="329"/>
      <c r="G262" s="329"/>
      <c r="H262" s="329"/>
      <c r="I262" s="329"/>
      <c r="J262" s="329"/>
      <c r="K262" s="329"/>
      <c r="L262" s="329"/>
      <c r="M262" s="329"/>
      <c r="N262" s="329"/>
      <c r="O262" s="329"/>
      <c r="P262" s="329"/>
      <c r="Q262" s="329"/>
      <c r="R262" s="276"/>
      <c r="S262" s="276"/>
      <c r="T262" s="276"/>
      <c r="U262" s="276"/>
      <c r="V262" s="276"/>
      <c r="W262" s="276"/>
      <c r="X262" s="276"/>
      <c r="Y262" s="276"/>
      <c r="Z262" s="276"/>
      <c r="AA262" s="276">
        <f t="shared" ref="AA262:AY262" si="744">+AA224/AA$106</f>
        <v>2</v>
      </c>
      <c r="AB262" s="276">
        <f t="shared" si="744"/>
        <v>1.96969696969697</v>
      </c>
      <c r="AC262" s="276">
        <f t="shared" si="744"/>
        <v>1.96969696969697</v>
      </c>
      <c r="AD262" s="276">
        <f t="shared" si="744"/>
        <v>1.96969696969697</v>
      </c>
      <c r="AE262" s="276">
        <f t="shared" si="744"/>
        <v>1.96969696969697</v>
      </c>
      <c r="AF262" s="276">
        <f t="shared" si="744"/>
        <v>1.9695</v>
      </c>
      <c r="AG262" s="276">
        <f t="shared" si="744"/>
        <v>1.989195</v>
      </c>
      <c r="AH262" s="276">
        <f t="shared" si="744"/>
        <v>2.00908695</v>
      </c>
      <c r="AI262" s="276">
        <f t="shared" si="744"/>
        <v>1.01461038961039</v>
      </c>
      <c r="AJ262" s="276">
        <f t="shared" si="744"/>
        <v>1.01461038961039</v>
      </c>
      <c r="AK262" s="276">
        <f t="shared" si="744"/>
        <v>0.949936224489796</v>
      </c>
      <c r="AL262" s="276">
        <f t="shared" si="744"/>
        <v>0.943286670918367</v>
      </c>
      <c r="AM262" s="276">
        <f t="shared" si="744"/>
        <v>0.936683664221939</v>
      </c>
      <c r="AN262" s="276">
        <f t="shared" si="744"/>
        <v>0.930126878572385</v>
      </c>
      <c r="AO262" s="276">
        <f t="shared" si="744"/>
        <v>0.923615990422379</v>
      </c>
      <c r="AP262" s="276">
        <f t="shared" si="744"/>
        <v>0.917150678489422</v>
      </c>
      <c r="AQ262" s="276">
        <f t="shared" si="744"/>
        <v>0.910730623739996</v>
      </c>
      <c r="AR262" s="276">
        <f t="shared" si="744"/>
        <v>0.917462110958943</v>
      </c>
      <c r="AS262" s="276">
        <f t="shared" si="744"/>
        <v>0.911039876182231</v>
      </c>
      <c r="AT262" s="276">
        <f t="shared" si="744"/>
        <v>0.904662597048955</v>
      </c>
      <c r="AU262" s="276">
        <f t="shared" si="744"/>
        <v>0.898329958869613</v>
      </c>
      <c r="AV262" s="276">
        <f t="shared" si="744"/>
        <v>0.892041649157525</v>
      </c>
      <c r="AW262" s="276">
        <f t="shared" si="744"/>
        <v>0.885797357613423</v>
      </c>
      <c r="AX262" s="276">
        <f t="shared" si="744"/>
        <v>0.879596776110129</v>
      </c>
      <c r="AY262" s="276">
        <f t="shared" si="744"/>
        <v>0.873439598677358</v>
      </c>
      <c r="AZ262" s="276">
        <f t="shared" ref="AZ262:BC262" si="745">+AZ224/AZ$106</f>
        <v>0.867325521486616</v>
      </c>
      <c r="BA262" s="276">
        <f t="shared" si="745"/>
        <v>0.86125424283621</v>
      </c>
      <c r="BB262" s="276">
        <f t="shared" si="745"/>
        <v>0.855225463136356</v>
      </c>
      <c r="BC262" s="276">
        <f t="shared" si="745"/>
        <v>0.849238884894402</v>
      </c>
      <c r="BD262" s="359"/>
      <c r="BE262" s="271"/>
      <c r="BF262" s="272"/>
      <c r="BG262" s="359"/>
      <c r="BH262" s="359"/>
      <c r="BI262" s="359"/>
      <c r="BJ262" s="359"/>
      <c r="BK262" s="359"/>
      <c r="BL262" s="359"/>
      <c r="BM262" s="359"/>
      <c r="BN262" s="359"/>
      <c r="BO262" s="359"/>
      <c r="BP262" s="359"/>
      <c r="BQ262" s="359"/>
      <c r="BR262" s="359"/>
      <c r="BS262" s="359"/>
      <c r="BT262" s="232"/>
    </row>
    <row r="263" ht="9.75" customHeight="1" spans="1:78">
      <c r="A263" s="268"/>
      <c r="B263" s="268"/>
      <c r="C263" s="396" t="s">
        <v>470</v>
      </c>
      <c r="D263" s="329"/>
      <c r="E263" s="329"/>
      <c r="F263" s="329"/>
      <c r="G263" s="329"/>
      <c r="H263" s="329"/>
      <c r="I263" s="329"/>
      <c r="J263" s="329"/>
      <c r="K263" s="329"/>
      <c r="L263" s="329"/>
      <c r="M263" s="329"/>
      <c r="N263" s="329"/>
      <c r="O263" s="329"/>
      <c r="P263" s="329"/>
      <c r="Q263" s="329"/>
      <c r="R263" s="276"/>
      <c r="S263" s="276"/>
      <c r="T263" s="276"/>
      <c r="U263" s="276"/>
      <c r="V263" s="276"/>
      <c r="W263" s="276"/>
      <c r="X263" s="276"/>
      <c r="Y263" s="276"/>
      <c r="Z263" s="276"/>
      <c r="AA263" s="276">
        <f t="shared" ref="AA263:AY263" si="746">+AA225/AA$106</f>
        <v>1</v>
      </c>
      <c r="AB263" s="276">
        <f t="shared" si="746"/>
        <v>0.984848484848485</v>
      </c>
      <c r="AC263" s="276">
        <f t="shared" si="746"/>
        <v>0.984848484848485</v>
      </c>
      <c r="AD263" s="276">
        <f t="shared" si="746"/>
        <v>0.984848484848485</v>
      </c>
      <c r="AE263" s="276">
        <f t="shared" si="746"/>
        <v>0.984848484848485</v>
      </c>
      <c r="AF263" s="276">
        <f t="shared" si="746"/>
        <v>0.984848484848485</v>
      </c>
      <c r="AG263" s="276">
        <f t="shared" si="746"/>
        <v>0.984848484848485</v>
      </c>
      <c r="AH263" s="276">
        <f t="shared" si="746"/>
        <v>0.984848484848485</v>
      </c>
      <c r="AI263" s="276">
        <f t="shared" si="746"/>
        <v>0.984848484848485</v>
      </c>
      <c r="AJ263" s="276">
        <f t="shared" si="746"/>
        <v>0.53030303030303</v>
      </c>
      <c r="AK263" s="276">
        <f t="shared" si="746"/>
        <v>0.4965</v>
      </c>
      <c r="AL263" s="276">
        <f t="shared" si="746"/>
        <v>0.4930245</v>
      </c>
      <c r="AM263" s="276">
        <f t="shared" si="746"/>
        <v>0.4895733285</v>
      </c>
      <c r="AN263" s="276">
        <f t="shared" si="746"/>
        <v>0.4861463152005</v>
      </c>
      <c r="AO263" s="276">
        <f t="shared" si="746"/>
        <v>0.482743290994096</v>
      </c>
      <c r="AP263" s="276">
        <f t="shared" si="746"/>
        <v>0.479364087957138</v>
      </c>
      <c r="AQ263" s="276">
        <f t="shared" si="746"/>
        <v>0.476008539341438</v>
      </c>
      <c r="AR263" s="276">
        <f t="shared" si="746"/>
        <v>0.479526863327874</v>
      </c>
      <c r="AS263" s="276">
        <f t="shared" si="746"/>
        <v>0.476170175284579</v>
      </c>
      <c r="AT263" s="276">
        <f t="shared" si="746"/>
        <v>0.472836984057587</v>
      </c>
      <c r="AU263" s="276">
        <f t="shared" si="746"/>
        <v>0.469527125169184</v>
      </c>
      <c r="AV263" s="276">
        <f t="shared" si="746"/>
        <v>0.466240435293</v>
      </c>
      <c r="AW263" s="276">
        <f t="shared" si="746"/>
        <v>0.462976752245949</v>
      </c>
      <c r="AX263" s="276">
        <f t="shared" si="746"/>
        <v>0.459735914980227</v>
      </c>
      <c r="AY263" s="276">
        <f t="shared" si="746"/>
        <v>0.456517763575366</v>
      </c>
      <c r="AZ263" s="276">
        <f t="shared" ref="AZ263:BC263" si="747">+AZ225/AZ$106</f>
        <v>0.453322139230338</v>
      </c>
      <c r="BA263" s="276">
        <f t="shared" si="747"/>
        <v>0.450148884255726</v>
      </c>
      <c r="BB263" s="276">
        <f t="shared" si="747"/>
        <v>0.446997842065936</v>
      </c>
      <c r="BC263" s="276">
        <f t="shared" si="747"/>
        <v>0.443868857171474</v>
      </c>
      <c r="BD263" s="359"/>
      <c r="BE263" s="271"/>
      <c r="BF263" s="272"/>
      <c r="BG263" s="359"/>
      <c r="BH263" s="359"/>
      <c r="BI263" s="359"/>
      <c r="BJ263" s="359"/>
      <c r="BK263" s="359"/>
      <c r="BL263" s="359"/>
      <c r="BM263" s="359"/>
      <c r="BN263" s="359"/>
      <c r="BO263" s="359"/>
      <c r="BP263" s="359"/>
      <c r="BQ263" s="359"/>
      <c r="BR263" s="359"/>
      <c r="BS263" s="359"/>
      <c r="BT263" s="232"/>
    </row>
    <row r="264" ht="9.75" customHeight="1" spans="1:78">
      <c r="A264" s="268"/>
      <c r="B264" s="268"/>
      <c r="C264" s="396" t="s">
        <v>471</v>
      </c>
      <c r="D264" s="329"/>
      <c r="E264" s="329"/>
      <c r="F264" s="329"/>
      <c r="G264" s="329"/>
      <c r="H264" s="329"/>
      <c r="I264" s="329"/>
      <c r="J264" s="329"/>
      <c r="K264" s="329"/>
      <c r="L264" s="329"/>
      <c r="M264" s="329"/>
      <c r="N264" s="329"/>
      <c r="O264" s="329"/>
      <c r="P264" s="329"/>
      <c r="Q264" s="329"/>
      <c r="R264" s="276"/>
      <c r="S264" s="276"/>
      <c r="T264" s="276"/>
      <c r="U264" s="276"/>
      <c r="V264" s="276"/>
      <c r="W264" s="276"/>
      <c r="X264" s="276"/>
      <c r="Y264" s="276"/>
      <c r="Z264" s="276"/>
      <c r="AA264" s="276">
        <f t="shared" ref="AA264:AY264" si="748">+AA226/AA$106</f>
        <v>0.384615384615385</v>
      </c>
      <c r="AB264" s="276">
        <f t="shared" si="748"/>
        <v>0.378787878787879</v>
      </c>
      <c r="AC264" s="276">
        <f t="shared" si="748"/>
        <v>0.378787878787879</v>
      </c>
      <c r="AD264" s="276">
        <f t="shared" si="748"/>
        <v>0.378787878787879</v>
      </c>
      <c r="AE264" s="276">
        <f t="shared" si="748"/>
        <v>0.378787878787879</v>
      </c>
      <c r="AF264" s="276">
        <f t="shared" si="748"/>
        <v>0.378787878787879</v>
      </c>
      <c r="AG264" s="276">
        <f t="shared" si="748"/>
        <v>0.378787878787879</v>
      </c>
      <c r="AH264" s="276">
        <f t="shared" si="748"/>
        <v>0.378787878787879</v>
      </c>
      <c r="AI264" s="276">
        <f t="shared" si="748"/>
        <v>0.378787878787879</v>
      </c>
      <c r="AJ264" s="276">
        <f t="shared" si="748"/>
        <v>0.378787878787879</v>
      </c>
      <c r="AK264" s="276">
        <f t="shared" si="748"/>
        <v>0.354642857142857</v>
      </c>
      <c r="AL264" s="276">
        <f t="shared" si="748"/>
        <v>0.352160357142857</v>
      </c>
      <c r="AM264" s="276">
        <f t="shared" si="748"/>
        <v>0.349695234642857</v>
      </c>
      <c r="AN264" s="276">
        <f t="shared" si="748"/>
        <v>0.347247368000357</v>
      </c>
      <c r="AO264" s="276">
        <f t="shared" si="748"/>
        <v>0.344816636424355</v>
      </c>
      <c r="AP264" s="276">
        <f t="shared" si="748"/>
        <v>0.342402919969384</v>
      </c>
      <c r="AQ264" s="276">
        <f t="shared" si="748"/>
        <v>0.340006099529598</v>
      </c>
      <c r="AR264" s="276">
        <f t="shared" si="748"/>
        <v>0.342519188091339</v>
      </c>
      <c r="AS264" s="276">
        <f t="shared" si="748"/>
        <v>0.3401215537747</v>
      </c>
      <c r="AT264" s="276">
        <f t="shared" si="748"/>
        <v>0.337740702898277</v>
      </c>
      <c r="AU264" s="276">
        <f t="shared" si="748"/>
        <v>0.335376517977989</v>
      </c>
      <c r="AV264" s="276">
        <f t="shared" si="748"/>
        <v>0.333028882352143</v>
      </c>
      <c r="AW264" s="276">
        <f t="shared" si="748"/>
        <v>0.330697680175678</v>
      </c>
      <c r="AX264" s="276">
        <f t="shared" si="748"/>
        <v>0.328382796414448</v>
      </c>
      <c r="AY264" s="276">
        <f t="shared" si="748"/>
        <v>0.326084116839547</v>
      </c>
      <c r="AZ264" s="276">
        <f t="shared" ref="AZ264:BC264" si="749">+AZ226/AZ$106</f>
        <v>0.32380152802167</v>
      </c>
      <c r="BA264" s="276">
        <f t="shared" si="749"/>
        <v>0.321534917325518</v>
      </c>
      <c r="BB264" s="276">
        <f t="shared" si="749"/>
        <v>0.31928417290424</v>
      </c>
      <c r="BC264" s="276">
        <f t="shared" si="749"/>
        <v>0.31704918369391</v>
      </c>
      <c r="BD264" s="359"/>
      <c r="BE264" s="271"/>
      <c r="BF264" s="272"/>
      <c r="BG264" s="359"/>
      <c r="BH264" s="359"/>
      <c r="BI264" s="359"/>
      <c r="BJ264" s="359"/>
      <c r="BK264" s="359"/>
      <c r="BL264" s="359"/>
      <c r="BM264" s="359"/>
      <c r="BN264" s="359"/>
      <c r="BO264" s="359"/>
      <c r="BP264" s="359"/>
      <c r="BQ264" s="359"/>
      <c r="BR264" s="359"/>
      <c r="BS264" s="359"/>
      <c r="BT264" s="232"/>
    </row>
    <row r="265" ht="9.75" customHeight="1" spans="1:78">
      <c r="A265" s="268"/>
      <c r="B265" s="268"/>
      <c r="C265" s="397" t="s">
        <v>484</v>
      </c>
      <c r="D265" s="329"/>
      <c r="E265" s="329"/>
      <c r="F265" s="329"/>
      <c r="G265" s="329"/>
      <c r="H265" s="329"/>
      <c r="I265" s="329"/>
      <c r="J265" s="329"/>
      <c r="K265" s="329"/>
      <c r="L265" s="329"/>
      <c r="M265" s="329"/>
      <c r="N265" s="329"/>
      <c r="O265" s="329"/>
      <c r="P265" s="329"/>
      <c r="Q265" s="329"/>
      <c r="R265" s="276"/>
      <c r="S265" s="276"/>
      <c r="T265" s="276"/>
      <c r="U265" s="276"/>
      <c r="V265" s="276"/>
      <c r="W265" s="276"/>
      <c r="X265" s="276"/>
      <c r="Y265" s="276"/>
      <c r="Z265" s="276"/>
      <c r="AA265" s="276"/>
      <c r="AB265" s="276"/>
      <c r="AC265" s="276"/>
      <c r="AD265" s="276"/>
      <c r="AE265" s="276"/>
      <c r="AF265" s="276"/>
      <c r="AG265" s="276"/>
      <c r="AH265" s="276"/>
      <c r="AI265" s="276"/>
      <c r="AJ265" s="276"/>
      <c r="AK265" s="276"/>
      <c r="AL265" s="276"/>
      <c r="AM265" s="276"/>
      <c r="AN265" s="276"/>
      <c r="AO265" s="276"/>
      <c r="AP265" s="276"/>
      <c r="AQ265" s="276"/>
      <c r="AR265" s="276"/>
      <c r="AS265" s="276"/>
      <c r="AT265" s="276"/>
      <c r="AU265" s="276"/>
      <c r="AV265" s="276"/>
      <c r="AW265" s="276"/>
      <c r="AX265" s="276"/>
      <c r="AY265" s="276"/>
      <c r="AZ265" s="276"/>
      <c r="BA265" s="276"/>
      <c r="BB265" s="276"/>
      <c r="BC265" s="276"/>
      <c r="BD265" s="359"/>
      <c r="BE265" s="271"/>
      <c r="BF265" s="272"/>
      <c r="BG265" s="359"/>
      <c r="BH265" s="359"/>
      <c r="BI265" s="359"/>
      <c r="BJ265" s="359"/>
      <c r="BK265" s="359"/>
      <c r="BL265" s="359"/>
      <c r="BM265" s="359"/>
      <c r="BN265" s="359"/>
      <c r="BO265" s="359"/>
      <c r="BP265" s="359"/>
      <c r="BQ265" s="359"/>
      <c r="BR265" s="359"/>
      <c r="BS265" s="359"/>
      <c r="BT265" s="232"/>
    </row>
    <row r="266" ht="9.75" customHeight="1" spans="1:78">
      <c r="A266" s="268"/>
      <c r="B266" s="268"/>
      <c r="C266" s="396" t="s">
        <v>473</v>
      </c>
      <c r="D266" s="329"/>
      <c r="E266" s="329"/>
      <c r="F266" s="329"/>
      <c r="G266" s="329"/>
      <c r="H266" s="329"/>
      <c r="I266" s="329"/>
      <c r="J266" s="329"/>
      <c r="K266" s="329"/>
      <c r="L266" s="329"/>
      <c r="M266" s="329"/>
      <c r="N266" s="329"/>
      <c r="O266" s="329"/>
      <c r="P266" s="329"/>
      <c r="Q266" s="329"/>
      <c r="R266" s="276"/>
      <c r="S266" s="276"/>
      <c r="T266" s="276"/>
      <c r="U266" s="276"/>
      <c r="V266" s="276"/>
      <c r="W266" s="276"/>
      <c r="X266" s="276"/>
      <c r="Y266" s="276"/>
      <c r="Z266" s="276"/>
      <c r="AA266" s="276"/>
      <c r="AB266" s="276"/>
      <c r="AC266" s="276"/>
      <c r="AD266" s="276"/>
      <c r="AE266" s="276"/>
      <c r="AF266" s="276"/>
      <c r="AG266" s="276"/>
      <c r="AH266" s="276"/>
      <c r="AI266" s="276"/>
      <c r="AJ266" s="276"/>
      <c r="AK266" s="276"/>
      <c r="AL266" s="276"/>
      <c r="AM266" s="276"/>
      <c r="AN266" s="276">
        <f t="shared" ref="AN266:AY266" si="750">+AN228/AN$106</f>
        <v>0</v>
      </c>
      <c r="AO266" s="276">
        <f t="shared" si="750"/>
        <v>25.7142857142857</v>
      </c>
      <c r="AP266" s="276">
        <f t="shared" si="750"/>
        <v>25.4571428571429</v>
      </c>
      <c r="AQ266" s="276">
        <f t="shared" si="750"/>
        <v>25.2025714285714</v>
      </c>
      <c r="AR266" s="276">
        <f t="shared" si="750"/>
        <v>25.4399869565217</v>
      </c>
      <c r="AS266" s="276">
        <f t="shared" si="750"/>
        <v>25.3127870217391</v>
      </c>
      <c r="AT266" s="276">
        <f t="shared" si="750"/>
        <v>25.1862230866304</v>
      </c>
      <c r="AU266" s="276">
        <f t="shared" si="750"/>
        <v>25.0602919711973</v>
      </c>
      <c r="AV266" s="276">
        <f t="shared" si="750"/>
        <v>24.9349905113413</v>
      </c>
      <c r="AW266" s="276">
        <f t="shared" si="750"/>
        <v>24.8103155587846</v>
      </c>
      <c r="AX266" s="276">
        <f t="shared" si="750"/>
        <v>24.6862639809907</v>
      </c>
      <c r="AY266" s="276">
        <f t="shared" si="750"/>
        <v>24.5628326610857</v>
      </c>
      <c r="AZ266" s="276">
        <f t="shared" ref="AZ266:BC266" si="751">+AZ228/AZ$106</f>
        <v>24.4400184977803</v>
      </c>
      <c r="BA266" s="276">
        <f t="shared" si="751"/>
        <v>24.3178184052914</v>
      </c>
      <c r="BB266" s="276">
        <f t="shared" si="751"/>
        <v>24.1962293132649</v>
      </c>
      <c r="BC266" s="276">
        <f t="shared" si="751"/>
        <v>24.0752481666986</v>
      </c>
      <c r="BD266" s="359"/>
      <c r="BE266" s="271"/>
      <c r="BF266" s="272"/>
      <c r="BG266" s="359"/>
      <c r="BH266" s="359"/>
      <c r="BI266" s="359"/>
      <c r="BJ266" s="359"/>
      <c r="BK266" s="359"/>
      <c r="BL266" s="359"/>
      <c r="BM266" s="359"/>
      <c r="BN266" s="359"/>
      <c r="BO266" s="359"/>
      <c r="BP266" s="359"/>
      <c r="BQ266" s="359"/>
      <c r="BR266" s="359"/>
      <c r="BS266" s="359"/>
      <c r="BT266" s="232"/>
    </row>
    <row r="267" ht="9.75" customHeight="1" spans="1:78">
      <c r="A267" s="268"/>
      <c r="B267" s="268"/>
      <c r="C267" s="396" t="s">
        <v>474</v>
      </c>
      <c r="D267" s="329"/>
      <c r="E267" s="329"/>
      <c r="F267" s="329"/>
      <c r="G267" s="329"/>
      <c r="H267" s="329"/>
      <c r="I267" s="329"/>
      <c r="J267" s="329"/>
      <c r="K267" s="329"/>
      <c r="L267" s="329"/>
      <c r="M267" s="329"/>
      <c r="N267" s="329"/>
      <c r="O267" s="329"/>
      <c r="P267" s="329"/>
      <c r="Q267" s="329"/>
      <c r="R267" s="276"/>
      <c r="S267" s="276"/>
      <c r="T267" s="276"/>
      <c r="U267" s="276"/>
      <c r="V267" s="276"/>
      <c r="W267" s="276"/>
      <c r="X267" s="276"/>
      <c r="Y267" s="276"/>
      <c r="Z267" s="276"/>
      <c r="AA267" s="276"/>
      <c r="AB267" s="276"/>
      <c r="AC267" s="276"/>
      <c r="AD267" s="276"/>
      <c r="AE267" s="276"/>
      <c r="AF267" s="276"/>
      <c r="AG267" s="276"/>
      <c r="AH267" s="276"/>
      <c r="AI267" s="276"/>
      <c r="AJ267" s="276"/>
      <c r="AK267" s="276"/>
      <c r="AL267" s="276"/>
      <c r="AM267" s="276"/>
      <c r="AN267" s="276">
        <f t="shared" ref="AN267:AY267" si="752">+AN229/AN$106</f>
        <v>0</v>
      </c>
      <c r="AO267" s="276">
        <f t="shared" si="752"/>
        <v>3.57142857142857</v>
      </c>
      <c r="AP267" s="276">
        <f t="shared" si="752"/>
        <v>3.53571428571429</v>
      </c>
      <c r="AQ267" s="276">
        <f t="shared" si="752"/>
        <v>3.50035714285714</v>
      </c>
      <c r="AR267" s="276">
        <f t="shared" si="752"/>
        <v>3.53333152173913</v>
      </c>
      <c r="AS267" s="276">
        <f t="shared" si="752"/>
        <v>3.51566486413043</v>
      </c>
      <c r="AT267" s="276">
        <f t="shared" si="752"/>
        <v>3.49808653980978</v>
      </c>
      <c r="AU267" s="276">
        <f t="shared" si="752"/>
        <v>3.48059610711073</v>
      </c>
      <c r="AV267" s="276">
        <f t="shared" si="752"/>
        <v>3.46319312657518</v>
      </c>
      <c r="AW267" s="276">
        <f t="shared" si="752"/>
        <v>3.4458771609423</v>
      </c>
      <c r="AX267" s="276">
        <f t="shared" si="752"/>
        <v>3.42864777513759</v>
      </c>
      <c r="AY267" s="276">
        <f t="shared" si="752"/>
        <v>3.4115045362619</v>
      </c>
      <c r="AZ267" s="276">
        <f t="shared" ref="AZ267:BC267" si="753">+AZ229/AZ$106</f>
        <v>3.3944470135806</v>
      </c>
      <c r="BA267" s="276">
        <f t="shared" si="753"/>
        <v>3.37747477851269</v>
      </c>
      <c r="BB267" s="276">
        <f t="shared" si="753"/>
        <v>3.36058740462013</v>
      </c>
      <c r="BC267" s="276">
        <f t="shared" si="753"/>
        <v>3.34378446759703</v>
      </c>
      <c r="BD267" s="359"/>
      <c r="BE267" s="271"/>
      <c r="BF267" s="272"/>
      <c r="BG267" s="359"/>
      <c r="BH267" s="359"/>
      <c r="BI267" s="359"/>
      <c r="BJ267" s="359"/>
      <c r="BK267" s="359"/>
      <c r="BL267" s="359"/>
      <c r="BM267" s="359"/>
      <c r="BN267" s="359"/>
      <c r="BO267" s="359"/>
      <c r="BP267" s="359"/>
      <c r="BQ267" s="359"/>
      <c r="BR267" s="359"/>
      <c r="BS267" s="359"/>
      <c r="BT267" s="232"/>
    </row>
    <row r="268" ht="9.75" customHeight="1" spans="1:78">
      <c r="A268" s="268"/>
      <c r="B268" s="268"/>
      <c r="C268" s="397" t="s">
        <v>475</v>
      </c>
      <c r="D268" s="329"/>
      <c r="E268" s="329"/>
      <c r="F268" s="329"/>
      <c r="G268" s="329"/>
      <c r="H268" s="329"/>
      <c r="I268" s="329"/>
      <c r="J268" s="329"/>
      <c r="K268" s="329"/>
      <c r="L268" s="329"/>
      <c r="M268" s="329"/>
      <c r="N268" s="329"/>
      <c r="O268" s="329"/>
      <c r="P268" s="329"/>
      <c r="Q268" s="329"/>
      <c r="R268" s="276"/>
      <c r="S268" s="276"/>
      <c r="T268" s="276"/>
      <c r="U268" s="276"/>
      <c r="V268" s="276"/>
      <c r="W268" s="276"/>
      <c r="X268" s="276"/>
      <c r="Y268" s="276"/>
      <c r="Z268" s="276"/>
      <c r="AA268" s="276"/>
      <c r="AB268" s="276"/>
      <c r="AC268" s="276"/>
      <c r="AD268" s="276"/>
      <c r="AE268" s="276"/>
      <c r="AF268" s="276"/>
      <c r="AG268" s="276"/>
      <c r="AH268" s="276"/>
      <c r="AI268" s="276"/>
      <c r="AJ268" s="276"/>
      <c r="AK268" s="276"/>
      <c r="AL268" s="276"/>
      <c r="AM268" s="276"/>
      <c r="AN268" s="276">
        <f t="shared" ref="AN268:AY268" si="754">+AN230/AN$106</f>
        <v>0</v>
      </c>
      <c r="AO268" s="276">
        <f t="shared" si="754"/>
        <v>1.14285714285714</v>
      </c>
      <c r="AP268" s="276">
        <f t="shared" si="754"/>
        <v>1.13142857142857</v>
      </c>
      <c r="AQ268" s="276">
        <f t="shared" si="754"/>
        <v>1.12011428571429</v>
      </c>
      <c r="AR268" s="276">
        <f t="shared" si="754"/>
        <v>1.13066608695652</v>
      </c>
      <c r="AS268" s="276">
        <f t="shared" si="754"/>
        <v>1.12501275652174</v>
      </c>
      <c r="AT268" s="276">
        <f t="shared" si="754"/>
        <v>1.11938769273913</v>
      </c>
      <c r="AU268" s="276">
        <f t="shared" si="754"/>
        <v>1.11379075427543</v>
      </c>
      <c r="AV268" s="276">
        <f t="shared" si="754"/>
        <v>1.10822180050406</v>
      </c>
      <c r="AW268" s="276">
        <f t="shared" si="754"/>
        <v>1.10268069150154</v>
      </c>
      <c r="AX268" s="276">
        <f t="shared" si="754"/>
        <v>1.09716728804403</v>
      </c>
      <c r="AY268" s="276">
        <f t="shared" si="754"/>
        <v>1.09168145160381</v>
      </c>
      <c r="AZ268" s="276">
        <f t="shared" ref="AZ268:BC268" si="755">+AZ230/AZ$106</f>
        <v>1.08622304434579</v>
      </c>
      <c r="BA268" s="276">
        <f t="shared" si="755"/>
        <v>1.08079192912406</v>
      </c>
      <c r="BB268" s="276">
        <f t="shared" si="755"/>
        <v>1.07538796947844</v>
      </c>
      <c r="BC268" s="276">
        <f t="shared" si="755"/>
        <v>1.07001102963105</v>
      </c>
      <c r="BD268" s="359"/>
      <c r="BE268" s="271"/>
      <c r="BF268" s="272"/>
      <c r="BG268" s="359"/>
      <c r="BH268" s="359"/>
      <c r="BI268" s="359"/>
      <c r="BJ268" s="359"/>
      <c r="BK268" s="359"/>
      <c r="BL268" s="359"/>
      <c r="BM268" s="359"/>
      <c r="BN268" s="359"/>
      <c r="BO268" s="359"/>
      <c r="BP268" s="359"/>
      <c r="BQ268" s="359"/>
      <c r="BR268" s="359"/>
      <c r="BS268" s="359"/>
      <c r="BT268" s="232"/>
    </row>
    <row r="269" ht="9.75" customHeight="1" spans="1:78">
      <c r="A269" s="252"/>
      <c r="B269" s="281" t="s">
        <v>476</v>
      </c>
      <c r="C269" s="70"/>
      <c r="D269" s="329"/>
      <c r="E269" s="329"/>
      <c r="F269" s="329"/>
      <c r="G269" s="329"/>
      <c r="H269" s="329"/>
      <c r="I269" s="329"/>
      <c r="J269" s="329"/>
      <c r="K269" s="329"/>
      <c r="L269" s="329"/>
      <c r="M269" s="329"/>
      <c r="N269" s="329"/>
      <c r="O269" s="329"/>
      <c r="P269" s="329"/>
      <c r="Q269" s="329"/>
      <c r="R269" s="276"/>
      <c r="S269" s="276"/>
      <c r="T269" s="276"/>
      <c r="U269" s="276"/>
      <c r="V269" s="276"/>
      <c r="W269" s="276"/>
      <c r="X269" s="276"/>
      <c r="Y269" s="276"/>
      <c r="Z269" s="276"/>
      <c r="AA269" s="276"/>
      <c r="AB269" s="276"/>
      <c r="AC269" s="276"/>
      <c r="AD269" s="276"/>
      <c r="AE269" s="276"/>
      <c r="AF269" s="276"/>
      <c r="AG269" s="276"/>
      <c r="AH269" s="276"/>
      <c r="AI269" s="276"/>
      <c r="AJ269" s="276"/>
      <c r="AK269" s="276"/>
      <c r="AL269" s="276"/>
      <c r="AM269" s="276"/>
      <c r="AN269" s="276"/>
      <c r="AO269" s="276"/>
      <c r="AP269" s="276"/>
      <c r="AQ269" s="276"/>
      <c r="AR269" s="276"/>
      <c r="AS269" s="276"/>
      <c r="AT269" s="276"/>
      <c r="AU269" s="276"/>
      <c r="AV269" s="276"/>
      <c r="AW269" s="276"/>
      <c r="AX269" s="276"/>
      <c r="AY269" s="276"/>
      <c r="AZ269" s="276"/>
      <c r="BA269" s="276"/>
      <c r="BB269" s="276"/>
      <c r="BC269" s="276"/>
      <c r="BD269" s="359"/>
      <c r="BE269" s="271"/>
      <c r="BF269" s="272"/>
      <c r="BG269" s="359"/>
      <c r="BH269" s="359"/>
      <c r="BI269" s="359"/>
      <c r="BJ269" s="359"/>
      <c r="BK269" s="359"/>
      <c r="BL269" s="359"/>
      <c r="BM269" s="359"/>
      <c r="BN269" s="359"/>
      <c r="BO269" s="359"/>
      <c r="BP269" s="359"/>
      <c r="BQ269" s="359"/>
      <c r="BR269" s="359"/>
      <c r="BS269" s="359"/>
      <c r="BT269" s="232"/>
    </row>
    <row r="270" ht="9.75" customHeight="1" spans="1:78">
      <c r="A270" s="252"/>
      <c r="B270" s="107"/>
      <c r="C270" s="283" t="s">
        <v>477</v>
      </c>
      <c r="D270" s="329"/>
      <c r="E270" s="329"/>
      <c r="F270" s="329"/>
      <c r="G270" s="329"/>
      <c r="H270" s="329"/>
      <c r="I270" s="329"/>
      <c r="J270" s="329"/>
      <c r="K270" s="329"/>
      <c r="L270" s="329"/>
      <c r="M270" s="329"/>
      <c r="N270" s="329"/>
      <c r="O270" s="329"/>
      <c r="P270" s="329"/>
      <c r="Q270" s="329"/>
      <c r="R270" s="276"/>
      <c r="S270" s="276"/>
      <c r="T270" s="276"/>
      <c r="U270" s="276"/>
      <c r="V270" s="276"/>
      <c r="W270" s="276"/>
      <c r="X270" s="276"/>
      <c r="Y270" s="276"/>
      <c r="Z270" s="276"/>
      <c r="AA270" s="276"/>
      <c r="AB270" s="276"/>
      <c r="AC270" s="276"/>
      <c r="AD270" s="276"/>
      <c r="AE270" s="276"/>
      <c r="AF270" s="276"/>
      <c r="AG270" s="276"/>
      <c r="AH270" s="276"/>
      <c r="AI270" s="276">
        <f t="shared" ref="AI270:AY270" si="756">+AI232/AI$106</f>
        <v>37.1212121212121</v>
      </c>
      <c r="AJ270" s="276">
        <f t="shared" si="756"/>
        <v>36.3787878787879</v>
      </c>
      <c r="AK270" s="276">
        <f t="shared" si="756"/>
        <v>33.33</v>
      </c>
      <c r="AL270" s="276">
        <f t="shared" si="756"/>
        <v>32.9967</v>
      </c>
      <c r="AM270" s="276">
        <f t="shared" si="756"/>
        <v>32.666733</v>
      </c>
      <c r="AN270" s="276">
        <f t="shared" si="756"/>
        <v>32.34006567</v>
      </c>
      <c r="AO270" s="276">
        <f t="shared" si="756"/>
        <v>32.0166650133</v>
      </c>
      <c r="AP270" s="276">
        <f t="shared" si="756"/>
        <v>31.696498363167</v>
      </c>
      <c r="AQ270" s="276">
        <f t="shared" si="756"/>
        <v>31.3795333795353</v>
      </c>
      <c r="AR270" s="276">
        <f t="shared" si="756"/>
        <v>31.5159661333594</v>
      </c>
      <c r="AS270" s="276">
        <f t="shared" si="756"/>
        <v>31.2008064720258</v>
      </c>
      <c r="AT270" s="276">
        <f t="shared" si="756"/>
        <v>30.8887984073055</v>
      </c>
      <c r="AU270" s="276">
        <f t="shared" si="756"/>
        <v>30.5799104232325</v>
      </c>
      <c r="AV270" s="276">
        <f t="shared" si="756"/>
        <v>30.2741113190002</v>
      </c>
      <c r="AW270" s="276">
        <f t="shared" si="756"/>
        <v>29.9713702058101</v>
      </c>
      <c r="AX270" s="276">
        <f t="shared" si="756"/>
        <v>29.671656503752</v>
      </c>
      <c r="AY270" s="276">
        <f t="shared" si="756"/>
        <v>29.3749399387145</v>
      </c>
      <c r="AZ270" s="276">
        <f t="shared" ref="AZ270:BC270" si="757">+AZ232/AZ$106</f>
        <v>30.2741113190002</v>
      </c>
      <c r="BA270" s="276">
        <f t="shared" si="757"/>
        <v>29.9713702058101</v>
      </c>
      <c r="BB270" s="276">
        <f t="shared" si="757"/>
        <v>29.671656503752</v>
      </c>
      <c r="BC270" s="276">
        <f t="shared" si="757"/>
        <v>29.3749399387145</v>
      </c>
      <c r="BD270" s="359"/>
      <c r="BE270" s="271"/>
      <c r="BF270" s="272"/>
      <c r="BG270" s="359"/>
      <c r="BH270" s="359"/>
      <c r="BI270" s="359"/>
      <c r="BJ270" s="359"/>
      <c r="BK270" s="359"/>
      <c r="BL270" s="359"/>
      <c r="BM270" s="359"/>
      <c r="BN270" s="359"/>
      <c r="BO270" s="359"/>
      <c r="BP270" s="359"/>
      <c r="BQ270" s="359"/>
      <c r="BR270" s="359"/>
      <c r="BS270" s="359"/>
      <c r="BT270" s="232"/>
    </row>
    <row r="271" s="107" customFormat="1" customHeight="1" spans="1:78">
      <c r="A271" s="252"/>
      <c r="C271" s="283" t="s">
        <v>478</v>
      </c>
      <c r="D271" s="261"/>
      <c r="E271" s="261"/>
      <c r="F271" s="261"/>
      <c r="G271" s="261"/>
      <c r="H271" s="261"/>
      <c r="I271" s="261"/>
      <c r="J271" s="261"/>
      <c r="K271" s="261"/>
      <c r="L271" s="261"/>
      <c r="M271" s="261"/>
      <c r="N271" s="261"/>
      <c r="O271" s="261"/>
      <c r="P271" s="262"/>
      <c r="Q271" s="262"/>
      <c r="R271" s="270"/>
      <c r="S271" s="270"/>
      <c r="T271" s="270"/>
      <c r="U271" s="270"/>
      <c r="V271" s="270"/>
      <c r="W271" s="270"/>
      <c r="X271" s="270"/>
      <c r="Y271" s="270"/>
      <c r="Z271" s="270"/>
      <c r="AA271" s="270"/>
      <c r="AB271" s="270"/>
      <c r="AC271" s="270"/>
      <c r="AD271" s="270"/>
      <c r="AE271" s="270"/>
      <c r="AF271" s="270"/>
      <c r="AG271" s="270"/>
      <c r="AH271" s="270"/>
      <c r="AI271" s="270"/>
      <c r="AJ271" s="270"/>
      <c r="AK271" s="270"/>
      <c r="AL271" s="270"/>
      <c r="AM271" s="270"/>
      <c r="AN271" s="270"/>
      <c r="AO271" s="270"/>
      <c r="AP271" s="270">
        <f t="shared" ref="AP271:AY271" si="758">+AP233/AP$106</f>
        <v>0</v>
      </c>
      <c r="AQ271" s="276">
        <f t="shared" si="758"/>
        <v>0</v>
      </c>
      <c r="AR271" s="276">
        <f t="shared" si="758"/>
        <v>0</v>
      </c>
      <c r="AS271" s="276">
        <f t="shared" si="758"/>
        <v>0</v>
      </c>
      <c r="AT271" s="276">
        <f t="shared" si="758"/>
        <v>0</v>
      </c>
      <c r="AU271" s="276">
        <f t="shared" si="758"/>
        <v>0</v>
      </c>
      <c r="AV271" s="276">
        <f t="shared" si="758"/>
        <v>0</v>
      </c>
      <c r="AW271" s="276">
        <f t="shared" si="758"/>
        <v>724.63768115942</v>
      </c>
      <c r="AX271" s="276">
        <f t="shared" si="758"/>
        <v>721.739130434783</v>
      </c>
      <c r="AY271" s="276">
        <f t="shared" si="758"/>
        <v>718.840579710145</v>
      </c>
      <c r="AZ271" s="276">
        <f t="shared" ref="AZ271:BC271" si="759">+AZ233/AZ$106</f>
        <v>715.942028985507</v>
      </c>
      <c r="BA271" s="276">
        <f t="shared" si="759"/>
        <v>713.04347826087</v>
      </c>
      <c r="BB271" s="276">
        <f t="shared" si="759"/>
        <v>710.144927536232</v>
      </c>
      <c r="BC271" s="276">
        <f t="shared" si="759"/>
        <v>707.246376811594</v>
      </c>
      <c r="BD271" s="270"/>
      <c r="BE271" s="263"/>
      <c r="BF271" s="264"/>
      <c r="BG271" s="261"/>
      <c r="BH271" s="261"/>
      <c r="BI271" s="282"/>
      <c r="BJ271" s="282"/>
      <c r="BK271" s="282"/>
      <c r="BL271" s="270"/>
      <c r="BM271" s="270"/>
      <c r="BN271" s="270"/>
      <c r="BO271" s="270"/>
      <c r="BP271" s="270"/>
      <c r="BQ271" s="270"/>
      <c r="BR271" s="270"/>
      <c r="BS271" s="270"/>
      <c r="BT271" s="252"/>
      <c r="BU271"/>
      <c r="BV271"/>
      <c r="BW271"/>
      <c r="BX271"/>
      <c r="BY271"/>
      <c r="BZ271"/>
    </row>
    <row r="272" s="107" customFormat="1" customHeight="1" spans="1:78">
      <c r="A272" s="252"/>
      <c r="C272" s="283" t="s">
        <v>479</v>
      </c>
      <c r="D272" s="261"/>
      <c r="E272" s="261"/>
      <c r="F272" s="261"/>
      <c r="G272" s="261"/>
      <c r="H272" s="261"/>
      <c r="I272" s="261"/>
      <c r="J272" s="261"/>
      <c r="K272" s="261"/>
      <c r="L272" s="261"/>
      <c r="M272" s="261"/>
      <c r="N272" s="261"/>
      <c r="O272" s="261"/>
      <c r="P272" s="262"/>
      <c r="Q272" s="262"/>
      <c r="R272" s="270"/>
      <c r="S272" s="270"/>
      <c r="T272" s="270"/>
      <c r="U272" s="270"/>
      <c r="V272" s="270"/>
      <c r="W272" s="270"/>
      <c r="X272" s="270"/>
      <c r="Y272" s="270"/>
      <c r="Z272" s="270"/>
      <c r="AA272" s="270"/>
      <c r="AB272" s="270"/>
      <c r="AC272" s="270"/>
      <c r="AD272" s="270"/>
      <c r="AE272" s="270"/>
      <c r="AF272" s="270"/>
      <c r="AG272" s="270"/>
      <c r="AH272" s="270"/>
      <c r="AI272" s="270"/>
      <c r="AJ272" s="270"/>
      <c r="AK272" s="270"/>
      <c r="AL272" s="270"/>
      <c r="AM272" s="270"/>
      <c r="AN272" s="270"/>
      <c r="AO272" s="270"/>
      <c r="AP272" s="270">
        <f t="shared" ref="AP272:AY272" si="760">+AP234/AP$106</f>
        <v>40</v>
      </c>
      <c r="AQ272" s="276">
        <f t="shared" si="760"/>
        <v>37.1428571428571</v>
      </c>
      <c r="AR272" s="276">
        <f t="shared" si="760"/>
        <v>34.7826086956522</v>
      </c>
      <c r="AS272" s="276">
        <f t="shared" si="760"/>
        <v>31.8840579710145</v>
      </c>
      <c r="AT272" s="276">
        <f t="shared" si="760"/>
        <v>28.9855072463768</v>
      </c>
      <c r="AU272" s="276">
        <f t="shared" si="760"/>
        <v>26.0869565217391</v>
      </c>
      <c r="AV272" s="276">
        <f t="shared" si="760"/>
        <v>23.1884057971014</v>
      </c>
      <c r="AW272" s="276">
        <f t="shared" si="760"/>
        <v>23.1884057971014</v>
      </c>
      <c r="AX272" s="276">
        <f t="shared" si="760"/>
        <v>23.1884057971014</v>
      </c>
      <c r="AY272" s="276">
        <f t="shared" si="760"/>
        <v>23.1884057971014</v>
      </c>
      <c r="AZ272" s="276">
        <f t="shared" ref="AZ272:BC272" si="761">+AZ234/AZ$106</f>
        <v>20.2898550724638</v>
      </c>
      <c r="BA272" s="276">
        <f t="shared" si="761"/>
        <v>20.2898550724638</v>
      </c>
      <c r="BB272" s="276">
        <f t="shared" si="761"/>
        <v>20.2898550724638</v>
      </c>
      <c r="BC272" s="276">
        <f t="shared" si="761"/>
        <v>20.2898550724638</v>
      </c>
      <c r="BD272" s="270"/>
      <c r="BE272" s="263"/>
      <c r="BF272" s="264"/>
      <c r="BG272" s="261"/>
      <c r="BH272" s="261"/>
      <c r="BI272" s="282"/>
      <c r="BJ272" s="282"/>
      <c r="BK272" s="282"/>
      <c r="BL272" s="270"/>
      <c r="BM272" s="270"/>
      <c r="BN272" s="270"/>
      <c r="BO272" s="270"/>
      <c r="BP272" s="270"/>
      <c r="BQ272" s="270"/>
      <c r="BR272" s="270"/>
      <c r="BS272" s="270"/>
      <c r="BT272" s="252"/>
      <c r="BU272"/>
      <c r="BV272"/>
      <c r="BW272"/>
      <c r="BX272"/>
      <c r="BY272"/>
      <c r="BZ272"/>
    </row>
    <row r="273" ht="9.75" customHeight="1" spans="1:79">
      <c r="A273" s="252"/>
      <c r="B273" s="281" t="s">
        <v>480</v>
      </c>
      <c r="C273" s="70"/>
      <c r="D273" s="329"/>
      <c r="E273" s="329"/>
      <c r="F273" s="329"/>
      <c r="G273" s="329"/>
      <c r="H273" s="329"/>
      <c r="I273" s="329"/>
      <c r="J273" s="329"/>
      <c r="K273" s="329"/>
      <c r="L273" s="329"/>
      <c r="M273" s="329"/>
      <c r="N273" s="329"/>
      <c r="O273" s="329"/>
      <c r="P273" s="329"/>
      <c r="Q273" s="329"/>
      <c r="R273" s="270">
        <f t="shared" ref="R273:AY273" si="762">+R235/R$106</f>
        <v>910</v>
      </c>
      <c r="S273" s="270">
        <f t="shared" si="762"/>
        <v>864.5</v>
      </c>
      <c r="T273" s="270">
        <f t="shared" si="762"/>
        <v>259.35</v>
      </c>
      <c r="U273" s="270">
        <f t="shared" si="762"/>
        <v>264.537</v>
      </c>
      <c r="V273" s="270">
        <f t="shared" si="762"/>
        <v>277.76385</v>
      </c>
      <c r="W273" s="270">
        <f t="shared" si="762"/>
        <v>291.904555090909</v>
      </c>
      <c r="X273" s="270">
        <f t="shared" si="762"/>
        <v>414.95355216</v>
      </c>
      <c r="Y273" s="270">
        <f t="shared" si="762"/>
        <v>593.3835795888</v>
      </c>
      <c r="Z273" s="270">
        <f t="shared" si="762"/>
        <v>848.538518811984</v>
      </c>
      <c r="AA273" s="270">
        <f t="shared" si="762"/>
        <v>1232.077929315</v>
      </c>
      <c r="AB273" s="270">
        <f t="shared" si="762"/>
        <v>1189.14188026311</v>
      </c>
      <c r="AC273" s="270">
        <f t="shared" si="762"/>
        <v>1177.25046146048</v>
      </c>
      <c r="AD273" s="270">
        <f t="shared" si="762"/>
        <v>1165.47795684588</v>
      </c>
      <c r="AE273" s="270">
        <f t="shared" si="762"/>
        <v>1153.82317727742</v>
      </c>
      <c r="AF273" s="270">
        <f t="shared" si="762"/>
        <v>998.157276995305</v>
      </c>
      <c r="AG273" s="270">
        <f t="shared" si="762"/>
        <v>998.157276995305</v>
      </c>
      <c r="AH273" s="270">
        <f t="shared" si="762"/>
        <v>998.157276995305</v>
      </c>
      <c r="AI273" s="270">
        <f t="shared" si="762"/>
        <v>998.157276995305</v>
      </c>
      <c r="AJ273" s="270">
        <f t="shared" si="762"/>
        <v>1018.12042253521</v>
      </c>
      <c r="AK273" s="270">
        <f t="shared" si="762"/>
        <v>979.140954929578</v>
      </c>
      <c r="AL273" s="270">
        <f t="shared" si="762"/>
        <v>998.723774028169</v>
      </c>
      <c r="AM273" s="270">
        <f t="shared" si="762"/>
        <v>1018.69824950873</v>
      </c>
      <c r="AN273" s="270">
        <f t="shared" si="762"/>
        <v>1023.79174075628</v>
      </c>
      <c r="AO273" s="270">
        <f t="shared" si="762"/>
        <v>1028.91069946006</v>
      </c>
      <c r="AP273" s="270">
        <f t="shared" si="762"/>
        <v>1034.05525295736</v>
      </c>
      <c r="AQ273" s="270">
        <f t="shared" si="762"/>
        <v>1039.22552922214</v>
      </c>
      <c r="AR273" s="270">
        <f t="shared" si="762"/>
        <v>1059.55820261997</v>
      </c>
      <c r="AS273" s="270">
        <f t="shared" si="762"/>
        <v>1064.85599363307</v>
      </c>
      <c r="AT273" s="270">
        <f t="shared" si="762"/>
        <v>1070.18027360123</v>
      </c>
      <c r="AU273" s="270">
        <f t="shared" si="762"/>
        <v>1075.53117496924</v>
      </c>
      <c r="AV273" s="270">
        <f t="shared" si="762"/>
        <v>1080.90883084409</v>
      </c>
      <c r="AW273" s="270">
        <f t="shared" si="762"/>
        <v>1086.31337499831</v>
      </c>
      <c r="AX273" s="270">
        <f t="shared" si="762"/>
        <v>1091.7449418733</v>
      </c>
      <c r="AY273" s="270">
        <f t="shared" si="762"/>
        <v>1097.20366658266</v>
      </c>
      <c r="AZ273" s="270">
        <f t="shared" ref="AZ273:BC273" si="763">+AZ235/AZ$106</f>
        <v>1102.68968491558</v>
      </c>
      <c r="BA273" s="270">
        <f t="shared" si="763"/>
        <v>1108.20313334015</v>
      </c>
      <c r="BB273" s="270">
        <f t="shared" si="763"/>
        <v>1113.74414900686</v>
      </c>
      <c r="BC273" s="270">
        <f t="shared" si="763"/>
        <v>1119.31286975189</v>
      </c>
      <c r="BD273" s="359"/>
      <c r="BE273" s="271"/>
      <c r="BF273" s="272"/>
      <c r="BG273" s="359"/>
      <c r="BH273" s="359"/>
      <c r="BI273" s="359"/>
      <c r="BJ273" s="359"/>
      <c r="BK273" s="359"/>
      <c r="BL273" s="359"/>
      <c r="BM273" s="359"/>
      <c r="BN273" s="360"/>
      <c r="BO273" s="360"/>
      <c r="BP273" s="360"/>
      <c r="BQ273" s="360"/>
      <c r="BR273" s="360"/>
      <c r="BS273" s="360"/>
      <c r="BT273" s="232"/>
    </row>
    <row r="274" ht="9.75" customHeight="1" spans="1:79">
      <c r="A274" s="345"/>
      <c r="B274" s="356"/>
      <c r="C274" s="284"/>
      <c r="D274" s="329"/>
      <c r="E274" s="329"/>
      <c r="F274" s="329"/>
      <c r="G274" s="347"/>
      <c r="H274" s="347"/>
      <c r="I274" s="347"/>
      <c r="J274" s="347"/>
      <c r="K274" s="347"/>
      <c r="L274" s="347"/>
      <c r="M274" s="347"/>
      <c r="N274" s="347"/>
      <c r="O274" s="347"/>
      <c r="P274" s="347"/>
      <c r="Q274" s="347"/>
      <c r="R274" s="347"/>
      <c r="S274" s="347"/>
      <c r="T274" s="347"/>
      <c r="U274" s="347"/>
      <c r="V274" s="347"/>
      <c r="W274" s="347"/>
      <c r="X274" s="347"/>
      <c r="Y274" s="347"/>
      <c r="Z274" s="347"/>
      <c r="AA274" s="347"/>
      <c r="AB274" s="347"/>
      <c r="AC274" s="347"/>
      <c r="AD274" s="347"/>
      <c r="AE274" s="347"/>
      <c r="AF274" s="347"/>
      <c r="AG274" s="347"/>
      <c r="AH274" s="347"/>
      <c r="AI274" s="347"/>
      <c r="AJ274" s="347"/>
      <c r="AK274" s="347"/>
      <c r="AL274" s="347"/>
      <c r="AM274" s="347"/>
      <c r="AN274" s="347"/>
      <c r="AO274" s="347"/>
      <c r="AP274" s="347"/>
      <c r="AQ274" s="347"/>
      <c r="AR274" s="347"/>
      <c r="AS274" s="347"/>
      <c r="AT274" s="347"/>
      <c r="AU274" s="347"/>
      <c r="AV274" s="347"/>
      <c r="AW274" s="347"/>
      <c r="AX274" s="347"/>
      <c r="AY274" s="347"/>
      <c r="AZ274" s="347"/>
      <c r="BA274" s="347"/>
      <c r="BB274" s="347"/>
      <c r="BC274" s="347"/>
      <c r="BD274" s="347"/>
      <c r="BE274" s="271"/>
      <c r="BF274" s="272"/>
      <c r="BG274" s="329"/>
      <c r="BH274" s="329"/>
      <c r="BI274" s="329"/>
      <c r="BJ274" s="329"/>
      <c r="BK274" s="329"/>
      <c r="BL274" s="329"/>
      <c r="BM274" s="329"/>
      <c r="BN274" s="329"/>
      <c r="BO274" s="329"/>
      <c r="BP274" s="232"/>
      <c r="BQ274" s="232"/>
      <c r="BR274" s="232"/>
      <c r="BS274" s="232"/>
      <c r="BT274" s="232"/>
    </row>
    <row r="275" ht="11.25" spans="1:79">
      <c r="A275" s="244" t="s">
        <v>491</v>
      </c>
      <c r="B275" s="244"/>
      <c r="C275" s="244"/>
      <c r="D275" s="245"/>
      <c r="E275" s="245"/>
      <c r="F275" s="245"/>
      <c r="G275" s="245"/>
      <c r="H275" s="245"/>
      <c r="I275" s="245"/>
      <c r="J275" s="245"/>
      <c r="K275" s="245"/>
      <c r="L275" s="245"/>
      <c r="M275" s="245"/>
      <c r="N275" s="245"/>
      <c r="O275" s="245"/>
      <c r="P275" s="245"/>
      <c r="Q275" s="245"/>
      <c r="R275" s="245"/>
      <c r="S275" s="245"/>
      <c r="T275" s="245"/>
      <c r="U275" s="245"/>
      <c r="V275" s="245"/>
      <c r="W275" s="245"/>
      <c r="X275" s="245"/>
      <c r="Y275" s="245"/>
      <c r="Z275" s="245"/>
      <c r="AA275" s="245"/>
      <c r="AB275" s="245"/>
      <c r="AC275" s="245"/>
      <c r="AD275" s="245"/>
      <c r="AE275" s="245"/>
      <c r="AF275" s="245"/>
      <c r="AG275" s="245"/>
      <c r="AH275" s="361"/>
      <c r="AI275" s="245"/>
      <c r="AJ275" s="245"/>
      <c r="AK275" s="245"/>
      <c r="AL275" s="245"/>
      <c r="AM275" s="245"/>
      <c r="AN275" s="245"/>
      <c r="AO275" s="245"/>
      <c r="AP275" s="245"/>
      <c r="AQ275" s="245"/>
      <c r="AR275" s="245"/>
      <c r="AS275" s="245"/>
      <c r="AT275" s="245"/>
      <c r="AU275" s="245"/>
      <c r="AV275" s="245"/>
      <c r="AW275" s="245"/>
      <c r="AX275" s="245"/>
      <c r="AY275" s="245"/>
      <c r="AZ275" s="245"/>
      <c r="BA275" s="245"/>
      <c r="BB275" s="245"/>
      <c r="BC275" s="245"/>
      <c r="BD275" s="245"/>
      <c r="BE275" s="342"/>
      <c r="BF275" s="249"/>
      <c r="BG275" s="250"/>
      <c r="BH275" s="250"/>
      <c r="BI275" s="250"/>
      <c r="BJ275" s="250"/>
      <c r="BK275" s="250"/>
      <c r="BL275" s="250"/>
      <c r="BM275" s="250"/>
      <c r="BN275" s="250"/>
      <c r="BO275" s="250"/>
      <c r="BP275" s="250"/>
      <c r="BQ275" s="250"/>
      <c r="BR275" s="250"/>
      <c r="BS275" s="250"/>
      <c r="BT275" s="250"/>
    </row>
    <row r="276" customHeight="1" spans="1:79">
      <c r="A276" s="278"/>
      <c r="B276" s="70"/>
      <c r="C276" s="284"/>
      <c r="D276" s="310"/>
      <c r="E276" s="310"/>
      <c r="F276" s="310"/>
      <c r="G276" s="310"/>
      <c r="H276" s="310"/>
      <c r="I276" s="310"/>
      <c r="J276" s="310"/>
      <c r="K276" s="310"/>
      <c r="L276" s="310"/>
      <c r="M276" s="310"/>
      <c r="N276" s="310"/>
      <c r="O276" s="310"/>
      <c r="P276" s="310"/>
      <c r="Q276" s="310"/>
      <c r="R276" s="310"/>
      <c r="S276" s="310"/>
      <c r="T276" s="310"/>
      <c r="U276" s="310"/>
      <c r="V276" s="310"/>
      <c r="W276" s="310"/>
      <c r="X276" s="310"/>
      <c r="Y276" s="310"/>
      <c r="Z276" s="310"/>
      <c r="AA276" s="310"/>
      <c r="AB276" s="362"/>
      <c r="AC276" s="362"/>
      <c r="AD276" s="362"/>
      <c r="AE276" s="362"/>
      <c r="AF276" s="362"/>
      <c r="AG276" s="362"/>
      <c r="AH276" s="362"/>
      <c r="AI276" s="362"/>
      <c r="AJ276" s="362"/>
      <c r="AK276" s="362"/>
      <c r="AL276" s="362"/>
      <c r="AM276" s="362"/>
      <c r="AN276" s="310"/>
      <c r="AO276" s="310"/>
      <c r="AP276" s="310"/>
      <c r="AQ276" s="310"/>
      <c r="AR276" s="310"/>
      <c r="AS276" s="310"/>
      <c r="AT276" s="310"/>
      <c r="AU276" s="310"/>
      <c r="AV276" s="310"/>
      <c r="AW276" s="310"/>
      <c r="AX276" s="310"/>
      <c r="AY276" s="310"/>
      <c r="AZ276" s="310"/>
      <c r="BA276" s="310"/>
      <c r="BB276" s="310"/>
      <c r="BC276" s="310"/>
      <c r="BD276" s="310"/>
      <c r="BE276" s="363"/>
      <c r="BF276" s="278"/>
      <c r="BG276" s="364"/>
      <c r="BH276" s="364"/>
      <c r="BI276" s="364"/>
      <c r="BJ276" s="364"/>
      <c r="BK276" s="364"/>
      <c r="BL276" s="364"/>
      <c r="BM276" s="364"/>
      <c r="BN276" s="364"/>
      <c r="BO276" s="364"/>
      <c r="BP276" s="182"/>
      <c r="BQ276" s="182"/>
      <c r="BR276" s="182"/>
      <c r="BS276" s="182"/>
      <c r="BT276" s="182"/>
    </row>
    <row r="277" customHeight="1" spans="1:79">
      <c r="A277" s="252"/>
      <c r="B277" s="395" t="s">
        <v>464</v>
      </c>
      <c r="C277" s="70"/>
      <c r="D277" s="365"/>
      <c r="E277" s="365"/>
      <c r="F277" s="365"/>
      <c r="G277" s="365"/>
      <c r="H277" s="365"/>
      <c r="I277" s="365"/>
      <c r="J277" s="365"/>
      <c r="K277" s="365"/>
      <c r="L277" s="365"/>
      <c r="M277" s="365"/>
      <c r="N277" s="365"/>
      <c r="O277" s="365"/>
      <c r="P277" s="366"/>
      <c r="Q277" s="366"/>
      <c r="R277" s="366">
        <f t="shared" ref="R277:AY277" si="764">R298/R110</f>
        <v>0.758874210395334</v>
      </c>
      <c r="S277" s="366">
        <f t="shared" si="764"/>
        <v>0.741200607902736</v>
      </c>
      <c r="T277" s="366">
        <f t="shared" si="764"/>
        <v>0.733065759747167</v>
      </c>
      <c r="U277" s="366">
        <f t="shared" si="764"/>
        <v>0.752035331769231</v>
      </c>
      <c r="V277" s="366">
        <f t="shared" si="764"/>
        <v>0.717625513987831</v>
      </c>
      <c r="W277" s="366">
        <f t="shared" si="764"/>
        <v>0.708064411539334</v>
      </c>
      <c r="X277" s="366">
        <f t="shared" si="764"/>
        <v>0.692013303462134</v>
      </c>
      <c r="Y277" s="366">
        <f t="shared" si="764"/>
        <v>0.668796610229784</v>
      </c>
      <c r="Z277" s="366">
        <f t="shared" si="764"/>
        <v>0.58965518816182</v>
      </c>
      <c r="AA277" s="366">
        <f t="shared" si="764"/>
        <v>0.67663649113697</v>
      </c>
      <c r="AB277" s="366">
        <f t="shared" si="764"/>
        <v>0.605477690647217</v>
      </c>
      <c r="AC277" s="366">
        <f t="shared" si="764"/>
        <v>0.597778614998275</v>
      </c>
      <c r="AD277" s="366">
        <f t="shared" si="764"/>
        <v>0.571488140273714</v>
      </c>
      <c r="AE277" s="366">
        <f t="shared" si="764"/>
        <v>0.569467713503206</v>
      </c>
      <c r="AF277" s="366">
        <f t="shared" si="764"/>
        <v>0.592567348631129</v>
      </c>
      <c r="AG277" s="366">
        <f t="shared" si="764"/>
        <v>0.66398030973148</v>
      </c>
      <c r="AH277" s="366">
        <f t="shared" si="764"/>
        <v>0.71936420854987</v>
      </c>
      <c r="AI277" s="366">
        <f t="shared" si="764"/>
        <v>0.634230352939597</v>
      </c>
      <c r="AJ277" s="366">
        <f t="shared" si="764"/>
        <v>0.602167565093752</v>
      </c>
      <c r="AK277" s="366">
        <f t="shared" si="764"/>
        <v>0.631185660034809</v>
      </c>
      <c r="AL277" s="366">
        <f t="shared" si="764"/>
        <v>0.606842359245521</v>
      </c>
      <c r="AM277" s="366">
        <f t="shared" si="764"/>
        <v>0.621957981437555</v>
      </c>
      <c r="AN277" s="366">
        <f t="shared" si="764"/>
        <v>0.612407493858272</v>
      </c>
      <c r="AO277" s="366">
        <f t="shared" si="764"/>
        <v>0.634535905970058</v>
      </c>
      <c r="AP277" s="366">
        <f t="shared" si="764"/>
        <v>0.631106701487793</v>
      </c>
      <c r="AQ277" s="366">
        <f t="shared" si="764"/>
        <v>0.597643642524393</v>
      </c>
      <c r="AR277" s="366">
        <f t="shared" si="764"/>
        <v>0.670100329135845</v>
      </c>
      <c r="AS277" s="366">
        <f t="shared" si="764"/>
        <v>0.678127257941541</v>
      </c>
      <c r="AT277" s="366">
        <f t="shared" si="764"/>
        <v>0.683213906515217</v>
      </c>
      <c r="AU277" s="366">
        <f t="shared" si="764"/>
        <v>0.687982016693998</v>
      </c>
      <c r="AV277" s="366">
        <f t="shared" si="764"/>
        <v>0.691631829685748</v>
      </c>
      <c r="AW277" s="366">
        <f t="shared" si="764"/>
        <v>0.695060005452059</v>
      </c>
      <c r="AX277" s="366">
        <f t="shared" si="764"/>
        <v>0.698223610834429</v>
      </c>
      <c r="AY277" s="366">
        <f t="shared" si="764"/>
        <v>0.701078672733495</v>
      </c>
      <c r="AZ277" s="366">
        <f t="shared" ref="AZ277:BC277" si="765">AZ298/AZ110</f>
        <v>0.703746351281577</v>
      </c>
      <c r="BA277" s="366">
        <f t="shared" si="765"/>
        <v>0.706288421555135</v>
      </c>
      <c r="BB277" s="366">
        <f t="shared" si="765"/>
        <v>0.708703471550754</v>
      </c>
      <c r="BC277" s="366">
        <f t="shared" si="765"/>
        <v>0.710990362129751</v>
      </c>
      <c r="BD277" s="366"/>
      <c r="BE277" s="363"/>
      <c r="BF277" s="278"/>
      <c r="BG277" s="364">
        <f t="shared" ref="BG277:BR277" si="766">+IFERROR(BG298/BG110,"-")</f>
        <v>0</v>
      </c>
      <c r="BH277" s="364">
        <f t="shared" si="766"/>
        <v>0</v>
      </c>
      <c r="BI277" s="364">
        <f t="shared" si="766"/>
        <v>0</v>
      </c>
      <c r="BJ277" s="364">
        <f t="shared" si="766"/>
        <v>0.370817201116379</v>
      </c>
      <c r="BK277" s="364">
        <f t="shared" si="766"/>
        <v>0.731263506052354</v>
      </c>
      <c r="BL277" s="364">
        <f t="shared" si="766"/>
        <v>0.649856834951758</v>
      </c>
      <c r="BM277" s="364">
        <f t="shared" si="766"/>
        <v>0.584599267111951</v>
      </c>
      <c r="BN277" s="364">
        <f t="shared" si="766"/>
        <v>0.656014736853294</v>
      </c>
      <c r="BO277" s="364">
        <f t="shared" si="766"/>
        <v>0.615854652318464</v>
      </c>
      <c r="BP277" s="364">
        <f t="shared" si="766"/>
        <v>0.618721922202657</v>
      </c>
      <c r="BQ277" s="364">
        <f t="shared" si="766"/>
        <v>0.680580723776181</v>
      </c>
      <c r="BR277" s="364">
        <f t="shared" si="766"/>
        <v>0.696855502125755</v>
      </c>
      <c r="BS277" s="364">
        <f t="shared" ref="BS277" si="767">+IFERROR(BS298/BS110,"-")</f>
        <v>0.564878769313008</v>
      </c>
      <c r="BT277" s="182"/>
      <c r="CA277" s="166"/>
    </row>
    <row r="278" s="105" customFormat="1" customHeight="1" spans="1:79">
      <c r="A278" s="268"/>
      <c r="B278" s="268"/>
      <c r="C278" s="397" t="s">
        <v>465</v>
      </c>
      <c r="D278" s="367"/>
      <c r="E278" s="367"/>
      <c r="F278" s="367"/>
      <c r="G278" s="367"/>
      <c r="H278" s="367"/>
      <c r="I278" s="367"/>
      <c r="J278" s="367"/>
      <c r="K278" s="367"/>
      <c r="L278" s="367"/>
      <c r="M278" s="367"/>
      <c r="N278" s="367"/>
      <c r="O278" s="367"/>
      <c r="P278" s="366"/>
      <c r="Q278" s="366"/>
      <c r="R278" s="366">
        <f t="shared" ref="R278:AY278" si="768">R299/R111</f>
        <v>0.758874210395334</v>
      </c>
      <c r="S278" s="366">
        <f t="shared" si="768"/>
        <v>0.741200607902736</v>
      </c>
      <c r="T278" s="366">
        <f t="shared" si="768"/>
        <v>0.733065759747167</v>
      </c>
      <c r="U278" s="366">
        <f t="shared" si="768"/>
        <v>0.752035331769231</v>
      </c>
      <c r="V278" s="366">
        <f t="shared" si="768"/>
        <v>0.717625513987831</v>
      </c>
      <c r="W278" s="366">
        <f t="shared" si="768"/>
        <v>0.708064411539334</v>
      </c>
      <c r="X278" s="366">
        <f t="shared" si="768"/>
        <v>0.692013303462134</v>
      </c>
      <c r="Y278" s="366">
        <f t="shared" si="768"/>
        <v>0.668796610229784</v>
      </c>
      <c r="Z278" s="366">
        <f t="shared" si="768"/>
        <v>0.58965518816182</v>
      </c>
      <c r="AA278" s="366">
        <f t="shared" si="768"/>
        <v>0.6771739503557</v>
      </c>
      <c r="AB278" s="366">
        <f t="shared" si="768"/>
        <v>0.609778183198467</v>
      </c>
      <c r="AC278" s="366">
        <f t="shared" si="768"/>
        <v>0.602645623711792</v>
      </c>
      <c r="AD278" s="366">
        <f t="shared" si="768"/>
        <v>0.577011834816942</v>
      </c>
      <c r="AE278" s="366">
        <f t="shared" si="768"/>
        <v>0.576989595522585</v>
      </c>
      <c r="AF278" s="366">
        <f t="shared" si="768"/>
        <v>0.602771895023987</v>
      </c>
      <c r="AG278" s="366">
        <f t="shared" si="768"/>
        <v>0.675789485971241</v>
      </c>
      <c r="AH278" s="366">
        <f t="shared" si="768"/>
        <v>0.756602347495013</v>
      </c>
      <c r="AI278" s="366">
        <f t="shared" si="768"/>
        <v>0.708302739515142</v>
      </c>
      <c r="AJ278" s="366">
        <f t="shared" si="768"/>
        <v>0.630005598022883</v>
      </c>
      <c r="AK278" s="366">
        <f t="shared" si="768"/>
        <v>0.668652024350175</v>
      </c>
      <c r="AL278" s="366">
        <f t="shared" si="768"/>
        <v>0.65</v>
      </c>
      <c r="AM278" s="366">
        <f t="shared" si="768"/>
        <v>0.64</v>
      </c>
      <c r="AN278" s="366">
        <f t="shared" si="768"/>
        <v>0.722</v>
      </c>
      <c r="AO278" s="366">
        <f t="shared" si="768"/>
        <v>0.748</v>
      </c>
      <c r="AP278" s="366">
        <f t="shared" si="768"/>
        <v>0.7075</v>
      </c>
      <c r="AQ278" s="366">
        <f t="shared" si="768"/>
        <v>0.665</v>
      </c>
      <c r="AR278" s="366">
        <f t="shared" si="768"/>
        <v>0.75</v>
      </c>
      <c r="AS278" s="366">
        <f t="shared" si="768"/>
        <v>0.752</v>
      </c>
      <c r="AT278" s="366">
        <f t="shared" si="768"/>
        <v>0.754</v>
      </c>
      <c r="AU278" s="366">
        <f t="shared" si="768"/>
        <v>0.756</v>
      </c>
      <c r="AV278" s="366">
        <f t="shared" si="768"/>
        <v>0.758</v>
      </c>
      <c r="AW278" s="366">
        <f t="shared" si="768"/>
        <v>0.76</v>
      </c>
      <c r="AX278" s="366">
        <f t="shared" si="768"/>
        <v>0.762</v>
      </c>
      <c r="AY278" s="366">
        <f t="shared" si="768"/>
        <v>0.764</v>
      </c>
      <c r="AZ278" s="366">
        <f t="shared" ref="AZ278:BC278" si="769">AZ299/AZ111</f>
        <v>0.766</v>
      </c>
      <c r="BA278" s="366">
        <f t="shared" si="769"/>
        <v>0.768</v>
      </c>
      <c r="BB278" s="366">
        <f t="shared" si="769"/>
        <v>0.77</v>
      </c>
      <c r="BC278" s="366">
        <f t="shared" si="769"/>
        <v>0.772</v>
      </c>
      <c r="BD278" s="366"/>
      <c r="BE278" s="368"/>
      <c r="BF278" s="369"/>
      <c r="BG278" s="364">
        <f t="shared" ref="BG278:BR278" si="770">+IFERROR(BG299/BG111,"-")</f>
        <v>0</v>
      </c>
      <c r="BH278" s="364">
        <f t="shared" si="770"/>
        <v>0</v>
      </c>
      <c r="BI278" s="364">
        <f t="shared" si="770"/>
        <v>0</v>
      </c>
      <c r="BJ278" s="364">
        <f t="shared" si="770"/>
        <v>0.370817201116379</v>
      </c>
      <c r="BK278" s="364">
        <f t="shared" si="770"/>
        <v>0.731263506052354</v>
      </c>
      <c r="BL278" s="364">
        <f t="shared" si="770"/>
        <v>0.650030532365042</v>
      </c>
      <c r="BM278" s="364">
        <f t="shared" si="770"/>
        <v>0.590375514554644</v>
      </c>
      <c r="BN278" s="364">
        <f t="shared" si="770"/>
        <v>0.692168777114934</v>
      </c>
      <c r="BO278" s="364">
        <f t="shared" si="770"/>
        <v>0.647634135650258</v>
      </c>
      <c r="BP278" s="364">
        <f t="shared" si="770"/>
        <v>0.710096207160601</v>
      </c>
      <c r="BQ278" s="364">
        <f t="shared" si="770"/>
        <v>0.753199134156254</v>
      </c>
      <c r="BR278" s="364">
        <f t="shared" si="770"/>
        <v>0.761123318460732</v>
      </c>
      <c r="BS278" s="364">
        <f t="shared" ref="BS278" si="771">+IFERROR(BS299/BS111,"-")</f>
        <v>0.658085822899228</v>
      </c>
      <c r="BT278" s="370"/>
      <c r="BU278"/>
      <c r="BV278"/>
      <c r="BW278"/>
      <c r="BX278"/>
      <c r="BY278"/>
      <c r="BZ278"/>
    </row>
    <row r="279" customHeight="1" spans="1:79">
      <c r="A279" s="268"/>
      <c r="B279" s="268"/>
      <c r="C279" s="396" t="s">
        <v>466</v>
      </c>
      <c r="D279" s="364"/>
      <c r="E279" s="316"/>
      <c r="F279" s="364"/>
      <c r="G279" s="364"/>
      <c r="H279" s="364"/>
      <c r="I279" s="364"/>
      <c r="J279" s="364"/>
      <c r="K279" s="364"/>
      <c r="L279" s="364"/>
      <c r="M279" s="364"/>
      <c r="N279" s="364"/>
      <c r="O279" s="364"/>
      <c r="P279" s="371"/>
      <c r="Q279" s="371"/>
      <c r="R279" s="372">
        <v>0.765</v>
      </c>
      <c r="S279" s="358">
        <v>0.745</v>
      </c>
      <c r="T279" s="358">
        <v>0.734</v>
      </c>
      <c r="U279" s="358">
        <f>T279+2.5%</f>
        <v>0.759</v>
      </c>
      <c r="V279" s="358">
        <f>U279-3.9%</f>
        <v>0.72</v>
      </c>
      <c r="W279" s="358">
        <v>0.71</v>
      </c>
      <c r="X279" s="358">
        <v>0.7</v>
      </c>
      <c r="Y279" s="358">
        <v>0.673</v>
      </c>
      <c r="Z279" s="358">
        <v>0.595</v>
      </c>
      <c r="AA279" s="358">
        <v>0.686</v>
      </c>
      <c r="AB279" s="358">
        <v>0.614</v>
      </c>
      <c r="AC279" s="358">
        <v>0.6075</v>
      </c>
      <c r="AD279" s="358">
        <v>0.583</v>
      </c>
      <c r="AE279" s="358">
        <v>0.585</v>
      </c>
      <c r="AF279" s="358">
        <v>0.618</v>
      </c>
      <c r="AG279" s="358">
        <v>0.699</v>
      </c>
      <c r="AH279" s="358">
        <v>0.768</v>
      </c>
      <c r="AI279" s="358">
        <v>0.71</v>
      </c>
      <c r="AJ279" s="358">
        <v>0.633</v>
      </c>
      <c r="AK279" s="358">
        <v>0.67</v>
      </c>
      <c r="AL279" s="358">
        <v>0.65</v>
      </c>
      <c r="AM279" s="358">
        <v>0.64</v>
      </c>
      <c r="AN279" s="358">
        <v>0.722</v>
      </c>
      <c r="AO279" s="358">
        <v>0.748</v>
      </c>
      <c r="AP279" s="358">
        <v>0.7075</v>
      </c>
      <c r="AQ279" s="358">
        <v>0.665</v>
      </c>
      <c r="AR279" s="358">
        <v>0.75</v>
      </c>
      <c r="AS279" s="358">
        <f t="shared" ref="AS279:AY279" si="772">+AR279+0.2%</f>
        <v>0.752</v>
      </c>
      <c r="AT279" s="358">
        <f t="shared" si="772"/>
        <v>0.754</v>
      </c>
      <c r="AU279" s="358">
        <f t="shared" si="772"/>
        <v>0.756</v>
      </c>
      <c r="AV279" s="358">
        <f t="shared" si="772"/>
        <v>0.758</v>
      </c>
      <c r="AW279" s="358">
        <f t="shared" si="772"/>
        <v>0.76</v>
      </c>
      <c r="AX279" s="358">
        <f t="shared" si="772"/>
        <v>0.762</v>
      </c>
      <c r="AY279" s="358">
        <f t="shared" si="772"/>
        <v>0.764</v>
      </c>
      <c r="AZ279" s="358">
        <f t="shared" ref="AZ279:AZ280" si="773">+AY279+0.2%</f>
        <v>0.766</v>
      </c>
      <c r="BA279" s="358">
        <f t="shared" ref="BA279:BA280" si="774">+AZ279+0.2%</f>
        <v>0.768</v>
      </c>
      <c r="BB279" s="358">
        <f t="shared" ref="BB279:BB280" si="775">+BA279+0.2%</f>
        <v>0.77</v>
      </c>
      <c r="BC279" s="358">
        <f t="shared" ref="BC279:BC280" si="776">+BB279+0.2%</f>
        <v>0.772</v>
      </c>
      <c r="BD279" s="310"/>
      <c r="BE279" s="363"/>
      <c r="BF279" s="278"/>
      <c r="BG279" s="364">
        <f t="shared" ref="BG279:BI285" si="777">+IFERROR(BG300/BG112,"-")</f>
        <v>0</v>
      </c>
      <c r="BH279" s="364">
        <f t="shared" si="777"/>
        <v>0</v>
      </c>
      <c r="BI279" s="364">
        <f t="shared" si="777"/>
        <v>0</v>
      </c>
      <c r="BJ279" s="364">
        <v>0.7482</v>
      </c>
      <c r="BK279" s="364">
        <f t="shared" ref="BK279:BR279" si="778">+IFERROR(BK300/BK112,"-")</f>
        <v>0.734661517869116</v>
      </c>
      <c r="BL279" s="364">
        <f t="shared" si="778"/>
        <v>0.655612611989289</v>
      </c>
      <c r="BM279" s="364">
        <f t="shared" si="778"/>
        <v>0.596310541197118</v>
      </c>
      <c r="BN279" s="364">
        <f t="shared" si="778"/>
        <v>0.70495915058499</v>
      </c>
      <c r="BO279" s="364">
        <f t="shared" si="778"/>
        <v>0.648697272835019</v>
      </c>
      <c r="BP279" s="364">
        <f t="shared" si="778"/>
        <v>0.710096207160601</v>
      </c>
      <c r="BQ279" s="364">
        <f t="shared" si="778"/>
        <v>0.753199134156254</v>
      </c>
      <c r="BR279" s="364">
        <f t="shared" si="778"/>
        <v>0.761123318460732</v>
      </c>
      <c r="BS279" s="364">
        <f t="shared" ref="BS279" si="779">+IFERROR(BS300/BS112,"-")</f>
        <v>0.658085822899228</v>
      </c>
      <c r="BT279" s="182"/>
    </row>
    <row r="280" customHeight="1" spans="1:79">
      <c r="A280" s="268"/>
      <c r="B280" s="268"/>
      <c r="C280" s="396" t="s">
        <v>467</v>
      </c>
      <c r="D280" s="365"/>
      <c r="E280" s="365"/>
      <c r="F280" s="365"/>
      <c r="G280" s="365"/>
      <c r="H280" s="365"/>
      <c r="I280" s="365"/>
      <c r="J280" s="365"/>
      <c r="K280" s="365"/>
      <c r="L280" s="365"/>
      <c r="M280" s="365"/>
      <c r="N280" s="365"/>
      <c r="O280" s="365"/>
      <c r="P280" s="371"/>
      <c r="Q280" s="371"/>
      <c r="R280" s="372">
        <v>0.74</v>
      </c>
      <c r="S280" s="358">
        <v>0.73</v>
      </c>
      <c r="T280" s="358">
        <v>0.73</v>
      </c>
      <c r="U280" s="358">
        <v>0.73</v>
      </c>
      <c r="V280" s="358">
        <v>0.71</v>
      </c>
      <c r="W280" s="358">
        <v>0.702</v>
      </c>
      <c r="X280" s="358">
        <v>0.665</v>
      </c>
      <c r="Y280" s="358">
        <v>0.65</v>
      </c>
      <c r="Z280" s="358">
        <v>0.56</v>
      </c>
      <c r="AA280" s="358">
        <v>0.64</v>
      </c>
      <c r="AB280" s="358">
        <v>0.59</v>
      </c>
      <c r="AC280" s="358">
        <v>0.58</v>
      </c>
      <c r="AD280" s="358">
        <v>0.55</v>
      </c>
      <c r="AE280" s="358">
        <v>0.541</v>
      </c>
      <c r="AF280" s="358">
        <v>0.541</v>
      </c>
      <c r="AG280" s="358">
        <v>0.58</v>
      </c>
      <c r="AH280" s="358">
        <v>0.7</v>
      </c>
      <c r="AI280" s="358">
        <v>0.7</v>
      </c>
      <c r="AJ280" s="358">
        <v>0.61</v>
      </c>
      <c r="AK280" s="358">
        <v>0.66</v>
      </c>
      <c r="AL280" s="358">
        <v>0.65</v>
      </c>
      <c r="AM280" s="358">
        <v>0.64</v>
      </c>
      <c r="AN280" s="358">
        <v>0.722</v>
      </c>
      <c r="AO280" s="358">
        <v>0.748</v>
      </c>
      <c r="AP280" s="358">
        <v>0.7075</v>
      </c>
      <c r="AQ280" s="358">
        <v>0.665</v>
      </c>
      <c r="AR280" s="358">
        <v>0.75</v>
      </c>
      <c r="AS280" s="358">
        <f t="shared" ref="AS280:AY280" si="780">+AR280+0.2%</f>
        <v>0.752</v>
      </c>
      <c r="AT280" s="358">
        <f t="shared" si="780"/>
        <v>0.754</v>
      </c>
      <c r="AU280" s="358">
        <f t="shared" si="780"/>
        <v>0.756</v>
      </c>
      <c r="AV280" s="358">
        <f t="shared" si="780"/>
        <v>0.758</v>
      </c>
      <c r="AW280" s="358">
        <f t="shared" si="780"/>
        <v>0.76</v>
      </c>
      <c r="AX280" s="358">
        <f t="shared" si="780"/>
        <v>0.762</v>
      </c>
      <c r="AY280" s="358">
        <f t="shared" si="780"/>
        <v>0.764</v>
      </c>
      <c r="AZ280" s="358">
        <f t="shared" si="773"/>
        <v>0.766</v>
      </c>
      <c r="BA280" s="358">
        <f t="shared" si="774"/>
        <v>0.768</v>
      </c>
      <c r="BB280" s="358">
        <f t="shared" si="775"/>
        <v>0.77</v>
      </c>
      <c r="BC280" s="358">
        <f t="shared" si="776"/>
        <v>0.772</v>
      </c>
      <c r="BD280" s="310"/>
      <c r="BE280" s="363"/>
      <c r="BF280" s="278"/>
      <c r="BG280" s="364">
        <f t="shared" si="777"/>
        <v>0</v>
      </c>
      <c r="BH280" s="364">
        <f t="shared" si="777"/>
        <v>0</v>
      </c>
      <c r="BI280" s="364">
        <f t="shared" si="777"/>
        <v>0</v>
      </c>
      <c r="BJ280" s="364">
        <v>0.7482</v>
      </c>
      <c r="BK280" s="364">
        <f t="shared" ref="BK280:BR280" si="781">+IFERROR(BK301/BK113,"-")</f>
        <v>0.720392700047687</v>
      </c>
      <c r="BL280" s="364">
        <f t="shared" si="781"/>
        <v>0.625122060628681</v>
      </c>
      <c r="BM280" s="364">
        <f t="shared" si="781"/>
        <v>0.563193542526542</v>
      </c>
      <c r="BN280" s="364">
        <f t="shared" si="781"/>
        <v>0.634232247682523</v>
      </c>
      <c r="BO280" s="364">
        <f t="shared" si="781"/>
        <v>0.640736948503738</v>
      </c>
      <c r="BP280" s="364">
        <f t="shared" si="781"/>
        <v>0.710096207160601</v>
      </c>
      <c r="BQ280" s="364">
        <f t="shared" si="781"/>
        <v>0.753199134156254</v>
      </c>
      <c r="BR280" s="364">
        <f t="shared" si="781"/>
        <v>0.761123318460732</v>
      </c>
      <c r="BS280" s="364">
        <f t="shared" ref="BS280" si="782">+IFERROR(BS301/BS113,"-")</f>
        <v>0.658085822899228</v>
      </c>
      <c r="BT280" s="182"/>
    </row>
    <row r="281" customHeight="1" spans="1:79">
      <c r="A281" s="268"/>
      <c r="B281" s="268"/>
      <c r="C281" s="397" t="s">
        <v>468</v>
      </c>
      <c r="D281" s="365"/>
      <c r="E281" s="365"/>
      <c r="F281" s="365"/>
      <c r="G281" s="365"/>
      <c r="H281" s="365"/>
      <c r="I281" s="365"/>
      <c r="J281" s="365"/>
      <c r="K281" s="365"/>
      <c r="L281" s="365"/>
      <c r="M281" s="365"/>
      <c r="N281" s="365"/>
      <c r="O281" s="365"/>
      <c r="P281" s="371"/>
      <c r="Q281" s="371"/>
      <c r="R281" s="372"/>
      <c r="S281" s="358"/>
      <c r="T281" s="358"/>
      <c r="U281" s="358"/>
      <c r="V281" s="358"/>
      <c r="W281" s="358"/>
      <c r="X281" s="358"/>
      <c r="Y281" s="358"/>
      <c r="Z281" s="358"/>
      <c r="AA281" s="358"/>
      <c r="AB281" s="358"/>
      <c r="AC281" s="358"/>
      <c r="AD281" s="358"/>
      <c r="AE281" s="358"/>
      <c r="AF281" s="358"/>
      <c r="AG281" s="358"/>
      <c r="AH281" s="358"/>
      <c r="AI281" s="358"/>
      <c r="AJ281" s="358"/>
      <c r="AK281" s="358"/>
      <c r="AL281" s="358"/>
      <c r="AM281" s="358"/>
      <c r="AN281" s="358"/>
      <c r="AO281" s="358"/>
      <c r="AP281" s="358"/>
      <c r="AQ281" s="358"/>
      <c r="AR281" s="358"/>
      <c r="AS281" s="358"/>
      <c r="AT281" s="358"/>
      <c r="AU281" s="358"/>
      <c r="AV281" s="358"/>
      <c r="AW281" s="358"/>
      <c r="AX281" s="358"/>
      <c r="AY281" s="358"/>
      <c r="AZ281" s="358"/>
      <c r="BA281" s="358"/>
      <c r="BB281" s="358"/>
      <c r="BC281" s="358"/>
      <c r="BD281" s="310"/>
      <c r="BE281" s="363"/>
      <c r="BF281" s="278"/>
      <c r="BG281" s="364" t="str">
        <f t="shared" si="777"/>
        <v>-</v>
      </c>
      <c r="BH281" s="364" t="str">
        <f t="shared" si="777"/>
        <v>-</v>
      </c>
      <c r="BI281" s="364" t="str">
        <f t="shared" si="777"/>
        <v>-</v>
      </c>
      <c r="BJ281" s="364" t="str">
        <f>+IFERROR(BJ302/BJ114,"-")</f>
        <v>-</v>
      </c>
      <c r="BK281" s="364" t="str">
        <f t="shared" ref="BK281:BR281" si="783">+IFERROR(BK302/BK114,"-")</f>
        <v>-</v>
      </c>
      <c r="BL281" s="364">
        <f t="shared" si="783"/>
        <v>0.4</v>
      </c>
      <c r="BM281" s="364">
        <f t="shared" si="783"/>
        <v>0.4</v>
      </c>
      <c r="BN281" s="364">
        <f t="shared" si="783"/>
        <v>0.420065092263709</v>
      </c>
      <c r="BO281" s="364">
        <f t="shared" si="783"/>
        <v>0.42998364766481</v>
      </c>
      <c r="BP281" s="364">
        <f t="shared" si="783"/>
        <v>0.404887276686328</v>
      </c>
      <c r="BQ281" s="364">
        <f t="shared" si="783"/>
        <v>0.404090997838602</v>
      </c>
      <c r="BR281" s="364">
        <f t="shared" si="783"/>
        <v>0.4</v>
      </c>
      <c r="BS281" s="364">
        <f t="shared" ref="BS281" si="784">+IFERROR(BS302/BS114,"-")</f>
        <v>0.384956565111183</v>
      </c>
      <c r="BT281" s="182"/>
    </row>
    <row r="282" customHeight="1" spans="1:79">
      <c r="A282" s="268"/>
      <c r="B282" s="268"/>
      <c r="C282" s="396" t="s">
        <v>469</v>
      </c>
      <c r="D282" s="365"/>
      <c r="E282" s="365"/>
      <c r="F282" s="365"/>
      <c r="G282" s="365"/>
      <c r="H282" s="365"/>
      <c r="I282" s="365"/>
      <c r="J282" s="365"/>
      <c r="K282" s="365"/>
      <c r="L282" s="365"/>
      <c r="M282" s="365"/>
      <c r="N282" s="365"/>
      <c r="O282" s="365"/>
      <c r="P282" s="371"/>
      <c r="Q282" s="371"/>
      <c r="R282" s="372"/>
      <c r="S282" s="358"/>
      <c r="T282" s="358"/>
      <c r="U282" s="358"/>
      <c r="V282" s="358"/>
      <c r="W282" s="358"/>
      <c r="X282" s="358"/>
      <c r="Y282" s="358"/>
      <c r="Z282" s="358"/>
      <c r="AA282" s="358">
        <v>0.4</v>
      </c>
      <c r="AB282" s="358">
        <v>0.4</v>
      </c>
      <c r="AC282" s="358">
        <v>0.4</v>
      </c>
      <c r="AD282" s="358">
        <v>0.4</v>
      </c>
      <c r="AE282" s="358">
        <v>0.4</v>
      </c>
      <c r="AF282" s="358">
        <v>0.4</v>
      </c>
      <c r="AG282" s="358">
        <v>0.4</v>
      </c>
      <c r="AH282" s="358">
        <v>0.45</v>
      </c>
      <c r="AI282" s="358">
        <v>0.4</v>
      </c>
      <c r="AJ282" s="358">
        <v>0.4</v>
      </c>
      <c r="AK282" s="358">
        <v>0.45</v>
      </c>
      <c r="AL282" s="358">
        <v>0.45</v>
      </c>
      <c r="AM282" s="358">
        <v>0.4</v>
      </c>
      <c r="AN282" s="358">
        <v>0.41</v>
      </c>
      <c r="AO282" s="358">
        <v>0.41</v>
      </c>
      <c r="AP282" s="358">
        <v>0.4</v>
      </c>
      <c r="AQ282" s="358">
        <v>0.4</v>
      </c>
      <c r="AR282" s="358">
        <v>0.45</v>
      </c>
      <c r="AS282" s="358">
        <v>0.4</v>
      </c>
      <c r="AT282" s="358">
        <v>0.4</v>
      </c>
      <c r="AU282" s="358">
        <v>0.4</v>
      </c>
      <c r="AV282" s="358">
        <v>0.4</v>
      </c>
      <c r="AW282" s="358">
        <v>0.4</v>
      </c>
      <c r="AX282" s="358">
        <v>0.4</v>
      </c>
      <c r="AY282" s="358">
        <v>0.4</v>
      </c>
      <c r="AZ282" s="358">
        <v>0.4</v>
      </c>
      <c r="BA282" s="358">
        <v>0.4</v>
      </c>
      <c r="BB282" s="358">
        <v>0.4</v>
      </c>
      <c r="BC282" s="358">
        <v>0.4</v>
      </c>
      <c r="BD282" s="310"/>
      <c r="BE282" s="363"/>
      <c r="BF282" s="278"/>
      <c r="BG282" s="364" t="str">
        <f t="shared" si="777"/>
        <v>-</v>
      </c>
      <c r="BH282" s="364" t="str">
        <f t="shared" si="777"/>
        <v>-</v>
      </c>
      <c r="BI282" s="364" t="str">
        <f t="shared" si="777"/>
        <v>-</v>
      </c>
      <c r="BJ282" s="364" t="str">
        <f>+IFERROR(BJ303/BJ115,"-")</f>
        <v>-</v>
      </c>
      <c r="BK282" s="364" t="str">
        <f t="shared" ref="BK282:BR282" si="785">+IFERROR(BK303/BK115,"-")</f>
        <v>-</v>
      </c>
      <c r="BL282" s="364">
        <f t="shared" si="785"/>
        <v>0.4</v>
      </c>
      <c r="BM282" s="364">
        <f t="shared" si="785"/>
        <v>0.4</v>
      </c>
      <c r="BN282" s="364">
        <f t="shared" si="785"/>
        <v>0.421799370971939</v>
      </c>
      <c r="BO282" s="364">
        <f t="shared" si="785"/>
        <v>0.434961790262112</v>
      </c>
      <c r="BP282" s="364">
        <f t="shared" si="785"/>
        <v>0.404887276686328</v>
      </c>
      <c r="BQ282" s="364">
        <f t="shared" si="785"/>
        <v>0.412261442463084</v>
      </c>
      <c r="BR282" s="364">
        <f t="shared" si="785"/>
        <v>0.4</v>
      </c>
      <c r="BS282" s="364">
        <f t="shared" ref="BS282" si="786">+IFERROR(BS303/BS115,"-")</f>
        <v>0.384956565111183</v>
      </c>
      <c r="BT282" s="182"/>
    </row>
    <row r="283" customHeight="1" spans="1:79">
      <c r="A283" s="268"/>
      <c r="B283" s="268"/>
      <c r="C283" s="396" t="s">
        <v>470</v>
      </c>
      <c r="D283" s="365"/>
      <c r="E283" s="365"/>
      <c r="F283" s="365"/>
      <c r="G283" s="365"/>
      <c r="H283" s="365"/>
      <c r="I283" s="365"/>
      <c r="J283" s="365"/>
      <c r="K283" s="365"/>
      <c r="L283" s="365"/>
      <c r="M283" s="365"/>
      <c r="N283" s="365"/>
      <c r="O283" s="365"/>
      <c r="P283" s="371"/>
      <c r="Q283" s="371"/>
      <c r="R283" s="372"/>
      <c r="S283" s="358"/>
      <c r="T283" s="358"/>
      <c r="U283" s="358"/>
      <c r="V283" s="358"/>
      <c r="W283" s="358"/>
      <c r="X283" s="358"/>
      <c r="Y283" s="358"/>
      <c r="Z283" s="358"/>
      <c r="AA283" s="358">
        <v>0.4</v>
      </c>
      <c r="AB283" s="358">
        <v>0.4</v>
      </c>
      <c r="AC283" s="358">
        <v>0.4</v>
      </c>
      <c r="AD283" s="358">
        <v>0.4</v>
      </c>
      <c r="AE283" s="358">
        <v>0.4</v>
      </c>
      <c r="AF283" s="358">
        <v>0.4</v>
      </c>
      <c r="AG283" s="358">
        <v>0.4</v>
      </c>
      <c r="AH283" s="358">
        <v>0.45</v>
      </c>
      <c r="AI283" s="358">
        <v>0.4</v>
      </c>
      <c r="AJ283" s="358">
        <v>0.4</v>
      </c>
      <c r="AK283" s="358">
        <v>0.45</v>
      </c>
      <c r="AL283" s="358">
        <v>0.45</v>
      </c>
      <c r="AM283" s="358">
        <v>0.41</v>
      </c>
      <c r="AN283" s="358">
        <v>0.41</v>
      </c>
      <c r="AO283" s="358">
        <v>0.41</v>
      </c>
      <c r="AP283" s="358">
        <v>0.4</v>
      </c>
      <c r="AQ283" s="358">
        <v>0.4</v>
      </c>
      <c r="AR283" s="358">
        <v>0.4</v>
      </c>
      <c r="AS283" s="358">
        <v>0.4</v>
      </c>
      <c r="AT283" s="358">
        <v>0.4</v>
      </c>
      <c r="AU283" s="358">
        <v>0.4</v>
      </c>
      <c r="AV283" s="358">
        <v>0.4</v>
      </c>
      <c r="AW283" s="358">
        <v>0.4</v>
      </c>
      <c r="AX283" s="358">
        <v>0.4</v>
      </c>
      <c r="AY283" s="358">
        <v>0.4</v>
      </c>
      <c r="AZ283" s="358">
        <v>0.4</v>
      </c>
      <c r="BA283" s="358">
        <v>0.4</v>
      </c>
      <c r="BB283" s="358">
        <v>0.4</v>
      </c>
      <c r="BC283" s="358">
        <v>0.4</v>
      </c>
      <c r="BD283" s="310"/>
      <c r="BE283" s="363"/>
      <c r="BF283" s="278"/>
      <c r="BG283" s="364" t="str">
        <f t="shared" si="777"/>
        <v>-</v>
      </c>
      <c r="BH283" s="364" t="str">
        <f t="shared" si="777"/>
        <v>-</v>
      </c>
      <c r="BI283" s="364" t="str">
        <f t="shared" si="777"/>
        <v>-</v>
      </c>
      <c r="BJ283" s="364" t="str">
        <f>+IFERROR(BJ304/BJ116,"-")</f>
        <v>-</v>
      </c>
      <c r="BK283" s="364" t="str">
        <f t="shared" ref="BK283:BR283" si="787">+IFERROR(BK304/BK116,"-")</f>
        <v>-</v>
      </c>
      <c r="BL283" s="364">
        <f t="shared" si="787"/>
        <v>0.4</v>
      </c>
      <c r="BM283" s="364">
        <f t="shared" si="787"/>
        <v>0.4</v>
      </c>
      <c r="BN283" s="364">
        <f t="shared" si="787"/>
        <v>0.418261628633926</v>
      </c>
      <c r="BO283" s="364">
        <f t="shared" si="787"/>
        <v>0.433295106978021</v>
      </c>
      <c r="BP283" s="364">
        <f t="shared" si="787"/>
        <v>0.404887276686328</v>
      </c>
      <c r="BQ283" s="364">
        <f t="shared" si="787"/>
        <v>0.4</v>
      </c>
      <c r="BR283" s="364">
        <f t="shared" si="787"/>
        <v>0.4</v>
      </c>
      <c r="BS283" s="364">
        <f t="shared" ref="BS283" si="788">+IFERROR(BS304/BS116,"-")</f>
        <v>0.384956565111183</v>
      </c>
      <c r="BT283" s="182"/>
    </row>
    <row r="284" customHeight="1" spans="1:79">
      <c r="A284" s="268"/>
      <c r="B284" s="268"/>
      <c r="C284" s="396" t="s">
        <v>471</v>
      </c>
      <c r="D284" s="365"/>
      <c r="E284" s="365"/>
      <c r="F284" s="365"/>
      <c r="G284" s="365"/>
      <c r="H284" s="365"/>
      <c r="I284" s="365"/>
      <c r="J284" s="365"/>
      <c r="K284" s="365"/>
      <c r="L284" s="365"/>
      <c r="M284" s="365"/>
      <c r="N284" s="365"/>
      <c r="O284" s="365"/>
      <c r="P284" s="371"/>
      <c r="Q284" s="371"/>
      <c r="R284" s="358"/>
      <c r="S284" s="358"/>
      <c r="T284" s="358"/>
      <c r="U284" s="358"/>
      <c r="V284" s="358"/>
      <c r="W284" s="358"/>
      <c r="X284" s="358"/>
      <c r="Y284" s="358"/>
      <c r="Z284" s="358"/>
      <c r="AA284" s="358">
        <v>0.4</v>
      </c>
      <c r="AB284" s="358">
        <v>0.4</v>
      </c>
      <c r="AC284" s="358">
        <v>0.4</v>
      </c>
      <c r="AD284" s="358">
        <v>0.4</v>
      </c>
      <c r="AE284" s="358">
        <v>0.4</v>
      </c>
      <c r="AF284" s="358">
        <v>0.4</v>
      </c>
      <c r="AG284" s="358">
        <v>0.4</v>
      </c>
      <c r="AH284" s="358">
        <v>0.45</v>
      </c>
      <c r="AI284" s="358">
        <v>0.4</v>
      </c>
      <c r="AJ284" s="358">
        <v>0.4</v>
      </c>
      <c r="AK284" s="358">
        <v>0.4</v>
      </c>
      <c r="AL284" s="358">
        <v>0.44</v>
      </c>
      <c r="AM284" s="358">
        <v>0.41</v>
      </c>
      <c r="AN284" s="358">
        <v>0.41</v>
      </c>
      <c r="AO284" s="358">
        <v>0.41</v>
      </c>
      <c r="AP284" s="358">
        <v>0.4</v>
      </c>
      <c r="AQ284" s="358">
        <v>0.4</v>
      </c>
      <c r="AR284" s="358">
        <v>0.4</v>
      </c>
      <c r="AS284" s="358">
        <v>0.4</v>
      </c>
      <c r="AT284" s="358">
        <v>0.4</v>
      </c>
      <c r="AU284" s="358">
        <v>0.4</v>
      </c>
      <c r="AV284" s="358">
        <v>0.4</v>
      </c>
      <c r="AW284" s="358">
        <v>0.4</v>
      </c>
      <c r="AX284" s="358">
        <v>0.4</v>
      </c>
      <c r="AY284" s="358">
        <v>0.4</v>
      </c>
      <c r="AZ284" s="358">
        <v>0.4</v>
      </c>
      <c r="BA284" s="358">
        <v>0.4</v>
      </c>
      <c r="BB284" s="358">
        <v>0.4</v>
      </c>
      <c r="BC284" s="358">
        <v>0.4</v>
      </c>
      <c r="BD284" s="310"/>
      <c r="BE284" s="363"/>
      <c r="BF284" s="278"/>
      <c r="BG284" s="364" t="str">
        <f t="shared" si="777"/>
        <v>-</v>
      </c>
      <c r="BH284" s="364" t="str">
        <f t="shared" si="777"/>
        <v>-</v>
      </c>
      <c r="BI284" s="364" t="str">
        <f t="shared" si="777"/>
        <v>-</v>
      </c>
      <c r="BJ284" s="364" t="str">
        <f>+IFERROR(BJ305/BJ117,"-")</f>
        <v>-</v>
      </c>
      <c r="BK284" s="364" t="str">
        <f t="shared" ref="BK284:BR284" si="789">+IFERROR(BK305/BK117,"-")</f>
        <v>-</v>
      </c>
      <c r="BL284" s="364">
        <f t="shared" si="789"/>
        <v>0.4</v>
      </c>
      <c r="BM284" s="364">
        <f t="shared" si="789"/>
        <v>0.4</v>
      </c>
      <c r="BN284" s="364">
        <f t="shared" si="789"/>
        <v>0.419443808651977</v>
      </c>
      <c r="BO284" s="364">
        <f t="shared" si="789"/>
        <v>0.412181278523482</v>
      </c>
      <c r="BP284" s="364">
        <f t="shared" si="789"/>
        <v>0.404887276686328</v>
      </c>
      <c r="BQ284" s="364">
        <f t="shared" si="789"/>
        <v>0.4</v>
      </c>
      <c r="BR284" s="364">
        <f t="shared" si="789"/>
        <v>0.4</v>
      </c>
      <c r="BS284" s="364">
        <f t="shared" ref="BS284" si="790">+IFERROR(BS305/BS117,"-")</f>
        <v>0.384956565111183</v>
      </c>
      <c r="BT284" s="182"/>
    </row>
    <row r="285" ht="9.75" customHeight="1" spans="1:79">
      <c r="A285" s="268"/>
      <c r="B285" s="268"/>
      <c r="C285" s="397" t="s">
        <v>484</v>
      </c>
      <c r="D285" s="364"/>
      <c r="E285" s="364"/>
      <c r="F285" s="364"/>
      <c r="G285" s="364"/>
      <c r="H285" s="364"/>
      <c r="I285" s="364"/>
      <c r="J285" s="364"/>
      <c r="K285" s="364"/>
      <c r="L285" s="364"/>
      <c r="M285" s="364"/>
      <c r="N285" s="364"/>
      <c r="O285" s="364"/>
      <c r="P285" s="371"/>
      <c r="Q285" s="371"/>
      <c r="R285" s="373">
        <v>0</v>
      </c>
      <c r="S285" s="374">
        <f>R285</f>
        <v>0</v>
      </c>
      <c r="T285" s="374">
        <f>S285</f>
        <v>0</v>
      </c>
      <c r="U285" s="374">
        <f t="shared" ref="U285:AE285" si="791">T285</f>
        <v>0</v>
      </c>
      <c r="V285" s="374">
        <f t="shared" si="791"/>
        <v>0</v>
      </c>
      <c r="W285" s="374">
        <f t="shared" si="791"/>
        <v>0</v>
      </c>
      <c r="X285" s="374">
        <f t="shared" si="791"/>
        <v>0</v>
      </c>
      <c r="Y285" s="374">
        <f t="shared" si="791"/>
        <v>0</v>
      </c>
      <c r="Z285" s="374">
        <f t="shared" si="791"/>
        <v>0</v>
      </c>
      <c r="AA285" s="374">
        <f t="shared" si="791"/>
        <v>0</v>
      </c>
      <c r="AB285" s="374">
        <f t="shared" si="791"/>
        <v>0</v>
      </c>
      <c r="AC285" s="374">
        <f t="shared" si="791"/>
        <v>0</v>
      </c>
      <c r="AD285" s="374">
        <f t="shared" si="791"/>
        <v>0</v>
      </c>
      <c r="AE285" s="374">
        <f t="shared" si="791"/>
        <v>0</v>
      </c>
      <c r="AF285" s="374">
        <f t="shared" ref="AF285:AH285" si="792">AE285</f>
        <v>0</v>
      </c>
      <c r="AG285" s="374">
        <f t="shared" si="792"/>
        <v>0</v>
      </c>
      <c r="AH285" s="374">
        <f t="shared" si="792"/>
        <v>0</v>
      </c>
      <c r="AI285" s="374">
        <v>0.7</v>
      </c>
      <c r="AJ285" s="374">
        <f>+AI285</f>
        <v>0.7</v>
      </c>
      <c r="AK285" s="374">
        <f t="shared" ref="AK285:AY285" si="793">+AJ285</f>
        <v>0.7</v>
      </c>
      <c r="AL285" s="374">
        <f t="shared" si="793"/>
        <v>0.7</v>
      </c>
      <c r="AM285" s="374">
        <f t="shared" si="793"/>
        <v>0.7</v>
      </c>
      <c r="AN285" s="374">
        <f t="shared" si="793"/>
        <v>0.7</v>
      </c>
      <c r="AO285" s="374">
        <f t="shared" si="793"/>
        <v>0.7</v>
      </c>
      <c r="AP285" s="374">
        <f t="shared" si="793"/>
        <v>0.7</v>
      </c>
      <c r="AQ285" s="374">
        <f t="shared" si="793"/>
        <v>0.7</v>
      </c>
      <c r="AR285" s="374">
        <f t="shared" si="793"/>
        <v>0.7</v>
      </c>
      <c r="AS285" s="374">
        <f t="shared" si="793"/>
        <v>0.7</v>
      </c>
      <c r="AT285" s="374">
        <f t="shared" si="793"/>
        <v>0.7</v>
      </c>
      <c r="AU285" s="374">
        <f t="shared" si="793"/>
        <v>0.7</v>
      </c>
      <c r="AV285" s="374">
        <f t="shared" si="793"/>
        <v>0.7</v>
      </c>
      <c r="AW285" s="374">
        <f t="shared" si="793"/>
        <v>0.7</v>
      </c>
      <c r="AX285" s="374">
        <f t="shared" si="793"/>
        <v>0.7</v>
      </c>
      <c r="AY285" s="374">
        <f t="shared" si="793"/>
        <v>0.7</v>
      </c>
      <c r="AZ285" s="374">
        <f t="shared" ref="AZ285" si="794">+AY285</f>
        <v>0.7</v>
      </c>
      <c r="BA285" s="374">
        <f t="shared" ref="BA285" si="795">+AZ285</f>
        <v>0.7</v>
      </c>
      <c r="BB285" s="374">
        <f t="shared" ref="BB285" si="796">+BA285</f>
        <v>0.7</v>
      </c>
      <c r="BC285" s="374">
        <f t="shared" ref="BC285" si="797">+BB285</f>
        <v>0.7</v>
      </c>
      <c r="BD285" s="310"/>
      <c r="BE285" s="363"/>
      <c r="BF285" s="278"/>
      <c r="BG285" s="364" t="str">
        <f t="shared" si="777"/>
        <v>-</v>
      </c>
      <c r="BH285" s="364" t="str">
        <f t="shared" si="777"/>
        <v>-</v>
      </c>
      <c r="BI285" s="364" t="str">
        <f t="shared" si="777"/>
        <v>-</v>
      </c>
      <c r="BJ285" s="364" t="str">
        <f>+IFERROR(BJ306/BJ118,"-")</f>
        <v>-</v>
      </c>
      <c r="BK285" s="364" t="str">
        <f t="shared" ref="BK285:BR285" si="798">+IFERROR(BK306/BK118,"-")</f>
        <v>-</v>
      </c>
      <c r="BL285" s="364" t="str">
        <f t="shared" si="798"/>
        <v>-</v>
      </c>
      <c r="BM285" s="364" t="str">
        <f t="shared" si="798"/>
        <v>-</v>
      </c>
      <c r="BN285" s="364" t="str">
        <f t="shared" si="798"/>
        <v>-</v>
      </c>
      <c r="BO285" s="364" t="str">
        <f t="shared" si="798"/>
        <v>-</v>
      </c>
      <c r="BP285" s="364">
        <f t="shared" si="798"/>
        <v>0.7</v>
      </c>
      <c r="BQ285" s="364">
        <f t="shared" si="798"/>
        <v>0.7</v>
      </c>
      <c r="BR285" s="364">
        <f t="shared" si="798"/>
        <v>0.7</v>
      </c>
      <c r="BS285" s="364">
        <f t="shared" ref="BS285" si="799">+IFERROR(BS306/BS118,"-")</f>
        <v>0.461828224741672</v>
      </c>
      <c r="BT285" s="182"/>
    </row>
    <row r="286" s="105" customFormat="1" ht="9.75" customHeight="1" spans="1:79">
      <c r="A286" s="252"/>
      <c r="B286" s="281" t="s">
        <v>476</v>
      </c>
      <c r="C286" s="70"/>
      <c r="D286" s="367"/>
      <c r="E286" s="367"/>
      <c r="F286" s="367"/>
      <c r="G286" s="367"/>
      <c r="H286" s="367"/>
      <c r="I286" s="367"/>
      <c r="J286" s="367"/>
      <c r="K286" s="367"/>
      <c r="L286" s="367"/>
      <c r="M286" s="367"/>
      <c r="N286" s="367"/>
      <c r="O286" s="367"/>
      <c r="P286" s="375"/>
      <c r="Q286" s="375"/>
      <c r="R286" s="373"/>
      <c r="S286" s="374"/>
      <c r="T286" s="374"/>
      <c r="U286" s="374"/>
      <c r="V286" s="374"/>
      <c r="W286" s="374"/>
      <c r="X286" s="374"/>
      <c r="Y286" s="374"/>
      <c r="Z286" s="374"/>
      <c r="AA286" s="374"/>
      <c r="AB286" s="374"/>
      <c r="AC286" s="374"/>
      <c r="AD286" s="374"/>
      <c r="AE286" s="374"/>
      <c r="AF286" s="374"/>
      <c r="AG286" s="374"/>
      <c r="AH286" s="374"/>
      <c r="AI286" s="374"/>
      <c r="AJ286" s="374"/>
      <c r="AK286" s="374"/>
      <c r="AL286" s="374"/>
      <c r="AM286" s="374"/>
      <c r="AN286" s="374"/>
      <c r="AO286" s="374"/>
      <c r="AP286" s="374"/>
      <c r="AQ286" s="374"/>
      <c r="AR286" s="374"/>
      <c r="AS286" s="374"/>
      <c r="AT286" s="374"/>
      <c r="AU286" s="374"/>
      <c r="AV286" s="374"/>
      <c r="AW286" s="374"/>
      <c r="AX286" s="374"/>
      <c r="AY286" s="374"/>
      <c r="AZ286" s="374"/>
      <c r="BA286" s="374"/>
      <c r="BB286" s="374"/>
      <c r="BC286" s="374"/>
      <c r="BD286" s="376"/>
      <c r="BE286" s="368"/>
      <c r="BF286" s="369"/>
      <c r="BG286" s="364" t="str">
        <f t="shared" ref="BG286:BR286" si="800">+IFERROR(BG307/BG122,"-")</f>
        <v>-</v>
      </c>
      <c r="BH286" s="364" t="str">
        <f t="shared" si="800"/>
        <v>-</v>
      </c>
      <c r="BI286" s="364" t="str">
        <f t="shared" si="800"/>
        <v>-</v>
      </c>
      <c r="BJ286" s="364" t="str">
        <f t="shared" si="800"/>
        <v>-</v>
      </c>
      <c r="BK286" s="377" t="str">
        <f t="shared" si="800"/>
        <v>-</v>
      </c>
      <c r="BL286" s="364" t="str">
        <f t="shared" si="800"/>
        <v>-</v>
      </c>
      <c r="BM286" s="364" t="str">
        <f t="shared" si="800"/>
        <v>-</v>
      </c>
      <c r="BN286" s="364">
        <f t="shared" si="800"/>
        <v>0.7</v>
      </c>
      <c r="BO286" s="364">
        <f t="shared" si="800"/>
        <v>0.7</v>
      </c>
      <c r="BP286" s="364">
        <v>0.7</v>
      </c>
      <c r="BQ286" s="364">
        <f t="shared" si="800"/>
        <v>0.75</v>
      </c>
      <c r="BR286" s="364">
        <f t="shared" si="800"/>
        <v>0.75</v>
      </c>
      <c r="BS286" s="364">
        <f t="shared" ref="BS286" si="801">+IFERROR(BS307/BS122,"-")</f>
        <v>0.604041043905979</v>
      </c>
      <c r="BT286" s="370"/>
      <c r="BU286"/>
      <c r="BV286"/>
      <c r="BW286"/>
      <c r="BX286"/>
      <c r="BY286"/>
      <c r="BZ286"/>
    </row>
    <row r="287" s="105" customFormat="1" ht="9.75" customHeight="1" spans="1:79">
      <c r="A287" s="252"/>
      <c r="B287" s="107"/>
      <c r="C287" s="283" t="s">
        <v>477</v>
      </c>
      <c r="D287" s="367"/>
      <c r="E287" s="367"/>
      <c r="F287" s="367"/>
      <c r="G287" s="367"/>
      <c r="H287" s="367"/>
      <c r="I287" s="367"/>
      <c r="J287" s="367"/>
      <c r="K287" s="367"/>
      <c r="L287" s="367"/>
      <c r="M287" s="367"/>
      <c r="N287" s="367"/>
      <c r="O287" s="367"/>
      <c r="P287" s="375"/>
      <c r="Q287" s="375"/>
      <c r="R287" s="373"/>
      <c r="S287" s="374"/>
      <c r="T287" s="374"/>
      <c r="U287" s="374"/>
      <c r="V287" s="374"/>
      <c r="W287" s="374"/>
      <c r="X287" s="374"/>
      <c r="Y287" s="374"/>
      <c r="Z287" s="374"/>
      <c r="AA287" s="374"/>
      <c r="AB287" s="374"/>
      <c r="AC287" s="374"/>
      <c r="AD287" s="374"/>
      <c r="AE287" s="374"/>
      <c r="AF287" s="374"/>
      <c r="AG287" s="374"/>
      <c r="AH287" s="374"/>
      <c r="AI287" s="358">
        <v>0.7</v>
      </c>
      <c r="AJ287" s="358">
        <f>+AI287</f>
        <v>0.7</v>
      </c>
      <c r="AK287" s="358">
        <f t="shared" ref="AK287:AM287" si="802">+AJ287</f>
        <v>0.7</v>
      </c>
      <c r="AL287" s="358">
        <f t="shared" si="802"/>
        <v>0.7</v>
      </c>
      <c r="AM287" s="358">
        <f t="shared" si="802"/>
        <v>0.7</v>
      </c>
      <c r="AN287" s="358">
        <v>0.7</v>
      </c>
      <c r="AO287" s="358">
        <v>0.7</v>
      </c>
      <c r="AP287" s="358">
        <v>0.7</v>
      </c>
      <c r="AQ287" s="358">
        <v>0.7</v>
      </c>
      <c r="AR287" s="358">
        <v>0.75</v>
      </c>
      <c r="AS287" s="358">
        <v>0.75</v>
      </c>
      <c r="AT287" s="358">
        <v>0.75</v>
      </c>
      <c r="AU287" s="358">
        <v>0.75</v>
      </c>
      <c r="AV287" s="358">
        <v>0.75</v>
      </c>
      <c r="AW287" s="358">
        <v>0.75</v>
      </c>
      <c r="AX287" s="358">
        <v>0.75</v>
      </c>
      <c r="AY287" s="358">
        <v>0.75</v>
      </c>
      <c r="AZ287" s="358">
        <v>0.75</v>
      </c>
      <c r="BA287" s="358">
        <v>0.75</v>
      </c>
      <c r="BB287" s="358">
        <v>0.75</v>
      </c>
      <c r="BC287" s="358">
        <v>0.75</v>
      </c>
      <c r="BD287" s="376"/>
      <c r="BE287" s="368"/>
      <c r="BF287" s="369"/>
      <c r="BG287" s="364" t="str">
        <f t="shared" ref="BG287:BR287" si="803">+IFERROR(BG308/BG123,"-")</f>
        <v>-</v>
      </c>
      <c r="BH287" s="364" t="str">
        <f t="shared" si="803"/>
        <v>-</v>
      </c>
      <c r="BI287" s="364" t="str">
        <f t="shared" si="803"/>
        <v>-</v>
      </c>
      <c r="BJ287" s="364" t="str">
        <f t="shared" si="803"/>
        <v>-</v>
      </c>
      <c r="BK287" s="377" t="str">
        <f t="shared" si="803"/>
        <v>-</v>
      </c>
      <c r="BL287" s="364" t="str">
        <f t="shared" si="803"/>
        <v>-</v>
      </c>
      <c r="BM287" s="364" t="str">
        <f t="shared" si="803"/>
        <v>-</v>
      </c>
      <c r="BN287" s="364">
        <f t="shared" si="803"/>
        <v>0.7</v>
      </c>
      <c r="BO287" s="364">
        <f t="shared" si="803"/>
        <v>0.7</v>
      </c>
      <c r="BP287" s="364">
        <v>0.7</v>
      </c>
      <c r="BQ287" s="364">
        <f t="shared" si="803"/>
        <v>0.75</v>
      </c>
      <c r="BR287" s="364">
        <f t="shared" si="803"/>
        <v>0.75</v>
      </c>
      <c r="BS287" s="364">
        <f t="shared" ref="BS287" si="804">+IFERROR(BS308/BS123,"-")</f>
        <v>0.678664983151162</v>
      </c>
      <c r="BT287" s="370"/>
      <c r="BU287"/>
      <c r="BV287"/>
      <c r="BW287"/>
      <c r="BX287"/>
      <c r="BY287"/>
      <c r="BZ287"/>
    </row>
    <row r="288" s="107" customFormat="1" customHeight="1" spans="1:79">
      <c r="A288" s="252"/>
      <c r="C288" s="283" t="s">
        <v>478</v>
      </c>
      <c r="D288" s="261"/>
      <c r="E288" s="261"/>
      <c r="F288" s="261"/>
      <c r="G288" s="261"/>
      <c r="H288" s="261"/>
      <c r="I288" s="261"/>
      <c r="J288" s="261"/>
      <c r="K288" s="261"/>
      <c r="L288" s="261"/>
      <c r="M288" s="261"/>
      <c r="N288" s="261"/>
      <c r="O288" s="261"/>
      <c r="P288" s="262"/>
      <c r="Q288" s="262"/>
      <c r="R288" s="270"/>
      <c r="S288" s="270"/>
      <c r="T288" s="270"/>
      <c r="U288" s="270"/>
      <c r="V288" s="270"/>
      <c r="W288" s="270"/>
      <c r="X288" s="270"/>
      <c r="Y288" s="270"/>
      <c r="Z288" s="270"/>
      <c r="AA288" s="270"/>
      <c r="AB288" s="270"/>
      <c r="AC288" s="270"/>
      <c r="AD288" s="270"/>
      <c r="AE288" s="270"/>
      <c r="AF288" s="270"/>
      <c r="AG288" s="270"/>
      <c r="AH288" s="270"/>
      <c r="AI288" s="358">
        <v>0.7</v>
      </c>
      <c r="AJ288" s="358">
        <f t="shared" ref="AJ288:AJ289" si="805">+AI288</f>
        <v>0.7</v>
      </c>
      <c r="AK288" s="358">
        <f t="shared" ref="AK288:AK289" si="806">+AJ288</f>
        <v>0.7</v>
      </c>
      <c r="AL288" s="358">
        <f t="shared" ref="AL288:AL289" si="807">+AK288</f>
        <v>0.7</v>
      </c>
      <c r="AM288" s="358">
        <f t="shared" ref="AM288:AM289" si="808">+AL288</f>
        <v>0.7</v>
      </c>
      <c r="AN288" s="358">
        <v>0.7</v>
      </c>
      <c r="AO288" s="358">
        <v>0.7</v>
      </c>
      <c r="AP288" s="358">
        <v>0.7</v>
      </c>
      <c r="AQ288" s="358">
        <v>0.7</v>
      </c>
      <c r="AR288" s="358">
        <v>0.75</v>
      </c>
      <c r="AS288" s="358">
        <v>0.75</v>
      </c>
      <c r="AT288" s="358">
        <v>0.75</v>
      </c>
      <c r="AU288" s="358">
        <v>0.75</v>
      </c>
      <c r="AV288" s="358">
        <v>0.75</v>
      </c>
      <c r="AW288" s="358">
        <v>0.75</v>
      </c>
      <c r="AX288" s="358">
        <v>0.75</v>
      </c>
      <c r="AY288" s="358">
        <v>0.75</v>
      </c>
      <c r="AZ288" s="358">
        <v>0.75</v>
      </c>
      <c r="BA288" s="358">
        <v>0.75</v>
      </c>
      <c r="BB288" s="358">
        <v>0.75</v>
      </c>
      <c r="BC288" s="358">
        <v>0.75</v>
      </c>
      <c r="BD288" s="270"/>
      <c r="BE288" s="263"/>
      <c r="BF288" s="264"/>
      <c r="BG288" s="261">
        <f>SUM(D288:G288)</f>
        <v>0</v>
      </c>
      <c r="BH288" s="261">
        <f>SUM(H288:K288)</f>
        <v>0</v>
      </c>
      <c r="BI288" s="282">
        <f>SUM(L288:O288)</f>
        <v>0</v>
      </c>
      <c r="BJ288" s="282">
        <f>SUM(P288:S288)</f>
        <v>0</v>
      </c>
      <c r="BK288" s="282">
        <f>SUM(T288:W288)</f>
        <v>0</v>
      </c>
      <c r="BL288" s="270">
        <f>SUM(X288:AA288)</f>
        <v>0</v>
      </c>
      <c r="BM288" s="270">
        <f>SUM(AB288:AE288)</f>
        <v>0</v>
      </c>
      <c r="BN288" s="270">
        <f>SUM(AF288:AI288)</f>
        <v>0.7</v>
      </c>
      <c r="BO288" s="270">
        <f>SUM(AJ288:AM288)</f>
        <v>2.8</v>
      </c>
      <c r="BP288" s="270">
        <f>SUM(AN288:AQ288)</f>
        <v>2.8</v>
      </c>
      <c r="BQ288" s="270">
        <f>SUM(AR288:AU288)</f>
        <v>3</v>
      </c>
      <c r="BR288" s="270">
        <f>SUM(AV288:AY288)</f>
        <v>3</v>
      </c>
      <c r="BS288" s="270">
        <f>SUM(AW288:AZ288)</f>
        <v>3</v>
      </c>
      <c r="BT288" s="252"/>
      <c r="BU288"/>
      <c r="BV288"/>
      <c r="BW288"/>
      <c r="BX288"/>
      <c r="BY288"/>
      <c r="BZ288"/>
    </row>
    <row r="289" s="107" customFormat="1" customHeight="1" spans="1:78">
      <c r="A289" s="252"/>
      <c r="C289" s="283" t="s">
        <v>479</v>
      </c>
      <c r="D289" s="261"/>
      <c r="E289" s="261"/>
      <c r="F289" s="261"/>
      <c r="G289" s="261"/>
      <c r="H289" s="261"/>
      <c r="I289" s="261"/>
      <c r="J289" s="261"/>
      <c r="K289" s="261"/>
      <c r="L289" s="261"/>
      <c r="M289" s="261"/>
      <c r="N289" s="261"/>
      <c r="O289" s="261"/>
      <c r="P289" s="262"/>
      <c r="Q289" s="262"/>
      <c r="R289" s="270"/>
      <c r="S289" s="270"/>
      <c r="T289" s="270"/>
      <c r="U289" s="270"/>
      <c r="V289" s="270"/>
      <c r="W289" s="270"/>
      <c r="X289" s="270"/>
      <c r="Y289" s="270"/>
      <c r="Z289" s="270"/>
      <c r="AA289" s="270"/>
      <c r="AB289" s="270"/>
      <c r="AC289" s="270"/>
      <c r="AD289" s="270"/>
      <c r="AE289" s="270"/>
      <c r="AF289" s="270"/>
      <c r="AG289" s="270"/>
      <c r="AH289" s="270"/>
      <c r="AI289" s="358">
        <v>0.7</v>
      </c>
      <c r="AJ289" s="358">
        <f t="shared" si="805"/>
        <v>0.7</v>
      </c>
      <c r="AK289" s="358">
        <f t="shared" si="806"/>
        <v>0.7</v>
      </c>
      <c r="AL289" s="358">
        <f t="shared" si="807"/>
        <v>0.7</v>
      </c>
      <c r="AM289" s="358">
        <f t="shared" si="808"/>
        <v>0.7</v>
      </c>
      <c r="AN289" s="358">
        <v>0.7</v>
      </c>
      <c r="AO289" s="358">
        <v>0.7</v>
      </c>
      <c r="AP289" s="358">
        <v>0.7</v>
      </c>
      <c r="AQ289" s="358">
        <v>0.7</v>
      </c>
      <c r="AR289" s="358">
        <v>0.75</v>
      </c>
      <c r="AS289" s="358">
        <v>0.75</v>
      </c>
      <c r="AT289" s="358">
        <v>0.75</v>
      </c>
      <c r="AU289" s="358">
        <v>0.75</v>
      </c>
      <c r="AV289" s="358">
        <v>0.75</v>
      </c>
      <c r="AW289" s="358">
        <v>0.75</v>
      </c>
      <c r="AX289" s="358">
        <v>0.75</v>
      </c>
      <c r="AY289" s="358">
        <v>0.75</v>
      </c>
      <c r="AZ289" s="358">
        <v>0.75</v>
      </c>
      <c r="BA289" s="358">
        <v>0.75</v>
      </c>
      <c r="BB289" s="358">
        <v>0.75</v>
      </c>
      <c r="BC289" s="358">
        <v>0.75</v>
      </c>
      <c r="BD289" s="270"/>
      <c r="BE289" s="263"/>
      <c r="BF289" s="264"/>
      <c r="BG289" s="261">
        <f>SUM(D289:G289)</f>
        <v>0</v>
      </c>
      <c r="BH289" s="261">
        <f>SUM(H289:K289)</f>
        <v>0</v>
      </c>
      <c r="BI289" s="282">
        <f>SUM(L289:O289)</f>
        <v>0</v>
      </c>
      <c r="BJ289" s="282">
        <f>SUM(P289:S289)</f>
        <v>0</v>
      </c>
      <c r="BK289" s="282">
        <f>SUM(T289:W289)</f>
        <v>0</v>
      </c>
      <c r="BL289" s="270">
        <f>SUM(X289:AA289)</f>
        <v>0</v>
      </c>
      <c r="BM289" s="270">
        <f>SUM(AB289:AE289)</f>
        <v>0</v>
      </c>
      <c r="BN289" s="270">
        <f>SUM(AF289:AI289)</f>
        <v>0.7</v>
      </c>
      <c r="BO289" s="270">
        <f>SUM(AJ289:AM289)</f>
        <v>2.8</v>
      </c>
      <c r="BP289" s="270">
        <f>SUM(AN289:AQ289)</f>
        <v>2.8</v>
      </c>
      <c r="BQ289" s="270">
        <f>SUM(AR289:AU289)</f>
        <v>3</v>
      </c>
      <c r="BR289" s="270">
        <f>SUM(AV289:AY289)</f>
        <v>3</v>
      </c>
      <c r="BS289" s="270">
        <f>SUM(AW289:AZ289)</f>
        <v>3</v>
      </c>
      <c r="BT289" s="252"/>
      <c r="BU289"/>
      <c r="BV289"/>
      <c r="BW289"/>
      <c r="BX289"/>
      <c r="BY289"/>
      <c r="BZ289"/>
    </row>
    <row r="290" s="105" customFormat="1" ht="9.75" customHeight="1" spans="1:78">
      <c r="A290" s="252"/>
      <c r="B290" s="281" t="s">
        <v>480</v>
      </c>
      <c r="C290" s="70"/>
      <c r="D290" s="367"/>
      <c r="E290" s="367"/>
      <c r="F290" s="367"/>
      <c r="G290" s="367"/>
      <c r="H290" s="367"/>
      <c r="I290" s="367"/>
      <c r="J290" s="367"/>
      <c r="K290" s="367"/>
      <c r="L290" s="367"/>
      <c r="M290" s="367"/>
      <c r="N290" s="367"/>
      <c r="O290" s="367"/>
      <c r="P290" s="375"/>
      <c r="Q290" s="375"/>
      <c r="R290" s="373">
        <v>0</v>
      </c>
      <c r="S290" s="374">
        <v>0</v>
      </c>
      <c r="T290" s="374">
        <v>0.05</v>
      </c>
      <c r="U290" s="374">
        <f>T290+5%</f>
        <v>0.1</v>
      </c>
      <c r="V290" s="374">
        <v>0.15</v>
      </c>
      <c r="W290" s="374">
        <v>0.15</v>
      </c>
      <c r="X290" s="374">
        <v>0.4</v>
      </c>
      <c r="Y290" s="374">
        <v>0.45</v>
      </c>
      <c r="Z290" s="374">
        <v>0</v>
      </c>
      <c r="AA290" s="374">
        <v>0.08</v>
      </c>
      <c r="AB290" s="374">
        <v>0.1244</v>
      </c>
      <c r="AC290" s="374">
        <v>0.1078</v>
      </c>
      <c r="AD290" s="374">
        <f>AC290</f>
        <v>0.1078</v>
      </c>
      <c r="AE290" s="374">
        <f>AD290</f>
        <v>0.1078</v>
      </c>
      <c r="AF290" s="374">
        <v>0.0629</v>
      </c>
      <c r="AG290" s="374">
        <v>0.2041</v>
      </c>
      <c r="AH290" s="374">
        <v>0.0565</v>
      </c>
      <c r="AI290" s="374">
        <f>+AI311/AI126</f>
        <v>0.0120687538854258</v>
      </c>
      <c r="AJ290" s="374">
        <v>0.03</v>
      </c>
      <c r="AK290" s="374">
        <v>0.05</v>
      </c>
      <c r="AL290" s="374">
        <v>0.055</v>
      </c>
      <c r="AM290" s="374">
        <v>0.08</v>
      </c>
      <c r="AN290" s="374">
        <v>0.08</v>
      </c>
      <c r="AO290" s="374">
        <v>0.08</v>
      </c>
      <c r="AP290" s="374">
        <v>0.08</v>
      </c>
      <c r="AQ290" s="374">
        <v>0.08</v>
      </c>
      <c r="AR290" s="374">
        <v>0.08</v>
      </c>
      <c r="AS290" s="374">
        <v>0.08</v>
      </c>
      <c r="AT290" s="374">
        <v>0.08</v>
      </c>
      <c r="AU290" s="374">
        <v>0.08</v>
      </c>
      <c r="AV290" s="374">
        <v>0.08</v>
      </c>
      <c r="AW290" s="374">
        <v>0.08</v>
      </c>
      <c r="AX290" s="374">
        <v>0.08</v>
      </c>
      <c r="AY290" s="374">
        <v>0.08</v>
      </c>
      <c r="AZ290" s="374">
        <v>0.08</v>
      </c>
      <c r="BA290" s="374">
        <v>0.08</v>
      </c>
      <c r="BB290" s="374">
        <v>0.08</v>
      </c>
      <c r="BC290" s="374">
        <v>0.08</v>
      </c>
      <c r="BD290" s="376"/>
      <c r="BE290" s="368"/>
      <c r="BF290" s="369"/>
      <c r="BG290" s="364" t="str">
        <f t="shared" ref="BG290:BR290" si="809">+IFERROR(BG311/BG126,"-")</f>
        <v>-</v>
      </c>
      <c r="BH290" s="364" t="str">
        <f t="shared" si="809"/>
        <v>-</v>
      </c>
      <c r="BI290" s="364" t="str">
        <f t="shared" si="809"/>
        <v>-</v>
      </c>
      <c r="BJ290" s="364">
        <f t="shared" si="809"/>
        <v>0</v>
      </c>
      <c r="BK290" s="364">
        <f t="shared" si="809"/>
        <v>0.11923817941182</v>
      </c>
      <c r="BL290" s="364">
        <f t="shared" si="809"/>
        <v>0.119270329300812</v>
      </c>
      <c r="BM290" s="364">
        <f t="shared" si="809"/>
        <v>0.11355208175932</v>
      </c>
      <c r="BN290" s="364">
        <f t="shared" si="809"/>
        <v>0.0401</v>
      </c>
      <c r="BO290" s="364">
        <f t="shared" si="809"/>
        <v>0.0591206896551724</v>
      </c>
      <c r="BP290" s="364">
        <f t="shared" si="809"/>
        <v>0.08</v>
      </c>
      <c r="BQ290" s="364">
        <f t="shared" si="809"/>
        <v>0.08</v>
      </c>
      <c r="BR290" s="364">
        <f t="shared" si="809"/>
        <v>0.08</v>
      </c>
      <c r="BS290" s="364">
        <f t="shared" ref="BS290" si="810">+IFERROR(BS311/BS126,"-")</f>
        <v>0.0764940544023395</v>
      </c>
      <c r="BT290" s="370"/>
      <c r="BU290"/>
      <c r="BV290"/>
      <c r="BW290"/>
      <c r="BX290"/>
      <c r="BY290"/>
      <c r="BZ290"/>
    </row>
    <row r="291" s="105" customFormat="1" ht="9.75" customHeight="1" spans="1:78">
      <c r="A291" s="369"/>
      <c r="B291" s="281" t="s">
        <v>481</v>
      </c>
      <c r="C291" s="284"/>
      <c r="D291" s="367"/>
      <c r="E291" s="367"/>
      <c r="F291" s="367"/>
      <c r="G291" s="367"/>
      <c r="H291" s="367"/>
      <c r="I291" s="367"/>
      <c r="J291" s="367"/>
      <c r="K291" s="367"/>
      <c r="L291" s="367"/>
      <c r="M291" s="367"/>
      <c r="N291" s="367"/>
      <c r="O291" s="367"/>
      <c r="P291" s="375"/>
      <c r="Q291" s="375"/>
      <c r="R291" s="358">
        <v>0.62</v>
      </c>
      <c r="S291" s="358">
        <f>+R291</f>
        <v>0.62</v>
      </c>
      <c r="T291" s="358">
        <f t="shared" ref="T291:AF291" si="811">S291</f>
        <v>0.62</v>
      </c>
      <c r="U291" s="358">
        <f t="shared" si="811"/>
        <v>0.62</v>
      </c>
      <c r="V291" s="358">
        <f t="shared" si="811"/>
        <v>0.62</v>
      </c>
      <c r="W291" s="358">
        <f t="shared" si="811"/>
        <v>0.62</v>
      </c>
      <c r="X291" s="358">
        <f t="shared" si="811"/>
        <v>0.62</v>
      </c>
      <c r="Y291" s="358">
        <f t="shared" si="811"/>
        <v>0.62</v>
      </c>
      <c r="Z291" s="358">
        <f t="shared" si="811"/>
        <v>0.62</v>
      </c>
      <c r="AA291" s="358">
        <f t="shared" si="811"/>
        <v>0.62</v>
      </c>
      <c r="AB291" s="358">
        <f t="shared" si="811"/>
        <v>0.62</v>
      </c>
      <c r="AC291" s="358">
        <f t="shared" si="811"/>
        <v>0.62</v>
      </c>
      <c r="AD291" s="358">
        <f t="shared" si="811"/>
        <v>0.62</v>
      </c>
      <c r="AE291" s="358">
        <f t="shared" si="811"/>
        <v>0.62</v>
      </c>
      <c r="AF291" s="358">
        <f t="shared" si="811"/>
        <v>0.62</v>
      </c>
      <c r="AG291" s="358">
        <f t="shared" ref="AG291:AM291" si="812">AF291</f>
        <v>0.62</v>
      </c>
      <c r="AH291" s="358">
        <f t="shared" si="812"/>
        <v>0.62</v>
      </c>
      <c r="AI291" s="358">
        <f t="shared" si="812"/>
        <v>0.62</v>
      </c>
      <c r="AJ291" s="358">
        <v>0.4</v>
      </c>
      <c r="AK291" s="358">
        <f t="shared" si="812"/>
        <v>0.4</v>
      </c>
      <c r="AL291" s="358">
        <f t="shared" si="812"/>
        <v>0.4</v>
      </c>
      <c r="AM291" s="358">
        <f t="shared" si="812"/>
        <v>0.4</v>
      </c>
      <c r="AN291" s="358">
        <v>0.4</v>
      </c>
      <c r="AO291" s="358">
        <v>0.4</v>
      </c>
      <c r="AP291" s="358">
        <v>0.4</v>
      </c>
      <c r="AQ291" s="358">
        <v>0.4</v>
      </c>
      <c r="AR291" s="358">
        <v>0.4</v>
      </c>
      <c r="AS291" s="358">
        <v>0.4</v>
      </c>
      <c r="AT291" s="358">
        <v>0.4</v>
      </c>
      <c r="AU291" s="358">
        <v>0.4</v>
      </c>
      <c r="AV291" s="358">
        <v>0.4</v>
      </c>
      <c r="AW291" s="358">
        <v>0.4</v>
      </c>
      <c r="AX291" s="358">
        <v>0.4</v>
      </c>
      <c r="AY291" s="358">
        <v>0.4</v>
      </c>
      <c r="AZ291" s="358">
        <v>0.4</v>
      </c>
      <c r="BA291" s="358">
        <v>0.4</v>
      </c>
      <c r="BB291" s="358">
        <v>0.4</v>
      </c>
      <c r="BC291" s="358">
        <v>0.4</v>
      </c>
      <c r="BD291" s="310"/>
      <c r="BE291" s="368"/>
      <c r="BF291" s="369"/>
      <c r="BG291" s="364" t="str">
        <f t="shared" ref="BG291:BR291" si="813">+IFERROR(BG312/BG127,"-")</f>
        <v>-</v>
      </c>
      <c r="BH291" s="364" t="str">
        <f t="shared" si="813"/>
        <v>-</v>
      </c>
      <c r="BI291" s="364" t="str">
        <f t="shared" si="813"/>
        <v>-</v>
      </c>
      <c r="BJ291" s="364">
        <f t="shared" si="813"/>
        <v>0.62</v>
      </c>
      <c r="BK291" s="364">
        <f t="shared" si="813"/>
        <v>0.62</v>
      </c>
      <c r="BL291" s="364">
        <f t="shared" si="813"/>
        <v>0.62</v>
      </c>
      <c r="BM291" s="364">
        <f t="shared" si="813"/>
        <v>0.62</v>
      </c>
      <c r="BN291" s="364">
        <f t="shared" si="813"/>
        <v>0.400061768888376</v>
      </c>
      <c r="BO291" s="364">
        <f t="shared" si="813"/>
        <v>0.269659325031076</v>
      </c>
      <c r="BP291" s="364">
        <f t="shared" si="813"/>
        <v>0.4</v>
      </c>
      <c r="BQ291" s="364" t="str">
        <f t="shared" si="813"/>
        <v>-</v>
      </c>
      <c r="BR291" s="364" t="str">
        <f t="shared" si="813"/>
        <v>-</v>
      </c>
      <c r="BS291" s="364" t="str">
        <f t="shared" ref="BS291" si="814">+IFERROR(BS312/BS127,"-")</f>
        <v>-</v>
      </c>
      <c r="BT291" s="370"/>
      <c r="BU291"/>
      <c r="BV291"/>
      <c r="BW291"/>
      <c r="BX291"/>
      <c r="BY291"/>
      <c r="BZ291"/>
    </row>
    <row r="292" s="105" customFormat="1" customHeight="1" spans="1:78">
      <c r="A292" s="395" t="s">
        <v>125</v>
      </c>
      <c r="B292" s="252"/>
      <c r="C292" s="70"/>
      <c r="D292" s="378"/>
      <c r="E292" s="378"/>
      <c r="F292" s="378"/>
      <c r="G292" s="378"/>
      <c r="H292" s="378"/>
      <c r="I292" s="378"/>
      <c r="J292" s="378"/>
      <c r="K292" s="378"/>
      <c r="L292" s="378"/>
      <c r="M292" s="378"/>
      <c r="N292" s="378"/>
      <c r="O292" s="378"/>
      <c r="P292" s="378"/>
      <c r="Q292" s="378"/>
      <c r="R292" s="379">
        <f t="shared" ref="R292:AY292" si="815">R314/R128</f>
        <v>0</v>
      </c>
      <c r="S292" s="379">
        <f t="shared" si="815"/>
        <v>0</v>
      </c>
      <c r="T292" s="379">
        <f t="shared" si="815"/>
        <v>0</v>
      </c>
      <c r="U292" s="379">
        <f t="shared" si="815"/>
        <v>0</v>
      </c>
      <c r="V292" s="379">
        <f t="shared" si="815"/>
        <v>0</v>
      </c>
      <c r="W292" s="379">
        <f t="shared" si="815"/>
        <v>0</v>
      </c>
      <c r="X292" s="379">
        <f t="shared" si="815"/>
        <v>0</v>
      </c>
      <c r="Y292" s="379">
        <f t="shared" si="815"/>
        <v>0</v>
      </c>
      <c r="Z292" s="379">
        <f t="shared" si="815"/>
        <v>0</v>
      </c>
      <c r="AA292" s="379">
        <f t="shared" si="815"/>
        <v>0</v>
      </c>
      <c r="AB292" s="379">
        <f t="shared" si="815"/>
        <v>0</v>
      </c>
      <c r="AC292" s="379">
        <f t="shared" si="815"/>
        <v>0</v>
      </c>
      <c r="AD292" s="379">
        <f t="shared" si="815"/>
        <v>0</v>
      </c>
      <c r="AE292" s="379">
        <f t="shared" si="815"/>
        <v>0</v>
      </c>
      <c r="AF292" s="379">
        <f t="shared" si="815"/>
        <v>0</v>
      </c>
      <c r="AG292" s="379">
        <f t="shared" si="815"/>
        <v>0</v>
      </c>
      <c r="AH292" s="379">
        <f t="shared" si="815"/>
        <v>0</v>
      </c>
      <c r="AI292" s="379">
        <f t="shared" si="815"/>
        <v>0</v>
      </c>
      <c r="AJ292" s="379">
        <f t="shared" si="815"/>
        <v>0</v>
      </c>
      <c r="AK292" s="379">
        <f t="shared" si="815"/>
        <v>0</v>
      </c>
      <c r="AL292" s="379">
        <f t="shared" si="815"/>
        <v>0</v>
      </c>
      <c r="AM292" s="379">
        <f t="shared" si="815"/>
        <v>0</v>
      </c>
      <c r="AN292" s="379">
        <f t="shared" si="815"/>
        <v>0</v>
      </c>
      <c r="AO292" s="379">
        <f t="shared" si="815"/>
        <v>0</v>
      </c>
      <c r="AP292" s="379">
        <f t="shared" si="815"/>
        <v>0</v>
      </c>
      <c r="AQ292" s="379">
        <f t="shared" si="815"/>
        <v>0</v>
      </c>
      <c r="AR292" s="379">
        <f t="shared" si="815"/>
        <v>0</v>
      </c>
      <c r="AS292" s="379">
        <f t="shared" si="815"/>
        <v>0</v>
      </c>
      <c r="AT292" s="379">
        <f t="shared" si="815"/>
        <v>0</v>
      </c>
      <c r="AU292" s="379">
        <f t="shared" si="815"/>
        <v>0</v>
      </c>
      <c r="AV292" s="379">
        <f t="shared" si="815"/>
        <v>0</v>
      </c>
      <c r="AW292" s="379">
        <f t="shared" si="815"/>
        <v>0</v>
      </c>
      <c r="AX292" s="379">
        <f t="shared" si="815"/>
        <v>0</v>
      </c>
      <c r="AY292" s="379">
        <f t="shared" si="815"/>
        <v>0</v>
      </c>
      <c r="AZ292" s="379">
        <f t="shared" ref="AZ292:BC292" si="816">AZ314/AZ128</f>
        <v>0</v>
      </c>
      <c r="BA292" s="379">
        <f t="shared" si="816"/>
        <v>0</v>
      </c>
      <c r="BB292" s="379">
        <f t="shared" si="816"/>
        <v>0</v>
      </c>
      <c r="BC292" s="379">
        <f t="shared" si="816"/>
        <v>0</v>
      </c>
      <c r="BD292" s="378"/>
      <c r="BE292" s="368"/>
      <c r="BF292" s="369"/>
      <c r="BG292" s="364">
        <f t="shared" ref="BG292:BR292" si="817">+IFERROR(BG313/BG128,"-")</f>
        <v>0</v>
      </c>
      <c r="BH292" s="364">
        <f t="shared" si="817"/>
        <v>0</v>
      </c>
      <c r="BI292" s="364">
        <f t="shared" si="817"/>
        <v>0</v>
      </c>
      <c r="BJ292" s="364">
        <f t="shared" si="817"/>
        <v>0.367362886071006</v>
      </c>
      <c r="BK292" s="380">
        <f t="shared" si="817"/>
        <v>0.721956629442485</v>
      </c>
      <c r="BL292" s="364">
        <f t="shared" si="817"/>
        <v>0.477104606974095</v>
      </c>
      <c r="BM292" s="364">
        <f t="shared" si="817"/>
        <v>0.464958823252361</v>
      </c>
      <c r="BN292" s="364">
        <f t="shared" si="817"/>
        <v>0.609356628398467</v>
      </c>
      <c r="BO292" s="364">
        <f t="shared" si="817"/>
        <v>0.652178365926645</v>
      </c>
      <c r="BP292" s="364">
        <f t="shared" si="817"/>
        <v>0.604027465734822</v>
      </c>
      <c r="BQ292" s="364">
        <f t="shared" si="817"/>
        <v>0.680847418239313</v>
      </c>
      <c r="BR292" s="364">
        <f t="shared" si="817"/>
        <v>0.70954265517345</v>
      </c>
      <c r="BS292" s="364">
        <f t="shared" ref="BS292" si="818">+IFERROR(BS313/BS128,"-")</f>
        <v>0.576603073891877</v>
      </c>
      <c r="BT292" s="370"/>
      <c r="BU292"/>
      <c r="BV292"/>
      <c r="BW292"/>
      <c r="BX292"/>
      <c r="BY292"/>
      <c r="BZ292"/>
    </row>
    <row r="293" customHeight="1" spans="1:78">
      <c r="A293" s="268" t="s">
        <v>492</v>
      </c>
      <c r="B293" s="252"/>
      <c r="C293" s="252"/>
      <c r="D293" s="380"/>
      <c r="E293" s="380"/>
      <c r="F293" s="380"/>
      <c r="G293" s="380"/>
      <c r="H293" s="380"/>
      <c r="I293" s="380"/>
      <c r="J293" s="380"/>
      <c r="K293" s="380"/>
      <c r="L293" s="380"/>
      <c r="M293" s="380"/>
      <c r="N293" s="380"/>
      <c r="O293" s="380"/>
      <c r="P293" s="380"/>
      <c r="Q293" s="380"/>
      <c r="R293" s="364">
        <f t="shared" ref="R293:AY293" si="819">R18</f>
        <v>0.753386503869018</v>
      </c>
      <c r="S293" s="364">
        <f t="shared" si="819"/>
        <v>0.72913449804698</v>
      </c>
      <c r="T293" s="364">
        <f t="shared" si="819"/>
        <v>0.725198293997483</v>
      </c>
      <c r="U293" s="364">
        <f t="shared" si="819"/>
        <v>0.74556441502955</v>
      </c>
      <c r="V293" s="364">
        <f t="shared" si="819"/>
        <v>0.704991791739876</v>
      </c>
      <c r="W293" s="364">
        <f t="shared" si="819"/>
        <v>0.694296496292303</v>
      </c>
      <c r="X293" s="364">
        <f t="shared" si="819"/>
        <v>0.644205922612092</v>
      </c>
      <c r="Y293" s="364">
        <f t="shared" si="819"/>
        <v>0.609651403868374</v>
      </c>
      <c r="Z293" s="364">
        <f t="shared" si="819"/>
        <v>0.372391973122422</v>
      </c>
      <c r="AA293" s="364">
        <f t="shared" si="819"/>
        <v>0.460911297702206</v>
      </c>
      <c r="AB293" s="364">
        <f t="shared" si="819"/>
        <v>0.431853695429815</v>
      </c>
      <c r="AC293" s="364">
        <f t="shared" si="819"/>
        <v>0.423329772492456</v>
      </c>
      <c r="AD293" s="364">
        <f t="shared" si="819"/>
        <v>0.456499418454042</v>
      </c>
      <c r="AE293" s="364">
        <f t="shared" si="819"/>
        <v>0.564381481139859</v>
      </c>
      <c r="AF293" s="364">
        <f t="shared" si="819"/>
        <v>0.532915562250911</v>
      </c>
      <c r="AG293" s="364">
        <f t="shared" si="819"/>
        <v>0.588291791973044</v>
      </c>
      <c r="AH293" s="364">
        <f t="shared" si="819"/>
        <v>0.647960840097063</v>
      </c>
      <c r="AI293" s="364">
        <f t="shared" si="819"/>
        <v>0.574376916320874</v>
      </c>
      <c r="AJ293" s="364">
        <f t="shared" si="819"/>
        <v>0.577041028778062</v>
      </c>
      <c r="AK293" s="364">
        <f t="shared" si="819"/>
        <v>0.578326317888576</v>
      </c>
      <c r="AL293" s="364">
        <f t="shared" si="819"/>
        <v>0.58739121219748</v>
      </c>
      <c r="AM293" s="364">
        <f t="shared" si="819"/>
        <v>0.581654636853829</v>
      </c>
      <c r="AN293" s="364">
        <f t="shared" si="819"/>
        <v>0.604497266834069</v>
      </c>
      <c r="AO293" s="364">
        <f t="shared" si="819"/>
        <v>0.604296058733871</v>
      </c>
      <c r="AP293" s="364">
        <f t="shared" si="819"/>
        <v>0.633442841203545</v>
      </c>
      <c r="AQ293" s="364">
        <f t="shared" si="819"/>
        <v>0.604497266834069</v>
      </c>
      <c r="AR293" s="364">
        <f t="shared" si="819"/>
        <v>0.697882137414614</v>
      </c>
      <c r="AS293" s="364">
        <f t="shared" si="819"/>
        <v>0.677149588954193</v>
      </c>
      <c r="AT293" s="364">
        <f t="shared" si="819"/>
        <v>0.683850689318031</v>
      </c>
      <c r="AU293" s="364">
        <f t="shared" si="819"/>
        <v>0.692050803883307</v>
      </c>
      <c r="AV293" s="364">
        <f t="shared" si="819"/>
        <v>0.69741343862236</v>
      </c>
      <c r="AW293" s="364">
        <f t="shared" si="819"/>
        <v>0.709166781924852</v>
      </c>
      <c r="AX293" s="364">
        <f t="shared" si="819"/>
        <v>0.712274874204651</v>
      </c>
      <c r="AY293" s="364">
        <f t="shared" si="819"/>
        <v>0.714852981910369</v>
      </c>
      <c r="AZ293" s="364">
        <f t="shared" ref="AZ293:BC293" si="820">AZ18</f>
        <v>0.71644955936523</v>
      </c>
      <c r="BA293" s="364">
        <f t="shared" si="820"/>
        <v>0.718226217084818</v>
      </c>
      <c r="BB293" s="364">
        <f t="shared" si="820"/>
        <v>0.719861825419072</v>
      </c>
      <c r="BC293" s="364">
        <f t="shared" si="820"/>
        <v>0.721370455975871</v>
      </c>
      <c r="BD293" s="380"/>
      <c r="BE293" s="340"/>
      <c r="BF293" s="268"/>
      <c r="BG293" s="364"/>
      <c r="BH293" s="364"/>
      <c r="BI293" s="364"/>
      <c r="BJ293" s="364"/>
      <c r="BK293" s="364"/>
      <c r="BL293" s="364"/>
      <c r="BM293" s="364"/>
      <c r="BN293" s="364"/>
      <c r="BO293" s="364"/>
      <c r="BP293" s="364"/>
      <c r="BQ293" s="364"/>
      <c r="BR293" s="364"/>
      <c r="BS293" s="364"/>
      <c r="BT293" s="49"/>
    </row>
    <row r="294" customHeight="1" spans="1:78">
      <c r="A294" s="288"/>
      <c r="B294" s="381"/>
      <c r="C294" s="288"/>
      <c r="D294" s="289"/>
      <c r="E294" s="289"/>
      <c r="F294" s="289"/>
      <c r="G294" s="289"/>
      <c r="H294" s="289"/>
      <c r="I294" s="289"/>
      <c r="J294" s="289"/>
      <c r="K294" s="289"/>
      <c r="L294" s="289"/>
      <c r="M294" s="289"/>
      <c r="N294" s="289"/>
      <c r="O294" s="289"/>
      <c r="P294" s="289"/>
      <c r="Q294" s="289"/>
      <c r="R294" s="382"/>
      <c r="S294" s="382"/>
      <c r="T294" s="382"/>
      <c r="U294" s="382"/>
      <c r="V294" s="383"/>
      <c r="W294" s="383"/>
      <c r="X294" s="383"/>
      <c r="Y294" s="382"/>
      <c r="Z294" s="382"/>
      <c r="AA294" s="382"/>
      <c r="AB294" s="291"/>
      <c r="AC294" s="291"/>
      <c r="AD294" s="291"/>
      <c r="AE294" s="291"/>
      <c r="AF294" s="291"/>
      <c r="AG294" s="291"/>
      <c r="AH294" s="291"/>
      <c r="AI294" s="291"/>
      <c r="AJ294" s="291"/>
      <c r="AK294" s="291"/>
      <c r="AL294" s="289"/>
      <c r="AM294" s="289"/>
      <c r="AN294" s="289"/>
      <c r="AO294" s="289"/>
      <c r="AP294" s="289"/>
      <c r="AQ294" s="289"/>
      <c r="AR294" s="289"/>
      <c r="AS294" s="289"/>
      <c r="AT294" s="289"/>
      <c r="AU294" s="289"/>
      <c r="AV294" s="289"/>
      <c r="AW294" s="289"/>
      <c r="AX294" s="289"/>
      <c r="AY294" s="289"/>
      <c r="AZ294" s="289"/>
      <c r="BA294" s="289"/>
      <c r="BB294" s="289"/>
      <c r="BC294" s="289"/>
      <c r="BD294" s="289"/>
      <c r="BE294" s="292"/>
      <c r="BF294" s="293"/>
      <c r="BG294" s="384"/>
      <c r="BH294" s="384"/>
      <c r="BI294" s="384"/>
      <c r="BJ294" s="384"/>
      <c r="BK294" s="384"/>
      <c r="BL294" s="384"/>
      <c r="BM294" s="384"/>
      <c r="BN294" s="384"/>
      <c r="BO294" s="384"/>
      <c r="BP294" s="384"/>
      <c r="BQ294" s="384"/>
      <c r="BR294" s="384"/>
      <c r="BS294" s="384"/>
      <c r="BT294" s="288"/>
    </row>
    <row r="295" customHeight="1" spans="1:78">
      <c r="A295" s="268"/>
      <c r="B295" s="252"/>
      <c r="C295" s="268"/>
      <c r="D295" s="268"/>
      <c r="E295" s="268"/>
      <c r="F295" s="268"/>
      <c r="G295" s="268"/>
      <c r="H295" s="268"/>
      <c r="I295" s="268"/>
      <c r="J295" s="268"/>
      <c r="K295" s="268"/>
      <c r="L295" s="268"/>
      <c r="M295" s="268"/>
      <c r="N295" s="268"/>
      <c r="O295" s="268"/>
      <c r="P295" s="268"/>
      <c r="Q295" s="268"/>
      <c r="R295" s="268"/>
      <c r="S295" s="268"/>
      <c r="T295" s="268"/>
      <c r="U295" s="268"/>
      <c r="V295" s="268"/>
      <c r="W295" s="268"/>
      <c r="X295" s="268"/>
      <c r="Y295" s="268"/>
      <c r="Z295" s="268"/>
      <c r="AA295" s="268"/>
      <c r="AB295" s="268"/>
      <c r="AC295" s="268"/>
      <c r="AD295" s="268"/>
      <c r="AE295" s="268"/>
      <c r="AF295" s="268"/>
      <c r="AG295" s="268"/>
      <c r="AH295" s="268"/>
      <c r="AI295" s="268"/>
      <c r="AJ295" s="268"/>
      <c r="AK295" s="268"/>
      <c r="AL295" s="268"/>
      <c r="AM295" s="268"/>
      <c r="AN295" s="268"/>
      <c r="AO295" s="268"/>
      <c r="AP295" s="268"/>
      <c r="AQ295" s="268"/>
      <c r="AR295" s="268"/>
      <c r="AS295" s="268"/>
      <c r="AT295" s="268"/>
      <c r="AU295" s="268"/>
      <c r="AV295" s="268"/>
      <c r="AW295" s="268"/>
      <c r="AX295" s="268"/>
      <c r="AY295" s="268"/>
      <c r="AZ295" s="268"/>
      <c r="BA295" s="268"/>
      <c r="BB295" s="268"/>
      <c r="BC295" s="268"/>
      <c r="BD295" s="268"/>
      <c r="BE295" s="340"/>
      <c r="BF295" s="268"/>
      <c r="BG295" s="268"/>
      <c r="BH295" s="268"/>
      <c r="BI295" s="268"/>
      <c r="BJ295" s="268"/>
      <c r="BK295" s="268"/>
      <c r="BL295" s="268"/>
      <c r="BM295" s="268"/>
      <c r="BN295" s="268"/>
      <c r="BO295" s="268"/>
      <c r="BP295" s="49"/>
      <c r="BQ295" s="49"/>
      <c r="BR295" s="49"/>
      <c r="BS295" s="49"/>
      <c r="BT295" s="49"/>
    </row>
    <row r="296" customHeight="1" spans="1:78">
      <c r="A296" s="252" t="s">
        <v>493</v>
      </c>
      <c r="B296" s="252"/>
      <c r="C296" s="268"/>
      <c r="D296" s="268"/>
      <c r="E296" s="268"/>
      <c r="F296" s="268"/>
      <c r="G296" s="268"/>
      <c r="H296" s="268"/>
      <c r="I296" s="268"/>
      <c r="J296" s="268"/>
      <c r="K296" s="268"/>
      <c r="L296" s="268"/>
      <c r="M296" s="268"/>
      <c r="N296" s="268"/>
      <c r="O296" s="268"/>
      <c r="P296" s="268"/>
      <c r="Q296" s="268"/>
      <c r="R296" s="268"/>
      <c r="S296" s="268"/>
      <c r="T296" s="268"/>
      <c r="U296" s="268"/>
      <c r="V296" s="268"/>
      <c r="W296" s="268"/>
      <c r="X296" s="268"/>
      <c r="Y296" s="268"/>
      <c r="Z296" s="268"/>
      <c r="AA296" s="268"/>
      <c r="AB296" s="268"/>
      <c r="AC296" s="268"/>
      <c r="AD296" s="268"/>
      <c r="AE296" s="268"/>
      <c r="AF296" s="268"/>
      <c r="AG296" s="268"/>
      <c r="AH296" s="268"/>
      <c r="AI296" s="268"/>
      <c r="AJ296" s="268"/>
      <c r="AK296" s="268"/>
      <c r="AL296" s="268"/>
      <c r="AM296" s="268"/>
      <c r="AN296" s="268"/>
      <c r="AO296" s="268"/>
      <c r="AP296" s="268"/>
      <c r="AQ296" s="268"/>
      <c r="AR296" s="268"/>
      <c r="AS296" s="268"/>
      <c r="AT296" s="268"/>
      <c r="AU296" s="268"/>
      <c r="AV296" s="268"/>
      <c r="AW296" s="268"/>
      <c r="AX296" s="268"/>
      <c r="AY296" s="268"/>
      <c r="AZ296" s="268"/>
      <c r="BA296" s="268"/>
      <c r="BB296" s="268"/>
      <c r="BC296" s="268"/>
      <c r="BD296" s="268"/>
      <c r="BE296" s="340"/>
      <c r="BF296" s="268"/>
      <c r="BG296" s="268"/>
      <c r="BH296" s="268"/>
      <c r="BI296" s="268"/>
      <c r="BJ296" s="268"/>
      <c r="BK296" s="268"/>
      <c r="BL296" s="268"/>
      <c r="BM296" s="268"/>
      <c r="BN296" s="268"/>
      <c r="BO296" s="268"/>
      <c r="BP296" s="49"/>
      <c r="BQ296" s="49"/>
      <c r="BR296" s="49"/>
      <c r="BS296" s="49"/>
      <c r="BT296" s="49"/>
    </row>
    <row r="297" customHeight="1" spans="1:78">
      <c r="A297" s="268"/>
      <c r="B297" s="70"/>
      <c r="C297" s="284"/>
      <c r="D297" s="345"/>
      <c r="E297" s="345"/>
      <c r="F297" s="345"/>
      <c r="G297" s="345"/>
      <c r="H297" s="345"/>
      <c r="I297" s="345"/>
      <c r="J297" s="345"/>
      <c r="K297" s="345"/>
      <c r="L297" s="345"/>
      <c r="M297" s="345"/>
      <c r="N297" s="345"/>
      <c r="O297" s="345"/>
      <c r="P297" s="345"/>
      <c r="Q297" s="345"/>
      <c r="R297" s="345"/>
      <c r="S297" s="345"/>
      <c r="T297" s="345"/>
      <c r="U297" s="345"/>
      <c r="V297" s="345"/>
      <c r="W297" s="345"/>
      <c r="X297" s="345"/>
      <c r="Y297" s="345"/>
      <c r="Z297" s="345"/>
      <c r="AA297" s="345"/>
      <c r="AB297" s="345"/>
      <c r="AC297" s="345"/>
      <c r="AD297" s="345"/>
      <c r="AE297" s="345"/>
      <c r="AF297" s="345"/>
      <c r="AG297" s="345"/>
      <c r="AH297" s="345"/>
      <c r="AI297" s="345"/>
      <c r="AJ297" s="345"/>
      <c r="AK297" s="345"/>
      <c r="AL297" s="345"/>
      <c r="AM297" s="345"/>
      <c r="AN297" s="345"/>
      <c r="AO297" s="345"/>
      <c r="AP297" s="345"/>
      <c r="AQ297" s="345"/>
      <c r="AR297" s="345"/>
      <c r="AS297" s="345"/>
      <c r="AT297" s="345"/>
      <c r="AU297" s="345"/>
      <c r="AV297" s="345"/>
      <c r="AW297" s="345"/>
      <c r="AX297" s="345"/>
      <c r="AY297" s="345"/>
      <c r="AZ297" s="345"/>
      <c r="BA297" s="345"/>
      <c r="BB297" s="345"/>
      <c r="BC297" s="345"/>
      <c r="BD297" s="345"/>
      <c r="BE297" s="340"/>
      <c r="BF297" s="268"/>
      <c r="BG297" s="270"/>
      <c r="BH297" s="270"/>
      <c r="BI297" s="270"/>
      <c r="BJ297" s="270"/>
      <c r="BK297" s="345"/>
      <c r="BL297" s="270"/>
      <c r="BM297" s="270"/>
      <c r="BN297" s="270"/>
      <c r="BO297" s="270"/>
      <c r="BP297" s="49"/>
      <c r="BQ297" s="49"/>
      <c r="BR297" s="49"/>
      <c r="BS297" s="49"/>
      <c r="BT297" s="49"/>
    </row>
    <row r="298" s="105" customFormat="1" customHeight="1" spans="1:78">
      <c r="A298" s="252"/>
      <c r="B298" s="395" t="s">
        <v>464</v>
      </c>
      <c r="C298" s="70"/>
      <c r="D298" s="356"/>
      <c r="E298" s="356"/>
      <c r="F298" s="356"/>
      <c r="G298" s="356"/>
      <c r="H298" s="356"/>
      <c r="I298" s="356"/>
      <c r="J298" s="356"/>
      <c r="K298" s="356"/>
      <c r="L298" s="356"/>
      <c r="M298" s="356"/>
      <c r="N298" s="356"/>
      <c r="O298" s="356"/>
      <c r="P298" s="356"/>
      <c r="Q298" s="356"/>
      <c r="R298" s="345">
        <f>SUM(R299,R302,R306)</f>
        <v>380.835542808</v>
      </c>
      <c r="S298" s="345">
        <f t="shared" ref="S298:AY298" si="821">SUM(S299,S302,S306)</f>
        <v>257.51088</v>
      </c>
      <c r="T298" s="345">
        <f t="shared" si="821"/>
        <v>359.488522882483</v>
      </c>
      <c r="U298" s="345">
        <f t="shared" si="821"/>
        <v>442.056602026483</v>
      </c>
      <c r="V298" s="345">
        <f t="shared" si="821"/>
        <v>266.228727597662</v>
      </c>
      <c r="W298" s="345">
        <f t="shared" si="821"/>
        <v>245.215677102243</v>
      </c>
      <c r="X298" s="345">
        <f t="shared" si="821"/>
        <v>173.56886330112</v>
      </c>
      <c r="Y298" s="345">
        <f t="shared" si="821"/>
        <v>206.935831096196</v>
      </c>
      <c r="Z298" s="345">
        <f t="shared" si="821"/>
        <v>323.287910870198</v>
      </c>
      <c r="AA298" s="345">
        <f t="shared" si="821"/>
        <v>418.739140015017</v>
      </c>
      <c r="AB298" s="345">
        <f t="shared" si="821"/>
        <v>347.038879540041</v>
      </c>
      <c r="AC298" s="345">
        <f t="shared" si="821"/>
        <v>392.009000123205</v>
      </c>
      <c r="AD298" s="345">
        <f t="shared" si="821"/>
        <v>400.157824142937</v>
      </c>
      <c r="AE298" s="345">
        <f t="shared" si="821"/>
        <v>430.125666226563</v>
      </c>
      <c r="AF298" s="345">
        <f t="shared" si="821"/>
        <v>222.206123578929</v>
      </c>
      <c r="AG298" s="345">
        <f t="shared" si="821"/>
        <v>296.692776686415</v>
      </c>
      <c r="AH298" s="345">
        <f t="shared" si="821"/>
        <v>385.117381896849</v>
      </c>
      <c r="AI298" s="345">
        <f t="shared" si="821"/>
        <v>398.335298554738</v>
      </c>
      <c r="AJ298" s="345">
        <f t="shared" si="821"/>
        <v>529.821577581964</v>
      </c>
      <c r="AK298" s="345">
        <f t="shared" si="821"/>
        <v>632.584055527379</v>
      </c>
      <c r="AL298" s="345">
        <f t="shared" si="821"/>
        <v>579.315846831142</v>
      </c>
      <c r="AM298" s="345">
        <f t="shared" si="821"/>
        <v>538.179602787373</v>
      </c>
      <c r="AN298" s="345">
        <f t="shared" si="821"/>
        <v>616.80771551894</v>
      </c>
      <c r="AO298" s="345">
        <f t="shared" si="821"/>
        <v>650.977258392331</v>
      </c>
      <c r="AP298" s="345">
        <f t="shared" si="821"/>
        <v>671.320639499304</v>
      </c>
      <c r="AQ298" s="345">
        <f t="shared" si="821"/>
        <v>653.205026113745</v>
      </c>
      <c r="AR298" s="345">
        <f t="shared" si="821"/>
        <v>777.002204070584</v>
      </c>
      <c r="AS298" s="345">
        <f t="shared" si="821"/>
        <v>888.909363764631</v>
      </c>
      <c r="AT298" s="345">
        <f t="shared" si="821"/>
        <v>977.391624073334</v>
      </c>
      <c r="AU298" s="345">
        <f t="shared" si="821"/>
        <v>1078.40407566083</v>
      </c>
      <c r="AV298" s="345">
        <f t="shared" si="821"/>
        <v>1171.14557367037</v>
      </c>
      <c r="AW298" s="345">
        <f t="shared" si="821"/>
        <v>1279.40477274337</v>
      </c>
      <c r="AX298" s="345">
        <f t="shared" si="821"/>
        <v>1407.11603496946</v>
      </c>
      <c r="AY298" s="345">
        <f t="shared" si="821"/>
        <v>1559.33555353358</v>
      </c>
      <c r="AZ298" s="345">
        <f t="shared" ref="AZ298:BC298" si="822">SUM(AZ299,AZ302,AZ306)</f>
        <v>1667.26073366271</v>
      </c>
      <c r="BA298" s="345">
        <f t="shared" si="822"/>
        <v>1783.8599503002</v>
      </c>
      <c r="BB298" s="345">
        <f t="shared" si="822"/>
        <v>1909.93091250425</v>
      </c>
      <c r="BC298" s="345">
        <f t="shared" si="822"/>
        <v>2046.3522538499</v>
      </c>
      <c r="BD298" s="356"/>
      <c r="BE298" s="385"/>
      <c r="BF298" s="252"/>
      <c r="BG298" s="270">
        <f t="shared" ref="BG298:BG313" si="823">SUM(D298:G298)</f>
        <v>0</v>
      </c>
      <c r="BH298" s="270">
        <f t="shared" ref="BH298:BH313" si="824">SUM(H298:K298)</f>
        <v>0</v>
      </c>
      <c r="BI298" s="270">
        <f t="shared" ref="BI298:BI313" si="825">SUM(L298:O298)</f>
        <v>0</v>
      </c>
      <c r="BJ298" s="270">
        <f t="shared" ref="BJ298:BJ313" si="826">SUM(P298:S298)</f>
        <v>638.346422808</v>
      </c>
      <c r="BK298" s="270">
        <f t="shared" ref="BK298:BK313" si="827">SUM(T298:W298)</f>
        <v>1312.98952960887</v>
      </c>
      <c r="BL298" s="270">
        <f t="shared" ref="BL298:BL313" si="828">SUM(X298:AA298)</f>
        <v>1122.53174528253</v>
      </c>
      <c r="BM298" s="270">
        <f t="shared" ref="BM298:BM313" si="829">SUM(AB298:AE298)</f>
        <v>1569.33137003275</v>
      </c>
      <c r="BN298" s="270">
        <f t="shared" ref="BN298:BN313" si="830">SUM(AF298:AI298)</f>
        <v>1302.35158071693</v>
      </c>
      <c r="BO298" s="270">
        <f t="shared" ref="BO298:BO313" si="831">SUM(AJ298:AM298)</f>
        <v>2279.90108272786</v>
      </c>
      <c r="BP298" s="270">
        <f t="shared" ref="BP298:BP313" si="832">SUM(AN298:AQ298)</f>
        <v>2592.31063952432</v>
      </c>
      <c r="BQ298" s="270">
        <f t="shared" ref="BQ298:BQ313" si="833">SUM(AR298:AU298)</f>
        <v>3721.70726756937</v>
      </c>
      <c r="BR298" s="270">
        <f t="shared" ref="BR298:BS313" si="834">SUM(AV298:AY298)</f>
        <v>5417.00193491677</v>
      </c>
      <c r="BS298" s="270">
        <f t="shared" si="834"/>
        <v>5913.11709490911</v>
      </c>
      <c r="BT298" s="76"/>
      <c r="BU298"/>
      <c r="BV298"/>
      <c r="BW298"/>
      <c r="BX298"/>
      <c r="BY298"/>
      <c r="BZ298"/>
    </row>
    <row r="299" customHeight="1" spans="1:78">
      <c r="A299" s="268"/>
      <c r="B299" s="268"/>
      <c r="C299" s="397" t="s">
        <v>465</v>
      </c>
      <c r="D299" s="345"/>
      <c r="E299" s="345"/>
      <c r="F299" s="345"/>
      <c r="G299" s="345"/>
      <c r="H299" s="345"/>
      <c r="I299" s="345"/>
      <c r="J299" s="345"/>
      <c r="K299" s="345"/>
      <c r="L299" s="345"/>
      <c r="M299" s="345"/>
      <c r="N299" s="345"/>
      <c r="O299" s="345"/>
      <c r="P299" s="386"/>
      <c r="Q299" s="386"/>
      <c r="R299" s="345">
        <f>+R300+R301</f>
        <v>380.835542808</v>
      </c>
      <c r="S299" s="345">
        <f t="shared" ref="S299:AY299" si="835">+S300+S301</f>
        <v>257.51088</v>
      </c>
      <c r="T299" s="345">
        <f t="shared" si="835"/>
        <v>359.488522882483</v>
      </c>
      <c r="U299" s="345">
        <f t="shared" si="835"/>
        <v>442.056602026483</v>
      </c>
      <c r="V299" s="345">
        <f t="shared" si="835"/>
        <v>266.228727597662</v>
      </c>
      <c r="W299" s="345">
        <f t="shared" si="835"/>
        <v>245.215677102243</v>
      </c>
      <c r="X299" s="345">
        <f t="shared" si="835"/>
        <v>173.56886330112</v>
      </c>
      <c r="Y299" s="345">
        <f t="shared" si="835"/>
        <v>206.935831096196</v>
      </c>
      <c r="Z299" s="345">
        <f t="shared" si="835"/>
        <v>323.287910870198</v>
      </c>
      <c r="AA299" s="345">
        <f t="shared" si="835"/>
        <v>418.259140015017</v>
      </c>
      <c r="AB299" s="345">
        <f t="shared" si="835"/>
        <v>342.338879540041</v>
      </c>
      <c r="AC299" s="345">
        <f t="shared" si="835"/>
        <v>385.709000123205</v>
      </c>
      <c r="AD299" s="345">
        <f t="shared" si="835"/>
        <v>391.417824142937</v>
      </c>
      <c r="AE299" s="345">
        <f t="shared" si="835"/>
        <v>417.285666226563</v>
      </c>
      <c r="AF299" s="345">
        <f t="shared" si="835"/>
        <v>214.657561318648</v>
      </c>
      <c r="AG299" s="345">
        <f t="shared" si="835"/>
        <v>289.039389895956</v>
      </c>
      <c r="AH299" s="345">
        <f t="shared" si="835"/>
        <v>355.857720187007</v>
      </c>
      <c r="AI299" s="345">
        <f t="shared" si="835"/>
        <v>374.735298554738</v>
      </c>
      <c r="AJ299" s="345">
        <f t="shared" si="835"/>
        <v>498.181577581964</v>
      </c>
      <c r="AK299" s="345">
        <f t="shared" si="835"/>
        <v>580.534055527379</v>
      </c>
      <c r="AL299" s="345">
        <f t="shared" si="835"/>
        <v>516.515846831142</v>
      </c>
      <c r="AM299" s="345">
        <f t="shared" si="835"/>
        <v>518.778980880027</v>
      </c>
      <c r="AN299" s="345">
        <f t="shared" si="835"/>
        <v>596.996382126721</v>
      </c>
      <c r="AO299" s="345">
        <f t="shared" si="835"/>
        <v>630.911151252688</v>
      </c>
      <c r="AP299" s="345">
        <f t="shared" si="835"/>
        <v>608.730628374953</v>
      </c>
      <c r="AQ299" s="345">
        <f t="shared" si="835"/>
        <v>583.649958539676</v>
      </c>
      <c r="AR299" s="345">
        <f t="shared" si="835"/>
        <v>701.69645391349</v>
      </c>
      <c r="AS299" s="345">
        <f t="shared" si="835"/>
        <v>793.27251912556</v>
      </c>
      <c r="AT299" s="345">
        <f t="shared" si="835"/>
        <v>847.877517370262</v>
      </c>
      <c r="AU299" s="345">
        <f t="shared" si="835"/>
        <v>906.234880289953</v>
      </c>
      <c r="AV299" s="345">
        <f t="shared" si="835"/>
        <v>954.609122812605</v>
      </c>
      <c r="AW299" s="345">
        <f t="shared" si="835"/>
        <v>1005.55855114045</v>
      </c>
      <c r="AX299" s="345">
        <f t="shared" si="835"/>
        <v>1059.21991860139</v>
      </c>
      <c r="AY299" s="345">
        <f t="shared" si="835"/>
        <v>1115.73722455738</v>
      </c>
      <c r="AZ299" s="345">
        <f t="shared" ref="AZ299:BC299" si="836">+AZ300+AZ301</f>
        <v>1175.26209756532</v>
      </c>
      <c r="BA299" s="345">
        <f t="shared" si="836"/>
        <v>1237.9541987614</v>
      </c>
      <c r="BB299" s="345">
        <f t="shared" si="836"/>
        <v>1303.9816465344</v>
      </c>
      <c r="BC299" s="345">
        <f t="shared" si="836"/>
        <v>1373.52146360969</v>
      </c>
      <c r="BD299" s="345"/>
      <c r="BE299" s="340"/>
      <c r="BF299" s="268"/>
      <c r="BG299" s="270">
        <f t="shared" si="823"/>
        <v>0</v>
      </c>
      <c r="BH299" s="270">
        <f t="shared" si="824"/>
        <v>0</v>
      </c>
      <c r="BI299" s="270">
        <f t="shared" si="825"/>
        <v>0</v>
      </c>
      <c r="BJ299" s="270">
        <f t="shared" si="826"/>
        <v>638.346422808</v>
      </c>
      <c r="BK299" s="270">
        <f t="shared" si="827"/>
        <v>1312.98952960887</v>
      </c>
      <c r="BL299" s="270">
        <f t="shared" si="828"/>
        <v>1122.05174528253</v>
      </c>
      <c r="BM299" s="270">
        <f t="shared" si="829"/>
        <v>1536.75137003274</v>
      </c>
      <c r="BN299" s="270">
        <f t="shared" si="830"/>
        <v>1234.28996995635</v>
      </c>
      <c r="BO299" s="270">
        <f t="shared" si="831"/>
        <v>2114.01046082051</v>
      </c>
      <c r="BP299" s="270">
        <f t="shared" si="832"/>
        <v>2420.28812029404</v>
      </c>
      <c r="BQ299" s="270">
        <f t="shared" si="833"/>
        <v>3249.08137069927</v>
      </c>
      <c r="BR299" s="270">
        <f t="shared" si="834"/>
        <v>4135.12481711182</v>
      </c>
      <c r="BS299" s="270">
        <f t="shared" si="834"/>
        <v>4355.77779186454</v>
      </c>
      <c r="BT299" s="49"/>
    </row>
    <row r="300" customHeight="1" spans="1:78">
      <c r="A300" s="268"/>
      <c r="B300" s="268"/>
      <c r="C300" s="396" t="s">
        <v>466</v>
      </c>
      <c r="D300" s="345"/>
      <c r="E300" s="345"/>
      <c r="F300" s="345"/>
      <c r="G300" s="345"/>
      <c r="H300" s="345"/>
      <c r="I300" s="345"/>
      <c r="J300" s="345"/>
      <c r="K300" s="345"/>
      <c r="L300" s="345"/>
      <c r="M300" s="345"/>
      <c r="N300" s="345"/>
      <c r="O300" s="345"/>
      <c r="P300" s="386"/>
      <c r="Q300" s="386"/>
      <c r="R300" s="345">
        <f t="shared" ref="R300:AY300" si="837">+R279*R112</f>
        <v>289.83971772</v>
      </c>
      <c r="S300" s="345">
        <f t="shared" si="837"/>
        <v>193.27088</v>
      </c>
      <c r="T300" s="345">
        <f t="shared" si="837"/>
        <v>275.877499536</v>
      </c>
      <c r="U300" s="345">
        <f t="shared" si="837"/>
        <v>339.00258348</v>
      </c>
      <c r="V300" s="345">
        <f t="shared" si="837"/>
        <v>203.684820232136</v>
      </c>
      <c r="W300" s="345">
        <f t="shared" si="837"/>
        <v>186.394242159097</v>
      </c>
      <c r="X300" s="345">
        <f t="shared" si="837"/>
        <v>135.50804160768</v>
      </c>
      <c r="Y300" s="345">
        <f t="shared" si="837"/>
        <v>170.179951860816</v>
      </c>
      <c r="Z300" s="345">
        <f t="shared" si="837"/>
        <v>276.401850329057</v>
      </c>
      <c r="AA300" s="345">
        <f t="shared" si="837"/>
        <v>342.412961281417</v>
      </c>
      <c r="AB300" s="345">
        <f t="shared" si="837"/>
        <v>284.071632856676</v>
      </c>
      <c r="AC300" s="345">
        <f t="shared" si="837"/>
        <v>320.181061954822</v>
      </c>
      <c r="AD300" s="345">
        <f t="shared" si="837"/>
        <v>323.716307318628</v>
      </c>
      <c r="AE300" s="345">
        <f t="shared" si="837"/>
        <v>346.055407864996</v>
      </c>
      <c r="AF300" s="345">
        <f t="shared" si="837"/>
        <v>176.555752071434</v>
      </c>
      <c r="AG300" s="345">
        <f t="shared" si="837"/>
        <v>240.654317860968</v>
      </c>
      <c r="AH300" s="345">
        <f t="shared" si="837"/>
        <v>300.673711305723</v>
      </c>
      <c r="AI300" s="345">
        <f t="shared" si="837"/>
        <v>311.878505078601</v>
      </c>
      <c r="AJ300" s="345">
        <f t="shared" si="837"/>
        <v>435.382197745578</v>
      </c>
      <c r="AK300" s="345">
        <f t="shared" si="837"/>
        <v>503.292053726261</v>
      </c>
      <c r="AL300" s="345">
        <f t="shared" si="837"/>
        <v>447.02437771075</v>
      </c>
      <c r="AM300" s="345">
        <f t="shared" si="837"/>
        <v>448.983032214935</v>
      </c>
      <c r="AN300" s="345">
        <f t="shared" si="837"/>
        <v>516.677151055564</v>
      </c>
      <c r="AO300" s="345">
        <f t="shared" si="837"/>
        <v>546.029064761118</v>
      </c>
      <c r="AP300" s="345">
        <f t="shared" si="837"/>
        <v>526.832684829024</v>
      </c>
      <c r="AQ300" s="345">
        <f t="shared" si="837"/>
        <v>505.126340494251</v>
      </c>
      <c r="AR300" s="345">
        <f t="shared" si="837"/>
        <v>607.290991316021</v>
      </c>
      <c r="AS300" s="345">
        <f t="shared" si="837"/>
        <v>686.54651428937</v>
      </c>
      <c r="AT300" s="345">
        <f t="shared" si="837"/>
        <v>733.805016637342</v>
      </c>
      <c r="AU300" s="345">
        <f t="shared" si="837"/>
        <v>784.311044679002</v>
      </c>
      <c r="AV300" s="345">
        <f t="shared" si="837"/>
        <v>826.177070268701</v>
      </c>
      <c r="AW300" s="345">
        <f t="shared" si="837"/>
        <v>870.271819021723</v>
      </c>
      <c r="AX300" s="345">
        <f t="shared" si="837"/>
        <v>916.713645624917</v>
      </c>
      <c r="AY300" s="345">
        <f t="shared" si="837"/>
        <v>965.627175925804</v>
      </c>
      <c r="AZ300" s="345">
        <f t="shared" ref="AZ300:BC300" si="838">+AZ279*AZ112</f>
        <v>1017.14363854343</v>
      </c>
      <c r="BA300" s="345">
        <f t="shared" si="838"/>
        <v>1071.4012139818</v>
      </c>
      <c r="BB300" s="345">
        <f t="shared" si="838"/>
        <v>1128.54540216816</v>
      </c>
      <c r="BC300" s="345">
        <f t="shared" si="838"/>
        <v>1188.72940938675</v>
      </c>
      <c r="BD300" s="345"/>
      <c r="BE300" s="340"/>
      <c r="BF300" s="268"/>
      <c r="BG300" s="270">
        <f t="shared" si="823"/>
        <v>0</v>
      </c>
      <c r="BH300" s="270">
        <f t="shared" si="824"/>
        <v>0</v>
      </c>
      <c r="BI300" s="270">
        <f t="shared" si="825"/>
        <v>0</v>
      </c>
      <c r="BJ300" s="270">
        <f t="shared" si="826"/>
        <v>483.11059772</v>
      </c>
      <c r="BK300" s="270">
        <f t="shared" si="827"/>
        <v>1004.95914540723</v>
      </c>
      <c r="BL300" s="270">
        <f t="shared" si="828"/>
        <v>924.502805078971</v>
      </c>
      <c r="BM300" s="270">
        <f t="shared" si="829"/>
        <v>1274.02440999512</v>
      </c>
      <c r="BN300" s="270">
        <f t="shared" si="830"/>
        <v>1029.76228631673</v>
      </c>
      <c r="BO300" s="270">
        <f t="shared" si="831"/>
        <v>1834.68166139753</v>
      </c>
      <c r="BP300" s="270">
        <f t="shared" si="832"/>
        <v>2094.66524113996</v>
      </c>
      <c r="BQ300" s="270">
        <f t="shared" si="833"/>
        <v>2811.95356692173</v>
      </c>
      <c r="BR300" s="270">
        <f t="shared" si="834"/>
        <v>3578.78971084114</v>
      </c>
      <c r="BS300" s="270">
        <f t="shared" si="834"/>
        <v>3769.75627911587</v>
      </c>
    </row>
    <row r="301" customHeight="1" spans="1:78">
      <c r="A301" s="268"/>
      <c r="B301" s="268"/>
      <c r="C301" s="396" t="s">
        <v>467</v>
      </c>
      <c r="D301" s="345"/>
      <c r="E301" s="345"/>
      <c r="F301" s="345"/>
      <c r="G301" s="345"/>
      <c r="H301" s="345"/>
      <c r="I301" s="345"/>
      <c r="J301" s="345"/>
      <c r="K301" s="345"/>
      <c r="L301" s="345"/>
      <c r="M301" s="345"/>
      <c r="N301" s="345"/>
      <c r="O301" s="345"/>
      <c r="P301" s="386"/>
      <c r="Q301" s="386"/>
      <c r="R301" s="345">
        <f t="shared" ref="R301:AY301" si="839">+R280*R113</f>
        <v>90.995825088</v>
      </c>
      <c r="S301" s="345">
        <f t="shared" si="839"/>
        <v>64.24</v>
      </c>
      <c r="T301" s="345">
        <f t="shared" si="839"/>
        <v>83.6110233464832</v>
      </c>
      <c r="U301" s="345">
        <f t="shared" si="839"/>
        <v>103.054018546483</v>
      </c>
      <c r="V301" s="345">
        <f t="shared" si="839"/>
        <v>62.5439073655259</v>
      </c>
      <c r="W301" s="345">
        <f t="shared" si="839"/>
        <v>58.8214349431464</v>
      </c>
      <c r="X301" s="345">
        <f t="shared" si="839"/>
        <v>38.06082169344</v>
      </c>
      <c r="Y301" s="345">
        <f t="shared" si="839"/>
        <v>36.7558792353792</v>
      </c>
      <c r="Z301" s="345">
        <f t="shared" si="839"/>
        <v>46.8860605411413</v>
      </c>
      <c r="AA301" s="345">
        <f t="shared" si="839"/>
        <v>75.8461787335997</v>
      </c>
      <c r="AB301" s="345">
        <f t="shared" si="839"/>
        <v>58.2672466833644</v>
      </c>
      <c r="AC301" s="345">
        <f t="shared" si="839"/>
        <v>65.5279381683829</v>
      </c>
      <c r="AD301" s="345">
        <f t="shared" si="839"/>
        <v>67.7015168243088</v>
      </c>
      <c r="AE301" s="345">
        <f t="shared" si="839"/>
        <v>71.230258361567</v>
      </c>
      <c r="AF301" s="345">
        <f t="shared" si="839"/>
        <v>38.1018092472139</v>
      </c>
      <c r="AG301" s="345">
        <f t="shared" si="839"/>
        <v>48.3850720349879</v>
      </c>
      <c r="AH301" s="345">
        <f t="shared" si="839"/>
        <v>55.1840088812836</v>
      </c>
      <c r="AI301" s="345">
        <f t="shared" si="839"/>
        <v>62.8567934761373</v>
      </c>
      <c r="AJ301" s="345">
        <f t="shared" si="839"/>
        <v>62.7993798363852</v>
      </c>
      <c r="AK301" s="345">
        <f t="shared" si="839"/>
        <v>77.2420018011177</v>
      </c>
      <c r="AL301" s="345">
        <f t="shared" si="839"/>
        <v>69.4914691203919</v>
      </c>
      <c r="AM301" s="345">
        <f t="shared" si="839"/>
        <v>69.7959486650917</v>
      </c>
      <c r="AN301" s="345">
        <f t="shared" si="839"/>
        <v>80.3192310711568</v>
      </c>
      <c r="AO301" s="345">
        <f t="shared" si="839"/>
        <v>84.8820864915691</v>
      </c>
      <c r="AP301" s="345">
        <f t="shared" si="839"/>
        <v>81.8979435459295</v>
      </c>
      <c r="AQ301" s="345">
        <f t="shared" si="839"/>
        <v>78.5236180454252</v>
      </c>
      <c r="AR301" s="345">
        <f t="shared" si="839"/>
        <v>94.4054625974698</v>
      </c>
      <c r="AS301" s="345">
        <f t="shared" si="839"/>
        <v>106.72600483619</v>
      </c>
      <c r="AT301" s="345">
        <f t="shared" si="839"/>
        <v>114.07250073292</v>
      </c>
      <c r="AU301" s="345">
        <f t="shared" si="839"/>
        <v>121.923835610951</v>
      </c>
      <c r="AV301" s="345">
        <f t="shared" si="839"/>
        <v>128.432052543904</v>
      </c>
      <c r="AW301" s="345">
        <f t="shared" si="839"/>
        <v>135.286732118728</v>
      </c>
      <c r="AX301" s="345">
        <f t="shared" si="839"/>
        <v>142.506272976472</v>
      </c>
      <c r="AY301" s="345">
        <f t="shared" si="839"/>
        <v>150.110048631573</v>
      </c>
      <c r="AZ301" s="345">
        <f t="shared" ref="AZ301:BC301" si="840">+AZ280*AZ113</f>
        <v>158.118459021891</v>
      </c>
      <c r="BA301" s="345">
        <f t="shared" si="840"/>
        <v>166.552984779596</v>
      </c>
      <c r="BB301" s="345">
        <f t="shared" si="840"/>
        <v>175.436244366239</v>
      </c>
      <c r="BC301" s="345">
        <f t="shared" si="840"/>
        <v>184.79205422294</v>
      </c>
      <c r="BD301" s="345"/>
      <c r="BE301" s="340"/>
      <c r="BF301" s="268"/>
      <c r="BG301" s="270">
        <f t="shared" si="823"/>
        <v>0</v>
      </c>
      <c r="BH301" s="270">
        <f t="shared" si="824"/>
        <v>0</v>
      </c>
      <c r="BI301" s="270">
        <f t="shared" si="825"/>
        <v>0</v>
      </c>
      <c r="BJ301" s="270">
        <f t="shared" si="826"/>
        <v>155.235825088</v>
      </c>
      <c r="BK301" s="270">
        <f t="shared" si="827"/>
        <v>308.030384201639</v>
      </c>
      <c r="BL301" s="270">
        <f t="shared" si="828"/>
        <v>197.54894020356</v>
      </c>
      <c r="BM301" s="270">
        <f t="shared" si="829"/>
        <v>262.726960037623</v>
      </c>
      <c r="BN301" s="270">
        <f t="shared" si="830"/>
        <v>204.527683639623</v>
      </c>
      <c r="BO301" s="270">
        <f t="shared" si="831"/>
        <v>279.328799422987</v>
      </c>
      <c r="BP301" s="270">
        <f t="shared" si="832"/>
        <v>325.622879154081</v>
      </c>
      <c r="BQ301" s="270">
        <f t="shared" si="833"/>
        <v>437.127803777531</v>
      </c>
      <c r="BR301" s="270">
        <f t="shared" si="834"/>
        <v>556.335106270678</v>
      </c>
      <c r="BS301" s="270">
        <f t="shared" si="834"/>
        <v>586.021512748665</v>
      </c>
    </row>
    <row r="302" customHeight="1" spans="1:78">
      <c r="A302" s="268"/>
      <c r="B302" s="268"/>
      <c r="C302" s="397" t="s">
        <v>468</v>
      </c>
      <c r="D302" s="345"/>
      <c r="E302" s="345"/>
      <c r="F302" s="345"/>
      <c r="G302" s="345"/>
      <c r="H302" s="345"/>
      <c r="I302" s="345"/>
      <c r="J302" s="345"/>
      <c r="K302" s="345"/>
      <c r="L302" s="345"/>
      <c r="M302" s="345"/>
      <c r="N302" s="345"/>
      <c r="O302" s="345"/>
      <c r="P302" s="386"/>
      <c r="Q302" s="386"/>
      <c r="R302" s="345"/>
      <c r="S302" s="345"/>
      <c r="T302" s="345"/>
      <c r="U302" s="345"/>
      <c r="V302" s="345"/>
      <c r="W302" s="345"/>
      <c r="X302" s="345"/>
      <c r="Y302" s="345"/>
      <c r="Z302" s="345"/>
      <c r="AA302" s="345">
        <f>+SUM(AA303:AA305)</f>
        <v>0.48</v>
      </c>
      <c r="AB302" s="345">
        <f t="shared" ref="AB302:AY302" si="841">+SUM(AB303:AB305)</f>
        <v>4.7</v>
      </c>
      <c r="AC302" s="345">
        <f t="shared" si="841"/>
        <v>6.3</v>
      </c>
      <c r="AD302" s="345">
        <f t="shared" si="841"/>
        <v>8.74</v>
      </c>
      <c r="AE302" s="345">
        <f t="shared" si="841"/>
        <v>12.84</v>
      </c>
      <c r="AF302" s="345">
        <f t="shared" si="841"/>
        <v>7.5485622602808</v>
      </c>
      <c r="AG302" s="345">
        <f t="shared" si="841"/>
        <v>7.65338679045943</v>
      </c>
      <c r="AH302" s="345">
        <f t="shared" si="841"/>
        <v>29.259661709842</v>
      </c>
      <c r="AI302" s="345">
        <f t="shared" si="841"/>
        <v>23.6</v>
      </c>
      <c r="AJ302" s="345">
        <f t="shared" si="841"/>
        <v>31.64</v>
      </c>
      <c r="AK302" s="345">
        <f t="shared" si="841"/>
        <v>52.05</v>
      </c>
      <c r="AL302" s="345">
        <f t="shared" si="841"/>
        <v>62.8</v>
      </c>
      <c r="AM302" s="345">
        <f t="shared" si="841"/>
        <v>19.4006219073465</v>
      </c>
      <c r="AN302" s="345">
        <f t="shared" si="841"/>
        <v>19.8113333922192</v>
      </c>
      <c r="AO302" s="345">
        <f t="shared" si="841"/>
        <v>20.0661071396431</v>
      </c>
      <c r="AP302" s="345">
        <f t="shared" si="841"/>
        <v>19.8284461243502</v>
      </c>
      <c r="AQ302" s="345">
        <f t="shared" si="841"/>
        <v>20.8710258215685</v>
      </c>
      <c r="AR302" s="345">
        <f t="shared" si="841"/>
        <v>22.0210664589819</v>
      </c>
      <c r="AS302" s="345">
        <f t="shared" si="841"/>
        <v>21.4112802476012</v>
      </c>
      <c r="AT302" s="345">
        <f t="shared" si="841"/>
        <v>21.6866293115854</v>
      </c>
      <c r="AU302" s="345">
        <f t="shared" si="841"/>
        <v>21.9655193645323</v>
      </c>
      <c r="AV302" s="345">
        <f t="shared" si="841"/>
        <v>22.2479959435602</v>
      </c>
      <c r="AW302" s="345">
        <f t="shared" si="841"/>
        <v>22.5341051713944</v>
      </c>
      <c r="AX302" s="345">
        <f t="shared" si="841"/>
        <v>22.8238937638985</v>
      </c>
      <c r="AY302" s="345">
        <f t="shared" si="841"/>
        <v>23.1174090377023</v>
      </c>
      <c r="AZ302" s="345">
        <f t="shared" ref="AZ302:BC302" si="842">+SUM(AZ303:AZ305)</f>
        <v>23.4146989179271</v>
      </c>
      <c r="BA302" s="345">
        <f t="shared" si="842"/>
        <v>23.7158119460117</v>
      </c>
      <c r="BB302" s="345">
        <f t="shared" si="842"/>
        <v>24.0207972876374</v>
      </c>
      <c r="BC302" s="345">
        <f t="shared" si="842"/>
        <v>24.3297047407564</v>
      </c>
      <c r="BD302" s="345"/>
      <c r="BE302" s="340"/>
      <c r="BF302" s="268"/>
      <c r="BG302" s="270">
        <f t="shared" si="823"/>
        <v>0</v>
      </c>
      <c r="BH302" s="270">
        <f t="shared" si="824"/>
        <v>0</v>
      </c>
      <c r="BI302" s="270">
        <f t="shared" si="825"/>
        <v>0</v>
      </c>
      <c r="BJ302" s="270">
        <f t="shared" si="826"/>
        <v>0</v>
      </c>
      <c r="BK302" s="270">
        <f t="shared" si="827"/>
        <v>0</v>
      </c>
      <c r="BL302" s="270">
        <f t="shared" si="828"/>
        <v>0.48</v>
      </c>
      <c r="BM302" s="270">
        <f t="shared" si="829"/>
        <v>32.58</v>
      </c>
      <c r="BN302" s="270">
        <f t="shared" si="830"/>
        <v>68.0616107605823</v>
      </c>
      <c r="BO302" s="270">
        <f t="shared" si="831"/>
        <v>165.890621907347</v>
      </c>
      <c r="BP302" s="270">
        <f t="shared" si="832"/>
        <v>80.5769124777809</v>
      </c>
      <c r="BQ302" s="270">
        <f t="shared" si="833"/>
        <v>87.0844953827008</v>
      </c>
      <c r="BR302" s="270">
        <f t="shared" si="834"/>
        <v>90.7234039165555</v>
      </c>
      <c r="BS302" s="270">
        <f t="shared" si="834"/>
        <v>91.8901068909224</v>
      </c>
    </row>
    <row r="303" customHeight="1" spans="1:78">
      <c r="A303" s="268"/>
      <c r="B303" s="268"/>
      <c r="C303" s="396" t="s">
        <v>469</v>
      </c>
      <c r="D303" s="345"/>
      <c r="E303" s="345"/>
      <c r="F303" s="345"/>
      <c r="G303" s="345"/>
      <c r="H303" s="345"/>
      <c r="I303" s="345"/>
      <c r="J303" s="345"/>
      <c r="K303" s="345"/>
      <c r="L303" s="345"/>
      <c r="M303" s="345"/>
      <c r="N303" s="345"/>
      <c r="O303" s="345"/>
      <c r="P303" s="386"/>
      <c r="Q303" s="386"/>
      <c r="R303" s="345"/>
      <c r="S303" s="345"/>
      <c r="T303" s="345"/>
      <c r="U303" s="345"/>
      <c r="V303" s="345"/>
      <c r="W303" s="345"/>
      <c r="X303" s="345"/>
      <c r="Y303" s="345"/>
      <c r="Z303" s="345"/>
      <c r="AA303" s="345">
        <f t="shared" ref="AA303:AY303" si="843">+AA282*AA115</f>
        <v>0.16</v>
      </c>
      <c r="AB303" s="345">
        <f t="shared" si="843"/>
        <v>2.6</v>
      </c>
      <c r="AC303" s="345">
        <f t="shared" si="843"/>
        <v>3.64</v>
      </c>
      <c r="AD303" s="345">
        <f t="shared" si="843"/>
        <v>3.12</v>
      </c>
      <c r="AE303" s="345">
        <f t="shared" si="843"/>
        <v>4.16</v>
      </c>
      <c r="AF303" s="345">
        <f t="shared" si="843"/>
        <v>2.4957504</v>
      </c>
      <c r="AG303" s="345">
        <f t="shared" si="843"/>
        <v>2.520707904</v>
      </c>
      <c r="AH303" s="345">
        <f t="shared" si="843"/>
        <v>14.79813083892</v>
      </c>
      <c r="AI303" s="345">
        <f t="shared" si="843"/>
        <v>12</v>
      </c>
      <c r="AJ303" s="345">
        <f t="shared" si="843"/>
        <v>16</v>
      </c>
      <c r="AK303" s="345">
        <f t="shared" si="843"/>
        <v>22.5</v>
      </c>
      <c r="AL303" s="345">
        <f t="shared" si="843"/>
        <v>36</v>
      </c>
      <c r="AM303" s="345">
        <f t="shared" si="843"/>
        <v>6.3669011371425</v>
      </c>
      <c r="AN303" s="345">
        <f t="shared" si="843"/>
        <v>6.60999897291031</v>
      </c>
      <c r="AO303" s="345">
        <f t="shared" si="843"/>
        <v>6.69500355970193</v>
      </c>
      <c r="AP303" s="345">
        <f t="shared" si="843"/>
        <v>6.6157085907119</v>
      </c>
      <c r="AQ303" s="345">
        <f t="shared" si="843"/>
        <v>6.96356254841154</v>
      </c>
      <c r="AR303" s="345">
        <f t="shared" si="843"/>
        <v>7.93475320813212</v>
      </c>
      <c r="AS303" s="345">
        <f t="shared" si="843"/>
        <v>7.14381700834551</v>
      </c>
      <c r="AT303" s="345">
        <f t="shared" si="843"/>
        <v>7.23568649507283</v>
      </c>
      <c r="AU303" s="345">
        <f t="shared" si="843"/>
        <v>7.32873742339947</v>
      </c>
      <c r="AV303" s="345">
        <f t="shared" si="843"/>
        <v>7.42298498666439</v>
      </c>
      <c r="AW303" s="345">
        <f t="shared" si="843"/>
        <v>7.51844457359289</v>
      </c>
      <c r="AX303" s="345">
        <f t="shared" si="843"/>
        <v>7.6151317708093</v>
      </c>
      <c r="AY303" s="345">
        <f t="shared" si="843"/>
        <v>7.71306236538191</v>
      </c>
      <c r="AZ303" s="345">
        <f t="shared" ref="AZ303:BC303" si="844">+AZ282*AZ115</f>
        <v>7.81225234740072</v>
      </c>
      <c r="BA303" s="345">
        <f t="shared" si="844"/>
        <v>7.91271791258829</v>
      </c>
      <c r="BB303" s="345">
        <f t="shared" si="844"/>
        <v>8.01447546494417</v>
      </c>
      <c r="BC303" s="345">
        <f t="shared" si="844"/>
        <v>8.11754161942336</v>
      </c>
      <c r="BD303" s="345"/>
      <c r="BE303" s="340"/>
      <c r="BF303" s="268"/>
      <c r="BG303" s="270">
        <f t="shared" si="823"/>
        <v>0</v>
      </c>
      <c r="BH303" s="270">
        <f t="shared" si="824"/>
        <v>0</v>
      </c>
      <c r="BI303" s="270">
        <f t="shared" si="825"/>
        <v>0</v>
      </c>
      <c r="BJ303" s="270">
        <f t="shared" si="826"/>
        <v>0</v>
      </c>
      <c r="BK303" s="270">
        <f t="shared" si="827"/>
        <v>0</v>
      </c>
      <c r="BL303" s="270">
        <f t="shared" si="828"/>
        <v>0.16</v>
      </c>
      <c r="BM303" s="270">
        <f t="shared" si="829"/>
        <v>13.52</v>
      </c>
      <c r="BN303" s="270">
        <f t="shared" si="830"/>
        <v>31.81458914292</v>
      </c>
      <c r="BO303" s="270">
        <f t="shared" si="831"/>
        <v>80.8669011371425</v>
      </c>
      <c r="BP303" s="270">
        <f t="shared" si="832"/>
        <v>26.8842736717357</v>
      </c>
      <c r="BQ303" s="270">
        <f t="shared" si="833"/>
        <v>29.6429941349499</v>
      </c>
      <c r="BR303" s="270">
        <f t="shared" si="834"/>
        <v>30.2696236964485</v>
      </c>
      <c r="BS303" s="270">
        <f t="shared" si="834"/>
        <v>30.6588910571848</v>
      </c>
    </row>
    <row r="304" customHeight="1" spans="1:78">
      <c r="A304" s="268"/>
      <c r="B304" s="268"/>
      <c r="C304" s="396" t="s">
        <v>470</v>
      </c>
      <c r="D304" s="345"/>
      <c r="E304" s="345"/>
      <c r="F304" s="345"/>
      <c r="G304" s="345"/>
      <c r="H304" s="345"/>
      <c r="I304" s="345"/>
      <c r="J304" s="345"/>
      <c r="K304" s="345"/>
      <c r="L304" s="345"/>
      <c r="M304" s="345"/>
      <c r="N304" s="345"/>
      <c r="O304" s="345"/>
      <c r="P304" s="386"/>
      <c r="Q304" s="386"/>
      <c r="R304" s="345"/>
      <c r="S304" s="345"/>
      <c r="T304" s="345"/>
      <c r="U304" s="345"/>
      <c r="V304" s="345"/>
      <c r="W304" s="345"/>
      <c r="X304" s="345"/>
      <c r="Y304" s="345"/>
      <c r="Z304" s="345"/>
      <c r="AA304" s="345">
        <f t="shared" ref="AA304:AY304" si="845">+AA283*AA116</f>
        <v>0.16</v>
      </c>
      <c r="AB304" s="345">
        <f t="shared" si="845"/>
        <v>1.3</v>
      </c>
      <c r="AC304" s="345">
        <f t="shared" si="845"/>
        <v>1.56</v>
      </c>
      <c r="AD304" s="345">
        <f t="shared" si="845"/>
        <v>4.42</v>
      </c>
      <c r="AE304" s="345">
        <f t="shared" si="845"/>
        <v>7.28</v>
      </c>
      <c r="AF304" s="345">
        <f t="shared" si="845"/>
        <v>4.2378422053968</v>
      </c>
      <c r="AG304" s="345">
        <f t="shared" si="845"/>
        <v>4.30140983847775</v>
      </c>
      <c r="AH304" s="345">
        <f t="shared" si="845"/>
        <v>10.7059018444112</v>
      </c>
      <c r="AI304" s="345">
        <f t="shared" si="845"/>
        <v>8</v>
      </c>
      <c r="AJ304" s="345">
        <f t="shared" si="845"/>
        <v>10.2</v>
      </c>
      <c r="AK304" s="345">
        <f t="shared" si="845"/>
        <v>17.55</v>
      </c>
      <c r="AL304" s="345">
        <f t="shared" si="845"/>
        <v>18</v>
      </c>
      <c r="AM304" s="345">
        <f t="shared" si="845"/>
        <v>8.2837628394982</v>
      </c>
      <c r="AN304" s="345">
        <f t="shared" si="845"/>
        <v>8.39029202961415</v>
      </c>
      <c r="AO304" s="345">
        <f t="shared" si="845"/>
        <v>8.49819118511498</v>
      </c>
      <c r="AP304" s="345">
        <f t="shared" si="845"/>
        <v>8.39753943781031</v>
      </c>
      <c r="AQ304" s="345">
        <f t="shared" si="845"/>
        <v>8.83908206145037</v>
      </c>
      <c r="AR304" s="345">
        <f t="shared" si="845"/>
        <v>8.95275265676062</v>
      </c>
      <c r="AS304" s="345">
        <f t="shared" si="845"/>
        <v>9.06788505592657</v>
      </c>
      <c r="AT304" s="345">
        <f t="shared" si="845"/>
        <v>9.18449805774578</v>
      </c>
      <c r="AU304" s="345">
        <f t="shared" si="845"/>
        <v>9.3026107027684</v>
      </c>
      <c r="AV304" s="345">
        <f t="shared" si="845"/>
        <v>9.422242276406</v>
      </c>
      <c r="AW304" s="345">
        <f t="shared" si="845"/>
        <v>9.54341231208058</v>
      </c>
      <c r="AX304" s="345">
        <f t="shared" si="845"/>
        <v>9.66614059441393</v>
      </c>
      <c r="AY304" s="345">
        <f t="shared" si="845"/>
        <v>9.7904471624581</v>
      </c>
      <c r="AZ304" s="345">
        <f t="shared" ref="AZ304:BC304" si="846">+AZ283*AZ116</f>
        <v>9.91635231296731</v>
      </c>
      <c r="BA304" s="345">
        <f t="shared" si="846"/>
        <v>10.0438766037121</v>
      </c>
      <c r="BB304" s="345">
        <f t="shared" si="846"/>
        <v>10.1730408568358</v>
      </c>
      <c r="BC304" s="345">
        <f t="shared" si="846"/>
        <v>10.3038661622547</v>
      </c>
      <c r="BD304" s="345"/>
      <c r="BE304" s="340"/>
      <c r="BF304" s="268"/>
      <c r="BG304" s="270">
        <f t="shared" si="823"/>
        <v>0</v>
      </c>
      <c r="BH304" s="270">
        <f t="shared" si="824"/>
        <v>0</v>
      </c>
      <c r="BI304" s="270">
        <f t="shared" si="825"/>
        <v>0</v>
      </c>
      <c r="BJ304" s="270">
        <f t="shared" si="826"/>
        <v>0</v>
      </c>
      <c r="BK304" s="270">
        <f t="shared" si="827"/>
        <v>0</v>
      </c>
      <c r="BL304" s="270">
        <f t="shared" si="828"/>
        <v>0.16</v>
      </c>
      <c r="BM304" s="270">
        <f t="shared" si="829"/>
        <v>14.56</v>
      </c>
      <c r="BN304" s="270">
        <f t="shared" si="830"/>
        <v>27.2451538882858</v>
      </c>
      <c r="BO304" s="270">
        <f t="shared" si="831"/>
        <v>54.0337628394982</v>
      </c>
      <c r="BP304" s="270">
        <f t="shared" si="832"/>
        <v>34.1251047139898</v>
      </c>
      <c r="BQ304" s="270">
        <f t="shared" si="833"/>
        <v>36.5077464732014</v>
      </c>
      <c r="BR304" s="270">
        <f t="shared" si="834"/>
        <v>38.4222423453586</v>
      </c>
      <c r="BS304" s="270">
        <f t="shared" si="834"/>
        <v>38.9163523819199</v>
      </c>
    </row>
    <row r="305" customHeight="1" spans="1:78">
      <c r="A305" s="268"/>
      <c r="B305" s="268"/>
      <c r="C305" s="396" t="s">
        <v>471</v>
      </c>
      <c r="D305" s="345"/>
      <c r="E305" s="345"/>
      <c r="F305" s="345"/>
      <c r="G305" s="345"/>
      <c r="H305" s="345"/>
      <c r="I305" s="345"/>
      <c r="J305" s="345"/>
      <c r="K305" s="345"/>
      <c r="L305" s="345"/>
      <c r="M305" s="345"/>
      <c r="N305" s="345"/>
      <c r="O305" s="345"/>
      <c r="P305" s="386"/>
      <c r="Q305" s="386"/>
      <c r="R305" s="345"/>
      <c r="S305" s="345"/>
      <c r="T305" s="345"/>
      <c r="U305" s="345"/>
      <c r="V305" s="345"/>
      <c r="W305" s="345"/>
      <c r="X305" s="345"/>
      <c r="Y305" s="345"/>
      <c r="Z305" s="345"/>
      <c r="AA305" s="345">
        <f t="shared" ref="AA305:AY305" si="847">+AA284*AA117</f>
        <v>0.16</v>
      </c>
      <c r="AB305" s="345">
        <f t="shared" si="847"/>
        <v>0.8</v>
      </c>
      <c r="AC305" s="345">
        <f t="shared" si="847"/>
        <v>1.1</v>
      </c>
      <c r="AD305" s="345">
        <f t="shared" si="847"/>
        <v>1.2</v>
      </c>
      <c r="AE305" s="345">
        <f t="shared" si="847"/>
        <v>1.4</v>
      </c>
      <c r="AF305" s="345">
        <f t="shared" si="847"/>
        <v>0.814969654884</v>
      </c>
      <c r="AG305" s="345">
        <f t="shared" si="847"/>
        <v>0.83126904798168</v>
      </c>
      <c r="AH305" s="345">
        <f t="shared" si="847"/>
        <v>3.7556290265108</v>
      </c>
      <c r="AI305" s="345">
        <f t="shared" si="847"/>
        <v>3.6</v>
      </c>
      <c r="AJ305" s="345">
        <f t="shared" si="847"/>
        <v>5.44</v>
      </c>
      <c r="AK305" s="345">
        <f t="shared" si="847"/>
        <v>12</v>
      </c>
      <c r="AL305" s="345">
        <f t="shared" si="847"/>
        <v>8.8</v>
      </c>
      <c r="AM305" s="345">
        <f t="shared" si="847"/>
        <v>4.74995793070584</v>
      </c>
      <c r="AN305" s="345">
        <f t="shared" si="847"/>
        <v>4.81104238969472</v>
      </c>
      <c r="AO305" s="345">
        <f t="shared" si="847"/>
        <v>4.87291239482619</v>
      </c>
      <c r="AP305" s="345">
        <f t="shared" si="847"/>
        <v>4.81519809582796</v>
      </c>
      <c r="AQ305" s="345">
        <f t="shared" si="847"/>
        <v>5.06838121170659</v>
      </c>
      <c r="AR305" s="345">
        <f t="shared" si="847"/>
        <v>5.13356059408914</v>
      </c>
      <c r="AS305" s="345">
        <f t="shared" si="847"/>
        <v>5.19957818332912</v>
      </c>
      <c r="AT305" s="345">
        <f t="shared" si="847"/>
        <v>5.26644475876674</v>
      </c>
      <c r="AU305" s="345">
        <f t="shared" si="847"/>
        <v>5.33417123836448</v>
      </c>
      <c r="AV305" s="345">
        <f t="shared" si="847"/>
        <v>5.40276868048984</v>
      </c>
      <c r="AW305" s="345">
        <f t="shared" si="847"/>
        <v>5.47224828572094</v>
      </c>
      <c r="AX305" s="345">
        <f t="shared" si="847"/>
        <v>5.54262139867531</v>
      </c>
      <c r="AY305" s="345">
        <f t="shared" si="847"/>
        <v>5.61389950986228</v>
      </c>
      <c r="AZ305" s="345">
        <f t="shared" ref="AZ305:BC305" si="848">+AZ284*AZ117</f>
        <v>5.68609425755911</v>
      </c>
      <c r="BA305" s="345">
        <f t="shared" si="848"/>
        <v>5.75921742971132</v>
      </c>
      <c r="BB305" s="345">
        <f t="shared" si="848"/>
        <v>5.83328096585741</v>
      </c>
      <c r="BC305" s="345">
        <f t="shared" si="848"/>
        <v>5.90829695907833</v>
      </c>
      <c r="BD305" s="345"/>
      <c r="BE305" s="340"/>
      <c r="BF305" s="268"/>
      <c r="BG305" s="270">
        <f t="shared" si="823"/>
        <v>0</v>
      </c>
      <c r="BH305" s="270">
        <f t="shared" si="824"/>
        <v>0</v>
      </c>
      <c r="BI305" s="270">
        <f t="shared" si="825"/>
        <v>0</v>
      </c>
      <c r="BJ305" s="270">
        <f t="shared" si="826"/>
        <v>0</v>
      </c>
      <c r="BK305" s="270">
        <f t="shared" si="827"/>
        <v>0</v>
      </c>
      <c r="BL305" s="270">
        <f t="shared" si="828"/>
        <v>0.16</v>
      </c>
      <c r="BM305" s="270">
        <f t="shared" si="829"/>
        <v>4.5</v>
      </c>
      <c r="BN305" s="270">
        <f t="shared" si="830"/>
        <v>9.00186772937648</v>
      </c>
      <c r="BO305" s="270">
        <f t="shared" si="831"/>
        <v>30.9899579307058</v>
      </c>
      <c r="BP305" s="270">
        <f t="shared" si="832"/>
        <v>19.5675340920555</v>
      </c>
      <c r="BQ305" s="270">
        <f t="shared" si="833"/>
        <v>20.9337547745495</v>
      </c>
      <c r="BR305" s="270">
        <f t="shared" si="834"/>
        <v>22.0315378747484</v>
      </c>
      <c r="BS305" s="270">
        <f t="shared" si="834"/>
        <v>22.3148634518176</v>
      </c>
    </row>
    <row r="306" customHeight="1" spans="1:78">
      <c r="A306" s="268"/>
      <c r="B306" s="268"/>
      <c r="C306" s="397" t="s">
        <v>484</v>
      </c>
      <c r="D306" s="345"/>
      <c r="E306" s="345"/>
      <c r="F306" s="345"/>
      <c r="G306" s="345"/>
      <c r="H306" s="345"/>
      <c r="I306" s="345"/>
      <c r="J306" s="345"/>
      <c r="K306" s="345"/>
      <c r="L306" s="345"/>
      <c r="M306" s="345"/>
      <c r="N306" s="345"/>
      <c r="O306" s="345"/>
      <c r="P306" s="386"/>
      <c r="Q306" s="386"/>
      <c r="R306" s="345"/>
      <c r="S306" s="345"/>
      <c r="T306" s="345"/>
      <c r="U306" s="345"/>
      <c r="V306" s="345"/>
      <c r="W306" s="345"/>
      <c r="X306" s="345"/>
      <c r="Y306" s="345"/>
      <c r="Z306" s="345"/>
      <c r="AA306" s="345"/>
      <c r="AB306" s="345"/>
      <c r="AC306" s="345"/>
      <c r="AD306" s="345"/>
      <c r="AE306" s="345"/>
      <c r="AF306" s="345"/>
      <c r="AG306" s="345"/>
      <c r="AH306" s="345"/>
      <c r="AI306" s="345">
        <f t="shared" ref="AI306:AY306" si="849">+AI285*AI118</f>
        <v>0</v>
      </c>
      <c r="AJ306" s="345">
        <f t="shared" si="849"/>
        <v>0</v>
      </c>
      <c r="AK306" s="345">
        <f t="shared" si="849"/>
        <v>0</v>
      </c>
      <c r="AL306" s="345">
        <f t="shared" si="849"/>
        <v>0</v>
      </c>
      <c r="AM306" s="345">
        <f t="shared" si="849"/>
        <v>0</v>
      </c>
      <c r="AN306" s="345">
        <f t="shared" si="849"/>
        <v>0</v>
      </c>
      <c r="AO306" s="345">
        <f t="shared" si="849"/>
        <v>0</v>
      </c>
      <c r="AP306" s="345">
        <f t="shared" si="849"/>
        <v>42.761565</v>
      </c>
      <c r="AQ306" s="345">
        <f t="shared" si="849"/>
        <v>48.6840417525</v>
      </c>
      <c r="AR306" s="345">
        <f t="shared" si="849"/>
        <v>53.2846836981112</v>
      </c>
      <c r="AS306" s="345">
        <f t="shared" si="849"/>
        <v>74.2255643914689</v>
      </c>
      <c r="AT306" s="345">
        <f t="shared" si="849"/>
        <v>107.827477391487</v>
      </c>
      <c r="AU306" s="345">
        <f t="shared" si="849"/>
        <v>150.203676006341</v>
      </c>
      <c r="AV306" s="345">
        <f t="shared" si="849"/>
        <v>194.288454914202</v>
      </c>
      <c r="AW306" s="345">
        <f t="shared" si="849"/>
        <v>251.312116431521</v>
      </c>
      <c r="AX306" s="345">
        <f t="shared" si="849"/>
        <v>325.072222604172</v>
      </c>
      <c r="AY306" s="345">
        <f t="shared" si="849"/>
        <v>420.480919938497</v>
      </c>
      <c r="AZ306" s="345">
        <f t="shared" ref="AZ306:BC306" si="850">+AZ285*AZ118</f>
        <v>468.583937179461</v>
      </c>
      <c r="BA306" s="345">
        <f t="shared" si="850"/>
        <v>522.189939592791</v>
      </c>
      <c r="BB306" s="345">
        <f t="shared" si="850"/>
        <v>581.928468682207</v>
      </c>
      <c r="BC306" s="345">
        <f t="shared" si="850"/>
        <v>648.501085499451</v>
      </c>
      <c r="BD306" s="345"/>
      <c r="BE306" s="340"/>
      <c r="BF306" s="268"/>
      <c r="BG306" s="270">
        <f t="shared" si="823"/>
        <v>0</v>
      </c>
      <c r="BH306" s="270">
        <f t="shared" si="824"/>
        <v>0</v>
      </c>
      <c r="BI306" s="270">
        <f t="shared" si="825"/>
        <v>0</v>
      </c>
      <c r="BJ306" s="270">
        <f t="shared" si="826"/>
        <v>0</v>
      </c>
      <c r="BK306" s="270">
        <f t="shared" si="827"/>
        <v>0</v>
      </c>
      <c r="BL306" s="270">
        <f t="shared" si="828"/>
        <v>0</v>
      </c>
      <c r="BM306" s="270">
        <f t="shared" si="829"/>
        <v>0</v>
      </c>
      <c r="BN306" s="270">
        <f t="shared" si="830"/>
        <v>0</v>
      </c>
      <c r="BO306" s="270">
        <f t="shared" si="831"/>
        <v>0</v>
      </c>
      <c r="BP306" s="270">
        <f t="shared" si="832"/>
        <v>91.4456067525</v>
      </c>
      <c r="BQ306" s="270">
        <f t="shared" si="833"/>
        <v>385.541401487408</v>
      </c>
      <c r="BR306" s="270">
        <f t="shared" si="834"/>
        <v>1191.15371388839</v>
      </c>
      <c r="BS306" s="270">
        <f t="shared" si="834"/>
        <v>1465.44919615365</v>
      </c>
    </row>
    <row r="307" customHeight="1" spans="1:78">
      <c r="A307" s="252"/>
      <c r="B307" s="281" t="s">
        <v>476</v>
      </c>
      <c r="C307" s="70"/>
      <c r="D307" s="345"/>
      <c r="E307" s="345"/>
      <c r="F307" s="345"/>
      <c r="G307" s="345"/>
      <c r="H307" s="345"/>
      <c r="I307" s="345"/>
      <c r="J307" s="345"/>
      <c r="K307" s="345"/>
      <c r="L307" s="345"/>
      <c r="M307" s="345"/>
      <c r="N307" s="345"/>
      <c r="O307" s="345"/>
      <c r="P307" s="386"/>
      <c r="Q307" s="386"/>
      <c r="R307" s="345"/>
      <c r="S307" s="345"/>
      <c r="T307" s="345"/>
      <c r="U307" s="345"/>
      <c r="V307" s="345"/>
      <c r="W307" s="345"/>
      <c r="X307" s="345"/>
      <c r="Y307" s="345"/>
      <c r="Z307" s="345"/>
      <c r="AA307" s="345"/>
      <c r="AB307" s="345"/>
      <c r="AC307" s="345"/>
      <c r="AD307" s="345"/>
      <c r="AE307" s="345"/>
      <c r="AF307" s="345"/>
      <c r="AG307" s="345"/>
      <c r="AH307" s="345"/>
      <c r="AI307" s="345">
        <f>SUM(AI308:AI310)</f>
        <v>9.1875</v>
      </c>
      <c r="AJ307" s="345">
        <f t="shared" ref="AJ307:AY307" si="851">SUM(AJ308:AJ310)</f>
        <v>25.2105</v>
      </c>
      <c r="AK307" s="345">
        <f t="shared" si="851"/>
        <v>49</v>
      </c>
      <c r="AL307" s="345">
        <f t="shared" si="851"/>
        <v>97.010298</v>
      </c>
      <c r="AM307" s="345">
        <f t="shared" si="851"/>
        <v>107.5650184224</v>
      </c>
      <c r="AN307" s="345">
        <f t="shared" si="851"/>
        <v>119.268092426757</v>
      </c>
      <c r="AO307" s="345">
        <f t="shared" si="851"/>
        <v>147.594264378112</v>
      </c>
      <c r="AP307" s="345">
        <f t="shared" si="851"/>
        <v>168.03606999448</v>
      </c>
      <c r="AQ307" s="345">
        <f t="shared" si="851"/>
        <v>174.673494759262</v>
      </c>
      <c r="AR307" s="345">
        <f t="shared" si="851"/>
        <v>194.542604788128</v>
      </c>
      <c r="AS307" s="345">
        <f t="shared" si="851"/>
        <v>308.155485984395</v>
      </c>
      <c r="AT307" s="345">
        <f t="shared" si="851"/>
        <v>373.588717349462</v>
      </c>
      <c r="AU307" s="345">
        <f t="shared" si="851"/>
        <v>509.163396211161</v>
      </c>
      <c r="AV307" s="345">
        <f t="shared" si="851"/>
        <v>621.009403228973</v>
      </c>
      <c r="AW307" s="345">
        <f t="shared" si="851"/>
        <v>1118.18805393242</v>
      </c>
      <c r="AX307" s="345">
        <f t="shared" si="851"/>
        <v>1270.97346726454</v>
      </c>
      <c r="AY307" s="345">
        <f t="shared" si="851"/>
        <v>1428.28053519925</v>
      </c>
      <c r="AZ307" s="345">
        <f t="shared" ref="AZ307:BC307" si="852">SUM(AZ308:AZ310)</f>
        <v>1498.43073186758</v>
      </c>
      <c r="BA307" s="345">
        <f t="shared" si="852"/>
        <v>1599.12129056949</v>
      </c>
      <c r="BB307" s="345">
        <f t="shared" si="852"/>
        <v>1700.43694275358</v>
      </c>
      <c r="BC307" s="345">
        <f t="shared" si="852"/>
        <v>1802.39793139649</v>
      </c>
      <c r="BD307" s="345"/>
      <c r="BE307" s="340"/>
      <c r="BF307" s="268"/>
      <c r="BG307" s="270">
        <f t="shared" si="823"/>
        <v>0</v>
      </c>
      <c r="BH307" s="270">
        <f t="shared" si="824"/>
        <v>0</v>
      </c>
      <c r="BI307" s="270">
        <f t="shared" si="825"/>
        <v>0</v>
      </c>
      <c r="BJ307" s="270">
        <f t="shared" si="826"/>
        <v>0</v>
      </c>
      <c r="BK307" s="270">
        <f t="shared" si="827"/>
        <v>0</v>
      </c>
      <c r="BL307" s="270">
        <f t="shared" si="828"/>
        <v>0</v>
      </c>
      <c r="BM307" s="270">
        <f t="shared" si="829"/>
        <v>0</v>
      </c>
      <c r="BN307" s="270">
        <f t="shared" si="830"/>
        <v>9.1875</v>
      </c>
      <c r="BO307" s="270">
        <f t="shared" si="831"/>
        <v>278.7858164224</v>
      </c>
      <c r="BP307" s="270">
        <f t="shared" si="832"/>
        <v>609.571921558612</v>
      </c>
      <c r="BQ307" s="270">
        <f t="shared" si="833"/>
        <v>1385.45020433315</v>
      </c>
      <c r="BR307" s="270">
        <f t="shared" si="834"/>
        <v>4438.45145962518</v>
      </c>
      <c r="BS307" s="270">
        <f t="shared" si="834"/>
        <v>5315.87278826379</v>
      </c>
    </row>
    <row r="308" customHeight="1" spans="1:78">
      <c r="A308" s="252"/>
      <c r="B308" s="107"/>
      <c r="C308" s="283" t="s">
        <v>477</v>
      </c>
      <c r="D308" s="345"/>
      <c r="E308" s="345"/>
      <c r="F308" s="345"/>
      <c r="G308" s="345"/>
      <c r="H308" s="345"/>
      <c r="I308" s="345"/>
      <c r="J308" s="345"/>
      <c r="K308" s="345"/>
      <c r="L308" s="345"/>
      <c r="M308" s="345"/>
      <c r="N308" s="345"/>
      <c r="O308" s="345"/>
      <c r="P308" s="386"/>
      <c r="Q308" s="386"/>
      <c r="R308" s="345"/>
      <c r="S308" s="345"/>
      <c r="T308" s="345"/>
      <c r="U308" s="345"/>
      <c r="V308" s="345"/>
      <c r="W308" s="345"/>
      <c r="X308" s="345"/>
      <c r="Y308" s="345"/>
      <c r="Z308" s="345"/>
      <c r="AA308" s="345"/>
      <c r="AB308" s="345"/>
      <c r="AC308" s="345"/>
      <c r="AD308" s="345"/>
      <c r="AE308" s="345"/>
      <c r="AF308" s="345"/>
      <c r="AG308" s="345"/>
      <c r="AH308" s="345"/>
      <c r="AI308" s="345">
        <f t="shared" ref="AI308:AY308" si="853">+AI287*AI123</f>
        <v>9.1875</v>
      </c>
      <c r="AJ308" s="345">
        <f t="shared" si="853"/>
        <v>25.2105</v>
      </c>
      <c r="AK308" s="345">
        <f t="shared" si="853"/>
        <v>49</v>
      </c>
      <c r="AL308" s="345">
        <f t="shared" si="853"/>
        <v>97.010298</v>
      </c>
      <c r="AM308" s="345">
        <f t="shared" si="853"/>
        <v>107.5650184224</v>
      </c>
      <c r="AN308" s="345">
        <f t="shared" si="853"/>
        <v>119.268092426757</v>
      </c>
      <c r="AO308" s="345">
        <f t="shared" si="853"/>
        <v>147.594264378112</v>
      </c>
      <c r="AP308" s="345">
        <f t="shared" si="853"/>
        <v>168.03606999448</v>
      </c>
      <c r="AQ308" s="345">
        <f t="shared" si="853"/>
        <v>174.673494759262</v>
      </c>
      <c r="AR308" s="345">
        <f t="shared" si="853"/>
        <v>194.542604788128</v>
      </c>
      <c r="AS308" s="345">
        <f t="shared" si="853"/>
        <v>308.155485984395</v>
      </c>
      <c r="AT308" s="345">
        <f t="shared" si="853"/>
        <v>366.088717349462</v>
      </c>
      <c r="AU308" s="345">
        <f t="shared" si="853"/>
        <v>434.913396211161</v>
      </c>
      <c r="AV308" s="345">
        <f t="shared" si="853"/>
        <v>465.009403228973</v>
      </c>
      <c r="AW308" s="345">
        <f t="shared" si="853"/>
        <v>497.188053932418</v>
      </c>
      <c r="AX308" s="345">
        <f t="shared" si="853"/>
        <v>531.593467264541</v>
      </c>
      <c r="AY308" s="345">
        <f t="shared" si="853"/>
        <v>568.379735199247</v>
      </c>
      <c r="AZ308" s="345">
        <f t="shared" ref="AZ308:BC308" si="854">+AZ287*AZ123</f>
        <v>597.493483867583</v>
      </c>
      <c r="BA308" s="345">
        <f t="shared" si="854"/>
        <v>603.348920009486</v>
      </c>
      <c r="BB308" s="345">
        <f t="shared" si="854"/>
        <v>609.261739425579</v>
      </c>
      <c r="BC308" s="345">
        <f t="shared" si="854"/>
        <v>615.232504471949</v>
      </c>
      <c r="BD308" s="345"/>
      <c r="BE308" s="340"/>
      <c r="BF308" s="268"/>
      <c r="BG308" s="270">
        <f t="shared" si="823"/>
        <v>0</v>
      </c>
      <c r="BH308" s="270">
        <f t="shared" si="824"/>
        <v>0</v>
      </c>
      <c r="BI308" s="270">
        <f t="shared" si="825"/>
        <v>0</v>
      </c>
      <c r="BJ308" s="270">
        <f t="shared" si="826"/>
        <v>0</v>
      </c>
      <c r="BK308" s="270">
        <f t="shared" si="827"/>
        <v>0</v>
      </c>
      <c r="BL308" s="270">
        <f t="shared" si="828"/>
        <v>0</v>
      </c>
      <c r="BM308" s="270">
        <f t="shared" si="829"/>
        <v>0</v>
      </c>
      <c r="BN308" s="270">
        <f t="shared" si="830"/>
        <v>9.1875</v>
      </c>
      <c r="BO308" s="270">
        <f t="shared" si="831"/>
        <v>278.7858164224</v>
      </c>
      <c r="BP308" s="270">
        <f t="shared" si="832"/>
        <v>609.571921558612</v>
      </c>
      <c r="BQ308" s="270">
        <f t="shared" si="833"/>
        <v>1303.70020433315</v>
      </c>
      <c r="BR308" s="270">
        <f t="shared" si="834"/>
        <v>2062.17065962518</v>
      </c>
      <c r="BS308" s="270">
        <f t="shared" si="834"/>
        <v>2194.65474026379</v>
      </c>
    </row>
    <row r="309" s="107" customFormat="1" customHeight="1" spans="1:78">
      <c r="A309" s="252"/>
      <c r="C309" s="283" t="s">
        <v>478</v>
      </c>
      <c r="D309" s="261"/>
      <c r="E309" s="261"/>
      <c r="F309" s="261"/>
      <c r="G309" s="261"/>
      <c r="H309" s="261"/>
      <c r="I309" s="261"/>
      <c r="J309" s="261"/>
      <c r="K309" s="261"/>
      <c r="L309" s="261"/>
      <c r="M309" s="261"/>
      <c r="N309" s="261"/>
      <c r="O309" s="261"/>
      <c r="P309" s="262"/>
      <c r="Q309" s="262"/>
      <c r="R309" s="270"/>
      <c r="S309" s="270"/>
      <c r="T309" s="270"/>
      <c r="U309" s="270"/>
      <c r="V309" s="270"/>
      <c r="W309" s="270"/>
      <c r="X309" s="270"/>
      <c r="Y309" s="270"/>
      <c r="Z309" s="270"/>
      <c r="AA309" s="270"/>
      <c r="AB309" s="270"/>
      <c r="AC309" s="270"/>
      <c r="AD309" s="270"/>
      <c r="AE309" s="270"/>
      <c r="AF309" s="270"/>
      <c r="AG309" s="270"/>
      <c r="AH309" s="270"/>
      <c r="AI309" s="345">
        <f t="shared" ref="AI309:AY309" si="855">+AI288*AI124</f>
        <v>0</v>
      </c>
      <c r="AJ309" s="345">
        <f t="shared" si="855"/>
        <v>0</v>
      </c>
      <c r="AK309" s="345">
        <f t="shared" si="855"/>
        <v>0</v>
      </c>
      <c r="AL309" s="345">
        <f t="shared" si="855"/>
        <v>0</v>
      </c>
      <c r="AM309" s="345">
        <f t="shared" si="855"/>
        <v>0</v>
      </c>
      <c r="AN309" s="345">
        <f t="shared" si="855"/>
        <v>0</v>
      </c>
      <c r="AO309" s="345">
        <f t="shared" si="855"/>
        <v>0</v>
      </c>
      <c r="AP309" s="345">
        <f t="shared" si="855"/>
        <v>0</v>
      </c>
      <c r="AQ309" s="345">
        <f t="shared" si="855"/>
        <v>0</v>
      </c>
      <c r="AR309" s="345">
        <f t="shared" si="855"/>
        <v>0</v>
      </c>
      <c r="AS309" s="345">
        <f t="shared" si="855"/>
        <v>0</v>
      </c>
      <c r="AT309" s="345">
        <f t="shared" si="855"/>
        <v>0</v>
      </c>
      <c r="AU309" s="345">
        <f t="shared" si="855"/>
        <v>0</v>
      </c>
      <c r="AV309" s="345">
        <f t="shared" si="855"/>
        <v>0</v>
      </c>
      <c r="AW309" s="345">
        <f t="shared" si="855"/>
        <v>375</v>
      </c>
      <c r="AX309" s="345">
        <f t="shared" si="855"/>
        <v>403.38</v>
      </c>
      <c r="AY309" s="345">
        <f t="shared" si="855"/>
        <v>433.9008</v>
      </c>
      <c r="AZ309" s="345">
        <f t="shared" ref="AZ309:BC309" si="856">+AZ288*AZ124</f>
        <v>449.437248</v>
      </c>
      <c r="BA309" s="345">
        <f t="shared" si="856"/>
        <v>465.52237056</v>
      </c>
      <c r="BB309" s="345">
        <f t="shared" si="856"/>
        <v>482.175203328</v>
      </c>
      <c r="BC309" s="345">
        <f t="shared" si="856"/>
        <v>499.415426924544</v>
      </c>
      <c r="BD309" s="270"/>
      <c r="BE309" s="263"/>
      <c r="BF309" s="264"/>
      <c r="BG309" s="261">
        <f t="shared" si="823"/>
        <v>0</v>
      </c>
      <c r="BH309" s="270">
        <f t="shared" si="824"/>
        <v>0</v>
      </c>
      <c r="BI309" s="270">
        <f t="shared" si="825"/>
        <v>0</v>
      </c>
      <c r="BJ309" s="270">
        <f t="shared" si="826"/>
        <v>0</v>
      </c>
      <c r="BK309" s="270">
        <f t="shared" si="827"/>
        <v>0</v>
      </c>
      <c r="BL309" s="270">
        <f t="shared" si="828"/>
        <v>0</v>
      </c>
      <c r="BM309" s="270">
        <f t="shared" si="829"/>
        <v>0</v>
      </c>
      <c r="BN309" s="270">
        <f t="shared" si="830"/>
        <v>0</v>
      </c>
      <c r="BO309" s="270">
        <f t="shared" si="831"/>
        <v>0</v>
      </c>
      <c r="BP309" s="270">
        <f t="shared" si="832"/>
        <v>0</v>
      </c>
      <c r="BQ309" s="270">
        <f t="shared" si="833"/>
        <v>0</v>
      </c>
      <c r="BR309" s="270">
        <f t="shared" si="834"/>
        <v>1212.2808</v>
      </c>
      <c r="BS309" s="270">
        <f t="shared" si="834"/>
        <v>1661.718048</v>
      </c>
      <c r="BT309" s="252"/>
      <c r="BU309"/>
      <c r="BV309"/>
      <c r="BW309"/>
      <c r="BX309"/>
      <c r="BY309"/>
      <c r="BZ309"/>
    </row>
    <row r="310" s="107" customFormat="1" customHeight="1" spans="1:78">
      <c r="A310" s="252"/>
      <c r="C310" s="283" t="s">
        <v>479</v>
      </c>
      <c r="D310" s="261"/>
      <c r="E310" s="261"/>
      <c r="F310" s="261"/>
      <c r="G310" s="261"/>
      <c r="H310" s="261"/>
      <c r="I310" s="261"/>
      <c r="J310" s="261"/>
      <c r="K310" s="261"/>
      <c r="L310" s="261"/>
      <c r="M310" s="261"/>
      <c r="N310" s="261"/>
      <c r="O310" s="261"/>
      <c r="P310" s="262"/>
      <c r="Q310" s="262"/>
      <c r="R310" s="270"/>
      <c r="S310" s="270"/>
      <c r="T310" s="270"/>
      <c r="U310" s="270"/>
      <c r="V310" s="270"/>
      <c r="W310" s="270"/>
      <c r="X310" s="270"/>
      <c r="Y310" s="270"/>
      <c r="Z310" s="270"/>
      <c r="AA310" s="270"/>
      <c r="AB310" s="270"/>
      <c r="AC310" s="270"/>
      <c r="AD310" s="270"/>
      <c r="AE310" s="270"/>
      <c r="AF310" s="270"/>
      <c r="AG310" s="270"/>
      <c r="AH310" s="270"/>
      <c r="AI310" s="345">
        <f t="shared" ref="AI310:AY310" si="857">+AI289*AI125</f>
        <v>0</v>
      </c>
      <c r="AJ310" s="345">
        <f t="shared" si="857"/>
        <v>0</v>
      </c>
      <c r="AK310" s="345">
        <f t="shared" si="857"/>
        <v>0</v>
      </c>
      <c r="AL310" s="345">
        <f t="shared" si="857"/>
        <v>0</v>
      </c>
      <c r="AM310" s="345">
        <f t="shared" si="857"/>
        <v>0</v>
      </c>
      <c r="AN310" s="345">
        <f t="shared" si="857"/>
        <v>0</v>
      </c>
      <c r="AO310" s="345">
        <f t="shared" si="857"/>
        <v>0</v>
      </c>
      <c r="AP310" s="345">
        <f t="shared" si="857"/>
        <v>0</v>
      </c>
      <c r="AQ310" s="345">
        <f t="shared" si="857"/>
        <v>0</v>
      </c>
      <c r="AR310" s="345">
        <f t="shared" si="857"/>
        <v>0</v>
      </c>
      <c r="AS310" s="345">
        <f t="shared" si="857"/>
        <v>0</v>
      </c>
      <c r="AT310" s="345">
        <f t="shared" si="857"/>
        <v>7.5</v>
      </c>
      <c r="AU310" s="345">
        <f t="shared" si="857"/>
        <v>74.25</v>
      </c>
      <c r="AV310" s="345">
        <f t="shared" si="857"/>
        <v>156</v>
      </c>
      <c r="AW310" s="345">
        <f t="shared" si="857"/>
        <v>246</v>
      </c>
      <c r="AX310" s="345">
        <f t="shared" si="857"/>
        <v>336</v>
      </c>
      <c r="AY310" s="345">
        <f t="shared" si="857"/>
        <v>426</v>
      </c>
      <c r="AZ310" s="345">
        <f t="shared" ref="AZ310:BC310" si="858">+AZ289*AZ125</f>
        <v>451.5</v>
      </c>
      <c r="BA310" s="345">
        <f t="shared" si="858"/>
        <v>530.25</v>
      </c>
      <c r="BB310" s="345">
        <f t="shared" si="858"/>
        <v>609</v>
      </c>
      <c r="BC310" s="345">
        <f t="shared" si="858"/>
        <v>687.75</v>
      </c>
      <c r="BD310" s="270"/>
      <c r="BE310" s="263"/>
      <c r="BF310" s="264"/>
      <c r="BG310" s="261">
        <f t="shared" si="823"/>
        <v>0</v>
      </c>
      <c r="BH310" s="270">
        <f t="shared" si="824"/>
        <v>0</v>
      </c>
      <c r="BI310" s="270">
        <f t="shared" si="825"/>
        <v>0</v>
      </c>
      <c r="BJ310" s="270">
        <f t="shared" si="826"/>
        <v>0</v>
      </c>
      <c r="BK310" s="270">
        <f t="shared" si="827"/>
        <v>0</v>
      </c>
      <c r="BL310" s="270">
        <f t="shared" si="828"/>
        <v>0</v>
      </c>
      <c r="BM310" s="270">
        <f t="shared" si="829"/>
        <v>0</v>
      </c>
      <c r="BN310" s="270">
        <f t="shared" si="830"/>
        <v>0</v>
      </c>
      <c r="BO310" s="270">
        <f t="shared" si="831"/>
        <v>0</v>
      </c>
      <c r="BP310" s="270">
        <f t="shared" si="832"/>
        <v>0</v>
      </c>
      <c r="BQ310" s="270">
        <f t="shared" si="833"/>
        <v>81.75</v>
      </c>
      <c r="BR310" s="270">
        <f t="shared" si="834"/>
        <v>1164</v>
      </c>
      <c r="BS310" s="270">
        <f t="shared" si="834"/>
        <v>1459.5</v>
      </c>
      <c r="BT310" s="252"/>
      <c r="BU310"/>
      <c r="BV310"/>
      <c r="BW310"/>
      <c r="BX310"/>
      <c r="BY310"/>
      <c r="BZ310"/>
    </row>
    <row r="311" customHeight="1" spans="1:78">
      <c r="A311" s="252"/>
      <c r="B311" s="281" t="s">
        <v>480</v>
      </c>
      <c r="C311" s="70"/>
      <c r="D311" s="345"/>
      <c r="E311" s="345"/>
      <c r="F311" s="345"/>
      <c r="G311" s="345"/>
      <c r="H311" s="345"/>
      <c r="I311" s="345"/>
      <c r="J311" s="345"/>
      <c r="K311" s="345"/>
      <c r="L311" s="345"/>
      <c r="M311" s="345"/>
      <c r="N311" s="345"/>
      <c r="O311" s="345"/>
      <c r="P311" s="386"/>
      <c r="Q311" s="386"/>
      <c r="R311" s="387">
        <f t="shared" ref="R311:Y312" si="859">+R290*R126</f>
        <v>0</v>
      </c>
      <c r="S311" s="387">
        <f t="shared" si="859"/>
        <v>0</v>
      </c>
      <c r="T311" s="387">
        <f t="shared" si="859"/>
        <v>0.2723175</v>
      </c>
      <c r="U311" s="387">
        <f t="shared" si="859"/>
        <v>0.61108047</v>
      </c>
      <c r="V311" s="387">
        <f t="shared" si="859"/>
        <v>1.084545618156</v>
      </c>
      <c r="W311" s="387">
        <f t="shared" si="859"/>
        <v>1.32748383662294</v>
      </c>
      <c r="X311" s="387">
        <f t="shared" si="859"/>
        <v>19.419826241088</v>
      </c>
      <c r="Y311" s="387">
        <f t="shared" si="859"/>
        <v>52.0694091089172</v>
      </c>
      <c r="AA311" s="345">
        <f t="shared" ref="AA311:AH312" si="860">+AA290*AA126</f>
        <v>27.9977388657541</v>
      </c>
      <c r="AB311" s="345">
        <f t="shared" si="860"/>
        <v>40.3713715915002</v>
      </c>
      <c r="AC311" s="345">
        <f t="shared" si="860"/>
        <v>39.397805003507</v>
      </c>
      <c r="AD311" s="345">
        <f t="shared" si="860"/>
        <v>25.6564</v>
      </c>
      <c r="AE311" s="345">
        <f t="shared" si="860"/>
        <v>0.922897359999998</v>
      </c>
      <c r="AF311" s="345">
        <f t="shared" si="860"/>
        <v>0.3145</v>
      </c>
      <c r="AG311" s="345">
        <f t="shared" si="860"/>
        <v>1.8369</v>
      </c>
      <c r="AH311" s="345">
        <f t="shared" si="860"/>
        <v>0.8136</v>
      </c>
      <c r="AI311" s="345">
        <v>0.78624673</v>
      </c>
      <c r="AJ311" s="345">
        <f t="shared" ref="AJ311:AY311" si="861">+AJ290*AJ126</f>
        <v>1.17</v>
      </c>
      <c r="AK311" s="345">
        <f t="shared" si="861"/>
        <v>4.55</v>
      </c>
      <c r="AL311" s="345">
        <f t="shared" si="861"/>
        <v>3.025</v>
      </c>
      <c r="AM311" s="345">
        <f t="shared" si="861"/>
        <v>8.4</v>
      </c>
      <c r="AN311" s="345">
        <f t="shared" si="861"/>
        <v>3.8520247445316</v>
      </c>
      <c r="AO311" s="345">
        <f t="shared" si="861"/>
        <v>3.98742341430189</v>
      </c>
      <c r="AP311" s="345">
        <f t="shared" si="861"/>
        <v>4.1275813473146</v>
      </c>
      <c r="AQ311" s="345">
        <f t="shared" si="861"/>
        <v>4.2726658316727</v>
      </c>
      <c r="AR311" s="345">
        <f t="shared" si="861"/>
        <v>4.07932770278951</v>
      </c>
      <c r="AS311" s="345">
        <f t="shared" si="861"/>
        <v>4.18171882812953</v>
      </c>
      <c r="AT311" s="345">
        <f t="shared" si="861"/>
        <v>4.24465369649288</v>
      </c>
      <c r="AU311" s="345">
        <f t="shared" si="861"/>
        <v>4.3085357346251</v>
      </c>
      <c r="AV311" s="345">
        <f t="shared" si="861"/>
        <v>4.3733791974312</v>
      </c>
      <c r="AW311" s="345">
        <f t="shared" si="861"/>
        <v>4.43919855435254</v>
      </c>
      <c r="AX311" s="345">
        <f t="shared" si="861"/>
        <v>4.50600849259555</v>
      </c>
      <c r="AY311" s="345">
        <f t="shared" si="861"/>
        <v>4.57382392040911</v>
      </c>
      <c r="AZ311" s="345">
        <f t="shared" ref="AZ311:BC311" si="862">+AZ290*AZ126</f>
        <v>4.64265997041127</v>
      </c>
      <c r="BA311" s="345">
        <f t="shared" si="862"/>
        <v>4.71253200296596</v>
      </c>
      <c r="BB311" s="345">
        <f t="shared" si="862"/>
        <v>4.78345560961059</v>
      </c>
      <c r="BC311" s="345">
        <f t="shared" si="862"/>
        <v>4.85544661653523</v>
      </c>
      <c r="BD311" s="345"/>
      <c r="BE311" s="340"/>
      <c r="BF311" s="268"/>
      <c r="BG311" s="270">
        <f t="shared" si="823"/>
        <v>0</v>
      </c>
      <c r="BH311" s="270">
        <f t="shared" si="824"/>
        <v>0</v>
      </c>
      <c r="BI311" s="270">
        <f t="shared" si="825"/>
        <v>0</v>
      </c>
      <c r="BJ311" s="270">
        <f t="shared" si="826"/>
        <v>0</v>
      </c>
      <c r="BK311" s="270">
        <f t="shared" si="827"/>
        <v>3.29542742477894</v>
      </c>
      <c r="BL311" s="270">
        <f t="shared" si="828"/>
        <v>99.4869742157593</v>
      </c>
      <c r="BM311" s="270">
        <f t="shared" si="829"/>
        <v>106.348473955007</v>
      </c>
      <c r="BN311" s="270">
        <f t="shared" si="830"/>
        <v>3.75124673</v>
      </c>
      <c r="BO311" s="270">
        <f t="shared" si="831"/>
        <v>17.145</v>
      </c>
      <c r="BP311" s="270">
        <f t="shared" si="832"/>
        <v>16.2396953378208</v>
      </c>
      <c r="BQ311" s="270">
        <f t="shared" si="833"/>
        <v>16.814235962037</v>
      </c>
      <c r="BR311" s="270">
        <f t="shared" si="834"/>
        <v>17.8924101647884</v>
      </c>
      <c r="BS311" s="270">
        <f t="shared" si="834"/>
        <v>18.1616909377685</v>
      </c>
    </row>
    <row r="312" customHeight="1" spans="1:78">
      <c r="A312" s="369"/>
      <c r="B312" s="281" t="s">
        <v>481</v>
      </c>
      <c r="C312" s="284"/>
      <c r="D312" s="345"/>
      <c r="E312" s="345"/>
      <c r="F312" s="345"/>
      <c r="G312" s="345"/>
      <c r="H312" s="345"/>
      <c r="I312" s="345"/>
      <c r="J312" s="345"/>
      <c r="K312" s="345"/>
      <c r="L312" s="345"/>
      <c r="M312" s="345"/>
      <c r="N312" s="345"/>
      <c r="O312" s="345"/>
      <c r="P312" s="386"/>
      <c r="Q312" s="386"/>
      <c r="R312" s="345">
        <f t="shared" si="859"/>
        <v>0.0863168960000201</v>
      </c>
      <c r="S312" s="345">
        <f t="shared" si="859"/>
        <v>-0.0533948773999873</v>
      </c>
      <c r="T312" s="345">
        <f t="shared" si="859"/>
        <v>-0.0523443121008074</v>
      </c>
      <c r="U312" s="345">
        <f t="shared" si="859"/>
        <v>-0.0621369021007536</v>
      </c>
      <c r="V312" s="345">
        <f t="shared" si="859"/>
        <v>0.408423747126257</v>
      </c>
      <c r="W312" s="345">
        <f t="shared" si="859"/>
        <v>0.0285380764638035</v>
      </c>
      <c r="X312" s="345">
        <f t="shared" si="859"/>
        <v>0.101183676905611</v>
      </c>
      <c r="Y312" s="345">
        <f t="shared" si="859"/>
        <v>-0.119033379357236</v>
      </c>
      <c r="Z312" s="345">
        <f>+Z291*Z127</f>
        <v>0.0421261330677771</v>
      </c>
      <c r="AA312" s="345">
        <f t="shared" si="860"/>
        <v>0.307117917043274</v>
      </c>
      <c r="AB312" s="345">
        <f t="shared" si="860"/>
        <v>1.69189427174575</v>
      </c>
      <c r="AC312" s="345">
        <f t="shared" si="860"/>
        <v>3.51136456912408</v>
      </c>
      <c r="AD312" s="345">
        <f t="shared" si="860"/>
        <v>9.47967647601203</v>
      </c>
      <c r="AE312" s="345">
        <f t="shared" si="860"/>
        <v>17.0859790544344</v>
      </c>
      <c r="AF312" s="345">
        <f t="shared" si="860"/>
        <v>24.5142991906442</v>
      </c>
      <c r="AG312" s="345">
        <f t="shared" si="860"/>
        <v>32.393932665782</v>
      </c>
      <c r="AH312" s="345">
        <f t="shared" si="860"/>
        <v>29.6310417788977</v>
      </c>
      <c r="AI312" s="345">
        <v>-9</v>
      </c>
      <c r="AJ312" s="345">
        <f>+AJ291*AJ127</f>
        <v>-87.0437529549474</v>
      </c>
      <c r="AK312" s="345">
        <f>+AK291*AK127</f>
        <v>-94.2002023211953</v>
      </c>
      <c r="AL312" s="345">
        <v>1</v>
      </c>
      <c r="AM312" s="345">
        <f t="shared" ref="AM312:AY312" si="863">+AM291*AM127</f>
        <v>-22.3689141416217</v>
      </c>
      <c r="AN312" s="345">
        <f t="shared" si="863"/>
        <v>-1.40376760958688</v>
      </c>
      <c r="AO312" s="345">
        <f t="shared" si="863"/>
        <v>49.8577710104042</v>
      </c>
      <c r="AP312" s="345">
        <f t="shared" si="863"/>
        <v>27.5465925617425</v>
      </c>
      <c r="AQ312" s="345">
        <f t="shared" si="863"/>
        <v>0</v>
      </c>
      <c r="AR312" s="345">
        <f t="shared" si="863"/>
        <v>0</v>
      </c>
      <c r="AS312" s="345">
        <f t="shared" si="863"/>
        <v>0</v>
      </c>
      <c r="AT312" s="345">
        <f t="shared" si="863"/>
        <v>0</v>
      </c>
      <c r="AU312" s="345">
        <f t="shared" si="863"/>
        <v>0</v>
      </c>
      <c r="AV312" s="345">
        <f t="shared" si="863"/>
        <v>0</v>
      </c>
      <c r="AW312" s="345">
        <f t="shared" si="863"/>
        <v>0</v>
      </c>
      <c r="AX312" s="345">
        <f t="shared" si="863"/>
        <v>0</v>
      </c>
      <c r="AY312" s="345">
        <f t="shared" si="863"/>
        <v>0</v>
      </c>
      <c r="AZ312" s="345">
        <f t="shared" ref="AZ312:BC312" si="864">+AZ291*AZ127</f>
        <v>0</v>
      </c>
      <c r="BA312" s="345">
        <f t="shared" si="864"/>
        <v>0</v>
      </c>
      <c r="BB312" s="345">
        <f t="shared" si="864"/>
        <v>0</v>
      </c>
      <c r="BC312" s="345">
        <f t="shared" si="864"/>
        <v>0</v>
      </c>
      <c r="BD312" s="345"/>
      <c r="BE312" s="340"/>
      <c r="BF312" s="268"/>
      <c r="BG312" s="270">
        <f t="shared" si="823"/>
        <v>0</v>
      </c>
      <c r="BH312" s="270">
        <f t="shared" si="824"/>
        <v>0</v>
      </c>
      <c r="BI312" s="270">
        <f t="shared" si="825"/>
        <v>0</v>
      </c>
      <c r="BJ312" s="270">
        <f t="shared" si="826"/>
        <v>0.0329220186000328</v>
      </c>
      <c r="BK312" s="270">
        <f t="shared" si="827"/>
        <v>0.322480609388499</v>
      </c>
      <c r="BL312" s="270">
        <f t="shared" si="828"/>
        <v>0.331394347659426</v>
      </c>
      <c r="BM312" s="270">
        <f t="shared" si="829"/>
        <v>31.7689143713162</v>
      </c>
      <c r="BN312" s="270">
        <f t="shared" si="830"/>
        <v>77.539273635324</v>
      </c>
      <c r="BO312" s="270">
        <f t="shared" si="831"/>
        <v>-202.612869417764</v>
      </c>
      <c r="BP312" s="270">
        <f t="shared" si="832"/>
        <v>76.0005959625598</v>
      </c>
      <c r="BQ312" s="270">
        <f t="shared" si="833"/>
        <v>0</v>
      </c>
      <c r="BR312" s="270">
        <f t="shared" si="834"/>
        <v>0</v>
      </c>
      <c r="BS312" s="270">
        <f t="shared" si="834"/>
        <v>0</v>
      </c>
    </row>
    <row r="313" customHeight="1" spans="1:78">
      <c r="A313" s="395" t="s">
        <v>125</v>
      </c>
      <c r="B313" s="252"/>
      <c r="C313" s="70"/>
      <c r="D313" s="345"/>
      <c r="E313" s="345"/>
      <c r="F313" s="345"/>
      <c r="G313" s="345"/>
      <c r="H313" s="345"/>
      <c r="I313" s="345"/>
      <c r="J313" s="345"/>
      <c r="K313" s="345"/>
      <c r="L313" s="345"/>
      <c r="M313" s="345"/>
      <c r="N313" s="345"/>
      <c r="O313" s="345"/>
      <c r="P313" s="386"/>
      <c r="Q313" s="386"/>
      <c r="R313" s="243">
        <f t="shared" ref="R313:AY313" si="865">SUM(R298,R307,R311,R312)</f>
        <v>380.921859704</v>
      </c>
      <c r="S313" s="243">
        <f t="shared" si="865"/>
        <v>257.4574851226</v>
      </c>
      <c r="T313" s="243">
        <f t="shared" si="865"/>
        <v>359.708496070382</v>
      </c>
      <c r="U313" s="243">
        <f t="shared" si="865"/>
        <v>442.605545594382</v>
      </c>
      <c r="V313" s="243">
        <f t="shared" si="865"/>
        <v>267.721696962944</v>
      </c>
      <c r="W313" s="243">
        <f t="shared" si="865"/>
        <v>246.57169901533</v>
      </c>
      <c r="X313" s="243">
        <f t="shared" si="865"/>
        <v>193.089873219114</v>
      </c>
      <c r="Y313" s="243">
        <f t="shared" si="865"/>
        <v>258.886206825756</v>
      </c>
      <c r="Z313" s="243">
        <f t="shared" si="865"/>
        <v>323.330037003266</v>
      </c>
      <c r="AA313" s="243">
        <f t="shared" si="865"/>
        <v>447.043996797815</v>
      </c>
      <c r="AB313" s="243">
        <f t="shared" si="865"/>
        <v>389.102145403287</v>
      </c>
      <c r="AC313" s="243">
        <f t="shared" si="865"/>
        <v>434.918169695836</v>
      </c>
      <c r="AD313" s="243">
        <f t="shared" si="865"/>
        <v>435.293900618949</v>
      </c>
      <c r="AE313" s="243">
        <f t="shared" si="865"/>
        <v>448.134542640997</v>
      </c>
      <c r="AF313" s="243">
        <f t="shared" si="865"/>
        <v>247.034922769573</v>
      </c>
      <c r="AG313" s="243">
        <f t="shared" si="865"/>
        <v>330.923609352197</v>
      </c>
      <c r="AH313" s="243">
        <f t="shared" si="865"/>
        <v>415.562023675747</v>
      </c>
      <c r="AI313" s="243">
        <f t="shared" si="865"/>
        <v>399.309045284738</v>
      </c>
      <c r="AJ313" s="243">
        <f t="shared" si="865"/>
        <v>469.158324627016</v>
      </c>
      <c r="AK313" s="243">
        <f t="shared" si="865"/>
        <v>591.933853206184</v>
      </c>
      <c r="AL313" s="243">
        <f t="shared" si="865"/>
        <v>680.351144831142</v>
      </c>
      <c r="AM313" s="243">
        <f t="shared" si="865"/>
        <v>631.775707068152</v>
      </c>
      <c r="AN313" s="243">
        <f t="shared" si="865"/>
        <v>738.524065080642</v>
      </c>
      <c r="AO313" s="243">
        <f t="shared" si="865"/>
        <v>852.416717195149</v>
      </c>
      <c r="AP313" s="243">
        <f t="shared" si="865"/>
        <v>871.030883402841</v>
      </c>
      <c r="AQ313" s="243">
        <f t="shared" si="865"/>
        <v>832.15118670468</v>
      </c>
      <c r="AR313" s="243">
        <f t="shared" si="865"/>
        <v>975.624136561502</v>
      </c>
      <c r="AS313" s="243">
        <f t="shared" si="865"/>
        <v>1201.24656857716</v>
      </c>
      <c r="AT313" s="243">
        <f t="shared" si="865"/>
        <v>1355.22499511929</v>
      </c>
      <c r="AU313" s="243">
        <f t="shared" si="865"/>
        <v>1591.87600760661</v>
      </c>
      <c r="AV313" s="243">
        <f t="shared" si="865"/>
        <v>1796.52835609677</v>
      </c>
      <c r="AW313" s="243">
        <f t="shared" si="865"/>
        <v>2402.03202523014</v>
      </c>
      <c r="AX313" s="243">
        <f t="shared" si="865"/>
        <v>2682.5955107266</v>
      </c>
      <c r="AY313" s="243">
        <f t="shared" si="865"/>
        <v>2992.18991265323</v>
      </c>
      <c r="AZ313" s="243">
        <f t="shared" ref="AZ313:BC313" si="866">SUM(AZ298,AZ307,AZ311,AZ312)</f>
        <v>3170.3341255007</v>
      </c>
      <c r="BA313" s="243">
        <f t="shared" si="866"/>
        <v>3387.69377287266</v>
      </c>
      <c r="BB313" s="243">
        <f t="shared" si="866"/>
        <v>3615.15131086743</v>
      </c>
      <c r="BC313" s="243">
        <f t="shared" si="866"/>
        <v>3853.60563186293</v>
      </c>
      <c r="BD313" s="387"/>
      <c r="BE313" s="340"/>
      <c r="BF313" s="268"/>
      <c r="BG313" s="270">
        <f t="shared" si="823"/>
        <v>0</v>
      </c>
      <c r="BH313" s="270">
        <f t="shared" si="824"/>
        <v>0</v>
      </c>
      <c r="BI313" s="270">
        <f t="shared" si="825"/>
        <v>0</v>
      </c>
      <c r="BJ313" s="270">
        <f t="shared" si="826"/>
        <v>638.3793448266</v>
      </c>
      <c r="BK313" s="270">
        <f t="shared" si="827"/>
        <v>1316.60743764304</v>
      </c>
      <c r="BL313" s="270">
        <f t="shared" si="828"/>
        <v>1222.35011384595</v>
      </c>
      <c r="BM313" s="270">
        <f t="shared" si="829"/>
        <v>1707.44875835907</v>
      </c>
      <c r="BN313" s="270">
        <f t="shared" si="830"/>
        <v>1392.82960108226</v>
      </c>
      <c r="BO313" s="270">
        <f t="shared" si="831"/>
        <v>2373.21902973249</v>
      </c>
      <c r="BP313" s="270">
        <f t="shared" si="832"/>
        <v>3294.12285238331</v>
      </c>
      <c r="BQ313" s="270">
        <f t="shared" si="833"/>
        <v>5123.97170786456</v>
      </c>
      <c r="BR313" s="270">
        <f t="shared" si="834"/>
        <v>9873.34580470674</v>
      </c>
      <c r="BS313" s="270">
        <f t="shared" si="834"/>
        <v>11247.1515741107</v>
      </c>
    </row>
    <row r="314" s="105" customFormat="1" customHeight="1" spans="1:78">
      <c r="A314" s="252"/>
      <c r="B314" s="252"/>
      <c r="C314" s="70"/>
      <c r="D314" s="356"/>
      <c r="E314" s="356"/>
      <c r="F314" s="356"/>
      <c r="G314" s="356"/>
      <c r="H314" s="356"/>
      <c r="I314" s="356"/>
      <c r="J314" s="356"/>
      <c r="K314" s="356"/>
      <c r="L314" s="356"/>
      <c r="M314" s="356"/>
      <c r="N314" s="356"/>
      <c r="O314" s="356"/>
      <c r="P314" s="356"/>
      <c r="Q314" s="356"/>
      <c r="R314" s="356"/>
      <c r="S314" s="356"/>
      <c r="T314" s="356"/>
      <c r="U314" s="356"/>
      <c r="V314" s="356"/>
      <c r="W314" s="356"/>
      <c r="X314" s="356"/>
      <c r="Y314" s="356"/>
      <c r="Z314" s="356"/>
      <c r="AA314" s="356"/>
      <c r="AB314" s="356"/>
      <c r="AC314" s="356"/>
      <c r="AD314" s="356"/>
      <c r="AE314" s="356"/>
      <c r="AF314" s="356"/>
      <c r="AG314" s="356"/>
      <c r="AH314" s="356"/>
      <c r="AI314" s="356"/>
      <c r="AJ314" s="356"/>
      <c r="AK314" s="356"/>
      <c r="AL314" s="356"/>
      <c r="AM314" s="356"/>
      <c r="AN314" s="356"/>
      <c r="AO314" s="356"/>
      <c r="AP314" s="356"/>
      <c r="AQ314" s="356"/>
      <c r="AR314" s="356"/>
      <c r="AS314" s="356"/>
      <c r="AT314" s="356"/>
      <c r="AU314" s="356"/>
      <c r="AV314" s="356"/>
      <c r="AW314" s="356"/>
      <c r="AX314" s="356"/>
      <c r="AY314" s="356"/>
      <c r="AZ314" s="356"/>
      <c r="BA314" s="356"/>
      <c r="BB314" s="356"/>
      <c r="BC314" s="356"/>
      <c r="BD314" s="356"/>
      <c r="BE314" s="385"/>
      <c r="BF314" s="252"/>
      <c r="BG314" s="261"/>
      <c r="BH314" s="261"/>
      <c r="BI314" s="261"/>
      <c r="BJ314" s="261"/>
      <c r="BK314" s="356"/>
      <c r="BL314" s="261"/>
      <c r="BM314" s="261"/>
      <c r="BN314" s="261"/>
      <c r="BO314" s="261"/>
      <c r="BP314" s="261"/>
      <c r="BQ314" s="261"/>
      <c r="BR314" s="261"/>
      <c r="BS314" s="261"/>
      <c r="BU314"/>
      <c r="BV314"/>
      <c r="BW314"/>
      <c r="BX314"/>
      <c r="BY314"/>
      <c r="BZ314"/>
    </row>
    <row r="315" customHeight="1" spans="1:78">
      <c r="A315" s="268" t="s">
        <v>492</v>
      </c>
      <c r="B315" s="252"/>
      <c r="C315" s="252"/>
      <c r="D315" s="345"/>
      <c r="E315" s="345"/>
      <c r="F315" s="345"/>
      <c r="G315" s="345"/>
      <c r="H315" s="345"/>
      <c r="I315" s="345"/>
      <c r="J315" s="345"/>
      <c r="K315" s="345"/>
      <c r="L315" s="345"/>
      <c r="M315" s="345"/>
      <c r="N315" s="345"/>
      <c r="O315" s="345"/>
      <c r="P315" s="345"/>
      <c r="Q315" s="345"/>
      <c r="R315" s="345">
        <f t="shared" ref="R315:AP315" si="867">R17</f>
        <v>380.586</v>
      </c>
      <c r="S315" s="345">
        <f t="shared" si="867"/>
        <v>257.66838764</v>
      </c>
      <c r="T315" s="345">
        <f t="shared" si="867"/>
        <v>359.51884992</v>
      </c>
      <c r="U315" s="345">
        <f t="shared" si="867"/>
        <v>442.73418657</v>
      </c>
      <c r="V315" s="345">
        <f t="shared" si="867"/>
        <v>267.10351562</v>
      </c>
      <c r="W315" s="345">
        <f t="shared" si="867"/>
        <v>246.62400289</v>
      </c>
      <c r="X315" s="345">
        <f t="shared" si="867"/>
        <v>192.959</v>
      </c>
      <c r="Y315" s="345">
        <f t="shared" si="867"/>
        <v>259.061</v>
      </c>
      <c r="Z315" s="345">
        <f t="shared" si="867"/>
        <v>323.323</v>
      </c>
      <c r="AA315" s="345">
        <f t="shared" si="867"/>
        <v>446.771</v>
      </c>
      <c r="AB315" s="345">
        <f t="shared" si="867"/>
        <v>388.851</v>
      </c>
      <c r="AC315" s="345">
        <f t="shared" si="867"/>
        <v>434.722</v>
      </c>
      <c r="AD315" s="345">
        <f t="shared" si="867"/>
        <v>435.269</v>
      </c>
      <c r="AE315" s="345">
        <f t="shared" si="867"/>
        <v>446.669</v>
      </c>
      <c r="AF315" s="345">
        <f t="shared" si="867"/>
        <v>223.573</v>
      </c>
      <c r="AG315" s="345">
        <f t="shared" si="867"/>
        <v>298.904</v>
      </c>
      <c r="AH315" s="345">
        <f t="shared" si="867"/>
        <v>387.189</v>
      </c>
      <c r="AI315" s="345">
        <f t="shared" si="867"/>
        <v>436.855</v>
      </c>
      <c r="AJ315" s="345">
        <f t="shared" si="867"/>
        <v>425.431</v>
      </c>
      <c r="AK315" s="345">
        <f t="shared" si="867"/>
        <v>536.522</v>
      </c>
      <c r="AL315" s="345">
        <f t="shared" si="867"/>
        <v>532.113</v>
      </c>
      <c r="AM315" s="345">
        <f t="shared" si="867"/>
        <v>621.231</v>
      </c>
      <c r="AN315" s="345">
        <f t="shared" si="867"/>
        <v>738.822</v>
      </c>
      <c r="AO315" s="345">
        <f t="shared" si="867"/>
        <v>852.811</v>
      </c>
      <c r="AP315" s="345">
        <f t="shared" si="867"/>
        <v>902.169875</v>
      </c>
      <c r="AQ315" s="345">
        <f t="shared" ref="AQ315:AR315" si="868">AQ17</f>
        <v>738.822</v>
      </c>
      <c r="AR315" s="345">
        <f t="shared" si="868"/>
        <v>1019.409</v>
      </c>
      <c r="AS315" s="345"/>
      <c r="AT315" s="345"/>
      <c r="AU315" s="345"/>
      <c r="AV315" s="345"/>
      <c r="AW315" s="345"/>
      <c r="AX315" s="345"/>
      <c r="AY315" s="345"/>
      <c r="AZ315" s="345"/>
      <c r="BA315" s="345"/>
      <c r="BB315" s="345"/>
      <c r="BC315" s="345"/>
      <c r="BD315" s="345"/>
      <c r="BE315" s="340"/>
      <c r="BF315" s="268"/>
      <c r="BG315" s="270"/>
      <c r="BH315" s="270"/>
      <c r="BI315" s="345"/>
      <c r="BJ315" s="345"/>
      <c r="BK315" s="345"/>
      <c r="BL315" s="270"/>
      <c r="BM315" s="270"/>
      <c r="BN315" s="270"/>
      <c r="BO315" s="270"/>
      <c r="BP315" s="270"/>
      <c r="BQ315" s="270"/>
      <c r="BR315" s="270"/>
      <c r="BS315" s="270"/>
    </row>
    <row r="316" customHeight="1" spans="1:78">
      <c r="A316" s="288" t="s">
        <v>482</v>
      </c>
      <c r="B316" s="381"/>
      <c r="C316" s="288"/>
      <c r="D316" s="289"/>
      <c r="E316" s="289"/>
      <c r="F316" s="289"/>
      <c r="G316" s="289"/>
      <c r="H316" s="289"/>
      <c r="I316" s="289"/>
      <c r="J316" s="289"/>
      <c r="K316" s="289"/>
      <c r="L316" s="289"/>
      <c r="M316" s="289"/>
      <c r="N316" s="289"/>
      <c r="O316" s="289"/>
      <c r="P316" s="289"/>
      <c r="Q316" s="289"/>
      <c r="R316" s="289">
        <f>+R315-R313</f>
        <v>-0.335859704000029</v>
      </c>
      <c r="S316" s="289">
        <f t="shared" ref="S316:AO316" si="869">+S315-S313</f>
        <v>0.210902517399973</v>
      </c>
      <c r="T316" s="289">
        <f t="shared" si="869"/>
        <v>-0.189646150382373</v>
      </c>
      <c r="U316" s="289">
        <f t="shared" si="869"/>
        <v>0.1286409756176</v>
      </c>
      <c r="V316" s="289">
        <f t="shared" si="869"/>
        <v>-0.618181342943842</v>
      </c>
      <c r="W316" s="289">
        <f t="shared" si="869"/>
        <v>0.0523038746704572</v>
      </c>
      <c r="X316" s="289">
        <f t="shared" si="869"/>
        <v>-0.130873219113624</v>
      </c>
      <c r="Y316" s="289">
        <f t="shared" si="869"/>
        <v>0.174793174244314</v>
      </c>
      <c r="Z316" s="289">
        <f t="shared" si="869"/>
        <v>-0.00703700326624812</v>
      </c>
      <c r="AA316" s="289">
        <f t="shared" si="869"/>
        <v>-0.272996797814528</v>
      </c>
      <c r="AB316" s="289">
        <f t="shared" si="869"/>
        <v>-0.251145403286557</v>
      </c>
      <c r="AC316" s="289">
        <f t="shared" si="869"/>
        <v>-0.196169695835749</v>
      </c>
      <c r="AD316" s="289">
        <f t="shared" si="869"/>
        <v>-0.0249006189486636</v>
      </c>
      <c r="AE316" s="289">
        <f t="shared" si="869"/>
        <v>-1.46554264099734</v>
      </c>
      <c r="AF316" s="289">
        <f t="shared" si="869"/>
        <v>-23.4619227695729</v>
      </c>
      <c r="AG316" s="289">
        <f t="shared" si="869"/>
        <v>-32.0196093521974</v>
      </c>
      <c r="AH316" s="289">
        <f t="shared" si="869"/>
        <v>-28.3730236757468</v>
      </c>
      <c r="AI316" s="289">
        <f t="shared" si="869"/>
        <v>37.5459547152619</v>
      </c>
      <c r="AJ316" s="289">
        <f t="shared" si="869"/>
        <v>-43.7273246270162</v>
      </c>
      <c r="AK316" s="289">
        <f t="shared" si="869"/>
        <v>-55.4118532061838</v>
      </c>
      <c r="AL316" s="289">
        <f t="shared" si="869"/>
        <v>-148.238144831142</v>
      </c>
      <c r="AM316" s="289">
        <f t="shared" si="869"/>
        <v>-10.5447070681515</v>
      </c>
      <c r="AN316" s="289">
        <f t="shared" si="869"/>
        <v>0.297934919358113</v>
      </c>
      <c r="AO316" s="289">
        <f t="shared" si="869"/>
        <v>0.394282804851287</v>
      </c>
      <c r="AP316" s="289">
        <f t="shared" ref="AP316:AQ316" si="870">+AP315-AP313</f>
        <v>31.138991597159</v>
      </c>
      <c r="AQ316" s="289">
        <f t="shared" si="870"/>
        <v>-93.3291867046797</v>
      </c>
      <c r="AR316" s="289">
        <f t="shared" ref="AR316" si="871">+AR315-AR313</f>
        <v>43.7848634384985</v>
      </c>
      <c r="AS316" s="289"/>
      <c r="AT316" s="289"/>
      <c r="AU316" s="289"/>
      <c r="AV316" s="289"/>
      <c r="AW316" s="289"/>
      <c r="AX316" s="289"/>
      <c r="AY316" s="289"/>
      <c r="AZ316" s="289"/>
      <c r="BA316" s="289"/>
      <c r="BB316" s="289"/>
      <c r="BC316" s="289"/>
      <c r="BD316" s="289"/>
      <c r="BE316" s="292"/>
      <c r="BF316" s="293"/>
      <c r="BG316" s="289"/>
      <c r="BH316" s="289"/>
      <c r="BI316" s="289"/>
      <c r="BJ316" s="289"/>
      <c r="BK316" s="289"/>
      <c r="BL316" s="289"/>
      <c r="BM316" s="289"/>
      <c r="BN316" s="289"/>
      <c r="BO316" s="289"/>
      <c r="BP316" s="289"/>
      <c r="BQ316" s="289"/>
      <c r="BR316" s="289"/>
      <c r="BS316" s="289"/>
      <c r="BT316" s="288"/>
    </row>
    <row r="320" customHeight="1" spans="1:78">
      <c r="Z320" s="388"/>
    </row>
  </sheetData>
  <printOptions horizontalCentered="1" verticalCentered="1"/>
  <pageMargins left="0.2" right="0.2" top="0.27" bottom="0.23" header="0.12" footer="0.12"/>
  <pageSetup paperSize="1" scale="44" orientation="landscape" blackAndWhite="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>
    <tabColor indexed="32"/>
  </sheetPr>
  <dimension ref="A1:BK337"/>
  <sheetViews>
    <sheetView zoomScale="115" zoomScaleNormal="115" workbookViewId="0">
      <pane xSplit="2" ySplit="7" topLeftCell="L8" activePane="bottomRight" state="frozen"/>
      <selection/>
      <selection pane="topRight"/>
      <selection pane="bottomLeft"/>
      <selection pane="bottomRight" activeCell="AF8" sqref="AF8"/>
    </sheetView>
  </sheetViews>
  <sheetFormatPr defaultColWidth="9.14285714285714" defaultRowHeight="12.75"/>
  <cols>
    <col min="1" max="1" width="2.42857142857143" style="3" customWidth="1"/>
    <col min="2" max="2" width="36.5714285714286" style="3" customWidth="1"/>
    <col min="3" max="11" width="8.57142857142857" style="3" hidden="1" customWidth="1" outlineLevel="1"/>
    <col min="12" max="12" width="8.57142857142857" style="3" hidden="1" customWidth="1" outlineLevel="1" collapsed="1"/>
    <col min="13" max="31" width="8.57142857142857" style="3" hidden="1" customWidth="1" outlineLevel="1"/>
    <col min="32" max="32" width="8.57142857142857" style="3" customWidth="1" collapsed="1"/>
    <col min="33" max="40" width="8.57142857142857" style="3" customWidth="1"/>
    <col min="41" max="53" width="9" style="3" customWidth="1"/>
    <col min="54" max="54" width="38.4285714285714" customWidth="1"/>
    <col min="55" max="55" width="18.8571428571429" customWidth="1"/>
    <col min="61" max="16384" width="9.14285714285714" style="3"/>
  </cols>
  <sheetData>
    <row r="1" ht="15" customHeight="1" spans="1:53">
      <c r="A1" s="42" t="str">
        <f>'Earnings Model'!A1</f>
        <v>Montage Technology (688008.SS, 6809.HK)</v>
      </c>
      <c r="B1" s="42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</row>
    <row r="2" ht="15" customHeight="1" spans="1:53">
      <c r="A2" s="43"/>
      <c r="B2" s="44" t="s">
        <v>494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</row>
    <row r="3" ht="15" customHeight="1" spans="1:53">
      <c r="A3" s="43"/>
      <c r="B3" s="44" t="s">
        <v>356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</row>
    <row r="4" ht="5.25" customHeight="1" spans="1:53">
      <c r="A4" s="45"/>
      <c r="B4" s="45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</row>
    <row r="5" spans="1:53">
      <c r="A5" s="45" t="str">
        <f>'Earnings Model'!A8</f>
        <v>Rmb$ in million</v>
      </c>
      <c r="B5" s="45"/>
      <c r="C5" s="46" t="s">
        <v>361</v>
      </c>
      <c r="D5" s="46" t="s">
        <v>362</v>
      </c>
      <c r="E5" s="46" t="s">
        <v>363</v>
      </c>
      <c r="F5" s="46" t="s">
        <v>364</v>
      </c>
      <c r="G5" s="46" t="s">
        <v>365</v>
      </c>
      <c r="H5" s="46" t="s">
        <v>366</v>
      </c>
      <c r="I5" s="46" t="s">
        <v>367</v>
      </c>
      <c r="J5" s="46" t="s">
        <v>368</v>
      </c>
      <c r="K5" s="46" t="s">
        <v>369</v>
      </c>
      <c r="L5" s="46" t="s">
        <v>370</v>
      </c>
      <c r="M5" s="46" t="s">
        <v>371</v>
      </c>
      <c r="N5" s="46" t="s">
        <v>372</v>
      </c>
      <c r="O5" s="46" t="s">
        <v>373</v>
      </c>
      <c r="P5" s="46" t="s">
        <v>374</v>
      </c>
      <c r="Q5" s="46" t="s">
        <v>375</v>
      </c>
      <c r="R5" s="46" t="s">
        <v>376</v>
      </c>
      <c r="S5" s="46" t="s">
        <v>377</v>
      </c>
      <c r="T5" s="46" t="s">
        <v>378</v>
      </c>
      <c r="U5" s="46" t="s">
        <v>379</v>
      </c>
      <c r="V5" s="46" t="s">
        <v>380</v>
      </c>
      <c r="W5" s="46" t="s">
        <v>381</v>
      </c>
      <c r="X5" s="46" t="s">
        <v>382</v>
      </c>
      <c r="Y5" s="46" t="s">
        <v>383</v>
      </c>
      <c r="Z5" s="46" t="s">
        <v>384</v>
      </c>
      <c r="AA5" s="46" t="s">
        <v>385</v>
      </c>
      <c r="AB5" s="46" t="s">
        <v>386</v>
      </c>
      <c r="AC5" s="46" t="s">
        <v>387</v>
      </c>
      <c r="AD5" s="46" t="s">
        <v>388</v>
      </c>
      <c r="AE5" s="46" t="s">
        <v>389</v>
      </c>
      <c r="AF5" s="46" t="s">
        <v>390</v>
      </c>
      <c r="AG5" s="46" t="s">
        <v>391</v>
      </c>
      <c r="AH5" s="46" t="s">
        <v>392</v>
      </c>
      <c r="AI5" s="46" t="s">
        <v>393</v>
      </c>
      <c r="AJ5" s="46" t="s">
        <v>394</v>
      </c>
      <c r="AK5" s="46" t="s">
        <v>395</v>
      </c>
      <c r="AL5" s="46" t="s">
        <v>396</v>
      </c>
      <c r="AM5" s="46" t="s">
        <v>397</v>
      </c>
      <c r="AN5" s="46"/>
      <c r="AO5" s="47">
        <v>2016</v>
      </c>
      <c r="AP5" s="47">
        <v>2017</v>
      </c>
      <c r="AQ5" s="47">
        <v>2018</v>
      </c>
      <c r="AR5" s="47">
        <v>2019</v>
      </c>
      <c r="AS5" s="47">
        <v>2020</v>
      </c>
      <c r="AT5" s="47">
        <v>2021</v>
      </c>
      <c r="AU5" s="47">
        <v>2022</v>
      </c>
      <c r="AV5" s="47">
        <v>2023</v>
      </c>
      <c r="AW5" s="47">
        <v>2024</v>
      </c>
      <c r="AX5" s="48">
        <v>2025</v>
      </c>
      <c r="AY5" s="48" t="s">
        <v>410</v>
      </c>
      <c r="AZ5" s="48" t="s">
        <v>411</v>
      </c>
      <c r="BA5" s="48" t="s">
        <v>412</v>
      </c>
    </row>
    <row r="6" outlineLevel="1" spans="1:53">
      <c r="A6" s="49"/>
      <c r="B6" s="49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</row>
    <row r="7" customFormat="1" ht="11.45" customHeight="1" outlineLevel="1"/>
    <row r="8" ht="11.45" customHeight="1" spans="1:53">
      <c r="A8" s="52" t="s">
        <v>495</v>
      </c>
      <c r="B8" s="52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</row>
    <row r="9" ht="11.45" customHeight="1" spans="1:53">
      <c r="A9" s="54"/>
      <c r="B9" s="55" t="s">
        <v>496</v>
      </c>
      <c r="C9" s="56">
        <f>SUM(C10:C11)</f>
        <v>0</v>
      </c>
      <c r="D9" s="56">
        <f t="shared" ref="D9:L9" si="0">SUM(D10:D11)</f>
        <v>0</v>
      </c>
      <c r="E9" s="56">
        <f t="shared" si="0"/>
        <v>0</v>
      </c>
      <c r="F9" s="56">
        <f t="shared" si="0"/>
        <v>0</v>
      </c>
      <c r="G9" s="56">
        <f t="shared" si="0"/>
        <v>0</v>
      </c>
      <c r="H9" s="56">
        <f t="shared" si="0"/>
        <v>0</v>
      </c>
      <c r="I9" s="56">
        <f t="shared" si="0"/>
        <v>0</v>
      </c>
      <c r="J9" s="56">
        <f t="shared" si="0"/>
        <v>0</v>
      </c>
      <c r="K9" s="56">
        <f t="shared" si="0"/>
        <v>3679.99128652</v>
      </c>
      <c r="L9" s="56">
        <f t="shared" si="0"/>
        <v>0</v>
      </c>
      <c r="M9" s="56">
        <f t="shared" ref="M9:AB9" si="1">SUM(M10:M11)</f>
        <v>4030.36764135</v>
      </c>
      <c r="N9" s="56">
        <f t="shared" si="1"/>
        <v>7133.001</v>
      </c>
      <c r="O9" s="56">
        <f t="shared" si="1"/>
        <v>7357.84455069</v>
      </c>
      <c r="P9" s="56">
        <f t="shared" si="1"/>
        <v>7697.02705119</v>
      </c>
      <c r="Q9" s="56">
        <f t="shared" si="1"/>
        <v>7709.21249261</v>
      </c>
      <c r="R9" s="56">
        <f t="shared" si="1"/>
        <v>6871.93736034</v>
      </c>
      <c r="S9" s="56">
        <f t="shared" si="1"/>
        <v>6345.992</v>
      </c>
      <c r="T9" s="56">
        <f t="shared" si="1"/>
        <v>6468.277</v>
      </c>
      <c r="U9" s="56">
        <f t="shared" si="1"/>
        <v>6255.654</v>
      </c>
      <c r="V9" s="56">
        <f t="shared" si="1"/>
        <v>6734.678</v>
      </c>
      <c r="W9" s="56">
        <f t="shared" si="1"/>
        <v>6666.491</v>
      </c>
      <c r="X9" s="56">
        <f t="shared" si="1"/>
        <v>6950.083</v>
      </c>
      <c r="Y9" s="56">
        <f t="shared" si="1"/>
        <v>7757.221</v>
      </c>
      <c r="Z9" s="56">
        <f t="shared" si="1"/>
        <v>7258.997</v>
      </c>
      <c r="AA9" s="56">
        <f t="shared" si="1"/>
        <v>7480.528</v>
      </c>
      <c r="AB9" s="56">
        <f t="shared" si="1"/>
        <v>6951.61</v>
      </c>
      <c r="AC9" s="56">
        <f t="shared" ref="AC9:AH9" si="2">SUM(AC10:AC11)</f>
        <v>7646.291</v>
      </c>
      <c r="AD9" s="56">
        <f t="shared" si="2"/>
        <v>7356.813</v>
      </c>
      <c r="AE9" s="56">
        <f t="shared" si="2"/>
        <v>7446.842</v>
      </c>
      <c r="AF9" s="56">
        <f t="shared" si="2"/>
        <v>7400.152</v>
      </c>
      <c r="AG9" s="56">
        <f t="shared" si="2"/>
        <v>7364.08</v>
      </c>
      <c r="AH9" s="56">
        <f t="shared" si="2"/>
        <v>7736.039</v>
      </c>
      <c r="AI9" s="56">
        <f t="shared" ref="AI9:AK9" si="3">SUM(AI10:AI11)</f>
        <v>8626.792</v>
      </c>
      <c r="AJ9" s="56">
        <f t="shared" si="3"/>
        <v>8747.836</v>
      </c>
      <c r="AK9" s="56">
        <f t="shared" si="3"/>
        <v>9020.34</v>
      </c>
      <c r="AL9" s="56">
        <f t="shared" ref="AL9:AM9" si="4">SUM(AL10:AL11)</f>
        <v>9444.559</v>
      </c>
      <c r="AM9" s="56">
        <f t="shared" si="4"/>
        <v>9302.288</v>
      </c>
      <c r="AN9" s="56"/>
      <c r="AO9" s="56">
        <v>454.351</v>
      </c>
      <c r="AP9" s="56">
        <v>687.786</v>
      </c>
      <c r="AQ9" s="56">
        <v>3679.991</v>
      </c>
      <c r="AR9" s="56">
        <f>+AR10+AR11</f>
        <v>7357.84455069</v>
      </c>
      <c r="AS9" s="57">
        <f>SUM(AS10:AS12)</f>
        <v>6345.992</v>
      </c>
      <c r="AT9" s="56">
        <f>+AT10+AT11</f>
        <v>6666.491</v>
      </c>
      <c r="AU9" s="56">
        <f>+AU10+AU11</f>
        <v>7480.528</v>
      </c>
      <c r="AV9" s="56">
        <f>+AV10+AV11</f>
        <v>7446.842</v>
      </c>
      <c r="AW9" s="56">
        <f>+AW10+AW11</f>
        <v>7400.152</v>
      </c>
      <c r="AX9" s="56">
        <f>+AX10+AX11</f>
        <v>7364.08</v>
      </c>
      <c r="AY9" s="57">
        <f>SUM(AY10:AY12)</f>
        <v>17407.1227125932</v>
      </c>
      <c r="AZ9" s="57">
        <f>SUM(AZ10:AZ12)</f>
        <v>23937.5807707297</v>
      </c>
      <c r="BA9" s="57">
        <f>SUM(BA10:BA12)</f>
        <v>33913.6983416412</v>
      </c>
    </row>
    <row r="10" ht="11.45" customHeight="1" spans="1:53">
      <c r="A10" s="54"/>
      <c r="B10" s="58" t="s">
        <v>497</v>
      </c>
      <c r="C10" s="56">
        <v>0</v>
      </c>
      <c r="D10" s="56">
        <v>0</v>
      </c>
      <c r="E10" s="56">
        <v>0</v>
      </c>
      <c r="F10" s="56">
        <v>0</v>
      </c>
      <c r="G10" s="56">
        <v>0</v>
      </c>
      <c r="H10" s="56">
        <v>0</v>
      </c>
      <c r="I10" s="56">
        <v>0</v>
      </c>
      <c r="J10" s="56">
        <v>0</v>
      </c>
      <c r="K10" s="56">
        <v>3679.99128652</v>
      </c>
      <c r="L10" s="56">
        <v>0</v>
      </c>
      <c r="M10" s="56">
        <v>4030.36764135</v>
      </c>
      <c r="N10" s="56">
        <v>7133.001</v>
      </c>
      <c r="O10" s="56">
        <v>7257.06372877</v>
      </c>
      <c r="P10" s="56">
        <v>7582.29883201</v>
      </c>
      <c r="Q10" s="56">
        <v>7320.80606795</v>
      </c>
      <c r="R10" s="56">
        <v>6806.76859322</v>
      </c>
      <c r="S10" s="56">
        <v>5474.592</v>
      </c>
      <c r="T10" s="56">
        <v>5668.54</v>
      </c>
      <c r="U10" s="56">
        <v>5842.794</v>
      </c>
      <c r="V10" s="56">
        <v>5722.253</v>
      </c>
      <c r="W10" s="56">
        <v>5104.338</v>
      </c>
      <c r="X10" s="56">
        <v>4879.758</v>
      </c>
      <c r="Y10" s="56">
        <v>5476.76</v>
      </c>
      <c r="Z10" s="56">
        <v>5119.689</v>
      </c>
      <c r="AA10" s="56">
        <v>5870.438</v>
      </c>
      <c r="AB10" s="56">
        <v>5388.085</v>
      </c>
      <c r="AC10" s="56">
        <v>5861.541</v>
      </c>
      <c r="AD10" s="56">
        <v>5726.784</v>
      </c>
      <c r="AE10" s="56">
        <v>5743.575</v>
      </c>
      <c r="AF10" s="56">
        <v>5723.346</v>
      </c>
      <c r="AG10" s="56">
        <v>5851.634</v>
      </c>
      <c r="AH10" s="56">
        <v>6242.95</v>
      </c>
      <c r="AI10" s="56">
        <v>6843.297</v>
      </c>
      <c r="AJ10" s="56">
        <v>7174.73</v>
      </c>
      <c r="AK10" s="56">
        <v>8353.452</v>
      </c>
      <c r="AL10" s="56">
        <v>8898.71</v>
      </c>
      <c r="AM10" s="56">
        <v>8478.984</v>
      </c>
      <c r="AN10" s="56"/>
      <c r="AO10" s="56">
        <f>+AO9-AO11-AO12</f>
        <v>454.351</v>
      </c>
      <c r="AP10" s="56">
        <f>+AP9-AP11-AP12</f>
        <v>687.786</v>
      </c>
      <c r="AQ10" s="56">
        <f>+AQ9-AQ11-AQ12</f>
        <v>3679.991</v>
      </c>
      <c r="AR10" s="56">
        <f>+O10</f>
        <v>7257.06372877</v>
      </c>
      <c r="AS10" s="56">
        <f>S10</f>
        <v>5474.592</v>
      </c>
      <c r="AT10" s="56">
        <f>W10</f>
        <v>5104.338</v>
      </c>
      <c r="AU10" s="56">
        <f>+AA10</f>
        <v>5870.438</v>
      </c>
      <c r="AV10" s="56">
        <f t="shared" ref="AV10:AX11" si="5">+AE10</f>
        <v>5743.575</v>
      </c>
      <c r="AW10" s="56">
        <f t="shared" si="5"/>
        <v>5723.346</v>
      </c>
      <c r="AX10" s="56">
        <f t="shared" si="5"/>
        <v>5851.634</v>
      </c>
      <c r="AY10" s="59">
        <f>'Cash Flow'!O46</f>
        <v>15894.6767125932</v>
      </c>
      <c r="AZ10" s="59">
        <f>'Cash Flow'!P46</f>
        <v>22425.1347707297</v>
      </c>
      <c r="BA10" s="59">
        <f>'Cash Flow'!Q46</f>
        <v>32401.2523416412</v>
      </c>
    </row>
    <row r="11" ht="11.45" customHeight="1" spans="1:53">
      <c r="A11" s="54"/>
      <c r="B11" s="60" t="s">
        <v>498</v>
      </c>
      <c r="C11" s="56">
        <v>0</v>
      </c>
      <c r="D11" s="56">
        <v>0</v>
      </c>
      <c r="E11" s="56">
        <v>0</v>
      </c>
      <c r="F11" s="56">
        <v>0</v>
      </c>
      <c r="G11" s="56">
        <v>0</v>
      </c>
      <c r="H11" s="56">
        <v>0</v>
      </c>
      <c r="I11" s="56">
        <v>0</v>
      </c>
      <c r="J11" s="56">
        <v>0</v>
      </c>
      <c r="K11" s="56">
        <v>0</v>
      </c>
      <c r="L11" s="56">
        <v>0</v>
      </c>
      <c r="M11" s="56">
        <v>0</v>
      </c>
      <c r="N11" s="56">
        <v>0</v>
      </c>
      <c r="O11" s="56">
        <v>100.78082192</v>
      </c>
      <c r="P11" s="56">
        <v>114.72821918</v>
      </c>
      <c r="Q11" s="56">
        <v>388.40642466</v>
      </c>
      <c r="R11" s="56">
        <v>65.16876712</v>
      </c>
      <c r="S11" s="56">
        <v>871.4</v>
      </c>
      <c r="T11" s="56">
        <v>799.737</v>
      </c>
      <c r="U11" s="56">
        <v>412.86</v>
      </c>
      <c r="V11" s="56">
        <v>1012.425</v>
      </c>
      <c r="W11" s="56">
        <v>1562.153</v>
      </c>
      <c r="X11" s="56">
        <v>2070.325</v>
      </c>
      <c r="Y11" s="56">
        <v>2280.461</v>
      </c>
      <c r="Z11" s="56">
        <v>2139.308</v>
      </c>
      <c r="AA11" s="56">
        <v>1610.09</v>
      </c>
      <c r="AB11" s="56">
        <v>1563.525</v>
      </c>
      <c r="AC11" s="56">
        <v>1784.75</v>
      </c>
      <c r="AD11" s="56">
        <v>1630.029</v>
      </c>
      <c r="AE11" s="56">
        <v>1703.267</v>
      </c>
      <c r="AF11" s="56">
        <v>1676.806</v>
      </c>
      <c r="AG11" s="56">
        <v>1512.446</v>
      </c>
      <c r="AH11" s="56">
        <v>1493.089</v>
      </c>
      <c r="AI11" s="56">
        <v>1783.495</v>
      </c>
      <c r="AJ11" s="56">
        <v>1573.106</v>
      </c>
      <c r="AK11" s="56">
        <v>666.888</v>
      </c>
      <c r="AL11" s="56">
        <v>545.849</v>
      </c>
      <c r="AM11" s="56">
        <v>823.304</v>
      </c>
      <c r="AN11" s="56"/>
      <c r="AO11" s="56">
        <v>0</v>
      </c>
      <c r="AP11" s="56">
        <v>0</v>
      </c>
      <c r="AQ11" s="56">
        <v>0</v>
      </c>
      <c r="AR11" s="56">
        <f>+O11</f>
        <v>100.78082192</v>
      </c>
      <c r="AS11" s="56">
        <f>S11</f>
        <v>871.4</v>
      </c>
      <c r="AT11" s="56">
        <f>+W11</f>
        <v>1562.153</v>
      </c>
      <c r="AU11" s="56">
        <f>+AA11</f>
        <v>1610.09</v>
      </c>
      <c r="AV11" s="56">
        <f t="shared" si="5"/>
        <v>1703.267</v>
      </c>
      <c r="AW11" s="56">
        <f t="shared" si="5"/>
        <v>1676.806</v>
      </c>
      <c r="AX11" s="56">
        <f t="shared" si="5"/>
        <v>1512.446</v>
      </c>
      <c r="AY11" s="61">
        <f>AX11-'Cash Flow'!O26</f>
        <v>1512.446</v>
      </c>
      <c r="AZ11" s="61">
        <f>AY11-'Cash Flow'!P26</f>
        <v>1512.446</v>
      </c>
      <c r="BA11" s="61">
        <f>AZ11-'Cash Flow'!Q26</f>
        <v>1512.446</v>
      </c>
    </row>
    <row r="12" ht="11.45" customHeight="1" spans="1:53">
      <c r="A12" s="54"/>
      <c r="B12" s="58" t="s">
        <v>499</v>
      </c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61"/>
      <c r="AU12" s="61"/>
      <c r="AV12" s="61"/>
      <c r="AW12" s="61"/>
      <c r="AX12" s="61"/>
      <c r="AY12" s="61">
        <f>AX12</f>
        <v>0</v>
      </c>
      <c r="AZ12" s="61">
        <f>AY12</f>
        <v>0</v>
      </c>
      <c r="BA12" s="61">
        <f>AZ12</f>
        <v>0</v>
      </c>
    </row>
    <row r="13" ht="11.45" customHeight="1" spans="1:53">
      <c r="A13" s="54"/>
      <c r="B13" s="62" t="s">
        <v>500</v>
      </c>
      <c r="C13" s="56">
        <v>0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f>241.14922121</f>
        <v>241.14922121</v>
      </c>
      <c r="L13" s="56">
        <v>0</v>
      </c>
      <c r="M13" s="56">
        <f>191.9930483</f>
        <v>191.9930483</v>
      </c>
      <c r="N13" s="56">
        <v>238.942</v>
      </c>
      <c r="O13" s="56">
        <v>131.86481509</v>
      </c>
      <c r="P13" s="56">
        <f>177.25627846</f>
        <v>177.25627846</v>
      </c>
      <c r="Q13" s="56">
        <f>122.0480395</f>
        <v>122.0480395</v>
      </c>
      <c r="R13" s="56">
        <v>120.37636626</v>
      </c>
      <c r="S13" s="56">
        <v>87.453</v>
      </c>
      <c r="T13" s="56">
        <v>104.934</v>
      </c>
      <c r="U13" s="56">
        <v>163.68</v>
      </c>
      <c r="V13" s="56">
        <v>414.739</v>
      </c>
      <c r="W13" s="56">
        <v>172.433</v>
      </c>
      <c r="X13" s="56">
        <v>212.29</v>
      </c>
      <c r="Y13" s="56">
        <v>196.307</v>
      </c>
      <c r="Z13" s="56">
        <v>280.93</v>
      </c>
      <c r="AA13" s="56">
        <v>322.379</v>
      </c>
      <c r="AB13" s="56">
        <v>169.069</v>
      </c>
      <c r="AC13" s="56">
        <v>185.44</v>
      </c>
      <c r="AD13" s="56">
        <v>256.438</v>
      </c>
      <c r="AE13" s="56">
        <v>294.254</v>
      </c>
      <c r="AF13" s="56">
        <v>218.392</v>
      </c>
      <c r="AG13" s="56">
        <v>248.611</v>
      </c>
      <c r="AH13" s="56">
        <v>260.825</v>
      </c>
      <c r="AI13" s="56">
        <v>387.792</v>
      </c>
      <c r="AJ13" s="56">
        <v>463.919</v>
      </c>
      <c r="AK13" s="56">
        <v>391.064</v>
      </c>
      <c r="AL13" s="56">
        <v>568.204</v>
      </c>
      <c r="AM13" s="56">
        <v>567.532</v>
      </c>
      <c r="AN13" s="56"/>
      <c r="AO13" s="56">
        <v>58.796</v>
      </c>
      <c r="AP13" s="56">
        <v>119.258</v>
      </c>
      <c r="AQ13" s="56">
        <v>241.149</v>
      </c>
      <c r="AR13" s="56">
        <f>+O13</f>
        <v>131.86481509</v>
      </c>
      <c r="AS13" s="56">
        <f>S13</f>
        <v>87.453</v>
      </c>
      <c r="AT13" s="56">
        <v>172.433</v>
      </c>
      <c r="AU13" s="56">
        <v>322.379</v>
      </c>
      <c r="AV13" s="56">
        <v>294.254</v>
      </c>
      <c r="AW13" s="56">
        <v>387.792</v>
      </c>
      <c r="AX13" s="56">
        <v>567.532</v>
      </c>
      <c r="AY13" s="59">
        <f>AY62*'Earnings Model'!BQ10/365</f>
        <v>704.430631699503</v>
      </c>
      <c r="AZ13" s="59">
        <f>AZ62*'Earnings Model'!BR10/365</f>
        <v>1304.06150798808</v>
      </c>
      <c r="BA13" s="59">
        <f>BA62*'Earnings Model'!BS10/365</f>
        <v>1828.00690349037</v>
      </c>
    </row>
    <row r="14" ht="11.45" customHeight="1" spans="1:53">
      <c r="A14" s="54"/>
      <c r="B14" s="62" t="s">
        <v>501</v>
      </c>
      <c r="C14" s="56">
        <v>0</v>
      </c>
      <c r="D14" s="56">
        <v>0</v>
      </c>
      <c r="E14" s="56">
        <v>0</v>
      </c>
      <c r="F14" s="56">
        <v>0</v>
      </c>
      <c r="G14" s="56">
        <v>0</v>
      </c>
      <c r="H14" s="56">
        <v>0</v>
      </c>
      <c r="I14" s="56">
        <v>0</v>
      </c>
      <c r="J14" s="56">
        <v>0</v>
      </c>
      <c r="K14" s="56">
        <v>120.67353909</v>
      </c>
      <c r="L14" s="56">
        <v>0</v>
      </c>
      <c r="M14" s="56">
        <v>132.83983813</v>
      </c>
      <c r="N14" s="56">
        <v>82.425</v>
      </c>
      <c r="O14" s="56">
        <v>156.80486471</v>
      </c>
      <c r="P14" s="56">
        <v>142.66072243</v>
      </c>
      <c r="Q14" s="56">
        <v>176.9277236</v>
      </c>
      <c r="R14" s="56">
        <v>198.72441756</v>
      </c>
      <c r="S14" s="56">
        <v>186.542</v>
      </c>
      <c r="T14" s="56">
        <v>195.267</v>
      </c>
      <c r="U14" s="56">
        <v>281.206</v>
      </c>
      <c r="V14" s="56">
        <v>293.633</v>
      </c>
      <c r="W14" s="56">
        <v>375.292</v>
      </c>
      <c r="X14" s="56">
        <v>405.564</v>
      </c>
      <c r="Y14" s="56">
        <v>670.709</v>
      </c>
      <c r="Z14" s="56">
        <v>662.437</v>
      </c>
      <c r="AA14" s="56">
        <v>738.433</v>
      </c>
      <c r="AB14" s="56">
        <v>819.031</v>
      </c>
      <c r="AC14" s="56">
        <v>736.426</v>
      </c>
      <c r="AD14" s="56">
        <v>632.683</v>
      </c>
      <c r="AE14" s="56">
        <v>482.386</v>
      </c>
      <c r="AF14" s="56">
        <v>476.777</v>
      </c>
      <c r="AG14" s="56">
        <v>400.825</v>
      </c>
      <c r="AH14" s="56">
        <v>393.622</v>
      </c>
      <c r="AI14" s="56">
        <v>352.196</v>
      </c>
      <c r="AJ14" s="56">
        <v>310.734</v>
      </c>
      <c r="AK14" s="56">
        <v>400.616</v>
      </c>
      <c r="AL14" s="56">
        <v>795.747</v>
      </c>
      <c r="AM14" s="56">
        <v>896.135</v>
      </c>
      <c r="AN14" s="56"/>
      <c r="AO14" s="56">
        <v>256.069</v>
      </c>
      <c r="AP14" s="56">
        <v>132.513</v>
      </c>
      <c r="AQ14" s="56">
        <v>120.674</v>
      </c>
      <c r="AR14" s="56">
        <v>156.805</v>
      </c>
      <c r="AS14" s="56">
        <f>S14</f>
        <v>186.542</v>
      </c>
      <c r="AT14" s="56">
        <v>375.292</v>
      </c>
      <c r="AU14" s="56">
        <v>738.433</v>
      </c>
      <c r="AV14" s="56">
        <v>482.386</v>
      </c>
      <c r="AW14" s="56">
        <v>352.196</v>
      </c>
      <c r="AX14" s="56">
        <v>896.135</v>
      </c>
      <c r="AY14" s="59">
        <f>AY63*'Earnings Model'!BQ14/365</f>
        <v>643.327960296721</v>
      </c>
      <c r="AZ14" s="59">
        <f>AZ63*'Earnings Model'!BR14/365</f>
        <v>1106.96013443304</v>
      </c>
      <c r="BA14" s="59">
        <f>BA63*'Earnings Model'!BS14/365</f>
        <v>1500.62710827115</v>
      </c>
    </row>
    <row r="15" ht="11.45" customHeight="1" spans="1:53">
      <c r="A15" s="54"/>
      <c r="B15" s="62" t="s">
        <v>434</v>
      </c>
      <c r="C15" s="56">
        <f t="shared" ref="C15:L15" si="6">C16-C9-C13-C14</f>
        <v>0</v>
      </c>
      <c r="D15" s="56">
        <f t="shared" si="6"/>
        <v>0</v>
      </c>
      <c r="E15" s="56">
        <f t="shared" si="6"/>
        <v>0</v>
      </c>
      <c r="F15" s="56">
        <f t="shared" si="6"/>
        <v>0</v>
      </c>
      <c r="G15" s="56">
        <f t="shared" si="6"/>
        <v>0</v>
      </c>
      <c r="H15" s="56">
        <f t="shared" si="6"/>
        <v>0</v>
      </c>
      <c r="I15" s="56">
        <f t="shared" si="6"/>
        <v>0</v>
      </c>
      <c r="J15" s="56">
        <f t="shared" si="6"/>
        <v>0</v>
      </c>
      <c r="K15" s="56">
        <f t="shared" si="6"/>
        <v>44.7182444700002</v>
      </c>
      <c r="L15" s="56">
        <f t="shared" si="6"/>
        <v>0</v>
      </c>
      <c r="M15" s="56">
        <f t="shared" ref="M15:U15" si="7">M16-M9-M13-M14</f>
        <v>27.7407200099994</v>
      </c>
      <c r="N15" s="56">
        <f t="shared" si="7"/>
        <v>21.2410000000002</v>
      </c>
      <c r="O15" s="56">
        <f t="shared" si="7"/>
        <v>32.2320097800005</v>
      </c>
      <c r="P15" s="56">
        <f t="shared" si="7"/>
        <v>28.4477238400005</v>
      </c>
      <c r="Q15" s="56">
        <f t="shared" si="7"/>
        <v>34.8215895499991</v>
      </c>
      <c r="R15" s="56">
        <f t="shared" si="7"/>
        <v>550.61990043</v>
      </c>
      <c r="S15" s="56">
        <f t="shared" si="7"/>
        <v>39.760000000001</v>
      </c>
      <c r="T15" s="56">
        <f t="shared" si="7"/>
        <v>45.6570000000002</v>
      </c>
      <c r="U15" s="56">
        <f t="shared" si="7"/>
        <v>42.7320000000004</v>
      </c>
      <c r="V15" s="56">
        <f t="shared" ref="V15:AD15" si="8">V16-V9-V13-V14</f>
        <v>69.2190000000004</v>
      </c>
      <c r="W15" s="56">
        <f t="shared" si="8"/>
        <v>208.84</v>
      </c>
      <c r="X15" s="56">
        <f t="shared" si="8"/>
        <v>221.672000000001</v>
      </c>
      <c r="Y15" s="56">
        <f t="shared" si="8"/>
        <v>90.5420000000009</v>
      </c>
      <c r="Z15" s="56">
        <f t="shared" si="8"/>
        <v>165.271</v>
      </c>
      <c r="AA15" s="56">
        <f t="shared" si="8"/>
        <v>95.1379999999989</v>
      </c>
      <c r="AB15" s="56">
        <f t="shared" si="8"/>
        <v>300.268999999999</v>
      </c>
      <c r="AC15" s="56">
        <f t="shared" si="8"/>
        <v>57.4090000000004</v>
      </c>
      <c r="AD15" s="56">
        <f t="shared" si="8"/>
        <v>78.5349999999991</v>
      </c>
      <c r="AE15" s="56">
        <f t="shared" ref="AE15:AF15" si="9">AE16-AE9-AE13-AE14</f>
        <v>72.6450000000007</v>
      </c>
      <c r="AF15" s="56">
        <f t="shared" si="9"/>
        <v>88.4819999999998</v>
      </c>
      <c r="AG15" s="56">
        <f t="shared" ref="AG15:AH15" si="10">AG16-AG9-AG13-AG14</f>
        <v>92.1699999999998</v>
      </c>
      <c r="AH15" s="56">
        <f t="shared" si="10"/>
        <v>105.935000000001</v>
      </c>
      <c r="AI15" s="56">
        <f t="shared" ref="AI15:AK15" si="11">AI16-AI9-AI13-AI14</f>
        <v>94.5240000000006</v>
      </c>
      <c r="AJ15" s="56">
        <f t="shared" si="11"/>
        <v>360.231</v>
      </c>
      <c r="AK15" s="56">
        <f t="shared" si="11"/>
        <v>307.796000000001</v>
      </c>
      <c r="AL15" s="56">
        <f t="shared" ref="AL15:AM15" si="12">AL16-AL9-AL13-AL14</f>
        <v>152.644000000001</v>
      </c>
      <c r="AM15" s="56">
        <f t="shared" si="12"/>
        <v>268.12</v>
      </c>
      <c r="AN15" s="56"/>
      <c r="AO15" s="56">
        <f>AO16-AO9-AO13-AO14</f>
        <v>309.26</v>
      </c>
      <c r="AP15" s="56">
        <f>AP16-AP9-AP13-AP14</f>
        <v>486.647</v>
      </c>
      <c r="AQ15" s="56">
        <f>AQ16-AQ9-AQ13-AQ14</f>
        <v>44.7180000000002</v>
      </c>
      <c r="AR15" s="56">
        <f>AR16-AR9-AR13-AR14</f>
        <v>32.2316342200003</v>
      </c>
      <c r="AS15" s="56">
        <f>S15</f>
        <v>39.760000000001</v>
      </c>
      <c r="AT15" s="56">
        <f>W15</f>
        <v>208.84</v>
      </c>
      <c r="AU15" s="56">
        <f>AU16-AU9-AU13-AU14</f>
        <v>95.1379999999989</v>
      </c>
      <c r="AV15" s="56">
        <f>AV16-AV9-AV13-AV14</f>
        <v>72.6450000000007</v>
      </c>
      <c r="AW15" s="56">
        <f>AW16-AW9-AW13-AW14</f>
        <v>1321.164</v>
      </c>
      <c r="AX15" s="56">
        <f>AX16-AX9-AX13-AX14</f>
        <v>2206.328</v>
      </c>
      <c r="AY15" s="63">
        <f>AX15</f>
        <v>2206.328</v>
      </c>
      <c r="AZ15" s="63">
        <f>AY15</f>
        <v>2206.328</v>
      </c>
      <c r="BA15" s="63">
        <f>AZ15</f>
        <v>2206.328</v>
      </c>
    </row>
    <row r="16" ht="11.45" customHeight="1" spans="1:53">
      <c r="B16" s="64" t="s">
        <v>502</v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4086.53229129</v>
      </c>
      <c r="L16" s="65">
        <v>0</v>
      </c>
      <c r="M16" s="65">
        <v>4382.94124779</v>
      </c>
      <c r="N16" s="65">
        <v>7475.609</v>
      </c>
      <c r="O16" s="65">
        <v>7678.74624027</v>
      </c>
      <c r="P16" s="65">
        <v>8045.39177592</v>
      </c>
      <c r="Q16" s="65">
        <v>8043.00984526</v>
      </c>
      <c r="R16" s="65">
        <v>7741.65804459</v>
      </c>
      <c r="S16" s="65">
        <v>6659.747</v>
      </c>
      <c r="T16" s="65">
        <v>6814.135</v>
      </c>
      <c r="U16" s="65">
        <v>6743.272</v>
      </c>
      <c r="V16" s="65">
        <v>7512.269</v>
      </c>
      <c r="W16" s="65">
        <v>7423.056</v>
      </c>
      <c r="X16" s="65">
        <v>7789.609</v>
      </c>
      <c r="Y16" s="65">
        <v>8714.779</v>
      </c>
      <c r="Z16" s="65">
        <v>8367.635</v>
      </c>
      <c r="AA16" s="65">
        <v>8636.478</v>
      </c>
      <c r="AB16" s="65">
        <v>8239.979</v>
      </c>
      <c r="AC16" s="65">
        <v>8625.566</v>
      </c>
      <c r="AD16" s="65">
        <v>8324.469</v>
      </c>
      <c r="AE16" s="65">
        <v>8296.127</v>
      </c>
      <c r="AF16" s="65">
        <v>8183.803</v>
      </c>
      <c r="AG16" s="65">
        <v>8105.686</v>
      </c>
      <c r="AH16" s="65">
        <v>8496.421</v>
      </c>
      <c r="AI16" s="65">
        <v>9461.304</v>
      </c>
      <c r="AJ16" s="65">
        <v>9882.72</v>
      </c>
      <c r="AK16" s="65">
        <v>10119.816</v>
      </c>
      <c r="AL16" s="65">
        <v>10961.154</v>
      </c>
      <c r="AM16" s="65">
        <v>11034.075</v>
      </c>
      <c r="AN16" s="65"/>
      <c r="AO16" s="65">
        <v>1078.476</v>
      </c>
      <c r="AP16" s="65">
        <v>1426.204</v>
      </c>
      <c r="AQ16" s="65">
        <v>4086.532</v>
      </c>
      <c r="AR16" s="65">
        <v>7678.746</v>
      </c>
      <c r="AS16" s="65">
        <f>S16</f>
        <v>6659.747</v>
      </c>
      <c r="AT16" s="65">
        <v>7423.056</v>
      </c>
      <c r="AU16" s="65">
        <v>8636.478</v>
      </c>
      <c r="AV16" s="65">
        <v>8296.127</v>
      </c>
      <c r="AW16" s="65">
        <v>9461.304</v>
      </c>
      <c r="AX16" s="65">
        <v>11034.075</v>
      </c>
      <c r="AY16" s="66">
        <f>AY9+SUM(AY13:AY15)</f>
        <v>20961.2093045895</v>
      </c>
      <c r="AZ16" s="66">
        <f>AZ9+SUM(AZ13:AZ15)</f>
        <v>28554.9304131508</v>
      </c>
      <c r="BA16" s="66">
        <f>BA9+SUM(BA13:BA15)</f>
        <v>39448.6603534027</v>
      </c>
    </row>
    <row r="17" ht="11.45" customHeight="1" spans="1:60">
      <c r="A17" s="52"/>
      <c r="B17" s="62" t="s">
        <v>503</v>
      </c>
      <c r="C17" s="56">
        <v>0</v>
      </c>
      <c r="D17" s="56">
        <v>0</v>
      </c>
      <c r="E17" s="56">
        <v>0</v>
      </c>
      <c r="F17" s="56">
        <v>0</v>
      </c>
      <c r="G17" s="56">
        <v>0</v>
      </c>
      <c r="H17" s="56">
        <v>0</v>
      </c>
      <c r="I17" s="56">
        <v>0</v>
      </c>
      <c r="J17" s="56">
        <v>0</v>
      </c>
      <c r="K17" s="56">
        <v>0</v>
      </c>
      <c r="L17" s="56">
        <v>0</v>
      </c>
      <c r="M17" s="56">
        <v>0</v>
      </c>
      <c r="N17" s="56">
        <v>0</v>
      </c>
      <c r="O17" s="56">
        <v>0</v>
      </c>
      <c r="P17" s="56">
        <v>0</v>
      </c>
      <c r="Q17" s="56">
        <v>0</v>
      </c>
      <c r="R17" s="56">
        <v>0.8502165</v>
      </c>
      <c r="S17" s="56">
        <v>72.737</v>
      </c>
      <c r="T17" s="56">
        <v>72.487</v>
      </c>
      <c r="U17" s="56">
        <v>69.546</v>
      </c>
      <c r="V17" s="56">
        <v>67.969</v>
      </c>
      <c r="W17" s="56">
        <v>67.91</v>
      </c>
      <c r="X17" s="56">
        <v>66.335</v>
      </c>
      <c r="Y17" s="56">
        <v>64.71</v>
      </c>
      <c r="Z17" s="56">
        <v>64.083</v>
      </c>
      <c r="AA17" s="56">
        <v>64.349</v>
      </c>
      <c r="AB17" s="56">
        <v>63.568</v>
      </c>
      <c r="AC17" s="56">
        <v>62.081</v>
      </c>
      <c r="AD17" s="56">
        <v>70.89</v>
      </c>
      <c r="AE17" s="56">
        <v>70.714</v>
      </c>
      <c r="AF17" s="56">
        <v>69.723</v>
      </c>
      <c r="AG17" s="56">
        <v>74.956</v>
      </c>
      <c r="AH17" s="56">
        <v>107.863</v>
      </c>
      <c r="AI17" s="56">
        <v>109.225</v>
      </c>
      <c r="AJ17" s="56">
        <v>105.168</v>
      </c>
      <c r="AK17" s="56">
        <v>99.319</v>
      </c>
      <c r="AL17" s="56">
        <v>95.614</v>
      </c>
      <c r="AM17" s="56">
        <v>91.96</v>
      </c>
      <c r="AN17" s="56"/>
      <c r="AO17" s="56">
        <v>0</v>
      </c>
      <c r="AP17" s="56">
        <v>0</v>
      </c>
      <c r="AQ17" s="56">
        <v>0</v>
      </c>
      <c r="AR17" s="56">
        <v>0</v>
      </c>
      <c r="AS17" s="56">
        <f t="shared" ref="AS17:AS24" si="13">S17</f>
        <v>72.737</v>
      </c>
      <c r="AT17" s="56">
        <v>67.91</v>
      </c>
      <c r="AU17" s="56">
        <v>64.349</v>
      </c>
      <c r="AV17" s="56">
        <v>70.714</v>
      </c>
      <c r="AW17" s="56">
        <v>109.225</v>
      </c>
      <c r="AX17" s="56">
        <v>91.96</v>
      </c>
      <c r="AY17" s="56">
        <f>AX17</f>
        <v>91.96</v>
      </c>
      <c r="AZ17" s="56">
        <f>AY17</f>
        <v>91.96</v>
      </c>
      <c r="BA17" s="56">
        <f>AZ17</f>
        <v>91.96</v>
      </c>
    </row>
    <row r="18" ht="11.45" customHeight="1" outlineLevel="1" spans="1:60">
      <c r="A18" s="52"/>
      <c r="B18" s="62" t="s">
        <v>504</v>
      </c>
      <c r="C18" s="67">
        <v>0</v>
      </c>
      <c r="D18" s="67">
        <f>C18</f>
        <v>0</v>
      </c>
      <c r="E18" s="67">
        <v>0</v>
      </c>
      <c r="F18" s="67">
        <f>E18</f>
        <v>0</v>
      </c>
      <c r="G18" s="67">
        <v>0</v>
      </c>
      <c r="H18" s="67">
        <f>G18</f>
        <v>0</v>
      </c>
      <c r="I18" s="67">
        <v>0</v>
      </c>
      <c r="J18" s="67">
        <f>I18</f>
        <v>0</v>
      </c>
      <c r="K18" s="67">
        <v>0</v>
      </c>
      <c r="L18" s="67">
        <f>K18</f>
        <v>0</v>
      </c>
      <c r="M18" s="67">
        <f>L18</f>
        <v>0</v>
      </c>
      <c r="N18" s="67">
        <f>M18</f>
        <v>0</v>
      </c>
      <c r="O18" s="67">
        <v>0</v>
      </c>
      <c r="P18" s="67">
        <v>0</v>
      </c>
      <c r="Q18" s="67">
        <v>0</v>
      </c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>
        <v>42.496</v>
      </c>
      <c r="AP18" s="56">
        <v>21.936</v>
      </c>
      <c r="AQ18" s="56">
        <v>43.877</v>
      </c>
      <c r="AR18" s="56">
        <v>57.785</v>
      </c>
      <c r="AS18" s="56">
        <v>1034.281</v>
      </c>
      <c r="AT18" s="56">
        <v>105.872</v>
      </c>
      <c r="AU18" s="56">
        <v>609.928</v>
      </c>
      <c r="AV18" s="56">
        <v>752.45</v>
      </c>
      <c r="AW18" s="56">
        <v>790.301</v>
      </c>
      <c r="AX18" s="56">
        <v>1005.8</v>
      </c>
      <c r="AY18" s="68" t="s">
        <v>505</v>
      </c>
      <c r="AZ18" s="68" t="s">
        <v>505</v>
      </c>
      <c r="BA18" s="68" t="s">
        <v>505</v>
      </c>
    </row>
    <row r="19" ht="11.45" customHeight="1" outlineLevel="1" spans="1:60">
      <c r="A19" s="52"/>
      <c r="B19" s="62" t="s">
        <v>506</v>
      </c>
      <c r="C19" s="67">
        <f>C20-C18</f>
        <v>0</v>
      </c>
      <c r="D19" s="67">
        <f t="shared" ref="D19:J19" si="14">D20-D18</f>
        <v>0</v>
      </c>
      <c r="E19" s="67">
        <f t="shared" si="14"/>
        <v>0</v>
      </c>
      <c r="F19" s="67">
        <f t="shared" si="14"/>
        <v>0</v>
      </c>
      <c r="G19" s="67">
        <f t="shared" si="14"/>
        <v>0</v>
      </c>
      <c r="H19" s="67">
        <f t="shared" si="14"/>
        <v>0</v>
      </c>
      <c r="I19" s="67">
        <f t="shared" si="14"/>
        <v>0</v>
      </c>
      <c r="J19" s="67">
        <f t="shared" si="14"/>
        <v>0</v>
      </c>
      <c r="K19" s="56">
        <f t="shared" ref="K19:Q19" si="15">+K20-K18</f>
        <v>23.15027153</v>
      </c>
      <c r="L19" s="67">
        <f t="shared" si="15"/>
        <v>0</v>
      </c>
      <c r="M19" s="67">
        <f t="shared" si="15"/>
        <v>25.8772959</v>
      </c>
      <c r="N19" s="67">
        <f t="shared" si="15"/>
        <v>29.876</v>
      </c>
      <c r="O19" s="67">
        <f t="shared" si="15"/>
        <v>27.6699652</v>
      </c>
      <c r="P19" s="67">
        <f t="shared" si="15"/>
        <v>27.38655086</v>
      </c>
      <c r="Q19" s="67">
        <f t="shared" si="15"/>
        <v>32.79606893</v>
      </c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>
        <f t="shared" ref="AO19:AU19" si="16">+AO20-AO18</f>
        <v>-30.332</v>
      </c>
      <c r="AP19" s="56">
        <f t="shared" si="16"/>
        <v>-14.612</v>
      </c>
      <c r="AQ19" s="56">
        <f t="shared" si="16"/>
        <v>-20.727</v>
      </c>
      <c r="AR19" s="56">
        <f t="shared" si="16"/>
        <v>-30.115</v>
      </c>
      <c r="AS19" s="56">
        <f t="shared" si="16"/>
        <v>-48.7779999999999</v>
      </c>
      <c r="AT19" s="56">
        <f t="shared" si="16"/>
        <v>-67.224</v>
      </c>
      <c r="AU19" s="56">
        <f t="shared" si="16"/>
        <v>-89.428</v>
      </c>
      <c r="AV19" s="56">
        <f t="shared" ref="AV19:AW19" si="17">+AV20-AV18</f>
        <v>-140.643</v>
      </c>
      <c r="AW19" s="56">
        <f t="shared" si="17"/>
        <v>-208.042</v>
      </c>
      <c r="AX19" s="56">
        <f t="shared" ref="AX19" si="18">+AX20-AX18</f>
        <v>-289.733</v>
      </c>
      <c r="AY19" s="69" t="s">
        <v>505</v>
      </c>
      <c r="AZ19" s="69" t="s">
        <v>505</v>
      </c>
      <c r="BA19" s="69" t="s">
        <v>505</v>
      </c>
    </row>
    <row r="20" ht="11.45" customHeight="1" spans="1:60">
      <c r="A20" s="54"/>
      <c r="B20" s="62" t="s">
        <v>507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f>23.15027153</f>
        <v>23.15027153</v>
      </c>
      <c r="L20" s="67">
        <v>0</v>
      </c>
      <c r="M20" s="67">
        <v>25.8772959</v>
      </c>
      <c r="N20" s="67">
        <v>29.876</v>
      </c>
      <c r="O20" s="67">
        <f>27.6699652</f>
        <v>27.6699652</v>
      </c>
      <c r="P20" s="67">
        <f>27.38655086</f>
        <v>27.38655086</v>
      </c>
      <c r="Q20" s="67">
        <f>32.79606893</f>
        <v>32.79606893</v>
      </c>
      <c r="R20" s="56">
        <v>30.35632351</v>
      </c>
      <c r="S20" s="56">
        <v>985.503</v>
      </c>
      <c r="T20" s="56">
        <v>978.833</v>
      </c>
      <c r="U20" s="56">
        <v>982.349</v>
      </c>
      <c r="V20" s="56">
        <v>972.782</v>
      </c>
      <c r="W20" s="56">
        <v>38.648</v>
      </c>
      <c r="X20" s="56">
        <v>37.32</v>
      </c>
      <c r="Y20" s="56">
        <v>39.311</v>
      </c>
      <c r="Z20" s="56">
        <v>38.279</v>
      </c>
      <c r="AA20" s="56">
        <v>520.5</v>
      </c>
      <c r="AB20" s="56">
        <v>536.353</v>
      </c>
      <c r="AC20" s="56">
        <v>582.344</v>
      </c>
      <c r="AD20" s="56">
        <v>584.767</v>
      </c>
      <c r="AE20" s="56">
        <v>611.807</v>
      </c>
      <c r="AF20" s="56">
        <v>602.734</v>
      </c>
      <c r="AG20" s="56">
        <v>591.572</v>
      </c>
      <c r="AH20" s="56">
        <v>579.069</v>
      </c>
      <c r="AI20" s="56">
        <v>582.259</v>
      </c>
      <c r="AJ20" s="56">
        <v>566.366</v>
      </c>
      <c r="AK20" s="56">
        <v>685.302</v>
      </c>
      <c r="AL20" s="56">
        <v>720.955</v>
      </c>
      <c r="AM20" s="56">
        <v>716.067</v>
      </c>
      <c r="AN20" s="56"/>
      <c r="AO20" s="56">
        <v>12.164</v>
      </c>
      <c r="AP20" s="56">
        <v>7.324</v>
      </c>
      <c r="AQ20" s="56">
        <v>23.15</v>
      </c>
      <c r="AR20" s="56">
        <v>27.67</v>
      </c>
      <c r="AS20" s="56">
        <f t="shared" si="13"/>
        <v>985.503</v>
      </c>
      <c r="AT20" s="56">
        <v>38.648</v>
      </c>
      <c r="AU20" s="56">
        <v>520.5</v>
      </c>
      <c r="AV20" s="56">
        <v>611.807</v>
      </c>
      <c r="AW20" s="56">
        <v>582.259</v>
      </c>
      <c r="AX20" s="56">
        <v>716.067</v>
      </c>
      <c r="AY20" s="63">
        <f>+AX20+20</f>
        <v>736.067</v>
      </c>
      <c r="AZ20" s="63">
        <f>+AY20+20</f>
        <v>756.067</v>
      </c>
      <c r="BA20" s="63">
        <f>+AZ20+20</f>
        <v>776.067</v>
      </c>
    </row>
    <row r="21" ht="11.45" customHeight="1" spans="1:60">
      <c r="A21" s="54"/>
      <c r="B21" s="62" t="s">
        <v>508</v>
      </c>
      <c r="C21" s="56">
        <v>0</v>
      </c>
      <c r="D21" s="56">
        <v>0</v>
      </c>
      <c r="E21" s="56">
        <v>0</v>
      </c>
      <c r="F21" s="56">
        <v>0</v>
      </c>
      <c r="G21" s="56">
        <v>0</v>
      </c>
      <c r="H21" s="56">
        <v>0</v>
      </c>
      <c r="I21" s="56">
        <v>0</v>
      </c>
      <c r="J21" s="56">
        <v>0</v>
      </c>
      <c r="K21" s="56">
        <v>25.97071892</v>
      </c>
      <c r="L21" s="56">
        <v>0</v>
      </c>
      <c r="M21" s="56">
        <v>24.91666222</v>
      </c>
      <c r="N21" s="56">
        <v>20.465</v>
      </c>
      <c r="O21" s="56">
        <v>16.22183997</v>
      </c>
      <c r="P21" s="56">
        <v>12.54740953</v>
      </c>
      <c r="Q21" s="56">
        <v>8.82815651</v>
      </c>
      <c r="R21" s="56">
        <v>6.84035088</v>
      </c>
      <c r="S21" s="56">
        <v>10.247</v>
      </c>
      <c r="T21" s="56">
        <v>9.859</v>
      </c>
      <c r="U21" s="56">
        <v>8.177</v>
      </c>
      <c r="V21" s="56">
        <v>22.77</v>
      </c>
      <c r="W21" s="56">
        <v>124.605</v>
      </c>
      <c r="X21" s="56">
        <v>123.525</v>
      </c>
      <c r="Y21" s="56">
        <v>121.183</v>
      </c>
      <c r="Z21" s="56">
        <v>120.689</v>
      </c>
      <c r="AA21" s="56">
        <v>131.081</v>
      </c>
      <c r="AB21" s="56">
        <v>128.666</v>
      </c>
      <c r="AC21" s="56">
        <v>147.719</v>
      </c>
      <c r="AD21" s="56">
        <v>142.791</v>
      </c>
      <c r="AE21" s="56">
        <v>137.486</v>
      </c>
      <c r="AF21" s="56">
        <v>131.436</v>
      </c>
      <c r="AG21" s="56">
        <v>125.784</v>
      </c>
      <c r="AH21" s="56">
        <v>123.195</v>
      </c>
      <c r="AI21" s="56">
        <v>133.755</v>
      </c>
      <c r="AJ21" s="56">
        <v>127.459</v>
      </c>
      <c r="AK21" s="56">
        <v>120.969</v>
      </c>
      <c r="AL21" s="56">
        <v>119.693</v>
      </c>
      <c r="AM21" s="56">
        <v>113.433</v>
      </c>
      <c r="AN21" s="56"/>
      <c r="AO21" s="56">
        <v>17.948</v>
      </c>
      <c r="AP21" s="56">
        <v>20.788</v>
      </c>
      <c r="AQ21" s="56">
        <v>25.971</v>
      </c>
      <c r="AR21" s="56">
        <v>16.222</v>
      </c>
      <c r="AS21" s="56">
        <f t="shared" si="13"/>
        <v>10.247</v>
      </c>
      <c r="AT21" s="56">
        <v>124.605</v>
      </c>
      <c r="AU21" s="56">
        <v>131.081</v>
      </c>
      <c r="AV21" s="56">
        <v>137.486</v>
      </c>
      <c r="AW21" s="56">
        <v>133.755</v>
      </c>
      <c r="AX21" s="56">
        <v>113.433</v>
      </c>
      <c r="AY21" s="63">
        <f t="shared" ref="AY21:BA23" si="19">AX21</f>
        <v>113.433</v>
      </c>
      <c r="AZ21" s="63">
        <f t="shared" si="19"/>
        <v>113.433</v>
      </c>
      <c r="BA21" s="63">
        <f t="shared" si="19"/>
        <v>113.433</v>
      </c>
    </row>
    <row r="22" ht="11.45" customHeight="1" spans="1:60">
      <c r="A22" s="54"/>
      <c r="B22" s="62" t="s">
        <v>509</v>
      </c>
      <c r="C22" s="56">
        <v>0</v>
      </c>
      <c r="D22" s="56">
        <v>0</v>
      </c>
      <c r="E22" s="56">
        <v>0</v>
      </c>
      <c r="F22" s="56">
        <v>0</v>
      </c>
      <c r="G22" s="56">
        <v>0</v>
      </c>
      <c r="H22" s="56">
        <v>0</v>
      </c>
      <c r="I22" s="56">
        <v>0</v>
      </c>
      <c r="J22" s="56">
        <v>0</v>
      </c>
      <c r="K22" s="56">
        <v>39.94668852</v>
      </c>
      <c r="L22" s="56">
        <v>0</v>
      </c>
      <c r="M22" s="56">
        <v>47.40338295</v>
      </c>
      <c r="N22" s="56">
        <v>59.338</v>
      </c>
      <c r="O22" s="56">
        <v>54.51350131</v>
      </c>
      <c r="P22" s="56">
        <v>64.57128347</v>
      </c>
      <c r="Q22" s="56">
        <v>71.67449808</v>
      </c>
      <c r="R22" s="56">
        <v>70.08798532</v>
      </c>
      <c r="S22" s="56">
        <v>43.075</v>
      </c>
      <c r="T22" s="56">
        <v>49.811</v>
      </c>
      <c r="U22" s="56">
        <v>57.355</v>
      </c>
      <c r="V22" s="56">
        <v>64.773</v>
      </c>
      <c r="W22" s="56">
        <v>64.532</v>
      </c>
      <c r="X22" s="56">
        <v>59.296</v>
      </c>
      <c r="Y22" s="56">
        <v>70.883</v>
      </c>
      <c r="Z22" s="56">
        <v>82.707</v>
      </c>
      <c r="AA22" s="56">
        <v>92.404</v>
      </c>
      <c r="AB22" s="56">
        <v>86.385</v>
      </c>
      <c r="AC22" s="56">
        <v>78.431</v>
      </c>
      <c r="AD22" s="56">
        <v>80.03</v>
      </c>
      <c r="AE22" s="56">
        <v>90.578</v>
      </c>
      <c r="AF22" s="56">
        <v>89.209</v>
      </c>
      <c r="AG22" s="56">
        <v>87.432</v>
      </c>
      <c r="AH22" s="56">
        <v>81.353</v>
      </c>
      <c r="AI22" s="56">
        <v>83.097</v>
      </c>
      <c r="AJ22" s="56">
        <v>94.115</v>
      </c>
      <c r="AK22" s="56">
        <v>79.582</v>
      </c>
      <c r="AL22" s="56">
        <v>90.532</v>
      </c>
      <c r="AM22" s="56">
        <v>43.299</v>
      </c>
      <c r="AN22" s="56"/>
      <c r="AO22" s="56">
        <v>10.753</v>
      </c>
      <c r="AP22" s="56">
        <v>17.032</v>
      </c>
      <c r="AQ22" s="56">
        <v>39.947</v>
      </c>
      <c r="AR22" s="56">
        <v>54.514</v>
      </c>
      <c r="AS22" s="56">
        <f t="shared" si="13"/>
        <v>43.075</v>
      </c>
      <c r="AT22" s="56">
        <v>64.532</v>
      </c>
      <c r="AU22" s="56">
        <v>92.404</v>
      </c>
      <c r="AV22" s="56">
        <v>90.578</v>
      </c>
      <c r="AW22" s="56">
        <v>83.097</v>
      </c>
      <c r="AX22" s="56">
        <v>43.299</v>
      </c>
      <c r="AY22" s="63">
        <f t="shared" si="19"/>
        <v>43.299</v>
      </c>
      <c r="AZ22" s="63">
        <f t="shared" si="19"/>
        <v>43.299</v>
      </c>
      <c r="BA22" s="63">
        <f t="shared" si="19"/>
        <v>43.299</v>
      </c>
    </row>
    <row r="23" ht="11.45" customHeight="1" spans="1:60">
      <c r="A23" s="54"/>
      <c r="B23" s="62" t="s">
        <v>510</v>
      </c>
      <c r="C23" s="56">
        <f>C24-C16-C17-C20-C21-C22</f>
        <v>0</v>
      </c>
      <c r="D23" s="56">
        <f t="shared" ref="D23:L23" si="20">D24-D16-D17-D20-D21-D22</f>
        <v>0</v>
      </c>
      <c r="E23" s="56">
        <f t="shared" si="20"/>
        <v>0</v>
      </c>
      <c r="F23" s="56">
        <f t="shared" si="20"/>
        <v>0</v>
      </c>
      <c r="G23" s="56">
        <f t="shared" si="20"/>
        <v>0</v>
      </c>
      <c r="H23" s="56">
        <f t="shared" si="20"/>
        <v>0</v>
      </c>
      <c r="I23" s="56">
        <f t="shared" si="20"/>
        <v>0</v>
      </c>
      <c r="J23" s="56">
        <f t="shared" si="20"/>
        <v>0</v>
      </c>
      <c r="K23" s="56">
        <f t="shared" si="20"/>
        <v>5.05742704000031</v>
      </c>
      <c r="L23" s="56">
        <f t="shared" si="20"/>
        <v>0</v>
      </c>
      <c r="M23" s="56">
        <f t="shared" ref="M23:S23" si="21">M24-M16-M17-M20-M21-M22</f>
        <v>3.68558104000043</v>
      </c>
      <c r="N23" s="56">
        <f t="shared" si="21"/>
        <v>3.80299999999996</v>
      </c>
      <c r="O23" s="56">
        <f t="shared" si="21"/>
        <v>3.60190986</v>
      </c>
      <c r="P23" s="56">
        <f t="shared" si="21"/>
        <v>24.9482384299996</v>
      </c>
      <c r="Q23" s="56">
        <f t="shared" si="21"/>
        <v>384.611218690001</v>
      </c>
      <c r="R23" s="56">
        <f t="shared" si="21"/>
        <v>528.718912200001</v>
      </c>
      <c r="S23" s="56">
        <f t="shared" si="21"/>
        <v>648.132999999999</v>
      </c>
      <c r="T23" s="56">
        <f t="shared" ref="T23:Z23" si="22">T24-T16-T17-T20-T21-T22</f>
        <v>760.852999999999</v>
      </c>
      <c r="U23" s="56">
        <f t="shared" si="22"/>
        <v>759.501000000001</v>
      </c>
      <c r="V23" s="56">
        <f t="shared" si="22"/>
        <v>369.154</v>
      </c>
      <c r="W23" s="56">
        <f t="shared" si="22"/>
        <v>1239.811</v>
      </c>
      <c r="X23" s="56">
        <f t="shared" si="22"/>
        <v>1315.497</v>
      </c>
      <c r="Y23" s="56">
        <f t="shared" si="22"/>
        <v>1343.564</v>
      </c>
      <c r="Z23" s="56">
        <f t="shared" si="22"/>
        <v>1590.793</v>
      </c>
      <c r="AA23" s="56">
        <f t="shared" ref="AA23:AF23" si="23">AA24-AA16-AA17-AA20-AA21-AA22</f>
        <v>1241.234</v>
      </c>
      <c r="AB23" s="56">
        <f t="shared" si="23"/>
        <v>1464.73</v>
      </c>
      <c r="AC23" s="56">
        <f t="shared" si="23"/>
        <v>1447.01</v>
      </c>
      <c r="AD23" s="56">
        <f t="shared" si="23"/>
        <v>1416.765</v>
      </c>
      <c r="AE23" s="56">
        <f t="shared" si="23"/>
        <v>1490.829</v>
      </c>
      <c r="AF23" s="56">
        <f t="shared" si="23"/>
        <v>1630.619</v>
      </c>
      <c r="AG23" s="56">
        <f t="shared" ref="AG23:AH23" si="24">AG24-AG16-AG17-AG20-AG21-AG22</f>
        <v>1675.353</v>
      </c>
      <c r="AH23" s="56">
        <f t="shared" si="24"/>
        <v>1794.075</v>
      </c>
      <c r="AI23" s="56">
        <f t="shared" ref="AI23:AK23" si="25">AI24-AI16-AI17-AI20-AI21-AI22</f>
        <v>1849.271</v>
      </c>
      <c r="AJ23" s="56">
        <f t="shared" si="25"/>
        <v>1889.833</v>
      </c>
      <c r="AK23" s="56">
        <f t="shared" si="25"/>
        <v>1773.893</v>
      </c>
      <c r="AL23" s="56">
        <f t="shared" ref="AL23:AM23" si="26">AL24-AL16-AL17-AL20-AL21-AL22</f>
        <v>1763.681</v>
      </c>
      <c r="AM23" s="56">
        <f t="shared" si="26"/>
        <v>1749.313</v>
      </c>
      <c r="AN23" s="56"/>
      <c r="AO23" s="56">
        <f>AO24-AO16-AO17-AO20-AO21-AO22</f>
        <v>2.00299999999994</v>
      </c>
      <c r="AP23" s="56">
        <f>AP24-AP16-AP17-AP20-AP21-AP22</f>
        <v>3.34500000000003</v>
      </c>
      <c r="AQ23" s="56">
        <f>AQ24-AQ16-AQ17-AQ20-AQ21-AQ22</f>
        <v>5.05699999999999</v>
      </c>
      <c r="AR23" s="56">
        <f>AR24-AR16-AR17-AR20-AR21-AR22</f>
        <v>3.6009999999996</v>
      </c>
      <c r="AS23" s="56">
        <f t="shared" si="13"/>
        <v>648.132999999999</v>
      </c>
      <c r="AT23" s="56">
        <f>AT24-AT16-AT17-AT20-AT21-AT22</f>
        <v>1239.811</v>
      </c>
      <c r="AU23" s="56">
        <f t="shared" ref="AU23:AV23" si="27">AU24-AU16-AU17-AU20-AU21-AU22</f>
        <v>1241.234</v>
      </c>
      <c r="AV23" s="56">
        <f t="shared" si="27"/>
        <v>1490.829</v>
      </c>
      <c r="AW23" s="56">
        <f t="shared" ref="AW23:AX23" si="28">AW24-AW16-AW17-AW20-AW21-AW22</f>
        <v>1849.271</v>
      </c>
      <c r="AX23" s="56">
        <f t="shared" si="28"/>
        <v>1749.313</v>
      </c>
      <c r="AY23" s="63">
        <f t="shared" si="19"/>
        <v>1749.313</v>
      </c>
      <c r="AZ23" s="63">
        <f t="shared" si="19"/>
        <v>1749.313</v>
      </c>
      <c r="BA23" s="63">
        <f t="shared" si="19"/>
        <v>1749.313</v>
      </c>
    </row>
    <row r="24" ht="11.45" customHeight="1" spans="1:60">
      <c r="A24" s="52" t="s">
        <v>511</v>
      </c>
      <c r="B24" s="70"/>
      <c r="C24" s="65">
        <v>0</v>
      </c>
      <c r="D24" s="65">
        <v>0</v>
      </c>
      <c r="E24" s="65">
        <v>0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4180.6573973</v>
      </c>
      <c r="L24" s="65">
        <v>0</v>
      </c>
      <c r="M24" s="65">
        <v>4484.8241699</v>
      </c>
      <c r="N24" s="65">
        <v>7589.091</v>
      </c>
      <c r="O24" s="65">
        <v>7780.75345661</v>
      </c>
      <c r="P24" s="65">
        <v>8174.84525821</v>
      </c>
      <c r="Q24" s="65">
        <v>8540.91978747</v>
      </c>
      <c r="R24" s="65">
        <v>8378.511833</v>
      </c>
      <c r="S24" s="65">
        <v>8419.442</v>
      </c>
      <c r="T24" s="65">
        <v>8685.978</v>
      </c>
      <c r="U24" s="65">
        <v>8620.2</v>
      </c>
      <c r="V24" s="65">
        <v>9009.717</v>
      </c>
      <c r="W24" s="65">
        <v>8958.562</v>
      </c>
      <c r="X24" s="65">
        <v>9391.582</v>
      </c>
      <c r="Y24" s="65">
        <v>10354.43</v>
      </c>
      <c r="Z24" s="65">
        <v>10264.186</v>
      </c>
      <c r="AA24" s="65">
        <v>10686.046</v>
      </c>
      <c r="AB24" s="65">
        <v>10519.681</v>
      </c>
      <c r="AC24" s="65">
        <v>10943.151</v>
      </c>
      <c r="AD24" s="65">
        <v>10619.712</v>
      </c>
      <c r="AE24" s="65">
        <v>10697.541</v>
      </c>
      <c r="AF24" s="65">
        <v>10707.524</v>
      </c>
      <c r="AG24" s="65">
        <v>10660.783</v>
      </c>
      <c r="AH24" s="65">
        <v>11181.976</v>
      </c>
      <c r="AI24" s="65">
        <v>12218.911</v>
      </c>
      <c r="AJ24" s="65">
        <v>12665.661</v>
      </c>
      <c r="AK24" s="65">
        <v>12878.881</v>
      </c>
      <c r="AL24" s="65">
        <v>13751.629</v>
      </c>
      <c r="AM24" s="65">
        <v>13748.147</v>
      </c>
      <c r="AN24" s="65"/>
      <c r="AO24" s="65">
        <v>1121.344</v>
      </c>
      <c r="AP24" s="65">
        <v>1474.693</v>
      </c>
      <c r="AQ24" s="65">
        <v>4180.657</v>
      </c>
      <c r="AR24" s="65">
        <v>7780.753</v>
      </c>
      <c r="AS24" s="65">
        <f t="shared" si="13"/>
        <v>8419.442</v>
      </c>
      <c r="AT24" s="65">
        <v>8958.562</v>
      </c>
      <c r="AU24" s="65">
        <v>10686.046</v>
      </c>
      <c r="AV24" s="65">
        <v>10697.541</v>
      </c>
      <c r="AW24" s="65">
        <v>12218.911</v>
      </c>
      <c r="AX24" s="65">
        <v>13748.147</v>
      </c>
      <c r="AY24" s="65">
        <f>AY16+AY17+SUM(AY20:AY23)</f>
        <v>23695.2813045895</v>
      </c>
      <c r="AZ24" s="65">
        <f>AZ16+AZ17+SUM(AZ20:AZ23)</f>
        <v>31309.0024131508</v>
      </c>
      <c r="BA24" s="65">
        <f>BA16+BA17+SUM(BA20:BA23)</f>
        <v>42222.7323534027</v>
      </c>
    </row>
    <row r="25" ht="11.45" customHeight="1" spans="1:60">
      <c r="A25" s="71"/>
      <c r="B25" s="67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72"/>
      <c r="AT25" s="72"/>
      <c r="AU25" s="72"/>
      <c r="AV25" s="72"/>
      <c r="AW25" s="72"/>
      <c r="AX25" s="72"/>
      <c r="AY25" s="72"/>
      <c r="AZ25" s="72"/>
      <c r="BA25" s="72"/>
    </row>
    <row r="26" ht="11.45" customHeight="1" spans="1:60">
      <c r="A26" s="52" t="s">
        <v>512</v>
      </c>
      <c r="B26" s="70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72"/>
      <c r="AT26" s="72"/>
      <c r="AU26" s="72"/>
      <c r="AV26" s="72"/>
      <c r="AW26" s="72"/>
      <c r="AX26" s="72"/>
      <c r="AY26" s="72"/>
      <c r="AZ26" s="72"/>
      <c r="BA26" s="72"/>
    </row>
    <row r="27" ht="11.45" customHeight="1" spans="1:60">
      <c r="A27" s="54"/>
      <c r="B27" s="62" t="s">
        <v>513</v>
      </c>
      <c r="C27" s="56">
        <v>0</v>
      </c>
      <c r="D27" s="56">
        <v>0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56">
        <v>0</v>
      </c>
      <c r="K27" s="56">
        <v>0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0</v>
      </c>
      <c r="U27" s="56">
        <v>0</v>
      </c>
      <c r="V27" s="56">
        <v>0</v>
      </c>
      <c r="W27" s="56">
        <v>0</v>
      </c>
      <c r="X27" s="56">
        <v>0</v>
      </c>
      <c r="Y27" s="56">
        <v>0</v>
      </c>
      <c r="Z27" s="56">
        <v>0</v>
      </c>
      <c r="AA27" s="56">
        <v>0</v>
      </c>
      <c r="AB27" s="56">
        <v>0</v>
      </c>
      <c r="AC27" s="56">
        <v>0</v>
      </c>
      <c r="AD27" s="56">
        <v>0</v>
      </c>
      <c r="AE27" s="56">
        <v>0</v>
      </c>
      <c r="AF27" s="56">
        <v>0</v>
      </c>
      <c r="AG27" s="56">
        <v>0</v>
      </c>
      <c r="AH27" s="56">
        <v>0</v>
      </c>
      <c r="AI27" s="56">
        <v>0</v>
      </c>
      <c r="AJ27" s="56">
        <v>0</v>
      </c>
      <c r="AK27" s="56">
        <v>0</v>
      </c>
      <c r="AL27" s="56">
        <v>0</v>
      </c>
      <c r="AM27" s="56">
        <v>0</v>
      </c>
      <c r="AN27" s="56"/>
      <c r="AO27" s="56">
        <v>0</v>
      </c>
      <c r="AP27" s="56">
        <v>0</v>
      </c>
      <c r="AQ27" s="56">
        <v>0</v>
      </c>
      <c r="AR27" s="56">
        <v>0</v>
      </c>
      <c r="AS27" s="56">
        <f t="shared" ref="AS27:AS42" si="29">S27</f>
        <v>0</v>
      </c>
      <c r="AT27" s="56">
        <v>0</v>
      </c>
      <c r="AU27" s="56">
        <v>0</v>
      </c>
      <c r="AV27" s="56">
        <v>0</v>
      </c>
      <c r="AW27" s="56">
        <v>0</v>
      </c>
      <c r="AX27" s="56">
        <v>0</v>
      </c>
      <c r="AY27" s="57">
        <f>AX27+'Cash Flow'!O33</f>
        <v>0</v>
      </c>
      <c r="AZ27" s="57">
        <f>AY27+'Cash Flow'!P33</f>
        <v>0</v>
      </c>
      <c r="BA27" s="57">
        <f>AZ27+'Cash Flow'!Q33</f>
        <v>0</v>
      </c>
    </row>
    <row r="28" ht="11.45" customHeight="1" spans="1:60">
      <c r="A28" s="54"/>
      <c r="B28" s="62" t="s">
        <v>514</v>
      </c>
      <c r="C28" s="56">
        <v>0</v>
      </c>
      <c r="D28" s="56">
        <v>0</v>
      </c>
      <c r="E28" s="56">
        <v>0</v>
      </c>
      <c r="F28" s="56">
        <v>0</v>
      </c>
      <c r="G28" s="56">
        <v>0</v>
      </c>
      <c r="H28" s="56">
        <v>0</v>
      </c>
      <c r="I28" s="56">
        <v>0</v>
      </c>
      <c r="J28" s="56">
        <v>0</v>
      </c>
      <c r="K28" s="56">
        <f>74.3775691</f>
        <v>74.3775691</v>
      </c>
      <c r="L28" s="56">
        <v>0</v>
      </c>
      <c r="M28" s="56">
        <f>113.25534615</f>
        <v>113.25534615</v>
      </c>
      <c r="N28" s="56">
        <v>72.038</v>
      </c>
      <c r="O28" s="56">
        <f>91.29405784</f>
        <v>91.29405784</v>
      </c>
      <c r="P28" s="56">
        <f>118.59080495</f>
        <v>118.59080495</v>
      </c>
      <c r="Q28" s="56">
        <f>120.01846117</f>
        <v>120.01846117</v>
      </c>
      <c r="R28" s="56">
        <v>78.69297421</v>
      </c>
      <c r="S28" s="56">
        <v>85.844</v>
      </c>
      <c r="T28" s="56">
        <v>108.305</v>
      </c>
      <c r="U28" s="56">
        <v>208.124</v>
      </c>
      <c r="V28" s="56">
        <v>312.074</v>
      </c>
      <c r="W28" s="56">
        <v>206.707</v>
      </c>
      <c r="X28" s="56">
        <v>259.157</v>
      </c>
      <c r="Y28" s="56">
        <v>478.604</v>
      </c>
      <c r="Z28" s="56">
        <v>167.261</v>
      </c>
      <c r="AA28" s="56">
        <v>197.166</v>
      </c>
      <c r="AB28" s="56">
        <v>126.626</v>
      </c>
      <c r="AC28" s="56">
        <v>79.187</v>
      </c>
      <c r="AD28" s="56">
        <v>103.185</v>
      </c>
      <c r="AE28" s="56">
        <v>131.115</v>
      </c>
      <c r="AF28" s="56">
        <v>171.013</v>
      </c>
      <c r="AG28" s="56">
        <v>115.143</v>
      </c>
      <c r="AH28" s="56">
        <v>158.523</v>
      </c>
      <c r="AI28" s="56">
        <v>211.154</v>
      </c>
      <c r="AJ28" s="56">
        <v>204.301</v>
      </c>
      <c r="AK28" s="56">
        <v>145.093</v>
      </c>
      <c r="AL28" s="56">
        <v>304.965</v>
      </c>
      <c r="AM28" s="56">
        <v>208.234</v>
      </c>
      <c r="AN28" s="56"/>
      <c r="AO28" s="56">
        <v>112.21</v>
      </c>
      <c r="AP28" s="56">
        <v>107.313</v>
      </c>
      <c r="AQ28" s="56">
        <v>74.378</v>
      </c>
      <c r="AR28" s="56">
        <v>91.294</v>
      </c>
      <c r="AS28" s="56">
        <f t="shared" si="29"/>
        <v>85.844</v>
      </c>
      <c r="AT28" s="56">
        <v>206.707</v>
      </c>
      <c r="AU28" s="56">
        <v>197.166</v>
      </c>
      <c r="AV28" s="56">
        <v>131.115</v>
      </c>
      <c r="AW28" s="56">
        <v>211.154</v>
      </c>
      <c r="AX28" s="56">
        <v>208.234</v>
      </c>
      <c r="AY28" s="59">
        <f>AY64*'Earnings Model'!BQ14/365</f>
        <v>263.834132107808</v>
      </c>
      <c r="AZ28" s="59">
        <f>AZ64*'Earnings Model'!BR14/365</f>
        <v>453.973531962424</v>
      </c>
      <c r="BA28" s="59">
        <f>BA64*'Earnings Model'!BS14/365</f>
        <v>615.419622902073</v>
      </c>
    </row>
    <row r="29" ht="11.45" customHeight="1" spans="1:60">
      <c r="A29" s="54"/>
      <c r="B29" s="62" t="s">
        <v>515</v>
      </c>
      <c r="C29" s="56">
        <f>C30-C27-C28</f>
        <v>0</v>
      </c>
      <c r="D29" s="56">
        <f t="shared" ref="D29:L29" si="30">D30-D27-D28</f>
        <v>0</v>
      </c>
      <c r="E29" s="56">
        <f t="shared" si="30"/>
        <v>0</v>
      </c>
      <c r="F29" s="56">
        <f t="shared" si="30"/>
        <v>0</v>
      </c>
      <c r="G29" s="56">
        <f t="shared" si="30"/>
        <v>0</v>
      </c>
      <c r="H29" s="56">
        <f t="shared" si="30"/>
        <v>0</v>
      </c>
      <c r="I29" s="56">
        <f t="shared" si="30"/>
        <v>0</v>
      </c>
      <c r="J29" s="56">
        <f t="shared" si="30"/>
        <v>0</v>
      </c>
      <c r="K29" s="56">
        <f t="shared" si="30"/>
        <v>352.6462994</v>
      </c>
      <c r="L29" s="56">
        <f t="shared" si="30"/>
        <v>0</v>
      </c>
      <c r="M29" s="56">
        <f t="shared" ref="M29:S29" si="31">M30-M27-M28</f>
        <v>155.2112439</v>
      </c>
      <c r="N29" s="56">
        <f t="shared" si="31"/>
        <v>187.869</v>
      </c>
      <c r="O29" s="56">
        <f t="shared" si="31"/>
        <v>188.41860372</v>
      </c>
      <c r="P29" s="56">
        <f t="shared" si="31"/>
        <v>198.71361401</v>
      </c>
      <c r="Q29" s="56">
        <f t="shared" si="31"/>
        <v>510.21699876</v>
      </c>
      <c r="R29" s="56">
        <f t="shared" si="31"/>
        <v>157.8666759</v>
      </c>
      <c r="S29" s="56">
        <f t="shared" si="31"/>
        <v>150.588</v>
      </c>
      <c r="T29" s="56">
        <f t="shared" ref="T29:Z29" si="32">T30-T27-T28</f>
        <v>138.109</v>
      </c>
      <c r="U29" s="56">
        <f t="shared" si="32"/>
        <v>130.295</v>
      </c>
      <c r="V29" s="56">
        <f t="shared" si="32"/>
        <v>213.963</v>
      </c>
      <c r="W29" s="56">
        <f t="shared" si="32"/>
        <v>230.59</v>
      </c>
      <c r="X29" s="56">
        <f t="shared" si="32"/>
        <v>219.802</v>
      </c>
      <c r="Y29" s="56">
        <f t="shared" si="32"/>
        <v>627.013</v>
      </c>
      <c r="Z29" s="56">
        <f t="shared" si="32"/>
        <v>292.655</v>
      </c>
      <c r="AA29" s="56">
        <f t="shared" ref="AA29:AF29" si="33">AA30-AA27-AA28</f>
        <v>442.263</v>
      </c>
      <c r="AB29" s="56">
        <f t="shared" si="33"/>
        <v>296.684</v>
      </c>
      <c r="AC29" s="56">
        <f t="shared" si="33"/>
        <v>627.794</v>
      </c>
      <c r="AD29" s="56">
        <f t="shared" si="33"/>
        <v>283.088</v>
      </c>
      <c r="AE29" s="56">
        <f t="shared" si="33"/>
        <v>260.058</v>
      </c>
      <c r="AF29" s="56">
        <f t="shared" si="33"/>
        <v>198.788</v>
      </c>
      <c r="AG29" s="56">
        <f t="shared" ref="AG29:AH29" si="34">AG30-AG27-AG28</f>
        <v>262.633</v>
      </c>
      <c r="AH29" s="56">
        <f t="shared" si="34"/>
        <v>362.164</v>
      </c>
      <c r="AI29" s="56">
        <f t="shared" ref="AI29:AK29" si="35">AI30-AI27-AI28</f>
        <v>468.724</v>
      </c>
      <c r="AJ29" s="56">
        <f t="shared" si="35"/>
        <v>322.969</v>
      </c>
      <c r="AK29" s="56">
        <f t="shared" si="35"/>
        <v>446.852</v>
      </c>
      <c r="AL29" s="56">
        <f t="shared" ref="AL29:AM29" si="36">AL30-AL27-AL28</f>
        <v>656.385</v>
      </c>
      <c r="AM29" s="56">
        <f t="shared" si="36"/>
        <v>561.409</v>
      </c>
      <c r="AN29" s="56"/>
      <c r="AO29" s="56">
        <f>AO30-AO27-AO28</f>
        <v>108.022</v>
      </c>
      <c r="AP29" s="56">
        <f>AP30-AP27-AP28</f>
        <v>160.545</v>
      </c>
      <c r="AQ29" s="56">
        <f>AQ30-AQ27-AQ28</f>
        <v>352.646</v>
      </c>
      <c r="AR29" s="56">
        <f>AR30-AR27-AR28</f>
        <v>188.419</v>
      </c>
      <c r="AS29" s="56">
        <f t="shared" si="29"/>
        <v>150.588</v>
      </c>
      <c r="AT29" s="56">
        <f>AT30-AT27-AT28</f>
        <v>230.59</v>
      </c>
      <c r="AU29" s="56">
        <f>AU30-AU27-AU28</f>
        <v>442.263</v>
      </c>
      <c r="AV29" s="56">
        <f>AV30-AV27-AV28</f>
        <v>260.058</v>
      </c>
      <c r="AW29" s="56">
        <f>AW30-AW27-AW28</f>
        <v>468.724</v>
      </c>
      <c r="AX29" s="56">
        <f>AX30-AX27-AX28</f>
        <v>561.409</v>
      </c>
      <c r="AY29" s="63">
        <f>AX29</f>
        <v>561.409</v>
      </c>
      <c r="AZ29" s="63">
        <f>AY29</f>
        <v>561.409</v>
      </c>
      <c r="BA29" s="63">
        <f>AZ29</f>
        <v>561.409</v>
      </c>
    </row>
    <row r="30" s="41" customFormat="1" ht="11.45" customHeight="1" spans="1:60">
      <c r="A30" s="73"/>
      <c r="B30" s="64" t="s">
        <v>516</v>
      </c>
      <c r="C30" s="65">
        <v>0</v>
      </c>
      <c r="D30" s="65">
        <v>0</v>
      </c>
      <c r="E30" s="65">
        <v>0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427.0238685</v>
      </c>
      <c r="L30" s="65">
        <v>0</v>
      </c>
      <c r="M30" s="65">
        <v>268.46659005</v>
      </c>
      <c r="N30" s="65">
        <v>259.907</v>
      </c>
      <c r="O30" s="65">
        <v>279.71266156</v>
      </c>
      <c r="P30" s="65">
        <v>317.30441896</v>
      </c>
      <c r="Q30" s="65">
        <v>630.23545993</v>
      </c>
      <c r="R30" s="65">
        <v>236.55965011</v>
      </c>
      <c r="S30" s="65">
        <v>236.432</v>
      </c>
      <c r="T30" s="65">
        <v>246.414</v>
      </c>
      <c r="U30" s="65">
        <v>338.419</v>
      </c>
      <c r="V30" s="65">
        <v>526.037</v>
      </c>
      <c r="W30" s="65">
        <v>437.297</v>
      </c>
      <c r="X30" s="65">
        <v>478.959</v>
      </c>
      <c r="Y30" s="65">
        <v>1105.617</v>
      </c>
      <c r="Z30" s="65">
        <v>459.916</v>
      </c>
      <c r="AA30" s="65">
        <v>639.429</v>
      </c>
      <c r="AB30" s="65">
        <v>423.31</v>
      </c>
      <c r="AC30" s="65">
        <v>706.981</v>
      </c>
      <c r="AD30" s="65">
        <v>386.273</v>
      </c>
      <c r="AE30" s="65">
        <v>391.173</v>
      </c>
      <c r="AF30" s="65">
        <v>369.801</v>
      </c>
      <c r="AG30" s="65">
        <v>377.776</v>
      </c>
      <c r="AH30" s="65">
        <v>520.687</v>
      </c>
      <c r="AI30" s="65">
        <v>679.878</v>
      </c>
      <c r="AJ30" s="65">
        <v>527.27</v>
      </c>
      <c r="AK30" s="65">
        <v>591.945</v>
      </c>
      <c r="AL30" s="65">
        <v>961.35</v>
      </c>
      <c r="AM30" s="65">
        <v>769.643</v>
      </c>
      <c r="AN30" s="65"/>
      <c r="AO30" s="65">
        <v>220.232</v>
      </c>
      <c r="AP30" s="65">
        <v>267.858</v>
      </c>
      <c r="AQ30" s="65">
        <v>427.024</v>
      </c>
      <c r="AR30" s="65">
        <v>279.713</v>
      </c>
      <c r="AS30" s="65">
        <f t="shared" si="29"/>
        <v>236.432</v>
      </c>
      <c r="AT30" s="65">
        <v>437.297</v>
      </c>
      <c r="AU30" s="65">
        <v>639.429</v>
      </c>
      <c r="AV30" s="65">
        <v>391.173</v>
      </c>
      <c r="AW30" s="65">
        <v>679.878</v>
      </c>
      <c r="AX30" s="65">
        <v>769.643</v>
      </c>
      <c r="AY30" s="65">
        <f>SUM(AY27:AY29)</f>
        <v>825.243132107807</v>
      </c>
      <c r="AZ30" s="65">
        <f>SUM(AZ27:AZ29)</f>
        <v>1015.38253196242</v>
      </c>
      <c r="BA30" s="65">
        <f>SUM(BA27:BA29)</f>
        <v>1176.82862290207</v>
      </c>
      <c r="BB30"/>
      <c r="BC30"/>
      <c r="BD30"/>
      <c r="BE30"/>
      <c r="BF30"/>
      <c r="BG30"/>
      <c r="BH30"/>
    </row>
    <row r="31" ht="11.45" customHeight="1" spans="1:60">
      <c r="A31" s="54"/>
      <c r="B31" s="62" t="s">
        <v>517</v>
      </c>
      <c r="C31" s="56">
        <v>0</v>
      </c>
      <c r="D31" s="56">
        <v>0</v>
      </c>
      <c r="E31" s="56">
        <v>0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56">
        <v>0</v>
      </c>
      <c r="M31" s="56">
        <v>0</v>
      </c>
      <c r="N31" s="56">
        <v>0</v>
      </c>
      <c r="O31" s="56">
        <v>0</v>
      </c>
      <c r="P31" s="56">
        <v>0</v>
      </c>
      <c r="Q31" s="56">
        <v>0</v>
      </c>
      <c r="R31" s="56">
        <v>0</v>
      </c>
      <c r="S31" s="56">
        <v>0</v>
      </c>
      <c r="T31" s="56">
        <v>0</v>
      </c>
      <c r="U31" s="56">
        <v>0</v>
      </c>
      <c r="V31" s="56">
        <v>0</v>
      </c>
      <c r="W31" s="56">
        <v>0</v>
      </c>
      <c r="X31" s="56">
        <v>0</v>
      </c>
      <c r="Y31" s="56">
        <v>0</v>
      </c>
      <c r="Z31" s="56">
        <v>0</v>
      </c>
      <c r="AA31" s="56">
        <v>0</v>
      </c>
      <c r="AB31" s="56">
        <v>0</v>
      </c>
      <c r="AC31" s="56">
        <v>0</v>
      </c>
      <c r="AD31" s="56">
        <v>0</v>
      </c>
      <c r="AE31" s="56">
        <v>0</v>
      </c>
      <c r="AF31" s="56">
        <v>0</v>
      </c>
      <c r="AG31" s="56">
        <v>0</v>
      </c>
      <c r="AH31" s="56">
        <v>0</v>
      </c>
      <c r="AI31" s="56">
        <v>0</v>
      </c>
      <c r="AJ31" s="56">
        <v>0</v>
      </c>
      <c r="AK31" s="56">
        <v>0</v>
      </c>
      <c r="AL31" s="56">
        <v>0</v>
      </c>
      <c r="AM31" s="56">
        <v>0</v>
      </c>
      <c r="AN31" s="56"/>
      <c r="AO31" s="56">
        <v>0</v>
      </c>
      <c r="AP31" s="56">
        <v>0</v>
      </c>
      <c r="AQ31" s="56">
        <v>0</v>
      </c>
      <c r="AR31" s="56">
        <v>0</v>
      </c>
      <c r="AS31" s="56">
        <f t="shared" si="29"/>
        <v>0</v>
      </c>
      <c r="AT31" s="56">
        <v>0</v>
      </c>
      <c r="AU31" s="56">
        <v>0</v>
      </c>
      <c r="AV31" s="56">
        <v>0</v>
      </c>
      <c r="AW31" s="56">
        <v>0</v>
      </c>
      <c r="AX31" s="56">
        <v>0</v>
      </c>
      <c r="AY31" s="56">
        <f>AX31+'Cash Flow'!O34</f>
        <v>0</v>
      </c>
      <c r="AZ31" s="56">
        <f>AY31+'Cash Flow'!P34</f>
        <v>0</v>
      </c>
      <c r="BA31" s="56">
        <f>AZ31+'Cash Flow'!Q34</f>
        <v>0</v>
      </c>
    </row>
    <row r="32" ht="11.45" customHeight="1" spans="1:60">
      <c r="A32" s="54"/>
      <c r="B32" s="62" t="s">
        <v>518</v>
      </c>
      <c r="C32" s="56">
        <f>C33-C30-C31</f>
        <v>0</v>
      </c>
      <c r="D32" s="56">
        <f t="shared" ref="D32:Q32" si="37">D33-D30-D31</f>
        <v>0</v>
      </c>
      <c r="E32" s="56">
        <f t="shared" si="37"/>
        <v>0</v>
      </c>
      <c r="F32" s="56">
        <f t="shared" si="37"/>
        <v>0</v>
      </c>
      <c r="G32" s="56">
        <f t="shared" si="37"/>
        <v>0</v>
      </c>
      <c r="H32" s="56">
        <f t="shared" si="37"/>
        <v>0</v>
      </c>
      <c r="I32" s="56">
        <f t="shared" si="37"/>
        <v>0</v>
      </c>
      <c r="J32" s="56">
        <f t="shared" si="37"/>
        <v>0</v>
      </c>
      <c r="K32" s="56">
        <f t="shared" si="37"/>
        <v>137.88376387</v>
      </c>
      <c r="L32" s="56">
        <f t="shared" si="37"/>
        <v>0</v>
      </c>
      <c r="M32" s="56">
        <f t="shared" si="37"/>
        <v>139.48982221</v>
      </c>
      <c r="N32" s="56">
        <f t="shared" si="37"/>
        <v>166.383</v>
      </c>
      <c r="O32" s="56">
        <f t="shared" si="37"/>
        <v>171.31644438</v>
      </c>
      <c r="P32" s="56">
        <f t="shared" si="37"/>
        <v>175.87224299</v>
      </c>
      <c r="Q32" s="56">
        <f t="shared" si="37"/>
        <v>174.35968408</v>
      </c>
      <c r="R32" s="56">
        <v>172.65484</v>
      </c>
      <c r="S32" s="56">
        <v>172.65484</v>
      </c>
      <c r="T32" s="56">
        <v>173.65484</v>
      </c>
      <c r="U32" s="56">
        <v>174.65484</v>
      </c>
      <c r="V32" s="56">
        <v>174.65484</v>
      </c>
      <c r="W32" s="56">
        <v>174.65484</v>
      </c>
      <c r="X32" s="56">
        <v>174.65484</v>
      </c>
      <c r="Y32" s="56">
        <v>175.65484</v>
      </c>
      <c r="Z32" s="56">
        <v>176.65484</v>
      </c>
      <c r="AA32" s="56">
        <v>177.65484</v>
      </c>
      <c r="AB32" s="56">
        <v>178.65484</v>
      </c>
      <c r="AC32" s="56">
        <v>179.65484</v>
      </c>
      <c r="AD32" s="56">
        <v>180.65484</v>
      </c>
      <c r="AE32" s="56">
        <v>181.65484</v>
      </c>
      <c r="AF32" s="56">
        <v>182.65484</v>
      </c>
      <c r="AG32" s="56">
        <v>183.65484</v>
      </c>
      <c r="AH32" s="56">
        <v>184.65484</v>
      </c>
      <c r="AI32" s="56">
        <v>184.65484</v>
      </c>
      <c r="AJ32" s="56">
        <v>184.65484</v>
      </c>
      <c r="AK32" s="56">
        <v>184.65484</v>
      </c>
      <c r="AL32" s="56">
        <v>184.65484</v>
      </c>
      <c r="AM32" s="56">
        <v>184.65484</v>
      </c>
      <c r="AN32" s="56"/>
      <c r="AO32" s="56">
        <f t="shared" ref="AO32:AU32" si="38">AO33-AO30-AO31</f>
        <v>18.088</v>
      </c>
      <c r="AP32" s="56">
        <f t="shared" si="38"/>
        <v>19.828</v>
      </c>
      <c r="AQ32" s="56">
        <f t="shared" si="38"/>
        <v>137.884</v>
      </c>
      <c r="AR32" s="56">
        <f t="shared" si="38"/>
        <v>171.316</v>
      </c>
      <c r="AS32" s="56">
        <f t="shared" si="38"/>
        <v>112.759</v>
      </c>
      <c r="AT32" s="56">
        <f t="shared" si="38"/>
        <v>130.566</v>
      </c>
      <c r="AU32" s="56">
        <f t="shared" si="38"/>
        <v>119.362</v>
      </c>
      <c r="AV32" s="56">
        <f t="shared" ref="AV32:AW32" si="39">AV33-AV30-AV31</f>
        <v>99.749</v>
      </c>
      <c r="AW32" s="56">
        <f t="shared" si="39"/>
        <v>142.528</v>
      </c>
      <c r="AX32" s="56">
        <f t="shared" ref="AX32" si="40">AX33-AX30-AX31</f>
        <v>107.349</v>
      </c>
      <c r="AY32" s="63">
        <f>AX32</f>
        <v>107.349</v>
      </c>
      <c r="AZ32" s="63">
        <f>AY32</f>
        <v>107.349</v>
      </c>
      <c r="BA32" s="63">
        <f>AZ32</f>
        <v>107.349</v>
      </c>
    </row>
    <row r="33" s="41" customFormat="1" ht="11.45" customHeight="1" spans="1:60">
      <c r="A33" s="73"/>
      <c r="B33" s="64" t="s">
        <v>519</v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564.90763237</v>
      </c>
      <c r="L33" s="65">
        <v>0</v>
      </c>
      <c r="M33" s="65">
        <v>407.95641226</v>
      </c>
      <c r="N33" s="65">
        <v>426.29</v>
      </c>
      <c r="O33" s="65">
        <v>451.02910594</v>
      </c>
      <c r="P33" s="65">
        <v>493.17666195</v>
      </c>
      <c r="Q33" s="65">
        <v>804.59514401</v>
      </c>
      <c r="R33" s="65">
        <v>435.24490971</v>
      </c>
      <c r="S33" s="65">
        <v>349.191</v>
      </c>
      <c r="T33" s="65">
        <v>378.378</v>
      </c>
      <c r="U33" s="65">
        <v>492.414</v>
      </c>
      <c r="V33" s="65">
        <v>629.901</v>
      </c>
      <c r="W33" s="65">
        <v>567.863</v>
      </c>
      <c r="X33" s="65">
        <v>624.798</v>
      </c>
      <c r="Y33" s="65">
        <v>1307.371</v>
      </c>
      <c r="Z33" s="65">
        <v>611.548</v>
      </c>
      <c r="AA33" s="65">
        <v>758.791</v>
      </c>
      <c r="AB33" s="65">
        <v>538.151</v>
      </c>
      <c r="AC33" s="65">
        <v>813.221</v>
      </c>
      <c r="AD33" s="65">
        <v>484.821</v>
      </c>
      <c r="AE33" s="65">
        <v>490.922</v>
      </c>
      <c r="AF33" s="65">
        <v>493.057</v>
      </c>
      <c r="AG33" s="65">
        <v>490.774</v>
      </c>
      <c r="AH33" s="65">
        <v>634.945</v>
      </c>
      <c r="AI33" s="65">
        <v>822.406</v>
      </c>
      <c r="AJ33" s="65">
        <v>723.952</v>
      </c>
      <c r="AK33" s="65">
        <v>818.532</v>
      </c>
      <c r="AL33" s="65">
        <v>1494.538</v>
      </c>
      <c r="AM33" s="65">
        <v>876.992</v>
      </c>
      <c r="AN33" s="65"/>
      <c r="AO33" s="65">
        <v>238.32</v>
      </c>
      <c r="AP33" s="65">
        <v>287.686</v>
      </c>
      <c r="AQ33" s="65">
        <v>564.908</v>
      </c>
      <c r="AR33" s="65">
        <v>451.029</v>
      </c>
      <c r="AS33" s="65">
        <f t="shared" si="29"/>
        <v>349.191</v>
      </c>
      <c r="AT33" s="65">
        <v>567.863</v>
      </c>
      <c r="AU33" s="65">
        <v>758.791</v>
      </c>
      <c r="AV33" s="65">
        <v>490.922</v>
      </c>
      <c r="AW33" s="65">
        <v>822.406</v>
      </c>
      <c r="AX33" s="65">
        <v>876.992</v>
      </c>
      <c r="AY33" s="65">
        <f>SUM(AY30:AY32)</f>
        <v>932.592132107807</v>
      </c>
      <c r="AZ33" s="65">
        <f>SUM(AZ30:AZ32)</f>
        <v>1122.73153196242</v>
      </c>
      <c r="BA33" s="65">
        <f>SUM(BA30:BA32)</f>
        <v>1284.17762290207</v>
      </c>
      <c r="BB33"/>
      <c r="BC33"/>
      <c r="BD33"/>
      <c r="BE33"/>
      <c r="BF33"/>
      <c r="BG33"/>
      <c r="BH33"/>
    </row>
    <row r="34" ht="11.45" customHeight="1" spans="1:60">
      <c r="A34" s="54"/>
      <c r="B34" s="74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72"/>
      <c r="AT34" s="72"/>
      <c r="AU34" s="72"/>
      <c r="AV34" s="72"/>
      <c r="AW34" s="72"/>
      <c r="AX34" s="72"/>
      <c r="AY34" s="72"/>
      <c r="AZ34" s="72"/>
      <c r="BA34" s="72"/>
    </row>
    <row r="35" ht="11.45" customHeight="1" spans="1:60">
      <c r="A35" s="54"/>
      <c r="B35" s="62" t="s">
        <v>520</v>
      </c>
      <c r="C35" s="56">
        <v>0</v>
      </c>
      <c r="D35" s="56">
        <v>0</v>
      </c>
      <c r="E35" s="56">
        <v>0</v>
      </c>
      <c r="F35" s="56">
        <v>0</v>
      </c>
      <c r="G35" s="56">
        <v>0</v>
      </c>
      <c r="H35" s="56">
        <v>0</v>
      </c>
      <c r="I35" s="56">
        <v>0</v>
      </c>
      <c r="J35" s="56">
        <v>0</v>
      </c>
      <c r="K35" s="56">
        <v>1016.8325</v>
      </c>
      <c r="L35" s="56">
        <v>0</v>
      </c>
      <c r="M35" s="56">
        <v>1016.8325</v>
      </c>
      <c r="N35" s="56">
        <v>1129.814</v>
      </c>
      <c r="O35" s="56">
        <v>1129.813889</v>
      </c>
      <c r="P35" s="56">
        <v>1129.813889</v>
      </c>
      <c r="Q35" s="56">
        <v>1129.813889</v>
      </c>
      <c r="R35" s="56">
        <v>1129.813889</v>
      </c>
      <c r="S35" s="56">
        <v>1129.814</v>
      </c>
      <c r="T35" s="56">
        <v>1131.03</v>
      </c>
      <c r="U35" s="56">
        <v>1131.03</v>
      </c>
      <c r="V35" s="56">
        <v>1131.03</v>
      </c>
      <c r="W35" s="56">
        <v>1131.307</v>
      </c>
      <c r="X35" s="56">
        <v>1132.824</v>
      </c>
      <c r="Y35" s="56">
        <v>1132.824</v>
      </c>
      <c r="Z35" s="56">
        <v>1133.657</v>
      </c>
      <c r="AA35" s="56">
        <v>1134.068</v>
      </c>
      <c r="AB35" s="56">
        <v>1136.078</v>
      </c>
      <c r="AC35" s="56">
        <v>1137.357</v>
      </c>
      <c r="AD35" s="56">
        <v>1138.008</v>
      </c>
      <c r="AE35" s="56">
        <v>1138.74</v>
      </c>
      <c r="AF35" s="56">
        <v>1141.461</v>
      </c>
      <c r="AG35" s="56">
        <v>1141.461</v>
      </c>
      <c r="AH35" s="56">
        <v>1142.538</v>
      </c>
      <c r="AI35" s="56">
        <v>1144.789</v>
      </c>
      <c r="AJ35" s="56">
        <v>1144.789</v>
      </c>
      <c r="AK35" s="56">
        <v>1144.789</v>
      </c>
      <c r="AL35" s="56">
        <v>1145.151</v>
      </c>
      <c r="AM35" s="56">
        <v>1146.427</v>
      </c>
      <c r="AN35" s="56"/>
      <c r="AO35" s="56">
        <v>757.032</v>
      </c>
      <c r="AP35" s="56">
        <v>757.032</v>
      </c>
      <c r="AQ35" s="56">
        <v>1016.833</v>
      </c>
      <c r="AR35" s="56">
        <v>1129.814</v>
      </c>
      <c r="AS35" s="56">
        <f t="shared" si="29"/>
        <v>1129.814</v>
      </c>
      <c r="AT35" s="56">
        <v>1131.307</v>
      </c>
      <c r="AU35" s="56">
        <v>1134.068</v>
      </c>
      <c r="AV35" s="56">
        <v>1138.74</v>
      </c>
      <c r="AW35" s="56">
        <v>1144.789</v>
      </c>
      <c r="AX35" s="56">
        <v>1146.427</v>
      </c>
      <c r="AY35" s="63">
        <f>AX35</f>
        <v>1146.427</v>
      </c>
      <c r="AZ35" s="63">
        <f t="shared" ref="AY35:BA37" si="41">AY35</f>
        <v>1146.427</v>
      </c>
      <c r="BA35" s="63">
        <f t="shared" si="41"/>
        <v>1146.427</v>
      </c>
    </row>
    <row r="36" ht="11.45" customHeight="1" spans="1:60">
      <c r="A36" s="54"/>
      <c r="B36" s="62" t="s">
        <v>521</v>
      </c>
      <c r="C36" s="56">
        <v>0</v>
      </c>
      <c r="D36" s="56">
        <v>0</v>
      </c>
      <c r="E36" s="56">
        <v>0</v>
      </c>
      <c r="F36" s="56">
        <v>0</v>
      </c>
      <c r="G36" s="56">
        <v>0</v>
      </c>
      <c r="H36" s="56">
        <v>0</v>
      </c>
      <c r="I36" s="56">
        <v>0</v>
      </c>
      <c r="J36" s="56">
        <v>0</v>
      </c>
      <c r="K36" s="56">
        <v>1831.07328354</v>
      </c>
      <c r="L36" s="56">
        <v>0</v>
      </c>
      <c r="M36" s="56">
        <v>2065.90648621</v>
      </c>
      <c r="N36" s="56">
        <v>4699.483</v>
      </c>
      <c r="O36" s="56">
        <v>4699.48317136</v>
      </c>
      <c r="P36" s="56">
        <v>4754.08326095</v>
      </c>
      <c r="Q36" s="56">
        <v>4811.76968655</v>
      </c>
      <c r="R36" s="56">
        <v>4866.70574257</v>
      </c>
      <c r="S36" s="56">
        <v>4901.652</v>
      </c>
      <c r="T36" s="56">
        <v>4978.936</v>
      </c>
      <c r="U36" s="56">
        <v>5025.642</v>
      </c>
      <c r="V36" s="56">
        <v>5068.586</v>
      </c>
      <c r="W36" s="56">
        <v>5113.492</v>
      </c>
      <c r="X36" s="56">
        <v>5179.278</v>
      </c>
      <c r="Y36" s="56">
        <v>5215.371</v>
      </c>
      <c r="Z36" s="56">
        <v>5279.672</v>
      </c>
      <c r="AA36" s="56">
        <v>5329.258</v>
      </c>
      <c r="AB36" s="56">
        <v>5412.181</v>
      </c>
      <c r="AC36" s="56">
        <v>5342.457</v>
      </c>
      <c r="AD36" s="56">
        <v>5393.062</v>
      </c>
      <c r="AE36" s="56">
        <v>5432.387</v>
      </c>
      <c r="AF36" s="56">
        <v>5508.174</v>
      </c>
      <c r="AG36" s="56">
        <v>5519.012</v>
      </c>
      <c r="AH36" s="56">
        <v>5556.229</v>
      </c>
      <c r="AI36" s="56">
        <v>5625.97</v>
      </c>
      <c r="AJ36" s="56">
        <v>5673.134</v>
      </c>
      <c r="AK36" s="56">
        <v>5717.509</v>
      </c>
      <c r="AL36" s="56">
        <v>5777.616</v>
      </c>
      <c r="AM36" s="56">
        <v>6114.018</v>
      </c>
      <c r="AN36" s="56"/>
      <c r="AO36" s="56">
        <v>66.185</v>
      </c>
      <c r="AP36" s="56">
        <v>66.185</v>
      </c>
      <c r="AQ36" s="56">
        <v>1831.073</v>
      </c>
      <c r="AR36" s="56">
        <v>4699.483</v>
      </c>
      <c r="AS36" s="56">
        <f t="shared" si="29"/>
        <v>4901.652</v>
      </c>
      <c r="AT36" s="56">
        <v>5113.492</v>
      </c>
      <c r="AU36" s="56">
        <v>5329.258</v>
      </c>
      <c r="AV36" s="56">
        <v>5432.387</v>
      </c>
      <c r="AW36" s="56">
        <v>5625.97</v>
      </c>
      <c r="AX36" s="56">
        <v>6114.018</v>
      </c>
      <c r="AY36" s="57">
        <f>AX36+'Cash Flow'!O35</f>
        <v>12414.018</v>
      </c>
      <c r="AZ36" s="57">
        <f>AY36+'Cash Flow'!P35</f>
        <v>12414.018</v>
      </c>
      <c r="BA36" s="57">
        <f>AZ36+'Cash Flow'!Q35</f>
        <v>12414.018</v>
      </c>
    </row>
    <row r="37" ht="11.45" customHeight="1" spans="1:60">
      <c r="A37" s="54"/>
      <c r="B37" s="62" t="s">
        <v>522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56">
        <v>0</v>
      </c>
      <c r="R37" s="56">
        <v>0</v>
      </c>
      <c r="S37" s="56">
        <v>0</v>
      </c>
      <c r="T37" s="56">
        <v>0</v>
      </c>
      <c r="U37" s="56">
        <v>0</v>
      </c>
      <c r="V37" s="56">
        <v>0</v>
      </c>
      <c r="W37" s="56">
        <v>-300.083</v>
      </c>
      <c r="X37" s="56">
        <v>-300.083</v>
      </c>
      <c r="Y37" s="56">
        <v>-300.083</v>
      </c>
      <c r="Z37" s="56">
        <v>-300.083</v>
      </c>
      <c r="AA37" s="56">
        <v>-300.083</v>
      </c>
      <c r="AB37" s="56">
        <v>-300.083</v>
      </c>
      <c r="AC37" s="56">
        <v>0</v>
      </c>
      <c r="AD37" s="56">
        <v>-173.871</v>
      </c>
      <c r="AE37" s="56">
        <v>-300.031</v>
      </c>
      <c r="AF37" s="56">
        <v>-602.478</v>
      </c>
      <c r="AG37" s="56">
        <v>-709.089</v>
      </c>
      <c r="AH37" s="56">
        <v>-709.089</v>
      </c>
      <c r="AI37" s="56">
        <v>-427.558</v>
      </c>
      <c r="AJ37" s="56">
        <v>-427.558</v>
      </c>
      <c r="AK37" s="56">
        <v>-506.621</v>
      </c>
      <c r="AL37" s="56">
        <v>-628.081</v>
      </c>
      <c r="AM37" s="56">
        <v>-848.359</v>
      </c>
      <c r="AN37" s="56"/>
      <c r="AO37" s="56">
        <v>0</v>
      </c>
      <c r="AP37" s="56">
        <v>0</v>
      </c>
      <c r="AQ37" s="56">
        <v>0</v>
      </c>
      <c r="AR37" s="56">
        <v>0</v>
      </c>
      <c r="AS37" s="56">
        <f t="shared" si="29"/>
        <v>0</v>
      </c>
      <c r="AT37" s="56">
        <v>-300.083</v>
      </c>
      <c r="AU37" s="56">
        <v>-300.083</v>
      </c>
      <c r="AV37" s="56">
        <v>-300.031</v>
      </c>
      <c r="AW37" s="56">
        <v>-427.558</v>
      </c>
      <c r="AX37" s="56">
        <v>-848.359</v>
      </c>
      <c r="AY37" s="57">
        <f t="shared" si="41"/>
        <v>-848.359</v>
      </c>
      <c r="AZ37" s="57">
        <f t="shared" si="41"/>
        <v>-848.359</v>
      </c>
      <c r="BA37" s="57">
        <f t="shared" si="41"/>
        <v>-848.359</v>
      </c>
    </row>
    <row r="38" ht="11.45" customHeight="1" spans="1:60">
      <c r="A38" s="54"/>
      <c r="B38" s="62" t="s">
        <v>523</v>
      </c>
      <c r="C38" s="56">
        <v>0</v>
      </c>
      <c r="D38" s="56">
        <v>0</v>
      </c>
      <c r="E38" s="56">
        <v>0</v>
      </c>
      <c r="F38" s="56">
        <v>0</v>
      </c>
      <c r="G38" s="56">
        <v>0</v>
      </c>
      <c r="H38" s="56">
        <v>0</v>
      </c>
      <c r="I38" s="56">
        <v>0</v>
      </c>
      <c r="J38" s="56">
        <v>0</v>
      </c>
      <c r="K38" s="56">
        <v>664.09649534</v>
      </c>
      <c r="L38" s="56">
        <v>0</v>
      </c>
      <c r="M38" s="56">
        <v>881.0522209</v>
      </c>
      <c r="N38" s="56">
        <v>1173.735</v>
      </c>
      <c r="O38" s="56">
        <v>1306.67631286</v>
      </c>
      <c r="P38" s="56">
        <v>1569.66463056</v>
      </c>
      <c r="Q38" s="56">
        <v>1569.25681312</v>
      </c>
      <c r="R38" s="56">
        <v>1845.50055812</v>
      </c>
      <c r="S38" s="56">
        <v>2021.29</v>
      </c>
      <c r="T38" s="56">
        <v>2154.385</v>
      </c>
      <c r="U38" s="56">
        <v>1988.82</v>
      </c>
      <c r="V38" s="56">
        <v>2193.423</v>
      </c>
      <c r="W38" s="56">
        <v>2461.879</v>
      </c>
      <c r="X38" s="56">
        <v>2767.846</v>
      </c>
      <c r="Y38" s="56">
        <v>2803.43</v>
      </c>
      <c r="Z38" s="56">
        <v>3137.781</v>
      </c>
      <c r="AA38" s="56">
        <v>3386.154</v>
      </c>
      <c r="AB38" s="56">
        <v>3405.875</v>
      </c>
      <c r="AC38" s="56">
        <v>3126.802</v>
      </c>
      <c r="AD38" s="56">
        <v>3278.751</v>
      </c>
      <c r="AE38" s="56">
        <v>3478.054</v>
      </c>
      <c r="AF38" s="56">
        <v>3701.462</v>
      </c>
      <c r="AG38" s="56">
        <v>3733.014</v>
      </c>
      <c r="AH38" s="56">
        <v>4117.938</v>
      </c>
      <c r="AI38" s="56">
        <v>4518.383</v>
      </c>
      <c r="AJ38" s="56">
        <v>5043.709</v>
      </c>
      <c r="AK38" s="56">
        <v>5234.313</v>
      </c>
      <c r="AL38" s="56">
        <v>5480.671</v>
      </c>
      <c r="AM38" s="56">
        <v>6018.558</v>
      </c>
      <c r="AN38" s="56"/>
      <c r="AO38" s="56">
        <v>-17.148</v>
      </c>
      <c r="AP38" s="56">
        <v>312.375</v>
      </c>
      <c r="AQ38" s="56">
        <v>664.096</v>
      </c>
      <c r="AR38" s="56">
        <v>1306.676</v>
      </c>
      <c r="AS38" s="56">
        <f t="shared" si="29"/>
        <v>2021.29</v>
      </c>
      <c r="AT38" s="56">
        <v>2461.879</v>
      </c>
      <c r="AU38" s="56">
        <v>3386.154</v>
      </c>
      <c r="AV38" s="56">
        <v>3478.054</v>
      </c>
      <c r="AW38" s="56">
        <v>4518.383</v>
      </c>
      <c r="AX38" s="56">
        <v>6018.558</v>
      </c>
      <c r="AY38" s="57">
        <f>AX38+'Earnings Model'!BQ57+'Cash Flow'!O36</f>
        <v>9610.09217248166</v>
      </c>
      <c r="AZ38" s="57">
        <f>AY38+'Earnings Model'!BR57+'Cash Flow'!P36</f>
        <v>17033.6738811884</v>
      </c>
      <c r="BA38" s="57">
        <f>AZ38+'Earnings Model'!BS57+'Cash Flow'!Q36</f>
        <v>27785.9577305006</v>
      </c>
    </row>
    <row r="39" ht="11.45" customHeight="1" spans="1:60">
      <c r="A39" s="54"/>
      <c r="B39" s="55" t="s">
        <v>434</v>
      </c>
      <c r="C39" s="56">
        <f>C40-SUM(C35:C38)</f>
        <v>1121.344</v>
      </c>
      <c r="D39" s="56">
        <f t="shared" ref="D39:L39" si="42">D40-SUM(D35:D38)</f>
        <v>-2146826265</v>
      </c>
      <c r="E39" s="56">
        <f t="shared" si="42"/>
        <v>-2146826265</v>
      </c>
      <c r="F39" s="56">
        <f t="shared" si="42"/>
        <v>-2146826265</v>
      </c>
      <c r="G39" s="56">
        <f t="shared" si="42"/>
        <v>1474.693</v>
      </c>
      <c r="H39" s="56">
        <f t="shared" si="42"/>
        <v>-2146826265</v>
      </c>
      <c r="I39" s="56">
        <f t="shared" si="42"/>
        <v>-2146826265</v>
      </c>
      <c r="J39" s="56">
        <f t="shared" si="42"/>
        <v>-2146826265</v>
      </c>
      <c r="K39" s="56">
        <f t="shared" si="42"/>
        <v>103.74708875</v>
      </c>
      <c r="L39" s="56">
        <f t="shared" si="42"/>
        <v>7780.753</v>
      </c>
      <c r="M39" s="56">
        <f t="shared" ref="M39:S39" si="43">M40-SUM(M35:M38)</f>
        <v>113.07655053</v>
      </c>
      <c r="N39" s="56">
        <f t="shared" si="43"/>
        <v>159.769</v>
      </c>
      <c r="O39" s="56">
        <f t="shared" si="43"/>
        <v>193.750977449999</v>
      </c>
      <c r="P39" s="56">
        <f t="shared" si="43"/>
        <v>228.10681575</v>
      </c>
      <c r="Q39" s="56">
        <f t="shared" si="43"/>
        <v>225.48425479</v>
      </c>
      <c r="R39" s="56">
        <f t="shared" si="43"/>
        <v>101.246733609999</v>
      </c>
      <c r="S39" s="56">
        <f t="shared" si="43"/>
        <v>17.4949999999999</v>
      </c>
      <c r="T39" s="56">
        <f t="shared" ref="T39:Z39" si="44">T40-SUM(T35:T38)</f>
        <v>43.2490000000016</v>
      </c>
      <c r="U39" s="56">
        <f t="shared" si="44"/>
        <v>-17.7059999999992</v>
      </c>
      <c r="V39" s="56">
        <f t="shared" si="44"/>
        <v>-13.223</v>
      </c>
      <c r="W39" s="56">
        <f t="shared" si="44"/>
        <v>-15.8960000000006</v>
      </c>
      <c r="X39" s="56">
        <f t="shared" si="44"/>
        <v>-13.0810000000019</v>
      </c>
      <c r="Y39" s="56">
        <f t="shared" si="44"/>
        <v>195.517</v>
      </c>
      <c r="Z39" s="56">
        <f t="shared" si="44"/>
        <v>401.611000000001</v>
      </c>
      <c r="AA39" s="56">
        <f t="shared" ref="AA39:AF39" si="45">AA40-SUM(AA35:AA38)</f>
        <v>377.857999999998</v>
      </c>
      <c r="AB39" s="56">
        <f t="shared" si="45"/>
        <v>327.479000000001</v>
      </c>
      <c r="AC39" s="56">
        <f t="shared" si="45"/>
        <v>523.314</v>
      </c>
      <c r="AD39" s="56">
        <f t="shared" si="45"/>
        <v>498.941999999999</v>
      </c>
      <c r="AE39" s="56">
        <f t="shared" si="45"/>
        <v>457.469000000001</v>
      </c>
      <c r="AF39" s="56">
        <f t="shared" si="45"/>
        <v>465.847</v>
      </c>
      <c r="AG39" s="56">
        <f t="shared" ref="AG39:AH39" si="46">AG40-SUM(AG35:AG38)</f>
        <v>485.610999999999</v>
      </c>
      <c r="AH39" s="56">
        <f t="shared" si="46"/>
        <v>439.415000000001</v>
      </c>
      <c r="AI39" s="56">
        <f t="shared" ref="AI39:AK39" si="47">AI40-SUM(AI35:AI38)</f>
        <v>534.922</v>
      </c>
      <c r="AJ39" s="56">
        <f t="shared" si="47"/>
        <v>507.635</v>
      </c>
      <c r="AK39" s="56">
        <f t="shared" si="47"/>
        <v>470.359</v>
      </c>
      <c r="AL39" s="56">
        <f t="shared" ref="AL39:AM39" si="48">AL40-SUM(AL35:AL38)</f>
        <v>481.734</v>
      </c>
      <c r="AM39" s="56">
        <f t="shared" si="48"/>
        <v>440.512000000001</v>
      </c>
      <c r="AN39" s="56"/>
      <c r="AO39" s="56">
        <f t="shared" ref="AO39:AU39" si="49">AO40-SUM(AO35:AO38)</f>
        <v>76.955</v>
      </c>
      <c r="AP39" s="56">
        <f t="shared" si="49"/>
        <v>51.415</v>
      </c>
      <c r="AQ39" s="56">
        <f t="shared" si="49"/>
        <v>103.747</v>
      </c>
      <c r="AR39" s="56">
        <f t="shared" si="49"/>
        <v>193.751</v>
      </c>
      <c r="AS39" s="56">
        <f t="shared" si="49"/>
        <v>17.4949999999999</v>
      </c>
      <c r="AT39" s="56">
        <f t="shared" si="49"/>
        <v>-15.8960000000006</v>
      </c>
      <c r="AU39" s="56">
        <f t="shared" si="49"/>
        <v>377.858</v>
      </c>
      <c r="AV39" s="56">
        <f t="shared" ref="AV39:AW39" si="50">AV40-SUM(AV35:AV38)</f>
        <v>457.468999999999</v>
      </c>
      <c r="AW39" s="56">
        <f t="shared" si="50"/>
        <v>534.921000000002</v>
      </c>
      <c r="AX39" s="56">
        <f t="shared" ref="AX39" si="51">AX40-SUM(AX35:AX38)</f>
        <v>440.511</v>
      </c>
      <c r="AY39" s="57">
        <f>AX39</f>
        <v>440.511</v>
      </c>
      <c r="AZ39" s="57">
        <f>AY39</f>
        <v>440.511</v>
      </c>
      <c r="BA39" s="57">
        <f>AZ39</f>
        <v>440.511</v>
      </c>
    </row>
    <row r="40" ht="11.45" customHeight="1" spans="1:60">
      <c r="A40" s="54"/>
      <c r="B40" s="75" t="s">
        <v>524</v>
      </c>
      <c r="C40" s="65">
        <f>C42-C33</f>
        <v>1121.344</v>
      </c>
      <c r="D40" s="65">
        <f t="shared" ref="D40:N40" si="52">D42-D33</f>
        <v>-2146826265</v>
      </c>
      <c r="E40" s="65">
        <f t="shared" si="52"/>
        <v>-2146826265</v>
      </c>
      <c r="F40" s="65">
        <f t="shared" si="52"/>
        <v>-2146826265</v>
      </c>
      <c r="G40" s="65">
        <f t="shared" si="52"/>
        <v>1474.693</v>
      </c>
      <c r="H40" s="65">
        <f t="shared" si="52"/>
        <v>-2146826265</v>
      </c>
      <c r="I40" s="65">
        <f t="shared" si="52"/>
        <v>-2146826265</v>
      </c>
      <c r="J40" s="65">
        <f t="shared" si="52"/>
        <v>-2146826265</v>
      </c>
      <c r="K40" s="65">
        <f t="shared" si="52"/>
        <v>3615.74936763</v>
      </c>
      <c r="L40" s="65">
        <f t="shared" si="52"/>
        <v>7780.753</v>
      </c>
      <c r="M40" s="65">
        <f t="shared" si="52"/>
        <v>4076.86775764</v>
      </c>
      <c r="N40" s="65">
        <f t="shared" si="52"/>
        <v>7162.801</v>
      </c>
      <c r="O40" s="65">
        <v>7329.72435067</v>
      </c>
      <c r="P40" s="65">
        <v>7681.66859626</v>
      </c>
      <c r="Q40" s="65">
        <v>7736.32464346</v>
      </c>
      <c r="R40" s="65">
        <v>7943.2669233</v>
      </c>
      <c r="S40" s="65">
        <v>8070.251</v>
      </c>
      <c r="T40" s="65">
        <v>8307.6</v>
      </c>
      <c r="U40" s="65">
        <v>8127.786</v>
      </c>
      <c r="V40" s="65">
        <v>8379.816</v>
      </c>
      <c r="W40" s="65">
        <v>8390.699</v>
      </c>
      <c r="X40" s="65">
        <v>8766.784</v>
      </c>
      <c r="Y40" s="65">
        <v>9047.059</v>
      </c>
      <c r="Z40" s="65">
        <v>9652.638</v>
      </c>
      <c r="AA40" s="65">
        <v>9927.255</v>
      </c>
      <c r="AB40" s="65">
        <v>9981.53</v>
      </c>
      <c r="AC40" s="65">
        <v>10129.93</v>
      </c>
      <c r="AD40" s="65">
        <v>10134.892</v>
      </c>
      <c r="AE40" s="65">
        <v>10206.619</v>
      </c>
      <c r="AF40" s="65">
        <v>10214.466</v>
      </c>
      <c r="AG40" s="65">
        <v>10170.009</v>
      </c>
      <c r="AH40" s="65">
        <v>10547.031</v>
      </c>
      <c r="AI40" s="65">
        <v>11396.506</v>
      </c>
      <c r="AJ40" s="65">
        <v>11941.709</v>
      </c>
      <c r="AK40" s="65">
        <v>12060.349</v>
      </c>
      <c r="AL40" s="65">
        <v>12257.091</v>
      </c>
      <c r="AM40" s="65">
        <v>12871.156</v>
      </c>
      <c r="AN40" s="56"/>
      <c r="AO40" s="65">
        <f>AO42-AO33</f>
        <v>883.024</v>
      </c>
      <c r="AP40" s="65">
        <f>AP42-AP33</f>
        <v>1187.007</v>
      </c>
      <c r="AQ40" s="65">
        <f>AQ42-AQ33</f>
        <v>3615.749</v>
      </c>
      <c r="AR40" s="65">
        <f>AR42-AR33</f>
        <v>7329.724</v>
      </c>
      <c r="AS40" s="65">
        <f t="shared" si="29"/>
        <v>8070.251</v>
      </c>
      <c r="AT40" s="65">
        <f>AT42-AT33</f>
        <v>8390.699</v>
      </c>
      <c r="AU40" s="65">
        <f>AU42-AU33</f>
        <v>9927.255</v>
      </c>
      <c r="AV40" s="65">
        <f>AV42-AV33</f>
        <v>10206.619</v>
      </c>
      <c r="AW40" s="65">
        <f>AW42-AW33</f>
        <v>11396.505</v>
      </c>
      <c r="AX40" s="65">
        <f>AX42-AX33</f>
        <v>12871.155</v>
      </c>
      <c r="AY40" s="57">
        <f>+SUM(AY35:AY39)</f>
        <v>22762.6891724817</v>
      </c>
      <c r="AZ40" s="57">
        <f>+SUM(AZ35:AZ39)</f>
        <v>30186.2708811884</v>
      </c>
      <c r="BA40" s="57">
        <f>+SUM(BA35:BA39)</f>
        <v>40938.5547305006</v>
      </c>
    </row>
    <row r="41" ht="11.45" customHeight="1" spans="1:60">
      <c r="A41" s="54"/>
      <c r="B41" s="55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72"/>
      <c r="AT41" s="72"/>
      <c r="AU41" s="72"/>
      <c r="AV41" s="72"/>
      <c r="AW41" s="72"/>
      <c r="AX41" s="72"/>
      <c r="AY41" s="72"/>
      <c r="AZ41" s="72"/>
      <c r="BA41" s="72"/>
    </row>
    <row r="42" ht="11.45" customHeight="1" spans="1:60">
      <c r="A42" s="52" t="s">
        <v>525</v>
      </c>
      <c r="B42" s="52"/>
      <c r="C42" s="65">
        <v>1121.344</v>
      </c>
      <c r="D42" s="65">
        <v>-2146826265</v>
      </c>
      <c r="E42" s="65">
        <v>-2146826265</v>
      </c>
      <c r="F42" s="65">
        <v>-2146826265</v>
      </c>
      <c r="G42" s="65">
        <v>1474.693</v>
      </c>
      <c r="H42" s="65">
        <v>-2146826265</v>
      </c>
      <c r="I42" s="65">
        <v>-2146826265</v>
      </c>
      <c r="J42" s="65">
        <v>-2146826265</v>
      </c>
      <c r="K42" s="65">
        <v>4180.657</v>
      </c>
      <c r="L42" s="65">
        <v>7780.753</v>
      </c>
      <c r="M42" s="65">
        <v>4484.8241699</v>
      </c>
      <c r="N42" s="65">
        <v>7589.091</v>
      </c>
      <c r="O42" s="65">
        <v>7780.75345661</v>
      </c>
      <c r="P42" s="65">
        <v>8174.84525821</v>
      </c>
      <c r="Q42" s="65">
        <v>8540.91978747</v>
      </c>
      <c r="R42" s="65">
        <v>8378.51183301</v>
      </c>
      <c r="S42" s="65">
        <v>8419.442</v>
      </c>
      <c r="T42" s="65">
        <f t="shared" ref="T42:Z42" si="53">T40+T33</f>
        <v>8685.978</v>
      </c>
      <c r="U42" s="65">
        <f t="shared" si="53"/>
        <v>8620.2</v>
      </c>
      <c r="V42" s="65">
        <f t="shared" si="53"/>
        <v>9009.717</v>
      </c>
      <c r="W42" s="65">
        <f t="shared" si="53"/>
        <v>8958.562</v>
      </c>
      <c r="X42" s="65">
        <f t="shared" si="53"/>
        <v>9391.582</v>
      </c>
      <c r="Y42" s="65">
        <f t="shared" si="53"/>
        <v>10354.43</v>
      </c>
      <c r="Z42" s="65">
        <f t="shared" si="53"/>
        <v>10264.186</v>
      </c>
      <c r="AA42" s="65">
        <f t="shared" ref="AA42:AF42" si="54">AA40+AA33</f>
        <v>10686.046</v>
      </c>
      <c r="AB42" s="65">
        <f t="shared" si="54"/>
        <v>10519.681</v>
      </c>
      <c r="AC42" s="65">
        <f t="shared" si="54"/>
        <v>10943.151</v>
      </c>
      <c r="AD42" s="65">
        <f t="shared" si="54"/>
        <v>10619.713</v>
      </c>
      <c r="AE42" s="65">
        <f t="shared" si="54"/>
        <v>10697.541</v>
      </c>
      <c r="AF42" s="65">
        <f t="shared" si="54"/>
        <v>10707.523</v>
      </c>
      <c r="AG42" s="65">
        <f t="shared" ref="AG42:AH42" si="55">AG40+AG33</f>
        <v>10660.783</v>
      </c>
      <c r="AH42" s="65">
        <f t="shared" si="55"/>
        <v>11181.976</v>
      </c>
      <c r="AI42" s="65">
        <f t="shared" ref="AI42:AK42" si="56">AI40+AI33</f>
        <v>12218.912</v>
      </c>
      <c r="AJ42" s="65">
        <f t="shared" si="56"/>
        <v>12665.661</v>
      </c>
      <c r="AK42" s="65">
        <f t="shared" si="56"/>
        <v>12878.881</v>
      </c>
      <c r="AL42" s="65">
        <f t="shared" ref="AL42:AM42" si="57">AL40+AL33</f>
        <v>13751.629</v>
      </c>
      <c r="AM42" s="65">
        <f t="shared" si="57"/>
        <v>13748.148</v>
      </c>
      <c r="AN42" s="65"/>
      <c r="AO42" s="65">
        <v>1121.344</v>
      </c>
      <c r="AP42" s="65">
        <v>1474.693</v>
      </c>
      <c r="AQ42" s="65">
        <v>4180.657</v>
      </c>
      <c r="AR42" s="65">
        <v>7780.753</v>
      </c>
      <c r="AS42" s="65">
        <f t="shared" si="29"/>
        <v>8419.442</v>
      </c>
      <c r="AT42" s="65">
        <v>8958.562</v>
      </c>
      <c r="AU42" s="65">
        <v>10686.046</v>
      </c>
      <c r="AV42" s="65">
        <v>10697.541</v>
      </c>
      <c r="AW42" s="65">
        <v>12218.911</v>
      </c>
      <c r="AX42" s="65">
        <v>13748.147</v>
      </c>
      <c r="AY42" s="66">
        <f>AY33+AY40</f>
        <v>23695.2813045895</v>
      </c>
      <c r="AZ42" s="66">
        <f>AZ33+AZ40</f>
        <v>31309.0024131508</v>
      </c>
      <c r="BA42" s="66">
        <f>BA33+BA40</f>
        <v>42222.7323534027</v>
      </c>
    </row>
    <row r="43" ht="11.45" customHeight="1" spans="1:60">
      <c r="A43" s="76"/>
      <c r="B43" s="76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77"/>
      <c r="AP43" s="77"/>
      <c r="AQ43" s="77"/>
      <c r="AR43" s="77"/>
      <c r="AS43" s="53"/>
      <c r="AT43" s="53"/>
      <c r="AU43" s="53"/>
      <c r="AV43" s="53"/>
      <c r="AW43" s="53"/>
      <c r="AX43" s="53"/>
      <c r="AY43" s="53"/>
      <c r="AZ43" s="53"/>
      <c r="BA43" s="53"/>
    </row>
    <row r="44" ht="11.45" customHeight="1" spans="1:60">
      <c r="A44" s="78" t="s">
        <v>482</v>
      </c>
      <c r="B44" s="78"/>
      <c r="C44" s="79">
        <f>+C42-C24</f>
        <v>1121.344</v>
      </c>
      <c r="D44" s="79">
        <f t="shared" ref="D44:L44" si="58">+D42-D24</f>
        <v>-2146826265</v>
      </c>
      <c r="E44" s="79">
        <f t="shared" si="58"/>
        <v>-2146826265</v>
      </c>
      <c r="F44" s="79">
        <f t="shared" si="58"/>
        <v>-2146826265</v>
      </c>
      <c r="G44" s="79">
        <f t="shared" si="58"/>
        <v>1474.693</v>
      </c>
      <c r="H44" s="79">
        <f t="shared" si="58"/>
        <v>-2146826265</v>
      </c>
      <c r="I44" s="79">
        <f t="shared" si="58"/>
        <v>-2146826265</v>
      </c>
      <c r="J44" s="79">
        <f t="shared" si="58"/>
        <v>-2146826265</v>
      </c>
      <c r="K44" s="79">
        <f t="shared" si="58"/>
        <v>-0.000397300000258838</v>
      </c>
      <c r="L44" s="79">
        <f t="shared" si="58"/>
        <v>7780.753</v>
      </c>
      <c r="M44" s="79">
        <f t="shared" ref="M44:U44" si="59">+M42-M24</f>
        <v>0</v>
      </c>
      <c r="N44" s="79">
        <f t="shared" si="59"/>
        <v>0</v>
      </c>
      <c r="O44" s="79">
        <f t="shared" si="59"/>
        <v>0</v>
      </c>
      <c r="P44" s="79">
        <f t="shared" si="59"/>
        <v>0</v>
      </c>
      <c r="Q44" s="79">
        <f t="shared" si="59"/>
        <v>0</v>
      </c>
      <c r="R44" s="80">
        <f t="shared" si="59"/>
        <v>9.99898475129157e-9</v>
      </c>
      <c r="S44" s="79">
        <f t="shared" si="59"/>
        <v>0</v>
      </c>
      <c r="T44" s="79">
        <f t="shared" si="59"/>
        <v>0</v>
      </c>
      <c r="U44" s="79">
        <f t="shared" si="59"/>
        <v>0</v>
      </c>
      <c r="V44" s="79">
        <f t="shared" ref="V44:AD44" si="60">+V42-V24</f>
        <v>0</v>
      </c>
      <c r="W44" s="79">
        <f t="shared" si="60"/>
        <v>0</v>
      </c>
      <c r="X44" s="79">
        <f t="shared" si="60"/>
        <v>0</v>
      </c>
      <c r="Y44" s="80">
        <f t="shared" si="60"/>
        <v>0</v>
      </c>
      <c r="Z44" s="80">
        <f t="shared" si="60"/>
        <v>0</v>
      </c>
      <c r="AA44" s="80">
        <f t="shared" si="60"/>
        <v>0</v>
      </c>
      <c r="AB44" s="80">
        <f t="shared" si="60"/>
        <v>0</v>
      </c>
      <c r="AC44" s="80">
        <f t="shared" si="60"/>
        <v>0</v>
      </c>
      <c r="AD44" s="80">
        <f t="shared" si="60"/>
        <v>0.00100000000020373</v>
      </c>
      <c r="AE44" s="80">
        <f t="shared" ref="AE44:AF44" si="61">+AE42-AE24</f>
        <v>0</v>
      </c>
      <c r="AF44" s="80">
        <f t="shared" si="61"/>
        <v>-0.000999999998384737</v>
      </c>
      <c r="AG44" s="80">
        <f t="shared" ref="AG44:AH44" si="62">+AG42-AG24</f>
        <v>0</v>
      </c>
      <c r="AH44" s="80">
        <f t="shared" si="62"/>
        <v>0</v>
      </c>
      <c r="AI44" s="80">
        <f t="shared" ref="AI44:AK44" si="63">+AI42-AI24</f>
        <v>0.00100000000020373</v>
      </c>
      <c r="AJ44" s="80">
        <f t="shared" si="63"/>
        <v>0</v>
      </c>
      <c r="AK44" s="80">
        <f t="shared" si="63"/>
        <v>0</v>
      </c>
      <c r="AL44" s="80">
        <f t="shared" ref="AL44:AM44" si="64">+AL42-AL24</f>
        <v>0</v>
      </c>
      <c r="AM44" s="80">
        <f t="shared" si="64"/>
        <v>0.00100000000020373</v>
      </c>
      <c r="AN44" s="79"/>
      <c r="AO44" s="81">
        <f t="shared" ref="AO44:AT44" si="65">+AO42-AO24</f>
        <v>0</v>
      </c>
      <c r="AP44" s="81">
        <f t="shared" si="65"/>
        <v>0</v>
      </c>
      <c r="AQ44" s="81">
        <f t="shared" si="65"/>
        <v>0</v>
      </c>
      <c r="AR44" s="81">
        <f t="shared" si="65"/>
        <v>0</v>
      </c>
      <c r="AS44" s="79">
        <f t="shared" si="65"/>
        <v>0</v>
      </c>
      <c r="AT44" s="80">
        <f t="shared" si="65"/>
        <v>0</v>
      </c>
      <c r="AU44" s="80">
        <f t="shared" ref="AU44:AZ44" si="66">+AU42-AU24</f>
        <v>0</v>
      </c>
      <c r="AV44" s="80">
        <f t="shared" si="66"/>
        <v>0</v>
      </c>
      <c r="AW44" s="80">
        <f t="shared" ref="AW44:AX44" si="67">+AW42-AW24</f>
        <v>0</v>
      </c>
      <c r="AX44" s="80">
        <f t="shared" si="67"/>
        <v>0</v>
      </c>
      <c r="AY44" s="80">
        <f t="shared" si="66"/>
        <v>0</v>
      </c>
      <c r="AZ44" s="80">
        <f t="shared" si="66"/>
        <v>0</v>
      </c>
      <c r="BA44" s="80">
        <f t="shared" ref="BA44" si="68">+BA42-BA24</f>
        <v>0</v>
      </c>
    </row>
    <row r="45" ht="11.45" customHeight="1" spans="1:60">
      <c r="A45" s="76"/>
      <c r="B45" s="76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54"/>
      <c r="AT45" s="54"/>
      <c r="AU45" s="54"/>
      <c r="AV45" s="54"/>
      <c r="AW45" s="54"/>
      <c r="AX45" s="54"/>
      <c r="AY45" s="54"/>
      <c r="AZ45" s="54"/>
      <c r="BA45" s="54"/>
    </row>
    <row r="46" ht="11.45" customHeight="1" spans="1:60">
      <c r="A46" s="82" t="s">
        <v>526</v>
      </c>
      <c r="B46" s="82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54"/>
      <c r="AT46" s="54"/>
      <c r="AU46" s="54"/>
      <c r="AV46" s="54"/>
      <c r="AW46" s="54"/>
      <c r="AX46" s="54"/>
      <c r="AY46" s="54"/>
      <c r="AZ46" s="54"/>
      <c r="BA46" s="54"/>
    </row>
    <row r="47" ht="11.45" customHeight="1" spans="1:60">
      <c r="A47" s="76"/>
      <c r="B47" s="76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77"/>
      <c r="AP47" s="77"/>
      <c r="AQ47" s="77"/>
      <c r="AR47" s="77"/>
      <c r="AS47" s="54"/>
      <c r="AT47" s="54"/>
      <c r="AU47" s="54"/>
      <c r="AV47" s="54"/>
      <c r="AW47" s="54"/>
      <c r="AX47" s="54"/>
      <c r="AY47" s="54"/>
      <c r="AZ47" s="54"/>
      <c r="BA47" s="54"/>
    </row>
    <row r="48" ht="11.45" customHeight="1" spans="1:60">
      <c r="A48" s="53"/>
      <c r="B48" s="83" t="s">
        <v>527</v>
      </c>
      <c r="C48" s="77">
        <v>0</v>
      </c>
      <c r="D48" s="77">
        <v>0</v>
      </c>
      <c r="E48" s="77">
        <v>0</v>
      </c>
      <c r="F48" s="77">
        <v>0</v>
      </c>
      <c r="G48" s="77">
        <v>0</v>
      </c>
      <c r="H48" s="77">
        <v>0</v>
      </c>
      <c r="I48" s="77">
        <v>0</v>
      </c>
      <c r="J48" s="77">
        <v>0</v>
      </c>
      <c r="K48" s="77" t="e">
        <f>K40/'Earnings Model'!#REF!</f>
        <v>#REF!</v>
      </c>
      <c r="L48" s="77">
        <f>L40/'Earnings Model'!P$81</f>
        <v>7.43007571641248</v>
      </c>
      <c r="M48" s="77">
        <f>M40/'Earnings Model'!Q$81</f>
        <v>3.89312398492356</v>
      </c>
      <c r="N48" s="77">
        <f>N40/'Earnings Model'!R$81</f>
        <v>6.83997471344933</v>
      </c>
      <c r="O48" s="77">
        <f>O40/'Earnings Model'!S$81</f>
        <v>6.91440377360466</v>
      </c>
      <c r="P48" s="77">
        <f>P40/'Earnings Model'!T$81</f>
        <v>6.79905594749224</v>
      </c>
      <c r="Q48" s="77">
        <f>Q40/'Earnings Model'!U$81</f>
        <v>6.84743209365435</v>
      </c>
      <c r="R48" s="77">
        <f>R40/'Earnings Model'!V$81</f>
        <v>7.03059700384311</v>
      </c>
      <c r="S48" s="77">
        <f>S40/'Earnings Model'!W$81</f>
        <v>7.14299079317481</v>
      </c>
      <c r="T48" s="77">
        <f>T40/'Earnings Model'!X$81</f>
        <v>7.34516325826901</v>
      </c>
      <c r="U48" s="77">
        <f>U40/'Earnings Model'!Y$81</f>
        <v>7.18618073791146</v>
      </c>
      <c r="V48" s="77">
        <f>V40/'Earnings Model'!Z$81</f>
        <v>7.40901302352723</v>
      </c>
      <c r="W48" s="77">
        <f>W40/'Earnings Model'!AA$81</f>
        <v>7.41681877686605</v>
      </c>
      <c r="X48" s="77">
        <f>X40/'Earnings Model'!AB$81</f>
        <v>7.73887558879402</v>
      </c>
      <c r="Y48" s="77">
        <f>Y40/'Earnings Model'!AC$81</f>
        <v>7.98628824954273</v>
      </c>
      <c r="Z48" s="77">
        <f>Z40/'Earnings Model'!AD$81</f>
        <v>8.51460185929254</v>
      </c>
      <c r="AA48" s="77">
        <f>AA40/'Earnings Model'!AE$81</f>
        <v>8.75366821037187</v>
      </c>
      <c r="AB48" s="77">
        <f>AB40/'Earnings Model'!AF$81</f>
        <v>8.78595483760798</v>
      </c>
      <c r="AC48" s="77">
        <f>AC40/'Earnings Model'!AG$81</f>
        <v>8.90655264793728</v>
      </c>
      <c r="AD48" s="77">
        <f>AD40/'Earnings Model'!AH$81</f>
        <v>8.90581788528727</v>
      </c>
      <c r="AE48" s="77">
        <f>AE40/'Earnings Model'!AI$81</f>
        <v>8.96308112475192</v>
      </c>
      <c r="AF48" s="77">
        <f>AF40/'Earnings Model'!AJ$81</f>
        <v>8.94858957073435</v>
      </c>
      <c r="AG48" s="77">
        <f>AG40/'Earnings Model'!AK$81</f>
        <v>8.90964211655063</v>
      </c>
      <c r="AH48" s="77">
        <f>AH40/'Earnings Model'!AL$81</f>
        <v>9.38158485786234</v>
      </c>
      <c r="AI48" s="77">
        <f>AI40/'Earnings Model'!AM$81</f>
        <v>10.0905559741567</v>
      </c>
      <c r="AJ48" s="77">
        <f>AJ40/'Earnings Model'!AN$81</f>
        <v>10.4313624606805</v>
      </c>
      <c r="AK48" s="77">
        <f>AK40/'Earnings Model'!AO$81</f>
        <v>10.6132905176601</v>
      </c>
      <c r="AL48" s="77">
        <f>AL40/'Earnings Model'!AP$81</f>
        <v>10.7864264694494</v>
      </c>
      <c r="AM48" s="77">
        <f>AM40/'Earnings Model'!AQ$81</f>
        <v>11.3268130073288</v>
      </c>
      <c r="AN48" s="77"/>
      <c r="AO48" s="84">
        <f>AO40/'Earnings Model'!BG82</f>
        <v>1.1664288960044</v>
      </c>
      <c r="AP48" s="84">
        <f>AP40/'Earnings Model'!BH82</f>
        <v>1.56797466949878</v>
      </c>
      <c r="AQ48" s="84">
        <f>AQ40/'Earnings Model'!BI82</f>
        <v>4.26447933697462</v>
      </c>
      <c r="AR48" s="84">
        <f>AR40/'Earnings Model'!BJ82</f>
        <v>6.9144034428045</v>
      </c>
      <c r="AS48" s="84">
        <f>AS40/'Earnings Model'!BK82</f>
        <v>7.11151871584242</v>
      </c>
      <c r="AT48" s="84">
        <f>AT40/'Earnings Model'!BL82</f>
        <v>7.41818103053291</v>
      </c>
      <c r="AU48" s="84">
        <f>AU40/'Earnings Model'!BM82</f>
        <v>8.75926600348129</v>
      </c>
      <c r="AV48" s="84">
        <f>AV40/'Earnings Model'!BN82</f>
        <v>8.97249099651596</v>
      </c>
      <c r="AW48" s="84">
        <f>AW40/'Earnings Model'!BO82</f>
        <v>10.0485608957601</v>
      </c>
      <c r="AX48" s="84">
        <f>AX40/'Earnings Model'!BP82</f>
        <v>11.3058067060607</v>
      </c>
      <c r="AY48" s="84">
        <f>AY40/'Earnings Model'!BQ82</f>
        <v>20.0315126163219</v>
      </c>
      <c r="AZ48" s="84">
        <f>AZ40/'Earnings Model'!BR82</f>
        <v>26.5643774078874</v>
      </c>
      <c r="BA48" s="84">
        <f>BA40/'Earnings Model'!BS82</f>
        <v>36.0265507016367</v>
      </c>
    </row>
    <row r="49" ht="11.45" customHeight="1" spans="1:53">
      <c r="A49" s="53"/>
      <c r="B49" s="83" t="s">
        <v>528</v>
      </c>
      <c r="C49" s="77" t="e">
        <f>(+C40-C21)/'Earnings Model'!#REF!</f>
        <v>#REF!</v>
      </c>
      <c r="D49" s="77" t="e">
        <f>(+D40-D21)/'Earnings Model'!#REF!</f>
        <v>#REF!</v>
      </c>
      <c r="E49" s="77" t="e">
        <f>(+E40-E21)/'Earnings Model'!#REF!</f>
        <v>#REF!</v>
      </c>
      <c r="F49" s="77" t="e">
        <f>(+F40-F21)/'Earnings Model'!#REF!</f>
        <v>#REF!</v>
      </c>
      <c r="G49" s="77" t="e">
        <f>(+G40-G21)/'Earnings Model'!#REF!</f>
        <v>#REF!</v>
      </c>
      <c r="H49" s="77" t="e">
        <f>(+H40-H21)/'Earnings Model'!#REF!</f>
        <v>#REF!</v>
      </c>
      <c r="I49" s="77" t="e">
        <f>(+I40-I21)/'Earnings Model'!#REF!</f>
        <v>#REF!</v>
      </c>
      <c r="J49" s="77" t="e">
        <f>(+J40-J21)/'Earnings Model'!#REF!</f>
        <v>#REF!</v>
      </c>
      <c r="K49" s="77" t="e">
        <f>(+K40-K21)/'Earnings Model'!#REF!</f>
        <v>#REF!</v>
      </c>
      <c r="L49" s="77">
        <f>(+L40-L21)/'Earnings Model'!P82</f>
        <v>7.43007571641248</v>
      </c>
      <c r="M49" s="77">
        <f>(+M40-M21)/'Earnings Model'!Q82</f>
        <v>3.86933031265368</v>
      </c>
      <c r="N49" s="77">
        <f>(+N40-N21)/'Earnings Model'!R82</f>
        <v>6.32169188910741</v>
      </c>
      <c r="O49" s="77">
        <f>(+O40-O21)/'Earnings Model'!S82</f>
        <v>6.47319161446043</v>
      </c>
      <c r="P49" s="77">
        <f>(+P40-P21)/'Earnings Model'!T82</f>
        <v>6.78795021723045</v>
      </c>
      <c r="Q49" s="77">
        <f>(+Q40-Q21)/'Earnings Model'!U82</f>
        <v>6.83961827960177</v>
      </c>
      <c r="R49" s="77">
        <f>(+R40-R21)/'Earnings Model'!V82</f>
        <v>7.02454259941902</v>
      </c>
      <c r="S49" s="77">
        <f>(+S40-S21)/'Earnings Model'!W82</f>
        <v>7.133921158704</v>
      </c>
      <c r="T49" s="77">
        <f>(+T40-T21)/'Earnings Model'!X82</f>
        <v>7.3364464249401</v>
      </c>
      <c r="U49" s="77">
        <f>(+U40-U21)/'Earnings Model'!Y82</f>
        <v>7.17895104462304</v>
      </c>
      <c r="V49" s="77">
        <f>(+V40-V21)/'Earnings Model'!Z82</f>
        <v>7.38888093154028</v>
      </c>
      <c r="W49" s="77">
        <f>(+W40-W21)/'Earnings Model'!AA82</f>
        <v>7.30667626029009</v>
      </c>
      <c r="X49" s="77">
        <f>(+X40-X21)/'Earnings Model'!AB82</f>
        <v>7.6298339371341</v>
      </c>
      <c r="Y49" s="77">
        <f>(+Y40-Y21)/'Earnings Model'!AC82</f>
        <v>7.8793139975848</v>
      </c>
      <c r="Z49" s="77">
        <f>(+Z40-Z21)/'Earnings Model'!AD82</f>
        <v>8.40814196886713</v>
      </c>
      <c r="AA49" s="77">
        <f>(+AA40-AA21)/'Earnings Model'!AE82</f>
        <v>8.63808343062321</v>
      </c>
      <c r="AB49" s="77">
        <f>(+AB40-AB21)/'Earnings Model'!AF82</f>
        <v>8.67270028994488</v>
      </c>
      <c r="AC49" s="77">
        <f>(+AC40-AC21)/'Earnings Model'!AG82</f>
        <v>8.77667346312547</v>
      </c>
      <c r="AD49" s="77">
        <f>(+AD40-AD21)/'Earnings Model'!AH82</f>
        <v>8.78034337192709</v>
      </c>
      <c r="AE49" s="77">
        <f>(+AE40-AE21)/'Earnings Model'!AI82</f>
        <v>8.84234592619913</v>
      </c>
      <c r="AF49" s="77">
        <f>(+AF40-AF21)/'Earnings Model'!AJ82</f>
        <v>8.83344240407688</v>
      </c>
      <c r="AG49" s="77">
        <f>(+AG40-AG21)/'Earnings Model'!AK82</f>
        <v>8.79944649882913</v>
      </c>
      <c r="AH49" s="77">
        <f>(+AH40-AH21)/'Earnings Model'!AL82</f>
        <v>9.27200289621224</v>
      </c>
      <c r="AI49" s="77">
        <f>(+AI40-AI21)/'Earnings Model'!AM82</f>
        <v>9.97212824601589</v>
      </c>
      <c r="AJ49" s="77">
        <f>(+AJ40-AJ21)/'Earnings Model'!AN82</f>
        <v>10.3200240393645</v>
      </c>
      <c r="AK49" s="77">
        <f>(+AK40-AK21)/'Earnings Model'!AO82</f>
        <v>10.5068359581254</v>
      </c>
      <c r="AL49" s="77">
        <f>(+AL40-AL21)/'Earnings Model'!AP82</f>
        <v>10.6810948093183</v>
      </c>
      <c r="AM49" s="77">
        <f>(+AM40-AM21)/'Earnings Model'!AQ82</f>
        <v>11.2269902423914</v>
      </c>
      <c r="AN49" s="77"/>
      <c r="AO49" s="84">
        <f>(AO40-AO21)/'Earnings Model'!BG82</f>
        <v>1.14272051907977</v>
      </c>
      <c r="AP49" s="84">
        <f>(AP40-AP21)/'Earnings Model'!BH82</f>
        <v>1.54051479990278</v>
      </c>
      <c r="AQ49" s="84">
        <f>(AQ40-AQ21)/'Earnings Model'!BI82</f>
        <v>4.23384867293777</v>
      </c>
      <c r="AR49" s="84">
        <f>(AR40-AR21)/'Earnings Model'!BJ82</f>
        <v>6.89910062203674</v>
      </c>
      <c r="AS49" s="84">
        <f>(AS40-AS21)/'Earnings Model'!BK82</f>
        <v>7.10248904225714</v>
      </c>
      <c r="AT49" s="84">
        <f>(AT40-AT21)/'Earnings Model'!BL82</f>
        <v>7.30801828398348</v>
      </c>
      <c r="AU49" s="84">
        <f>(AU40-AU21)/'Earnings Model'!BM82</f>
        <v>8.64360730961251</v>
      </c>
      <c r="AV49" s="84">
        <f>(AV40-AV21)/'Earnings Model'!BN82</f>
        <v>8.8516290443703</v>
      </c>
      <c r="AW49" s="84">
        <f>(AW40-AW21)/'Earnings Model'!BO82</f>
        <v>9.93062603216702</v>
      </c>
      <c r="AX49" s="84">
        <f>(AX40-AX21)/'Earnings Model'!BP82</f>
        <v>11.2061690611028</v>
      </c>
      <c r="AY49" s="84">
        <f>(AY40-AY21)/'Earnings Model'!BQ82</f>
        <v>19.9316898513845</v>
      </c>
      <c r="AZ49" s="84">
        <f>(AZ40-AZ21)/'Earnings Model'!BR82</f>
        <v>26.46455464295</v>
      </c>
      <c r="BA49" s="84">
        <f>(BA40-BA21)/'Earnings Model'!BS82</f>
        <v>35.9267279366993</v>
      </c>
    </row>
    <row r="50" ht="11.45" customHeight="1" spans="1:53">
      <c r="A50" s="53"/>
      <c r="B50" s="83" t="s">
        <v>529</v>
      </c>
      <c r="C50" s="77" t="e">
        <f>C9/'Earnings Model'!#REF!</f>
        <v>#REF!</v>
      </c>
      <c r="D50" s="77" t="e">
        <f>D9/'Earnings Model'!#REF!</f>
        <v>#REF!</v>
      </c>
      <c r="E50" s="77" t="e">
        <f>E9/'Earnings Model'!#REF!</f>
        <v>#REF!</v>
      </c>
      <c r="F50" s="77" t="e">
        <f>F9/'Earnings Model'!#REF!</f>
        <v>#REF!</v>
      </c>
      <c r="G50" s="77" t="e">
        <f>G9/'Earnings Model'!#REF!</f>
        <v>#REF!</v>
      </c>
      <c r="H50" s="77" t="e">
        <f>H9/'Earnings Model'!#REF!</f>
        <v>#REF!</v>
      </c>
      <c r="I50" s="77" t="e">
        <f>I9/'Earnings Model'!#REF!</f>
        <v>#REF!</v>
      </c>
      <c r="J50" s="77" t="e">
        <f>J9/'Earnings Model'!#REF!</f>
        <v>#REF!</v>
      </c>
      <c r="K50" s="77" t="e">
        <f>K9/'Earnings Model'!#REF!</f>
        <v>#REF!</v>
      </c>
      <c r="L50" s="77">
        <f>L9/'Earnings Model'!P82</f>
        <v>0</v>
      </c>
      <c r="M50" s="77">
        <f>M9/'Earnings Model'!Q82</f>
        <v>3.84871962137974</v>
      </c>
      <c r="N50" s="77">
        <f>N9/'Earnings Model'!R82</f>
        <v>6.31342946715123</v>
      </c>
      <c r="O50" s="77">
        <f>O9/'Earnings Model'!S82</f>
        <v>6.51243881797358</v>
      </c>
      <c r="P50" s="77">
        <f>P9/'Earnings Model'!T82</f>
        <v>6.81264973808963</v>
      </c>
      <c r="Q50" s="77">
        <f>Q9/'Earnings Model'!U82</f>
        <v>6.8234350898555</v>
      </c>
      <c r="R50" s="77">
        <f>R9/'Earnings Model'!V82</f>
        <v>6.08236166337114</v>
      </c>
      <c r="S50" s="77">
        <f>S9/'Earnings Model'!W82</f>
        <v>5.61684666679648</v>
      </c>
      <c r="T50" s="77">
        <f>T9/'Earnings Model'!X82</f>
        <v>5.71892611159739</v>
      </c>
      <c r="U50" s="77">
        <f>U9/'Earnings Model'!Y82</f>
        <v>5.53093551895175</v>
      </c>
      <c r="V50" s="77">
        <f>V9/'Earnings Model'!Z82</f>
        <v>5.95446451464594</v>
      </c>
      <c r="W50" s="77">
        <f>W9/'Earnings Model'!AA82</f>
        <v>5.89273380258409</v>
      </c>
      <c r="X50" s="77">
        <f>X9/'Earnings Model'!AB82</f>
        <v>6.13518340006921</v>
      </c>
      <c r="Y50" s="77">
        <f>Y9/'Earnings Model'!AC82</f>
        <v>6.8476841945439</v>
      </c>
      <c r="Z50" s="77">
        <f>Z9/'Earnings Model'!AD82</f>
        <v>6.40316868329662</v>
      </c>
      <c r="AA50" s="77">
        <f>AA9/'Earnings Model'!AE82</f>
        <v>6.59618999918876</v>
      </c>
      <c r="AB50" s="77">
        <f>AB9/'Earnings Model'!AF82</f>
        <v>6.11895486049373</v>
      </c>
      <c r="AC50" s="77">
        <f>AC9/'Earnings Model'!AG82</f>
        <v>6.72285922537954</v>
      </c>
      <c r="AD50" s="77">
        <f>AD9/'Earnings Model'!AH82</f>
        <v>6.46464084611004</v>
      </c>
      <c r="AE50" s="77">
        <f>AE9/'Earnings Model'!AI82</f>
        <v>6.53954546252876</v>
      </c>
      <c r="AF50" s="77">
        <f>AF9/'Earnings Model'!AJ82</f>
        <v>6.48305285944943</v>
      </c>
      <c r="AG50" s="77">
        <f>AG9/'Earnings Model'!AK82</f>
        <v>6.45145125413834</v>
      </c>
      <c r="AH50" s="77">
        <f>AH9/'Earnings Model'!AL82</f>
        <v>6.88120726508081</v>
      </c>
      <c r="AI50" s="77">
        <f>AI9/'Earnings Model'!AM82</f>
        <v>7.63822943219679</v>
      </c>
      <c r="AJ50" s="77">
        <f>AJ9/'Earnings Model'!AN82</f>
        <v>7.64143960153356</v>
      </c>
      <c r="AK50" s="77">
        <f>AK9/'Earnings Model'!AO82</f>
        <v>7.93803636926846</v>
      </c>
      <c r="AL50" s="77">
        <f>AL9/'Earnings Model'!AP82</f>
        <v>8.31135554022373</v>
      </c>
      <c r="AM50" s="77">
        <f>AM9/'Earnings Model'!AQ82</f>
        <v>8.18615489675662</v>
      </c>
      <c r="AN50" s="77"/>
      <c r="AO50" s="84">
        <f>AO9/'Earnings Model'!BG82</f>
        <v>0.600174100962707</v>
      </c>
      <c r="AP50" s="84">
        <f>AP9/'Earnings Model'!BH82</f>
        <v>0.908529626224519</v>
      </c>
      <c r="AQ50" s="84">
        <f>AQ9/'Earnings Model'!BI82</f>
        <v>4.34024750604994</v>
      </c>
      <c r="AR50" s="84">
        <f>AR9/'Earnings Model'!BJ82</f>
        <v>6.94093061251847</v>
      </c>
      <c r="AS50" s="84">
        <f>AS9/'Earnings Model'!BK82</f>
        <v>5.59209879328242</v>
      </c>
      <c r="AT50" s="84">
        <f>AT9/'Earnings Model'!BL82</f>
        <v>5.89381612621527</v>
      </c>
      <c r="AU50" s="84">
        <f>AU9/'Earnings Model'!BM82</f>
        <v>6.60040812878181</v>
      </c>
      <c r="AV50" s="84">
        <f>AV9/'Earnings Model'!BN82</f>
        <v>6.54641099050302</v>
      </c>
      <c r="AW50" s="84">
        <f>AW9/'Earnings Model'!BO82</f>
        <v>6.52488442815412</v>
      </c>
      <c r="AX50" s="84">
        <f>AX9/'Earnings Model'!BP82</f>
        <v>6.46848437828364</v>
      </c>
      <c r="AY50" s="84">
        <f>AY9/'Earnings Model'!BQ82</f>
        <v>15.318532691327</v>
      </c>
      <c r="AZ50" s="84">
        <f>AZ9/'Earnings Model'!BR82</f>
        <v>21.0654350889605</v>
      </c>
      <c r="BA50" s="84">
        <f>BA9/'Earnings Model'!BS82</f>
        <v>29.8445702548182</v>
      </c>
    </row>
    <row r="51" ht="11.45" customHeight="1" spans="1:53">
      <c r="A51" s="49"/>
      <c r="B51" s="83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84"/>
      <c r="AP51" s="84"/>
      <c r="AQ51" s="84"/>
      <c r="AR51" s="84"/>
      <c r="AS51" s="49"/>
      <c r="AT51" s="49"/>
      <c r="AU51" s="49"/>
      <c r="AV51" s="49"/>
      <c r="AW51" s="49"/>
      <c r="AX51" s="49"/>
      <c r="AY51" s="49"/>
      <c r="AZ51" s="49"/>
      <c r="BA51" s="49"/>
    </row>
    <row r="52" ht="11.45" customHeight="1" spans="1:53">
      <c r="A52" s="53"/>
      <c r="B52" s="83" t="s">
        <v>530</v>
      </c>
      <c r="C52" s="71">
        <f>(C31)/C40</f>
        <v>0</v>
      </c>
      <c r="D52" s="71">
        <f t="shared" ref="D52:L52" si="69">(D31)/D40</f>
        <v>0</v>
      </c>
      <c r="E52" s="71">
        <f t="shared" si="69"/>
        <v>0</v>
      </c>
      <c r="F52" s="71">
        <f t="shared" si="69"/>
        <v>0</v>
      </c>
      <c r="G52" s="71">
        <f t="shared" si="69"/>
        <v>0</v>
      </c>
      <c r="H52" s="71">
        <f t="shared" si="69"/>
        <v>0</v>
      </c>
      <c r="I52" s="71">
        <f t="shared" si="69"/>
        <v>0</v>
      </c>
      <c r="J52" s="71">
        <f t="shared" si="69"/>
        <v>0</v>
      </c>
      <c r="K52" s="71">
        <f t="shared" si="69"/>
        <v>0</v>
      </c>
      <c r="L52" s="71">
        <f t="shared" si="69"/>
        <v>0</v>
      </c>
      <c r="M52" s="71">
        <f t="shared" ref="M52:R52" si="70">(M31)/M40</f>
        <v>0</v>
      </c>
      <c r="N52" s="71">
        <f t="shared" si="70"/>
        <v>0</v>
      </c>
      <c r="O52" s="71">
        <f t="shared" si="70"/>
        <v>0</v>
      </c>
      <c r="P52" s="71">
        <f t="shared" si="70"/>
        <v>0</v>
      </c>
      <c r="Q52" s="71">
        <f t="shared" si="70"/>
        <v>0</v>
      </c>
      <c r="R52" s="71">
        <f t="shared" si="70"/>
        <v>0</v>
      </c>
      <c r="S52" s="71">
        <f t="shared" ref="S52:Z52" si="71">(S31)/S40</f>
        <v>0</v>
      </c>
      <c r="T52" s="71">
        <f t="shared" si="71"/>
        <v>0</v>
      </c>
      <c r="U52" s="71">
        <f t="shared" si="71"/>
        <v>0</v>
      </c>
      <c r="V52" s="71">
        <f t="shared" si="71"/>
        <v>0</v>
      </c>
      <c r="W52" s="71">
        <f t="shared" si="71"/>
        <v>0</v>
      </c>
      <c r="X52" s="71">
        <f t="shared" si="71"/>
        <v>0</v>
      </c>
      <c r="Y52" s="71">
        <f t="shared" si="71"/>
        <v>0</v>
      </c>
      <c r="Z52" s="71">
        <f t="shared" si="71"/>
        <v>0</v>
      </c>
      <c r="AA52" s="71">
        <f t="shared" ref="AA52:AF52" si="72">(AA31)/AA40</f>
        <v>0</v>
      </c>
      <c r="AB52" s="71">
        <f t="shared" si="72"/>
        <v>0</v>
      </c>
      <c r="AC52" s="71">
        <f t="shared" si="72"/>
        <v>0</v>
      </c>
      <c r="AD52" s="71">
        <f t="shared" si="72"/>
        <v>0</v>
      </c>
      <c r="AE52" s="71">
        <f t="shared" si="72"/>
        <v>0</v>
      </c>
      <c r="AF52" s="71">
        <f t="shared" si="72"/>
        <v>0</v>
      </c>
      <c r="AG52" s="71">
        <f t="shared" ref="AG52:AH52" si="73">(AG31)/AG40</f>
        <v>0</v>
      </c>
      <c r="AH52" s="71">
        <f t="shared" si="73"/>
        <v>0</v>
      </c>
      <c r="AI52" s="71">
        <f t="shared" ref="AI52:AK52" si="74">(AI31)/AI40</f>
        <v>0</v>
      </c>
      <c r="AJ52" s="71">
        <f t="shared" si="74"/>
        <v>0</v>
      </c>
      <c r="AK52" s="71">
        <f t="shared" si="74"/>
        <v>0</v>
      </c>
      <c r="AL52" s="71">
        <f t="shared" ref="AL52:AM52" si="75">(AL31)/AL40</f>
        <v>0</v>
      </c>
      <c r="AM52" s="71">
        <f t="shared" si="75"/>
        <v>0</v>
      </c>
      <c r="AN52" s="71"/>
      <c r="AO52" s="71">
        <f t="shared" ref="AO52:AT52" si="76">(AO31)/AO40</f>
        <v>0</v>
      </c>
      <c r="AP52" s="71">
        <f t="shared" si="76"/>
        <v>0</v>
      </c>
      <c r="AQ52" s="71">
        <f t="shared" si="76"/>
        <v>0</v>
      </c>
      <c r="AR52" s="71">
        <f t="shared" si="76"/>
        <v>0</v>
      </c>
      <c r="AS52" s="71">
        <f t="shared" si="76"/>
        <v>0</v>
      </c>
      <c r="AT52" s="71">
        <f t="shared" si="76"/>
        <v>0</v>
      </c>
      <c r="AU52" s="71">
        <f t="shared" ref="AU52:AZ52" si="77">(AU31)/AU40</f>
        <v>0</v>
      </c>
      <c r="AV52" s="71">
        <f t="shared" si="77"/>
        <v>0</v>
      </c>
      <c r="AW52" s="71">
        <f t="shared" ref="AW52" si="78">(AW31)/AW40</f>
        <v>0</v>
      </c>
      <c r="AX52" s="71">
        <f t="shared" si="77"/>
        <v>0</v>
      </c>
      <c r="AY52" s="71">
        <f t="shared" si="77"/>
        <v>0</v>
      </c>
      <c r="AZ52" s="71">
        <f t="shared" si="77"/>
        <v>0</v>
      </c>
      <c r="BA52" s="71">
        <f t="shared" ref="BA52" si="79">(BA31)/BA40</f>
        <v>0</v>
      </c>
    </row>
    <row r="53" ht="11.45" customHeight="1" spans="1:53">
      <c r="A53" s="54"/>
      <c r="B53" s="83" t="s">
        <v>531</v>
      </c>
      <c r="C53" s="71">
        <f>(C27+C31)/C40</f>
        <v>0</v>
      </c>
      <c r="D53" s="71">
        <f t="shared" ref="D53:L53" si="80">(D27+D31)/D40</f>
        <v>0</v>
      </c>
      <c r="E53" s="71">
        <f t="shared" si="80"/>
        <v>0</v>
      </c>
      <c r="F53" s="71">
        <f t="shared" si="80"/>
        <v>0</v>
      </c>
      <c r="G53" s="71">
        <f t="shared" si="80"/>
        <v>0</v>
      </c>
      <c r="H53" s="71">
        <f t="shared" si="80"/>
        <v>0</v>
      </c>
      <c r="I53" s="71">
        <f t="shared" si="80"/>
        <v>0</v>
      </c>
      <c r="J53" s="71">
        <f t="shared" si="80"/>
        <v>0</v>
      </c>
      <c r="K53" s="71">
        <f t="shared" si="80"/>
        <v>0</v>
      </c>
      <c r="L53" s="71">
        <f t="shared" si="80"/>
        <v>0</v>
      </c>
      <c r="M53" s="71">
        <f t="shared" ref="M53:R53" si="81">(M27+M31)/M40</f>
        <v>0</v>
      </c>
      <c r="N53" s="71">
        <f t="shared" si="81"/>
        <v>0</v>
      </c>
      <c r="O53" s="71">
        <f t="shared" si="81"/>
        <v>0</v>
      </c>
      <c r="P53" s="71">
        <f t="shared" si="81"/>
        <v>0</v>
      </c>
      <c r="Q53" s="71">
        <f t="shared" si="81"/>
        <v>0</v>
      </c>
      <c r="R53" s="71">
        <f t="shared" si="81"/>
        <v>0</v>
      </c>
      <c r="S53" s="71">
        <f t="shared" ref="S53:Z53" si="82">(S27+S31)/S40</f>
        <v>0</v>
      </c>
      <c r="T53" s="71">
        <f t="shared" si="82"/>
        <v>0</v>
      </c>
      <c r="U53" s="71">
        <f t="shared" si="82"/>
        <v>0</v>
      </c>
      <c r="V53" s="71">
        <f t="shared" si="82"/>
        <v>0</v>
      </c>
      <c r="W53" s="71">
        <f t="shared" si="82"/>
        <v>0</v>
      </c>
      <c r="X53" s="71">
        <f t="shared" si="82"/>
        <v>0</v>
      </c>
      <c r="Y53" s="71">
        <f t="shared" si="82"/>
        <v>0</v>
      </c>
      <c r="Z53" s="71">
        <f t="shared" si="82"/>
        <v>0</v>
      </c>
      <c r="AA53" s="71">
        <f t="shared" ref="AA53:AF53" si="83">(AA27+AA31)/AA40</f>
        <v>0</v>
      </c>
      <c r="AB53" s="71">
        <f t="shared" si="83"/>
        <v>0</v>
      </c>
      <c r="AC53" s="71">
        <f t="shared" si="83"/>
        <v>0</v>
      </c>
      <c r="AD53" s="71">
        <f t="shared" si="83"/>
        <v>0</v>
      </c>
      <c r="AE53" s="71">
        <f t="shared" si="83"/>
        <v>0</v>
      </c>
      <c r="AF53" s="71">
        <f t="shared" si="83"/>
        <v>0</v>
      </c>
      <c r="AG53" s="71">
        <f t="shared" ref="AG53:AH53" si="84">(AG27+AG31)/AG40</f>
        <v>0</v>
      </c>
      <c r="AH53" s="71">
        <f t="shared" si="84"/>
        <v>0</v>
      </c>
      <c r="AI53" s="71">
        <f t="shared" ref="AI53:AK53" si="85">(AI27+AI31)/AI40</f>
        <v>0</v>
      </c>
      <c r="AJ53" s="71">
        <f t="shared" si="85"/>
        <v>0</v>
      </c>
      <c r="AK53" s="71">
        <f t="shared" si="85"/>
        <v>0</v>
      </c>
      <c r="AL53" s="71">
        <f t="shared" ref="AL53:AM53" si="86">(AL27+AL31)/AL40</f>
        <v>0</v>
      </c>
      <c r="AM53" s="71">
        <f t="shared" si="86"/>
        <v>0</v>
      </c>
      <c r="AN53" s="71"/>
      <c r="AO53" s="71">
        <f t="shared" ref="AO53:AT53" si="87">(AO27+AO31)/AO40</f>
        <v>0</v>
      </c>
      <c r="AP53" s="71">
        <f t="shared" si="87"/>
        <v>0</v>
      </c>
      <c r="AQ53" s="71">
        <f t="shared" si="87"/>
        <v>0</v>
      </c>
      <c r="AR53" s="71">
        <f t="shared" si="87"/>
        <v>0</v>
      </c>
      <c r="AS53" s="71">
        <f t="shared" si="87"/>
        <v>0</v>
      </c>
      <c r="AT53" s="71">
        <f t="shared" si="87"/>
        <v>0</v>
      </c>
      <c r="AU53" s="71">
        <f t="shared" ref="AU53:AZ53" si="88">(AU27+AU31)/AU40</f>
        <v>0</v>
      </c>
      <c r="AV53" s="71">
        <f t="shared" si="88"/>
        <v>0</v>
      </c>
      <c r="AW53" s="71">
        <f t="shared" ref="AW53" si="89">(AW27+AW31)/AW40</f>
        <v>0</v>
      </c>
      <c r="AX53" s="71">
        <f t="shared" si="88"/>
        <v>0</v>
      </c>
      <c r="AY53" s="71">
        <f t="shared" si="88"/>
        <v>0</v>
      </c>
      <c r="AZ53" s="71">
        <f t="shared" si="88"/>
        <v>0</v>
      </c>
      <c r="BA53" s="71">
        <f t="shared" ref="BA53" si="90">(BA27+BA31)/BA40</f>
        <v>0</v>
      </c>
    </row>
    <row r="54" ht="11.45" customHeight="1" spans="1:53">
      <c r="A54" s="54"/>
      <c r="B54" s="83" t="s">
        <v>532</v>
      </c>
      <c r="C54" s="84">
        <f>C16-C30</f>
        <v>0</v>
      </c>
      <c r="D54" s="84">
        <f t="shared" ref="D54:L54" si="91">D16-D30</f>
        <v>0</v>
      </c>
      <c r="E54" s="84">
        <f t="shared" si="91"/>
        <v>0</v>
      </c>
      <c r="F54" s="84">
        <f t="shared" si="91"/>
        <v>0</v>
      </c>
      <c r="G54" s="84">
        <f t="shared" si="91"/>
        <v>0</v>
      </c>
      <c r="H54" s="84">
        <f t="shared" si="91"/>
        <v>0</v>
      </c>
      <c r="I54" s="84">
        <f t="shared" si="91"/>
        <v>0</v>
      </c>
      <c r="J54" s="84">
        <f t="shared" si="91"/>
        <v>0</v>
      </c>
      <c r="K54" s="84">
        <f t="shared" si="91"/>
        <v>3659.50842279</v>
      </c>
      <c r="L54" s="84">
        <f t="shared" si="91"/>
        <v>0</v>
      </c>
      <c r="M54" s="84">
        <f t="shared" ref="M54:R54" si="92">M16-M30</f>
        <v>4114.47465774</v>
      </c>
      <c r="N54" s="84">
        <f t="shared" si="92"/>
        <v>7215.702</v>
      </c>
      <c r="O54" s="84">
        <f t="shared" si="92"/>
        <v>7399.03357871</v>
      </c>
      <c r="P54" s="84">
        <f t="shared" si="92"/>
        <v>7728.08735696</v>
      </c>
      <c r="Q54" s="84">
        <f t="shared" si="92"/>
        <v>7412.77438533</v>
      </c>
      <c r="R54" s="84">
        <f t="shared" si="92"/>
        <v>7505.09839448</v>
      </c>
      <c r="S54" s="84">
        <f t="shared" ref="S54:Z54" si="93">S16-S30</f>
        <v>6423.315</v>
      </c>
      <c r="T54" s="84">
        <f t="shared" si="93"/>
        <v>6567.721</v>
      </c>
      <c r="U54" s="84">
        <f t="shared" si="93"/>
        <v>6404.853</v>
      </c>
      <c r="V54" s="84">
        <f t="shared" si="93"/>
        <v>6986.232</v>
      </c>
      <c r="W54" s="84">
        <f t="shared" si="93"/>
        <v>6985.759</v>
      </c>
      <c r="X54" s="84">
        <f t="shared" si="93"/>
        <v>7310.65</v>
      </c>
      <c r="Y54" s="84">
        <f t="shared" si="93"/>
        <v>7609.162</v>
      </c>
      <c r="Z54" s="84">
        <f t="shared" si="93"/>
        <v>7907.719</v>
      </c>
      <c r="AA54" s="84">
        <f t="shared" ref="AA54:AF54" si="94">AA16-AA30</f>
        <v>7997.049</v>
      </c>
      <c r="AB54" s="84">
        <f t="shared" si="94"/>
        <v>7816.669</v>
      </c>
      <c r="AC54" s="84">
        <f t="shared" si="94"/>
        <v>7918.585</v>
      </c>
      <c r="AD54" s="84">
        <f t="shared" si="94"/>
        <v>7938.196</v>
      </c>
      <c r="AE54" s="84">
        <f t="shared" si="94"/>
        <v>7904.954</v>
      </c>
      <c r="AF54" s="84">
        <f t="shared" si="94"/>
        <v>7814.002</v>
      </c>
      <c r="AG54" s="84">
        <f t="shared" ref="AG54:AH54" si="95">AG16-AG30</f>
        <v>7727.91</v>
      </c>
      <c r="AH54" s="84">
        <f t="shared" si="95"/>
        <v>7975.734</v>
      </c>
      <c r="AI54" s="84">
        <f t="shared" ref="AI54:AK54" si="96">AI16-AI30</f>
        <v>8781.426</v>
      </c>
      <c r="AJ54" s="84">
        <f t="shared" si="96"/>
        <v>9355.45</v>
      </c>
      <c r="AK54" s="84">
        <f t="shared" si="96"/>
        <v>9527.871</v>
      </c>
      <c r="AL54" s="84">
        <f t="shared" ref="AL54:AM54" si="97">AL16-AL30</f>
        <v>9999.804</v>
      </c>
      <c r="AM54" s="84">
        <f t="shared" si="97"/>
        <v>10264.432</v>
      </c>
      <c r="AN54" s="84"/>
      <c r="AO54" s="84">
        <f t="shared" ref="AO54:AT54" si="98">AO16-AO30</f>
        <v>858.244</v>
      </c>
      <c r="AP54" s="84">
        <f t="shared" si="98"/>
        <v>1158.346</v>
      </c>
      <c r="AQ54" s="84">
        <f t="shared" si="98"/>
        <v>3659.508</v>
      </c>
      <c r="AR54" s="84">
        <f t="shared" si="98"/>
        <v>7399.033</v>
      </c>
      <c r="AS54" s="84">
        <f t="shared" si="98"/>
        <v>6423.315</v>
      </c>
      <c r="AT54" s="84">
        <f t="shared" si="98"/>
        <v>6985.759</v>
      </c>
      <c r="AU54" s="84">
        <f t="shared" ref="AU54:AZ54" si="99">AU16-AU30</f>
        <v>7997.049</v>
      </c>
      <c r="AV54" s="84">
        <f t="shared" si="99"/>
        <v>7904.954</v>
      </c>
      <c r="AW54" s="84">
        <f t="shared" ref="AW54" si="100">AW16-AW30</f>
        <v>8781.426</v>
      </c>
      <c r="AX54" s="84">
        <f t="shared" si="99"/>
        <v>10264.432</v>
      </c>
      <c r="AY54" s="84">
        <f t="shared" si="99"/>
        <v>20135.9661724817</v>
      </c>
      <c r="AZ54" s="84">
        <f t="shared" si="99"/>
        <v>27539.5478811884</v>
      </c>
      <c r="BA54" s="84">
        <f t="shared" ref="BA54" si="101">BA16-BA30</f>
        <v>38271.8317305006</v>
      </c>
    </row>
    <row r="55" ht="11.45" customHeight="1" spans="1:53">
      <c r="A55" s="54"/>
      <c r="B55" s="83" t="s">
        <v>533</v>
      </c>
      <c r="C55" s="84" t="e">
        <f>C16/C30</f>
        <v>#DIV/0!</v>
      </c>
      <c r="D55" s="84" t="e">
        <f t="shared" ref="D55:K55" si="102">D16/D30</f>
        <v>#DIV/0!</v>
      </c>
      <c r="E55" s="84" t="e">
        <f t="shared" si="102"/>
        <v>#DIV/0!</v>
      </c>
      <c r="F55" s="84" t="e">
        <f t="shared" si="102"/>
        <v>#DIV/0!</v>
      </c>
      <c r="G55" s="84" t="e">
        <f t="shared" si="102"/>
        <v>#DIV/0!</v>
      </c>
      <c r="H55" s="84" t="e">
        <f t="shared" si="102"/>
        <v>#DIV/0!</v>
      </c>
      <c r="I55" s="84" t="e">
        <f t="shared" si="102"/>
        <v>#DIV/0!</v>
      </c>
      <c r="J55" s="84" t="e">
        <f t="shared" si="102"/>
        <v>#DIV/0!</v>
      </c>
      <c r="K55" s="84">
        <f t="shared" si="102"/>
        <v>9.56979830107553</v>
      </c>
      <c r="L55" s="84"/>
      <c r="M55" s="84">
        <f t="shared" ref="M55:R55" si="103">M16/M30</f>
        <v>16.3258349836891</v>
      </c>
      <c r="N55" s="84">
        <f t="shared" si="103"/>
        <v>28.7626304793638</v>
      </c>
      <c r="O55" s="84">
        <f t="shared" si="103"/>
        <v>27.4522654693015</v>
      </c>
      <c r="P55" s="84">
        <f t="shared" si="103"/>
        <v>25.3554356484844</v>
      </c>
      <c r="Q55" s="84">
        <f t="shared" si="103"/>
        <v>12.7619125812967</v>
      </c>
      <c r="R55" s="84">
        <f t="shared" si="103"/>
        <v>32.7260293164542</v>
      </c>
      <c r="S55" s="84">
        <f t="shared" ref="S55:Z55" si="104">S16/S30</f>
        <v>28.1677057251134</v>
      </c>
      <c r="T55" s="84">
        <f t="shared" si="104"/>
        <v>27.6531974644298</v>
      </c>
      <c r="U55" s="84">
        <f t="shared" si="104"/>
        <v>19.9258079481353</v>
      </c>
      <c r="V55" s="84">
        <f t="shared" si="104"/>
        <v>14.2808756798476</v>
      </c>
      <c r="W55" s="84">
        <f t="shared" si="104"/>
        <v>16.9748614785832</v>
      </c>
      <c r="X55" s="84">
        <f t="shared" si="104"/>
        <v>16.2636238174875</v>
      </c>
      <c r="Y55" s="84">
        <f t="shared" si="104"/>
        <v>7.88227659306975</v>
      </c>
      <c r="Z55" s="84">
        <f t="shared" si="104"/>
        <v>18.1938332217187</v>
      </c>
      <c r="AA55" s="84">
        <f t="shared" ref="AA55:AF55" si="105">AA16/AA30</f>
        <v>13.5065472476225</v>
      </c>
      <c r="AB55" s="84">
        <f t="shared" si="105"/>
        <v>19.4655902293827</v>
      </c>
      <c r="AC55" s="84">
        <f t="shared" si="105"/>
        <v>12.2005626742444</v>
      </c>
      <c r="AD55" s="84">
        <f t="shared" si="105"/>
        <v>21.550740020659</v>
      </c>
      <c r="AE55" s="84">
        <f t="shared" si="105"/>
        <v>21.2083323746782</v>
      </c>
      <c r="AF55" s="84">
        <f t="shared" si="105"/>
        <v>22.1302889932694</v>
      </c>
      <c r="AG55" s="84">
        <f t="shared" ref="AG55:AH55" si="106">AG16/AG30</f>
        <v>21.456328618017</v>
      </c>
      <c r="AH55" s="84">
        <f t="shared" si="106"/>
        <v>16.3177129446289</v>
      </c>
      <c r="AI55" s="84">
        <f t="shared" ref="AI55:AK55" si="107">AI16/AI30</f>
        <v>13.9161790791877</v>
      </c>
      <c r="AJ55" s="84">
        <f t="shared" si="107"/>
        <v>18.7431866026893</v>
      </c>
      <c r="AK55" s="84">
        <f t="shared" si="107"/>
        <v>17.0958720827104</v>
      </c>
      <c r="AL55" s="84">
        <f t="shared" ref="AL55:AM55" si="108">AL16/AL30</f>
        <v>11.4018349196442</v>
      </c>
      <c r="AM55" s="84">
        <f t="shared" si="108"/>
        <v>14.336614508285</v>
      </c>
      <c r="AN55" s="84"/>
      <c r="AO55" s="84">
        <f t="shared" ref="AO55:AT55" si="109">AO16/AO30</f>
        <v>4.89699952777072</v>
      </c>
      <c r="AP55" s="84">
        <f t="shared" si="109"/>
        <v>5.32447789500407</v>
      </c>
      <c r="AQ55" s="84">
        <f t="shared" si="109"/>
        <v>9.56979467196223</v>
      </c>
      <c r="AR55" s="84">
        <f t="shared" si="109"/>
        <v>27.452231394322</v>
      </c>
      <c r="AS55" s="84">
        <f t="shared" si="109"/>
        <v>28.1677057251134</v>
      </c>
      <c r="AT55" s="84">
        <f t="shared" si="109"/>
        <v>16.9748614785832</v>
      </c>
      <c r="AU55" s="84">
        <f t="shared" ref="AU55:AZ55" si="110">AU16/AU30</f>
        <v>13.5065472476225</v>
      </c>
      <c r="AV55" s="84">
        <f t="shared" si="110"/>
        <v>21.2083323746782</v>
      </c>
      <c r="AW55" s="84">
        <f t="shared" ref="AW55" si="111">AW16/AW30</f>
        <v>13.9161790791877</v>
      </c>
      <c r="AX55" s="84">
        <f t="shared" si="110"/>
        <v>14.336614508285</v>
      </c>
      <c r="AY55" s="84">
        <f t="shared" si="110"/>
        <v>25.4000408958885</v>
      </c>
      <c r="AZ55" s="84">
        <f t="shared" si="110"/>
        <v>28.12233765531</v>
      </c>
      <c r="BA55" s="84">
        <f t="shared" ref="BA55" si="112">BA16/BA30</f>
        <v>33.5211598236979</v>
      </c>
    </row>
    <row r="56" ht="11.45" customHeight="1" spans="1:53">
      <c r="A56" s="54"/>
      <c r="B56" s="83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85"/>
      <c r="AT56" s="85"/>
      <c r="AU56" s="85"/>
      <c r="AV56" s="85"/>
      <c r="AW56" s="85"/>
      <c r="AX56" s="85"/>
      <c r="AY56" s="85"/>
      <c r="AZ56" s="85"/>
      <c r="BA56" s="85"/>
    </row>
    <row r="57" ht="11.45" customHeight="1" spans="1:53">
      <c r="A57" s="54"/>
      <c r="B57" s="86" t="s">
        <v>534</v>
      </c>
      <c r="C57" s="71">
        <f>(+'Earnings Model'!G52*4)/AVERAGE(B40:C40)</f>
        <v>0</v>
      </c>
      <c r="D57" s="71">
        <f>(+'Earnings Model'!H52*4)/AVERAGE(C40:D40)</f>
        <v>0</v>
      </c>
      <c r="E57" s="71">
        <f>(+'Earnings Model'!I52*4)/AVERAGE(D40:E40)</f>
        <v>0</v>
      </c>
      <c r="F57" s="71">
        <f>(+'Earnings Model'!J52*4)/AVERAGE(E40:F40)</f>
        <v>0</v>
      </c>
      <c r="G57" s="71">
        <f>(+'Earnings Model'!K52*4)/AVERAGE(F40:G40)</f>
        <v>0</v>
      </c>
      <c r="H57" s="71">
        <f>(+'Earnings Model'!L52*4)/AVERAGE(G40:H40)</f>
        <v>0</v>
      </c>
      <c r="I57" s="71">
        <f>(+'Earnings Model'!M52*4)/AVERAGE(H40:I40)</f>
        <v>0</v>
      </c>
      <c r="J57" s="71">
        <f>(+'Earnings Model'!N52*4)/AVERAGE(I40:J40)</f>
        <v>0</v>
      </c>
      <c r="K57" s="71">
        <f>(+'Earnings Model'!O52*4)/AVERAGE(J40:K40)</f>
        <v>0</v>
      </c>
      <c r="L57" s="71">
        <f>(+'Earnings Model'!P52*4)/AVERAGE(K40:L40)</f>
        <v>0.158462953757588</v>
      </c>
      <c r="M57" s="71">
        <f>(+'Earnings Model'!Q52*4)/AVERAGE(L40:M40)</f>
        <v>0.151859653264741</v>
      </c>
      <c r="N57" s="71">
        <f>(+'Earnings Model'!R52*4)/AVERAGE(M40:N40)</f>
        <v>0.208321441715836</v>
      </c>
      <c r="O57" s="71">
        <f>(+'Earnings Model'!S52*4)/AVERAGE(N40:O40)</f>
        <v>0.104521631590589</v>
      </c>
      <c r="P57" s="71">
        <f>(+'Earnings Model'!T52*4)/AVERAGE(O40:P40)</f>
        <v>0.14015398497914</v>
      </c>
      <c r="Q57" s="71">
        <f>(+'Earnings Model'!U52*4)/AVERAGE(P40:Q40)</f>
        <v>0.175657801373454</v>
      </c>
      <c r="R57" s="71">
        <f>(+'Earnings Model'!V52*4)/AVERAGE(Q40:R40)</f>
        <v>0.140944357548509</v>
      </c>
      <c r="S57" s="71">
        <f>(+'Earnings Model'!W52*4)/AVERAGE(R40:S40)</f>
        <v>0.112882168738816</v>
      </c>
      <c r="T57" s="71">
        <f>(+'Earnings Model'!X52*4)/AVERAGE(S40:T40)</f>
        <v>0.0655114031749343</v>
      </c>
      <c r="U57" s="71">
        <f>(+'Earnings Model'!Y52*4)/AVERAGE(T40:U40)</f>
        <v>0.0845638794245538</v>
      </c>
      <c r="V57" s="71">
        <f>(+'Earnings Model'!Z52*4)/AVERAGE(U40:V40)</f>
        <v>0.099155770777609</v>
      </c>
      <c r="W57" s="71">
        <f>(+'Earnings Model'!AA52*4)/AVERAGE(V40:W40)</f>
        <v>0.151068467485942</v>
      </c>
      <c r="X57" s="71">
        <f>(+'Earnings Model'!AB52*4)/AVERAGE(W40:X40)</f>
        <v>0.14272443108351</v>
      </c>
      <c r="Y57" s="71">
        <f>(+'Earnings Model'!AC52*4)/AVERAGE(X40:Y40)</f>
        <v>0.168344584601986</v>
      </c>
      <c r="Z57" s="71">
        <f>(+'Earnings Model'!AD52*4)/AVERAGE(Y40:Z40)</f>
        <v>0.136048835443697</v>
      </c>
      <c r="AA57" s="71">
        <f>(+'Earnings Model'!AE52*4)/AVERAGE(Z40:AA40)</f>
        <v>0.122740200878524</v>
      </c>
      <c r="AB57" s="71">
        <f>(+'Earnings Model'!AF52*4)/AVERAGE(AA40:AB40)</f>
        <v>0.00792454185426182</v>
      </c>
      <c r="AC57" s="71">
        <f>(+'Earnings Model'!AG52*4)/AVERAGE(AB40:AC40)</f>
        <v>0.0247532501369866</v>
      </c>
      <c r="AD57" s="71">
        <f>(+'Earnings Model'!AH52*4)/AVERAGE(AC40:AD40)</f>
        <v>0.0600236212289454</v>
      </c>
      <c r="AE57" s="71">
        <f>(+'Earnings Model'!AI52*4)/AVERAGE(AD40:AE40)</f>
        <v>0.0854028985359052</v>
      </c>
      <c r="AF57" s="71">
        <f>(+'Earnings Model'!AJ52*4)/AVERAGE(AE40:AF40)</f>
        <v>0.0875209128212335</v>
      </c>
      <c r="AG57" s="71">
        <f>(+'Earnings Model'!AK52*4)/AVERAGE(AF40:AG40)</f>
        <v>0.145108863485569</v>
      </c>
      <c r="AH57" s="71">
        <f>(+'Earnings Model'!AL52*4)/AVERAGE(AG40:AH40)</f>
        <v>0.147984461100621</v>
      </c>
      <c r="AI57" s="71">
        <f>(+'Earnings Model'!AM52*4)/AVERAGE(AH40:AI40)</f>
        <v>0.132834738538277</v>
      </c>
      <c r="AJ57" s="71">
        <f>(+'Earnings Model'!AN52*4)/AVERAGE(AI40:AJ40)</f>
        <v>0.172667532628352</v>
      </c>
      <c r="AK57" s="71">
        <f>(+'Earnings Model'!AO52*4)/AVERAGE(AJ40:AK40)</f>
        <v>0.202868270712453</v>
      </c>
      <c r="AL57" s="71">
        <f>(+'Earnings Model'!AP52*4)/AVERAGE(AK40:AL40)</f>
        <v>0.152643854616275</v>
      </c>
      <c r="AM57" s="71">
        <f>(+'Earnings Model'!AQ52*4)/AVERAGE(AL40:AM40)</f>
        <v>0.160367414408176</v>
      </c>
      <c r="AN57" s="71"/>
      <c r="AO57" s="71">
        <f>(+'Earnings Model'!BG52)/AVERAGE(AO40:AO40)</f>
        <v>0.105099068654986</v>
      </c>
      <c r="AP57" s="71">
        <f>(+'Earnings Model'!BH52)/AVERAGE(AP40:AP40)</f>
        <v>0.292261123986632</v>
      </c>
      <c r="AQ57" s="71">
        <f>(+'Earnings Model'!BI52)/AVERAGE(AQ40:AQ40)</f>
        <v>0.20379677903527</v>
      </c>
      <c r="AR57" s="71">
        <f>(+'Earnings Model'!BJ52)/AVERAGE(AQ40:AR40)</f>
        <v>0.170455493335007</v>
      </c>
      <c r="AS57" s="71">
        <f>(+'Earnings Model'!BK52)/AVERAGE(AR40:AS40)</f>
        <v>0.1433409458366</v>
      </c>
      <c r="AT57" s="71">
        <f>(+'Earnings Model'!BL52)/AVERAGE(AS40:AT40)</f>
        <v>0.100739872243097</v>
      </c>
      <c r="AU57" s="71">
        <f>(+'Earnings Model'!BM52)/AVERAGE(AT40:AU40)</f>
        <v>0.141868682495873</v>
      </c>
      <c r="AV57" s="71">
        <f>(+'Earnings Model'!BN52)/AVERAGE(AU40:AV40)</f>
        <v>0.0448148230191567</v>
      </c>
      <c r="AW57" s="71">
        <f>(+'Earnings Model'!BO52)/AVERAGE(AV40:AW40)</f>
        <v>0.124124270174999</v>
      </c>
      <c r="AX57" s="71">
        <f>(+'Earnings Model'!BP52)/AVERAGE(AW40:AX40)</f>
        <v>0.171428433726202</v>
      </c>
      <c r="AY57" s="71">
        <f>(+'Earnings Model'!BQ52)/AVERAGE(AX40:AY40)</f>
        <v>0.197617419857311</v>
      </c>
      <c r="AZ57" s="71">
        <f>(+'Earnings Model'!BR52)/AVERAGE(AY40:AZ40)</f>
        <v>0.277738474986237</v>
      </c>
      <c r="BA57" s="71">
        <f>(+'Earnings Model'!BS52)/AVERAGE(AZ40:BA40)</f>
        <v>0.300364429928576</v>
      </c>
    </row>
    <row r="58" ht="11.45" customHeight="1" spans="1:53">
      <c r="A58" s="54"/>
      <c r="B58" s="86" t="s">
        <v>535</v>
      </c>
      <c r="C58" s="71" t="e">
        <f>(+'Earnings Model'!G52*4)/AVERAGE(B24:C24)</f>
        <v>#DIV/0!</v>
      </c>
      <c r="D58" s="71" t="e">
        <f>(+'Earnings Model'!H52*4)/AVERAGE(C24:D24)</f>
        <v>#DIV/0!</v>
      </c>
      <c r="E58" s="71" t="e">
        <f>(+'Earnings Model'!I52*4)/AVERAGE(D24:E24)</f>
        <v>#DIV/0!</v>
      </c>
      <c r="F58" s="71" t="e">
        <f>(+'Earnings Model'!J52*4)/AVERAGE(E24:F24)</f>
        <v>#DIV/0!</v>
      </c>
      <c r="G58" s="71" t="e">
        <f>(+'Earnings Model'!K52*4)/AVERAGE(F24:G24)</f>
        <v>#DIV/0!</v>
      </c>
      <c r="H58" s="71" t="e">
        <f>(+'Earnings Model'!L52*4)/AVERAGE(G24:H24)</f>
        <v>#DIV/0!</v>
      </c>
      <c r="I58" s="71" t="e">
        <f>(+'Earnings Model'!M52*4)/AVERAGE(H24:I24)</f>
        <v>#DIV/0!</v>
      </c>
      <c r="J58" s="71" t="e">
        <f>(+'Earnings Model'!N52*4)/AVERAGE(I24:J24)</f>
        <v>#DIV/0!</v>
      </c>
      <c r="K58" s="71">
        <f>(+'Earnings Model'!O52*4)/AVERAGE(J24:K24)</f>
        <v>0</v>
      </c>
      <c r="L58" s="71">
        <f>(+'Earnings Model'!P52*4)/AVERAGE(K24:L24)</f>
        <v>0.431971160527606</v>
      </c>
      <c r="M58" s="71">
        <f>(+'Earnings Model'!Q52*4)/AVERAGE(L24:M24)</f>
        <v>0.401508310824179</v>
      </c>
      <c r="N58" s="71">
        <f>(+'Earnings Model'!R52*4)/AVERAGE(M24:N24)</f>
        <v>0.19392748475136</v>
      </c>
      <c r="O58" s="71">
        <f>(+'Earnings Model'!S52*4)/AVERAGE(N24:O24)</f>
        <v>0.0985554798421234</v>
      </c>
      <c r="P58" s="71">
        <f>(+'Earnings Model'!T52*4)/AVERAGE(O24:P24)</f>
        <v>0.131860081166734</v>
      </c>
      <c r="Q58" s="71">
        <f>(+'Earnings Model'!U52*4)/AVERAGE(P24:Q24)</f>
        <v>0.162020152034856</v>
      </c>
      <c r="R58" s="71">
        <f>(+'Earnings Model'!V52*4)/AVERAGE(Q24:R24)</f>
        <v>0.130616087441512</v>
      </c>
      <c r="S58" s="71">
        <f>(+'Earnings Model'!W52*4)/AVERAGE(R24:S24)</f>
        <v>0.107610763209079</v>
      </c>
      <c r="T58" s="71">
        <f>(+'Earnings Model'!X52*4)/AVERAGE(S24:T24)</f>
        <v>0.062724914091557</v>
      </c>
      <c r="U58" s="71">
        <f>(+'Earnings Model'!Y52*4)/AVERAGE(T24:U24)</f>
        <v>0.0803088931594255</v>
      </c>
      <c r="V58" s="71">
        <f>(+'Earnings Model'!Z52*4)/AVERAGE(U24:V24)</f>
        <v>0.0928435454347289</v>
      </c>
      <c r="W58" s="71">
        <f>(+'Earnings Model'!AA52*4)/AVERAGE(V24:W24)</f>
        <v>0.140998255870804</v>
      </c>
      <c r="X58" s="71">
        <f>(+'Earnings Model'!AB52*4)/AVERAGE(W24:X24)</f>
        <v>0.133448108091141</v>
      </c>
      <c r="Y58" s="71">
        <f>(+'Earnings Model'!AC52*4)/AVERAGE(X24:Y24)</f>
        <v>0.151871881775419</v>
      </c>
      <c r="Z58" s="71">
        <f>(+'Earnings Model'!AD52*4)/AVERAGE(Y24:Z24)</f>
        <v>0.123387137138594</v>
      </c>
      <c r="AA58" s="71">
        <f>(+'Earnings Model'!AE52*4)/AVERAGE(Z24:AA24)</f>
        <v>0.114711856174194</v>
      </c>
      <c r="AB58" s="71">
        <f>(+'Earnings Model'!AF52*4)/AVERAGE(AA24:AB24)</f>
        <v>0.00743987697285738</v>
      </c>
      <c r="AC58" s="71">
        <f>(+'Earnings Model'!AG52*4)/AVERAGE(AB24:AC24)</f>
        <v>0.0231947023580113</v>
      </c>
      <c r="AD58" s="71">
        <f>(+'Earnings Model'!AH52*4)/AVERAGE(AC24:AD24)</f>
        <v>0.0564103199097448</v>
      </c>
      <c r="AE58" s="71">
        <f>(+'Earnings Model'!AI52*4)/AVERAGE(AD24:AE24)</f>
        <v>0.0814938022267691</v>
      </c>
      <c r="AF58" s="71">
        <f>(+'Earnings Model'!AJ52*4)/AVERAGE(AE24:AF24)</f>
        <v>0.0834976207734011</v>
      </c>
      <c r="AG58" s="71">
        <f>(+'Earnings Model'!AK52*4)/AVERAGE(AF24:AG24)</f>
        <v>0.138427812741552</v>
      </c>
      <c r="AH58" s="71">
        <f>(+'Earnings Model'!AL52*4)/AVERAGE(AG24:AH24)</f>
        <v>0.14035772678717</v>
      </c>
      <c r="AI58" s="71">
        <f>(+'Earnings Model'!AM52*4)/AVERAGE(AH24:AI24)</f>
        <v>0.124562115957399</v>
      </c>
      <c r="AJ58" s="71">
        <f>(+'Earnings Model'!AN52*4)/AVERAGE(AI24:AJ24)</f>
        <v>0.161937766098609</v>
      </c>
      <c r="AK58" s="71">
        <f>(+'Earnings Model'!AO52*4)/AVERAGE(AJ24:AK24)</f>
        <v>0.19061825418518</v>
      </c>
      <c r="AL58" s="71">
        <f>(+'Earnings Model'!AP52*4)/AVERAGE(AK24:AL24)</f>
        <v>0.139385530956786</v>
      </c>
      <c r="AM58" s="71">
        <f>(+'Earnings Model'!AQ52*4)/AVERAGE(AL24:AM24)</f>
        <v>0.146537629979241</v>
      </c>
      <c r="AN58" s="71"/>
      <c r="AO58" s="71">
        <f>(+'Earnings Model'!BG52)/AVERAGE(AO24:AO24)</f>
        <v>0.0827622923919868</v>
      </c>
      <c r="AP58" s="71">
        <f>(+'Earnings Model'!BH52)/AVERAGE(AP24:AP24)</f>
        <v>0.235246251253651</v>
      </c>
      <c r="AQ58" s="71">
        <f>(+'Earnings Model'!BI52)/AVERAGE(AQ24:AQ24)</f>
        <v>0.176258899019939</v>
      </c>
      <c r="AR58" s="71">
        <f>(+'Earnings Model'!BJ52)/AVERAGE(AQ24:AR24)</f>
        <v>0.155977932367505</v>
      </c>
      <c r="AS58" s="71">
        <f>(+'Earnings Model'!BK52)/AVERAGE(AR24:AS24)</f>
        <v>0.136260519232022</v>
      </c>
      <c r="AT58" s="71">
        <f>(+'Earnings Model'!BL52)/AVERAGE(AS24:AT24)</f>
        <v>0.0954237322076805</v>
      </c>
      <c r="AU58" s="71">
        <f>(+'Earnings Model'!BM52)/AVERAGE(AT24:AU24)</f>
        <v>0.132287903123341</v>
      </c>
      <c r="AV58" s="71">
        <f>(+'Earnings Model'!BN52)/AVERAGE(AU24:AV24)</f>
        <v>0.0421957270312039</v>
      </c>
      <c r="AW58" s="71">
        <f>(+'Earnings Model'!BO52)/AVERAGE(AV24:AW24)</f>
        <v>0.117010783344647</v>
      </c>
      <c r="AX58" s="71">
        <f>(+'Earnings Model'!BP52)/AVERAGE(AW24:AX24)</f>
        <v>0.160209406240784</v>
      </c>
      <c r="AY58" s="71">
        <f>(+'Earnings Model'!BQ52)/AVERAGE(AX24:AY24)</f>
        <v>0.188066869509921</v>
      </c>
      <c r="AZ58" s="71">
        <f>(+'Earnings Model'!BR52)/AVERAGE(AY24:AZ24)</f>
        <v>0.267360329476856</v>
      </c>
      <c r="BA58" s="71">
        <f>(+'Earnings Model'!BS52)/AVERAGE(AZ24:BA24)</f>
        <v>0.290532621954972</v>
      </c>
    </row>
    <row r="59" ht="11.45" customHeight="1" spans="1:53">
      <c r="A59" s="54"/>
      <c r="B59" s="86" t="s">
        <v>536</v>
      </c>
      <c r="C59" s="71" t="e">
        <f>+'Earnings Model'!G52/'Earnings Model'!G10</f>
        <v>#DIV/0!</v>
      </c>
      <c r="D59" s="71" t="e">
        <f>+'Earnings Model'!H52/'Earnings Model'!H10</f>
        <v>#DIV/0!</v>
      </c>
      <c r="E59" s="71" t="e">
        <f>+'Earnings Model'!I52/'Earnings Model'!I10</f>
        <v>#DIV/0!</v>
      </c>
      <c r="F59" s="71" t="e">
        <f>+'Earnings Model'!J52/'Earnings Model'!J10</f>
        <v>#DIV/0!</v>
      </c>
      <c r="G59" s="71" t="e">
        <f>+'Earnings Model'!K52/'Earnings Model'!K10</f>
        <v>#DIV/0!</v>
      </c>
      <c r="H59" s="71" t="e">
        <f>+'Earnings Model'!L52/'Earnings Model'!L10</f>
        <v>#DIV/0!</v>
      </c>
      <c r="I59" s="71" t="e">
        <f>+'Earnings Model'!M52/'Earnings Model'!M10</f>
        <v>#DIV/0!</v>
      </c>
      <c r="J59" s="71" t="e">
        <f>+'Earnings Model'!N52/'Earnings Model'!N10</f>
        <v>#DIV/0!</v>
      </c>
      <c r="K59" s="71" t="e">
        <f>+'Earnings Model'!O52/'Earnings Model'!O10</f>
        <v>#DIV/0!</v>
      </c>
      <c r="L59" s="71">
        <f>+'Earnings Model'!P52/'Earnings Model'!P10</f>
        <v>0.557773392958271</v>
      </c>
      <c r="M59" s="71">
        <f>+'Earnings Model'!Q52/'Earnings Model'!Q10</f>
        <v>0.474404690137803</v>
      </c>
      <c r="N59" s="71">
        <f>+'Earnings Model'!R52/'Earnings Model'!R10</f>
        <v>0.579378700508941</v>
      </c>
      <c r="O59" s="71">
        <f>+'Earnings Model'!S52/'Earnings Model'!S10</f>
        <v>0.535805008776919</v>
      </c>
      <c r="P59" s="71">
        <f>+'Earnings Model'!T52/'Earnings Model'!T10</f>
        <v>0.530483114806767</v>
      </c>
      <c r="Q59" s="71">
        <f>+'Earnings Model'!U52/'Earnings Model'!U10</f>
        <v>0.570095246445046</v>
      </c>
      <c r="R59" s="71">
        <f>+'Earnings Model'!V52/'Earnings Model'!V10</f>
        <v>0.729116471164489</v>
      </c>
      <c r="S59" s="71">
        <f>+'Earnings Model'!W52/'Earnings Model'!W10</f>
        <v>0.636109291304036</v>
      </c>
      <c r="T59" s="71">
        <f>+'Earnings Model'!X52/'Earnings Model'!X10</f>
        <v>0.447758154441959</v>
      </c>
      <c r="U59" s="71">
        <f>+'Earnings Model'!Y52/'Earnings Model'!Y10</f>
        <v>0.408840923157298</v>
      </c>
      <c r="V59" s="71">
        <f>+'Earnings Model'!Z52/'Earnings Model'!Z10</f>
        <v>0.235654484452906</v>
      </c>
      <c r="W59" s="71">
        <f>+'Earnings Model'!AA52/'Earnings Model'!AA10</f>
        <v>0.326710140397247</v>
      </c>
      <c r="X59" s="71">
        <f>+'Earnings Model'!AB52/'Earnings Model'!AB10</f>
        <v>0.339950223395004</v>
      </c>
      <c r="Y59" s="71">
        <f>+'Earnings Model'!AC52/'Earnings Model'!AC10</f>
        <v>0.365034555088026</v>
      </c>
      <c r="Z59" s="71">
        <f>+'Earnings Model'!AD52/'Earnings Model'!AD10</f>
        <v>0.333520015354072</v>
      </c>
      <c r="AA59" s="71">
        <f>+'Earnings Model'!AE52/'Earnings Model'!AE10</f>
        <v>0.3795719399417</v>
      </c>
      <c r="AB59" s="71">
        <f>+'Earnings Model'!AF52/'Earnings Model'!AF10</f>
        <v>0.0470075894815126</v>
      </c>
      <c r="AC59" s="71">
        <f>+'Earnings Model'!AG52/'Earnings Model'!AG10</f>
        <v>0.122474846876919</v>
      </c>
      <c r="AD59" s="71">
        <f>+'Earnings Model'!AH52/'Earnings Model'!AH10</f>
        <v>0.254449000083675</v>
      </c>
      <c r="AE59" s="71">
        <f>+'Earnings Model'!AI52/'Earnings Model'!AI10</f>
        <v>0.285512745670364</v>
      </c>
      <c r="AF59" s="71">
        <f>+'Earnings Model'!AJ52/'Earnings Model'!AJ10</f>
        <v>0.303024836455919</v>
      </c>
      <c r="AG59" s="71">
        <f>+'Earnings Model'!AK52/'Earnings Model'!AK10</f>
        <v>0.398555590887288</v>
      </c>
      <c r="AH59" s="71">
        <f>+'Earnings Model'!AL52/'Earnings Model'!AL10</f>
        <v>0.423036079356038</v>
      </c>
      <c r="AI59" s="71">
        <f>+'Earnings Model'!AM52/'Earnings Model'!AM10</f>
        <v>0.341146079598068</v>
      </c>
      <c r="AJ59" s="71">
        <f>+'Earnings Model'!AN52/'Earnings Model'!AN10</f>
        <v>0.412138185858556</v>
      </c>
      <c r="AK59" s="71">
        <f>+'Earnings Model'!AO52/'Earnings Model'!AO10</f>
        <v>0.431290199376863</v>
      </c>
      <c r="AL59" s="71">
        <f>+'Earnings Model'!AP52/'Earnings Model'!AP10</f>
        <v>0.325781412274902</v>
      </c>
      <c r="AM59" s="71">
        <f>+'Earnings Model'!AQ52/'Earnings Model'!AQ10</f>
        <v>0.412138185858556</v>
      </c>
      <c r="AN59" s="71"/>
      <c r="AO59" s="71">
        <f>+'Earnings Model'!BG52/'Earnings Model'!BG10</f>
        <v>0.109835551426424</v>
      </c>
      <c r="AP59" s="71">
        <f>+'Earnings Model'!BH52/'Earnings Model'!BH10</f>
        <v>0.282616505704615</v>
      </c>
      <c r="AQ59" s="71">
        <f>+'Earnings Model'!BI52/'Earnings Model'!BI10</f>
        <v>0.419236885299531</v>
      </c>
      <c r="AR59" s="71">
        <f>+'Earnings Model'!BJ52/'Earnings Model'!BJ10</f>
        <v>0.53682408422458</v>
      </c>
      <c r="AS59" s="71">
        <f>+'Earnings Model'!BK52/'Earnings Model'!BK10</f>
        <v>0.605222535393914</v>
      </c>
      <c r="AT59" s="71">
        <f>+'Earnings Model'!BL52/'Earnings Model'!BL10</f>
        <v>0.323626658214992</v>
      </c>
      <c r="AU59" s="71">
        <f>+'Earnings Model'!BM52/'Earnings Model'!BM10</f>
        <v>0.353834616195267</v>
      </c>
      <c r="AV59" s="71">
        <f>+'Earnings Model'!BN52/'Earnings Model'!BN10</f>
        <v>0.197375202232277</v>
      </c>
      <c r="AW59" s="71">
        <f>+'Earnings Model'!BO52/'Earnings Model'!BO10</f>
        <v>0.368444295559853</v>
      </c>
      <c r="AX59" s="71">
        <f>+'Earnings Model'!BP52/'Earnings Model'!BP10</f>
        <v>0.393962851729532</v>
      </c>
      <c r="AY59" s="71">
        <f>+'Earnings Model'!BQ52/'Earnings Model'!BQ10</f>
        <v>0.468416203308917</v>
      </c>
      <c r="AZ59" s="71">
        <f>+'Earnings Model'!BR52/'Earnings Model'!BR10</f>
        <v>0.528418052829718</v>
      </c>
      <c r="BA59" s="71">
        <f>+'Earnings Model'!BS52/'Earnings Model'!BS10</f>
        <v>0.547613473622243</v>
      </c>
    </row>
    <row r="60" ht="11.45" customHeight="1" spans="1:53">
      <c r="A60" s="54"/>
      <c r="B60" s="86" t="s">
        <v>537</v>
      </c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</row>
    <row r="61" ht="11.45" customHeight="1" spans="1:53">
      <c r="A61" s="54"/>
      <c r="B61" s="83" t="s">
        <v>538</v>
      </c>
      <c r="C61" s="87" t="e">
        <f>365/C63</f>
        <v>#DIV/0!</v>
      </c>
      <c r="D61" s="87" t="e">
        <f t="shared" ref="D61:L61" si="113">365/D63</f>
        <v>#DIV/0!</v>
      </c>
      <c r="E61" s="87" t="e">
        <f t="shared" si="113"/>
        <v>#DIV/0!</v>
      </c>
      <c r="F61" s="87" t="e">
        <f t="shared" si="113"/>
        <v>#DIV/0!</v>
      </c>
      <c r="G61" s="87" t="e">
        <f t="shared" si="113"/>
        <v>#DIV/0!</v>
      </c>
      <c r="H61" s="87" t="e">
        <f t="shared" si="113"/>
        <v>#DIV/0!</v>
      </c>
      <c r="I61" s="87" t="e">
        <f t="shared" si="113"/>
        <v>#DIV/0!</v>
      </c>
      <c r="J61" s="87" t="e">
        <f t="shared" si="113"/>
        <v>#DIV/0!</v>
      </c>
      <c r="K61" s="87" t="e">
        <f t="shared" si="113"/>
        <v>#DIV/0!</v>
      </c>
      <c r="L61" s="87">
        <f t="shared" si="113"/>
        <v>6.40593748409972</v>
      </c>
      <c r="M61" s="88"/>
      <c r="N61" s="87">
        <f t="shared" ref="N61:S61" si="114">365/N63</f>
        <v>4.64258841637903</v>
      </c>
      <c r="O61" s="87">
        <f t="shared" si="114"/>
        <v>3.20976518424133</v>
      </c>
      <c r="P61" s="87">
        <f t="shared" si="114"/>
        <v>3.64937809912575</v>
      </c>
      <c r="Q61" s="87">
        <f t="shared" si="114"/>
        <v>3.79250476806361</v>
      </c>
      <c r="R61" s="87">
        <f t="shared" si="114"/>
        <v>2.38685063706574</v>
      </c>
      <c r="S61" s="87">
        <f t="shared" si="114"/>
        <v>2.26105485195039</v>
      </c>
      <c r="T61" s="87">
        <f t="shared" ref="T61:Z61" si="115">365/T63</f>
        <v>2.23910442074498</v>
      </c>
      <c r="U61" s="87">
        <f t="shared" si="115"/>
        <v>2.79264835250169</v>
      </c>
      <c r="V61" s="87">
        <f t="shared" si="115"/>
        <v>7.60431363208837</v>
      </c>
      <c r="W61" s="87">
        <f t="shared" si="115"/>
        <v>6.26659881957561</v>
      </c>
      <c r="X61" s="87">
        <f t="shared" si="115"/>
        <v>5.25553922958822</v>
      </c>
      <c r="Y61" s="87">
        <f t="shared" si="115"/>
        <v>4.41386817550672</v>
      </c>
      <c r="Z61" s="87">
        <f t="shared" si="115"/>
        <v>3.11832427840727</v>
      </c>
      <c r="AA61" s="87">
        <f t="shared" ref="AA61:AF61" si="116">365/AA63</f>
        <v>1.97425398988713</v>
      </c>
      <c r="AB61" s="87">
        <f t="shared" si="116"/>
        <v>1.00929890083925</v>
      </c>
      <c r="AC61" s="87">
        <f t="shared" si="116"/>
        <v>1.07882728391042</v>
      </c>
      <c r="AD61" s="87">
        <f t="shared" si="116"/>
        <v>1.23256170157476</v>
      </c>
      <c r="AE61" s="87">
        <f t="shared" si="116"/>
        <v>2.32886992584375</v>
      </c>
      <c r="AF61" s="87">
        <f t="shared" si="116"/>
        <v>2.60801287221197</v>
      </c>
      <c r="AG61" s="87">
        <f t="shared" ref="AG61:AH61" si="117">365/AG63</f>
        <v>3.57581414849972</v>
      </c>
      <c r="AH61" s="87">
        <f t="shared" si="117"/>
        <v>3.77425671325705</v>
      </c>
      <c r="AI61" s="87">
        <f t="shared" ref="AI61:AK61" si="118">365/AI63</f>
        <v>4.80586416525211</v>
      </c>
      <c r="AJ61" s="87">
        <f t="shared" si="118"/>
        <v>5.84936552895463</v>
      </c>
      <c r="AK61" s="87">
        <f t="shared" si="118"/>
        <v>6.29754877160514</v>
      </c>
      <c r="AL61" s="87">
        <f t="shared" ref="AL61:AM61" si="119">365/AL63</f>
        <v>3.50058872066954</v>
      </c>
      <c r="AM61" s="87">
        <f t="shared" si="119"/>
        <v>2.29195646629605</v>
      </c>
      <c r="AN61" s="87"/>
      <c r="AO61" s="87"/>
      <c r="AP61" s="87">
        <f t="shared" ref="AP61:AU61" si="120">365/AP63</f>
        <v>2.93864358102022</v>
      </c>
      <c r="AQ61" s="87">
        <f t="shared" si="120"/>
        <v>4.08973604489962</v>
      </c>
      <c r="AR61" s="87">
        <f t="shared" si="120"/>
        <v>3.26150807808879</v>
      </c>
      <c r="AS61" s="87">
        <f t="shared" si="120"/>
        <v>2.95727063553781</v>
      </c>
      <c r="AT61" s="89">
        <f t="shared" si="120"/>
        <v>4.73519580516665</v>
      </c>
      <c r="AU61" s="89">
        <f t="shared" si="120"/>
        <v>3.53183595591371</v>
      </c>
      <c r="AV61" s="89">
        <f t="shared" ref="AV61:BA61" si="121">365/AV63</f>
        <v>1.53866543689114</v>
      </c>
      <c r="AW61" s="89">
        <f t="shared" si="121"/>
        <v>3.65120503437649</v>
      </c>
      <c r="AX61" s="89">
        <f t="shared" si="121"/>
        <v>3.65120503437649</v>
      </c>
      <c r="AY61" s="89">
        <f t="shared" si="121"/>
        <v>3.65120503437649</v>
      </c>
      <c r="AZ61" s="89">
        <f t="shared" si="121"/>
        <v>3.65120503437649</v>
      </c>
      <c r="BA61" s="89">
        <f t="shared" si="121"/>
        <v>3.65120503437649</v>
      </c>
    </row>
    <row r="62" ht="11.45" customHeight="1" spans="1:53">
      <c r="A62" s="54"/>
      <c r="B62" s="83" t="s">
        <v>539</v>
      </c>
      <c r="C62" s="90" t="e">
        <f>AVERAGE(B13,C13)/(+'Earnings Model'!G10)*91</f>
        <v>#DIV/0!</v>
      </c>
      <c r="D62" s="90" t="e">
        <f>AVERAGE(C13,D13)/(+'Earnings Model'!H10)*91</f>
        <v>#DIV/0!</v>
      </c>
      <c r="E62" s="90" t="e">
        <f>AVERAGE(D13,E13)/(+'Earnings Model'!I10)*91</f>
        <v>#DIV/0!</v>
      </c>
      <c r="F62" s="90" t="e">
        <f>AVERAGE(E13,F13)/(+'Earnings Model'!J10)*91</f>
        <v>#DIV/0!</v>
      </c>
      <c r="G62" s="90" t="e">
        <f>AVERAGE(F13,G13)/(+'Earnings Model'!K10)*91</f>
        <v>#DIV/0!</v>
      </c>
      <c r="H62" s="90" t="e">
        <f>AVERAGE(G13,H13)/(+'Earnings Model'!L10)*91</f>
        <v>#DIV/0!</v>
      </c>
      <c r="I62" s="90" t="e">
        <f>AVERAGE(H13,I13)/(+'Earnings Model'!M10)*91</f>
        <v>#DIV/0!</v>
      </c>
      <c r="J62" s="90" t="e">
        <f>AVERAGE(I13,J13)/(+'Earnings Model'!N10)*91</f>
        <v>#DIV/0!</v>
      </c>
      <c r="K62" s="90" t="e">
        <f>AVERAGE(J13,K13)/(+'Earnings Model'!O10)*91</f>
        <v>#DIV/0!</v>
      </c>
      <c r="L62" s="90">
        <f>AVERAGE(K13,L13)/(+'Earnings Model'!P10)*91</f>
        <v>27.1110107346403</v>
      </c>
      <c r="M62" s="90"/>
      <c r="N62" s="90">
        <f>AVERAGE(M13,N13)/(+'Earnings Model'!R10)*91</f>
        <v>38.813985667413</v>
      </c>
      <c r="O62" s="90">
        <f>AVERAGE(N13,O13)/(+'Earnings Model'!S10)*91</f>
        <v>47.7425499412483</v>
      </c>
      <c r="P62" s="90">
        <f>AVERAGE(O13,P13)/(+'Earnings Model'!T10)*91</f>
        <v>28.3710327921876</v>
      </c>
      <c r="Q62" s="90">
        <f>AVERAGE(P13,Q13)/(+'Earnings Model'!U10)*91</f>
        <v>22.933296830168</v>
      </c>
      <c r="R62" s="90">
        <f>AVERAGE(Q13,R13)/(+'Earnings Model'!V10)*91</f>
        <v>29.1133507474007</v>
      </c>
      <c r="S62" s="90">
        <f>AVERAGE(R13,S13)/(+'Earnings Model'!W10)*91</f>
        <v>26.6212191855566</v>
      </c>
      <c r="T62" s="90">
        <f>AVERAGE(S13,T13)/(+'Earnings Model'!X10)*91</f>
        <v>29.224480018696</v>
      </c>
      <c r="U62" s="90">
        <f>AVERAGE(T13,U13)/(+'Earnings Model'!Y10)*91</f>
        <v>28.7620330734492</v>
      </c>
      <c r="V62" s="90">
        <f>AVERAGE(U13,V13)/(+'Earnings Model'!Z10)*91</f>
        <v>30.3122140024625</v>
      </c>
      <c r="W62" s="90">
        <f>AVERAGE(V13,W13)/(+'Earnings Model'!AA10)*91</f>
        <v>27.5618974519277</v>
      </c>
      <c r="X62" s="90">
        <f>AVERAGE(W13,X13)/(+'Earnings Model'!AB10)*91</f>
        <v>19.4407478485112</v>
      </c>
      <c r="Y62" s="90">
        <f>AVERAGE(X13,Y13)/(+'Earnings Model'!AC10)*91</f>
        <v>18.1039676271848</v>
      </c>
      <c r="Z62" s="90">
        <f>AVERAGE(Y13,Z13)/(+'Earnings Model'!AD10)*91</f>
        <v>22.7734063071255</v>
      </c>
      <c r="AA62" s="90">
        <f>AVERAGE(Z13,AA13)/(+'Earnings Model'!AE10)*91</f>
        <v>34.68471603968</v>
      </c>
      <c r="AB62" s="90">
        <f>AVERAGE(AA13,AB13)/(+'Earnings Model'!AF10)*91</f>
        <v>53.3000991590549</v>
      </c>
      <c r="AC62" s="90">
        <f>AVERAGE(AB13,AC13)/(+'Earnings Model'!AG10)*91</f>
        <v>31.746783037584</v>
      </c>
      <c r="AD62" s="90">
        <f>AVERAGE(AC13,AD13)/(+'Earnings Model'!AH10)*91</f>
        <v>33.6464714249854</v>
      </c>
      <c r="AE62" s="90">
        <f>AVERAGE(AD13,AE13)/(+'Earnings Model'!AI10)*91</f>
        <v>32.9442656316562</v>
      </c>
      <c r="AF62" s="90">
        <f>AVERAGE(AE13,AF13)/(+'Earnings Model'!AJ10)*91</f>
        <v>31.6378185260891</v>
      </c>
      <c r="AG62" s="90">
        <f>AVERAGE(AF13,AG13)/(+'Earnings Model'!AK10)*91</f>
        <v>22.904271786055</v>
      </c>
      <c r="AH62" s="90">
        <f>AVERAGE(AG13,AH13)/(+'Earnings Model'!AL10)*91</f>
        <v>25.5873084208714</v>
      </c>
      <c r="AI62" s="90">
        <f>AVERAGE(AH13,AI13)/(+'Earnings Model'!AM10)*91</f>
        <v>27.6319668439695</v>
      </c>
      <c r="AJ62" s="90">
        <f>AVERAGE(AI13,AJ13)/(+'Earnings Model'!AN10)*91</f>
        <v>31.7072206962966</v>
      </c>
      <c r="AK62" s="90">
        <f>AVERAGE(AJ13,AK13)/(+'Earnings Model'!AO10)*91</f>
        <v>27.5654981020332</v>
      </c>
      <c r="AL62" s="90">
        <f>AVERAGE(AK13,AL13)/(+'Earnings Model'!AP10)*91</f>
        <v>30.6457648638531</v>
      </c>
      <c r="AM62" s="90">
        <f>AVERAGE(AL13,AM13)/(+'Earnings Model'!AQ10)*91</f>
        <v>42.280811219685</v>
      </c>
      <c r="AN62" s="90"/>
      <c r="AO62" s="90"/>
      <c r="AP62" s="90">
        <f>AVERAGE(AO13,AP13)/(+'Earnings Model'!BH10)*365</f>
        <v>26.4720634778394</v>
      </c>
      <c r="AQ62" s="90">
        <f>AVERAGE(AP13,AQ13)/(+'Earnings Model'!BI10)*365</f>
        <v>37.4213957153382</v>
      </c>
      <c r="AR62" s="90">
        <f>AVERAGE(AQ13,AR13)/(+'Earnings Model'!BJ10)*365</f>
        <v>39.1745699165437</v>
      </c>
      <c r="AS62" s="90">
        <f>AVERAGE(AR13,AS13)/(+'Earnings Model'!BK10)*365</f>
        <v>21.9478298168814</v>
      </c>
      <c r="AT62" s="90">
        <f>AVERAGE(AS13,AT13)/(+'Earnings Model'!BL10)*365</f>
        <v>18.5124435161828</v>
      </c>
      <c r="AU62" s="90">
        <f>AVERAGE(AT13,AU13)/(+'Earnings Model'!BM10)*365</f>
        <v>24.5906442303346</v>
      </c>
      <c r="AV62" s="90">
        <f>AVERAGE(AU13,AV13)/(+'Earnings Model'!BN10)*365</f>
        <v>49.2337802932795</v>
      </c>
      <c r="AW62" s="90">
        <f>AVERAGE(AV13,AW13)/(+'Earnings Model'!BO10)*365</f>
        <v>34.2062213118155</v>
      </c>
      <c r="AX62" s="91">
        <f>+AW62</f>
        <v>34.2062213118155</v>
      </c>
      <c r="AY62" s="91">
        <f t="shared" ref="AY62:BA64" si="122">+AX62</f>
        <v>34.2062213118155</v>
      </c>
      <c r="AZ62" s="91">
        <f t="shared" si="122"/>
        <v>34.2062213118155</v>
      </c>
      <c r="BA62" s="91">
        <f t="shared" si="122"/>
        <v>34.2062213118155</v>
      </c>
    </row>
    <row r="63" ht="11.45" customHeight="1" spans="1:53">
      <c r="A63" s="54"/>
      <c r="B63" s="83" t="s">
        <v>540</v>
      </c>
      <c r="C63" s="90" t="e">
        <f>AVERAGE(B14,C14)/+'Earnings Model'!G14*91</f>
        <v>#DIV/0!</v>
      </c>
      <c r="D63" s="90" t="e">
        <f>AVERAGE(C14,D14)/+'Earnings Model'!H14*91</f>
        <v>#DIV/0!</v>
      </c>
      <c r="E63" s="90" t="e">
        <f>AVERAGE(D14,E14)/+'Earnings Model'!I14*91</f>
        <v>#DIV/0!</v>
      </c>
      <c r="F63" s="90" t="e">
        <f>AVERAGE(E14,F14)/+'Earnings Model'!J14*91</f>
        <v>#DIV/0!</v>
      </c>
      <c r="G63" s="90" t="e">
        <f>AVERAGE(F14,G14)/+'Earnings Model'!K14*91</f>
        <v>#DIV/0!</v>
      </c>
      <c r="H63" s="90" t="e">
        <f>AVERAGE(G14,H14)/+'Earnings Model'!L14*91</f>
        <v>#DIV/0!</v>
      </c>
      <c r="I63" s="90" t="e">
        <f>AVERAGE(H14,I14)/+'Earnings Model'!M14*91</f>
        <v>#DIV/0!</v>
      </c>
      <c r="J63" s="90" t="e">
        <f>AVERAGE(I14,J14)/+'Earnings Model'!N14*91</f>
        <v>#DIV/0!</v>
      </c>
      <c r="K63" s="90" t="e">
        <f>AVERAGE(J14,K14)/+'Earnings Model'!O14*91</f>
        <v>#DIV/0!</v>
      </c>
      <c r="L63" s="90">
        <f>AVERAGE(K14,L14)/+'Earnings Model'!P14*91</f>
        <v>56.9783893311435</v>
      </c>
      <c r="M63" s="90"/>
      <c r="N63" s="90">
        <f>AVERAGE(M14,N14)/+'Earnings Model'!R14*91</f>
        <v>78.6199351017812</v>
      </c>
      <c r="O63" s="90">
        <f>AVERAGE(N14,O14)/+'Earnings Model'!S14*91</f>
        <v>113.715483547521</v>
      </c>
      <c r="P63" s="90">
        <f>AVERAGE(O14,P14)/+'Earnings Model'!T14*91</f>
        <v>100.017041283675</v>
      </c>
      <c r="Q63" s="90">
        <f>AVERAGE(P14,Q14)/+'Earnings Model'!U14*91</f>
        <v>96.2424630480724</v>
      </c>
      <c r="R63" s="90">
        <f>AVERAGE(Q14,R14)/+'Earnings Model'!V14*91</f>
        <v>152.921173336891</v>
      </c>
      <c r="S63" s="90">
        <f>AVERAGE(R14,S14)/+'Earnings Model'!W14*91</f>
        <v>161.429077974447</v>
      </c>
      <c r="T63" s="90">
        <f>AVERAGE(S14,T14)/+'Earnings Model'!X14*91</f>
        <v>163.011602593576</v>
      </c>
      <c r="U63" s="90">
        <f>AVERAGE(T14,U14)/+'Earnings Model'!Y14*91</f>
        <v>130.700308068872</v>
      </c>
      <c r="V63" s="90">
        <f>AVERAGE(U14,V14)/+'Earnings Model'!Z14*91</f>
        <v>47.99907232387</v>
      </c>
      <c r="W63" s="90">
        <f>AVERAGE(V14,W14)/+'Earnings Model'!AA14*91</f>
        <v>58.2453114534494</v>
      </c>
      <c r="X63" s="90">
        <f>AVERAGE(W14,X14)/+'Earnings Model'!AB14*91</f>
        <v>69.4505328673188</v>
      </c>
      <c r="Y63" s="90">
        <f>AVERAGE(X14,Y14)/+'Earnings Model'!AC14*91</f>
        <v>82.6939059996049</v>
      </c>
      <c r="Z63" s="90">
        <f>AVERAGE(Y14,Z14)/+'Earnings Model'!AD14*91</f>
        <v>117.050045926086</v>
      </c>
      <c r="AA63" s="90">
        <f>AVERAGE(Z14,AA14)/+'Earnings Model'!AE14*91</f>
        <v>184.879960668519</v>
      </c>
      <c r="AB63" s="90">
        <f>AVERAGE(AA14,AB14)/+'Earnings Model'!AF14*91</f>
        <v>361.637171799648</v>
      </c>
      <c r="AC63" s="90">
        <f>AVERAGE(AB14,AC14)/+'Earnings Model'!AG14*91</f>
        <v>338.330338362399</v>
      </c>
      <c r="AD63" s="90">
        <f>AVERAGE(AC14,AD14)/+'Earnings Model'!AH14*91</f>
        <v>296.131219665242</v>
      </c>
      <c r="AE63" s="90">
        <f>AVERAGE(AD14,AE14)/+'Earnings Model'!AI14*91</f>
        <v>156.728375401971</v>
      </c>
      <c r="AF63" s="90">
        <f>AVERAGE(AE14,AF14)/+'Earnings Model'!AJ14*91</f>
        <v>139.953296967598</v>
      </c>
      <c r="AG63" s="90">
        <f>AVERAGE(AF14,AG14)/+'Earnings Model'!AK14*91</f>
        <v>102.074656243849</v>
      </c>
      <c r="AH63" s="90">
        <f>AVERAGE(AG14,AH14)/+'Earnings Model'!AL14*91</f>
        <v>96.7077832087945</v>
      </c>
      <c r="AI63" s="90">
        <f>AVERAGE(AH14,AI14)/+'Earnings Model'!AM14*91</f>
        <v>75.9488798370672</v>
      </c>
      <c r="AJ63" s="90">
        <f>AVERAGE(AI14,AJ14)/+'Earnings Model'!AN14*91</f>
        <v>62.3999300767294</v>
      </c>
      <c r="AK63" s="90">
        <f>AVERAGE(AJ14,AK14)/+'Earnings Model'!AO14*91</f>
        <v>57.9590588715627</v>
      </c>
      <c r="AL63" s="90">
        <f>AVERAGE(AK14,AL14)/+'Earnings Model'!AP14*91</f>
        <v>104.268175762787</v>
      </c>
      <c r="AM63" s="90">
        <f>AVERAGE(AL14,AM14)/+'Earnings Model'!AQ14*91</f>
        <v>159.25258850569</v>
      </c>
      <c r="AN63" s="90"/>
      <c r="AO63" s="90"/>
      <c r="AP63" s="90">
        <f>AVERAGE(AO14,AP14)/+'Earnings Model'!BH14*365</f>
        <v>124.206964858692</v>
      </c>
      <c r="AQ63" s="90">
        <f>AVERAGE(AP14,AQ14)/+'Earnings Model'!BI14*365</f>
        <v>89.2478135490426</v>
      </c>
      <c r="AR63" s="90">
        <f>AVERAGE(AQ14,AR14)/+'Earnings Model'!BJ14*365</f>
        <v>111.911419889503</v>
      </c>
      <c r="AS63" s="90">
        <f>AVERAGE(AR14,AS14)/+'Earnings Model'!BK14*365</f>
        <v>123.424618502534</v>
      </c>
      <c r="AT63" s="90">
        <f>AVERAGE(AS14,AT14)/+'Earnings Model'!BL14*365</f>
        <v>77.0823456976673</v>
      </c>
      <c r="AU63" s="90">
        <f>AVERAGE(AT14,AU14)/+'Earnings Model'!BM14*365</f>
        <v>103.345683252599</v>
      </c>
      <c r="AV63" s="90">
        <f>AVERAGE(AU14,AV14)/+'Earnings Model'!BN14*365</f>
        <v>237.21856048023</v>
      </c>
      <c r="AW63" s="90">
        <f>AVERAGE(AV14,AW14)/+'Earnings Model'!BO14*365</f>
        <v>99.9669962556158</v>
      </c>
      <c r="AX63" s="91">
        <f>+AW63</f>
        <v>99.9669962556158</v>
      </c>
      <c r="AY63" s="91">
        <f t="shared" si="122"/>
        <v>99.9669962556158</v>
      </c>
      <c r="AZ63" s="91">
        <f t="shared" si="122"/>
        <v>99.9669962556158</v>
      </c>
      <c r="BA63" s="91">
        <f t="shared" si="122"/>
        <v>99.9669962556158</v>
      </c>
    </row>
    <row r="64" ht="11.45" customHeight="1" spans="1:53">
      <c r="A64" s="54"/>
      <c r="B64" s="83" t="s">
        <v>541</v>
      </c>
      <c r="C64" s="90" t="e">
        <f>AVERAGE(C28,B28)/'Earnings Model'!G14*91</f>
        <v>#DIV/0!</v>
      </c>
      <c r="D64" s="90" t="e">
        <f>AVERAGE(D28,C28)/'Earnings Model'!H14*91</f>
        <v>#DIV/0!</v>
      </c>
      <c r="E64" s="90" t="e">
        <f>AVERAGE(E28,D28)/'Earnings Model'!I14*91</f>
        <v>#DIV/0!</v>
      </c>
      <c r="F64" s="90" t="e">
        <f>AVERAGE(F28,E28)/'Earnings Model'!J14*91</f>
        <v>#DIV/0!</v>
      </c>
      <c r="G64" s="90" t="e">
        <f>AVERAGE(G28,F28)/'Earnings Model'!K14*91</f>
        <v>#DIV/0!</v>
      </c>
      <c r="H64" s="90" t="e">
        <f>AVERAGE(H28,G28)/'Earnings Model'!L14*91</f>
        <v>#DIV/0!</v>
      </c>
      <c r="I64" s="90" t="e">
        <f>AVERAGE(I28,H28)/'Earnings Model'!M14*91</f>
        <v>#DIV/0!</v>
      </c>
      <c r="J64" s="90" t="e">
        <f>AVERAGE(J28,I28)/'Earnings Model'!N14*91</f>
        <v>#DIV/0!</v>
      </c>
      <c r="K64" s="90" t="e">
        <f>AVERAGE(K28,J28)/'Earnings Model'!O14*91</f>
        <v>#DIV/0!</v>
      </c>
      <c r="L64" s="90">
        <f>AVERAGE(L28,K28)/'Earnings Model'!P14*91</f>
        <v>35.118834846827</v>
      </c>
      <c r="M64" s="90"/>
      <c r="N64" s="90">
        <f>AVERAGE(N28,M28)/'Earnings Model'!R14*91</f>
        <v>67.6736199727486</v>
      </c>
      <c r="O64" s="90">
        <f>AVERAGE(O28,N28)/'Earnings Model'!S14*91</f>
        <v>77.638232829343</v>
      </c>
      <c r="P64" s="90">
        <f>AVERAGE(P28,O28)/'Earnings Model'!T14*91</f>
        <v>70.0984149363117</v>
      </c>
      <c r="Q64" s="90">
        <f>AVERAGE(Q28,P28)/'Earnings Model'!U14*91</f>
        <v>71.8559877953976</v>
      </c>
      <c r="R64" s="90">
        <f>AVERAGE(R28,Q28)/'Earnings Model'!V14*91</f>
        <v>80.8918212469998</v>
      </c>
      <c r="S64" s="90">
        <f>AVERAGE(S28,R28)/'Earnings Model'!W14*91</f>
        <v>68.9420381035134</v>
      </c>
      <c r="T64" s="90">
        <f>AVERAGE(T28,S28)/'Earnings Model'!X14*91</f>
        <v>82.8910257011757</v>
      </c>
      <c r="U64" s="90">
        <f>AVERAGE(U28,T28)/'Earnings Model'!Y14*91</f>
        <v>86.7989745104659</v>
      </c>
      <c r="V64" s="90">
        <f>AVERAGE(V28,U28)/'Earnings Model'!Z14*91</f>
        <v>43.4365473197409</v>
      </c>
      <c r="W64" s="90">
        <f>AVERAGE(W28,V28)/'Earnings Model'!AA14*91</f>
        <v>45.1718218352311</v>
      </c>
      <c r="X64" s="90">
        <f>AVERAGE(X28,W28)/'Earnings Model'!AB14*91</f>
        <v>41.4346602237808</v>
      </c>
      <c r="Y64" s="90">
        <f>AVERAGE(Y28,X28)/'Earnings Model'!AC14*91</f>
        <v>56.6848176848945</v>
      </c>
      <c r="Z64" s="90">
        <f>AVERAGE(Z28,Y28)/'Earnings Model'!AD14*91</f>
        <v>56.706863248325</v>
      </c>
      <c r="AA64" s="90">
        <f>AVERAGE(AA28,Z28)/'Earnings Model'!AE14*91</f>
        <v>48.0952903742292</v>
      </c>
      <c r="AB64" s="90">
        <f>AVERAGE(AB28,AA28)/'Earnings Model'!AF14*91</f>
        <v>75.183261463091</v>
      </c>
      <c r="AC64" s="90">
        <f>AVERAGE(AC28,AB28)/'Earnings Model'!AG14*91</f>
        <v>44.7667675348019</v>
      </c>
      <c r="AD64" s="90">
        <f>AVERAGE(AD28,AC28)/'Earnings Model'!AH14*91</f>
        <v>39.4461235685322</v>
      </c>
      <c r="AE64" s="90">
        <f>AVERAGE(AE28,AD28)/'Earnings Model'!AI14*91</f>
        <v>32.9320054244911</v>
      </c>
      <c r="AF64" s="90">
        <f>AVERAGE(AF28,AE28)/'Earnings Model'!AJ14*91</f>
        <v>44.0840709099772</v>
      </c>
      <c r="AG64" s="90">
        <f>AVERAGE(AG28,AF28)/'Earnings Model'!AK14*91</f>
        <v>33.283054655886</v>
      </c>
      <c r="AH64" s="90">
        <f>AVERAGE(AH28,AG28)/'Earnings Model'!AL14*91</f>
        <v>33.3132760267431</v>
      </c>
      <c r="AI64" s="90">
        <f>AVERAGE(AI28,AH28)/'Earnings Model'!AM14*91</f>
        <v>37.6453156822811</v>
      </c>
      <c r="AJ64" s="90">
        <f>AVERAGE(AJ28,AI28)/'Earnings Model'!AN14*91</f>
        <v>39.1057320531996</v>
      </c>
      <c r="AK64" s="90">
        <f>AVERAGE(AK28,AJ28)/'Earnings Model'!AO14*91</f>
        <v>28.4677689117464</v>
      </c>
      <c r="AL64" s="90">
        <f>AVERAGE(AL28,AK28)/'Earnings Model'!AP14*91</f>
        <v>39.2244884265463</v>
      </c>
      <c r="AM64" s="90">
        <f>AVERAGE(AM28,AL28)/'Earnings Model'!AQ14*91</f>
        <v>48.306128422982</v>
      </c>
      <c r="AN64" s="90"/>
      <c r="AO64" s="90"/>
      <c r="AP64" s="90">
        <f>AVERAGE(AP28,AO28)/'Earnings Model'!BH14*365</f>
        <v>70.1686788031218</v>
      </c>
      <c r="AQ64" s="90">
        <f>AVERAGE(AQ28,AP28)/'Earnings Model'!BI14*365</f>
        <v>64.0456440952304</v>
      </c>
      <c r="AR64" s="90">
        <f>AVERAGE(AR28,AQ28)/'Earnings Model'!BJ14*365</f>
        <v>66.8179889502762</v>
      </c>
      <c r="AS64" s="90">
        <f>AVERAGE(AS28,AR28)/'Earnings Model'!BK14*365</f>
        <v>63.6766596833578</v>
      </c>
      <c r="AT64" s="90">
        <f>AVERAGE(AT28,AS28)/'Earnings Model'!BL14*365</f>
        <v>40.1373311622263</v>
      </c>
      <c r="AU64" s="90">
        <f>AVERAGE(AU28,AT28)/'Earnings Model'!BM14*365</f>
        <v>37.4765145186442</v>
      </c>
      <c r="AV64" s="90">
        <f>AVERAGE(AV28,AU28)/'Earnings Model'!BN14*365</f>
        <v>63.7886093294833</v>
      </c>
      <c r="AW64" s="90">
        <f>AVERAGE(AW28,AV28)/'Earnings Model'!BO14*365</f>
        <v>40.9972942639709</v>
      </c>
      <c r="AX64" s="91">
        <f>+AW64</f>
        <v>40.9972942639709</v>
      </c>
      <c r="AY64" s="91">
        <f t="shared" si="122"/>
        <v>40.9972942639709</v>
      </c>
      <c r="AZ64" s="91">
        <f t="shared" si="122"/>
        <v>40.9972942639709</v>
      </c>
      <c r="BA64" s="91">
        <f t="shared" si="122"/>
        <v>40.9972942639709</v>
      </c>
    </row>
    <row r="65" ht="11.45" customHeight="1" spans="1:53">
      <c r="A65" s="54"/>
      <c r="B65" s="83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</row>
    <row r="66" ht="11.45" customHeight="1" spans="1:53">
      <c r="A66" s="93"/>
      <c r="B66" s="94" t="s">
        <v>542</v>
      </c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93"/>
      <c r="AP66" s="93"/>
      <c r="AQ66" s="93"/>
      <c r="AR66" s="93"/>
      <c r="AS66" s="93"/>
      <c r="AT66" s="93"/>
      <c r="AU66" s="93"/>
      <c r="AV66" s="93"/>
      <c r="AW66" s="93"/>
      <c r="AX66" s="93"/>
      <c r="AY66" s="93"/>
      <c r="AZ66" s="93"/>
      <c r="BA66" s="93"/>
    </row>
    <row r="67" ht="11.45" customHeight="1" spans="1:53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</row>
    <row r="68" ht="11.45" customHeight="1" spans="1:53">
      <c r="A68" s="95" t="s">
        <v>543</v>
      </c>
      <c r="B68" s="95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</row>
    <row r="69" ht="11.45" customHeight="1" spans="1:53"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</row>
    <row r="70" ht="11.45" customHeight="1" spans="1:53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</row>
    <row r="71" ht="11.45" customHeight="1" spans="1:53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</row>
    <row r="72" ht="11.45" customHeight="1" spans="1:53">
      <c r="A72" s="83" t="s">
        <v>544</v>
      </c>
      <c r="B72" s="83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</row>
    <row r="73" ht="11.45" customHeight="1" spans="1:53">
      <c r="A73" s="83"/>
      <c r="B73" s="83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</row>
    <row r="74" ht="11.45" customHeight="1" spans="1:53">
      <c r="A74" s="96"/>
      <c r="B74" s="96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</row>
    <row r="75" ht="11.45" customHeight="1" spans="1:53">
      <c r="A75" s="95"/>
      <c r="B75" s="97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</row>
    <row r="76" ht="11.45" customHeight="1"/>
    <row r="77" ht="11.45" customHeight="1"/>
    <row r="78" ht="11.45" customHeight="1"/>
    <row r="79" ht="11.45" customHeight="1" spans="1:53">
      <c r="B79" s="98" t="s">
        <v>545</v>
      </c>
    </row>
    <row r="80" ht="11.45" customHeight="1" spans="1:53">
      <c r="B80" s="3" t="s">
        <v>546</v>
      </c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99"/>
      <c r="AH80" s="99"/>
      <c r="AI80" s="99"/>
      <c r="AJ80" s="99"/>
      <c r="AK80" s="99"/>
      <c r="AL80" s="99"/>
      <c r="AM80" s="99"/>
      <c r="AN80" s="99"/>
      <c r="AO80" s="56"/>
      <c r="AP80" s="56">
        <f t="shared" ref="AP80:AW80" si="123">AO87</f>
        <v>883.024</v>
      </c>
      <c r="AQ80" s="56">
        <f t="shared" si="123"/>
        <v>1187.007</v>
      </c>
      <c r="AR80" s="56">
        <f t="shared" si="123"/>
        <v>3615.749</v>
      </c>
      <c r="AS80" s="56">
        <f t="shared" si="123"/>
        <v>7329.724</v>
      </c>
      <c r="AT80" s="56">
        <f t="shared" si="123"/>
        <v>8070.251</v>
      </c>
      <c r="AU80" s="56">
        <f t="shared" si="123"/>
        <v>8390.699</v>
      </c>
      <c r="AV80" s="56">
        <f t="shared" si="123"/>
        <v>9927.255</v>
      </c>
      <c r="AW80" s="56">
        <f t="shared" si="123"/>
        <v>10206.619</v>
      </c>
      <c r="AX80" s="56">
        <f t="shared" ref="AX80" si="124">AW87</f>
        <v>11396.505</v>
      </c>
      <c r="AY80" s="56">
        <f t="shared" ref="AY80" si="125">AX87</f>
        <v>12871.155</v>
      </c>
      <c r="AZ80" s="56">
        <f t="shared" ref="AZ80:BA80" si="126">AY87</f>
        <v>22762.6891724817</v>
      </c>
      <c r="BA80" s="56">
        <f t="shared" si="126"/>
        <v>30186.2708811884</v>
      </c>
    </row>
    <row r="81" ht="11.45" customHeight="1" spans="1:63">
      <c r="B81" s="3" t="s">
        <v>547</v>
      </c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99"/>
      <c r="AB81" s="99"/>
      <c r="AC81" s="99"/>
      <c r="AD81" s="99"/>
      <c r="AE81" s="99"/>
      <c r="AF81" s="99"/>
      <c r="AG81" s="99"/>
      <c r="AH81" s="99"/>
      <c r="AI81" s="99"/>
      <c r="AJ81" s="99"/>
      <c r="AK81" s="99"/>
      <c r="AL81" s="99"/>
      <c r="AM81" s="99"/>
      <c r="AN81" s="99"/>
      <c r="AO81" s="56">
        <f>+'Cash Flow'!E35</f>
        <v>4524.383</v>
      </c>
      <c r="AP81" s="56">
        <f t="shared" ref="AP81:AW81" si="127">AP35-AO35</f>
        <v>0</v>
      </c>
      <c r="AQ81" s="56">
        <f t="shared" si="127"/>
        <v>259.801</v>
      </c>
      <c r="AR81" s="56">
        <f t="shared" si="127"/>
        <v>112.981</v>
      </c>
      <c r="AS81" s="56">
        <f t="shared" si="127"/>
        <v>0</v>
      </c>
      <c r="AT81" s="56">
        <f t="shared" si="127"/>
        <v>1.49299999999994</v>
      </c>
      <c r="AU81" s="56">
        <f t="shared" si="127"/>
        <v>2.76099999999997</v>
      </c>
      <c r="AV81" s="56">
        <f t="shared" si="127"/>
        <v>4.67200000000003</v>
      </c>
      <c r="AW81" s="56">
        <f t="shared" si="127"/>
        <v>6.04899999999998</v>
      </c>
      <c r="AX81" s="56">
        <f t="shared" ref="AX81" si="128">AX35-AW35</f>
        <v>1.63799999999992</v>
      </c>
      <c r="AY81" s="56">
        <f t="shared" ref="AY81" si="129">AY35-AX35</f>
        <v>0</v>
      </c>
      <c r="AZ81" s="56">
        <f t="shared" ref="AZ81:BA81" si="130">AZ35-AY35</f>
        <v>0</v>
      </c>
      <c r="BA81" s="56">
        <f t="shared" si="130"/>
        <v>0</v>
      </c>
    </row>
    <row r="82" ht="11.45" customHeight="1" spans="1:63">
      <c r="B82" s="3" t="s">
        <v>548</v>
      </c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/>
      <c r="AC82" s="99"/>
      <c r="AD82" s="99"/>
      <c r="AE82" s="99"/>
      <c r="AF82" s="99"/>
      <c r="AG82" s="99"/>
      <c r="AH82" s="99"/>
      <c r="AI82" s="99"/>
      <c r="AJ82" s="99"/>
      <c r="AK82" s="99"/>
      <c r="AL82" s="99"/>
      <c r="AM82" s="99"/>
      <c r="AN82" s="99"/>
      <c r="AO82" s="72">
        <f>+'Earnings Model'!BG57</f>
        <v>92.804</v>
      </c>
      <c r="AP82" s="72">
        <f>+'Earnings Model'!BH57</f>
        <v>346.916</v>
      </c>
      <c r="AQ82" s="72">
        <f>+'Earnings Model'!BI57</f>
        <v>736.878</v>
      </c>
      <c r="AR82" s="72">
        <f>+'Earnings Model'!BJ57</f>
        <v>932.858</v>
      </c>
      <c r="AS82" s="72">
        <f>+'Earnings Model'!BK57</f>
        <v>1103.72349118</v>
      </c>
      <c r="AT82" s="72">
        <f>+'Earnings Model'!BL57</f>
        <v>829.138</v>
      </c>
      <c r="AU82" s="72">
        <f>+'Earnings Model'!BM57</f>
        <v>1299.378</v>
      </c>
      <c r="AV82" s="72">
        <f>+'Earnings Model'!BN57</f>
        <v>450.91</v>
      </c>
      <c r="AW82" s="72">
        <f>+'Earnings Model'!BO57</f>
        <v>1411.779</v>
      </c>
      <c r="AX82" s="72">
        <f>+'Earnings Model'!BP57</f>
        <v>2157.609959</v>
      </c>
      <c r="AY82" s="72">
        <f>+'Earnings Model'!BQ57</f>
        <v>3591.53417248166</v>
      </c>
      <c r="AZ82" s="72">
        <f>+'Earnings Model'!BR57</f>
        <v>7423.58170870676</v>
      </c>
      <c r="BA82" s="72">
        <f>+'Earnings Model'!BS57</f>
        <v>10752.2838493122</v>
      </c>
    </row>
    <row r="83" ht="11.45" customHeight="1" spans="1:63">
      <c r="B83" s="3" t="s">
        <v>549</v>
      </c>
      <c r="C83" s="9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99"/>
      <c r="AB83" s="99"/>
      <c r="AC83" s="99"/>
      <c r="AD83" s="99"/>
      <c r="AE83" s="99"/>
      <c r="AF83" s="99"/>
      <c r="AG83" s="99"/>
      <c r="AH83" s="99"/>
      <c r="AI83" s="99"/>
      <c r="AJ83" s="99"/>
      <c r="AK83" s="99"/>
      <c r="AL83" s="99"/>
      <c r="AM83" s="99"/>
      <c r="AN83" s="99"/>
      <c r="AO83" s="56">
        <f>'Cash Flow'!E36</f>
        <v>0</v>
      </c>
      <c r="AP83" s="56">
        <f>'Cash Flow'!F36</f>
        <v>0</v>
      </c>
      <c r="AQ83" s="56">
        <f>'Cash Flow'!G36</f>
        <v>-298.271</v>
      </c>
      <c r="AR83" s="56">
        <f>'Cash Flow'!H36</f>
        <v>-233.871</v>
      </c>
      <c r="AS83" s="56">
        <f>'Cash Flow'!I36</f>
        <v>0</v>
      </c>
      <c r="AT83" s="56">
        <f>'Cash Flow'!J36</f>
        <v>-339.309</v>
      </c>
      <c r="AU83" s="56">
        <f>'Cash Flow'!K36</f>
        <v>0</v>
      </c>
      <c r="AV83" s="56">
        <f>'Cash Flow'!L36</f>
        <v>-341.402</v>
      </c>
      <c r="AW83" s="56">
        <f>'Cash Flow'!M36</f>
        <v>-338.193</v>
      </c>
      <c r="AX83" s="56">
        <f>'Cash Flow'!N36</f>
        <v>-669.996</v>
      </c>
      <c r="AY83" s="56">
        <f>'Cash Flow'!O36</f>
        <v>0</v>
      </c>
      <c r="AZ83" s="56">
        <f>'Cash Flow'!P36</f>
        <v>0</v>
      </c>
      <c r="BA83" s="56">
        <f>'Cash Flow'!Q36</f>
        <v>0</v>
      </c>
      <c r="BI83" s="3">
        <v>284.8217</v>
      </c>
      <c r="BJ83" s="3">
        <v>212.9101</v>
      </c>
      <c r="BK83" s="3">
        <v>0</v>
      </c>
    </row>
    <row r="84" ht="11.45" customHeight="1" spans="1:63">
      <c r="B84" s="3" t="s">
        <v>550</v>
      </c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9"/>
      <c r="AC84" s="99"/>
      <c r="AD84" s="99"/>
      <c r="AE84" s="99"/>
      <c r="AF84" s="99"/>
      <c r="AG84" s="99"/>
      <c r="AH84" s="99"/>
      <c r="AI84" s="99"/>
      <c r="AJ84" s="99"/>
      <c r="AK84" s="99"/>
      <c r="AL84" s="99"/>
      <c r="AM84" s="99"/>
      <c r="AN84" s="99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I84" s="3">
        <f>+SUM(BI85,BI93)</f>
        <v>558.3267</v>
      </c>
      <c r="BJ84" s="3">
        <f>+SUM(BJ85,BJ93)</f>
        <v>934.668</v>
      </c>
      <c r="BK84" s="3">
        <f>+SUM(BK85,BK93)</f>
        <v>1748.6526</v>
      </c>
    </row>
    <row r="85" ht="11.45" customHeight="1" spans="1:63">
      <c r="B85" s="3" t="s">
        <v>551</v>
      </c>
      <c r="C85" s="398" t="s">
        <v>465</v>
      </c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99"/>
      <c r="AB85" s="99"/>
      <c r="AC85" s="99"/>
      <c r="AD85" s="99"/>
      <c r="AE85" s="99"/>
      <c r="AF85" s="99"/>
      <c r="AG85" s="99"/>
      <c r="AH85" s="99"/>
      <c r="AI85" s="99"/>
      <c r="AJ85" s="99"/>
      <c r="AK85" s="99"/>
      <c r="AL85" s="99"/>
      <c r="AM85" s="99"/>
      <c r="AN85" s="99"/>
      <c r="AO85" s="56">
        <f t="shared" ref="AO85:AT85" si="131">AO87-SUM(AO80:AO84)</f>
        <v>-3734.163</v>
      </c>
      <c r="AP85" s="56">
        <f t="shared" si="131"/>
        <v>-42.933</v>
      </c>
      <c r="AQ85" s="56">
        <f t="shared" si="131"/>
        <v>1730.334</v>
      </c>
      <c r="AR85" s="56">
        <f t="shared" si="131"/>
        <v>2902.007</v>
      </c>
      <c r="AS85" s="56">
        <f t="shared" si="131"/>
        <v>-363.196491180001</v>
      </c>
      <c r="AT85" s="56">
        <f t="shared" si="131"/>
        <v>-170.874000000002</v>
      </c>
      <c r="AU85" s="56">
        <f t="shared" ref="AU85:AV85" si="132">AU87-SUM(AU80:AU84)</f>
        <v>234.416999999999</v>
      </c>
      <c r="AV85" s="56">
        <f t="shared" si="132"/>
        <v>165.183999999997</v>
      </c>
      <c r="AW85" s="56">
        <f t="shared" ref="AW85:AZ85" si="133">AW87-SUM(AW80:AW84)</f>
        <v>110.251000000002</v>
      </c>
      <c r="AX85" s="56">
        <f t="shared" si="133"/>
        <v>-14.6019589999996</v>
      </c>
      <c r="AY85" s="56">
        <f t="shared" si="133"/>
        <v>6300</v>
      </c>
      <c r="AZ85" s="56">
        <f t="shared" si="133"/>
        <v>0</v>
      </c>
      <c r="BA85" s="56">
        <f t="shared" ref="BA85" si="134">BA87-SUM(BA80:BA84)</f>
        <v>0</v>
      </c>
      <c r="BI85" s="3">
        <v>558.3267</v>
      </c>
      <c r="BJ85" s="3">
        <v>934.668</v>
      </c>
      <c r="BK85" s="3">
        <v>1748.6526</v>
      </c>
    </row>
    <row r="86" ht="11.45" customHeight="1" spans="1:63"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/>
      <c r="AC86" s="99"/>
      <c r="AD86" s="99"/>
      <c r="AE86" s="99"/>
      <c r="AF86" s="99"/>
      <c r="AG86" s="99"/>
      <c r="AH86" s="99"/>
      <c r="AI86" s="99"/>
      <c r="AJ86" s="99"/>
      <c r="AK86" s="99"/>
      <c r="AL86" s="99"/>
      <c r="AM86" s="99"/>
      <c r="AN86" s="99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</row>
    <row r="87" ht="11.45" customHeight="1" spans="1:63">
      <c r="B87" s="3" t="s">
        <v>552</v>
      </c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  <c r="AI87" s="99"/>
      <c r="AJ87" s="99"/>
      <c r="AK87" s="99"/>
      <c r="AL87" s="99"/>
      <c r="AM87" s="99"/>
      <c r="AN87" s="99"/>
      <c r="AO87" s="56">
        <f t="shared" ref="AO87:AT87" si="135">AO40</f>
        <v>883.024</v>
      </c>
      <c r="AP87" s="56">
        <f t="shared" si="135"/>
        <v>1187.007</v>
      </c>
      <c r="AQ87" s="56">
        <f t="shared" si="135"/>
        <v>3615.749</v>
      </c>
      <c r="AR87" s="56">
        <f t="shared" si="135"/>
        <v>7329.724</v>
      </c>
      <c r="AS87" s="56">
        <f t="shared" si="135"/>
        <v>8070.251</v>
      </c>
      <c r="AT87" s="56">
        <f t="shared" si="135"/>
        <v>8390.699</v>
      </c>
      <c r="AU87" s="56">
        <f t="shared" ref="AU87:AV87" si="136">AU40</f>
        <v>9927.255</v>
      </c>
      <c r="AV87" s="56">
        <f t="shared" si="136"/>
        <v>10206.619</v>
      </c>
      <c r="AW87" s="56">
        <f t="shared" ref="AW87:AZ87" si="137">AW40</f>
        <v>11396.505</v>
      </c>
      <c r="AX87" s="56">
        <f t="shared" si="137"/>
        <v>12871.155</v>
      </c>
      <c r="AY87" s="56">
        <f t="shared" si="137"/>
        <v>22762.6891724817</v>
      </c>
      <c r="AZ87" s="56">
        <f t="shared" si="137"/>
        <v>30186.2708811884</v>
      </c>
      <c r="BA87" s="56">
        <f t="shared" ref="BA87" si="138">BA40</f>
        <v>40938.5547305006</v>
      </c>
    </row>
    <row r="88" ht="11.45" customHeight="1" spans="1:63"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  <c r="AM88" s="100"/>
      <c r="AN88" s="100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</row>
    <row r="89" ht="11.45" customHeight="1" spans="1:63">
      <c r="A89" s="101"/>
      <c r="B89" s="102" t="s">
        <v>482</v>
      </c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3"/>
      <c r="AJ89" s="103"/>
      <c r="AK89" s="103"/>
      <c r="AL89" s="103"/>
      <c r="AM89" s="103"/>
      <c r="AN89" s="103"/>
      <c r="AO89" s="56">
        <f t="shared" ref="AO89:AT89" si="139">AO87-AO80</f>
        <v>883.024</v>
      </c>
      <c r="AP89" s="56">
        <f t="shared" si="139"/>
        <v>303.983</v>
      </c>
      <c r="AQ89" s="56">
        <f t="shared" si="139"/>
        <v>2428.742</v>
      </c>
      <c r="AR89" s="56">
        <f t="shared" si="139"/>
        <v>3713.975</v>
      </c>
      <c r="AS89" s="56">
        <f t="shared" si="139"/>
        <v>740.527</v>
      </c>
      <c r="AT89" s="56">
        <f t="shared" si="139"/>
        <v>320.448</v>
      </c>
      <c r="AU89" s="56">
        <f t="shared" ref="AU89:AV89" si="140">AU87-AU80</f>
        <v>1536.556</v>
      </c>
      <c r="AV89" s="56">
        <f t="shared" si="140"/>
        <v>279.363999999998</v>
      </c>
      <c r="AW89" s="56">
        <f t="shared" ref="AW89:AZ89" si="141">AW87-AW80</f>
        <v>1189.886</v>
      </c>
      <c r="AX89" s="56">
        <f t="shared" si="141"/>
        <v>1474.65</v>
      </c>
      <c r="AY89" s="56">
        <f t="shared" si="141"/>
        <v>9891.53417248166</v>
      </c>
      <c r="AZ89" s="56">
        <f t="shared" si="141"/>
        <v>7423.58170870676</v>
      </c>
      <c r="BA89" s="56">
        <f t="shared" ref="BA89" si="142">BA87-BA80</f>
        <v>10752.2838493122</v>
      </c>
    </row>
    <row r="90" ht="11.45" customHeight="1" spans="1:63">
      <c r="A90" s="101"/>
      <c r="B90" s="102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3"/>
      <c r="AM90" s="103"/>
      <c r="AN90" s="103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1"/>
      <c r="BA90" s="101"/>
    </row>
    <row r="91" spans="1:63">
      <c r="B91" s="52"/>
    </row>
    <row r="92" spans="1:63">
      <c r="B92" s="3" t="s">
        <v>553</v>
      </c>
    </row>
    <row r="93" spans="1:63">
      <c r="C93" s="399" t="s">
        <v>554</v>
      </c>
      <c r="BI93" s="3">
        <v>0</v>
      </c>
      <c r="BJ93" s="3">
        <v>0</v>
      </c>
      <c r="BK93" s="3">
        <v>0</v>
      </c>
    </row>
    <row r="94" spans="1:63">
      <c r="BI94" s="3">
        <v>0</v>
      </c>
      <c r="BJ94" s="3">
        <v>7.5964</v>
      </c>
      <c r="BK94" s="3">
        <v>9.012</v>
      </c>
    </row>
    <row r="95" spans="1:63">
      <c r="BI95" s="3">
        <f>+BI96-SUM(BI83,BI84,BI94)</f>
        <v>-843.1484</v>
      </c>
      <c r="BJ95" s="3">
        <f>+BJ96-SUM(BJ83,BJ84,BJ94)</f>
        <v>-1155.1745</v>
      </c>
      <c r="BK95" s="3">
        <f>+BK96-SUM(BK83,BK84,BK94)</f>
        <v>-1757.6646</v>
      </c>
    </row>
    <row r="96" spans="1:63">
      <c r="BI96" s="3">
        <f>+BI10</f>
        <v>0</v>
      </c>
      <c r="BJ96" s="3">
        <f>+BJ10</f>
        <v>0</v>
      </c>
      <c r="BK96" s="3">
        <f>+BK10</f>
        <v>0</v>
      </c>
    </row>
    <row r="337" spans="2:2">
      <c r="B337" s="3" t="s">
        <v>555</v>
      </c>
    </row>
  </sheetData>
  <printOptions horizontalCentered="1"/>
  <pageMargins left="0.17" right="0.18" top="1" bottom="1" header="0.5" footer="0.5"/>
  <pageSetup paperSize="1" scale="83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>
    <tabColor indexed="32"/>
    <pageSetUpPr fitToPage="1"/>
  </sheetPr>
  <dimension ref="A1:AM97"/>
  <sheetViews>
    <sheetView showGridLines="0" workbookViewId="0">
      <pane xSplit="4" ySplit="10" topLeftCell="E11" activePane="bottomRight" state="frozen"/>
      <selection/>
      <selection pane="topRight"/>
      <selection pane="bottomLeft"/>
      <selection pane="bottomRight" activeCell="M11" sqref="M11"/>
    </sheetView>
  </sheetViews>
  <sheetFormatPr defaultColWidth="9.14285714285714" defaultRowHeight="12.75"/>
  <cols>
    <col min="1" max="1" width="8.57142857142857" style="3" customWidth="1"/>
    <col min="2" max="2" width="1.42857142857143" style="3" customWidth="1"/>
    <col min="3" max="3" width="1.14285714285714" style="3" customWidth="1"/>
    <col min="4" max="4" width="42.1428571428571" style="3" customWidth="1"/>
    <col min="5" max="12" width="9.57142857142857" style="3" hidden="1" customWidth="1" outlineLevel="1"/>
    <col min="13" max="13" width="9.57142857142857" style="3" customWidth="1" collapsed="1"/>
    <col min="14" max="17" width="9.14285714285714" style="3"/>
    <col min="18" max="18" width="41.5714285714286" customWidth="1"/>
    <col min="19" max="19" width="31.5714285714286" customWidth="1"/>
    <col min="20" max="20" width="13.8571428571429" customWidth="1"/>
    <col min="25" max="16384" width="9.14285714285714" style="3"/>
  </cols>
  <sheetData>
    <row r="1" ht="13.5" spans="1:17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tr">
        <f>'Earnings Model'!A1</f>
        <v>Montage Technology (688008.SS, 6809.HK)</v>
      </c>
      <c r="B2" s="7"/>
      <c r="C2" s="6"/>
      <c r="D2" s="7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>
      <c r="A3" s="8" t="s">
        <v>556</v>
      </c>
      <c r="B3" s="8"/>
      <c r="C3" s="8"/>
      <c r="D3" s="8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ht="3" customHeight="1" spans="1:17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>
      <c r="A5" s="9" t="s">
        <v>557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>
      <c r="A6" s="9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customFormat="1"/>
    <row r="8" spans="1:17">
      <c r="A8" s="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>
      <c r="A9" s="10" t="s">
        <v>357</v>
      </c>
      <c r="B9" s="10"/>
      <c r="C9" s="10"/>
      <c r="D9" s="10"/>
      <c r="E9" s="11">
        <v>2016</v>
      </c>
      <c r="F9" s="11">
        <v>2017</v>
      </c>
      <c r="G9" s="11">
        <v>2018</v>
      </c>
      <c r="H9" s="11">
        <v>2019</v>
      </c>
      <c r="I9" s="11">
        <v>2020</v>
      </c>
      <c r="J9" s="11">
        <v>2021</v>
      </c>
      <c r="K9" s="11">
        <v>2022</v>
      </c>
      <c r="L9" s="11">
        <v>2023</v>
      </c>
      <c r="M9" s="11">
        <v>2024</v>
      </c>
      <c r="N9" s="12">
        <v>2025</v>
      </c>
      <c r="O9" s="12" t="s">
        <v>410</v>
      </c>
      <c r="P9" s="12" t="s">
        <v>411</v>
      </c>
      <c r="Q9" s="12" t="s">
        <v>412</v>
      </c>
    </row>
    <row r="10" spans="1:17">
      <c r="A10" s="5"/>
      <c r="B10" s="5"/>
      <c r="C10" s="5"/>
      <c r="D10" s="5"/>
      <c r="E10" s="13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>
      <c r="A11" s="5" t="s">
        <v>558</v>
      </c>
      <c r="B11" s="5"/>
      <c r="C11" s="5"/>
      <c r="D11" s="5"/>
      <c r="E11" s="13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>
      <c r="A12" s="5"/>
      <c r="B12" s="5" t="s">
        <v>548</v>
      </c>
      <c r="C12" s="5"/>
      <c r="D12" s="5"/>
      <c r="E12" s="14">
        <f>'Earnings Model'!BG57</f>
        <v>92.804</v>
      </c>
      <c r="F12" s="14">
        <f>'Earnings Model'!BH57</f>
        <v>346.916</v>
      </c>
      <c r="G12" s="14">
        <f>'Earnings Model'!BI57</f>
        <v>736.878</v>
      </c>
      <c r="H12" s="14">
        <f>'Earnings Model'!BJ57</f>
        <v>932.858</v>
      </c>
      <c r="I12" s="14">
        <f>'Earnings Model'!BK57</f>
        <v>1103.72349118</v>
      </c>
      <c r="J12" s="15">
        <f>'Earnings Model'!BL57</f>
        <v>829.138</v>
      </c>
      <c r="K12" s="14">
        <f>'Earnings Model'!BM57</f>
        <v>1299.378</v>
      </c>
      <c r="L12" s="14">
        <f>'Earnings Model'!BN57</f>
        <v>450.91</v>
      </c>
      <c r="M12" s="14">
        <f>'Earnings Model'!BO57</f>
        <v>1411.779</v>
      </c>
      <c r="N12" s="14">
        <f>'Earnings Model'!BP57</f>
        <v>2157.609959</v>
      </c>
      <c r="O12" s="14">
        <f>'Earnings Model'!BQ57</f>
        <v>3591.53417248166</v>
      </c>
      <c r="P12" s="14">
        <f>'Earnings Model'!BR57</f>
        <v>7423.58170870676</v>
      </c>
      <c r="Q12" s="14">
        <f>'Earnings Model'!BS57</f>
        <v>10752.2838493122</v>
      </c>
    </row>
    <row r="13" spans="1:17">
      <c r="A13" s="5"/>
      <c r="B13" s="5" t="s">
        <v>559</v>
      </c>
      <c r="C13" s="5"/>
      <c r="D13" s="5"/>
      <c r="E13" s="14">
        <f>-'Balance Sheet'!AO19+'Balance Sheet'!AH19</f>
        <v>30.332</v>
      </c>
      <c r="F13" s="14">
        <f>-'Balance Sheet'!AP19+'Balance Sheet'!AO19</f>
        <v>-15.72</v>
      </c>
      <c r="G13" s="14">
        <f>-'Balance Sheet'!AQ19+'Balance Sheet'!AP19</f>
        <v>6.115</v>
      </c>
      <c r="H13" s="15">
        <f>-'Balance Sheet'!AR19+'Balance Sheet'!AQ19</f>
        <v>9.38799999999999</v>
      </c>
      <c r="I13" s="15">
        <f>-'Balance Sheet'!AS19+'Balance Sheet'!AR19</f>
        <v>18.6629999999999</v>
      </c>
      <c r="J13" s="15">
        <f>-'Balance Sheet'!AT19+'Balance Sheet'!AS19</f>
        <v>18.4460000000001</v>
      </c>
      <c r="K13" s="15">
        <f>-'Balance Sheet'!AU19+'Balance Sheet'!AT19</f>
        <v>22.204</v>
      </c>
      <c r="L13" s="15">
        <f>-'Balance Sheet'!AV19+'Balance Sheet'!AU19</f>
        <v>51.215</v>
      </c>
      <c r="M13" s="15">
        <f>-'Balance Sheet'!AW19+'Balance Sheet'!AV19</f>
        <v>67.399</v>
      </c>
      <c r="N13" s="15">
        <f>-'Balance Sheet'!AX19+'Balance Sheet'!AW19</f>
        <v>81.6909999999999</v>
      </c>
      <c r="O13" s="16">
        <f>+N13+5</f>
        <v>86.6909999999999</v>
      </c>
      <c r="P13" s="16">
        <f>+O13+5</f>
        <v>91.6909999999999</v>
      </c>
      <c r="Q13" s="16">
        <f>+P13+5</f>
        <v>96.6909999999999</v>
      </c>
    </row>
    <row r="14" spans="1:17">
      <c r="A14" s="5"/>
      <c r="B14" s="5" t="s">
        <v>560</v>
      </c>
      <c r="C14" s="5"/>
      <c r="D14" s="5"/>
      <c r="E14" s="17"/>
      <c r="F14" s="17">
        <v>-1.215</v>
      </c>
      <c r="G14" s="17">
        <v>14.042</v>
      </c>
      <c r="H14" s="17">
        <v>17.847</v>
      </c>
      <c r="I14" s="18">
        <v>11.80422466</v>
      </c>
      <c r="J14" s="17">
        <v>9.287</v>
      </c>
      <c r="K14" s="17">
        <v>12.476</v>
      </c>
      <c r="L14" s="17">
        <v>22.83</v>
      </c>
      <c r="M14" s="17">
        <v>22.83</v>
      </c>
      <c r="N14" s="17">
        <v>22.83</v>
      </c>
      <c r="O14" s="16">
        <f>N14+5</f>
        <v>27.83</v>
      </c>
      <c r="P14" s="16">
        <f>O14+5</f>
        <v>32.83</v>
      </c>
      <c r="Q14" s="16">
        <f>P14+5</f>
        <v>37.83</v>
      </c>
    </row>
    <row r="15" spans="1:17">
      <c r="A15" s="5"/>
      <c r="B15" s="5" t="s">
        <v>561</v>
      </c>
      <c r="C15" s="5"/>
      <c r="D15" s="5"/>
      <c r="E15" s="14">
        <v>0</v>
      </c>
      <c r="F15" s="14">
        <v>-56.81</v>
      </c>
      <c r="G15" s="14">
        <v>0</v>
      </c>
      <c r="H15" s="14">
        <v>0</v>
      </c>
      <c r="I15" s="15"/>
      <c r="J15" s="14"/>
      <c r="K15" s="14"/>
      <c r="L15" s="14"/>
      <c r="M15" s="14"/>
      <c r="N15" s="14"/>
      <c r="O15" s="14"/>
      <c r="P15" s="14"/>
      <c r="Q15" s="14"/>
    </row>
    <row r="16" spans="1:17">
      <c r="A16" s="19"/>
      <c r="B16" s="19" t="s">
        <v>562</v>
      </c>
      <c r="C16" s="19"/>
      <c r="D16" s="19"/>
      <c r="E16" s="20">
        <f t="shared" ref="E16:J16" si="0">SUM(E17:E21)</f>
        <v>0</v>
      </c>
      <c r="F16" s="21">
        <f t="shared" si="0"/>
        <v>-66.6669999999998</v>
      </c>
      <c r="G16" s="21">
        <f t="shared" si="0"/>
        <v>491.043</v>
      </c>
      <c r="H16" s="21">
        <f t="shared" si="0"/>
        <v>-61.6714493100001</v>
      </c>
      <c r="I16" s="21">
        <f t="shared" si="0"/>
        <v>-36.1345506900008</v>
      </c>
      <c r="J16" s="21">
        <f t="shared" si="0"/>
        <v>-241.944999999999</v>
      </c>
      <c r="K16" s="21">
        <f t="shared" ref="K16:P16" si="1">SUM(K17:K21)</f>
        <v>-197.252999999999</v>
      </c>
      <c r="L16" s="21">
        <f t="shared" si="1"/>
        <v>58.4089999999982</v>
      </c>
      <c r="M16" s="21">
        <f t="shared" ref="M16:N16" si="2">SUM(M17:M21)</f>
        <v>-923.161999999999</v>
      </c>
      <c r="N16" s="21">
        <f t="shared" si="2"/>
        <v>-1519.078</v>
      </c>
      <c r="O16" s="21">
        <f t="shared" si="1"/>
        <v>171.508540111584</v>
      </c>
      <c r="P16" s="21">
        <f t="shared" si="1"/>
        <v>-873.123650570283</v>
      </c>
      <c r="Q16" s="21">
        <f t="shared" ref="Q16" si="3">SUM(Q17:Q21)</f>
        <v>-756.16627840075</v>
      </c>
    </row>
    <row r="17" spans="1:17">
      <c r="A17" s="5"/>
      <c r="B17" s="5" t="s">
        <v>563</v>
      </c>
      <c r="C17" s="5"/>
      <c r="D17" s="5"/>
      <c r="E17" s="17"/>
      <c r="F17" s="17">
        <f>'Balance Sheet'!AO13-'Balance Sheet'!AP13</f>
        <v>-60.462</v>
      </c>
      <c r="G17" s="17">
        <f>'Balance Sheet'!AP13-'Balance Sheet'!AQ13</f>
        <v>-121.891</v>
      </c>
      <c r="H17" s="17">
        <f>'Balance Sheet'!AQ13-'Balance Sheet'!AR13</f>
        <v>109.28418491</v>
      </c>
      <c r="I17" s="17">
        <f>'Balance Sheet'!AR13-'Balance Sheet'!AS13</f>
        <v>44.41181509</v>
      </c>
      <c r="J17" s="22">
        <f>'Balance Sheet'!AS13-'Balance Sheet'!AT13</f>
        <v>-84.98</v>
      </c>
      <c r="K17" s="17">
        <f>'Balance Sheet'!AT13-'Balance Sheet'!AU13</f>
        <v>-149.946</v>
      </c>
      <c r="L17" s="17">
        <f>'Balance Sheet'!AU13-'Balance Sheet'!AV13</f>
        <v>28.125</v>
      </c>
      <c r="M17" s="17">
        <f>'Balance Sheet'!AV13-'Balance Sheet'!AW13</f>
        <v>-93.538</v>
      </c>
      <c r="N17" s="17">
        <f>'Balance Sheet'!AW13-'Balance Sheet'!AX13</f>
        <v>-179.74</v>
      </c>
      <c r="O17" s="17">
        <f>'Balance Sheet'!AX13-'Balance Sheet'!AY13</f>
        <v>-136.898631699503</v>
      </c>
      <c r="P17" s="17">
        <f>'Balance Sheet'!AY13-'Balance Sheet'!AZ13</f>
        <v>-599.630876288576</v>
      </c>
      <c r="Q17" s="17">
        <f>'Balance Sheet'!AZ13-'Balance Sheet'!BA13</f>
        <v>-523.945395502295</v>
      </c>
    </row>
    <row r="18" spans="1:17">
      <c r="A18" s="5"/>
      <c r="B18" s="5" t="s">
        <v>564</v>
      </c>
      <c r="C18" s="5"/>
      <c r="D18" s="5"/>
      <c r="E18" s="17"/>
      <c r="F18" s="17">
        <f>'Balance Sheet'!AO14-'Balance Sheet'!AP14</f>
        <v>123.556</v>
      </c>
      <c r="G18" s="17">
        <f>'Balance Sheet'!AP14-'Balance Sheet'!AQ14</f>
        <v>11.839</v>
      </c>
      <c r="H18" s="17">
        <f>'Balance Sheet'!AQ14-'Balance Sheet'!AR14</f>
        <v>-36.131</v>
      </c>
      <c r="I18" s="17">
        <f>'Balance Sheet'!AR14-'Balance Sheet'!AS14</f>
        <v>-29.737</v>
      </c>
      <c r="J18" s="22">
        <f>'Balance Sheet'!AS14-'Balance Sheet'!AT14</f>
        <v>-188.75</v>
      </c>
      <c r="K18" s="17">
        <f>'Balance Sheet'!AT14-'Balance Sheet'!AU14</f>
        <v>-363.141</v>
      </c>
      <c r="L18" s="17">
        <f>'Balance Sheet'!AU14-'Balance Sheet'!AV14</f>
        <v>256.047</v>
      </c>
      <c r="M18" s="17">
        <f>'Balance Sheet'!AV14-'Balance Sheet'!AW14</f>
        <v>130.19</v>
      </c>
      <c r="N18" s="17">
        <f>'Balance Sheet'!AW14-'Balance Sheet'!AX14</f>
        <v>-543.939</v>
      </c>
      <c r="O18" s="17">
        <f>'Balance Sheet'!AX14-'Balance Sheet'!AY14</f>
        <v>252.807039703279</v>
      </c>
      <c r="P18" s="17">
        <f>'Balance Sheet'!AY14-'Balance Sheet'!AZ14</f>
        <v>-463.632174136323</v>
      </c>
      <c r="Q18" s="17">
        <f>'Balance Sheet'!AZ14-'Balance Sheet'!BA14</f>
        <v>-393.666973838104</v>
      </c>
    </row>
    <row r="19" spans="1:17">
      <c r="A19" s="5"/>
      <c r="B19" s="5" t="s">
        <v>565</v>
      </c>
      <c r="C19" s="5"/>
      <c r="D19" s="5"/>
      <c r="E19" s="17"/>
      <c r="F19" s="17">
        <f>'Balance Sheet'!AO15-'Balance Sheet'!AP15</f>
        <v>-177.387</v>
      </c>
      <c r="G19" s="17">
        <f>'Balance Sheet'!AP15-'Balance Sheet'!AQ15</f>
        <v>441.929</v>
      </c>
      <c r="H19" s="17">
        <f>'Balance Sheet'!AQ15-'Balance Sheet'!AR15</f>
        <v>12.4863657799999</v>
      </c>
      <c r="I19" s="17">
        <f>'Balance Sheet'!AR15-'Balance Sheet'!AS15</f>
        <v>-7.52836578000071</v>
      </c>
      <c r="J19" s="22">
        <f>'Balance Sheet'!AS15-'Balance Sheet'!AT15</f>
        <v>-169.079999999999</v>
      </c>
      <c r="K19" s="17">
        <f>'Balance Sheet'!AT15-'Balance Sheet'!AU15</f>
        <v>113.702000000001</v>
      </c>
      <c r="L19" s="17">
        <f>'Balance Sheet'!AU15-'Balance Sheet'!AV15</f>
        <v>22.4929999999982</v>
      </c>
      <c r="M19" s="17">
        <f>'Balance Sheet'!AV15-'Balance Sheet'!AW15</f>
        <v>-1248.519</v>
      </c>
      <c r="N19" s="17">
        <f>'Balance Sheet'!AW15-'Balance Sheet'!AX15</f>
        <v>-885.164</v>
      </c>
      <c r="O19" s="17">
        <f>'Balance Sheet'!AX15-'Balance Sheet'!AY15</f>
        <v>0</v>
      </c>
      <c r="P19" s="17">
        <f>'Balance Sheet'!AY15-'Balance Sheet'!AZ15</f>
        <v>0</v>
      </c>
      <c r="Q19" s="17">
        <f>'Balance Sheet'!AZ15-'Balance Sheet'!BA15</f>
        <v>0</v>
      </c>
    </row>
    <row r="20" spans="1:17">
      <c r="A20" s="5"/>
      <c r="B20" s="5" t="s">
        <v>566</v>
      </c>
      <c r="C20" s="5"/>
      <c r="D20" s="5"/>
      <c r="E20" s="17"/>
      <c r="F20" s="17">
        <f>'Balance Sheet'!AP28-'Balance Sheet'!AO28</f>
        <v>-4.89699999999999</v>
      </c>
      <c r="G20" s="17">
        <f>'Balance Sheet'!AQ28-'Balance Sheet'!AP28</f>
        <v>-32.935</v>
      </c>
      <c r="H20" s="17">
        <f>'Balance Sheet'!AR28-'Balance Sheet'!AQ28</f>
        <v>16.916</v>
      </c>
      <c r="I20" s="17">
        <f>'Balance Sheet'!AS28-'Balance Sheet'!AR28</f>
        <v>-5.45</v>
      </c>
      <c r="J20" s="22">
        <f>'Balance Sheet'!AT28-'Balance Sheet'!AS28</f>
        <v>120.863</v>
      </c>
      <c r="K20" s="17">
        <f>'Balance Sheet'!AU28-'Balance Sheet'!AT28</f>
        <v>-9.541</v>
      </c>
      <c r="L20" s="17">
        <f>'Balance Sheet'!AV28-'Balance Sheet'!AU28</f>
        <v>-66.051</v>
      </c>
      <c r="M20" s="17">
        <f>'Balance Sheet'!AW28-'Balance Sheet'!AV28</f>
        <v>80.039</v>
      </c>
      <c r="N20" s="17">
        <f>'Balance Sheet'!AX28-'Balance Sheet'!AW28</f>
        <v>-2.91999999999999</v>
      </c>
      <c r="O20" s="17">
        <f>'Balance Sheet'!AY28-'Balance Sheet'!AX28</f>
        <v>55.6001321078075</v>
      </c>
      <c r="P20" s="17">
        <f>'Balance Sheet'!AZ28-'Balance Sheet'!AY28</f>
        <v>190.139399854616</v>
      </c>
      <c r="Q20" s="17">
        <f>'Balance Sheet'!BA28-'Balance Sheet'!AZ28</f>
        <v>161.446090939649</v>
      </c>
    </row>
    <row r="21" spans="1:17">
      <c r="A21" s="5"/>
      <c r="B21" s="5" t="s">
        <v>567</v>
      </c>
      <c r="C21" s="5"/>
      <c r="D21" s="5"/>
      <c r="E21" s="17"/>
      <c r="F21" s="17">
        <f>'Balance Sheet'!AP29-'Balance Sheet'!AO29</f>
        <v>52.523</v>
      </c>
      <c r="G21" s="17">
        <f>'Balance Sheet'!AQ29-'Balance Sheet'!AP29</f>
        <v>192.101</v>
      </c>
      <c r="H21" s="17">
        <f>'Balance Sheet'!AR29-'Balance Sheet'!AQ29</f>
        <v>-164.227</v>
      </c>
      <c r="I21" s="17">
        <f>'Balance Sheet'!AS29-'Balance Sheet'!AR29</f>
        <v>-37.831</v>
      </c>
      <c r="J21" s="22">
        <f>'Balance Sheet'!AT29-'Balance Sheet'!AS29</f>
        <v>80.002</v>
      </c>
      <c r="K21" s="17">
        <f>'Balance Sheet'!AU29-'Balance Sheet'!AT29</f>
        <v>211.673</v>
      </c>
      <c r="L21" s="17">
        <f>'Balance Sheet'!AV29-'Balance Sheet'!AU29</f>
        <v>-182.205</v>
      </c>
      <c r="M21" s="17">
        <f>'Balance Sheet'!AW29-'Balance Sheet'!AV29</f>
        <v>208.666</v>
      </c>
      <c r="N21" s="17">
        <f>'Balance Sheet'!AX29-'Balance Sheet'!AW29</f>
        <v>92.6849999999999</v>
      </c>
      <c r="O21" s="17">
        <f>'Balance Sheet'!AY29-'Balance Sheet'!AX29</f>
        <v>0</v>
      </c>
      <c r="P21" s="17">
        <f>'Balance Sheet'!AZ29-'Balance Sheet'!AY29</f>
        <v>0</v>
      </c>
      <c r="Q21" s="17">
        <f>'Balance Sheet'!BA29-'Balance Sheet'!AZ29</f>
        <v>0</v>
      </c>
    </row>
    <row r="22" spans="1:17">
      <c r="A22" s="19"/>
      <c r="B22" s="19" t="s">
        <v>434</v>
      </c>
      <c r="C22" s="19"/>
      <c r="D22" s="19"/>
      <c r="E22" s="21">
        <f t="shared" ref="E22:K22" si="4">E23-SUM(E12:E16)</f>
        <v>263.949</v>
      </c>
      <c r="F22" s="21">
        <f t="shared" si="4"/>
        <v>20.3269999999999</v>
      </c>
      <c r="G22" s="21">
        <f t="shared" si="4"/>
        <v>-278.931</v>
      </c>
      <c r="H22" s="21">
        <f t="shared" si="4"/>
        <v>-29.4585506899998</v>
      </c>
      <c r="I22" s="21">
        <f t="shared" si="4"/>
        <v>-97.9445961499993</v>
      </c>
      <c r="J22" s="23">
        <f t="shared" si="4"/>
        <v>65.4885345499985</v>
      </c>
      <c r="K22" s="23">
        <f t="shared" si="4"/>
        <v>-447.970000000001</v>
      </c>
      <c r="L22" s="23">
        <f t="shared" ref="L22:M22" si="5">L23-SUM(L12:L16)</f>
        <v>147.886000000002</v>
      </c>
      <c r="M22" s="23">
        <f t="shared" si="5"/>
        <v>1112.476</v>
      </c>
      <c r="N22" s="23">
        <f t="shared" ref="N22" si="6">N23-SUM(N12:N16)</f>
        <v>1278.968041</v>
      </c>
      <c r="O22" s="23"/>
      <c r="P22" s="23"/>
      <c r="Q22" s="23"/>
    </row>
    <row r="23" spans="1:17">
      <c r="A23" s="5"/>
      <c r="B23" s="5"/>
      <c r="C23" s="5"/>
      <c r="D23" s="5" t="s">
        <v>568</v>
      </c>
      <c r="E23" s="14">
        <v>387.085</v>
      </c>
      <c r="F23" s="14">
        <v>226.831</v>
      </c>
      <c r="G23" s="14">
        <v>969.147</v>
      </c>
      <c r="H23" s="14">
        <v>868.963</v>
      </c>
      <c r="I23" s="14">
        <v>1000.111569</v>
      </c>
      <c r="J23" s="14">
        <v>680.41453455</v>
      </c>
      <c r="K23" s="14">
        <v>688.835</v>
      </c>
      <c r="L23" s="14">
        <v>731.25</v>
      </c>
      <c r="M23" s="14">
        <v>1691.322</v>
      </c>
      <c r="N23" s="14">
        <v>2022.021</v>
      </c>
      <c r="O23" s="14">
        <f>SUM(O12:O16,O22)</f>
        <v>3877.56371259324</v>
      </c>
      <c r="P23" s="14">
        <f>SUM(P12:P16,P22)</f>
        <v>6674.97905813647</v>
      </c>
      <c r="Q23" s="14">
        <f>SUM(Q12:Q16,Q22)</f>
        <v>10130.6385709114</v>
      </c>
    </row>
    <row r="24" spans="1:17">
      <c r="A24" s="5"/>
      <c r="B24" s="5"/>
      <c r="C24" s="5"/>
      <c r="D24" s="5"/>
      <c r="E24" s="2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spans="1:17">
      <c r="A25" s="5" t="s">
        <v>569</v>
      </c>
      <c r="B25" s="5"/>
      <c r="C25" s="5"/>
      <c r="D25" s="5"/>
      <c r="E25" s="2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spans="1:17">
      <c r="A26" s="5"/>
      <c r="B26" s="5" t="s">
        <v>570</v>
      </c>
      <c r="C26" s="5"/>
      <c r="D26" s="5"/>
      <c r="E26" s="17"/>
      <c r="F26" s="17">
        <f>'Balance Sheet'!AP11-'Balance Sheet'!AO11</f>
        <v>0</v>
      </c>
      <c r="G26" s="17">
        <f>'Balance Sheet'!AQ11-'Balance Sheet'!AP11</f>
        <v>0</v>
      </c>
      <c r="H26" s="17">
        <f>'Balance Sheet'!AR11-'Balance Sheet'!AQ11</f>
        <v>100.78082192</v>
      </c>
      <c r="I26" s="17">
        <f>'Balance Sheet'!AS11-'Balance Sheet'!AR11</f>
        <v>770.61917808</v>
      </c>
      <c r="J26" s="22">
        <f>'Balance Sheet'!AT11-'Balance Sheet'!AS11</f>
        <v>690.753</v>
      </c>
      <c r="K26" s="22">
        <f>'Balance Sheet'!AU11-'Balance Sheet'!AT11</f>
        <v>47.9369999999999</v>
      </c>
      <c r="L26" s="22">
        <f>'Balance Sheet'!AV11-'Balance Sheet'!AU11</f>
        <v>93.1770000000001</v>
      </c>
      <c r="M26" s="22">
        <f>'Balance Sheet'!AW11-'Balance Sheet'!AV11</f>
        <v>-26.461</v>
      </c>
      <c r="N26" s="22">
        <f>'Balance Sheet'!AX11-'Balance Sheet'!AW11</f>
        <v>-164.36</v>
      </c>
      <c r="O26" s="17"/>
      <c r="P26" s="17"/>
      <c r="Q26" s="17"/>
    </row>
    <row r="27" spans="1:17">
      <c r="A27" s="5"/>
      <c r="B27" s="5" t="s">
        <v>571</v>
      </c>
      <c r="C27" s="5"/>
      <c r="D27" s="5"/>
      <c r="E27" s="17"/>
      <c r="F27" s="17">
        <f>-('Balance Sheet'!AP17-'Balance Sheet'!AO17)</f>
        <v>0</v>
      </c>
      <c r="G27" s="17">
        <f>'Balance Sheet'!AP17-'Balance Sheet'!AQ17</f>
        <v>0</v>
      </c>
      <c r="H27" s="17">
        <f>'Balance Sheet'!AQ17-'Balance Sheet'!AR17</f>
        <v>0</v>
      </c>
      <c r="I27" s="17">
        <f>'Balance Sheet'!AR17-'Balance Sheet'!AS17</f>
        <v>-72.737</v>
      </c>
      <c r="J27" s="22">
        <f>'Balance Sheet'!AS17-'Balance Sheet'!AT17</f>
        <v>4.827</v>
      </c>
      <c r="K27" s="22">
        <f>'Balance Sheet'!AT17-'Balance Sheet'!AU17</f>
        <v>3.56099999999999</v>
      </c>
      <c r="L27" s="22">
        <f>'Balance Sheet'!AU17-'Balance Sheet'!AV17</f>
        <v>-6.36499999999999</v>
      </c>
      <c r="M27" s="22">
        <f>'Balance Sheet'!AV17-'Balance Sheet'!AW17</f>
        <v>-38.511</v>
      </c>
      <c r="N27" s="22">
        <f>'Balance Sheet'!AW17-'Balance Sheet'!AX17</f>
        <v>17.265</v>
      </c>
      <c r="O27" s="17"/>
      <c r="P27" s="17"/>
      <c r="Q27" s="17"/>
    </row>
    <row r="28" spans="1:17">
      <c r="A28" s="5"/>
      <c r="B28" s="5" t="s">
        <v>572</v>
      </c>
      <c r="C28" s="5"/>
      <c r="D28" s="5"/>
      <c r="E28" s="17">
        <v>-4.613</v>
      </c>
      <c r="F28" s="17">
        <v>-57.635</v>
      </c>
      <c r="G28" s="17">
        <v>-17.894</v>
      </c>
      <c r="H28" s="17">
        <v>-21.57</v>
      </c>
      <c r="I28" s="17">
        <v>-439.33</v>
      </c>
      <c r="J28" s="17">
        <v>-153.468</v>
      </c>
      <c r="K28" s="17">
        <v>-226.86</v>
      </c>
      <c r="L28" s="17">
        <v>-423.987</v>
      </c>
      <c r="M28" s="17">
        <v>-379.122</v>
      </c>
      <c r="N28" s="17">
        <v>-265.829</v>
      </c>
      <c r="O28" s="17">
        <f>-O13+'Balance Sheet'!AX20-'Balance Sheet'!AY20-O14</f>
        <v>-134.521</v>
      </c>
      <c r="P28" s="17">
        <f>-P13+'Balance Sheet'!AY20-'Balance Sheet'!AZ20-P14</f>
        <v>-144.521</v>
      </c>
      <c r="Q28" s="17">
        <f>-Q13+'Balance Sheet'!AZ20-'Balance Sheet'!BA20-Q14</f>
        <v>-154.521</v>
      </c>
    </row>
    <row r="29" spans="1:17">
      <c r="A29" s="19"/>
      <c r="B29" s="19" t="s">
        <v>434</v>
      </c>
      <c r="C29" s="19"/>
      <c r="D29" s="19"/>
      <c r="E29" s="25">
        <f t="shared" ref="E29:K29" si="7">E30-E26-E27-E28</f>
        <v>-218.059</v>
      </c>
      <c r="F29" s="25">
        <f t="shared" si="7"/>
        <v>95.351</v>
      </c>
      <c r="G29" s="25">
        <f t="shared" si="7"/>
        <v>-82.031</v>
      </c>
      <c r="H29" s="25">
        <f t="shared" si="7"/>
        <v>-2088.05982192</v>
      </c>
      <c r="I29" s="25">
        <f t="shared" si="7"/>
        <v>-602.32069608</v>
      </c>
      <c r="J29" s="26">
        <f t="shared" si="7"/>
        <v>-473.204</v>
      </c>
      <c r="K29" s="26">
        <f t="shared" si="7"/>
        <v>238.807</v>
      </c>
      <c r="L29" s="26">
        <f t="shared" ref="L29:M29" si="8">L30-L26-L27-L28</f>
        <v>-237.066</v>
      </c>
      <c r="M29" s="26">
        <f t="shared" si="8"/>
        <v>0.620000000000061</v>
      </c>
      <c r="N29" s="26">
        <f t="shared" ref="N29" si="9">N30-N26-N27-N28</f>
        <v>1263.236</v>
      </c>
      <c r="O29" s="25">
        <f>'Balance Sheet'!AX21-'Balance Sheet'!AY21</f>
        <v>0</v>
      </c>
      <c r="P29" s="25">
        <f>'Balance Sheet'!AY21-'Balance Sheet'!AZ21</f>
        <v>0</v>
      </c>
      <c r="Q29" s="25">
        <f>'Balance Sheet'!AZ21-'Balance Sheet'!BA21</f>
        <v>0</v>
      </c>
    </row>
    <row r="30" spans="1:17">
      <c r="A30" s="5"/>
      <c r="B30" s="5"/>
      <c r="C30" s="5"/>
      <c r="D30" s="5" t="s">
        <v>573</v>
      </c>
      <c r="E30" s="17">
        <v>-222.672</v>
      </c>
      <c r="F30" s="17">
        <v>37.716</v>
      </c>
      <c r="G30" s="17">
        <v>-99.925</v>
      </c>
      <c r="H30" s="17">
        <v>-2008.849</v>
      </c>
      <c r="I30" s="17">
        <v>-343.768518</v>
      </c>
      <c r="J30" s="17">
        <v>68.908</v>
      </c>
      <c r="K30" s="17">
        <v>63.445</v>
      </c>
      <c r="L30" s="17">
        <v>-574.241</v>
      </c>
      <c r="M30" s="17">
        <v>-443.474</v>
      </c>
      <c r="N30" s="17">
        <v>850.312</v>
      </c>
      <c r="O30" s="17">
        <f>SUM(O26:O29)</f>
        <v>-134.521</v>
      </c>
      <c r="P30" s="17">
        <f>SUM(P26:P29)</f>
        <v>-144.521</v>
      </c>
      <c r="Q30" s="17">
        <f>SUM(Q26:Q29)</f>
        <v>-154.521</v>
      </c>
    </row>
    <row r="31" spans="1:17">
      <c r="A31" s="5"/>
      <c r="B31" s="5"/>
      <c r="C31" s="5"/>
      <c r="D31" s="5"/>
      <c r="E31" s="2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 spans="1:17">
      <c r="A32" s="5" t="s">
        <v>574</v>
      </c>
      <c r="B32" s="5"/>
      <c r="C32" s="5"/>
      <c r="D32" s="5"/>
      <c r="E32" s="2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 spans="1:17">
      <c r="A33" s="5"/>
      <c r="B33" s="5" t="s">
        <v>575</v>
      </c>
      <c r="C33" s="5"/>
      <c r="D33" s="5"/>
      <c r="E33" s="14"/>
      <c r="F33" s="14">
        <f>'Balance Sheet'!AP27-'Balance Sheet'!AO27</f>
        <v>0</v>
      </c>
      <c r="G33" s="14">
        <f>'Balance Sheet'!AQ27-'Balance Sheet'!AP27</f>
        <v>0</v>
      </c>
      <c r="H33" s="14">
        <f>'Balance Sheet'!AR27-'Balance Sheet'!AQ27</f>
        <v>0</v>
      </c>
      <c r="I33" s="14">
        <f>'Balance Sheet'!AS27-'Balance Sheet'!AR27</f>
        <v>0</v>
      </c>
      <c r="J33" s="14">
        <f>'Balance Sheet'!AT27-'Balance Sheet'!AS27</f>
        <v>0</v>
      </c>
      <c r="K33" s="14">
        <f>'Balance Sheet'!AU27-'Balance Sheet'!AT27</f>
        <v>0</v>
      </c>
      <c r="L33" s="14">
        <f>'Balance Sheet'!AV27-'Balance Sheet'!AU27</f>
        <v>0</v>
      </c>
      <c r="M33" s="14">
        <f>'Balance Sheet'!AW27-'Balance Sheet'!AV27</f>
        <v>0</v>
      </c>
      <c r="N33" s="14">
        <f>'Balance Sheet'!AX27-'Balance Sheet'!AW27</f>
        <v>0</v>
      </c>
      <c r="O33" s="27">
        <v>0</v>
      </c>
      <c r="P33" s="27">
        <v>0</v>
      </c>
      <c r="Q33" s="27">
        <v>0</v>
      </c>
    </row>
    <row r="34" spans="1:17">
      <c r="A34" s="5"/>
      <c r="B34" s="5" t="s">
        <v>576</v>
      </c>
      <c r="C34" s="5"/>
      <c r="D34" s="5"/>
      <c r="E34" s="24"/>
      <c r="F34" s="14">
        <f>'Balance Sheet'!AP31-'Balance Sheet'!AO31</f>
        <v>0</v>
      </c>
      <c r="G34" s="14">
        <f>'Balance Sheet'!AQ31-'Balance Sheet'!AP31</f>
        <v>0</v>
      </c>
      <c r="H34" s="14">
        <f>'Balance Sheet'!AR31-'Balance Sheet'!AQ31</f>
        <v>0</v>
      </c>
      <c r="I34" s="14">
        <f>'Balance Sheet'!AS31-'Balance Sheet'!AR31</f>
        <v>0</v>
      </c>
      <c r="J34" s="14">
        <f>'Balance Sheet'!AT31-'Balance Sheet'!AS31</f>
        <v>0</v>
      </c>
      <c r="K34" s="14">
        <f>'Balance Sheet'!AU31-'Balance Sheet'!AT31</f>
        <v>0</v>
      </c>
      <c r="L34" s="14">
        <f>'Balance Sheet'!AV31-'Balance Sheet'!AU31</f>
        <v>0</v>
      </c>
      <c r="M34" s="14">
        <f>'Balance Sheet'!AW31-'Balance Sheet'!AV31</f>
        <v>0</v>
      </c>
      <c r="N34" s="14">
        <f>'Balance Sheet'!AX31-'Balance Sheet'!AW31</f>
        <v>0</v>
      </c>
      <c r="O34" s="27">
        <v>0</v>
      </c>
      <c r="P34" s="27">
        <v>0</v>
      </c>
      <c r="Q34" s="27">
        <v>0</v>
      </c>
    </row>
    <row r="35" spans="1:17">
      <c r="A35" s="5"/>
      <c r="B35" s="28" t="s">
        <v>577</v>
      </c>
      <c r="C35" s="5"/>
      <c r="D35" s="5"/>
      <c r="E35" s="17">
        <v>4524.383</v>
      </c>
      <c r="F35" s="17">
        <v>0</v>
      </c>
      <c r="G35" s="17">
        <v>1932.069</v>
      </c>
      <c r="H35" s="17">
        <v>3020.58</v>
      </c>
      <c r="I35" s="17">
        <v>0</v>
      </c>
      <c r="J35" s="17">
        <v>36.791</v>
      </c>
      <c r="K35" s="17">
        <v>82.331</v>
      </c>
      <c r="L35" s="17">
        <v>116.673</v>
      </c>
      <c r="M35" s="17">
        <v>194.345</v>
      </c>
      <c r="N35" s="17">
        <v>99.595</v>
      </c>
      <c r="O35" s="16">
        <v>6300</v>
      </c>
      <c r="P35" s="16"/>
      <c r="Q35" s="16"/>
    </row>
    <row r="36" spans="1:17">
      <c r="A36" s="5"/>
      <c r="B36" s="5" t="s">
        <v>578</v>
      </c>
      <c r="C36" s="5"/>
      <c r="D36" s="5"/>
      <c r="E36" s="17">
        <v>0</v>
      </c>
      <c r="F36" s="17">
        <v>0</v>
      </c>
      <c r="G36" s="17">
        <v>-298.271</v>
      </c>
      <c r="H36" s="17">
        <v>-233.871</v>
      </c>
      <c r="I36" s="17">
        <v>0</v>
      </c>
      <c r="J36" s="17">
        <v>-339.309</v>
      </c>
      <c r="K36" s="17">
        <v>0</v>
      </c>
      <c r="L36" s="17">
        <v>-341.402</v>
      </c>
      <c r="M36" s="17">
        <v>-338.193</v>
      </c>
      <c r="N36" s="17">
        <v>-669.996</v>
      </c>
      <c r="O36" s="17">
        <f>-N53*N58</f>
        <v>0</v>
      </c>
      <c r="P36" s="17">
        <f>-O53*O58</f>
        <v>0</v>
      </c>
      <c r="Q36" s="17">
        <f>-P53*P58</f>
        <v>0</v>
      </c>
    </row>
    <row r="37" spans="1:17">
      <c r="A37" s="19"/>
      <c r="B37" s="19" t="s">
        <v>434</v>
      </c>
      <c r="C37" s="19"/>
      <c r="D37" s="19"/>
      <c r="E37" s="21">
        <f t="shared" ref="E37:K37" si="10">E38-SUM(E33:E36)</f>
        <v>-4553.91</v>
      </c>
      <c r="F37" s="21">
        <f t="shared" si="10"/>
        <v>0</v>
      </c>
      <c r="G37" s="21">
        <f t="shared" si="10"/>
        <v>58.441</v>
      </c>
      <c r="H37" s="21">
        <f t="shared" si="10"/>
        <v>-97.1799999999998</v>
      </c>
      <c r="I37" s="21">
        <f t="shared" si="10"/>
        <v>-339.094</v>
      </c>
      <c r="J37" s="21">
        <f t="shared" si="10"/>
        <v>-306.62</v>
      </c>
      <c r="K37" s="21">
        <f t="shared" si="10"/>
        <v>-352.421</v>
      </c>
      <c r="L37" s="21">
        <f t="shared" ref="L37:M37" si="11">L38-SUM(L33:L36)</f>
        <v>-147.381</v>
      </c>
      <c r="M37" s="21">
        <f t="shared" si="11"/>
        <v>-133.09</v>
      </c>
      <c r="N37" s="21">
        <f t="shared" ref="N37" si="12">N38-SUM(N33:N36)</f>
        <v>-458.663</v>
      </c>
      <c r="O37" s="21"/>
      <c r="P37" s="21"/>
      <c r="Q37" s="21"/>
    </row>
    <row r="38" spans="1:17">
      <c r="A38" s="5"/>
      <c r="B38" s="5"/>
      <c r="C38" s="5"/>
      <c r="D38" s="5" t="s">
        <v>579</v>
      </c>
      <c r="E38" s="14">
        <v>-29.527</v>
      </c>
      <c r="F38" s="14">
        <v>0</v>
      </c>
      <c r="G38" s="14">
        <v>1692.239</v>
      </c>
      <c r="H38" s="14">
        <v>2689.529</v>
      </c>
      <c r="I38" s="14">
        <v>-339.094</v>
      </c>
      <c r="J38" s="14">
        <v>-609.138</v>
      </c>
      <c r="K38" s="14">
        <v>-270.09</v>
      </c>
      <c r="L38" s="14">
        <v>-372.11</v>
      </c>
      <c r="M38" s="14">
        <v>-276.938</v>
      </c>
      <c r="N38" s="14">
        <v>-1029.064</v>
      </c>
      <c r="O38" s="14">
        <f>SUM(O33:O37)</f>
        <v>6300</v>
      </c>
      <c r="P38" s="14">
        <f>SUM(P33:P37)</f>
        <v>0</v>
      </c>
      <c r="Q38" s="14">
        <f>SUM(Q33:Q37)</f>
        <v>0</v>
      </c>
    </row>
    <row r="39" spans="1:17">
      <c r="A39" s="5"/>
      <c r="B39" s="5"/>
      <c r="C39" s="5"/>
      <c r="D39" s="5"/>
      <c r="E39" s="2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</row>
    <row r="40" spans="1:17">
      <c r="A40" s="5"/>
      <c r="B40" s="5"/>
      <c r="C40" s="5"/>
      <c r="D40" s="5" t="s">
        <v>580</v>
      </c>
      <c r="E40" s="29">
        <v>25.101</v>
      </c>
      <c r="F40" s="29">
        <v>-31.765</v>
      </c>
      <c r="G40" s="29">
        <v>76.11</v>
      </c>
      <c r="H40" s="29">
        <v>48.112</v>
      </c>
      <c r="I40" s="30">
        <v>-234.499</v>
      </c>
      <c r="J40" s="29">
        <v>-60.904</v>
      </c>
      <c r="K40" s="29">
        <v>267.619</v>
      </c>
      <c r="L40" s="29">
        <v>47.23</v>
      </c>
      <c r="M40" s="29">
        <v>62.142</v>
      </c>
      <c r="N40" s="29">
        <v>-126.127</v>
      </c>
      <c r="O40" s="30"/>
      <c r="P40" s="30"/>
      <c r="Q40" s="30"/>
    </row>
    <row r="41" spans="1:17">
      <c r="A41" s="5"/>
      <c r="B41" s="5"/>
      <c r="C41" s="5"/>
      <c r="D41" s="31" t="s">
        <v>581</v>
      </c>
      <c r="E41" s="32">
        <f>+E46-E40-E38-E30-E23-E42</f>
        <v>25.1009999999999</v>
      </c>
      <c r="F41" s="32">
        <f>+F46-F40-F38-F30-F23-F42</f>
        <v>0.652999999999906</v>
      </c>
      <c r="G41" s="32">
        <f>+G46-G40-G38-G30-G23-G42</f>
        <v>354.634</v>
      </c>
      <c r="H41" s="32">
        <f>+H46-H40-H38-H30-H23-H42</f>
        <v>1979.31772877</v>
      </c>
      <c r="I41" s="32">
        <f>+I46-I40-I38-I30-I23-I42</f>
        <v>-1865.22177977</v>
      </c>
      <c r="J41" s="32">
        <f>+'Balance Sheet'!AT10-(I46+J43)</f>
        <v>-449.53453455</v>
      </c>
      <c r="K41" s="32">
        <f>'Balance Sheet'!AU10-(K42+K43)</f>
        <v>16.2910000000002</v>
      </c>
      <c r="L41" s="32">
        <f>'Balance Sheet'!AV10-(L42+L43)</f>
        <v>41.0079999999998</v>
      </c>
      <c r="M41" s="32">
        <f>'Balance Sheet'!AW10-(M42+M43)</f>
        <v>-1053.281</v>
      </c>
      <c r="N41" s="32">
        <f>'Balance Sheet'!AX10-(N42+N43)</f>
        <v>-1588.854</v>
      </c>
      <c r="O41" s="30"/>
      <c r="P41" s="30"/>
      <c r="Q41" s="30"/>
    </row>
    <row r="42" spans="1:17">
      <c r="A42" s="5"/>
      <c r="B42" s="5"/>
      <c r="C42" s="5" t="s">
        <v>582</v>
      </c>
      <c r="E42" s="29">
        <f>E46-E44-E40-E43</f>
        <v>269.263</v>
      </c>
      <c r="F42" s="29">
        <f>E46</f>
        <v>454.351</v>
      </c>
      <c r="G42" s="29">
        <f>F46</f>
        <v>687.786</v>
      </c>
      <c r="H42" s="29">
        <f>G46</f>
        <v>3679.991</v>
      </c>
      <c r="I42" s="29">
        <f>+H46</f>
        <v>7257.06372877</v>
      </c>
      <c r="J42" s="29">
        <v>5004.66118318</v>
      </c>
      <c r="K42" s="29">
        <f t="shared" ref="K42:Q42" si="13">+J46</f>
        <v>5104.338</v>
      </c>
      <c r="L42" s="29">
        <f t="shared" si="13"/>
        <v>5870.438</v>
      </c>
      <c r="M42" s="29">
        <f t="shared" si="13"/>
        <v>5743.575</v>
      </c>
      <c r="N42" s="29">
        <f t="shared" si="13"/>
        <v>5723.346</v>
      </c>
      <c r="O42" s="29">
        <f t="shared" si="13"/>
        <v>5851.634</v>
      </c>
      <c r="P42" s="29">
        <f t="shared" si="13"/>
        <v>15894.6767125932</v>
      </c>
      <c r="Q42" s="29">
        <f t="shared" si="13"/>
        <v>22425.1347707297</v>
      </c>
    </row>
    <row r="43" spans="1:17">
      <c r="A43" s="5"/>
      <c r="B43" s="5"/>
      <c r="C43" s="5" t="s">
        <v>583</v>
      </c>
      <c r="E43" s="29">
        <f t="shared" ref="E43:K43" si="14">SUM(E38,E30,E23,E40)</f>
        <v>159.987</v>
      </c>
      <c r="F43" s="29">
        <f t="shared" si="14"/>
        <v>232.782</v>
      </c>
      <c r="G43" s="29">
        <f t="shared" si="14"/>
        <v>2637.571</v>
      </c>
      <c r="H43" s="29">
        <f t="shared" si="14"/>
        <v>1597.755</v>
      </c>
      <c r="I43" s="29">
        <f t="shared" si="14"/>
        <v>82.7500510000001</v>
      </c>
      <c r="J43" s="29">
        <f t="shared" si="14"/>
        <v>79.28053455</v>
      </c>
      <c r="K43" s="29">
        <f t="shared" si="14"/>
        <v>749.809</v>
      </c>
      <c r="L43" s="29">
        <f t="shared" ref="L43:M43" si="15">SUM(L38,L30,L23,L40)</f>
        <v>-167.871</v>
      </c>
      <c r="M43" s="29">
        <f t="shared" si="15"/>
        <v>1033.052</v>
      </c>
      <c r="N43" s="29">
        <f t="shared" ref="N43:Q43" si="16">SUM(N38,N30,N23,N40)</f>
        <v>1717.142</v>
      </c>
      <c r="O43" s="29">
        <f t="shared" si="16"/>
        <v>10043.0427125932</v>
      </c>
      <c r="P43" s="29">
        <f t="shared" si="16"/>
        <v>6530.45805813647</v>
      </c>
      <c r="Q43" s="29">
        <f t="shared" si="16"/>
        <v>9976.11757091144</v>
      </c>
    </row>
    <row r="44" spans="1:17">
      <c r="A44" s="5"/>
      <c r="B44" s="5"/>
      <c r="C44" s="5"/>
      <c r="D44" s="28" t="s">
        <v>584</v>
      </c>
      <c r="E44" s="29"/>
      <c r="F44" s="29">
        <f>'Balance Sheet'!AP12-'Balance Sheet'!AO12</f>
        <v>0</v>
      </c>
      <c r="G44" s="29">
        <f>'Balance Sheet'!AQ12-'Balance Sheet'!AP12</f>
        <v>0</v>
      </c>
      <c r="H44" s="29">
        <f>'Balance Sheet'!AR12-'Balance Sheet'!AQ12</f>
        <v>0</v>
      </c>
      <c r="I44" s="29">
        <f>'Balance Sheet'!AS12-'Balance Sheet'!AR12</f>
        <v>0</v>
      </c>
      <c r="J44" s="29">
        <f>'Balance Sheet'!AT12-'Balance Sheet'!AS12</f>
        <v>0</v>
      </c>
      <c r="K44" s="29">
        <f>'Balance Sheet'!AU12-'Balance Sheet'!AT12</f>
        <v>0</v>
      </c>
      <c r="L44" s="29">
        <f>'Balance Sheet'!AV12-'Balance Sheet'!AU12</f>
        <v>0</v>
      </c>
      <c r="M44" s="29">
        <f>'Balance Sheet'!AW12-'Balance Sheet'!AV12</f>
        <v>0</v>
      </c>
      <c r="N44" s="29">
        <f>'Balance Sheet'!AX12-'Balance Sheet'!AW12</f>
        <v>0</v>
      </c>
      <c r="O44" s="29">
        <f>'Balance Sheet'!AY12-'Balance Sheet'!AX12</f>
        <v>0</v>
      </c>
      <c r="P44" s="29">
        <f>'Balance Sheet'!AZ12-'Balance Sheet'!AY12</f>
        <v>0</v>
      </c>
      <c r="Q44" s="29">
        <f>'Balance Sheet'!BA12-'Balance Sheet'!AZ12</f>
        <v>0</v>
      </c>
    </row>
    <row r="45" spans="1:17">
      <c r="A45" s="5"/>
      <c r="B45" s="5"/>
      <c r="C45" s="28" t="s">
        <v>585</v>
      </c>
      <c r="D45" s="28"/>
      <c r="E45" s="29">
        <f t="shared" ref="E45:K45" si="17">E44+E43</f>
        <v>159.987</v>
      </c>
      <c r="F45" s="29">
        <f t="shared" si="17"/>
        <v>232.782</v>
      </c>
      <c r="G45" s="29">
        <f t="shared" si="17"/>
        <v>2637.571</v>
      </c>
      <c r="H45" s="29">
        <f t="shared" si="17"/>
        <v>1597.755</v>
      </c>
      <c r="I45" s="29">
        <f t="shared" si="17"/>
        <v>82.7500510000001</v>
      </c>
      <c r="J45" s="29">
        <f t="shared" si="17"/>
        <v>79.28053455</v>
      </c>
      <c r="K45" s="29">
        <f t="shared" si="17"/>
        <v>749.809</v>
      </c>
      <c r="L45" s="29">
        <f t="shared" ref="L45:M45" si="18">L44+L43</f>
        <v>-167.871</v>
      </c>
      <c r="M45" s="29">
        <f t="shared" si="18"/>
        <v>1033.052</v>
      </c>
      <c r="N45" s="29">
        <f t="shared" ref="N45:Q45" si="19">N44+N43</f>
        <v>1717.142</v>
      </c>
      <c r="O45" s="29">
        <f t="shared" si="19"/>
        <v>10043.0427125932</v>
      </c>
      <c r="P45" s="29">
        <f t="shared" si="19"/>
        <v>6530.45805813647</v>
      </c>
      <c r="Q45" s="29">
        <f t="shared" si="19"/>
        <v>9976.11757091144</v>
      </c>
    </row>
    <row r="46" spans="1:17">
      <c r="A46" s="5"/>
      <c r="B46" s="5"/>
      <c r="C46" s="5" t="s">
        <v>586</v>
      </c>
      <c r="E46" s="29">
        <f>'Balance Sheet'!AO10</f>
        <v>454.351</v>
      </c>
      <c r="F46" s="29">
        <f>'Balance Sheet'!AP10</f>
        <v>687.786</v>
      </c>
      <c r="G46" s="29">
        <f>'Balance Sheet'!AQ10</f>
        <v>3679.991</v>
      </c>
      <c r="H46" s="29">
        <f>'Balance Sheet'!AR10</f>
        <v>7257.06372877</v>
      </c>
      <c r="I46" s="29">
        <f>'Balance Sheet'!AS10</f>
        <v>5474.592</v>
      </c>
      <c r="J46" s="29">
        <f>'Balance Sheet'!AT10</f>
        <v>5104.338</v>
      </c>
      <c r="K46" s="29">
        <f>K42+K43+K44+K41</f>
        <v>5870.438</v>
      </c>
      <c r="L46" s="29">
        <f>L42+L43+L44+L41</f>
        <v>5743.575</v>
      </c>
      <c r="M46" s="29">
        <f>M42+M43+M44+M41</f>
        <v>5723.346</v>
      </c>
      <c r="N46" s="29">
        <f>N42+N43+N44+N41</f>
        <v>5851.634</v>
      </c>
      <c r="O46" s="29">
        <f t="shared" ref="O46" si="20">O42+O43+O44</f>
        <v>15894.6767125932</v>
      </c>
      <c r="P46" s="29">
        <f t="shared" ref="P46:Q46" si="21">P42+P43+P44</f>
        <v>22425.1347707297</v>
      </c>
      <c r="Q46" s="29">
        <f t="shared" si="21"/>
        <v>32401.2523416412</v>
      </c>
    </row>
    <row r="47" spans="1:17">
      <c r="A47" s="5"/>
      <c r="B47" s="5"/>
      <c r="C47" s="5"/>
      <c r="D47" s="5"/>
      <c r="E47" s="2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 spans="1:17">
      <c r="A48" s="5"/>
      <c r="B48" s="5"/>
      <c r="C48" s="5"/>
      <c r="D48" s="5"/>
      <c r="E48" s="33">
        <f>+E46-'Balance Sheet'!AO10</f>
        <v>0</v>
      </c>
      <c r="F48" s="33">
        <f>+F46-'Balance Sheet'!AP10</f>
        <v>0</v>
      </c>
      <c r="G48" s="33">
        <f>+G46-'Balance Sheet'!AQ10</f>
        <v>0</v>
      </c>
      <c r="H48" s="33">
        <f>+H46-'Balance Sheet'!AR10</f>
        <v>0</v>
      </c>
      <c r="I48" s="33">
        <f>+I46-'Balance Sheet'!AS10</f>
        <v>0</v>
      </c>
      <c r="J48" s="33">
        <f>+J46-'Balance Sheet'!AT10</f>
        <v>0</v>
      </c>
      <c r="K48" s="33">
        <f>+K46-'Balance Sheet'!AU10</f>
        <v>0</v>
      </c>
      <c r="L48" s="33">
        <f>+L46-'Balance Sheet'!AV10</f>
        <v>0</v>
      </c>
      <c r="M48" s="33">
        <f>+M46-'Balance Sheet'!AW10</f>
        <v>0</v>
      </c>
      <c r="N48" s="33">
        <f>+N46-'Balance Sheet'!AX10</f>
        <v>0</v>
      </c>
      <c r="O48" s="33">
        <f>+O46-'Balance Sheet'!AY10</f>
        <v>0</v>
      </c>
      <c r="P48" s="33">
        <f>+P46-'Balance Sheet'!AZ10</f>
        <v>0</v>
      </c>
      <c r="Q48" s="33">
        <f>+Q46-'Balance Sheet'!BA10</f>
        <v>0</v>
      </c>
    </row>
    <row r="49" ht="39.95" customHeight="1" spans="1:17">
      <c r="A49" s="34"/>
      <c r="B49" s="34"/>
      <c r="C49" s="34"/>
      <c r="D49" s="3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</row>
    <row r="50" ht="30" customHeight="1" spans="1:17">
      <c r="A50" s="34"/>
      <c r="B50" s="34"/>
      <c r="C50" s="34"/>
      <c r="D50" s="34"/>
      <c r="E50" s="5"/>
      <c r="F50" s="5"/>
      <c r="G50" s="5"/>
      <c r="H50" s="5"/>
      <c r="I50" s="35">
        <f t="shared" ref="I50:L50" si="22">+I36/I12</f>
        <v>0</v>
      </c>
      <c r="J50" s="35">
        <f t="shared" si="22"/>
        <v>-0.409231032711081</v>
      </c>
      <c r="K50" s="35">
        <f t="shared" si="22"/>
        <v>0</v>
      </c>
      <c r="L50" s="35">
        <f t="shared" si="22"/>
        <v>-0.757140005766117</v>
      </c>
      <c r="M50" s="5"/>
      <c r="N50" s="5"/>
      <c r="O50" s="5"/>
      <c r="P50" s="5"/>
      <c r="Q50" s="5"/>
    </row>
    <row r="51" ht="30" customHeight="1" spans="1:17">
      <c r="A51" s="34"/>
      <c r="B51" s="34"/>
      <c r="C51" s="34"/>
      <c r="D51" s="34"/>
      <c r="E51" s="5"/>
      <c r="F51" s="5"/>
      <c r="G51" s="5"/>
      <c r="H51" s="5"/>
      <c r="I51" s="5"/>
      <c r="J51" s="5"/>
      <c r="K51" s="5"/>
      <c r="L51" s="5"/>
      <c r="M51" s="5"/>
      <c r="N51" s="36"/>
      <c r="O51" s="5"/>
      <c r="P51" s="5"/>
      <c r="Q51" s="5"/>
    </row>
    <row r="53" spans="1:17">
      <c r="B53" s="3" t="s">
        <v>587</v>
      </c>
      <c r="E53" s="37"/>
      <c r="F53" s="37"/>
      <c r="G53" s="38"/>
      <c r="H53" s="39"/>
      <c r="I53" s="39"/>
      <c r="J53" s="39"/>
      <c r="K53" s="39"/>
      <c r="L53" s="39"/>
      <c r="M53" s="39"/>
      <c r="N53" s="38"/>
      <c r="O53" s="38"/>
      <c r="P53" s="38"/>
      <c r="Q53" s="38"/>
    </row>
    <row r="54" spans="1:17">
      <c r="B54" s="3" t="s">
        <v>587</v>
      </c>
      <c r="E54" s="37"/>
      <c r="F54" s="37"/>
      <c r="G54" s="38"/>
      <c r="H54" s="39"/>
      <c r="I54" s="39"/>
      <c r="J54" s="39"/>
      <c r="K54" s="39"/>
      <c r="L54" s="39"/>
      <c r="M54" s="39"/>
      <c r="N54" s="38"/>
      <c r="O54" s="38"/>
      <c r="P54" s="38"/>
      <c r="Q54" s="38"/>
    </row>
    <row r="57" spans="1:17"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</row>
    <row r="58" spans="1:17"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</row>
    <row r="84" spans="3:39">
      <c r="AK84" s="3">
        <v>284.8217</v>
      </c>
      <c r="AL84" s="3">
        <v>212.9101</v>
      </c>
      <c r="AM84" s="3">
        <v>0</v>
      </c>
    </row>
    <row r="85" spans="3:39">
      <c r="AK85" s="3">
        <f>+SUM(AK86,AK94)</f>
        <v>558.3267</v>
      </c>
      <c r="AL85" s="3">
        <f>+SUM(AL86,AL94)</f>
        <v>934.668</v>
      </c>
      <c r="AM85" s="3">
        <f>+SUM(AM86,AM94)</f>
        <v>1748.6526</v>
      </c>
    </row>
    <row r="86" spans="3:39">
      <c r="C86" s="399" t="s">
        <v>465</v>
      </c>
      <c r="AK86" s="3">
        <v>558.3267</v>
      </c>
      <c r="AL86" s="3">
        <v>934.668</v>
      </c>
      <c r="AM86" s="3">
        <v>1748.6526</v>
      </c>
    </row>
    <row r="94" spans="3:39">
      <c r="C94" s="399" t="s">
        <v>554</v>
      </c>
      <c r="AK94" s="3">
        <v>0</v>
      </c>
      <c r="AL94" s="3">
        <v>0</v>
      </c>
      <c r="AM94" s="3">
        <v>0</v>
      </c>
    </row>
    <row r="95" spans="3:39">
      <c r="AK95" s="3">
        <v>0</v>
      </c>
      <c r="AL95" s="3">
        <v>7.5964</v>
      </c>
      <c r="AM95" s="3">
        <v>9.012</v>
      </c>
    </row>
    <row r="96" spans="3:39">
      <c r="AK96" s="3">
        <f>+AK97-SUM(AK84,AK85,AK95)</f>
        <v>-843.1484</v>
      </c>
      <c r="AL96" s="3">
        <f>+AL97-SUM(AL84,AL85,AL95)</f>
        <v>-1155.1745</v>
      </c>
      <c r="AM96" s="3">
        <f>+AM97-SUM(AM84,AM85,AM95)</f>
        <v>-1757.6646</v>
      </c>
    </row>
    <row r="97" spans="37:39">
      <c r="AK97" s="3">
        <f>+AK10</f>
        <v>0</v>
      </c>
      <c r="AL97" s="3">
        <f>+AL10</f>
        <v>0</v>
      </c>
      <c r="AM97" s="3">
        <f>+AM10</f>
        <v>0</v>
      </c>
    </row>
  </sheetData>
  <mergeCells count="3">
    <mergeCell ref="A49:D49"/>
    <mergeCell ref="A50:D50"/>
    <mergeCell ref="A51:D51"/>
  </mergeCells>
  <pageMargins left="0.75" right="0.75" top="1" bottom="1" header="0.5" footer="0.5"/>
  <pageSetup paperSize="1" scale="68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4"/>
  <sheetViews>
    <sheetView workbookViewId="0">
      <selection activeCell="A1" sqref="A1"/>
    </sheetView>
  </sheetViews>
  <sheetFormatPr defaultColWidth="9" defaultRowHeight="12.75" outlineLevelCol="1"/>
  <cols>
    <col min="1" max="1" width="29" customWidth="1"/>
  </cols>
  <sheetData>
    <row r="1" spans="1:2">
      <c r="A1" s="1" t="s">
        <v>588</v>
      </c>
      <c r="B1" s="2" t="s">
        <v>589</v>
      </c>
    </row>
    <row r="2" spans="1:2">
      <c r="A2" s="1" t="s">
        <v>590</v>
      </c>
      <c r="B2" s="1" t="s">
        <v>591</v>
      </c>
    </row>
    <row r="3" spans="1:2">
      <c r="A3" s="1" t="s">
        <v>592</v>
      </c>
      <c r="B3" s="1" t="s">
        <v>593</v>
      </c>
    </row>
    <row r="4" spans="1:2">
      <c r="A4" s="1" t="s">
        <v>594</v>
      </c>
      <c r="B4" s="1" t="s">
        <v>595</v>
      </c>
    </row>
    <row r="5" spans="1:2">
      <c r="A5" s="1" t="s">
        <v>596</v>
      </c>
      <c r="B5" s="1" t="s">
        <v>597</v>
      </c>
    </row>
    <row r="6" spans="1:2">
      <c r="A6" s="1" t="s">
        <v>598</v>
      </c>
      <c r="B6" s="1"/>
    </row>
    <row r="7" spans="1:2">
      <c r="A7" s="1" t="s">
        <v>599</v>
      </c>
      <c r="B7" s="1" t="s">
        <v>600</v>
      </c>
    </row>
    <row r="8" spans="1:2">
      <c r="A8" s="1" t="s">
        <v>601</v>
      </c>
      <c r="B8" s="1" t="s">
        <v>602</v>
      </c>
    </row>
    <row r="9" spans="1:2">
      <c r="A9" s="1" t="s">
        <v>603</v>
      </c>
      <c r="B9" s="1" t="s">
        <v>604</v>
      </c>
    </row>
    <row r="10" spans="1:2">
      <c r="A10" s="1" t="s">
        <v>605</v>
      </c>
      <c r="B10" s="1"/>
    </row>
    <row r="11" spans="1:2">
      <c r="A11" s="1" t="s">
        <v>606</v>
      </c>
      <c r="B11" s="1"/>
    </row>
    <row r="12" spans="1:2">
      <c r="A12" s="1" t="s">
        <v>607</v>
      </c>
      <c r="B12" s="1"/>
    </row>
    <row r="13" spans="1:2">
      <c r="A13" s="1" t="s">
        <v>608</v>
      </c>
      <c r="B13" s="1"/>
    </row>
    <row r="14" spans="1:2">
      <c r="A14" s="1" t="s">
        <v>609</v>
      </c>
      <c r="B14" s="1"/>
    </row>
    <row r="15" spans="1:2">
      <c r="A15" s="1" t="s">
        <v>610</v>
      </c>
      <c r="B15" s="1"/>
    </row>
    <row r="16" spans="1:2">
      <c r="A16" s="1" t="s">
        <v>611</v>
      </c>
      <c r="B16" s="1"/>
    </row>
    <row r="17" spans="1:2">
      <c r="A17" s="1" t="s">
        <v>612</v>
      </c>
      <c r="B17" s="1" t="s">
        <v>613</v>
      </c>
    </row>
    <row r="18" spans="1:2">
      <c r="A18" s="1" t="s">
        <v>614</v>
      </c>
      <c r="B18" s="1" t="s">
        <v>615</v>
      </c>
    </row>
    <row r="19" spans="1:2">
      <c r="A19" s="1" t="s">
        <v>616</v>
      </c>
      <c r="B19" s="1" t="s">
        <v>617</v>
      </c>
    </row>
    <row r="20" spans="1:2">
      <c r="A20" s="1" t="s">
        <v>618</v>
      </c>
      <c r="B20" s="1"/>
    </row>
    <row r="21" spans="1:2">
      <c r="A21" s="1" t="s">
        <v>619</v>
      </c>
      <c r="B21" s="1" t="s">
        <v>617</v>
      </c>
    </row>
    <row r="22" spans="1:2">
      <c r="A22" s="1" t="s">
        <v>620</v>
      </c>
      <c r="B22" s="1" t="s">
        <v>621</v>
      </c>
    </row>
    <row r="23" spans="1:2">
      <c r="A23" s="1" t="s">
        <v>622</v>
      </c>
      <c r="B23" s="2" t="s">
        <v>623</v>
      </c>
    </row>
    <row r="24" spans="1:2">
      <c r="A24" s="1" t="s">
        <v>624</v>
      </c>
      <c r="B24" s="1" t="s">
        <v>625</v>
      </c>
    </row>
    <row r="25" spans="1:2">
      <c r="A25" s="1" t="s">
        <v>626</v>
      </c>
      <c r="B25" s="1" t="s">
        <v>627</v>
      </c>
    </row>
    <row r="26" spans="1:2">
      <c r="A26" s="1" t="s">
        <v>628</v>
      </c>
      <c r="B26" s="1" t="s">
        <v>629</v>
      </c>
    </row>
    <row r="27" spans="1:2">
      <c r="A27" s="1" t="s">
        <v>630</v>
      </c>
      <c r="B27" s="1" t="s">
        <v>631</v>
      </c>
    </row>
    <row r="28" spans="1:2">
      <c r="A28" s="1" t="s">
        <v>632</v>
      </c>
      <c r="B28" s="1" t="s">
        <v>633</v>
      </c>
    </row>
    <row r="29" spans="1:2">
      <c r="A29" s="1" t="s">
        <v>634</v>
      </c>
      <c r="B29" s="1"/>
    </row>
    <row r="30" spans="1:2">
      <c r="A30" s="1" t="s">
        <v>635</v>
      </c>
      <c r="B30" s="1"/>
    </row>
    <row r="31" spans="1:2">
      <c r="A31" s="1" t="s">
        <v>636</v>
      </c>
      <c r="B31" s="1"/>
    </row>
    <row r="32" spans="1:2">
      <c r="A32" s="1" t="s">
        <v>637</v>
      </c>
      <c r="B32" s="1"/>
    </row>
    <row r="33" spans="1:2">
      <c r="A33" s="1" t="s">
        <v>638</v>
      </c>
      <c r="B33" s="1"/>
    </row>
    <row r="34" spans="1:2">
      <c r="A34" s="1" t="s">
        <v>639</v>
      </c>
      <c r="B34" s="1"/>
    </row>
    <row r="35" spans="1:2">
      <c r="A35" s="1" t="s">
        <v>640</v>
      </c>
      <c r="B35" s="1" t="s">
        <v>641</v>
      </c>
    </row>
    <row r="36" spans="1:2">
      <c r="A36" s="1" t="s">
        <v>642</v>
      </c>
      <c r="B36" s="1" t="s">
        <v>643</v>
      </c>
    </row>
    <row r="37" spans="1:2">
      <c r="A37" s="1" t="s">
        <v>644</v>
      </c>
      <c r="B37" s="1" t="s">
        <v>645</v>
      </c>
    </row>
    <row r="38" spans="1:2">
      <c r="A38" s="1" t="s">
        <v>646</v>
      </c>
      <c r="B38" s="1" t="s">
        <v>647</v>
      </c>
    </row>
    <row r="39" spans="1:2">
      <c r="A39" s="1" t="s">
        <v>648</v>
      </c>
      <c r="B39" s="1" t="s">
        <v>649</v>
      </c>
    </row>
    <row r="40" spans="1:2">
      <c r="A40" s="1" t="s">
        <v>650</v>
      </c>
      <c r="B40" s="1" t="s">
        <v>651</v>
      </c>
    </row>
    <row r="41" spans="1:2">
      <c r="A41" s="1" t="s">
        <v>652</v>
      </c>
      <c r="B41" s="1" t="s">
        <v>653</v>
      </c>
    </row>
    <row r="42" spans="1:2">
      <c r="A42" s="1" t="s">
        <v>654</v>
      </c>
      <c r="B42" s="1"/>
    </row>
    <row r="43" spans="1:2">
      <c r="A43" s="1" t="s">
        <v>655</v>
      </c>
      <c r="B43" s="1"/>
    </row>
    <row r="44" spans="1:2">
      <c r="A44" s="1" t="s">
        <v>656</v>
      </c>
      <c r="B44" s="1" t="s">
        <v>657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Z1" sqref="Z1"/>
    </sheetView>
  </sheetViews>
  <sheetFormatPr defaultColWidth="9" defaultRowHeight="12.75"/>
  <cols>
    <col min="1" max="1" width="31.5714285714286" customWidth="1"/>
  </cols>
  <sheetData>
    <row r="1" spans="1:1">
      <c r="A1" s="1" t="s">
        <v>658</v>
      </c>
    </row>
    <row r="2" spans="1:1">
      <c r="A2" s="1" t="s">
        <v>659</v>
      </c>
    </row>
    <row r="3" spans="1:1">
      <c r="A3" s="1" t="s">
        <v>660</v>
      </c>
    </row>
    <row r="4" spans="1:1">
      <c r="A4" s="1" t="s">
        <v>661</v>
      </c>
    </row>
    <row r="5" spans="1:1">
      <c r="A5" s="1" t="s">
        <v>662</v>
      </c>
    </row>
    <row r="6" spans="1:1">
      <c r="A6" s="1" t="s">
        <v>663</v>
      </c>
    </row>
    <row r="7" spans="1:1">
      <c r="A7" s="1" t="s">
        <v>664</v>
      </c>
    </row>
    <row r="8" spans="1:1">
      <c r="A8" s="1" t="s">
        <v>665</v>
      </c>
    </row>
    <row r="9" spans="1:1">
      <c r="A9" s="1" t="s">
        <v>666</v>
      </c>
    </row>
    <row r="10" spans="1:1">
      <c r="A10" s="1" t="s">
        <v>667</v>
      </c>
    </row>
    <row r="11" spans="1:1">
      <c r="A11" s="1" t="s">
        <v>668</v>
      </c>
    </row>
    <row r="12" spans="1:1">
      <c r="A12" s="1" t="s">
        <v>669</v>
      </c>
    </row>
    <row r="13" spans="1:1">
      <c r="A13" s="1" t="s">
        <v>670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6188B78F-7AF3-43AD-A159-D0CB4FD90777}">
  <ds:schemaRefs/>
</ds:datastoreItem>
</file>

<file path=customXml/itemProps2.xml><?xml version="1.0" encoding="utf-8"?>
<ds:datastoreItem xmlns:ds="http://schemas.openxmlformats.org/officeDocument/2006/customXml" ds:itemID="{0E1688ED-CA45-4DB5-955A-6FF48552F25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ImportantDisclosures</vt:lpstr>
      <vt:lpstr>Earnings Model</vt:lpstr>
      <vt:lpstr>Balance Sheet</vt:lpstr>
      <vt:lpstr>Cash Flow</vt:lpstr>
      <vt:lpstr>IndexInformation</vt:lpstr>
      <vt:lpstr>ModPubIndex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Hsu, Jeff (Research)</dc:creator>
  <cp:lastModifiedBy>JC丶jin</cp:lastModifiedBy>
  <dcterms:created xsi:type="dcterms:W3CDTF">1998-04-03T20:07:00Z</dcterms:created>
  <cp:lastPrinted>2026-03-06T11:27:00Z</cp:lastPrinted>
  <dcterms:modified xsi:type="dcterms:W3CDTF">2026-07-21T08:41:21Z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RNYUpload">
    <vt:r8>3.09999990463257</vt:r8>
  </property>
  <property fmtid="{D5CDD505-2E9C-101B-9397-08002B2CF9AE}" pid="3" name="LinkingAutoNameNumberLinking_Text_">
    <vt:lpwstr>1</vt:lpwstr>
  </property>
  <property fmtid="{D5CDD505-2E9C-101B-9397-08002B2CF9AE}" pid="4" name="MSDH34TAG">
    <vt:lpwstr>.TEZUF76X5TAHATHESADREYAK-00-INB160+*94600-MD=20150320171550/+0800,ZE=10142,ZZ=ZZZZ-8363.</vt:lpwstr>
  </property>
  <property fmtid="{D5CDD505-2E9C-101B-9397-08002B2CF9AE}" pid="5" name="LinkingAutoNameNumberLinking_Range_">
    <vt:lpwstr>32</vt:lpwstr>
  </property>
  <property fmtid="{D5CDD505-2E9C-101B-9397-08002B2CF9AE}" pid="6" name="MSIP_Label_07f119e6-c6cd-44b0-a5ee-ac1aff68c56e_Enabled">
    <vt:lpwstr>true</vt:lpwstr>
  </property>
  <property fmtid="{D5CDD505-2E9C-101B-9397-08002B2CF9AE}" pid="7" name="MSIP_Label_07f119e6-c6cd-44b0-a5ee-ac1aff68c56e_SetDate">
    <vt:lpwstr>2022-06-07T03:04:55Z</vt:lpwstr>
  </property>
  <property fmtid="{D5CDD505-2E9C-101B-9397-08002B2CF9AE}" pid="8" name="MSIP_Label_07f119e6-c6cd-44b0-a5ee-ac1aff68c56e_Method">
    <vt:lpwstr>Standard</vt:lpwstr>
  </property>
  <property fmtid="{D5CDD505-2E9C-101B-9397-08002B2CF9AE}" pid="9" name="MSIP_Label_07f119e6-c6cd-44b0-a5ee-ac1aff68c56e_Name">
    <vt:lpwstr>Confidential v1</vt:lpwstr>
  </property>
  <property fmtid="{D5CDD505-2E9C-101B-9397-08002B2CF9AE}" pid="10" name="MSIP_Label_07f119e6-c6cd-44b0-a5ee-ac1aff68c56e_SiteId">
    <vt:lpwstr>e29b8111-49f8-418d-ac2a-935335a52614</vt:lpwstr>
  </property>
  <property fmtid="{D5CDD505-2E9C-101B-9397-08002B2CF9AE}" pid="11" name="MSIP_Label_07f119e6-c6cd-44b0-a5ee-ac1aff68c56e_ActionId">
    <vt:lpwstr>1a1b4e78-045c-4c02-98e6-bfe6afc4399b</vt:lpwstr>
  </property>
  <property fmtid="{D5CDD505-2E9C-101B-9397-08002B2CF9AE}" pid="12" name="MSIP_Label_07f119e6-c6cd-44b0-a5ee-ac1aff68c56e_ContentBits">
    <vt:lpwstr>0</vt:lpwstr>
  </property>
  <property fmtid="{D5CDD505-2E9C-101B-9397-08002B2CF9AE}" pid="13" name="ERModPubTicket">
    <vt:lpwstr>NA</vt:lpwstr>
  </property>
  <property fmtid="{D5CDD505-2E9C-101B-9397-08002B2CF9AE}" pid="14" name="ERModPubFileName">
    <vt:lpwstr>6809.HK,688008.SS.xls</vt:lpwstr>
  </property>
  <property fmtid="{D5CDD505-2E9C-101B-9397-08002B2CF9AE}" pid="15" name="ERModPubConfirmEmail">
    <vt:bool>false</vt:bool>
  </property>
  <property fmtid="{D5CDD505-2E9C-101B-9397-08002B2CF9AE}" pid="16" name="ERModPubUserEmail">
    <vt:lpwstr>ethjia@ms.com</vt:lpwstr>
  </property>
  <property fmtid="{D5CDD505-2E9C-101B-9397-08002B2CF9AE}" pid="17" name="ERModPubGCIMTagged">
    <vt:bool>true</vt:bool>
  </property>
  <property fmtid="{D5CDD505-2E9C-101B-9397-08002B2CF9AE}" pid="18" name="ERCompanyUploadState">
    <vt:lpwstr>P</vt:lpwstr>
  </property>
  <property fmtid="{D5CDD505-2E9C-101B-9397-08002B2CF9AE}" pid="19" name="ERModPubCurrentYear">
    <vt:i4>2026</vt:i4>
  </property>
  <property fmtid="{D5CDD505-2E9C-101B-9397-08002B2CF9AE}" pid="20" name="ModelId">
    <vt:lpwstr>9843032</vt:lpwstr>
  </property>
  <property fmtid="{D5CDD505-2E9C-101B-9397-08002B2CF9AE}" pid="21" name="ICV">
    <vt:lpwstr>FB7AD5B9A8FF487FB658A942AB6ECB2B_13</vt:lpwstr>
  </property>
  <property fmtid="{D5CDD505-2E9C-101B-9397-08002B2CF9AE}" pid="22" name="KSOProductBuildVer">
    <vt:lpwstr>2052-12.1.0.26895</vt:lpwstr>
  </property>
  <property fmtid="{D5CDD505-2E9C-101B-9397-08002B2CF9AE}" pid="23" name="CalculationRule">
    <vt:i4>0</vt:i4>
  </property>
</Properties>
</file>